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F9EE464-2645-42D4-974F-B38C997F7C69}" xr6:coauthVersionLast="47" xr6:coauthVersionMax="47" xr10:uidLastSave="{00000000-0000-0000-0000-000000000000}"/>
  <bookViews>
    <workbookView xWindow="4680" yWindow="4680" windowWidth="28800" windowHeight="15345" firstSheet="34" activeTab="34" xr2:uid="{D37248E2-1193-4B5E-BE4F-D7532AB14CA0}"/>
  </bookViews>
  <sheets>
    <sheet name="Overview" sheetId="40" r:id="rId1"/>
    <sheet name="Results" sheetId="41" r:id="rId2"/>
    <sheet name="Input - Site" sheetId="10" r:id="rId3"/>
    <sheet name="Input - Fuel" sheetId="30" r:id="rId4"/>
    <sheet name="Input - Fertiliser" sheetId="7" r:id="rId5"/>
    <sheet name="Input - Common farm inputs" sheetId="13" r:id="rId6"/>
    <sheet name="Input - Processing inputs" sheetId="59" r:id="rId7"/>
    <sheet name="Input - Crop pasture farm input" sheetId="58" r:id="rId8"/>
    <sheet name="Input - Hort farm Inputs" sheetId="57" r:id="rId9"/>
    <sheet name="Input - Livestock farm Inputs" sheetId="55" r:id="rId10"/>
    <sheet name="Input - Aquaculture inputs" sheetId="56" r:id="rId11"/>
    <sheet name="Input - Beef cattle purchases" sheetId="48" r:id="rId12"/>
    <sheet name="Input - Dairy cattle purchases" sheetId="52" r:id="rId13"/>
    <sheet name="Input - Pig purchases" sheetId="53" r:id="rId14"/>
    <sheet name="Input - Poultry purchases" sheetId="54" r:id="rId15"/>
    <sheet name="Input - Freight" sheetId="39" r:id="rId16"/>
    <sheet name="Input - Solid waste" sheetId="33" r:id="rId17"/>
    <sheet name="Input - Manure sent off-site" sheetId="50" r:id="rId18"/>
    <sheet name="Input - Electricity" sheetId="9" r:id="rId19"/>
    <sheet name="15 Scope 3" sheetId="19" r:id="rId20"/>
    <sheet name="10.1.1-2 Solid waste treatment" sheetId="38" r:id="rId21"/>
    <sheet name="Calcs - Manure sent off-site" sheetId="34" r:id="rId22"/>
    <sheet name="8.1.1.1-2 Transport fuel" sheetId="31" r:id="rId23"/>
    <sheet name="8.2.1.1-2 Stationary fuel" sheetId="32" r:id="rId24"/>
    <sheet name="Constants - Scope 3" sheetId="20" r:id="rId25"/>
    <sheet name="Constants - Solid Waste" sheetId="36" r:id="rId26"/>
    <sheet name="Constants - Fuel" sheetId="29" r:id="rId27"/>
    <sheet name="Constants - Poultry" sheetId="26" r:id="rId28"/>
    <sheet name="Constants - Swine" sheetId="25" r:id="rId29"/>
    <sheet name="Constants - Dairy" sheetId="23" r:id="rId30"/>
    <sheet name="Constants - Pasture Beef" sheetId="22" r:id="rId31"/>
    <sheet name="Constants - Common Livestock" sheetId="18" r:id="rId32"/>
    <sheet name="Constants - Fertiliser" sheetId="6" r:id="rId33"/>
    <sheet name="Constants - Electricity" sheetId="8" r:id="rId34"/>
    <sheet name="Constants - Common" sheetId="61" r:id="rId35"/>
  </sheets>
  <externalReferences>
    <externalReference r:id="rId36"/>
  </externalReference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3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3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3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3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3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
    _xlfn.MAKEARRAY(5, 2,
      _xlfn.LAMBDA(_xlpm.r,_xlpm.c,
        INDEX({"Livestock Class j","Average Liveweight (kg)";"Chicken",1.3;"Hen &gt;/=1 yr",2;"Pullets",1.4;"Broilers",1.2}, _xlpm.r, _xlpm.c)
      )
    )
  )</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0_1_1__1_OtherPurchasedGoodsAndServices_CleaningChemicals_Result_Method1">'15 Scope 3'!$E$441</definedName>
    <definedName name="VEERG_15_10_1_1__1_OtherPurchasedGoodsAndServices_CleaningChemicals_Result_Method2">'15 Scope 3'!$E$442</definedName>
    <definedName name="VEERG_15_10_1_1__1_OtherPurchasedGoodsAndServices_Misc_Result_Method1">'15 Scope 3'!$E$483</definedName>
    <definedName name="VEERG_15_10_1_1__1_OtherPurchasedGoodsAndServices_Misc_Result_Method2">'15 Scope 3'!$E$484</definedName>
    <definedName name="VEERG_15_10_1_1__1_OtherPurchasedGoodsAndServices_PharmacyChemicals_Result_Method1">'15 Scope 3'!$E$459</definedName>
    <definedName name="VEERG_15_10_1_1__1_OtherPurchasedGoodsAndServices_PharmacyChemicals_Result_Method2">'15 Scope 3'!$E$460</definedName>
    <definedName name="VEERG_15_10_1_1__1_OtherPurchasedGoodsAndServices_Seed_Result_Method1">'15 Scope 3'!$E$472</definedName>
    <definedName name="VEERG_15_10_1_1__1_OtherPurchasedGoodsAndServices_Seed_Result_Method2">'15 Scope 3'!$E$473</definedName>
    <definedName name="VEERG_15_10_1_1__1_OtherPurchasedGoodsAndServices_Uncategorised_Result_Method1">'15 Scope 3'!$E$501</definedName>
    <definedName name="VEERG_15_10_1_1__1_OtherPurchasedGoodsAndServices_Uncategorised_Result_Method2">'15 Scope 3'!$E$502</definedName>
    <definedName name="VEERG_15_11_1_1__1_TotalUpstreamEmissionsFromFuel_Result">'15 Scope 3'!$E$518</definedName>
    <definedName name="VEERG_15_12_1_1__1_UpstreamPurchasedElectricityLocationBased_Result">'15 Scope 3'!$E$533</definedName>
    <definedName name="VEERG_15_12_1_2__1_UpstreamPurchasedElectricityMarketBasedVariation_Result">'15 Scope 3'!$E$555</definedName>
    <definedName name="VEERG_15_13_1_1__1_EmissionsFromManureSentOffSite_Result_Method1_CO2e">'15 Scope 3'!$E$578</definedName>
    <definedName name="VEERG_15_13_1_1__1_EmissionsFromManureSentOffSite_Result_Method2_CO2e">'15 Scope 3'!$M$578</definedName>
    <definedName name="VEERG_15_14_1_1__1_EmbeddedEmissionsFromUpstreamFreight_Incoming_Result_Method1">'15 Scope 3'!$E$620</definedName>
    <definedName name="VEERG_15_14_1_1__1_EmbeddedEmissionsFromUpstreamFreight_Incoming_Result_Method2">'15 Scope 3'!$E$621</definedName>
    <definedName name="VEERG_15_14_1_1__1_EmbeddedEmissionsFromUpstreamFreight_Outgoing_Result_Method1">'15 Scope 3'!$E$638</definedName>
    <definedName name="VEERG_15_14_1_1__1_EmbeddedEmissionsFromUpstreamFreight_Outgoing_Result_Method2">'15 Scope 3'!$E$639</definedName>
    <definedName name="VEERG_15_2_1_1__1_EmissionsFromPurchasedFeed_Result_Method1">'15 Scope 3'!$E$144</definedName>
    <definedName name="VEERG_15_2_1_1__1_EmissionsFromPurchasedFeed_Result_Method2">'15 Scope 3'!$E$145</definedName>
    <definedName name="VEERG_15_3_1_1__1_EmissionsFromPurchasedMineralSupplements_Result_Method1">'15 Scope 3'!$E$166</definedName>
    <definedName name="VEERG_15_3_1_1__1_EmissionsFromPurchasedMineralSupplements_Result_Method2">'15 Scope 3'!$E$167</definedName>
    <definedName name="VEERG_15_4_1_1__2_EmissionsFromPurchasedFertiliserComponentsVariation_Result_Method1">'15 Scope 3'!$E$251</definedName>
    <definedName name="VEERG_15_4_1_1__2_EmissionsFromPurchasedFertiliserComponentsVariation_Result_Method2">'15 Scope 3'!$E$252</definedName>
    <definedName name="VEERG_15_5_1_1__1_EmissionsFromPurchasedAgrichemicals_Result_Method1">'15 Scope 3'!$E$283</definedName>
    <definedName name="VEERG_15_5_1_1__1_EmissionsFromPurchasedAgrichemicals_Result_Method2">'15 Scope 3'!$E$284</definedName>
    <definedName name="VEERG_15_6_1_1__1_EmissionsFromPurchasedLime_Result_Method1">'15 Scope 3'!$E$316</definedName>
    <definedName name="VEERG_15_6_1_1__1_EmissionsFromPurchasedLime_Result_Method2">'15 Scope 3'!$E$317</definedName>
    <definedName name="VEERG_15_7_1_1__1_EmissionsFromPurchasedServices_Result_Method1">'15 Scope 3'!$E$347</definedName>
    <definedName name="VEERG_15_7_1_1__1_EmissionsFromPurchasedServices_Result_Method2">'15 Scope 3'!$E$348</definedName>
    <definedName name="VEERG_15_8_1_1__1_EmissionsFromPurchasedPackaging_Result_Method1">'15 Scope 3'!$E$378</definedName>
    <definedName name="VEERG_15_8_1_1__1_EmissionsFromPurchasedPackaging_Result_Method2">'15 Scope 3'!$E$379</definedName>
    <definedName name="VEERG_15_9_1_1__1_EmissionsFromPurchasedGrowMedia_Result_Method1">'15 Scope 3'!$E$410</definedName>
    <definedName name="VEERG_15_9_1_1__1_EmissionsFromPurchasedGrowMedia_Result_Method2">'15 Scope 3'!$E$411</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2_1_1__1_FuelCombustionStationary_Result">'8.2.1.1-2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armInputs_Misc_NylonNetting">'Input - Hort farm Inputs'!$E$5</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9" i="22" l="1"/>
  <c r="D8" i="22"/>
  <c r="G9" i="23"/>
  <c r="G8" i="23"/>
  <c r="J88" i="34"/>
  <c r="I68" i="34"/>
  <c r="I50" i="34"/>
  <c r="I49" i="34"/>
  <c r="J15" i="34"/>
  <c r="J14" i="34"/>
  <c r="O576" i="19"/>
  <c r="G576" i="19"/>
  <c r="E33" i="10"/>
  <c r="E32" i="10"/>
  <c r="E31" i="10"/>
  <c r="E30" i="10"/>
  <c r="E259" i="61" a="1"/>
  <c r="E259" i="61" s="1"/>
  <c r="D259" i="61" a="1"/>
  <c r="D259" i="61" s="1"/>
  <c r="E258" i="61" a="1"/>
  <c r="E258" i="61" s="1"/>
  <c r="D258" i="61" a="1"/>
  <c r="D258" i="61" s="1"/>
  <c r="D256" i="61" a="1"/>
  <c r="D256" i="61" s="1"/>
  <c r="D255" i="61" a="1"/>
  <c r="D255" i="61" s="1"/>
  <c r="D254" i="61" a="1"/>
  <c r="D254" i="61" s="1"/>
  <c r="D253" i="61" a="1"/>
  <c r="D253" i="61" s="1"/>
  <c r="S250" i="61" a="1"/>
  <c r="S250" i="61" s="1"/>
  <c r="R250" i="61" a="1"/>
  <c r="R250" i="61" s="1"/>
  <c r="Q250" i="61" a="1"/>
  <c r="Q250" i="61" s="1"/>
  <c r="P250" i="61" a="1"/>
  <c r="P250" i="61" s="1"/>
  <c r="O250" i="61" a="1"/>
  <c r="O250" i="61" s="1"/>
  <c r="N250" i="61" a="1"/>
  <c r="N250" i="61" s="1"/>
  <c r="M250" i="61" a="1"/>
  <c r="M250" i="61" s="1"/>
  <c r="L250" i="61" a="1"/>
  <c r="L250" i="61" s="1"/>
  <c r="K250" i="61" a="1"/>
  <c r="K250" i="61" s="1"/>
  <c r="J250" i="61" a="1"/>
  <c r="J250" i="61" s="1"/>
  <c r="I250" i="61" a="1"/>
  <c r="I250" i="61" s="1"/>
  <c r="H250" i="61" a="1"/>
  <c r="H250" i="61" s="1"/>
  <c r="G250" i="61" a="1"/>
  <c r="G250" i="61" s="1"/>
  <c r="F250" i="61" a="1"/>
  <c r="F250" i="61" s="1"/>
  <c r="E250" i="61" a="1"/>
  <c r="E250" i="61" s="1"/>
  <c r="D250" i="61" a="1"/>
  <c r="D250" i="61" s="1"/>
  <c r="S249" i="61" a="1"/>
  <c r="S249" i="61" s="1"/>
  <c r="R249" i="61" a="1"/>
  <c r="R249" i="61" s="1"/>
  <c r="Q249" i="61" a="1"/>
  <c r="Q249" i="61" s="1"/>
  <c r="P249" i="61" a="1"/>
  <c r="P249" i="61" s="1"/>
  <c r="O249" i="61" a="1"/>
  <c r="O249" i="61" s="1"/>
  <c r="N249" i="61" a="1"/>
  <c r="N249" i="61" s="1"/>
  <c r="M249" i="61" a="1"/>
  <c r="M249" i="61" s="1"/>
  <c r="L249" i="61" a="1"/>
  <c r="L249" i="61" s="1"/>
  <c r="K249" i="61" a="1"/>
  <c r="K249" i="61" s="1"/>
  <c r="J249" i="61" a="1"/>
  <c r="J249" i="61" s="1"/>
  <c r="I249" i="61" a="1"/>
  <c r="I249" i="61" s="1"/>
  <c r="H249" i="61" a="1"/>
  <c r="H249" i="61" s="1"/>
  <c r="G249" i="61" a="1"/>
  <c r="G249" i="61" s="1"/>
  <c r="F249" i="61" a="1"/>
  <c r="F249" i="61" s="1"/>
  <c r="E249" i="61" a="1"/>
  <c r="E249" i="61" s="1"/>
  <c r="D249" i="61" a="1"/>
  <c r="D249" i="61" s="1"/>
  <c r="S248" i="61" a="1"/>
  <c r="S248" i="61" s="1"/>
  <c r="R248" i="61" a="1"/>
  <c r="R248" i="61" s="1"/>
  <c r="Q248" i="61" a="1"/>
  <c r="Q248" i="61" s="1"/>
  <c r="P248" i="61" a="1"/>
  <c r="P248" i="61" s="1"/>
  <c r="O248" i="61" a="1"/>
  <c r="O248" i="61" s="1"/>
  <c r="N248" i="61" a="1"/>
  <c r="N248" i="61" s="1"/>
  <c r="M248" i="61" a="1"/>
  <c r="M248" i="61" s="1"/>
  <c r="L248" i="61" a="1"/>
  <c r="L248" i="61" s="1"/>
  <c r="K248" i="61" a="1"/>
  <c r="K248" i="61" s="1"/>
  <c r="J248" i="61" a="1"/>
  <c r="J248" i="61" s="1"/>
  <c r="I248" i="61" a="1"/>
  <c r="I248" i="61" s="1"/>
  <c r="H248" i="61" a="1"/>
  <c r="H248" i="61" s="1"/>
  <c r="G248" i="61" a="1"/>
  <c r="G248" i="61" s="1"/>
  <c r="F248" i="61" a="1"/>
  <c r="F248" i="61" s="1"/>
  <c r="E248" i="61" a="1"/>
  <c r="E248" i="61" s="1"/>
  <c r="D248" i="61" a="1"/>
  <c r="D248" i="61" s="1"/>
  <c r="S247" i="61" a="1"/>
  <c r="S247" i="61" s="1"/>
  <c r="R247" i="61" a="1"/>
  <c r="R247" i="61" s="1"/>
  <c r="Q247" i="61" a="1"/>
  <c r="Q247" i="61" s="1"/>
  <c r="P247" i="61" a="1"/>
  <c r="P247" i="61" s="1"/>
  <c r="O247" i="61" a="1"/>
  <c r="O247" i="61" s="1"/>
  <c r="N247" i="61" a="1"/>
  <c r="N247" i="61" s="1"/>
  <c r="M247" i="61" a="1"/>
  <c r="M247" i="61" s="1"/>
  <c r="L247" i="61" a="1"/>
  <c r="L247" i="61" s="1"/>
  <c r="K247" i="61" a="1"/>
  <c r="K247" i="61" s="1"/>
  <c r="J247" i="61" a="1"/>
  <c r="J247" i="61" s="1"/>
  <c r="I247" i="61" a="1"/>
  <c r="I247" i="61" s="1"/>
  <c r="H247" i="61" a="1"/>
  <c r="H247" i="61" s="1"/>
  <c r="G247" i="61" a="1"/>
  <c r="G247" i="61" s="1"/>
  <c r="F247" i="61" a="1"/>
  <c r="F247" i="61" s="1"/>
  <c r="E247" i="61" a="1"/>
  <c r="E247" i="61" s="1"/>
  <c r="D247" i="61" a="1"/>
  <c r="D247" i="61" s="1"/>
  <c r="S246" i="61" a="1"/>
  <c r="S246" i="61" s="1"/>
  <c r="R246" i="61" a="1"/>
  <c r="R246" i="61" s="1"/>
  <c r="Q246" i="61" a="1"/>
  <c r="Q246" i="61" s="1"/>
  <c r="P246" i="61" a="1"/>
  <c r="P246" i="61" s="1"/>
  <c r="O246" i="61" a="1"/>
  <c r="O246" i="61" s="1"/>
  <c r="N246" i="61" a="1"/>
  <c r="N246" i="61" s="1"/>
  <c r="M246" i="61" a="1"/>
  <c r="M246" i="61" s="1"/>
  <c r="L246" i="61" a="1"/>
  <c r="L246" i="61" s="1"/>
  <c r="K246" i="61" a="1"/>
  <c r="K246" i="61" s="1"/>
  <c r="J246" i="61" a="1"/>
  <c r="J246" i="61" s="1"/>
  <c r="I246" i="61" a="1"/>
  <c r="I246" i="61" s="1"/>
  <c r="H246" i="61" a="1"/>
  <c r="H246" i="61" s="1"/>
  <c r="G246" i="61" a="1"/>
  <c r="G246" i="61" s="1"/>
  <c r="F246" i="61" a="1"/>
  <c r="F246" i="61" s="1"/>
  <c r="E246" i="61" a="1"/>
  <c r="E246" i="61" s="1"/>
  <c r="D246" i="61" a="1"/>
  <c r="D246" i="61" s="1"/>
  <c r="S245" i="61" a="1"/>
  <c r="S245" i="61" s="1"/>
  <c r="R245" i="61" a="1"/>
  <c r="R245" i="61" s="1"/>
  <c r="Q245" i="61" a="1"/>
  <c r="Q245" i="61" s="1"/>
  <c r="P245" i="61" a="1"/>
  <c r="P245" i="61" s="1"/>
  <c r="O245" i="61" a="1"/>
  <c r="O245" i="61" s="1"/>
  <c r="N245" i="61" a="1"/>
  <c r="N245" i="61" s="1"/>
  <c r="M245" i="61" a="1"/>
  <c r="M245" i="61" s="1"/>
  <c r="L245" i="61" a="1"/>
  <c r="L245" i="61" s="1"/>
  <c r="K245" i="61" a="1"/>
  <c r="K245" i="61" s="1"/>
  <c r="J245" i="61" a="1"/>
  <c r="J245" i="61" s="1"/>
  <c r="I245" i="61" a="1"/>
  <c r="I245" i="61" s="1"/>
  <c r="H245" i="61" a="1"/>
  <c r="H245" i="61" s="1"/>
  <c r="G245" i="61" a="1"/>
  <c r="G245" i="61" s="1"/>
  <c r="F245" i="61" a="1"/>
  <c r="F245" i="61" s="1"/>
  <c r="E245" i="61" a="1"/>
  <c r="E245" i="61" s="1"/>
  <c r="D245" i="61" a="1"/>
  <c r="D245" i="61" s="1"/>
  <c r="S244" i="61" a="1"/>
  <c r="S244" i="61" s="1"/>
  <c r="R244" i="61" a="1"/>
  <c r="R244" i="61" s="1"/>
  <c r="Q244" i="61" a="1"/>
  <c r="Q244" i="61" s="1"/>
  <c r="P244" i="61" a="1"/>
  <c r="P244" i="61" s="1"/>
  <c r="O244" i="61" a="1"/>
  <c r="O244" i="61" s="1"/>
  <c r="N244" i="61" a="1"/>
  <c r="N244" i="61" s="1"/>
  <c r="M244" i="61" a="1"/>
  <c r="M244" i="61" s="1"/>
  <c r="L244" i="61" a="1"/>
  <c r="L244" i="61" s="1"/>
  <c r="K244" i="61" a="1"/>
  <c r="K244" i="61" s="1"/>
  <c r="J244" i="61" a="1"/>
  <c r="J244" i="61" s="1"/>
  <c r="I244" i="61" a="1"/>
  <c r="I244" i="61" s="1"/>
  <c r="H244" i="61" a="1"/>
  <c r="H244" i="61" s="1"/>
  <c r="G244" i="61" a="1"/>
  <c r="G244" i="61" s="1"/>
  <c r="F244" i="61" a="1"/>
  <c r="F244" i="61" s="1"/>
  <c r="E244" i="61" a="1"/>
  <c r="E244" i="61" s="1"/>
  <c r="D244" i="61" a="1"/>
  <c r="D244" i="61" s="1"/>
  <c r="S243" i="61" a="1"/>
  <c r="S243" i="61" s="1"/>
  <c r="R243" i="61" a="1"/>
  <c r="R243" i="61" s="1"/>
  <c r="Q243" i="61" a="1"/>
  <c r="Q243" i="61" s="1"/>
  <c r="P243" i="61" a="1"/>
  <c r="P243" i="61" s="1"/>
  <c r="O243" i="61" a="1"/>
  <c r="O243" i="61" s="1"/>
  <c r="N243" i="61" a="1"/>
  <c r="N243" i="61" s="1"/>
  <c r="M243" i="61" a="1"/>
  <c r="M243" i="61" s="1"/>
  <c r="L243" i="61" a="1"/>
  <c r="L243" i="61" s="1"/>
  <c r="K243" i="61" a="1"/>
  <c r="K243" i="61" s="1"/>
  <c r="J243" i="61" a="1"/>
  <c r="J243" i="61" s="1"/>
  <c r="I243" i="61" a="1"/>
  <c r="I243" i="61" s="1"/>
  <c r="H243" i="61" a="1"/>
  <c r="H243" i="61" s="1"/>
  <c r="G243" i="61" a="1"/>
  <c r="G243" i="61" s="1"/>
  <c r="F243" i="61" a="1"/>
  <c r="F243" i="61" s="1"/>
  <c r="E243" i="61" a="1"/>
  <c r="E243" i="61" s="1"/>
  <c r="D243" i="61" a="1"/>
  <c r="D243" i="61" s="1"/>
  <c r="S242" i="61" a="1"/>
  <c r="S242" i="61" s="1"/>
  <c r="R242" i="61" a="1"/>
  <c r="R242" i="61" s="1"/>
  <c r="Q242" i="61" a="1"/>
  <c r="Q242" i="61" s="1"/>
  <c r="P242" i="61" a="1"/>
  <c r="P242" i="61" s="1"/>
  <c r="O242" i="61" a="1"/>
  <c r="O242" i="61" s="1"/>
  <c r="N242" i="61" a="1"/>
  <c r="N242" i="61" s="1"/>
  <c r="M242" i="61" a="1"/>
  <c r="M242" i="61" s="1"/>
  <c r="L242" i="61" a="1"/>
  <c r="L242" i="61" s="1"/>
  <c r="K242" i="61" a="1"/>
  <c r="K242" i="61" s="1"/>
  <c r="J242" i="61" a="1"/>
  <c r="J242" i="61" s="1"/>
  <c r="I242" i="61" a="1"/>
  <c r="I242" i="61" s="1"/>
  <c r="H242" i="61" a="1"/>
  <c r="H242" i="61" s="1"/>
  <c r="G242" i="61" a="1"/>
  <c r="G242" i="61" s="1"/>
  <c r="F242" i="61" a="1"/>
  <c r="F242" i="61" s="1"/>
  <c r="E242" i="61" a="1"/>
  <c r="E242" i="61" s="1"/>
  <c r="D242" i="61" a="1"/>
  <c r="D242" i="61" s="1"/>
  <c r="S241" i="61" a="1"/>
  <c r="S241" i="61" s="1"/>
  <c r="R241" i="61" a="1"/>
  <c r="R241" i="61" s="1"/>
  <c r="Q241" i="61" a="1"/>
  <c r="Q241" i="61" s="1"/>
  <c r="P241" i="61" a="1"/>
  <c r="P241" i="61" s="1"/>
  <c r="O241" i="61" a="1"/>
  <c r="O241" i="61" s="1"/>
  <c r="N241" i="61" a="1"/>
  <c r="N241" i="61" s="1"/>
  <c r="M241" i="61" a="1"/>
  <c r="M241" i="61" s="1"/>
  <c r="L241" i="61" a="1"/>
  <c r="L241" i="61" s="1"/>
  <c r="K241" i="61" a="1"/>
  <c r="K241" i="61" s="1"/>
  <c r="J241" i="61" a="1"/>
  <c r="J241" i="61" s="1"/>
  <c r="I241" i="61" a="1"/>
  <c r="I241" i="61" s="1"/>
  <c r="H241" i="61" a="1"/>
  <c r="H241" i="61" s="1"/>
  <c r="G241" i="61" a="1"/>
  <c r="G241" i="61" s="1"/>
  <c r="F241" i="61" a="1"/>
  <c r="F241" i="61" s="1"/>
  <c r="E241" i="61" a="1"/>
  <c r="E241" i="61" s="1"/>
  <c r="D241" i="61" a="1"/>
  <c r="D241" i="61" s="1"/>
  <c r="S240" i="61" a="1"/>
  <c r="S240" i="61" s="1"/>
  <c r="R240" i="61" a="1"/>
  <c r="R240" i="61" s="1"/>
  <c r="Q240" i="61" a="1"/>
  <c r="Q240" i="61" s="1"/>
  <c r="P240" i="61" a="1"/>
  <c r="P240" i="61" s="1"/>
  <c r="O240" i="61" a="1"/>
  <c r="O240" i="61" s="1"/>
  <c r="N240" i="61" a="1"/>
  <c r="N240" i="61" s="1"/>
  <c r="M240" i="61" a="1"/>
  <c r="M240" i="61" s="1"/>
  <c r="L240" i="61" a="1"/>
  <c r="L240" i="61" s="1"/>
  <c r="K240" i="61" a="1"/>
  <c r="K240" i="61" s="1"/>
  <c r="J240" i="61" a="1"/>
  <c r="J240" i="61" s="1"/>
  <c r="I240" i="61" a="1"/>
  <c r="I240" i="61" s="1"/>
  <c r="H240" i="61" a="1"/>
  <c r="H240" i="61" s="1"/>
  <c r="G240" i="61" a="1"/>
  <c r="G240" i="61" s="1"/>
  <c r="F240" i="61" a="1"/>
  <c r="F240" i="61" s="1"/>
  <c r="E240" i="61" a="1"/>
  <c r="E240" i="61" s="1"/>
  <c r="D240" i="61" a="1"/>
  <c r="D240" i="61" s="1"/>
  <c r="S239" i="61" a="1"/>
  <c r="S239" i="61" s="1"/>
  <c r="R239" i="61" a="1"/>
  <c r="R239" i="61" s="1"/>
  <c r="Q239" i="61" a="1"/>
  <c r="Q239" i="61" s="1"/>
  <c r="P239" i="61" a="1"/>
  <c r="P239" i="61" s="1"/>
  <c r="O239" i="61" a="1"/>
  <c r="O239" i="61" s="1"/>
  <c r="N239" i="61" a="1"/>
  <c r="N239" i="61" s="1"/>
  <c r="M239" i="61" a="1"/>
  <c r="M239" i="61" s="1"/>
  <c r="L239" i="61" a="1"/>
  <c r="L239" i="61" s="1"/>
  <c r="K239" i="61" a="1"/>
  <c r="K239" i="61" s="1"/>
  <c r="J239" i="61" a="1"/>
  <c r="J239" i="61" s="1"/>
  <c r="I239" i="61" a="1"/>
  <c r="I239" i="61" s="1"/>
  <c r="H239" i="61" a="1"/>
  <c r="H239" i="61" s="1"/>
  <c r="G239" i="61" a="1"/>
  <c r="G239" i="61" s="1"/>
  <c r="F239" i="61" a="1"/>
  <c r="F239" i="61" s="1"/>
  <c r="E239" i="61" a="1"/>
  <c r="E239" i="61" s="1"/>
  <c r="D239" i="61" a="1"/>
  <c r="D239" i="61" s="1"/>
  <c r="S238" i="61" a="1"/>
  <c r="S238" i="61" s="1"/>
  <c r="R238" i="61" a="1"/>
  <c r="R238" i="61" s="1"/>
  <c r="Q238" i="61" a="1"/>
  <c r="Q238" i="61" s="1"/>
  <c r="P238" i="61" a="1"/>
  <c r="P238" i="61" s="1"/>
  <c r="O238" i="61" a="1"/>
  <c r="O238" i="61" s="1"/>
  <c r="N238" i="61" a="1"/>
  <c r="N238" i="61" s="1"/>
  <c r="M238" i="61" a="1"/>
  <c r="M238" i="61" s="1"/>
  <c r="L238" i="61" a="1"/>
  <c r="L238" i="61" s="1"/>
  <c r="K238" i="61" a="1"/>
  <c r="K238" i="61" s="1"/>
  <c r="J238" i="61" a="1"/>
  <c r="J238" i="61" s="1"/>
  <c r="I238" i="61" a="1"/>
  <c r="I238" i="61" s="1"/>
  <c r="H238" i="61" a="1"/>
  <c r="H238" i="61" s="1"/>
  <c r="G238" i="61" a="1"/>
  <c r="G238" i="61" s="1"/>
  <c r="F238" i="61" a="1"/>
  <c r="F238" i="61" s="1"/>
  <c r="E238" i="61" a="1"/>
  <c r="E238" i="61" s="1"/>
  <c r="D238" i="61" a="1"/>
  <c r="D238" i="61" s="1"/>
  <c r="S237" i="61" a="1"/>
  <c r="S237" i="61" s="1"/>
  <c r="R237" i="61" a="1"/>
  <c r="R237" i="61" s="1"/>
  <c r="Q237" i="61" a="1"/>
  <c r="Q237" i="61" s="1"/>
  <c r="P237" i="61" a="1"/>
  <c r="P237" i="61" s="1"/>
  <c r="O237" i="61" a="1"/>
  <c r="O237" i="61" s="1"/>
  <c r="N237" i="61" a="1"/>
  <c r="N237" i="61" s="1"/>
  <c r="M237" i="61" a="1"/>
  <c r="M237" i="61" s="1"/>
  <c r="L237" i="61" a="1"/>
  <c r="L237" i="61" s="1"/>
  <c r="K237" i="61" a="1"/>
  <c r="K237" i="61" s="1"/>
  <c r="J237" i="61" a="1"/>
  <c r="J237" i="61" s="1"/>
  <c r="I237" i="61" a="1"/>
  <c r="I237" i="61" s="1"/>
  <c r="H237" i="61" a="1"/>
  <c r="H237" i="61" s="1"/>
  <c r="G237" i="61" a="1"/>
  <c r="G237" i="61" s="1"/>
  <c r="F237" i="61" a="1"/>
  <c r="F237" i="61" s="1"/>
  <c r="E237" i="61" a="1"/>
  <c r="E237" i="61" s="1"/>
  <c r="D237" i="61" a="1"/>
  <c r="D237" i="61" s="1"/>
  <c r="S236" i="61" a="1"/>
  <c r="S236" i="61" s="1"/>
  <c r="R236" i="61" a="1"/>
  <c r="R236" i="61" s="1"/>
  <c r="Q236" i="61" a="1"/>
  <c r="Q236" i="61" s="1"/>
  <c r="P236" i="61" a="1"/>
  <c r="P236" i="61" s="1"/>
  <c r="O236" i="61" a="1"/>
  <c r="O236" i="61" s="1"/>
  <c r="N236" i="61" a="1"/>
  <c r="N236" i="61" s="1"/>
  <c r="M236" i="61" a="1"/>
  <c r="M236" i="61" s="1"/>
  <c r="L236" i="61" a="1"/>
  <c r="L236" i="61" s="1"/>
  <c r="K236" i="61" a="1"/>
  <c r="K236" i="61" s="1"/>
  <c r="J236" i="61" a="1"/>
  <c r="J236" i="61" s="1"/>
  <c r="I236" i="61" a="1"/>
  <c r="I236" i="61" s="1"/>
  <c r="H236" i="61" a="1"/>
  <c r="H236" i="61" s="1"/>
  <c r="G236" i="61" a="1"/>
  <c r="G236" i="61" s="1"/>
  <c r="F236" i="61" a="1"/>
  <c r="F236" i="61" s="1"/>
  <c r="E236" i="61" a="1"/>
  <c r="E236" i="61" s="1"/>
  <c r="D236" i="61" a="1"/>
  <c r="D236" i="61" s="1"/>
  <c r="S235" i="61" a="1"/>
  <c r="S235" i="61" s="1"/>
  <c r="R235" i="61" a="1"/>
  <c r="R235" i="61" s="1"/>
  <c r="Q235" i="61" a="1"/>
  <c r="Q235" i="61" s="1"/>
  <c r="P235" i="61" a="1"/>
  <c r="P235" i="61" s="1"/>
  <c r="O235" i="61" a="1"/>
  <c r="O235" i="61" s="1"/>
  <c r="N235" i="61" a="1"/>
  <c r="N235" i="61" s="1"/>
  <c r="M235" i="61" a="1"/>
  <c r="M235" i="61" s="1"/>
  <c r="L235" i="61" a="1"/>
  <c r="L235" i="61" s="1"/>
  <c r="K235" i="61" a="1"/>
  <c r="K235" i="61" s="1"/>
  <c r="J235" i="61" a="1"/>
  <c r="J235" i="61" s="1"/>
  <c r="I235" i="61" a="1"/>
  <c r="I235" i="61" s="1"/>
  <c r="H235" i="61" a="1"/>
  <c r="H235" i="61" s="1"/>
  <c r="G235" i="61" a="1"/>
  <c r="G235" i="61" s="1"/>
  <c r="F235" i="61" a="1"/>
  <c r="F235" i="61" s="1"/>
  <c r="E235" i="61" a="1"/>
  <c r="E235" i="61" s="1"/>
  <c r="D235" i="61" a="1"/>
  <c r="D235" i="61" s="1"/>
  <c r="S234" i="61" a="1"/>
  <c r="S234" i="61" s="1"/>
  <c r="R234" i="61" a="1"/>
  <c r="R234" i="61" s="1"/>
  <c r="Q234" i="61" a="1"/>
  <c r="Q234" i="61" s="1"/>
  <c r="P234" i="61" a="1"/>
  <c r="P234" i="61" s="1"/>
  <c r="O234" i="61" a="1"/>
  <c r="O234" i="61" s="1"/>
  <c r="N234" i="61" a="1"/>
  <c r="N234" i="61" s="1"/>
  <c r="M234" i="61" a="1"/>
  <c r="M234" i="61" s="1"/>
  <c r="L234" i="61" a="1"/>
  <c r="L234" i="61" s="1"/>
  <c r="K234" i="61" a="1"/>
  <c r="K234" i="61" s="1"/>
  <c r="J234" i="61" a="1"/>
  <c r="J234" i="61" s="1"/>
  <c r="I234" i="61" a="1"/>
  <c r="I234" i="61" s="1"/>
  <c r="H234" i="61" a="1"/>
  <c r="H234" i="61" s="1"/>
  <c r="G234" i="61" a="1"/>
  <c r="G234" i="61" s="1"/>
  <c r="F234" i="61" a="1"/>
  <c r="F234" i="61" s="1"/>
  <c r="E234" i="61" a="1"/>
  <c r="E234" i="61" s="1"/>
  <c r="D234" i="61" a="1"/>
  <c r="D234" i="61" s="1"/>
  <c r="S233" i="61" a="1"/>
  <c r="S233" i="61" s="1"/>
  <c r="R233" i="61" a="1"/>
  <c r="R233" i="61" s="1"/>
  <c r="Q233" i="61" a="1"/>
  <c r="Q233" i="61" s="1"/>
  <c r="P233" i="61" a="1"/>
  <c r="P233" i="61" s="1"/>
  <c r="O233" i="61" a="1"/>
  <c r="O233" i="61" s="1"/>
  <c r="N233" i="61" a="1"/>
  <c r="N233" i="61" s="1"/>
  <c r="M233" i="61" a="1"/>
  <c r="M233" i="61" s="1"/>
  <c r="L233" i="61" a="1"/>
  <c r="L233" i="61" s="1"/>
  <c r="K233" i="61" a="1"/>
  <c r="K233" i="61" s="1"/>
  <c r="J233" i="61" a="1"/>
  <c r="J233" i="61" s="1"/>
  <c r="I233" i="61" a="1"/>
  <c r="I233" i="61" s="1"/>
  <c r="H233" i="61" a="1"/>
  <c r="H233" i="61" s="1"/>
  <c r="G233" i="61" a="1"/>
  <c r="G233" i="61" s="1"/>
  <c r="F233" i="61" a="1"/>
  <c r="F233" i="61" s="1"/>
  <c r="E233" i="61" a="1"/>
  <c r="E233" i="61" s="1"/>
  <c r="D233" i="61" a="1"/>
  <c r="D233" i="61" s="1"/>
  <c r="S232" i="61" a="1"/>
  <c r="S232" i="61" s="1"/>
  <c r="R232" i="61" a="1"/>
  <c r="R232" i="61" s="1"/>
  <c r="Q232" i="61" a="1"/>
  <c r="Q232" i="61" s="1"/>
  <c r="P232" i="61" a="1"/>
  <c r="P232" i="61" s="1"/>
  <c r="O232" i="61" a="1"/>
  <c r="O232" i="61" s="1"/>
  <c r="N232" i="61" a="1"/>
  <c r="N232" i="61" s="1"/>
  <c r="M232" i="61" a="1"/>
  <c r="M232" i="61" s="1"/>
  <c r="L232" i="61" a="1"/>
  <c r="L232" i="61" s="1"/>
  <c r="K232" i="61" a="1"/>
  <c r="K232" i="61" s="1"/>
  <c r="J232" i="61" a="1"/>
  <c r="J232" i="61" s="1"/>
  <c r="I232" i="61" a="1"/>
  <c r="I232" i="61" s="1"/>
  <c r="H232" i="61" a="1"/>
  <c r="H232" i="61" s="1"/>
  <c r="G232" i="61" a="1"/>
  <c r="G232" i="61" s="1"/>
  <c r="F232" i="61" a="1"/>
  <c r="F232" i="61" s="1"/>
  <c r="E232" i="61" a="1"/>
  <c r="E232" i="61" s="1"/>
  <c r="D232" i="61" a="1"/>
  <c r="D232" i="61" s="1"/>
  <c r="D229" i="61" a="1"/>
  <c r="D229" i="61" s="1"/>
  <c r="D228" i="61" a="1"/>
  <c r="D228" i="61" s="1"/>
  <c r="D227" i="61" a="1"/>
  <c r="D227" i="61" s="1"/>
  <c r="E224" i="61" a="1"/>
  <c r="E224" i="61" s="1"/>
  <c r="D224" i="61" a="1"/>
  <c r="D224" i="61" s="1"/>
  <c r="E223" i="61" a="1"/>
  <c r="E223" i="61" s="1"/>
  <c r="D223" i="61" a="1"/>
  <c r="D223" i="61" s="1"/>
  <c r="E222" i="61" a="1"/>
  <c r="E222" i="61" s="1"/>
  <c r="D222" i="61" a="1"/>
  <c r="D222" i="61" s="1"/>
  <c r="E221" i="61" a="1"/>
  <c r="E221" i="61" s="1"/>
  <c r="D221" i="61" a="1"/>
  <c r="D221" i="61" s="1"/>
  <c r="E220" i="61" a="1"/>
  <c r="E220" i="61" s="1"/>
  <c r="D220" i="61" a="1"/>
  <c r="D220" i="61" s="1"/>
  <c r="E219" i="61" a="1"/>
  <c r="E219" i="61" s="1"/>
  <c r="D219" i="61" a="1"/>
  <c r="D219" i="61" s="1"/>
  <c r="E218" i="61" a="1"/>
  <c r="E218" i="61" s="1"/>
  <c r="D218" i="61" a="1"/>
  <c r="D218" i="61" s="1"/>
  <c r="E217" i="61" a="1"/>
  <c r="E217" i="61" s="1"/>
  <c r="D217" i="61" a="1"/>
  <c r="D217" i="61" s="1"/>
  <c r="E216" i="61" a="1"/>
  <c r="E216" i="61" s="1"/>
  <c r="D216" i="61" a="1"/>
  <c r="D216" i="61" s="1"/>
  <c r="E215" i="61" a="1"/>
  <c r="E215" i="61" s="1"/>
  <c r="D215" i="61" a="1"/>
  <c r="D215" i="61" s="1"/>
  <c r="E214" i="61" a="1"/>
  <c r="E214" i="61" s="1"/>
  <c r="D214" i="61" a="1"/>
  <c r="D214" i="61" s="1"/>
  <c r="E213" i="61" a="1"/>
  <c r="E213" i="61" s="1"/>
  <c r="D213" i="61" a="1"/>
  <c r="D213" i="61" s="1"/>
  <c r="D211" i="61" a="1"/>
  <c r="D211" i="61" s="1"/>
  <c r="E208" i="61" a="1"/>
  <c r="E208" i="61" s="1"/>
  <c r="D208" i="61" a="1"/>
  <c r="D208" i="61" s="1"/>
  <c r="E207" i="61" a="1"/>
  <c r="E207" i="61" s="1"/>
  <c r="D207" i="61" a="1"/>
  <c r="D207" i="61" s="1"/>
  <c r="D205" i="61" a="1"/>
  <c r="D205" i="61" s="1"/>
  <c r="D204" i="61" a="1"/>
  <c r="D204" i="61" s="1"/>
  <c r="D203" i="61" a="1"/>
  <c r="D203" i="61" s="1"/>
  <c r="D202" i="61" a="1"/>
  <c r="D202" i="61" s="1"/>
  <c r="H199" i="61" a="1"/>
  <c r="H199" i="61" s="1"/>
  <c r="G199" i="61" a="1"/>
  <c r="G199" i="61" s="1"/>
  <c r="F199" i="61" a="1"/>
  <c r="F199" i="61" s="1"/>
  <c r="E199" i="61" a="1"/>
  <c r="E199" i="61" s="1"/>
  <c r="D199" i="61" a="1"/>
  <c r="D199" i="61" s="1"/>
  <c r="H198" i="61" a="1"/>
  <c r="H198" i="61" s="1"/>
  <c r="G198" i="61" a="1"/>
  <c r="G198" i="61" s="1"/>
  <c r="F198" i="61" a="1"/>
  <c r="F198" i="61" s="1"/>
  <c r="E198" i="61" a="1"/>
  <c r="E198" i="61" s="1"/>
  <c r="D198" i="61" a="1"/>
  <c r="D198" i="61" s="1"/>
  <c r="H197" i="61" a="1"/>
  <c r="H197" i="61" s="1"/>
  <c r="G197" i="61" a="1"/>
  <c r="G197" i="61" s="1"/>
  <c r="F197" i="61" a="1"/>
  <c r="F197" i="61" s="1"/>
  <c r="E197" i="61" a="1"/>
  <c r="E197" i="61" s="1"/>
  <c r="D197" i="61" a="1"/>
  <c r="D197" i="61" s="1"/>
  <c r="H196" i="61" a="1"/>
  <c r="H196" i="61" s="1"/>
  <c r="G196" i="61" a="1"/>
  <c r="G196" i="61" s="1"/>
  <c r="F196" i="61" a="1"/>
  <c r="F196" i="61" s="1"/>
  <c r="E196" i="61" a="1"/>
  <c r="E196" i="61" s="1"/>
  <c r="D196" i="61" a="1"/>
  <c r="D196" i="61" s="1"/>
  <c r="H195" i="61" a="1"/>
  <c r="H195" i="61" s="1"/>
  <c r="G195" i="61" a="1"/>
  <c r="G195" i="61" s="1"/>
  <c r="F195" i="61" a="1"/>
  <c r="F195" i="61" s="1"/>
  <c r="E195" i="61" a="1"/>
  <c r="E195" i="61" s="1"/>
  <c r="D195" i="61" a="1"/>
  <c r="D195" i="61" s="1"/>
  <c r="H194" i="61" a="1"/>
  <c r="H194" i="61" s="1"/>
  <c r="G194" i="61" a="1"/>
  <c r="G194" i="61" s="1"/>
  <c r="F194" i="61" a="1"/>
  <c r="F194" i="61" s="1"/>
  <c r="E194" i="61" a="1"/>
  <c r="E194" i="61" s="1"/>
  <c r="D194" i="61" a="1"/>
  <c r="D194" i="61" s="1"/>
  <c r="H193" i="61" a="1"/>
  <c r="H193" i="61" s="1"/>
  <c r="G193" i="61" a="1"/>
  <c r="G193" i="61" s="1"/>
  <c r="F193" i="61" a="1"/>
  <c r="F193" i="61" s="1"/>
  <c r="E193" i="61" a="1"/>
  <c r="E193" i="61" s="1"/>
  <c r="D193" i="61" a="1"/>
  <c r="D193" i="61" s="1"/>
  <c r="H192" i="61" a="1"/>
  <c r="H192" i="61" s="1"/>
  <c r="G192" i="61" a="1"/>
  <c r="G192" i="61" s="1"/>
  <c r="F192" i="61" a="1"/>
  <c r="F192" i="61" s="1"/>
  <c r="E192" i="61" a="1"/>
  <c r="E192" i="61" s="1"/>
  <c r="D192" i="61" a="1"/>
  <c r="D192" i="61" s="1"/>
  <c r="H191" i="61" a="1"/>
  <c r="H191" i="61" s="1"/>
  <c r="G191" i="61" a="1"/>
  <c r="G191" i="61" s="1"/>
  <c r="F191" i="61" a="1"/>
  <c r="F191" i="61" s="1"/>
  <c r="E191" i="61" a="1"/>
  <c r="E191" i="61" s="1"/>
  <c r="D191" i="61" a="1"/>
  <c r="D191" i="61" s="1"/>
  <c r="H190" i="61" a="1"/>
  <c r="H190" i="61" s="1"/>
  <c r="G190" i="61" a="1"/>
  <c r="G190" i="61" s="1"/>
  <c r="F190" i="61" a="1"/>
  <c r="F190" i="61" s="1"/>
  <c r="E190" i="61" a="1"/>
  <c r="E190" i="61" s="1"/>
  <c r="D190" i="61" a="1"/>
  <c r="D190" i="61" s="1"/>
  <c r="H189" i="61" a="1"/>
  <c r="H189" i="61" s="1"/>
  <c r="G189" i="61" a="1"/>
  <c r="G189" i="61" s="1"/>
  <c r="F189" i="61" a="1"/>
  <c r="F189" i="61" s="1"/>
  <c r="E189" i="61" a="1"/>
  <c r="E189" i="61" s="1"/>
  <c r="D189" i="61" a="1"/>
  <c r="D189" i="61" s="1"/>
  <c r="H188" i="61" a="1"/>
  <c r="H188" i="61" s="1"/>
  <c r="G188" i="61" a="1"/>
  <c r="G188" i="61" s="1"/>
  <c r="F188" i="61" a="1"/>
  <c r="F188" i="61" s="1"/>
  <c r="E188" i="61" a="1"/>
  <c r="E188" i="61" s="1"/>
  <c r="D188" i="61" a="1"/>
  <c r="D188" i="61" s="1"/>
  <c r="H187" i="61" a="1"/>
  <c r="H187" i="61" s="1"/>
  <c r="G187" i="61" a="1"/>
  <c r="G187" i="61" s="1"/>
  <c r="F187" i="61" a="1"/>
  <c r="F187" i="61" s="1"/>
  <c r="E187" i="61" a="1"/>
  <c r="E187" i="61" s="1"/>
  <c r="D187" i="61" a="1"/>
  <c r="D187" i="61" s="1"/>
  <c r="D181" i="61" a="1"/>
  <c r="D181" i="61" s="1"/>
  <c r="D180" i="61" a="1"/>
  <c r="D180" i="61" s="1"/>
  <c r="D179" i="61" a="1"/>
  <c r="D179" i="61" s="1"/>
  <c r="D178" i="61" a="1"/>
  <c r="D178" i="61" s="1"/>
  <c r="E175" i="61" a="1"/>
  <c r="E175" i="61" s="1"/>
  <c r="D175" i="61" a="1"/>
  <c r="D175" i="61" s="1"/>
  <c r="D174" i="61" a="1"/>
  <c r="D174" i="61" s="1"/>
  <c r="D173" i="61" a="1"/>
  <c r="D173" i="61" s="1"/>
  <c r="D170" i="61" a="1"/>
  <c r="D170" i="61" s="1"/>
  <c r="D169" i="61" a="1"/>
  <c r="D169" i="61" s="1"/>
  <c r="D168" i="61" a="1"/>
  <c r="D168" i="61" s="1"/>
  <c r="D167" i="61" a="1"/>
  <c r="D167" i="61" s="1"/>
  <c r="D164" i="61" a="1"/>
  <c r="D164" i="61" s="1"/>
  <c r="D163" i="61" a="1"/>
  <c r="D163" i="61" s="1"/>
  <c r="D162" i="61" a="1"/>
  <c r="D162" i="61" s="1"/>
  <c r="D161" i="61" a="1"/>
  <c r="D161" i="61" s="1"/>
  <c r="E158" i="61" a="1"/>
  <c r="E158" i="61" s="1"/>
  <c r="D158" i="61" a="1"/>
  <c r="D158" i="61" s="1"/>
  <c r="E157" i="61" a="1"/>
  <c r="E157" i="61" s="1"/>
  <c r="D157" i="61" a="1"/>
  <c r="D157" i="61" s="1"/>
  <c r="E156" i="61" a="1"/>
  <c r="E156" i="61" s="1"/>
  <c r="D156" i="61" a="1"/>
  <c r="D156" i="61" s="1"/>
  <c r="E155" i="61" a="1"/>
  <c r="E155" i="61" s="1"/>
  <c r="D155" i="61" a="1"/>
  <c r="D155" i="61" s="1"/>
  <c r="E154" i="61" a="1"/>
  <c r="E154" i="61" s="1"/>
  <c r="D154" i="61" a="1"/>
  <c r="D154" i="61" s="1"/>
  <c r="D151" i="61" a="1"/>
  <c r="D151" i="61" s="1"/>
  <c r="D150" i="61" a="1"/>
  <c r="D150" i="61" s="1"/>
  <c r="E147" i="61" a="1"/>
  <c r="E147" i="61" s="1"/>
  <c r="D147" i="61" a="1"/>
  <c r="D147" i="61" s="1"/>
  <c r="E146" i="61" a="1"/>
  <c r="E146" i="61" s="1"/>
  <c r="D146" i="61" a="1"/>
  <c r="D146" i="61" s="1"/>
  <c r="E145" i="61" a="1"/>
  <c r="E145" i="61" s="1"/>
  <c r="D145" i="61" a="1"/>
  <c r="D145" i="61" s="1"/>
  <c r="E144" i="61" a="1"/>
  <c r="E144" i="61" s="1"/>
  <c r="D144" i="61" a="1"/>
  <c r="D144" i="61" s="1"/>
  <c r="E143" i="61" a="1"/>
  <c r="E143" i="61" s="1"/>
  <c r="D143" i="61" a="1"/>
  <c r="D143" i="61" s="1"/>
  <c r="D141" i="61" a="1"/>
  <c r="D141" i="61" s="1"/>
  <c r="D140" i="61" a="1"/>
  <c r="D140" i="61" s="1"/>
  <c r="D139" i="61" a="1"/>
  <c r="D139" i="61" s="1"/>
  <c r="E136" i="61" a="1"/>
  <c r="E136" i="61" s="1"/>
  <c r="D136" i="61" a="1"/>
  <c r="D136" i="61" s="1"/>
  <c r="E135" i="61" a="1"/>
  <c r="E135" i="61" s="1"/>
  <c r="D135" i="61" a="1"/>
  <c r="D135" i="61" s="1"/>
  <c r="D133" i="61" a="1"/>
  <c r="D133" i="61" s="1"/>
  <c r="D132" i="61" a="1"/>
  <c r="D132" i="61" s="1"/>
  <c r="E129" i="61" a="1"/>
  <c r="E129" i="61" s="1"/>
  <c r="D129" i="61" a="1"/>
  <c r="D129" i="61" s="1"/>
  <c r="E128" i="61" a="1"/>
  <c r="E128" i="61" s="1"/>
  <c r="D128" i="61" a="1"/>
  <c r="D128" i="61" s="1"/>
  <c r="D125" i="61" a="1"/>
  <c r="D125" i="61" s="1"/>
  <c r="D124" i="61" a="1"/>
  <c r="D124" i="61" s="1"/>
  <c r="G121" i="61" a="1"/>
  <c r="G121" i="61" s="1"/>
  <c r="F121" i="61" a="1"/>
  <c r="F121" i="61" s="1"/>
  <c r="E121" i="61" a="1"/>
  <c r="E121" i="61" s="1"/>
  <c r="D121" i="61" a="1"/>
  <c r="D121" i="61" s="1"/>
  <c r="G120" i="61" a="1"/>
  <c r="G120" i="61" s="1"/>
  <c r="F120" i="61" a="1"/>
  <c r="F120" i="61" s="1"/>
  <c r="E120" i="61" a="1"/>
  <c r="E120" i="61" s="1"/>
  <c r="D120" i="61" a="1"/>
  <c r="D120" i="61" s="1"/>
  <c r="D117" i="61" a="1"/>
  <c r="D117" i="61" s="1"/>
  <c r="D116" i="61" a="1"/>
  <c r="D116" i="61" s="1"/>
  <c r="D115" i="61" a="1"/>
  <c r="D115" i="61" s="1"/>
  <c r="G112" i="61" a="1"/>
  <c r="G112" i="61" s="1"/>
  <c r="F112" i="61" a="1"/>
  <c r="F112" i="61" s="1"/>
  <c r="E112" i="61" a="1"/>
  <c r="E112" i="61" s="1"/>
  <c r="D112" i="61" a="1"/>
  <c r="D112" i="61" s="1"/>
  <c r="G111" i="61" a="1"/>
  <c r="G111" i="61" s="1"/>
  <c r="F111" i="61" a="1"/>
  <c r="F111" i="61" s="1"/>
  <c r="E111" i="61" a="1"/>
  <c r="E111" i="61" s="1"/>
  <c r="D111" i="61" a="1"/>
  <c r="D111" i="61" s="1"/>
  <c r="G110" i="61" a="1"/>
  <c r="G110" i="61" s="1"/>
  <c r="F110" i="61" a="1"/>
  <c r="F110" i="61" s="1"/>
  <c r="E110" i="61" a="1"/>
  <c r="E110" i="61" s="1"/>
  <c r="D110" i="61" a="1"/>
  <c r="D110" i="61" s="1"/>
  <c r="D107" i="61" a="1"/>
  <c r="D107" i="61" s="1"/>
  <c r="D106" i="61" a="1"/>
  <c r="D106" i="61" s="1"/>
  <c r="D105" i="61" a="1"/>
  <c r="D105" i="61" s="1"/>
  <c r="D99" i="61" a="1"/>
  <c r="D99" i="61" s="1"/>
  <c r="S97" i="61" a="1"/>
  <c r="S97" i="61" s="1"/>
  <c r="R97" i="61" a="1"/>
  <c r="R97" i="61" s="1"/>
  <c r="Q97" i="61" a="1"/>
  <c r="Q97" i="61" s="1"/>
  <c r="P97" i="61" a="1"/>
  <c r="P97" i="61" s="1"/>
  <c r="O97" i="61" a="1"/>
  <c r="O97" i="61" s="1"/>
  <c r="N97" i="61" a="1"/>
  <c r="N97" i="61" s="1"/>
  <c r="M97" i="61" a="1"/>
  <c r="M97" i="61" s="1"/>
  <c r="L97" i="61" a="1"/>
  <c r="L97" i="61" s="1"/>
  <c r="K97" i="61" a="1"/>
  <c r="K97" i="61" s="1"/>
  <c r="J97" i="61" a="1"/>
  <c r="J97" i="61" s="1"/>
  <c r="I97" i="61" a="1"/>
  <c r="I97" i="61" s="1"/>
  <c r="H97" i="61" a="1"/>
  <c r="H97" i="61" s="1"/>
  <c r="G97" i="61" a="1"/>
  <c r="G97" i="61" s="1"/>
  <c r="F97" i="61" a="1"/>
  <c r="F97" i="61" s="1"/>
  <c r="E97" i="61" a="1"/>
  <c r="E97" i="61" s="1"/>
  <c r="D97" i="61" a="1"/>
  <c r="D97" i="61" s="1"/>
  <c r="S96" i="61" a="1"/>
  <c r="S96" i="61" s="1"/>
  <c r="R96" i="61" a="1"/>
  <c r="R96" i="61" s="1"/>
  <c r="Q96" i="61" a="1"/>
  <c r="Q96" i="61" s="1"/>
  <c r="P96" i="61" a="1"/>
  <c r="P96" i="61" s="1"/>
  <c r="O96" i="61" a="1"/>
  <c r="O96" i="61" s="1"/>
  <c r="N96" i="61" a="1"/>
  <c r="N96" i="61" s="1"/>
  <c r="M96" i="61" a="1"/>
  <c r="M96" i="61" s="1"/>
  <c r="L96" i="61" a="1"/>
  <c r="L96" i="61" s="1"/>
  <c r="K96" i="61" a="1"/>
  <c r="K96" i="61" s="1"/>
  <c r="J96" i="61" a="1"/>
  <c r="J96" i="61" s="1"/>
  <c r="I96" i="61" a="1"/>
  <c r="I96" i="61" s="1"/>
  <c r="H96" i="61" a="1"/>
  <c r="H96" i="61" s="1"/>
  <c r="G96" i="61" a="1"/>
  <c r="G96" i="61" s="1"/>
  <c r="F96" i="61" a="1"/>
  <c r="F96" i="61" s="1"/>
  <c r="E96" i="61" a="1"/>
  <c r="E96" i="61" s="1"/>
  <c r="D96" i="61" a="1"/>
  <c r="D96" i="61" s="1"/>
  <c r="S95" i="61" a="1"/>
  <c r="S95" i="61" s="1"/>
  <c r="R95" i="61" a="1"/>
  <c r="R95" i="61" s="1"/>
  <c r="Q95" i="61" a="1"/>
  <c r="Q95" i="61" s="1"/>
  <c r="P95" i="61" a="1"/>
  <c r="P95" i="61" s="1"/>
  <c r="O95" i="61" a="1"/>
  <c r="O95" i="61" s="1"/>
  <c r="N95" i="61" a="1"/>
  <c r="N95" i="61" s="1"/>
  <c r="M95" i="61" a="1"/>
  <c r="M95" i="61" s="1"/>
  <c r="L95" i="61" a="1"/>
  <c r="L95" i="61" s="1"/>
  <c r="K95" i="61" a="1"/>
  <c r="K95" i="61" s="1"/>
  <c r="J95" i="61" a="1"/>
  <c r="J95" i="61" s="1"/>
  <c r="I95" i="61" a="1"/>
  <c r="I95" i="61" s="1"/>
  <c r="H95" i="61" a="1"/>
  <c r="H95" i="61" s="1"/>
  <c r="G95" i="61" a="1"/>
  <c r="G95" i="61" s="1"/>
  <c r="F95" i="61" a="1"/>
  <c r="F95" i="61" s="1"/>
  <c r="E95" i="61" a="1"/>
  <c r="E95" i="61" s="1"/>
  <c r="D95" i="61" a="1"/>
  <c r="D95" i="61" s="1"/>
  <c r="S94" i="61" a="1"/>
  <c r="S94" i="61" s="1"/>
  <c r="R94" i="61" a="1"/>
  <c r="R94" i="61" s="1"/>
  <c r="Q94" i="61" a="1"/>
  <c r="Q94" i="61" s="1"/>
  <c r="P94" i="61" a="1"/>
  <c r="P94" i="61" s="1"/>
  <c r="O94" i="61" a="1"/>
  <c r="O94" i="61" s="1"/>
  <c r="N94" i="61" a="1"/>
  <c r="N94" i="61" s="1"/>
  <c r="M94" i="61" a="1"/>
  <c r="M94" i="61" s="1"/>
  <c r="L94" i="61" a="1"/>
  <c r="L94" i="61" s="1"/>
  <c r="K94" i="61" a="1"/>
  <c r="K94" i="61" s="1"/>
  <c r="J94" i="61" a="1"/>
  <c r="J94" i="61" s="1"/>
  <c r="I94" i="61" a="1"/>
  <c r="I94" i="61" s="1"/>
  <c r="H94" i="61" a="1"/>
  <c r="H94" i="61" s="1"/>
  <c r="G94" i="61" a="1"/>
  <c r="G94" i="61" s="1"/>
  <c r="F94" i="61" a="1"/>
  <c r="F94" i="61" s="1"/>
  <c r="E94" i="61" a="1"/>
  <c r="E94" i="61" s="1"/>
  <c r="D94" i="61" a="1"/>
  <c r="D94" i="61" s="1"/>
  <c r="S93" i="61" a="1"/>
  <c r="S93" i="61" s="1"/>
  <c r="R93" i="61" a="1"/>
  <c r="R93" i="61" s="1"/>
  <c r="Q93" i="61" a="1"/>
  <c r="Q93" i="61" s="1"/>
  <c r="P93" i="61" a="1"/>
  <c r="P93" i="61" s="1"/>
  <c r="O93" i="61" a="1"/>
  <c r="O93" i="61" s="1"/>
  <c r="N93" i="61" a="1"/>
  <c r="N93" i="61" s="1"/>
  <c r="M93" i="61" a="1"/>
  <c r="M93" i="61" s="1"/>
  <c r="L93" i="61" a="1"/>
  <c r="L93" i="61" s="1"/>
  <c r="K93" i="61" a="1"/>
  <c r="K93" i="61" s="1"/>
  <c r="J93" i="61" a="1"/>
  <c r="J93" i="61" s="1"/>
  <c r="I93" i="61" a="1"/>
  <c r="I93" i="61" s="1"/>
  <c r="H93" i="61" a="1"/>
  <c r="H93" i="61" s="1"/>
  <c r="G93" i="61" a="1"/>
  <c r="G93" i="61" s="1"/>
  <c r="F93" i="61" a="1"/>
  <c r="F93" i="61" s="1"/>
  <c r="E93" i="61" a="1"/>
  <c r="E93" i="61" s="1"/>
  <c r="D93" i="61" a="1"/>
  <c r="D93" i="61" s="1"/>
  <c r="S92" i="61" a="1"/>
  <c r="S92" i="61" s="1"/>
  <c r="R92" i="61" a="1"/>
  <c r="R92" i="61" s="1"/>
  <c r="Q92" i="61" a="1"/>
  <c r="Q92" i="61" s="1"/>
  <c r="P92" i="61" a="1"/>
  <c r="P92" i="61" s="1"/>
  <c r="O92" i="61" a="1"/>
  <c r="O92" i="61" s="1"/>
  <c r="N92" i="61" a="1"/>
  <c r="N92" i="61" s="1"/>
  <c r="M92" i="61" a="1"/>
  <c r="M92" i="61" s="1"/>
  <c r="L92" i="61" a="1"/>
  <c r="L92" i="61" s="1"/>
  <c r="K92" i="61" a="1"/>
  <c r="K92" i="61" s="1"/>
  <c r="J92" i="61" a="1"/>
  <c r="J92" i="61" s="1"/>
  <c r="I92" i="61" a="1"/>
  <c r="I92" i="61" s="1"/>
  <c r="H92" i="61" a="1"/>
  <c r="H92" i="61" s="1"/>
  <c r="G92" i="61" a="1"/>
  <c r="G92" i="61" s="1"/>
  <c r="F92" i="61" a="1"/>
  <c r="F92" i="61" s="1"/>
  <c r="E92" i="61" a="1"/>
  <c r="E92" i="61" s="1"/>
  <c r="D92" i="61" a="1"/>
  <c r="D92" i="61" s="1"/>
  <c r="S91" i="61" a="1"/>
  <c r="S91" i="61" s="1"/>
  <c r="R91" i="61" a="1"/>
  <c r="R91" i="61" s="1"/>
  <c r="Q91" i="61" a="1"/>
  <c r="Q91" i="61" s="1"/>
  <c r="P91" i="61" a="1"/>
  <c r="P91" i="61" s="1"/>
  <c r="O91" i="61" a="1"/>
  <c r="O91" i="61" s="1"/>
  <c r="N91" i="61" a="1"/>
  <c r="N91" i="61" s="1"/>
  <c r="M91" i="61" a="1"/>
  <c r="M91" i="61" s="1"/>
  <c r="L91" i="61" a="1"/>
  <c r="L91" i="61" s="1"/>
  <c r="K91" i="61" a="1"/>
  <c r="K91" i="61" s="1"/>
  <c r="J91" i="61" a="1"/>
  <c r="J91" i="61" s="1"/>
  <c r="I91" i="61" a="1"/>
  <c r="I91" i="61" s="1"/>
  <c r="H91" i="61" a="1"/>
  <c r="H91" i="61" s="1"/>
  <c r="G91" i="61" a="1"/>
  <c r="G91" i="61" s="1"/>
  <c r="F91" i="61" a="1"/>
  <c r="F91" i="61" s="1"/>
  <c r="E91" i="61" a="1"/>
  <c r="E91" i="61" s="1"/>
  <c r="D91" i="61" a="1"/>
  <c r="D91" i="61" s="1"/>
  <c r="S90" i="61" a="1"/>
  <c r="S90" i="61" s="1"/>
  <c r="R90" i="61" a="1"/>
  <c r="R90" i="61" s="1"/>
  <c r="Q90" i="61" a="1"/>
  <c r="Q90" i="61" s="1"/>
  <c r="P90" i="61" a="1"/>
  <c r="P90" i="61" s="1"/>
  <c r="O90" i="61" a="1"/>
  <c r="O90" i="61" s="1"/>
  <c r="N90" i="61" a="1"/>
  <c r="N90" i="61" s="1"/>
  <c r="M90" i="61" a="1"/>
  <c r="M90" i="61" s="1"/>
  <c r="L90" i="61" a="1"/>
  <c r="L90" i="61" s="1"/>
  <c r="K90" i="61" a="1"/>
  <c r="K90" i="61" s="1"/>
  <c r="J90" i="61" a="1"/>
  <c r="J90" i="61" s="1"/>
  <c r="I90" i="61" a="1"/>
  <c r="I90" i="61" s="1"/>
  <c r="H90" i="61" a="1"/>
  <c r="H90" i="61" s="1"/>
  <c r="G90" i="61" a="1"/>
  <c r="G90" i="61" s="1"/>
  <c r="F90" i="61" a="1"/>
  <c r="F90" i="61" s="1"/>
  <c r="E90" i="61" a="1"/>
  <c r="E90" i="61" s="1"/>
  <c r="D90" i="61" a="1"/>
  <c r="D90" i="61" s="1"/>
  <c r="D83" i="61" a="1"/>
  <c r="D83" i="61" s="1"/>
  <c r="D82" i="61" a="1"/>
  <c r="D82" i="61" s="1"/>
  <c r="D81" i="61" a="1"/>
  <c r="D81" i="61" s="1"/>
  <c r="E77" i="61" a="1"/>
  <c r="E77" i="61" s="1"/>
  <c r="D77" i="61" a="1"/>
  <c r="D77" i="61" s="1"/>
  <c r="E76" i="61" a="1"/>
  <c r="E76" i="61" s="1"/>
  <c r="D76" i="61" a="1"/>
  <c r="D76" i="61" s="1"/>
  <c r="E75" i="61" a="1"/>
  <c r="E75" i="61" s="1"/>
  <c r="D75" i="61" a="1"/>
  <c r="D75" i="61" s="1"/>
  <c r="E74" i="61" a="1"/>
  <c r="E74" i="61" s="1"/>
  <c r="D74" i="61" a="1"/>
  <c r="D74" i="61" s="1"/>
  <c r="E73" i="61" a="1"/>
  <c r="E73" i="61" s="1"/>
  <c r="D73" i="61" a="1"/>
  <c r="D73" i="61" s="1"/>
  <c r="E72" i="61" a="1"/>
  <c r="E72" i="61" s="1"/>
  <c r="D72" i="61" a="1"/>
  <c r="D72" i="61" s="1"/>
  <c r="E71" i="61" a="1"/>
  <c r="E71" i="61" s="1"/>
  <c r="D71" i="61" a="1"/>
  <c r="D71" i="61" s="1"/>
  <c r="E70" i="61" a="1"/>
  <c r="E70" i="61" s="1"/>
  <c r="D70" i="61" a="1"/>
  <c r="D70" i="61" s="1"/>
  <c r="E69" i="61" a="1"/>
  <c r="E69" i="61" s="1"/>
  <c r="D69" i="61" a="1"/>
  <c r="D69" i="61" s="1"/>
  <c r="E68" i="61" a="1"/>
  <c r="E68" i="61" s="1"/>
  <c r="D68" i="61" a="1"/>
  <c r="D68" i="61" s="1"/>
  <c r="E67" i="61" a="1"/>
  <c r="E67" i="61" s="1"/>
  <c r="D67" i="61" a="1"/>
  <c r="D67" i="61" s="1"/>
  <c r="E66" i="61" a="1"/>
  <c r="E66" i="61" s="1"/>
  <c r="D66" i="61" a="1"/>
  <c r="D66" i="61" s="1"/>
  <c r="E65" i="61" a="1"/>
  <c r="E65" i="61" s="1"/>
  <c r="D65" i="61" a="1"/>
  <c r="D65" i="61" s="1"/>
  <c r="E64" i="61" a="1"/>
  <c r="E64" i="61" s="1"/>
  <c r="D64" i="61" a="1"/>
  <c r="D64" i="61" s="1"/>
  <c r="D59" i="61" a="1"/>
  <c r="D59" i="61" s="1"/>
  <c r="D58" i="61" a="1"/>
  <c r="D58" i="61" s="1"/>
  <c r="D57" i="61" a="1"/>
  <c r="D57" i="61" s="1"/>
  <c r="G54" i="61" a="1"/>
  <c r="G54" i="61" s="1"/>
  <c r="F54" i="61" a="1"/>
  <c r="F54" i="61" s="1"/>
  <c r="E54" i="61" a="1"/>
  <c r="E54" i="61" s="1"/>
  <c r="D54" i="61" a="1"/>
  <c r="D54" i="61" s="1"/>
  <c r="G53" i="61" a="1"/>
  <c r="G53" i="61" s="1"/>
  <c r="F53" i="61" a="1"/>
  <c r="F53" i="61" s="1"/>
  <c r="E53" i="61" a="1"/>
  <c r="E53" i="61" s="1"/>
  <c r="D53" i="61" a="1"/>
  <c r="D53" i="61" s="1"/>
  <c r="G52" i="61" a="1"/>
  <c r="G52" i="61" s="1"/>
  <c r="F52" i="61" a="1"/>
  <c r="F52" i="61" s="1"/>
  <c r="E52" i="61" a="1"/>
  <c r="E52" i="61" s="1"/>
  <c r="D52" i="61" a="1"/>
  <c r="D52" i="61" s="1"/>
  <c r="G51" i="61" a="1"/>
  <c r="G51" i="61" s="1"/>
  <c r="F51" i="61" a="1"/>
  <c r="F51" i="61" s="1"/>
  <c r="E51" i="61" a="1"/>
  <c r="E51" i="61" s="1"/>
  <c r="D51" i="61" a="1"/>
  <c r="D51" i="61" s="1"/>
  <c r="G50" i="61" a="1"/>
  <c r="G50" i="61" s="1"/>
  <c r="F50" i="61" a="1"/>
  <c r="F50" i="61" s="1"/>
  <c r="E50" i="61" a="1"/>
  <c r="E50" i="61" s="1"/>
  <c r="D50" i="61" a="1"/>
  <c r="D50" i="61" s="1"/>
  <c r="G49" i="61" a="1"/>
  <c r="G49" i="61" s="1"/>
  <c r="F49" i="61" a="1"/>
  <c r="F49" i="61" s="1"/>
  <c r="E49" i="61" a="1"/>
  <c r="E49" i="61" s="1"/>
  <c r="D49" i="61" a="1"/>
  <c r="D49" i="61" s="1"/>
  <c r="G48" i="61" a="1"/>
  <c r="G48" i="61" s="1"/>
  <c r="F48" i="61" a="1"/>
  <c r="F48" i="61" s="1"/>
  <c r="E48" i="61" a="1"/>
  <c r="E48" i="61" s="1"/>
  <c r="D48" i="61" a="1"/>
  <c r="D48" i="61" s="1"/>
  <c r="D46" i="61" a="1"/>
  <c r="D46" i="61" s="1"/>
  <c r="D45" i="61" a="1"/>
  <c r="D45" i="61" s="1"/>
  <c r="E43" i="61" a="1"/>
  <c r="E43" i="61" s="1"/>
  <c r="D43" i="61" a="1"/>
  <c r="D43" i="61" s="1"/>
  <c r="E42" i="61" a="1"/>
  <c r="E42" i="61" s="1"/>
  <c r="D42" i="61" a="1"/>
  <c r="D42" i="61" s="1"/>
  <c r="E41" i="61" a="1"/>
  <c r="E41" i="61" s="1"/>
  <c r="D41" i="61" a="1"/>
  <c r="D41" i="61" s="1"/>
  <c r="E40" i="61" a="1"/>
  <c r="E40" i="61" s="1"/>
  <c r="D40" i="61" a="1"/>
  <c r="D40" i="61" s="1"/>
  <c r="E39" i="61" a="1"/>
  <c r="E39" i="61" s="1"/>
  <c r="D39" i="61" a="1"/>
  <c r="D39" i="61" s="1"/>
  <c r="E38" i="61" a="1"/>
  <c r="E38" i="61" s="1"/>
  <c r="D38" i="61" a="1"/>
  <c r="D38" i="61" s="1"/>
  <c r="E37" i="61" a="1"/>
  <c r="E37" i="61" s="1"/>
  <c r="D37" i="61" a="1"/>
  <c r="D37" i="61" s="1"/>
  <c r="D35" i="61" a="1"/>
  <c r="D35" i="61" s="1"/>
  <c r="D34" i="61" a="1"/>
  <c r="D34" i="61" s="1"/>
  <c r="D30" i="61" a="1"/>
  <c r="D30" i="61" s="1"/>
  <c r="D29" i="61" a="1"/>
  <c r="D29" i="61" s="1"/>
  <c r="D28" i="61" a="1"/>
  <c r="D28" i="61" s="1"/>
  <c r="D27" i="61" a="1"/>
  <c r="D27" i="61" s="1"/>
  <c r="D26" i="61" a="1"/>
  <c r="D26" i="61" s="1"/>
  <c r="D25" i="61" a="1"/>
  <c r="D25" i="61" s="1"/>
  <c r="D24" i="61" a="1"/>
  <c r="D24" i="61" s="1"/>
  <c r="D23" i="61" a="1"/>
  <c r="D23" i="61" s="1"/>
  <c r="D22" i="61" a="1"/>
  <c r="D22" i="61" s="1"/>
  <c r="D21" i="61" a="1"/>
  <c r="D21" i="61" s="1"/>
  <c r="D19" i="61" a="1"/>
  <c r="D19" i="61" s="1"/>
  <c r="D18" i="61" a="1"/>
  <c r="D18" i="61" s="1"/>
  <c r="F14" i="61" a="1"/>
  <c r="F14" i="61" s="1"/>
  <c r="E14" i="61" a="1"/>
  <c r="E14" i="61" s="1"/>
  <c r="D14" i="61" a="1"/>
  <c r="D14" i="61" s="1"/>
  <c r="F13" i="61" a="1"/>
  <c r="F13" i="61" s="1"/>
  <c r="E13" i="61" a="1"/>
  <c r="E13" i="61" s="1"/>
  <c r="D13" i="61" a="1"/>
  <c r="D13" i="61" s="1"/>
  <c r="F12" i="61" a="1"/>
  <c r="F12" i="61" s="1"/>
  <c r="E12" i="61" a="1"/>
  <c r="E12" i="61" s="1"/>
  <c r="D12" i="61" a="1"/>
  <c r="D12" i="61" s="1"/>
  <c r="F11" i="61" a="1"/>
  <c r="F11" i="61" s="1"/>
  <c r="E11" i="61" a="1"/>
  <c r="E11" i="61" s="1"/>
  <c r="D11" i="61" a="1"/>
  <c r="D11" i="61" s="1"/>
  <c r="F10" i="61" a="1"/>
  <c r="F10" i="61" s="1"/>
  <c r="E10" i="61" a="1"/>
  <c r="E10" i="61" s="1"/>
  <c r="D10" i="61" a="1"/>
  <c r="D10" i="61" s="1"/>
  <c r="F9" i="61" a="1"/>
  <c r="F9" i="61" s="1"/>
  <c r="E9" i="61" a="1"/>
  <c r="E9" i="61" s="1"/>
  <c r="D9" i="61" a="1"/>
  <c r="D9" i="61" s="1"/>
  <c r="F8" i="61" a="1"/>
  <c r="F8" i="61" s="1"/>
  <c r="E8" i="61" a="1"/>
  <c r="E8" i="61" s="1"/>
  <c r="D8" i="61" a="1"/>
  <c r="D8" i="61" s="1"/>
  <c r="A8" i="61"/>
  <c r="F7" i="61" a="1"/>
  <c r="F7" i="61" s="1"/>
  <c r="E7" i="61" a="1"/>
  <c r="E7" i="61" s="1"/>
  <c r="D7" i="61" a="1"/>
  <c r="D7" i="61" s="1"/>
  <c r="A7" i="61"/>
  <c r="D5" i="61" a="1"/>
  <c r="D5" i="61" s="1"/>
  <c r="A3" i="61"/>
  <c r="H17" i="59"/>
  <c r="H16" i="59"/>
  <c r="H15" i="59"/>
  <c r="H14" i="59"/>
  <c r="H13" i="59"/>
  <c r="H12" i="59"/>
  <c r="H11" i="59"/>
  <c r="H10" i="59"/>
  <c r="H9" i="59"/>
  <c r="H8" i="59"/>
  <c r="H19" i="58"/>
  <c r="R19" i="58" s="1"/>
  <c r="H18" i="58"/>
  <c r="R18" i="58" s="1"/>
  <c r="H17" i="58"/>
  <c r="R17" i="58" s="1"/>
  <c r="H16" i="58"/>
  <c r="L16" i="58" s="1"/>
  <c r="H15" i="58"/>
  <c r="R15" i="58" s="1"/>
  <c r="H14" i="58"/>
  <c r="R14" i="58" s="1"/>
  <c r="H13" i="58"/>
  <c r="R13" i="58" s="1"/>
  <c r="H12" i="58"/>
  <c r="R12" i="58" s="1"/>
  <c r="H11" i="58"/>
  <c r="R11" i="58" s="1"/>
  <c r="H10" i="58"/>
  <c r="R10" i="58" s="1"/>
  <c r="Q8" i="58" a="1"/>
  <c r="Q8" i="58" s="1"/>
  <c r="N8" i="58" a="1"/>
  <c r="N8" i="58" s="1"/>
  <c r="K8" i="58" a="1"/>
  <c r="K8" i="58" s="1"/>
  <c r="O237" i="19" a="1"/>
  <c r="O237" i="19" s="1"/>
  <c r="P18" i="32"/>
  <c r="P17" i="32"/>
  <c r="F35" i="7"/>
  <c r="F34" i="7"/>
  <c r="F25" i="7"/>
  <c r="F24" i="7"/>
  <c r="H20" i="7"/>
  <c r="H19" i="7"/>
  <c r="H18" i="7"/>
  <c r="E29" i="10"/>
  <c r="E13" i="10"/>
  <c r="A15" i="48"/>
  <c r="A14" i="48"/>
  <c r="A13" i="48"/>
  <c r="A12" i="48"/>
  <c r="H16" i="52" a="1"/>
  <c r="H16" i="52" s="1"/>
  <c r="H15" i="52" a="1"/>
  <c r="H15" i="52" s="1"/>
  <c r="H14" i="52" a="1"/>
  <c r="H14" i="52" s="1"/>
  <c r="H13" i="52" a="1"/>
  <c r="H13" i="52" s="1"/>
  <c r="H12" i="52" a="1"/>
  <c r="H12" i="52" s="1"/>
  <c r="H11" i="52" a="1"/>
  <c r="H11" i="52" s="1"/>
  <c r="H10" i="52" a="1"/>
  <c r="H10" i="52" s="1"/>
  <c r="A38" i="8"/>
  <c r="A37" i="8"/>
  <c r="A36" i="8"/>
  <c r="A35" i="8"/>
  <c r="A34" i="8"/>
  <c r="A33" i="8"/>
  <c r="A32" i="8"/>
  <c r="A31" i="8"/>
  <c r="A30" i="8"/>
  <c r="A29" i="8"/>
  <c r="A28" i="8"/>
  <c r="A24" i="8"/>
  <c r="A23" i="8"/>
  <c r="A22" i="8"/>
  <c r="A21" i="8"/>
  <c r="A20" i="8"/>
  <c r="A16" i="8"/>
  <c r="A15" i="8"/>
  <c r="A14" i="8"/>
  <c r="A13" i="8"/>
  <c r="A12" i="8"/>
  <c r="A11" i="8"/>
  <c r="A10" i="8"/>
  <c r="A9" i="8"/>
  <c r="A8" i="8"/>
  <c r="A4" i="8"/>
  <c r="A3" i="8"/>
  <c r="A38" i="6"/>
  <c r="A37" i="6"/>
  <c r="A36" i="6"/>
  <c r="A35" i="6"/>
  <c r="A34" i="6"/>
  <c r="A33" i="6"/>
  <c r="A32" i="6"/>
  <c r="A31" i="6"/>
  <c r="A30" i="6"/>
  <c r="A29" i="6"/>
  <c r="A28" i="6"/>
  <c r="A24" i="6"/>
  <c r="A23" i="6"/>
  <c r="A22" i="6"/>
  <c r="A21" i="6"/>
  <c r="A20" i="6"/>
  <c r="A16" i="6"/>
  <c r="A15" i="6"/>
  <c r="A14" i="6"/>
  <c r="A13" i="6"/>
  <c r="A12" i="6"/>
  <c r="A11" i="6"/>
  <c r="A10" i="6"/>
  <c r="A9" i="6"/>
  <c r="A8" i="6"/>
  <c r="A4" i="6"/>
  <c r="A3" i="6"/>
  <c r="A38" i="18"/>
  <c r="A37" i="18"/>
  <c r="A36" i="18"/>
  <c r="A35" i="18"/>
  <c r="A34" i="18"/>
  <c r="A33" i="18"/>
  <c r="A32" i="18"/>
  <c r="A31" i="18"/>
  <c r="A30" i="18"/>
  <c r="A29" i="18"/>
  <c r="A28" i="18"/>
  <c r="A24" i="18"/>
  <c r="A23" i="18"/>
  <c r="A22" i="18"/>
  <c r="A21" i="18"/>
  <c r="A20" i="18"/>
  <c r="A16" i="18"/>
  <c r="A15" i="18"/>
  <c r="A14" i="18"/>
  <c r="A13" i="18"/>
  <c r="A12" i="18"/>
  <c r="A11" i="18"/>
  <c r="A10" i="18"/>
  <c r="A9" i="18"/>
  <c r="A8" i="18"/>
  <c r="A4" i="18"/>
  <c r="A3" i="18"/>
  <c r="A38" i="22"/>
  <c r="A37" i="22"/>
  <c r="A36" i="22"/>
  <c r="A35" i="22"/>
  <c r="A34" i="22"/>
  <c r="A33" i="22"/>
  <c r="A32" i="22"/>
  <c r="A31" i="22"/>
  <c r="A30" i="22"/>
  <c r="A29" i="22"/>
  <c r="A28" i="22"/>
  <c r="A24" i="22"/>
  <c r="A23" i="22"/>
  <c r="A22" i="22"/>
  <c r="A21" i="22"/>
  <c r="A20" i="22"/>
  <c r="A16" i="22"/>
  <c r="A15" i="22"/>
  <c r="A14" i="22"/>
  <c r="A13" i="22"/>
  <c r="A12" i="22"/>
  <c r="A11" i="22"/>
  <c r="A10" i="22"/>
  <c r="A9" i="22"/>
  <c r="A8" i="22"/>
  <c r="A4" i="22"/>
  <c r="A3" i="22"/>
  <c r="A38" i="23"/>
  <c r="A37" i="23"/>
  <c r="A36" i="23"/>
  <c r="A35" i="23"/>
  <c r="A34" i="23"/>
  <c r="A33" i="23"/>
  <c r="A32" i="23"/>
  <c r="A31" i="23"/>
  <c r="A30" i="23"/>
  <c r="A29" i="23"/>
  <c r="A28" i="23"/>
  <c r="A24" i="23"/>
  <c r="A23" i="23"/>
  <c r="A22" i="23"/>
  <c r="A21" i="23"/>
  <c r="A20" i="23"/>
  <c r="A16" i="23"/>
  <c r="A15" i="23"/>
  <c r="A14" i="23"/>
  <c r="A13" i="23"/>
  <c r="A12" i="23"/>
  <c r="A11" i="23"/>
  <c r="A10" i="23"/>
  <c r="A9" i="23"/>
  <c r="A8" i="23"/>
  <c r="A4" i="23"/>
  <c r="A3" i="23"/>
  <c r="A38" i="25"/>
  <c r="A37" i="25"/>
  <c r="A36" i="25"/>
  <c r="A35" i="25"/>
  <c r="A34" i="25"/>
  <c r="A33" i="25"/>
  <c r="A32" i="25"/>
  <c r="A31" i="25"/>
  <c r="A30" i="25"/>
  <c r="A29" i="25"/>
  <c r="A28" i="25"/>
  <c r="A24" i="25"/>
  <c r="A23" i="25"/>
  <c r="A22" i="25"/>
  <c r="A21" i="25"/>
  <c r="A20" i="25"/>
  <c r="A16" i="25"/>
  <c r="A15" i="25"/>
  <c r="A14" i="25"/>
  <c r="A13" i="25"/>
  <c r="A12" i="25"/>
  <c r="A11" i="25"/>
  <c r="A10" i="25"/>
  <c r="A9" i="25"/>
  <c r="A8" i="25"/>
  <c r="A4" i="25"/>
  <c r="A3" i="25"/>
  <c r="A38" i="26"/>
  <c r="A37" i="26"/>
  <c r="A36" i="26"/>
  <c r="A35" i="26"/>
  <c r="A34" i="26"/>
  <c r="A33" i="26"/>
  <c r="A32" i="26"/>
  <c r="A31" i="26"/>
  <c r="A30" i="26"/>
  <c r="A29" i="26"/>
  <c r="A28" i="26"/>
  <c r="A24" i="26"/>
  <c r="A23" i="26"/>
  <c r="A22" i="26"/>
  <c r="A21" i="26"/>
  <c r="A20" i="26"/>
  <c r="A16" i="26"/>
  <c r="A15" i="26"/>
  <c r="A14" i="26"/>
  <c r="A13" i="26"/>
  <c r="A12" i="26"/>
  <c r="A11" i="26"/>
  <c r="A10" i="26"/>
  <c r="A9" i="26"/>
  <c r="A8" i="26"/>
  <c r="A4" i="26"/>
  <c r="A3" i="26"/>
  <c r="A38" i="29"/>
  <c r="A37" i="29"/>
  <c r="A36" i="29"/>
  <c r="A35" i="29"/>
  <c r="A34" i="29"/>
  <c r="A33" i="29"/>
  <c r="A32" i="29"/>
  <c r="A31" i="29"/>
  <c r="A30" i="29"/>
  <c r="A29" i="29"/>
  <c r="A28" i="29"/>
  <c r="A24" i="29"/>
  <c r="A23" i="29"/>
  <c r="A22" i="29"/>
  <c r="A21" i="29"/>
  <c r="A20" i="29"/>
  <c r="A16" i="29"/>
  <c r="A15" i="29"/>
  <c r="A14" i="29"/>
  <c r="A13" i="29"/>
  <c r="A12" i="29"/>
  <c r="A11" i="29"/>
  <c r="A10" i="29"/>
  <c r="A9" i="29"/>
  <c r="A8" i="29"/>
  <c r="A4" i="29"/>
  <c r="A3" i="29"/>
  <c r="A38" i="36"/>
  <c r="A37" i="36"/>
  <c r="A36" i="36"/>
  <c r="A35" i="36"/>
  <c r="A34" i="36"/>
  <c r="A33" i="36"/>
  <c r="A32" i="36"/>
  <c r="A31" i="36"/>
  <c r="A30" i="36"/>
  <c r="A29" i="36"/>
  <c r="A28" i="36"/>
  <c r="A24" i="36"/>
  <c r="A23" i="36"/>
  <c r="A22" i="36"/>
  <c r="A21" i="36"/>
  <c r="A20" i="36"/>
  <c r="A16" i="36"/>
  <c r="A15" i="36"/>
  <c r="A14" i="36"/>
  <c r="A13" i="36"/>
  <c r="A12" i="36"/>
  <c r="A11" i="36"/>
  <c r="A10" i="36"/>
  <c r="A9" i="36"/>
  <c r="A8" i="36"/>
  <c r="A4" i="36"/>
  <c r="A3" i="36"/>
  <c r="A38" i="20"/>
  <c r="A37" i="20"/>
  <c r="A36" i="20"/>
  <c r="A35" i="20"/>
  <c r="A34" i="20"/>
  <c r="A33" i="20"/>
  <c r="A32" i="20"/>
  <c r="A31" i="20"/>
  <c r="A30" i="20"/>
  <c r="A29" i="20"/>
  <c r="A28" i="20"/>
  <c r="A24" i="20"/>
  <c r="A23" i="20"/>
  <c r="A22" i="20"/>
  <c r="A21" i="20"/>
  <c r="A20" i="20"/>
  <c r="A16" i="20"/>
  <c r="A15" i="20"/>
  <c r="A14" i="20"/>
  <c r="A13" i="20"/>
  <c r="A12" i="20"/>
  <c r="A11" i="20"/>
  <c r="A10" i="20"/>
  <c r="A9" i="20"/>
  <c r="A8" i="20"/>
  <c r="A4" i="20"/>
  <c r="A3" i="20"/>
  <c r="A38" i="32"/>
  <c r="A37" i="32"/>
  <c r="A36" i="32"/>
  <c r="A35" i="32"/>
  <c r="A34" i="32"/>
  <c r="A33" i="32"/>
  <c r="A32" i="32"/>
  <c r="A31" i="32"/>
  <c r="A30" i="32"/>
  <c r="A29" i="32"/>
  <c r="A28" i="32"/>
  <c r="A24" i="32"/>
  <c r="A23" i="32"/>
  <c r="A22" i="32"/>
  <c r="A21" i="32"/>
  <c r="A20" i="32"/>
  <c r="A16" i="32"/>
  <c r="A15" i="32"/>
  <c r="A14" i="32"/>
  <c r="A13" i="32"/>
  <c r="A12" i="32"/>
  <c r="A11" i="32"/>
  <c r="A10" i="32"/>
  <c r="A9" i="32"/>
  <c r="A8" i="32"/>
  <c r="A4" i="32"/>
  <c r="A3" i="32"/>
  <c r="A38" i="31"/>
  <c r="A37" i="31"/>
  <c r="A36" i="31"/>
  <c r="A35" i="31"/>
  <c r="A34" i="31"/>
  <c r="A33" i="31"/>
  <c r="A32" i="31"/>
  <c r="A31" i="31"/>
  <c r="A30" i="31"/>
  <c r="A29" i="31"/>
  <c r="A28" i="31"/>
  <c r="A24" i="31"/>
  <c r="A23" i="31"/>
  <c r="A22" i="31"/>
  <c r="A21" i="31"/>
  <c r="A20" i="31"/>
  <c r="A16" i="31"/>
  <c r="A15" i="31"/>
  <c r="A14" i="31"/>
  <c r="A13" i="31"/>
  <c r="A12" i="31"/>
  <c r="A11" i="31"/>
  <c r="A10" i="31"/>
  <c r="A9" i="31"/>
  <c r="A8" i="31"/>
  <c r="A4" i="31"/>
  <c r="A3" i="31"/>
  <c r="A38" i="34"/>
  <c r="A37" i="34"/>
  <c r="A36" i="34"/>
  <c r="A35" i="34"/>
  <c r="A34" i="34"/>
  <c r="A33" i="34"/>
  <c r="A32" i="34"/>
  <c r="A31" i="34"/>
  <c r="A30" i="34"/>
  <c r="A29" i="34"/>
  <c r="A28" i="34"/>
  <c r="A24" i="34"/>
  <c r="A23" i="34"/>
  <c r="A22" i="34"/>
  <c r="A21" i="34"/>
  <c r="A20" i="34"/>
  <c r="A16" i="34"/>
  <c r="A15" i="34"/>
  <c r="A14" i="34"/>
  <c r="A13" i="34"/>
  <c r="A12" i="34"/>
  <c r="A11" i="34"/>
  <c r="A10" i="34"/>
  <c r="A9" i="34"/>
  <c r="A8" i="34"/>
  <c r="A4" i="34"/>
  <c r="A3" i="34"/>
  <c r="A38" i="38"/>
  <c r="A37" i="38"/>
  <c r="A36" i="38"/>
  <c r="A35" i="38"/>
  <c r="A34" i="38"/>
  <c r="A33" i="38"/>
  <c r="A32" i="38"/>
  <c r="A31" i="38"/>
  <c r="A30" i="38"/>
  <c r="A29" i="38"/>
  <c r="A28" i="38"/>
  <c r="A24" i="38"/>
  <c r="A23" i="38"/>
  <c r="A22" i="38"/>
  <c r="A21" i="38"/>
  <c r="A20" i="38"/>
  <c r="A16" i="38"/>
  <c r="A15" i="38"/>
  <c r="A14" i="38"/>
  <c r="A13" i="38"/>
  <c r="A12" i="38"/>
  <c r="A11" i="38"/>
  <c r="A10" i="38"/>
  <c r="A9" i="38"/>
  <c r="A8" i="38"/>
  <c r="A4" i="38"/>
  <c r="A3" i="38"/>
  <c r="A38" i="19"/>
  <c r="A37" i="19"/>
  <c r="A36" i="19"/>
  <c r="A35" i="19"/>
  <c r="A34" i="19"/>
  <c r="A33" i="19"/>
  <c r="A32" i="19"/>
  <c r="A31" i="19"/>
  <c r="A30" i="19"/>
  <c r="A29" i="19"/>
  <c r="A28" i="19"/>
  <c r="A24" i="19"/>
  <c r="A23" i="19"/>
  <c r="A22" i="19"/>
  <c r="A21" i="19"/>
  <c r="A20" i="19"/>
  <c r="A16" i="19"/>
  <c r="A15" i="19"/>
  <c r="A14" i="19"/>
  <c r="A13" i="19"/>
  <c r="A12" i="19"/>
  <c r="A11" i="19"/>
  <c r="A10" i="19"/>
  <c r="A9" i="19"/>
  <c r="A8" i="19"/>
  <c r="A4" i="19"/>
  <c r="A3" i="19"/>
  <c r="A38" i="9"/>
  <c r="A37" i="9"/>
  <c r="A36" i="9"/>
  <c r="A35" i="9"/>
  <c r="A34" i="9"/>
  <c r="A33" i="9"/>
  <c r="A32" i="9"/>
  <c r="A31" i="9"/>
  <c r="A30" i="9"/>
  <c r="A29" i="9"/>
  <c r="A28" i="9"/>
  <c r="A24" i="9"/>
  <c r="A23" i="9"/>
  <c r="A22" i="9"/>
  <c r="A21" i="9"/>
  <c r="A20" i="9"/>
  <c r="A16" i="9"/>
  <c r="A15" i="9"/>
  <c r="A14" i="9"/>
  <c r="A13" i="9"/>
  <c r="A12" i="9"/>
  <c r="A11" i="9"/>
  <c r="A10" i="9"/>
  <c r="A9" i="9"/>
  <c r="A8" i="9"/>
  <c r="A4" i="9"/>
  <c r="A3" i="9"/>
  <c r="A38" i="50"/>
  <c r="A37" i="50"/>
  <c r="A36" i="50"/>
  <c r="A35" i="50"/>
  <c r="A34" i="50"/>
  <c r="A33" i="50"/>
  <c r="A32" i="50"/>
  <c r="A31" i="50"/>
  <c r="A30" i="50"/>
  <c r="A29" i="50"/>
  <c r="A28" i="50"/>
  <c r="A24" i="50"/>
  <c r="A23" i="50"/>
  <c r="A22" i="50"/>
  <c r="A21" i="50"/>
  <c r="A20" i="50"/>
  <c r="A16" i="50"/>
  <c r="A15" i="50"/>
  <c r="A14" i="50"/>
  <c r="A13" i="50"/>
  <c r="A12" i="50"/>
  <c r="A11" i="50"/>
  <c r="A10" i="50"/>
  <c r="A9" i="50"/>
  <c r="A8" i="50"/>
  <c r="A4" i="50"/>
  <c r="A3" i="50"/>
  <c r="A38" i="33"/>
  <c r="A37" i="33"/>
  <c r="A36" i="33"/>
  <c r="A35" i="33"/>
  <c r="A34" i="33"/>
  <c r="A33" i="33"/>
  <c r="A32" i="33"/>
  <c r="A31" i="33"/>
  <c r="A30" i="33"/>
  <c r="A29" i="33"/>
  <c r="A28" i="33"/>
  <c r="A24" i="33"/>
  <c r="A23" i="33"/>
  <c r="A22" i="33"/>
  <c r="A21" i="33"/>
  <c r="A20" i="33"/>
  <c r="A16" i="33"/>
  <c r="A15" i="33"/>
  <c r="A14" i="33"/>
  <c r="A13" i="33"/>
  <c r="A12" i="33"/>
  <c r="A11" i="33"/>
  <c r="A10" i="33"/>
  <c r="A9" i="33"/>
  <c r="A8" i="33"/>
  <c r="A4" i="33"/>
  <c r="A3" i="33"/>
  <c r="A38" i="39"/>
  <c r="A37" i="39"/>
  <c r="A36" i="39"/>
  <c r="A35" i="39"/>
  <c r="A34" i="39"/>
  <c r="A33" i="39"/>
  <c r="A32" i="39"/>
  <c r="A31" i="39"/>
  <c r="A30" i="39"/>
  <c r="A29" i="39"/>
  <c r="A28" i="39"/>
  <c r="A24" i="39"/>
  <c r="A23" i="39"/>
  <c r="A22" i="39"/>
  <c r="A21" i="39"/>
  <c r="A20" i="39"/>
  <c r="A16" i="39"/>
  <c r="A15" i="39"/>
  <c r="A14" i="39"/>
  <c r="A13" i="39"/>
  <c r="A12" i="39"/>
  <c r="A11" i="39"/>
  <c r="A10" i="39"/>
  <c r="A9" i="39"/>
  <c r="A8" i="39"/>
  <c r="A4" i="39"/>
  <c r="A3" i="39"/>
  <c r="A41" i="48"/>
  <c r="A40" i="48"/>
  <c r="A39" i="48"/>
  <c r="A38" i="48"/>
  <c r="A37" i="48"/>
  <c r="A36" i="48"/>
  <c r="A35" i="48"/>
  <c r="A34" i="48"/>
  <c r="A33" i="48"/>
  <c r="A32" i="48"/>
  <c r="A31" i="48"/>
  <c r="A27" i="48"/>
  <c r="A26" i="48"/>
  <c r="A25" i="48"/>
  <c r="A24" i="48"/>
  <c r="A23" i="48"/>
  <c r="A19" i="48"/>
  <c r="A18" i="48"/>
  <c r="A17" i="48"/>
  <c r="A16" i="48"/>
  <c r="A11" i="48"/>
  <c r="A10" i="48"/>
  <c r="A9" i="48"/>
  <c r="A8" i="48"/>
  <c r="A4" i="48"/>
  <c r="A3" i="48"/>
  <c r="A38" i="13"/>
  <c r="A37" i="13"/>
  <c r="A36" i="13"/>
  <c r="A35" i="13"/>
  <c r="A34" i="13"/>
  <c r="A33" i="13"/>
  <c r="A32" i="13"/>
  <c r="A31" i="13"/>
  <c r="A30" i="13"/>
  <c r="A29" i="13"/>
  <c r="A28" i="13"/>
  <c r="A24" i="13"/>
  <c r="A23" i="13"/>
  <c r="A22" i="13"/>
  <c r="A21" i="13"/>
  <c r="A20" i="13"/>
  <c r="A16" i="13"/>
  <c r="A15" i="13"/>
  <c r="A14" i="13"/>
  <c r="A13" i="13"/>
  <c r="A12" i="13"/>
  <c r="A11" i="13"/>
  <c r="A10" i="13"/>
  <c r="A9" i="13"/>
  <c r="A8" i="13"/>
  <c r="A4" i="13"/>
  <c r="A3" i="13"/>
  <c r="A38" i="7"/>
  <c r="A37" i="7"/>
  <c r="A36" i="7"/>
  <c r="A35" i="7"/>
  <c r="A34" i="7"/>
  <c r="A33" i="7"/>
  <c r="A32" i="7"/>
  <c r="A31" i="7"/>
  <c r="A30" i="7"/>
  <c r="A29" i="7"/>
  <c r="A28" i="7"/>
  <c r="A24" i="7"/>
  <c r="A23" i="7"/>
  <c r="A22" i="7"/>
  <c r="A21" i="7"/>
  <c r="A20" i="7"/>
  <c r="A16" i="7"/>
  <c r="A15" i="7"/>
  <c r="A14" i="7"/>
  <c r="A13" i="7"/>
  <c r="A12" i="7"/>
  <c r="A11" i="7"/>
  <c r="A10" i="7"/>
  <c r="A9" i="7"/>
  <c r="A8" i="7"/>
  <c r="A4" i="7"/>
  <c r="A3" i="7"/>
  <c r="A38" i="30"/>
  <c r="A37" i="30"/>
  <c r="A36" i="30"/>
  <c r="A35" i="30"/>
  <c r="A34" i="30"/>
  <c r="A33" i="30"/>
  <c r="A32" i="30"/>
  <c r="A31" i="30"/>
  <c r="A30" i="30"/>
  <c r="A29" i="30"/>
  <c r="A28" i="30"/>
  <c r="A24" i="30"/>
  <c r="A23" i="30"/>
  <c r="A22" i="30"/>
  <c r="A21" i="30"/>
  <c r="A20" i="30"/>
  <c r="A16" i="30"/>
  <c r="A15" i="30"/>
  <c r="A14" i="30"/>
  <c r="A13" i="30"/>
  <c r="A12" i="30"/>
  <c r="A11" i="30"/>
  <c r="A10" i="30"/>
  <c r="A9" i="30"/>
  <c r="A8" i="30"/>
  <c r="A4" i="30"/>
  <c r="A3" i="30"/>
  <c r="A38" i="10"/>
  <c r="A37" i="10"/>
  <c r="A36" i="10"/>
  <c r="A35" i="10"/>
  <c r="A34" i="10"/>
  <c r="A33" i="10"/>
  <c r="A32" i="10"/>
  <c r="A31" i="10"/>
  <c r="A30" i="10"/>
  <c r="A29" i="10"/>
  <c r="A28" i="10"/>
  <c r="A24" i="10"/>
  <c r="A23" i="10"/>
  <c r="A22" i="10"/>
  <c r="A21" i="10"/>
  <c r="A20" i="10"/>
  <c r="A16" i="10"/>
  <c r="A15" i="10"/>
  <c r="A14" i="10"/>
  <c r="A13" i="10"/>
  <c r="A12" i="10"/>
  <c r="A11" i="10"/>
  <c r="A10" i="10"/>
  <c r="A9" i="10"/>
  <c r="A8" i="10"/>
  <c r="A4" i="10"/>
  <c r="A3" i="10"/>
  <c r="A38" i="41"/>
  <c r="A37" i="41"/>
  <c r="A36" i="41"/>
  <c r="A35" i="41"/>
  <c r="A34" i="41"/>
  <c r="A33" i="41"/>
  <c r="A32" i="41"/>
  <c r="A31" i="41"/>
  <c r="A30" i="41"/>
  <c r="A29" i="41"/>
  <c r="A28" i="41"/>
  <c r="A24" i="41"/>
  <c r="A23" i="41"/>
  <c r="A22" i="41"/>
  <c r="A21" i="41"/>
  <c r="A20" i="41"/>
  <c r="A16" i="41"/>
  <c r="A15" i="41"/>
  <c r="A14" i="41"/>
  <c r="A13" i="41"/>
  <c r="A12" i="41"/>
  <c r="A11" i="41"/>
  <c r="A10" i="41"/>
  <c r="A9" i="41"/>
  <c r="A8" i="41"/>
  <c r="A4" i="41"/>
  <c r="A3" i="41"/>
  <c r="A38" i="40"/>
  <c r="A37" i="40"/>
  <c r="A36" i="40"/>
  <c r="A35" i="40"/>
  <c r="A34" i="40"/>
  <c r="A33" i="40"/>
  <c r="A32" i="40"/>
  <c r="A31" i="40"/>
  <c r="A30" i="40"/>
  <c r="A29" i="40"/>
  <c r="A28" i="40"/>
  <c r="A24" i="40"/>
  <c r="A23" i="40"/>
  <c r="A22" i="40"/>
  <c r="A21" i="40"/>
  <c r="A20" i="40"/>
  <c r="A16" i="40"/>
  <c r="A15" i="40"/>
  <c r="A14" i="40"/>
  <c r="A13" i="40"/>
  <c r="A12" i="40"/>
  <c r="A11" i="40"/>
  <c r="A10" i="40"/>
  <c r="A9" i="40"/>
  <c r="A8" i="40"/>
  <c r="A4" i="40"/>
  <c r="A3" i="40"/>
  <c r="E20" i="41"/>
  <c r="E22" i="41"/>
  <c r="E28" i="41"/>
  <c r="E36" i="41"/>
  <c r="E35" i="41"/>
  <c r="N578" i="19" a="1"/>
  <c r="N578" i="19" s="1"/>
  <c r="L575" i="19" a="1"/>
  <c r="L575" i="19" s="1"/>
  <c r="P569" i="19" a="1"/>
  <c r="P569" i="19" s="1"/>
  <c r="L569" i="19" a="1"/>
  <c r="L569" i="19" s="1"/>
  <c r="E508" i="19"/>
  <c r="E79" i="34"/>
  <c r="E523" i="19"/>
  <c r="O7" i="34"/>
  <c r="O42" i="34"/>
  <c r="E7" i="34"/>
  <c r="O79" i="34"/>
  <c r="E540" i="19"/>
  <c r="E42" i="34"/>
  <c r="H51" i="61" l="1"/>
  <c r="H53" i="61"/>
  <c r="H48" i="61"/>
  <c r="H49" i="61"/>
  <c r="H50" i="61"/>
  <c r="H52" i="61"/>
  <c r="H54" i="61"/>
  <c r="O16" i="58"/>
  <c r="L13" i="58"/>
  <c r="R16" i="58"/>
  <c r="O11" i="58"/>
  <c r="O13" i="58"/>
  <c r="L10" i="58"/>
  <c r="L17" i="58"/>
  <c r="O10" i="58"/>
  <c r="O17" i="58"/>
  <c r="L14" i="58"/>
  <c r="O14" i="58"/>
  <c r="L11" i="58"/>
  <c r="L18" i="58"/>
  <c r="O18" i="58"/>
  <c r="L15" i="58"/>
  <c r="O15" i="58"/>
  <c r="L12" i="58"/>
  <c r="L19" i="58"/>
  <c r="O19" i="58"/>
  <c r="O12" i="58"/>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Q32" i="34" a="1"/>
  <c r="Q32" i="34" s="1"/>
  <c r="N32" i="34" a="1"/>
  <c r="N32" i="34" s="1"/>
  <c r="O30" i="34" a="1"/>
  <c r="O30" i="34" s="1"/>
  <c r="P35" i="34" s="1"/>
  <c r="O29" i="34" a="1"/>
  <c r="O29" i="34" s="1"/>
  <c r="N25" i="34" a="1"/>
  <c r="N25" i="34" s="1"/>
  <c r="N24" i="34" a="1"/>
  <c r="N24" i="34" s="1"/>
  <c r="R13" i="34" a="1"/>
  <c r="R13" i="34" s="1"/>
  <c r="N13" i="34" a="1"/>
  <c r="N13" i="34" s="1"/>
  <c r="O11" i="34" a="1"/>
  <c r="O11" i="34" s="1"/>
  <c r="O10" i="34" a="1"/>
  <c r="O10" i="34" s="1"/>
  <c r="N6" i="34" a="1"/>
  <c r="N6" i="34" s="1"/>
  <c r="N5" i="34" a="1"/>
  <c r="N5" i="34" s="1"/>
  <c r="I67" i="34"/>
  <c r="I32" i="34"/>
  <c r="J13" i="34"/>
  <c r="H185" i="38"/>
  <c r="H179" i="38"/>
  <c r="H168" i="38"/>
  <c r="H144" i="38"/>
  <c r="H138" i="38"/>
  <c r="H127" i="38"/>
  <c r="H105" i="38" a="1"/>
  <c r="H105" i="38" s="1"/>
  <c r="D105" i="38" a="1"/>
  <c r="D105" i="38" s="1"/>
  <c r="E103" i="38" a="1"/>
  <c r="E103" i="38" s="1"/>
  <c r="E102" i="38" a="1"/>
  <c r="E102" i="38" s="1"/>
  <c r="D98" i="38" a="1"/>
  <c r="D98" i="38" s="1"/>
  <c r="D97" i="38" a="1"/>
  <c r="D97" i="38" s="1"/>
  <c r="D96" i="38" a="1"/>
  <c r="D96" i="38" s="1"/>
  <c r="J16" i="38" a="1"/>
  <c r="J16" i="38" s="1"/>
  <c r="I16" i="38" a="1"/>
  <c r="I16" i="38" s="1"/>
  <c r="J15" i="38" a="1"/>
  <c r="J15" i="38" s="1"/>
  <c r="I15" i="38" a="1"/>
  <c r="I15" i="38" s="1"/>
  <c r="J14" i="38" a="1"/>
  <c r="J14" i="38" s="1"/>
  <c r="I14" i="38" a="1"/>
  <c r="I14" i="38" s="1"/>
  <c r="J13" i="38" a="1"/>
  <c r="J13" i="38" s="1"/>
  <c r="I13" i="38" a="1"/>
  <c r="I13" i="38" s="1"/>
  <c r="G13" i="38" a="1"/>
  <c r="G13" i="38" s="1"/>
  <c r="D13" i="38" a="1"/>
  <c r="D13" i="38" s="1"/>
  <c r="E11" i="38" a="1"/>
  <c r="E11" i="38" s="1"/>
  <c r="E10" i="38" a="1"/>
  <c r="E10" i="38" s="1"/>
  <c r="D6" i="38" a="1"/>
  <c r="D6" i="38" s="1"/>
  <c r="D5" i="38" a="1"/>
  <c r="D5" i="38" s="1"/>
  <c r="O26" i="34" a="1"/>
  <c r="E7" i="38" a="1"/>
  <c r="O61" i="34" a="1"/>
  <c r="E99" i="38" a="1"/>
  <c r="O61" i="34" l="1"/>
  <c r="O26" i="34"/>
  <c r="E99" i="38"/>
  <c r="E7" i="38"/>
  <c r="F192" i="38"/>
  <c r="F151" i="38"/>
  <c r="E68" i="36" l="1" a="1"/>
  <c r="E68" i="36" s="1"/>
  <c r="D68" i="36" a="1"/>
  <c r="D68" i="36" s="1"/>
  <c r="E67" i="36" a="1"/>
  <c r="E67" i="36" s="1"/>
  <c r="D67" i="36" a="1"/>
  <c r="D67" i="36" s="1"/>
  <c r="E66" i="36" a="1"/>
  <c r="E66" i="36" s="1"/>
  <c r="D66" i="36" a="1"/>
  <c r="D66" i="36" s="1"/>
  <c r="E65" i="36" a="1"/>
  <c r="E65" i="36" s="1"/>
  <c r="D65" i="36" a="1"/>
  <c r="D65" i="36" s="1"/>
  <c r="E64" i="36" a="1"/>
  <c r="E64" i="36" s="1"/>
  <c r="D64" i="36" a="1"/>
  <c r="D64" i="36" s="1"/>
  <c r="E63" i="36" a="1"/>
  <c r="E63" i="36" s="1"/>
  <c r="D63" i="36" a="1"/>
  <c r="D63" i="36" s="1"/>
  <c r="E62" i="36" a="1"/>
  <c r="E62" i="36" s="1"/>
  <c r="D62" i="36" a="1"/>
  <c r="D62" i="36" s="1"/>
  <c r="E61" i="36" a="1"/>
  <c r="E61" i="36" s="1"/>
  <c r="D61" i="36" a="1"/>
  <c r="D61" i="36" s="1"/>
  <c r="E60" i="36" a="1"/>
  <c r="E60" i="36" s="1"/>
  <c r="D60" i="36" a="1"/>
  <c r="D60" i="36" s="1"/>
  <c r="E59" i="36" a="1"/>
  <c r="E59" i="36" s="1"/>
  <c r="D59" i="36" a="1"/>
  <c r="D59" i="36" s="1"/>
  <c r="E58" i="36" a="1"/>
  <c r="E58" i="36" s="1"/>
  <c r="D58" i="36" a="1"/>
  <c r="D58" i="36" s="1"/>
  <c r="D56" i="36" a="1"/>
  <c r="D56" i="36" s="1"/>
  <c r="D55" i="36" a="1"/>
  <c r="D55" i="36" s="1"/>
  <c r="D54" i="36" a="1"/>
  <c r="D54" i="36" s="1"/>
  <c r="D53" i="36" a="1"/>
  <c r="D53" i="36" s="1"/>
  <c r="D52" i="36" a="1"/>
  <c r="D52" i="36" s="1"/>
  <c r="G50" i="36" a="1"/>
  <c r="G50" i="36" s="1"/>
  <c r="F50" i="36" a="1"/>
  <c r="F50" i="36" s="1"/>
  <c r="E50" i="36" a="1"/>
  <c r="E50" i="36" s="1"/>
  <c r="O21" i="36" s="1"/>
  <c r="D50" i="36" a="1"/>
  <c r="D50" i="36" s="1"/>
  <c r="G49" i="36" a="1"/>
  <c r="G49" i="36" s="1"/>
  <c r="F49" i="36" a="1"/>
  <c r="F49" i="36" s="1"/>
  <c r="E49" i="36" a="1"/>
  <c r="E49" i="36" s="1"/>
  <c r="O20" i="36" s="1"/>
  <c r="D49" i="36" a="1"/>
  <c r="D49" i="36" s="1"/>
  <c r="G48" i="36" a="1"/>
  <c r="G48" i="36" s="1"/>
  <c r="F48" i="36" a="1"/>
  <c r="F48" i="36" s="1"/>
  <c r="E48" i="36" a="1"/>
  <c r="E48" i="36" s="1"/>
  <c r="O19" i="36" s="1"/>
  <c r="D48" i="36" a="1"/>
  <c r="D48" i="36" s="1"/>
  <c r="G47" i="36" a="1"/>
  <c r="G47" i="36" s="1"/>
  <c r="F47" i="36" a="1"/>
  <c r="F47" i="36" s="1"/>
  <c r="E47" i="36" a="1"/>
  <c r="E47" i="36" s="1"/>
  <c r="O18" i="36" s="1"/>
  <c r="D47" i="36" a="1"/>
  <c r="D47" i="36" s="1"/>
  <c r="G46" i="36" a="1"/>
  <c r="G46" i="36" s="1"/>
  <c r="F46" i="36" a="1"/>
  <c r="F46" i="36" s="1"/>
  <c r="E46" i="36" a="1"/>
  <c r="E46" i="36" s="1"/>
  <c r="O17" i="36" s="1"/>
  <c r="D46" i="36" a="1"/>
  <c r="D46" i="36" s="1"/>
  <c r="G45" i="36" a="1"/>
  <c r="G45" i="36" s="1"/>
  <c r="F45" i="36" a="1"/>
  <c r="F45" i="36" s="1"/>
  <c r="E45" i="36" a="1"/>
  <c r="E45" i="36" s="1"/>
  <c r="D45" i="36" a="1"/>
  <c r="D45" i="36" s="1"/>
  <c r="G44" i="36" a="1"/>
  <c r="G44" i="36" s="1"/>
  <c r="F44" i="36" a="1"/>
  <c r="F44" i="36" s="1"/>
  <c r="E44" i="36" a="1"/>
  <c r="E44" i="36" s="1"/>
  <c r="M21" i="36" s="1"/>
  <c r="D44" i="36" a="1"/>
  <c r="D44" i="36" s="1"/>
  <c r="G43" i="36" a="1"/>
  <c r="G43" i="36" s="1"/>
  <c r="F43" i="36" a="1"/>
  <c r="F43" i="36" s="1"/>
  <c r="E43" i="36" a="1"/>
  <c r="E43" i="36" s="1"/>
  <c r="M20" i="36" s="1"/>
  <c r="D43" i="36" a="1"/>
  <c r="D43" i="36" s="1"/>
  <c r="G42" i="36" a="1"/>
  <c r="G42" i="36" s="1"/>
  <c r="F42" i="36" a="1"/>
  <c r="F42" i="36" s="1"/>
  <c r="E42" i="36" a="1"/>
  <c r="E42" i="36" s="1"/>
  <c r="M19" i="36" s="1"/>
  <c r="D42" i="36" a="1"/>
  <c r="D42" i="36" s="1"/>
  <c r="G41" i="36" a="1"/>
  <c r="G41" i="36" s="1"/>
  <c r="F41" i="36" a="1"/>
  <c r="F41" i="36" s="1"/>
  <c r="E41" i="36" a="1"/>
  <c r="E41" i="36" s="1"/>
  <c r="M18" i="36" s="1"/>
  <c r="D41" i="36" a="1"/>
  <c r="D41" i="36" s="1"/>
  <c r="G40" i="36" a="1"/>
  <c r="G40" i="36" s="1"/>
  <c r="F40" i="36" a="1"/>
  <c r="F40" i="36" s="1"/>
  <c r="E40" i="36" a="1"/>
  <c r="E40" i="36" s="1"/>
  <c r="M17" i="36" s="1"/>
  <c r="D40" i="36" a="1"/>
  <c r="D40" i="36" s="1"/>
  <c r="G39" i="36" a="1"/>
  <c r="G39" i="36" s="1"/>
  <c r="F39" i="36" a="1"/>
  <c r="F39" i="36" s="1"/>
  <c r="E39" i="36" a="1"/>
  <c r="E39" i="36" s="1"/>
  <c r="D39" i="36" a="1"/>
  <c r="D39" i="36" s="1"/>
  <c r="G38" i="36" a="1"/>
  <c r="G38" i="36" s="1"/>
  <c r="F38" i="36" a="1"/>
  <c r="F38" i="36" s="1"/>
  <c r="E38" i="36" a="1"/>
  <c r="E38" i="36" s="1"/>
  <c r="K26" i="36" s="1"/>
  <c r="D38" i="36" a="1"/>
  <c r="D38" i="36" s="1"/>
  <c r="G37" i="36" a="1"/>
  <c r="G37" i="36" s="1"/>
  <c r="F37" i="36" a="1"/>
  <c r="F37" i="36" s="1"/>
  <c r="E37" i="36" a="1"/>
  <c r="E37" i="36" s="1"/>
  <c r="K25" i="36" s="1"/>
  <c r="D37" i="36" a="1"/>
  <c r="D37" i="36" s="1"/>
  <c r="G36" i="36" a="1"/>
  <c r="G36" i="36" s="1"/>
  <c r="F36" i="36" a="1"/>
  <c r="F36" i="36" s="1"/>
  <c r="E36" i="36" a="1"/>
  <c r="E36" i="36" s="1"/>
  <c r="K24" i="36" s="1"/>
  <c r="D36" i="36" a="1"/>
  <c r="D36" i="36" s="1"/>
  <c r="G35" i="36" a="1"/>
  <c r="G35" i="36" s="1"/>
  <c r="F35" i="36" a="1"/>
  <c r="F35" i="36" s="1"/>
  <c r="E35" i="36" a="1"/>
  <c r="E35" i="36" s="1"/>
  <c r="K23" i="36" s="1"/>
  <c r="D35" i="36" a="1"/>
  <c r="D35" i="36" s="1"/>
  <c r="G34" i="36" a="1"/>
  <c r="G34" i="36" s="1"/>
  <c r="F34" i="36" a="1"/>
  <c r="F34" i="36" s="1"/>
  <c r="E34" i="36" a="1"/>
  <c r="E34" i="36" s="1"/>
  <c r="K22" i="36" s="1"/>
  <c r="D34" i="36" a="1"/>
  <c r="D34" i="36" s="1"/>
  <c r="G33" i="36" a="1"/>
  <c r="G33" i="36" s="1"/>
  <c r="F33" i="36" a="1"/>
  <c r="F33" i="36" s="1"/>
  <c r="E33" i="36" a="1"/>
  <c r="E33" i="36" s="1"/>
  <c r="K21" i="36" s="1"/>
  <c r="D33" i="36" a="1"/>
  <c r="D33" i="36" s="1"/>
  <c r="G32" i="36" a="1"/>
  <c r="G32" i="36" s="1"/>
  <c r="F32" i="36" a="1"/>
  <c r="F32" i="36" s="1"/>
  <c r="E32" i="36" a="1"/>
  <c r="E32" i="36" s="1"/>
  <c r="K20" i="36" s="1"/>
  <c r="D32" i="36" a="1"/>
  <c r="D32" i="36" s="1"/>
  <c r="G31" i="36" a="1"/>
  <c r="G31" i="36" s="1"/>
  <c r="F31" i="36" a="1"/>
  <c r="F31" i="36" s="1"/>
  <c r="E31" i="36" a="1"/>
  <c r="E31" i="36" s="1"/>
  <c r="K19" i="36" s="1"/>
  <c r="D31" i="36" a="1"/>
  <c r="D31" i="36" s="1"/>
  <c r="G30" i="36" a="1"/>
  <c r="G30" i="36" s="1"/>
  <c r="F30" i="36" a="1"/>
  <c r="F30" i="36" s="1"/>
  <c r="E30" i="36" a="1"/>
  <c r="E30" i="36" s="1"/>
  <c r="K18" i="36" s="1"/>
  <c r="D30" i="36" a="1"/>
  <c r="D30" i="36" s="1"/>
  <c r="G29" i="36" a="1"/>
  <c r="G29" i="36" s="1"/>
  <c r="F29" i="36" a="1"/>
  <c r="F29" i="36" s="1"/>
  <c r="E29" i="36" a="1"/>
  <c r="E29" i="36" s="1"/>
  <c r="K17" i="36" s="1"/>
  <c r="D29" i="36" a="1"/>
  <c r="D29" i="36" s="1"/>
  <c r="G28" i="36" a="1"/>
  <c r="G28" i="36" s="1"/>
  <c r="F28" i="36" a="1"/>
  <c r="F28" i="36" s="1"/>
  <c r="E28" i="36" a="1"/>
  <c r="E28" i="36" s="1"/>
  <c r="D28" i="36" a="1"/>
  <c r="D28" i="36" s="1"/>
  <c r="G27" i="36" a="1"/>
  <c r="G27" i="36" s="1"/>
  <c r="F27" i="36" a="1"/>
  <c r="F27" i="36" s="1"/>
  <c r="E27" i="36" a="1"/>
  <c r="E27" i="36" s="1"/>
  <c r="I27" i="36" s="1"/>
  <c r="D27" i="36" a="1"/>
  <c r="D27" i="36" s="1"/>
  <c r="G26" i="36" a="1"/>
  <c r="G26" i="36" s="1"/>
  <c r="F26" i="36" a="1"/>
  <c r="F26" i="36" s="1"/>
  <c r="E26" i="36" a="1"/>
  <c r="E26" i="36" s="1"/>
  <c r="I26" i="36" s="1"/>
  <c r="D26" i="36" a="1"/>
  <c r="D26" i="36" s="1"/>
  <c r="G25" i="36" a="1"/>
  <c r="G25" i="36" s="1"/>
  <c r="F25" i="36" a="1"/>
  <c r="F25" i="36" s="1"/>
  <c r="E25" i="36" a="1"/>
  <c r="E25" i="36" s="1"/>
  <c r="I25" i="36" s="1"/>
  <c r="D25" i="36" a="1"/>
  <c r="D25" i="36" s="1"/>
  <c r="G24" i="36" a="1"/>
  <c r="G24" i="36" s="1"/>
  <c r="F24" i="36" a="1"/>
  <c r="F24" i="36" s="1"/>
  <c r="E24" i="36" a="1"/>
  <c r="E24" i="36" s="1"/>
  <c r="I24" i="36" s="1"/>
  <c r="D24" i="36" a="1"/>
  <c r="D24" i="36" s="1"/>
  <c r="G23" i="36" a="1"/>
  <c r="G23" i="36" s="1"/>
  <c r="F23" i="36" a="1"/>
  <c r="F23" i="36" s="1"/>
  <c r="E23" i="36" a="1"/>
  <c r="E23" i="36" s="1"/>
  <c r="I23" i="36" s="1"/>
  <c r="D23" i="36" a="1"/>
  <c r="D23" i="36" s="1"/>
  <c r="G22" i="36" a="1"/>
  <c r="G22" i="36" s="1"/>
  <c r="F22" i="36" a="1"/>
  <c r="F22" i="36" s="1"/>
  <c r="E22" i="36" a="1"/>
  <c r="E22" i="36" s="1"/>
  <c r="I22" i="36" s="1"/>
  <c r="D22" i="36" a="1"/>
  <c r="D22" i="36" s="1"/>
  <c r="G21" i="36" a="1"/>
  <c r="G21" i="36" s="1"/>
  <c r="F21" i="36" a="1"/>
  <c r="F21" i="36" s="1"/>
  <c r="E21" i="36" a="1"/>
  <c r="E21" i="36" s="1"/>
  <c r="I21" i="36" s="1"/>
  <c r="D21" i="36" a="1"/>
  <c r="D21" i="36" s="1"/>
  <c r="G20" i="36" a="1"/>
  <c r="G20" i="36" s="1"/>
  <c r="F20" i="36" a="1"/>
  <c r="F20" i="36" s="1"/>
  <c r="E20" i="36" a="1"/>
  <c r="E20" i="36" s="1"/>
  <c r="I20" i="36" s="1"/>
  <c r="D20" i="36" a="1"/>
  <c r="D20" i="36" s="1"/>
  <c r="G19" i="36" a="1"/>
  <c r="G19" i="36" s="1"/>
  <c r="F19" i="36" a="1"/>
  <c r="F19" i="36" s="1"/>
  <c r="E19" i="36" a="1"/>
  <c r="E19" i="36" s="1"/>
  <c r="I19" i="36" s="1"/>
  <c r="D19" i="36" a="1"/>
  <c r="D19" i="36" s="1"/>
  <c r="G18" i="36" a="1"/>
  <c r="G18" i="36" s="1"/>
  <c r="F18" i="36" a="1"/>
  <c r="F18" i="36" s="1"/>
  <c r="E18" i="36" a="1"/>
  <c r="E18" i="36" s="1"/>
  <c r="I18" i="36" s="1"/>
  <c r="D18" i="36" a="1"/>
  <c r="D18" i="36" s="1"/>
  <c r="G17" i="36" a="1"/>
  <c r="G17" i="36" s="1"/>
  <c r="F17" i="36" a="1"/>
  <c r="F17" i="36" s="1"/>
  <c r="E17" i="36" a="1"/>
  <c r="E17" i="36" s="1"/>
  <c r="D17" i="36" a="1"/>
  <c r="D17" i="36" s="1"/>
  <c r="D15" i="36" a="1"/>
  <c r="D15" i="36" s="1"/>
  <c r="D14" i="36" a="1"/>
  <c r="D14" i="36" s="1"/>
  <c r="D7" i="36" a="1"/>
  <c r="D7" i="36" s="1"/>
  <c r="D6" i="36" a="1"/>
  <c r="D6" i="36" s="1"/>
  <c r="D5" i="36" a="1"/>
  <c r="D5" i="36" s="1"/>
  <c r="J16" i="48" a="1"/>
  <c r="J16" i="48" s="1"/>
  <c r="J15" i="48" a="1"/>
  <c r="J15" i="48" s="1"/>
  <c r="J14" i="48" a="1"/>
  <c r="J14" i="48" s="1"/>
  <c r="J13" i="48" a="1"/>
  <c r="J13" i="48" s="1"/>
  <c r="J12" i="48" a="1"/>
  <c r="J12" i="48" s="1"/>
  <c r="J11" i="48" a="1"/>
  <c r="J11" i="48" s="1"/>
  <c r="J10" i="48" a="1"/>
  <c r="J10" i="48" s="1"/>
  <c r="J9" i="48" a="1"/>
  <c r="J9" i="48" s="1"/>
  <c r="D59" i="38" l="1" a="1"/>
  <c r="D21" i="38" a="1"/>
  <c r="D157" i="38" a="1"/>
  <c r="D157" i="38" s="1"/>
  <c r="D116" i="38" a="1"/>
  <c r="D116" i="38" s="1"/>
  <c r="I17" i="36"/>
  <c r="E116" i="38" a="1"/>
  <c r="E116" i="38" s="1"/>
  <c r="E157" i="38" a="1"/>
  <c r="E157" i="38" s="1"/>
  <c r="E59" i="38" a="1"/>
  <c r="E21" i="38" a="1"/>
  <c r="I72" i="34"/>
  <c r="I71" i="34"/>
  <c r="I70" i="34"/>
  <c r="I52" i="34"/>
  <c r="I51" i="34"/>
  <c r="J16" i="34"/>
  <c r="I553" i="19"/>
  <c r="I549" i="19"/>
  <c r="I548" i="19"/>
  <c r="I547" i="19"/>
  <c r="I531" i="19"/>
  <c r="I529" i="19"/>
  <c r="E481" i="19"/>
  <c r="E480" i="19"/>
  <c r="E479" i="19"/>
  <c r="E470" i="19"/>
  <c r="E469" i="19"/>
  <c r="E468" i="19"/>
  <c r="E467" i="19"/>
  <c r="E466" i="19"/>
  <c r="E164" i="19"/>
  <c r="E163" i="19"/>
  <c r="E162" i="19"/>
  <c r="E139" i="19"/>
  <c r="E138" i="19"/>
  <c r="E137" i="19"/>
  <c r="E136" i="19"/>
  <c r="E29" i="9"/>
  <c r="E16" i="9"/>
  <c r="E6" i="9"/>
  <c r="J135" i="38" l="1" a="1"/>
  <c r="J135" i="38" s="1"/>
  <c r="J136" i="38" a="1"/>
  <c r="J136" i="38" s="1"/>
  <c r="J133" i="38" a="1"/>
  <c r="J133" i="38" s="1"/>
  <c r="J144" i="38" a="1"/>
  <c r="J144" i="38" s="1"/>
  <c r="J123" i="38" a="1"/>
  <c r="J123" i="38" s="1"/>
  <c r="J185" i="38" a="1"/>
  <c r="J185" i="38" s="1"/>
  <c r="J124" i="38" a="1"/>
  <c r="J124" i="38" s="1"/>
  <c r="J157" i="38" a="1"/>
  <c r="J157" i="38" s="1"/>
  <c r="J160" i="38" a="1"/>
  <c r="J160" i="38" s="1"/>
  <c r="J117" i="38" a="1"/>
  <c r="J117" i="38" s="1"/>
  <c r="J125" i="38" a="1"/>
  <c r="J125" i="38" s="1"/>
  <c r="J176" i="38" a="1"/>
  <c r="J176" i="38" s="1"/>
  <c r="J168" i="38" a="1"/>
  <c r="J168" i="38" s="1"/>
  <c r="J119" i="38" a="1"/>
  <c r="J119" i="38" s="1"/>
  <c r="J174" i="38" a="1"/>
  <c r="J174" i="38" s="1"/>
  <c r="J137" i="38" a="1"/>
  <c r="J137" i="38" s="1"/>
  <c r="J127" i="38" a="1"/>
  <c r="J127" i="38" s="1"/>
  <c r="J116" i="38" a="1"/>
  <c r="J116" i="38" s="1"/>
  <c r="J118" i="38" a="1"/>
  <c r="J118" i="38" s="1"/>
  <c r="J163" i="38" a="1"/>
  <c r="J163" i="38" s="1"/>
  <c r="J173" i="38" a="1"/>
  <c r="J173" i="38" s="1"/>
  <c r="J177" i="38" a="1"/>
  <c r="J177" i="38" s="1"/>
  <c r="J120" i="38" a="1"/>
  <c r="J120" i="38" s="1"/>
  <c r="J121" i="38" a="1"/>
  <c r="J121" i="38" s="1"/>
  <c r="J134" i="38" a="1"/>
  <c r="J134" i="38" s="1"/>
  <c r="J179" i="38" a="1"/>
  <c r="J179" i="38" s="1"/>
  <c r="J165" i="38" a="1"/>
  <c r="J165" i="38" s="1"/>
  <c r="D21" i="38"/>
  <c r="G175" i="38" a="1"/>
  <c r="G175" i="38" s="1"/>
  <c r="G161" i="38" a="1"/>
  <c r="G161" i="38" s="1"/>
  <c r="G148" i="38" a="1"/>
  <c r="G148" i="38" s="1"/>
  <c r="G134" i="38" a="1"/>
  <c r="G134" i="38" s="1"/>
  <c r="G121" i="38" a="1"/>
  <c r="G121" i="38" s="1"/>
  <c r="G39" i="38" a="1"/>
  <c r="G39" i="38" s="1"/>
  <c r="G24" i="38" a="1"/>
  <c r="G24" i="38" s="1"/>
  <c r="G190" i="38" a="1"/>
  <c r="G190" i="38" s="1"/>
  <c r="G174" i="38" a="1"/>
  <c r="G174" i="38" s="1"/>
  <c r="G133" i="38" a="1"/>
  <c r="G133" i="38" s="1"/>
  <c r="G54" i="38" a="1"/>
  <c r="G54" i="38" s="1"/>
  <c r="G23" i="38" a="1"/>
  <c r="G23" i="38" s="1"/>
  <c r="G188" i="38" a="1"/>
  <c r="G188" i="38" s="1"/>
  <c r="G173" i="38" a="1"/>
  <c r="G173" i="38" s="1"/>
  <c r="G158" i="38" a="1"/>
  <c r="G158" i="38" s="1"/>
  <c r="G145" i="38" a="1"/>
  <c r="G145" i="38" s="1"/>
  <c r="G52" i="38" a="1"/>
  <c r="G52" i="38" s="1"/>
  <c r="G172" i="38" a="1"/>
  <c r="G172" i="38" s="1"/>
  <c r="G130" i="38" a="1"/>
  <c r="G130" i="38" s="1"/>
  <c r="G35" i="38" a="1"/>
  <c r="G35" i="38" s="1"/>
  <c r="G141" i="38" a="1"/>
  <c r="G141" i="38" s="1"/>
  <c r="G160" i="38" a="1"/>
  <c r="G160" i="38" s="1"/>
  <c r="G147" i="38" a="1"/>
  <c r="G147" i="38" s="1"/>
  <c r="G120" i="38" a="1"/>
  <c r="G120" i="38" s="1"/>
  <c r="G38" i="38" a="1"/>
  <c r="G38" i="38" s="1"/>
  <c r="G131" i="38" a="1"/>
  <c r="G131" i="38" s="1"/>
  <c r="G171" i="38" a="1"/>
  <c r="G171" i="38" s="1"/>
  <c r="G129" i="38" a="1"/>
  <c r="G129" i="38" s="1"/>
  <c r="G48" i="38" a="1"/>
  <c r="G48" i="38" s="1"/>
  <c r="G183" i="38" a="1"/>
  <c r="G183" i="38" s="1"/>
  <c r="G169" i="38" a="1"/>
  <c r="G169" i="38" s="1"/>
  <c r="G31" i="38" a="1"/>
  <c r="G31" i="38" s="1"/>
  <c r="G189" i="38" a="1"/>
  <c r="G189" i="38" s="1"/>
  <c r="G159" i="38" a="1"/>
  <c r="G159" i="38" s="1"/>
  <c r="G146" i="38" a="1"/>
  <c r="G146" i="38" s="1"/>
  <c r="G132" i="38" a="1"/>
  <c r="G132" i="38" s="1"/>
  <c r="G119" i="38" a="1"/>
  <c r="G119" i="38" s="1"/>
  <c r="G53" i="38" a="1"/>
  <c r="G53" i="38" s="1"/>
  <c r="G37" i="38" a="1"/>
  <c r="G37" i="38" s="1"/>
  <c r="G22" i="38" a="1"/>
  <c r="G22" i="38" s="1"/>
  <c r="G118" i="38" a="1"/>
  <c r="G118" i="38" s="1"/>
  <c r="G36" i="38" a="1"/>
  <c r="G36" i="38" s="1"/>
  <c r="G143" i="38" a="1"/>
  <c r="G143" i="38" s="1"/>
  <c r="G186" i="38" a="1"/>
  <c r="G186" i="38" s="1"/>
  <c r="G142" i="38" a="1"/>
  <c r="G142" i="38" s="1"/>
  <c r="G117" i="38" a="1"/>
  <c r="G117" i="38" s="1"/>
  <c r="G34" i="38" a="1"/>
  <c r="G34" i="38" s="1"/>
  <c r="G184" i="38" a="1"/>
  <c r="G184" i="38" s="1"/>
  <c r="G128" i="38" a="1"/>
  <c r="G128" i="38" s="1"/>
  <c r="G187" i="38" a="1"/>
  <c r="G187" i="38" s="1"/>
  <c r="G51" i="38" a="1"/>
  <c r="G51" i="38" s="1"/>
  <c r="G50" i="38" a="1"/>
  <c r="G50" i="38" s="1"/>
  <c r="G170" i="38" a="1"/>
  <c r="G170" i="38" s="1"/>
  <c r="G33" i="38" a="1"/>
  <c r="G33" i="38" s="1"/>
  <c r="G47" i="38" a="1"/>
  <c r="G47" i="38" s="1"/>
  <c r="G178" i="38" a="1"/>
  <c r="G178" i="38" s="1"/>
  <c r="G125" i="38" a="1"/>
  <c r="G125" i="38" s="1"/>
  <c r="G40" i="38" a="1"/>
  <c r="G40" i="38" s="1"/>
  <c r="G177" i="38" a="1"/>
  <c r="G177" i="38" s="1"/>
  <c r="G30" i="38" a="1"/>
  <c r="G30" i="38" s="1"/>
  <c r="G176" i="38" a="1"/>
  <c r="G176" i="38" s="1"/>
  <c r="G124" i="38" a="1"/>
  <c r="G124" i="38" s="1"/>
  <c r="G122" i="38" a="1"/>
  <c r="G122" i="38" s="1"/>
  <c r="G27" i="38" a="1"/>
  <c r="G27" i="38" s="1"/>
  <c r="G165" i="38" a="1"/>
  <c r="G165" i="38" s="1"/>
  <c r="G26" i="38" a="1"/>
  <c r="G26" i="38" s="1"/>
  <c r="G45" i="38" a="1"/>
  <c r="G45" i="38" s="1"/>
  <c r="G29" i="38" a="1"/>
  <c r="G29" i="38" s="1"/>
  <c r="G166" i="38" a="1"/>
  <c r="G166" i="38" s="1"/>
  <c r="G163" i="38" a="1"/>
  <c r="G163" i="38" s="1"/>
  <c r="G140" i="38" a="1"/>
  <c r="G140" i="38" s="1"/>
  <c r="G162" i="38" a="1"/>
  <c r="G162" i="38" s="1"/>
  <c r="G139" i="38" a="1"/>
  <c r="G139" i="38" s="1"/>
  <c r="G137" i="38" a="1"/>
  <c r="G137" i="38" s="1"/>
  <c r="G46" i="38" a="1"/>
  <c r="G46" i="38" s="1"/>
  <c r="G181" i="38" a="1"/>
  <c r="G181" i="38" s="1"/>
  <c r="G42" i="38" a="1"/>
  <c r="G42" i="38" s="1"/>
  <c r="G180" i="38" a="1"/>
  <c r="G180" i="38" s="1"/>
  <c r="G167" i="38" a="1"/>
  <c r="G167" i="38" s="1"/>
  <c r="G123" i="38" a="1"/>
  <c r="G123" i="38" s="1"/>
  <c r="G28" i="38" a="1"/>
  <c r="G28" i="38" s="1"/>
  <c r="G149" i="38" a="1"/>
  <c r="G149" i="38" s="1"/>
  <c r="G25" i="38" a="1"/>
  <c r="G25" i="38" s="1"/>
  <c r="G126" i="38" a="1"/>
  <c r="G126" i="38" s="1"/>
  <c r="G41" i="38" a="1"/>
  <c r="G41" i="38" s="1"/>
  <c r="G164" i="38" a="1"/>
  <c r="G164" i="38" s="1"/>
  <c r="G136" i="38" a="1"/>
  <c r="G136" i="38" s="1"/>
  <c r="G182" i="38" a="1"/>
  <c r="G182" i="38" s="1"/>
  <c r="G44" i="38" a="1"/>
  <c r="G44" i="38" s="1"/>
  <c r="G135" i="38" a="1"/>
  <c r="G135" i="38" s="1"/>
  <c r="E21" i="38"/>
  <c r="H41" i="38" a="1"/>
  <c r="H41" i="38" s="1"/>
  <c r="H29" i="38" a="1"/>
  <c r="H29" i="38" s="1"/>
  <c r="H26" i="38" a="1"/>
  <c r="H26" i="38" s="1"/>
  <c r="H51" i="38" a="1"/>
  <c r="H51" i="38" s="1"/>
  <c r="H36" i="38" a="1"/>
  <c r="H36" i="38" s="1"/>
  <c r="H54" i="38" a="1"/>
  <c r="H54" i="38" s="1"/>
  <c r="H40" i="38" a="1"/>
  <c r="H40" i="38" s="1"/>
  <c r="H28" i="38" a="1"/>
  <c r="H28" i="38" s="1"/>
  <c r="H53" i="38" a="1"/>
  <c r="H53" i="38" s="1"/>
  <c r="H24" i="38" a="1"/>
  <c r="H24" i="38" s="1"/>
  <c r="H50" i="38" a="1"/>
  <c r="H50" i="38" s="1"/>
  <c r="H37" i="38" a="1"/>
  <c r="H37" i="38" s="1"/>
  <c r="H22" i="38" a="1"/>
  <c r="H22" i="38" s="1"/>
  <c r="H39" i="38" a="1"/>
  <c r="H39" i="38" s="1"/>
  <c r="H27" i="38" a="1"/>
  <c r="H27" i="38" s="1"/>
  <c r="H38" i="38" a="1"/>
  <c r="H38" i="38" s="1"/>
  <c r="H23" i="38" a="1"/>
  <c r="H23" i="38" s="1"/>
  <c r="H52" i="38" a="1"/>
  <c r="H52" i="38" s="1"/>
  <c r="H25" i="38" a="1"/>
  <c r="H25" i="38" s="1"/>
  <c r="H30" i="38" a="1"/>
  <c r="H30" i="38" s="1"/>
  <c r="H48" i="38" a="1"/>
  <c r="H48" i="38" s="1"/>
  <c r="H47" i="38" a="1"/>
  <c r="H47" i="38" s="1"/>
  <c r="H44" i="38" a="1"/>
  <c r="H44" i="38" s="1"/>
  <c r="H33" i="38" a="1"/>
  <c r="H33" i="38" s="1"/>
  <c r="H31" i="38" a="1"/>
  <c r="H31" i="38" s="1"/>
  <c r="H45" i="38" a="1"/>
  <c r="H45" i="38" s="1"/>
  <c r="H35" i="38" a="1"/>
  <c r="H35" i="38" s="1"/>
  <c r="H34" i="38" a="1"/>
  <c r="H34" i="38" s="1"/>
  <c r="H46" i="38" a="1"/>
  <c r="H46" i="38" s="1"/>
  <c r="H42" i="38" a="1"/>
  <c r="H42" i="38" s="1"/>
  <c r="J178" i="38" a="1"/>
  <c r="J178" i="38" s="1"/>
  <c r="J164" i="38" a="1"/>
  <c r="J164" i="38" s="1"/>
  <c r="E59" i="38"/>
  <c r="H59" i="38" s="1" a="1"/>
  <c r="H59" i="38" s="1"/>
  <c r="H88" i="38" a="1"/>
  <c r="H88" i="38" s="1"/>
  <c r="H73" i="38" a="1"/>
  <c r="H73" i="38" s="1"/>
  <c r="H84" i="38" a="1"/>
  <c r="H84" i="38" s="1"/>
  <c r="H82" i="38" a="1"/>
  <c r="H82" i="38" s="1"/>
  <c r="H79" i="38" a="1"/>
  <c r="H79" i="38" s="1"/>
  <c r="H66" i="38" a="1"/>
  <c r="H66" i="38" s="1"/>
  <c r="H86" i="38" a="1"/>
  <c r="H86" i="38" s="1"/>
  <c r="H72" i="38" a="1"/>
  <c r="H72" i="38" s="1"/>
  <c r="H71" i="38" a="1"/>
  <c r="H71" i="38" s="1"/>
  <c r="H68" i="38" a="1"/>
  <c r="H68" i="38" s="1"/>
  <c r="H80" i="38" a="1"/>
  <c r="H80" i="38" s="1"/>
  <c r="H85" i="38" a="1"/>
  <c r="H85" i="38" s="1"/>
  <c r="H69" i="38" a="1"/>
  <c r="H69" i="38" s="1"/>
  <c r="H67" i="38" a="1"/>
  <c r="H67" i="38" s="1"/>
  <c r="H83" i="38" a="1"/>
  <c r="H83" i="38" s="1"/>
  <c r="H60" i="38" a="1"/>
  <c r="H60" i="38" s="1"/>
  <c r="H90" i="38" a="1"/>
  <c r="H90" i="38" s="1"/>
  <c r="H77" i="38" a="1"/>
  <c r="H77" i="38" s="1"/>
  <c r="H65" i="38" a="1"/>
  <c r="H65" i="38" s="1"/>
  <c r="H64" i="38" a="1"/>
  <c r="H64" i="38" s="1"/>
  <c r="H89" i="38" a="1"/>
  <c r="H89" i="38" s="1"/>
  <c r="H78" i="38" a="1"/>
  <c r="H78" i="38" s="1"/>
  <c r="H75" i="38" a="1"/>
  <c r="H75" i="38" s="1"/>
  <c r="H74" i="38" a="1"/>
  <c r="H74" i="38" s="1"/>
  <c r="H92" i="38" a="1"/>
  <c r="H92" i="38" s="1"/>
  <c r="H62" i="38" a="1"/>
  <c r="H62" i="38" s="1"/>
  <c r="H91" i="38" a="1"/>
  <c r="H91" i="38" s="1"/>
  <c r="H61" i="38" a="1"/>
  <c r="H61" i="38" s="1"/>
  <c r="H76" i="38" a="1"/>
  <c r="H76" i="38" s="1"/>
  <c r="H63" i="38" a="1"/>
  <c r="H63" i="38" s="1"/>
  <c r="J166" i="38" a="1"/>
  <c r="J166" i="38" s="1"/>
  <c r="J158" i="38" a="1"/>
  <c r="J158" i="38" s="1"/>
  <c r="J138" i="38" a="1"/>
  <c r="J138" i="38" s="1"/>
  <c r="J122" i="38" a="1"/>
  <c r="J122" i="38" s="1"/>
  <c r="D59" i="38"/>
  <c r="G86" i="38" a="1"/>
  <c r="G86" i="38" s="1"/>
  <c r="G71" i="38" a="1"/>
  <c r="G71" i="38" s="1"/>
  <c r="G85" i="38" a="1"/>
  <c r="G85" i="38" s="1"/>
  <c r="G83" i="38" a="1"/>
  <c r="G83" i="38" s="1"/>
  <c r="G82" i="38" a="1"/>
  <c r="G82" i="38" s="1"/>
  <c r="G65" i="38" a="1"/>
  <c r="G65" i="38" s="1"/>
  <c r="G69" i="38" a="1"/>
  <c r="G69" i="38" s="1"/>
  <c r="G67" i="38" a="1"/>
  <c r="G67" i="38" s="1"/>
  <c r="G80" i="38" a="1"/>
  <c r="G80" i="38" s="1"/>
  <c r="G78" i="38" a="1"/>
  <c r="G78" i="38" s="1"/>
  <c r="G84" i="38" a="1"/>
  <c r="G84" i="38" s="1"/>
  <c r="G68" i="38" a="1"/>
  <c r="G68" i="38" s="1"/>
  <c r="G66" i="38" a="1"/>
  <c r="G66" i="38" s="1"/>
  <c r="I66" i="38" s="1" a="1"/>
  <c r="I66" i="38" s="1"/>
  <c r="H164" i="38" s="1"/>
  <c r="G64" i="38" a="1"/>
  <c r="G64" i="38" s="1"/>
  <c r="G63" i="38" a="1"/>
  <c r="G63" i="38" s="1"/>
  <c r="G79" i="38" a="1"/>
  <c r="G79" i="38" s="1"/>
  <c r="G74" i="38" a="1"/>
  <c r="G74" i="38" s="1"/>
  <c r="G76" i="38" a="1"/>
  <c r="G76" i="38" s="1"/>
  <c r="G73" i="38" a="1"/>
  <c r="G73" i="38" s="1"/>
  <c r="G72" i="38" a="1"/>
  <c r="G72" i="38" s="1"/>
  <c r="G60" i="38" a="1"/>
  <c r="G60" i="38" s="1"/>
  <c r="G90" i="38" a="1"/>
  <c r="G90" i="38" s="1"/>
  <c r="G89" i="38" a="1"/>
  <c r="G89" i="38" s="1"/>
  <c r="G88" i="38" a="1"/>
  <c r="G88" i="38" s="1"/>
  <c r="G61" i="38" a="1"/>
  <c r="G61" i="38" s="1"/>
  <c r="G75" i="38" a="1"/>
  <c r="G75" i="38" s="1"/>
  <c r="G62" i="38" a="1"/>
  <c r="G62" i="38" s="1"/>
  <c r="G92" i="38" a="1"/>
  <c r="G92" i="38" s="1"/>
  <c r="G91" i="38" a="1"/>
  <c r="G91" i="38" s="1"/>
  <c r="G77" i="38" a="1"/>
  <c r="G77" i="38" s="1"/>
  <c r="J159" i="38" a="1"/>
  <c r="J159" i="38" s="1"/>
  <c r="J132" i="38" a="1"/>
  <c r="J132" i="38" s="1"/>
  <c r="J161" i="38" a="1"/>
  <c r="J161" i="38" s="1"/>
  <c r="J167" i="38" a="1"/>
  <c r="J167" i="38" s="1"/>
  <c r="J162" i="38" a="1"/>
  <c r="J162" i="38" s="1"/>
  <c r="J126" i="38" a="1"/>
  <c r="J126" i="38" s="1"/>
  <c r="J175" i="38" a="1"/>
  <c r="J175" i="38" s="1"/>
  <c r="O28" i="22"/>
  <c r="O27" i="22"/>
  <c r="O26" i="22"/>
  <c r="O25" i="22"/>
  <c r="O24" i="22"/>
  <c r="O23" i="22"/>
  <c r="O22" i="22"/>
  <c r="O21" i="22"/>
  <c r="O20" i="22"/>
  <c r="O19" i="22"/>
  <c r="D36" i="41"/>
  <c r="D35" i="41"/>
  <c r="D28" i="41"/>
  <c r="D27" i="41"/>
  <c r="D26" i="41"/>
  <c r="D25" i="41"/>
  <c r="D24" i="41"/>
  <c r="D14" i="41"/>
  <c r="D13" i="41"/>
  <c r="D12" i="41"/>
  <c r="D11" i="41"/>
  <c r="I91" i="38" l="1" a="1"/>
  <c r="I91" i="38" s="1"/>
  <c r="H189" i="38" s="1"/>
  <c r="I75" i="38" a="1"/>
  <c r="I75" i="38" s="1"/>
  <c r="H173" i="38" s="1"/>
  <c r="I68" i="38" a="1"/>
  <c r="I68" i="38" s="1"/>
  <c r="H166" i="38" s="1"/>
  <c r="I166" i="38" s="1"/>
  <c r="K166" i="38" s="1" a="1"/>
  <c r="K166" i="38" s="1"/>
  <c r="I64" i="38" a="1"/>
  <c r="I64" i="38" s="1"/>
  <c r="H162" i="38" s="1"/>
  <c r="I162" i="38" s="1"/>
  <c r="K162" i="38" s="1" a="1"/>
  <c r="K162" i="38" s="1"/>
  <c r="I78" i="38" a="1"/>
  <c r="I78" i="38" s="1"/>
  <c r="H176" i="38" s="1"/>
  <c r="I176" i="38" s="1"/>
  <c r="K176" i="38" s="1" a="1"/>
  <c r="K176" i="38" s="1"/>
  <c r="I79" i="38" a="1"/>
  <c r="I79" i="38" s="1"/>
  <c r="H177" i="38" s="1"/>
  <c r="I177" i="38" s="1"/>
  <c r="K177" i="38" s="1" a="1"/>
  <c r="K177" i="38" s="1"/>
  <c r="I89" i="38" a="1"/>
  <c r="I89" i="38" s="1"/>
  <c r="H187" i="38" s="1"/>
  <c r="I76" i="38" a="1"/>
  <c r="I76" i="38" s="1"/>
  <c r="H174" i="38" s="1"/>
  <c r="I174" i="38" s="1"/>
  <c r="K174" i="38" s="1" a="1"/>
  <c r="K174" i="38" s="1"/>
  <c r="I83" i="38" a="1"/>
  <c r="I83" i="38" s="1"/>
  <c r="H181" i="38" s="1"/>
  <c r="I41" i="38" a="1"/>
  <c r="I41" i="38" s="1"/>
  <c r="H136" i="38" s="1"/>
  <c r="I136" i="38" s="1"/>
  <c r="K136" i="38" s="1" a="1"/>
  <c r="K136" i="38" s="1"/>
  <c r="I71" i="38" a="1"/>
  <c r="I71" i="38" s="1"/>
  <c r="H169" i="38" s="1"/>
  <c r="I80" i="38" a="1"/>
  <c r="I80" i="38" s="1"/>
  <c r="H178" i="38" s="1"/>
  <c r="I178" i="38" s="1"/>
  <c r="K178" i="38" s="1" a="1"/>
  <c r="K178" i="38" s="1"/>
  <c r="I90" i="38" a="1"/>
  <c r="I90" i="38" s="1"/>
  <c r="H188" i="38" s="1"/>
  <c r="I60" i="38" a="1"/>
  <c r="I60" i="38" s="1"/>
  <c r="H158" i="38" s="1"/>
  <c r="I158" i="38" s="1"/>
  <c r="K158" i="38" s="1" a="1"/>
  <c r="K158" i="38" s="1"/>
  <c r="I30" i="38" a="1"/>
  <c r="I30" i="38" s="1"/>
  <c r="H125" i="38" s="1"/>
  <c r="I125" i="38" s="1"/>
  <c r="K125" i="38" s="1" a="1"/>
  <c r="K125" i="38" s="1"/>
  <c r="I31" i="38" a="1"/>
  <c r="I31" i="38" s="1"/>
  <c r="H126" i="38" s="1"/>
  <c r="I126" i="38" s="1"/>
  <c r="K126" i="38" s="1" a="1"/>
  <c r="K126" i="38" s="1"/>
  <c r="I82" i="38" a="1"/>
  <c r="I82" i="38" s="1"/>
  <c r="H180" i="38" s="1"/>
  <c r="I77" i="38" a="1"/>
  <c r="I77" i="38" s="1"/>
  <c r="H175" i="38" s="1"/>
  <c r="I175" i="38" s="1"/>
  <c r="K175" i="38" s="1" a="1"/>
  <c r="K175" i="38" s="1"/>
  <c r="I25" i="38" a="1"/>
  <c r="I25" i="38" s="1"/>
  <c r="H120" i="38" s="1"/>
  <c r="I120" i="38" s="1"/>
  <c r="K120" i="38" s="1" a="1"/>
  <c r="K120" i="38" s="1"/>
  <c r="I47" i="38" a="1"/>
  <c r="I47" i="38" s="1"/>
  <c r="H142" i="38" s="1"/>
  <c r="I63" i="38" a="1"/>
  <c r="I63" i="38" s="1"/>
  <c r="H161" i="38" s="1"/>
  <c r="I161" i="38" s="1"/>
  <c r="K161" i="38" s="1" a="1"/>
  <c r="K161" i="38" s="1"/>
  <c r="I86" i="38" a="1"/>
  <c r="I86" i="38" s="1"/>
  <c r="H184" i="38" s="1"/>
  <c r="I29" i="38" a="1"/>
  <c r="I29" i="38" s="1"/>
  <c r="H124" i="38" s="1"/>
  <c r="I124" i="38" s="1"/>
  <c r="K124" i="38" s="1" a="1"/>
  <c r="K124" i="38" s="1"/>
  <c r="I33" i="38" a="1"/>
  <c r="I33" i="38" s="1"/>
  <c r="H128" i="38" s="1"/>
  <c r="I22" i="38" a="1"/>
  <c r="I22" i="38" s="1"/>
  <c r="H117" i="38" s="1"/>
  <c r="I117" i="38" s="1"/>
  <c r="K117" i="38" s="1" a="1"/>
  <c r="K117" i="38" s="1"/>
  <c r="I23" i="38" a="1"/>
  <c r="I23" i="38" s="1"/>
  <c r="H118" i="38" s="1"/>
  <c r="I118" i="38" s="1"/>
  <c r="K118" i="38" s="1" a="1"/>
  <c r="K118" i="38" s="1"/>
  <c r="I92" i="38" a="1"/>
  <c r="I92" i="38" s="1"/>
  <c r="H190" i="38" s="1"/>
  <c r="I28" i="38" a="1"/>
  <c r="I28" i="38" s="1"/>
  <c r="H123" i="38" s="1"/>
  <c r="I123" i="38" s="1"/>
  <c r="K123" i="38" s="1" a="1"/>
  <c r="K123" i="38" s="1"/>
  <c r="I45" i="38" a="1"/>
  <c r="I45" i="38" s="1"/>
  <c r="H140" i="38" s="1"/>
  <c r="I37" i="38" a="1"/>
  <c r="I37" i="38" s="1"/>
  <c r="H132" i="38" s="1"/>
  <c r="I132" i="38" s="1"/>
  <c r="K132" i="38" s="1" a="1"/>
  <c r="K132" i="38" s="1"/>
  <c r="I38" i="38" a="1"/>
  <c r="I38" i="38" s="1"/>
  <c r="H133" i="38" s="1"/>
  <c r="I133" i="38" s="1"/>
  <c r="K133" i="38" s="1" a="1"/>
  <c r="K133" i="38" s="1"/>
  <c r="I54" i="38" a="1"/>
  <c r="I54" i="38" s="1"/>
  <c r="H149" i="38" s="1"/>
  <c r="I164" i="38"/>
  <c r="K164" i="38" s="1" a="1"/>
  <c r="K164" i="38" s="1"/>
  <c r="I173" i="38"/>
  <c r="K173" i="38" s="1" a="1"/>
  <c r="K173" i="38" s="1"/>
  <c r="I84" i="38" a="1"/>
  <c r="I84" i="38" s="1"/>
  <c r="H182" i="38" s="1"/>
  <c r="I88" i="38" a="1"/>
  <c r="I88" i="38" s="1"/>
  <c r="H186" i="38" s="1"/>
  <c r="I69" i="38" a="1"/>
  <c r="I69" i="38" s="1"/>
  <c r="H167" i="38" s="1"/>
  <c r="I167" i="38" s="1"/>
  <c r="K167" i="38" s="1" a="1"/>
  <c r="K167" i="38" s="1"/>
  <c r="I72" i="38" a="1"/>
  <c r="I72" i="38" s="1"/>
  <c r="H170" i="38" s="1"/>
  <c r="I65" i="38" a="1"/>
  <c r="I65" i="38" s="1"/>
  <c r="H163" i="38" s="1"/>
  <c r="I163" i="38" s="1"/>
  <c r="K163" i="38" s="1" a="1"/>
  <c r="K163" i="38" s="1"/>
  <c r="I52" i="38" a="1"/>
  <c r="I52" i="38" s="1"/>
  <c r="H147" i="38" s="1"/>
  <c r="G59" i="38" a="1"/>
  <c r="G59" i="38" s="1"/>
  <c r="I59" i="38" s="1" a="1"/>
  <c r="I59" i="38" s="1"/>
  <c r="H157" i="38" s="1"/>
  <c r="I73" i="38" a="1"/>
  <c r="I73" i="38" s="1"/>
  <c r="H171" i="38" s="1"/>
  <c r="I40" i="38" a="1"/>
  <c r="I40" i="38" s="1"/>
  <c r="H135" i="38" s="1"/>
  <c r="I135" i="38" s="1"/>
  <c r="K135" i="38" s="1" a="1"/>
  <c r="K135" i="38" s="1"/>
  <c r="I48" i="38" a="1"/>
  <c r="I48" i="38" s="1"/>
  <c r="H143" i="38" s="1"/>
  <c r="I74" i="38" a="1"/>
  <c r="I74" i="38" s="1"/>
  <c r="H172" i="38" s="1"/>
  <c r="I85" i="38" a="1"/>
  <c r="I85" i="38" s="1"/>
  <c r="H183" i="38" s="1"/>
  <c r="I36" i="38" a="1"/>
  <c r="I36" i="38" s="1"/>
  <c r="H131" i="38" s="1"/>
  <c r="G116" i="38" a="1"/>
  <c r="G116" i="38" s="1"/>
  <c r="G157" i="38" a="1"/>
  <c r="G157" i="38" s="1"/>
  <c r="I26" i="38" a="1"/>
  <c r="I26" i="38" s="1"/>
  <c r="H121" i="38" s="1"/>
  <c r="I121" i="38" s="1"/>
  <c r="K121" i="38" s="1" a="1"/>
  <c r="K121" i="38" s="1"/>
  <c r="I50" i="38" a="1"/>
  <c r="I50" i="38" s="1"/>
  <c r="H145" i="38" s="1"/>
  <c r="I53" i="38" a="1"/>
  <c r="I53" i="38" s="1"/>
  <c r="H148" i="38" s="1"/>
  <c r="I51" i="38" a="1"/>
  <c r="I51" i="38" s="1"/>
  <c r="H146" i="38" s="1"/>
  <c r="I62" i="38" a="1"/>
  <c r="I62" i="38" s="1"/>
  <c r="H160" i="38" s="1"/>
  <c r="I160" i="38" s="1"/>
  <c r="K160" i="38" s="1" a="1"/>
  <c r="K160" i="38" s="1"/>
  <c r="I61" i="38" a="1"/>
  <c r="I61" i="38" s="1"/>
  <c r="H159" i="38" s="1"/>
  <c r="I159" i="38" s="1"/>
  <c r="K159" i="38" s="1" a="1"/>
  <c r="K159" i="38" s="1"/>
  <c r="G21" i="38" a="1"/>
  <c r="G21" i="38" s="1"/>
  <c r="H21" i="38" a="1"/>
  <c r="H21" i="38" s="1"/>
  <c r="I27" i="38" a="1"/>
  <c r="I27" i="38" s="1"/>
  <c r="H122" i="38" s="1"/>
  <c r="I122" i="38" s="1"/>
  <c r="K122" i="38" s="1" a="1"/>
  <c r="K122" i="38" s="1"/>
  <c r="I42" i="38" a="1"/>
  <c r="I42" i="38" s="1"/>
  <c r="H137" i="38" s="1"/>
  <c r="I137" i="38" s="1"/>
  <c r="K137" i="38" s="1" a="1"/>
  <c r="K137" i="38" s="1"/>
  <c r="I24" i="38" a="1"/>
  <c r="I24" i="38" s="1"/>
  <c r="H119" i="38" s="1"/>
  <c r="I119" i="38" s="1"/>
  <c r="K119" i="38" s="1" a="1"/>
  <c r="K119" i="38" s="1"/>
  <c r="I35" i="38" a="1"/>
  <c r="I35" i="38" s="1"/>
  <c r="H130" i="38" s="1"/>
  <c r="I39" i="38" a="1"/>
  <c r="I39" i="38" s="1"/>
  <c r="H134" i="38" s="1"/>
  <c r="I134" i="38" s="1"/>
  <c r="K134" i="38" s="1" a="1"/>
  <c r="K134" i="38" s="1"/>
  <c r="I67" i="38" a="1"/>
  <c r="I67" i="38" s="1"/>
  <c r="H165" i="38" s="1"/>
  <c r="I165" i="38" s="1"/>
  <c r="K165" i="38" s="1" a="1"/>
  <c r="K165" i="38" s="1"/>
  <c r="I44" i="38" a="1"/>
  <c r="I44" i="38" s="1"/>
  <c r="H139" i="38" s="1"/>
  <c r="I46" i="38" a="1"/>
  <c r="I46" i="38" s="1"/>
  <c r="H141" i="38" s="1"/>
  <c r="I34" i="38" a="1"/>
  <c r="I34" i="38" s="1"/>
  <c r="H129" i="38" s="1"/>
  <c r="I53" i="34"/>
  <c r="J635" i="19" a="1"/>
  <c r="J635" i="19" s="1"/>
  <c r="J613" i="19" a="1"/>
  <c r="J613" i="19" s="1"/>
  <c r="F627" i="19" a="1"/>
  <c r="F627" i="19" s="1"/>
  <c r="E627" i="19" a="1"/>
  <c r="E627" i="19" s="1"/>
  <c r="J627" i="19" s="1" a="1"/>
  <c r="J627" i="19" s="1"/>
  <c r="D627" i="19" a="1"/>
  <c r="D627" i="19" s="1"/>
  <c r="F609" i="19" a="1"/>
  <c r="F609" i="19" s="1"/>
  <c r="E609" i="19" a="1"/>
  <c r="E609" i="19" s="1"/>
  <c r="J609" i="19" s="1" a="1"/>
  <c r="J609" i="19" s="1"/>
  <c r="D609" i="19" a="1"/>
  <c r="D609" i="19" s="1"/>
  <c r="G601" i="19" a="1"/>
  <c r="G601" i="19" s="1"/>
  <c r="D601" i="19" a="1"/>
  <c r="D601" i="19" s="1"/>
  <c r="E599" i="19" a="1"/>
  <c r="E599" i="19" s="1"/>
  <c r="E598" i="19" a="1"/>
  <c r="E598" i="19" s="1"/>
  <c r="D593" i="19" a="1"/>
  <c r="D593" i="19" s="1"/>
  <c r="D592" i="19" a="1"/>
  <c r="D592" i="19" s="1"/>
  <c r="E594" i="19" a="1"/>
  <c r="I138" i="38" l="1"/>
  <c r="K138" i="38" s="1" a="1"/>
  <c r="K138" i="38" s="1"/>
  <c r="I127" i="38"/>
  <c r="K127" i="38" s="1" a="1"/>
  <c r="K127" i="38" s="1"/>
  <c r="I185" i="38"/>
  <c r="K185" i="38" s="1" a="1"/>
  <c r="K185" i="38" s="1"/>
  <c r="I168" i="38"/>
  <c r="K168" i="38" s="1" a="1"/>
  <c r="K168" i="38" s="1"/>
  <c r="I179" i="38"/>
  <c r="K179" i="38" s="1" a="1"/>
  <c r="K179" i="38" s="1"/>
  <c r="I21" i="38" a="1"/>
  <c r="I21" i="38" s="1"/>
  <c r="H116" i="38" s="1"/>
  <c r="I116" i="38" s="1"/>
  <c r="K116" i="38" s="1" a="1"/>
  <c r="K116" i="38" s="1"/>
  <c r="I157" i="38"/>
  <c r="K157" i="38" s="1" a="1"/>
  <c r="K157" i="38" s="1"/>
  <c r="I144" i="38"/>
  <c r="K144" i="38" s="1" a="1"/>
  <c r="K144" i="38" s="1"/>
  <c r="J636" i="19" a="1"/>
  <c r="J636" i="19" s="1"/>
  <c r="J615" i="19" a="1"/>
  <c r="J615" i="19" s="1"/>
  <c r="J617" i="19" a="1"/>
  <c r="J617" i="19" s="1"/>
  <c r="J618" i="19" a="1"/>
  <c r="J618" i="19" s="1"/>
  <c r="J628" i="19" a="1"/>
  <c r="J628" i="19" s="1"/>
  <c r="J629" i="19" a="1"/>
  <c r="J629" i="19" s="1"/>
  <c r="J630" i="19" a="1"/>
  <c r="J630" i="19" s="1"/>
  <c r="J631" i="19" a="1"/>
  <c r="J631" i="19" s="1"/>
  <c r="J614" i="19" a="1"/>
  <c r="J614" i="19" s="1"/>
  <c r="J616" i="19" a="1"/>
  <c r="J616" i="19" s="1"/>
  <c r="J610" i="19" a="1"/>
  <c r="J610" i="19" s="1"/>
  <c r="J632" i="19" a="1"/>
  <c r="J632" i="19" s="1"/>
  <c r="J611" i="19" a="1"/>
  <c r="J611" i="19" s="1"/>
  <c r="J633" i="19" a="1"/>
  <c r="J633" i="19" s="1"/>
  <c r="J612" i="19" a="1"/>
  <c r="J612" i="19" s="1"/>
  <c r="J634" i="19" a="1"/>
  <c r="J634" i="19" s="1"/>
  <c r="D34" i="41" a="1"/>
  <c r="D34" i="41" s="1"/>
  <c r="E594" i="19"/>
  <c r="E586" i="19" a="1"/>
  <c r="E586" i="19" s="1"/>
  <c r="F588" i="19" s="1"/>
  <c r="E585" i="19" a="1"/>
  <c r="E585" i="19" s="1"/>
  <c r="D583" i="19" a="1"/>
  <c r="D583" i="19" s="1"/>
  <c r="D582" i="19" a="1"/>
  <c r="D582" i="19" s="1"/>
  <c r="E192" i="38" l="1"/>
  <c r="E33" i="41" s="1"/>
  <c r="E151" i="38"/>
  <c r="E639" i="19"/>
  <c r="F36" i="41" s="1"/>
  <c r="E621" i="19"/>
  <c r="D33" i="41" a="1"/>
  <c r="D33" i="41" s="1"/>
  <c r="E588" i="19" l="1"/>
  <c r="F35" i="41"/>
  <c r="E642" i="19"/>
  <c r="F33" i="41"/>
  <c r="H569" i="19" a="1"/>
  <c r="H569" i="19" s="1"/>
  <c r="D569" i="19" a="1"/>
  <c r="D569" i="19" s="1"/>
  <c r="E565" i="19" a="1"/>
  <c r="E565" i="19" s="1"/>
  <c r="E564" i="19" a="1"/>
  <c r="E564" i="19" s="1"/>
  <c r="D560" i="19" a="1"/>
  <c r="D560" i="19" s="1"/>
  <c r="D559" i="19" a="1"/>
  <c r="D559"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J17" i="34"/>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75" i="19" a="1"/>
  <c r="D575" i="19" s="1"/>
  <c r="F578" i="19" a="1"/>
  <c r="F578" i="19" s="1"/>
  <c r="H13" i="34" a="1"/>
  <c r="H13" i="34" s="1"/>
  <c r="D13" i="34" a="1"/>
  <c r="D13" i="34" s="1"/>
  <c r="E11" i="34" a="1"/>
  <c r="E11" i="34" s="1"/>
  <c r="E10" i="34" a="1"/>
  <c r="E10" i="34" s="1"/>
  <c r="D6" i="34" a="1"/>
  <c r="D6" i="34" s="1"/>
  <c r="D5" i="34" a="1"/>
  <c r="D5" i="34" s="1"/>
  <c r="E26" i="34" a="1"/>
  <c r="E561" i="19" a="1"/>
  <c r="E61" i="34" a="1"/>
  <c r="O19" i="34" l="1" a="1"/>
  <c r="O19" i="34" s="1"/>
  <c r="R569" i="19" s="1"/>
  <c r="F19" i="34"/>
  <c r="P19" i="34"/>
  <c r="F55" i="34"/>
  <c r="P55" i="34"/>
  <c r="F573" i="19"/>
  <c r="N573" i="19"/>
  <c r="F74" i="34"/>
  <c r="P74" i="34"/>
  <c r="F90" i="34"/>
  <c r="P90" i="34"/>
  <c r="D32" i="41" a="1"/>
  <c r="D32" i="41" s="1"/>
  <c r="E561" i="19"/>
  <c r="D85" i="34"/>
  <c r="E61" i="34"/>
  <c r="E26" i="34"/>
  <c r="G547" i="19" l="1" a="1"/>
  <c r="G547" i="19" s="1"/>
  <c r="D547" i="19" a="1"/>
  <c r="D547" i="19" s="1"/>
  <c r="E545" i="19" a="1"/>
  <c r="E545" i="19" s="1"/>
  <c r="E544" i="19" a="1"/>
  <c r="E544" i="19" s="1"/>
  <c r="D539" i="19" a="1"/>
  <c r="D539" i="19" s="1"/>
  <c r="D538" i="19" a="1"/>
  <c r="D538" i="19" s="1"/>
  <c r="D537" i="19" a="1"/>
  <c r="D537" i="19" s="1"/>
  <c r="G529" i="19" a="1"/>
  <c r="G529" i="19" s="1"/>
  <c r="D529" i="19" a="1"/>
  <c r="D529" i="19" s="1"/>
  <c r="E527" i="19" a="1"/>
  <c r="E527" i="19" s="1"/>
  <c r="E526" i="19" a="1"/>
  <c r="E526" i="19" s="1"/>
  <c r="D522" i="19" a="1"/>
  <c r="D522" i="19" s="1"/>
  <c r="D521" i="19" a="1"/>
  <c r="D521" i="19" s="1"/>
  <c r="D31" i="41" l="1" a="1"/>
  <c r="D31" i="41" s="1"/>
  <c r="D30" i="41" a="1"/>
  <c r="D30" i="41" s="1"/>
  <c r="G515" i="19" l="1" a="1"/>
  <c r="G515" i="19" s="1"/>
  <c r="D515" i="19" a="1"/>
  <c r="D515" i="19" s="1"/>
  <c r="E513" i="19" a="1"/>
  <c r="E513" i="19" s="1"/>
  <c r="E512" i="19" a="1"/>
  <c r="E512" i="19" s="1"/>
  <c r="D507" i="19" a="1"/>
  <c r="D507" i="19" s="1"/>
  <c r="D506" i="19" a="1"/>
  <c r="D506" i="19" s="1"/>
  <c r="G21" i="30" a="1"/>
  <c r="G21" i="30" s="1"/>
  <c r="H21" i="30"/>
  <c r="I21" i="30" s="1"/>
  <c r="G20" i="30" a="1"/>
  <c r="G20" i="30" s="1"/>
  <c r="H20" i="30"/>
  <c r="I20" i="30" s="1"/>
  <c r="G19" i="30" a="1"/>
  <c r="G19" i="30" s="1"/>
  <c r="H19" i="30"/>
  <c r="I19" i="30"/>
  <c r="G18" i="30" a="1"/>
  <c r="G18" i="30" s="1"/>
  <c r="H18" i="30"/>
  <c r="I18" i="30" s="1"/>
  <c r="F37" i="32"/>
  <c r="M37" i="32" s="1" a="1"/>
  <c r="M37" i="32" s="1"/>
  <c r="F35" i="32"/>
  <c r="M35" i="32" s="1" a="1"/>
  <c r="M35" i="32" s="1"/>
  <c r="D32" i="32"/>
  <c r="D37" i="32" s="1"/>
  <c r="D25" i="32"/>
  <c r="P16" i="32" a="1"/>
  <c r="P16" i="32" s="1"/>
  <c r="I16" i="32" a="1"/>
  <c r="I16" i="32" s="1"/>
  <c r="P15" i="32" a="1"/>
  <c r="P15" i="32" s="1"/>
  <c r="I15" i="32" a="1"/>
  <c r="I15" i="32" s="1"/>
  <c r="P14" i="32" a="1"/>
  <c r="P14" i="32" s="1"/>
  <c r="N14" i="32" a="1"/>
  <c r="N14" i="32" s="1"/>
  <c r="K14" i="32" a="1"/>
  <c r="K14" i="32" s="1"/>
  <c r="I14" i="32" a="1"/>
  <c r="I14" i="32" s="1"/>
  <c r="G14" i="32" a="1"/>
  <c r="G14" i="32" s="1"/>
  <c r="D14" i="32" a="1"/>
  <c r="D14" i="32" s="1"/>
  <c r="L12" i="32" a="1"/>
  <c r="L12" i="32" s="1"/>
  <c r="E12" i="32" a="1"/>
  <c r="E12" i="32" s="1"/>
  <c r="F58" i="32" s="1"/>
  <c r="L11" i="32" a="1"/>
  <c r="L11" i="32" s="1"/>
  <c r="E11" i="32" a="1"/>
  <c r="E11" i="32" s="1"/>
  <c r="K7" i="32" a="1"/>
  <c r="K7" i="32" s="1"/>
  <c r="K6" i="32" a="1"/>
  <c r="K6" i="32" s="1"/>
  <c r="D6" i="32" a="1"/>
  <c r="D6" i="32" s="1"/>
  <c r="K5" i="32" a="1"/>
  <c r="K5" i="32" s="1"/>
  <c r="D5" i="32" a="1"/>
  <c r="D5" i="32" s="1"/>
  <c r="M31" i="31" a="1"/>
  <c r="M31" i="31" s="1"/>
  <c r="F39" i="31"/>
  <c r="M39" i="31" s="1" a="1"/>
  <c r="M39" i="31" s="1"/>
  <c r="D37" i="31"/>
  <c r="D39" i="31" s="1"/>
  <c r="L39" i="31" s="1" a="1"/>
  <c r="L39" i="31" s="1"/>
  <c r="D34" i="31"/>
  <c r="D36" i="31" s="1"/>
  <c r="D33" i="31"/>
  <c r="F31" i="31"/>
  <c r="F30" i="31"/>
  <c r="F29" i="31"/>
  <c r="D25" i="31"/>
  <c r="D29" i="31" s="1"/>
  <c r="D38" i="31"/>
  <c r="D35" i="31"/>
  <c r="D48" i="31"/>
  <c r="D28" i="31"/>
  <c r="D26" i="31"/>
  <c r="P16" i="31" a="1"/>
  <c r="P16" i="31" s="1"/>
  <c r="I16" i="31" a="1"/>
  <c r="I16" i="31" s="1"/>
  <c r="P15" i="31" a="1"/>
  <c r="P15" i="31" s="1"/>
  <c r="I15" i="31" a="1"/>
  <c r="I15" i="31" s="1"/>
  <c r="P14" i="31" a="1"/>
  <c r="P14" i="31" s="1"/>
  <c r="N14" i="31" a="1"/>
  <c r="N14" i="31" s="1"/>
  <c r="K14" i="31" a="1"/>
  <c r="K14" i="31" s="1"/>
  <c r="I14" i="31" a="1"/>
  <c r="I14" i="31" s="1"/>
  <c r="G14" i="31" a="1"/>
  <c r="G14" i="31" s="1"/>
  <c r="D14" i="31" a="1"/>
  <c r="D14" i="31" s="1"/>
  <c r="L12" i="31" a="1"/>
  <c r="L12" i="31" s="1"/>
  <c r="E12" i="31" a="1"/>
  <c r="E12" i="31" s="1"/>
  <c r="F62" i="31" s="1"/>
  <c r="L11" i="31" a="1"/>
  <c r="L11" i="31" s="1"/>
  <c r="E11" i="31" a="1"/>
  <c r="E11" i="31" s="1"/>
  <c r="K6" i="31" a="1"/>
  <c r="K6" i="31" s="1"/>
  <c r="D6" i="31" a="1"/>
  <c r="D6" i="31" s="1"/>
  <c r="K5" i="31" a="1"/>
  <c r="K5" i="31" s="1"/>
  <c r="D5" i="31" a="1"/>
  <c r="D5" i="31" s="1"/>
  <c r="G17" i="30" a="1"/>
  <c r="G17" i="30" s="1"/>
  <c r="H17" i="30"/>
  <c r="I17" i="30" s="1"/>
  <c r="J139" i="29"/>
  <c r="E139" i="29"/>
  <c r="F40" i="32" s="1"/>
  <c r="M40" i="32" s="1" a="1"/>
  <c r="M40" i="32" s="1"/>
  <c r="J138" i="29"/>
  <c r="G138" i="29"/>
  <c r="F32" i="31" s="1"/>
  <c r="M32" i="31" s="1" a="1"/>
  <c r="M32" i="31" s="1"/>
  <c r="E138" i="29"/>
  <c r="F39" i="32" s="1"/>
  <c r="M39" i="32" s="1" a="1"/>
  <c r="M39" i="32" s="1"/>
  <c r="J137" i="29"/>
  <c r="G137" i="29"/>
  <c r="E137" i="29"/>
  <c r="F38" i="32" s="1"/>
  <c r="M38" i="32" s="1" a="1"/>
  <c r="M38" i="32" s="1"/>
  <c r="D137" i="29"/>
  <c r="F31" i="32" s="1"/>
  <c r="M31" i="32" s="1" a="1"/>
  <c r="M31" i="32" s="1"/>
  <c r="J136" i="29"/>
  <c r="G136" i="29"/>
  <c r="E136" i="29"/>
  <c r="D136" i="29"/>
  <c r="F30" i="32" s="1"/>
  <c r="M30" i="32" s="1" a="1"/>
  <c r="M30" i="32" s="1"/>
  <c r="J135" i="29"/>
  <c r="G135" i="29"/>
  <c r="E135" i="29"/>
  <c r="F36" i="32" s="1"/>
  <c r="D135" i="29"/>
  <c r="F29" i="32" s="1"/>
  <c r="M29" i="32" s="1" a="1"/>
  <c r="M29" i="32" s="1"/>
  <c r="J134" i="29"/>
  <c r="G134" i="29"/>
  <c r="F28" i="31" s="1"/>
  <c r="M28" i="31" s="1" a="1"/>
  <c r="M28" i="31" s="1"/>
  <c r="E134" i="29"/>
  <c r="D134" i="29"/>
  <c r="F28" i="32" s="1"/>
  <c r="M28" i="32" s="1" a="1"/>
  <c r="M28" i="32" s="1"/>
  <c r="J133" i="29"/>
  <c r="G133" i="29"/>
  <c r="F27" i="31" s="1"/>
  <c r="F133" i="29"/>
  <c r="F36" i="31" s="1"/>
  <c r="M36" i="31" s="1" a="1"/>
  <c r="M36" i="31" s="1"/>
  <c r="E133" i="29"/>
  <c r="F34" i="32" s="1"/>
  <c r="D133" i="29"/>
  <c r="F27" i="32" s="1"/>
  <c r="M27" i="32" s="1" a="1"/>
  <c r="M27" i="32" s="1"/>
  <c r="J132" i="29"/>
  <c r="I132" i="29"/>
  <c r="F38" i="31" s="1"/>
  <c r="M38" i="31" s="1" a="1"/>
  <c r="M38" i="31" s="1"/>
  <c r="G132" i="29"/>
  <c r="F26" i="31" s="1"/>
  <c r="M26" i="31" s="1" a="1"/>
  <c r="M26" i="31" s="1"/>
  <c r="F132" i="29"/>
  <c r="F35" i="31" s="1"/>
  <c r="L35" i="31" s="1" a="1"/>
  <c r="L35" i="31" s="1"/>
  <c r="E132" i="29"/>
  <c r="F33" i="32" s="1"/>
  <c r="D132" i="29"/>
  <c r="F26" i="32" s="1"/>
  <c r="M26" i="32" s="1" a="1"/>
  <c r="M26" i="32" s="1"/>
  <c r="J131" i="29"/>
  <c r="I131" i="29"/>
  <c r="F37" i="31" s="1"/>
  <c r="M37" i="31" s="1" a="1"/>
  <c r="M37" i="31" s="1"/>
  <c r="H131" i="29"/>
  <c r="F33" i="31" s="1"/>
  <c r="G131" i="29"/>
  <c r="F25" i="31" s="1"/>
  <c r="F131" i="29"/>
  <c r="F34" i="31" s="1"/>
  <c r="E131" i="29"/>
  <c r="F32" i="32" s="1"/>
  <c r="L32" i="32" s="1" a="1"/>
  <c r="L32" i="32" s="1"/>
  <c r="D131" i="29"/>
  <c r="F25" i="32" s="1"/>
  <c r="M25" i="32" s="1" a="1"/>
  <c r="M25" i="32" s="1"/>
  <c r="F120" i="29" a="1"/>
  <c r="F120" i="29" s="1"/>
  <c r="E120" i="29" a="1"/>
  <c r="E120" i="29" s="1"/>
  <c r="D120" i="29" a="1"/>
  <c r="D120" i="29" s="1"/>
  <c r="F119" i="29" a="1"/>
  <c r="F119" i="29" s="1"/>
  <c r="E119" i="29" a="1"/>
  <c r="E119" i="29" s="1"/>
  <c r="D119" i="29" a="1"/>
  <c r="D119" i="29" s="1"/>
  <c r="F118" i="29" a="1"/>
  <c r="F118" i="29" s="1"/>
  <c r="E118" i="29" a="1"/>
  <c r="E118" i="29" s="1"/>
  <c r="D118" i="29" a="1"/>
  <c r="D118" i="29" s="1"/>
  <c r="F117" i="29" a="1"/>
  <c r="F117" i="29" s="1"/>
  <c r="E117" i="29" a="1"/>
  <c r="E117" i="29" s="1"/>
  <c r="D117" i="29" a="1"/>
  <c r="D117" i="29" s="1"/>
  <c r="F116" i="29" a="1"/>
  <c r="F116" i="29" s="1"/>
  <c r="E116" i="29" a="1"/>
  <c r="E116" i="29" s="1"/>
  <c r="D116" i="29" a="1"/>
  <c r="D116" i="29" s="1"/>
  <c r="F115" i="29" a="1"/>
  <c r="F115" i="29" s="1"/>
  <c r="E115" i="29" a="1"/>
  <c r="E115" i="29" s="1"/>
  <c r="D115" i="29" a="1"/>
  <c r="D115" i="29" s="1"/>
  <c r="F114" i="29" a="1"/>
  <c r="F114" i="29" s="1"/>
  <c r="E114" i="29" a="1"/>
  <c r="E114" i="29" s="1"/>
  <c r="D114" i="29" a="1"/>
  <c r="D114" i="29" s="1"/>
  <c r="G113" i="29" a="1"/>
  <c r="G113" i="29" s="1"/>
  <c r="F113" i="29" a="1"/>
  <c r="F113" i="29" s="1"/>
  <c r="E113" i="29" a="1"/>
  <c r="E113" i="29" s="1"/>
  <c r="D113" i="29" a="1"/>
  <c r="D113" i="29" s="1"/>
  <c r="D110" i="29" a="1"/>
  <c r="D110" i="29" s="1"/>
  <c r="D109" i="29" a="1"/>
  <c r="D109" i="29" s="1"/>
  <c r="D108" i="29" a="1"/>
  <c r="D108" i="29" s="1"/>
  <c r="D107" i="29" a="1"/>
  <c r="D107" i="29" s="1"/>
  <c r="J104" i="29" a="1"/>
  <c r="J104" i="29" s="1"/>
  <c r="I104" i="29" a="1"/>
  <c r="I104" i="29" s="1"/>
  <c r="H104" i="29" a="1"/>
  <c r="H104" i="29" s="1"/>
  <c r="G104" i="29" a="1"/>
  <c r="G104" i="29" s="1"/>
  <c r="F104" i="29" a="1"/>
  <c r="F104" i="29" s="1"/>
  <c r="E104" i="29" a="1"/>
  <c r="E104" i="29" s="1"/>
  <c r="D104" i="29" a="1"/>
  <c r="D104" i="29" s="1"/>
  <c r="E40" i="32" s="1"/>
  <c r="J103" i="29" a="1"/>
  <c r="J103" i="29" s="1"/>
  <c r="I103" i="29" a="1"/>
  <c r="I103" i="29" s="1"/>
  <c r="H103" i="29" a="1"/>
  <c r="H103" i="29" s="1"/>
  <c r="G103" i="29" a="1"/>
  <c r="G103" i="29" s="1"/>
  <c r="F103" i="29" a="1"/>
  <c r="F103" i="29" s="1"/>
  <c r="E103" i="29" a="1"/>
  <c r="E103" i="29" s="1"/>
  <c r="D103" i="29" a="1"/>
  <c r="D103" i="29" s="1"/>
  <c r="E39" i="32" s="1"/>
  <c r="J102" i="29" a="1"/>
  <c r="J102" i="29" s="1"/>
  <c r="I102" i="29" a="1"/>
  <c r="I102" i="29" s="1"/>
  <c r="H102" i="29" a="1"/>
  <c r="H102" i="29" s="1"/>
  <c r="G102" i="29" a="1"/>
  <c r="G102" i="29" s="1"/>
  <c r="F102" i="29" a="1"/>
  <c r="F102" i="29" s="1"/>
  <c r="E102" i="29" a="1"/>
  <c r="E102" i="29" s="1"/>
  <c r="D102" i="29" a="1"/>
  <c r="D102" i="29" s="1"/>
  <c r="J101" i="29" a="1"/>
  <c r="J101" i="29" s="1"/>
  <c r="I101" i="29" a="1"/>
  <c r="I101" i="29" s="1"/>
  <c r="H101" i="29" a="1"/>
  <c r="H101" i="29" s="1"/>
  <c r="G101" i="29" a="1"/>
  <c r="G101" i="29" s="1"/>
  <c r="F101" i="29" a="1"/>
  <c r="F101" i="29" s="1"/>
  <c r="E101" i="29" a="1"/>
  <c r="E101" i="29" s="1"/>
  <c r="D101" i="29" a="1"/>
  <c r="D101" i="29" s="1"/>
  <c r="J100" i="29" a="1"/>
  <c r="J100" i="29" s="1"/>
  <c r="I100" i="29" a="1"/>
  <c r="I100" i="29" s="1"/>
  <c r="H100" i="29" a="1"/>
  <c r="H100" i="29" s="1"/>
  <c r="G100" i="29" a="1"/>
  <c r="G100" i="29" s="1"/>
  <c r="F100" i="29" a="1"/>
  <c r="F100" i="29" s="1"/>
  <c r="E100" i="29" a="1"/>
  <c r="E100" i="29" s="1"/>
  <c r="D100" i="29" a="1"/>
  <c r="D100" i="29" s="1"/>
  <c r="J99" i="29" a="1"/>
  <c r="J99" i="29" s="1"/>
  <c r="I99" i="29" a="1"/>
  <c r="I99" i="29" s="1"/>
  <c r="H99" i="29" a="1"/>
  <c r="H99" i="29" s="1"/>
  <c r="G99" i="29" a="1"/>
  <c r="G99" i="29" s="1"/>
  <c r="F99" i="29" a="1"/>
  <c r="F99" i="29" s="1"/>
  <c r="E99" i="29" a="1"/>
  <c r="E99" i="29" s="1"/>
  <c r="D99" i="29" a="1"/>
  <c r="D99" i="29" s="1"/>
  <c r="J98" i="29" a="1"/>
  <c r="J98" i="29" s="1"/>
  <c r="I98" i="29" a="1"/>
  <c r="I98" i="29" s="1"/>
  <c r="H98" i="29" a="1"/>
  <c r="H98" i="29" s="1"/>
  <c r="G98" i="29" a="1"/>
  <c r="G98" i="29" s="1"/>
  <c r="F98" i="29" a="1"/>
  <c r="F98" i="29" s="1"/>
  <c r="E98" i="29" a="1"/>
  <c r="E98" i="29" s="1"/>
  <c r="D98" i="29" a="1"/>
  <c r="D98" i="29" s="1"/>
  <c r="J97" i="29" a="1"/>
  <c r="J97" i="29" s="1"/>
  <c r="I97" i="29" a="1"/>
  <c r="I97" i="29" s="1"/>
  <c r="H97" i="29" a="1"/>
  <c r="H97" i="29" s="1"/>
  <c r="G97" i="29" a="1"/>
  <c r="G97" i="29" s="1"/>
  <c r="F97" i="29" a="1"/>
  <c r="F97" i="29" s="1"/>
  <c r="E97" i="29" a="1"/>
  <c r="E97" i="29" s="1"/>
  <c r="D97" i="29" a="1"/>
  <c r="D97" i="29" s="1"/>
  <c r="J96" i="29" a="1"/>
  <c r="J96" i="29" s="1"/>
  <c r="I96" i="29" a="1"/>
  <c r="I96" i="29" s="1"/>
  <c r="H96" i="29" a="1"/>
  <c r="H96" i="29" s="1"/>
  <c r="G96" i="29" a="1"/>
  <c r="G96" i="29" s="1"/>
  <c r="F96" i="29" a="1"/>
  <c r="F96" i="29" s="1"/>
  <c r="E96" i="29" a="1"/>
  <c r="E96" i="29" s="1"/>
  <c r="D96" i="29" a="1"/>
  <c r="D96" i="29" s="1"/>
  <c r="J95" i="29" a="1"/>
  <c r="J95" i="29" s="1"/>
  <c r="I95" i="29" a="1"/>
  <c r="I95" i="29" s="1"/>
  <c r="H95" i="29" a="1"/>
  <c r="H95" i="29" s="1"/>
  <c r="G95" i="29" a="1"/>
  <c r="G95" i="29" s="1"/>
  <c r="F95" i="29" a="1"/>
  <c r="F95" i="29" s="1"/>
  <c r="E95" i="29" a="1"/>
  <c r="E95" i="29" s="1"/>
  <c r="D95" i="29" a="1"/>
  <c r="D95" i="29" s="1"/>
  <c r="J94" i="29" a="1"/>
  <c r="J94" i="29" s="1"/>
  <c r="I94" i="29" a="1"/>
  <c r="I94" i="29" s="1"/>
  <c r="H94" i="29" a="1"/>
  <c r="H94" i="29" s="1"/>
  <c r="G94" i="29" a="1"/>
  <c r="G94" i="29" s="1"/>
  <c r="F94" i="29" a="1"/>
  <c r="F94" i="29" s="1"/>
  <c r="E94" i="29" a="1"/>
  <c r="E94" i="29" s="1"/>
  <c r="D94" i="29" a="1"/>
  <c r="D94" i="29" s="1"/>
  <c r="J93" i="29" a="1"/>
  <c r="J93" i="29" s="1"/>
  <c r="I93" i="29" a="1"/>
  <c r="I93" i="29" s="1"/>
  <c r="H93" i="29" a="1"/>
  <c r="H93" i="29" s="1"/>
  <c r="G93" i="29" a="1"/>
  <c r="G93" i="29" s="1"/>
  <c r="F93" i="29" a="1"/>
  <c r="F93" i="29" s="1"/>
  <c r="E93" i="29" a="1"/>
  <c r="E93" i="29" s="1"/>
  <c r="D93" i="29" a="1"/>
  <c r="D93" i="29" s="1"/>
  <c r="J92" i="29" a="1"/>
  <c r="J92" i="29" s="1"/>
  <c r="I92" i="29" a="1"/>
  <c r="I92" i="29" s="1"/>
  <c r="H92" i="29" a="1"/>
  <c r="H92" i="29" s="1"/>
  <c r="G92" i="29" a="1"/>
  <c r="G92" i="29" s="1"/>
  <c r="F92" i="29" a="1"/>
  <c r="F92" i="29" s="1"/>
  <c r="E92" i="29" a="1"/>
  <c r="E92" i="29" s="1"/>
  <c r="D92" i="29" a="1"/>
  <c r="D92" i="29" s="1"/>
  <c r="J91" i="29" a="1"/>
  <c r="J91" i="29" s="1"/>
  <c r="I91" i="29" a="1"/>
  <c r="I91" i="29" s="1"/>
  <c r="H91" i="29" a="1"/>
  <c r="H91" i="29" s="1"/>
  <c r="G91" i="29" a="1"/>
  <c r="G91" i="29" s="1"/>
  <c r="F91" i="29" a="1"/>
  <c r="F91" i="29" s="1"/>
  <c r="E91" i="29" a="1"/>
  <c r="E91" i="29" s="1"/>
  <c r="D91" i="29" a="1"/>
  <c r="D91" i="29" s="1"/>
  <c r="J90" i="29" a="1"/>
  <c r="J90" i="29" s="1"/>
  <c r="I90" i="29" a="1"/>
  <c r="I90" i="29" s="1"/>
  <c r="H90" i="29" a="1"/>
  <c r="H90" i="29" s="1"/>
  <c r="G90" i="29" a="1"/>
  <c r="G90" i="29" s="1"/>
  <c r="F90" i="29" a="1"/>
  <c r="F90" i="29" s="1"/>
  <c r="E90" i="29" a="1"/>
  <c r="E90" i="29" s="1"/>
  <c r="D90" i="29" a="1"/>
  <c r="D90" i="29" s="1"/>
  <c r="J89" i="29" a="1"/>
  <c r="J89" i="29" s="1"/>
  <c r="I89" i="29" a="1"/>
  <c r="I89" i="29" s="1"/>
  <c r="H89" i="29" a="1"/>
  <c r="H89" i="29" s="1"/>
  <c r="G89" i="29" a="1"/>
  <c r="G89" i="29" s="1"/>
  <c r="F89" i="29" a="1"/>
  <c r="F89" i="29" s="1"/>
  <c r="E89" i="29" a="1"/>
  <c r="E89" i="29" s="1"/>
  <c r="D89" i="29" a="1"/>
  <c r="D89" i="29" s="1"/>
  <c r="J88" i="29" a="1"/>
  <c r="J88" i="29" s="1"/>
  <c r="I88" i="29" a="1"/>
  <c r="I88" i="29" s="1"/>
  <c r="H88" i="29" a="1"/>
  <c r="H88" i="29" s="1"/>
  <c r="G88" i="29" a="1"/>
  <c r="G88" i="29" s="1"/>
  <c r="F88" i="29" a="1"/>
  <c r="F88" i="29" s="1"/>
  <c r="E88" i="29" a="1"/>
  <c r="E88" i="29" s="1"/>
  <c r="D88" i="29" a="1"/>
  <c r="D88" i="29" s="1"/>
  <c r="J87" i="29" a="1"/>
  <c r="J87" i="29" s="1"/>
  <c r="I87" i="29" a="1"/>
  <c r="I87" i="29" s="1"/>
  <c r="H87" i="29" a="1"/>
  <c r="H87" i="29" s="1"/>
  <c r="G87" i="29" a="1"/>
  <c r="G87" i="29" s="1"/>
  <c r="F87" i="29" a="1"/>
  <c r="F87" i="29" s="1"/>
  <c r="E87" i="29" a="1"/>
  <c r="E87" i="29" s="1"/>
  <c r="D87" i="29" a="1"/>
  <c r="D87" i="29" s="1"/>
  <c r="D84" i="29" a="1"/>
  <c r="D84" i="29" s="1"/>
  <c r="D83" i="29" a="1"/>
  <c r="D83" i="29" s="1"/>
  <c r="D82" i="29" a="1"/>
  <c r="D82" i="29" s="1"/>
  <c r="D81" i="29" a="1"/>
  <c r="D81" i="29" s="1"/>
  <c r="K77" i="29" a="1"/>
  <c r="K77" i="29" s="1"/>
  <c r="J77" i="29" a="1"/>
  <c r="J77" i="29" s="1"/>
  <c r="I77" i="29" a="1"/>
  <c r="I77" i="29" s="1"/>
  <c r="H77" i="29" a="1"/>
  <c r="H77" i="29" s="1"/>
  <c r="G77" i="29" a="1"/>
  <c r="G77" i="29" s="1"/>
  <c r="F77" i="29" a="1"/>
  <c r="F77" i="29" s="1"/>
  <c r="E77" i="29" a="1"/>
  <c r="E77" i="29" s="1"/>
  <c r="D77" i="29" a="1"/>
  <c r="D77" i="29" s="1"/>
  <c r="E31" i="32" s="1"/>
  <c r="K76" i="29" a="1"/>
  <c r="K76" i="29" s="1"/>
  <c r="J76" i="29" a="1"/>
  <c r="J76" i="29" s="1"/>
  <c r="I76" i="29" a="1"/>
  <c r="I76" i="29" s="1"/>
  <c r="H76" i="29" a="1"/>
  <c r="H76" i="29" s="1"/>
  <c r="G76" i="29" a="1"/>
  <c r="G76" i="29" s="1"/>
  <c r="F76" i="29" a="1"/>
  <c r="F76" i="29" s="1"/>
  <c r="E76" i="29" a="1"/>
  <c r="E76" i="29" s="1"/>
  <c r="D76" i="29" a="1"/>
  <c r="D76" i="29" s="1"/>
  <c r="K75" i="29" a="1"/>
  <c r="K75" i="29" s="1"/>
  <c r="J75" i="29" a="1"/>
  <c r="J75" i="29" s="1"/>
  <c r="I75" i="29" a="1"/>
  <c r="I75" i="29" s="1"/>
  <c r="H75" i="29" a="1"/>
  <c r="H75" i="29" s="1"/>
  <c r="G75" i="29" a="1"/>
  <c r="G75" i="29" s="1"/>
  <c r="F75" i="29" a="1"/>
  <c r="F75" i="29" s="1"/>
  <c r="E75" i="29" a="1"/>
  <c r="E75" i="29" s="1"/>
  <c r="D75" i="29" a="1"/>
  <c r="D75" i="29" s="1"/>
  <c r="E30" i="32" s="1"/>
  <c r="K74" i="29" a="1"/>
  <c r="K74" i="29" s="1"/>
  <c r="J74" i="29" a="1"/>
  <c r="J74" i="29" s="1"/>
  <c r="I74" i="29" a="1"/>
  <c r="I74" i="29" s="1"/>
  <c r="H74" i="29" a="1"/>
  <c r="H74" i="29" s="1"/>
  <c r="G74" i="29" a="1"/>
  <c r="G74" i="29" s="1"/>
  <c r="F74" i="29" a="1"/>
  <c r="F74" i="29" s="1"/>
  <c r="E74" i="29" a="1"/>
  <c r="E74" i="29" s="1"/>
  <c r="D74" i="29" a="1"/>
  <c r="D74" i="29" s="1"/>
  <c r="E36" i="32" s="1"/>
  <c r="K73" i="29" a="1"/>
  <c r="K73" i="29" s="1"/>
  <c r="J73" i="29" a="1"/>
  <c r="J73" i="29" s="1"/>
  <c r="I73" i="29" a="1"/>
  <c r="I73" i="29" s="1"/>
  <c r="H73" i="29" a="1"/>
  <c r="H73" i="29" s="1"/>
  <c r="G73" i="29" a="1"/>
  <c r="G73" i="29" s="1"/>
  <c r="F73" i="29" a="1"/>
  <c r="F73" i="29" s="1"/>
  <c r="E73" i="29" a="1"/>
  <c r="E73" i="29" s="1"/>
  <c r="D73" i="29" a="1"/>
  <c r="D73" i="29" s="1"/>
  <c r="E35" i="32" s="1"/>
  <c r="K72" i="29" a="1"/>
  <c r="K72" i="29" s="1"/>
  <c r="J72" i="29" a="1"/>
  <c r="J72" i="29" s="1"/>
  <c r="I72" i="29" a="1"/>
  <c r="I72" i="29" s="1"/>
  <c r="H72" i="29" a="1"/>
  <c r="H72" i="29" s="1"/>
  <c r="G72" i="29" a="1"/>
  <c r="G72" i="29" s="1"/>
  <c r="F72" i="29" a="1"/>
  <c r="F72" i="29" s="1"/>
  <c r="E72" i="29" a="1"/>
  <c r="E72" i="29" s="1"/>
  <c r="D72" i="29" a="1"/>
  <c r="D72" i="29" s="1"/>
  <c r="K71" i="29" a="1"/>
  <c r="K71" i="29" s="1"/>
  <c r="J71" i="29" a="1"/>
  <c r="J71" i="29" s="1"/>
  <c r="I71" i="29" a="1"/>
  <c r="I71" i="29" s="1"/>
  <c r="H71" i="29" a="1"/>
  <c r="H71" i="29" s="1"/>
  <c r="G71" i="29" a="1"/>
  <c r="G71" i="29" s="1"/>
  <c r="F71" i="29" a="1"/>
  <c r="F71" i="29" s="1"/>
  <c r="E71" i="29" a="1"/>
  <c r="E71" i="29" s="1"/>
  <c r="D71" i="29" a="1"/>
  <c r="D71" i="29" s="1"/>
  <c r="K70" i="29" a="1"/>
  <c r="K70" i="29" s="1"/>
  <c r="J70" i="29" a="1"/>
  <c r="J70" i="29" s="1"/>
  <c r="I70" i="29" a="1"/>
  <c r="I70" i="29" s="1"/>
  <c r="H70" i="29" a="1"/>
  <c r="H70" i="29" s="1"/>
  <c r="G70" i="29" a="1"/>
  <c r="G70" i="29" s="1"/>
  <c r="F70" i="29" a="1"/>
  <c r="F70" i="29" s="1"/>
  <c r="E70" i="29" a="1"/>
  <c r="E70" i="29" s="1"/>
  <c r="D70" i="29" a="1"/>
  <c r="D70" i="29" s="1"/>
  <c r="K69" i="29" a="1"/>
  <c r="K69" i="29" s="1"/>
  <c r="J69" i="29" a="1"/>
  <c r="J69" i="29" s="1"/>
  <c r="I69" i="29" a="1"/>
  <c r="I69" i="29" s="1"/>
  <c r="H69" i="29" a="1"/>
  <c r="H69" i="29" s="1"/>
  <c r="G69" i="29" a="1"/>
  <c r="G69" i="29" s="1"/>
  <c r="F69" i="29" a="1"/>
  <c r="F69" i="29" s="1"/>
  <c r="E69" i="29" a="1"/>
  <c r="E69" i="29" s="1"/>
  <c r="D69" i="29" a="1"/>
  <c r="D69" i="29" s="1"/>
  <c r="K68" i="29" a="1"/>
  <c r="K68" i="29" s="1"/>
  <c r="J68" i="29" a="1"/>
  <c r="J68" i="29" s="1"/>
  <c r="I68" i="29" a="1"/>
  <c r="I68" i="29" s="1"/>
  <c r="H68" i="29" a="1"/>
  <c r="H68" i="29" s="1"/>
  <c r="G68" i="29" a="1"/>
  <c r="G68" i="29" s="1"/>
  <c r="F68" i="29" a="1"/>
  <c r="F68" i="29" s="1"/>
  <c r="E68" i="29" a="1"/>
  <c r="E68" i="29" s="1"/>
  <c r="D68" i="29" a="1"/>
  <c r="D68" i="29" s="1"/>
  <c r="K67" i="29" a="1"/>
  <c r="K67" i="29" s="1"/>
  <c r="J67" i="29" a="1"/>
  <c r="J67" i="29" s="1"/>
  <c r="I67" i="29" a="1"/>
  <c r="I67" i="29" s="1"/>
  <c r="H67" i="29" a="1"/>
  <c r="H67" i="29" s="1"/>
  <c r="G67" i="29" a="1"/>
  <c r="G67" i="29" s="1"/>
  <c r="F67" i="29" a="1"/>
  <c r="F67" i="29" s="1"/>
  <c r="E67" i="29" a="1"/>
  <c r="E67" i="29" s="1"/>
  <c r="D67" i="29" a="1"/>
  <c r="D67" i="29" s="1"/>
  <c r="E27" i="32" s="1"/>
  <c r="K66" i="29" a="1"/>
  <c r="K66" i="29" s="1"/>
  <c r="J66" i="29" a="1"/>
  <c r="J66" i="29" s="1"/>
  <c r="I66" i="29" a="1"/>
  <c r="I66" i="29" s="1"/>
  <c r="H66" i="29" a="1"/>
  <c r="H66" i="29" s="1"/>
  <c r="G66" i="29" a="1"/>
  <c r="G66" i="29" s="1"/>
  <c r="F66" i="29" a="1"/>
  <c r="F66" i="29" s="1"/>
  <c r="E66" i="29" a="1"/>
  <c r="E66" i="29" s="1"/>
  <c r="D66" i="29" a="1"/>
  <c r="D66" i="29" s="1"/>
  <c r="K65" i="29" a="1"/>
  <c r="K65" i="29" s="1"/>
  <c r="J65" i="29" a="1"/>
  <c r="J65" i="29" s="1"/>
  <c r="I65" i="29" a="1"/>
  <c r="I65" i="29" s="1"/>
  <c r="H65" i="29" a="1"/>
  <c r="H65" i="29" s="1"/>
  <c r="G65" i="29" a="1"/>
  <c r="G65" i="29" s="1"/>
  <c r="F65" i="29" a="1"/>
  <c r="F65" i="29" s="1"/>
  <c r="E65" i="29" a="1"/>
  <c r="E65" i="29" s="1"/>
  <c r="D65" i="29" a="1"/>
  <c r="D65" i="29" s="1"/>
  <c r="K64" i="29" a="1"/>
  <c r="K64" i="29" s="1"/>
  <c r="J64" i="29" a="1"/>
  <c r="J64" i="29" s="1"/>
  <c r="I64" i="29" a="1"/>
  <c r="I64" i="29" s="1"/>
  <c r="H64" i="29" a="1"/>
  <c r="H64" i="29" s="1"/>
  <c r="G64" i="29" a="1"/>
  <c r="G64" i="29" s="1"/>
  <c r="F64" i="29" a="1"/>
  <c r="F64" i="29" s="1"/>
  <c r="E64" i="29" a="1"/>
  <c r="E64" i="29" s="1"/>
  <c r="D64" i="29" a="1"/>
  <c r="D64" i="29" s="1"/>
  <c r="K63" i="29" a="1"/>
  <c r="K63" i="29" s="1"/>
  <c r="J63" i="29" a="1"/>
  <c r="J63" i="29" s="1"/>
  <c r="I63" i="29" a="1"/>
  <c r="I63" i="29" s="1"/>
  <c r="H63" i="29" a="1"/>
  <c r="H63" i="29" s="1"/>
  <c r="G63" i="29" a="1"/>
  <c r="G63" i="29" s="1"/>
  <c r="F63" i="29" a="1"/>
  <c r="F63" i="29" s="1"/>
  <c r="E63" i="29" a="1"/>
  <c r="E63" i="29" s="1"/>
  <c r="D63" i="29" a="1"/>
  <c r="D63" i="29" s="1"/>
  <c r="E33" i="32" s="1"/>
  <c r="K62" i="29" a="1"/>
  <c r="K62" i="29" s="1"/>
  <c r="J62" i="29" a="1"/>
  <c r="J62" i="29" s="1"/>
  <c r="I62" i="29" a="1"/>
  <c r="I62" i="29" s="1"/>
  <c r="H62" i="29" a="1"/>
  <c r="H62" i="29" s="1"/>
  <c r="G62" i="29" a="1"/>
  <c r="G62" i="29" s="1"/>
  <c r="F62" i="29" a="1"/>
  <c r="F62" i="29" s="1"/>
  <c r="E62" i="29" a="1"/>
  <c r="E62" i="29" s="1"/>
  <c r="D62" i="29" a="1"/>
  <c r="D62" i="29" s="1"/>
  <c r="K61" i="29" a="1"/>
  <c r="K61" i="29" s="1"/>
  <c r="J61" i="29" a="1"/>
  <c r="J61" i="29" s="1"/>
  <c r="I61" i="29" a="1"/>
  <c r="I61" i="29" s="1"/>
  <c r="H61" i="29" a="1"/>
  <c r="H61" i="29" s="1"/>
  <c r="G61" i="29" a="1"/>
  <c r="G61" i="29" s="1"/>
  <c r="F61" i="29" a="1"/>
  <c r="F61" i="29" s="1"/>
  <c r="E61" i="29" a="1"/>
  <c r="E61" i="29" s="1"/>
  <c r="D61" i="29" a="1"/>
  <c r="D61" i="29" s="1"/>
  <c r="K60" i="29" a="1"/>
  <c r="K60" i="29" s="1"/>
  <c r="J60" i="29" a="1"/>
  <c r="J60" i="29" s="1"/>
  <c r="I60" i="29" a="1"/>
  <c r="I60" i="29" s="1"/>
  <c r="H60" i="29" a="1"/>
  <c r="H60" i="29" s="1"/>
  <c r="G60" i="29" a="1"/>
  <c r="G60" i="29" s="1"/>
  <c r="F60" i="29" a="1"/>
  <c r="F60" i="29" s="1"/>
  <c r="E60" i="29" a="1"/>
  <c r="E60" i="29" s="1"/>
  <c r="D60" i="29" a="1"/>
  <c r="D60" i="29" s="1"/>
  <c r="K59" i="29" a="1"/>
  <c r="K59" i="29" s="1"/>
  <c r="J59" i="29" a="1"/>
  <c r="J59" i="29" s="1"/>
  <c r="I59" i="29" a="1"/>
  <c r="I59" i="29" s="1"/>
  <c r="H59" i="29" a="1"/>
  <c r="H59" i="29" s="1"/>
  <c r="G59" i="29" a="1"/>
  <c r="G59" i="29" s="1"/>
  <c r="F59" i="29" a="1"/>
  <c r="F59" i="29" s="1"/>
  <c r="E59" i="29" a="1"/>
  <c r="E59" i="29" s="1"/>
  <c r="D59" i="29" a="1"/>
  <c r="D59" i="29" s="1"/>
  <c r="K58" i="29" a="1"/>
  <c r="K58" i="29" s="1"/>
  <c r="J58" i="29" a="1"/>
  <c r="J58" i="29" s="1"/>
  <c r="I58" i="29" a="1"/>
  <c r="I58" i="29" s="1"/>
  <c r="H58" i="29" a="1"/>
  <c r="H58" i="29" s="1"/>
  <c r="G58" i="29" a="1"/>
  <c r="G58" i="29" s="1"/>
  <c r="F58" i="29" a="1"/>
  <c r="F58" i="29" s="1"/>
  <c r="E58" i="29" a="1"/>
  <c r="E58" i="29" s="1"/>
  <c r="D58" i="29" a="1"/>
  <c r="D58" i="29" s="1"/>
  <c r="E25" i="32" s="1"/>
  <c r="K57" i="29" a="1"/>
  <c r="K57" i="29" s="1"/>
  <c r="J57" i="29" a="1"/>
  <c r="J57" i="29" s="1"/>
  <c r="I57" i="29" a="1"/>
  <c r="I57" i="29" s="1"/>
  <c r="H57" i="29" a="1"/>
  <c r="H57" i="29" s="1"/>
  <c r="G57" i="29" a="1"/>
  <c r="G57" i="29" s="1"/>
  <c r="F57" i="29" a="1"/>
  <c r="F57" i="29" s="1"/>
  <c r="E57" i="29" a="1"/>
  <c r="E57" i="29" s="1"/>
  <c r="D57" i="29" a="1"/>
  <c r="D57" i="29" s="1"/>
  <c r="K56" i="29" a="1"/>
  <c r="K56" i="29" s="1"/>
  <c r="J56" i="29" a="1"/>
  <c r="J56" i="29" s="1"/>
  <c r="I56" i="29" a="1"/>
  <c r="I56" i="29" s="1"/>
  <c r="H56" i="29" a="1"/>
  <c r="H56" i="29" s="1"/>
  <c r="G56" i="29" a="1"/>
  <c r="G56" i="29" s="1"/>
  <c r="F56" i="29" a="1"/>
  <c r="F56" i="29" s="1"/>
  <c r="E56" i="29" a="1"/>
  <c r="E56" i="29" s="1"/>
  <c r="D56" i="29" a="1"/>
  <c r="D56" i="29" s="1"/>
  <c r="K55" i="29" a="1"/>
  <c r="K55" i="29" s="1"/>
  <c r="J55" i="29" a="1"/>
  <c r="J55" i="29" s="1"/>
  <c r="I55" i="29" a="1"/>
  <c r="I55" i="29" s="1"/>
  <c r="H55" i="29" a="1"/>
  <c r="H55" i="29" s="1"/>
  <c r="G55" i="29" a="1"/>
  <c r="G55" i="29" s="1"/>
  <c r="F55" i="29" a="1"/>
  <c r="F55" i="29" s="1"/>
  <c r="E55" i="29" a="1"/>
  <c r="E55" i="29" s="1"/>
  <c r="D55" i="29" a="1"/>
  <c r="D55" i="29" s="1"/>
  <c r="K54" i="29" a="1"/>
  <c r="K54" i="29" s="1"/>
  <c r="J54" i="29" a="1"/>
  <c r="J54" i="29" s="1"/>
  <c r="I54" i="29" a="1"/>
  <c r="I54" i="29" s="1"/>
  <c r="H54" i="29" a="1"/>
  <c r="H54" i="29" s="1"/>
  <c r="G54" i="29" a="1"/>
  <c r="G54" i="29" s="1"/>
  <c r="F54" i="29" a="1"/>
  <c r="F54" i="29" s="1"/>
  <c r="E54" i="29" a="1"/>
  <c r="E54" i="29" s="1"/>
  <c r="D54" i="29" a="1"/>
  <c r="D54" i="29" s="1"/>
  <c r="D52" i="29" a="1"/>
  <c r="D52" i="29" s="1"/>
  <c r="D51" i="29" a="1"/>
  <c r="D51" i="29" s="1"/>
  <c r="D50" i="29" a="1"/>
  <c r="D50" i="29" s="1"/>
  <c r="D49" i="29" a="1"/>
  <c r="D49" i="29" s="1"/>
  <c r="J43" i="29" a="1"/>
  <c r="J43" i="29" s="1"/>
  <c r="I43" i="29" a="1"/>
  <c r="I43" i="29" s="1"/>
  <c r="H43" i="29" a="1"/>
  <c r="H43" i="29" s="1"/>
  <c r="G43" i="29" a="1"/>
  <c r="G43" i="29" s="1"/>
  <c r="F43" i="29" a="1"/>
  <c r="F43" i="29" s="1"/>
  <c r="E43" i="29" a="1"/>
  <c r="E43" i="29" s="1"/>
  <c r="D43" i="29" a="1"/>
  <c r="D43" i="29" s="1"/>
  <c r="J42" i="29" a="1"/>
  <c r="J42" i="29" s="1"/>
  <c r="I42" i="29" a="1"/>
  <c r="I42" i="29" s="1"/>
  <c r="H42" i="29" a="1"/>
  <c r="H42" i="29" s="1"/>
  <c r="G42" i="29" a="1"/>
  <c r="G42" i="29" s="1"/>
  <c r="F42" i="29" a="1"/>
  <c r="F42" i="29" s="1"/>
  <c r="E42" i="29" a="1"/>
  <c r="E42" i="29" s="1"/>
  <c r="D42" i="29" a="1"/>
  <c r="D42" i="29" s="1"/>
  <c r="J41" i="29" a="1"/>
  <c r="J41" i="29" s="1"/>
  <c r="I41" i="29" a="1"/>
  <c r="I41" i="29" s="1"/>
  <c r="H41" i="29" a="1"/>
  <c r="H41" i="29" s="1"/>
  <c r="G41" i="29" a="1"/>
  <c r="G41" i="29" s="1"/>
  <c r="F41" i="29" a="1"/>
  <c r="F41" i="29" s="1"/>
  <c r="E41" i="29" a="1"/>
  <c r="E41" i="29" s="1"/>
  <c r="D41" i="29" a="1"/>
  <c r="D41" i="29" s="1"/>
  <c r="J40" i="29" a="1"/>
  <c r="J40" i="29" s="1"/>
  <c r="I40" i="29" a="1"/>
  <c r="I40" i="29" s="1"/>
  <c r="H40" i="29" a="1"/>
  <c r="H40" i="29" s="1"/>
  <c r="G40" i="29" a="1"/>
  <c r="G40" i="29" s="1"/>
  <c r="F40" i="29" a="1"/>
  <c r="F40" i="29" s="1"/>
  <c r="E40" i="29" a="1"/>
  <c r="E40" i="29" s="1"/>
  <c r="D40" i="29" a="1"/>
  <c r="D40" i="29" s="1"/>
  <c r="D38" i="29" a="1"/>
  <c r="D38" i="29" s="1"/>
  <c r="D37" i="29" a="1"/>
  <c r="D37" i="29" s="1"/>
  <c r="L34" i="29" a="1"/>
  <c r="L34" i="29" s="1"/>
  <c r="K34" i="29" a="1"/>
  <c r="K34" i="29" s="1"/>
  <c r="J34" i="29" a="1"/>
  <c r="J34" i="29" s="1"/>
  <c r="I34" i="29" a="1"/>
  <c r="I34" i="29" s="1"/>
  <c r="H34" i="29" a="1"/>
  <c r="H34" i="29" s="1"/>
  <c r="G34" i="29" a="1"/>
  <c r="G34" i="29" s="1"/>
  <c r="F34" i="29" a="1"/>
  <c r="F34" i="29" s="1"/>
  <c r="E34" i="29" a="1"/>
  <c r="E34" i="29" s="1"/>
  <c r="D34" i="29" a="1"/>
  <c r="D34" i="29" s="1"/>
  <c r="L33" i="29" a="1"/>
  <c r="L33" i="29" s="1"/>
  <c r="K33" i="29" a="1"/>
  <c r="K33" i="29" s="1"/>
  <c r="J33" i="29" a="1"/>
  <c r="J33" i="29" s="1"/>
  <c r="I33" i="29" a="1"/>
  <c r="I33" i="29" s="1"/>
  <c r="H33" i="29" a="1"/>
  <c r="H33" i="29" s="1"/>
  <c r="G33" i="29" a="1"/>
  <c r="G33" i="29" s="1"/>
  <c r="F33" i="29" a="1"/>
  <c r="F33" i="29" s="1"/>
  <c r="E33" i="29" a="1"/>
  <c r="E33" i="29" s="1"/>
  <c r="E39" i="31" s="1"/>
  <c r="D33" i="29" a="1"/>
  <c r="D33" i="29" s="1"/>
  <c r="L32" i="29" a="1"/>
  <c r="L32" i="29" s="1"/>
  <c r="K32" i="29" a="1"/>
  <c r="K32" i="29" s="1"/>
  <c r="J32" i="29" a="1"/>
  <c r="J32" i="29" s="1"/>
  <c r="I32" i="29" a="1"/>
  <c r="I32" i="29" s="1"/>
  <c r="H32" i="29" a="1"/>
  <c r="H32" i="29" s="1"/>
  <c r="G32" i="29" a="1"/>
  <c r="G32" i="29" s="1"/>
  <c r="F32" i="29" a="1"/>
  <c r="F32" i="29" s="1"/>
  <c r="E32" i="29" a="1"/>
  <c r="E32" i="29" s="1"/>
  <c r="D32" i="29" a="1"/>
  <c r="D32" i="29" s="1"/>
  <c r="L31" i="29" a="1"/>
  <c r="L31" i="29" s="1"/>
  <c r="K31" i="29" a="1"/>
  <c r="K31" i="29" s="1"/>
  <c r="J31" i="29" a="1"/>
  <c r="J31" i="29" s="1"/>
  <c r="I31" i="29" a="1"/>
  <c r="I31" i="29" s="1"/>
  <c r="H31" i="29" a="1"/>
  <c r="H31" i="29" s="1"/>
  <c r="G31" i="29" a="1"/>
  <c r="G31" i="29" s="1"/>
  <c r="F31" i="29" a="1"/>
  <c r="F31" i="29" s="1"/>
  <c r="E31" i="29" a="1"/>
  <c r="E31" i="29" s="1"/>
  <c r="D31" i="29" a="1"/>
  <c r="D31" i="29" s="1"/>
  <c r="L30" i="29" a="1"/>
  <c r="L30" i="29" s="1"/>
  <c r="K30" i="29" a="1"/>
  <c r="K30" i="29" s="1"/>
  <c r="J30" i="29" a="1"/>
  <c r="J30" i="29" s="1"/>
  <c r="I30" i="29" a="1"/>
  <c r="I30" i="29" s="1"/>
  <c r="H30" i="29" a="1"/>
  <c r="H30" i="29" s="1"/>
  <c r="G30" i="29" a="1"/>
  <c r="G30" i="29" s="1"/>
  <c r="F30" i="29" a="1"/>
  <c r="F30" i="29" s="1"/>
  <c r="E30" i="29" a="1"/>
  <c r="E30" i="29" s="1"/>
  <c r="E36" i="31" s="1"/>
  <c r="D30" i="29" a="1"/>
  <c r="D30" i="29" s="1"/>
  <c r="L29" i="29" a="1"/>
  <c r="L29" i="29" s="1"/>
  <c r="K29" i="29" a="1"/>
  <c r="K29" i="29" s="1"/>
  <c r="J29" i="29" a="1"/>
  <c r="J29" i="29" s="1"/>
  <c r="I29" i="29" a="1"/>
  <c r="I29" i="29" s="1"/>
  <c r="H29" i="29" a="1"/>
  <c r="H29" i="29" s="1"/>
  <c r="G29" i="29" a="1"/>
  <c r="G29" i="29" s="1"/>
  <c r="F29" i="29" a="1"/>
  <c r="F29" i="29" s="1"/>
  <c r="E29" i="29" a="1"/>
  <c r="E29" i="29" s="1"/>
  <c r="E35" i="31" s="1"/>
  <c r="D29" i="29" a="1"/>
  <c r="D29" i="29" s="1"/>
  <c r="L28" i="29" a="1"/>
  <c r="L28" i="29" s="1"/>
  <c r="K28" i="29" a="1"/>
  <c r="K28" i="29" s="1"/>
  <c r="J28" i="29" a="1"/>
  <c r="J28" i="29" s="1"/>
  <c r="I28" i="29" a="1"/>
  <c r="I28" i="29" s="1"/>
  <c r="H28" i="29" a="1"/>
  <c r="H28" i="29" s="1"/>
  <c r="G28" i="29" a="1"/>
  <c r="G28" i="29" s="1"/>
  <c r="F28" i="29" a="1"/>
  <c r="F28" i="29" s="1"/>
  <c r="E28" i="29" a="1"/>
  <c r="E28" i="29" s="1"/>
  <c r="E34" i="31" s="1"/>
  <c r="D28" i="29" a="1"/>
  <c r="D28" i="29" s="1"/>
  <c r="L27" i="29" a="1"/>
  <c r="L27" i="29" s="1"/>
  <c r="K27" i="29" a="1"/>
  <c r="K27" i="29" s="1"/>
  <c r="J27" i="29" a="1"/>
  <c r="J27" i="29" s="1"/>
  <c r="I27" i="29" a="1"/>
  <c r="I27" i="29" s="1"/>
  <c r="H27" i="29" a="1"/>
  <c r="H27" i="29" s="1"/>
  <c r="G27" i="29" a="1"/>
  <c r="G27" i="29" s="1"/>
  <c r="F27" i="29" a="1"/>
  <c r="F27" i="29" s="1"/>
  <c r="E27" i="29" a="1"/>
  <c r="E27" i="29" s="1"/>
  <c r="D27" i="29" a="1"/>
  <c r="D27" i="29" s="1"/>
  <c r="L26" i="29" a="1"/>
  <c r="L26" i="29" s="1"/>
  <c r="K26" i="29" a="1"/>
  <c r="K26" i="29" s="1"/>
  <c r="J26" i="29" a="1"/>
  <c r="J26" i="29" s="1"/>
  <c r="I26" i="29" a="1"/>
  <c r="I26" i="29" s="1"/>
  <c r="H26" i="29" a="1"/>
  <c r="H26" i="29" s="1"/>
  <c r="G26" i="29" a="1"/>
  <c r="G26" i="29" s="1"/>
  <c r="F26" i="29" a="1"/>
  <c r="F26" i="29" s="1"/>
  <c r="E26" i="29" a="1"/>
  <c r="E26" i="29" s="1"/>
  <c r="D26" i="29" a="1"/>
  <c r="D26" i="29" s="1"/>
  <c r="L25" i="29" a="1"/>
  <c r="L25" i="29" s="1"/>
  <c r="K25" i="29" a="1"/>
  <c r="K25" i="29" s="1"/>
  <c r="J25" i="29" a="1"/>
  <c r="J25" i="29" s="1"/>
  <c r="I25" i="29" a="1"/>
  <c r="I25" i="29" s="1"/>
  <c r="H25" i="29" a="1"/>
  <c r="H25" i="29" s="1"/>
  <c r="G25" i="29" a="1"/>
  <c r="G25" i="29" s="1"/>
  <c r="F25" i="29" a="1"/>
  <c r="F25" i="29" s="1"/>
  <c r="E25" i="29" a="1"/>
  <c r="E25" i="29" s="1"/>
  <c r="D25" i="29" a="1"/>
  <c r="D25" i="29" s="1"/>
  <c r="L24" i="29" a="1"/>
  <c r="L24" i="29" s="1"/>
  <c r="K24" i="29" a="1"/>
  <c r="K24" i="29" s="1"/>
  <c r="J24" i="29" a="1"/>
  <c r="J24" i="29" s="1"/>
  <c r="I24" i="29" a="1"/>
  <c r="I24" i="29" s="1"/>
  <c r="H24" i="29" a="1"/>
  <c r="H24" i="29" s="1"/>
  <c r="G24" i="29" a="1"/>
  <c r="G24" i="29" s="1"/>
  <c r="F24" i="29" a="1"/>
  <c r="F24" i="29" s="1"/>
  <c r="E24" i="29" a="1"/>
  <c r="E24" i="29" s="1"/>
  <c r="D24" i="29" a="1"/>
  <c r="D24" i="29" s="1"/>
  <c r="L23" i="29" a="1"/>
  <c r="L23" i="29" s="1"/>
  <c r="K23" i="29" a="1"/>
  <c r="K23" i="29" s="1"/>
  <c r="J23" i="29" a="1"/>
  <c r="J23" i="29" s="1"/>
  <c r="I23" i="29" a="1"/>
  <c r="I23" i="29" s="1"/>
  <c r="H23" i="29" a="1"/>
  <c r="H23" i="29" s="1"/>
  <c r="G23" i="29" a="1"/>
  <c r="G23" i="29" s="1"/>
  <c r="F23" i="29" a="1"/>
  <c r="F23" i="29" s="1"/>
  <c r="E23" i="29" a="1"/>
  <c r="E23" i="29" s="1"/>
  <c r="D23" i="29" a="1"/>
  <c r="D23" i="29" s="1"/>
  <c r="L22" i="29" a="1"/>
  <c r="L22" i="29" s="1"/>
  <c r="K22" i="29" a="1"/>
  <c r="K22" i="29" s="1"/>
  <c r="J22" i="29" a="1"/>
  <c r="J22" i="29" s="1"/>
  <c r="I22" i="29" a="1"/>
  <c r="I22" i="29" s="1"/>
  <c r="H22" i="29" a="1"/>
  <c r="H22" i="29" s="1"/>
  <c r="G22" i="29" a="1"/>
  <c r="G22" i="29" s="1"/>
  <c r="F22" i="29" a="1"/>
  <c r="F22" i="29" s="1"/>
  <c r="E22" i="29" a="1"/>
  <c r="E22" i="29" s="1"/>
  <c r="D22" i="29" a="1"/>
  <c r="D22" i="29" s="1"/>
  <c r="L21" i="29" a="1"/>
  <c r="L21" i="29" s="1"/>
  <c r="K21" i="29" a="1"/>
  <c r="K21" i="29" s="1"/>
  <c r="J21" i="29" a="1"/>
  <c r="J21" i="29" s="1"/>
  <c r="I21" i="29" a="1"/>
  <c r="I21" i="29" s="1"/>
  <c r="H21" i="29" a="1"/>
  <c r="H21" i="29" s="1"/>
  <c r="G21" i="29" a="1"/>
  <c r="G21" i="29" s="1"/>
  <c r="F21" i="29" a="1"/>
  <c r="F21" i="29" s="1"/>
  <c r="E21" i="29" a="1"/>
  <c r="E21" i="29" s="1"/>
  <c r="D21" i="29" a="1"/>
  <c r="D21" i="29" s="1"/>
  <c r="L20" i="29" a="1"/>
  <c r="L20" i="29" s="1"/>
  <c r="K20" i="29" a="1"/>
  <c r="K20" i="29" s="1"/>
  <c r="J20" i="29" a="1"/>
  <c r="J20" i="29" s="1"/>
  <c r="I20" i="29" a="1"/>
  <c r="I20" i="29" s="1"/>
  <c r="H20" i="29" a="1"/>
  <c r="H20" i="29" s="1"/>
  <c r="G20" i="29" a="1"/>
  <c r="G20" i="29" s="1"/>
  <c r="F20" i="29" a="1"/>
  <c r="F20" i="29" s="1"/>
  <c r="E20" i="29" a="1"/>
  <c r="E20" i="29" s="1"/>
  <c r="D20" i="29" a="1"/>
  <c r="D20" i="29" s="1"/>
  <c r="L19" i="29" a="1"/>
  <c r="L19" i="29" s="1"/>
  <c r="K19" i="29" a="1"/>
  <c r="K19" i="29" s="1"/>
  <c r="J19" i="29" a="1"/>
  <c r="J19" i="29" s="1"/>
  <c r="I19" i="29" a="1"/>
  <c r="I19" i="29" s="1"/>
  <c r="H19" i="29" a="1"/>
  <c r="H19" i="29" s="1"/>
  <c r="G19" i="29" a="1"/>
  <c r="G19" i="29" s="1"/>
  <c r="F19" i="29" a="1"/>
  <c r="F19" i="29" s="1"/>
  <c r="E19" i="29" a="1"/>
  <c r="E19" i="29" s="1"/>
  <c r="D19" i="29" a="1"/>
  <c r="D19" i="29" s="1"/>
  <c r="L18" i="29" a="1"/>
  <c r="L18" i="29" s="1"/>
  <c r="K18" i="29" a="1"/>
  <c r="K18" i="29" s="1"/>
  <c r="J18" i="29" a="1"/>
  <c r="J18" i="29" s="1"/>
  <c r="I18" i="29" a="1"/>
  <c r="I18" i="29" s="1"/>
  <c r="H18" i="29" a="1"/>
  <c r="H18" i="29" s="1"/>
  <c r="G18" i="29" a="1"/>
  <c r="G18" i="29" s="1"/>
  <c r="F18" i="29" a="1"/>
  <c r="F18" i="29" s="1"/>
  <c r="E18" i="29" a="1"/>
  <c r="E18" i="29" s="1"/>
  <c r="D18" i="29" a="1"/>
  <c r="D18" i="29" s="1"/>
  <c r="L17" i="29" a="1"/>
  <c r="L17" i="29" s="1"/>
  <c r="K17" i="29" a="1"/>
  <c r="K17" i="29" s="1"/>
  <c r="J17" i="29" a="1"/>
  <c r="J17" i="29" s="1"/>
  <c r="I17" i="29" a="1"/>
  <c r="I17" i="29" s="1"/>
  <c r="H17" i="29" a="1"/>
  <c r="H17" i="29" s="1"/>
  <c r="G17" i="29" a="1"/>
  <c r="G17" i="29" s="1"/>
  <c r="F17" i="29" a="1"/>
  <c r="F17" i="29" s="1"/>
  <c r="E17" i="29" a="1"/>
  <c r="E17" i="29" s="1"/>
  <c r="E32" i="31" s="1"/>
  <c r="D17" i="29" a="1"/>
  <c r="D17" i="29" s="1"/>
  <c r="L16" i="29" a="1"/>
  <c r="L16" i="29" s="1"/>
  <c r="K16" i="29" a="1"/>
  <c r="K16" i="29" s="1"/>
  <c r="J16" i="29" a="1"/>
  <c r="J16" i="29" s="1"/>
  <c r="I16" i="29" a="1"/>
  <c r="I16" i="29" s="1"/>
  <c r="H16" i="29" a="1"/>
  <c r="H16" i="29" s="1"/>
  <c r="G16" i="29" a="1"/>
  <c r="G16" i="29" s="1"/>
  <c r="F16" i="29" a="1"/>
  <c r="F16" i="29" s="1"/>
  <c r="E16" i="29" a="1"/>
  <c r="E16" i="29" s="1"/>
  <c r="E31" i="31" s="1"/>
  <c r="D16" i="29" a="1"/>
  <c r="D16" i="29" s="1"/>
  <c r="L15" i="29" a="1"/>
  <c r="L15" i="29" s="1"/>
  <c r="K15" i="29" a="1"/>
  <c r="K15" i="29" s="1"/>
  <c r="J15" i="29" a="1"/>
  <c r="J15" i="29" s="1"/>
  <c r="I15" i="29" a="1"/>
  <c r="I15" i="29" s="1"/>
  <c r="H15" i="29" a="1"/>
  <c r="H15" i="29" s="1"/>
  <c r="G15" i="29" a="1"/>
  <c r="G15" i="29" s="1"/>
  <c r="F15" i="29" a="1"/>
  <c r="F15" i="29" s="1"/>
  <c r="E15" i="29" a="1"/>
  <c r="E15" i="29" s="1"/>
  <c r="E30" i="31" s="1"/>
  <c r="D15" i="29" a="1"/>
  <c r="D15" i="29" s="1"/>
  <c r="L14" i="29" a="1"/>
  <c r="L14" i="29" s="1"/>
  <c r="K14" i="29" a="1"/>
  <c r="K14" i="29" s="1"/>
  <c r="J14" i="29" a="1"/>
  <c r="J14" i="29" s="1"/>
  <c r="I14" i="29" a="1"/>
  <c r="I14" i="29" s="1"/>
  <c r="H14" i="29" a="1"/>
  <c r="H14" i="29" s="1"/>
  <c r="G14" i="29" a="1"/>
  <c r="G14" i="29" s="1"/>
  <c r="F14" i="29" a="1"/>
  <c r="F14" i="29" s="1"/>
  <c r="E14" i="29" a="1"/>
  <c r="E14" i="29" s="1"/>
  <c r="E29" i="31" s="1"/>
  <c r="D14" i="29" a="1"/>
  <c r="D14" i="29" s="1"/>
  <c r="L13" i="29" a="1"/>
  <c r="L13" i="29" s="1"/>
  <c r="K13" i="29" a="1"/>
  <c r="K13" i="29" s="1"/>
  <c r="J13" i="29" a="1"/>
  <c r="J13" i="29" s="1"/>
  <c r="I13" i="29" a="1"/>
  <c r="I13" i="29" s="1"/>
  <c r="H13" i="29" a="1"/>
  <c r="H13" i="29" s="1"/>
  <c r="G13" i="29" a="1"/>
  <c r="G13" i="29" s="1"/>
  <c r="F13" i="29" a="1"/>
  <c r="F13" i="29" s="1"/>
  <c r="E13" i="29" a="1"/>
  <c r="E13" i="29" s="1"/>
  <c r="E28" i="31" s="1"/>
  <c r="D13" i="29" a="1"/>
  <c r="D13" i="29" s="1"/>
  <c r="L12" i="29" a="1"/>
  <c r="L12" i="29" s="1"/>
  <c r="K12" i="29" a="1"/>
  <c r="K12" i="29" s="1"/>
  <c r="J12" i="29" a="1"/>
  <c r="J12" i="29" s="1"/>
  <c r="I12" i="29" a="1"/>
  <c r="I12" i="29" s="1"/>
  <c r="H12" i="29" a="1"/>
  <c r="H12" i="29" s="1"/>
  <c r="G12" i="29" a="1"/>
  <c r="G12" i="29" s="1"/>
  <c r="F12" i="29" a="1"/>
  <c r="F12" i="29" s="1"/>
  <c r="E12" i="29" a="1"/>
  <c r="E12" i="29" s="1"/>
  <c r="E27" i="31" s="1"/>
  <c r="D12" i="29" a="1"/>
  <c r="D12" i="29" s="1"/>
  <c r="L11" i="29" a="1"/>
  <c r="L11" i="29" s="1"/>
  <c r="K11" i="29" a="1"/>
  <c r="K11" i="29" s="1"/>
  <c r="J11" i="29" a="1"/>
  <c r="J11" i="29" s="1"/>
  <c r="I11" i="29" a="1"/>
  <c r="I11" i="29" s="1"/>
  <c r="H11" i="29" a="1"/>
  <c r="H11" i="29" s="1"/>
  <c r="G11" i="29" a="1"/>
  <c r="G11" i="29" s="1"/>
  <c r="F11" i="29" a="1"/>
  <c r="F11" i="29" s="1"/>
  <c r="E11" i="29" a="1"/>
  <c r="E11" i="29" s="1"/>
  <c r="E33" i="31" s="1"/>
  <c r="D11" i="29" a="1"/>
  <c r="D11" i="29" s="1"/>
  <c r="L10" i="29" a="1"/>
  <c r="L10" i="29" s="1"/>
  <c r="K10" i="29" a="1"/>
  <c r="K10" i="29" s="1"/>
  <c r="J10" i="29" a="1"/>
  <c r="J10" i="29" s="1"/>
  <c r="I10" i="29" a="1"/>
  <c r="I10" i="29" s="1"/>
  <c r="H10" i="29" a="1"/>
  <c r="H10" i="29" s="1"/>
  <c r="G10" i="29" a="1"/>
  <c r="G10" i="29" s="1"/>
  <c r="F10" i="29" a="1"/>
  <c r="F10" i="29" s="1"/>
  <c r="E10" i="29" a="1"/>
  <c r="E10" i="29" s="1"/>
  <c r="D10" i="29" a="1"/>
  <c r="D10" i="29" s="1"/>
  <c r="D8" i="29" a="1"/>
  <c r="D8" i="29" s="1"/>
  <c r="D7" i="29" a="1"/>
  <c r="D7" i="29" s="1"/>
  <c r="D6" i="29" a="1"/>
  <c r="D6" i="29" s="1"/>
  <c r="D5" i="29" a="1"/>
  <c r="D5" i="29" s="1"/>
  <c r="L7" i="31" a="1"/>
  <c r="L8" i="32" a="1"/>
  <c r="E7" i="31" a="1"/>
  <c r="E7" i="32" a="1"/>
  <c r="L34" i="32" l="1" a="1"/>
  <c r="L34" i="32" s="1"/>
  <c r="M34" i="32" a="1"/>
  <c r="M34" i="32" s="1"/>
  <c r="L25" i="31" a="1"/>
  <c r="L25" i="31" s="1"/>
  <c r="M25" i="31" a="1"/>
  <c r="M25" i="31" s="1"/>
  <c r="L30" i="31" a="1"/>
  <c r="L30" i="31" s="1"/>
  <c r="M33" i="31" a="1"/>
  <c r="M33" i="31" s="1"/>
  <c r="L33" i="31" a="1"/>
  <c r="L33" i="31" s="1"/>
  <c r="L26" i="31" a="1"/>
  <c r="L26" i="31" s="1"/>
  <c r="L25" i="32" a="1"/>
  <c r="L25" i="32" s="1"/>
  <c r="L38" i="31" a="1"/>
  <c r="L38" i="31" s="1"/>
  <c r="L36" i="31" a="1"/>
  <c r="L36" i="31" s="1"/>
  <c r="M30" i="31" a="1"/>
  <c r="M30" i="31" s="1"/>
  <c r="D34" i="32"/>
  <c r="D35" i="32"/>
  <c r="L35" i="32" s="1" a="1"/>
  <c r="L35" i="32" s="1"/>
  <c r="D30" i="31"/>
  <c r="D36" i="32"/>
  <c r="L36" i="32" s="1" a="1"/>
  <c r="L36" i="32" s="1"/>
  <c r="D29" i="41" a="1"/>
  <c r="D29" i="41" s="1"/>
  <c r="E26" i="32"/>
  <c r="G26" i="32" s="1"/>
  <c r="K25" i="32"/>
  <c r="J35" i="32"/>
  <c r="E34" i="32"/>
  <c r="H34" i="32" s="1"/>
  <c r="J39" i="32"/>
  <c r="K39" i="32" a="1"/>
  <c r="K39" i="32" s="1"/>
  <c r="J33" i="32"/>
  <c r="K31" i="32"/>
  <c r="I36" i="32"/>
  <c r="K36" i="32"/>
  <c r="J36" i="32"/>
  <c r="J40" i="32"/>
  <c r="G40" i="32"/>
  <c r="J30" i="32"/>
  <c r="G30" i="32"/>
  <c r="K30" i="32"/>
  <c r="K27" i="32"/>
  <c r="E32" i="32"/>
  <c r="G32" i="32" s="1"/>
  <c r="E28" i="32"/>
  <c r="H28" i="32" s="1"/>
  <c r="E37" i="32"/>
  <c r="J37" i="32" s="1"/>
  <c r="E38" i="32"/>
  <c r="H38" i="32" s="1"/>
  <c r="E29" i="32"/>
  <c r="K29" i="32" s="1"/>
  <c r="L34" i="31" a="1"/>
  <c r="L34" i="31" s="1"/>
  <c r="K40" i="32" a="1"/>
  <c r="K40" i="32" s="1"/>
  <c r="G25" i="32"/>
  <c r="G27" i="32"/>
  <c r="G31" i="32"/>
  <c r="M33" i="32" a="1"/>
  <c r="M33" i="32" s="1"/>
  <c r="D27" i="32"/>
  <c r="L27" i="32" s="1" a="1"/>
  <c r="L27" i="32" s="1"/>
  <c r="H25" i="32"/>
  <c r="H27" i="32"/>
  <c r="H31" i="32"/>
  <c r="G33" i="32"/>
  <c r="G35" i="32"/>
  <c r="G39" i="32"/>
  <c r="L37" i="32" a="1"/>
  <c r="L37" i="32" s="1"/>
  <c r="D28" i="32"/>
  <c r="L28" i="32" s="1" a="1"/>
  <c r="L28" i="32" s="1"/>
  <c r="I25" i="32"/>
  <c r="I27" i="32"/>
  <c r="I31" i="32"/>
  <c r="H33" i="32"/>
  <c r="H35" i="32"/>
  <c r="H39" i="32"/>
  <c r="M36" i="32" a="1"/>
  <c r="M36" i="32" s="1"/>
  <c r="D29" i="32"/>
  <c r="L29" i="32" s="1" a="1"/>
  <c r="L29" i="32" s="1"/>
  <c r="J25" i="32"/>
  <c r="J27" i="32"/>
  <c r="J31" i="32"/>
  <c r="I33" i="32"/>
  <c r="I35" i="32"/>
  <c r="I39" i="32"/>
  <c r="L26" i="32" a="1"/>
  <c r="L26" i="32" s="1"/>
  <c r="D30" i="32"/>
  <c r="L30" i="32" s="1" a="1"/>
  <c r="L30" i="32" s="1"/>
  <c r="M32" i="32" a="1"/>
  <c r="M32" i="32" s="1"/>
  <c r="K33" i="32"/>
  <c r="K35" i="32"/>
  <c r="H30" i="32"/>
  <c r="G36" i="32"/>
  <c r="H40" i="32"/>
  <c r="I30" i="32"/>
  <c r="H36" i="32"/>
  <c r="I40" i="32"/>
  <c r="K28" i="31" a="1"/>
  <c r="K28" i="31" s="1"/>
  <c r="H31" i="31" a="1"/>
  <c r="H31" i="31" s="1"/>
  <c r="I36" i="31" a="1"/>
  <c r="I36" i="31" s="1"/>
  <c r="H35" i="31" a="1"/>
  <c r="H35" i="31" s="1"/>
  <c r="I30" i="31" a="1"/>
  <c r="I30" i="31" s="1"/>
  <c r="I33" i="31" a="1"/>
  <c r="I33" i="31" s="1"/>
  <c r="I27" i="31" a="1"/>
  <c r="I27" i="31" s="1"/>
  <c r="G29" i="31" a="1"/>
  <c r="G29" i="31" s="1"/>
  <c r="E7" i="32"/>
  <c r="L8" i="32"/>
  <c r="K32" i="31" a="1"/>
  <c r="K32" i="31" s="1"/>
  <c r="J32" i="31" a="1"/>
  <c r="J32" i="31" s="1"/>
  <c r="H39" i="31" a="1"/>
  <c r="H39" i="31" s="1"/>
  <c r="J33" i="31" a="1"/>
  <c r="J33" i="31" s="1"/>
  <c r="F50" i="32"/>
  <c r="J39" i="31" a="1"/>
  <c r="J39" i="31" s="1"/>
  <c r="D39" i="32"/>
  <c r="L39" i="32" s="1" a="1"/>
  <c r="L39" i="32" s="1"/>
  <c r="D42" i="32"/>
  <c r="G32" i="31" a="1"/>
  <c r="G32" i="31" s="1"/>
  <c r="F51" i="32"/>
  <c r="G27" i="31" a="1"/>
  <c r="G27" i="31" s="1"/>
  <c r="F43" i="32"/>
  <c r="H29" i="31" a="1"/>
  <c r="H29" i="31" s="1"/>
  <c r="K39" i="31" a="1"/>
  <c r="K39" i="31" s="1"/>
  <c r="G33" i="31" a="1"/>
  <c r="G33" i="31" s="1"/>
  <c r="H27" i="31" a="1"/>
  <c r="H27" i="31" s="1"/>
  <c r="F52" i="32"/>
  <c r="E37" i="31"/>
  <c r="K37" i="31" s="1" a="1"/>
  <c r="K37" i="31" s="1"/>
  <c r="F44" i="32"/>
  <c r="E25" i="31"/>
  <c r="J25" i="31" s="1" a="1"/>
  <c r="J25" i="31" s="1"/>
  <c r="K33" i="31" a="1"/>
  <c r="K33" i="31" s="1"/>
  <c r="D26" i="32"/>
  <c r="D33" i="32"/>
  <c r="F55" i="32"/>
  <c r="E38" i="31"/>
  <c r="K38" i="31" s="1" a="1"/>
  <c r="K38" i="31" s="1"/>
  <c r="F45" i="32"/>
  <c r="E26" i="31"/>
  <c r="I26" i="31" s="1" a="1"/>
  <c r="I26" i="31" s="1"/>
  <c r="H33" i="31" a="1"/>
  <c r="H33" i="31" s="1"/>
  <c r="I32" i="31" a="1"/>
  <c r="I32" i="31" s="1"/>
  <c r="J27" i="31" a="1"/>
  <c r="J27" i="31" s="1"/>
  <c r="D31" i="32"/>
  <c r="L31" i="32" s="1" a="1"/>
  <c r="L31" i="32" s="1"/>
  <c r="D40" i="32"/>
  <c r="F56" i="32"/>
  <c r="K27" i="31" a="1"/>
  <c r="K27" i="31" s="1"/>
  <c r="D38" i="32"/>
  <c r="L38" i="32" s="1" a="1"/>
  <c r="L38" i="32" s="1"/>
  <c r="F46" i="32"/>
  <c r="D48" i="32"/>
  <c r="F57" i="32"/>
  <c r="F49" i="32"/>
  <c r="J34" i="31" a="1"/>
  <c r="J34" i="31" s="1"/>
  <c r="L27" i="31" a="1"/>
  <c r="L27" i="31" s="1"/>
  <c r="L29" i="31" a="1"/>
  <c r="L29" i="31" s="1"/>
  <c r="G36" i="31" a="1"/>
  <c r="G36" i="31" s="1"/>
  <c r="K31" i="31" a="1"/>
  <c r="K31" i="31" s="1"/>
  <c r="L37" i="31" a="1"/>
  <c r="L37" i="31" s="1"/>
  <c r="G31" i="31" a="1"/>
  <c r="G31" i="31" s="1"/>
  <c r="G28" i="31" a="1"/>
  <c r="G28" i="31" s="1"/>
  <c r="L28" i="31" a="1"/>
  <c r="L28" i="31" s="1"/>
  <c r="D54" i="31"/>
  <c r="H30" i="31" a="1"/>
  <c r="H30" i="31" s="1"/>
  <c r="J36" i="31" a="1"/>
  <c r="J36" i="31" s="1"/>
  <c r="K36" i="31" a="1"/>
  <c r="K36" i="31" s="1"/>
  <c r="I35" i="31" a="1"/>
  <c r="I35" i="31" s="1"/>
  <c r="I31" i="31" a="1"/>
  <c r="I31" i="31" s="1"/>
  <c r="K35" i="31" a="1"/>
  <c r="K35" i="31" s="1"/>
  <c r="J28" i="31" a="1"/>
  <c r="J28" i="31" s="1"/>
  <c r="M29" i="31" a="1"/>
  <c r="M29" i="31" s="1"/>
  <c r="H32" i="31" a="1"/>
  <c r="H32" i="31" s="1"/>
  <c r="I29" i="31" a="1"/>
  <c r="I29" i="31" s="1"/>
  <c r="K30" i="31" a="1"/>
  <c r="K30" i="31" s="1"/>
  <c r="J35" i="31" a="1"/>
  <c r="J35" i="31" s="1"/>
  <c r="M27" i="31" a="1"/>
  <c r="M27" i="31" s="1"/>
  <c r="H28" i="31" a="1"/>
  <c r="H28" i="31" s="1"/>
  <c r="G34" i="31" a="1"/>
  <c r="G34" i="31" s="1"/>
  <c r="G30" i="31" a="1"/>
  <c r="G30" i="31" s="1"/>
  <c r="J31" i="31" a="1"/>
  <c r="J31" i="31" s="1"/>
  <c r="D27" i="31"/>
  <c r="K29" i="31" a="1"/>
  <c r="K29" i="31" s="1"/>
  <c r="M35" i="31" a="1"/>
  <c r="M35" i="31" s="1"/>
  <c r="H34" i="31" a="1"/>
  <c r="H34" i="31" s="1"/>
  <c r="J29" i="31" a="1"/>
  <c r="J29" i="31" s="1"/>
  <c r="H36" i="31" a="1"/>
  <c r="H36" i="31" s="1"/>
  <c r="K34" i="31" a="1"/>
  <c r="K34" i="31" s="1"/>
  <c r="J30" i="31" a="1"/>
  <c r="J30" i="31" s="1"/>
  <c r="G35" i="31" a="1"/>
  <c r="G35" i="31" s="1"/>
  <c r="I39" i="31" a="1"/>
  <c r="I39" i="31" s="1"/>
  <c r="I28" i="31" a="1"/>
  <c r="I28" i="31" s="1"/>
  <c r="G39" i="31" a="1"/>
  <c r="G39" i="31" s="1"/>
  <c r="I34" i="31" a="1"/>
  <c r="I34" i="31" s="1"/>
  <c r="M34" i="31" a="1"/>
  <c r="M34" i="31" s="1"/>
  <c r="E7" i="31"/>
  <c r="L7" i="31"/>
  <c r="F44" i="31"/>
  <c r="F63" i="31"/>
  <c r="F45" i="31"/>
  <c r="F55" i="31"/>
  <c r="F64" i="31"/>
  <c r="F46" i="31"/>
  <c r="F56" i="31"/>
  <c r="D32" i="31"/>
  <c r="L32" i="31" s="1" a="1"/>
  <c r="L32" i="31" s="1"/>
  <c r="F67" i="31"/>
  <c r="F57" i="31"/>
  <c r="F49" i="31"/>
  <c r="F68" i="31"/>
  <c r="D31" i="31"/>
  <c r="L31" i="31" s="1" a="1"/>
  <c r="L31" i="31" s="1"/>
  <c r="F58" i="31"/>
  <c r="F50" i="31"/>
  <c r="D60" i="31"/>
  <c r="D42" i="31"/>
  <c r="F69" i="31"/>
  <c r="F51" i="31"/>
  <c r="F61" i="31"/>
  <c r="F43" i="31"/>
  <c r="F70" i="31"/>
  <c r="F52" i="31"/>
  <c r="I26" i="32" l="1"/>
  <c r="K26" i="32"/>
  <c r="Q26" i="32" s="1" a="1"/>
  <c r="Q26" i="32" s="1"/>
  <c r="H26" i="32"/>
  <c r="N26" i="32" s="1" a="1"/>
  <c r="N26" i="32" s="1"/>
  <c r="J26" i="32"/>
  <c r="P26" i="32" s="1" a="1"/>
  <c r="P26" i="32" s="1"/>
  <c r="G34" i="32"/>
  <c r="K34" i="32"/>
  <c r="J34" i="32"/>
  <c r="Q33" i="31" a="1"/>
  <c r="Q33" i="31" s="1"/>
  <c r="E52" i="31" s="1"/>
  <c r="N30" i="31" a="1"/>
  <c r="N30" i="31" s="1"/>
  <c r="Q35" i="32" a="1"/>
  <c r="Q35" i="32" s="1"/>
  <c r="I34" i="32"/>
  <c r="I25" i="31" a="1"/>
  <c r="I25" i="31" s="1"/>
  <c r="P36" i="32" a="1"/>
  <c r="P36" i="32" s="1"/>
  <c r="P33" i="31" a="1"/>
  <c r="P33" i="31" s="1"/>
  <c r="E51" i="31" s="1"/>
  <c r="N33" i="31" a="1"/>
  <c r="N33" i="31" s="1"/>
  <c r="E49" i="31" s="1"/>
  <c r="I37" i="32"/>
  <c r="I38" i="31" a="1"/>
  <c r="I38" i="31" s="1"/>
  <c r="Q34" i="31" a="1"/>
  <c r="Q34" i="31" s="1"/>
  <c r="Q39" i="32" a="1"/>
  <c r="Q39" i="32" s="1"/>
  <c r="O36" i="31" a="1"/>
  <c r="O36" i="31" s="1"/>
  <c r="N29" i="31" a="1"/>
  <c r="N29" i="31" s="1"/>
  <c r="O33" i="31" a="1"/>
  <c r="O33" i="31" s="1"/>
  <c r="E50" i="31" s="1"/>
  <c r="I29" i="32"/>
  <c r="I38" i="32"/>
  <c r="K38" i="32"/>
  <c r="J38" i="32"/>
  <c r="J29" i="32"/>
  <c r="I32" i="32"/>
  <c r="O32" i="32" s="1" a="1"/>
  <c r="O32" i="32" s="1"/>
  <c r="K32" i="32"/>
  <c r="Q32" i="32" s="1" a="1"/>
  <c r="Q32" i="32" s="1"/>
  <c r="J32" i="32"/>
  <c r="P32" i="32" s="1" a="1"/>
  <c r="P32" i="32" s="1"/>
  <c r="N36" i="32" a="1"/>
  <c r="N36" i="32" s="1"/>
  <c r="J28" i="32"/>
  <c r="K28" i="32"/>
  <c r="G28" i="32"/>
  <c r="N28" i="32" s="1" a="1"/>
  <c r="N28" i="32" s="1"/>
  <c r="G37" i="32"/>
  <c r="P37" i="32" s="1" a="1"/>
  <c r="P37" i="32" s="1"/>
  <c r="H32" i="32"/>
  <c r="N32" i="32" s="1" a="1"/>
  <c r="N32" i="32" s="1"/>
  <c r="G29" i="32"/>
  <c r="Q29" i="32" s="1" a="1"/>
  <c r="Q29" i="32" s="1"/>
  <c r="Q36" i="32" a="1"/>
  <c r="Q36" i="32" s="1"/>
  <c r="I28" i="32"/>
  <c r="H37" i="32"/>
  <c r="H29" i="32"/>
  <c r="H25" i="31" a="1"/>
  <c r="H25" i="31" s="1"/>
  <c r="Q28" i="31" a="1"/>
  <c r="Q28" i="31" s="1"/>
  <c r="K37" i="32"/>
  <c r="G38" i="32"/>
  <c r="P30" i="32" a="1"/>
  <c r="P30" i="32" s="1"/>
  <c r="Q30" i="32" a="1"/>
  <c r="Q30" i="32" s="1"/>
  <c r="O30" i="32" a="1"/>
  <c r="O30" i="32" s="1"/>
  <c r="N30" i="32" a="1"/>
  <c r="N30" i="32" s="1"/>
  <c r="O36" i="32" a="1"/>
  <c r="O36" i="32" s="1"/>
  <c r="L40" i="32" a="1"/>
  <c r="L40" i="32" s="1"/>
  <c r="Q40" i="32" s="1" a="1"/>
  <c r="Q40" i="32" s="1"/>
  <c r="L33" i="32" a="1"/>
  <c r="L33" i="32" s="1"/>
  <c r="P33" i="32" s="1" a="1"/>
  <c r="P33" i="32" s="1"/>
  <c r="K25" i="31" a="1"/>
  <c r="K25" i="31" s="1"/>
  <c r="I37" i="31" a="1"/>
  <c r="I37" i="31" s="1"/>
  <c r="G25" i="31" a="1"/>
  <c r="G25" i="31" s="1"/>
  <c r="P27" i="31" a="1"/>
  <c r="P27" i="31" s="1"/>
  <c r="Q29" i="31" a="1"/>
  <c r="Q29" i="31" s="1"/>
  <c r="G26" i="31" a="1"/>
  <c r="G26" i="31" s="1"/>
  <c r="O26" i="31" s="1" a="1"/>
  <c r="O26" i="31" s="1"/>
  <c r="P39" i="32" a="1"/>
  <c r="P39" i="32" s="1"/>
  <c r="O39" i="32" a="1"/>
  <c r="O39" i="32" s="1"/>
  <c r="N39" i="32" a="1"/>
  <c r="N39" i="32" s="1"/>
  <c r="O34" i="31" a="1"/>
  <c r="O34" i="31" s="1"/>
  <c r="H37" i="31" a="1"/>
  <c r="H37" i="31" s="1"/>
  <c r="G37" i="31" a="1"/>
  <c r="G37" i="31" s="1"/>
  <c r="N35" i="32" a="1"/>
  <c r="N35" i="32" s="1"/>
  <c r="N25" i="32" a="1"/>
  <c r="N25" i="32" s="1"/>
  <c r="Q25" i="32" a="1"/>
  <c r="Q25" i="32" s="1"/>
  <c r="P25" i="32" a="1"/>
  <c r="P25" i="32" s="1"/>
  <c r="O25" i="32" a="1"/>
  <c r="O25" i="32" s="1"/>
  <c r="Q31" i="32" a="1"/>
  <c r="Q31" i="32" s="1"/>
  <c r="O35" i="32" a="1"/>
  <c r="O35" i="32" s="1"/>
  <c r="P35" i="32" a="1"/>
  <c r="P35" i="32" s="1"/>
  <c r="P31" i="32" a="1"/>
  <c r="P31" i="32" s="1"/>
  <c r="O31" i="32" a="1"/>
  <c r="O31" i="32" s="1"/>
  <c r="N31" i="32" a="1"/>
  <c r="N31" i="32" s="1"/>
  <c r="P28" i="31" a="1"/>
  <c r="P28" i="31" s="1"/>
  <c r="Q30" i="31" a="1"/>
  <c r="Q30" i="31" s="1"/>
  <c r="O27" i="32" a="1"/>
  <c r="O27" i="32" s="1"/>
  <c r="N27" i="32" a="1"/>
  <c r="N27" i="32" s="1"/>
  <c r="Q27" i="32" a="1"/>
  <c r="Q27" i="32" s="1"/>
  <c r="P27" i="32" a="1"/>
  <c r="P27" i="32" s="1"/>
  <c r="J38" i="31" a="1"/>
  <c r="J38" i="31" s="1"/>
  <c r="K26" i="31" a="1"/>
  <c r="K26" i="31" s="1"/>
  <c r="G38" i="31" a="1"/>
  <c r="G38" i="31" s="1"/>
  <c r="Q27" i="31" a="1"/>
  <c r="Q27" i="31" s="1"/>
  <c r="H38" i="31" a="1"/>
  <c r="H38" i="31" s="1"/>
  <c r="O26" i="32" a="1"/>
  <c r="O26" i="32" s="1"/>
  <c r="N27" i="31" a="1"/>
  <c r="N27" i="31" s="1"/>
  <c r="O27" i="31" a="1"/>
  <c r="O27" i="31" s="1"/>
  <c r="J37" i="31" a="1"/>
  <c r="J37" i="31" s="1"/>
  <c r="P29" i="31" a="1"/>
  <c r="P29" i="31" s="1"/>
  <c r="H26" i="31" a="1"/>
  <c r="H26" i="31" s="1"/>
  <c r="J26" i="31" a="1"/>
  <c r="J26" i="31" s="1"/>
  <c r="O30" i="31" a="1"/>
  <c r="O30" i="31" s="1"/>
  <c r="P34" i="31" a="1"/>
  <c r="P34" i="31" s="1"/>
  <c r="P30" i="31" a="1"/>
  <c r="P30" i="31" s="1"/>
  <c r="O29" i="31" a="1"/>
  <c r="O29" i="31" s="1"/>
  <c r="N34" i="31" a="1"/>
  <c r="N34" i="31" s="1"/>
  <c r="N35" i="31" a="1"/>
  <c r="N35" i="31" s="1"/>
  <c r="Q35" i="31" a="1"/>
  <c r="Q35" i="31" s="1"/>
  <c r="P35" i="31" a="1"/>
  <c r="P35" i="31" s="1"/>
  <c r="O35" i="31" a="1"/>
  <c r="O35" i="31" s="1"/>
  <c r="P36" i="31" a="1"/>
  <c r="P36" i="31" s="1"/>
  <c r="Q36" i="31" a="1"/>
  <c r="Q36" i="31" s="1"/>
  <c r="N36" i="31" a="1"/>
  <c r="N36" i="31" s="1"/>
  <c r="N28" i="31" a="1"/>
  <c r="N28" i="31" s="1"/>
  <c r="O31" i="31" a="1"/>
  <c r="O31" i="31" s="1"/>
  <c r="N31" i="31" a="1"/>
  <c r="N31" i="31" s="1"/>
  <c r="P31" i="31" a="1"/>
  <c r="P31" i="31" s="1"/>
  <c r="O28" i="31" a="1"/>
  <c r="O28" i="31" s="1"/>
  <c r="P32" i="31" a="1"/>
  <c r="P32" i="31" s="1"/>
  <c r="O32" i="31" a="1"/>
  <c r="O32" i="31" s="1"/>
  <c r="N32" i="31" a="1"/>
  <c r="N32" i="31" s="1"/>
  <c r="Q31" i="31" a="1"/>
  <c r="Q31" i="31" s="1"/>
  <c r="Q39" i="31" a="1"/>
  <c r="Q39" i="31" s="1"/>
  <c r="P39" i="31" a="1"/>
  <c r="P39" i="31" s="1"/>
  <c r="O39" i="31" a="1"/>
  <c r="O39" i="31" s="1"/>
  <c r="N39" i="31" a="1"/>
  <c r="N39" i="31" s="1"/>
  <c r="Q32" i="31" a="1"/>
  <c r="Q32" i="31" s="1"/>
  <c r="O25" i="31" l="1" a="1"/>
  <c r="O25" i="31" s="1"/>
  <c r="E44" i="31" s="1"/>
  <c r="Q34" i="32" a="1"/>
  <c r="Q34" i="32" s="1"/>
  <c r="P34" i="32" a="1"/>
  <c r="P34" i="32" s="1"/>
  <c r="N34" i="32" a="1"/>
  <c r="N34" i="32" s="1"/>
  <c r="O34" i="32" a="1"/>
  <c r="O34" i="32" s="1"/>
  <c r="O38" i="31" a="1"/>
  <c r="O38" i="31" s="1"/>
  <c r="N38" i="31" a="1"/>
  <c r="N38" i="31" s="1"/>
  <c r="Q26" i="31" a="1"/>
  <c r="Q26" i="31" s="1"/>
  <c r="N26" i="31" a="1"/>
  <c r="N26" i="31" s="1"/>
  <c r="P26" i="31" a="1"/>
  <c r="P26" i="31" s="1"/>
  <c r="O28" i="32" a="1"/>
  <c r="O28" i="32" s="1"/>
  <c r="O29" i="32" a="1"/>
  <c r="O29" i="32" s="1"/>
  <c r="N29" i="32" a="1"/>
  <c r="N29" i="32" s="1"/>
  <c r="E43" i="32" s="1"/>
  <c r="P29" i="32" a="1"/>
  <c r="P29" i="32" s="1"/>
  <c r="Q28" i="32" a="1"/>
  <c r="Q28" i="32" s="1"/>
  <c r="E46" i="32" s="1"/>
  <c r="N37" i="31" a="1"/>
  <c r="N37" i="31" s="1"/>
  <c r="Q25" i="31" a="1"/>
  <c r="Q25" i="31" s="1"/>
  <c r="P38" i="32" a="1"/>
  <c r="P38" i="32" s="1"/>
  <c r="P38" i="31" a="1"/>
  <c r="P38" i="31" s="1"/>
  <c r="Q37" i="32" a="1"/>
  <c r="Q37" i="32" s="1"/>
  <c r="Q38" i="32" a="1"/>
  <c r="Q38" i="32" s="1"/>
  <c r="P28" i="32" a="1"/>
  <c r="P28" i="32" s="1"/>
  <c r="N25" i="31" a="1"/>
  <c r="N25" i="31" s="1"/>
  <c r="N38" i="32" a="1"/>
  <c r="N38" i="32" s="1"/>
  <c r="N37" i="32" a="1"/>
  <c r="N37" i="32" s="1"/>
  <c r="P25" i="31" a="1"/>
  <c r="P25" i="31" s="1"/>
  <c r="O38" i="32" a="1"/>
  <c r="O38" i="32" s="1"/>
  <c r="O37" i="32" a="1"/>
  <c r="O37" i="32" s="1"/>
  <c r="E58" i="31"/>
  <c r="O40" i="32" a="1"/>
  <c r="O40" i="32" s="1"/>
  <c r="E56" i="31"/>
  <c r="Q33" i="32" a="1"/>
  <c r="Q33" i="32" s="1"/>
  <c r="N33" i="32" a="1"/>
  <c r="N33" i="32" s="1"/>
  <c r="N40" i="32" a="1"/>
  <c r="N40" i="32" s="1"/>
  <c r="P40" i="32" a="1"/>
  <c r="P40" i="32" s="1"/>
  <c r="O33" i="32" a="1"/>
  <c r="O33" i="32" s="1"/>
  <c r="Q38" i="31" a="1"/>
  <c r="Q38" i="31" s="1"/>
  <c r="Q37" i="31" a="1"/>
  <c r="Q37" i="31" s="1"/>
  <c r="O37" i="31" a="1"/>
  <c r="O37" i="31" s="1"/>
  <c r="P37" i="31" a="1"/>
  <c r="P37" i="31" s="1"/>
  <c r="E57" i="31"/>
  <c r="E55" i="31"/>
  <c r="E62" i="31" l="1"/>
  <c r="E68" i="31" s="1"/>
  <c r="E45" i="31"/>
  <c r="E43" i="31"/>
  <c r="E51" i="32"/>
  <c r="E44" i="32"/>
  <c r="E61" i="31"/>
  <c r="E45" i="32"/>
  <c r="E46" i="31"/>
  <c r="E52" i="32"/>
  <c r="E58" i="32" s="1"/>
  <c r="I516" i="19" s="1"/>
  <c r="E63" i="31"/>
  <c r="E50" i="32"/>
  <c r="E49" i="32"/>
  <c r="E55" i="32" s="1"/>
  <c r="E64" i="31"/>
  <c r="E67" i="31" l="1"/>
  <c r="E69" i="31"/>
  <c r="E57" i="32"/>
  <c r="E56" i="32"/>
  <c r="E70" i="31"/>
  <c r="I515" i="19" l="1"/>
  <c r="E518" i="19" s="1" a="1"/>
  <c r="E518" i="19" s="1"/>
  <c r="D221" i="19" a="1"/>
  <c r="D221" i="19"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AD237" i="19" a="1"/>
  <c r="AD237" i="19" s="1"/>
  <c r="AC237" i="19" a="1"/>
  <c r="AC237" i="19" s="1"/>
  <c r="Z237" i="19" a="1"/>
  <c r="Z237" i="19" s="1"/>
  <c r="Y237" i="19" a="1"/>
  <c r="Y237" i="19" s="1"/>
  <c r="V237" i="19" a="1"/>
  <c r="V237" i="19" s="1"/>
  <c r="U237" i="19" a="1"/>
  <c r="U237" i="19" s="1"/>
  <c r="R237" i="19" a="1"/>
  <c r="R237" i="19" s="1"/>
  <c r="Q237" i="19" a="1"/>
  <c r="Q237" i="19" s="1"/>
  <c r="P237" i="19" a="1"/>
  <c r="P237" i="19" s="1"/>
  <c r="D237" i="19" a="1"/>
  <c r="D237" i="19" s="1"/>
  <c r="D202" i="19" a="1"/>
  <c r="D202" i="19" s="1"/>
  <c r="E207" i="19" a="1"/>
  <c r="E207" i="19" s="1"/>
  <c r="E206" i="19" a="1"/>
  <c r="E206" i="19" s="1"/>
  <c r="D201" i="19" a="1"/>
  <c r="D201" i="19" s="1"/>
  <c r="D200" i="19" a="1"/>
  <c r="D200" i="19" s="1"/>
  <c r="D430" i="19" a="1"/>
  <c r="D430" i="19" s="1"/>
  <c r="E430" i="19" a="1"/>
  <c r="F430" i="19" a="1"/>
  <c r="J435" i="19" s="1" a="1"/>
  <c r="J435" i="19" s="1"/>
  <c r="E385" i="19" a="1"/>
  <c r="E100" i="19" a="1"/>
  <c r="E355" i="19" a="1"/>
  <c r="E418" i="19" a="1"/>
  <c r="E258" i="19" a="1"/>
  <c r="E203" i="19" a="1"/>
  <c r="E174" i="19" a="1"/>
  <c r="E188" i="19" a="1"/>
  <c r="E290" i="19" a="1"/>
  <c r="E323" i="19" a="1"/>
  <c r="E29" i="41" l="1"/>
  <c r="F29" i="41" s="1"/>
  <c r="D23" i="41" a="1"/>
  <c r="D23" i="41" s="1"/>
  <c r="D18" i="4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E258" i="19"/>
  <c r="E174" i="19"/>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Z119" i="19" a="1"/>
  <c r="Z119" i="19" s="1"/>
  <c r="AA119" i="19" a="1"/>
  <c r="AA119" i="19" s="1"/>
  <c r="I136" i="19" a="1"/>
  <c r="I136" i="19" s="1"/>
  <c r="I137" i="19" a="1"/>
  <c r="I137" i="19" s="1"/>
  <c r="E151" i="19" a="1"/>
  <c r="Y119" i="19" l="1"/>
  <c r="F621" i="19"/>
  <c r="F620" i="19"/>
  <c r="F642" i="19"/>
  <c r="F638" i="19"/>
  <c r="F641" i="19"/>
  <c r="F639" i="19"/>
  <c r="E411" i="19"/>
  <c r="F22" i="41"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86" i="19" a="1"/>
  <c r="D186" i="19" s="1"/>
  <c r="D157" i="19" a="1"/>
  <c r="D157" i="19" s="1"/>
  <c r="D150" i="19" a="1"/>
  <c r="D150" i="19" s="1"/>
  <c r="D16" i="41" s="1" a="1"/>
  <c r="D16" i="41" s="1"/>
  <c r="D149" i="19" a="1"/>
  <c r="D149" i="19" s="1"/>
  <c r="D106" i="19" a="1"/>
  <c r="D106"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D15" i="41" l="1" a="1"/>
  <c r="D15" i="41" s="1"/>
  <c r="D10" i="41" a="1"/>
  <c r="D10" i="41" s="1"/>
  <c r="D17" i="41" a="1"/>
  <c r="D17"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E167" i="19"/>
  <c r="F16" i="41" s="1"/>
  <c r="F167" i="19"/>
  <c r="I119" i="19" a="1"/>
  <c r="I119" i="19" s="1"/>
  <c r="F35" i="19"/>
  <c r="F34" i="19"/>
  <c r="F93" i="19"/>
  <c r="F94" i="19"/>
  <c r="J61" i="19" a="1"/>
  <c r="J61" i="19" s="1"/>
  <c r="F72" i="19"/>
  <c r="F73" i="19"/>
  <c r="F53" i="19"/>
  <c r="F54" i="19"/>
  <c r="F90" i="19"/>
  <c r="J62" i="19" a="1"/>
  <c r="J62" i="19" s="1"/>
  <c r="E7" i="19"/>
  <c r="H79" i="19" l="1"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L341" i="19"/>
  <c r="L337" i="19"/>
  <c r="L339" i="19"/>
  <c r="L338" i="19"/>
  <c r="L340" i="19"/>
  <c r="L342" i="19"/>
  <c r="L343" i="19"/>
  <c r="L344" i="19"/>
  <c r="L345" i="19"/>
  <c r="E490" i="19"/>
  <c r="K490" i="19" s="1" a="1"/>
  <c r="K490" i="19" s="1"/>
  <c r="E502" i="19" l="1"/>
  <c r="F28" i="41" s="1"/>
  <c r="E348" i="19"/>
  <c r="F20" i="41" s="1"/>
  <c r="J79" i="19" a="1"/>
  <c r="J79" i="19" s="1"/>
  <c r="D79" i="19" l="1" a="1"/>
  <c r="D79" i="19" s="1"/>
  <c r="E123" i="26" a="1"/>
  <c r="E123" i="26" s="1"/>
  <c r="D123" i="26" a="1"/>
  <c r="D123" i="26" s="1"/>
  <c r="E122" i="26" a="1"/>
  <c r="E122" i="26" s="1"/>
  <c r="D122" i="26" a="1"/>
  <c r="D122" i="26" s="1"/>
  <c r="E121" i="26" a="1"/>
  <c r="E121" i="26" s="1"/>
  <c r="D121" i="26" a="1"/>
  <c r="D121" i="26" s="1"/>
  <c r="E120" i="26" a="1"/>
  <c r="E120" i="26" s="1"/>
  <c r="D120" i="26" a="1"/>
  <c r="D120" i="26" s="1"/>
  <c r="D118" i="26" a="1"/>
  <c r="D118" i="26" s="1"/>
  <c r="D117" i="26" a="1"/>
  <c r="D117" i="26" s="1"/>
  <c r="F115" i="26" a="1"/>
  <c r="F115" i="26" s="1"/>
  <c r="E115" i="26" a="1"/>
  <c r="E115" i="26" s="1"/>
  <c r="D115" i="26" a="1"/>
  <c r="D115" i="26" s="1"/>
  <c r="D114" i="26" a="1"/>
  <c r="D114" i="26" s="1"/>
  <c r="D113" i="26" a="1"/>
  <c r="D113" i="26" s="1"/>
  <c r="D112" i="26" a="1"/>
  <c r="D112" i="26" s="1"/>
  <c r="E110" i="26" a="1"/>
  <c r="E110" i="26" s="1"/>
  <c r="D110" i="26" a="1"/>
  <c r="D110" i="26" s="1"/>
  <c r="D109" i="26" a="1"/>
  <c r="D109" i="26" s="1"/>
  <c r="D108" i="26" a="1"/>
  <c r="D108" i="26" s="1"/>
  <c r="F105" i="26" a="1"/>
  <c r="F105" i="26" s="1"/>
  <c r="E105" i="26" a="1"/>
  <c r="E105" i="26" s="1"/>
  <c r="D105" i="26" a="1"/>
  <c r="D105" i="26" s="1"/>
  <c r="F104" i="26" a="1"/>
  <c r="F104" i="26" s="1"/>
  <c r="E104" i="26" a="1"/>
  <c r="E104" i="26" s="1"/>
  <c r="D104" i="26" a="1"/>
  <c r="D104" i="26" s="1"/>
  <c r="F103" i="26" a="1"/>
  <c r="F103" i="26" s="1"/>
  <c r="E103" i="26" a="1"/>
  <c r="E103" i="26" s="1"/>
  <c r="D103" i="26" a="1"/>
  <c r="D103" i="26" s="1"/>
  <c r="F102" i="26" a="1"/>
  <c r="F102" i="26" s="1"/>
  <c r="E102" i="26" a="1"/>
  <c r="E102" i="26" s="1"/>
  <c r="D102" i="26" a="1"/>
  <c r="D102" i="26" s="1"/>
  <c r="F101" i="26" a="1"/>
  <c r="F101" i="26" s="1"/>
  <c r="E101" i="26" a="1"/>
  <c r="E101" i="26" s="1"/>
  <c r="D101" i="26" a="1"/>
  <c r="D101" i="26" s="1"/>
  <c r="F100" i="26" a="1"/>
  <c r="F100" i="26" s="1"/>
  <c r="E100" i="26" a="1"/>
  <c r="E100" i="26" s="1"/>
  <c r="D100" i="26" a="1"/>
  <c r="D100" i="26" s="1"/>
  <c r="F99" i="26" a="1"/>
  <c r="F99" i="26" s="1"/>
  <c r="E99" i="26" a="1"/>
  <c r="E99" i="26" s="1"/>
  <c r="D99" i="26" a="1"/>
  <c r="D99" i="26" s="1"/>
  <c r="F98" i="26" a="1"/>
  <c r="F98" i="26" s="1"/>
  <c r="E98" i="26" a="1"/>
  <c r="E98" i="26" s="1"/>
  <c r="D98" i="26" a="1"/>
  <c r="D98" i="26" s="1"/>
  <c r="D96" i="26" a="1"/>
  <c r="D96" i="26" s="1"/>
  <c r="D95" i="26" a="1"/>
  <c r="D95" i="26" s="1"/>
  <c r="D94" i="26" a="1"/>
  <c r="D94" i="26" s="1"/>
  <c r="F91" i="26" a="1"/>
  <c r="F91" i="26" s="1"/>
  <c r="E91" i="26" a="1"/>
  <c r="E91" i="26" s="1"/>
  <c r="D91" i="26" a="1"/>
  <c r="D91" i="26" s="1"/>
  <c r="F90" i="26" a="1"/>
  <c r="F90" i="26" s="1"/>
  <c r="E90" i="26" a="1"/>
  <c r="E90" i="26" s="1"/>
  <c r="D90" i="26" a="1"/>
  <c r="D90" i="26" s="1"/>
  <c r="F89" i="26" a="1"/>
  <c r="F89" i="26" s="1"/>
  <c r="E89" i="26" a="1"/>
  <c r="E89" i="26" s="1"/>
  <c r="D89" i="26" a="1"/>
  <c r="D89" i="26" s="1"/>
  <c r="F88" i="26" a="1"/>
  <c r="F88" i="26" s="1"/>
  <c r="E88" i="26" a="1"/>
  <c r="E88" i="26" s="1"/>
  <c r="D88" i="26" a="1"/>
  <c r="D88" i="26" s="1"/>
  <c r="F87" i="26" a="1"/>
  <c r="F87" i="26" s="1"/>
  <c r="E87" i="26" a="1"/>
  <c r="E87" i="26" s="1"/>
  <c r="D87" i="26" a="1"/>
  <c r="D87" i="26" s="1"/>
  <c r="F86" i="26" a="1"/>
  <c r="F86" i="26" s="1"/>
  <c r="E86" i="26" a="1"/>
  <c r="E86" i="26" s="1"/>
  <c r="D86" i="26" a="1"/>
  <c r="D86" i="26" s="1"/>
  <c r="F85" i="26" a="1"/>
  <c r="F85" i="26" s="1"/>
  <c r="E85" i="26" a="1"/>
  <c r="E85" i="26" s="1"/>
  <c r="D85" i="26" a="1"/>
  <c r="D85" i="26" s="1"/>
  <c r="D83" i="26" a="1"/>
  <c r="D83" i="26" s="1"/>
  <c r="D82" i="26" a="1"/>
  <c r="D82" i="26" s="1"/>
  <c r="D81" i="26" a="1"/>
  <c r="D81" i="26" s="1"/>
  <c r="F78" i="26" a="1"/>
  <c r="F78" i="26" s="1"/>
  <c r="E78" i="26" a="1"/>
  <c r="E78" i="26" s="1"/>
  <c r="D78" i="26" a="1"/>
  <c r="D78" i="26" s="1"/>
  <c r="F77" i="26" a="1"/>
  <c r="F77" i="26" s="1"/>
  <c r="E77" i="26" a="1"/>
  <c r="E77" i="26" s="1"/>
  <c r="D77" i="26" a="1"/>
  <c r="D77" i="26" s="1"/>
  <c r="F76" i="26" a="1"/>
  <c r="F76" i="26" s="1"/>
  <c r="E76" i="26" a="1"/>
  <c r="E76" i="26" s="1"/>
  <c r="D76" i="26" a="1"/>
  <c r="D76" i="26" s="1"/>
  <c r="D74" i="26" a="1"/>
  <c r="D74" i="26" s="1"/>
  <c r="D73" i="26" a="1"/>
  <c r="D73" i="26" s="1"/>
  <c r="D72" i="26" a="1"/>
  <c r="D72" i="26" s="1"/>
  <c r="N68" i="26" a="1"/>
  <c r="N68" i="26" s="1"/>
  <c r="M68" i="26" a="1"/>
  <c r="M68" i="26" s="1"/>
  <c r="L68" i="26" a="1"/>
  <c r="L68" i="26" s="1"/>
  <c r="K68" i="26" a="1"/>
  <c r="K68" i="26" s="1"/>
  <c r="J68" i="26" a="1"/>
  <c r="J68" i="26" s="1"/>
  <c r="I68" i="26" a="1"/>
  <c r="I68" i="26" s="1"/>
  <c r="H68" i="26" a="1"/>
  <c r="H68" i="26" s="1"/>
  <c r="G68" i="26" a="1"/>
  <c r="G68" i="26" s="1"/>
  <c r="F68" i="26" a="1"/>
  <c r="F68" i="26" s="1"/>
  <c r="E68" i="26" a="1"/>
  <c r="E68" i="26" s="1"/>
  <c r="D68" i="26" a="1"/>
  <c r="D68" i="26" s="1"/>
  <c r="N67" i="26" a="1"/>
  <c r="N67" i="26" s="1"/>
  <c r="M67" i="26" a="1"/>
  <c r="M67" i="26" s="1"/>
  <c r="L67" i="26" a="1"/>
  <c r="L67" i="26" s="1"/>
  <c r="K67" i="26" a="1"/>
  <c r="K67" i="26" s="1"/>
  <c r="J67" i="26" a="1"/>
  <c r="J67" i="26" s="1"/>
  <c r="I67" i="26" a="1"/>
  <c r="I67" i="26" s="1"/>
  <c r="H67" i="26" a="1"/>
  <c r="H67" i="26" s="1"/>
  <c r="G67" i="26" a="1"/>
  <c r="G67" i="26" s="1"/>
  <c r="F67" i="26" a="1"/>
  <c r="F67" i="26" s="1"/>
  <c r="E67" i="26" a="1"/>
  <c r="E67" i="26" s="1"/>
  <c r="D67" i="26" a="1"/>
  <c r="D67" i="26" s="1"/>
  <c r="N66" i="26" a="1"/>
  <c r="N66" i="26" s="1"/>
  <c r="M66" i="26" a="1"/>
  <c r="M66" i="26" s="1"/>
  <c r="L66" i="26" a="1"/>
  <c r="L66" i="26" s="1"/>
  <c r="K66" i="26" a="1"/>
  <c r="K66" i="26" s="1"/>
  <c r="J66" i="26" a="1"/>
  <c r="J66" i="26" s="1"/>
  <c r="I66" i="26" a="1"/>
  <c r="I66" i="26" s="1"/>
  <c r="H66" i="26" a="1"/>
  <c r="H66" i="26" s="1"/>
  <c r="G66" i="26" a="1"/>
  <c r="G66" i="26" s="1"/>
  <c r="F66" i="26" a="1"/>
  <c r="F66" i="26" s="1"/>
  <c r="E66" i="26" a="1"/>
  <c r="E66" i="26" s="1"/>
  <c r="D66" i="26" a="1"/>
  <c r="D66" i="26" s="1"/>
  <c r="N65" i="26" a="1"/>
  <c r="N65" i="26" s="1"/>
  <c r="M65" i="26" a="1"/>
  <c r="M65" i="26" s="1"/>
  <c r="L65" i="26" a="1"/>
  <c r="L65" i="26" s="1"/>
  <c r="K65" i="26" a="1"/>
  <c r="K65" i="26" s="1"/>
  <c r="J65" i="26" a="1"/>
  <c r="J65" i="26" s="1"/>
  <c r="I65" i="26" a="1"/>
  <c r="I65" i="26" s="1"/>
  <c r="H65" i="26" a="1"/>
  <c r="H65" i="26" s="1"/>
  <c r="G65" i="26" a="1"/>
  <c r="G65" i="26" s="1"/>
  <c r="F65" i="26" a="1"/>
  <c r="F65" i="26" s="1"/>
  <c r="E65" i="26" a="1"/>
  <c r="E65" i="26" s="1"/>
  <c r="D65" i="26" a="1"/>
  <c r="D65" i="26" s="1"/>
  <c r="N64" i="26" a="1"/>
  <c r="N64" i="26" s="1"/>
  <c r="M64" i="26" a="1"/>
  <c r="M64" i="26" s="1"/>
  <c r="L64" i="26" a="1"/>
  <c r="L64" i="26" s="1"/>
  <c r="K64" i="26" a="1"/>
  <c r="K64" i="26" s="1"/>
  <c r="J64" i="26" a="1"/>
  <c r="J64" i="26" s="1"/>
  <c r="I64" i="26" a="1"/>
  <c r="I64" i="26" s="1"/>
  <c r="H64" i="26" a="1"/>
  <c r="H64" i="26" s="1"/>
  <c r="G64" i="26" a="1"/>
  <c r="G64" i="26" s="1"/>
  <c r="F64" i="26" a="1"/>
  <c r="F64" i="26" s="1"/>
  <c r="E64" i="26" a="1"/>
  <c r="E64" i="26" s="1"/>
  <c r="D64" i="26" a="1"/>
  <c r="D64" i="26" s="1"/>
  <c r="N63" i="26" a="1"/>
  <c r="N63" i="26" s="1"/>
  <c r="M63" i="26" a="1"/>
  <c r="M63" i="26" s="1"/>
  <c r="L63" i="26" a="1"/>
  <c r="L63" i="26" s="1"/>
  <c r="K63" i="26" a="1"/>
  <c r="K63" i="26" s="1"/>
  <c r="J63" i="26" a="1"/>
  <c r="J63" i="26" s="1"/>
  <c r="I63" i="26" a="1"/>
  <c r="I63" i="26" s="1"/>
  <c r="H63" i="26" a="1"/>
  <c r="H63" i="26" s="1"/>
  <c r="G63" i="26" a="1"/>
  <c r="G63" i="26" s="1"/>
  <c r="F63" i="26" a="1"/>
  <c r="F63" i="26" s="1"/>
  <c r="E63" i="26" a="1"/>
  <c r="E63" i="26" s="1"/>
  <c r="D63" i="26" a="1"/>
  <c r="D63" i="26" s="1"/>
  <c r="N62" i="26" a="1"/>
  <c r="N62" i="26" s="1"/>
  <c r="M62" i="26" a="1"/>
  <c r="M62" i="26" s="1"/>
  <c r="L62" i="26" a="1"/>
  <c r="L62" i="26" s="1"/>
  <c r="K62" i="26" a="1"/>
  <c r="K62" i="26" s="1"/>
  <c r="J62" i="26" a="1"/>
  <c r="J62" i="26" s="1"/>
  <c r="I62" i="26" a="1"/>
  <c r="I62" i="26" s="1"/>
  <c r="H62" i="26" a="1"/>
  <c r="H62" i="26" s="1"/>
  <c r="G62" i="26" a="1"/>
  <c r="G62" i="26" s="1"/>
  <c r="F62" i="26" a="1"/>
  <c r="F62" i="26" s="1"/>
  <c r="E62" i="26" a="1"/>
  <c r="E62" i="26" s="1"/>
  <c r="D62" i="26" a="1"/>
  <c r="D62" i="26" s="1"/>
  <c r="N61" i="26" a="1"/>
  <c r="N61" i="26" s="1"/>
  <c r="M61" i="26" a="1"/>
  <c r="M61" i="26" s="1"/>
  <c r="L61" i="26" a="1"/>
  <c r="L61" i="26" s="1"/>
  <c r="K61" i="26" a="1"/>
  <c r="K61" i="26" s="1"/>
  <c r="J61" i="26" a="1"/>
  <c r="J61" i="26" s="1"/>
  <c r="I61" i="26" a="1"/>
  <c r="I61" i="26" s="1"/>
  <c r="H61" i="26" a="1"/>
  <c r="H61" i="26" s="1"/>
  <c r="G61" i="26" a="1"/>
  <c r="G61" i="26" s="1"/>
  <c r="F61" i="26" a="1"/>
  <c r="F61" i="26" s="1"/>
  <c r="E61" i="26" a="1"/>
  <c r="E61" i="26" s="1"/>
  <c r="D61" i="26" a="1"/>
  <c r="D61" i="26" s="1"/>
  <c r="N60" i="26" a="1"/>
  <c r="N60" i="26" s="1"/>
  <c r="M60" i="26" a="1"/>
  <c r="M60" i="26" s="1"/>
  <c r="L60" i="26" a="1"/>
  <c r="L60" i="26" s="1"/>
  <c r="K60" i="26" a="1"/>
  <c r="K60" i="26" s="1"/>
  <c r="J60" i="26" a="1"/>
  <c r="J60" i="26" s="1"/>
  <c r="I60" i="26" a="1"/>
  <c r="I60" i="26" s="1"/>
  <c r="H60" i="26" a="1"/>
  <c r="H60" i="26" s="1"/>
  <c r="G60" i="26" a="1"/>
  <c r="G60" i="26" s="1"/>
  <c r="F60" i="26" a="1"/>
  <c r="F60" i="26" s="1"/>
  <c r="E60" i="26" a="1"/>
  <c r="E60" i="26" s="1"/>
  <c r="D60" i="26" a="1"/>
  <c r="D60" i="26" s="1"/>
  <c r="D53" i="26" a="1"/>
  <c r="D53" i="26" s="1"/>
  <c r="D52" i="26" a="1"/>
  <c r="D52" i="26" s="1"/>
  <c r="D51" i="26" a="1"/>
  <c r="D51" i="26" s="1"/>
  <c r="D47" i="26" a="1"/>
  <c r="D47" i="26" s="1"/>
  <c r="D46" i="26" a="1"/>
  <c r="D46" i="26" s="1"/>
  <c r="D45" i="26" a="1"/>
  <c r="D45" i="26" s="1"/>
  <c r="E21" i="26" a="1"/>
  <c r="E21" i="26" s="1"/>
  <c r="D21" i="26" a="1"/>
  <c r="D21" i="26" s="1"/>
  <c r="E20" i="26" a="1"/>
  <c r="E20" i="26" s="1"/>
  <c r="D20" i="26" a="1"/>
  <c r="D20" i="26" s="1"/>
  <c r="D18" i="26" a="1"/>
  <c r="D18" i="26" s="1"/>
  <c r="D17" i="26" a="1"/>
  <c r="D17" i="26" s="1"/>
  <c r="H13" i="26" a="1"/>
  <c r="H13" i="26" s="1"/>
  <c r="G13" i="26" a="1"/>
  <c r="G13" i="26" s="1"/>
  <c r="F13" i="26" a="1"/>
  <c r="F13" i="26" s="1"/>
  <c r="E13" i="26" a="1"/>
  <c r="E13" i="26" s="1"/>
  <c r="D13" i="26" a="1"/>
  <c r="D13" i="26" s="1"/>
  <c r="H12" i="26" a="1"/>
  <c r="H12" i="26" s="1"/>
  <c r="G12" i="26" a="1"/>
  <c r="G12" i="26" s="1"/>
  <c r="F12" i="26" a="1"/>
  <c r="F12" i="26" s="1"/>
  <c r="E12" i="26" a="1"/>
  <c r="E12" i="26" s="1"/>
  <c r="D12" i="26" a="1"/>
  <c r="D12" i="26" s="1"/>
  <c r="H11" i="26" a="1"/>
  <c r="H11" i="26" s="1"/>
  <c r="G11" i="26" a="1"/>
  <c r="G11" i="26" s="1"/>
  <c r="F11" i="26" a="1"/>
  <c r="F11" i="26" s="1"/>
  <c r="E11" i="26" a="1"/>
  <c r="E11" i="26" s="1"/>
  <c r="D11" i="26" a="1"/>
  <c r="D11" i="26" s="1"/>
  <c r="H10" i="26" a="1"/>
  <c r="H10" i="26" s="1"/>
  <c r="G10" i="26" a="1"/>
  <c r="G10" i="26" s="1"/>
  <c r="F10" i="26" a="1"/>
  <c r="F10" i="26" s="1"/>
  <c r="E10" i="26" a="1"/>
  <c r="E10" i="26" s="1"/>
  <c r="D10" i="26" a="1"/>
  <c r="D10" i="26" s="1"/>
  <c r="H9" i="26" a="1"/>
  <c r="H9" i="26" s="1"/>
  <c r="G9" i="26" a="1"/>
  <c r="G9" i="26" s="1"/>
  <c r="F9" i="26" a="1"/>
  <c r="F9" i="26" s="1"/>
  <c r="E9" i="26" a="1"/>
  <c r="E9" i="26" s="1"/>
  <c r="D9" i="26" a="1"/>
  <c r="D9" i="26" s="1"/>
  <c r="D6" i="26" a="1"/>
  <c r="D6" i="26" s="1"/>
  <c r="D5" i="26" a="1"/>
  <c r="D5" i="26" s="1"/>
  <c r="G8" i="54" l="1" a="1"/>
  <c r="G8" i="54" s="1"/>
  <c r="G7" i="54" a="1"/>
  <c r="G7" i="54" s="1"/>
  <c r="G16" i="54" a="1"/>
  <c r="G16" i="54" s="1"/>
  <c r="G15" i="54" a="1"/>
  <c r="G15" i="54" s="1"/>
  <c r="G14" i="54" a="1"/>
  <c r="G14" i="54" s="1"/>
  <c r="G13" i="54" a="1"/>
  <c r="G13" i="54" s="1"/>
  <c r="G12" i="54" a="1"/>
  <c r="G12" i="54" s="1"/>
  <c r="G11" i="54" a="1"/>
  <c r="G11" i="54" s="1"/>
  <c r="G10" i="54" a="1"/>
  <c r="G10" i="54" s="1"/>
  <c r="G9" i="54" a="1"/>
  <c r="G9" i="54" s="1"/>
  <c r="D61" i="19" a="1"/>
  <c r="D61" i="19" s="1"/>
  <c r="E132" i="25" a="1"/>
  <c r="E132" i="25" s="1"/>
  <c r="D132" i="25" a="1"/>
  <c r="D132" i="25" s="1"/>
  <c r="E131" i="25" a="1"/>
  <c r="E131" i="25" s="1"/>
  <c r="D131" i="25" a="1"/>
  <c r="D131" i="25" s="1"/>
  <c r="E130" i="25" a="1"/>
  <c r="E130" i="25" s="1"/>
  <c r="D130" i="25" a="1"/>
  <c r="D130" i="25" s="1"/>
  <c r="E129" i="25" a="1"/>
  <c r="E129" i="25" s="1"/>
  <c r="D129" i="25" a="1"/>
  <c r="D129" i="25" s="1"/>
  <c r="E128" i="25" a="1"/>
  <c r="E128" i="25" s="1"/>
  <c r="D128" i="25" a="1"/>
  <c r="D128" i="25" s="1"/>
  <c r="D126" i="25" a="1"/>
  <c r="D126" i="25" s="1"/>
  <c r="D125" i="25" a="1"/>
  <c r="D125" i="25" s="1"/>
  <c r="F122" i="25" a="1"/>
  <c r="F122" i="25" s="1"/>
  <c r="E122" i="25" a="1"/>
  <c r="E122" i="25" s="1"/>
  <c r="D122" i="25" a="1"/>
  <c r="D122" i="25" s="1"/>
  <c r="D121" i="25" a="1"/>
  <c r="D121" i="25" s="1"/>
  <c r="D120" i="25" a="1"/>
  <c r="D120" i="25" s="1"/>
  <c r="F117" i="25" a="1"/>
  <c r="F117" i="25" s="1"/>
  <c r="E117" i="25" a="1"/>
  <c r="E117" i="25" s="1"/>
  <c r="D117" i="25" a="1"/>
  <c r="D117" i="25" s="1"/>
  <c r="F116" i="25" a="1"/>
  <c r="F116" i="25" s="1"/>
  <c r="E116" i="25" a="1"/>
  <c r="E116" i="25" s="1"/>
  <c r="D116" i="25" a="1"/>
  <c r="D116" i="25" s="1"/>
  <c r="F115" i="25" a="1"/>
  <c r="F115" i="25" s="1"/>
  <c r="E115" i="25" a="1"/>
  <c r="E115" i="25" s="1"/>
  <c r="D115" i="25" a="1"/>
  <c r="D115" i="25" s="1"/>
  <c r="F114" i="25" a="1"/>
  <c r="F114" i="25" s="1"/>
  <c r="E114" i="25" a="1"/>
  <c r="E114" i="25" s="1"/>
  <c r="D114" i="25" a="1"/>
  <c r="D114" i="25" s="1"/>
  <c r="F113" i="25" a="1"/>
  <c r="F113" i="25" s="1"/>
  <c r="E113" i="25" a="1"/>
  <c r="E113" i="25" s="1"/>
  <c r="D113" i="25" a="1"/>
  <c r="D113" i="25" s="1"/>
  <c r="F112" i="25" a="1"/>
  <c r="F112" i="25" s="1"/>
  <c r="E112" i="25" a="1"/>
  <c r="E112" i="25" s="1"/>
  <c r="D112" i="25" a="1"/>
  <c r="D112" i="25" s="1"/>
  <c r="D110" i="25" a="1"/>
  <c r="D110" i="25" s="1"/>
  <c r="D109" i="25" a="1"/>
  <c r="D109" i="25" s="1"/>
  <c r="D108" i="25" a="1"/>
  <c r="D108" i="25" s="1"/>
  <c r="F105" i="25" a="1"/>
  <c r="F105" i="25" s="1"/>
  <c r="E105" i="25" a="1"/>
  <c r="E105" i="25" s="1"/>
  <c r="D105" i="25" a="1"/>
  <c r="D105" i="25" s="1"/>
  <c r="F104" i="25" a="1"/>
  <c r="F104" i="25" s="1"/>
  <c r="E104" i="25" a="1"/>
  <c r="E104" i="25" s="1"/>
  <c r="D104" i="25" a="1"/>
  <c r="D104" i="25" s="1"/>
  <c r="F103" i="25" a="1"/>
  <c r="F103" i="25" s="1"/>
  <c r="E103" i="25" a="1"/>
  <c r="E103" i="25" s="1"/>
  <c r="D103" i="25" a="1"/>
  <c r="D103" i="25" s="1"/>
  <c r="F102" i="25" a="1"/>
  <c r="F102" i="25" s="1"/>
  <c r="E102" i="25" a="1"/>
  <c r="E102" i="25" s="1"/>
  <c r="D102" i="25" a="1"/>
  <c r="D102" i="25" s="1"/>
  <c r="F101" i="25" a="1"/>
  <c r="F101" i="25" s="1"/>
  <c r="E101" i="25" a="1"/>
  <c r="E101" i="25" s="1"/>
  <c r="D101" i="25" a="1"/>
  <c r="D101" i="25" s="1"/>
  <c r="F100" i="25" a="1"/>
  <c r="F100" i="25" s="1"/>
  <c r="E100" i="25" a="1"/>
  <c r="E100" i="25" s="1"/>
  <c r="D100" i="25" a="1"/>
  <c r="D100" i="25" s="1"/>
  <c r="D98" i="25" a="1"/>
  <c r="D98" i="25" s="1"/>
  <c r="D97" i="25" a="1"/>
  <c r="D97" i="25" s="1"/>
  <c r="D96" i="25" a="1"/>
  <c r="D96" i="25" s="1"/>
  <c r="G93" i="25" a="1"/>
  <c r="G93" i="25" s="1"/>
  <c r="F93" i="25" a="1"/>
  <c r="F93" i="25" s="1"/>
  <c r="E93" i="25" a="1"/>
  <c r="E93" i="25" s="1"/>
  <c r="D93" i="25" a="1"/>
  <c r="D93" i="25" s="1"/>
  <c r="G92" i="25" a="1"/>
  <c r="G92" i="25" s="1"/>
  <c r="F92" i="25" a="1"/>
  <c r="F92" i="25" s="1"/>
  <c r="E92" i="25" a="1"/>
  <c r="E92" i="25" s="1"/>
  <c r="D92" i="25" a="1"/>
  <c r="D92" i="25" s="1"/>
  <c r="G91" i="25" a="1"/>
  <c r="G91" i="25" s="1"/>
  <c r="F91" i="25" a="1"/>
  <c r="F91" i="25" s="1"/>
  <c r="E91" i="25" a="1"/>
  <c r="E91" i="25" s="1"/>
  <c r="D91" i="25" a="1"/>
  <c r="D91" i="25" s="1"/>
  <c r="G90" i="25" a="1"/>
  <c r="G90" i="25" s="1"/>
  <c r="F90" i="25" a="1"/>
  <c r="F90" i="25" s="1"/>
  <c r="E90" i="25" a="1"/>
  <c r="E90" i="25" s="1"/>
  <c r="D90" i="25" a="1"/>
  <c r="D90" i="25" s="1"/>
  <c r="D87" i="25" a="1"/>
  <c r="D87" i="25" s="1"/>
  <c r="D86" i="25" a="1"/>
  <c r="D86" i="25" s="1"/>
  <c r="D85" i="25" a="1"/>
  <c r="D85" i="25" s="1"/>
  <c r="E82" i="25" a="1"/>
  <c r="E82" i="25" s="1"/>
  <c r="D82" i="25" a="1"/>
  <c r="D82" i="25" s="1"/>
  <c r="E81" i="25" a="1"/>
  <c r="E81" i="25" s="1"/>
  <c r="D81" i="25" a="1"/>
  <c r="D81" i="25" s="1"/>
  <c r="E80" i="25" a="1"/>
  <c r="E80" i="25" s="1"/>
  <c r="D80" i="25" a="1"/>
  <c r="D80" i="25" s="1"/>
  <c r="E79" i="25" a="1"/>
  <c r="E79" i="25" s="1"/>
  <c r="D79" i="25" a="1"/>
  <c r="D79" i="25" s="1"/>
  <c r="D76" i="25" a="1"/>
  <c r="D76" i="25" s="1"/>
  <c r="D75" i="25" a="1"/>
  <c r="D75" i="25" s="1"/>
  <c r="D74" i="25" a="1"/>
  <c r="D74" i="25" s="1"/>
  <c r="E71" i="25" a="1"/>
  <c r="E71" i="25" s="1"/>
  <c r="D71" i="25" a="1"/>
  <c r="D71" i="25" s="1"/>
  <c r="E70" i="25" a="1"/>
  <c r="E70" i="25" s="1"/>
  <c r="D70" i="25" a="1"/>
  <c r="D70" i="25" s="1"/>
  <c r="E69" i="25" a="1"/>
  <c r="E69" i="25" s="1"/>
  <c r="D69" i="25" a="1"/>
  <c r="D69" i="25" s="1"/>
  <c r="E68" i="25" a="1"/>
  <c r="E68" i="25" s="1"/>
  <c r="D68" i="25" a="1"/>
  <c r="D68" i="25" s="1"/>
  <c r="D65" i="25" a="1"/>
  <c r="D65" i="25" s="1"/>
  <c r="D64" i="25" a="1"/>
  <c r="D64" i="25" s="1"/>
  <c r="D63" i="25" a="1"/>
  <c r="D63" i="25" s="1"/>
  <c r="G56" i="25" a="1"/>
  <c r="G56" i="25" s="1"/>
  <c r="G55" i="25" a="1"/>
  <c r="G55" i="25" s="1"/>
  <c r="G54" i="25" a="1"/>
  <c r="G54" i="25" s="1"/>
  <c r="M35" i="25" a="1"/>
  <c r="M35" i="25" s="1"/>
  <c r="L35" i="25" a="1"/>
  <c r="L35" i="25" s="1"/>
  <c r="K35" i="25" a="1"/>
  <c r="K35" i="25" s="1"/>
  <c r="J35" i="25" a="1"/>
  <c r="J35" i="25" s="1"/>
  <c r="I35" i="25" a="1"/>
  <c r="I35" i="25" s="1"/>
  <c r="H35" i="25" a="1"/>
  <c r="H35" i="25" s="1"/>
  <c r="G35" i="25" a="1"/>
  <c r="G35" i="25" s="1"/>
  <c r="F35" i="25" a="1"/>
  <c r="F35" i="25" s="1"/>
  <c r="E35" i="25" a="1"/>
  <c r="E35" i="25" s="1"/>
  <c r="D35" i="25" a="1"/>
  <c r="D35" i="25" s="1"/>
  <c r="M34" i="25" a="1"/>
  <c r="M34" i="25" s="1"/>
  <c r="L34" i="25" a="1"/>
  <c r="L34" i="25" s="1"/>
  <c r="K34" i="25" a="1"/>
  <c r="K34" i="25" s="1"/>
  <c r="J34" i="25" a="1"/>
  <c r="J34" i="25" s="1"/>
  <c r="I34" i="25" a="1"/>
  <c r="I34" i="25" s="1"/>
  <c r="H34" i="25" a="1"/>
  <c r="H34" i="25" s="1"/>
  <c r="G34" i="25" a="1"/>
  <c r="G34" i="25" s="1"/>
  <c r="F34" i="25" a="1"/>
  <c r="F34" i="25" s="1"/>
  <c r="E34" i="25" a="1"/>
  <c r="E34" i="25" s="1"/>
  <c r="D34" i="25" a="1"/>
  <c r="D34" i="25" s="1"/>
  <c r="M33" i="25" a="1"/>
  <c r="M33" i="25" s="1"/>
  <c r="L33" i="25" a="1"/>
  <c r="L33" i="25" s="1"/>
  <c r="K33" i="25" a="1"/>
  <c r="K33" i="25" s="1"/>
  <c r="J33" i="25" a="1"/>
  <c r="J33" i="25" s="1"/>
  <c r="I33" i="25" a="1"/>
  <c r="I33" i="25" s="1"/>
  <c r="H33" i="25" a="1"/>
  <c r="H33" i="25" s="1"/>
  <c r="G33" i="25" a="1"/>
  <c r="G33" i="25" s="1"/>
  <c r="F33" i="25" a="1"/>
  <c r="F33" i="25" s="1"/>
  <c r="E33" i="25" a="1"/>
  <c r="E33" i="25" s="1"/>
  <c r="D33" i="25" a="1"/>
  <c r="D33" i="25" s="1"/>
  <c r="M32" i="25" a="1"/>
  <c r="M32" i="25" s="1"/>
  <c r="L32" i="25" a="1"/>
  <c r="L32" i="25" s="1"/>
  <c r="K32" i="25" a="1"/>
  <c r="K32" i="25" s="1"/>
  <c r="J32" i="25" a="1"/>
  <c r="J32" i="25" s="1"/>
  <c r="I32" i="25" a="1"/>
  <c r="I32" i="25" s="1"/>
  <c r="H32" i="25" a="1"/>
  <c r="H32" i="25" s="1"/>
  <c r="G32" i="25" a="1"/>
  <c r="G32" i="25" s="1"/>
  <c r="F32" i="25" a="1"/>
  <c r="F32" i="25" s="1"/>
  <c r="E32" i="25" a="1"/>
  <c r="E32" i="25" s="1"/>
  <c r="D32" i="25" a="1"/>
  <c r="D32" i="25" s="1"/>
  <c r="M31" i="25" a="1"/>
  <c r="M31" i="25" s="1"/>
  <c r="L31" i="25" a="1"/>
  <c r="L31" i="25" s="1"/>
  <c r="K31" i="25" a="1"/>
  <c r="K31" i="25" s="1"/>
  <c r="J31" i="25" a="1"/>
  <c r="J31" i="25" s="1"/>
  <c r="I31" i="25" a="1"/>
  <c r="I31" i="25" s="1"/>
  <c r="H31" i="25" a="1"/>
  <c r="H31" i="25" s="1"/>
  <c r="G31" i="25" a="1"/>
  <c r="G31" i="25" s="1"/>
  <c r="F31" i="25" a="1"/>
  <c r="F31" i="25" s="1"/>
  <c r="E31" i="25" a="1"/>
  <c r="E31" i="25" s="1"/>
  <c r="D31" i="25" a="1"/>
  <c r="D31" i="25" s="1"/>
  <c r="M30" i="25" a="1"/>
  <c r="M30" i="25" s="1"/>
  <c r="L30" i="25" a="1"/>
  <c r="L30" i="25" s="1"/>
  <c r="K30" i="25" a="1"/>
  <c r="K30" i="25" s="1"/>
  <c r="J30" i="25" a="1"/>
  <c r="J30" i="25" s="1"/>
  <c r="I30" i="25" a="1"/>
  <c r="I30" i="25" s="1"/>
  <c r="H30" i="25" a="1"/>
  <c r="H30" i="25" s="1"/>
  <c r="G30" i="25" a="1"/>
  <c r="G30" i="25" s="1"/>
  <c r="F30" i="25" a="1"/>
  <c r="F30" i="25" s="1"/>
  <c r="E30" i="25" a="1"/>
  <c r="E30" i="25" s="1"/>
  <c r="D30" i="25" a="1"/>
  <c r="D30" i="25" s="1"/>
  <c r="M29" i="25" a="1"/>
  <c r="M29" i="25" s="1"/>
  <c r="L29" i="25" a="1"/>
  <c r="L29" i="25" s="1"/>
  <c r="K29" i="25" a="1"/>
  <c r="K29" i="25" s="1"/>
  <c r="J29" i="25" a="1"/>
  <c r="J29" i="25" s="1"/>
  <c r="I29" i="25" a="1"/>
  <c r="I29" i="25" s="1"/>
  <c r="H29" i="25" a="1"/>
  <c r="H29" i="25" s="1"/>
  <c r="G29" i="25" a="1"/>
  <c r="G29" i="25" s="1"/>
  <c r="F29" i="25" a="1"/>
  <c r="F29" i="25" s="1"/>
  <c r="E29" i="25" a="1"/>
  <c r="E29" i="25" s="1"/>
  <c r="D29" i="25" a="1"/>
  <c r="D29" i="25" s="1"/>
  <c r="D26" i="25" a="1"/>
  <c r="D26" i="25" s="1"/>
  <c r="D25" i="25" a="1"/>
  <c r="D25" i="25" s="1"/>
  <c r="D24" i="25" a="1"/>
  <c r="D24" i="25" s="1"/>
  <c r="F21" i="25" a="1"/>
  <c r="F21" i="25" s="1"/>
  <c r="E21" i="25" a="1"/>
  <c r="E21" i="25" s="1"/>
  <c r="D21" i="25" a="1"/>
  <c r="D21" i="25" s="1"/>
  <c r="D20" i="25" a="1"/>
  <c r="D20" i="25" s="1"/>
  <c r="D19" i="25" a="1"/>
  <c r="D19" i="25" s="1"/>
  <c r="F17" i="25" a="1"/>
  <c r="F17" i="25" s="1"/>
  <c r="E17" i="25" a="1"/>
  <c r="E17" i="25" s="1"/>
  <c r="D17" i="25" a="1"/>
  <c r="D17" i="25" s="1"/>
  <c r="D16" i="25" a="1"/>
  <c r="D16" i="25" s="1"/>
  <c r="D15" i="25" a="1"/>
  <c r="D15" i="25" s="1"/>
  <c r="D14" i="25" a="1"/>
  <c r="D14" i="25" s="1"/>
  <c r="G16" i="53" l="1" a="1"/>
  <c r="G16" i="53" s="1"/>
  <c r="G15" i="53" a="1"/>
  <c r="G15" i="53" s="1"/>
  <c r="G14" i="53" a="1"/>
  <c r="G14" i="53" s="1"/>
  <c r="G13" i="53" a="1"/>
  <c r="G13" i="53" s="1"/>
  <c r="G12" i="53" a="1"/>
  <c r="G12" i="53" s="1"/>
  <c r="G11" i="53" a="1"/>
  <c r="G11" i="53" s="1"/>
  <c r="G10" i="53" a="1"/>
  <c r="G10" i="53" s="1"/>
  <c r="G9" i="53" a="1"/>
  <c r="G9" i="53" s="1"/>
  <c r="G8" i="53" a="1"/>
  <c r="G8" i="53" s="1"/>
  <c r="G7" i="53" a="1"/>
  <c r="G7" i="53" s="1"/>
  <c r="F79" i="19" a="1"/>
  <c r="D42" i="19" a="1"/>
  <c r="D42" i="19" s="1"/>
  <c r="D227" i="23" a="1"/>
  <c r="D227" i="23" s="1"/>
  <c r="D226" i="23" a="1"/>
  <c r="D226" i="23" s="1"/>
  <c r="D225" i="23" a="1"/>
  <c r="D225" i="23" s="1"/>
  <c r="D224" i="23" a="1"/>
  <c r="D224" i="23" s="1"/>
  <c r="D223" i="23" a="1"/>
  <c r="D223" i="23" s="1"/>
  <c r="D221" i="23" a="1"/>
  <c r="D221" i="23" s="1"/>
  <c r="D220" i="23" a="1"/>
  <c r="D220" i="23" s="1"/>
  <c r="D219" i="23" a="1"/>
  <c r="D219" i="23" s="1"/>
  <c r="D218" i="23" a="1"/>
  <c r="D218" i="23" s="1"/>
  <c r="D217" i="23" a="1"/>
  <c r="D217" i="23" s="1"/>
  <c r="D215" i="23" a="1"/>
  <c r="D215" i="23" s="1"/>
  <c r="A215" i="23"/>
  <c r="D214" i="23" a="1"/>
  <c r="D214" i="23" s="1"/>
  <c r="D213" i="23" a="1"/>
  <c r="D213" i="23" s="1"/>
  <c r="D212" i="23" a="1"/>
  <c r="D212" i="23" s="1"/>
  <c r="D211" i="23" a="1"/>
  <c r="D211" i="23" s="1"/>
  <c r="D209" i="23" a="1"/>
  <c r="D209" i="23" s="1"/>
  <c r="D208" i="23" a="1"/>
  <c r="D208" i="23" s="1"/>
  <c r="D207" i="23" a="1"/>
  <c r="D207" i="23" s="1"/>
  <c r="D206" i="23" a="1"/>
  <c r="D206" i="23" s="1"/>
  <c r="D205" i="23" a="1"/>
  <c r="D205" i="23" s="1"/>
  <c r="D202" i="23" a="1"/>
  <c r="D202" i="23" s="1"/>
  <c r="D201" i="23" a="1"/>
  <c r="D201" i="23" s="1"/>
  <c r="D200" i="23" a="1"/>
  <c r="D200" i="23" s="1"/>
  <c r="D199" i="23" a="1"/>
  <c r="D199" i="23" s="1"/>
  <c r="D198" i="23" a="1"/>
  <c r="D198" i="23" s="1"/>
  <c r="D195" i="23" a="1"/>
  <c r="D195" i="23" s="1"/>
  <c r="D194" i="23" a="1"/>
  <c r="D194" i="23" s="1"/>
  <c r="D193" i="23" a="1"/>
  <c r="D193" i="23" s="1"/>
  <c r="D192" i="23" a="1"/>
  <c r="D192" i="23" s="1"/>
  <c r="D191" i="23" a="1"/>
  <c r="D191" i="23" s="1"/>
  <c r="D188" i="23" a="1"/>
  <c r="D188" i="23" s="1"/>
  <c r="D187" i="23" a="1"/>
  <c r="D187" i="23" s="1"/>
  <c r="D186" i="23" a="1"/>
  <c r="D186" i="23" s="1"/>
  <c r="D185" i="23" a="1"/>
  <c r="D185" i="23" s="1"/>
  <c r="D184" i="23" a="1"/>
  <c r="D184" i="23" s="1"/>
  <c r="D181" i="23" a="1"/>
  <c r="D181" i="23" s="1"/>
  <c r="D180" i="23" a="1"/>
  <c r="D180" i="23" s="1"/>
  <c r="D179" i="23" a="1"/>
  <c r="D179" i="23" s="1"/>
  <c r="D178" i="23" a="1"/>
  <c r="D178" i="23" s="1"/>
  <c r="D177" i="23" a="1"/>
  <c r="D177" i="23" s="1"/>
  <c r="D174" i="23" a="1"/>
  <c r="D174" i="23" s="1"/>
  <c r="A174" i="23"/>
  <c r="D173" i="23" a="1"/>
  <c r="D173" i="23" s="1"/>
  <c r="D172" i="23" a="1"/>
  <c r="D172" i="23" s="1"/>
  <c r="D171" i="23" a="1"/>
  <c r="D171" i="23" s="1"/>
  <c r="D170" i="23" a="1"/>
  <c r="D170" i="23" s="1"/>
  <c r="D167" i="23" a="1"/>
  <c r="D167" i="23" s="1"/>
  <c r="D166" i="23" a="1"/>
  <c r="D166" i="23" s="1"/>
  <c r="D165" i="23" a="1"/>
  <c r="D165" i="23" s="1"/>
  <c r="D164" i="23" a="1"/>
  <c r="D164" i="23" s="1"/>
  <c r="D163" i="23" a="1"/>
  <c r="D163" i="23" s="1"/>
  <c r="D160" i="23" a="1"/>
  <c r="D160" i="23" s="1"/>
  <c r="D159" i="23" a="1"/>
  <c r="D159" i="23" s="1"/>
  <c r="D158" i="23" a="1"/>
  <c r="D158" i="23" s="1"/>
  <c r="D157" i="23" a="1"/>
  <c r="D157" i="23" s="1"/>
  <c r="D156" i="23" a="1"/>
  <c r="D156" i="23" s="1"/>
  <c r="D153" i="23" a="1"/>
  <c r="D153" i="23" s="1"/>
  <c r="D152" i="23" a="1"/>
  <c r="D152" i="23" s="1"/>
  <c r="D151" i="23" a="1"/>
  <c r="D151" i="23" s="1"/>
  <c r="D150" i="23" a="1"/>
  <c r="D150" i="23" s="1"/>
  <c r="D149" i="23" a="1"/>
  <c r="D149" i="23" s="1"/>
  <c r="F146" i="23" a="1"/>
  <c r="F146" i="23" s="1"/>
  <c r="E146" i="23" a="1"/>
  <c r="E146" i="23" s="1"/>
  <c r="D146" i="23" a="1"/>
  <c r="D146" i="23" s="1"/>
  <c r="F145" i="23" a="1"/>
  <c r="F145" i="23" s="1"/>
  <c r="E145" i="23" a="1"/>
  <c r="E145" i="23" s="1"/>
  <c r="D145" i="23" a="1"/>
  <c r="D145" i="23" s="1"/>
  <c r="F144" i="23" a="1"/>
  <c r="F144" i="23" s="1"/>
  <c r="E144" i="23" a="1"/>
  <c r="E144" i="23" s="1"/>
  <c r="D144" i="23" a="1"/>
  <c r="D144" i="23" s="1"/>
  <c r="F143" i="23" a="1"/>
  <c r="F143" i="23" s="1"/>
  <c r="E143" i="23" a="1"/>
  <c r="E143" i="23" s="1"/>
  <c r="D143" i="23" a="1"/>
  <c r="D143" i="23" s="1"/>
  <c r="F142" i="23" a="1"/>
  <c r="F142" i="23" s="1"/>
  <c r="E142" i="23" a="1"/>
  <c r="E142" i="23" s="1"/>
  <c r="D142" i="23" a="1"/>
  <c r="D142" i="23" s="1"/>
  <c r="D140" i="23" a="1"/>
  <c r="D140" i="23" s="1"/>
  <c r="D139" i="23" a="1"/>
  <c r="D139" i="23" s="1"/>
  <c r="D138" i="23" a="1"/>
  <c r="D138" i="23" s="1"/>
  <c r="D137" i="23" a="1"/>
  <c r="D137" i="23" s="1"/>
  <c r="D136" i="23" a="1"/>
  <c r="D136" i="23" s="1"/>
  <c r="F133" i="23" a="1"/>
  <c r="F133" i="23" s="1"/>
  <c r="E133" i="23" a="1"/>
  <c r="E133" i="23" s="1"/>
  <c r="D133" i="23" a="1"/>
  <c r="D133" i="23" s="1"/>
  <c r="F132" i="23" a="1"/>
  <c r="F132" i="23" s="1"/>
  <c r="E132" i="23" a="1"/>
  <c r="E132" i="23" s="1"/>
  <c r="D132" i="23" a="1"/>
  <c r="D132" i="23" s="1"/>
  <c r="F131" i="23" a="1"/>
  <c r="F131" i="23" s="1"/>
  <c r="E131" i="23" a="1"/>
  <c r="E131" i="23" s="1"/>
  <c r="D131" i="23" a="1"/>
  <c r="D131" i="23" s="1"/>
  <c r="F130" i="23" a="1"/>
  <c r="F130" i="23" s="1"/>
  <c r="E130" i="23" a="1"/>
  <c r="E130" i="23" s="1"/>
  <c r="D130" i="23" a="1"/>
  <c r="D130" i="23" s="1"/>
  <c r="F129" i="23" a="1"/>
  <c r="F129" i="23" s="1"/>
  <c r="E129" i="23" a="1"/>
  <c r="E129" i="23" s="1"/>
  <c r="D129" i="23" a="1"/>
  <c r="D129" i="23" s="1"/>
  <c r="D127" i="23" a="1"/>
  <c r="D127" i="23" s="1"/>
  <c r="D126" i="23" a="1"/>
  <c r="D126" i="23" s="1"/>
  <c r="D125" i="23" a="1"/>
  <c r="D125" i="23" s="1"/>
  <c r="D124" i="23" a="1"/>
  <c r="D124" i="23" s="1"/>
  <c r="D123" i="23" a="1"/>
  <c r="D123" i="23" s="1"/>
  <c r="G120" i="23" a="1"/>
  <c r="G120" i="23" s="1"/>
  <c r="F120" i="23" a="1"/>
  <c r="F120" i="23" s="1"/>
  <c r="E120" i="23" a="1"/>
  <c r="E120" i="23" s="1"/>
  <c r="D120" i="23" a="1"/>
  <c r="D120" i="23" s="1"/>
  <c r="G119" i="23" a="1"/>
  <c r="G119" i="23" s="1"/>
  <c r="F119" i="23" a="1"/>
  <c r="F119" i="23" s="1"/>
  <c r="E119" i="23" a="1"/>
  <c r="E119" i="23" s="1"/>
  <c r="D119" i="23" a="1"/>
  <c r="D119" i="23" s="1"/>
  <c r="G118" i="23" a="1"/>
  <c r="G118" i="23" s="1"/>
  <c r="F118" i="23" a="1"/>
  <c r="F118" i="23" s="1"/>
  <c r="E118" i="23" a="1"/>
  <c r="E118" i="23" s="1"/>
  <c r="D118" i="23" a="1"/>
  <c r="D118" i="23" s="1"/>
  <c r="G117" i="23" a="1"/>
  <c r="G117" i="23" s="1"/>
  <c r="F117" i="23" a="1"/>
  <c r="F117" i="23" s="1"/>
  <c r="E117" i="23" a="1"/>
  <c r="E117" i="23" s="1"/>
  <c r="D117" i="23" a="1"/>
  <c r="D117" i="23" s="1"/>
  <c r="D115" i="23" a="1"/>
  <c r="D115" i="23" s="1"/>
  <c r="D114" i="23" a="1"/>
  <c r="D114" i="23" s="1"/>
  <c r="D113" i="23" a="1"/>
  <c r="D113" i="23" s="1"/>
  <c r="D112" i="23" a="1"/>
  <c r="D112" i="23" s="1"/>
  <c r="E109" i="23" a="1"/>
  <c r="E109" i="23" s="1"/>
  <c r="D109" i="23" a="1"/>
  <c r="D109" i="23" s="1"/>
  <c r="E108" i="23" a="1"/>
  <c r="E108" i="23" s="1"/>
  <c r="D108" i="23" a="1"/>
  <c r="D108" i="23" s="1"/>
  <c r="D106" i="23" a="1"/>
  <c r="D106" i="23" s="1"/>
  <c r="D105" i="23" a="1"/>
  <c r="D105" i="23" s="1"/>
  <c r="D104" i="23" a="1"/>
  <c r="D104" i="23" s="1"/>
  <c r="D103" i="23" a="1"/>
  <c r="D103" i="23" s="1"/>
  <c r="E100" i="23" a="1"/>
  <c r="E100" i="23" s="1"/>
  <c r="D100" i="23" a="1"/>
  <c r="D100" i="23" s="1"/>
  <c r="E99" i="23" a="1"/>
  <c r="E99" i="23" s="1"/>
  <c r="D99" i="23" a="1"/>
  <c r="D99" i="23" s="1"/>
  <c r="D97" i="23" a="1"/>
  <c r="D97" i="23" s="1"/>
  <c r="D96" i="23" a="1"/>
  <c r="D96" i="23" s="1"/>
  <c r="D95" i="23" a="1"/>
  <c r="D95" i="23" s="1"/>
  <c r="D94" i="23" a="1"/>
  <c r="D94" i="23" s="1"/>
  <c r="G91" i="23" a="1"/>
  <c r="G91" i="23" s="1"/>
  <c r="F91" i="23" a="1"/>
  <c r="F91" i="23" s="1"/>
  <c r="E91" i="23" a="1"/>
  <c r="E91" i="23" s="1"/>
  <c r="D91" i="23" a="1"/>
  <c r="D91" i="23" s="1"/>
  <c r="G90" i="23" a="1"/>
  <c r="G90" i="23" s="1"/>
  <c r="F90" i="23" a="1"/>
  <c r="F90" i="23" s="1"/>
  <c r="E90" i="23" a="1"/>
  <c r="E90" i="23" s="1"/>
  <c r="D90" i="23" a="1"/>
  <c r="D90" i="23" s="1"/>
  <c r="G89" i="23" a="1"/>
  <c r="G89" i="23" s="1"/>
  <c r="F89" i="23" a="1"/>
  <c r="F89" i="23" s="1"/>
  <c r="E89" i="23" a="1"/>
  <c r="E89" i="23" s="1"/>
  <c r="D89" i="23" a="1"/>
  <c r="D89" i="23" s="1"/>
  <c r="G88" i="23" a="1"/>
  <c r="G88" i="23" s="1"/>
  <c r="F88" i="23" a="1"/>
  <c r="F88" i="23" s="1"/>
  <c r="E88" i="23" a="1"/>
  <c r="E88" i="23" s="1"/>
  <c r="D88" i="23" a="1"/>
  <c r="D88" i="23" s="1"/>
  <c r="G87" i="23" a="1"/>
  <c r="G87" i="23" s="1"/>
  <c r="F87" i="23" a="1"/>
  <c r="F87" i="23" s="1"/>
  <c r="E87" i="23" a="1"/>
  <c r="E87" i="23" s="1"/>
  <c r="D87" i="23" a="1"/>
  <c r="D87" i="23" s="1"/>
  <c r="D85" i="23" a="1"/>
  <c r="D85" i="23" s="1"/>
  <c r="D84" i="23" a="1"/>
  <c r="D84" i="23" s="1"/>
  <c r="D83" i="23" a="1"/>
  <c r="D83" i="23" s="1"/>
  <c r="D82" i="23" a="1"/>
  <c r="D82" i="23" s="1"/>
  <c r="D81" i="23" a="1"/>
  <c r="D81" i="23" s="1"/>
  <c r="M78" i="23" a="1"/>
  <c r="M78" i="23" s="1"/>
  <c r="L78" i="23" a="1"/>
  <c r="L78" i="23" s="1"/>
  <c r="K78" i="23" a="1"/>
  <c r="K78" i="23" s="1"/>
  <c r="J78" i="23" a="1"/>
  <c r="J78" i="23" s="1"/>
  <c r="I78" i="23" a="1"/>
  <c r="I78" i="23" s="1"/>
  <c r="H78" i="23" a="1"/>
  <c r="H78" i="23" s="1"/>
  <c r="G78" i="23" a="1"/>
  <c r="G78" i="23" s="1"/>
  <c r="F78" i="23" a="1"/>
  <c r="F78" i="23" s="1"/>
  <c r="E78" i="23" a="1"/>
  <c r="E78" i="23" s="1"/>
  <c r="D78" i="23" a="1"/>
  <c r="D78" i="23" s="1"/>
  <c r="M77" i="23" a="1"/>
  <c r="M77" i="23" s="1"/>
  <c r="L77" i="23" a="1"/>
  <c r="L77" i="23" s="1"/>
  <c r="K77" i="23" a="1"/>
  <c r="K77" i="23" s="1"/>
  <c r="J77" i="23" a="1"/>
  <c r="J77" i="23" s="1"/>
  <c r="I77" i="23" a="1"/>
  <c r="I77" i="23" s="1"/>
  <c r="H77" i="23" a="1"/>
  <c r="H77" i="23" s="1"/>
  <c r="G77" i="23" a="1"/>
  <c r="G77" i="23" s="1"/>
  <c r="F77" i="23" a="1"/>
  <c r="F77" i="23" s="1"/>
  <c r="E77" i="23" a="1"/>
  <c r="E77" i="23" s="1"/>
  <c r="D77" i="23" a="1"/>
  <c r="D77" i="23" s="1"/>
  <c r="M76" i="23" a="1"/>
  <c r="M76" i="23" s="1"/>
  <c r="L76" i="23" a="1"/>
  <c r="L76" i="23" s="1"/>
  <c r="K76" i="23" a="1"/>
  <c r="K76" i="23" s="1"/>
  <c r="J76" i="23" a="1"/>
  <c r="J76" i="23" s="1"/>
  <c r="I76" i="23" a="1"/>
  <c r="I76" i="23" s="1"/>
  <c r="H76" i="23" a="1"/>
  <c r="H76" i="23" s="1"/>
  <c r="G76" i="23" a="1"/>
  <c r="G76" i="23" s="1"/>
  <c r="F76" i="23" a="1"/>
  <c r="F76" i="23" s="1"/>
  <c r="E76" i="23" a="1"/>
  <c r="E76" i="23" s="1"/>
  <c r="D76" i="23" a="1"/>
  <c r="D76" i="23" s="1"/>
  <c r="M75" i="23" a="1"/>
  <c r="M75" i="23" s="1"/>
  <c r="L75" i="23" a="1"/>
  <c r="L75" i="23" s="1"/>
  <c r="K75" i="23" a="1"/>
  <c r="K75" i="23" s="1"/>
  <c r="J75" i="23" a="1"/>
  <c r="J75" i="23" s="1"/>
  <c r="I75" i="23" a="1"/>
  <c r="I75" i="23" s="1"/>
  <c r="H75" i="23" a="1"/>
  <c r="H75" i="23" s="1"/>
  <c r="G75" i="23" a="1"/>
  <c r="G75" i="23" s="1"/>
  <c r="F75" i="23" a="1"/>
  <c r="F75" i="23" s="1"/>
  <c r="E75" i="23" a="1"/>
  <c r="E75" i="23" s="1"/>
  <c r="D75" i="23" a="1"/>
  <c r="D75" i="23" s="1"/>
  <c r="M74" i="23" a="1"/>
  <c r="M74" i="23" s="1"/>
  <c r="L74" i="23" a="1"/>
  <c r="L74" i="23" s="1"/>
  <c r="K74" i="23" a="1"/>
  <c r="K74" i="23" s="1"/>
  <c r="J74" i="23" a="1"/>
  <c r="J74" i="23" s="1"/>
  <c r="I74" i="23" a="1"/>
  <c r="I74" i="23" s="1"/>
  <c r="H74" i="23" a="1"/>
  <c r="H74" i="23" s="1"/>
  <c r="G74" i="23" a="1"/>
  <c r="G74" i="23" s="1"/>
  <c r="F74" i="23" a="1"/>
  <c r="F74" i="23" s="1"/>
  <c r="E74" i="23" a="1"/>
  <c r="E74" i="23" s="1"/>
  <c r="D74" i="23" a="1"/>
  <c r="D74" i="23" s="1"/>
  <c r="M73" i="23" a="1"/>
  <c r="M73" i="23" s="1"/>
  <c r="L73" i="23" a="1"/>
  <c r="L73" i="23" s="1"/>
  <c r="K73" i="23" a="1"/>
  <c r="K73" i="23" s="1"/>
  <c r="J73" i="23" a="1"/>
  <c r="J73" i="23" s="1"/>
  <c r="I73" i="23" a="1"/>
  <c r="I73" i="23" s="1"/>
  <c r="H73" i="23" a="1"/>
  <c r="H73" i="23" s="1"/>
  <c r="G73" i="23" a="1"/>
  <c r="G73" i="23" s="1"/>
  <c r="F73" i="23" a="1"/>
  <c r="F73" i="23" s="1"/>
  <c r="E73" i="23" a="1"/>
  <c r="E73" i="23" s="1"/>
  <c r="D73" i="23" a="1"/>
  <c r="D73" i="23" s="1"/>
  <c r="D71" i="23" a="1"/>
  <c r="D71" i="23" s="1"/>
  <c r="D70" i="23" a="1"/>
  <c r="D70" i="23" s="1"/>
  <c r="D69" i="23" a="1"/>
  <c r="D69" i="23" s="1"/>
  <c r="D68" i="23" a="1"/>
  <c r="D68" i="23" s="1"/>
  <c r="D67" i="23" a="1"/>
  <c r="D67" i="23" s="1"/>
  <c r="G64" i="23" a="1"/>
  <c r="G64" i="23" s="1"/>
  <c r="F64" i="23" a="1"/>
  <c r="F64" i="23" s="1"/>
  <c r="E64" i="23" a="1"/>
  <c r="E64" i="23" s="1"/>
  <c r="D64" i="23" a="1"/>
  <c r="D64" i="23" s="1"/>
  <c r="G63" i="23" a="1"/>
  <c r="G63" i="23" s="1"/>
  <c r="F63" i="23" a="1"/>
  <c r="F63" i="23" s="1"/>
  <c r="E63" i="23" a="1"/>
  <c r="E63" i="23" s="1"/>
  <c r="D63" i="23" a="1"/>
  <c r="D63" i="23" s="1"/>
  <c r="D61" i="23" a="1"/>
  <c r="D61" i="23" s="1"/>
  <c r="D60" i="23" a="1"/>
  <c r="D60" i="23" s="1"/>
  <c r="D59" i="23" a="1"/>
  <c r="D59" i="23" s="1"/>
  <c r="D58" i="23" a="1"/>
  <c r="D58" i="23" s="1"/>
  <c r="H55" i="23" a="1"/>
  <c r="H55" i="23" s="1"/>
  <c r="G55" i="23" a="1"/>
  <c r="G55" i="23" s="1"/>
  <c r="F55" i="23" a="1"/>
  <c r="F55" i="23" s="1"/>
  <c r="E55" i="23" a="1"/>
  <c r="E55" i="23" s="1"/>
  <c r="D55" i="23" a="1"/>
  <c r="D55" i="23" s="1"/>
  <c r="D53" i="23" a="1"/>
  <c r="D53" i="23" s="1"/>
  <c r="D52" i="23" a="1"/>
  <c r="D52" i="23" s="1"/>
  <c r="D51" i="23" a="1"/>
  <c r="D51" i="23" s="1"/>
  <c r="D50" i="23" a="1"/>
  <c r="D50" i="23" s="1"/>
  <c r="H47" i="23" a="1"/>
  <c r="H47" i="23" s="1"/>
  <c r="G47" i="23" a="1"/>
  <c r="G47" i="23" s="1"/>
  <c r="F47" i="23" a="1"/>
  <c r="F47" i="23" s="1"/>
  <c r="E47" i="23" a="1"/>
  <c r="E47" i="23" s="1"/>
  <c r="D47" i="23" a="1"/>
  <c r="D47" i="23" s="1"/>
  <c r="D45" i="23" a="1"/>
  <c r="D45" i="23" s="1"/>
  <c r="D44" i="23" a="1"/>
  <c r="D44" i="23" s="1"/>
  <c r="D43" i="23" a="1"/>
  <c r="D43" i="23" s="1"/>
  <c r="D42" i="23" a="1"/>
  <c r="D42" i="23" s="1"/>
  <c r="F39" i="23" a="1"/>
  <c r="F39" i="23" s="1"/>
  <c r="E39" i="23" a="1"/>
  <c r="E39" i="23" s="1"/>
  <c r="D39" i="23" a="1"/>
  <c r="D39" i="23" s="1"/>
  <c r="D37" i="23" a="1"/>
  <c r="D37" i="23" s="1"/>
  <c r="D36" i="23" a="1"/>
  <c r="D36" i="23" s="1"/>
  <c r="D35" i="23" a="1"/>
  <c r="D35" i="23" s="1"/>
  <c r="D34" i="23" a="1"/>
  <c r="D34" i="23" s="1"/>
  <c r="G31" i="23" a="1"/>
  <c r="G31" i="23" s="1"/>
  <c r="F31" i="23" a="1"/>
  <c r="F31" i="23" s="1"/>
  <c r="E31" i="23" a="1"/>
  <c r="E31" i="23" s="1"/>
  <c r="D31" i="23" a="1"/>
  <c r="D31" i="23" s="1"/>
  <c r="G30" i="23" a="1"/>
  <c r="G30" i="23" s="1"/>
  <c r="F30" i="23" a="1"/>
  <c r="F30" i="23" s="1"/>
  <c r="E30" i="23" a="1"/>
  <c r="E30" i="23" s="1"/>
  <c r="D30" i="23" a="1"/>
  <c r="D30" i="23" s="1"/>
  <c r="G29" i="23" a="1"/>
  <c r="G29" i="23" s="1"/>
  <c r="F29" i="23" a="1"/>
  <c r="F29" i="23" s="1"/>
  <c r="E29" i="23" a="1"/>
  <c r="E29" i="23" s="1"/>
  <c r="D29" i="23" a="1"/>
  <c r="D29" i="23" s="1"/>
  <c r="G28" i="23" a="1"/>
  <c r="G28" i="23" s="1"/>
  <c r="F28" i="23" a="1"/>
  <c r="F28" i="23" s="1"/>
  <c r="E28" i="23" a="1"/>
  <c r="E28" i="23" s="1"/>
  <c r="D28" i="23" a="1"/>
  <c r="D28" i="23" s="1"/>
  <c r="G27" i="23" a="1"/>
  <c r="G27" i="23" s="1"/>
  <c r="F27" i="23" a="1"/>
  <c r="F27" i="23" s="1"/>
  <c r="E27" i="23" a="1"/>
  <c r="E27" i="23" s="1"/>
  <c r="D27" i="23" a="1"/>
  <c r="D27" i="23" s="1"/>
  <c r="G26" i="23" a="1"/>
  <c r="G26" i="23" s="1"/>
  <c r="F26" i="23" a="1"/>
  <c r="F26" i="23" s="1"/>
  <c r="E26" i="23" a="1"/>
  <c r="E26" i="23" s="1"/>
  <c r="D26" i="23" a="1"/>
  <c r="D26" i="23" s="1"/>
  <c r="G25" i="23" a="1"/>
  <c r="G25" i="23" s="1"/>
  <c r="F25" i="23" a="1"/>
  <c r="F25" i="23" s="1"/>
  <c r="E25" i="23" a="1"/>
  <c r="E25" i="23" s="1"/>
  <c r="D25" i="23" a="1"/>
  <c r="D25" i="23" s="1"/>
  <c r="G24" i="23" a="1"/>
  <c r="G24" i="23" s="1"/>
  <c r="F24" i="23" a="1"/>
  <c r="F24" i="23" s="1"/>
  <c r="E24" i="23" a="1"/>
  <c r="E24" i="23" s="1"/>
  <c r="D24" i="23" a="1"/>
  <c r="D24" i="23" s="1"/>
  <c r="G23" i="23" a="1"/>
  <c r="G23" i="23" s="1"/>
  <c r="F23" i="23" a="1"/>
  <c r="F23" i="23" s="1"/>
  <c r="E23" i="23" a="1"/>
  <c r="E23" i="23" s="1"/>
  <c r="D23" i="23" a="1"/>
  <c r="D23" i="23" s="1"/>
  <c r="G22" i="23" a="1"/>
  <c r="G22" i="23" s="1"/>
  <c r="F22" i="23" a="1"/>
  <c r="F22" i="23" s="1"/>
  <c r="E22" i="23" a="1"/>
  <c r="E22" i="23" s="1"/>
  <c r="D22" i="23" a="1"/>
  <c r="D22" i="23" s="1"/>
  <c r="D20" i="23" a="1"/>
  <c r="D20" i="23" s="1"/>
  <c r="D19" i="23" a="1"/>
  <c r="D19" i="23" s="1"/>
  <c r="D18" i="23" a="1"/>
  <c r="D18" i="23" s="1"/>
  <c r="D17" i="23" a="1"/>
  <c r="D17" i="23" s="1"/>
  <c r="D16" i="23" a="1"/>
  <c r="D16" i="23" s="1"/>
  <c r="H9" i="52" l="1" a="1"/>
  <c r="H9" i="52" s="1"/>
  <c r="H8" i="52" a="1"/>
  <c r="H8" i="52" s="1"/>
  <c r="H7" i="52" a="1"/>
  <c r="H7" i="52" s="1"/>
  <c r="F79" i="19"/>
  <c r="F61" i="19" a="1"/>
  <c r="D440" i="22" a="1"/>
  <c r="D440" i="22" s="1"/>
  <c r="D439" i="22" a="1"/>
  <c r="D439" i="22" s="1"/>
  <c r="D438" i="22" a="1"/>
  <c r="D438" i="22" s="1"/>
  <c r="D437" i="22" a="1"/>
  <c r="D437" i="22" s="1"/>
  <c r="D436" i="22" a="1"/>
  <c r="D436" i="22" s="1"/>
  <c r="D434" i="22" a="1"/>
  <c r="D434" i="22" s="1"/>
  <c r="D433" i="22" a="1"/>
  <c r="D433" i="22" s="1"/>
  <c r="D432" i="22" a="1"/>
  <c r="D432" i="22" s="1"/>
  <c r="D431" i="22" a="1"/>
  <c r="D431" i="22" s="1"/>
  <c r="D430" i="22" a="1"/>
  <c r="D430" i="22" s="1"/>
  <c r="D428" i="22" a="1"/>
  <c r="D428" i="22" s="1"/>
  <c r="D427" i="22" a="1"/>
  <c r="D427" i="22" s="1"/>
  <c r="D426" i="22" a="1"/>
  <c r="D426" i="22" s="1"/>
  <c r="D425" i="22" a="1"/>
  <c r="D425" i="22" s="1"/>
  <c r="D424" i="22" a="1"/>
  <c r="D424" i="22" s="1"/>
  <c r="D422" i="22" a="1"/>
  <c r="D422" i="22" s="1"/>
  <c r="D421" i="22" a="1"/>
  <c r="D421" i="22" s="1"/>
  <c r="D420" i="22" a="1"/>
  <c r="D420" i="22" s="1"/>
  <c r="D419" i="22" a="1"/>
  <c r="D419" i="22" s="1"/>
  <c r="D418" i="22" a="1"/>
  <c r="D418" i="22" s="1"/>
  <c r="G415" i="22" a="1"/>
  <c r="G415" i="22" s="1"/>
  <c r="F415" i="22" a="1"/>
  <c r="F415" i="22" s="1"/>
  <c r="E415" i="22" a="1"/>
  <c r="E415" i="22" s="1"/>
  <c r="D415" i="22" a="1"/>
  <c r="D415" i="22" s="1"/>
  <c r="G414" i="22" a="1"/>
  <c r="G414" i="22" s="1"/>
  <c r="F414" i="22" a="1"/>
  <c r="F414" i="22" s="1"/>
  <c r="E414" i="22" a="1"/>
  <c r="E414" i="22" s="1"/>
  <c r="D414" i="22" a="1"/>
  <c r="D414" i="22" s="1"/>
  <c r="G413" i="22" a="1"/>
  <c r="G413" i="22" s="1"/>
  <c r="F413" i="22" a="1"/>
  <c r="F413" i="22" s="1"/>
  <c r="E413" i="22" a="1"/>
  <c r="E413" i="22" s="1"/>
  <c r="D413" i="22" a="1"/>
  <c r="D413" i="22" s="1"/>
  <c r="G412" i="22" a="1"/>
  <c r="G412" i="22" s="1"/>
  <c r="F412" i="22" a="1"/>
  <c r="F412" i="22" s="1"/>
  <c r="E412" i="22" a="1"/>
  <c r="E412" i="22" s="1"/>
  <c r="D412" i="22" a="1"/>
  <c r="D412" i="22" s="1"/>
  <c r="G411" i="22" a="1"/>
  <c r="G411" i="22" s="1"/>
  <c r="F411" i="22" a="1"/>
  <c r="F411" i="22" s="1"/>
  <c r="E411" i="22" a="1"/>
  <c r="E411" i="22" s="1"/>
  <c r="D411" i="22" a="1"/>
  <c r="D411" i="22" s="1"/>
  <c r="G410" i="22" a="1"/>
  <c r="G410" i="22" s="1"/>
  <c r="F410" i="22" a="1"/>
  <c r="F410" i="22" s="1"/>
  <c r="E410" i="22" a="1"/>
  <c r="E410" i="22" s="1"/>
  <c r="D410" i="22" a="1"/>
  <c r="D410" i="22" s="1"/>
  <c r="G409" i="22" a="1"/>
  <c r="G409" i="22" s="1"/>
  <c r="F409" i="22" a="1"/>
  <c r="F409" i="22" s="1"/>
  <c r="E409" i="22" a="1"/>
  <c r="E409" i="22" s="1"/>
  <c r="D409" i="22" a="1"/>
  <c r="D409" i="22" s="1"/>
  <c r="G408" i="22" a="1"/>
  <c r="G408" i="22" s="1"/>
  <c r="F408" i="22" a="1"/>
  <c r="F408" i="22" s="1"/>
  <c r="E408" i="22" a="1"/>
  <c r="E408" i="22" s="1"/>
  <c r="D408" i="22" a="1"/>
  <c r="D408" i="22" s="1"/>
  <c r="G407" i="22" a="1"/>
  <c r="G407" i="22" s="1"/>
  <c r="F407" i="22" a="1"/>
  <c r="F407" i="22" s="1"/>
  <c r="E407" i="22" a="1"/>
  <c r="E407" i="22" s="1"/>
  <c r="D407" i="22" a="1"/>
  <c r="D407" i="22" s="1"/>
  <c r="G406" i="22" a="1"/>
  <c r="G406" i="22" s="1"/>
  <c r="F406" i="22" a="1"/>
  <c r="F406" i="22" s="1"/>
  <c r="E406" i="22" a="1"/>
  <c r="E406" i="22" s="1"/>
  <c r="D406" i="22" a="1"/>
  <c r="D406" i="22" s="1"/>
  <c r="G405" i="22" a="1"/>
  <c r="G405" i="22" s="1"/>
  <c r="F405" i="22" a="1"/>
  <c r="F405" i="22" s="1"/>
  <c r="E405" i="22" a="1"/>
  <c r="E405" i="22" s="1"/>
  <c r="D405" i="22" a="1"/>
  <c r="D405" i="22" s="1"/>
  <c r="G404" i="22" a="1"/>
  <c r="G404" i="22" s="1"/>
  <c r="F404" i="22" a="1"/>
  <c r="F404" i="22" s="1"/>
  <c r="E404" i="22" a="1"/>
  <c r="E404" i="22" s="1"/>
  <c r="D404" i="22" a="1"/>
  <c r="D404" i="22" s="1"/>
  <c r="G403" i="22" a="1"/>
  <c r="G403" i="22" s="1"/>
  <c r="F403" i="22" a="1"/>
  <c r="F403" i="22" s="1"/>
  <c r="E403" i="22" a="1"/>
  <c r="E403" i="22" s="1"/>
  <c r="D403" i="22" a="1"/>
  <c r="D403" i="22" s="1"/>
  <c r="G402" i="22" a="1"/>
  <c r="G402" i="22" s="1"/>
  <c r="F402" i="22" a="1"/>
  <c r="F402" i="22" s="1"/>
  <c r="E402" i="22" a="1"/>
  <c r="E402" i="22" s="1"/>
  <c r="D402" i="22" a="1"/>
  <c r="D402" i="22" s="1"/>
  <c r="G401" i="22" a="1"/>
  <c r="G401" i="22" s="1"/>
  <c r="F401" i="22" a="1"/>
  <c r="F401" i="22" s="1"/>
  <c r="E401" i="22" a="1"/>
  <c r="E401" i="22" s="1"/>
  <c r="D401" i="22" a="1"/>
  <c r="D401" i="22" s="1"/>
  <c r="D399" i="22" a="1"/>
  <c r="D399" i="22" s="1"/>
  <c r="D398" i="22" a="1"/>
  <c r="D398" i="22" s="1"/>
  <c r="D397" i="22" a="1"/>
  <c r="D397" i="22" s="1"/>
  <c r="D396" i="22" a="1"/>
  <c r="D396" i="22" s="1"/>
  <c r="D395" i="22" a="1"/>
  <c r="D395" i="22" s="1"/>
  <c r="G392" i="22" a="1"/>
  <c r="G392" i="22" s="1"/>
  <c r="F392" i="22" a="1"/>
  <c r="F392" i="22" s="1"/>
  <c r="E392" i="22" a="1"/>
  <c r="E392" i="22" s="1"/>
  <c r="D392" i="22" a="1"/>
  <c r="D392" i="22" s="1"/>
  <c r="G391" i="22" a="1"/>
  <c r="G391" i="22" s="1"/>
  <c r="F391" i="22" a="1"/>
  <c r="F391" i="22" s="1"/>
  <c r="E391" i="22" a="1"/>
  <c r="E391" i="22" s="1"/>
  <c r="D391" i="22" a="1"/>
  <c r="D391" i="22" s="1"/>
  <c r="G390" i="22" a="1"/>
  <c r="G390" i="22" s="1"/>
  <c r="F390" i="22" a="1"/>
  <c r="F390" i="22" s="1"/>
  <c r="E390" i="22" a="1"/>
  <c r="E390" i="22" s="1"/>
  <c r="D390" i="22" a="1"/>
  <c r="D390" i="22" s="1"/>
  <c r="G389" i="22" a="1"/>
  <c r="G389" i="22" s="1"/>
  <c r="F389" i="22" a="1"/>
  <c r="F389" i="22" s="1"/>
  <c r="E389" i="22" a="1"/>
  <c r="E389" i="22" s="1"/>
  <c r="D389" i="22" a="1"/>
  <c r="D389" i="22" s="1"/>
  <c r="G388" i="22" a="1"/>
  <c r="G388" i="22" s="1"/>
  <c r="F388" i="22" a="1"/>
  <c r="F388" i="22" s="1"/>
  <c r="E388" i="22" a="1"/>
  <c r="E388" i="22" s="1"/>
  <c r="D388" i="22" a="1"/>
  <c r="D388" i="22" s="1"/>
  <c r="G387" i="22" a="1"/>
  <c r="G387" i="22" s="1"/>
  <c r="F387" i="22" a="1"/>
  <c r="F387" i="22" s="1"/>
  <c r="E387" i="22" a="1"/>
  <c r="E387" i="22" s="1"/>
  <c r="D387" i="22" a="1"/>
  <c r="D387" i="22" s="1"/>
  <c r="G386" i="22" a="1"/>
  <c r="G386" i="22" s="1"/>
  <c r="F386" i="22" a="1"/>
  <c r="F386" i="22" s="1"/>
  <c r="E386" i="22" a="1"/>
  <c r="E386" i="22" s="1"/>
  <c r="D386" i="22" a="1"/>
  <c r="D386" i="22" s="1"/>
  <c r="G385" i="22" a="1"/>
  <c r="G385" i="22" s="1"/>
  <c r="F385" i="22" a="1"/>
  <c r="F385" i="22" s="1"/>
  <c r="E385" i="22" a="1"/>
  <c r="E385" i="22" s="1"/>
  <c r="D385" i="22" a="1"/>
  <c r="D385" i="22" s="1"/>
  <c r="G384" i="22" a="1"/>
  <c r="G384" i="22" s="1"/>
  <c r="F384" i="22" a="1"/>
  <c r="F384" i="22" s="1"/>
  <c r="E384" i="22" a="1"/>
  <c r="E384" i="22" s="1"/>
  <c r="D384" i="22" a="1"/>
  <c r="D384" i="22" s="1"/>
  <c r="G383" i="22" a="1"/>
  <c r="G383" i="22" s="1"/>
  <c r="F383" i="22" a="1"/>
  <c r="F383" i="22" s="1"/>
  <c r="E383" i="22" a="1"/>
  <c r="E383" i="22" s="1"/>
  <c r="D383" i="22" a="1"/>
  <c r="D383" i="22" s="1"/>
  <c r="G382" i="22" a="1"/>
  <c r="G382" i="22" s="1"/>
  <c r="F382" i="22" a="1"/>
  <c r="F382" i="22" s="1"/>
  <c r="E382" i="22" a="1"/>
  <c r="E382" i="22" s="1"/>
  <c r="D382" i="22" a="1"/>
  <c r="D382" i="22" s="1"/>
  <c r="G381" i="22" a="1"/>
  <c r="G381" i="22" s="1"/>
  <c r="F381" i="22" a="1"/>
  <c r="F381" i="22" s="1"/>
  <c r="E381" i="22" a="1"/>
  <c r="E381" i="22" s="1"/>
  <c r="D381" i="22" a="1"/>
  <c r="D381" i="22" s="1"/>
  <c r="G380" i="22" a="1"/>
  <c r="G380" i="22" s="1"/>
  <c r="F380" i="22" a="1"/>
  <c r="F380" i="22" s="1"/>
  <c r="E380" i="22" a="1"/>
  <c r="E380" i="22" s="1"/>
  <c r="D380" i="22" a="1"/>
  <c r="D380" i="22" s="1"/>
  <c r="G379" i="22" a="1"/>
  <c r="G379" i="22" s="1"/>
  <c r="F379" i="22" a="1"/>
  <c r="F379" i="22" s="1"/>
  <c r="E379" i="22" a="1"/>
  <c r="E379" i="22" s="1"/>
  <c r="D379" i="22" a="1"/>
  <c r="D379" i="22" s="1"/>
  <c r="G378" i="22" a="1"/>
  <c r="G378" i="22" s="1"/>
  <c r="F378" i="22" a="1"/>
  <c r="F378" i="22" s="1"/>
  <c r="E378" i="22" a="1"/>
  <c r="E378" i="22" s="1"/>
  <c r="D378" i="22" a="1"/>
  <c r="D378" i="22" s="1"/>
  <c r="D376" i="22" a="1"/>
  <c r="D376" i="22" s="1"/>
  <c r="D375" i="22" a="1"/>
  <c r="D375" i="22" s="1"/>
  <c r="D374" i="22" a="1"/>
  <c r="D374" i="22" s="1"/>
  <c r="D373" i="22" a="1"/>
  <c r="D373" i="22" s="1"/>
  <c r="D372" i="22" a="1"/>
  <c r="D372" i="22" s="1"/>
  <c r="L358" i="22" a="1"/>
  <c r="L358" i="22" s="1"/>
  <c r="O369" i="22" s="1"/>
  <c r="K358" i="22" a="1"/>
  <c r="K358" i="22" s="1"/>
  <c r="M369" i="22" s="1"/>
  <c r="J358" i="22" a="1"/>
  <c r="J358" i="22" s="1"/>
  <c r="K369" i="22" s="1"/>
  <c r="I358" i="22" a="1"/>
  <c r="I358" i="22" s="1"/>
  <c r="H358" i="22" a="1"/>
  <c r="H358" i="22" s="1"/>
  <c r="H369" i="22" s="1"/>
  <c r="G358" i="22" a="1"/>
  <c r="G358" i="22" s="1"/>
  <c r="G369" i="22" s="1"/>
  <c r="F358" i="22" a="1"/>
  <c r="F358" i="22" s="1"/>
  <c r="F369" i="22" s="1"/>
  <c r="E358" i="22" a="1"/>
  <c r="E358" i="22" s="1"/>
  <c r="E369" i="22" s="1"/>
  <c r="D358" i="22" a="1"/>
  <c r="D358" i="22" s="1"/>
  <c r="D369" i="22" s="1"/>
  <c r="L357" i="22" a="1"/>
  <c r="L357" i="22" s="1"/>
  <c r="O368" i="22" s="1"/>
  <c r="K357" i="22" a="1"/>
  <c r="K357" i="22" s="1"/>
  <c r="J357" i="22" a="1"/>
  <c r="J357" i="22" s="1"/>
  <c r="K368" i="22" s="1"/>
  <c r="I357" i="22" a="1"/>
  <c r="I357" i="22" s="1"/>
  <c r="J368" i="22" s="1"/>
  <c r="H357" i="22" a="1"/>
  <c r="H357" i="22" s="1"/>
  <c r="H368" i="22" s="1"/>
  <c r="G357" i="22" a="1"/>
  <c r="G357" i="22" s="1"/>
  <c r="G368" i="22" s="1"/>
  <c r="F357" i="22" a="1"/>
  <c r="F357" i="22" s="1"/>
  <c r="F368" i="22" s="1"/>
  <c r="E357" i="22" a="1"/>
  <c r="E357" i="22" s="1"/>
  <c r="E368" i="22" s="1"/>
  <c r="D357" i="22" a="1"/>
  <c r="D357" i="22" s="1"/>
  <c r="D368" i="22" s="1"/>
  <c r="L356" i="22" a="1"/>
  <c r="L356" i="22" s="1"/>
  <c r="O367" i="22" s="1"/>
  <c r="K356" i="22" a="1"/>
  <c r="K356" i="22" s="1"/>
  <c r="M367" i="22" s="1"/>
  <c r="J356" i="22" a="1"/>
  <c r="J356" i="22" s="1"/>
  <c r="K367" i="22" s="1"/>
  <c r="I356" i="22" a="1"/>
  <c r="I356" i="22" s="1"/>
  <c r="I367" i="22" s="1"/>
  <c r="H356" i="22" a="1"/>
  <c r="H356" i="22" s="1"/>
  <c r="H367" i="22" s="1"/>
  <c r="G356" i="22" a="1"/>
  <c r="G356" i="22" s="1"/>
  <c r="G367" i="22" s="1"/>
  <c r="F356" i="22" a="1"/>
  <c r="F356" i="22" s="1"/>
  <c r="F367" i="22" s="1"/>
  <c r="E356" i="22" a="1"/>
  <c r="E356" i="22" s="1"/>
  <c r="E367" i="22" s="1"/>
  <c r="D356" i="22" a="1"/>
  <c r="D356" i="22" s="1"/>
  <c r="D367" i="22" s="1"/>
  <c r="L355" i="22" a="1"/>
  <c r="L355" i="22" s="1"/>
  <c r="O366" i="22" s="1"/>
  <c r="K355" i="22" a="1"/>
  <c r="K355" i="22" s="1"/>
  <c r="L366" i="22" s="1"/>
  <c r="J355" i="22" a="1"/>
  <c r="J355" i="22" s="1"/>
  <c r="K366" i="22" s="1"/>
  <c r="I355" i="22" a="1"/>
  <c r="I355" i="22" s="1"/>
  <c r="I366" i="22" s="1"/>
  <c r="H355" i="22" a="1"/>
  <c r="H355" i="22" s="1"/>
  <c r="H366" i="22" s="1"/>
  <c r="G355" i="22" a="1"/>
  <c r="G355" i="22" s="1"/>
  <c r="G366" i="22" s="1"/>
  <c r="F355" i="22" a="1"/>
  <c r="F355" i="22" s="1"/>
  <c r="F366" i="22" s="1"/>
  <c r="E355" i="22" a="1"/>
  <c r="E355" i="22" s="1"/>
  <c r="E366" i="22" s="1"/>
  <c r="D355" i="22" a="1"/>
  <c r="D355" i="22" s="1"/>
  <c r="D366" i="22" s="1"/>
  <c r="L354" i="22" a="1"/>
  <c r="L354" i="22" s="1"/>
  <c r="O365" i="22" s="1"/>
  <c r="K354" i="22" a="1"/>
  <c r="K354" i="22" s="1"/>
  <c r="M365" i="22" s="1"/>
  <c r="J354" i="22" a="1"/>
  <c r="J354" i="22" s="1"/>
  <c r="K365" i="22" s="1"/>
  <c r="I354" i="22" a="1"/>
  <c r="I354" i="22" s="1"/>
  <c r="J365" i="22" s="1"/>
  <c r="H354" i="22" a="1"/>
  <c r="H354" i="22" s="1"/>
  <c r="H365" i="22" s="1"/>
  <c r="G354" i="22" a="1"/>
  <c r="G354" i="22" s="1"/>
  <c r="G365" i="22" s="1"/>
  <c r="F354" i="22" a="1"/>
  <c r="F354" i="22" s="1"/>
  <c r="F365" i="22" s="1"/>
  <c r="E354" i="22" a="1"/>
  <c r="E354" i="22" s="1"/>
  <c r="E365" i="22" s="1"/>
  <c r="D354" i="22" a="1"/>
  <c r="D354" i="22" s="1"/>
  <c r="D365" i="22" s="1"/>
  <c r="L353" i="22" a="1"/>
  <c r="L353" i="22" s="1"/>
  <c r="O364" i="22" s="1"/>
  <c r="K353" i="22" a="1"/>
  <c r="K353" i="22" s="1"/>
  <c r="M364" i="22" s="1"/>
  <c r="J353" i="22" a="1"/>
  <c r="J353" i="22" s="1"/>
  <c r="K364" i="22" s="1"/>
  <c r="I353" i="22" a="1"/>
  <c r="I353" i="22" s="1"/>
  <c r="I364" i="22" s="1"/>
  <c r="H353" i="22" a="1"/>
  <c r="H353" i="22" s="1"/>
  <c r="H364" i="22" s="1"/>
  <c r="G353" i="22" a="1"/>
  <c r="G353" i="22" s="1"/>
  <c r="G364" i="22" s="1"/>
  <c r="F353" i="22" a="1"/>
  <c r="F353" i="22" s="1"/>
  <c r="F364" i="22" s="1"/>
  <c r="E353" i="22" a="1"/>
  <c r="E353" i="22" s="1"/>
  <c r="E364" i="22" s="1"/>
  <c r="D353" i="22" a="1"/>
  <c r="D353" i="22" s="1"/>
  <c r="D364" i="22" s="1"/>
  <c r="L352" i="22" a="1"/>
  <c r="L352" i="22" s="1"/>
  <c r="O363" i="22" s="1"/>
  <c r="K352" i="22" a="1"/>
  <c r="K352" i="22" s="1"/>
  <c r="N363" i="22" s="1"/>
  <c r="J352" i="22" a="1"/>
  <c r="J352" i="22" s="1"/>
  <c r="K363" i="22" s="1"/>
  <c r="I352" i="22" a="1"/>
  <c r="I352" i="22" s="1"/>
  <c r="I363" i="22" s="1"/>
  <c r="H352" i="22" a="1"/>
  <c r="H352" i="22" s="1"/>
  <c r="H363" i="22" s="1"/>
  <c r="G352" i="22" a="1"/>
  <c r="G352" i="22" s="1"/>
  <c r="G363" i="22" s="1"/>
  <c r="F352" i="22" a="1"/>
  <c r="F352" i="22" s="1"/>
  <c r="F363" i="22" s="1"/>
  <c r="E352" i="22" a="1"/>
  <c r="E352" i="22" s="1"/>
  <c r="E363" i="22" s="1"/>
  <c r="D352" i="22" a="1"/>
  <c r="D352" i="22" s="1"/>
  <c r="D363" i="22" s="1"/>
  <c r="L351" i="22" a="1"/>
  <c r="L351" i="22" s="1"/>
  <c r="O362" i="22" s="1"/>
  <c r="K351" i="22" a="1"/>
  <c r="K351" i="22" s="1"/>
  <c r="M362" i="22" s="1"/>
  <c r="J351" i="22" a="1"/>
  <c r="J351" i="22" s="1"/>
  <c r="K362" i="22" s="1"/>
  <c r="I351" i="22" a="1"/>
  <c r="I351" i="22" s="1"/>
  <c r="I362" i="22" s="1"/>
  <c r="H351" i="22" a="1"/>
  <c r="H351" i="22" s="1"/>
  <c r="H362" i="22" s="1"/>
  <c r="G351" i="22" a="1"/>
  <c r="G351" i="22" s="1"/>
  <c r="G362" i="22" s="1"/>
  <c r="F351" i="22" a="1"/>
  <c r="F351" i="22" s="1"/>
  <c r="F362" i="22" s="1"/>
  <c r="E351" i="22" a="1"/>
  <c r="E351" i="22" s="1"/>
  <c r="E362" i="22" s="1"/>
  <c r="D351" i="22" a="1"/>
  <c r="D351" i="22" s="1"/>
  <c r="D362" i="22" s="1"/>
  <c r="D349" i="22" a="1"/>
  <c r="D349" i="22" s="1"/>
  <c r="D348" i="22" a="1"/>
  <c r="D348" i="22" s="1"/>
  <c r="D347" i="22" a="1"/>
  <c r="D347" i="22" s="1"/>
  <c r="D346" i="22" a="1"/>
  <c r="D346" i="22" s="1"/>
  <c r="D345" i="22" a="1"/>
  <c r="D345" i="22" s="1"/>
  <c r="G342" i="22" a="1"/>
  <c r="G342" i="22" s="1"/>
  <c r="F342" i="22" a="1"/>
  <c r="F342" i="22" s="1"/>
  <c r="E342" i="22" a="1"/>
  <c r="E342" i="22" s="1"/>
  <c r="D342" i="22" a="1"/>
  <c r="D342" i="22" s="1"/>
  <c r="G341" i="22" a="1"/>
  <c r="G341" i="22" s="1"/>
  <c r="L338" i="22" s="1"/>
  <c r="F341" i="22" a="1"/>
  <c r="F341" i="22" s="1"/>
  <c r="K338" i="22" s="1"/>
  <c r="E341" i="22" a="1"/>
  <c r="E341" i="22" s="1"/>
  <c r="D341" i="22" a="1"/>
  <c r="D341" i="22" s="1"/>
  <c r="I338" i="22" s="1"/>
  <c r="G340" i="22" a="1"/>
  <c r="G340" i="22" s="1"/>
  <c r="L337" i="22" s="1"/>
  <c r="F340" i="22" a="1"/>
  <c r="F340" i="22" s="1"/>
  <c r="K337" i="22" s="1"/>
  <c r="E340" i="22" a="1"/>
  <c r="E340" i="22" s="1"/>
  <c r="D340" i="22" a="1"/>
  <c r="D340" i="22" s="1"/>
  <c r="I337" i="22" s="1"/>
  <c r="G339" i="22" a="1"/>
  <c r="G339" i="22" s="1"/>
  <c r="F339" i="22" a="1"/>
  <c r="F339" i="22" s="1"/>
  <c r="E339" i="22" a="1"/>
  <c r="E339" i="22" s="1"/>
  <c r="D339" i="22" a="1"/>
  <c r="D339" i="22" s="1"/>
  <c r="G338" i="22" a="1"/>
  <c r="G338" i="22" s="1"/>
  <c r="F338" i="22" a="1"/>
  <c r="F338" i="22" s="1"/>
  <c r="E338" i="22" a="1"/>
  <c r="E338" i="22" s="1"/>
  <c r="D338" i="22" a="1"/>
  <c r="D338" i="22" s="1"/>
  <c r="G337" i="22" a="1"/>
  <c r="G337" i="22" s="1"/>
  <c r="F337" i="22" a="1"/>
  <c r="F337" i="22" s="1"/>
  <c r="E337" i="22" a="1"/>
  <c r="E337" i="22" s="1"/>
  <c r="D337" i="22" a="1"/>
  <c r="D337" i="22" s="1"/>
  <c r="G336" i="22" a="1"/>
  <c r="G336" i="22" s="1"/>
  <c r="L336" i="22" s="1"/>
  <c r="F336" i="22" a="1"/>
  <c r="F336" i="22" s="1"/>
  <c r="K336" i="22" s="1"/>
  <c r="E336" i="22" a="1"/>
  <c r="E336" i="22" s="1"/>
  <c r="D336" i="22" a="1"/>
  <c r="D336" i="22" s="1"/>
  <c r="I336" i="22" s="1"/>
  <c r="G335" i="22" a="1"/>
  <c r="G335" i="22" s="1"/>
  <c r="L335" i="22" s="1"/>
  <c r="F335" i="22" a="1"/>
  <c r="F335" i="22" s="1"/>
  <c r="K335" i="22" s="1"/>
  <c r="E335" i="22" a="1"/>
  <c r="E335" i="22" s="1"/>
  <c r="D335" i="22" a="1"/>
  <c r="D335" i="22" s="1"/>
  <c r="I335" i="22" s="1"/>
  <c r="D333" i="22" a="1"/>
  <c r="D333" i="22" s="1"/>
  <c r="D332" i="22" a="1"/>
  <c r="D332" i="22" s="1"/>
  <c r="D331" i="22" a="1"/>
  <c r="D331" i="22" s="1"/>
  <c r="I328" i="22" a="1"/>
  <c r="I328" i="22" s="1"/>
  <c r="H328" i="22" a="1"/>
  <c r="H328" i="22" s="1"/>
  <c r="G328" i="22" a="1"/>
  <c r="G328" i="22" s="1"/>
  <c r="F328" i="22" a="1"/>
  <c r="F328" i="22" s="1"/>
  <c r="E328" i="22" a="1"/>
  <c r="E328" i="22" s="1"/>
  <c r="D328" i="22" a="1"/>
  <c r="D328" i="22" s="1"/>
  <c r="I327" i="22" a="1"/>
  <c r="I327" i="22" s="1"/>
  <c r="H327" i="22" a="1"/>
  <c r="H327" i="22" s="1"/>
  <c r="G327" i="22" a="1"/>
  <c r="G327" i="22" s="1"/>
  <c r="F327" i="22" a="1"/>
  <c r="F327" i="22" s="1"/>
  <c r="E327" i="22" a="1"/>
  <c r="E327" i="22" s="1"/>
  <c r="D327" i="22" a="1"/>
  <c r="D327" i="22" s="1"/>
  <c r="I326" i="22" a="1"/>
  <c r="I326" i="22" s="1"/>
  <c r="H326" i="22" a="1"/>
  <c r="H326" i="22" s="1"/>
  <c r="G326" i="22" a="1"/>
  <c r="G326" i="22" s="1"/>
  <c r="F326" i="22" a="1"/>
  <c r="F326" i="22" s="1"/>
  <c r="E326" i="22" a="1"/>
  <c r="E326" i="22" s="1"/>
  <c r="D326" i="22" a="1"/>
  <c r="D326" i="22" s="1"/>
  <c r="I325" i="22" a="1"/>
  <c r="I325" i="22" s="1"/>
  <c r="H325" i="22" a="1"/>
  <c r="H325" i="22" s="1"/>
  <c r="G325" i="22" a="1"/>
  <c r="G325" i="22" s="1"/>
  <c r="F325" i="22" a="1"/>
  <c r="F325" i="22" s="1"/>
  <c r="E325" i="22" a="1"/>
  <c r="E325" i="22" s="1"/>
  <c r="D325" i="22" a="1"/>
  <c r="D325" i="22" s="1"/>
  <c r="I324" i="22" a="1"/>
  <c r="I324" i="22" s="1"/>
  <c r="H324" i="22" a="1"/>
  <c r="H324" i="22" s="1"/>
  <c r="G324" i="22" a="1"/>
  <c r="G324" i="22" s="1"/>
  <c r="F324" i="22" a="1"/>
  <c r="F324" i="22" s="1"/>
  <c r="E324" i="22" a="1"/>
  <c r="E324" i="22" s="1"/>
  <c r="D324" i="22" a="1"/>
  <c r="D324" i="22" s="1"/>
  <c r="I323" i="22" a="1"/>
  <c r="I323" i="22" s="1"/>
  <c r="H323" i="22" a="1"/>
  <c r="H323" i="22" s="1"/>
  <c r="G323" i="22" a="1"/>
  <c r="G323" i="22" s="1"/>
  <c r="F323" i="22" a="1"/>
  <c r="F323" i="22" s="1"/>
  <c r="E323" i="22" a="1"/>
  <c r="E323" i="22" s="1"/>
  <c r="D323" i="22" a="1"/>
  <c r="D323" i="22" s="1"/>
  <c r="I322" i="22" a="1"/>
  <c r="I322" i="22" s="1"/>
  <c r="H322" i="22" a="1"/>
  <c r="H322" i="22" s="1"/>
  <c r="G322" i="22" a="1"/>
  <c r="G322" i="22" s="1"/>
  <c r="F322" i="22" a="1"/>
  <c r="F322" i="22" s="1"/>
  <c r="E322" i="22" a="1"/>
  <c r="E322" i="22" s="1"/>
  <c r="D322" i="22" a="1"/>
  <c r="D322" i="22" s="1"/>
  <c r="I321" i="22" a="1"/>
  <c r="I321" i="22" s="1"/>
  <c r="H321" i="22" a="1"/>
  <c r="H321" i="22" s="1"/>
  <c r="G321" i="22" a="1"/>
  <c r="G321" i="22" s="1"/>
  <c r="F321" i="22" a="1"/>
  <c r="F321" i="22" s="1"/>
  <c r="E321" i="22" a="1"/>
  <c r="E321" i="22" s="1"/>
  <c r="D321" i="22" a="1"/>
  <c r="D321" i="22" s="1"/>
  <c r="I320" i="22" a="1"/>
  <c r="I320" i="22" s="1"/>
  <c r="H320" i="22" a="1"/>
  <c r="H320" i="22" s="1"/>
  <c r="G320" i="22" a="1"/>
  <c r="G320" i="22" s="1"/>
  <c r="F320" i="22" a="1"/>
  <c r="F320" i="22" s="1"/>
  <c r="E320" i="22" a="1"/>
  <c r="E320" i="22" s="1"/>
  <c r="D320" i="22" a="1"/>
  <c r="D320" i="22" s="1"/>
  <c r="I319" i="22" a="1"/>
  <c r="I319" i="22" s="1"/>
  <c r="H319" i="22" a="1"/>
  <c r="H319" i="22" s="1"/>
  <c r="G319" i="22" a="1"/>
  <c r="G319" i="22" s="1"/>
  <c r="F319" i="22" a="1"/>
  <c r="F319" i="22" s="1"/>
  <c r="E319" i="22" a="1"/>
  <c r="E319" i="22" s="1"/>
  <c r="D319" i="22" a="1"/>
  <c r="D319" i="22" s="1"/>
  <c r="I318" i="22" a="1"/>
  <c r="I318" i="22" s="1"/>
  <c r="H318" i="22" a="1"/>
  <c r="H318" i="22" s="1"/>
  <c r="G318" i="22" a="1"/>
  <c r="G318" i="22" s="1"/>
  <c r="F318" i="22" a="1"/>
  <c r="F318" i="22" s="1"/>
  <c r="E318" i="22" a="1"/>
  <c r="E318" i="22" s="1"/>
  <c r="D318" i="22" a="1"/>
  <c r="D318" i="22" s="1"/>
  <c r="I317" i="22" a="1"/>
  <c r="I317" i="22" s="1"/>
  <c r="H317" i="22" a="1"/>
  <c r="H317" i="22" s="1"/>
  <c r="G317" i="22" a="1"/>
  <c r="G317" i="22" s="1"/>
  <c r="F317" i="22" a="1"/>
  <c r="F317" i="22" s="1"/>
  <c r="E317" i="22" a="1"/>
  <c r="E317" i="22" s="1"/>
  <c r="D317" i="22" a="1"/>
  <c r="D317" i="22" s="1"/>
  <c r="I316" i="22" a="1"/>
  <c r="I316" i="22" s="1"/>
  <c r="H316" i="22" a="1"/>
  <c r="H316" i="22" s="1"/>
  <c r="G316" i="22" a="1"/>
  <c r="G316" i="22" s="1"/>
  <c r="F316" i="22" a="1"/>
  <c r="F316" i="22" s="1"/>
  <c r="E316" i="22" a="1"/>
  <c r="E316" i="22" s="1"/>
  <c r="D316" i="22" a="1"/>
  <c r="D316" i="22" s="1"/>
  <c r="I315" i="22" a="1"/>
  <c r="I315" i="22" s="1"/>
  <c r="H315" i="22" a="1"/>
  <c r="H315" i="22" s="1"/>
  <c r="G315" i="22" a="1"/>
  <c r="G315" i="22" s="1"/>
  <c r="F315" i="22" a="1"/>
  <c r="F315" i="22" s="1"/>
  <c r="E315" i="22" a="1"/>
  <c r="E315" i="22" s="1"/>
  <c r="D315" i="22" a="1"/>
  <c r="D315" i="22" s="1"/>
  <c r="I314" i="22" a="1"/>
  <c r="I314" i="22" s="1"/>
  <c r="H314" i="22" a="1"/>
  <c r="H314" i="22" s="1"/>
  <c r="G314" i="22" a="1"/>
  <c r="G314" i="22" s="1"/>
  <c r="F314" i="22" a="1"/>
  <c r="F314" i="22" s="1"/>
  <c r="E314" i="22" a="1"/>
  <c r="E314" i="22" s="1"/>
  <c r="D314" i="22" a="1"/>
  <c r="D314" i="22" s="1"/>
  <c r="D312" i="22" a="1"/>
  <c r="D312" i="22" s="1"/>
  <c r="D311" i="22" a="1"/>
  <c r="D311" i="22" s="1"/>
  <c r="D310" i="22" a="1"/>
  <c r="D310" i="22" s="1"/>
  <c r="D309" i="22" a="1"/>
  <c r="D309" i="22" s="1"/>
  <c r="D308" i="22" a="1"/>
  <c r="D308" i="22" s="1"/>
  <c r="I305" i="22" a="1"/>
  <c r="I305" i="22" s="1"/>
  <c r="H305" i="22" a="1"/>
  <c r="H305" i="22" s="1"/>
  <c r="G305" i="22" a="1"/>
  <c r="G305" i="22" s="1"/>
  <c r="F305" i="22" a="1"/>
  <c r="F305" i="22" s="1"/>
  <c r="E305" i="22" a="1"/>
  <c r="E305" i="22" s="1"/>
  <c r="D305" i="22" a="1"/>
  <c r="D305" i="22" s="1"/>
  <c r="I304" i="22" a="1"/>
  <c r="I304" i="22" s="1"/>
  <c r="H304" i="22" a="1"/>
  <c r="H304" i="22" s="1"/>
  <c r="G304" i="22" a="1"/>
  <c r="G304" i="22" s="1"/>
  <c r="F304" i="22" a="1"/>
  <c r="F304" i="22" s="1"/>
  <c r="E304" i="22" a="1"/>
  <c r="E304" i="22" s="1"/>
  <c r="D304" i="22" a="1"/>
  <c r="D304" i="22" s="1"/>
  <c r="I303" i="22" a="1"/>
  <c r="I303" i="22" s="1"/>
  <c r="H303" i="22" a="1"/>
  <c r="H303" i="22" s="1"/>
  <c r="G303" i="22" a="1"/>
  <c r="G303" i="22" s="1"/>
  <c r="F303" i="22" a="1"/>
  <c r="F303" i="22" s="1"/>
  <c r="E303" i="22" a="1"/>
  <c r="E303" i="22" s="1"/>
  <c r="D303" i="22" a="1"/>
  <c r="D303" i="22" s="1"/>
  <c r="I302" i="22" a="1"/>
  <c r="I302" i="22" s="1"/>
  <c r="H302" i="22" a="1"/>
  <c r="H302" i="22" s="1"/>
  <c r="G302" i="22" a="1"/>
  <c r="G302" i="22" s="1"/>
  <c r="F302" i="22" a="1"/>
  <c r="F302" i="22" s="1"/>
  <c r="E302" i="22" a="1"/>
  <c r="E302" i="22" s="1"/>
  <c r="D302" i="22" a="1"/>
  <c r="D302" i="22" s="1"/>
  <c r="I301" i="22" a="1"/>
  <c r="I301" i="22" s="1"/>
  <c r="H301" i="22" a="1"/>
  <c r="H301" i="22" s="1"/>
  <c r="G301" i="22" a="1"/>
  <c r="G301" i="22" s="1"/>
  <c r="F301" i="22" a="1"/>
  <c r="F301" i="22" s="1"/>
  <c r="E301" i="22" a="1"/>
  <c r="E301" i="22" s="1"/>
  <c r="D301" i="22" a="1"/>
  <c r="D301" i="22" s="1"/>
  <c r="I300" i="22" a="1"/>
  <c r="I300" i="22" s="1"/>
  <c r="H300" i="22" a="1"/>
  <c r="H300" i="22" s="1"/>
  <c r="G300" i="22" a="1"/>
  <c r="G300" i="22" s="1"/>
  <c r="F300" i="22" a="1"/>
  <c r="F300" i="22" s="1"/>
  <c r="E300" i="22" a="1"/>
  <c r="E300" i="22" s="1"/>
  <c r="D300" i="22" a="1"/>
  <c r="D300" i="22" s="1"/>
  <c r="I299" i="22" a="1"/>
  <c r="I299" i="22" s="1"/>
  <c r="H299" i="22" a="1"/>
  <c r="H299" i="22" s="1"/>
  <c r="G299" i="22" a="1"/>
  <c r="G299" i="22" s="1"/>
  <c r="F299" i="22" a="1"/>
  <c r="F299" i="22" s="1"/>
  <c r="E299" i="22" a="1"/>
  <c r="E299" i="22" s="1"/>
  <c r="D299" i="22" a="1"/>
  <c r="D299" i="22" s="1"/>
  <c r="I298" i="22" a="1"/>
  <c r="I298" i="22" s="1"/>
  <c r="H298" i="22" a="1"/>
  <c r="H298" i="22" s="1"/>
  <c r="G298" i="22" a="1"/>
  <c r="G298" i="22" s="1"/>
  <c r="F298" i="22" a="1"/>
  <c r="F298" i="22" s="1"/>
  <c r="E298" i="22" a="1"/>
  <c r="E298" i="22" s="1"/>
  <c r="D298" i="22" a="1"/>
  <c r="D298" i="22" s="1"/>
  <c r="I297" i="22" a="1"/>
  <c r="I297" i="22" s="1"/>
  <c r="H297" i="22" a="1"/>
  <c r="H297" i="22" s="1"/>
  <c r="G297" i="22" a="1"/>
  <c r="G297" i="22" s="1"/>
  <c r="F297" i="22" a="1"/>
  <c r="F297" i="22" s="1"/>
  <c r="E297" i="22" a="1"/>
  <c r="E297" i="22" s="1"/>
  <c r="D297" i="22" a="1"/>
  <c r="D297" i="22" s="1"/>
  <c r="I296" i="22" a="1"/>
  <c r="I296" i="22" s="1"/>
  <c r="H296" i="22" a="1"/>
  <c r="H296" i="22" s="1"/>
  <c r="G296" i="22" a="1"/>
  <c r="G296" i="22" s="1"/>
  <c r="F296" i="22" a="1"/>
  <c r="F296" i="22" s="1"/>
  <c r="E296" i="22" a="1"/>
  <c r="E296" i="22" s="1"/>
  <c r="D296" i="22" a="1"/>
  <c r="D296" i="22" s="1"/>
  <c r="I295" i="22" a="1"/>
  <c r="I295" i="22" s="1"/>
  <c r="H295" i="22" a="1"/>
  <c r="H295" i="22" s="1"/>
  <c r="G295" i="22" a="1"/>
  <c r="G295" i="22" s="1"/>
  <c r="F295" i="22" a="1"/>
  <c r="F295" i="22" s="1"/>
  <c r="E295" i="22" a="1"/>
  <c r="E295" i="22" s="1"/>
  <c r="D295" i="22" a="1"/>
  <c r="D295" i="22" s="1"/>
  <c r="I294" i="22" a="1"/>
  <c r="I294" i="22" s="1"/>
  <c r="H294" i="22" a="1"/>
  <c r="H294" i="22" s="1"/>
  <c r="G294" i="22" a="1"/>
  <c r="G294" i="22" s="1"/>
  <c r="F294" i="22" a="1"/>
  <c r="F294" i="22" s="1"/>
  <c r="E294" i="22" a="1"/>
  <c r="E294" i="22" s="1"/>
  <c r="D294" i="22" a="1"/>
  <c r="D294" i="22" s="1"/>
  <c r="I293" i="22" a="1"/>
  <c r="I293" i="22" s="1"/>
  <c r="H293" i="22" a="1"/>
  <c r="H293" i="22" s="1"/>
  <c r="G293" i="22" a="1"/>
  <c r="G293" i="22" s="1"/>
  <c r="F293" i="22" a="1"/>
  <c r="F293" i="22" s="1"/>
  <c r="E293" i="22" a="1"/>
  <c r="E293" i="22" s="1"/>
  <c r="D293" i="22" a="1"/>
  <c r="D293" i="22" s="1"/>
  <c r="I292" i="22" a="1"/>
  <c r="I292" i="22" s="1"/>
  <c r="H292" i="22" a="1"/>
  <c r="H292" i="22" s="1"/>
  <c r="G292" i="22" a="1"/>
  <c r="G292" i="22" s="1"/>
  <c r="F292" i="22" a="1"/>
  <c r="F292" i="22" s="1"/>
  <c r="E292" i="22" a="1"/>
  <c r="E292" i="22" s="1"/>
  <c r="D292" i="22" a="1"/>
  <c r="D292" i="22" s="1"/>
  <c r="I291" i="22" a="1"/>
  <c r="I291" i="22" s="1"/>
  <c r="H291" i="22" a="1"/>
  <c r="H291" i="22" s="1"/>
  <c r="G291" i="22" a="1"/>
  <c r="G291" i="22" s="1"/>
  <c r="F291" i="22" a="1"/>
  <c r="F291" i="22" s="1"/>
  <c r="E291" i="22" a="1"/>
  <c r="E291" i="22" s="1"/>
  <c r="D291" i="22" a="1"/>
  <c r="D291" i="22" s="1"/>
  <c r="D289" i="22" a="1"/>
  <c r="D289" i="22" s="1"/>
  <c r="D288" i="22" a="1"/>
  <c r="D288" i="22" s="1"/>
  <c r="D287" i="22" a="1"/>
  <c r="D287" i="22" s="1"/>
  <c r="D286" i="22" a="1"/>
  <c r="D286" i="22" s="1"/>
  <c r="D285" i="22" a="1"/>
  <c r="D285" i="22" s="1"/>
  <c r="P217" i="22" a="1"/>
  <c r="P217" i="22" s="1"/>
  <c r="P282" i="22" s="1"/>
  <c r="O217" i="22" a="1"/>
  <c r="O217" i="22" s="1"/>
  <c r="O282" i="22" s="1"/>
  <c r="N217" i="22" a="1"/>
  <c r="N217" i="22" s="1"/>
  <c r="N282" i="22" s="1"/>
  <c r="M217" i="22" a="1"/>
  <c r="M217" i="22" s="1"/>
  <c r="M282" i="22" s="1"/>
  <c r="L217" i="22" a="1"/>
  <c r="L217" i="22" s="1"/>
  <c r="L282" i="22" s="1"/>
  <c r="K217" i="22" a="1"/>
  <c r="K217" i="22" s="1"/>
  <c r="K282" i="22" s="1"/>
  <c r="J217" i="22" a="1"/>
  <c r="J217" i="22" s="1"/>
  <c r="J282" i="22" s="1"/>
  <c r="I217" i="22" a="1"/>
  <c r="I217" i="22" s="1"/>
  <c r="I282" i="22" s="1"/>
  <c r="H217" i="22" a="1"/>
  <c r="H217" i="22" s="1"/>
  <c r="H282" i="22" s="1"/>
  <c r="G217" i="22" a="1"/>
  <c r="G217" i="22" s="1"/>
  <c r="G282" i="22" s="1"/>
  <c r="F217" i="22" a="1"/>
  <c r="F217" i="22" s="1"/>
  <c r="F282" i="22" s="1"/>
  <c r="E217" i="22" a="1"/>
  <c r="E217" i="22" s="1"/>
  <c r="E282" i="22" s="1"/>
  <c r="D217" i="22" a="1"/>
  <c r="D217" i="22" s="1"/>
  <c r="P216" i="22" a="1"/>
  <c r="P216" i="22" s="1"/>
  <c r="P281" i="22" s="1"/>
  <c r="O216" i="22" a="1"/>
  <c r="O216" i="22" s="1"/>
  <c r="O281" i="22" s="1"/>
  <c r="N216" i="22" a="1"/>
  <c r="N216" i="22" s="1"/>
  <c r="N281" i="22" s="1"/>
  <c r="M216" i="22" a="1"/>
  <c r="M216" i="22" s="1"/>
  <c r="M281" i="22" s="1"/>
  <c r="L216" i="22" a="1"/>
  <c r="L216" i="22" s="1"/>
  <c r="L281" i="22" s="1"/>
  <c r="K216" i="22" a="1"/>
  <c r="K216" i="22" s="1"/>
  <c r="K281" i="22" s="1"/>
  <c r="J216" i="22" a="1"/>
  <c r="J216" i="22" s="1"/>
  <c r="J281" i="22" s="1"/>
  <c r="I216" i="22" a="1"/>
  <c r="I216" i="22" s="1"/>
  <c r="I281" i="22" s="1"/>
  <c r="H216" i="22" a="1"/>
  <c r="H216" i="22" s="1"/>
  <c r="H281" i="22" s="1"/>
  <c r="G216" i="22" a="1"/>
  <c r="G216" i="22" s="1"/>
  <c r="G281" i="22" s="1"/>
  <c r="F216" i="22" a="1"/>
  <c r="F216" i="22" s="1"/>
  <c r="F281" i="22" s="1"/>
  <c r="E216" i="22" a="1"/>
  <c r="E216" i="22" s="1"/>
  <c r="E281" i="22" s="1"/>
  <c r="D216" i="22" a="1"/>
  <c r="D216" i="22" s="1"/>
  <c r="P215" i="22" a="1"/>
  <c r="P215" i="22" s="1"/>
  <c r="P280" i="22" s="1"/>
  <c r="O215" i="22" a="1"/>
  <c r="O215" i="22" s="1"/>
  <c r="O280" i="22" s="1"/>
  <c r="N215" i="22" a="1"/>
  <c r="N215" i="22" s="1"/>
  <c r="N280" i="22" s="1"/>
  <c r="M215" i="22" a="1"/>
  <c r="M215" i="22" s="1"/>
  <c r="M280" i="22" s="1"/>
  <c r="L215" i="22" a="1"/>
  <c r="L215" i="22" s="1"/>
  <c r="L280" i="22" s="1"/>
  <c r="K215" i="22" a="1"/>
  <c r="K215" i="22" s="1"/>
  <c r="K280" i="22" s="1"/>
  <c r="J215" i="22" a="1"/>
  <c r="J215" i="22" s="1"/>
  <c r="J280" i="22" s="1"/>
  <c r="I215" i="22" a="1"/>
  <c r="I215" i="22" s="1"/>
  <c r="I280" i="22" s="1"/>
  <c r="H215" i="22" a="1"/>
  <c r="H215" i="22" s="1"/>
  <c r="H280" i="22" s="1"/>
  <c r="G215" i="22" a="1"/>
  <c r="G215" i="22" s="1"/>
  <c r="G280" i="22" s="1"/>
  <c r="F215" i="22" a="1"/>
  <c r="F215" i="22" s="1"/>
  <c r="F280" i="22" s="1"/>
  <c r="E215" i="22" a="1"/>
  <c r="E215" i="22" s="1"/>
  <c r="E280" i="22" s="1"/>
  <c r="D215" i="22" a="1"/>
  <c r="D215" i="22" s="1"/>
  <c r="P214" i="22" a="1"/>
  <c r="P214" i="22" s="1"/>
  <c r="P279" i="22" s="1"/>
  <c r="O214" i="22" a="1"/>
  <c r="O214" i="22" s="1"/>
  <c r="O279" i="22" s="1"/>
  <c r="N214" i="22" a="1"/>
  <c r="N214" i="22" s="1"/>
  <c r="N279" i="22" s="1"/>
  <c r="M214" i="22" a="1"/>
  <c r="M214" i="22" s="1"/>
  <c r="M279" i="22" s="1"/>
  <c r="L214" i="22" a="1"/>
  <c r="L214" i="22" s="1"/>
  <c r="L279" i="22" s="1"/>
  <c r="K214" i="22" a="1"/>
  <c r="K214" i="22" s="1"/>
  <c r="K279" i="22" s="1"/>
  <c r="J214" i="22" a="1"/>
  <c r="J214" i="22" s="1"/>
  <c r="J279" i="22" s="1"/>
  <c r="I214" i="22" a="1"/>
  <c r="I214" i="22" s="1"/>
  <c r="I279" i="22" s="1"/>
  <c r="H214" i="22" a="1"/>
  <c r="H214" i="22" s="1"/>
  <c r="H279" i="22" s="1"/>
  <c r="G214" i="22" a="1"/>
  <c r="G214" i="22" s="1"/>
  <c r="G279" i="22" s="1"/>
  <c r="F214" i="22" a="1"/>
  <c r="F214" i="22" s="1"/>
  <c r="F279" i="22" s="1"/>
  <c r="E214" i="22" a="1"/>
  <c r="E214" i="22" s="1"/>
  <c r="E279" i="22" s="1"/>
  <c r="D214" i="22" a="1"/>
  <c r="D214" i="22" s="1"/>
  <c r="P213" i="22" a="1"/>
  <c r="P213" i="22" s="1"/>
  <c r="P278" i="22" s="1"/>
  <c r="O213" i="22" a="1"/>
  <c r="O213" i="22" s="1"/>
  <c r="O278" i="22" s="1"/>
  <c r="N213" i="22" a="1"/>
  <c r="N213" i="22" s="1"/>
  <c r="N278" i="22" s="1"/>
  <c r="M213" i="22" a="1"/>
  <c r="M213" i="22" s="1"/>
  <c r="M278" i="22" s="1"/>
  <c r="L213" i="22" a="1"/>
  <c r="L213" i="22" s="1"/>
  <c r="L278" i="22" s="1"/>
  <c r="K213" i="22" a="1"/>
  <c r="K213" i="22" s="1"/>
  <c r="K278" i="22" s="1"/>
  <c r="J213" i="22" a="1"/>
  <c r="J213" i="22" s="1"/>
  <c r="J278" i="22" s="1"/>
  <c r="I213" i="22" a="1"/>
  <c r="I213" i="22" s="1"/>
  <c r="I278" i="22" s="1"/>
  <c r="H213" i="22" a="1"/>
  <c r="H213" i="22" s="1"/>
  <c r="H278" i="22" s="1"/>
  <c r="G213" i="22" a="1"/>
  <c r="G213" i="22" s="1"/>
  <c r="G278" i="22" s="1"/>
  <c r="F213" i="22" a="1"/>
  <c r="F213" i="22" s="1"/>
  <c r="F278" i="22" s="1"/>
  <c r="E213" i="22" a="1"/>
  <c r="E213" i="22" s="1"/>
  <c r="E278" i="22" s="1"/>
  <c r="D213" i="22" a="1"/>
  <c r="D213" i="22" s="1"/>
  <c r="P212" i="22" a="1"/>
  <c r="P212" i="22" s="1"/>
  <c r="P277" i="22" s="1"/>
  <c r="O212" i="22" a="1"/>
  <c r="O212" i="22" s="1"/>
  <c r="O277" i="22" s="1"/>
  <c r="N212" i="22" a="1"/>
  <c r="N212" i="22" s="1"/>
  <c r="N277" i="22" s="1"/>
  <c r="M212" i="22" a="1"/>
  <c r="M212" i="22" s="1"/>
  <c r="M277" i="22" s="1"/>
  <c r="L212" i="22" a="1"/>
  <c r="L212" i="22" s="1"/>
  <c r="L277" i="22" s="1"/>
  <c r="K212" i="22" a="1"/>
  <c r="K212" i="22" s="1"/>
  <c r="K277" i="22" s="1"/>
  <c r="J212" i="22" a="1"/>
  <c r="J212" i="22" s="1"/>
  <c r="J277" i="22" s="1"/>
  <c r="I212" i="22" a="1"/>
  <c r="I212" i="22" s="1"/>
  <c r="I277" i="22" s="1"/>
  <c r="H212" i="22" a="1"/>
  <c r="H212" i="22" s="1"/>
  <c r="H277" i="22" s="1"/>
  <c r="G212" i="22" a="1"/>
  <c r="G212" i="22" s="1"/>
  <c r="G277" i="22" s="1"/>
  <c r="F212" i="22" a="1"/>
  <c r="F212" i="22" s="1"/>
  <c r="F277" i="22" s="1"/>
  <c r="E212" i="22" a="1"/>
  <c r="E212" i="22" s="1"/>
  <c r="E277" i="22" s="1"/>
  <c r="D212" i="22" a="1"/>
  <c r="D212" i="22" s="1"/>
  <c r="P211" i="22" a="1"/>
  <c r="P211" i="22" s="1"/>
  <c r="P276" i="22" s="1"/>
  <c r="O211" i="22" a="1"/>
  <c r="O211" i="22" s="1"/>
  <c r="O276" i="22" s="1"/>
  <c r="N211" i="22" a="1"/>
  <c r="N211" i="22" s="1"/>
  <c r="N276" i="22" s="1"/>
  <c r="M211" i="22" a="1"/>
  <c r="M211" i="22" s="1"/>
  <c r="M276" i="22" s="1"/>
  <c r="L211" i="22" a="1"/>
  <c r="L211" i="22" s="1"/>
  <c r="L276" i="22" s="1"/>
  <c r="K211" i="22" a="1"/>
  <c r="K211" i="22" s="1"/>
  <c r="K276" i="22" s="1"/>
  <c r="J211" i="22" a="1"/>
  <c r="J211" i="22" s="1"/>
  <c r="J276" i="22" s="1"/>
  <c r="I211" i="22" a="1"/>
  <c r="I211" i="22" s="1"/>
  <c r="I276" i="22" s="1"/>
  <c r="H211" i="22" a="1"/>
  <c r="H211" i="22" s="1"/>
  <c r="H276" i="22" s="1"/>
  <c r="G211" i="22" a="1"/>
  <c r="G211" i="22" s="1"/>
  <c r="G276" i="22" s="1"/>
  <c r="F211" i="22" a="1"/>
  <c r="F211" i="22" s="1"/>
  <c r="F276" i="22" s="1"/>
  <c r="E211" i="22" a="1"/>
  <c r="E211" i="22" s="1"/>
  <c r="E276" i="22" s="1"/>
  <c r="D211" i="22" a="1"/>
  <c r="D211" i="22" s="1"/>
  <c r="P210" i="22" a="1"/>
  <c r="P210" i="22" s="1"/>
  <c r="P275" i="22" s="1"/>
  <c r="O210" i="22" a="1"/>
  <c r="O210" i="22" s="1"/>
  <c r="O275" i="22" s="1"/>
  <c r="N210" i="22" a="1"/>
  <c r="N210" i="22" s="1"/>
  <c r="N275" i="22" s="1"/>
  <c r="M210" i="22" a="1"/>
  <c r="M210" i="22" s="1"/>
  <c r="M275" i="22" s="1"/>
  <c r="L210" i="22" a="1"/>
  <c r="L210" i="22" s="1"/>
  <c r="L275" i="22" s="1"/>
  <c r="K210" i="22" a="1"/>
  <c r="K210" i="22" s="1"/>
  <c r="K275" i="22" s="1"/>
  <c r="J210" i="22" a="1"/>
  <c r="J210" i="22" s="1"/>
  <c r="J275" i="22" s="1"/>
  <c r="I210" i="22" a="1"/>
  <c r="I210" i="22" s="1"/>
  <c r="I275" i="22" s="1"/>
  <c r="H210" i="22" a="1"/>
  <c r="H210" i="22" s="1"/>
  <c r="H275" i="22" s="1"/>
  <c r="G210" i="22" a="1"/>
  <c r="G210" i="22" s="1"/>
  <c r="G275" i="22" s="1"/>
  <c r="F210" i="22" a="1"/>
  <c r="F210" i="22" s="1"/>
  <c r="F275" i="22" s="1"/>
  <c r="E210" i="22" a="1"/>
  <c r="E210" i="22" s="1"/>
  <c r="E275" i="22" s="1"/>
  <c r="D210" i="22" a="1"/>
  <c r="D210" i="22" s="1"/>
  <c r="P209" i="22" a="1"/>
  <c r="P209" i="22" s="1"/>
  <c r="P274" i="22" s="1"/>
  <c r="O209" i="22" a="1"/>
  <c r="O209" i="22" s="1"/>
  <c r="O274" i="22" s="1"/>
  <c r="N209" i="22" a="1"/>
  <c r="N209" i="22" s="1"/>
  <c r="N274" i="22" s="1"/>
  <c r="M209" i="22" a="1"/>
  <c r="M209" i="22" s="1"/>
  <c r="M274" i="22" s="1"/>
  <c r="L209" i="22" a="1"/>
  <c r="L209" i="22" s="1"/>
  <c r="L274" i="22" s="1"/>
  <c r="K209" i="22" a="1"/>
  <c r="K209" i="22" s="1"/>
  <c r="K274" i="22" s="1"/>
  <c r="J209" i="22" a="1"/>
  <c r="J209" i="22" s="1"/>
  <c r="J274" i="22" s="1"/>
  <c r="I209" i="22" a="1"/>
  <c r="I209" i="22" s="1"/>
  <c r="I274" i="22" s="1"/>
  <c r="H209" i="22" a="1"/>
  <c r="H209" i="22" s="1"/>
  <c r="H274" i="22" s="1"/>
  <c r="G209" i="22" a="1"/>
  <c r="G209" i="22" s="1"/>
  <c r="G274" i="22" s="1"/>
  <c r="F209" i="22" a="1"/>
  <c r="F209" i="22" s="1"/>
  <c r="F274" i="22" s="1"/>
  <c r="E209" i="22" a="1"/>
  <c r="E209" i="22" s="1"/>
  <c r="E274" i="22" s="1"/>
  <c r="D209" i="22" a="1"/>
  <c r="D209" i="22" s="1"/>
  <c r="P208" i="22" a="1"/>
  <c r="P208" i="22" s="1"/>
  <c r="P273" i="22" s="1"/>
  <c r="O208" i="22" a="1"/>
  <c r="O208" i="22" s="1"/>
  <c r="O273" i="22" s="1"/>
  <c r="N208" i="22" a="1"/>
  <c r="N208" i="22" s="1"/>
  <c r="N273" i="22" s="1"/>
  <c r="M208" i="22" a="1"/>
  <c r="M208" i="22" s="1"/>
  <c r="M273" i="22" s="1"/>
  <c r="L208" i="22" a="1"/>
  <c r="L208" i="22" s="1"/>
  <c r="L273" i="22" s="1"/>
  <c r="K208" i="22" a="1"/>
  <c r="K208" i="22" s="1"/>
  <c r="K273" i="22" s="1"/>
  <c r="J208" i="22" a="1"/>
  <c r="J208" i="22" s="1"/>
  <c r="J273" i="22" s="1"/>
  <c r="I208" i="22" a="1"/>
  <c r="I208" i="22" s="1"/>
  <c r="I273" i="22" s="1"/>
  <c r="H208" i="22" a="1"/>
  <c r="H208" i="22" s="1"/>
  <c r="H273" i="22" s="1"/>
  <c r="G208" i="22" a="1"/>
  <c r="G208" i="22" s="1"/>
  <c r="G273" i="22" s="1"/>
  <c r="F208" i="22" a="1"/>
  <c r="F208" i="22" s="1"/>
  <c r="F273" i="22" s="1"/>
  <c r="E208" i="22" a="1"/>
  <c r="E208" i="22" s="1"/>
  <c r="E273" i="22" s="1"/>
  <c r="D208" i="22" a="1"/>
  <c r="D208" i="22" s="1"/>
  <c r="P207" i="22" a="1"/>
  <c r="P207" i="22" s="1"/>
  <c r="P272" i="22" s="1"/>
  <c r="O207" i="22" a="1"/>
  <c r="O207" i="22" s="1"/>
  <c r="O272" i="22" s="1"/>
  <c r="N207" i="22" a="1"/>
  <c r="N207" i="22" s="1"/>
  <c r="N272" i="22" s="1"/>
  <c r="M207" i="22" a="1"/>
  <c r="M207" i="22" s="1"/>
  <c r="M272" i="22" s="1"/>
  <c r="L207" i="22" a="1"/>
  <c r="L207" i="22" s="1"/>
  <c r="L272" i="22" s="1"/>
  <c r="K207" i="22" a="1"/>
  <c r="K207" i="22" s="1"/>
  <c r="K272" i="22" s="1"/>
  <c r="J207" i="22" a="1"/>
  <c r="J207" i="22" s="1"/>
  <c r="J272" i="22" s="1"/>
  <c r="I207" i="22" a="1"/>
  <c r="I207" i="22" s="1"/>
  <c r="I272" i="22" s="1"/>
  <c r="H207" i="22" a="1"/>
  <c r="H207" i="22" s="1"/>
  <c r="H272" i="22" s="1"/>
  <c r="G207" i="22" a="1"/>
  <c r="G207" i="22" s="1"/>
  <c r="G272" i="22" s="1"/>
  <c r="F207" i="22" a="1"/>
  <c r="F207" i="22" s="1"/>
  <c r="F272" i="22" s="1"/>
  <c r="E207" i="22" a="1"/>
  <c r="E207" i="22" s="1"/>
  <c r="E272" i="22" s="1"/>
  <c r="D207" i="22" a="1"/>
  <c r="D207" i="22" s="1"/>
  <c r="P206" i="22" a="1"/>
  <c r="P206" i="22" s="1"/>
  <c r="P271" i="22" s="1"/>
  <c r="O206" i="22" a="1"/>
  <c r="O206" i="22" s="1"/>
  <c r="O271" i="22" s="1"/>
  <c r="N206" i="22" a="1"/>
  <c r="N206" i="22" s="1"/>
  <c r="N271" i="22" s="1"/>
  <c r="M206" i="22" a="1"/>
  <c r="M206" i="22" s="1"/>
  <c r="M271" i="22" s="1"/>
  <c r="L206" i="22" a="1"/>
  <c r="L206" i="22" s="1"/>
  <c r="L271" i="22" s="1"/>
  <c r="K206" i="22" a="1"/>
  <c r="K206" i="22" s="1"/>
  <c r="K271" i="22" s="1"/>
  <c r="J206" i="22" a="1"/>
  <c r="J206" i="22" s="1"/>
  <c r="J271" i="22" s="1"/>
  <c r="I206" i="22" a="1"/>
  <c r="I206" i="22" s="1"/>
  <c r="I271" i="22" s="1"/>
  <c r="H206" i="22" a="1"/>
  <c r="H206" i="22" s="1"/>
  <c r="H271" i="22" s="1"/>
  <c r="G206" i="22" a="1"/>
  <c r="G206" i="22" s="1"/>
  <c r="G271" i="22" s="1"/>
  <c r="F206" i="22" a="1"/>
  <c r="F206" i="22" s="1"/>
  <c r="F271" i="22" s="1"/>
  <c r="E206" i="22" a="1"/>
  <c r="E206" i="22" s="1"/>
  <c r="E271" i="22" s="1"/>
  <c r="D206" i="22" a="1"/>
  <c r="D206" i="22" s="1"/>
  <c r="P205" i="22" a="1"/>
  <c r="P205" i="22" s="1"/>
  <c r="P270" i="22" s="1"/>
  <c r="O205" i="22" a="1"/>
  <c r="O205" i="22" s="1"/>
  <c r="O270" i="22" s="1"/>
  <c r="N205" i="22" a="1"/>
  <c r="N205" i="22" s="1"/>
  <c r="N270" i="22" s="1"/>
  <c r="M205" i="22" a="1"/>
  <c r="M205" i="22" s="1"/>
  <c r="M270" i="22" s="1"/>
  <c r="L205" i="22" a="1"/>
  <c r="L205" i="22" s="1"/>
  <c r="L270" i="22" s="1"/>
  <c r="K205" i="22" a="1"/>
  <c r="K205" i="22" s="1"/>
  <c r="K270" i="22" s="1"/>
  <c r="J205" i="22" a="1"/>
  <c r="J205" i="22" s="1"/>
  <c r="J270" i="22" s="1"/>
  <c r="I205" i="22" a="1"/>
  <c r="I205" i="22" s="1"/>
  <c r="I270" i="22" s="1"/>
  <c r="H205" i="22" a="1"/>
  <c r="H205" i="22" s="1"/>
  <c r="H270" i="22" s="1"/>
  <c r="G205" i="22" a="1"/>
  <c r="G205" i="22" s="1"/>
  <c r="G270" i="22" s="1"/>
  <c r="F205" i="22" a="1"/>
  <c r="F205" i="22" s="1"/>
  <c r="F270" i="22" s="1"/>
  <c r="E205" i="22" a="1"/>
  <c r="E205" i="22" s="1"/>
  <c r="E270" i="22" s="1"/>
  <c r="D205" i="22" a="1"/>
  <c r="D205" i="22" s="1"/>
  <c r="P204" i="22" a="1"/>
  <c r="P204" i="22" s="1"/>
  <c r="P269" i="22" s="1"/>
  <c r="O204" i="22" a="1"/>
  <c r="O204" i="22" s="1"/>
  <c r="O269" i="22" s="1"/>
  <c r="N204" i="22" a="1"/>
  <c r="N204" i="22" s="1"/>
  <c r="N269" i="22" s="1"/>
  <c r="M204" i="22" a="1"/>
  <c r="M204" i="22" s="1"/>
  <c r="M269" i="22" s="1"/>
  <c r="L204" i="22" a="1"/>
  <c r="L204" i="22" s="1"/>
  <c r="L269" i="22" s="1"/>
  <c r="K204" i="22" a="1"/>
  <c r="K204" i="22" s="1"/>
  <c r="K269" i="22" s="1"/>
  <c r="J204" i="22" a="1"/>
  <c r="J204" i="22" s="1"/>
  <c r="J269" i="22" s="1"/>
  <c r="I204" i="22" a="1"/>
  <c r="I204" i="22" s="1"/>
  <c r="I269" i="22" s="1"/>
  <c r="H204" i="22" a="1"/>
  <c r="H204" i="22" s="1"/>
  <c r="H269" i="22" s="1"/>
  <c r="G204" i="22" a="1"/>
  <c r="G204" i="22" s="1"/>
  <c r="G269" i="22" s="1"/>
  <c r="F204" i="22" a="1"/>
  <c r="F204" i="22" s="1"/>
  <c r="F269" i="22" s="1"/>
  <c r="E204" i="22" a="1"/>
  <c r="E204" i="22" s="1"/>
  <c r="E269" i="22" s="1"/>
  <c r="D204" i="22" a="1"/>
  <c r="D204" i="22" s="1"/>
  <c r="P203" i="22" a="1"/>
  <c r="P203" i="22" s="1"/>
  <c r="P268" i="22" s="1"/>
  <c r="O203" i="22" a="1"/>
  <c r="O203" i="22" s="1"/>
  <c r="O268" i="22" s="1"/>
  <c r="N203" i="22" a="1"/>
  <c r="N203" i="22" s="1"/>
  <c r="N268" i="22" s="1"/>
  <c r="M203" i="22" a="1"/>
  <c r="M203" i="22" s="1"/>
  <c r="M268" i="22" s="1"/>
  <c r="L203" i="22" a="1"/>
  <c r="L203" i="22" s="1"/>
  <c r="L268" i="22" s="1"/>
  <c r="K203" i="22" a="1"/>
  <c r="K203" i="22" s="1"/>
  <c r="K268" i="22" s="1"/>
  <c r="J203" i="22" a="1"/>
  <c r="J203" i="22" s="1"/>
  <c r="J268" i="22" s="1"/>
  <c r="I203" i="22" a="1"/>
  <c r="I203" i="22" s="1"/>
  <c r="I268" i="22" s="1"/>
  <c r="H203" i="22" a="1"/>
  <c r="H203" i="22" s="1"/>
  <c r="H268" i="22" s="1"/>
  <c r="G203" i="22" a="1"/>
  <c r="G203" i="22" s="1"/>
  <c r="G268" i="22" s="1"/>
  <c r="F203" i="22" a="1"/>
  <c r="F203" i="22" s="1"/>
  <c r="F268" i="22" s="1"/>
  <c r="E203" i="22" a="1"/>
  <c r="E203" i="22" s="1"/>
  <c r="E268" i="22" s="1"/>
  <c r="D203" i="22" a="1"/>
  <c r="D203" i="22" s="1"/>
  <c r="P202" i="22" a="1"/>
  <c r="P202" i="22" s="1"/>
  <c r="P267" i="22" s="1"/>
  <c r="O202" i="22" a="1"/>
  <c r="O202" i="22" s="1"/>
  <c r="O267" i="22" s="1"/>
  <c r="N202" i="22" a="1"/>
  <c r="N202" i="22" s="1"/>
  <c r="N267" i="22" s="1"/>
  <c r="M202" i="22" a="1"/>
  <c r="M202" i="22" s="1"/>
  <c r="M267" i="22" s="1"/>
  <c r="L202" i="22" a="1"/>
  <c r="L202" i="22" s="1"/>
  <c r="L267" i="22" s="1"/>
  <c r="K202" i="22" a="1"/>
  <c r="K202" i="22" s="1"/>
  <c r="K267" i="22" s="1"/>
  <c r="J202" i="22" a="1"/>
  <c r="J202" i="22" s="1"/>
  <c r="J267" i="22" s="1"/>
  <c r="I202" i="22" a="1"/>
  <c r="I202" i="22" s="1"/>
  <c r="I267" i="22" s="1"/>
  <c r="H202" i="22" a="1"/>
  <c r="H202" i="22" s="1"/>
  <c r="H267" i="22" s="1"/>
  <c r="G202" i="22" a="1"/>
  <c r="G202" i="22" s="1"/>
  <c r="G267" i="22" s="1"/>
  <c r="F202" i="22" a="1"/>
  <c r="F202" i="22" s="1"/>
  <c r="F267" i="22" s="1"/>
  <c r="E202" i="22" a="1"/>
  <c r="E202" i="22" s="1"/>
  <c r="E267" i="22" s="1"/>
  <c r="D202" i="22" a="1"/>
  <c r="D202" i="22" s="1"/>
  <c r="P201" i="22" a="1"/>
  <c r="P201" i="22" s="1"/>
  <c r="P266" i="22" s="1"/>
  <c r="O201" i="22" a="1"/>
  <c r="O201" i="22" s="1"/>
  <c r="O266" i="22" s="1"/>
  <c r="N201" i="22" a="1"/>
  <c r="N201" i="22" s="1"/>
  <c r="N266" i="22" s="1"/>
  <c r="M201" i="22" a="1"/>
  <c r="M201" i="22" s="1"/>
  <c r="M266" i="22" s="1"/>
  <c r="L201" i="22" a="1"/>
  <c r="L201" i="22" s="1"/>
  <c r="L266" i="22" s="1"/>
  <c r="K201" i="22" a="1"/>
  <c r="K201" i="22" s="1"/>
  <c r="K266" i="22" s="1"/>
  <c r="J201" i="22" a="1"/>
  <c r="J201" i="22" s="1"/>
  <c r="J266" i="22" s="1"/>
  <c r="I201" i="22" a="1"/>
  <c r="I201" i="22" s="1"/>
  <c r="I266" i="22" s="1"/>
  <c r="H201" i="22" a="1"/>
  <c r="H201" i="22" s="1"/>
  <c r="H266" i="22" s="1"/>
  <c r="G201" i="22" a="1"/>
  <c r="G201" i="22" s="1"/>
  <c r="G266" i="22" s="1"/>
  <c r="F201" i="22" a="1"/>
  <c r="F201" i="22" s="1"/>
  <c r="F266" i="22" s="1"/>
  <c r="E201" i="22" a="1"/>
  <c r="E201" i="22" s="1"/>
  <c r="E266" i="22" s="1"/>
  <c r="D201" i="22" a="1"/>
  <c r="D201" i="22" s="1"/>
  <c r="P200" i="22" a="1"/>
  <c r="P200" i="22" s="1"/>
  <c r="P265" i="22" s="1"/>
  <c r="O200" i="22" a="1"/>
  <c r="O200" i="22" s="1"/>
  <c r="O265" i="22" s="1"/>
  <c r="N200" i="22" a="1"/>
  <c r="N200" i="22" s="1"/>
  <c r="N265" i="22" s="1"/>
  <c r="M200" i="22" a="1"/>
  <c r="M200" i="22" s="1"/>
  <c r="M265" i="22" s="1"/>
  <c r="L200" i="22" a="1"/>
  <c r="L200" i="22" s="1"/>
  <c r="L265" i="22" s="1"/>
  <c r="K200" i="22" a="1"/>
  <c r="K200" i="22" s="1"/>
  <c r="K265" i="22" s="1"/>
  <c r="J200" i="22" a="1"/>
  <c r="J200" i="22" s="1"/>
  <c r="J265" i="22" s="1"/>
  <c r="I200" i="22" a="1"/>
  <c r="I200" i="22" s="1"/>
  <c r="I265" i="22" s="1"/>
  <c r="H200" i="22" a="1"/>
  <c r="H200" i="22" s="1"/>
  <c r="H265" i="22" s="1"/>
  <c r="G200" i="22" a="1"/>
  <c r="G200" i="22" s="1"/>
  <c r="G265" i="22" s="1"/>
  <c r="F200" i="22" a="1"/>
  <c r="F200" i="22" s="1"/>
  <c r="F265" i="22" s="1"/>
  <c r="E200" i="22" a="1"/>
  <c r="E200" i="22" s="1"/>
  <c r="E265" i="22" s="1"/>
  <c r="D200" i="22" a="1"/>
  <c r="D200" i="22" s="1"/>
  <c r="P199" i="22" a="1"/>
  <c r="P199" i="22" s="1"/>
  <c r="P264" i="22" s="1"/>
  <c r="O199" i="22" a="1"/>
  <c r="O199" i="22" s="1"/>
  <c r="O264" i="22" s="1"/>
  <c r="N199" i="22" a="1"/>
  <c r="N199" i="22" s="1"/>
  <c r="N264" i="22" s="1"/>
  <c r="M199" i="22" a="1"/>
  <c r="M199" i="22" s="1"/>
  <c r="M264" i="22" s="1"/>
  <c r="L199" i="22" a="1"/>
  <c r="L199" i="22" s="1"/>
  <c r="L264" i="22" s="1"/>
  <c r="K199" i="22" a="1"/>
  <c r="K199" i="22" s="1"/>
  <c r="K264" i="22" s="1"/>
  <c r="J199" i="22" a="1"/>
  <c r="J199" i="22" s="1"/>
  <c r="J264" i="22" s="1"/>
  <c r="I199" i="22" a="1"/>
  <c r="I199" i="22" s="1"/>
  <c r="I264" i="22" s="1"/>
  <c r="H199" i="22" a="1"/>
  <c r="H199" i="22" s="1"/>
  <c r="H264" i="22" s="1"/>
  <c r="G199" i="22" a="1"/>
  <c r="G199" i="22" s="1"/>
  <c r="G264" i="22" s="1"/>
  <c r="F199" i="22" a="1"/>
  <c r="F199" i="22" s="1"/>
  <c r="F264" i="22" s="1"/>
  <c r="E199" i="22" a="1"/>
  <c r="E199" i="22" s="1"/>
  <c r="E264" i="22" s="1"/>
  <c r="D199" i="22" a="1"/>
  <c r="D199" i="22" s="1"/>
  <c r="P198" i="22" a="1"/>
  <c r="P198" i="22" s="1"/>
  <c r="P263" i="22" s="1"/>
  <c r="O198" i="22" a="1"/>
  <c r="O198" i="22" s="1"/>
  <c r="O263" i="22" s="1"/>
  <c r="N198" i="22" a="1"/>
  <c r="N198" i="22" s="1"/>
  <c r="N263" i="22" s="1"/>
  <c r="M198" i="22" a="1"/>
  <c r="M198" i="22" s="1"/>
  <c r="M263" i="22" s="1"/>
  <c r="L198" i="22" a="1"/>
  <c r="L198" i="22" s="1"/>
  <c r="L263" i="22" s="1"/>
  <c r="K198" i="22" a="1"/>
  <c r="K198" i="22" s="1"/>
  <c r="K263" i="22" s="1"/>
  <c r="J198" i="22" a="1"/>
  <c r="J198" i="22" s="1"/>
  <c r="J263" i="22" s="1"/>
  <c r="I198" i="22" a="1"/>
  <c r="I198" i="22" s="1"/>
  <c r="I263" i="22" s="1"/>
  <c r="H198" i="22" a="1"/>
  <c r="H198" i="22" s="1"/>
  <c r="H263" i="22" s="1"/>
  <c r="G198" i="22" a="1"/>
  <c r="G198" i="22" s="1"/>
  <c r="G263" i="22" s="1"/>
  <c r="F198" i="22" a="1"/>
  <c r="F198" i="22" s="1"/>
  <c r="F263" i="22" s="1"/>
  <c r="E198" i="22" a="1"/>
  <c r="E198" i="22" s="1"/>
  <c r="E263" i="22" s="1"/>
  <c r="D198" i="22" a="1"/>
  <c r="D198" i="22" s="1"/>
  <c r="P197" i="22" a="1"/>
  <c r="P197" i="22" s="1"/>
  <c r="P262" i="22" s="1"/>
  <c r="O197" i="22" a="1"/>
  <c r="O197" i="22" s="1"/>
  <c r="O262" i="22" s="1"/>
  <c r="N197" i="22" a="1"/>
  <c r="N197" i="22" s="1"/>
  <c r="N262" i="22" s="1"/>
  <c r="M197" i="22" a="1"/>
  <c r="M197" i="22" s="1"/>
  <c r="M262" i="22" s="1"/>
  <c r="L197" i="22" a="1"/>
  <c r="L197" i="22" s="1"/>
  <c r="L262" i="22" s="1"/>
  <c r="K197" i="22" a="1"/>
  <c r="K197" i="22" s="1"/>
  <c r="K262" i="22" s="1"/>
  <c r="J197" i="22" a="1"/>
  <c r="J197" i="22" s="1"/>
  <c r="J262" i="22" s="1"/>
  <c r="I197" i="22" a="1"/>
  <c r="I197" i="22" s="1"/>
  <c r="I262" i="22" s="1"/>
  <c r="H197" i="22" a="1"/>
  <c r="H197" i="22" s="1"/>
  <c r="H262" i="22" s="1"/>
  <c r="G197" i="22" a="1"/>
  <c r="G197" i="22" s="1"/>
  <c r="G262" i="22" s="1"/>
  <c r="F197" i="22" a="1"/>
  <c r="F197" i="22" s="1"/>
  <c r="F262" i="22" s="1"/>
  <c r="E197" i="22" a="1"/>
  <c r="E197" i="22" s="1"/>
  <c r="E262" i="22" s="1"/>
  <c r="D197" i="22" a="1"/>
  <c r="D197" i="22" s="1"/>
  <c r="P196" i="22" a="1"/>
  <c r="P196" i="22" s="1"/>
  <c r="P261" i="22" s="1"/>
  <c r="O196" i="22" a="1"/>
  <c r="O196" i="22" s="1"/>
  <c r="O261" i="22" s="1"/>
  <c r="N196" i="22" a="1"/>
  <c r="N196" i="22" s="1"/>
  <c r="N261" i="22" s="1"/>
  <c r="M196" i="22" a="1"/>
  <c r="M196" i="22" s="1"/>
  <c r="M261" i="22" s="1"/>
  <c r="L196" i="22" a="1"/>
  <c r="L196" i="22" s="1"/>
  <c r="L261" i="22" s="1"/>
  <c r="K196" i="22" a="1"/>
  <c r="K196" i="22" s="1"/>
  <c r="K261" i="22" s="1"/>
  <c r="J196" i="22" a="1"/>
  <c r="J196" i="22" s="1"/>
  <c r="J261" i="22" s="1"/>
  <c r="I196" i="22" a="1"/>
  <c r="I196" i="22" s="1"/>
  <c r="I261" i="22" s="1"/>
  <c r="H196" i="22" a="1"/>
  <c r="H196" i="22" s="1"/>
  <c r="H261" i="22" s="1"/>
  <c r="G196" i="22" a="1"/>
  <c r="G196" i="22" s="1"/>
  <c r="G261" i="22" s="1"/>
  <c r="F196" i="22" a="1"/>
  <c r="F196" i="22" s="1"/>
  <c r="F261" i="22" s="1"/>
  <c r="E196" i="22" a="1"/>
  <c r="E196" i="22" s="1"/>
  <c r="E261" i="22" s="1"/>
  <c r="D196" i="22" a="1"/>
  <c r="D196" i="22" s="1"/>
  <c r="P195" i="22" a="1"/>
  <c r="P195" i="22" s="1"/>
  <c r="P260" i="22" s="1"/>
  <c r="O195" i="22" a="1"/>
  <c r="O195" i="22" s="1"/>
  <c r="O260" i="22" s="1"/>
  <c r="N195" i="22" a="1"/>
  <c r="N195" i="22" s="1"/>
  <c r="N260" i="22" s="1"/>
  <c r="M195" i="22" a="1"/>
  <c r="M195" i="22" s="1"/>
  <c r="M260" i="22" s="1"/>
  <c r="L195" i="22" a="1"/>
  <c r="L195" i="22" s="1"/>
  <c r="L260" i="22" s="1"/>
  <c r="K195" i="22" a="1"/>
  <c r="K195" i="22" s="1"/>
  <c r="K260" i="22" s="1"/>
  <c r="J195" i="22" a="1"/>
  <c r="J195" i="22" s="1"/>
  <c r="J260" i="22" s="1"/>
  <c r="I195" i="22" a="1"/>
  <c r="I195" i="22" s="1"/>
  <c r="I260" i="22" s="1"/>
  <c r="H195" i="22" a="1"/>
  <c r="H195" i="22" s="1"/>
  <c r="H260" i="22" s="1"/>
  <c r="G195" i="22" a="1"/>
  <c r="G195" i="22" s="1"/>
  <c r="G260" i="22" s="1"/>
  <c r="F195" i="22" a="1"/>
  <c r="F195" i="22" s="1"/>
  <c r="F260" i="22" s="1"/>
  <c r="E195" i="22" a="1"/>
  <c r="E195" i="22" s="1"/>
  <c r="E260" i="22" s="1"/>
  <c r="D195" i="22" a="1"/>
  <c r="D195" i="22" s="1"/>
  <c r="P194" i="22" a="1"/>
  <c r="P194" i="22" s="1"/>
  <c r="P259" i="22" s="1"/>
  <c r="O194" i="22" a="1"/>
  <c r="O194" i="22" s="1"/>
  <c r="O259" i="22" s="1"/>
  <c r="N194" i="22" a="1"/>
  <c r="N194" i="22" s="1"/>
  <c r="N259" i="22" s="1"/>
  <c r="M194" i="22" a="1"/>
  <c r="M194" i="22" s="1"/>
  <c r="M259" i="22" s="1"/>
  <c r="L194" i="22" a="1"/>
  <c r="L194" i="22" s="1"/>
  <c r="L259" i="22" s="1"/>
  <c r="K194" i="22" a="1"/>
  <c r="K194" i="22" s="1"/>
  <c r="K259" i="22" s="1"/>
  <c r="J194" i="22" a="1"/>
  <c r="J194" i="22" s="1"/>
  <c r="J259" i="22" s="1"/>
  <c r="I194" i="22" a="1"/>
  <c r="I194" i="22" s="1"/>
  <c r="I259" i="22" s="1"/>
  <c r="H194" i="22" a="1"/>
  <c r="H194" i="22" s="1"/>
  <c r="H259" i="22" s="1"/>
  <c r="G194" i="22" a="1"/>
  <c r="G194" i="22" s="1"/>
  <c r="G259" i="22" s="1"/>
  <c r="F194" i="22" a="1"/>
  <c r="F194" i="22" s="1"/>
  <c r="F259" i="22" s="1"/>
  <c r="E194" i="22" a="1"/>
  <c r="E194" i="22" s="1"/>
  <c r="E259" i="22" s="1"/>
  <c r="D194" i="22" a="1"/>
  <c r="D194" i="22" s="1"/>
  <c r="P193" i="22" a="1"/>
  <c r="P193" i="22" s="1"/>
  <c r="P258" i="22" s="1"/>
  <c r="O193" i="22" a="1"/>
  <c r="O193" i="22" s="1"/>
  <c r="O258" i="22" s="1"/>
  <c r="N193" i="22" a="1"/>
  <c r="N193" i="22" s="1"/>
  <c r="N258" i="22" s="1"/>
  <c r="M193" i="22" a="1"/>
  <c r="M193" i="22" s="1"/>
  <c r="M258" i="22" s="1"/>
  <c r="L193" i="22" a="1"/>
  <c r="L193" i="22" s="1"/>
  <c r="L258" i="22" s="1"/>
  <c r="K193" i="22" a="1"/>
  <c r="K193" i="22" s="1"/>
  <c r="K258" i="22" s="1"/>
  <c r="J193" i="22" a="1"/>
  <c r="J193" i="22" s="1"/>
  <c r="J258" i="22" s="1"/>
  <c r="I193" i="22" a="1"/>
  <c r="I193" i="22" s="1"/>
  <c r="I258" i="22" s="1"/>
  <c r="H193" i="22" a="1"/>
  <c r="H193" i="22" s="1"/>
  <c r="H258" i="22" s="1"/>
  <c r="G193" i="22" a="1"/>
  <c r="G193" i="22" s="1"/>
  <c r="G258" i="22" s="1"/>
  <c r="F193" i="22" a="1"/>
  <c r="F193" i="22" s="1"/>
  <c r="F258" i="22" s="1"/>
  <c r="E193" i="22" a="1"/>
  <c r="E193" i="22" s="1"/>
  <c r="E258" i="22" s="1"/>
  <c r="D193" i="22" a="1"/>
  <c r="D193" i="22" s="1"/>
  <c r="P192" i="22" a="1"/>
  <c r="P192" i="22" s="1"/>
  <c r="P257" i="22" s="1"/>
  <c r="O192" i="22" a="1"/>
  <c r="O192" i="22" s="1"/>
  <c r="O257" i="22" s="1"/>
  <c r="N192" i="22" a="1"/>
  <c r="N192" i="22" s="1"/>
  <c r="N257" i="22" s="1"/>
  <c r="M192" i="22" a="1"/>
  <c r="M192" i="22" s="1"/>
  <c r="M257" i="22" s="1"/>
  <c r="L192" i="22" a="1"/>
  <c r="L192" i="22" s="1"/>
  <c r="L257" i="22" s="1"/>
  <c r="K192" i="22" a="1"/>
  <c r="K192" i="22" s="1"/>
  <c r="K257" i="22" s="1"/>
  <c r="J192" i="22" a="1"/>
  <c r="J192" i="22" s="1"/>
  <c r="J257" i="22" s="1"/>
  <c r="I192" i="22" a="1"/>
  <c r="I192" i="22" s="1"/>
  <c r="I257" i="22" s="1"/>
  <c r="H192" i="22" a="1"/>
  <c r="H192" i="22" s="1"/>
  <c r="H257" i="22" s="1"/>
  <c r="G192" i="22" a="1"/>
  <c r="G192" i="22" s="1"/>
  <c r="G257" i="22" s="1"/>
  <c r="F192" i="22" a="1"/>
  <c r="F192" i="22" s="1"/>
  <c r="F257" i="22" s="1"/>
  <c r="E192" i="22" a="1"/>
  <c r="E192" i="22" s="1"/>
  <c r="E257" i="22" s="1"/>
  <c r="D192" i="22" a="1"/>
  <c r="D192" i="22" s="1"/>
  <c r="P191" i="22" a="1"/>
  <c r="P191" i="22" s="1"/>
  <c r="P256" i="22" s="1"/>
  <c r="O191" i="22" a="1"/>
  <c r="O191" i="22" s="1"/>
  <c r="O256" i="22" s="1"/>
  <c r="N191" i="22" a="1"/>
  <c r="N191" i="22" s="1"/>
  <c r="N256" i="22" s="1"/>
  <c r="M191" i="22" a="1"/>
  <c r="M191" i="22" s="1"/>
  <c r="M256" i="22" s="1"/>
  <c r="L191" i="22" a="1"/>
  <c r="L191" i="22" s="1"/>
  <c r="L256" i="22" s="1"/>
  <c r="K191" i="22" a="1"/>
  <c r="K191" i="22" s="1"/>
  <c r="K256" i="22" s="1"/>
  <c r="J191" i="22" a="1"/>
  <c r="J191" i="22" s="1"/>
  <c r="J256" i="22" s="1"/>
  <c r="I191" i="22" a="1"/>
  <c r="I191" i="22" s="1"/>
  <c r="I256" i="22" s="1"/>
  <c r="H191" i="22" a="1"/>
  <c r="H191" i="22" s="1"/>
  <c r="H256" i="22" s="1"/>
  <c r="G191" i="22" a="1"/>
  <c r="G191" i="22" s="1"/>
  <c r="G256" i="22" s="1"/>
  <c r="F191" i="22" a="1"/>
  <c r="F191" i="22" s="1"/>
  <c r="F256" i="22" s="1"/>
  <c r="E191" i="22" a="1"/>
  <c r="E191" i="22" s="1"/>
  <c r="E256" i="22" s="1"/>
  <c r="D191" i="22" a="1"/>
  <c r="D191" i="22" s="1"/>
  <c r="P190" i="22" a="1"/>
  <c r="P190" i="22" s="1"/>
  <c r="P255" i="22" s="1"/>
  <c r="O190" i="22" a="1"/>
  <c r="O190" i="22" s="1"/>
  <c r="O255" i="22" s="1"/>
  <c r="N190" i="22" a="1"/>
  <c r="N190" i="22" s="1"/>
  <c r="N255" i="22" s="1"/>
  <c r="M190" i="22" a="1"/>
  <c r="M190" i="22" s="1"/>
  <c r="M255" i="22" s="1"/>
  <c r="L190" i="22" a="1"/>
  <c r="L190" i="22" s="1"/>
  <c r="L255" i="22" s="1"/>
  <c r="K190" i="22" a="1"/>
  <c r="K190" i="22" s="1"/>
  <c r="K255" i="22" s="1"/>
  <c r="J190" i="22" a="1"/>
  <c r="J190" i="22" s="1"/>
  <c r="J255" i="22" s="1"/>
  <c r="I190" i="22" a="1"/>
  <c r="I190" i="22" s="1"/>
  <c r="I255" i="22" s="1"/>
  <c r="H190" i="22" a="1"/>
  <c r="H190" i="22" s="1"/>
  <c r="H255" i="22" s="1"/>
  <c r="G190" i="22" a="1"/>
  <c r="G190" i="22" s="1"/>
  <c r="G255" i="22" s="1"/>
  <c r="F190" i="22" a="1"/>
  <c r="F190" i="22" s="1"/>
  <c r="F255" i="22" s="1"/>
  <c r="E190" i="22" a="1"/>
  <c r="E190" i="22" s="1"/>
  <c r="E255" i="22" s="1"/>
  <c r="D190" i="22" a="1"/>
  <c r="D190" i="22" s="1"/>
  <c r="D188" i="22" a="1"/>
  <c r="D188" i="22" s="1"/>
  <c r="D187" i="22" a="1"/>
  <c r="D187" i="22" s="1"/>
  <c r="D186" i="22" a="1"/>
  <c r="D186" i="22" s="1"/>
  <c r="D185" i="22" a="1"/>
  <c r="D185" i="22" s="1"/>
  <c r="M182" i="22" a="1"/>
  <c r="M182" i="22" s="1"/>
  <c r="L182" i="22" a="1"/>
  <c r="L182" i="22" s="1"/>
  <c r="M254" i="22" s="1"/>
  <c r="K182" i="22" a="1"/>
  <c r="K182" i="22" s="1"/>
  <c r="J182" i="22" a="1"/>
  <c r="J182" i="22" s="1"/>
  <c r="J254" i="22" s="1"/>
  <c r="I182" i="22" a="1"/>
  <c r="I182" i="22" s="1"/>
  <c r="I254" i="22" s="1"/>
  <c r="H182" i="22" a="1"/>
  <c r="H182" i="22" s="1"/>
  <c r="H254" i="22" s="1"/>
  <c r="G182" i="22" a="1"/>
  <c r="G182" i="22" s="1"/>
  <c r="G254" i="22" s="1"/>
  <c r="F182" i="22" a="1"/>
  <c r="F182" i="22" s="1"/>
  <c r="F254" i="22" s="1"/>
  <c r="E182" i="22" a="1"/>
  <c r="E182" i="22" s="1"/>
  <c r="E254" i="22" s="1"/>
  <c r="D182" i="22" a="1"/>
  <c r="D182" i="22" s="1"/>
  <c r="M181" i="22" a="1"/>
  <c r="M181" i="22" s="1"/>
  <c r="L181" i="22" a="1"/>
  <c r="L181" i="22" s="1"/>
  <c r="M253" i="22" s="1"/>
  <c r="K181" i="22" a="1"/>
  <c r="K181" i="22" s="1"/>
  <c r="J181" i="22" a="1"/>
  <c r="J181" i="22" s="1"/>
  <c r="J253" i="22" s="1"/>
  <c r="I181" i="22" a="1"/>
  <c r="I181" i="22" s="1"/>
  <c r="I253" i="22" s="1"/>
  <c r="H181" i="22" a="1"/>
  <c r="H181" i="22" s="1"/>
  <c r="H253" i="22" s="1"/>
  <c r="G181" i="22" a="1"/>
  <c r="G181" i="22" s="1"/>
  <c r="G253" i="22" s="1"/>
  <c r="F181" i="22" a="1"/>
  <c r="F181" i="22" s="1"/>
  <c r="F253" i="22" s="1"/>
  <c r="E181" i="22" a="1"/>
  <c r="E181" i="22" s="1"/>
  <c r="E253" i="22" s="1"/>
  <c r="D181" i="22" a="1"/>
  <c r="D181" i="22" s="1"/>
  <c r="M180" i="22" a="1"/>
  <c r="M180" i="22" s="1"/>
  <c r="L180" i="22" a="1"/>
  <c r="L180" i="22" s="1"/>
  <c r="M252" i="22" s="1"/>
  <c r="K180" i="22" a="1"/>
  <c r="K180" i="22" s="1"/>
  <c r="J180" i="22" a="1"/>
  <c r="J180" i="22" s="1"/>
  <c r="J252" i="22" s="1"/>
  <c r="I180" i="22" a="1"/>
  <c r="I180" i="22" s="1"/>
  <c r="I252" i="22" s="1"/>
  <c r="H180" i="22" a="1"/>
  <c r="H180" i="22" s="1"/>
  <c r="H252" i="22" s="1"/>
  <c r="G180" i="22" a="1"/>
  <c r="G180" i="22" s="1"/>
  <c r="G252" i="22" s="1"/>
  <c r="F180" i="22" a="1"/>
  <c r="F180" i="22" s="1"/>
  <c r="F252" i="22" s="1"/>
  <c r="E180" i="22" a="1"/>
  <c r="E180" i="22" s="1"/>
  <c r="E252" i="22" s="1"/>
  <c r="D180" i="22" a="1"/>
  <c r="D180" i="22" s="1"/>
  <c r="M179" i="22" a="1"/>
  <c r="M179" i="22" s="1"/>
  <c r="L179" i="22" a="1"/>
  <c r="L179" i="22" s="1"/>
  <c r="M251" i="22" s="1"/>
  <c r="K179" i="22" a="1"/>
  <c r="K179" i="22" s="1"/>
  <c r="J179" i="22" a="1"/>
  <c r="J179" i="22" s="1"/>
  <c r="J251" i="22" s="1"/>
  <c r="I179" i="22" a="1"/>
  <c r="I179" i="22" s="1"/>
  <c r="I251" i="22" s="1"/>
  <c r="H179" i="22" a="1"/>
  <c r="H179" i="22" s="1"/>
  <c r="H251" i="22" s="1"/>
  <c r="G179" i="22" a="1"/>
  <c r="G179" i="22" s="1"/>
  <c r="G251" i="22" s="1"/>
  <c r="F179" i="22" a="1"/>
  <c r="F179" i="22" s="1"/>
  <c r="F251" i="22" s="1"/>
  <c r="E179" i="22" a="1"/>
  <c r="E179" i="22" s="1"/>
  <c r="E251" i="22" s="1"/>
  <c r="D179" i="22" a="1"/>
  <c r="D179" i="22" s="1"/>
  <c r="M178" i="22" a="1"/>
  <c r="M178" i="22" s="1"/>
  <c r="L178" i="22" a="1"/>
  <c r="L178" i="22" s="1"/>
  <c r="M250" i="22" s="1"/>
  <c r="K178" i="22" a="1"/>
  <c r="K178" i="22" s="1"/>
  <c r="J178" i="22" a="1"/>
  <c r="J178" i="22" s="1"/>
  <c r="J250" i="22" s="1"/>
  <c r="I178" i="22" a="1"/>
  <c r="I178" i="22" s="1"/>
  <c r="I250" i="22" s="1"/>
  <c r="H178" i="22" a="1"/>
  <c r="H178" i="22" s="1"/>
  <c r="H250" i="22" s="1"/>
  <c r="G178" i="22" a="1"/>
  <c r="G178" i="22" s="1"/>
  <c r="G250" i="22" s="1"/>
  <c r="F178" i="22" a="1"/>
  <c r="F178" i="22" s="1"/>
  <c r="F250" i="22" s="1"/>
  <c r="E178" i="22" a="1"/>
  <c r="E178" i="22" s="1"/>
  <c r="E250" i="22" s="1"/>
  <c r="D178" i="22" a="1"/>
  <c r="D178" i="22" s="1"/>
  <c r="M177" i="22" a="1"/>
  <c r="M177" i="22" s="1"/>
  <c r="L177" i="22" a="1"/>
  <c r="L177" i="22" s="1"/>
  <c r="M249" i="22" s="1"/>
  <c r="K177" i="22" a="1"/>
  <c r="K177" i="22" s="1"/>
  <c r="J177" i="22" a="1"/>
  <c r="J177" i="22" s="1"/>
  <c r="J249" i="22" s="1"/>
  <c r="I177" i="22" a="1"/>
  <c r="I177" i="22" s="1"/>
  <c r="I249" i="22" s="1"/>
  <c r="H177" i="22" a="1"/>
  <c r="H177" i="22" s="1"/>
  <c r="H249" i="22" s="1"/>
  <c r="G177" i="22" a="1"/>
  <c r="G177" i="22" s="1"/>
  <c r="G249" i="22" s="1"/>
  <c r="F177" i="22" a="1"/>
  <c r="F177" i="22" s="1"/>
  <c r="F249" i="22" s="1"/>
  <c r="E177" i="22" a="1"/>
  <c r="E177" i="22" s="1"/>
  <c r="E249" i="22" s="1"/>
  <c r="D177" i="22" a="1"/>
  <c r="D177" i="22" s="1"/>
  <c r="M176" i="22" a="1"/>
  <c r="M176" i="22" s="1"/>
  <c r="L176" i="22" a="1"/>
  <c r="L176" i="22" s="1"/>
  <c r="M248" i="22" s="1"/>
  <c r="K176" i="22" a="1"/>
  <c r="K176" i="22" s="1"/>
  <c r="J176" i="22" a="1"/>
  <c r="J176" i="22" s="1"/>
  <c r="J248" i="22" s="1"/>
  <c r="I176" i="22" a="1"/>
  <c r="I176" i="22" s="1"/>
  <c r="I248" i="22" s="1"/>
  <c r="H176" i="22" a="1"/>
  <c r="H176" i="22" s="1"/>
  <c r="H248" i="22" s="1"/>
  <c r="G176" i="22" a="1"/>
  <c r="G176" i="22" s="1"/>
  <c r="G248" i="22" s="1"/>
  <c r="F176" i="22" a="1"/>
  <c r="F176" i="22" s="1"/>
  <c r="F248" i="22" s="1"/>
  <c r="E176" i="22" a="1"/>
  <c r="E176" i="22" s="1"/>
  <c r="E248" i="22" s="1"/>
  <c r="D176" i="22" a="1"/>
  <c r="D176" i="22" s="1"/>
  <c r="M175" i="22" a="1"/>
  <c r="M175" i="22" s="1"/>
  <c r="L175" i="22" a="1"/>
  <c r="L175" i="22" s="1"/>
  <c r="M247" i="22" s="1"/>
  <c r="K175" i="22" a="1"/>
  <c r="K175" i="22" s="1"/>
  <c r="J175" i="22" a="1"/>
  <c r="J175" i="22" s="1"/>
  <c r="J247" i="22" s="1"/>
  <c r="I175" i="22" a="1"/>
  <c r="I175" i="22" s="1"/>
  <c r="I247" i="22" s="1"/>
  <c r="H175" i="22" a="1"/>
  <c r="H175" i="22" s="1"/>
  <c r="H247" i="22" s="1"/>
  <c r="G175" i="22" a="1"/>
  <c r="G175" i="22" s="1"/>
  <c r="G247" i="22" s="1"/>
  <c r="F175" i="22" a="1"/>
  <c r="F175" i="22" s="1"/>
  <c r="F247" i="22" s="1"/>
  <c r="E175" i="22" a="1"/>
  <c r="E175" i="22" s="1"/>
  <c r="E247" i="22" s="1"/>
  <c r="D175" i="22" a="1"/>
  <c r="D175" i="22" s="1"/>
  <c r="M174" i="22" a="1"/>
  <c r="M174" i="22" s="1"/>
  <c r="L174" i="22" a="1"/>
  <c r="L174" i="22" s="1"/>
  <c r="M246" i="22" s="1"/>
  <c r="K174" i="22" a="1"/>
  <c r="K174" i="22" s="1"/>
  <c r="J174" i="22" a="1"/>
  <c r="J174" i="22" s="1"/>
  <c r="J246" i="22" s="1"/>
  <c r="I174" i="22" a="1"/>
  <c r="I174" i="22" s="1"/>
  <c r="I246" i="22" s="1"/>
  <c r="H174" i="22" a="1"/>
  <c r="H174" i="22" s="1"/>
  <c r="H246" i="22" s="1"/>
  <c r="G174" i="22" a="1"/>
  <c r="G174" i="22" s="1"/>
  <c r="G246" i="22" s="1"/>
  <c r="F174" i="22" a="1"/>
  <c r="F174" i="22" s="1"/>
  <c r="F246" i="22" s="1"/>
  <c r="E174" i="22" a="1"/>
  <c r="E174" i="22" s="1"/>
  <c r="E246" i="22" s="1"/>
  <c r="D174" i="22" a="1"/>
  <c r="D174" i="22" s="1"/>
  <c r="M173" i="22" a="1"/>
  <c r="M173" i="22" s="1"/>
  <c r="L173" i="22" a="1"/>
  <c r="L173" i="22" s="1"/>
  <c r="M245" i="22" s="1"/>
  <c r="K173" i="22" a="1"/>
  <c r="K173" i="22" s="1"/>
  <c r="J173" i="22" a="1"/>
  <c r="J173" i="22" s="1"/>
  <c r="J245" i="22" s="1"/>
  <c r="I173" i="22" a="1"/>
  <c r="I173" i="22" s="1"/>
  <c r="I245" i="22" s="1"/>
  <c r="H173" i="22" a="1"/>
  <c r="H173" i="22" s="1"/>
  <c r="H245" i="22" s="1"/>
  <c r="G173" i="22" a="1"/>
  <c r="G173" i="22" s="1"/>
  <c r="G245" i="22" s="1"/>
  <c r="F173" i="22" a="1"/>
  <c r="F173" i="22" s="1"/>
  <c r="F245" i="22" s="1"/>
  <c r="E173" i="22" a="1"/>
  <c r="E173" i="22" s="1"/>
  <c r="E245" i="22" s="1"/>
  <c r="D173" i="22" a="1"/>
  <c r="D173" i="22" s="1"/>
  <c r="M172" i="22" a="1"/>
  <c r="M172" i="22" s="1"/>
  <c r="L172" i="22" a="1"/>
  <c r="L172" i="22" s="1"/>
  <c r="M244" i="22" s="1"/>
  <c r="K172" i="22" a="1"/>
  <c r="K172" i="22" s="1"/>
  <c r="J172" i="22" a="1"/>
  <c r="J172" i="22" s="1"/>
  <c r="J244" i="22" s="1"/>
  <c r="I172" i="22" a="1"/>
  <c r="I172" i="22" s="1"/>
  <c r="I244" i="22" s="1"/>
  <c r="H172" i="22" a="1"/>
  <c r="H172" i="22" s="1"/>
  <c r="H244" i="22" s="1"/>
  <c r="G172" i="22" a="1"/>
  <c r="G172" i="22" s="1"/>
  <c r="G244" i="22" s="1"/>
  <c r="F172" i="22" a="1"/>
  <c r="F172" i="22" s="1"/>
  <c r="F244" i="22" s="1"/>
  <c r="E172" i="22" a="1"/>
  <c r="E172" i="22" s="1"/>
  <c r="E244" i="22" s="1"/>
  <c r="D172" i="22" a="1"/>
  <c r="D172" i="22" s="1"/>
  <c r="M171" i="22" a="1"/>
  <c r="M171" i="22" s="1"/>
  <c r="L171" i="22" a="1"/>
  <c r="L171" i="22" s="1"/>
  <c r="M243" i="22" s="1"/>
  <c r="K171" i="22" a="1"/>
  <c r="K171" i="22" s="1"/>
  <c r="J171" i="22" a="1"/>
  <c r="J171" i="22" s="1"/>
  <c r="J243" i="22" s="1"/>
  <c r="I171" i="22" a="1"/>
  <c r="I171" i="22" s="1"/>
  <c r="I243" i="22" s="1"/>
  <c r="H171" i="22" a="1"/>
  <c r="H171" i="22" s="1"/>
  <c r="H243" i="22" s="1"/>
  <c r="G171" i="22" a="1"/>
  <c r="G171" i="22" s="1"/>
  <c r="G243" i="22" s="1"/>
  <c r="F171" i="22" a="1"/>
  <c r="F171" i="22" s="1"/>
  <c r="F243" i="22" s="1"/>
  <c r="E171" i="22" a="1"/>
  <c r="E171" i="22" s="1"/>
  <c r="E243" i="22" s="1"/>
  <c r="D171" i="22" a="1"/>
  <c r="D171" i="22" s="1"/>
  <c r="M170" i="22" a="1"/>
  <c r="M170" i="22" s="1"/>
  <c r="L170" i="22" a="1"/>
  <c r="L170" i="22" s="1"/>
  <c r="M242" i="22" s="1"/>
  <c r="K170" i="22" a="1"/>
  <c r="K170" i="22" s="1"/>
  <c r="J170" i="22" a="1"/>
  <c r="J170" i="22" s="1"/>
  <c r="J242" i="22" s="1"/>
  <c r="I170" i="22" a="1"/>
  <c r="I170" i="22" s="1"/>
  <c r="I242" i="22" s="1"/>
  <c r="H170" i="22" a="1"/>
  <c r="H170" i="22" s="1"/>
  <c r="H242" i="22" s="1"/>
  <c r="G170" i="22" a="1"/>
  <c r="G170" i="22" s="1"/>
  <c r="G242" i="22" s="1"/>
  <c r="F170" i="22" a="1"/>
  <c r="F170" i="22" s="1"/>
  <c r="F242" i="22" s="1"/>
  <c r="E170" i="22" a="1"/>
  <c r="E170" i="22" s="1"/>
  <c r="D170" i="22" a="1"/>
  <c r="D170" i="22" s="1"/>
  <c r="M169" i="22" a="1"/>
  <c r="M169" i="22" s="1"/>
  <c r="L169" i="22" a="1"/>
  <c r="L169" i="22" s="1"/>
  <c r="M241" i="22" s="1"/>
  <c r="K169" i="22" a="1"/>
  <c r="K169" i="22" s="1"/>
  <c r="J169" i="22" a="1"/>
  <c r="J169" i="22" s="1"/>
  <c r="J241" i="22" s="1"/>
  <c r="I169" i="22" a="1"/>
  <c r="I169" i="22" s="1"/>
  <c r="I241" i="22" s="1"/>
  <c r="H169" i="22" a="1"/>
  <c r="H169" i="22" s="1"/>
  <c r="H241" i="22" s="1"/>
  <c r="G169" i="22" a="1"/>
  <c r="G169" i="22" s="1"/>
  <c r="G241" i="22" s="1"/>
  <c r="F169" i="22" a="1"/>
  <c r="F169" i="22" s="1"/>
  <c r="F241" i="22" s="1"/>
  <c r="E169" i="22" a="1"/>
  <c r="E169" i="22" s="1"/>
  <c r="D169" i="22" a="1"/>
  <c r="D169" i="22" s="1"/>
  <c r="M168" i="22" a="1"/>
  <c r="M168" i="22" s="1"/>
  <c r="L168" i="22" a="1"/>
  <c r="L168" i="22" s="1"/>
  <c r="M240" i="22" s="1"/>
  <c r="K168" i="22" a="1"/>
  <c r="K168" i="22" s="1"/>
  <c r="J168" i="22" a="1"/>
  <c r="J168" i="22" s="1"/>
  <c r="J240" i="22" s="1"/>
  <c r="I168" i="22" a="1"/>
  <c r="I168" i="22" s="1"/>
  <c r="I240" i="22" s="1"/>
  <c r="H168" i="22" a="1"/>
  <c r="H168" i="22" s="1"/>
  <c r="H240" i="22" s="1"/>
  <c r="G168" i="22" a="1"/>
  <c r="G168" i="22" s="1"/>
  <c r="G240" i="22" s="1"/>
  <c r="F168" i="22" a="1"/>
  <c r="F168" i="22" s="1"/>
  <c r="F240" i="22" s="1"/>
  <c r="E168" i="22" a="1"/>
  <c r="E168" i="22" s="1"/>
  <c r="D168" i="22" a="1"/>
  <c r="D168" i="22" s="1"/>
  <c r="M167" i="22" a="1"/>
  <c r="M167" i="22" s="1"/>
  <c r="L167" i="22" a="1"/>
  <c r="L167" i="22" s="1"/>
  <c r="M239" i="22" s="1"/>
  <c r="K167" i="22" a="1"/>
  <c r="K167" i="22" s="1"/>
  <c r="J167" i="22" a="1"/>
  <c r="J167" i="22" s="1"/>
  <c r="J239" i="22" s="1"/>
  <c r="I167" i="22" a="1"/>
  <c r="I167" i="22" s="1"/>
  <c r="I239" i="22" s="1"/>
  <c r="H167" i="22" a="1"/>
  <c r="H167" i="22" s="1"/>
  <c r="H239" i="22" s="1"/>
  <c r="G167" i="22" a="1"/>
  <c r="G167" i="22" s="1"/>
  <c r="G239" i="22" s="1"/>
  <c r="F167" i="22" a="1"/>
  <c r="F167" i="22" s="1"/>
  <c r="F239" i="22" s="1"/>
  <c r="E167" i="22" a="1"/>
  <c r="E167" i="22" s="1"/>
  <c r="D167" i="22" a="1"/>
  <c r="D167" i="22" s="1"/>
  <c r="M166" i="22" a="1"/>
  <c r="M166" i="22" s="1"/>
  <c r="L166" i="22" a="1"/>
  <c r="L166" i="22" s="1"/>
  <c r="M238" i="22" s="1"/>
  <c r="K166" i="22" a="1"/>
  <c r="K166" i="22" s="1"/>
  <c r="J166" i="22" a="1"/>
  <c r="J166" i="22" s="1"/>
  <c r="J238" i="22" s="1"/>
  <c r="I166" i="22" a="1"/>
  <c r="I166" i="22" s="1"/>
  <c r="I238" i="22" s="1"/>
  <c r="H166" i="22" a="1"/>
  <c r="H166" i="22" s="1"/>
  <c r="H238" i="22" s="1"/>
  <c r="G166" i="22" a="1"/>
  <c r="G166" i="22" s="1"/>
  <c r="G238" i="22" s="1"/>
  <c r="F166" i="22" a="1"/>
  <c r="F166" i="22" s="1"/>
  <c r="F238" i="22" s="1"/>
  <c r="E166" i="22" a="1"/>
  <c r="E166" i="22" s="1"/>
  <c r="D166" i="22" a="1"/>
  <c r="D166" i="22" s="1"/>
  <c r="M165" i="22" a="1"/>
  <c r="M165" i="22" s="1"/>
  <c r="L165" i="22" a="1"/>
  <c r="L165" i="22" s="1"/>
  <c r="M237" i="22" s="1"/>
  <c r="K165" i="22" a="1"/>
  <c r="K165" i="22" s="1"/>
  <c r="J165" i="22" a="1"/>
  <c r="J165" i="22" s="1"/>
  <c r="J237" i="22" s="1"/>
  <c r="I165" i="22" a="1"/>
  <c r="I165" i="22" s="1"/>
  <c r="I237" i="22" s="1"/>
  <c r="H165" i="22" a="1"/>
  <c r="H165" i="22" s="1"/>
  <c r="H237" i="22" s="1"/>
  <c r="G165" i="22" a="1"/>
  <c r="G165" i="22" s="1"/>
  <c r="G237" i="22" s="1"/>
  <c r="F165" i="22" a="1"/>
  <c r="F165" i="22" s="1"/>
  <c r="F237" i="22" s="1"/>
  <c r="E165" i="22" a="1"/>
  <c r="E165" i="22" s="1"/>
  <c r="D165" i="22" a="1"/>
  <c r="D165" i="22" s="1"/>
  <c r="M164" i="22" a="1"/>
  <c r="M164" i="22" s="1"/>
  <c r="L164" i="22" a="1"/>
  <c r="L164" i="22" s="1"/>
  <c r="M236" i="22" s="1"/>
  <c r="K164" i="22" a="1"/>
  <c r="K164" i="22" s="1"/>
  <c r="J164" i="22" a="1"/>
  <c r="J164" i="22" s="1"/>
  <c r="J236" i="22" s="1"/>
  <c r="I164" i="22" a="1"/>
  <c r="I164" i="22" s="1"/>
  <c r="I236" i="22" s="1"/>
  <c r="H164" i="22" a="1"/>
  <c r="H164" i="22" s="1"/>
  <c r="H236" i="22" s="1"/>
  <c r="G164" i="22" a="1"/>
  <c r="G164" i="22" s="1"/>
  <c r="G236" i="22" s="1"/>
  <c r="F164" i="22" a="1"/>
  <c r="F164" i="22" s="1"/>
  <c r="F236" i="22" s="1"/>
  <c r="E164" i="22" a="1"/>
  <c r="E164" i="22" s="1"/>
  <c r="D164" i="22" a="1"/>
  <c r="D164" i="22" s="1"/>
  <c r="M163" i="22" a="1"/>
  <c r="M163" i="22" s="1"/>
  <c r="L163" i="22" a="1"/>
  <c r="L163" i="22" s="1"/>
  <c r="M235" i="22" s="1"/>
  <c r="K163" i="22" a="1"/>
  <c r="K163" i="22" s="1"/>
  <c r="J163" i="22" a="1"/>
  <c r="J163" i="22" s="1"/>
  <c r="J235" i="22" s="1"/>
  <c r="I163" i="22" a="1"/>
  <c r="I163" i="22" s="1"/>
  <c r="I235" i="22" s="1"/>
  <c r="H163" i="22" a="1"/>
  <c r="H163" i="22" s="1"/>
  <c r="H235" i="22" s="1"/>
  <c r="G163" i="22" a="1"/>
  <c r="G163" i="22" s="1"/>
  <c r="G235" i="22" s="1"/>
  <c r="F163" i="22" a="1"/>
  <c r="F163" i="22" s="1"/>
  <c r="F235" i="22" s="1"/>
  <c r="E163" i="22" a="1"/>
  <c r="E163" i="22" s="1"/>
  <c r="D163" i="22" a="1"/>
  <c r="D163" i="22" s="1"/>
  <c r="M162" i="22" a="1"/>
  <c r="M162" i="22" s="1"/>
  <c r="L162" i="22" a="1"/>
  <c r="L162" i="22" s="1"/>
  <c r="M234" i="22" s="1"/>
  <c r="K162" i="22" a="1"/>
  <c r="K162" i="22" s="1"/>
  <c r="J162" i="22" a="1"/>
  <c r="J162" i="22" s="1"/>
  <c r="J234" i="22" s="1"/>
  <c r="I162" i="22" a="1"/>
  <c r="I162" i="22" s="1"/>
  <c r="I234" i="22" s="1"/>
  <c r="H162" i="22" a="1"/>
  <c r="H162" i="22" s="1"/>
  <c r="H234" i="22" s="1"/>
  <c r="G162" i="22" a="1"/>
  <c r="G162" i="22" s="1"/>
  <c r="G234" i="22" s="1"/>
  <c r="F162" i="22" a="1"/>
  <c r="F162" i="22" s="1"/>
  <c r="F234" i="22" s="1"/>
  <c r="E162" i="22" a="1"/>
  <c r="E162" i="22" s="1"/>
  <c r="D162" i="22" a="1"/>
  <c r="D162" i="22" s="1"/>
  <c r="M161" i="22" a="1"/>
  <c r="M161" i="22" s="1"/>
  <c r="L161" i="22" a="1"/>
  <c r="L161" i="22" s="1"/>
  <c r="M233" i="22" s="1"/>
  <c r="K161" i="22" a="1"/>
  <c r="K161" i="22" s="1"/>
  <c r="J161" i="22" a="1"/>
  <c r="J161" i="22" s="1"/>
  <c r="J233" i="22" s="1"/>
  <c r="I161" i="22" a="1"/>
  <c r="I161" i="22" s="1"/>
  <c r="I233" i="22" s="1"/>
  <c r="H161" i="22" a="1"/>
  <c r="H161" i="22" s="1"/>
  <c r="H233" i="22" s="1"/>
  <c r="G161" i="22" a="1"/>
  <c r="G161" i="22" s="1"/>
  <c r="G233" i="22" s="1"/>
  <c r="F161" i="22" a="1"/>
  <c r="F161" i="22" s="1"/>
  <c r="F233" i="22" s="1"/>
  <c r="E161" i="22" a="1"/>
  <c r="E161" i="22" s="1"/>
  <c r="D161" i="22" a="1"/>
  <c r="D161" i="22" s="1"/>
  <c r="M160" i="22" a="1"/>
  <c r="M160" i="22" s="1"/>
  <c r="L160" i="22" a="1"/>
  <c r="L160" i="22" s="1"/>
  <c r="M232" i="22" s="1"/>
  <c r="K160" i="22" a="1"/>
  <c r="K160" i="22" s="1"/>
  <c r="J160" i="22" a="1"/>
  <c r="J160" i="22" s="1"/>
  <c r="J232" i="22" s="1"/>
  <c r="I160" i="22" a="1"/>
  <c r="I160" i="22" s="1"/>
  <c r="I232" i="22" s="1"/>
  <c r="H160" i="22" a="1"/>
  <c r="H160" i="22" s="1"/>
  <c r="H232" i="22" s="1"/>
  <c r="G160" i="22" a="1"/>
  <c r="G160" i="22" s="1"/>
  <c r="G232" i="22" s="1"/>
  <c r="F160" i="22" a="1"/>
  <c r="F160" i="22" s="1"/>
  <c r="F232" i="22" s="1"/>
  <c r="E160" i="22" a="1"/>
  <c r="E160" i="22" s="1"/>
  <c r="D160" i="22" a="1"/>
  <c r="D160" i="22" s="1"/>
  <c r="M159" i="22" a="1"/>
  <c r="M159" i="22" s="1"/>
  <c r="L159" i="22" a="1"/>
  <c r="L159" i="22" s="1"/>
  <c r="M231" i="22" s="1"/>
  <c r="K159" i="22" a="1"/>
  <c r="K159" i="22" s="1"/>
  <c r="J159" i="22" a="1"/>
  <c r="J159" i="22" s="1"/>
  <c r="J231" i="22" s="1"/>
  <c r="I159" i="22" a="1"/>
  <c r="I159" i="22" s="1"/>
  <c r="I231" i="22" s="1"/>
  <c r="H159" i="22" a="1"/>
  <c r="H159" i="22" s="1"/>
  <c r="H231" i="22" s="1"/>
  <c r="G159" i="22" a="1"/>
  <c r="G159" i="22" s="1"/>
  <c r="G231" i="22" s="1"/>
  <c r="F159" i="22" a="1"/>
  <c r="F159" i="22" s="1"/>
  <c r="F231" i="22" s="1"/>
  <c r="E159" i="22" a="1"/>
  <c r="E159" i="22" s="1"/>
  <c r="D159" i="22" a="1"/>
  <c r="D159" i="22" s="1"/>
  <c r="M158" i="22" a="1"/>
  <c r="M158" i="22" s="1"/>
  <c r="L158" i="22" a="1"/>
  <c r="L158" i="22" s="1"/>
  <c r="K158" i="22" a="1"/>
  <c r="K158" i="22" s="1"/>
  <c r="J158" i="22" a="1"/>
  <c r="J158" i="22" s="1"/>
  <c r="I158" i="22" a="1"/>
  <c r="I158" i="22" s="1"/>
  <c r="H158" i="22" a="1"/>
  <c r="H158" i="22" s="1"/>
  <c r="G158" i="22" a="1"/>
  <c r="G158" i="22" s="1"/>
  <c r="F158" i="22" a="1"/>
  <c r="F158" i="22" s="1"/>
  <c r="E158" i="22" a="1"/>
  <c r="E158" i="22" s="1"/>
  <c r="D158" i="22" a="1"/>
  <c r="D158" i="22" s="1"/>
  <c r="M157" i="22" a="1"/>
  <c r="M157" i="22" s="1"/>
  <c r="L157" i="22" a="1"/>
  <c r="L157" i="22" s="1"/>
  <c r="K157" i="22" a="1"/>
  <c r="K157" i="22" s="1"/>
  <c r="J157" i="22" a="1"/>
  <c r="J157" i="22" s="1"/>
  <c r="I157" i="22" a="1"/>
  <c r="I157" i="22" s="1"/>
  <c r="H157" i="22" a="1"/>
  <c r="H157" i="22" s="1"/>
  <c r="G157" i="22" a="1"/>
  <c r="G157" i="22" s="1"/>
  <c r="F157" i="22" a="1"/>
  <c r="F157" i="22" s="1"/>
  <c r="E157" i="22" a="1"/>
  <c r="E157" i="22" s="1"/>
  <c r="D157" i="22" a="1"/>
  <c r="D157" i="22" s="1"/>
  <c r="M156" i="22" a="1"/>
  <c r="M156" i="22" s="1"/>
  <c r="L156" i="22" a="1"/>
  <c r="L156" i="22" s="1"/>
  <c r="K156" i="22" a="1"/>
  <c r="K156" i="22" s="1"/>
  <c r="J156" i="22" a="1"/>
  <c r="J156" i="22" s="1"/>
  <c r="I156" i="22" a="1"/>
  <c r="I156" i="22" s="1"/>
  <c r="H156" i="22" a="1"/>
  <c r="H156" i="22" s="1"/>
  <c r="G156" i="22" a="1"/>
  <c r="G156" i="22" s="1"/>
  <c r="F156" i="22" a="1"/>
  <c r="F156" i="22" s="1"/>
  <c r="E156" i="22" a="1"/>
  <c r="E156" i="22" s="1"/>
  <c r="D156" i="22" a="1"/>
  <c r="D156" i="22" s="1"/>
  <c r="M155" i="22" a="1"/>
  <c r="M155" i="22" s="1"/>
  <c r="L155" i="22" a="1"/>
  <c r="L155" i="22" s="1"/>
  <c r="K155" i="22" a="1"/>
  <c r="K155" i="22" s="1"/>
  <c r="J155" i="22" a="1"/>
  <c r="J155" i="22" s="1"/>
  <c r="I155" i="22" a="1"/>
  <c r="I155" i="22" s="1"/>
  <c r="H155" i="22" a="1"/>
  <c r="H155" i="22" s="1"/>
  <c r="G155" i="22" a="1"/>
  <c r="G155" i="22" s="1"/>
  <c r="F155" i="22" a="1"/>
  <c r="F155" i="22" s="1"/>
  <c r="E155" i="22" a="1"/>
  <c r="E155" i="22" s="1"/>
  <c r="D155" i="22" a="1"/>
  <c r="D155" i="22" s="1"/>
  <c r="D153" i="22" a="1"/>
  <c r="D153" i="22" s="1"/>
  <c r="D152" i="22" a="1"/>
  <c r="D152" i="22" s="1"/>
  <c r="D151" i="22" a="1"/>
  <c r="D151" i="22" s="1"/>
  <c r="D150" i="22" a="1"/>
  <c r="D150" i="22" s="1"/>
  <c r="P81" i="22" a="1"/>
  <c r="P81" i="22" s="1"/>
  <c r="P145" i="22" s="1"/>
  <c r="O81" i="22" a="1"/>
  <c r="O81" i="22" s="1"/>
  <c r="O145" i="22" s="1"/>
  <c r="N81" i="22" a="1"/>
  <c r="N81" i="22" s="1"/>
  <c r="N145" i="22" s="1"/>
  <c r="M81" i="22" a="1"/>
  <c r="M81" i="22" s="1"/>
  <c r="M145" i="22" s="1"/>
  <c r="L81" i="22" a="1"/>
  <c r="L81" i="22" s="1"/>
  <c r="L145" i="22" s="1"/>
  <c r="K81" i="22" a="1"/>
  <c r="K81" i="22" s="1"/>
  <c r="K145" i="22" s="1"/>
  <c r="J81" i="22" a="1"/>
  <c r="J81" i="22" s="1"/>
  <c r="J145" i="22" s="1"/>
  <c r="I81" i="22" a="1"/>
  <c r="I81" i="22" s="1"/>
  <c r="I145" i="22" s="1"/>
  <c r="H81" i="22" a="1"/>
  <c r="H81" i="22" s="1"/>
  <c r="H145" i="22" s="1"/>
  <c r="G81" i="22" a="1"/>
  <c r="G81" i="22" s="1"/>
  <c r="G145" i="22" s="1"/>
  <c r="F81" i="22" a="1"/>
  <c r="F81" i="22" s="1"/>
  <c r="F145" i="22" s="1"/>
  <c r="F149" i="22" s="1"/>
  <c r="E81" i="22" a="1"/>
  <c r="E81" i="22" s="1"/>
  <c r="E145" i="22" s="1"/>
  <c r="D81" i="22" a="1"/>
  <c r="D81" i="22" s="1"/>
  <c r="P80" i="22" a="1"/>
  <c r="P80" i="22" s="1"/>
  <c r="P144" i="22" s="1"/>
  <c r="O80" i="22" a="1"/>
  <c r="O80" i="22" s="1"/>
  <c r="O144" i="22" s="1"/>
  <c r="N80" i="22" a="1"/>
  <c r="N80" i="22" s="1"/>
  <c r="N144" i="22" s="1"/>
  <c r="M80" i="22" a="1"/>
  <c r="M80" i="22" s="1"/>
  <c r="M144" i="22" s="1"/>
  <c r="L80" i="22" a="1"/>
  <c r="L80" i="22" s="1"/>
  <c r="L144" i="22" s="1"/>
  <c r="K80" i="22" a="1"/>
  <c r="K80" i="22" s="1"/>
  <c r="K144" i="22" s="1"/>
  <c r="J80" i="22" a="1"/>
  <c r="J80" i="22" s="1"/>
  <c r="J144" i="22" s="1"/>
  <c r="I80" i="22" a="1"/>
  <c r="I80" i="22" s="1"/>
  <c r="I144" i="22" s="1"/>
  <c r="H80" i="22" a="1"/>
  <c r="H80" i="22" s="1"/>
  <c r="H144" i="22" s="1"/>
  <c r="G80" i="22" a="1"/>
  <c r="G80" i="22" s="1"/>
  <c r="G144" i="22" s="1"/>
  <c r="F80" i="22" a="1"/>
  <c r="F80" i="22" s="1"/>
  <c r="F144" i="22" s="1"/>
  <c r="F148" i="22" s="1"/>
  <c r="E80" i="22" a="1"/>
  <c r="E80" i="22" s="1"/>
  <c r="E144" i="22" s="1"/>
  <c r="D80" i="22" a="1"/>
  <c r="D80" i="22" s="1"/>
  <c r="P79" i="22" a="1"/>
  <c r="P79" i="22" s="1"/>
  <c r="P143" i="22" s="1"/>
  <c r="O79" i="22" a="1"/>
  <c r="O79" i="22" s="1"/>
  <c r="O143" i="22" s="1"/>
  <c r="N79" i="22" a="1"/>
  <c r="N79" i="22" s="1"/>
  <c r="N143" i="22" s="1"/>
  <c r="M79" i="22" a="1"/>
  <c r="M79" i="22" s="1"/>
  <c r="M143" i="22" s="1"/>
  <c r="L79" i="22" a="1"/>
  <c r="L79" i="22" s="1"/>
  <c r="L143" i="22" s="1"/>
  <c r="K79" i="22" a="1"/>
  <c r="K79" i="22" s="1"/>
  <c r="K143" i="22" s="1"/>
  <c r="J79" i="22" a="1"/>
  <c r="J79" i="22" s="1"/>
  <c r="J143" i="22" s="1"/>
  <c r="I79" i="22" a="1"/>
  <c r="I79" i="22" s="1"/>
  <c r="I143" i="22" s="1"/>
  <c r="H79" i="22" a="1"/>
  <c r="H79" i="22" s="1"/>
  <c r="H143" i="22" s="1"/>
  <c r="G79" i="22" a="1"/>
  <c r="G79" i="22" s="1"/>
  <c r="G143" i="22" s="1"/>
  <c r="F79" i="22" a="1"/>
  <c r="F79" i="22" s="1"/>
  <c r="F143" i="22" s="1"/>
  <c r="F147" i="22" s="1"/>
  <c r="E79" i="22" a="1"/>
  <c r="E79" i="22" s="1"/>
  <c r="E143" i="22" s="1"/>
  <c r="D79" i="22" a="1"/>
  <c r="D79" i="22" s="1"/>
  <c r="P78" i="22" a="1"/>
  <c r="P78" i="22" s="1"/>
  <c r="P142" i="22" s="1"/>
  <c r="O78" i="22" a="1"/>
  <c r="O78" i="22" s="1"/>
  <c r="O142" i="22" s="1"/>
  <c r="N78" i="22" a="1"/>
  <c r="N78" i="22" s="1"/>
  <c r="N142" i="22" s="1"/>
  <c r="M78" i="22" a="1"/>
  <c r="M78" i="22" s="1"/>
  <c r="M142" i="22" s="1"/>
  <c r="L78" i="22" a="1"/>
  <c r="L78" i="22" s="1"/>
  <c r="L142" i="22" s="1"/>
  <c r="K78" i="22" a="1"/>
  <c r="K78" i="22" s="1"/>
  <c r="K142" i="22" s="1"/>
  <c r="J78" i="22" a="1"/>
  <c r="J78" i="22" s="1"/>
  <c r="J142" i="22" s="1"/>
  <c r="I78" i="22" a="1"/>
  <c r="I78" i="22" s="1"/>
  <c r="I142" i="22" s="1"/>
  <c r="H78" i="22" a="1"/>
  <c r="H78" i="22" s="1"/>
  <c r="H142" i="22" s="1"/>
  <c r="G78" i="22" a="1"/>
  <c r="G78" i="22" s="1"/>
  <c r="G142" i="22" s="1"/>
  <c r="F78" i="22" a="1"/>
  <c r="F78" i="22" s="1"/>
  <c r="F142" i="22" s="1"/>
  <c r="F146" i="22" s="1"/>
  <c r="E78" i="22" a="1"/>
  <c r="E78" i="22" s="1"/>
  <c r="E142" i="22" s="1"/>
  <c r="D78" i="22" a="1"/>
  <c r="D78" i="22" s="1"/>
  <c r="P77" i="22" a="1"/>
  <c r="P77" i="22" s="1"/>
  <c r="P141" i="22" s="1"/>
  <c r="O77" i="22" a="1"/>
  <c r="O77" i="22" s="1"/>
  <c r="O141" i="22" s="1"/>
  <c r="N77" i="22" a="1"/>
  <c r="N77" i="22" s="1"/>
  <c r="N141" i="22" s="1"/>
  <c r="M77" i="22" a="1"/>
  <c r="M77" i="22" s="1"/>
  <c r="M141" i="22" s="1"/>
  <c r="L77" i="22" a="1"/>
  <c r="L77" i="22" s="1"/>
  <c r="L141" i="22" s="1"/>
  <c r="K77" i="22" a="1"/>
  <c r="K77" i="22" s="1"/>
  <c r="K141" i="22" s="1"/>
  <c r="J77" i="22" a="1"/>
  <c r="J77" i="22" s="1"/>
  <c r="J141" i="22" s="1"/>
  <c r="I77" i="22" a="1"/>
  <c r="I77" i="22" s="1"/>
  <c r="I141" i="22" s="1"/>
  <c r="H77" i="22" a="1"/>
  <c r="H77" i="22" s="1"/>
  <c r="H141" i="22" s="1"/>
  <c r="G77" i="22" a="1"/>
  <c r="G77" i="22" s="1"/>
  <c r="G141" i="22" s="1"/>
  <c r="F77" i="22" a="1"/>
  <c r="F77" i="22" s="1"/>
  <c r="F141" i="22" s="1"/>
  <c r="E77" i="22" a="1"/>
  <c r="E77" i="22" s="1"/>
  <c r="E141" i="22" s="1"/>
  <c r="D77" i="22" a="1"/>
  <c r="D77" i="22" s="1"/>
  <c r="P76" i="22" a="1"/>
  <c r="P76" i="22" s="1"/>
  <c r="P140" i="22" s="1"/>
  <c r="O76" i="22" a="1"/>
  <c r="O76" i="22" s="1"/>
  <c r="O140" i="22" s="1"/>
  <c r="N76" i="22" a="1"/>
  <c r="N76" i="22" s="1"/>
  <c r="N140" i="22" s="1"/>
  <c r="M76" i="22" a="1"/>
  <c r="M76" i="22" s="1"/>
  <c r="M140" i="22" s="1"/>
  <c r="L76" i="22" a="1"/>
  <c r="L76" i="22" s="1"/>
  <c r="L140" i="22" s="1"/>
  <c r="K76" i="22" a="1"/>
  <c r="K76" i="22" s="1"/>
  <c r="K140" i="22" s="1"/>
  <c r="J76" i="22" a="1"/>
  <c r="J76" i="22" s="1"/>
  <c r="J140" i="22" s="1"/>
  <c r="I76" i="22" a="1"/>
  <c r="I76" i="22" s="1"/>
  <c r="I140" i="22" s="1"/>
  <c r="H76" i="22" a="1"/>
  <c r="H76" i="22" s="1"/>
  <c r="H140" i="22" s="1"/>
  <c r="G76" i="22" a="1"/>
  <c r="G76" i="22" s="1"/>
  <c r="G140" i="22" s="1"/>
  <c r="F76" i="22" a="1"/>
  <c r="F76" i="22" s="1"/>
  <c r="F140" i="22" s="1"/>
  <c r="E76" i="22" a="1"/>
  <c r="E76" i="22" s="1"/>
  <c r="E140" i="22" s="1"/>
  <c r="D76" i="22" a="1"/>
  <c r="D76" i="22" s="1"/>
  <c r="P75" i="22" a="1"/>
  <c r="P75" i="22" s="1"/>
  <c r="P139" i="22" s="1"/>
  <c r="O75" i="22" a="1"/>
  <c r="O75" i="22" s="1"/>
  <c r="O139" i="22" s="1"/>
  <c r="N75" i="22" a="1"/>
  <c r="N75" i="22" s="1"/>
  <c r="N139" i="22" s="1"/>
  <c r="M75" i="22" a="1"/>
  <c r="M75" i="22" s="1"/>
  <c r="M139" i="22" s="1"/>
  <c r="L75" i="22" a="1"/>
  <c r="L75" i="22" s="1"/>
  <c r="L139" i="22" s="1"/>
  <c r="K75" i="22" a="1"/>
  <c r="K75" i="22" s="1"/>
  <c r="K139" i="22" s="1"/>
  <c r="J75" i="22" a="1"/>
  <c r="J75" i="22" s="1"/>
  <c r="J139" i="22" s="1"/>
  <c r="I75" i="22" a="1"/>
  <c r="I75" i="22" s="1"/>
  <c r="I139" i="22" s="1"/>
  <c r="H75" i="22" a="1"/>
  <c r="H75" i="22" s="1"/>
  <c r="H139" i="22" s="1"/>
  <c r="G75" i="22" a="1"/>
  <c r="G75" i="22" s="1"/>
  <c r="G139" i="22" s="1"/>
  <c r="F75" i="22" a="1"/>
  <c r="F75" i="22" s="1"/>
  <c r="F139" i="22" s="1"/>
  <c r="E75" i="22" a="1"/>
  <c r="E75" i="22" s="1"/>
  <c r="E139" i="22" s="1"/>
  <c r="D75" i="22" a="1"/>
  <c r="D75" i="22" s="1"/>
  <c r="P74" i="22" a="1"/>
  <c r="P74" i="22" s="1"/>
  <c r="P138" i="22" s="1"/>
  <c r="O74" i="22" a="1"/>
  <c r="O74" i="22" s="1"/>
  <c r="O138" i="22" s="1"/>
  <c r="N74" i="22" a="1"/>
  <c r="N74" i="22" s="1"/>
  <c r="N138" i="22" s="1"/>
  <c r="M74" i="22" a="1"/>
  <c r="M74" i="22" s="1"/>
  <c r="M138" i="22" s="1"/>
  <c r="L74" i="22" a="1"/>
  <c r="L74" i="22" s="1"/>
  <c r="L138" i="22" s="1"/>
  <c r="K74" i="22" a="1"/>
  <c r="K74" i="22" s="1"/>
  <c r="K138" i="22" s="1"/>
  <c r="J74" i="22" a="1"/>
  <c r="J74" i="22" s="1"/>
  <c r="J138" i="22" s="1"/>
  <c r="I74" i="22" a="1"/>
  <c r="I74" i="22" s="1"/>
  <c r="I138" i="22" s="1"/>
  <c r="H74" i="22" a="1"/>
  <c r="H74" i="22" s="1"/>
  <c r="H138" i="22" s="1"/>
  <c r="G74" i="22" a="1"/>
  <c r="G74" i="22" s="1"/>
  <c r="G138" i="22" s="1"/>
  <c r="F74" i="22" a="1"/>
  <c r="F74" i="22" s="1"/>
  <c r="F138" i="22" s="1"/>
  <c r="E74" i="22" a="1"/>
  <c r="E74" i="22" s="1"/>
  <c r="E138" i="22" s="1"/>
  <c r="D74" i="22" a="1"/>
  <c r="D74" i="22" s="1"/>
  <c r="P73" i="22" a="1"/>
  <c r="P73" i="22" s="1"/>
  <c r="P137" i="22" s="1"/>
  <c r="O73" i="22" a="1"/>
  <c r="O73" i="22" s="1"/>
  <c r="O137" i="22" s="1"/>
  <c r="N73" i="22" a="1"/>
  <c r="N73" i="22" s="1"/>
  <c r="N137" i="22" s="1"/>
  <c r="M73" i="22" a="1"/>
  <c r="M73" i="22" s="1"/>
  <c r="M137" i="22" s="1"/>
  <c r="L73" i="22" a="1"/>
  <c r="L73" i="22" s="1"/>
  <c r="L137" i="22" s="1"/>
  <c r="K73" i="22" a="1"/>
  <c r="K73" i="22" s="1"/>
  <c r="K137" i="22" s="1"/>
  <c r="J73" i="22" a="1"/>
  <c r="J73" i="22" s="1"/>
  <c r="J137" i="22" s="1"/>
  <c r="I73" i="22" a="1"/>
  <c r="I73" i="22" s="1"/>
  <c r="I137" i="22" s="1"/>
  <c r="H73" i="22" a="1"/>
  <c r="H73" i="22" s="1"/>
  <c r="H137" i="22" s="1"/>
  <c r="G73" i="22" a="1"/>
  <c r="G73" i="22" s="1"/>
  <c r="G137" i="22" s="1"/>
  <c r="F73" i="22" a="1"/>
  <c r="F73" i="22" s="1"/>
  <c r="F137" i="22" s="1"/>
  <c r="E73" i="22" a="1"/>
  <c r="E73" i="22" s="1"/>
  <c r="E137" i="22" s="1"/>
  <c r="D73" i="22" a="1"/>
  <c r="D73" i="22" s="1"/>
  <c r="P72" i="22" a="1"/>
  <c r="P72" i="22" s="1"/>
  <c r="P136" i="22" s="1"/>
  <c r="O72" i="22" a="1"/>
  <c r="O72" i="22" s="1"/>
  <c r="O136" i="22" s="1"/>
  <c r="N72" i="22" a="1"/>
  <c r="N72" i="22" s="1"/>
  <c r="N136" i="22" s="1"/>
  <c r="M72" i="22" a="1"/>
  <c r="M72" i="22" s="1"/>
  <c r="M136" i="22" s="1"/>
  <c r="L72" i="22" a="1"/>
  <c r="L72" i="22" s="1"/>
  <c r="L136" i="22" s="1"/>
  <c r="K72" i="22" a="1"/>
  <c r="K72" i="22" s="1"/>
  <c r="K136" i="22" s="1"/>
  <c r="J72" i="22" a="1"/>
  <c r="J72" i="22" s="1"/>
  <c r="J136" i="22" s="1"/>
  <c r="I72" i="22" a="1"/>
  <c r="I72" i="22" s="1"/>
  <c r="I136" i="22" s="1"/>
  <c r="H72" i="22" a="1"/>
  <c r="H72" i="22" s="1"/>
  <c r="H136" i="22" s="1"/>
  <c r="G72" i="22" a="1"/>
  <c r="G72" i="22" s="1"/>
  <c r="G136" i="22" s="1"/>
  <c r="F72" i="22" a="1"/>
  <c r="F72" i="22" s="1"/>
  <c r="F136" i="22" s="1"/>
  <c r="E72" i="22" a="1"/>
  <c r="E72" i="22" s="1"/>
  <c r="E136" i="22" s="1"/>
  <c r="D72" i="22" a="1"/>
  <c r="D72" i="22" s="1"/>
  <c r="P71" i="22" a="1"/>
  <c r="P71" i="22" s="1"/>
  <c r="P135" i="22" s="1"/>
  <c r="O71" i="22" a="1"/>
  <c r="O71" i="22" s="1"/>
  <c r="O135" i="22" s="1"/>
  <c r="N71" i="22" a="1"/>
  <c r="N71" i="22" s="1"/>
  <c r="N135" i="22" s="1"/>
  <c r="M71" i="22" a="1"/>
  <c r="M71" i="22" s="1"/>
  <c r="M135" i="22" s="1"/>
  <c r="L71" i="22" a="1"/>
  <c r="L71" i="22" s="1"/>
  <c r="L135" i="22" s="1"/>
  <c r="K71" i="22" a="1"/>
  <c r="K71" i="22" s="1"/>
  <c r="K135" i="22" s="1"/>
  <c r="J71" i="22" a="1"/>
  <c r="J71" i="22" s="1"/>
  <c r="J135" i="22" s="1"/>
  <c r="I71" i="22" a="1"/>
  <c r="I71" i="22" s="1"/>
  <c r="I135" i="22" s="1"/>
  <c r="H71" i="22" a="1"/>
  <c r="H71" i="22" s="1"/>
  <c r="H135" i="22" s="1"/>
  <c r="G71" i="22" a="1"/>
  <c r="G71" i="22" s="1"/>
  <c r="G135" i="22" s="1"/>
  <c r="F71" i="22" a="1"/>
  <c r="F71" i="22" s="1"/>
  <c r="F135" i="22" s="1"/>
  <c r="E71" i="22" a="1"/>
  <c r="E71" i="22" s="1"/>
  <c r="E135" i="22" s="1"/>
  <c r="D71" i="22" a="1"/>
  <c r="D71" i="22" s="1"/>
  <c r="P70" i="22" a="1"/>
  <c r="P70" i="22" s="1"/>
  <c r="P134" i="22" s="1"/>
  <c r="O70" i="22" a="1"/>
  <c r="O70" i="22" s="1"/>
  <c r="O134" i="22" s="1"/>
  <c r="N70" i="22" a="1"/>
  <c r="N70" i="22" s="1"/>
  <c r="N134" i="22" s="1"/>
  <c r="M70" i="22" a="1"/>
  <c r="M70" i="22" s="1"/>
  <c r="M134" i="22" s="1"/>
  <c r="L70" i="22" a="1"/>
  <c r="L70" i="22" s="1"/>
  <c r="L134" i="22" s="1"/>
  <c r="K70" i="22" a="1"/>
  <c r="K70" i="22" s="1"/>
  <c r="K134" i="22" s="1"/>
  <c r="J70" i="22" a="1"/>
  <c r="J70" i="22" s="1"/>
  <c r="J134" i="22" s="1"/>
  <c r="I70" i="22" a="1"/>
  <c r="I70" i="22" s="1"/>
  <c r="I134" i="22" s="1"/>
  <c r="H70" i="22" a="1"/>
  <c r="H70" i="22" s="1"/>
  <c r="H134" i="22" s="1"/>
  <c r="G70" i="22" a="1"/>
  <c r="G70" i="22" s="1"/>
  <c r="G134" i="22" s="1"/>
  <c r="F70" i="22" a="1"/>
  <c r="F70" i="22" s="1"/>
  <c r="F134" i="22" s="1"/>
  <c r="E70" i="22" a="1"/>
  <c r="E70" i="22" s="1"/>
  <c r="E134" i="22" s="1"/>
  <c r="D70" i="22" a="1"/>
  <c r="D70" i="22" s="1"/>
  <c r="P69" i="22" a="1"/>
  <c r="P69" i="22" s="1"/>
  <c r="P133" i="22" s="1"/>
  <c r="O69" i="22" a="1"/>
  <c r="O69" i="22" s="1"/>
  <c r="O133" i="22" s="1"/>
  <c r="N69" i="22" a="1"/>
  <c r="N69" i="22" s="1"/>
  <c r="N133" i="22" s="1"/>
  <c r="M69" i="22" a="1"/>
  <c r="M69" i="22" s="1"/>
  <c r="M133" i="22" s="1"/>
  <c r="L69" i="22" a="1"/>
  <c r="L69" i="22" s="1"/>
  <c r="L133" i="22" s="1"/>
  <c r="K69" i="22" a="1"/>
  <c r="K69" i="22" s="1"/>
  <c r="K133" i="22" s="1"/>
  <c r="J69" i="22" a="1"/>
  <c r="J69" i="22" s="1"/>
  <c r="J133" i="22" s="1"/>
  <c r="I69" i="22" a="1"/>
  <c r="I69" i="22" s="1"/>
  <c r="I133" i="22" s="1"/>
  <c r="H69" i="22" a="1"/>
  <c r="H69" i="22" s="1"/>
  <c r="H133" i="22" s="1"/>
  <c r="G69" i="22" a="1"/>
  <c r="G69" i="22" s="1"/>
  <c r="G133" i="22" s="1"/>
  <c r="F69" i="22" a="1"/>
  <c r="F69" i="22" s="1"/>
  <c r="F133" i="22" s="1"/>
  <c r="E69" i="22" a="1"/>
  <c r="E69" i="22" s="1"/>
  <c r="E133" i="22" s="1"/>
  <c r="D69" i="22" a="1"/>
  <c r="D69" i="22" s="1"/>
  <c r="P68" i="22" a="1"/>
  <c r="P68" i="22" s="1"/>
  <c r="P132" i="22" s="1"/>
  <c r="O68" i="22" a="1"/>
  <c r="O68" i="22" s="1"/>
  <c r="O132" i="22" s="1"/>
  <c r="N68" i="22" a="1"/>
  <c r="N68" i="22" s="1"/>
  <c r="N132" i="22" s="1"/>
  <c r="M68" i="22" a="1"/>
  <c r="M68" i="22" s="1"/>
  <c r="M132" i="22" s="1"/>
  <c r="L68" i="22" a="1"/>
  <c r="L68" i="22" s="1"/>
  <c r="L132" i="22" s="1"/>
  <c r="K68" i="22" a="1"/>
  <c r="K68" i="22" s="1"/>
  <c r="K132" i="22" s="1"/>
  <c r="J68" i="22" a="1"/>
  <c r="J68" i="22" s="1"/>
  <c r="J132" i="22" s="1"/>
  <c r="I68" i="22" a="1"/>
  <c r="I68" i="22" s="1"/>
  <c r="I132" i="22" s="1"/>
  <c r="H68" i="22" a="1"/>
  <c r="H68" i="22" s="1"/>
  <c r="H132" i="22" s="1"/>
  <c r="G68" i="22" a="1"/>
  <c r="G68" i="22" s="1"/>
  <c r="G132" i="22" s="1"/>
  <c r="F68" i="22" a="1"/>
  <c r="F68" i="22" s="1"/>
  <c r="F132" i="22" s="1"/>
  <c r="E68" i="22" a="1"/>
  <c r="E68" i="22" s="1"/>
  <c r="E132" i="22" s="1"/>
  <c r="D68" i="22" a="1"/>
  <c r="D68" i="22" s="1"/>
  <c r="P67" i="22" a="1"/>
  <c r="P67" i="22" s="1"/>
  <c r="P131" i="22" s="1"/>
  <c r="O67" i="22" a="1"/>
  <c r="O67" i="22" s="1"/>
  <c r="O131" i="22" s="1"/>
  <c r="N67" i="22" a="1"/>
  <c r="N67" i="22" s="1"/>
  <c r="N131" i="22" s="1"/>
  <c r="M67" i="22" a="1"/>
  <c r="M67" i="22" s="1"/>
  <c r="M131" i="22" s="1"/>
  <c r="L67" i="22" a="1"/>
  <c r="L67" i="22" s="1"/>
  <c r="L131" i="22" s="1"/>
  <c r="K67" i="22" a="1"/>
  <c r="K67" i="22" s="1"/>
  <c r="K131" i="22" s="1"/>
  <c r="J67" i="22" a="1"/>
  <c r="J67" i="22" s="1"/>
  <c r="J131" i="22" s="1"/>
  <c r="I67" i="22" a="1"/>
  <c r="I67" i="22" s="1"/>
  <c r="I131" i="22" s="1"/>
  <c r="H67" i="22" a="1"/>
  <c r="H67" i="22" s="1"/>
  <c r="H131" i="22" s="1"/>
  <c r="G67" i="22" a="1"/>
  <c r="G67" i="22" s="1"/>
  <c r="G131" i="22" s="1"/>
  <c r="F67" i="22" a="1"/>
  <c r="F67" i="22" s="1"/>
  <c r="F131" i="22" s="1"/>
  <c r="E67" i="22" a="1"/>
  <c r="E67" i="22" s="1"/>
  <c r="E131" i="22" s="1"/>
  <c r="D67" i="22" a="1"/>
  <c r="D67" i="22" s="1"/>
  <c r="P66" i="22" a="1"/>
  <c r="P66" i="22" s="1"/>
  <c r="P130" i="22" s="1"/>
  <c r="O66" i="22" a="1"/>
  <c r="O66" i="22" s="1"/>
  <c r="O130" i="22" s="1"/>
  <c r="N66" i="22" a="1"/>
  <c r="N66" i="22" s="1"/>
  <c r="N130" i="22" s="1"/>
  <c r="M66" i="22" a="1"/>
  <c r="M66" i="22" s="1"/>
  <c r="M130" i="22" s="1"/>
  <c r="L66" i="22" a="1"/>
  <c r="L66" i="22" s="1"/>
  <c r="L130" i="22" s="1"/>
  <c r="K66" i="22" a="1"/>
  <c r="K66" i="22" s="1"/>
  <c r="K130" i="22" s="1"/>
  <c r="J66" i="22" a="1"/>
  <c r="J66" i="22" s="1"/>
  <c r="J130" i="22" s="1"/>
  <c r="I66" i="22" a="1"/>
  <c r="I66" i="22" s="1"/>
  <c r="I130" i="22" s="1"/>
  <c r="H66" i="22" a="1"/>
  <c r="H66" i="22" s="1"/>
  <c r="H130" i="22" s="1"/>
  <c r="G66" i="22" a="1"/>
  <c r="G66" i="22" s="1"/>
  <c r="G130" i="22" s="1"/>
  <c r="F66" i="22" a="1"/>
  <c r="F66" i="22" s="1"/>
  <c r="F130" i="22" s="1"/>
  <c r="E66" i="22" a="1"/>
  <c r="E66" i="22" s="1"/>
  <c r="E130" i="22" s="1"/>
  <c r="D66" i="22" a="1"/>
  <c r="D66" i="22" s="1"/>
  <c r="P65" i="22" a="1"/>
  <c r="P65" i="22" s="1"/>
  <c r="P129" i="22" s="1"/>
  <c r="O65" i="22" a="1"/>
  <c r="O65" i="22" s="1"/>
  <c r="O129" i="22" s="1"/>
  <c r="N65" i="22" a="1"/>
  <c r="N65" i="22" s="1"/>
  <c r="N129" i="22" s="1"/>
  <c r="M65" i="22" a="1"/>
  <c r="M65" i="22" s="1"/>
  <c r="M129" i="22" s="1"/>
  <c r="L65" i="22" a="1"/>
  <c r="L65" i="22" s="1"/>
  <c r="L129" i="22" s="1"/>
  <c r="K65" i="22" a="1"/>
  <c r="K65" i="22" s="1"/>
  <c r="K129" i="22" s="1"/>
  <c r="J65" i="22" a="1"/>
  <c r="J65" i="22" s="1"/>
  <c r="J129" i="22" s="1"/>
  <c r="I65" i="22" a="1"/>
  <c r="I65" i="22" s="1"/>
  <c r="I129" i="22" s="1"/>
  <c r="H65" i="22" a="1"/>
  <c r="H65" i="22" s="1"/>
  <c r="H129" i="22" s="1"/>
  <c r="G65" i="22" a="1"/>
  <c r="G65" i="22" s="1"/>
  <c r="G129" i="22" s="1"/>
  <c r="F65" i="22" a="1"/>
  <c r="F65" i="22" s="1"/>
  <c r="F129" i="22" s="1"/>
  <c r="E65" i="22" a="1"/>
  <c r="E65" i="22" s="1"/>
  <c r="E129" i="22" s="1"/>
  <c r="D65" i="22" a="1"/>
  <c r="D65" i="22" s="1"/>
  <c r="P64" i="22" a="1"/>
  <c r="P64" i="22" s="1"/>
  <c r="P128" i="22" s="1"/>
  <c r="O64" i="22" a="1"/>
  <c r="O64" i="22" s="1"/>
  <c r="O128" i="22" s="1"/>
  <c r="N64" i="22" a="1"/>
  <c r="N64" i="22" s="1"/>
  <c r="N128" i="22" s="1"/>
  <c r="M64" i="22" a="1"/>
  <c r="M64" i="22" s="1"/>
  <c r="M128" i="22" s="1"/>
  <c r="L64" i="22" a="1"/>
  <c r="L64" i="22" s="1"/>
  <c r="L128" i="22" s="1"/>
  <c r="K64" i="22" a="1"/>
  <c r="K64" i="22" s="1"/>
  <c r="K128" i="22" s="1"/>
  <c r="J64" i="22" a="1"/>
  <c r="J64" i="22" s="1"/>
  <c r="J128" i="22" s="1"/>
  <c r="I64" i="22" a="1"/>
  <c r="I64" i="22" s="1"/>
  <c r="I128" i="22" s="1"/>
  <c r="H64" i="22" a="1"/>
  <c r="H64" i="22" s="1"/>
  <c r="H128" i="22" s="1"/>
  <c r="G64" i="22" a="1"/>
  <c r="G64" i="22" s="1"/>
  <c r="G128" i="22" s="1"/>
  <c r="F64" i="22" a="1"/>
  <c r="F64" i="22" s="1"/>
  <c r="F128" i="22" s="1"/>
  <c r="E64" i="22" a="1"/>
  <c r="E64" i="22" s="1"/>
  <c r="E128" i="22" s="1"/>
  <c r="D64" i="22" a="1"/>
  <c r="D64" i="22" s="1"/>
  <c r="P63" i="22" a="1"/>
  <c r="P63" i="22" s="1"/>
  <c r="P127" i="22" s="1"/>
  <c r="O63" i="22" a="1"/>
  <c r="O63" i="22" s="1"/>
  <c r="O127" i="22" s="1"/>
  <c r="N63" i="22" a="1"/>
  <c r="N63" i="22" s="1"/>
  <c r="N127" i="22" s="1"/>
  <c r="M63" i="22" a="1"/>
  <c r="M63" i="22" s="1"/>
  <c r="M127" i="22" s="1"/>
  <c r="L63" i="22" a="1"/>
  <c r="L63" i="22" s="1"/>
  <c r="L127" i="22" s="1"/>
  <c r="K63" i="22" a="1"/>
  <c r="K63" i="22" s="1"/>
  <c r="K127" i="22" s="1"/>
  <c r="J63" i="22" a="1"/>
  <c r="J63" i="22" s="1"/>
  <c r="J127" i="22" s="1"/>
  <c r="I63" i="22" a="1"/>
  <c r="I63" i="22" s="1"/>
  <c r="I127" i="22" s="1"/>
  <c r="H63" i="22" a="1"/>
  <c r="H63" i="22" s="1"/>
  <c r="H127" i="22" s="1"/>
  <c r="G63" i="22" a="1"/>
  <c r="G63" i="22" s="1"/>
  <c r="G127" i="22" s="1"/>
  <c r="F63" i="22" a="1"/>
  <c r="F63" i="22" s="1"/>
  <c r="F127" i="22" s="1"/>
  <c r="E63" i="22" a="1"/>
  <c r="E63" i="22" s="1"/>
  <c r="E127" i="22" s="1"/>
  <c r="D63" i="22" a="1"/>
  <c r="D63" i="22" s="1"/>
  <c r="P62" i="22" a="1"/>
  <c r="P62" i="22" s="1"/>
  <c r="P126" i="22" s="1"/>
  <c r="O62" i="22" a="1"/>
  <c r="O62" i="22" s="1"/>
  <c r="O126" i="22" s="1"/>
  <c r="N62" i="22" a="1"/>
  <c r="N62" i="22" s="1"/>
  <c r="N126" i="22" s="1"/>
  <c r="M62" i="22" a="1"/>
  <c r="M62" i="22" s="1"/>
  <c r="M126" i="22" s="1"/>
  <c r="L62" i="22" a="1"/>
  <c r="L62" i="22" s="1"/>
  <c r="L126" i="22" s="1"/>
  <c r="K62" i="22" a="1"/>
  <c r="K62" i="22" s="1"/>
  <c r="K126" i="22" s="1"/>
  <c r="J62" i="22" a="1"/>
  <c r="J62" i="22" s="1"/>
  <c r="J126" i="22" s="1"/>
  <c r="I62" i="22" a="1"/>
  <c r="I62" i="22" s="1"/>
  <c r="I126" i="22" s="1"/>
  <c r="H62" i="22" a="1"/>
  <c r="H62" i="22" s="1"/>
  <c r="H126" i="22" s="1"/>
  <c r="G62" i="22" a="1"/>
  <c r="G62" i="22" s="1"/>
  <c r="G126" i="22" s="1"/>
  <c r="F62" i="22" a="1"/>
  <c r="F62" i="22" s="1"/>
  <c r="F126" i="22" s="1"/>
  <c r="E62" i="22" a="1"/>
  <c r="E62" i="22" s="1"/>
  <c r="E126" i="22" s="1"/>
  <c r="D62" i="22" a="1"/>
  <c r="D62" i="22" s="1"/>
  <c r="P61" i="22" a="1"/>
  <c r="P61" i="22" s="1"/>
  <c r="P125" i="22" s="1"/>
  <c r="O61" i="22" a="1"/>
  <c r="O61" i="22" s="1"/>
  <c r="O125" i="22" s="1"/>
  <c r="N61" i="22" a="1"/>
  <c r="N61" i="22" s="1"/>
  <c r="N125" i="22" s="1"/>
  <c r="M61" i="22" a="1"/>
  <c r="M61" i="22" s="1"/>
  <c r="M125" i="22" s="1"/>
  <c r="L61" i="22" a="1"/>
  <c r="L61" i="22" s="1"/>
  <c r="L125" i="22" s="1"/>
  <c r="K61" i="22" a="1"/>
  <c r="K61" i="22" s="1"/>
  <c r="K125" i="22" s="1"/>
  <c r="J61" i="22" a="1"/>
  <c r="J61" i="22" s="1"/>
  <c r="J125" i="22" s="1"/>
  <c r="I61" i="22" a="1"/>
  <c r="I61" i="22" s="1"/>
  <c r="I125" i="22" s="1"/>
  <c r="H61" i="22" a="1"/>
  <c r="H61" i="22" s="1"/>
  <c r="H125" i="22" s="1"/>
  <c r="G61" i="22" a="1"/>
  <c r="G61" i="22" s="1"/>
  <c r="G125" i="22" s="1"/>
  <c r="F61" i="22" a="1"/>
  <c r="F61" i="22" s="1"/>
  <c r="F125" i="22" s="1"/>
  <c r="E61" i="22" a="1"/>
  <c r="E61" i="22" s="1"/>
  <c r="E125" i="22" s="1"/>
  <c r="D61" i="22" a="1"/>
  <c r="D61" i="22" s="1"/>
  <c r="P60" i="22" a="1"/>
  <c r="P60" i="22" s="1"/>
  <c r="P124" i="22" s="1"/>
  <c r="O60" i="22" a="1"/>
  <c r="O60" i="22" s="1"/>
  <c r="O124" i="22" s="1"/>
  <c r="N60" i="22" a="1"/>
  <c r="N60" i="22" s="1"/>
  <c r="N124" i="22" s="1"/>
  <c r="M60" i="22" a="1"/>
  <c r="M60" i="22" s="1"/>
  <c r="M124" i="22" s="1"/>
  <c r="L60" i="22" a="1"/>
  <c r="L60" i="22" s="1"/>
  <c r="L124" i="22" s="1"/>
  <c r="K60" i="22" a="1"/>
  <c r="K60" i="22" s="1"/>
  <c r="K124" i="22" s="1"/>
  <c r="J60" i="22" a="1"/>
  <c r="J60" i="22" s="1"/>
  <c r="J124" i="22" s="1"/>
  <c r="I60" i="22" a="1"/>
  <c r="I60" i="22" s="1"/>
  <c r="I124" i="22" s="1"/>
  <c r="H60" i="22" a="1"/>
  <c r="H60" i="22" s="1"/>
  <c r="H124" i="22" s="1"/>
  <c r="G60" i="22" a="1"/>
  <c r="G60" i="22" s="1"/>
  <c r="G124" i="22" s="1"/>
  <c r="F60" i="22" a="1"/>
  <c r="F60" i="22" s="1"/>
  <c r="F124" i="22" s="1"/>
  <c r="E60" i="22" a="1"/>
  <c r="E60" i="22" s="1"/>
  <c r="E124" i="22" s="1"/>
  <c r="D60" i="22" a="1"/>
  <c r="D60" i="22" s="1"/>
  <c r="P59" i="22" a="1"/>
  <c r="P59" i="22" s="1"/>
  <c r="P123" i="22" s="1"/>
  <c r="O59" i="22" a="1"/>
  <c r="O59" i="22" s="1"/>
  <c r="O123" i="22" s="1"/>
  <c r="N59" i="22" a="1"/>
  <c r="N59" i="22" s="1"/>
  <c r="N123" i="22" s="1"/>
  <c r="M59" i="22" a="1"/>
  <c r="M59" i="22" s="1"/>
  <c r="M123" i="22" s="1"/>
  <c r="L59" i="22" a="1"/>
  <c r="L59" i="22" s="1"/>
  <c r="L123" i="22" s="1"/>
  <c r="K59" i="22" a="1"/>
  <c r="K59" i="22" s="1"/>
  <c r="K123" i="22" s="1"/>
  <c r="J59" i="22" a="1"/>
  <c r="J59" i="22" s="1"/>
  <c r="J123" i="22" s="1"/>
  <c r="I59" i="22" a="1"/>
  <c r="I59" i="22" s="1"/>
  <c r="I123" i="22" s="1"/>
  <c r="H59" i="22" a="1"/>
  <c r="H59" i="22" s="1"/>
  <c r="H123" i="22" s="1"/>
  <c r="G59" i="22" a="1"/>
  <c r="G59" i="22" s="1"/>
  <c r="G123" i="22" s="1"/>
  <c r="F59" i="22" a="1"/>
  <c r="F59" i="22" s="1"/>
  <c r="F123" i="22" s="1"/>
  <c r="E59" i="22" a="1"/>
  <c r="E59" i="22" s="1"/>
  <c r="E123" i="22" s="1"/>
  <c r="D59" i="22" a="1"/>
  <c r="D59" i="22" s="1"/>
  <c r="P58" i="22" a="1"/>
  <c r="P58" i="22" s="1"/>
  <c r="P122" i="22" s="1"/>
  <c r="O58" i="22" a="1"/>
  <c r="O58" i="22" s="1"/>
  <c r="O122" i="22" s="1"/>
  <c r="N58" i="22" a="1"/>
  <c r="N58" i="22" s="1"/>
  <c r="N122" i="22" s="1"/>
  <c r="M58" i="22" a="1"/>
  <c r="M58" i="22" s="1"/>
  <c r="M122" i="22" s="1"/>
  <c r="L58" i="22" a="1"/>
  <c r="L58" i="22" s="1"/>
  <c r="L122" i="22" s="1"/>
  <c r="K58" i="22" a="1"/>
  <c r="K58" i="22" s="1"/>
  <c r="K122" i="22" s="1"/>
  <c r="J58" i="22" a="1"/>
  <c r="J58" i="22" s="1"/>
  <c r="J122" i="22" s="1"/>
  <c r="I58" i="22" a="1"/>
  <c r="I58" i="22" s="1"/>
  <c r="I122" i="22" s="1"/>
  <c r="H58" i="22" a="1"/>
  <c r="H58" i="22" s="1"/>
  <c r="H122" i="22" s="1"/>
  <c r="G58" i="22" a="1"/>
  <c r="G58" i="22" s="1"/>
  <c r="G122" i="22" s="1"/>
  <c r="F58" i="22" a="1"/>
  <c r="F58" i="22" s="1"/>
  <c r="F122" i="22" s="1"/>
  <c r="E58" i="22" a="1"/>
  <c r="E58" i="22" s="1"/>
  <c r="E122" i="22" s="1"/>
  <c r="D58" i="22" a="1"/>
  <c r="D58" i="22" s="1"/>
  <c r="P57" i="22" a="1"/>
  <c r="P57" i="22" s="1"/>
  <c r="P121" i="22" s="1"/>
  <c r="O57" i="22" a="1"/>
  <c r="O57" i="22" s="1"/>
  <c r="O121" i="22" s="1"/>
  <c r="N57" i="22" a="1"/>
  <c r="N57" i="22" s="1"/>
  <c r="N121" i="22" s="1"/>
  <c r="M57" i="22" a="1"/>
  <c r="M57" i="22" s="1"/>
  <c r="M121" i="22" s="1"/>
  <c r="L57" i="22" a="1"/>
  <c r="L57" i="22" s="1"/>
  <c r="L121" i="22" s="1"/>
  <c r="K57" i="22" a="1"/>
  <c r="K57" i="22" s="1"/>
  <c r="K121" i="22" s="1"/>
  <c r="J57" i="22" a="1"/>
  <c r="J57" i="22" s="1"/>
  <c r="J121" i="22" s="1"/>
  <c r="I57" i="22" a="1"/>
  <c r="I57" i="22" s="1"/>
  <c r="I121" i="22" s="1"/>
  <c r="H57" i="22" a="1"/>
  <c r="H57" i="22" s="1"/>
  <c r="H121" i="22" s="1"/>
  <c r="G57" i="22" a="1"/>
  <c r="G57" i="22" s="1"/>
  <c r="G121" i="22" s="1"/>
  <c r="F57" i="22" a="1"/>
  <c r="F57" i="22" s="1"/>
  <c r="F121" i="22" s="1"/>
  <c r="E57" i="22" a="1"/>
  <c r="E57" i="22" s="1"/>
  <c r="E121" i="22" s="1"/>
  <c r="D57" i="22" a="1"/>
  <c r="D57" i="22" s="1"/>
  <c r="P56" i="22" a="1"/>
  <c r="P56" i="22" s="1"/>
  <c r="P120" i="22" s="1"/>
  <c r="O56" i="22" a="1"/>
  <c r="O56" i="22" s="1"/>
  <c r="O120" i="22" s="1"/>
  <c r="N56" i="22" a="1"/>
  <c r="N56" i="22" s="1"/>
  <c r="N120" i="22" s="1"/>
  <c r="M56" i="22" a="1"/>
  <c r="M56" i="22" s="1"/>
  <c r="M120" i="22" s="1"/>
  <c r="L56" i="22" a="1"/>
  <c r="L56" i="22" s="1"/>
  <c r="L120" i="22" s="1"/>
  <c r="K56" i="22" a="1"/>
  <c r="K56" i="22" s="1"/>
  <c r="K120" i="22" s="1"/>
  <c r="J56" i="22" a="1"/>
  <c r="J56" i="22" s="1"/>
  <c r="J120" i="22" s="1"/>
  <c r="I56" i="22" a="1"/>
  <c r="I56" i="22" s="1"/>
  <c r="I120" i="22" s="1"/>
  <c r="H56" i="22" a="1"/>
  <c r="H56" i="22" s="1"/>
  <c r="H120" i="22" s="1"/>
  <c r="G56" i="22" a="1"/>
  <c r="G56" i="22" s="1"/>
  <c r="G120" i="22" s="1"/>
  <c r="F56" i="22" a="1"/>
  <c r="F56" i="22" s="1"/>
  <c r="F120" i="22" s="1"/>
  <c r="E56" i="22" a="1"/>
  <c r="E56" i="22" s="1"/>
  <c r="E120" i="22" s="1"/>
  <c r="D56" i="22" a="1"/>
  <c r="D56" i="22" s="1"/>
  <c r="P55" i="22" a="1"/>
  <c r="P55" i="22" s="1"/>
  <c r="P119" i="22" s="1"/>
  <c r="O55" i="22" a="1"/>
  <c r="O55" i="22" s="1"/>
  <c r="O119" i="22" s="1"/>
  <c r="N55" i="22" a="1"/>
  <c r="N55" i="22" s="1"/>
  <c r="N119" i="22" s="1"/>
  <c r="M55" i="22" a="1"/>
  <c r="M55" i="22" s="1"/>
  <c r="M119" i="22" s="1"/>
  <c r="L55" i="22" a="1"/>
  <c r="L55" i="22" s="1"/>
  <c r="L119" i="22" s="1"/>
  <c r="K55" i="22" a="1"/>
  <c r="K55" i="22" s="1"/>
  <c r="K119" i="22" s="1"/>
  <c r="J55" i="22" a="1"/>
  <c r="J55" i="22" s="1"/>
  <c r="J119" i="22" s="1"/>
  <c r="I55" i="22" a="1"/>
  <c r="I55" i="22" s="1"/>
  <c r="I119" i="22" s="1"/>
  <c r="H55" i="22" a="1"/>
  <c r="H55" i="22" s="1"/>
  <c r="H119" i="22" s="1"/>
  <c r="G55" i="22" a="1"/>
  <c r="G55" i="22" s="1"/>
  <c r="G119" i="22" s="1"/>
  <c r="F55" i="22" a="1"/>
  <c r="F55" i="22" s="1"/>
  <c r="F119" i="22" s="1"/>
  <c r="E55" i="22" a="1"/>
  <c r="E55" i="22" s="1"/>
  <c r="E119" i="22" s="1"/>
  <c r="D55" i="22" a="1"/>
  <c r="D55" i="22" s="1"/>
  <c r="P54" i="22" a="1"/>
  <c r="P54" i="22" s="1"/>
  <c r="P118" i="22" s="1"/>
  <c r="O54" i="22" a="1"/>
  <c r="O54" i="22" s="1"/>
  <c r="O118" i="22" s="1"/>
  <c r="N54" i="22" a="1"/>
  <c r="N54" i="22" s="1"/>
  <c r="N118" i="22" s="1"/>
  <c r="M54" i="22" a="1"/>
  <c r="M54" i="22" s="1"/>
  <c r="M118" i="22" s="1"/>
  <c r="L54" i="22" a="1"/>
  <c r="L54" i="22" s="1"/>
  <c r="L118" i="22" s="1"/>
  <c r="K54" i="22" a="1"/>
  <c r="K54" i="22" s="1"/>
  <c r="K118" i="22" s="1"/>
  <c r="J54" i="22" a="1"/>
  <c r="J54" i="22" s="1"/>
  <c r="J118" i="22" s="1"/>
  <c r="I54" i="22" a="1"/>
  <c r="I54" i="22" s="1"/>
  <c r="I118" i="22" s="1"/>
  <c r="H54" i="22" a="1"/>
  <c r="H54" i="22" s="1"/>
  <c r="H118" i="22" s="1"/>
  <c r="G54" i="22" a="1"/>
  <c r="G54" i="22" s="1"/>
  <c r="G118" i="22" s="1"/>
  <c r="F54" i="22" a="1"/>
  <c r="F54" i="22" s="1"/>
  <c r="F118" i="22" s="1"/>
  <c r="E54" i="22" a="1"/>
  <c r="E54" i="22" s="1"/>
  <c r="E118" i="22" s="1"/>
  <c r="D54" i="22" a="1"/>
  <c r="D54" i="22" s="1"/>
  <c r="D52" i="22" a="1"/>
  <c r="D52" i="22" s="1"/>
  <c r="D51" i="22" a="1"/>
  <c r="D51" i="22" s="1"/>
  <c r="D50" i="22" a="1"/>
  <c r="D50" i="22" s="1"/>
  <c r="D49" i="22" a="1"/>
  <c r="D49" i="22" s="1"/>
  <c r="M46" i="22" a="1"/>
  <c r="M46" i="22" s="1"/>
  <c r="L46" i="22" a="1"/>
  <c r="L46" i="22" s="1"/>
  <c r="M117" i="22" s="1"/>
  <c r="K46" i="22" a="1"/>
  <c r="K46" i="22" s="1"/>
  <c r="J46" i="22" a="1"/>
  <c r="J46" i="22" s="1"/>
  <c r="J117" i="22" s="1"/>
  <c r="I46" i="22" a="1"/>
  <c r="I46" i="22" s="1"/>
  <c r="I117" i="22" s="1"/>
  <c r="H46" i="22" a="1"/>
  <c r="H46" i="22" s="1"/>
  <c r="H117" i="22" s="1"/>
  <c r="G46" i="22" a="1"/>
  <c r="G46" i="22" s="1"/>
  <c r="G117" i="22" s="1"/>
  <c r="F46" i="22" a="1"/>
  <c r="F46" i="22" s="1"/>
  <c r="F117" i="22" s="1"/>
  <c r="E46" i="22" a="1"/>
  <c r="E46" i="22" s="1"/>
  <c r="E117" i="22" s="1"/>
  <c r="D46" i="22" a="1"/>
  <c r="D46" i="22" s="1"/>
  <c r="M45" i="22" a="1"/>
  <c r="M45" i="22" s="1"/>
  <c r="L45" i="22" a="1"/>
  <c r="L45" i="22" s="1"/>
  <c r="M116" i="22" s="1"/>
  <c r="K45" i="22" a="1"/>
  <c r="K45" i="22" s="1"/>
  <c r="L116" i="22" s="1"/>
  <c r="J45" i="22" a="1"/>
  <c r="J45" i="22" s="1"/>
  <c r="J116" i="22" s="1"/>
  <c r="I45" i="22" a="1"/>
  <c r="I45" i="22" s="1"/>
  <c r="I116" i="22" s="1"/>
  <c r="H45" i="22" a="1"/>
  <c r="H45" i="22" s="1"/>
  <c r="H116" i="22" s="1"/>
  <c r="G45" i="22" a="1"/>
  <c r="G45" i="22" s="1"/>
  <c r="G116" i="22" s="1"/>
  <c r="F45" i="22" a="1"/>
  <c r="F45" i="22" s="1"/>
  <c r="F116" i="22" s="1"/>
  <c r="E45" i="22" a="1"/>
  <c r="E45" i="22" s="1"/>
  <c r="E116" i="22" s="1"/>
  <c r="D45" i="22" a="1"/>
  <c r="D45" i="22" s="1"/>
  <c r="M44" i="22" a="1"/>
  <c r="M44" i="22" s="1"/>
  <c r="L44" i="22" a="1"/>
  <c r="L44" i="22" s="1"/>
  <c r="M115" i="22" s="1"/>
  <c r="K44" i="22" a="1"/>
  <c r="K44" i="22" s="1"/>
  <c r="J44" i="22" a="1"/>
  <c r="J44" i="22" s="1"/>
  <c r="J115" i="22" s="1"/>
  <c r="I44" i="22" a="1"/>
  <c r="I44" i="22" s="1"/>
  <c r="I115" i="22" s="1"/>
  <c r="H44" i="22" a="1"/>
  <c r="H44" i="22" s="1"/>
  <c r="H115" i="22" s="1"/>
  <c r="G44" i="22" a="1"/>
  <c r="G44" i="22" s="1"/>
  <c r="G115" i="22" s="1"/>
  <c r="F44" i="22" a="1"/>
  <c r="F44" i="22" s="1"/>
  <c r="F115" i="22" s="1"/>
  <c r="E44" i="22" a="1"/>
  <c r="E44" i="22" s="1"/>
  <c r="E115" i="22" s="1"/>
  <c r="D44" i="22" a="1"/>
  <c r="D44" i="22" s="1"/>
  <c r="M43" i="22" a="1"/>
  <c r="M43" i="22" s="1"/>
  <c r="L43" i="22" a="1"/>
  <c r="L43" i="22" s="1"/>
  <c r="M114" i="22" s="1"/>
  <c r="K43" i="22" a="1"/>
  <c r="K43" i="22" s="1"/>
  <c r="J43" i="22" a="1"/>
  <c r="J43" i="22" s="1"/>
  <c r="J114" i="22" s="1"/>
  <c r="I43" i="22" a="1"/>
  <c r="I43" i="22" s="1"/>
  <c r="I114" i="22" s="1"/>
  <c r="H43" i="22" a="1"/>
  <c r="H43" i="22" s="1"/>
  <c r="H114" i="22" s="1"/>
  <c r="G43" i="22" a="1"/>
  <c r="G43" i="22" s="1"/>
  <c r="G114" i="22" s="1"/>
  <c r="F43" i="22" a="1"/>
  <c r="F43" i="22" s="1"/>
  <c r="F114" i="22" s="1"/>
  <c r="E43" i="22" a="1"/>
  <c r="E43" i="22" s="1"/>
  <c r="E114" i="22" s="1"/>
  <c r="D43" i="22" a="1"/>
  <c r="D43" i="22" s="1"/>
  <c r="M42" i="22" a="1"/>
  <c r="M42" i="22" s="1"/>
  <c r="L42" i="22" a="1"/>
  <c r="L42" i="22" s="1"/>
  <c r="M113" i="22" s="1"/>
  <c r="K42" i="22" a="1"/>
  <c r="K42" i="22" s="1"/>
  <c r="J42" i="22" a="1"/>
  <c r="J42" i="22" s="1"/>
  <c r="J113" i="22" s="1"/>
  <c r="I42" i="22" a="1"/>
  <c r="I42" i="22" s="1"/>
  <c r="I113" i="22" s="1"/>
  <c r="H42" i="22" a="1"/>
  <c r="H42" i="22" s="1"/>
  <c r="H113" i="22" s="1"/>
  <c r="G42" i="22" a="1"/>
  <c r="G42" i="22" s="1"/>
  <c r="G113" i="22" s="1"/>
  <c r="F42" i="22" a="1"/>
  <c r="F42" i="22" s="1"/>
  <c r="F113" i="22" s="1"/>
  <c r="E42" i="22" a="1"/>
  <c r="E42" i="22" s="1"/>
  <c r="E113" i="22" s="1"/>
  <c r="D42" i="22" a="1"/>
  <c r="D42" i="22" s="1"/>
  <c r="M41" i="22" a="1"/>
  <c r="M41" i="22" s="1"/>
  <c r="L41" i="22" a="1"/>
  <c r="L41" i="22" s="1"/>
  <c r="M112" i="22" s="1"/>
  <c r="K41" i="22" a="1"/>
  <c r="K41" i="22" s="1"/>
  <c r="J41" i="22" a="1"/>
  <c r="J41" i="22" s="1"/>
  <c r="J112" i="22" s="1"/>
  <c r="I41" i="22" a="1"/>
  <c r="I41" i="22" s="1"/>
  <c r="I112" i="22" s="1"/>
  <c r="H41" i="22" a="1"/>
  <c r="H41" i="22" s="1"/>
  <c r="H112" i="22" s="1"/>
  <c r="G41" i="22" a="1"/>
  <c r="G41" i="22" s="1"/>
  <c r="G112" i="22" s="1"/>
  <c r="F41" i="22" a="1"/>
  <c r="F41" i="22" s="1"/>
  <c r="F112" i="22" s="1"/>
  <c r="E41" i="22" a="1"/>
  <c r="E41" i="22" s="1"/>
  <c r="E112" i="22" s="1"/>
  <c r="D41" i="22" a="1"/>
  <c r="D41" i="22" s="1"/>
  <c r="M40" i="22" a="1"/>
  <c r="M40" i="22" s="1"/>
  <c r="L40" i="22" a="1"/>
  <c r="L40" i="22" s="1"/>
  <c r="M111" i="22" s="1"/>
  <c r="K40" i="22" a="1"/>
  <c r="K40" i="22" s="1"/>
  <c r="J40" i="22" a="1"/>
  <c r="J40" i="22" s="1"/>
  <c r="J111" i="22" s="1"/>
  <c r="I40" i="22" a="1"/>
  <c r="I40" i="22" s="1"/>
  <c r="I111" i="22" s="1"/>
  <c r="H40" i="22" a="1"/>
  <c r="H40" i="22" s="1"/>
  <c r="H111" i="22" s="1"/>
  <c r="G40" i="22" a="1"/>
  <c r="G40" i="22" s="1"/>
  <c r="G111" i="22" s="1"/>
  <c r="F40" i="22" a="1"/>
  <c r="F40" i="22" s="1"/>
  <c r="F111" i="22" s="1"/>
  <c r="E40" i="22" a="1"/>
  <c r="E40" i="22" s="1"/>
  <c r="E111" i="22" s="1"/>
  <c r="D40" i="22" a="1"/>
  <c r="D40" i="22" s="1"/>
  <c r="M39" i="22" a="1"/>
  <c r="M39" i="22" s="1"/>
  <c r="O110" i="22" s="1"/>
  <c r="L39" i="22" a="1"/>
  <c r="L39" i="22" s="1"/>
  <c r="M110" i="22" s="1"/>
  <c r="K39" i="22" a="1"/>
  <c r="K39" i="22" s="1"/>
  <c r="J39" i="22" a="1"/>
  <c r="J39" i="22" s="1"/>
  <c r="J110" i="22" s="1"/>
  <c r="I39" i="22" a="1"/>
  <c r="I39" i="22" s="1"/>
  <c r="I110" i="22" s="1"/>
  <c r="H39" i="22" a="1"/>
  <c r="H39" i="22" s="1"/>
  <c r="H110" i="22" s="1"/>
  <c r="G39" i="22" a="1"/>
  <c r="G39" i="22" s="1"/>
  <c r="G110" i="22" s="1"/>
  <c r="F39" i="22" a="1"/>
  <c r="F39" i="22" s="1"/>
  <c r="F110" i="22" s="1"/>
  <c r="E39" i="22" a="1"/>
  <c r="E39" i="22" s="1"/>
  <c r="E110" i="22" s="1"/>
  <c r="D39" i="22" a="1"/>
  <c r="D39" i="22" s="1"/>
  <c r="M38" i="22" a="1"/>
  <c r="M38" i="22" s="1"/>
  <c r="L38" i="22" a="1"/>
  <c r="L38" i="22" s="1"/>
  <c r="M109" i="22" s="1"/>
  <c r="K38" i="22" a="1"/>
  <c r="K38" i="22" s="1"/>
  <c r="L109" i="22" s="1"/>
  <c r="J38" i="22" a="1"/>
  <c r="J38" i="22" s="1"/>
  <c r="J109" i="22" s="1"/>
  <c r="I38" i="22" a="1"/>
  <c r="I38" i="22" s="1"/>
  <c r="I109" i="22" s="1"/>
  <c r="H38" i="22" a="1"/>
  <c r="H38" i="22" s="1"/>
  <c r="H109" i="22" s="1"/>
  <c r="G38" i="22" a="1"/>
  <c r="G38" i="22" s="1"/>
  <c r="G109" i="22" s="1"/>
  <c r="F38" i="22" a="1"/>
  <c r="F38" i="22" s="1"/>
  <c r="F109" i="22" s="1"/>
  <c r="E38" i="22" a="1"/>
  <c r="E38" i="22" s="1"/>
  <c r="E109" i="22" s="1"/>
  <c r="D38" i="22" a="1"/>
  <c r="D38" i="22" s="1"/>
  <c r="M37" i="22" a="1"/>
  <c r="M37" i="22" s="1"/>
  <c r="L37" i="22" a="1"/>
  <c r="L37" i="22" s="1"/>
  <c r="M108" i="22" s="1"/>
  <c r="K37" i="22" a="1"/>
  <c r="K37" i="22" s="1"/>
  <c r="J37" i="22" a="1"/>
  <c r="J37" i="22" s="1"/>
  <c r="J108" i="22" s="1"/>
  <c r="I37" i="22" a="1"/>
  <c r="I37" i="22" s="1"/>
  <c r="I108" i="22" s="1"/>
  <c r="H37" i="22" a="1"/>
  <c r="H37" i="22" s="1"/>
  <c r="H108" i="22" s="1"/>
  <c r="G37" i="22" a="1"/>
  <c r="G37" i="22" s="1"/>
  <c r="G108" i="22" s="1"/>
  <c r="F37" i="22" a="1"/>
  <c r="F37" i="22" s="1"/>
  <c r="F108" i="22" s="1"/>
  <c r="E37" i="22" a="1"/>
  <c r="E37" i="22" s="1"/>
  <c r="E108" i="22" s="1"/>
  <c r="D37" i="22" a="1"/>
  <c r="D37" i="22" s="1"/>
  <c r="M36" i="22" a="1"/>
  <c r="M36" i="22" s="1"/>
  <c r="L36" i="22" a="1"/>
  <c r="L36" i="22" s="1"/>
  <c r="M107" i="22" s="1"/>
  <c r="K36" i="22" a="1"/>
  <c r="K36" i="22" s="1"/>
  <c r="J36" i="22" a="1"/>
  <c r="J36" i="22" s="1"/>
  <c r="J107" i="22" s="1"/>
  <c r="I36" i="22" a="1"/>
  <c r="I36" i="22" s="1"/>
  <c r="I107" i="22" s="1"/>
  <c r="H36" i="22" a="1"/>
  <c r="H36" i="22" s="1"/>
  <c r="H107" i="22" s="1"/>
  <c r="G36" i="22" a="1"/>
  <c r="G36" i="22" s="1"/>
  <c r="G107" i="22" s="1"/>
  <c r="F36" i="22" a="1"/>
  <c r="F36" i="22" s="1"/>
  <c r="F107" i="22" s="1"/>
  <c r="E36" i="22" a="1"/>
  <c r="E36" i="22" s="1"/>
  <c r="E107" i="22" s="1"/>
  <c r="D36" i="22" a="1"/>
  <c r="D36" i="22" s="1"/>
  <c r="M35" i="22" a="1"/>
  <c r="M35" i="22" s="1"/>
  <c r="L35" i="22" a="1"/>
  <c r="L35" i="22" s="1"/>
  <c r="M106" i="22" s="1"/>
  <c r="K35" i="22" a="1"/>
  <c r="K35" i="22" s="1"/>
  <c r="J35" i="22" a="1"/>
  <c r="J35" i="22" s="1"/>
  <c r="J106" i="22" s="1"/>
  <c r="I35" i="22" a="1"/>
  <c r="I35" i="22" s="1"/>
  <c r="I106" i="22" s="1"/>
  <c r="H35" i="22" a="1"/>
  <c r="H35" i="22" s="1"/>
  <c r="H106" i="22" s="1"/>
  <c r="G35" i="22" a="1"/>
  <c r="G35" i="22" s="1"/>
  <c r="G106" i="22" s="1"/>
  <c r="F35" i="22" a="1"/>
  <c r="F35" i="22" s="1"/>
  <c r="E35" i="22" a="1"/>
  <c r="E35" i="22" s="1"/>
  <c r="E106" i="22" s="1"/>
  <c r="D35" i="22" a="1"/>
  <c r="D35" i="22" s="1"/>
  <c r="M34" i="22" a="1"/>
  <c r="M34" i="22" s="1"/>
  <c r="L34" i="22" a="1"/>
  <c r="L34" i="22" s="1"/>
  <c r="M105" i="22" s="1"/>
  <c r="K34" i="22" a="1"/>
  <c r="K34" i="22" s="1"/>
  <c r="J34" i="22" a="1"/>
  <c r="J34" i="22" s="1"/>
  <c r="J105" i="22" s="1"/>
  <c r="I34" i="22" a="1"/>
  <c r="I34" i="22" s="1"/>
  <c r="I105" i="22" s="1"/>
  <c r="H34" i="22" a="1"/>
  <c r="H34" i="22" s="1"/>
  <c r="H105" i="22" s="1"/>
  <c r="G34" i="22" a="1"/>
  <c r="G34" i="22" s="1"/>
  <c r="G105" i="22" s="1"/>
  <c r="F34" i="22" a="1"/>
  <c r="F34" i="22" s="1"/>
  <c r="E34" i="22" a="1"/>
  <c r="E34" i="22" s="1"/>
  <c r="D34" i="22" a="1"/>
  <c r="D34" i="22" s="1"/>
  <c r="M33" i="22" a="1"/>
  <c r="M33" i="22" s="1"/>
  <c r="L33" i="22" a="1"/>
  <c r="L33" i="22" s="1"/>
  <c r="M104" i="22" s="1"/>
  <c r="K33" i="22" a="1"/>
  <c r="K33" i="22" s="1"/>
  <c r="J33" i="22" a="1"/>
  <c r="J33" i="22" s="1"/>
  <c r="J104" i="22" s="1"/>
  <c r="I33" i="22" a="1"/>
  <c r="I33" i="22" s="1"/>
  <c r="I104" i="22" s="1"/>
  <c r="H33" i="22" a="1"/>
  <c r="H33" i="22" s="1"/>
  <c r="H104" i="22" s="1"/>
  <c r="G33" i="22" a="1"/>
  <c r="G33" i="22" s="1"/>
  <c r="G104" i="22" s="1"/>
  <c r="F33" i="22" a="1"/>
  <c r="F33" i="22" s="1"/>
  <c r="E33" i="22" a="1"/>
  <c r="E33" i="22" s="1"/>
  <c r="D33" i="22" a="1"/>
  <c r="D33" i="22" s="1"/>
  <c r="M32" i="22" a="1"/>
  <c r="M32" i="22" s="1"/>
  <c r="L32" i="22" a="1"/>
  <c r="L32" i="22" s="1"/>
  <c r="M103" i="22" s="1"/>
  <c r="K32" i="22" a="1"/>
  <c r="K32" i="22" s="1"/>
  <c r="J32" i="22" a="1"/>
  <c r="J32" i="22" s="1"/>
  <c r="J103" i="22" s="1"/>
  <c r="I32" i="22" a="1"/>
  <c r="I32" i="22" s="1"/>
  <c r="I103" i="22" s="1"/>
  <c r="H32" i="22" a="1"/>
  <c r="H32" i="22" s="1"/>
  <c r="H103" i="22" s="1"/>
  <c r="G32" i="22" a="1"/>
  <c r="G32" i="22" s="1"/>
  <c r="G103" i="22" s="1"/>
  <c r="F32" i="22" a="1"/>
  <c r="F32" i="22" s="1"/>
  <c r="E32" i="22" a="1"/>
  <c r="E32" i="22" s="1"/>
  <c r="D32" i="22" a="1"/>
  <c r="D32" i="22" s="1"/>
  <c r="M31" i="22" a="1"/>
  <c r="M31" i="22" s="1"/>
  <c r="L31" i="22" a="1"/>
  <c r="L31" i="22" s="1"/>
  <c r="M102" i="22" s="1"/>
  <c r="K31" i="22" a="1"/>
  <c r="K31" i="22" s="1"/>
  <c r="J31" i="22" a="1"/>
  <c r="J31" i="22" s="1"/>
  <c r="J102" i="22" s="1"/>
  <c r="I31" i="22" a="1"/>
  <c r="I31" i="22" s="1"/>
  <c r="I102" i="22" s="1"/>
  <c r="H31" i="22" a="1"/>
  <c r="H31" i="22" s="1"/>
  <c r="H102" i="22" s="1"/>
  <c r="G31" i="22" a="1"/>
  <c r="G31" i="22" s="1"/>
  <c r="G102" i="22" s="1"/>
  <c r="F31" i="22" a="1"/>
  <c r="F31" i="22" s="1"/>
  <c r="F98" i="22" s="1"/>
  <c r="E31" i="22" a="1"/>
  <c r="E31" i="22" s="1"/>
  <c r="D31" i="22" a="1"/>
  <c r="D31" i="22" s="1"/>
  <c r="M30" i="22" a="1"/>
  <c r="M30" i="22" s="1"/>
  <c r="L30" i="22" a="1"/>
  <c r="L30" i="22" s="1"/>
  <c r="M101" i="22" s="1"/>
  <c r="K30" i="22" a="1"/>
  <c r="K30" i="22" s="1"/>
  <c r="J30" i="22" a="1"/>
  <c r="J30" i="22" s="1"/>
  <c r="J101" i="22" s="1"/>
  <c r="I30" i="22" a="1"/>
  <c r="I30" i="22" s="1"/>
  <c r="I101" i="22" s="1"/>
  <c r="H30" i="22" a="1"/>
  <c r="H30" i="22" s="1"/>
  <c r="H101" i="22" s="1"/>
  <c r="G30" i="22" a="1"/>
  <c r="G30" i="22" s="1"/>
  <c r="G101" i="22" s="1"/>
  <c r="F30" i="22" a="1"/>
  <c r="F30" i="22" s="1"/>
  <c r="E30" i="22" a="1"/>
  <c r="E30" i="22" s="1"/>
  <c r="D30" i="22" a="1"/>
  <c r="D30" i="22" s="1"/>
  <c r="M29" i="22" a="1"/>
  <c r="M29" i="22" s="1"/>
  <c r="L29" i="22" a="1"/>
  <c r="L29" i="22" s="1"/>
  <c r="M100" i="22" s="1"/>
  <c r="K29" i="22" a="1"/>
  <c r="K29" i="22" s="1"/>
  <c r="J29" i="22" a="1"/>
  <c r="J29" i="22" s="1"/>
  <c r="J100" i="22" s="1"/>
  <c r="I29" i="22" a="1"/>
  <c r="I29" i="22" s="1"/>
  <c r="I100" i="22" s="1"/>
  <c r="H29" i="22" a="1"/>
  <c r="H29" i="22" s="1"/>
  <c r="H100" i="22" s="1"/>
  <c r="G29" i="22" a="1"/>
  <c r="G29" i="22" s="1"/>
  <c r="G100" i="22" s="1"/>
  <c r="F29" i="22" a="1"/>
  <c r="F29" i="22" s="1"/>
  <c r="E29" i="22" a="1"/>
  <c r="E29" i="22" s="1"/>
  <c r="D29" i="22" a="1"/>
  <c r="D29" i="22" s="1"/>
  <c r="M28" i="22" a="1"/>
  <c r="M28" i="22" s="1"/>
  <c r="L28" i="22" a="1"/>
  <c r="L28" i="22" s="1"/>
  <c r="M99" i="22" s="1"/>
  <c r="K28" i="22" a="1"/>
  <c r="K28" i="22" s="1"/>
  <c r="J28" i="22" a="1"/>
  <c r="J28" i="22" s="1"/>
  <c r="J99" i="22" s="1"/>
  <c r="I28" i="22" a="1"/>
  <c r="I28" i="22" s="1"/>
  <c r="I99" i="22" s="1"/>
  <c r="H28" i="22" a="1"/>
  <c r="H28" i="22" s="1"/>
  <c r="H99" i="22" s="1"/>
  <c r="G28" i="22" a="1"/>
  <c r="G28" i="22" s="1"/>
  <c r="G99" i="22" s="1"/>
  <c r="F28" i="22" a="1"/>
  <c r="F28" i="22" s="1"/>
  <c r="E28" i="22" a="1"/>
  <c r="E28" i="22" s="1"/>
  <c r="D28" i="22" a="1"/>
  <c r="D28" i="22" s="1"/>
  <c r="M27" i="22" a="1"/>
  <c r="M27" i="22" s="1"/>
  <c r="L27" i="22" a="1"/>
  <c r="L27" i="22" s="1"/>
  <c r="M98" i="22" s="1"/>
  <c r="K27" i="22" a="1"/>
  <c r="K27" i="22" s="1"/>
  <c r="J27" i="22" a="1"/>
  <c r="J27" i="22" s="1"/>
  <c r="J98" i="22" s="1"/>
  <c r="I27" i="22" a="1"/>
  <c r="I27" i="22" s="1"/>
  <c r="I98" i="22" s="1"/>
  <c r="H27" i="22" a="1"/>
  <c r="H27" i="22" s="1"/>
  <c r="H98" i="22" s="1"/>
  <c r="G27" i="22" a="1"/>
  <c r="G27" i="22" s="1"/>
  <c r="G98" i="22" s="1"/>
  <c r="F27" i="22" a="1"/>
  <c r="F27" i="22" s="1"/>
  <c r="F94" i="22" s="1"/>
  <c r="E27" i="22" a="1"/>
  <c r="E27" i="22" s="1"/>
  <c r="D27" i="22" a="1"/>
  <c r="D27" i="22" s="1"/>
  <c r="M26" i="22" a="1"/>
  <c r="M26" i="22" s="1"/>
  <c r="L26" i="22" a="1"/>
  <c r="L26" i="22" s="1"/>
  <c r="M97" i="22" s="1"/>
  <c r="K26" i="22" a="1"/>
  <c r="K26" i="22" s="1"/>
  <c r="J26" i="22" a="1"/>
  <c r="J26" i="22" s="1"/>
  <c r="J97" i="22" s="1"/>
  <c r="I26" i="22" a="1"/>
  <c r="I26" i="22" s="1"/>
  <c r="I97" i="22" s="1"/>
  <c r="H26" i="22" a="1"/>
  <c r="H26" i="22" s="1"/>
  <c r="H97" i="22" s="1"/>
  <c r="G26" i="22" a="1"/>
  <c r="G26" i="22" s="1"/>
  <c r="G97" i="22" s="1"/>
  <c r="F26" i="22" a="1"/>
  <c r="F26" i="22" s="1"/>
  <c r="E26" i="22" a="1"/>
  <c r="E26" i="22" s="1"/>
  <c r="D26" i="22" a="1"/>
  <c r="D26" i="22" s="1"/>
  <c r="M25" i="22" a="1"/>
  <c r="M25" i="22" s="1"/>
  <c r="L25" i="22" a="1"/>
  <c r="L25" i="22" s="1"/>
  <c r="M96" i="22" s="1"/>
  <c r="K25" i="22" a="1"/>
  <c r="K25" i="22" s="1"/>
  <c r="J25" i="22" a="1"/>
  <c r="J25" i="22" s="1"/>
  <c r="J96" i="22" s="1"/>
  <c r="I25" i="22" a="1"/>
  <c r="I25" i="22" s="1"/>
  <c r="I96" i="22" s="1"/>
  <c r="H25" i="22" a="1"/>
  <c r="H25" i="22" s="1"/>
  <c r="H96" i="22" s="1"/>
  <c r="G25" i="22" a="1"/>
  <c r="G25" i="22" s="1"/>
  <c r="G96" i="22" s="1"/>
  <c r="F25" i="22" a="1"/>
  <c r="F25" i="22" s="1"/>
  <c r="E25" i="22" a="1"/>
  <c r="E25" i="22" s="1"/>
  <c r="D25" i="22" a="1"/>
  <c r="D25" i="22" s="1"/>
  <c r="M24" i="22" a="1"/>
  <c r="M24" i="22" s="1"/>
  <c r="L24" i="22" a="1"/>
  <c r="L24" i="22" s="1"/>
  <c r="M95" i="22" s="1"/>
  <c r="K24" i="22" a="1"/>
  <c r="K24" i="22" s="1"/>
  <c r="J24" i="22" a="1"/>
  <c r="J24" i="22" s="1"/>
  <c r="J95" i="22" s="1"/>
  <c r="I24" i="22" a="1"/>
  <c r="I24" i="22" s="1"/>
  <c r="I95" i="22" s="1"/>
  <c r="H24" i="22" a="1"/>
  <c r="H24" i="22" s="1"/>
  <c r="H95" i="22" s="1"/>
  <c r="G24" i="22" a="1"/>
  <c r="G24" i="22" s="1"/>
  <c r="G95" i="22" s="1"/>
  <c r="F24" i="22" a="1"/>
  <c r="F24" i="22" s="1"/>
  <c r="E24" i="22" a="1"/>
  <c r="E24" i="22" s="1"/>
  <c r="D24" i="22" a="1"/>
  <c r="D24" i="22" s="1"/>
  <c r="M23" i="22" a="1"/>
  <c r="M23" i="22" s="1"/>
  <c r="L23" i="22" a="1"/>
  <c r="L23" i="22" s="1"/>
  <c r="M94" i="22" s="1"/>
  <c r="K23" i="22" a="1"/>
  <c r="K23" i="22" s="1"/>
  <c r="J23" i="22" a="1"/>
  <c r="J23" i="22" s="1"/>
  <c r="J94" i="22" s="1"/>
  <c r="I23" i="22" a="1"/>
  <c r="I23" i="22" s="1"/>
  <c r="I94" i="22" s="1"/>
  <c r="H23" i="22" a="1"/>
  <c r="H23" i="22" s="1"/>
  <c r="H94" i="22" s="1"/>
  <c r="G23" i="22" a="1"/>
  <c r="G23" i="22" s="1"/>
  <c r="G94" i="22" s="1"/>
  <c r="F23" i="22" a="1"/>
  <c r="F23" i="22" s="1"/>
  <c r="F90" i="22" s="1"/>
  <c r="E23" i="22" a="1"/>
  <c r="E23" i="22" s="1"/>
  <c r="D23" i="22" a="1"/>
  <c r="D23" i="22" s="1"/>
  <c r="M22" i="22" a="1"/>
  <c r="M22" i="22" s="1"/>
  <c r="L22" i="22" a="1"/>
  <c r="L22" i="22" s="1"/>
  <c r="K22" i="22" a="1"/>
  <c r="K22" i="22" s="1"/>
  <c r="J22" i="22" a="1"/>
  <c r="J22" i="22" s="1"/>
  <c r="I22" i="22" a="1"/>
  <c r="I22" i="22" s="1"/>
  <c r="H22" i="22" a="1"/>
  <c r="H22" i="22" s="1"/>
  <c r="G22" i="22" a="1"/>
  <c r="G22" i="22" s="1"/>
  <c r="F22" i="22" a="1"/>
  <c r="F22" i="22" s="1"/>
  <c r="E22" i="22" a="1"/>
  <c r="E22" i="22" s="1"/>
  <c r="D22" i="22" a="1"/>
  <c r="D22" i="22" s="1"/>
  <c r="M21" i="22" a="1"/>
  <c r="M21" i="22" s="1"/>
  <c r="L21" i="22" a="1"/>
  <c r="L21" i="22" s="1"/>
  <c r="K21" i="22" a="1"/>
  <c r="K21" i="22" s="1"/>
  <c r="J21" i="22" a="1"/>
  <c r="J21" i="22" s="1"/>
  <c r="I21" i="22" a="1"/>
  <c r="I21" i="22" s="1"/>
  <c r="H21" i="22" a="1"/>
  <c r="H21" i="22" s="1"/>
  <c r="G21" i="22" a="1"/>
  <c r="G21" i="22" s="1"/>
  <c r="F21" i="22" a="1"/>
  <c r="F21" i="22" s="1"/>
  <c r="E21" i="22" a="1"/>
  <c r="E21" i="22" s="1"/>
  <c r="D21" i="22" a="1"/>
  <c r="D21" i="22" s="1"/>
  <c r="M20" i="22" a="1"/>
  <c r="M20" i="22" s="1"/>
  <c r="L20" i="22" a="1"/>
  <c r="L20" i="22" s="1"/>
  <c r="K20" i="22" a="1"/>
  <c r="K20" i="22" s="1"/>
  <c r="J20" i="22" a="1"/>
  <c r="J20" i="22" s="1"/>
  <c r="I20" i="22" a="1"/>
  <c r="I20" i="22" s="1"/>
  <c r="H20" i="22" a="1"/>
  <c r="H20" i="22" s="1"/>
  <c r="G20" i="22" a="1"/>
  <c r="G20" i="22" s="1"/>
  <c r="F20" i="22" a="1"/>
  <c r="F20" i="22" s="1"/>
  <c r="E20" i="22" a="1"/>
  <c r="E20" i="22" s="1"/>
  <c r="D20" i="22" a="1"/>
  <c r="D20" i="22" s="1"/>
  <c r="M19" i="22" a="1"/>
  <c r="M19" i="22" s="1"/>
  <c r="L19" i="22" a="1"/>
  <c r="L19" i="22" s="1"/>
  <c r="K19" i="22" a="1"/>
  <c r="K19" i="22" s="1"/>
  <c r="J19" i="22" a="1"/>
  <c r="J19" i="22" s="1"/>
  <c r="I19" i="22" a="1"/>
  <c r="I19" i="22" s="1"/>
  <c r="H19" i="22" a="1"/>
  <c r="H19" i="22" s="1"/>
  <c r="G19" i="22" a="1"/>
  <c r="G19" i="22" s="1"/>
  <c r="F19" i="22" a="1"/>
  <c r="F19" i="22" s="1"/>
  <c r="F86" i="22" s="1"/>
  <c r="E19" i="22" a="1"/>
  <c r="E19" i="22" s="1"/>
  <c r="D19" i="22" a="1"/>
  <c r="D19" i="22" s="1"/>
  <c r="D17" i="22" a="1"/>
  <c r="D17" i="22" s="1"/>
  <c r="D16" i="22" a="1"/>
  <c r="D16" i="22" s="1"/>
  <c r="D15" i="22" a="1"/>
  <c r="D15" i="22" s="1"/>
  <c r="D14" i="22" a="1"/>
  <c r="D14" i="22" s="1"/>
  <c r="F42" i="19" l="1" a="1"/>
  <c r="F61" i="19"/>
  <c r="M368" i="22"/>
  <c r="N368" i="22"/>
  <c r="L362" i="22"/>
  <c r="I368" i="22"/>
  <c r="L369" i="22"/>
  <c r="J364" i="22"/>
  <c r="N367" i="22"/>
  <c r="I87" i="22"/>
  <c r="I91" i="22"/>
  <c r="P88" i="22"/>
  <c r="O88" i="22"/>
  <c r="N88" i="22"/>
  <c r="P92" i="22"/>
  <c r="O92" i="22"/>
  <c r="N92" i="22"/>
  <c r="K95" i="22"/>
  <c r="L95" i="22"/>
  <c r="L102" i="22"/>
  <c r="K102" i="22"/>
  <c r="L104" i="22"/>
  <c r="K104" i="22"/>
  <c r="J87" i="22"/>
  <c r="J91" i="22"/>
  <c r="L101" i="22"/>
  <c r="K101" i="22"/>
  <c r="L111" i="22"/>
  <c r="K111" i="22"/>
  <c r="G90" i="22"/>
  <c r="G86" i="22"/>
  <c r="K87" i="22"/>
  <c r="L91" i="22"/>
  <c r="K91" i="22"/>
  <c r="L87" i="22"/>
  <c r="P95" i="22"/>
  <c r="O95" i="22"/>
  <c r="N95" i="22"/>
  <c r="K100" i="22"/>
  <c r="L100" i="22"/>
  <c r="P102" i="22"/>
  <c r="O102" i="22"/>
  <c r="N102" i="22"/>
  <c r="P104" i="22"/>
  <c r="O104" i="22"/>
  <c r="N104" i="22"/>
  <c r="M91" i="22"/>
  <c r="M87" i="22"/>
  <c r="P105" i="22"/>
  <c r="O105" i="22"/>
  <c r="N105" i="22"/>
  <c r="L107" i="22"/>
  <c r="K107" i="22"/>
  <c r="G89" i="22"/>
  <c r="G93" i="22"/>
  <c r="L94" i="22"/>
  <c r="K94" i="22"/>
  <c r="L98" i="22"/>
  <c r="K98" i="22"/>
  <c r="O101" i="22"/>
  <c r="N101" i="22"/>
  <c r="P101" i="22"/>
  <c r="N111" i="22"/>
  <c r="P111" i="22"/>
  <c r="O111" i="22"/>
  <c r="K113" i="22"/>
  <c r="L113" i="22"/>
  <c r="J90" i="22"/>
  <c r="J86" i="22"/>
  <c r="H93" i="22"/>
  <c r="H89" i="22"/>
  <c r="M86" i="22"/>
  <c r="M90" i="22"/>
  <c r="O90" i="22"/>
  <c r="N86" i="22"/>
  <c r="N90" i="22"/>
  <c r="P86" i="22"/>
  <c r="O86" i="22"/>
  <c r="P90" i="22"/>
  <c r="G88" i="22"/>
  <c r="G92" i="22"/>
  <c r="L89" i="22"/>
  <c r="L93" i="22"/>
  <c r="K89" i="22"/>
  <c r="K93" i="22"/>
  <c r="P114" i="22"/>
  <c r="O114" i="22"/>
  <c r="N114" i="22"/>
  <c r="N116" i="22"/>
  <c r="O116" i="22"/>
  <c r="P116" i="22"/>
  <c r="P117" i="22"/>
  <c r="N117" i="22"/>
  <c r="O117" i="22"/>
  <c r="P99" i="22"/>
  <c r="O99" i="22"/>
  <c r="N99" i="22"/>
  <c r="P108" i="22"/>
  <c r="O108" i="22"/>
  <c r="N108" i="22"/>
  <c r="I93" i="22"/>
  <c r="I89" i="22"/>
  <c r="P98" i="22"/>
  <c r="O98" i="22"/>
  <c r="N98" i="22"/>
  <c r="M93" i="22"/>
  <c r="M89" i="22"/>
  <c r="N97" i="22"/>
  <c r="P97" i="22"/>
  <c r="O97" i="22"/>
  <c r="I92" i="22"/>
  <c r="I88" i="22"/>
  <c r="P93" i="22"/>
  <c r="O93" i="22"/>
  <c r="N93" i="22"/>
  <c r="P89" i="22"/>
  <c r="O89" i="22"/>
  <c r="N89" i="22"/>
  <c r="L96" i="22"/>
  <c r="K96" i="22"/>
  <c r="H90" i="22"/>
  <c r="H86" i="22"/>
  <c r="I90" i="22"/>
  <c r="I86" i="22"/>
  <c r="P91" i="22"/>
  <c r="O91" i="22"/>
  <c r="N91" i="22"/>
  <c r="P87" i="22"/>
  <c r="O87" i="22"/>
  <c r="N87" i="22"/>
  <c r="L90" i="22"/>
  <c r="K90" i="22"/>
  <c r="L86" i="22"/>
  <c r="K86" i="22"/>
  <c r="P94" i="22"/>
  <c r="O94" i="22"/>
  <c r="N94" i="22"/>
  <c r="P113" i="22"/>
  <c r="O113" i="22"/>
  <c r="N113" i="22"/>
  <c r="L97" i="22"/>
  <c r="K97" i="22"/>
  <c r="J92" i="22"/>
  <c r="J88" i="22"/>
  <c r="G87" i="22"/>
  <c r="G91" i="22"/>
  <c r="L88" i="22"/>
  <c r="K88" i="22"/>
  <c r="K92" i="22"/>
  <c r="L92" i="22"/>
  <c r="P96" i="22"/>
  <c r="O96" i="22"/>
  <c r="N96" i="22"/>
  <c r="J93" i="22"/>
  <c r="J89" i="22"/>
  <c r="H88" i="22"/>
  <c r="H92" i="22"/>
  <c r="H87" i="22"/>
  <c r="H91" i="22"/>
  <c r="M88" i="22"/>
  <c r="M92" i="22"/>
  <c r="K109" i="22"/>
  <c r="H227" i="22"/>
  <c r="H223" i="22"/>
  <c r="H224" i="22"/>
  <c r="H228" i="22"/>
  <c r="L233" i="22"/>
  <c r="K233" i="22"/>
  <c r="J229" i="22"/>
  <c r="J225" i="22"/>
  <c r="J224" i="22"/>
  <c r="J228" i="22"/>
  <c r="L225" i="22"/>
  <c r="K225" i="22"/>
  <c r="K229" i="22"/>
  <c r="L229" i="22"/>
  <c r="P231" i="22"/>
  <c r="O231" i="22"/>
  <c r="N231" i="22"/>
  <c r="P234" i="22"/>
  <c r="O234" i="22"/>
  <c r="N234" i="22"/>
  <c r="L105" i="22"/>
  <c r="K105" i="22"/>
  <c r="P109" i="22"/>
  <c r="O109" i="22"/>
  <c r="N109" i="22"/>
  <c r="L112" i="22"/>
  <c r="K112" i="22"/>
  <c r="L115" i="22"/>
  <c r="K115" i="22"/>
  <c r="J227" i="22"/>
  <c r="J223" i="22"/>
  <c r="M225" i="22"/>
  <c r="M229" i="22"/>
  <c r="P232" i="22"/>
  <c r="O232" i="22"/>
  <c r="N232" i="22"/>
  <c r="M228" i="22"/>
  <c r="M224" i="22"/>
  <c r="K116" i="22"/>
  <c r="K227" i="22"/>
  <c r="L223" i="22"/>
  <c r="K223" i="22"/>
  <c r="L227" i="22"/>
  <c r="P228" i="22"/>
  <c r="O228" i="22"/>
  <c r="N228" i="22"/>
  <c r="P224" i="22"/>
  <c r="O224" i="22"/>
  <c r="N224" i="22"/>
  <c r="P115" i="22"/>
  <c r="O115" i="22"/>
  <c r="N115" i="22"/>
  <c r="L108" i="22"/>
  <c r="K108" i="22"/>
  <c r="P112" i="22"/>
  <c r="O112" i="22"/>
  <c r="N112" i="22"/>
  <c r="P100" i="22"/>
  <c r="O100" i="22"/>
  <c r="N100" i="22"/>
  <c r="K103" i="22"/>
  <c r="L103" i="22"/>
  <c r="O107" i="22"/>
  <c r="N107" i="22"/>
  <c r="P107" i="22"/>
  <c r="L110" i="22"/>
  <c r="K110" i="22"/>
  <c r="G230" i="22"/>
  <c r="G226" i="22"/>
  <c r="O238" i="22"/>
  <c r="N238" i="22"/>
  <c r="P238" i="22"/>
  <c r="K244" i="22"/>
  <c r="L244" i="22"/>
  <c r="L99" i="22"/>
  <c r="K99" i="22"/>
  <c r="P103" i="22"/>
  <c r="O103" i="22"/>
  <c r="N103" i="22"/>
  <c r="K106" i="22"/>
  <c r="L106" i="22"/>
  <c r="P110" i="22"/>
  <c r="N110" i="22"/>
  <c r="H230" i="22"/>
  <c r="H226" i="22"/>
  <c r="O240" i="22"/>
  <c r="N240" i="22"/>
  <c r="P240" i="22"/>
  <c r="F228" i="22"/>
  <c r="F224" i="22"/>
  <c r="L114" i="22"/>
  <c r="K114" i="22"/>
  <c r="L117" i="22"/>
  <c r="K117" i="22"/>
  <c r="H229" i="22"/>
  <c r="H225" i="22"/>
  <c r="F106" i="22"/>
  <c r="F102" i="22"/>
  <c r="J8" i="48" s="1" a="1"/>
  <c r="J8" i="48" s="1"/>
  <c r="P106" i="22"/>
  <c r="O106" i="22"/>
  <c r="N106" i="22"/>
  <c r="G227" i="22"/>
  <c r="G223" i="22"/>
  <c r="L230" i="22"/>
  <c r="K230" i="22"/>
  <c r="L226" i="22"/>
  <c r="K226" i="22"/>
  <c r="I224" i="22"/>
  <c r="I228" i="22"/>
  <c r="G225" i="22"/>
  <c r="G229" i="22"/>
  <c r="F230" i="22"/>
  <c r="F226" i="22"/>
  <c r="P236" i="22"/>
  <c r="O236" i="22"/>
  <c r="N236" i="22"/>
  <c r="L232" i="22"/>
  <c r="K232" i="22"/>
  <c r="P237" i="22"/>
  <c r="O237" i="22"/>
  <c r="N237" i="22"/>
  <c r="L238" i="22"/>
  <c r="K238" i="22"/>
  <c r="M223" i="22"/>
  <c r="M227" i="22"/>
  <c r="P227" i="22"/>
  <c r="P223" i="22"/>
  <c r="O223" i="22"/>
  <c r="N223" i="22"/>
  <c r="O227" i="22"/>
  <c r="N227" i="22"/>
  <c r="L228" i="22"/>
  <c r="K228" i="22"/>
  <c r="L224" i="22"/>
  <c r="K224" i="22"/>
  <c r="I229" i="22"/>
  <c r="I225" i="22"/>
  <c r="L239" i="22"/>
  <c r="K239" i="22"/>
  <c r="L240" i="22"/>
  <c r="K240" i="22"/>
  <c r="F223" i="22"/>
  <c r="F227" i="22"/>
  <c r="I230" i="22"/>
  <c r="I226" i="22"/>
  <c r="P239" i="22"/>
  <c r="O239" i="22"/>
  <c r="N239" i="22"/>
  <c r="L241" i="22"/>
  <c r="K241" i="22"/>
  <c r="J230" i="22"/>
  <c r="J226" i="22"/>
  <c r="L242" i="22"/>
  <c r="K242" i="22"/>
  <c r="L245" i="22"/>
  <c r="K245" i="22"/>
  <c r="K246" i="22"/>
  <c r="L246" i="22"/>
  <c r="L247" i="22"/>
  <c r="K247" i="22"/>
  <c r="L249" i="22"/>
  <c r="K249" i="22"/>
  <c r="L250" i="22"/>
  <c r="K250" i="22"/>
  <c r="L252" i="22"/>
  <c r="K252" i="22"/>
  <c r="P233" i="22"/>
  <c r="O233" i="22"/>
  <c r="N233" i="22"/>
  <c r="L235" i="22"/>
  <c r="K235" i="22"/>
  <c r="L243" i="22"/>
  <c r="K243" i="22"/>
  <c r="L248" i="22"/>
  <c r="K248" i="22"/>
  <c r="L254" i="22"/>
  <c r="K254" i="22"/>
  <c r="P241" i="22"/>
  <c r="O241" i="22"/>
  <c r="N241" i="22"/>
  <c r="P225" i="22"/>
  <c r="O225" i="22"/>
  <c r="N225" i="22"/>
  <c r="P229" i="22"/>
  <c r="O229" i="22"/>
  <c r="N229" i="22"/>
  <c r="P242" i="22"/>
  <c r="O242" i="22"/>
  <c r="N242" i="22"/>
  <c r="P245" i="22"/>
  <c r="O245" i="22"/>
  <c r="N245" i="22"/>
  <c r="P248" i="22"/>
  <c r="O248" i="22"/>
  <c r="N248" i="22"/>
  <c r="P251" i="22"/>
  <c r="O251" i="22"/>
  <c r="N251" i="22"/>
  <c r="O252" i="22"/>
  <c r="N252" i="22"/>
  <c r="P252" i="22"/>
  <c r="I227" i="22"/>
  <c r="I223" i="22"/>
  <c r="G228" i="22"/>
  <c r="G224" i="22"/>
  <c r="M230" i="22"/>
  <c r="M226" i="22"/>
  <c r="N235" i="22"/>
  <c r="P235" i="22"/>
  <c r="O235" i="22"/>
  <c r="L236" i="22"/>
  <c r="K236" i="22"/>
  <c r="K237" i="22"/>
  <c r="L237" i="22"/>
  <c r="O243" i="22"/>
  <c r="N243" i="22"/>
  <c r="P243" i="22"/>
  <c r="F229" i="22"/>
  <c r="F225" i="22"/>
  <c r="O226" i="22"/>
  <c r="N226" i="22"/>
  <c r="O230" i="22"/>
  <c r="N230" i="22"/>
  <c r="P226" i="22"/>
  <c r="P230" i="22"/>
  <c r="P244" i="22"/>
  <c r="O244" i="22"/>
  <c r="N244" i="22"/>
  <c r="P247" i="22"/>
  <c r="O247" i="22"/>
  <c r="N247" i="22"/>
  <c r="K251" i="22"/>
  <c r="L251" i="22"/>
  <c r="P254" i="22"/>
  <c r="O254" i="22"/>
  <c r="N254" i="22"/>
  <c r="L231" i="22"/>
  <c r="K231" i="22"/>
  <c r="K234" i="22"/>
  <c r="L234" i="22"/>
  <c r="O246" i="22"/>
  <c r="N246" i="22"/>
  <c r="P246" i="22"/>
  <c r="P249" i="22"/>
  <c r="N249" i="22"/>
  <c r="O249" i="22"/>
  <c r="L253" i="22"/>
  <c r="K253" i="22"/>
  <c r="P250" i="22"/>
  <c r="O250" i="22"/>
  <c r="N250" i="22"/>
  <c r="O253" i="22"/>
  <c r="N253" i="22"/>
  <c r="P253" i="22"/>
  <c r="I369" i="22"/>
  <c r="J369" i="22"/>
  <c r="M366" i="22"/>
  <c r="N366" i="22"/>
  <c r="N362" i="22"/>
  <c r="L364" i="22"/>
  <c r="J366" i="22"/>
  <c r="N364" i="22"/>
  <c r="L368" i="22"/>
  <c r="J363" i="22"/>
  <c r="L363" i="22"/>
  <c r="I365" i="22"/>
  <c r="M363" i="22"/>
  <c r="L365" i="22"/>
  <c r="J367" i="22"/>
  <c r="N365" i="22"/>
  <c r="L367" i="22"/>
  <c r="J362" i="22"/>
  <c r="N369" i="22"/>
  <c r="F23" i="19" a="1"/>
  <c r="F23" i="19" s="1"/>
  <c r="E23" i="19" a="1"/>
  <c r="D23" i="19" a="1"/>
  <c r="D23" i="19" s="1"/>
  <c r="J7" i="48" l="1" a="1"/>
  <c r="J7" i="48" s="1"/>
  <c r="H23" i="19" s="1" a="1"/>
  <c r="J148" i="22"/>
  <c r="I149" i="22"/>
  <c r="F42" i="19"/>
  <c r="E23" i="19"/>
  <c r="M149" i="22"/>
  <c r="I146" i="22"/>
  <c r="G146" i="22"/>
  <c r="I148" i="22"/>
  <c r="G148" i="22"/>
  <c r="I147" i="22"/>
  <c r="K146" i="22"/>
  <c r="L146" i="22"/>
  <c r="G149" i="22"/>
  <c r="J147" i="22"/>
  <c r="O146" i="22"/>
  <c r="M147" i="22"/>
  <c r="L148" i="22"/>
  <c r="P146" i="22"/>
  <c r="L147" i="22"/>
  <c r="O149" i="22"/>
  <c r="H147" i="22"/>
  <c r="P149" i="22"/>
  <c r="O147" i="22"/>
  <c r="M148" i="22"/>
  <c r="H148" i="22"/>
  <c r="P147" i="22"/>
  <c r="M146" i="22"/>
  <c r="K148" i="22"/>
  <c r="J149" i="22"/>
  <c r="H149" i="22"/>
  <c r="G147" i="22"/>
  <c r="N146" i="22"/>
  <c r="N147" i="22"/>
  <c r="K147" i="22"/>
  <c r="K149" i="22"/>
  <c r="N148" i="22"/>
  <c r="N149" i="22"/>
  <c r="J146" i="22"/>
  <c r="O148" i="22"/>
  <c r="L149" i="22"/>
  <c r="P148" i="22"/>
  <c r="H146" i="22"/>
  <c r="H23" i="19" l="1"/>
  <c r="D305" i="19" l="1" a="1"/>
  <c r="D305" i="19" s="1"/>
  <c r="G35" i="7"/>
  <c r="K35" i="7"/>
  <c r="K34" i="7"/>
  <c r="G34" i="7"/>
  <c r="E367" i="19" a="1"/>
  <c r="E367" i="19" s="1"/>
  <c r="D367" i="19" a="1"/>
  <c r="D367" i="19" s="1"/>
  <c r="D119" i="19" a="1"/>
  <c r="D119" i="19" s="1"/>
  <c r="D168" i="20" a="1"/>
  <c r="D168" i="20" s="1"/>
  <c r="E168" i="20" a="1"/>
  <c r="E168" i="20" s="1"/>
  <c r="D7" i="55" s="1" a="1"/>
  <c r="D7" i="55"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12" i="55" s="1" a="1"/>
  <c r="D12" i="55" s="1"/>
  <c r="E305" i="19" l="1" a="1"/>
  <c r="E305" i="19" s="1"/>
  <c r="G305" i="19" s="1" a="1"/>
  <c r="G305" i="19" s="1"/>
  <c r="D162" i="19"/>
  <c r="F162" i="19" s="1" a="1"/>
  <c r="F162" i="19" s="1"/>
  <c r="G162" i="19" s="1" a="1"/>
  <c r="G162" i="19" s="1"/>
  <c r="F367" i="19" a="1"/>
  <c r="H305" i="19" l="1" a="1"/>
  <c r="H305" i="19" s="1"/>
  <c r="F305" i="19" a="1"/>
  <c r="J314" i="19" a="1"/>
  <c r="J314" i="19" s="1"/>
  <c r="J309" i="19" a="1"/>
  <c r="J309" i="19" s="1"/>
  <c r="J313" i="19" a="1"/>
  <c r="J313" i="19" s="1"/>
  <c r="J310" i="19" a="1"/>
  <c r="J310" i="19" s="1"/>
  <c r="J311" i="19" a="1"/>
  <c r="J311" i="19" s="1"/>
  <c r="F305" i="19"/>
  <c r="J305" i="19" s="1" a="1"/>
  <c r="J305" i="19" s="1"/>
  <c r="J312" i="19" a="1"/>
  <c r="J312" i="19" s="1"/>
  <c r="J308" i="19" a="1"/>
  <c r="J308" i="19" s="1"/>
  <c r="J306" i="19" a="1"/>
  <c r="J306" i="19" s="1"/>
  <c r="J307" i="19" a="1"/>
  <c r="J307" i="19" s="1"/>
  <c r="F367" i="19"/>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E317" i="19" l="1"/>
  <c r="F19" i="41" s="1"/>
  <c r="I138" i="19"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F202" i="20" a="1"/>
  <c r="F202" i="20" s="1"/>
  <c r="G202" i="20" a="1"/>
  <c r="G202" i="20" s="1"/>
  <c r="H202" i="20" a="1"/>
  <c r="H202" i="20" s="1"/>
  <c r="I202" i="20" a="1"/>
  <c r="I202" i="20" s="1"/>
  <c r="D203" i="20" a="1"/>
  <c r="D203" i="20" s="1"/>
  <c r="E203" i="20" a="1"/>
  <c r="E203" i="20" s="1"/>
  <c r="F203" i="20" a="1"/>
  <c r="F203" i="20" s="1"/>
  <c r="G203" i="20" a="1"/>
  <c r="G203" i="20" s="1"/>
  <c r="H203" i="20" a="1"/>
  <c r="H203" i="20" s="1"/>
  <c r="I203" i="20" a="1"/>
  <c r="I203" i="20" s="1"/>
  <c r="D204" i="20" a="1"/>
  <c r="D204" i="20" s="1"/>
  <c r="E204" i="20" a="1"/>
  <c r="E204" i="20" s="1"/>
  <c r="F204" i="20" a="1"/>
  <c r="F204" i="20" s="1"/>
  <c r="G204" i="20" a="1"/>
  <c r="G204" i="20" s="1"/>
  <c r="H204" i="20" a="1"/>
  <c r="H204" i="20" s="1"/>
  <c r="I204" i="20" a="1"/>
  <c r="I204" i="20" s="1"/>
  <c r="D205" i="20" a="1"/>
  <c r="D205" i="20" s="1"/>
  <c r="E205" i="20" a="1"/>
  <c r="E205" i="20" s="1"/>
  <c r="F205" i="20" a="1"/>
  <c r="F205" i="20" s="1"/>
  <c r="G205" i="20" a="1"/>
  <c r="G205" i="20" s="1"/>
  <c r="H205" i="20" a="1"/>
  <c r="H205" i="20" s="1"/>
  <c r="I205" i="20" a="1"/>
  <c r="I205" i="20" s="1"/>
  <c r="D206" i="20" a="1"/>
  <c r="D206" i="20" s="1"/>
  <c r="E206" i="20" a="1"/>
  <c r="E206" i="20" s="1"/>
  <c r="F206" i="20" a="1"/>
  <c r="F206" i="20" s="1"/>
  <c r="G206" i="20" a="1"/>
  <c r="G206" i="20" s="1"/>
  <c r="H206" i="20" a="1"/>
  <c r="H206" i="20" s="1"/>
  <c r="I206" i="20" a="1"/>
  <c r="I206" i="20" s="1"/>
  <c r="D207" i="20" a="1"/>
  <c r="D207" i="20" s="1"/>
  <c r="E207" i="20" a="1"/>
  <c r="E207" i="20" s="1"/>
  <c r="F207" i="20" a="1"/>
  <c r="F207" i="20" s="1"/>
  <c r="G207" i="20" a="1"/>
  <c r="G207" i="20" s="1"/>
  <c r="H207" i="20" a="1"/>
  <c r="H207" i="20" s="1"/>
  <c r="I207" i="20" a="1"/>
  <c r="I207" i="20" s="1"/>
  <c r="D208" i="20" a="1"/>
  <c r="D208" i="20" s="1"/>
  <c r="E208" i="20" a="1"/>
  <c r="E208" i="20" s="1"/>
  <c r="F208" i="20" a="1"/>
  <c r="F208" i="20" s="1"/>
  <c r="G208" i="20" a="1"/>
  <c r="G208" i="20" s="1"/>
  <c r="H208" i="20" a="1"/>
  <c r="H208" i="20" s="1"/>
  <c r="I208" i="20" a="1"/>
  <c r="I208" i="20" s="1"/>
  <c r="D209" i="20" a="1"/>
  <c r="D209" i="20" s="1"/>
  <c r="E209" i="20" a="1"/>
  <c r="E209" i="20"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47" i="25"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0" i="23" s="1"/>
  <c r="E11" i="18" a="1"/>
  <c r="E11" i="18" s="1"/>
  <c r="D10" i="23" s="1"/>
  <c r="D11" i="18" a="1"/>
  <c r="D11" i="18" s="1"/>
  <c r="F10" i="18" a="1"/>
  <c r="F10" i="18" s="1"/>
  <c r="E9" i="23" s="1"/>
  <c r="E10" i="18" a="1"/>
  <c r="E10" i="18" s="1"/>
  <c r="D9" i="23"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D5" i="57" l="1"/>
  <c r="D481" i="19" s="1"/>
  <c r="F481" i="19" s="1" a="1"/>
  <c r="F481" i="19" s="1"/>
  <c r="G481" i="19" s="1" a="1"/>
  <c r="G481" i="19" s="1"/>
  <c r="D26" i="58"/>
  <c r="D469" i="19" s="1"/>
  <c r="F469" i="19" s="1" a="1"/>
  <c r="F469" i="19" s="1"/>
  <c r="D48" i="55"/>
  <c r="D480" i="19" s="1"/>
  <c r="F480" i="19" s="1" a="1"/>
  <c r="F480" i="19" s="1"/>
  <c r="T128" i="19" a="1"/>
  <c r="T128" i="19" s="1"/>
  <c r="X123" i="19" a="1"/>
  <c r="X123" i="19" s="1"/>
  <c r="T127" i="19" a="1"/>
  <c r="T127" i="19" s="1"/>
  <c r="X122" i="19" a="1"/>
  <c r="X122" i="19" s="1"/>
  <c r="X127" i="19" a="1"/>
  <c r="X127" i="19" s="1"/>
  <c r="T126" i="19" a="1"/>
  <c r="T126" i="19" s="1"/>
  <c r="X121" i="19" a="1"/>
  <c r="X121" i="19" s="1"/>
  <c r="T120" i="19" a="1"/>
  <c r="T120" i="19" s="1"/>
  <c r="T125" i="19" a="1"/>
  <c r="T125" i="19" s="1"/>
  <c r="X120" i="19" a="1"/>
  <c r="X120" i="19" s="1"/>
  <c r="AB128" i="19" a="1"/>
  <c r="AB128" i="19" s="1"/>
  <c r="X124" i="19" a="1"/>
  <c r="X124" i="19" s="1"/>
  <c r="T124" i="19" a="1"/>
  <c r="T124" i="19" s="1"/>
  <c r="AB120" i="19" a="1"/>
  <c r="AB120" i="19" s="1"/>
  <c r="AB126" i="19" a="1"/>
  <c r="AB126" i="19" s="1"/>
  <c r="T123" i="19" a="1"/>
  <c r="T123" i="19" s="1"/>
  <c r="AB122" i="19" a="1"/>
  <c r="AB122" i="19" s="1"/>
  <c r="T121" i="19" a="1"/>
  <c r="T121" i="19" s="1"/>
  <c r="AB127" i="19" a="1"/>
  <c r="AB127" i="19" s="1"/>
  <c r="T122" i="19" a="1"/>
  <c r="T122" i="19" s="1"/>
  <c r="AB121" i="19" a="1"/>
  <c r="AB121" i="19" s="1"/>
  <c r="X128" i="19" a="1"/>
  <c r="X128" i="19" s="1"/>
  <c r="X126" i="19" a="1"/>
  <c r="X126" i="19" s="1"/>
  <c r="AB125" i="19" a="1"/>
  <c r="AB125" i="19" s="1"/>
  <c r="X125" i="19" a="1"/>
  <c r="X125" i="19" s="1"/>
  <c r="AB124" i="19" a="1"/>
  <c r="AB124" i="19" s="1"/>
  <c r="AB123" i="19" a="1"/>
  <c r="AB123" i="19" s="1"/>
  <c r="X119" i="19" a="1"/>
  <c r="X119" i="19" s="1"/>
  <c r="AB119" i="19" a="1"/>
  <c r="AB119" i="19" s="1"/>
  <c r="T119" i="19" a="1"/>
  <c r="T119" i="19" s="1"/>
  <c r="D24" i="58"/>
  <c r="D467" i="19" s="1"/>
  <c r="F467" i="19" s="1" a="1"/>
  <c r="F467" i="19" s="1"/>
  <c r="D25" i="58"/>
  <c r="D468" i="19" s="1"/>
  <c r="F468" i="19" s="1" a="1"/>
  <c r="F468" i="19" s="1"/>
  <c r="G468" i="19" s="1" a="1"/>
  <c r="G468" i="19" s="1"/>
  <c r="D27" i="58"/>
  <c r="D470" i="19" s="1"/>
  <c r="F470" i="19" s="1" a="1"/>
  <c r="F470" i="19" s="1"/>
  <c r="G470" i="19" s="1" a="1"/>
  <c r="G470" i="19" s="1"/>
  <c r="D47" i="55"/>
  <c r="D479" i="19" s="1"/>
  <c r="F479" i="19" s="1" a="1"/>
  <c r="F479" i="19" s="1"/>
  <c r="G479" i="19" s="1" a="1"/>
  <c r="G479" i="19" s="1"/>
  <c r="D23" i="58"/>
  <c r="D466" i="19" s="1"/>
  <c r="F466" i="19" s="1" a="1"/>
  <c r="F466" i="19" s="1"/>
  <c r="G466" i="19" s="1" a="1"/>
  <c r="G466"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G42" i="25"/>
  <c r="D43" i="25"/>
  <c r="K43" i="25"/>
  <c r="D56" i="25"/>
  <c r="H43" i="25"/>
  <c r="L44" i="25"/>
  <c r="E44" i="25"/>
  <c r="K46" i="25"/>
  <c r="D46" i="25"/>
  <c r="D59" i="25"/>
  <c r="G45" i="25"/>
  <c r="H42" i="25"/>
  <c r="L43" i="25"/>
  <c r="E43" i="25"/>
  <c r="G44" i="25"/>
  <c r="K45" i="25"/>
  <c r="D45" i="25"/>
  <c r="D58" i="25"/>
  <c r="D11" i="23"/>
  <c r="D42" i="25"/>
  <c r="K42" i="25"/>
  <c r="D55" i="25"/>
  <c r="L46" i="25"/>
  <c r="E46" i="25"/>
  <c r="H45" i="25"/>
  <c r="E8" i="23"/>
  <c r="E41" i="25"/>
  <c r="H41" i="25"/>
  <c r="L41" i="25"/>
  <c r="E11" i="23"/>
  <c r="L42" i="25"/>
  <c r="E42" i="25"/>
  <c r="E76" i="19" a="1"/>
  <c r="E76" i="19" s="1"/>
  <c r="D8" i="23"/>
  <c r="G41" i="25"/>
  <c r="D41" i="25"/>
  <c r="K41" i="25"/>
  <c r="D54" i="25"/>
  <c r="D47" i="25"/>
  <c r="D60" i="25"/>
  <c r="G43" i="25"/>
  <c r="D44" i="25"/>
  <c r="K44" i="25"/>
  <c r="D57" i="25"/>
  <c r="H44" i="25"/>
  <c r="L45" i="25"/>
  <c r="E45" i="25"/>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E72" i="19"/>
  <c r="E90" i="19"/>
  <c r="E14" i="41" s="1"/>
  <c r="E91" i="19"/>
  <c r="F14" i="41" s="1"/>
  <c r="D38" i="6" a="1"/>
  <c r="D38" i="6" s="1"/>
  <c r="E38" i="6" a="1"/>
  <c r="E38" i="6" s="1"/>
  <c r="F38" i="6" a="1"/>
  <c r="F38" i="6" s="1"/>
  <c r="G38" i="6" a="1"/>
  <c r="G38" i="6" s="1"/>
  <c r="H38" i="6" a="1"/>
  <c r="H38" i="6" s="1"/>
  <c r="I38" i="6" a="1"/>
  <c r="I38" i="6" s="1"/>
  <c r="G25" i="7"/>
  <c r="F13" i="41" l="1"/>
  <c r="E94" i="19"/>
  <c r="E13" i="41"/>
  <c r="E93" i="19"/>
  <c r="G270" i="19" a="1"/>
  <c r="G270" i="19" s="1"/>
  <c r="E283" i="19" s="1"/>
  <c r="E18" i="41" s="1"/>
  <c r="I270" i="19" a="1"/>
  <c r="I270" i="19" s="1"/>
  <c r="E284" i="19" s="1"/>
  <c r="F18" i="41" s="1"/>
  <c r="G180" i="20"/>
  <c r="V23" i="6" l="1" a="1"/>
  <c r="V23" i="6" s="1"/>
  <c r="V22" i="6" a="1"/>
  <c r="V22" i="6" s="1"/>
  <c r="V21" i="6" a="1"/>
  <c r="V21" i="6" s="1"/>
  <c r="V20" i="6" a="1"/>
  <c r="V20" i="6" s="1"/>
  <c r="V18" i="6" a="1"/>
  <c r="V18" i="6" s="1"/>
  <c r="V17" i="6" a="1"/>
  <c r="V17" i="6" s="1"/>
  <c r="H194" i="20" l="1"/>
  <c r="I174" i="20"/>
  <c r="I175" i="20"/>
  <c r="H195" i="20"/>
  <c r="H196" i="20"/>
  <c r="I176" i="20"/>
  <c r="I177" i="20"/>
  <c r="H197" i="20"/>
  <c r="E22" i="9" l="1"/>
  <c r="E30" i="9"/>
  <c r="I37" i="9" s="1"/>
  <c r="H48" i="9"/>
  <c r="E48" i="9"/>
  <c r="H47" i="9"/>
  <c r="E47" i="9"/>
  <c r="H46" i="9"/>
  <c r="E46" i="9"/>
  <c r="H39" i="9"/>
  <c r="H38" i="9"/>
  <c r="H37" i="9"/>
  <c r="H25" i="8" a="1"/>
  <c r="H25" i="8" s="1"/>
  <c r="G25" i="8" a="1"/>
  <c r="G25" i="8" s="1"/>
  <c r="I552" i="19" s="1" a="1"/>
  <c r="I552" i="19"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F14" i="8" a="1"/>
  <c r="F14" i="8" s="1"/>
  <c r="E14" i="8" a="1"/>
  <c r="E14" i="8" s="1"/>
  <c r="D14" i="8" a="1"/>
  <c r="D14" i="8" s="1"/>
  <c r="F13" i="8" a="1"/>
  <c r="F13" i="8" s="1"/>
  <c r="E13" i="8" a="1"/>
  <c r="E13" i="8" s="1"/>
  <c r="D13" i="8" a="1"/>
  <c r="D13" i="8" s="1"/>
  <c r="F12" i="8" a="1"/>
  <c r="F12" i="8" s="1"/>
  <c r="E12" i="8" a="1"/>
  <c r="E12" i="8" s="1"/>
  <c r="D12" i="8" a="1"/>
  <c r="D12" i="8" s="1"/>
  <c r="F11" i="8" a="1"/>
  <c r="F11" i="8" s="1"/>
  <c r="E11" i="8" a="1"/>
  <c r="E11" i="8" s="1"/>
  <c r="D11" i="8" a="1"/>
  <c r="D11" i="8" s="1"/>
  <c r="F10" i="8" a="1"/>
  <c r="F10" i="8" s="1"/>
  <c r="E10" i="8" a="1"/>
  <c r="E10" i="8" s="1"/>
  <c r="D10" i="8" a="1"/>
  <c r="D10" i="8" s="1"/>
  <c r="D7" i="8" a="1"/>
  <c r="D7" i="8" s="1"/>
  <c r="D6" i="8" a="1"/>
  <c r="D6" i="8" s="1"/>
  <c r="D5" i="8" a="1"/>
  <c r="D5" i="8" s="1"/>
  <c r="I48" i="9" l="1"/>
  <c r="I530" i="19" a="1"/>
  <c r="I530" i="19" s="1"/>
  <c r="E533" i="19" s="1" a="1"/>
  <c r="E533" i="19" s="1"/>
  <c r="I46" i="9"/>
  <c r="I38" i="9"/>
  <c r="I39" i="9"/>
  <c r="I47" i="9"/>
  <c r="E30" i="41" l="1"/>
  <c r="F30" i="41" s="1"/>
  <c r="E41" i="9"/>
  <c r="I550" i="19" s="1"/>
  <c r="E555" i="19" s="1" a="1"/>
  <c r="E555" i="19" s="1"/>
  <c r="E50" i="9"/>
  <c r="I551" i="19" s="1"/>
  <c r="G24" i="7"/>
  <c r="E237" i="19" s="1" a="1"/>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J87" i="34" s="1"/>
  <c r="D83" i="6" a="1"/>
  <c r="D83" i="6" s="1"/>
  <c r="D82" i="6" a="1"/>
  <c r="D82" i="6" s="1"/>
  <c r="D81" i="6" a="1"/>
  <c r="D81" i="6" s="1"/>
  <c r="F78" i="6" a="1"/>
  <c r="F78" i="6" s="1"/>
  <c r="E78" i="6" a="1"/>
  <c r="E78" i="6" s="1"/>
  <c r="D78" i="6" a="1"/>
  <c r="D78" i="6" s="1"/>
  <c r="D77" i="6" a="1"/>
  <c r="D77" i="6" s="1"/>
  <c r="D76" i="6" a="1"/>
  <c r="D76" i="6" s="1"/>
  <c r="F73" i="6" a="1"/>
  <c r="F73" i="6" s="1"/>
  <c r="E73" i="6" a="1"/>
  <c r="E73" i="6" s="1"/>
  <c r="I33" i="34"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I35" i="6" a="1"/>
  <c r="I35" i="6" s="1"/>
  <c r="H35" i="6" a="1"/>
  <c r="H35" i="6" s="1"/>
  <c r="G35" i="6" a="1"/>
  <c r="G35" i="6" s="1"/>
  <c r="F35" i="6" a="1"/>
  <c r="F35" i="6" s="1"/>
  <c r="E35" i="6" a="1"/>
  <c r="E35" i="6" s="1"/>
  <c r="D35" i="6" a="1"/>
  <c r="D35" i="6" s="1"/>
  <c r="I34" i="6" a="1"/>
  <c r="I34" i="6" s="1"/>
  <c r="H34" i="6" a="1"/>
  <c r="H34" i="6" s="1"/>
  <c r="G34" i="6" a="1"/>
  <c r="G34" i="6" s="1"/>
  <c r="F34" i="6" a="1"/>
  <c r="F34" i="6" s="1"/>
  <c r="E34" i="6" a="1"/>
  <c r="E34" i="6" s="1"/>
  <c r="D34" i="6" a="1"/>
  <c r="D34" i="6" s="1"/>
  <c r="I33" i="6" a="1"/>
  <c r="I33" i="6" s="1"/>
  <c r="H33" i="6" a="1"/>
  <c r="H33" i="6" s="1"/>
  <c r="G33" i="6" a="1"/>
  <c r="G33" i="6" s="1"/>
  <c r="F33" i="6" a="1"/>
  <c r="F33" i="6" s="1"/>
  <c r="E33" i="6" a="1"/>
  <c r="E33" i="6" s="1"/>
  <c r="D33" i="6" a="1"/>
  <c r="D33" i="6" s="1"/>
  <c r="I32" i="6" a="1"/>
  <c r="I32" i="6" s="1"/>
  <c r="H32" i="6" a="1"/>
  <c r="H32" i="6" s="1"/>
  <c r="G32" i="6" a="1"/>
  <c r="G32" i="6" s="1"/>
  <c r="F32" i="6" a="1"/>
  <c r="F32" i="6" s="1"/>
  <c r="E32" i="6" a="1"/>
  <c r="E32" i="6" s="1"/>
  <c r="D32" i="6" a="1"/>
  <c r="D32" i="6" s="1"/>
  <c r="I31" i="6" a="1"/>
  <c r="I31" i="6" s="1"/>
  <c r="H31" i="6" a="1"/>
  <c r="H31" i="6" s="1"/>
  <c r="G31" i="6" a="1"/>
  <c r="G31" i="6" s="1"/>
  <c r="F31" i="6" a="1"/>
  <c r="F31" i="6" s="1"/>
  <c r="E31" i="6" a="1"/>
  <c r="E31" i="6" s="1"/>
  <c r="D31" i="6" a="1"/>
  <c r="D31" i="6" s="1"/>
  <c r="I30" i="6" a="1"/>
  <c r="I30" i="6" s="1"/>
  <c r="H30" i="6" a="1"/>
  <c r="H30" i="6" s="1"/>
  <c r="G30" i="6" a="1"/>
  <c r="G30" i="6" s="1"/>
  <c r="F30" i="6" a="1"/>
  <c r="F30" i="6" s="1"/>
  <c r="E30" i="6" a="1"/>
  <c r="E30" i="6" s="1"/>
  <c r="D30" i="6" a="1"/>
  <c r="D30" i="6" s="1"/>
  <c r="I29" i="6" a="1"/>
  <c r="I29" i="6" s="1"/>
  <c r="H29" i="6" a="1"/>
  <c r="H29" i="6" s="1"/>
  <c r="G29" i="6" a="1"/>
  <c r="G29" i="6" s="1"/>
  <c r="F29" i="6" a="1"/>
  <c r="F29" i="6" s="1"/>
  <c r="E29" i="6" a="1"/>
  <c r="E29" i="6" s="1"/>
  <c r="D29" i="6" a="1"/>
  <c r="D29" i="6" s="1"/>
  <c r="R28" i="6" a="1"/>
  <c r="R28" i="6" s="1"/>
  <c r="Q28" i="6" a="1"/>
  <c r="Q28" i="6" s="1"/>
  <c r="L28" i="6" a="1"/>
  <c r="L28" i="6" s="1"/>
  <c r="K28" i="6" a="1"/>
  <c r="K28" i="6" s="1"/>
  <c r="I28" i="6" a="1"/>
  <c r="I28" i="6" s="1"/>
  <c r="H28" i="6" a="1"/>
  <c r="H28" i="6" s="1"/>
  <c r="G28" i="6" a="1"/>
  <c r="G28" i="6" s="1"/>
  <c r="F28" i="6" a="1"/>
  <c r="F28" i="6" s="1"/>
  <c r="E28" i="6" a="1"/>
  <c r="E28" i="6" s="1"/>
  <c r="D28" i="6" a="1"/>
  <c r="D28" i="6" s="1"/>
  <c r="R27" i="6" a="1"/>
  <c r="R27" i="6" s="1"/>
  <c r="Q27" i="6" a="1"/>
  <c r="Q27" i="6" s="1"/>
  <c r="L27" i="6" a="1"/>
  <c r="L27" i="6" s="1"/>
  <c r="K27" i="6" a="1"/>
  <c r="K27" i="6" s="1"/>
  <c r="I27" i="6" a="1"/>
  <c r="I27" i="6" s="1"/>
  <c r="H27" i="6" a="1"/>
  <c r="H27" i="6" s="1"/>
  <c r="G27" i="6" a="1"/>
  <c r="G27" i="6" s="1"/>
  <c r="F27" i="6" a="1"/>
  <c r="F27" i="6" s="1"/>
  <c r="E27" i="6" a="1"/>
  <c r="E27" i="6" s="1"/>
  <c r="D27" i="6" a="1"/>
  <c r="D27" i="6" s="1"/>
  <c r="R26" i="6" a="1"/>
  <c r="R26" i="6" s="1"/>
  <c r="Q26" i="6" a="1"/>
  <c r="Q26" i="6" s="1"/>
  <c r="L26" i="6" a="1"/>
  <c r="L26" i="6" s="1"/>
  <c r="K26" i="6" a="1"/>
  <c r="K26" i="6" s="1"/>
  <c r="I26" i="6" a="1"/>
  <c r="I26" i="6" s="1"/>
  <c r="H26" i="6" a="1"/>
  <c r="H26" i="6" s="1"/>
  <c r="G26" i="6" a="1"/>
  <c r="G26" i="6" s="1"/>
  <c r="F26" i="6" a="1"/>
  <c r="F26" i="6" s="1"/>
  <c r="E26" i="6" a="1"/>
  <c r="E26" i="6" s="1"/>
  <c r="D26" i="6" a="1"/>
  <c r="D26" i="6"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R23" i="6" a="1"/>
  <c r="R23" i="6" s="1"/>
  <c r="Q23" i="6" a="1"/>
  <c r="Q23" i="6" s="1"/>
  <c r="L23" i="6" a="1"/>
  <c r="L23" i="6" s="1"/>
  <c r="K23" i="6" a="1"/>
  <c r="K23" i="6" s="1"/>
  <c r="I23" i="6" a="1"/>
  <c r="I23" i="6" s="1"/>
  <c r="H23" i="6" a="1"/>
  <c r="H23" i="6" s="1"/>
  <c r="G23" i="6" a="1"/>
  <c r="G23" i="6" s="1"/>
  <c r="F23" i="6" a="1"/>
  <c r="F23" i="6" s="1"/>
  <c r="E23" i="6" a="1"/>
  <c r="E23" i="6" s="1"/>
  <c r="D23" i="6" a="1"/>
  <c r="D23" i="6"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R20" i="6" a="1"/>
  <c r="R20" i="6" s="1"/>
  <c r="Q20" i="6" a="1"/>
  <c r="Q20" i="6" s="1"/>
  <c r="L20" i="6" a="1"/>
  <c r="L20" i="6" s="1"/>
  <c r="K20" i="6" a="1"/>
  <c r="K20" i="6" s="1"/>
  <c r="I20" i="6" a="1"/>
  <c r="I20" i="6" s="1"/>
  <c r="H20" i="6" a="1"/>
  <c r="H20" i="6" s="1"/>
  <c r="G20" i="6" a="1"/>
  <c r="G20" i="6" s="1"/>
  <c r="F20" i="6" a="1"/>
  <c r="F20" i="6" s="1"/>
  <c r="E20" i="6" a="1"/>
  <c r="E20" i="6" s="1"/>
  <c r="D20" i="6" a="1"/>
  <c r="D20" i="6" s="1"/>
  <c r="Q18" i="6" a="1"/>
  <c r="Q18" i="6" s="1"/>
  <c r="K18" i="6" a="1"/>
  <c r="K18" i="6" s="1"/>
  <c r="Q17" i="6" a="1"/>
  <c r="Q17" i="6" s="1"/>
  <c r="K17" i="6" a="1"/>
  <c r="K17" i="6" s="1"/>
  <c r="D7" i="6" a="1"/>
  <c r="D7" i="6" s="1"/>
  <c r="D6" i="6" a="1"/>
  <c r="D6" i="6" s="1"/>
  <c r="D5" i="6" a="1"/>
  <c r="D5" i="6" s="1"/>
  <c r="O74" i="34" l="1" a="1"/>
  <c r="O74" i="34" s="1"/>
  <c r="T86" i="34" s="1"/>
  <c r="O90" i="34" s="1" a="1"/>
  <c r="O90" i="34" s="1"/>
  <c r="R571" i="19" s="1"/>
  <c r="I69" i="34"/>
  <c r="E35" i="34" a="1"/>
  <c r="E35" i="34" s="1"/>
  <c r="I48" i="34" s="1"/>
  <c r="O35" i="34" a="1"/>
  <c r="O35" i="34" s="1"/>
  <c r="S48" i="34" s="1"/>
  <c r="O55" i="34" s="1" a="1"/>
  <c r="O55" i="34" s="1"/>
  <c r="R570" i="19" s="1"/>
  <c r="E31" i="41"/>
  <c r="F31" i="41" s="1"/>
  <c r="E237" i="19"/>
  <c r="J237" i="19" s="1" a="1"/>
  <c r="J237" i="19" s="1"/>
  <c r="J245" i="19" a="1"/>
  <c r="J245" i="19" s="1"/>
  <c r="J238" i="19" a="1"/>
  <c r="J238" i="19" s="1"/>
  <c r="J240" i="19" a="1"/>
  <c r="J240" i="19" s="1"/>
  <c r="J242" i="19" a="1"/>
  <c r="J242" i="19" s="1"/>
  <c r="J244" i="19" a="1"/>
  <c r="J244" i="19" s="1"/>
  <c r="J246" i="19" a="1"/>
  <c r="J246" i="19" s="1"/>
  <c r="J241" i="19" a="1"/>
  <c r="J241" i="19" s="1"/>
  <c r="J239" i="19" a="1"/>
  <c r="J239" i="19" s="1"/>
  <c r="J243" i="19" a="1"/>
  <c r="J243" i="19" s="1"/>
  <c r="F20" i="7"/>
  <c r="U20" i="7" a="1"/>
  <c r="U20" i="7" s="1"/>
  <c r="G20" i="7"/>
  <c r="W20" i="7"/>
  <c r="X20" i="7"/>
  <c r="J20" i="7" a="1"/>
  <c r="J20" i="7" s="1"/>
  <c r="K20" i="7" a="1"/>
  <c r="K20" i="7" s="1"/>
  <c r="L20" i="7" a="1"/>
  <c r="L20" i="7" s="1"/>
  <c r="M20" i="7" a="1"/>
  <c r="M20" i="7" s="1"/>
  <c r="N20" i="7" a="1"/>
  <c r="N20" i="7" s="1"/>
  <c r="R20" i="7" a="1"/>
  <c r="R20" i="7" s="1"/>
  <c r="O20" i="7" a="1"/>
  <c r="O20" i="7" s="1"/>
  <c r="P20" i="7" a="1"/>
  <c r="P20" i="7" s="1"/>
  <c r="T20" i="7" a="1"/>
  <c r="T20" i="7" s="1"/>
  <c r="S20" i="7" a="1"/>
  <c r="S20" i="7" s="1"/>
  <c r="Q20" i="7" a="1"/>
  <c r="Q20" i="7" s="1"/>
  <c r="T19" i="7" a="1"/>
  <c r="T19" i="7" s="1"/>
  <c r="W19" i="7"/>
  <c r="U19" i="7" a="1"/>
  <c r="U19" i="7" s="1"/>
  <c r="F19" i="7"/>
  <c r="X19" i="7"/>
  <c r="G19" i="7"/>
  <c r="J19" i="7" a="1"/>
  <c r="J19" i="7" s="1"/>
  <c r="K19" i="7" a="1"/>
  <c r="K19" i="7" s="1"/>
  <c r="L19" i="7" a="1"/>
  <c r="L19" i="7" s="1"/>
  <c r="M19" i="7" a="1"/>
  <c r="M19" i="7" s="1"/>
  <c r="N19" i="7" a="1"/>
  <c r="N19" i="7" s="1"/>
  <c r="P19" i="7" a="1"/>
  <c r="P19" i="7" s="1"/>
  <c r="Q19" i="7" a="1"/>
  <c r="Q19" i="7" s="1"/>
  <c r="S19" i="7" a="1"/>
  <c r="S19" i="7" s="1"/>
  <c r="R19" i="7" a="1"/>
  <c r="R19" i="7" s="1"/>
  <c r="O19" i="7" a="1"/>
  <c r="O19" i="7" s="1"/>
  <c r="G178" i="20"/>
  <c r="G183" i="20"/>
  <c r="G185" i="20"/>
  <c r="G182" i="20"/>
  <c r="G184" i="20"/>
  <c r="G191" i="20"/>
  <c r="G187" i="20"/>
  <c r="G192" i="20"/>
  <c r="G198" i="20"/>
  <c r="G181" i="20"/>
  <c r="G175" i="20"/>
  <c r="G177" i="20"/>
  <c r="G174" i="20"/>
  <c r="G176" i="20"/>
  <c r="G179" i="20"/>
  <c r="G189" i="20"/>
  <c r="G188" i="20"/>
  <c r="G193" i="20"/>
  <c r="G194" i="20"/>
  <c r="G196" i="20"/>
  <c r="G195" i="20"/>
  <c r="G197" i="20"/>
  <c r="G186" i="20"/>
  <c r="G190" i="20"/>
  <c r="P25" i="7"/>
  <c r="S18" i="7" a="1"/>
  <c r="S18" i="7" s="1"/>
  <c r="F18" i="7"/>
  <c r="J18" i="7" a="1"/>
  <c r="J18" i="7" s="1"/>
  <c r="T18" i="7" a="1"/>
  <c r="T18" i="7" s="1"/>
  <c r="R18" i="7" a="1"/>
  <c r="R18" i="7" s="1"/>
  <c r="K18" i="7" a="1"/>
  <c r="K18" i="7" s="1"/>
  <c r="G18" i="7"/>
  <c r="M18" i="7" a="1"/>
  <c r="M18" i="7" s="1"/>
  <c r="Q18" i="7" a="1"/>
  <c r="Q18" i="7" s="1"/>
  <c r="P18" i="7" a="1"/>
  <c r="P18" i="7" s="1"/>
  <c r="O18" i="7" a="1"/>
  <c r="O18" i="7" s="1"/>
  <c r="N18" i="7" a="1"/>
  <c r="N18" i="7" s="1"/>
  <c r="L18" i="7" a="1"/>
  <c r="L18" i="7" s="1"/>
  <c r="X18" i="7"/>
  <c r="W18" i="7"/>
  <c r="U18" i="7" a="1"/>
  <c r="U18" i="7" s="1"/>
  <c r="D32" i="7"/>
  <c r="P24" i="7"/>
  <c r="M573" i="19" l="1" a="1"/>
  <c r="M573" i="19" s="1"/>
  <c r="O575" i="19" s="1"/>
  <c r="M578" i="19" s="1" a="1"/>
  <c r="M578" i="19" s="1"/>
  <c r="F32" i="41" s="1"/>
  <c r="AH221" i="19" a="1"/>
  <c r="AH221" i="19" s="1"/>
  <c r="AL221" i="19" a="1"/>
  <c r="AL221" i="19" s="1"/>
  <c r="O221" i="19" a="1"/>
  <c r="O221" i="19" s="1"/>
  <c r="P221" i="19" a="1"/>
  <c r="P221" i="19" s="1"/>
  <c r="AC221" i="19" a="1"/>
  <c r="AC221" i="19" s="1"/>
  <c r="AD221" i="19" a="1"/>
  <c r="AD221" i="19" s="1"/>
  <c r="Z221" i="19" a="1"/>
  <c r="Z221" i="19" s="1"/>
  <c r="AK221" i="19" a="1"/>
  <c r="AK221" i="19" s="1"/>
  <c r="AE242" i="19" a="1"/>
  <c r="AE242" i="19" s="1"/>
  <c r="AE243" i="19" a="1"/>
  <c r="AE243" i="19" s="1"/>
  <c r="S244" i="19" a="1"/>
  <c r="S244" i="19" s="1"/>
  <c r="W242" i="19" a="1"/>
  <c r="W242" i="19" s="1"/>
  <c r="AE245" i="19" a="1"/>
  <c r="AE245" i="19" s="1"/>
  <c r="S246" i="19" a="1"/>
  <c r="S246" i="19" s="1"/>
  <c r="S237" i="19" a="1"/>
  <c r="S237" i="19" s="1"/>
  <c r="S241" i="19" a="1"/>
  <c r="S241" i="19" s="1"/>
  <c r="AA242" i="19" a="1"/>
  <c r="AA242" i="19" s="1"/>
  <c r="AE239" i="19" a="1"/>
  <c r="AE239" i="19" s="1"/>
  <c r="AA241" i="19" a="1"/>
  <c r="AA241" i="19" s="1"/>
  <c r="W243" i="19" a="1"/>
  <c r="W243" i="19" s="1"/>
  <c r="AE241" i="19" a="1"/>
  <c r="AE241" i="19" s="1"/>
  <c r="AA243" i="19" a="1"/>
  <c r="AA243" i="19" s="1"/>
  <c r="AA244" i="19" a="1"/>
  <c r="AA244" i="19" s="1"/>
  <c r="AE246" i="19" a="1"/>
  <c r="AE246" i="19" s="1"/>
  <c r="S245" i="19" a="1"/>
  <c r="S245" i="19" s="1"/>
  <c r="W245" i="19" a="1"/>
  <c r="W245" i="19" s="1"/>
  <c r="W238" i="19" a="1"/>
  <c r="W238" i="19" s="1"/>
  <c r="S239" i="19" a="1"/>
  <c r="S239" i="19" s="1"/>
  <c r="AA245" i="19" a="1"/>
  <c r="AA245" i="19" s="1"/>
  <c r="AA246" i="19" a="1"/>
  <c r="AA246" i="19" s="1"/>
  <c r="W241" i="19" a="1"/>
  <c r="W241" i="19" s="1"/>
  <c r="AA239" i="19" a="1"/>
  <c r="AA239" i="19" s="1"/>
  <c r="S238" i="19" a="1"/>
  <c r="S238" i="19" s="1"/>
  <c r="W246" i="19" a="1"/>
  <c r="W246" i="19" s="1"/>
  <c r="S242" i="19" a="1"/>
  <c r="S242" i="19" s="1"/>
  <c r="S243" i="19" a="1"/>
  <c r="S243" i="19" s="1"/>
  <c r="S240" i="19" a="1"/>
  <c r="S240" i="19" s="1"/>
  <c r="AE237" i="19" a="1"/>
  <c r="AE237" i="19" s="1"/>
  <c r="K237" i="19" s="1" a="1"/>
  <c r="K237" i="19" s="1"/>
  <c r="W237" i="19" a="1"/>
  <c r="W237" i="19" s="1"/>
  <c r="AE240" i="19" a="1"/>
  <c r="AE240" i="19" s="1"/>
  <c r="W244" i="19" a="1"/>
  <c r="W244" i="19" s="1"/>
  <c r="AA237" i="19" a="1"/>
  <c r="AA237" i="19" s="1"/>
  <c r="AA238" i="19" a="1"/>
  <c r="AA238" i="19" s="1"/>
  <c r="AE238" i="19" a="1"/>
  <c r="AE238" i="19" s="1"/>
  <c r="W239" i="19" a="1"/>
  <c r="W239" i="19" s="1"/>
  <c r="AA240" i="19" a="1"/>
  <c r="AA240" i="19" s="1"/>
  <c r="W240" i="19" a="1"/>
  <c r="W240" i="19" s="1"/>
  <c r="AE244" i="19" a="1"/>
  <c r="AE244" i="19" s="1"/>
  <c r="U221" i="19" a="1"/>
  <c r="U221" i="19" s="1"/>
  <c r="Y221" i="19" a="1"/>
  <c r="Y221" i="19" s="1"/>
  <c r="R221" i="19" a="1"/>
  <c r="R221" i="19" s="1"/>
  <c r="V221" i="19" a="1"/>
  <c r="V221" i="19" s="1"/>
  <c r="AG221" i="19" a="1"/>
  <c r="AG221" i="19" s="1"/>
  <c r="Q221" i="19" a="1"/>
  <c r="Q221" i="19" s="1"/>
  <c r="I19" i="7"/>
  <c r="V19" i="7"/>
  <c r="I20" i="7"/>
  <c r="V20" i="7"/>
  <c r="I18" i="7"/>
  <c r="V18" i="7"/>
  <c r="E221" i="19" l="1" a="1"/>
  <c r="E221" i="19" s="1"/>
  <c r="F119" i="19"/>
  <c r="G119" i="19" s="1" a="1"/>
  <c r="G11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9" i="19" l="1" a="1"/>
  <c r="J229" i="19" s="1"/>
  <c r="K221" i="19" a="1"/>
  <c r="K221" i="19" s="1"/>
  <c r="J223" i="19" a="1"/>
  <c r="J223" i="19" s="1"/>
  <c r="J230" i="19" a="1"/>
  <c r="J230" i="19" s="1"/>
  <c r="J226" i="19" a="1"/>
  <c r="J226" i="19" s="1"/>
  <c r="J221" i="19"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H221" i="19" a="1"/>
  <c r="H221"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G221" i="19" l="1" a="1"/>
  <c r="G221" i="19" s="1"/>
  <c r="E248" i="19" s="1"/>
  <c r="E252" i="19"/>
  <c r="F17" i="41" s="1"/>
  <c r="E249" i="19"/>
  <c r="E74" i="34" a="1"/>
  <c r="E74" i="34" s="1"/>
  <c r="J86" i="34" s="1"/>
  <c r="E130" i="19"/>
  <c r="E144" i="19" s="1"/>
  <c r="E15" i="41" s="1"/>
  <c r="E131" i="19"/>
  <c r="E145" i="19" s="1"/>
  <c r="F15" i="41" s="1"/>
  <c r="E251" i="19"/>
  <c r="E17" i="41" s="1"/>
  <c r="E19" i="34" l="1" a="1"/>
  <c r="E19" i="34" s="1"/>
  <c r="J569" i="19" s="1"/>
  <c r="E90" i="34" a="1"/>
  <c r="E90" i="34" s="1"/>
  <c r="J571" i="19" s="1"/>
  <c r="E55" i="34" a="1"/>
  <c r="E55" i="34" s="1"/>
  <c r="J570" i="19" s="1"/>
  <c r="E573" i="19" l="1" a="1"/>
  <c r="E573" i="19" s="1"/>
  <c r="G575" i="19" s="1"/>
  <c r="E578" i="19" s="1" a="1"/>
  <c r="E578"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<sst xmlns="http://schemas.openxmlformats.org/spreadsheetml/2006/main" count="2448" uniqueCount="925">
  <si>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</si>
  <si>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</si>
  <si>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</si>
  <si>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</si>
  <si>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</si>
  <si>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</si>
  <si>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</si>
  <si>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</si>
  <si>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</si>
  <si>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</si>
  <si>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</si>
  <si>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</si>
  <si>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</si>
  <si>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</si>
  <si>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</si>
  <si>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</si>
  <si>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</si>
  <si>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</si>
  <si>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</si>
  <si>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</si>
  <si>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</si>
  <si>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</si>
  <si>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</si>
  <si>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</si>
  <si>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</si>
  <si>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</si>
  <si>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</si>
  <si>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</si>
  <si>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</si>
  <si>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</si>
  <si>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</si>
  <si>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</si>
  <si>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</si>
  <si>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</si>
  <si>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</si>
  <si>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</si>
  <si>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</si>
  <si>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</si>
  <si>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</si>
  <si>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</si>
  <si>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</si>
  <si>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</si>
  <si>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</si>
  <si>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</si>
  <si>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</si>
  <si>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</si>
  <si>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</si>
  <si>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</si>
  <si>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</si>
  <si>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</si>
  <si>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</si>
  <si>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</si>
  <si>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</si>
  <si>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</si>
  <si>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</si>
  <si>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</si>
  <si>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</si>
  <si>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</si>
  <si>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</si>
  <si>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</si>
  <si>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</si>
  <si>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</si>
  <si>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</si>
  <si>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</si>
  <si>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</si>
  <si>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</si>
  <si>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</si>
  <si>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</si>
  <si>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</si>
  <si>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</si>
  <si>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</si>
  <si>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</si>
  <si>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</si>
  <si>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</si>
  <si>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</si>
  <si>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</si>
  <si>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</si>
  <si>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</si>
  <si>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</si>
  <si>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</si>
  <si>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</si>
  <si>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</si>
  <si>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</si>
  <si>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</si>
  <si>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</si>
  <si>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</si>
  <si>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</si>
  <si>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</si>
  <si>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</si>
  <si>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</si>
  <si>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</si>
  <si>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</si>
  <si>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</si>
  <si>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</si>
  <si>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</si>
  <si>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</si>
  <si>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</si>
  <si>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</si>
  <si>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</si>
  <si>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</si>
  <si>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</si>
  <si>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</si>
  <si>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</si>
  <si>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</si>
  <si>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</si>
  <si>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</si>
  <si>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</si>
  <si>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</si>
  <si>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</si>
  <si>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</si>
  <si>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</si>
  <si>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</si>
  <si>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</si>
  <si>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</si>
  <si>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</si>
  <si>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</si>
  <si>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</si>
  <si>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</si>
  <si>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</si>
  <si>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</si>
  <si>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</si>
  <si>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</si>
  <si>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</si>
  <si>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</si>
  <si>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</si>
  <si>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</si>
  <si>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</si>
  <si>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</si>
  <si>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</si>
  <si>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</si>
  <si>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</si>
  <si>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</si>
  <si>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</si>
  <si>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</si>
  <si>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</si>
  <si>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</si>
  <si>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</si>
  <si>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</si>
  <si>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</si>
  <si>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</si>
  <si>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</si>
  <si>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</si>
  <si>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</si>
  <si>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</si>
  <si>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</si>
  <si>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</si>
  <si>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</si>
  <si>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</si>
  <si>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</si>
  <si>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</si>
  <si>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</si>
  <si>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</si>
  <si>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</si>
  <si>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</si>
  <si>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</si>
  <si>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</si>
  <si>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</si>
  <si>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</si>
  <si>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</si>
  <si>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</si>
  <si>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</si>
  <si>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</si>
  <si>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</si>
  <si>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</si>
  <si>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</si>
  <si>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</si>
  <si>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</si>
  <si>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</si>
  <si>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</si>
  <si>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</si>
  <si>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</si>
  <si>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</si>
  <si>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</si>
  <si>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</si>
  <si>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</si>
  <si>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</si>
  <si>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</si>
  <si>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</si>
  <si>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</si>
  <si>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</si>
  <si>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</si>
  <si>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</si>
  <si>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</si>
  <si>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</si>
  <si>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</si>
  <si>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</si>
  <si>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</si>
  <si>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</si>
  <si>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</si>
  <si>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</si>
  <si>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</si>
  <si>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</si>
  <si>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</si>
  <si>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</si>
  <si>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</si>
  <si>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</si>
  <si>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</si>
  <si>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</si>
  <si>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</si>
  <si>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</si>
  <si>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</si>
  <si>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</si>
  <si>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</si>
  <si>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</si>
  <si>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</si>
  <si>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</si>
  <si>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</si>
  <si>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</si>
  <si>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</si>
  <si>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</si>
  <si>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</si>
  <si>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</si>
  <si>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</si>
  <si>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</si>
  <si>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</si>
  <si>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</si>
  <si>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</si>
  <si>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</si>
  <si>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</si>
  <si>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</si>
  <si>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</si>
  <si>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</si>
  <si>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</si>
  <si>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</si>
  <si>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</si>
  <si>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</si>
  <si>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</si>
  <si>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</si>
  <si>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</si>
  <si>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</si>
  <si>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</si>
  <si>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</si>
  <si>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</si>
  <si>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</si>
  <si>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</si>
  <si>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</si>
  <si>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</si>
  <si>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</si>
  <si>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</si>
  <si>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</si>
  <si>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</si>
  <si>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</si>
  <si>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</si>
  <si>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</si>
  <si>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</si>
  <si>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</si>
  <si>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</si>
  <si>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</si>
  <si>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</si>
  <si>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</si>
  <si>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</si>
  <si>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</si>
  <si>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</si>
  <si>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</si>
  <si>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</si>
  <si>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</si>
  <si>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</si>
  <si>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</si>
  <si>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</si>
  <si>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</si>
  <si>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</si>
  <si>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</si>
  <si>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</si>
  <si>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</si>
  <si>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</si>
  <si>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</si>
  <si>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</si>
  <si>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</si>
  <si>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</si>
  <si>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</si>
  <si>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</si>
  <si>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</si>
  <si>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</si>
  <si>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</si>
  <si>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</si>
  <si>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</si>
  <si>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</si>
  <si>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</si>
  <si>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</si>
  <si>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</si>
  <si>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</si>
  <si>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</si>
  <si>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</si>
  <si>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</si>
  <si>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</si>
  <si>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</si>
  <si>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</si>
  <si>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</si>
  <si>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</si>
  <si>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</si>
  <si>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</si>
  <si>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</si>
  <si>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</si>
  <si>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</si>
  <si>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</si>
  <si>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</si>
  <si>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</si>
  <si>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</si>
  <si>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</si>
  <si>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</si>
  <si>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</si>
  <si>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</si>
  <si>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</si>
  <si>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</si>
  <si>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</si>
  <si>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</si>
  <si>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</si>
  <si>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</si>
  <si>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</si>
  <si>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</si>
  <si>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</si>
  <si>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</si>
  <si>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</si>
  <si>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</si>
  <si>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</si>
  <si>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</si>
  <si>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</si>
  <si>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Canada</t>
  </si>
  <si>
    <t>Category</t>
  </si>
  <si>
    <t>Region of origin</t>
  </si>
  <si>
    <t>Calcium nitrate</t>
  </si>
  <si>
    <t>Ammonia</t>
  </si>
  <si>
    <t>Amount applied per hectare</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</si>
  <si>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</si>
  <si>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</si>
  <si>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</si>
  <si>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</si>
  <si>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</si>
  <si>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</si>
  <si>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</si>
  <si>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</si>
  <si>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</si>
  <si>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</si>
  <si>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</si>
  <si>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</si>
  <si>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</si>
  <si>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</si>
  <si>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</si>
  <si>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</si>
  <si>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</si>
  <si>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</si>
  <si>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</si>
  <si>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</si>
  <si>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</si>
  <si>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</si>
  <si>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</si>
  <si>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</si>
  <si>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</si>
  <si>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</si>
  <si>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</si>
  <si>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</si>
  <si>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Global</t>
  </si>
  <si>
    <t>kg</t>
  </si>
  <si>
    <t>Ingredient 2 EF</t>
  </si>
  <si>
    <t>Ingredient 3 EF</t>
  </si>
  <si>
    <t>Ingredient 4 EF</t>
  </si>
  <si>
    <t>Scope 3 (Method 1)</t>
  </si>
  <si>
    <t>Scope 3 (Method 2)</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</si>
  <si>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</si>
  <si>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</si>
  <si>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</si>
  <si>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</si>
  <si>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</si>
  <si>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</si>
  <si>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</si>
  <si>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</si>
  <si>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</si>
  <si>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</si>
  <si>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</si>
  <si>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</si>
  <si>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</si>
  <si>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</si>
  <si>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</si>
  <si>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</si>
  <si>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</si>
  <si>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</si>
  <si>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</si>
  <si>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</si>
  <si>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</si>
  <si>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</si>
  <si>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</si>
  <si>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</si>
  <si>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</si>
  <si>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</si>
  <si>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</si>
  <si>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</si>
  <si>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</si>
  <si>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</si>
  <si>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</si>
  <si>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</si>
  <si>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</si>
  <si>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</si>
  <si>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</si>
  <si>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</si>
  <si>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</si>
  <si>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</si>
  <si>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</si>
  <si>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</si>
  <si>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</si>
  <si>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</si>
  <si>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</si>
  <si>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</si>
  <si>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</si>
  <si>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</si>
  <si>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</si>
  <si>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</si>
  <si>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</si>
  <si>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</si>
  <si>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</si>
  <si>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</si>
  <si>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</si>
  <si>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</si>
  <si>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</si>
  <si>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</si>
  <si>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</si>
  <si>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</si>
  <si>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</si>
  <si>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</si>
  <si>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</si>
  <si>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</si>
  <si>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</si>
  <si>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</si>
  <si>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</si>
  <si>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</si>
  <si>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</si>
  <si>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</si>
  <si>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</si>
  <si>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</si>
  <si>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</si>
  <si>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</si>
  <si>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</si>
  <si>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</si>
  <si>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</si>
  <si>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</si>
  <si>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</si>
  <si>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</si>
  <si>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</si>
  <si>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</si>
  <si>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</si>
  <si>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</si>
  <si>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</si>
  <si>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</si>
  <si>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</si>
  <si>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</si>
  <si>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</si>
  <si>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</si>
  <si>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</si>
  <si>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</si>
  <si>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</si>
  <si>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</si>
  <si>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</si>
  <si>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</si>
  <si>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</si>
  <si>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</si>
  <si>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</si>
  <si>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</si>
  <si>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</si>
  <si>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</si>
  <si>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</si>
  <si>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</si>
  <si>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</si>
  <si>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</si>
  <si>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</si>
  <si>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</si>
  <si>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</si>
  <si>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</si>
  <si>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</si>
  <si>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</si>
  <si>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</si>
  <si>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</si>
  <si>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</si>
  <si>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</si>
  <si>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</si>
  <si>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</si>
  <si>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</si>
  <si>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</si>
  <si>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</si>
  <si>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</si>
  <si>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</si>
  <si>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</si>
  <si>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</si>
  <si>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</si>
  <si>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</si>
  <si>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</si>
  <si>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</si>
  <si>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</si>
  <si>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</si>
  <si>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</si>
  <si>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</si>
  <si>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</si>
  <si>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</si>
  <si>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</si>
  <si>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</si>
  <si>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</si>
  <si>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</si>
  <si>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</si>
  <si>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</si>
  <si>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</si>
  <si>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</si>
  <si>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</si>
  <si>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</si>
  <si>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</si>
  <si>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</si>
  <si>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</si>
  <si>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</si>
  <si>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</si>
  <si>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</si>
  <si>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</si>
  <si>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</si>
  <si>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</si>
  <si>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</si>
  <si>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</si>
  <si>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</si>
  <si>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</si>
  <si>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</si>
  <si>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</si>
  <si>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</si>
  <si>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</si>
  <si>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</si>
  <si>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</si>
  <si>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</si>
  <si>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</si>
  <si>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</si>
  <si>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</si>
  <si>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</si>
  <si>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</si>
  <si>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</si>
  <si>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</si>
  <si>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</si>
  <si>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</si>
  <si>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</si>
  <si>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</si>
  <si>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</si>
  <si>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</si>
  <si>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</si>
  <si>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</si>
  <si>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</si>
  <si>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</si>
  <si>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</si>
  <si>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</si>
  <si>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</si>
  <si>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</si>
  <si>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</si>
  <si>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</si>
  <si>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</si>
  <si>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</si>
  <si>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</si>
  <si>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</si>
  <si>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</si>
  <si>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</si>
  <si>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</si>
  <si>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</si>
  <si>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</si>
  <si>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</si>
  <si>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</si>
  <si>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</si>
  <si>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</si>
  <si>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</si>
  <si>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</si>
  <si>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</si>
  <si>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</si>
  <si>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</si>
  <si>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</si>
  <si>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</si>
  <si>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</si>
  <si>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</si>
  <si>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</si>
  <si>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</si>
  <si>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</si>
  <si>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</si>
  <si>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</si>
  <si>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</si>
  <si>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</si>
  <si>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</si>
  <si>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</si>
  <si>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</si>
  <si>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</si>
  <si>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</si>
  <si>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</si>
  <si>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</si>
  <si>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</si>
  <si>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</si>
  <si>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</si>
  <si>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</si>
  <si>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</si>
  <si>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</si>
  <si>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</si>
  <si>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</si>
  <si>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</si>
  <si>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</si>
  <si>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</si>
  <si>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</si>
  <si>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</si>
  <si>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</si>
  <si>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</si>
  <si>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</si>
  <si>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</si>
  <si>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</si>
  <si>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</si>
  <si>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</si>
  <si>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</si>
  <si>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</si>
  <si>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</si>
  <si>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</si>
  <si>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</si>
  <si>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</si>
  <si>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</si>
  <si>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</si>
  <si>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</si>
  <si>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</si>
  <si>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</si>
  <si>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</si>
  <si>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</si>
  <si>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</si>
  <si>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Total amount</t>
  </si>
  <si>
    <t>Scope 3 unit</t>
  </si>
  <si>
    <t>Hour</t>
  </si>
  <si>
    <t>Hectare</t>
  </si>
  <si>
    <t>Wheat harvesting</t>
  </si>
  <si>
    <t>Activity</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</si>
  <si>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</si>
  <si>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</si>
  <si>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</si>
  <si>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</si>
  <si>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</si>
  <si>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</si>
  <si>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</si>
  <si>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</si>
  <si>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</si>
  <si>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</si>
  <si>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</si>
  <si>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</si>
  <si>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</si>
  <si>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</si>
  <si>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</si>
  <si>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</si>
  <si>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</si>
  <si>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</si>
  <si>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</si>
  <si>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</si>
  <si>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</si>
  <si>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</si>
  <si>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</si>
  <si>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</si>
  <si>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</si>
  <si>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</si>
  <si>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</si>
  <si>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</si>
  <si>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</si>
  <si>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</si>
  <si>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</si>
  <si>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</si>
  <si>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</si>
  <si>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</si>
  <si>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</si>
  <si>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</si>
  <si>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</si>
  <si>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</si>
  <si>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</si>
  <si>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</si>
  <si>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</si>
  <si>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</si>
  <si>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</si>
  <si>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</si>
  <si>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</si>
  <si>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</si>
  <si>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</si>
  <si>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</si>
  <si>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</si>
  <si>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</si>
  <si>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</si>
  <si>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</si>
  <si>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</si>
  <si>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</si>
  <si>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</si>
  <si>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</si>
  <si>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</si>
  <si>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</si>
  <si>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</si>
  <si>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</si>
  <si>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</si>
  <si>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</si>
  <si>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</si>
  <si>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</si>
  <si>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</si>
  <si>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</si>
  <si>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</si>
  <si>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</si>
  <si>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</si>
  <si>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</si>
  <si>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</si>
  <si>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</si>
  <si>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</si>
  <si>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</si>
  <si>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</si>
  <si>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</si>
  <si>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</si>
  <si>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</si>
  <si>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</si>
  <si>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</si>
  <si>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</si>
  <si>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</si>
  <si>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</si>
  <si>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</si>
  <si>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</si>
  <si>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</si>
  <si>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</si>
  <si>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</si>
  <si>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</si>
  <si>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</si>
  <si>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</si>
  <si>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</si>
  <si>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</si>
  <si>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</si>
  <si>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</si>
  <si>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</si>
  <si>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</si>
  <si>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</si>
  <si>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</si>
  <si>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</si>
  <si>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</si>
  <si>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</si>
  <si>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</si>
  <si>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</si>
  <si>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</si>
  <si>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</si>
  <si>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</si>
  <si>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</si>
  <si>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</si>
  <si>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</si>
  <si>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</si>
  <si>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</si>
  <si>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</si>
  <si>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</si>
  <si>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</si>
  <si>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</si>
  <si>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</si>
  <si>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</si>
  <si>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</si>
  <si>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</si>
  <si>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</si>
  <si>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</si>
  <si>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</si>
  <si>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</si>
  <si>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</si>
  <si>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</si>
  <si>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</si>
  <si>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</si>
  <si>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</si>
  <si>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</si>
  <si>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</si>
  <si>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</si>
  <si>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</si>
  <si>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</si>
  <si>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</si>
  <si>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</si>
  <si>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</si>
  <si>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</si>
  <si>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</si>
  <si>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</si>
  <si>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</si>
  <si>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</si>
  <si>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</si>
  <si>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</si>
  <si>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</si>
  <si>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</si>
  <si>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</si>
  <si>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</si>
  <si>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Input - Waste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</si>
  <si>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</si>
  <si>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</si>
  <si>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</si>
  <si>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</si>
  <si>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</si>
  <si>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</si>
  <si>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</si>
  <si>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</si>
  <si>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</si>
  <si>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</si>
  <si>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</si>
  <si>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</si>
  <si>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</si>
  <si>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</si>
  <si>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</si>
  <si>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</si>
  <si>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Burn all the cardboard</t>
  </si>
  <si>
    <t>Incineration</t>
  </si>
  <si>
    <t>Paper and cardboard</t>
  </si>
  <si>
    <t>Removed and treated off-site</t>
  </si>
  <si>
    <t>cubic metres m3</t>
  </si>
  <si>
    <t>tonnes</t>
  </si>
  <si>
    <t>Landfill</t>
  </si>
  <si>
    <t>Food waste (including animal carcasses, spoiled animal feed or crop)</t>
  </si>
  <si>
    <t>Solid waste treatment - off-site</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</si>
  <si>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</si>
  <si>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</si>
  <si>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</si>
  <si>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</si>
  <si>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</si>
  <si>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</si>
  <si>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</si>
  <si>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</si>
  <si>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</si>
  <si>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</si>
  <si>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</si>
  <si>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</si>
  <si>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</si>
  <si>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</si>
  <si>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</si>
  <si>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</si>
  <si>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</si>
  <si>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</si>
  <si>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</si>
  <si>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</si>
  <si>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</si>
  <si>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</si>
  <si>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</si>
  <si>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</si>
  <si>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</si>
  <si>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</si>
  <si>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</si>
  <si>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</si>
  <si>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</si>
  <si>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</si>
  <si>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</si>
  <si>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</si>
  <si>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</si>
  <si>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</si>
  <si>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</si>
  <si>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</si>
  <si>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</si>
  <si>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Textiles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</si>
  <si>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</si>
  <si>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</si>
  <si>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</si>
  <si>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</si>
  <si>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</si>
  <si>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</si>
  <si>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</si>
  <si>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</si>
  <si>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</si>
  <si>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</si>
  <si>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</si>
  <si>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Amount applied (kg / ha)</t>
  </si>
  <si>
    <t>How do you want to calculate electricity emissions?</t>
  </si>
  <si>
    <t>Location-based (simpler)</t>
  </si>
  <si>
    <t>Jersey crossbred</t>
  </si>
  <si>
    <t>Ayrshire</t>
  </si>
  <si>
    <t>Cereal silage</t>
  </si>
  <si>
    <t>Not used</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</si>
  <si>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</si>
  <si>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</si>
  <si>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</si>
  <si>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</si>
  <si>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</si>
  <si>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</si>
  <si>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</si>
  <si>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</si>
  <si>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</si>
  <si>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</si>
  <si>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</si>
  <si>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Input - Poultry Purchases</t>
  </si>
  <si>
    <t>Input - Pig Purchases</t>
  </si>
  <si>
    <t>Input - Dairy Cattle Purchases</t>
  </si>
  <si>
    <t>Input - Beef Cattle Purchases</t>
  </si>
  <si>
    <t>⚠️ Livestock sales and purchases are not automatically reflected in the duration and head count tables - you will need to manually adjust head count, duration and average liveweight</t>
  </si>
  <si>
    <t>Urea source (Select)</t>
  </si>
  <si>
    <t>Ammonia source (select)</t>
  </si>
  <si>
    <t>Livestock, wild catch fishery, aquaculture</t>
  </si>
  <si>
    <t>Purchased feed blends for livestock</t>
  </si>
  <si>
    <t>Input - Horticulture Farm Inputs</t>
  </si>
  <si>
    <t>Input - Common farm inputs</t>
  </si>
  <si>
    <t>Input - Crop and pasture farm inputs</t>
  </si>
  <si>
    <t>Input - Livestock farm inputs</t>
  </si>
  <si>
    <t>Input - Processing and packaging inputs</t>
  </si>
  <si>
    <t>Aqua Grow</t>
  </si>
  <si>
    <t>Aqua Finish</t>
  </si>
  <si>
    <t>Aqua NitroCal</t>
  </si>
  <si>
    <t>Data quality scoring</t>
  </si>
  <si>
    <t>Table_SourceData_DataQuality_TemporalRepresentativeness</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</si>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</sst>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2"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
      <b/>
      <sz val="11"/>
      <color theme="1"/>
      <name val="Times New Roman"/>
      <family val="2"/>
    </font>
    <font>
      <sz val="9"/>
      <color rgb="FF404040"/>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5" fillId="0" borderId="0"/>
    <xf numFmtId="0" fontId="26" fillId="2" borderId="0">
      <alignment horizontal="left" vertical="center"/>
    </xf>
    <xf numFmtId="0" fontId="27" fillId="2" borderId="0">
      <alignment horizontal="left" vertical="center"/>
    </xf>
    <xf numFmtId="0" fontId="28" fillId="2" borderId="0">
      <alignment horizontal="left" vertical="center"/>
    </xf>
    <xf numFmtId="0" fontId="29" fillId="4" borderId="0">
      <alignment horizontal="center" vertical="center"/>
    </xf>
    <xf numFmtId="0" fontId="30" fillId="2" borderId="0" applyNumberFormat="0">
      <alignment horizontal="center" vertical="center"/>
    </xf>
    <xf numFmtId="0" fontId="31" fillId="2" borderId="0">
      <alignment horizontal="left" vertical="center"/>
    </xf>
    <xf numFmtId="0" fontId="10" fillId="2" borderId="0">
      <alignment horizontal="left" vertical="center" indent="1"/>
    </xf>
    <xf numFmtId="0" fontId="11" fillId="0" borderId="1">
      <alignment horizontal="center" vertical="center"/>
    </xf>
    <xf numFmtId="0" fontId="35"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0" fillId="2" borderId="0">
      <alignment vertical="center"/>
    </xf>
    <xf numFmtId="166" fontId="11" fillId="0" borderId="1">
      <alignment horizontal="center" vertical="center"/>
    </xf>
    <xf numFmtId="3" fontId="24" fillId="2" borderId="1">
      <alignment horizontal="center" vertical="center"/>
    </xf>
    <xf numFmtId="167" fontId="44" fillId="2" borderId="20">
      <alignment horizontal="center" vertical="center"/>
    </xf>
    <xf numFmtId="0" fontId="49" fillId="0" borderId="0" applyNumberFormat="0" applyFill="0" applyBorder="0" applyAlignment="0" applyProtection="0"/>
    <xf numFmtId="3" fontId="11" fillId="0" borderId="1">
      <alignment horizontal="center" vertical="center"/>
    </xf>
    <xf numFmtId="0" fontId="29" fillId="4" borderId="0">
      <alignment horizontal="left" vertical="center" indent="1"/>
      <protection locked="0"/>
    </xf>
    <xf numFmtId="0" fontId="18" fillId="12" borderId="0">
      <alignment horizontal="left" vertical="center" indent="1"/>
    </xf>
    <xf numFmtId="0" fontId="51" fillId="2" borderId="0">
      <alignment horizontal="left" vertical="center"/>
    </xf>
    <xf numFmtId="0" fontId="23" fillId="10" borderId="0">
      <alignment horizontal="left" vertical="center" indent="1"/>
    </xf>
    <xf numFmtId="0" fontId="24" fillId="2" borderId="1">
      <alignment horizontal="left" vertical="center"/>
    </xf>
    <xf numFmtId="0" fontId="56" fillId="16" borderId="1">
      <alignment horizontal="center" vertical="center"/>
    </xf>
    <xf numFmtId="0" fontId="57" fillId="15" borderId="1">
      <alignment horizontal="center" vertical="center"/>
    </xf>
    <xf numFmtId="0" fontId="58" fillId="2" borderId="1">
      <alignment horizontal="left" vertical="center"/>
    </xf>
    <xf numFmtId="0" fontId="61" fillId="2" borderId="0">
      <alignment horizontal="left" vertical="center"/>
    </xf>
    <xf numFmtId="0" fontId="56" fillId="14" borderId="1">
      <alignment horizontal="center" vertical="center"/>
    </xf>
    <xf numFmtId="4" fontId="24" fillId="2" borderId="1">
      <alignment horizontal="center" vertical="center"/>
    </xf>
    <xf numFmtId="0" fontId="75" fillId="0" borderId="0" applyNumberFormat="0" applyFill="0" applyBorder="0" applyAlignment="0" applyProtection="0"/>
    <xf numFmtId="0" fontId="79" fillId="18" borderId="0">
      <alignment horizontal="center" vertical="center"/>
    </xf>
    <xf numFmtId="167" fontId="44" fillId="2" borderId="0">
      <alignment horizontal="center" vertical="center"/>
    </xf>
  </cellStyleXfs>
  <cellXfs count="223">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6" fillId="2" borderId="0" xfId="6" applyAlignment="1">
      <alignment horizontal="left" vertical="center" wrapText="1"/>
    </xf>
    <xf numFmtId="0" fontId="3" fillId="0" borderId="0" xfId="3" applyAlignment="1">
      <alignment wrapText="1"/>
    </xf>
    <xf numFmtId="0" fontId="25" fillId="0" borderId="0" xfId="22"/>
    <xf numFmtId="0" fontId="26" fillId="2" borderId="0" xfId="23">
      <alignment horizontal="left" vertical="center"/>
    </xf>
    <xf numFmtId="0" fontId="27" fillId="2" borderId="0" xfId="24">
      <alignment horizontal="left" vertical="center"/>
    </xf>
    <xf numFmtId="0" fontId="28" fillId="2" borderId="0" xfId="25">
      <alignment horizontal="left" vertical="center"/>
    </xf>
    <xf numFmtId="0" fontId="29" fillId="4" borderId="0" xfId="26">
      <alignment horizontal="center" vertical="center"/>
    </xf>
    <xf numFmtId="0" fontId="30" fillId="2" borderId="0" xfId="27" applyAlignment="1">
      <alignment horizontal="left" vertical="center"/>
    </xf>
    <xf numFmtId="0" fontId="31" fillId="2" borderId="0" xfId="28">
      <alignment horizontal="left" vertical="center"/>
    </xf>
    <xf numFmtId="0" fontId="4" fillId="2" borderId="10" xfId="4" applyBorder="1">
      <alignment horizontal="left" vertical="center"/>
    </xf>
    <xf numFmtId="0" fontId="30"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3" fillId="2" borderId="0" xfId="3" applyFont="1" applyFill="1" applyAlignment="1">
      <alignment horizontal="center" vertical="center"/>
    </xf>
    <xf numFmtId="0" fontId="33" fillId="2" borderId="0" xfId="3" applyFont="1" applyFill="1"/>
    <xf numFmtId="0" fontId="34" fillId="2" borderId="0" xfId="3" applyFont="1" applyFill="1"/>
    <xf numFmtId="0" fontId="22" fillId="8" borderId="11" xfId="16" applyBorder="1">
      <alignment horizontal="left" vertical="center"/>
    </xf>
    <xf numFmtId="0" fontId="35"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6" fillId="2" borderId="0" xfId="33" applyFont="1" applyFill="1" applyAlignment="1">
      <alignment horizontal="left" vertical="center" wrapText="1"/>
    </xf>
    <xf numFmtId="2" fontId="33" fillId="2" borderId="0" xfId="34" applyNumberFormat="1" applyFont="1" applyFill="1" applyBorder="1" applyAlignment="1" applyProtection="1">
      <alignment horizontal="center" wrapText="1"/>
      <protection locked="0"/>
    </xf>
    <xf numFmtId="1" fontId="33" fillId="2" borderId="0" xfId="34" applyNumberFormat="1" applyFont="1" applyFill="1" applyBorder="1" applyAlignment="1" applyProtection="1">
      <alignment horizontal="center" wrapText="1"/>
      <protection locked="0"/>
    </xf>
    <xf numFmtId="0" fontId="33" fillId="2" borderId="0" xfId="3" applyFont="1" applyFill="1" applyAlignment="1">
      <alignment horizontal="left" wrapText="1"/>
    </xf>
    <xf numFmtId="0" fontId="34" fillId="2" borderId="0" xfId="3" applyFont="1" applyFill="1" applyAlignment="1">
      <alignment wrapText="1"/>
    </xf>
    <xf numFmtId="0" fontId="35"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7"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7"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0"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1"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2"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6" fillId="0" borderId="0" xfId="3" applyFont="1" applyAlignment="1" applyProtection="1">
      <alignment horizontal="center" vertical="center"/>
      <protection locked="0"/>
    </xf>
    <xf numFmtId="4" fontId="43" fillId="0" borderId="0" xfId="32" applyFont="1" applyBorder="1">
      <alignment horizontal="center" vertical="center"/>
    </xf>
    <xf numFmtId="167" fontId="44" fillId="2" borderId="0" xfId="41" applyBorder="1">
      <alignment horizontal="center" vertical="center"/>
    </xf>
    <xf numFmtId="4" fontId="43" fillId="2" borderId="0" xfId="32" applyFont="1" applyFill="1" applyBorder="1">
      <alignment horizontal="center" vertical="center"/>
    </xf>
    <xf numFmtId="0" fontId="43" fillId="2" borderId="0" xfId="29" applyFont="1" applyAlignment="1">
      <alignment horizontal="center" vertical="center"/>
    </xf>
    <xf numFmtId="0" fontId="43" fillId="2" borderId="0" xfId="6" applyFont="1" applyAlignment="1">
      <alignment horizontal="center" vertical="center"/>
    </xf>
    <xf numFmtId="164" fontId="43" fillId="2" borderId="0" xfId="6" applyNumberFormat="1" applyFont="1" applyAlignment="1">
      <alignment horizontal="center" vertical="center"/>
    </xf>
    <xf numFmtId="9" fontId="43" fillId="2" borderId="0" xfId="36" applyFont="1" applyFill="1" applyBorder="1" applyAlignment="1">
      <alignment horizontal="center" vertical="center"/>
    </xf>
    <xf numFmtId="0" fontId="45" fillId="2" borderId="0" xfId="3" applyFont="1" applyFill="1" applyAlignment="1">
      <alignment horizontal="center" vertical="center"/>
    </xf>
    <xf numFmtId="0" fontId="45" fillId="2" borderId="0" xfId="3" applyFont="1" applyFill="1"/>
    <xf numFmtId="0" fontId="43" fillId="2" borderId="0" xfId="3" applyFont="1" applyFill="1"/>
    <xf numFmtId="0" fontId="43" fillId="0" borderId="0" xfId="3" applyFont="1"/>
    <xf numFmtId="0" fontId="46" fillId="2" borderId="0" xfId="4" applyFont="1" applyAlignment="1">
      <alignment horizontal="center" vertical="center"/>
    </xf>
    <xf numFmtId="0" fontId="47" fillId="2" borderId="0" xfId="4" applyFont="1" applyAlignment="1">
      <alignment horizontal="center" vertical="center"/>
    </xf>
    <xf numFmtId="164" fontId="47" fillId="2" borderId="0" xfId="4" applyNumberFormat="1" applyFont="1" applyAlignment="1">
      <alignment horizontal="center" vertical="center"/>
    </xf>
    <xf numFmtId="0" fontId="47" fillId="2" borderId="0" xfId="3" applyFont="1" applyFill="1" applyAlignment="1">
      <alignment horizontal="center" vertical="center"/>
    </xf>
    <xf numFmtId="0" fontId="48" fillId="2" borderId="0" xfId="3" applyFont="1" applyFill="1" applyAlignment="1">
      <alignment horizontal="center" vertical="center"/>
    </xf>
    <xf numFmtId="0" fontId="48"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49"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0" fillId="2" borderId="0" xfId="3" applyFont="1" applyFill="1"/>
    <xf numFmtId="0" fontId="0" fillId="0" borderId="0" xfId="35" applyFont="1" applyBorder="1">
      <alignment horizontal="center" vertical="center"/>
    </xf>
    <xf numFmtId="0" fontId="51" fillId="2" borderId="0" xfId="46">
      <alignment horizontal="left" vertical="center"/>
    </xf>
    <xf numFmtId="0" fontId="33"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8"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4" fillId="2" borderId="1" xfId="20" applyFont="1">
      <alignment horizontal="center" vertical="center"/>
    </xf>
    <xf numFmtId="0" fontId="52" fillId="10" borderId="0" xfId="6" applyFont="1" applyFill="1">
      <alignment horizontal="left" vertical="center"/>
    </xf>
    <xf numFmtId="0" fontId="52"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5"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6" fillId="16" borderId="1" xfId="49">
      <alignment horizontal="center" vertical="center"/>
    </xf>
    <xf numFmtId="0" fontId="57" fillId="15" borderId="1" xfId="50">
      <alignment horizontal="center" vertical="center"/>
    </xf>
    <xf numFmtId="0" fontId="58" fillId="2" borderId="1" xfId="51">
      <alignment horizontal="left" vertical="center"/>
    </xf>
    <xf numFmtId="0" fontId="24" fillId="2" borderId="23" xfId="48" applyBorder="1">
      <alignment horizontal="left" vertical="center"/>
    </xf>
    <xf numFmtId="0" fontId="61"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5" fillId="2" borderId="10" xfId="6" applyFont="1" applyBorder="1">
      <alignment horizontal="left" vertical="center"/>
    </xf>
    <xf numFmtId="0" fontId="66" fillId="2" borderId="10" xfId="6" applyFont="1" applyBorder="1">
      <alignment horizontal="left" vertical="center"/>
    </xf>
    <xf numFmtId="0" fontId="67" fillId="2" borderId="10" xfId="10" applyFont="1" applyBorder="1">
      <alignment horizontal="left" vertical="center"/>
    </xf>
    <xf numFmtId="0" fontId="68"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4" fillId="2" borderId="1" xfId="20" applyNumberFormat="1" applyFont="1">
      <alignment horizontal="center" vertical="center"/>
    </xf>
    <xf numFmtId="4" fontId="24" fillId="2" borderId="21" xfId="54" applyBorder="1">
      <alignment horizontal="center" vertical="center"/>
    </xf>
    <xf numFmtId="169" fontId="54"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4" applyBorder="1">
      <alignment horizontal="center" vertical="center"/>
    </xf>
    <xf numFmtId="4" fontId="24" fillId="2" borderId="27" xfId="54" applyBorder="1">
      <alignment horizontal="center" vertical="center"/>
    </xf>
    <xf numFmtId="169" fontId="54" fillId="2" borderId="27" xfId="20" applyNumberFormat="1" applyFont="1" applyBorder="1">
      <alignment horizontal="center" vertical="center"/>
    </xf>
    <xf numFmtId="169" fontId="54" fillId="2" borderId="25" xfId="20" applyNumberFormat="1" applyFont="1" applyBorder="1">
      <alignment horizontal="center" vertical="center"/>
    </xf>
    <xf numFmtId="0" fontId="24" fillId="2" borderId="27" xfId="20" applyBorder="1">
      <alignment horizontal="center" vertical="center"/>
    </xf>
    <xf numFmtId="0" fontId="54"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1" fillId="2" borderId="28" xfId="3" applyNumberFormat="1" applyFont="1" applyFill="1" applyBorder="1" applyAlignment="1">
      <alignment vertical="center"/>
    </xf>
    <xf numFmtId="171" fontId="54" fillId="2" borderId="1" xfId="54" applyNumberFormat="1" applyFont="1">
      <alignment horizontal="center" vertical="center"/>
    </xf>
    <xf numFmtId="171" fontId="54" fillId="2" borderId="21" xfId="54" applyNumberFormat="1" applyFont="1" applyBorder="1">
      <alignment horizontal="center" vertical="center"/>
    </xf>
    <xf numFmtId="171" fontId="54" fillId="2" borderId="27"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6" fillId="0" borderId="0" xfId="1" applyFont="1"/>
    <xf numFmtId="0" fontId="5" fillId="17" borderId="0" xfId="5" applyFill="1">
      <alignment vertical="center"/>
    </xf>
    <xf numFmtId="2" fontId="0" fillId="2" borderId="0" xfId="0" applyNumberFormat="1" applyFill="1" applyAlignment="1">
      <alignment vertical="center"/>
    </xf>
    <xf numFmtId="0" fontId="77" fillId="2" borderId="0" xfId="0" applyFont="1" applyFill="1"/>
    <xf numFmtId="2" fontId="78" fillId="2" borderId="0" xfId="0" applyNumberFormat="1" applyFont="1" applyFill="1"/>
    <xf numFmtId="0" fontId="79" fillId="18" borderId="0" xfId="56">
      <alignment horizontal="center" vertical="center"/>
    </xf>
    <xf numFmtId="167" fontId="44" fillId="2" borderId="0" xfId="57">
      <alignment horizontal="center" vertical="center"/>
    </xf>
    <xf numFmtId="0" fontId="6" fillId="2" borderId="0" xfId="6" applyAlignment="1">
      <alignment horizontal="left" vertical="center" indent="2"/>
    </xf>
    <xf numFmtId="0" fontId="75" fillId="2" borderId="0" xfId="55" applyFill="1" applyAlignment="1">
      <alignment horizontal="left" vertical="center"/>
    </xf>
    <xf numFmtId="0" fontId="4" fillId="2" borderId="10" xfId="4" applyBorder="1" applyAlignment="1">
      <alignment horizontal="center" vertical="center"/>
    </xf>
    <xf numFmtId="0" fontId="80" fillId="0" borderId="0" xfId="6" applyFont="1" applyFill="1">
      <alignment horizontal="left" vertical="center"/>
    </xf>
    <xf numFmtId="0" fontId="75" fillId="0" borderId="0" xfId="55"/>
    <xf numFmtId="0" fontId="81" fillId="5" borderId="2" xfId="12" applyFont="1">
      <alignment horizontal="left" vertical="center" indent="1"/>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543">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542"/>
      <tableStyleElement type="headerRow" dxfId="541"/>
      <tableStyleElement type="totalRow" dxfId="540"/>
      <tableStyleElement type="firstColumn" dxfId="539"/>
      <tableStyleElement type="firstRowStripe" dxfId="538"/>
      <tableStyleElement type="secondRowStripe" dxfId="537"/>
    </tableStyle>
    <tableStyle name="Equation table" pivot="0" count="6" xr9:uid="{0B4491E8-4F2C-4EE8-9336-DC99561B4B77}">
      <tableStyleElement type="wholeTable" dxfId="536"/>
      <tableStyleElement type="headerRow" dxfId="535"/>
      <tableStyleElement type="totalRow" dxfId="534"/>
      <tableStyleElement type="firstColumn" dxfId="533"/>
      <tableStyleElement type="firstRowStripe" dxfId="532"/>
      <tableStyleElement type="secondRowStripe" dxfId="531"/>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 Target="richData/rdrichvalue.xml"/><Relationship Id="rId47" Type="http://schemas.microsoft.com/office/2023/09/relationships/Python" Target="pyth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46" Type="http://schemas.openxmlformats.org/officeDocument/2006/relationships/customXml" Target="../customXml/item1.xml"/><Relationship Id="rId20" Type="http://schemas.openxmlformats.org/officeDocument/2006/relationships/worksheet" Target="worksheets/sheet20.xml"/><Relationship Id="rId41" Type="http://schemas.microsoft.com/office/2022/10/relationships/richValueRel" Target="richData/richValueRel.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594</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E54D8A0-8119-44DD-BF44-9E3EB00F8F4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3E54D8A0-8119-44DD-BF44-9E3EB00F8F4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C2A0019-C7A6-4164-ACE3-2FDDEB5A42E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8C2A0019-C7A6-4164-ACE3-2FDDEB5A42E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3.xlsx" TargetMode="External"/><Relationship Id="rId1" Type="http://schemas.openxmlformats.org/officeDocument/2006/relationships/externalLinkPath" Target="Common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670B2E3F-5C70-4038-AE1D-01C1B768AE2A}" name="Table_Input_Fuel" displayName="Table_Input_Fuel" ref="D16:I21" totalsRowDxfId="530" headerRowCellStyle="Input table column header">
  <autoFilter ref="D16:I21"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4DADA52D-2CAF-4843-BD7B-2C982736B7FE}" name="Fuel use (select)" totalsRowFunction="average" totalsRowDxfId="529" dataCellStyle="Input select" totalsRowCellStyle="Input select"/>
    <tableColumn id="3" xr3:uid="{E03C244F-B016-4373-8F29-F863250A309B}" name="Fuel type (select)" totalsRowDxfId="528" dataCellStyle="Input select" totalsRowCellStyle="Input select"/>
    <tableColumn id="4" xr3:uid="{70536E5B-E617-4814-BA37-CAE5E35162C6}" name="Amount purchased" totalsRowDxfId="527" totalsRowCellStyle="Content bold"/>
    <tableColumn id="6" xr3:uid="{9F12A1DD-B701-47BF-A99D-DAA4D26B1EB3}" name="Amount unit" totalsRowDxfId="526"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ableColumn>
    <tableColumn id="5" xr3:uid="{52F4A425-C6C2-48A0-A86C-E2A159F59D29}" name="Percent consumed" totalsRowDxfId="525" totalsRowCellStyle="Input percent">
      <calculatedColumnFormula>1</calculatedColumnFormula>
    </tableColumn>
    <tableColumn id="1" xr3:uid="{54C850E9-3FE0-4B86-92C1-58D2275B9FA5}" name="Amount consumed" totalsRowFunction="custom" totalsRowDxfId="524"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20" headerRowDxfId="523" dataDxfId="522" totalsRowDxfId="521" headerRowCellStyle="Input table column header">
  <autoFilter ref="D17:X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520" totalsRowDxfId="519" dataCellStyle="Input select"/>
    <tableColumn id="23" xr3:uid="{F727E370-72E8-46CC-9F10-18494CAC017E}" name="Amount applied per hectare" totalsRowFunction="custom" dataDxfId="518" totalsRowDxfId="517">
      <totalsRowFormula>SUM(Table_Input_InorganicFertiliser_Brands[[#Headers],[#Data],[Amount applied per hectare]])</totalsRowFormula>
    </tableColumn>
    <tableColumn id="18" xr3:uid="{2253738D-C34B-45FC-A347-3594DD12A0FD}" name="Application unit" totalsRowDxfId="516"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515"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514" totalsRowDxfId="513">
      <calculatedColumnFormula>$E$9</calculatedColumnFormula>
    </tableColumn>
    <tableColumn id="1" xr3:uid="{DE25213C-DDD2-412A-85A4-29987D633B72}" name="Total applied (kg)" dataDxfId="512" totalsRowDxfId="511"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510" totalsRowDxfId="509"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508" totalsRowDxfId="507"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506"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505" totalsRowDxfId="504"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503" totalsRowDxfId="502"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501" totalsRowDxfId="500"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499" totalsRowDxfId="498"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497"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496"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495"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494"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493"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492" totalsRowDxfId="491"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490" totalsRowDxfId="489"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488" totalsRowDxfId="487"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3:R25" totalsRowShown="0" headerRowDxfId="486" dataDxfId="485" headerRowCellStyle="Input table column header">
  <autoFilter ref="D23:R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484"/>
    <tableColumn id="3" xr3:uid="{9EAF254B-17DE-4675-8AF9-F68B80BF582C}" name="Application area (ha)" dataDxfId="483" dataCellStyle="Input number 2 decimal places">
      <calculatedColumnFormula>$E$9</calculatedColumnFormula>
    </tableColumn>
    <tableColumn id="4" xr3:uid="{CFA5CCED-3BC5-4DD2-AC3F-E4DC58D9B605}" name="Total applied (kg)" dataDxfId="482"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481" dataCellStyle="Input select"/>
    <tableColumn id="6" xr3:uid="{3F30B499-2152-42DE-8F13-8F97800C0F82}" name="Ingredient 1 percent" dataDxfId="480"/>
    <tableColumn id="8" xr3:uid="{81DBD2AF-CE79-4DFA-ABE1-18247069D1B2}" name="Ingredient 2" dataDxfId="479" dataCellStyle="Input select"/>
    <tableColumn id="9" xr3:uid="{1CF7EE6F-57DF-414D-AEE5-FBCA6348094D}" name="Ingredient 2 percent" dataDxfId="478"/>
    <tableColumn id="11" xr3:uid="{A18D28AA-C181-4552-8786-2ECF509C16C8}" name="Ingredient 3" dataDxfId="477" dataCellStyle="Input select"/>
    <tableColumn id="12" xr3:uid="{B6A6831A-C9EE-4F80-B87F-A0C4C20DFCFD}" name="Ingredient 3 percent" dataDxfId="476"/>
    <tableColumn id="14" xr3:uid="{4467B432-BBEC-488F-912D-5D7123AE260A}" name="Ingredient 4" dataDxfId="475" dataCellStyle="Input select"/>
    <tableColumn id="15" xr3:uid="{0FA01265-32D2-4FC6-BCD7-17164873ADC9}" name="Ingredient 4 percent" dataCellStyle="Input percent"/>
    <tableColumn id="7" xr3:uid="{BF8B607F-8C2E-4E2B-B89D-E699723F771C}" name="N application rate (kg/ha)" dataDxfId="474"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Select)" dataDxfId="473"/>
    <tableColumn id="13" xr3:uid="{CA785B69-1D00-4D4E-954C-77FAF8F67EDB}" name="Ammonia source (select)" dataDxfId="472"/>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Lime" displayName="Table_Input_Lime" ref="D33:K35" totalsRowShown="0" headerRowDxfId="471" dataDxfId="470" headerRowCellStyle="Input table column header">
  <autoFilter ref="D33:K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55C6D57-C99E-4560-95BE-1D32508E9DC1}" name="Product" dataDxfId="469"/>
    <tableColumn id="2" xr3:uid="{BBD9A28E-9144-4A75-B4E2-101A86320BD7}" name="Amount applied (t/hectare)" dataDxfId="468"/>
    <tableColumn id="4" xr3:uid="{28D6DB55-F183-4018-A8CF-F5EECD3B6F14}" name="Application area (ha)" dataDxfId="467">
      <calculatedColumnFormula>$E$9</calculatedColumnFormula>
    </tableColumn>
    <tableColumn id="3" xr3:uid="{A873C277-F431-4770-984D-50E37F5B322A}" name="Total amount applied (t)" dataDxfId="466" dataCellStyle="Input number general calculated">
      <calculatedColumnFormula>IFERROR(Table_Input_Lime[[#This Row],[Amount applied (t/hectare)]]*Table_Input_Lime[[#This Row],[Application area (ha)]], 0)</calculatedColumnFormula>
    </tableColumn>
    <tableColumn id="6" xr3:uid="{16ED2D76-C87F-43C7-B68B-22CC0CF81AAF}" name="Percent Lime CaCO3" dataCellStyle="Input percent"/>
    <tableColumn id="8" xr3:uid="{87445951-81DE-4186-A628-A263C2301F74}" name="Percent Dolomite CaMg(CO3)2" dataCellStyle="Input percent"/>
    <tableColumn id="7" xr3:uid="{7689CF48-369A-4C18-99A1-A2DDCFE99B7F}" name="Percent Gypsum" dataCellStyle="Input percent"/>
    <tableColumn id="10" xr3:uid="{E00BF7C1-7D20-4C62-A394-32D1C7721ABB}" name="Total" dataDxfId="465">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7:H17" totalsRowShown="0" headerRowDxfId="464" headerRowCellStyle="Input table column header">
  <autoFilter ref="D7:H17" xr:uid="{3E433F59-4BF1-4341-8498-3E5DACCDF2D3}"/>
  <tableColumns count="5">
    <tableColumn id="1" xr3:uid="{8E849261-8F35-48DE-BE22-FE2C6971C01F}" name="Packaging name"/>
    <tableColumn id="3" xr3:uid="{14ED4487-F547-485F-9AFB-212F5584207F}" name="Quantity purchased" dataDxfId="463"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9:R19" totalsRowShown="0" headerRowDxfId="462">
  <autoFilter ref="D9:R19" xr:uid="{BA52E4BB-C3D1-441A-A568-0AD50449E880}"/>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F20" totalsRowShown="0">
  <autoFilter ref="D10:F20" xr:uid="{206BD78F-05E0-445B-A064-B487D1B996EF}"/>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18:Q28" totalsRowShown="0">
  <autoFilter ref="D18:Q28" xr:uid="{6EC3622A-9CA1-4931-8AAA-6FC289090D20}"/>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2:F42" totalsRowShown="0" headerRowCellStyle="Input table column header">
  <autoFilter ref="D32:F42" xr:uid="{F7DA8543-C7DE-49A8-A739-D82C85B7B828}"/>
  <tableColumns count="3">
    <tableColumn id="3" xr3:uid="{69ECF868-4B84-4E9A-96F5-1BDF565F3FD3}" name="Product name" dataCellStyle="Input text"/>
    <tableColumn id="1" xr3:uid="{34C48247-DCDF-4B93-B49D-A318288E0686}" name="Type (select)" dataDxfId="461" dataCellStyle="Input select"/>
    <tableColumn id="2" xr3:uid="{5B0AEBA4-AB33-4382-8634-3F4C8D3B2A9B}" name="Number of head treated" dataDxfId="460" dataCellStyle="Input number general"/>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459" dataCellStyle="Input select"/>
    <tableColumn id="2" xr3:uid="{FA43F52A-7609-4014-A6D3-CAC2C970F57C}" name="Purchase class (select)" dataDxfId="458" dataCellStyle="Input select"/>
    <tableColumn id="6" xr3:uid="{41EDEC1E-1793-4BBD-B0C8-66DE9A0925D5}" name="Source region (Select)" dataDxfId="457"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6:I16" totalsRowShown="0" headerRowDxfId="456">
  <autoFilter ref="D6:I16" xr:uid="{E938BFB3-949A-45DE-8033-0682BC494B81}"/>
  <tableColumns count="6">
    <tableColumn id="9" xr3:uid="{9915AEA9-40DA-4CFD-B08A-11FBE10BE9CF}" name="Transaction name" dataCellStyle="Input text"/>
    <tableColumn id="11" xr3:uid="{7A96FDED-4DC0-48EE-B346-DC4E5D93138D}" name="Class (select)" dataDxfId="455"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6:H16" totalsRowShown="0" headerRowDxfId="454">
  <autoFilter ref="D6:H16" xr:uid="{14ED7533-62DD-410F-8832-CD98B0CD652B}"/>
  <tableColumns count="5">
    <tableColumn id="9" xr3:uid="{FC1CEF00-A0CC-4545-ADAB-9F52D190F90C}" name="Transaction name" dataCellStyle="Input text"/>
    <tableColumn id="11" xr3:uid="{45625588-179B-4EE3-98B4-2E94FA489CC5}" name="Class (select)" dataDxfId="453"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 Table_SourceData_Swine_Liveweight[Livestock type j],Table_SourceData_Swine_Liveweight[Average liveweight (kg)])</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6:H16" totalsRowShown="0">
  <autoFilter ref="D6:H16" xr:uid="{7DCBF554-869B-4226-8D02-B0F5F866C92B}"/>
  <tableColumns count="5">
    <tableColumn id="9" xr3:uid="{D6ADF99B-6024-404D-ADE3-4453D96F9A44}" name="Transaction name" dataCellStyle="Input text"/>
    <tableColumn id="11" xr3:uid="{4ED1C819-CD4A-4EB7-A045-069B468B975F}" name="Class (select)" dataDxfId="452"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 Table_SourceData_Poultry_Liveweights[Livestock class j],Table_SourceData_Poultry_Liveweights[Average liveweight (kg)])</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7B1B7CC1-8D72-485F-81BD-F0E250CFF71C}" name="Table_Input_SolidWaste" displayName="Table_Input_SolidWaste" ref="D9:I18" totalsRowShown="0" headerRowCellStyle="Input table column header">
  <autoFilter ref="D9:I18"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E1CDB987-C484-4F93-9164-BF7C454BFCF6}" name="Description"/>
    <tableColumn id="5" xr3:uid="{8077C0B2-B8AD-4D93-884F-60AC69CB6239}" name="Treatment type (select)" dataCellStyle="Input select"/>
    <tableColumn id="2" xr3:uid="{5EE3EB50-96E6-4876-B752-44214078A1A1}" name="Waste type (select)" dataCellStyle="Input select"/>
    <tableColumn id="3" xr3:uid="{063D8EB5-8023-4995-B8BA-E63FD7010C4C}" name="Treatment location (select)" dataCellStyle="Input number general calculated"/>
    <tableColumn id="4" xr3:uid="{823DAC85-9E32-43FE-98D2-B06EFD8C3195}" name="Amount" dataCellStyle="Input number general"/>
    <tableColumn id="7" xr3:uid="{E55F05A7-C578-47BA-A408-7635DBEE96F0}"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451"/>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number general calculated">
      <calculatedColumnFormula>"Issued for generated electricity"</calculatedColumnFormula>
    </tableColumn>
    <tableColumn id="2" xr3:uid="{89A8CE48-DCCB-4E01-8021-9F8D64DA67F4}" name="Generation date" dataDxfId="450"/>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49"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48"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47"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46"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45"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44"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43"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42"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41"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40"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39"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38"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37"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36"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35"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34"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33"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32"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31"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30"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29"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428"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27"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26"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25"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424"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23"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422"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421"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20"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19"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18"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417"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16"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415"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414"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13"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12"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11"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410"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09"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408"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407"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06"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05"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04"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403"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402"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401"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400"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399"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398"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397"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396"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395"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394"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393"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392"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391"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390"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389"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388"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387"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386"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385"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384"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383"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382"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381"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380"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379"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378"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377"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E1AE06E-0B1A-47E9-9231-042CC986FCB1}" name="Table_SourceData_WasteSolid_WasteTreatmentEFs" displayName="Table_SourceData_WasteSolid_WasteTreatmentEFs" ref="D16:G50" totalsRowShown="0">
  <autoFilter ref="D16:G50" xr:uid="{0E1AE06E-0B1A-47E9-9231-042CC986FCB1}"/>
  <tableColumns count="4">
    <tableColumn id="1" xr3:uid="{43B00D7B-934C-4F2E-8E38-208D4CFBD88D}"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6E1D2D92-5D6D-49B9-842E-C324B1895599}" name="Waste type w" dataDxfId="376"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A40120E1-706C-48CD-B244-DCF5520CFD13}" name="EFwt" dataDxfId="375"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136BD16B-B0D9-4E2D-B853-60E68A0A8E24}" name="EF source" dataDxfId="374"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EB5970C-CA57-4EB6-890A-8F975CE6D97F}" name="Table_SourceData_WasteSolid_VolumeToMassConversion" displayName="Table_SourceData_WasteSolid_VolumeToMassConversion" ref="D57:E68" totalsRowShown="0">
  <autoFilter ref="D57:E68" xr:uid="{1EB5970C-CA57-4EB6-890A-8F975CE6D97F}"/>
  <tableColumns count="2">
    <tableColumn id="1" xr3:uid="{DF1660E5-5291-4BAF-BE38-54DD7822620A}"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40377849-3751-438E-816C-89BD138BAB6E}" name="VTMw" dataDxfId="373"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060A6F3-F929-421F-BC9E-6A449E8A8513}" name="Table_WasteTypes_Landfill" displayName="Table_WasteTypes_Landfill" ref="I16:I27" totalsRowShown="0">
  <autoFilter ref="I16:I27" xr:uid="{B060A6F3-F929-421F-BC9E-6A449E8A8513}"/>
  <tableColumns count="1">
    <tableColumn id="1" xr3:uid="{C543A9DA-6788-46D9-A884-B20CE337F4C4}"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78A86D3-CC50-45F5-8018-712EF91F3356}" name="Table_WasteTypes_Incineration" displayName="Table_WasteTypes_Incineration" ref="K16:K26" totalsRowShown="0" headerRowDxfId="372" headerRowCellStyle="Content normal" dataCellStyle="Content normal">
  <autoFilter ref="K16:K26" xr:uid="{478A86D3-CC50-45F5-8018-712EF91F3356}"/>
  <tableColumns count="1">
    <tableColumn id="1" xr3:uid="{4298DAB6-6816-4CF4-868E-6CE1D6730CE3}" name="Waste type w" dataCellStyle="Content normal">
      <calculatedColumnFormula>E29</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016CBB-C518-4F44-8DA5-22BFEF05C8F4}" name="Table_WasteTypes_Composting" displayName="Table_WasteTypes_Composting" ref="M16:M21" totalsRowShown="0" headerRowDxfId="371" headerRowCellStyle="Content normal" dataCellStyle="Content normal">
  <autoFilter ref="M16:M21" xr:uid="{8B016CBB-C518-4F44-8DA5-22BFEF05C8F4}"/>
  <tableColumns count="1">
    <tableColumn id="1" xr3:uid="{529CBAE6-9FC8-4C67-86C3-EAFEE2218DCF}" name="Waste type w" totalsRowDxfId="370" dataCellStyle="Content normal">
      <calculatedColumnFormula>E40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29F6F0E-2A01-4D24-9251-51FC9A4458D0}" name="Table_WasteTypes_Anaerobicdigestion" displayName="Table_WasteTypes_Anaerobicdigestion" ref="O16:O21" totalsRowShown="0" headerRowDxfId="369" headerRowCellStyle="Content normal" dataCellStyle="Content normal">
  <autoFilter ref="O16:O21" xr:uid="{A29F6F0E-2A01-4D24-9251-51FC9A4458D0}"/>
  <tableColumns count="1">
    <tableColumn id="1" xr3:uid="{64CBF66F-F07B-4051-8F15-1DD91E5BCBEF}" name="Waste type w" totalsRowDxfId="368" dataCellStyle="Content normal">
      <calculatedColumnFormula>E46</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44239344-1FA2-4A55-9EBB-A935D1622AD9}" name="Table_Fuel_EFs_StationaryLiquid" displayName="Table_Fuel_EFs_StationaryLiquid" ref="D53:K77" totalsRowShown="0" headerRowDxfId="367" dataDxfId="366">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42414EA-F7B5-4F05-BEDB-95BF429D57CF}" name="Fuel combusted" dataDxfId="365">
      <calculatedColumnFormula array="1">Common_InputFunctions.Utility_DisplayArrayInTable(Fuel_SourceData.Fuel_Scope1Scope3EmissionFactorsStationaryLiquid_Data(), Table_Fuel_EFs_StationaryLiquid[[#Headers],[Fuel combusted]],0)</calculatedColumnFormula>
    </tableColumn>
    <tableColumn id="2" xr3:uid="{17135B02-9E98-47C6-B4BD-4C6C1C3BBC1C}" name="Energy Content Factor (GJ per unit of fuel)" dataDxfId="364">
      <calculatedColumnFormula array="1">Common_InputFunctions.Utility_DisplayArrayInTable(Fuel_SourceData.Fuel_Scope1Scope3EmissionFactorsStationaryLiquid_Data(), Table_Fuel_EFs_StationaryLiquid[[#Headers],[Fuel combusted]],0)</calculatedColumnFormula>
    </tableColumn>
    <tableColumn id="3" xr3:uid="{142EA494-DE90-422C-ADBF-83B7CC47A2F0}" name="Fuel unit" dataDxfId="363">
      <calculatedColumnFormula array="1">Common_InputFunctions.Utility_DisplayArrayInTable(Fuel_SourceData.Fuel_Scope1Scope3EmissionFactorsStationaryLiquid_Data(), Table_Fuel_EFs_StationaryLiquid[[#Headers],[Fuel combusted]],0)</calculatedColumnFormula>
    </tableColumn>
    <tableColumn id="4" xr3:uid="{830EEAFC-D43B-4A89-8593-9C9C21676FC9}" name="Scope 1 Emission Factor (kg CO2 - e / GJ) CO2" dataDxfId="362">
      <calculatedColumnFormula array="1">Common_InputFunctions.Utility_DisplayArrayInTable(Fuel_SourceData.Fuel_Scope1Scope3EmissionFactorsStationaryLiquid_Data(), Table_Fuel_EFs_StationaryLiquid[[#Headers],[Fuel combusted]],0)</calculatedColumnFormula>
    </tableColumn>
    <tableColumn id="5" xr3:uid="{B442DA88-CC3A-46D0-8151-C4F05EC9A347}" name="Scope 1 Emission Factor (kg CO2 - e / GJ) CH4" dataDxfId="361">
      <calculatedColumnFormula array="1">Common_InputFunctions.Utility_DisplayArrayInTable(Fuel_SourceData.Fuel_Scope1Scope3EmissionFactorsStationaryLiquid_Data(), Table_Fuel_EFs_StationaryLiquid[[#Headers],[Fuel combusted]],0)</calculatedColumnFormula>
    </tableColumn>
    <tableColumn id="6" xr3:uid="{51B8EEEB-1C44-4DB7-BB80-163871F50930}" name="Scope 1 Emission Factor (kg CO2 - e / GJ) N2O" dataDxfId="360">
      <calculatedColumnFormula array="1">Common_InputFunctions.Utility_DisplayArrayInTable(Fuel_SourceData.Fuel_Scope1Scope3EmissionFactorsStationaryLiquid_Data(), Table_Fuel_EFs_StationaryLiquid[[#Headers],[Fuel combusted]],0)</calculatedColumnFormula>
    </tableColumn>
    <tableColumn id="7" xr3:uid="{1637F946-9FE1-422A-A2EA-AA7B97E5F67D}" name="Scope 1 Emission Factor (kg CO2 - e / GJ) Combined gases" dataDxfId="359">
      <calculatedColumnFormula array="1">Common_InputFunctions.Utility_DisplayArrayInTable(Fuel_SourceData.Fuel_Scope1Scope3EmissionFactorsStationaryLiquid_Data(), Table_Fuel_EFs_StationaryLiquid[[#Headers],[Fuel combusted]],0)</calculatedColumnFormula>
    </tableColumn>
    <tableColumn id="8" xr3:uid="{14E0E748-E6AE-4BDE-91C8-1E61B10284F4}" name="Scope 3 Emission Factor (kg CO2 - e / GJ)" dataDxfId="358">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B2A11E05-29BE-4AEE-9F3B-9B4B4904A540}" name="Table_Fuel_EFs_Transport" displayName="Table_Fuel_EFs_Transport" ref="D9:L34" totalsRowShown="0" headerRowDxfId="357" dataDxfId="356">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5D42444-BF74-4149-B519-41E15328CFD7}" name="Transport type" dataDxfId="355">
      <calculatedColumnFormula array="1">Common_InputFunctions.Utility_DisplayArrayInTable(Fuel_SourceData.Fuel_Scope1Scope3EmissionFactorsTransport_Data(), Table_Fuel_EFs_Transport[[#Headers],[Transport type]], 0)</calculatedColumnFormula>
    </tableColumn>
    <tableColumn id="2" xr3:uid="{2D52A23D-FD44-46FC-A282-2281801C2594}" name="Fuel combusted" dataDxfId="354">
      <calculatedColumnFormula array="1">Common_InputFunctions.Utility_DisplayArrayInTable(Fuel_SourceData.Fuel_Scope1Scope3EmissionFactorsTransport_Data(), Table_Fuel_EFs_Transport[[#Headers],[Transport type]], 0)</calculatedColumnFormula>
    </tableColumn>
    <tableColumn id="3" xr3:uid="{AD490078-C77D-482E-9C4B-56D7FC8F1A88}" name="Energy Content Factor (GJ per unit of fuel)" dataDxfId="353">
      <calculatedColumnFormula array="1">Common_InputFunctions.Utility_DisplayArrayInTable(Fuel_SourceData.Fuel_Scope1Scope3EmissionFactorsTransport_Data(), Table_Fuel_EFs_Transport[[#Headers],[Transport type]], 0)</calculatedColumnFormula>
    </tableColumn>
    <tableColumn id="4" xr3:uid="{F6BA41A3-BBDD-45C8-9189-882BFBAAA100}" name="Fuel unit" dataDxfId="352">
      <calculatedColumnFormula array="1">Common_InputFunctions.Utility_DisplayArrayInTable(Fuel_SourceData.Fuel_Scope1Scope3EmissionFactorsTransport_Data(), Table_Fuel_EFs_Transport[[#Headers],[Transport type]], 0)</calculatedColumnFormula>
    </tableColumn>
    <tableColumn id="8" xr3:uid="{A7FD4124-6596-47EB-BAE3-07A6E7809A30}" name="Scope 1 Emission Factor (kg CO2 - e / GJ) CO2" dataDxfId="351">
      <calculatedColumnFormula array="1">Common_InputFunctions.Utility_DisplayArrayInTable(Fuel_SourceData.Fuel_Scope1Scope3EmissionFactorsTransport_Data(), Table_Fuel_EFs_Transport[[#Headers],[Transport type]], 0)</calculatedColumnFormula>
    </tableColumn>
    <tableColumn id="9" xr3:uid="{54980971-CAD2-4C78-AA33-45104B91084B}" name="Scope 1 Emission Factor (kg CO2 - e / GJ) CH4" dataDxfId="350">
      <calculatedColumnFormula array="1">Common_InputFunctions.Utility_DisplayArrayInTable(Fuel_SourceData.Fuel_Scope1Scope3EmissionFactorsTransport_Data(), Table_Fuel_EFs_Transport[[#Headers],[Transport type]], 0)</calculatedColumnFormula>
    </tableColumn>
    <tableColumn id="10" xr3:uid="{D8E1F1BB-1501-4F4B-B5D4-340D903D53A3}" name="Scope 1 Emission Factor (kg CO2 - e / GJ) N2O" dataDxfId="349">
      <calculatedColumnFormula array="1">Common_InputFunctions.Utility_DisplayArrayInTable(Fuel_SourceData.Fuel_Scope1Scope3EmissionFactorsTransport_Data(), Table_Fuel_EFs_Transport[[#Headers],[Transport type]], 0)</calculatedColumnFormula>
    </tableColumn>
    <tableColumn id="11" xr3:uid="{70DED65C-6123-4355-B782-E86BFC04F7C7}" name="Scope 1 Emission Factor (kg CO2 - e / GJ) Combined gases" dataDxfId="348">
      <calculatedColumnFormula array="1">Common_InputFunctions.Utility_DisplayArrayInTable(Fuel_SourceData.Fuel_Scope1Scope3EmissionFactorsTransport_Data(), Table_Fuel_EFs_Transport[[#Headers],[Transport type]], 0)</calculatedColumnFormula>
    </tableColumn>
    <tableColumn id="12" xr3:uid="{84F16F9E-C988-4C5B-AB31-D7413278F3ED}" name="Scope 3 Emission Factor (kg CO2 - e / GJ)" dataDxfId="347">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A7CB067D-970A-4358-BDF4-7087FF87CD8C}" name="Table_FuelTypesPerUse" displayName="Table_FuelTypesPerUse" ref="D130:J139" totalsRowShown="0" headerRowDxfId="346" dataDxfId="345">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47D22D-E620-41D7-A612-FE4AF679DBC8}" name="Generators" dataDxfId="344"/>
    <tableColumn id="2" xr3:uid="{3CFB3B0E-6A3D-4336-A2F5-7D46AE54C335}" name="Power standalone machinery or heating" dataDxfId="343"/>
    <tableColumn id="3" xr3:uid="{5AAA1831-5C5E-4C84-BCC2-2E78A9B5258B}" name="Aviation" dataDxfId="342"/>
    <tableColumn id="5" xr3:uid="{F1BD91A4-832F-462E-8EB0-A84767662BE4}" name="Cars and light commercial vehicles" dataDxfId="341"/>
    <tableColumn id="7" xr3:uid="{E9B8BAAB-717E-44AB-B2F8-3E5C76D4FFB0}" name="Off-road Agriculture and forestry equipment" dataDxfId="340" dataCellStyle="Content bold"/>
    <tableColumn id="8" xr3:uid="{63E9DB80-5FD4-4E13-BBFC-A35B40E9C88C}" name="Vessels" dataDxfId="339" dataCellStyle="Content bold"/>
    <tableColumn id="6" xr3:uid="{EF6CDD99-C67B-4B96-AB3B-8313822AD3CF}" name="General use" dataDxfId="338"/>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655F673-F1DC-4F2C-9897-D0C005D6DA67}" name="Table_Fuel_EFs_StationaryGaseous" displayName="Table_Fuel_EFs_StationaryGaseous" ref="D86:J104" totalsRowShown="0" headerRowDxfId="337" dataDxfId="336">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C4C48D-8E9F-4ECE-97AB-DE8B0093AA25}" name="Fuel combusted" dataDxfId="335">
      <calculatedColumnFormula array="1">Common_InputFunctions.Utility_DisplayArrayInTable(Fuel_SourceData.Fuel_Scope1EmissionFactorsStationaryGaseous_Data(), Table_Fuel_EFs_StationaryGaseous[[#Headers],[Fuel combusted]],0)</calculatedColumnFormula>
    </tableColumn>
    <tableColumn id="2" xr3:uid="{E26A55E8-644D-4AD6-AD83-1DAA42CBCF6A}" name="Energy Content Factor (GJ per unit of fuel)" dataDxfId="334">
      <calculatedColumnFormula array="1">Common_InputFunctions.Utility_DisplayArrayInTable(Fuel_SourceData.Fuel_Scope1EmissionFactorsStationaryGaseous_Data(), Table_Fuel_EFs_StationaryGaseous[[#Headers],[Fuel combusted]],0)</calculatedColumnFormula>
    </tableColumn>
    <tableColumn id="3" xr3:uid="{702C6D98-E4D6-46CF-8238-3B54EA874782}" name="Fuel unit" dataDxfId="333">
      <calculatedColumnFormula array="1">Common_InputFunctions.Utility_DisplayArrayInTable(Fuel_SourceData.Fuel_Scope1EmissionFactorsStationaryGaseous_Data(), Table_Fuel_EFs_StationaryGaseous[[#Headers],[Fuel combusted]],0)</calculatedColumnFormula>
    </tableColumn>
    <tableColumn id="4" xr3:uid="{8BF4E51B-F5E8-441D-B6E5-B9541BCAABE0}" name="Scope 1 Emission Factor (kg CO2 - e / GJ) CO2" dataDxfId="332">
      <calculatedColumnFormula array="1">Common_InputFunctions.Utility_DisplayArrayInTable(Fuel_SourceData.Fuel_Scope1EmissionFactorsStationaryGaseous_Data(), Table_Fuel_EFs_StationaryGaseous[[#Headers],[Fuel combusted]],0)</calculatedColumnFormula>
    </tableColumn>
    <tableColumn id="5" xr3:uid="{FAB0A50E-7BE8-4056-B613-90FD432A58DF}" name="Scope 1 Emission Factor (kg CO2 - e / GJ) CH4" dataDxfId="331">
      <calculatedColumnFormula array="1">Common_InputFunctions.Utility_DisplayArrayInTable(Fuel_SourceData.Fuel_Scope1EmissionFactorsStationaryGaseous_Data(), Table_Fuel_EFs_StationaryGaseous[[#Headers],[Fuel combusted]],0)</calculatedColumnFormula>
    </tableColumn>
    <tableColumn id="6" xr3:uid="{623769C4-3831-41B2-A306-B386738B66FB}" name="Scope 1 Emission Factor (kg CO2 - e / GJ) N2O" dataDxfId="330">
      <calculatedColumnFormula array="1">Common_InputFunctions.Utility_DisplayArrayInTable(Fuel_SourceData.Fuel_Scope1EmissionFactorsStationaryGaseous_Data(), Table_Fuel_EFs_StationaryGaseous[[#Headers],[Fuel combusted]],0)</calculatedColumnFormula>
    </tableColumn>
    <tableColumn id="7" xr3:uid="{4DE65DCF-8BFE-460E-95AC-F0D72628AF0D}" name="Scope 1 Emission Factor (kg CO2 - e / GJ) Combined gases" dataDxfId="329">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BC83DF7-3F77-4B91-8495-EB02C52D47FF}" name="Table_Fuel_EFs_StationaryGaseous34" displayName="Table_Fuel_EFs_StationaryGaseous34" ref="D112:F120" headerRowDxfId="328" totalsRowDxfId="327">
  <autoFilter ref="D112:F120" xr:uid="{7D6CE29D-2354-4FAC-9965-9A66FFA42416}">
    <filterColumn colId="0" hiddenButton="1"/>
    <filterColumn colId="1" hiddenButton="1"/>
    <filterColumn colId="2" hiddenButton="1"/>
  </autoFilter>
  <tableColumns count="3">
    <tableColumn id="1" xr3:uid="{19B5C8CF-5208-4996-AE39-351D2F2A00C4}" name="State or territory" totalsRowDxfId="326">
      <calculatedColumnFormula array="1">Common_InputFunctions.Utility_DisplayArrayInTable(Fuel_SourceData.Fuel_Scope3EmissionFactorsStationaryGaseous_Data(), Table_Fuel_EFs_StationaryGaseous34[[#Headers],[State or territory]],0)</calculatedColumnFormula>
    </tableColumn>
    <tableColumn id="2" xr3:uid="{1881D458-7AD7-4312-A19E-BC4FDE6286FA}" name="Metro" totalsRowDxfId="325">
      <calculatedColumnFormula array="1">Common_InputFunctions.Utility_DisplayArrayInTable(Fuel_SourceData.Fuel_Scope3EmissionFactorsStationaryGaseous_Data(), Table_Fuel_EFs_StationaryGaseous34[[#Headers],[State or territory]],0)</calculatedColumnFormula>
    </tableColumn>
    <tableColumn id="3" xr3:uid="{9C1015B4-AA9A-4E6E-9EDD-7ADD27589D91}" name="Non-metro" totalsRowDxfId="324">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CAA2FB3F-9E07-45B2-8682-89230C543974}" name="Table_FuelTypes_Units" displayName="Table_FuelTypes_Units" ref="D142:E162" totalsRowShown="0">
  <autoFilter ref="D142:E162" xr:uid="{74386805-E5CF-44F9-982C-CBCADB323E30}">
    <filterColumn colId="0" hiddenButton="1"/>
    <filterColumn colId="1" hiddenButton="1"/>
  </autoFilter>
  <tableColumns count="2">
    <tableColumn id="1" xr3:uid="{FE42109A-E008-4C28-9B6E-EFE68B2270BF}" name="Fuel type"/>
    <tableColumn id="2" xr3:uid="{E49310F2-3530-4687-B7C0-DF7BDE36ECC5}" name="Unit"/>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0D4440D-8307-4194-8353-A75DA6A8BCC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503ABF5-F764-48AF-9E89-C51448B9FDC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0D6CCE62-97F9-4D39-ACFB-9F6033936215}" name="Fuel type q" dataDxfId="32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71431B35-182D-4086-9522-40F43060DC98}" name="ECTrans,q (GJ/kL)" dataDxfId="32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AC260234-A401-416E-8776-0AA7C6852FBE}" name="Scope 1 CO2 EFTran,1,tqg (kg CO2-e/GJ)" dataDxfId="32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F37A649-4B07-4C23-B78B-D39F902B6214}" name="Scope 1 CH4 EFTran,1,tgg (kg CO2-e/GJ)" dataDxfId="32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7154344-1C00-4C26-AACA-97F4F4649C72}" name="Scope 1 N2O EFTran,1,tgg (kg CO2-e/GJ)" dataDxfId="31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CBD7B118-9F2D-4EDD-AF11-D82AE7E79835}" name="Scope 3 EFTrans,3,q (kg CO2-e/GJ)" dataDxfId="31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1BEC493-76A8-429F-A61F-200574FC330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B243E508-49FC-4246-9E6B-7EDB8A9BB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23175F6D-37B0-4354-BDA5-FBE9A4BCC2B3}" name="Layers" dataDxfId="317"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9298735A-014E-429B-97AA-27FF82E123E1}" name="Meat chicken growers" dataDxfId="316"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9D32F10-4BD4-435F-8248-D8996332694F}" name="Meat chicken breeder" dataDxfId="315"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61B74CCD-847D-4972-9F00-DE8FE0F6DFEE}" name="Meat other" dataDxfId="314"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8B18611-37DB-4CA5-9B84-2F0273854A82}"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BE911D85-5E26-48EB-AB01-5F5CCD067473}"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6355A21C-7504-49C5-9034-B860CE14DF3C}" name="B0" dataDxfId="313"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97DEF3E-79E6-464F-B26E-6E80546B7125}" name="Table_SourceData_PoultryMMS" displayName="Table_SourceData_PoultryMMS" ref="D28:E38" totalsRowShown="0">
  <autoFilter ref="D28:E38" xr:uid="{AF7090B5-6718-41B7-9B26-A00EDB46BAC3}">
    <filterColumn colId="0" hiddenButton="1"/>
    <filterColumn colId="1" hiddenButton="1"/>
  </autoFilter>
  <tableColumns count="2">
    <tableColumn id="1" xr3:uid="{20B2DFD1-E5CD-4A0A-994B-4AC73BFECCDF}" name="MMS"/>
    <tableColumn id="2" xr3:uid="{922307C7-552C-4EB0-8D2C-DCB74655EE65}" name="Symbol and MMS" dataDxfId="312" dataCellStyle="Content normal"/>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A67DFED4-3AE0-44D4-9750-AC444DB39D4E}" name="Table_SourceData_Poultry_ProductionSystems" displayName="Table_SourceData_Poultry_ProductionSystems" ref="D44:D47" totalsRowShown="0">
  <autoFilter ref="D44:D47" xr:uid="{5810106E-36C6-489E-8962-5DE08C5F2EAC}">
    <filterColumn colId="0" hiddenButton="1"/>
  </autoFilter>
  <tableColumns count="1">
    <tableColumn id="1" xr3:uid="{9031EEAC-D1FE-4EAE-B389-DDFBB72F32F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13F6249-6A4C-4955-9F9A-A925CF2E2E61}"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2421CCF-1CFC-42C1-80D1-E4A99C0D42D2}" name="MMS m">
      <calculatedColumnFormula array="1">Common_InputFunctions.Utility_DisplayArrayInTable(SourceData_Poultry.SourceData_Poultry_MCF_Data(), Table_SourceData_Poultry_MMSMCF[[#Headers],[MMS m]], 0)</calculatedColumnFormula>
    </tableColumn>
    <tableColumn id="2" xr3:uid="{F362A1BC-4F38-4EEF-9CE3-BE4CDFB64280}" name="All states" dataDxfId="311" dataCellStyle="Content normal">
      <calculatedColumnFormula array="1">Common_InputFunctions.Utility_DisplayArrayInTable(SourceData_Poultry.SourceData_Poultry_MCF_Data(), Table_SourceData_Poultry_MMSMCF[[#Headers],[MMS m]], 0)</calculatedColumnFormula>
    </tableColumn>
    <tableColumn id="3" xr3:uid="{B2EC8149-896E-4AE4-9361-F019709883E6}" name="NSW" dataDxfId="310" dataCellStyle="Content normal">
      <calculatedColumnFormula array="1">Common_InputFunctions.Utility_DisplayArrayInTable(SourceData_Poultry.SourceData_Poultry_MCF_Data(), Table_SourceData_Poultry_MMSMCF[[#Headers],[MMS m]], 0)</calculatedColumnFormula>
    </tableColumn>
    <tableColumn id="4" xr3:uid="{9C9B79C4-92C9-410A-9B20-71D45143000E}" name="ACT" dataDxfId="309" dataCellStyle="Content normal">
      <calculatedColumnFormula array="1">Common_InputFunctions.Utility_DisplayArrayInTable(SourceData_Poultry.SourceData_Poultry_MCF_Data(), Table_SourceData_Poultry_MMSMCF[[#Headers],[MMS m]], 0)</calculatedColumnFormula>
    </tableColumn>
    <tableColumn id="5" xr3:uid="{7E7CF863-1E33-40E7-9AAF-DD1F59BC22F0}" name="QLD" dataDxfId="308" dataCellStyle="Content normal">
      <calculatedColumnFormula array="1">Common_InputFunctions.Utility_DisplayArrayInTable(SourceData_Poultry.SourceData_Poultry_MCF_Data(), Table_SourceData_Poultry_MMSMCF[[#Headers],[MMS m]], 0)</calculatedColumnFormula>
    </tableColumn>
    <tableColumn id="6" xr3:uid="{C7C81061-FC02-44C9-AE76-88C33EF9ECE4}" name="NT" dataDxfId="307" dataCellStyle="Content normal">
      <calculatedColumnFormula array="1">Common_InputFunctions.Utility_DisplayArrayInTable(SourceData_Poultry.SourceData_Poultry_MCF_Data(), Table_SourceData_Poultry_MMSMCF[[#Headers],[MMS m]], 0)</calculatedColumnFormula>
    </tableColumn>
    <tableColumn id="7" xr3:uid="{A96B1204-56BE-456D-BBDB-84567033D573}" name="VIC" dataDxfId="306" dataCellStyle="Content normal">
      <calculatedColumnFormula array="1">Common_InputFunctions.Utility_DisplayArrayInTable(SourceData_Poultry.SourceData_Poultry_MCF_Data(), Table_SourceData_Poultry_MMSMCF[[#Headers],[MMS m]], 0)</calculatedColumnFormula>
    </tableColumn>
    <tableColumn id="8" xr3:uid="{5011B34B-A550-40FF-8791-9EF6D4239FA9}" name="SA" dataDxfId="305" dataCellStyle="Content normal">
      <calculatedColumnFormula array="1">Common_InputFunctions.Utility_DisplayArrayInTable(SourceData_Poultry.SourceData_Poultry_MCF_Data(), Table_SourceData_Poultry_MMSMCF[[#Headers],[MMS m]], 0)</calculatedColumnFormula>
    </tableColumn>
    <tableColumn id="9" xr3:uid="{ABD9C088-4987-4602-924F-BC3ABF983CE8}" name="WA" dataDxfId="304" dataCellStyle="Content normal">
      <calculatedColumnFormula array="1">Common_InputFunctions.Utility_DisplayArrayInTable(SourceData_Poultry.SourceData_Poultry_MCF_Data(), Table_SourceData_Poultry_MMSMCF[[#Headers],[MMS m]], 0)</calculatedColumnFormula>
    </tableColumn>
    <tableColumn id="10" xr3:uid="{E2F63026-59B6-4AA6-8B42-55A285E700B6}" name="TAS" dataDxfId="303" dataCellStyle="Content normal">
      <calculatedColumnFormula array="1">Common_InputFunctions.Utility_DisplayArrayInTable(SourceData_Poultry.SourceData_Poultry_MCF_Data(), Table_SourceData_Poultry_MMSMCF[[#Headers],[MMS m]], 0)</calculatedColumnFormula>
    </tableColumn>
    <tableColumn id="11" xr3:uid="{F552DD38-091B-4E46-A0C4-2B1F8CBC310B}" name="NIR definition" dataDxfId="302"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C203AFF-F289-4AFA-ADE6-8A79C218688E}"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73E2AAF-5ED3-49F1-92FA-7AEA0F27141A}" name="MMS"/>
    <tableColumn id="2" xr3:uid="{C80C5D24-CEDC-4CBE-B580-CA0FC8F4D827}" name="Symbol and MMS" dataDxfId="301" dataCellStyle="Content normal"/>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D43D64DD-D6AC-4D34-B66B-7F4BC2CA8A14}"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4C0C6BD8-DEE6-4912-8A7F-AD782FF2912D}" name="MMS"/>
    <tableColumn id="2" xr3:uid="{38FF62E3-2DE9-46ED-B607-80EC3AE32074}" name="Symbol and MMS" dataDxfId="300"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C1AE9286-2F72-4C25-B52D-8CCF46A972C0}"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0B9BDCB1-3007-401C-8A94-6811634BCAC7}" name="MMS">
      <calculatedColumnFormula array="1">Common_InputFunctions.Utility_DisplayArrayInTable(SourceData_Poultry.SourceData_Poultry_VSL_Data(), Table_SourceData_Poultry_MMSVSL[[#Headers],[MMS]], 0)</calculatedColumnFormula>
    </tableColumn>
    <tableColumn id="2" xr3:uid="{16DF633F-896B-40B9-BD46-D97C1FE6420F}" name="VSL" dataDxfId="299" dataCellStyle="Content normal">
      <calculatedColumnFormula array="1">Common_InputFunctions.Utility_DisplayArrayInTable(SourceData_Poultry.SourceData_Poultry_VSL_Data(), Table_SourceData_Poultry_MMSVSL[[#Headers],[MMS]], 0)</calculatedColumnFormula>
    </tableColumn>
    <tableColumn id="3" xr3:uid="{305DE322-FE24-47B6-9DAE-00379ACBB8F4}" name="NIR definition" dataDxfId="298"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A93269B-A23B-4F78-BF0E-0F3B8CBE0F57}"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102392-0468-476E-8D83-76CB916B4E49}" name="MMSm">
      <calculatedColumnFormula array="1">Common_InputFunctions.Utility_DisplayArrayInTable(SourceData_Poultry.SourceData_Poultry_FracGASMmT_Data(), Table_SourceData_Poultry_FracGASM[[#Headers],[MMSm]], 0)</calculatedColumnFormula>
    </tableColumn>
    <tableColumn id="2" xr3:uid="{823514F6-DBA5-4DA5-A6D4-58D76E2F7CA0}" name="FracGASMmT" dataDxfId="297" dataCellStyle="Content normal">
      <calculatedColumnFormula array="1">Common_InputFunctions.Utility_DisplayArrayInTable(SourceData_Poultry.SourceData_Poultry_FracGASMmT_Data(), Table_SourceData_Poultry_FracGASM[[#Headers],[MMSm]], 0)</calculatedColumnFormula>
    </tableColumn>
    <tableColumn id="3" xr3:uid="{F8AF52F6-FA64-47AF-AC30-3C025BF8D5AC}" name="NIR reference" dataDxfId="296"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327424-A4EE-4DA1-8A44-DEC7AD2F0D25}"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CDACA4B2-E1B4-4A3E-A4CA-6ED6023CBDEB}" name="MMSm">
      <calculatedColumnFormula array="1">Common_InputFunctions.Utility_DisplayArrayInTable(SourceData_Poultry.SourceData_Poultry_EFmT_Data(),Table_SourceData_Poultry_EFmT[[#Headers],[MMSm]], 0)</calculatedColumnFormula>
    </tableColumn>
    <tableColumn id="2" xr3:uid="{EAF1EE93-03E5-4363-A7A7-F0D02E6E53EA}" name="EFmT" dataDxfId="295" dataCellStyle="Content normal">
      <calculatedColumnFormula array="1">Common_InputFunctions.Utility_DisplayArrayInTable(SourceData_Poultry.SourceData_Poultry_EFmT_Data(),Table_SourceData_Poultry_EFmT[[#Headers],[MMSm]], 0)</calculatedColumnFormula>
    </tableColumn>
    <tableColumn id="3" xr3:uid="{0060EB7C-88C2-4889-A262-7E5B5B84A632}" name="NIR reference" dataDxfId="294"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C1D4E341-8FD7-41B8-8CE4-BE37EDB2615A}"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429BF07-C5EA-4E17-AD84-6F9F0A374128}" name="Livestock class j">
      <calculatedColumnFormula array="1">Common_InputFunctions.Utility_DisplayArrayInTable(SourceData_Poultry.SourceData_Poultry_Liveweights_Data(),Table_SourceData_Poultry_Liveweights[[#Headers],[Livestock class j]],0)</calculatedColumnFormula>
    </tableColumn>
    <tableColumn id="2" xr3:uid="{B1A017F9-EC3C-4B87-81A0-EB541B7710E3}" name="Average liveweight (kg)" dataDxfId="293"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2A95AA1-30BE-4370-9AA8-09ABA823E0EF}"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69CF723-052B-412C-AE49-C79FDCBF9D62}" name="Class">
      <calculatedColumnFormula array="1">Common_InputFunctions.Utility_DisplayArrayInTable(SourceData_Swine.SourceData_Swine_VolatileSolids_Data(), Table_SourceData_Swine_VolatileSolids[[#Headers],[Class]], 0)</calculatedColumnFormula>
    </tableColumn>
    <tableColumn id="2" xr3:uid="{73416B29-D02D-4982-AEE0-FBA745B04874}" name="VSj" dataDxfId="292"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EAE3B60-21B2-4514-B5D4-37965F4BCFA0}"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1D6565-704D-4A35-AFD0-08B07309FD4A}" name="MMS">
      <calculatedColumnFormula array="1">Common_InputFunctions.Utility_DisplayArrayInTable(SourceData_Swine.SourceData_Swine_MMS_MCFs_Data(),Table_SourceData_Swine_MMSMCF[[#Headers],[MMS]],0)</calculatedColumnFormula>
    </tableColumn>
    <tableColumn id="2" xr3:uid="{0C942164-E75B-4A41-8D90-261398420464}" name="NSW" dataDxfId="291" dataCellStyle="Content normal">
      <calculatedColumnFormula array="1">Common_InputFunctions.Utility_DisplayArrayInTable(SourceData_Swine.SourceData_Swine_MMS_MCFs_Data(),Table_SourceData_Swine_MMSMCF[[#Headers],[MMS]],0)</calculatedColumnFormula>
    </tableColumn>
    <tableColumn id="3" xr3:uid="{04C2B513-4EAE-44FD-8A07-08B7FBC04904}" name="ACT" dataDxfId="290" dataCellStyle="Content normal">
      <calculatedColumnFormula array="1">Common_InputFunctions.Utility_DisplayArrayInTable(SourceData_Swine.SourceData_Swine_MMS_MCFs_Data(),Table_SourceData_Swine_MMSMCF[[#Headers],[MMS]],0)</calculatedColumnFormula>
    </tableColumn>
    <tableColumn id="4" xr3:uid="{F354B2DA-5E1A-4DFF-B341-6567D5CB6E06}" name="QLD" dataDxfId="289" dataCellStyle="Content normal">
      <calculatedColumnFormula array="1">Common_InputFunctions.Utility_DisplayArrayInTable(SourceData_Swine.SourceData_Swine_MMS_MCFs_Data(),Table_SourceData_Swine_MMSMCF[[#Headers],[MMS]],0)</calculatedColumnFormula>
    </tableColumn>
    <tableColumn id="5" xr3:uid="{11F38387-B241-45B7-87FE-D576DB0F5BBA}" name="NT" dataDxfId="288" dataCellStyle="Content normal">
      <calculatedColumnFormula array="1">Common_InputFunctions.Utility_DisplayArrayInTable(SourceData_Swine.SourceData_Swine_MMS_MCFs_Data(),Table_SourceData_Swine_MMSMCF[[#Headers],[MMS]],0)</calculatedColumnFormula>
    </tableColumn>
    <tableColumn id="6" xr3:uid="{489736B3-2194-432E-8A72-6308A6328611}" name="SA" dataDxfId="287" dataCellStyle="Content normal">
      <calculatedColumnFormula array="1">Common_InputFunctions.Utility_DisplayArrayInTable(SourceData_Swine.SourceData_Swine_MMS_MCFs_Data(),Table_SourceData_Swine_MMSMCF[[#Headers],[MMS]],0)</calculatedColumnFormula>
    </tableColumn>
    <tableColumn id="7" xr3:uid="{3474C5D7-E249-4D40-ABF7-E23197B79982}" name="TAS" dataDxfId="286" dataCellStyle="Content normal">
      <calculatedColumnFormula array="1">Common_InputFunctions.Utility_DisplayArrayInTable(SourceData_Swine.SourceData_Swine_MMS_MCFs_Data(),Table_SourceData_Swine_MMSMCF[[#Headers],[MMS]],0)</calculatedColumnFormula>
    </tableColumn>
    <tableColumn id="8" xr3:uid="{DE3996D8-6CBF-4C83-A5FC-B0044E918384}" name="VIC" dataDxfId="285" dataCellStyle="Content normal">
      <calculatedColumnFormula array="1">Common_InputFunctions.Utility_DisplayArrayInTable(SourceData_Swine.SourceData_Swine_MMS_MCFs_Data(),Table_SourceData_Swine_MMSMCF[[#Headers],[MMS]],0)</calculatedColumnFormula>
    </tableColumn>
    <tableColumn id="9" xr3:uid="{0DBB2A19-AF71-4BD3-858D-CC8064EF3F5A}" name="WA" dataDxfId="284" dataCellStyle="Content normal">
      <calculatedColumnFormula array="1">Common_InputFunctions.Utility_DisplayArrayInTable(SourceData_Swine.SourceData_Swine_MMS_MCFs_Data(),Table_SourceData_Swine_MMSMCF[[#Headers],[MMS]],0)</calculatedColumnFormula>
    </tableColumn>
    <tableColumn id="10" xr3:uid="{E23875E6-15A7-4F31-B62B-19B82BF7A8AE}" name="NIR definition" dataDxfId="283"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2CD3280-C9FC-47EE-B96F-A0AC633FF19A}" name="Table_SourceData_SwineMMS" displayName="Table_SourceData_SwineMMS" ref="D40:E47" totalsRowShown="0">
  <autoFilter ref="D40:E47" xr:uid="{42F7033B-606B-4A24-9223-A30737FDC1FE}">
    <filterColumn colId="0" hiddenButton="1"/>
    <filterColumn colId="1" hiddenButton="1"/>
  </autoFilter>
  <tableColumns count="2">
    <tableColumn id="1" xr3:uid="{DDE7902F-5F27-4ADE-A2CB-D020FC67439A}" name="MMS"/>
    <tableColumn id="2" xr3:uid="{41D13592-D4EA-4CDD-A05A-47A2A48E5808}" name="Symbol and MMS" dataDxfId="282" dataCellStyle="Content normal"/>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9D34B0F-E2D2-4A79-9497-D369373935C9}" name="Table_SourceData_SwineVSL" displayName="Table_SourceData_SwineVSL" ref="D53:E60" totalsRowShown="0">
  <autoFilter ref="D53:E60" xr:uid="{079C074C-6E98-47B5-B4E5-F8A1F12104F2}">
    <filterColumn colId="0" hiddenButton="1"/>
    <filterColumn colId="1" hiddenButton="1"/>
  </autoFilter>
  <tableColumns count="2">
    <tableColumn id="1" xr3:uid="{FD480855-50C2-45FC-A83E-605093E92B91}" name="MMS" dataDxfId="281" dataCellStyle="Content normal"/>
    <tableColumn id="2" xr3:uid="{3C9E3AB6-C1FA-4D37-B176-5BB0B449AAD7}" name="VSL"/>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66EFE00-13B8-444B-9556-895122B08F2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0948DA10-2949-4E98-9072-50FB8695C8AB}" name="MMS"/>
    <tableColumn id="2" xr3:uid="{65D51855-C75E-47FD-9276-50A5EAEB56A2}" name="Symbol and MMS"/>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5E69FD1-051D-4049-917C-589364BFF23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51A5DEE2-9F4A-4FFB-A904-1F9159B07841}" name="MMS"/>
    <tableColumn id="2" xr3:uid="{91413943-A3CB-4B22-A06D-483C6A1E900E}"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88B15E9-9833-445C-9489-AE09BA159DCF}" name="Table_SourceData_Swine_ProductionSystems" displayName="Table_SourceData_Swine_ProductionSystems" ref="G53:G56" totalsRowShown="0">
  <autoFilter ref="G53:G56" xr:uid="{A6BE3FFD-EB90-45EB-8756-16A72E0C6869}">
    <filterColumn colId="0" hiddenButton="1"/>
  </autoFilter>
  <tableColumns count="1">
    <tableColumn id="1" xr3:uid="{CE4F6269-3E61-4B4B-937D-31B0B8864B2C}"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699D410-9777-4045-9DBD-FD3F3E6E4615}" name="Table_SourceData_Swine_NitrogenInWaste" displayName="Table_SourceData_Swine_NitrogenInWaste" ref="D89:G93" totalsRowShown="0" dataDxfId="280" dataCellStyle="Content normal">
  <autoFilter ref="D89:G93" xr:uid="{61D86DCB-D80D-4593-96F3-A897FC93073F}">
    <filterColumn colId="0" hiddenButton="1"/>
    <filterColumn colId="1" hiddenButton="1"/>
    <filterColumn colId="2" hiddenButton="1"/>
    <filterColumn colId="3" hiddenButton="1"/>
  </autoFilter>
  <tableColumns count="4">
    <tableColumn id="1" xr3:uid="{130AC564-D52E-4EBD-BBB5-7A759089B194}" name="Class" dataDxfId="279" dataCellStyle="Content normal">
      <calculatedColumnFormula array="1">Common_InputFunctions.Utility_DisplayArrayInTable(SourceData_Swine.SourceData_Swine_NitrogenInWaste_Data(), Table_SourceData_Swine_NitrogenInWaste[[#Headers],[Class]], 0)</calculatedColumnFormula>
    </tableColumn>
    <tableColumn id="2" xr3:uid="{9CAEF5F9-7F9B-4A84-862E-7B3E08B71823}" name="NWj" dataDxfId="278" dataCellStyle="Content normal">
      <calculatedColumnFormula array="1">Common_InputFunctions.Utility_DisplayArrayInTable(SourceData_Swine.SourceData_Swine_NitrogenInWaste_Data(), Table_SourceData_Swine_NitrogenInWaste[[#Headers],[Class]], 0)</calculatedColumnFormula>
    </tableColumn>
    <tableColumn id="3" xr3:uid="{86801C0E-FB00-46AC-8D21-D49B662BB1C9}" name="NWj Daily" dataDxfId="277" dataCellStyle="Content normal">
      <calculatedColumnFormula array="1">Common_InputFunctions.Utility_DisplayArrayInTable(SourceData_Swine.SourceData_Swine_NitrogenInWaste_Data(), Table_SourceData_Swine_NitrogenInWaste[[#Headers],[Class]], 0)</calculatedColumnFormula>
    </tableColumn>
    <tableColumn id="4" xr3:uid="{F7E63BEC-F111-4CB5-AFEE-9174FDDBF23E}" name="Class name" dataDxfId="276"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3EEFE99-8C62-471D-8960-77F66021B128}" name="Table_SourceData_Swine_FeedIntake" displayName="Table_SourceData_Swine_FeedIntake" ref="D78:E82" totalsRowShown="0" dataDxfId="275" dataCellStyle="Content normal">
  <autoFilter ref="D78:E82" xr:uid="{E34928EB-73E5-43B2-830B-089F30DA4EF0}">
    <filterColumn colId="0" hiddenButton="1"/>
    <filterColumn colId="1" hiddenButton="1"/>
  </autoFilter>
  <tableColumns count="2">
    <tableColumn id="1" xr3:uid="{CAD0F086-96AD-478F-9F97-BB910BCF2E2C}" name="Class" dataDxfId="274" dataCellStyle="Content normal">
      <calculatedColumnFormula array="1">Common_InputFunctions.Utility_DisplayArrayInTable(SourceData_Swine.SourceData_Swine_FeedIntake_Data(), Table_SourceData_Swine_FeedIntake[[#Headers],[Class]], 0)</calculatedColumnFormula>
    </tableColumn>
    <tableColumn id="2" xr3:uid="{1690C47D-EE38-468F-9597-9B68F6DA3A1F}" name="Ij" dataDxfId="273"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BDF3D1D-7F6A-497D-BF81-D37949972D8A}"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D9F98332-1B95-4D5F-B5E2-AEE65DE883E4}" name="MMSm">
      <calculatedColumnFormula array="1">Common_InputFunctions.Utility_DisplayArrayInTable(SourceData_Swine.SourceData_Swine_FractionNVolatilised_Data(), Table_SourceData_Swine_FracGASM[[#Headers],[MMSm]],0)</calculatedColumnFormula>
    </tableColumn>
    <tableColumn id="2" xr3:uid="{2BCCC245-DB53-4D42-ACC5-BC6EDCEE82F0}" name="FracGASMmT">
      <calculatedColumnFormula array="1">Common_InputFunctions.Utility_DisplayArrayInTable(SourceData_Swine.SourceData_Swine_FractionNVolatilised_Data(), Table_SourceData_Swine_FracGASM[[#Headers],[MMSm]],0)</calculatedColumnFormula>
    </tableColumn>
    <tableColumn id="3" xr3:uid="{4F373F91-DA42-4046-A700-612A4D03BE11}"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9B1FBA8-F209-4B60-A2C3-626CC74E920A}" name="Table_SourceData_Swine_FracGASM28" displayName="Table_SourceData_Swine_FracGASM28" ref="D111:F117" totalsRowShown="0" dataDxfId="272" dataCellStyle="Content normal">
  <autoFilter ref="D111:F117" xr:uid="{1333872B-E46C-4DC7-8E2D-1F3D704794C8}">
    <filterColumn colId="0" hiddenButton="1"/>
    <filterColumn colId="1" hiddenButton="1"/>
    <filterColumn colId="2" hiddenButton="1"/>
  </autoFilter>
  <tableColumns count="3">
    <tableColumn id="1" xr3:uid="{54A8713E-4A88-4367-AAF9-B49979E5AB2F}" name="MMSm" dataDxfId="271" dataCellStyle="Content normal">
      <calculatedColumnFormula array="1">Common_InputFunctions.Utility_DisplayArrayInTable(SourceData_Swine.SourceData_Swine_NitrousOxideEFs_Data(), Table_SourceData_Swine_FracGASM28[[#Headers],[MMSm]],0)</calculatedColumnFormula>
    </tableColumn>
    <tableColumn id="2" xr3:uid="{53BCE6E6-AFCD-4CC1-9F94-6226182EFBF0}" name="EFmT" dataDxfId="270" dataCellStyle="Content normal">
      <calculatedColumnFormula array="1">Common_InputFunctions.Utility_DisplayArrayInTable(SourceData_Swine.SourceData_Swine_NitrousOxideEFs_Data(), Table_SourceData_Swine_FracGASM28[[#Headers],[MMSm]],0)</calculatedColumnFormula>
    </tableColumn>
    <tableColumn id="3" xr3:uid="{036BD3CD-6156-4C46-9EDB-32CFB8038976}" name="NIR reference" dataDxfId="269"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BF6DE23-110B-4C99-9F4F-0FF4882A3A45}" name="Table_SourceData_Swine_CropProdSystems" displayName="Table_SourceData_Swine_CropProdSystems" ref="D8:D10" totalsRowShown="0">
  <autoFilter ref="D8:D10" xr:uid="{1DC3FD95-46BB-428C-8DAB-6CC542C27F2F}">
    <filterColumn colId="0" hiddenButton="1"/>
  </autoFilter>
  <tableColumns count="1">
    <tableColumn id="1" xr3:uid="{02F08772-6E69-4E9B-A468-512130251402}" name="Production system">
      <calculatedColumnFormula>#REF!</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F1845CD-2668-4E23-90D2-E9E3FDFC8A60}" name="Table_SourceData_Swine_IrrigationMethods" displayName="Table_SourceData_Swine_IrrigationMethods" ref="G8:G13" totalsRowShown="0">
  <autoFilter ref="G8:G13" xr:uid="{AA6B756B-6FF9-48AC-BC54-06A8937EFD12}">
    <filterColumn colId="0" hiddenButton="1"/>
  </autoFilter>
  <tableColumns count="1">
    <tableColumn id="1" xr3:uid="{BDFB2D6B-2434-4EAD-AEFA-23FB1CE0FC47}" name="Irrigation method"/>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991E101E-D444-4552-B825-5D71DC6A7EDE}"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5D138A20-D7BB-44A7-8D02-EBB02488388A}" name="Livestock type j">
      <calculatedColumnFormula array="1">Common_InputFunctions.Utility_DisplayArrayInTable(SourceData_Swine.SourceData_Swine_AverageLiveweight_Data(),Table_SourceData_Swine_Liveweight[[#Headers],[Livestock type j]],0)</calculatedColumnFormula>
    </tableColumn>
    <tableColumn id="2" xr3:uid="{F641F504-19AD-4109-B1BE-87CA18B07786}" name="Average liveweight (kg)" dataDxfId="268"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94BF14F-2B18-4E74-873C-786F793AC13C}" name="Table_SourceData_Dairy_MMS" displayName="Table_SourceData_Dairy_MMS" ref="D7:E11" totalsRowShown="0">
  <autoFilter ref="D7:E11" xr:uid="{D5C443B2-EDE2-4250-B2EE-016878D19AD9}">
    <filterColumn colId="0" hiddenButton="1"/>
    <filterColumn colId="1" hiddenButton="1"/>
  </autoFilter>
  <tableColumns count="2">
    <tableColumn id="1" xr3:uid="{2D267732-40AB-4C2F-8671-7C2AA970AF16}" name="MMS"/>
    <tableColumn id="2" xr3:uid="{8F67D046-4521-4198-89FE-8B9020DE7897}" name="Symbol and MMS" dataDxfId="267"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54466F1-DFF2-4F42-9283-A16E0B12185C}" name="Table_SourceData_Dairy_CropProdSystems" displayName="Table_SourceData_Dairy_CropProdSystems" ref="G7:G9" totalsRowShown="0">
  <autoFilter ref="G7:G9" xr:uid="{B6F3FE3A-A0B5-47E7-85B2-8426FB75A7C8}">
    <filterColumn colId="0" hiddenButton="1"/>
  </autoFilter>
  <tableColumns count="1">
    <tableColumn id="1" xr3:uid="{90BEE7A3-C08B-40EE-A4DF-35A1B18EA68D}" name="Production system">
      <calculatedColumnFormula>#REF!</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C868933-7AB8-465F-868F-BB4F038B2FAA}" name="Table_SourceData_Dairy_IrrigationMethods" displayName="Table_SourceData_Dairy_IrrigationMethods" ref="J7:J12" totalsRowShown="0">
  <autoFilter ref="J7:J12" xr:uid="{FE172B77-CEA3-430C-84BC-392A64D0B8FF}">
    <filterColumn colId="0" hiddenButton="1"/>
  </autoFilter>
  <tableColumns count="1">
    <tableColumn id="1" xr3:uid="{DD3D632B-EA92-406F-86DD-317482A3A23A}" name="Irrigation method"/>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2C85C894-3263-4B16-9C0C-A34EBE0BE93C}"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EE60BFBB-0D61-4B34-B17F-5CFC526619ED}" name="Breed">
      <calculatedColumnFormula array="1">Common_InputFunctions.Utility_DisplayArrayInTable(SourceData_Dairy.SourceData_Dairy_LiveweightCowsAndHeifers_Data(), Table_SourceData_Dairy_WjCowsHeifers[[#Headers],[Breed]], 0)</calculatedColumnFormula>
    </tableColumn>
    <tableColumn id="2" xr3:uid="{4CCC390B-59F5-46F7-B12E-7FD7AF5B68C7}" name="Milking cows" dataDxfId="266" dataCellStyle="Content normal">
      <calculatedColumnFormula array="1">Common_InputFunctions.Utility_DisplayArrayInTable(SourceData_Dairy.SourceData_Dairy_LiveweightCowsAndHeifers_Data(), Table_SourceData_Dairy_WjCowsHeifers[[#Headers],[Breed]], 0)</calculatedColumnFormula>
    </tableColumn>
    <tableColumn id="3" xr3:uid="{4FE16782-624F-4BF7-A267-CAE7DF2AA522}" name="Heifers &gt; 1" dataDxfId="265" dataCellStyle="Content normal">
      <calculatedColumnFormula array="1">Common_InputFunctions.Utility_DisplayArrayInTable(SourceData_Dairy.SourceData_Dairy_LiveweightCowsAndHeifers_Data(), Table_SourceData_Dairy_WjCowsHeifers[[#Headers],[Breed]], 0)</calculatedColumnFormula>
    </tableColumn>
    <tableColumn id="4" xr3:uid="{E92A7C38-6067-46B4-884A-BD200AE86EC1}" name="Heifers &lt; 1 (weaned)" dataDxfId="264"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FFED033-B848-4AEC-81CB-51C81DB76255}"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39EA7B-A8D5-4173-AE70-34455D7CE618}" name="Breed">
      <calculatedColumnFormula array="1">Common_InputFunctions.Utility_DisplayArrayInTable(SourceData_Dairy.SourceData_Dairy_LiveweightBulls_Data(), Table_SourceData_Dairy_WjBulls[[#Headers],[Breed]], 0)</calculatedColumnFormula>
    </tableColumn>
    <tableColumn id="2" xr3:uid="{A5E39DBB-6CB2-4677-9CF0-46BA055339D7}" name="Bulls &gt; 1" dataDxfId="263" dataCellStyle="Content normal">
      <calculatedColumnFormula array="1">Common_InputFunctions.Utility_DisplayArrayInTable(SourceData_Dairy.SourceData_Dairy_LiveweightBulls_Data(), Table_SourceData_Dairy_WjBulls[[#Headers],[Breed]], 0)</calculatedColumnFormula>
    </tableColumn>
    <tableColumn id="3" xr3:uid="{9E076D5B-0ED4-435D-8612-278300DCF2AC}" name="Bulls &lt; 1 (weaned)" dataDxfId="262"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5EC5A2BC-C4FF-499E-9B20-49ED3304EAF8}"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31D004E7-48C2-4139-B49B-342F3E6BD04D}" name="Milking cows">
      <calculatedColumnFormula array="1">Common_InputFunctions.Utility_DisplayArrayInTable(SourceData_Dairy.SourceData_Dairy_LiveweightGain_Data(), Table_SourceData_Dairy_LWGj[[#Headers],[Milking cows]], 0)</calculatedColumnFormula>
    </tableColumn>
    <tableColumn id="2" xr3:uid="{AD462129-26C6-41FB-B9CD-21F7990015A7}" name="Heifers &gt; 1" dataDxfId="261" dataCellStyle="Content normal">
      <calculatedColumnFormula array="1">Common_InputFunctions.Utility_DisplayArrayInTable(SourceData_Dairy.SourceData_Dairy_LiveweightGain_Data(), Table_SourceData_Dairy_LWGj[[#Headers],[Milking cows]], 0)</calculatedColumnFormula>
    </tableColumn>
    <tableColumn id="3" xr3:uid="{9905C12E-696D-487A-842D-EFA7CD44C817}" name="Heifers &lt; 1 (weaned)" dataDxfId="260" dataCellStyle="Content normal">
      <calculatedColumnFormula array="1">Common_InputFunctions.Utility_DisplayArrayInTable(SourceData_Dairy.SourceData_Dairy_LiveweightGain_Data(), Table_SourceData_Dairy_LWGj[[#Headers],[Milking cows]], 0)</calculatedColumnFormula>
    </tableColumn>
    <tableColumn id="4" xr3:uid="{A19A1DD5-6A92-48A8-B8BC-FCA05DEAC5BF}" name="Bulls &gt; 1" dataDxfId="259" dataCellStyle="Content normal">
      <calculatedColumnFormula array="1">Common_InputFunctions.Utility_DisplayArrayInTable(SourceData_Dairy.SourceData_Dairy_LiveweightGain_Data(), Table_SourceData_Dairy_LWGj[[#Headers],[Milking cows]], 0)</calculatedColumnFormula>
    </tableColumn>
    <tableColumn id="5" xr3:uid="{20238AC9-F749-4398-A6B6-8053695A7BD9}" name="Bulls &lt; 1 (weaned)" dataDxfId="258"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833499F-678B-44A5-ACCB-C7FCF3165E03}" name="Table_SourceData_Dairy_WRj" displayName="Table_SourceData_Dairy_WRj" ref="D54:H55" totalsRowShown="0" headerRowDxfId="257"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CB3684E-17D6-443A-921D-E3EBB3420C04}"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0F3E8724-5545-4E42-B9EF-1AD15E2E020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82866B2-0A44-4F71-96A3-A0BDD95267B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80CA111-5521-4DCC-B9F1-16A834EC119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F853BEBE-9F98-4BFE-B42C-8F68B2D897E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BE0E9D2-8828-442C-9EB3-C6B4CDD002CE}" name="Table_SourceData_Dairy_DataPreWeaned" displayName="Table_SourceData_Dairy_DataPreWeaned" ref="D62:G64" totalsRowShown="0" dataDxfId="256" dataCellStyle="Content normal">
  <autoFilter ref="D62:G64" xr:uid="{968BB314-DB2C-4CA2-BAA9-E66557777E59}">
    <filterColumn colId="0" hiddenButton="1"/>
    <filterColumn colId="1" hiddenButton="1"/>
    <filterColumn colId="2" hiddenButton="1"/>
    <filterColumn colId="3" hiddenButton="1"/>
  </autoFilter>
  <tableColumns count="4">
    <tableColumn id="1" xr3:uid="{DF5E89FF-9007-4593-8FBE-413A877E7B11}" name="Animal class j" dataDxfId="255" dataCellStyle="Content normal">
      <calculatedColumnFormula array="1">Common_InputFunctions.Utility_DisplayArrayInTable(SourceData_Dairy.SourceData_Dairy_PreWeanedCalves_Data(), Table_SourceData_Dairy_DataPreWeaned[[#Headers],[Animal class j]], -1)</calculatedColumnFormula>
    </tableColumn>
    <tableColumn id="2" xr3:uid="{A442A162-6C35-49EF-BB5C-C30073D41640}" name="CH4 production" dataDxfId="254" dataCellStyle="Content normal">
      <calculatedColumnFormula array="1">Common_InputFunctions.Utility_DisplayArrayInTable(SourceData_Dairy.SourceData_Dairy_PreWeanedCalves_Data(), Table_SourceData_Dairy_DataPreWeaned[[#Headers],[Animal class j]], -1)</calculatedColumnFormula>
    </tableColumn>
    <tableColumn id="3" xr3:uid="{55A7699B-8335-4001-9D74-8F99A69B2DEE}" name="Volatile solids (VSj=3,5)" dataDxfId="253" dataCellStyle="Content normal">
      <calculatedColumnFormula array="1">Common_InputFunctions.Utility_DisplayArrayInTable(SourceData_Dairy.SourceData_Dairy_PreWeanedCalves_Data(), Table_SourceData_Dairy_DataPreWeaned[[#Headers],[Animal class j]], -1)</calculatedColumnFormula>
    </tableColumn>
    <tableColumn id="4" xr3:uid="{707920EA-0C26-4518-8870-9EFD759B5CCE}" name="Nitrogen Excreted (NPWj=3,5)" dataDxfId="252"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1552FD6-14D4-4524-AFC4-3FEAFA98DCE9}"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2922D06-D072-4CAA-8BA2-99B2D7F2F9E9}" name="MMS m">
      <calculatedColumnFormula array="1">Common_InputFunctions.Utility_DisplayArrayInTable(SourceData_Dairy.SourceData_Dairy_MCF_Data(), Table_SourceData_Dairy_MCFjm[[#Headers],[MMS m]], 0)</calculatedColumnFormula>
    </tableColumn>
    <tableColumn id="2" xr3:uid="{F01007B6-CC44-4C9B-AF6A-EBFCD0F21E54}" name="ACT" dataDxfId="251" dataCellStyle="Content normal">
      <calculatedColumnFormula array="1">Common_InputFunctions.Utility_DisplayArrayInTable(SourceData_Dairy.SourceData_Dairy_MCF_Data(), Table_SourceData_Dairy_MCFjm[[#Headers],[MMS m]], 0)</calculatedColumnFormula>
    </tableColumn>
    <tableColumn id="3" xr3:uid="{F6B8A7DA-34B4-4778-B7E2-A3F86EDE891A}" name="NSW" dataDxfId="250" dataCellStyle="Content normal">
      <calculatedColumnFormula array="1">Common_InputFunctions.Utility_DisplayArrayInTable(SourceData_Dairy.SourceData_Dairy_MCF_Data(), Table_SourceData_Dairy_MCFjm[[#Headers],[MMS m]], 0)</calculatedColumnFormula>
    </tableColumn>
    <tableColumn id="4" xr3:uid="{27230C27-090A-4603-8755-4A0F8CA6E24C}" name="NT" dataDxfId="249" dataCellStyle="Content normal">
      <calculatedColumnFormula array="1">Common_InputFunctions.Utility_DisplayArrayInTable(SourceData_Dairy.SourceData_Dairy_MCF_Data(), Table_SourceData_Dairy_MCFjm[[#Headers],[MMS m]], 0)</calculatedColumnFormula>
    </tableColumn>
    <tableColumn id="5" xr3:uid="{48A746ED-7602-4864-A24B-94E96DD8B7ED}" name="QLD" dataDxfId="248" dataCellStyle="Content normal">
      <calculatedColumnFormula array="1">Common_InputFunctions.Utility_DisplayArrayInTable(SourceData_Dairy.SourceData_Dairy_MCF_Data(), Table_SourceData_Dairy_MCFjm[[#Headers],[MMS m]], 0)</calculatedColumnFormula>
    </tableColumn>
    <tableColumn id="6" xr3:uid="{7A60D28F-8629-4D06-AE4C-DDAF68995F40}" name="SA" dataDxfId="247" dataCellStyle="Content normal">
      <calculatedColumnFormula array="1">Common_InputFunctions.Utility_DisplayArrayInTable(SourceData_Dairy.SourceData_Dairy_MCF_Data(), Table_SourceData_Dairy_MCFjm[[#Headers],[MMS m]], 0)</calculatedColumnFormula>
    </tableColumn>
    <tableColumn id="7" xr3:uid="{D8A3804A-CE24-463E-A882-C0A3B6779058}" name="TAS" dataDxfId="246" dataCellStyle="Content normal">
      <calculatedColumnFormula array="1">Common_InputFunctions.Utility_DisplayArrayInTable(SourceData_Dairy.SourceData_Dairy_MCF_Data(), Table_SourceData_Dairy_MCFjm[[#Headers],[MMS m]], 0)</calculatedColumnFormula>
    </tableColumn>
    <tableColumn id="8" xr3:uid="{EFD0D52E-425C-4EE6-B156-B93404DAE93B}" name="VIC" dataDxfId="245" dataCellStyle="Content normal">
      <calculatedColumnFormula array="1">Common_InputFunctions.Utility_DisplayArrayInTable(SourceData_Dairy.SourceData_Dairy_MCF_Data(), Table_SourceData_Dairy_MCFjm[[#Headers],[MMS m]], 0)</calculatedColumnFormula>
    </tableColumn>
    <tableColumn id="9" xr3:uid="{097A7215-AA72-443A-8837-3B6825E12463}" name="WA" dataDxfId="244" dataCellStyle="Content normal">
      <calculatedColumnFormula array="1">Common_InputFunctions.Utility_DisplayArrayInTable(SourceData_Dairy.SourceData_Dairy_MCF_Data(), Table_SourceData_Dairy_MCFjm[[#Headers],[MMS m]], 0)</calculatedColumnFormula>
    </tableColumn>
    <tableColumn id="10" xr3:uid="{EC80A8EE-0ECE-43F2-9EEB-2B024BAF4A86}" name="NIR reference" dataDxfId="243"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271C319-886E-44FE-BBEF-94E66758EDF3}"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F3D4D0DB-3AE9-40E9-8AC6-24F21D18151D}" name="MMS m">
      <calculatedColumnFormula array="1">Common_InputFunctions.Utility_DisplayArrayInTable(SourceData_Dairy.SourceData_Dairy_NitrousOxideEFsAndFracGASM_Data(), Table_SourceData_Dairy_EFmFracGASM[[#Headers],[MMS m]], 0)</calculatedColumnFormula>
    </tableColumn>
    <tableColumn id="2" xr3:uid="{BD430A49-071D-4525-B98C-5F9865CA4FD7}" name="EFm" dataDxfId="242" dataCellStyle="Content normal">
      <calculatedColumnFormula array="1">Common_InputFunctions.Utility_DisplayArrayInTable(SourceData_Dairy.SourceData_Dairy_NitrousOxideEFsAndFracGASM_Data(), Table_SourceData_Dairy_EFmFracGASM[[#Headers],[MMS m]], 0)</calculatedColumnFormula>
    </tableColumn>
    <tableColumn id="3" xr3:uid="{BF13C77C-FA25-4D34-8E82-7C62AAAE6E3D}" name="FracGASMm" dataDxfId="241" dataCellStyle="Content normal">
      <calculatedColumnFormula array="1">Common_InputFunctions.Utility_DisplayArrayInTable(SourceData_Dairy.SourceData_Dairy_NitrousOxideEFsAndFracGASM_Data(), Table_SourceData_Dairy_EFmFracGASM[[#Headers],[MMS m]], 0)</calculatedColumnFormula>
    </tableColumn>
    <tableColumn id="4" xr3:uid="{C0041A7D-A97E-4628-9EFC-39DA56BCBE41}" name="NIR reference" dataDxfId="240"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48D384D8-8C55-4A44-9445-39B7940FF3FC}"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AA5B699-4610-4515-95C6-95036DC95FB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48DE1A7-9680-47A3-B97A-8A7783B06E53}" name="MPW ENTERIC" dataDxfId="239"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E8DE6B3-2317-4E9F-AC55-AE8745DA299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EA14BA23-B95E-46F2-ABC4-867D49712FB4}" name="Animal class j">
      <calculatedColumnFormula array="1">Common_InputFunctions.Utility_DisplayArrayInTable(SourceData_Dairy.SourceData_Dairy_IncreasedMetabolicRateMilk_Data(), Table_SourceData_Dairy_MRj[[#Headers],[Animal class j]], 0)</calculatedColumnFormula>
    </tableColumn>
    <tableColumn id="2" xr3:uid="{E98CA604-98B0-4A8E-8800-1BA67E46FFC6}" name="MRj" dataDxfId="238"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5E63E3E-5E11-4E52-B0E5-97AAFDD2588E}"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62D34C5A-DB51-4084-B42B-57494451BEAE}" name="Area">
      <calculatedColumnFormula array="1">Common_InputFunctions.Utility_DisplayArrayInTable(SourceData_Dairy.SourceData_Dairy_FractionVolatileSolidsVoidedMMS_Data(), Table_SourceData_Dairy_ProductionSystemTemplates[[#Headers],[Area]], 0)</calculatedColumnFormula>
    </tableColumn>
    <tableColumn id="2" xr3:uid="{62E589A5-038E-4713-A6EC-CFB9B0558A90}" name="Pasture" dataDxfId="23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C50B3A3-38C5-4BE2-8DEF-F6B066A82677}" name="Milking shed" dataDxfId="23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5FA7B8-E4B7-4D79-9F02-6816DC598FB1}" name="Feedpad" dataDxfId="23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FB14F337-2A75-4245-A31E-5612232A07C6}"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741802A-40E8-4E3B-886D-FE947665E64C}" name="MMS m">
      <calculatedColumnFormula array="1">Common_InputFunctions.Utility_DisplayArrayInTable(SourceData_Dairy.SourceData_Dairy_EFNitrousOxidePerMMS_Data(), Table_SourceData_Dairy_EFm[[#Headers],[MMS m]], 0)</calculatedColumnFormula>
    </tableColumn>
    <tableColumn id="2" xr3:uid="{AB679D57-80AA-4D28-8EDD-781ECE1AA202}" name="EFm" dataDxfId="234" dataCellStyle="Content normal">
      <calculatedColumnFormula array="1">Common_InputFunctions.Utility_DisplayArrayInTable(SourceData_Dairy.SourceData_Dairy_EFNitrousOxidePerMMS_Data(), Table_SourceData_Dairy_EFm[[#Headers],[MMS m]], 0)</calculatedColumnFormula>
    </tableColumn>
    <tableColumn id="3" xr3:uid="{00CE627C-EB14-436C-A6B2-9EFF817A6299}" name="NIR reference" dataDxfId="233"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D7482180-68FD-46F4-805E-53BD2C81DFA4}"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09059D0-7174-445F-890C-A6C17F714CD6}" name="Animal class j">
      <calculatedColumnFormula array="1">Common_InputFunctions.Utility_DisplayArrayInTable(SourceData_Dairy.SourceData_Dairy_DurationOfStay_Data(), Table_SourceData_Dairy_Duration[[#Headers],[Animal class j]], 0)</calculatedColumnFormula>
    </tableColumn>
    <tableColumn id="2" xr3:uid="{86F041E4-8020-49DC-BE48-72073799CD92}" name="Duration (weaned)" dataDxfId="232" dataCellStyle="Content normal">
      <calculatedColumnFormula array="1">Common_InputFunctions.Utility_DisplayArrayInTable(SourceData_Dairy.SourceData_Dairy_DurationOfStay_Data(), Table_SourceData_Dairy_Duration[[#Headers],[Animal class j]], 0)</calculatedColumnFormula>
    </tableColumn>
    <tableColumn id="3" xr3:uid="{0A2125E2-AA9F-4939-973F-8D5C7009E560}" name="Duration (pre-weaned)" dataDxfId="231"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49CEE49-6EB7-4DE5-AC8D-3E890074713E}" name="Table_SourceData_PastureBeef_CropProdSystems" displayName="Table_SourceData_PastureBeef_CropProdSystems" ref="D7:D9" totalsRowShown="0">
  <autoFilter ref="D7:D9" xr:uid="{B6F3FE3A-A0B5-47E7-85B2-8426FB75A7C8}">
    <filterColumn colId="0" hiddenButton="1"/>
  </autoFilter>
  <tableColumns count="1">
    <tableColumn id="1" xr3:uid="{F93BC9DA-3227-43EC-87AE-AE6848B93394}" name="Production system">
      <calculatedColumnFormula>#REF!</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F4B1EBB9-F070-4A05-B9A3-A1AA90F2776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275C4E5-8931-451C-B6A8-F1C413EB4604}" name="Irrigation method"/>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99F8D21-4C4A-4AAB-B040-02A9DEF8434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A7D303-0A7C-4870-947E-0BCB0B6F41A8}" name="State">
      <calculatedColumnFormula array="1">Common_InputFunctions.Utility_DisplayArrayInTable(SourceData_PastureBeef.SourceData_PastureBeef_Liveweight_Data(), Table_SourceData_PastureBeef_Liveweight[[#Headers],[State]], 0)</calculatedColumnFormula>
    </tableColumn>
    <tableColumn id="2" xr3:uid="{2DD4D73B-8DC8-4857-BB21-EBFD41A6681E}" name="Region" dataDxfId="230"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937E62F-F139-470A-9EC2-F86872174CE3}" name="Season" dataDxfId="229" dataCellStyle="Content normal">
      <calculatedColumnFormula array="1">Common_InputFunctions.Utility_DisplayArrayInTable(SourceData_PastureBeef.SourceData_PastureBeef_Liveweight_Data(), Table_SourceData_PastureBeef_Liveweight[[#Headers],[State]], 0)</calculatedColumnFormula>
    </tableColumn>
    <tableColumn id="4" xr3:uid="{245C4928-7D14-4E85-9899-45339D6B8707}" name="Bull &lt; 1" dataDxfId="228"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B4B28C6-481B-440C-8CEF-329B70ACE19C}" name="Bull &gt; 1" dataDxfId="227" dataCellStyle="Content normal">
      <calculatedColumnFormula array="1">Common_InputFunctions.Utility_DisplayArrayInTable(SourceData_PastureBeef.SourceData_PastureBeef_Liveweight_Data(), Table_SourceData_PastureBeef_Liveweight[[#Headers],[State]], 0)</calculatedColumnFormula>
    </tableColumn>
    <tableColumn id="6" xr3:uid="{F83648DA-F322-4C6D-864B-A09C5E928C5F}" name="Cow &lt; 1" dataDxfId="226"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901689D-3705-4ECF-A4C1-449ABEEDE5DB}" name="Cow 1-2" dataDxfId="225" dataCellStyle="Content normal">
      <calculatedColumnFormula array="1">Common_InputFunctions.Utility_DisplayArrayInTable(SourceData_PastureBeef.SourceData_PastureBeef_Liveweight_Data(), Table_SourceData_PastureBeef_Liveweight[[#Headers],[State]], 0)</calculatedColumnFormula>
    </tableColumn>
    <tableColumn id="8" xr3:uid="{99A74803-7E79-4422-9F78-2891F6F1ADF4}" name="Cow &gt; 2" dataDxfId="224"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748334A-DCC3-4CB7-8CC7-8D2C05F8A52B}" name="Steer &lt; 1" dataDxfId="223"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6C323C91-916D-4592-B37D-A515E6402174}" name="Steer &gt; 1" dataDxfId="222"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241CB1E-152C-4648-B8E2-B789702A8479}"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78C2385-3D3A-4E4E-A64A-BA8D4E29B7E5}" name="State">
      <calculatedColumnFormula array="1">Common_InputFunctions.Utility_DisplayArrayInTable(SourceData_PastureBeef.SourceData_PastureBeef_LiveweightNTQLD_Data(),Table_SourceData_PastureBeef_LiveweightNTQD[[#Headers],[State]], 0)</calculatedColumnFormula>
    </tableColumn>
    <tableColumn id="2" xr3:uid="{28043912-F68E-46F4-953F-98D6FD23BF05}" name="Region" dataDxfId="2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1A882B0-1C91-4665-9A35-C32BB96B4471}" name="Season" dataDxfId="2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F2349E71-22E9-46B8-86B0-AE3A43099E16}" name="Bull &lt;1" dataDxfId="2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DA5336C9-D336-4CD6-88D2-0D22D730F747}" name="Bull &gt;1" dataDxfId="2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099A0783-5B3B-4CF8-B22F-8EE8C9C22120}" name="Cows &lt;1" dataDxfId="2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7E30DBC-31AC-460B-AFAC-7E9B2B8F56D8}" name="Cows 1-2" dataDxfId="2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C53D1F72-907F-4E31-A69B-C55905E4B7B5}" name="Cows 2-3" dataDxfId="2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312DE61B-19FB-4430-B609-44FAE2288E62}" name="Cows &gt;3" dataDxfId="2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03B3A3-CC64-4E11-B5C4-A1F05D718DDA}" name="Steer &lt;1" dataDxfId="2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9AFEA49F-C82F-4443-B4BA-9BEDB330E706}" name="Steer 1-2" dataDxfId="21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2A49C52-A7C5-4D57-84A2-5706EFFE0CD9}" name="Steer 2-3" dataDxfId="21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35AB7528-920E-4DAF-A25A-CA7F598288A2}" name="Steer &gt;3" dataDxfId="210"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EFD709D-8418-4AA0-B3DE-DF24038E55FD}"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3FA48A9-8D0A-4F72-B9C1-C6C77894E678}" name="State"/>
    <tableColumn id="2" xr3:uid="{09E640C8-09D2-4775-8AA9-34ECACDD61C4}" name="Region">
      <calculatedColumnFormula>E22</calculatedColumnFormula>
    </tableColumn>
    <tableColumn id="3" xr3:uid="{4EE34C07-2B2A-467C-B09F-8312BE0875A7}" name="Season">
      <calculatedColumnFormula>F22</calculatedColumnFormula>
    </tableColumn>
    <tableColumn id="4" xr3:uid="{DC502F23-A4DC-4EBD-91B1-F2AB2D1D42C6}" name="Bulls &lt; 1 year">
      <calculatedColumnFormula>G22</calculatedColumnFormula>
    </tableColumn>
    <tableColumn id="5" xr3:uid="{CFC1AD2C-20E7-4CDA-B3BB-5C4C2CCA4965}" name="Bulls &gt; 1 year">
      <calculatedColumnFormula>H22</calculatedColumnFormula>
    </tableColumn>
    <tableColumn id="6" xr3:uid="{5CB7377E-5720-4F7D-8191-CF40193737CE}" name="Cows &lt; 1 year">
      <calculatedColumnFormula>I22</calculatedColumnFormula>
    </tableColumn>
    <tableColumn id="7" xr3:uid="{B35AD2F1-8373-48DD-BD17-6A951FE59448}" name="Cows 1-2 years">
      <calculatedColumnFormula>J22</calculatedColumnFormula>
    </tableColumn>
    <tableColumn id="8" xr3:uid="{2D9CE1BB-811C-4EBC-AE81-AA1C52B57D91}" name="Cows 2-3 years">
      <calculatedColumnFormula>K22</calculatedColumnFormula>
    </tableColumn>
    <tableColumn id="9" xr3:uid="{57088271-ED74-4CC8-A0EB-31E2DF35874B}" name="Cows &gt; 3 years">
      <calculatedColumnFormula>L22</calculatedColumnFormula>
    </tableColumn>
    <tableColumn id="10" xr3:uid="{8D2CAE93-CBF6-414C-B4E0-5ED3507CA6B9}" name="Steers &lt; 1 year">
      <calculatedColumnFormula>M22</calculatedColumnFormula>
    </tableColumn>
    <tableColumn id="11" xr3:uid="{CACAAB30-CA16-497C-9305-6943E4C93B52}" name="Steers 1-2 years">
      <calculatedColumnFormula>N22</calculatedColumnFormula>
    </tableColumn>
    <tableColumn id="12" xr3:uid="{4DE3BE7F-8D79-46DD-B623-3C1D5C2CC2AF}" name="Steers 2-3 years">
      <calculatedColumnFormula>#REF!</calculatedColumnFormula>
    </tableColumn>
    <tableColumn id="13" xr3:uid="{63157230-F8D2-4A6E-9157-63350CC5930F}" name="Steers &gt;3 years">
      <calculatedColumnFormula>P22</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84885F7-6E4A-416A-A3BE-A9A172F46F5F}"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A51689-EE3D-4EE4-8209-433D433B74FA}" name="Regio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D820F93-BCAA-4E87-A0FE-F48BCD5AF4D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59CF99B1-36D0-4E02-B1F8-687F20B61531}" name="Regio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AF8913A0-ECFF-428B-9BF6-A7567E64E2DE}"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F1D737B-D1A7-4399-9FF1-00B05B735C1E}"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3044B30-A09F-4350-86B9-CA3CA0DC8429}" name="Table_SourceData_PastureBeef_Region_Victoria" displayName="Table_SourceData_PastureBeef_Region_Victoria" ref="S7:S8" totalsRowShown="0">
  <autoFilter ref="S7:S8" xr:uid="{7D474D93-C1E0-4898-A434-69585070D0B9}">
    <filterColumn colId="0" hiddenButton="1"/>
  </autoFilter>
  <tableColumns count="1">
    <tableColumn id="1" xr3:uid="{81892D27-3179-49DF-AAE6-D037D5FC2228}"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80F38688-883D-40D5-A8B8-C26633C14A4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D14D935A-D5EE-4914-90D8-871F893EC443}"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8E80B970-7BF3-49EB-A097-F53AE85A956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2C713AF1-775E-40CA-A900-0340069FBE6C}"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8F6CAB85-5721-4062-8628-4F5AD4CBC80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948C0BB-49E1-4667-9F00-781B732183D1}"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287CB2-DC86-41B0-BA7C-6A4D17E636E8}" name="Table_SourceData_PastureBeef_Region_ACT" displayName="Table_SourceData_PastureBeef_Region_ACT" ref="S27:S28" totalsRowShown="0">
  <autoFilter ref="S27:S28" xr:uid="{3655B7FD-A2CC-4B05-9668-16F7A54ED6C1}">
    <filterColumn colId="0" hiddenButton="1"/>
  </autoFilter>
  <tableColumns count="1">
    <tableColumn id="1" xr3:uid="{E26871B1-12D0-4D9F-9046-9E6BEE20CE2F}"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45F1ECC-6C6A-4370-ABB2-239E85A5C36B}"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432ADC-4B8D-45AC-A848-85CAAAD99391}" name="State">
      <calculatedColumnFormula array="1">Common_InputFunctions.Utility_DisplayArrayInTable(SourceData_PastureBeef.SourceData_PastureBeef_LiveweightGain_Data(), Table_SourceData_PastureBeef_LiveweightGain[[#Headers],[State]],0)</calculatedColumnFormula>
    </tableColumn>
    <tableColumn id="2" xr3:uid="{0B40C830-549E-4BC5-8C13-A0C8833D124E}" name="Region" dataDxfId="2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44DFC4D5-F6F5-4FC0-AF7A-7053FBB95C4C}" name="Season" dataDxfId="2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3251D1-3F47-4E07-BC8C-103501C0B8E0}" name="Bull &lt;1" dataDxfId="2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33F543F-6CE5-484A-9C9B-18FF4BDC60FC}" name="Bull &gt;1" dataDxfId="206"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761ADF7-9FE4-4319-BF9E-79590CEAA849}" name="Cow &lt;1" dataDxfId="205"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1B99881B-694E-4ECB-8749-A325146D621A}" name="Cow 1-2" dataDxfId="204"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02087C5-6AF5-448F-9D35-EACE5A7970A1}" name="Cow &gt;2" dataDxfId="203"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7CBE3334-A83F-465C-870A-62820129F709}" name="Steer &lt;1" dataDxfId="202"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6B4A046B-29F1-4687-8A68-EA0BDBACF4F2}" name="Steer &gt;1" dataDxfId="201"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85DDBCA-A8AA-4FEA-8785-A905EBEAB82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BBB9C3-1B63-4484-9757-B1CC29F7B398}" name="State">
      <calculatedColumnFormula array="1">Common_InputFunctions.Utility_DisplayArrayInTable(SourceData_PastureBeef.SourceData_PastureBeef_LiveweightGainNTQLD_Data(),Table_SourceData_PastureBeef_LiveweightGainNTQLD[[#Headers],[State]],0)</calculatedColumnFormula>
    </tableColumn>
    <tableColumn id="2" xr3:uid="{46D5639E-CE0F-4377-8A34-60DCE73D7895}" name="Region" dataDxfId="2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4E9AF5D-FEEE-4C64-BEC4-ACA6D52F4B9E}" name="Season" dataDxfId="1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16ABA55-D48F-4662-8745-69511C7AD0F1}" name="Bull &lt;1" dataDxfId="1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79EDAC0D-3ECD-4AF5-B052-802407455218}" name="Bull &gt;1" dataDxfId="1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EE4F50D0-F91D-416E-BDA5-B4843A810660}" name="Cow &lt;1" dataDxfId="1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C633E0CD-F703-4ED6-8D43-99BD69B23DDA}" name="Cow 1-2" dataDxfId="1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763E7395-D0A1-4D04-AA1A-CCF37683ADDD}" name="Cow 2-3" dataDxfId="1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56F9C83B-CDF8-4D72-9DFA-55B5C775276E}" name="Cow &gt;3" dataDxfId="1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CD0877A-67A5-4684-AF15-832F810B3E7F}" name="Steer &lt;1" dataDxfId="1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D8E6C869-BFE0-44C9-83D2-A16163F30CB4}" name="Steer 1-2" dataDxfId="1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080F418D-3972-4309-9F35-DA75701A4AC7}" name="Steer 2-3" dataDxfId="19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00188015-A565-45D5-985D-EAA46BCA1165}" name="Steer &gt;3" dataDxfId="1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774AFA5B-0949-47EC-90E6-827F434C5A8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0E5B67-15FC-49E7-A779-51B03C19B90F}" name="State"/>
    <tableColumn id="2" xr3:uid="{E294C632-66BF-4CB4-B9C1-248D1F99D50D}" name="Region">
      <calculatedColumnFormula>E159</calculatedColumnFormula>
    </tableColumn>
    <tableColumn id="3" xr3:uid="{39D987D6-C5EE-4546-9695-DF47C8351780}" name="Season">
      <calculatedColumnFormula>F159</calculatedColumnFormula>
    </tableColumn>
    <tableColumn id="4" xr3:uid="{2F031968-39FB-431A-AA4D-136E5E1C7183}" name="Bulls &lt; 1 year">
      <calculatedColumnFormula>G159</calculatedColumnFormula>
    </tableColumn>
    <tableColumn id="5" xr3:uid="{8CD7268C-C3A7-468E-ACD2-0B2EA54EA94A}" name="Bulls &gt; 1 year">
      <calculatedColumnFormula>H159</calculatedColumnFormula>
    </tableColumn>
    <tableColumn id="6" xr3:uid="{CE307F10-6D06-425B-A6E8-8F04CC832CBB}" name="Cows &lt; 1 year">
      <calculatedColumnFormula>I159</calculatedColumnFormula>
    </tableColumn>
    <tableColumn id="7" xr3:uid="{23007FAC-CFA2-4AD8-9033-94F71E3E5CDD}" name="Cows 1-2 years">
      <calculatedColumnFormula>J159</calculatedColumnFormula>
    </tableColumn>
    <tableColumn id="8" xr3:uid="{688BCC9A-3DF8-407C-9CBB-2FF0ED326374}" name="Cows 2-3 years">
      <calculatedColumnFormula>K159</calculatedColumnFormula>
    </tableColumn>
    <tableColumn id="9" xr3:uid="{731BDF75-42DD-4580-A091-DBB8DD5EE5DE}" name="Cows &gt; 3 years">
      <calculatedColumnFormula>L159</calculatedColumnFormula>
    </tableColumn>
    <tableColumn id="10" xr3:uid="{F2A82931-F0B4-4237-86BC-1D6B342CBD82}" name="Steers &lt; 1 year">
      <calculatedColumnFormula>M159</calculatedColumnFormula>
    </tableColumn>
    <tableColumn id="11" xr3:uid="{319F250D-F2D2-4EC6-A7FD-897D271EC34A}" name="Steers 1-2 years">
      <calculatedColumnFormula>N159</calculatedColumnFormula>
    </tableColumn>
    <tableColumn id="12" xr3:uid="{71A44A60-CCBC-4681-BA51-55AC20CB5C21}" name="Steers 2-3 years">
      <calculatedColumnFormula>O159</calculatedColumnFormula>
    </tableColumn>
    <tableColumn id="13" xr3:uid="{87BD97D1-2842-4D4A-B4FE-584134B27E82}" name="Steers &gt;3 years">
      <calculatedColumnFormula>P159</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84B2A6D-29C1-4BC1-8A86-08EBFC5BB40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68EA7844-69BA-4A0A-A221-304149AAB216}"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E505F651-7462-42FC-AC18-5FAC29511541}" name="Region" dataDxfId="18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6BC8C01-D9A7-4A09-ADE6-D7E0FE8AE984}" name="Spring" dataDxfId="18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AE8E81F-85EC-43C9-9D7B-EE4543CE2564}" name="Summer" dataDxfId="18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4A43459-FD37-4DFE-B84F-164077B1D2E7}" name="Autumn" dataDxfId="18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E16C2C-A887-4CFC-BD29-C72FAF6BBC15}" name="Winter" dataDxfId="18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668BCC0E-2630-4BD3-9DC8-4E8017CCB0F2}" name="Table_SourceData_PastureBeef_CrudeProtein" displayName="Table_SourceData_PastureBeef_CrudeProtein" ref="D313:I328" totalsRowShown="0" dataDxfId="183"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C0654FAE-A6D3-4616-8BF6-812232A8B4BF}" name="State" dataDxfId="1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AFB02FAC-6BED-4C4F-83ED-F91F11D39853}" name="Region" dataDxfId="18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D1D2311-7AD7-4F42-9297-8EEAB6CA4179}" name="Spring" dataDxfId="18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E9902CD-39E7-4D97-B05F-A0C9AF34F468}" name="Summer" dataDxfId="17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620E9B42-7033-413C-9789-BF4F47C063A0}" name="Autumn" dataDxfId="17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ABAEA457-A43C-4E75-8AC4-17F50D041F4C}" name="Winter" dataDxfId="17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620ACD26-06C4-4EF4-8522-A435902342F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0980E1-BD1A-488C-84C0-0374219E1BF6}"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9B7F3D-4BE3-4432-902C-A5E67DDE10F2}" name="Season" dataDxfId="176"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00B7482-4709-4455-9080-20541379F5AE}" name="Feed adjustment" dataDxfId="17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5DD2FE77-655D-4A83-9F4E-7271D000489C}" name="Milk intake/production" dataDxfId="17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A4D9B07C-0AE1-4FCF-B996-85D53C17EE5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C361E4-65E5-42F4-8935-C05CAB2C038A}"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F1D86DA-3A62-40DC-AE99-3BB238FEEEF0}" name="Bulls &lt;1" dataDxfId="1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73B916B2-2359-4C1D-B2EC-86A91C5685D6}" name="Bulls &gt;1" dataDxfId="1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36B9907-B0EE-4FE3-AAA6-420C80BB5C02}" name="Cows &lt;1" dataDxfId="1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1E43A00-96C0-4F89-A182-92F035E91659}" name="Cows 1-2" dataDxfId="17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994AF44-25B4-40F5-A283-936BFF6BAB8E}" name="Cows &gt;2" dataDxfId="16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F74C7060-FA57-4D1C-BCF3-B252496AD94C}" name="Steer &lt;1" dataDxfId="16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E906D83-C894-4C32-A370-8C2EFB01A827}" name="Steer &gt;1" dataDxfId="16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F267C464-ACA7-4133-BB19-5511E587399F}" name="State abbreviation" dataDxfId="16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97D853-8098-4F3B-AE63-893A76D22C5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6E2C6C2-9338-4150-9DFF-E69B894D7F34}" name="State" dataDxfId="165" dataCellStyle="Content normal">
      <calculatedColumnFormula>D351</calculatedColumnFormula>
    </tableColumn>
    <tableColumn id="2" xr3:uid="{3A500914-DEBE-4A5B-9EFF-C566204ADAFE}" name="Bulls &lt; 1 year" dataDxfId="164" dataCellStyle="Content normal">
      <calculatedColumnFormula>E351</calculatedColumnFormula>
    </tableColumn>
    <tableColumn id="3" xr3:uid="{B874FEE3-562E-454F-BDBC-45043393C99C}" name="Bulls &gt; 1 year" dataDxfId="163" dataCellStyle="Content normal">
      <calculatedColumnFormula>F351</calculatedColumnFormula>
    </tableColumn>
    <tableColumn id="4" xr3:uid="{B5355347-A1F0-4973-A512-0D2CAACA96EE}" name="Cows &lt; 1 year" dataDxfId="162" dataCellStyle="Content normal">
      <calculatedColumnFormula>G351</calculatedColumnFormula>
    </tableColumn>
    <tableColumn id="5" xr3:uid="{77A191F8-38C3-4F24-9EFF-980D069BC04A}" name="Cows 1-2 years" dataDxfId="161" dataCellStyle="Content normal">
      <calculatedColumnFormula>H351</calculatedColumnFormula>
    </tableColumn>
    <tableColumn id="6" xr3:uid="{C27A0FE8-EB36-45AD-85CC-54422EECF9D4}" name="Cows 2-3 years" dataDxfId="160" dataCellStyle="Content normal">
      <calculatedColumnFormula>I351</calculatedColumnFormula>
    </tableColumn>
    <tableColumn id="7" xr3:uid="{E45A02BC-2BD9-40C3-AA1C-086EE1B3CF4E}" name="Cows &gt; 3 years" dataDxfId="159" dataCellStyle="Content normal">
      <calculatedColumnFormula>I351</calculatedColumnFormula>
    </tableColumn>
    <tableColumn id="8" xr3:uid="{64BCADE5-A30C-422D-95A6-F7AB897FB775}" name="Steers &lt; 1 year" dataDxfId="158" dataCellStyle="Content normal">
      <calculatedColumnFormula>J351</calculatedColumnFormula>
    </tableColumn>
    <tableColumn id="9" xr3:uid="{A3AA722E-C9A8-476C-9FE8-DC46C3A6D9FA}" name="Steers 1-2 years" dataDxfId="157" dataCellStyle="Content normal">
      <calculatedColumnFormula>K351</calculatedColumnFormula>
    </tableColumn>
    <tableColumn id="10" xr3:uid="{CC7AE6BD-32DE-43F2-B3D8-F334FC0BA640}" name="Steers 2-3 years" dataDxfId="156" dataCellStyle="Content normal">
      <calculatedColumnFormula>K351</calculatedColumnFormula>
    </tableColumn>
    <tableColumn id="11" xr3:uid="{B364C281-70AB-4253-BEE3-56EAB88390C8}" name="Steers &gt;3 years" dataDxfId="155" dataCellStyle="Content normal">
      <calculatedColumnFormula>K351</calculatedColumnFormula>
    </tableColumn>
    <tableColumn id="12" xr3:uid="{1B567087-DFFB-45A9-97B9-5D55DA59D657}" name="State abbreviation" dataDxfId="154" dataCellStyle="Content normal">
      <calculatedColumnFormula>L351</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31D3430B-E31F-4FD1-B127-649DFD8B42E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495D6089-FB29-4364-B87E-385DA161F588}"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3AA6E944-2416-4AB4-A6EC-52151F8F867A}" name="Region" dataDxfId="153"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92A949A-22BE-454B-A4D5-96791695B4C6}" name="Pasture range and paddock" dataDxfId="15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7CACF3C-AC2D-435C-A4A4-EAA0846D77BD}" name="Uncovered Anaerobic lagoon" dataDxfId="15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991D952-AEC4-4580-84E8-87E94D4D8CC6}" name="Table_SourceData_PastureBeef_MethaneConversionFactor" displayName="Table_SourceData_PastureBeef_MethaneConversionFactor" ref="D400:G415" totalsRowShown="0" dataDxfId="150" dataCellStyle="Content normal">
  <autoFilter ref="D400:G415" xr:uid="{4418AC31-F58F-4AB7-B02E-51D846B94E9A}">
    <filterColumn colId="0" hiddenButton="1"/>
    <filterColumn colId="1" hiddenButton="1"/>
    <filterColumn colId="2" hiddenButton="1"/>
    <filterColumn colId="3" hiddenButton="1"/>
  </autoFilter>
  <tableColumns count="4">
    <tableColumn id="1" xr3:uid="{61A94D89-68BA-4E0A-9806-B1110A39FDF7}" name="State" dataDxfId="149"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2822E44D-E6CD-4541-BFAC-6314D9007ED7}" name="Region" dataDxfId="14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7574A1F-79E6-4EEB-8F4D-BEB129E9DB10}" name="Pasture range and paddock" dataDxfId="14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D115D680-3E06-4F5A-991D-9833A8F57FCF}" name="Uncovered Anaerobic lagoon" dataDxfId="14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87764F1-3B6B-4A8D-B41D-5FDACC70E214}"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24C2AD5A-CDAA-4BB4-A3FB-43E15CFC87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B9D4AE6E-C415-4666-95E8-648C6634ABED}" name="Season" dataDxfId="145"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9BC1383-D986-4C75-A87E-88B6F2A0053B}" name="Feed adjustment" dataDxfId="14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236C73D-10FB-4AF3-8E39-393645977835}" name="Milk intake/production" dataDxfId="14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C65DBE5-7D9B-4C6C-A471-25B809CFACA3}" name="Table_LivestockClasses_Beefcattle" displayName="Table_LivestockClasses_Beefcattle" ref="O18:O28" totalsRowShown="0">
  <autoFilter ref="O18:O28" xr:uid="{AC65DBE5-7D9B-4C6C-A471-25B809CFACA3}">
    <filterColumn colId="0" hiddenButton="1"/>
  </autoFilter>
  <tableColumns count="1">
    <tableColumn id="1" xr3:uid="{F054DBEF-CB77-47FB-A5F3-319D5BAF2FD9}" name="Livestock class"/>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142"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141" dataCellStyle="Content normal">
  <autoFilter ref="D40:E47" xr:uid="{879A0650-599F-46E3-BDCA-CF804D191F3B}">
    <filterColumn colId="0" hiddenButton="1"/>
    <filterColumn colId="1" hiddenButton="1"/>
  </autoFilter>
  <tableColumns count="2">
    <tableColumn id="1" xr3:uid="{F237F8B2-5CE9-4094-A201-E708B82BA8BF}" name="Product" dataDxfId="140"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139"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138" dataCellStyle="Content normal">
  <autoFilter ref="D51:E52" xr:uid="{5D161BB1-95E1-405D-861A-B4883D49A51C}">
    <filterColumn colId="0" hiddenButton="1"/>
    <filterColumn colId="1" hiddenButton="1"/>
  </autoFilter>
  <tableColumns count="2">
    <tableColumn id="1" xr3:uid="{44557688-3D5A-45A6-818D-F1328BB9ECC9}" name="Product" dataDxfId="137"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136"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135" dataCellStyle="Content normal">
  <autoFilter ref="D56:E57" xr:uid="{91542D18-4304-4E66-85EA-4F5A2B9391FE}">
    <filterColumn colId="0" hiddenButton="1"/>
    <filterColumn colId="1" hiddenButton="1"/>
  </autoFilter>
  <tableColumns count="2">
    <tableColumn id="1" xr3:uid="{B414FDE1-8B5E-4532-8C69-A9C006972E91}" name="Product" dataDxfId="134"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133"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132" dataCellStyle="Content normal">
  <autoFilter ref="D61:E62" xr:uid="{4B96D517-47DA-49C8-8030-0D501D458198}">
    <filterColumn colId="0" hiddenButton="1"/>
    <filterColumn colId="1" hiddenButton="1"/>
  </autoFilter>
  <tableColumns count="2">
    <tableColumn id="1" xr3:uid="{20B25AB9-804F-4D21-9C93-F44C0DAF008F}" name="Product" dataDxfId="131"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130"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129"/>
    <tableColumn id="2" xr3:uid="{B4717C55-1B95-4E74-B4A0-5CE7A609A36B}" name="Notes" totalsRowDxfId="128"/>
    <tableColumn id="3" xr3:uid="{D976AB1A-52FF-4FBD-9860-B9717ABA5514}" name="Company" totalsRowDxfId="127"/>
    <tableColumn id="4" xr3:uid="{D8F5EA32-4865-44AD-B9C7-F91CA2638E8B}" name="Product name" totalsRowDxfId="126"/>
    <tableColumn id="5" xr3:uid="{D241BEEC-C636-4A92-9BDB-FA8FAA1CAFB2}" name="Unit" totalsRowDxfId="125"/>
    <tableColumn id="6" xr3:uid="{78DBDBE9-27C7-4A0D-B9DA-9F57440C9DE9}" name="Density / gravity" totalsRowDxfId="124"/>
    <tableColumn id="7" xr3:uid="{A50CBE27-EC38-4A34-A2CE-1002E6BA3DD3}" name="Urea source" totalsRowDxfId="123"/>
    <tableColumn id="8" xr3:uid="{16B5D74A-9810-4E92-A540-3E051DC2151D}" name="Ammonia source" totalsRowDxfId="122"/>
    <tableColumn id="9" xr3:uid="{DA7A3BF5-8B40-4495-AD97-6B95B429B465}" name="Ingredient 1" totalsRowDxfId="121"/>
    <tableColumn id="10" xr3:uid="{2A0B8472-D8FF-4086-BE70-2E8BCA80080B}" name="Ingredient 1 percent" totalsRowDxfId="120"/>
    <tableColumn id="11" xr3:uid="{F12415FE-ED65-47A4-AFBE-CEA738CED011}" name="Ingredient 2" totalsRowDxfId="119"/>
    <tableColumn id="12" xr3:uid="{26500CB3-2A36-4020-8DCD-96905995028A}" name="Ingredient 2 percent" totalsRowDxfId="118"/>
    <tableColumn id="13" xr3:uid="{8F8E6FFC-24C1-4EC1-A491-92E852D1C21B}" name="Ingredient 3" totalsRowDxfId="117"/>
    <tableColumn id="14" xr3:uid="{0D08C50E-A1D4-4D59-8D20-E9C72FE59C88}" name="Ingredient 3 percent" totalsRowDxfId="116"/>
    <tableColumn id="15" xr3:uid="{E71FD370-71A1-4861-8573-8E095564A6C6}" name="Ingredient 4" totalsRowDxfId="115"/>
    <tableColumn id="16" xr3:uid="{05524065-59E0-4732-9D5C-80182402ACED}" name="Ingredient 4 percent" totalsRowDxfId="114"/>
    <tableColumn id="17" xr3:uid="{E73E9DAE-88FE-451C-83BB-46CE2CD11EAC}" name="Ingredient 5" totalsRowDxfId="113"/>
    <tableColumn id="18" xr3:uid="{E43B92CC-872A-4D81-AE03-F2A3A1AA9B65}" name="Ingredient 5 percent" totalsRowDxfId="112"/>
    <tableColumn id="19" xr3:uid="{877362A6-7696-4C2B-9AC9-A50CEF0951B6}" name="Ingredient 6" totalsRowDxfId="111"/>
    <tableColumn id="37" xr3:uid="{22756E59-4033-405C-B6C2-0A2E122D072F}" name="Ingredient 6 percent" totalsRowDxfId="110"/>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109"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108"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10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106" dataCellStyle="Content normal">
  <autoFilter ref="K19:L28" xr:uid="{27B93029-EB1F-4C4A-A946-CD673A8A6C46}">
    <filterColumn colId="0" hiddenButton="1"/>
    <filterColumn colId="1" hiddenButton="1"/>
  </autoFilter>
  <tableColumns count="2">
    <tableColumn id="1" xr3:uid="{D0F0FE53-48EF-4C1D-923D-46B182A1D219}" name="Fertiliser type f" dataDxfId="105"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104"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103" dataCellStyle="Content normal">
  <autoFilter ref="Q19:R28" xr:uid="{791CEA59-796C-47AB-86BC-41E8F699030C}">
    <filterColumn colId="0" hiddenButton="1"/>
    <filterColumn colId="1" hiddenButton="1"/>
  </autoFilter>
  <tableColumns count="2">
    <tableColumn id="1" xr3:uid="{8D461AD8-9C85-4218-9322-36C1AD6A4022}" name="Fertiliser type f" dataDxfId="102"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101"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100">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8128666-A0A1-440B-BF10-0E82393CDFB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77E4297-6A49-47FC-B7F0-91EB00877CB0}" name="State/Territory">
      <calculatedColumnFormula array="1">Common_InputFunctions.Utility_DisplayArrayInTable(Common_SourceData.Common_SourceData_AustralianStatesTerritories_Data(),Table_AustralianStates[[#Headers],[State/Territory]],0)</calculatedColumnFormula>
    </tableColumn>
    <tableColumn id="2" xr3:uid="{2C6201D6-8913-44E9-86AA-7B652F444A74}" name="Common Name">
      <calculatedColumnFormula array="1">Common_InputFunctions.Utility_DisplayArrayInTable(Common_SourceData.Common_SourceData_AustralianStatesTerritories_Data(),Table_AustralianStates[[#Headers],[State/Territory]],0)</calculatedColumnFormula>
    </tableColumn>
    <tableColumn id="3" xr3:uid="{D7167175-2ABB-4CD5-95FD-17B39417B5C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103CD15-3291-42F9-A272-3677445391F0}" name="Table_WASA4Areas" displayName="Table_WASA4Areas" ref="D20:D30" totalsRowShown="0">
  <autoFilter ref="D20:D30" xr:uid="{5FA81339-C6C8-4D36-BEEA-6C4AEDD9E676}">
    <filterColumn colId="0" hiddenButton="1"/>
  </autoFilter>
  <tableColumns count="1">
    <tableColumn id="1" xr3:uid="{DEDF7698-C716-4E43-BFF2-FED27A081337}"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6A8EADE-BCCE-4A71-8F07-031112EB1ECD}" name="Table_GWPData" displayName="Table_GWPData" ref="D36:E43" totalsRowShown="0">
  <autoFilter ref="D36:E43" xr:uid="{B8E87A66-3E41-4AD3-925D-01EE21B43D7A}">
    <filterColumn colId="0" hiddenButton="1"/>
    <filterColumn colId="1" hiddenButton="1"/>
  </autoFilter>
  <tableColumns count="2">
    <tableColumn id="1" xr3:uid="{61F65FAD-E80B-415E-AFD5-E0986FC18242}" name="Gas">
      <calculatedColumnFormula array="1">Common_InputFunctions.Utility_DisplayArrayInTable(Common_SourceData.Common_SourceData_GWP_Data(), Table_GWPData[[#Headers],[Gas]], 0)</calculatedColumnFormula>
    </tableColumn>
    <tableColumn id="2" xr3:uid="{1883537D-AE22-42D9-9204-38124EA929A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C59E2107-849A-46CC-A309-FD019DEF6CA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8E9A316-7C7C-4873-8312-6E5087154768}" name="Gas">
      <calculatedColumnFormula array="1">Common_InputFunctions.Utility_DisplayArrayInTable(Common_SourceData.Common_SourceData_ConvertGasElementalToMolecular_Data(),Table_GasToMolecularConversionFactor[[#Headers],[Gas]], 0)</calculatedColumnFormula>
    </tableColumn>
    <tableColumn id="5" xr3:uid="{07656D5D-6F91-40EE-A1A6-566DFF1F0633}" name="Conversion factor">
      <calculatedColumnFormula array="1">Common_InputFunctions.Utility_DisplayArrayInTable(Common_SourceData.Common_SourceData_ConvertGasElementalToMolecular_Data(),Table_GasToMolecularConversionFactor[[#Headers],[Gas]], 0)</calculatedColumnFormula>
    </tableColumn>
    <tableColumn id="2" xr3:uid="{117C3D66-EA12-4288-8678-06E4F93B87C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10E37E2E-B11C-490B-ABBD-40C62C011F74}"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DE1C4C9-F8B8-48C9-AB70-4D90213D90B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FE3F6DD-42F1-4DAA-93D3-EAFC85631F33}"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79FDBD9-C42D-4E49-AEE7-C8130264AA9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DBA8D19-7C0F-4224-AC31-CA2932AFAF4E}" name="MA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3" xr3:uid="{E272D5FE-B0F7-4B95-A72C-79AAA3610DA6}" name="MA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4" xr3:uid="{0280B70A-ACDE-4903-9D5A-BB389224D0D7}" name="Frost days per year"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5" xr3:uid="{A592DC57-6297-4EC6-9DD7-B4DA96248744}" name="Elevation"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6" xr3:uid="{4C32DD6E-8546-4EB7-A159-792B6BDBC475}" name="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7" xr3:uid="{75C4B6D2-F530-4C44-B276-9EB807AC8640}" name="Min temp"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8" xr3:uid="{C4F8D743-C3AF-41A1-AEB8-5C5597BC1179}" name="Max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9" xr3:uid="{A8BF96C1-4980-4914-8B1E-A1BA21B8393A}" name="Min rainfall"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0" xr3:uid="{BCE47A38-6F6B-4E68-A43F-E9EE6CF7461E}" name="Max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1" xr3:uid="{FC140377-C69E-417F-A23A-98DB6CB62888}" name="Min frost days"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5" xr3:uid="{DC944369-EE4D-4923-A855-889AB7443C39}" name="Max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2" xr3:uid="{718A622E-F822-4315-8169-0B1990FBAD19}" name="Min elevation"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6" xr3:uid="{FB81F007-881A-4877-AF24-17A6236E0F9F}" name="Max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3" xr3:uid="{98CEDEE4-D145-469A-BFE9-A50DCA0D227C}" name="Min MAP:PET"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7" xr3:uid="{F3FB27F7-51A7-477B-B6BF-B539F61A86AD}" name="Max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7A1D041B-56FF-42DB-9FE3-B9BDF90FD07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035E5E5-2300-4C5E-B77C-19C12B01FCA1}"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92D4C9B-8FD7-4B80-AC3A-D30531078932}" name="Wet or Dry Zone" totalsRowDxfId="2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80F0D012-3EDC-4F78-9F6F-F88179433B8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814162EB-DDA9-4427-A7E8-B02AD8CBE63E}" name="Temperature Zone">
      <calculatedColumnFormula array="1">Common_InputFunctions.Utility_DisplayArrayInTable(Common_SourceData.Common_SourceData_TemperatureZones_Data(),Table_SourceData_TemperatureZones[[#Headers],[Temperature Zone]],0)</calculatedColumnFormula>
    </tableColumn>
    <tableColumn id="2" xr3:uid="{4D81D1F0-CEAC-4FFB-A5A5-37F042C5DF1F}" name="MAT">
      <calculatedColumnFormula array="1">Common_InputFunctions.Utility_DisplayArrayInTable(Common_SourceData.Common_SourceData_TemperatureZones_Data(),Table_SourceData_TemperatureZones[[#Headers],[Temperature Zone]],0)</calculatedColumnFormula>
    </tableColumn>
    <tableColumn id="3" xr3:uid="{649AD4CE-DB0B-49A7-8155-F3259BF50605}" name="Min MAT">
      <calculatedColumnFormula array="1">Common_InputFunctions.Utility_DisplayArrayInTable(Common_SourceData.Common_SourceData_TemperatureZones_Data(),Table_SourceData_TemperatureZones[[#Headers],[Temperature Zone]],0)</calculatedColumnFormula>
    </tableColumn>
    <tableColumn id="4" xr3:uid="{3D25EF70-0E09-4E45-8919-E336AA3D6682}"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0418DA0-E32B-497F-A5CE-16CA41FC04D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73B2EFBD-F46B-4311-A5B4-4CA657D88E15}" name="Rainfall Zone">
      <calculatedColumnFormula array="1">Common_InputFunctions.Utility_DisplayArrayInTable(Common_SourceData.Common_SourceData_RainfallZones_Data(),Table_SourceData_RainfallZones[[#Headers],[Rainfall Zone]],0)</calculatedColumnFormula>
    </tableColumn>
    <tableColumn id="2" xr3:uid="{8AD3490E-E769-4CF6-A70C-C6B4BEE49A74}" name="Annual rainfall">
      <calculatedColumnFormula array="1">Common_InputFunctions.Utility_DisplayArrayInTable(Common_SourceData.Common_SourceData_RainfallZones_Data(),Table_SourceData_RainfallZones[[#Headers],[Rainfall Zone]],0)</calculatedColumnFormula>
    </tableColumn>
    <tableColumn id="3" xr3:uid="{CBA47724-1E9D-46D6-B922-F60DFA18F316}" name="Min rainfall">
      <calculatedColumnFormula array="1">Common_InputFunctions.Utility_DisplayArrayInTable(Common_SourceData.Common_SourceData_RainfallZones_Data(),Table_SourceData_RainfallZones[[#Headers],[Rainfall Zone]],0)</calculatedColumnFormula>
    </tableColumn>
    <tableColumn id="4" xr3:uid="{CE0937BB-6263-4C8D-9E29-931AFA4A8E7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AAF29594-FDB5-4DA5-BB46-24130418AE4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30DBA3C-1CB3-47F4-A5D8-7E5896BA6CF1}" name="Leaching Zone">
      <calculatedColumnFormula array="1">Common_InputFunctions.Utility_DisplayArrayInTable(Common_SourceData.Common_SourceData_LeachingZones_Data(), Table_SourceData_LeachingZones[[#Headers],[Leaching Zone]], 0)</calculatedColumnFormula>
    </tableColumn>
    <tableColumn id="2" xr3:uid="{C7EC8E15-214F-465C-BFB8-549FEACE6575}"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F254DEF7-6AE0-423D-82FB-4AA40019826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313F485-A274-48C5-8A8B-90C1F3586BB5}" name="Data source">
      <calculatedColumnFormula array="1">Common_InputFunctions.Utility_DisplayArrayInTable(Common_SourceData.Common_SourceData_DataScores_Scope3_Data(), Table_SourceData_DataScores_Scope3[[#Headers],[Data source]], 0)</calculatedColumnFormula>
    </tableColumn>
    <tableColumn id="2" xr3:uid="{44610F87-0B44-41C8-B893-940E14A3A15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60468B3-26C7-436B-839D-2D16107EE074}" name="Table_SourceData_FracWET" displayName="Table_SourceData_FracWET" ref="D134:E136" totalsRowShown="0">
  <autoFilter ref="D134:E136" xr:uid="{308E99BE-FE1F-47A4-B2CA-97217277C4E9}">
    <filterColumn colId="0" hiddenButton="1"/>
    <filterColumn colId="1" hiddenButton="1"/>
  </autoFilter>
  <tableColumns count="2">
    <tableColumn id="1" xr3:uid="{CDC2BD0B-4BAC-4113-BCB8-261F704B7749}" name="Is in leaching zone">
      <calculatedColumnFormula array="1">Common_InputFunctions.Utility_DisplayArrayInTable(Common_SourceData.Common_SourceData_FracWET_Data(),Table_SourceData_FracWET[[#Headers],[Is in leaching zone]],0)</calculatedColumnFormula>
    </tableColumn>
    <tableColumn id="2" xr3:uid="{EB9D2953-DED7-4F57-8A95-B376D2AA2CB4}" name="FracWET" dataDxfId="2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1A3AAEE1-DEBB-4E91-ADEE-A098D362D3F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2EBB4C90-5C6D-433E-834E-2E2A424D9C08}" name="Production system j">
      <calculatedColumnFormula array="1">Common_InputFunctions.Utility_DisplayArrayInTable(Common_SourceData.Common_SourceData_EFN2O_Data(), Table_SourceData_Common_EFN2O[[#Headers],[Production system j]], 0)</calculatedColumnFormula>
    </tableColumn>
    <tableColumn id="2" xr3:uid="{7537D664-1DC8-493A-B351-4F7B3BFF96E3}" name="EFN2O">
      <calculatedColumnFormula array="1">Common_InputFunctions.Utility_DisplayArrayInTable(Common_SourceData.Common_SourceData_EFN2O_Data(), Table_SourceData_Common_EFN2O[[#Headers],[Production system j]], 0)</calculatedColumnFormula>
    </tableColumn>
    <tableColumn id="3" xr3:uid="{A3AAC40F-8F03-4505-9D46-613151145562}" name="Production system only">
      <calculatedColumnFormula array="1">Common_InputFunctions.Utility_DisplayArrayInTable(Common_SourceData.Common_SourceData_EFN2O_Data(), Table_SourceData_Common_EFN2O[[#Headers],[Production system j]], 0)</calculatedColumnFormula>
    </tableColumn>
    <tableColumn id="4" xr3:uid="{A7110733-A6D6-4640-98A1-6653EB831AA9}" name="Irrigation method">
      <calculatedColumnFormula array="1">Common_InputFunctions.Utility_DisplayArrayInTable(Common_SourceData.Common_SourceData_EFN2O_Data(), Table_SourceData_Common_EFN2O[[#Headers],[Production system j]], 0)</calculatedColumnFormula>
    </tableColumn>
    <tableColumn id="5" xr3:uid="{F8962CEC-3373-49A6-9A61-7F21077C4F3F}"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FED53FBB-AE70-4A81-9B4D-5945D5D0FBF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4D737B7-63FD-4CEE-BC1A-4C322A82A7D7}" name="Irrigation type i">
      <calculatedColumnFormula array="1">Common_InputFunctions.Utility_DisplayArrayInTable(Common_SourceData.Common_SourceData_FracWETIrrigation_Data(), Table_SourceData_FracWETIrrigation[[#Headers],[Irrigation type i]], 0)</calculatedColumnFormula>
    </tableColumn>
    <tableColumn id="2" xr3:uid="{1E63E295-A9AB-47B7-815E-C7B475979485}" name="FracWET" dataDxfId="1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4C5631CD-872D-4989-A770-BD9728504E2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3099586-CAA1-49EE-9315-58849098F56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A09DEF5-1AEC-43C4-8EFE-699C874E3896}" name="EFPRP" dataDxfId="1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38AEE79D-791B-45BF-BE60-DB4ABC5F943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13D2E17-4A4F-449F-BF90-CB4723371B8F}" name="Month">
      <calculatedColumnFormula array="1">Common_InputFunctions.Utility_DisplayArrayInTable(Common_SourceData.Common_SourceData_MonthsToSeasons_Data(), Table_SourceData_Common_MonthToSeason[[#Headers],[Month]], 0)</calculatedColumnFormula>
    </tableColumn>
    <tableColumn id="2" xr3:uid="{3A2C802D-131E-4389-8912-E49AC5A97FA7}" name="Season" dataDxfId="1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B637AFAD-1E1E-4457-BE28-4E10211DA1F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755B56E-85F4-4C97-A94C-761089CA26A9}"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DDC247D-8D17-42A7-8D10-9B3C22E63B2D}" name="MAT (ºC)"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03214FA-45DF-446B-A229-C56CDF46D027}" name="Anaerobic lago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D5908AC-0399-4DD5-93BA-38229DCD2C90}" name="Digester / covered lagoons"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3282EE2-BF08-41F7-8E1F-CE2626A064D7}" name="Liquid system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A46198F9-9771-42F3-8859-FB502C1331B2}" name="Daily spread"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0DA1B15-D478-407E-B9F0-26489F532533}" name="Composting (passive windrow)"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A4604E1-6419-4542-8E9C-E97698BE55AC}" name="Solid storage"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18DFBF2-31F1-4E15-B025-3C68B3663FDC}" name="Pit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706D404-50ED-4717-97E9-B85D62831587}" name="Deep litter"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CAE4879-2843-468B-AFE9-C36E35CAFA6E}" name="Poultry manure with bedding"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E06DB5D2-28B2-4931-8FE1-68145B726412}" name="Poultry manure without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E8A0956-2517-44F5-843D-1EA2571566FA}" name="Direct process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C753E13-BC92-47F3-9921-2D38EA858627}" name="Direct application"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F827B60-7990-44AB-B2AD-DBF9C6FDBA9E}" name="Pasture range and paddock"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3A348832-5F3C-49DF-B072-4B6F65F2EC4C}" name="MAT raw"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72DA15BB-E9B0-4AB2-B114-3997028A73E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ABE7BA-8EAC-4A3F-8B9A-16F064299E94}"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B332408E-553A-496D-A8C7-10AE627C7A7B}" name="EFNi &amp; EFN2Oi" dataDxfId="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BC3C7C23-1C71-40B1-86A0-82BFD0964652}"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8C002654-29E6-4807-9839-F0DA67BF9AD3}" name="Description" dataDxfId="0" dataCellStyle="Content normal"/>
    <tableColumn id="1" xr3:uid="{8C5CFB43-1D30-4BE1-863E-20225DA0C3B3}" name="ID"/>
    <tableColumn id="3" xr3:uid="{7420833D-5CFC-4EA9-9261-306497D40B7F}" name="Score"/>
  </tableColumns>
  <tableStyleInfo name="Equation table"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C263956E-D79F-4A8E-A030-7BBEE6E14B0F}"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B2BA2CC9-8793-4654-94E4-42761BB1960F}" name="Description"/>
    <tableColumn id="2" xr3:uid="{7EC75137-DA0C-41AB-BE25-8E56109EAFED}" name="ID"/>
    <tableColumn id="3" xr3:uid="{B78260F3-270E-480B-AA33-FCD82E662CB9}" name="Score"/>
  </tableColumns>
  <tableStyleInfo name="Equation table"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8B078B29-2D13-411E-A187-8C8D28D1CB7C}"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FC973E61-5E3C-47C6-960E-809D8451BB19}" name="Description"/>
    <tableColumn id="2" xr3:uid="{DBF107D7-E192-4973-8543-32A9EC9E71D4}" name="ID"/>
    <tableColumn id="3" xr3:uid="{F038602A-6866-4584-93AE-6B83DD8FF3C0}" name="Score"/>
  </tableColumns>
  <tableStyleInfo name="Equation table"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076CC480-0A61-4C38-897D-CCC406D22FA8}"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A0C14C94-DAA0-4C9D-9C60-6F442F05CA81}" name="Description"/>
    <tableColumn id="2" xr3:uid="{9E1BF419-3C56-43AB-B87B-1FDC2700CCB3}" name="ID"/>
    <tableColumn id="3" xr3:uid="{C367DFE3-F193-47D7-B9C6-F0D20BC526A5}"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3.bin"/><Relationship Id="rId4"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29.xml"/><Relationship Id="rId13" Type="http://schemas.openxmlformats.org/officeDocument/2006/relationships/table" Target="../tables/table34.xml"/><Relationship Id="rId18" Type="http://schemas.openxmlformats.org/officeDocument/2006/relationships/table" Target="../tables/table39.xml"/><Relationship Id="rId26" Type="http://schemas.openxmlformats.org/officeDocument/2006/relationships/table" Target="../tables/table47.xml"/><Relationship Id="rId3" Type="http://schemas.openxmlformats.org/officeDocument/2006/relationships/table" Target="../tables/table24.xml"/><Relationship Id="rId21" Type="http://schemas.openxmlformats.org/officeDocument/2006/relationships/table" Target="../tables/table42.xml"/><Relationship Id="rId7" Type="http://schemas.openxmlformats.org/officeDocument/2006/relationships/table" Target="../tables/table28.xml"/><Relationship Id="rId12" Type="http://schemas.openxmlformats.org/officeDocument/2006/relationships/table" Target="../tables/table33.xml"/><Relationship Id="rId17" Type="http://schemas.openxmlformats.org/officeDocument/2006/relationships/table" Target="../tables/table38.xml"/><Relationship Id="rId25" Type="http://schemas.openxmlformats.org/officeDocument/2006/relationships/table" Target="../tables/table46.xml"/><Relationship Id="rId2" Type="http://schemas.openxmlformats.org/officeDocument/2006/relationships/table" Target="../tables/table23.xml"/><Relationship Id="rId16" Type="http://schemas.openxmlformats.org/officeDocument/2006/relationships/table" Target="../tables/table37.xml"/><Relationship Id="rId20" Type="http://schemas.openxmlformats.org/officeDocument/2006/relationships/table" Target="../tables/table41.xml"/><Relationship Id="rId29" Type="http://schemas.openxmlformats.org/officeDocument/2006/relationships/table" Target="../tables/table50.xml"/><Relationship Id="rId1" Type="http://schemas.openxmlformats.org/officeDocument/2006/relationships/table" Target="../tables/table22.xml"/><Relationship Id="rId6" Type="http://schemas.openxmlformats.org/officeDocument/2006/relationships/table" Target="../tables/table27.xml"/><Relationship Id="rId11" Type="http://schemas.openxmlformats.org/officeDocument/2006/relationships/table" Target="../tables/table32.xml"/><Relationship Id="rId24" Type="http://schemas.openxmlformats.org/officeDocument/2006/relationships/table" Target="../tables/table45.xml"/><Relationship Id="rId5" Type="http://schemas.openxmlformats.org/officeDocument/2006/relationships/table" Target="../tables/table26.xml"/><Relationship Id="rId15" Type="http://schemas.openxmlformats.org/officeDocument/2006/relationships/table" Target="../tables/table36.xml"/><Relationship Id="rId23" Type="http://schemas.openxmlformats.org/officeDocument/2006/relationships/table" Target="../tables/table44.xml"/><Relationship Id="rId28" Type="http://schemas.openxmlformats.org/officeDocument/2006/relationships/table" Target="../tables/table49.xml"/><Relationship Id="rId10" Type="http://schemas.openxmlformats.org/officeDocument/2006/relationships/table" Target="../tables/table31.xml"/><Relationship Id="rId19" Type="http://schemas.openxmlformats.org/officeDocument/2006/relationships/table" Target="../tables/table40.xml"/><Relationship Id="rId4" Type="http://schemas.openxmlformats.org/officeDocument/2006/relationships/table" Target="../tables/table25.xml"/><Relationship Id="rId9" Type="http://schemas.openxmlformats.org/officeDocument/2006/relationships/table" Target="../tables/table30.xml"/><Relationship Id="rId14" Type="http://schemas.openxmlformats.org/officeDocument/2006/relationships/table" Target="../tables/table35.xml"/><Relationship Id="rId22" Type="http://schemas.openxmlformats.org/officeDocument/2006/relationships/table" Target="../tables/table43.xml"/><Relationship Id="rId27" Type="http://schemas.openxmlformats.org/officeDocument/2006/relationships/table" Target="../tables/table48.xml"/><Relationship Id="rId30" Type="http://schemas.openxmlformats.org/officeDocument/2006/relationships/table" Target="../tables/table51.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53.xml"/><Relationship Id="rId7" Type="http://schemas.openxmlformats.org/officeDocument/2006/relationships/table" Target="../tables/table57.xml"/><Relationship Id="rId2" Type="http://schemas.openxmlformats.org/officeDocument/2006/relationships/table" Target="../tables/table52.xml"/><Relationship Id="rId1" Type="http://schemas.openxmlformats.org/officeDocument/2006/relationships/printerSettings" Target="../printerSettings/printerSettings8.bin"/><Relationship Id="rId6" Type="http://schemas.openxmlformats.org/officeDocument/2006/relationships/table" Target="../tables/table56.xml"/><Relationship Id="rId5" Type="http://schemas.openxmlformats.org/officeDocument/2006/relationships/table" Target="../tables/table55.xml"/><Relationship Id="rId4" Type="http://schemas.openxmlformats.org/officeDocument/2006/relationships/table" Target="../tables/table54.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60.xml"/><Relationship Id="rId7" Type="http://schemas.openxmlformats.org/officeDocument/2006/relationships/table" Target="../tables/table64.xml"/><Relationship Id="rId2" Type="http://schemas.openxmlformats.org/officeDocument/2006/relationships/table" Target="../tables/table59.xml"/><Relationship Id="rId1" Type="http://schemas.openxmlformats.org/officeDocument/2006/relationships/table" Target="../tables/table58.xml"/><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s>
</file>

<file path=xl/worksheets/_rels/sheet28.xml.rels><?xml version="1.0" encoding="UTF-8" standalone="yes"?>
<Relationships xmlns="http://schemas.openxmlformats.org/package/2006/relationships"><Relationship Id="rId8" Type="http://schemas.openxmlformats.org/officeDocument/2006/relationships/table" Target="../tables/table71.xml"/><Relationship Id="rId3" Type="http://schemas.openxmlformats.org/officeDocument/2006/relationships/table" Target="../tables/table66.xml"/><Relationship Id="rId7" Type="http://schemas.openxmlformats.org/officeDocument/2006/relationships/table" Target="../tables/table70.xml"/><Relationship Id="rId12" Type="http://schemas.openxmlformats.org/officeDocument/2006/relationships/table" Target="../tables/table75.xml"/><Relationship Id="rId2"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69.xml"/><Relationship Id="rId11" Type="http://schemas.openxmlformats.org/officeDocument/2006/relationships/table" Target="../tables/table74.xml"/><Relationship Id="rId5" Type="http://schemas.openxmlformats.org/officeDocument/2006/relationships/table" Target="../tables/table68.xml"/><Relationship Id="rId10" Type="http://schemas.openxmlformats.org/officeDocument/2006/relationships/table" Target="../tables/table73.xml"/><Relationship Id="rId4" Type="http://schemas.openxmlformats.org/officeDocument/2006/relationships/table" Target="../tables/table67.xml"/><Relationship Id="rId9" Type="http://schemas.openxmlformats.org/officeDocument/2006/relationships/table" Target="../tables/table72.xml"/></Relationships>
</file>

<file path=xl/worksheets/_rels/sheet29.xml.rels><?xml version="1.0" encoding="UTF-8" standalone="yes"?>
<Relationships xmlns="http://schemas.openxmlformats.org/package/2006/relationships"><Relationship Id="rId8" Type="http://schemas.openxmlformats.org/officeDocument/2006/relationships/table" Target="../tables/table83.xml"/><Relationship Id="rId13" Type="http://schemas.openxmlformats.org/officeDocument/2006/relationships/table" Target="../tables/table88.xml"/><Relationship Id="rId3" Type="http://schemas.openxmlformats.org/officeDocument/2006/relationships/table" Target="../tables/table78.xml"/><Relationship Id="rId7" Type="http://schemas.openxmlformats.org/officeDocument/2006/relationships/table" Target="../tables/table82.xml"/><Relationship Id="rId12" Type="http://schemas.openxmlformats.org/officeDocument/2006/relationships/table" Target="../tables/table87.xml"/><Relationship Id="rId2" Type="http://schemas.openxmlformats.org/officeDocument/2006/relationships/table" Target="../tables/table77.xml"/><Relationship Id="rId1" Type="http://schemas.openxmlformats.org/officeDocument/2006/relationships/table" Target="../tables/table76.xml"/><Relationship Id="rId6" Type="http://schemas.openxmlformats.org/officeDocument/2006/relationships/table" Target="../tables/table81.xml"/><Relationship Id="rId11" Type="http://schemas.openxmlformats.org/officeDocument/2006/relationships/table" Target="../tables/table86.xml"/><Relationship Id="rId5" Type="http://schemas.openxmlformats.org/officeDocument/2006/relationships/table" Target="../tables/table80.xml"/><Relationship Id="rId10" Type="http://schemas.openxmlformats.org/officeDocument/2006/relationships/table" Target="../tables/table85.xml"/><Relationship Id="rId4" Type="http://schemas.openxmlformats.org/officeDocument/2006/relationships/table" Target="../tables/table79.xml"/><Relationship Id="rId9" Type="http://schemas.openxmlformats.org/officeDocument/2006/relationships/table" Target="../tables/table84.xml"/><Relationship Id="rId14" Type="http://schemas.openxmlformats.org/officeDocument/2006/relationships/table" Target="../tables/table89.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97.xml"/><Relationship Id="rId13" Type="http://schemas.openxmlformats.org/officeDocument/2006/relationships/table" Target="../tables/table102.xml"/><Relationship Id="rId3" Type="http://schemas.openxmlformats.org/officeDocument/2006/relationships/table" Target="../tables/table92.xml"/><Relationship Id="rId7" Type="http://schemas.openxmlformats.org/officeDocument/2006/relationships/table" Target="../tables/table96.xml"/><Relationship Id="rId12" Type="http://schemas.openxmlformats.org/officeDocument/2006/relationships/table" Target="../tables/table101.xml"/><Relationship Id="rId2" Type="http://schemas.openxmlformats.org/officeDocument/2006/relationships/table" Target="../tables/table91.xml"/><Relationship Id="rId1" Type="http://schemas.openxmlformats.org/officeDocument/2006/relationships/table" Target="../tables/table90.xml"/><Relationship Id="rId6" Type="http://schemas.openxmlformats.org/officeDocument/2006/relationships/table" Target="../tables/table95.xml"/><Relationship Id="rId11" Type="http://schemas.openxmlformats.org/officeDocument/2006/relationships/table" Target="../tables/table100.xml"/><Relationship Id="rId5" Type="http://schemas.openxmlformats.org/officeDocument/2006/relationships/table" Target="../tables/table94.xml"/><Relationship Id="rId15" Type="http://schemas.openxmlformats.org/officeDocument/2006/relationships/table" Target="../tables/table104.xml"/><Relationship Id="rId10" Type="http://schemas.openxmlformats.org/officeDocument/2006/relationships/table" Target="../tables/table99.xml"/><Relationship Id="rId4" Type="http://schemas.openxmlformats.org/officeDocument/2006/relationships/table" Target="../tables/table93.xml"/><Relationship Id="rId9" Type="http://schemas.openxmlformats.org/officeDocument/2006/relationships/table" Target="../tables/table98.xml"/><Relationship Id="rId14" Type="http://schemas.openxmlformats.org/officeDocument/2006/relationships/table" Target="../tables/table103.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112.xml"/><Relationship Id="rId13" Type="http://schemas.openxmlformats.org/officeDocument/2006/relationships/table" Target="../tables/table117.xml"/><Relationship Id="rId18" Type="http://schemas.openxmlformats.org/officeDocument/2006/relationships/table" Target="../tables/table122.xml"/><Relationship Id="rId3" Type="http://schemas.openxmlformats.org/officeDocument/2006/relationships/table" Target="../tables/table107.xml"/><Relationship Id="rId21" Type="http://schemas.openxmlformats.org/officeDocument/2006/relationships/table" Target="../tables/table125.xml"/><Relationship Id="rId7" Type="http://schemas.openxmlformats.org/officeDocument/2006/relationships/table" Target="../tables/table111.xml"/><Relationship Id="rId12" Type="http://schemas.openxmlformats.org/officeDocument/2006/relationships/table" Target="../tables/table116.xml"/><Relationship Id="rId17" Type="http://schemas.openxmlformats.org/officeDocument/2006/relationships/table" Target="../tables/table121.xml"/><Relationship Id="rId25" Type="http://schemas.openxmlformats.org/officeDocument/2006/relationships/table" Target="../tables/table129.xml"/><Relationship Id="rId2" Type="http://schemas.openxmlformats.org/officeDocument/2006/relationships/table" Target="../tables/table106.xml"/><Relationship Id="rId16" Type="http://schemas.openxmlformats.org/officeDocument/2006/relationships/table" Target="../tables/table120.xml"/><Relationship Id="rId20" Type="http://schemas.openxmlformats.org/officeDocument/2006/relationships/table" Target="../tables/table124.xml"/><Relationship Id="rId1" Type="http://schemas.openxmlformats.org/officeDocument/2006/relationships/table" Target="../tables/table105.xml"/><Relationship Id="rId6" Type="http://schemas.openxmlformats.org/officeDocument/2006/relationships/table" Target="../tables/table110.xml"/><Relationship Id="rId11" Type="http://schemas.openxmlformats.org/officeDocument/2006/relationships/table" Target="../tables/table115.xml"/><Relationship Id="rId24" Type="http://schemas.openxmlformats.org/officeDocument/2006/relationships/table" Target="../tables/table128.xml"/><Relationship Id="rId5" Type="http://schemas.openxmlformats.org/officeDocument/2006/relationships/table" Target="../tables/table109.xml"/><Relationship Id="rId15" Type="http://schemas.openxmlformats.org/officeDocument/2006/relationships/table" Target="../tables/table119.xml"/><Relationship Id="rId23" Type="http://schemas.openxmlformats.org/officeDocument/2006/relationships/table" Target="../tables/table127.xml"/><Relationship Id="rId10" Type="http://schemas.openxmlformats.org/officeDocument/2006/relationships/table" Target="../tables/table114.xml"/><Relationship Id="rId19" Type="http://schemas.openxmlformats.org/officeDocument/2006/relationships/table" Target="../tables/table123.xml"/><Relationship Id="rId4" Type="http://schemas.openxmlformats.org/officeDocument/2006/relationships/table" Target="../tables/table108.xml"/><Relationship Id="rId9" Type="http://schemas.openxmlformats.org/officeDocument/2006/relationships/table" Target="../tables/table113.xml"/><Relationship Id="rId14" Type="http://schemas.openxmlformats.org/officeDocument/2006/relationships/table" Target="../tables/table118.xml"/><Relationship Id="rId22" Type="http://schemas.openxmlformats.org/officeDocument/2006/relationships/table" Target="../tables/table126.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132.xml"/><Relationship Id="rId2" Type="http://schemas.openxmlformats.org/officeDocument/2006/relationships/table" Target="../tables/table131.xml"/><Relationship Id="rId1" Type="http://schemas.openxmlformats.org/officeDocument/2006/relationships/table" Target="../tables/table130.xml"/><Relationship Id="rId6" Type="http://schemas.openxmlformats.org/officeDocument/2006/relationships/table" Target="../tables/table135.xml"/><Relationship Id="rId5" Type="http://schemas.openxmlformats.org/officeDocument/2006/relationships/table" Target="../tables/table134.xml"/><Relationship Id="rId4" Type="http://schemas.openxmlformats.org/officeDocument/2006/relationships/table" Target="../tables/table133.xml"/></Relationships>
</file>

<file path=xl/worksheets/_rels/sheet33.xml.rels><?xml version="1.0" encoding="UTF-8" standalone="yes"?>
<Relationships xmlns="http://schemas.openxmlformats.org/package/2006/relationships"><Relationship Id="rId8" Type="http://schemas.openxmlformats.org/officeDocument/2006/relationships/table" Target="../tables/table143.xml"/><Relationship Id="rId3" Type="http://schemas.openxmlformats.org/officeDocument/2006/relationships/table" Target="../tables/table138.xml"/><Relationship Id="rId7" Type="http://schemas.openxmlformats.org/officeDocument/2006/relationships/table" Target="../tables/table142.xml"/><Relationship Id="rId2" Type="http://schemas.openxmlformats.org/officeDocument/2006/relationships/table" Target="../tables/table137.xml"/><Relationship Id="rId1" Type="http://schemas.openxmlformats.org/officeDocument/2006/relationships/table" Target="../tables/table136.xml"/><Relationship Id="rId6" Type="http://schemas.openxmlformats.org/officeDocument/2006/relationships/table" Target="../tables/table141.xml"/><Relationship Id="rId11" Type="http://schemas.openxmlformats.org/officeDocument/2006/relationships/table" Target="../tables/table146.xml"/><Relationship Id="rId5" Type="http://schemas.openxmlformats.org/officeDocument/2006/relationships/table" Target="../tables/table140.xml"/><Relationship Id="rId10" Type="http://schemas.openxmlformats.org/officeDocument/2006/relationships/table" Target="../tables/table145.xml"/><Relationship Id="rId4" Type="http://schemas.openxmlformats.org/officeDocument/2006/relationships/table" Target="../tables/table139.xml"/><Relationship Id="rId9" Type="http://schemas.openxmlformats.org/officeDocument/2006/relationships/table" Target="../tables/table144.xml"/></Relationships>
</file>

<file path=xl/worksheets/_rels/sheet34.xml.rels><?xml version="1.0" encoding="UTF-8" standalone="yes"?>
<Relationships xmlns="http://schemas.openxmlformats.org/package/2006/relationships"><Relationship Id="rId2" Type="http://schemas.openxmlformats.org/officeDocument/2006/relationships/table" Target="../tables/table148.xml"/><Relationship Id="rId1" Type="http://schemas.openxmlformats.org/officeDocument/2006/relationships/table" Target="../tables/table147.xml"/></Relationships>
</file>

<file path=xl/worksheets/_rels/sheet35.xml.rels><?xml version="1.0" encoding="UTF-8" standalone="yes"?>
<Relationships xmlns="http://schemas.openxmlformats.org/package/2006/relationships"><Relationship Id="rId8" Type="http://schemas.openxmlformats.org/officeDocument/2006/relationships/table" Target="../tables/table155.xml"/><Relationship Id="rId13" Type="http://schemas.openxmlformats.org/officeDocument/2006/relationships/table" Target="../tables/table160.xml"/><Relationship Id="rId18" Type="http://schemas.openxmlformats.org/officeDocument/2006/relationships/table" Target="../tables/table165.xml"/><Relationship Id="rId3" Type="http://schemas.openxmlformats.org/officeDocument/2006/relationships/table" Target="../tables/table150.xml"/><Relationship Id="rId21" Type="http://schemas.openxmlformats.org/officeDocument/2006/relationships/table" Target="../tables/table168.xml"/><Relationship Id="rId7" Type="http://schemas.openxmlformats.org/officeDocument/2006/relationships/table" Target="../tables/table154.xml"/><Relationship Id="rId12" Type="http://schemas.openxmlformats.org/officeDocument/2006/relationships/table" Target="../tables/table159.xml"/><Relationship Id="rId17" Type="http://schemas.openxmlformats.org/officeDocument/2006/relationships/table" Target="../tables/table164.xml"/><Relationship Id="rId2" Type="http://schemas.openxmlformats.org/officeDocument/2006/relationships/table" Target="../tables/table149.xml"/><Relationship Id="rId16" Type="http://schemas.openxmlformats.org/officeDocument/2006/relationships/table" Target="../tables/table163.xml"/><Relationship Id="rId20" Type="http://schemas.openxmlformats.org/officeDocument/2006/relationships/table" Target="../tables/table167.xml"/><Relationship Id="rId1" Type="http://schemas.openxmlformats.org/officeDocument/2006/relationships/printerSettings" Target="../printerSettings/printerSettings10.bin"/><Relationship Id="rId6" Type="http://schemas.openxmlformats.org/officeDocument/2006/relationships/table" Target="../tables/table153.xml"/><Relationship Id="rId11" Type="http://schemas.openxmlformats.org/officeDocument/2006/relationships/table" Target="../tables/table158.xml"/><Relationship Id="rId5" Type="http://schemas.openxmlformats.org/officeDocument/2006/relationships/table" Target="../tables/table152.xml"/><Relationship Id="rId15" Type="http://schemas.openxmlformats.org/officeDocument/2006/relationships/table" Target="../tables/table162.xml"/><Relationship Id="rId10" Type="http://schemas.openxmlformats.org/officeDocument/2006/relationships/table" Target="../tables/table157.xml"/><Relationship Id="rId19" Type="http://schemas.openxmlformats.org/officeDocument/2006/relationships/table" Target="../tables/table166.xml"/><Relationship Id="rId4" Type="http://schemas.openxmlformats.org/officeDocument/2006/relationships/table" Target="../tables/table151.xml"/><Relationship Id="rId9" Type="http://schemas.openxmlformats.org/officeDocument/2006/relationships/table" Target="../tables/table156.xml"/><Relationship Id="rId14" Type="http://schemas.openxmlformats.org/officeDocument/2006/relationships/table" Target="../tables/table161.xml"/><Relationship Id="rId22" Type="http://schemas.openxmlformats.org/officeDocument/2006/relationships/table" Target="../tables/table16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A1:L50"/>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1:12" s="1" customFormat="1" ht="30" customHeight="1" x14ac:dyDescent="0.35">
      <c r="A1" s="37" t="e" vm="1">
        <v>#VALUE!</v>
      </c>
      <c r="C1" s="210" t="s">
        <v>835</v>
      </c>
    </row>
    <row r="2" spans="1:12" s="2" customFormat="1" ht="20.100000000000001" customHeight="1" x14ac:dyDescent="0.25">
      <c r="A2"/>
    </row>
    <row r="3" spans="1:12" ht="20.100000000000001" customHeight="1" x14ac:dyDescent="0.25">
      <c r="A3" s="221" t="str">
        <f>HYPERLINK("#'Overview'!A1", "Overview")</f>
        <v>Overview</v>
      </c>
      <c r="C3" s="211"/>
      <c r="D3" s="211"/>
      <c r="E3" s="211"/>
      <c r="F3" s="211"/>
      <c r="G3" s="211"/>
      <c r="H3" s="211"/>
      <c r="I3" s="211"/>
      <c r="J3" s="211"/>
      <c r="K3" s="211"/>
      <c r="L3" s="211"/>
    </row>
    <row r="4" spans="1:12" ht="20.100000000000001" customHeight="1" x14ac:dyDescent="0.25">
      <c r="A4" s="16" t="str">
        <f>HYPERLINK("#'Results'!A1", "Results")</f>
        <v>Results</v>
      </c>
    </row>
    <row r="5" spans="1:12" ht="20.100000000000001" customHeight="1" x14ac:dyDescent="0.25"/>
    <row r="6" spans="1:12" ht="20.100000000000001" customHeight="1" x14ac:dyDescent="0.25"/>
    <row r="7" spans="1:12" ht="20.100000000000001" customHeight="1" x14ac:dyDescent="0.25">
      <c r="A7" s="19" t="s">
        <v>67</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row>
    <row r="11" spans="1:12" ht="20.100000000000001" customHeight="1" x14ac:dyDescent="0.25">
      <c r="A11" s="16" t="str">
        <f>HYPERLINK("#'Input - Farm Inputs'!A1", "Farm Inputs")</f>
        <v>Farm Inputs</v>
      </c>
    </row>
    <row r="12" spans="1:12" ht="20.100000000000001" customHeight="1" x14ac:dyDescent="0.25">
      <c r="A12" s="16" t="str">
        <f>HYPERLINK("#'Input - Livestock purchases'!A1", "Livestock purchases")</f>
        <v>Livestock purchases</v>
      </c>
    </row>
    <row r="13" spans="1:12" ht="20.100000000000001" customHeight="1" x14ac:dyDescent="0.25">
      <c r="A13" s="16" t="str">
        <f>HYPERLINK("#'Input - Freight'!A1", "Freight")</f>
        <v>Freight</v>
      </c>
    </row>
    <row r="14" spans="1:12" ht="20.100000000000001" customHeight="1" x14ac:dyDescent="0.25">
      <c r="A14" s="16" t="str">
        <f>HYPERLINK("#'Input - Solid waste'!A1", "Solid waste")</f>
        <v>Solid waste</v>
      </c>
    </row>
    <row r="15" spans="1:12" ht="20.100000000000001" customHeight="1" x14ac:dyDescent="0.25">
      <c r="A15" s="16" t="str">
        <f>HYPERLINK("#'Input - Manure sent off-site'!A1", "Manure sent off-site")</f>
        <v>Manure sent off-site</v>
      </c>
    </row>
    <row r="16" spans="1:12" ht="20.100000000000001" customHeight="1" x14ac:dyDescent="0.25">
      <c r="A16" s="16" t="str">
        <f>HYPERLINK("#'Input - Electricity'!A1", "Electricity")</f>
        <v>Electricity</v>
      </c>
    </row>
    <row r="17" spans="1:1" ht="20.100000000000001" customHeight="1" x14ac:dyDescent="0.25"/>
    <row r="18" spans="1:1" ht="20.100000000000001" customHeight="1" x14ac:dyDescent="0.25"/>
    <row r="19" spans="1:1" ht="20.100000000000001" customHeight="1" x14ac:dyDescent="0.25">
      <c r="A19" s="21" t="s">
        <v>77</v>
      </c>
    </row>
    <row r="20" spans="1:1" ht="20.100000000000001" customHeight="1" x14ac:dyDescent="0.25">
      <c r="A20" s="16" t="str">
        <f>HYPERLINK("#'15 Scope 3'!A1", "15 Scope 3")</f>
        <v>15 Scope 3</v>
      </c>
    </row>
    <row r="21" spans="1:1" ht="20.100000000000001" customHeight="1" x14ac:dyDescent="0.25">
      <c r="A21" s="16" t="str">
        <f>HYPERLINK("#'10.1.1-2 Solid waste treatment'!A1", "10.1.1-2 Solid waste treatment")</f>
        <v>10.1.1-2 Solid waste treatment</v>
      </c>
    </row>
    <row r="22" spans="1:1" ht="20.100000000000001" customHeight="1" x14ac:dyDescent="0.25">
      <c r="A22" s="16" t="str">
        <f>HYPERLINK("#'Calcs - Manure sent off-site'!A1", "Calcs - Manure sent off-site")</f>
        <v>Calcs - Manure sent off-site</v>
      </c>
    </row>
    <row r="23" spans="1:1" ht="20.100000000000001" customHeight="1" x14ac:dyDescent="0.25">
      <c r="A23" s="16" t="str">
        <f>HYPERLINK("#'8.1.1.1-2 Transport fuel'!A1", "8.1.1.1-2 Transport fuel")</f>
        <v>8.1.1.1-2 Transport fuel</v>
      </c>
    </row>
    <row r="24" spans="1:1" ht="20.100000000000001" customHeight="1" x14ac:dyDescent="0.25">
      <c r="A24" s="16" t="str">
        <f>HYPERLINK("#'8.2.1.1-2 Stationary fuel'!A1", "8.2.1.1-2 Stationary fuel")</f>
        <v>8.2.1.1-2 Stationary fuel</v>
      </c>
    </row>
    <row r="25" spans="1:1" ht="20.100000000000001" customHeight="1" x14ac:dyDescent="0.25"/>
    <row r="26" spans="1:1" ht="20.100000000000001" customHeight="1" x14ac:dyDescent="0.25"/>
    <row r="27" spans="1:1" ht="20.100000000000001" customHeight="1" x14ac:dyDescent="0.25">
      <c r="A27" s="222" t="s">
        <v>78</v>
      </c>
    </row>
    <row r="28" spans="1:1" ht="20.100000000000001" customHeight="1" x14ac:dyDescent="0.25">
      <c r="A28" s="16" t="str">
        <f>HYPERLINK("#'Constants - Scope 3'!A1", "Constants - Scope 3")</f>
        <v>Constants - Scope 3</v>
      </c>
    </row>
    <row r="29" spans="1:1" ht="20.100000000000001" customHeight="1" x14ac:dyDescent="0.25">
      <c r="A29" s="16" t="str">
        <f>HYPERLINK("#'Constants - Solid Waste'!A1", "Constants - Solid Waste")</f>
        <v>Constants - Solid Waste</v>
      </c>
    </row>
    <row r="30" spans="1:1" ht="20.100000000000001" customHeight="1" x14ac:dyDescent="0.25">
      <c r="A30" s="16" t="str">
        <f>HYPERLINK("#'Constants - Fuel'!A1", "Constants - Fuel")</f>
        <v>Constants - Fuel</v>
      </c>
    </row>
    <row r="31" spans="1:1" ht="20.100000000000001" customHeight="1" x14ac:dyDescent="0.25">
      <c r="A31" s="16" t="str">
        <f>HYPERLINK("#'Constants - Poultry'!A1", "Constants - Poultry")</f>
        <v>Constants - Poultry</v>
      </c>
    </row>
    <row r="32" spans="1:1"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16"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A1:L50"/>
  <sheetViews>
    <sheetView showGridLines="0" topLeftCell="A6" zoomScaleNormal="100" workbookViewId="0">
      <selection activeCell="A38" sqref="A38"/>
    </sheetView>
  </sheetViews>
  <sheetFormatPr defaultRowHeight="15.75" x14ac:dyDescent="0.25"/>
  <cols>
    <col min="1" max="1" width="30.625" customWidth="1"/>
    <col min="2" max="2" width="4.625" customWidth="1"/>
    <col min="3" max="3" width="4.625" style="8" customWidth="1"/>
    <col min="4" max="4" width="72.75" style="8" customWidth="1"/>
    <col min="5" max="11" width="30.625" style="8" customWidth="1"/>
    <col min="12" max="12" width="4.625" style="8" customWidth="1"/>
  </cols>
  <sheetData>
    <row r="1" spans="1:12" s="1" customFormat="1" ht="30" customHeight="1" x14ac:dyDescent="0.35">
      <c r="A1" s="37" t="e" vm="1">
        <v>#VALUE!</v>
      </c>
      <c r="C1" s="210" t="s">
        <v>836</v>
      </c>
    </row>
    <row r="2" spans="1:12" s="2" customFormat="1" ht="20.100000000000001" customHeight="1" x14ac:dyDescent="0.25">
      <c r="A2"/>
    </row>
    <row r="3" spans="1:12" ht="20.100000000000001" customHeight="1" x14ac:dyDescent="0.25">
      <c r="A3" s="16" t="str">
        <f>HYPERLINK("#'Overview'!A1", "Overview")</f>
        <v>Overview</v>
      </c>
      <c r="C3" s="211"/>
      <c r="D3" s="211"/>
      <c r="E3" s="211"/>
      <c r="F3" s="211"/>
      <c r="G3" s="211"/>
      <c r="H3" s="211"/>
      <c r="I3" s="211"/>
      <c r="J3" s="211"/>
      <c r="K3" s="211"/>
      <c r="L3" s="211"/>
    </row>
    <row r="4" spans="1:12" ht="20.100000000000001" customHeight="1" x14ac:dyDescent="0.25">
      <c r="A4" s="221" t="str">
        <f>HYPERLINK("#'Results'!A1", "Results")</f>
        <v>Results</v>
      </c>
    </row>
    <row r="5" spans="1:12" ht="20.100000000000001" customHeight="1" x14ac:dyDescent="0.25">
      <c r="D5" s="9" t="s">
        <v>837</v>
      </c>
      <c r="E5" s="212"/>
      <c r="F5" s="212"/>
      <c r="G5" s="212"/>
      <c r="H5" s="9"/>
      <c r="I5" s="9"/>
      <c r="J5" s="9"/>
    </row>
    <row r="6" spans="1:12" ht="20.100000000000001" customHeight="1" x14ac:dyDescent="0.3">
      <c r="D6" s="213"/>
      <c r="E6" s="214"/>
      <c r="F6" s="214"/>
      <c r="G6" s="214"/>
      <c r="H6" s="212"/>
      <c r="I6" s="147"/>
      <c r="J6" s="147"/>
    </row>
    <row r="7" spans="1:12" ht="20.100000000000001" customHeight="1" x14ac:dyDescent="0.25">
      <c r="A7" s="19" t="s">
        <v>67</v>
      </c>
      <c r="D7" s="95" t="s">
        <v>838</v>
      </c>
      <c r="E7" s="110"/>
      <c r="F7" s="96"/>
      <c r="G7" s="147"/>
      <c r="H7" s="147"/>
      <c r="I7" s="147"/>
      <c r="J7" s="147"/>
    </row>
    <row r="8" spans="1:12" ht="20.100000000000001" customHeight="1" x14ac:dyDescent="0.25">
      <c r="A8" s="16" t="str">
        <f>HYPERLINK("#'Input - Site'!A1", "Site")</f>
        <v>Site</v>
      </c>
      <c r="D8" s="147"/>
      <c r="E8" s="147"/>
      <c r="F8" s="147"/>
      <c r="G8" s="147"/>
      <c r="H8" s="147"/>
      <c r="I8" s="147"/>
      <c r="J8" s="147"/>
    </row>
    <row r="9" spans="1:12" ht="20.100000000000001" customHeight="1" x14ac:dyDescent="0.25">
      <c r="A9" s="16" t="str">
        <f>HYPERLINK("#'Input - Fuel'!A1", "Fuel")</f>
        <v>Fuel</v>
      </c>
      <c r="D9" s="215" t="s">
        <v>839</v>
      </c>
      <c r="E9" s="215" t="s">
        <v>840</v>
      </c>
      <c r="F9" s="215" t="s">
        <v>841</v>
      </c>
      <c r="G9" s="215"/>
    </row>
    <row r="10" spans="1:12" ht="20.100000000000001" customHeight="1" x14ac:dyDescent="0.25">
      <c r="A10" s="16" t="str">
        <f>HYPERLINK("#'Input - Fertiliser'!A1", "Fertiliser")</f>
        <v>Fertiliser</v>
      </c>
      <c r="D10" s="8" t="str" cm="1">
        <f t="array" ref="D10">Common_InputFunctions.Utility_ResultsItemFromEquationTitleAndSource('15 Scope 3'!D5,'15 Scope 3'!D6)</f>
        <v>15.1.1.1 Total emissions from purchased livestock</v>
      </c>
      <c r="E10" s="216" t="s">
        <v>855</v>
      </c>
      <c r="F10" s="216" t="s">
        <v>855</v>
      </c>
      <c r="G10" s="13" t="s">
        <v>842</v>
      </c>
    </row>
    <row r="11" spans="1:12" ht="20.100000000000001" customHeight="1" x14ac:dyDescent="0.25">
      <c r="A11" s="16" t="str">
        <f>HYPERLINK("#'Input - Farm Inputs'!A1", "Farm Inputs")</f>
        <v>Farm Inputs</v>
      </c>
      <c r="D11" s="217" t="str">
        <f>'15 Scope 3'!D21</f>
        <v>Beef cattle</v>
      </c>
      <c r="E11" s="216">
        <f>VEERG_15_1_1_1__1_EmissionsFromPurchasedLivestock_BeefCattle_Result_Method1</f>
        <v>1052.5</v>
      </c>
      <c r="F11" s="216">
        <f>VEERG_15_1_1_1__1_EmissionsFromPurchasedLivestock_BeefCattle_Result_Method2</f>
        <v>1014.5</v>
      </c>
      <c r="G11" s="13" t="s">
        <v>842</v>
      </c>
    </row>
    <row r="12" spans="1:12" ht="20.100000000000001" customHeight="1" x14ac:dyDescent="0.25">
      <c r="A12" s="16" t="str">
        <f>HYPERLINK("#'Input - Livestock purchases'!A1", "Livestock purchases")</f>
        <v>Livestock purchases</v>
      </c>
      <c r="D12" s="217" t="str">
        <f>'15 Scope 3'!D38</f>
        <v>Dairy cattle</v>
      </c>
      <c r="E12" s="216">
        <f>VEERG_15_1_1_1__1_EmissionsFromPurchasedLivestock_DairyCattle_Result_Method1</f>
        <v>295.47000000000003</v>
      </c>
      <c r="F12" s="216">
        <f>VEERG_15_1_1_1__1_EmissionsFromPurchasedLivestock_DairyCattle_Result_Method2</f>
        <v>415.625</v>
      </c>
      <c r="G12" s="13" t="s">
        <v>842</v>
      </c>
    </row>
    <row r="13" spans="1:12" ht="20.100000000000001" customHeight="1" x14ac:dyDescent="0.25">
      <c r="A13" s="16" t="str">
        <f>HYPERLINK("#'Input - Freight'!A1", "Freight")</f>
        <v>Freight</v>
      </c>
      <c r="D13" s="217" t="str">
        <f>'15 Scope 3'!D57</f>
        <v>Pigs</v>
      </c>
      <c r="E13" s="216">
        <f>VEERG_15_1_1_1__1_EmissionsFromPurchasedLivestock_Pigs_Result_Method1</f>
        <v>127.08800000000001</v>
      </c>
      <c r="F13" s="216">
        <f>VEERG_15_1_1_1__1_EmissionsFromPurchasedLivestock_Pigs_Result_Method2</f>
        <v>73.38000000000001</v>
      </c>
      <c r="G13" s="13" t="s">
        <v>842</v>
      </c>
    </row>
    <row r="14" spans="1:12" ht="20.100000000000001" customHeight="1" x14ac:dyDescent="0.25">
      <c r="A14" s="16" t="str">
        <f>HYPERLINK("#'Input - Solid waste'!A1", "Solid waste")</f>
        <v>Solid waste</v>
      </c>
      <c r="D14" s="217" t="str">
        <f>'15 Scope 3'!D75</f>
        <v>Poultry</v>
      </c>
      <c r="E14" s="216">
        <f>VEERG_15_1_1_1__1_EmissionsFromPurchasedLivestock_Poultry_Result_Method1</f>
        <v>0.36720000000000003</v>
      </c>
      <c r="F14" s="216">
        <f>VEERG_15_1_1_1__1_EmissionsFromPurchasedLivestock_Poultry_Result_Method2</f>
        <v>0.35940000000000005</v>
      </c>
      <c r="G14" s="13" t="s">
        <v>842</v>
      </c>
    </row>
    <row r="15" spans="1:12" ht="20.100000000000001" customHeight="1" x14ac:dyDescent="0.25">
      <c r="A15" s="16" t="str">
        <f>HYPERLINK("#'Input - Manure sent off-site'!A1", "Manure sent off-site")</f>
        <v>Manure sent off-site</v>
      </c>
      <c r="C15" s="218"/>
      <c r="D15" s="8" t="str" cm="1">
        <f t="array" ref="D15">Common_InputFunctions.Utility_ResultsItemFromEquationTitleAndSource('15 Scope 3'!D98,'15 Scope 3'!D99)</f>
        <v>15.2.1.1 Emissions from purchased feed</v>
      </c>
      <c r="E15" s="216">
        <f>VEERG_15_2_1_1__1_EmissionsFromPurchasedFeed_Result_Method1</f>
        <v>646.34159999999997</v>
      </c>
      <c r="F15" s="216">
        <f>VEERG_15_2_1_1__1_EmissionsFromPurchasedFeed_Result_Method2</f>
        <v>529.78</v>
      </c>
      <c r="G15" s="13" t="s">
        <v>842</v>
      </c>
    </row>
    <row r="16" spans="1:12" ht="20.100000000000001" customHeight="1" x14ac:dyDescent="0.25">
      <c r="A16" s="16" t="str">
        <f>HYPERLINK("#'Input - Electricity'!A1", "Electricity")</f>
        <v>Electricity</v>
      </c>
      <c r="C16" s="218"/>
      <c r="D16" s="8" t="str" cm="1">
        <f t="array" ref="D16">Common_InputFunctions.Utility_ResultsItemFromEquationTitleAndSource('15 Scope 3'!D149,'15 Scope 3'!D150)</f>
        <v>15.3.1.1 Total emissions from purchased mineral supplements</v>
      </c>
      <c r="E16" s="216">
        <f>VEERG_15_3_1_1__1_EmissionsFromPurchasedMineralSupplements_Result_Method1</f>
        <v>178.9</v>
      </c>
      <c r="F16" s="216">
        <f>VEERG_15_3_1_1__1_EmissionsFromPurchasedMineralSupplements_Result_Method2</f>
        <v>160</v>
      </c>
      <c r="G16" s="13" t="s">
        <v>842</v>
      </c>
    </row>
    <row r="17" spans="1:8" ht="20.100000000000001" customHeight="1" x14ac:dyDescent="0.25">
      <c r="D17" s="8" t="str" cm="1">
        <f t="array" ref="D17">Common_InputFunctions.Utility_ResultsItemFromEquationTitleAndSource('15 Scope 3'!D186,'15 Scope 3'!D187)</f>
        <v>15.4.1.1 Emissions from purchased fertiliser</v>
      </c>
      <c r="E17" s="216" t="e">
        <f>VEERG_15_4_1_1__2_EmissionsFromPurchasedFertiliserComponentsVariation_Result_Method1</f>
        <v>#VALUE!</v>
      </c>
      <c r="F17" s="216" t="e">
        <f>VEERG_15_4_1_1__2_EmissionsFromPurchasedFertiliserComponentsVariation_Result_Method2</f>
        <v>#VALUE!</v>
      </c>
      <c r="G17" s="13" t="s">
        <v>842</v>
      </c>
    </row>
    <row r="18" spans="1:8" ht="20.100000000000001" customHeight="1" x14ac:dyDescent="0.25">
      <c r="D18" s="8" t="str" cm="1">
        <f t="array" ref="D18">Common_InputFunctions.Utility_ResultsItemFromEquationTitleAndSource('15 Scope 3'!D256,'15 Scope 3'!D257)</f>
        <v>15.5.1.1 Total emissions from purchased agrichemicals</v>
      </c>
      <c r="E18" s="216">
        <f>VEERG_15_5_1_1__1_EmissionsFromPurchasedAgrichemicals_Result_Method1</f>
        <v>7.5159999999999991</v>
      </c>
      <c r="F18" s="216">
        <f>VEERG_15_5_1_1__1_EmissionsFromPurchasedAgrichemicals_Result_Method2</f>
        <v>7.4959999999999996</v>
      </c>
      <c r="G18" s="13" t="s">
        <v>842</v>
      </c>
    </row>
    <row r="19" spans="1:8" ht="20.100000000000001" customHeight="1" x14ac:dyDescent="0.25">
      <c r="A19" s="21" t="s">
        <v>77</v>
      </c>
      <c r="D19" s="8" t="str" cm="1">
        <f t="array" ref="D19">Common_InputFunctions.Utility_ResultsItemFromEquationTitleAndSource('15 Scope 3'!D288,'15 Scope 3'!D289)</f>
        <v>15.6.1.1 Embedded emissions for purchased lime</v>
      </c>
      <c r="E19" s="216">
        <f>VEERG_15_6_1_1__1_EmissionsFromPurchasedLime_Result_Method1</f>
        <v>1.0375999999999999</v>
      </c>
      <c r="F19" s="216">
        <f>VEERG_15_6_1_1__1_EmissionsFromPurchasedLime_Result_Method2</f>
        <v>0.89</v>
      </c>
      <c r="G19" s="13" t="s">
        <v>842</v>
      </c>
    </row>
    <row r="20" spans="1:8" ht="20.100000000000001" customHeight="1" x14ac:dyDescent="0.25">
      <c r="A20" s="16" t="str">
        <f>HYPERLINK("#'15 Scope 3'!A1", "15 Scope 3")</f>
        <v>15 Scope 3</v>
      </c>
      <c r="D20" s="8" t="str" cm="1">
        <f t="array" ref="D20">Common_InputFunctions.Utility_ResultsItemFromEquationTitleAndSource('15 Scope 3'!D321,'15 Scope 3'!D322)</f>
        <v>15.7.1.1 Emissions of purchased services and contractor operations</v>
      </c>
      <c r="E20" s="216" t="str">
        <f>VEERG_15_7_1_1__1_EmissionsFromPurchasedServices_Result_Method1</f>
        <v>No data</v>
      </c>
      <c r="F20" s="216">
        <f>VEERG_15_7_1_1__1_EmissionsFromPurchasedServices_Result_Method2</f>
        <v>42</v>
      </c>
      <c r="G20" s="13" t="s">
        <v>842</v>
      </c>
      <c r="H20" s="218"/>
    </row>
    <row r="21" spans="1:8" ht="20.100000000000001" customHeight="1" x14ac:dyDescent="0.25">
      <c r="A21" s="16" t="str">
        <f>HYPERLINK("#'10.1.1-2 Solid waste treatment'!A1", "10.1.1-2 Solid waste treatment")</f>
        <v>10.1.1-2 Solid waste treatment</v>
      </c>
      <c r="D21" s="8" t="str" cm="1">
        <f t="array" ref="D21">Common_InputFunctions.Utility_ResultsItemFromEquationTitleAndSource('15 Scope 3'!D352,'15 Scope 3'!D353)</f>
        <v>15.8.1.1 Embedded emissions from use of packaging materials</v>
      </c>
      <c r="E21" s="216">
        <f>VEERG_15_8_1_1__1_EmissionsFromPurchasedPackaging_Result_Method1</f>
        <v>7.44</v>
      </c>
      <c r="F21" s="216">
        <f>VEERG_15_8_1_1__1_EmissionsFromPurchasedPackaging_Result_Method2</f>
        <v>6</v>
      </c>
      <c r="G21" s="13" t="s">
        <v>842</v>
      </c>
    </row>
    <row r="22" spans="1:8" ht="20.100000000000001" customHeight="1" x14ac:dyDescent="0.25">
      <c r="A22" s="16" t="str">
        <f>HYPERLINK("#'Calcs - Manure sent off-site'!A1", "Calcs - Manure sent off-site")</f>
        <v>Calcs - Manure sent off-site</v>
      </c>
      <c r="D22" s="8" t="str" cm="1">
        <f t="array" ref="D22">Common_InputFunctions.Utility_ResultsItemFromEquationTitleAndSource('15 Scope 3'!D383,'15 Scope 3'!D384)</f>
        <v>15.9.1.1 Embedded emissions from use of grow media products</v>
      </c>
      <c r="E22" s="216" t="str">
        <f>VEERG_15_9_1_1__1_EmissionsFromPurchasedGrowMedia_Result_Method1</f>
        <v>No data</v>
      </c>
      <c r="F22" s="216">
        <f>VEERG_15_9_1_1__1_EmissionsFromPurchasedGrowMedia_Result_Method2</f>
        <v>40.200000000000003</v>
      </c>
      <c r="G22" s="13" t="s">
        <v>842</v>
      </c>
    </row>
    <row r="23" spans="1:8" ht="20.100000000000001" customHeight="1" x14ac:dyDescent="0.25">
      <c r="A23" s="16" t="str">
        <f>HYPERLINK("#'8.1.1.1-2 Transport fuel'!A1", "8.1.1.1-2 Transport fuel")</f>
        <v>8.1.1.1-2 Transport fuel</v>
      </c>
      <c r="D23" s="8" t="str" cm="1">
        <f t="array" ref="D23">Common_InputFunctions.Utility_ResultsItemFromEquationTitleAndSource('15 Scope 3'!D415,'15 Scope 3'!D416)</f>
        <v>15.10 Other purchased goods and services generic estimate</v>
      </c>
      <c r="E23" s="216" t="s">
        <v>855</v>
      </c>
      <c r="F23" s="216" t="s">
        <v>855</v>
      </c>
      <c r="G23" s="13" t="s">
        <v>842</v>
      </c>
    </row>
    <row r="24" spans="1:8" ht="20.100000000000001" customHeight="1" x14ac:dyDescent="0.25">
      <c r="A24" s="16" t="str">
        <f>HYPERLINK("#'8.2.1.1-2 Stationary fuel'!A1", "8.2.1.1-2 Stationary fuel")</f>
        <v>8.2.1.1-2 Stationary fuel</v>
      </c>
      <c r="D24" s="217" t="str">
        <f>'15 Scope 3'!D427</f>
        <v>Cleaning chemical purchases</v>
      </c>
      <c r="E24" s="216">
        <f>VEERG_15_10_1_1__1_OtherPurchasedGoodsAndServices_CleaningChemicals_Result_Method1</f>
        <v>0.50509999999999999</v>
      </c>
      <c r="F24" s="216">
        <f>VEERG_15_10_1_1__1_OtherPurchasedGoodsAndServices_CleaningChemicals_Result_Method2</f>
        <v>2.73</v>
      </c>
      <c r="G24" s="13" t="s">
        <v>842</v>
      </c>
    </row>
    <row r="25" spans="1:8" ht="20.100000000000001" customHeight="1" x14ac:dyDescent="0.25">
      <c r="D25" s="217" t="str">
        <f>'15 Scope 3'!D445</f>
        <v>Pharmacy chemical purchases</v>
      </c>
      <c r="E25" s="216">
        <f>VEERG_15_10_1_1__1_OtherPurchasedGoodsAndServices_PharmacyChemicals_Result_Method1</f>
        <v>1.5636000000000001E-2</v>
      </c>
      <c r="F25" s="216">
        <f>VEERG_15_10_1_1__1_OtherPurchasedGoodsAndServices_PharmacyChemicals_Result_Method2</f>
        <v>1.3400000000000002E-2</v>
      </c>
      <c r="G25" s="13" t="s">
        <v>842</v>
      </c>
    </row>
    <row r="26" spans="1:8" ht="20.100000000000001" customHeight="1" x14ac:dyDescent="0.25">
      <c r="D26" s="217" t="str">
        <f>'15 Scope 3'!D463</f>
        <v>Seed</v>
      </c>
      <c r="E26" s="216">
        <f>VEERG_15_10_1_1__1_OtherPurchasedGoodsAndServices_Seed_Result_Method1</f>
        <v>0.84389999999999998</v>
      </c>
      <c r="F26" s="216">
        <f>VEERG_15_10_1_1__1_OtherPurchasedGoodsAndServices_Seed_Result_Method2</f>
        <v>0.71420000000000006</v>
      </c>
      <c r="G26" s="13" t="s">
        <v>842</v>
      </c>
    </row>
    <row r="27" spans="1:8" ht="20.100000000000001" customHeight="1" x14ac:dyDescent="0.25">
      <c r="A27" s="222" t="s">
        <v>78</v>
      </c>
      <c r="D27" s="217" t="str">
        <f>'15 Scope 3'!D476</f>
        <v>Miscellaneous Inputs</v>
      </c>
      <c r="E27" s="216">
        <f>VEERG_15_10_1_1__1_OtherPurchasedGoodsAndServices_Misc_Result_Method1</f>
        <v>2.9531000000000005</v>
      </c>
      <c r="F27" s="216">
        <f>VEERG_15_10_1_1__1_OtherPurchasedGoodsAndServices_Misc_Result_Method2</f>
        <v>8.5860000000000006E-2</v>
      </c>
      <c r="G27" s="13" t="s">
        <v>842</v>
      </c>
    </row>
    <row r="28" spans="1:8" ht="20.100000000000001" customHeight="1" x14ac:dyDescent="0.25">
      <c r="A28" s="16" t="str">
        <f>HYPERLINK("#'Constants - Scope 3'!A1", "Constants - Scope 3")</f>
        <v>Constants - Scope 3</v>
      </c>
      <c r="D28" s="217" t="str">
        <f>'15 Scope 3'!D487</f>
        <v>Uncategorised products with no Method 1 EF data</v>
      </c>
      <c r="E28" s="216" t="str">
        <f>VEERG_15_10_1_1__1_OtherPurchasedGoodsAndServices_Uncategorised_Result_Method1</f>
        <v>No data</v>
      </c>
      <c r="F28" s="216">
        <f>VEERG_15_10_1_1__1_OtherPurchasedGoodsAndServices_Uncategorised_Result_Method2</f>
        <v>4000</v>
      </c>
      <c r="G28" s="13" t="s">
        <v>842</v>
      </c>
    </row>
    <row r="29" spans="1:8" ht="20.100000000000001" customHeight="1" x14ac:dyDescent="0.25">
      <c r="A29" s="16" t="str">
        <f>HYPERLINK("#'Constants - Solid Waste'!A1", "Constants - Solid Waste")</f>
        <v>Constants - Solid Waste</v>
      </c>
      <c r="D29" s="8" t="str" cm="1">
        <f t="array" ref="D29">Common_InputFunctions.Utility_ResultsItemFromEquationTitleAndSource('15 Scope 3'!D506,'15 Scope 3'!D507)</f>
        <v>15.11.1.1 Total upstream emissions from scope 1 fuel consumption</v>
      </c>
      <c r="E29" s="216">
        <f>VEERG_15_11_1_1__1_TotalUpstreamEmissionsFromFuel_Result</f>
        <v>0.13617600000000002</v>
      </c>
      <c r="F29" s="216">
        <f>E29</f>
        <v>0.13617600000000002</v>
      </c>
      <c r="G29" s="13" t="s">
        <v>842</v>
      </c>
    </row>
    <row r="30" spans="1:8" ht="20.100000000000001" customHeight="1" x14ac:dyDescent="0.25">
      <c r="A30" s="16" t="str">
        <f>HYPERLINK("#'Constants - Fuel'!A1", "Constants - Fuel")</f>
        <v>Constants - Fuel</v>
      </c>
      <c r="D30" s="8" t="str" cm="1">
        <f t="array" ref="D30">Common_InputFunctions.Utility_ResultsItemFromEquationTitleAndSource('15 Scope 3'!D521,'15 Scope 3'!D522)</f>
        <v>15.12.1.1 Scope 3 emissions from purchased electricity location based</v>
      </c>
      <c r="E30" s="216">
        <f>VEERG_15_12_1_1__1_UpstreamPurchasedElectricityLocationBased_Result</f>
        <v>0.03</v>
      </c>
      <c r="F30" s="216">
        <f>E30</f>
        <v>0.03</v>
      </c>
      <c r="G30" s="13" t="s">
        <v>842</v>
      </c>
    </row>
    <row r="31" spans="1:8" ht="20.100000000000001" customHeight="1" x14ac:dyDescent="0.25">
      <c r="A31" s="16" t="str">
        <f>HYPERLINK("#'Constants - Poultry'!A1", "Constants - Poultry")</f>
        <v>Constants - Poultry</v>
      </c>
      <c r="D31" s="8" t="str" cm="1">
        <f t="array" ref="D31">Common_InputFunctions.Utility_ResultsItemFromEquationTitleAndSource('15 Scope 3'!D537,'15 Scope 3'!D538)</f>
        <v>15.12.1.2 Scope 3 emissions from purchased electricity market based</v>
      </c>
      <c r="E31" s="216">
        <f>VEERG_15_12_1_2__1_UpstreamPurchasedElectricityMarketBasedVariation_Result</f>
        <v>1.5</v>
      </c>
      <c r="F31" s="216">
        <f>E31</f>
        <v>1.5</v>
      </c>
      <c r="G31" s="13" t="s">
        <v>842</v>
      </c>
    </row>
    <row r="32" spans="1:8" ht="20.100000000000001" customHeight="1" x14ac:dyDescent="0.25">
      <c r="A32" s="16" t="str">
        <f>HYPERLINK("#'Constants - Swine'!A1", "Constants - Swine")</f>
        <v>Constants - Swine</v>
      </c>
      <c r="D32" s="8" t="str" cm="1">
        <f t="array" ref="D32">Common_InputFunctions.Utility_ResultsItemFromEquationTitleAndSource('15 Scope 3'!D559,'15 Scope 3'!D560)</f>
        <v>15.13.1.1 Emissions from manure sent off site applied to soils in another farming system or enterprise</v>
      </c>
      <c r="E32" s="216">
        <f>VEERG_15_13_1_1__1_EmissionsFromManureSentOffSite_Result_Method1_CO2e</f>
        <v>3.7936642857142857</v>
      </c>
      <c r="F32" s="216">
        <f>VEERG_15_13_1_1__1_EmissionsFromManureSentOffSite_Result_Method2_CO2e</f>
        <v>7.5873285714285714</v>
      </c>
      <c r="G32" s="13" t="s">
        <v>842</v>
      </c>
    </row>
    <row r="33" spans="1:7" ht="20.100000000000001" customHeight="1" x14ac:dyDescent="0.25">
      <c r="A33" s="16" t="str">
        <f>HYPERLINK("#'Constants - Dairy'!A1", "Constants - Dairy")</f>
        <v>Constants - Dairy</v>
      </c>
      <c r="D33" s="8" t="str" cm="1">
        <f t="array" ref="D33">Common_InputFunctions.Utility_ResultsItemFromEquationTitleAndSource('15 Scope 3'!D582,'15 Scope 3'!D583&amp;",")</f>
        <v>15.13.1.3 Emissions from solid waste sent to a treatment facility</v>
      </c>
      <c r="E33" s="216">
        <f>VEERG_10_1_1_1__1_EmissionsFromWasteManagement_Scope3_Result_Method1</f>
        <v>330.84210000000002</v>
      </c>
      <c r="F33" s="216">
        <f>E33</f>
        <v>330.84210000000002</v>
      </c>
      <c r="G33" s="13" t="s">
        <v>842</v>
      </c>
    </row>
    <row r="34" spans="1:7" ht="20.100000000000001" customHeight="1" x14ac:dyDescent="0.25">
      <c r="A34" s="16" t="str">
        <f>HYPERLINK("#'Constants - Pasture Beef'!A1", "Constants - Pasture Beef")</f>
        <v>Constants - Pasture Beef</v>
      </c>
      <c r="D34" s="8" t="str" cm="1">
        <f t="array" ref="D34">Common_InputFunctions.Utility_ResultsItemFromEquationTitleAndSource('15 Scope 3'!D592,'15 Scope 3'!D593)</f>
        <v>15.14.1.1 Embedded emissions from upstream freight</v>
      </c>
      <c r="E34" s="216" t="s">
        <v>855</v>
      </c>
      <c r="F34" s="216" t="s">
        <v>855</v>
      </c>
      <c r="G34" s="13" t="s">
        <v>842</v>
      </c>
    </row>
    <row r="35" spans="1:7" ht="20.100000000000001" customHeight="1" x14ac:dyDescent="0.25">
      <c r="A35" s="16" t="str">
        <f>HYPERLINK("#'Constants - Common Livestock'!A1", "Constants - Common Livestock")</f>
        <v>Constants - Common Livestock</v>
      </c>
      <c r="D35" s="217" t="str">
        <f>'15 Scope 3'!D606</f>
        <v>Incoming freight</v>
      </c>
      <c r="E35" s="216" t="str">
        <f>VEERG_15_14_1_1__1_EmbeddedEmissionsFromUpstreamFreight_Incoming_Result_Method1</f>
        <v>No data</v>
      </c>
      <c r="F35" s="216">
        <f>VEERG_15_14_1_1__1_EmbeddedEmissionsFromUpstreamFreight_Incoming_Result_Method2</f>
        <v>5146700</v>
      </c>
      <c r="G35" s="13" t="s">
        <v>842</v>
      </c>
    </row>
    <row r="36" spans="1:7" ht="20.100000000000001" customHeight="1" x14ac:dyDescent="0.25">
      <c r="A36" s="16" t="str">
        <f>HYPERLINK("#'Constants - Fertiliser'!A1", "Constants - Fertiliser")</f>
        <v>Constants - Fertiliser</v>
      </c>
      <c r="D36" s="217" t="str">
        <f>'15 Scope 3'!D624</f>
        <v>Outgoing freight</v>
      </c>
      <c r="E36" s="216" t="str">
        <f>VEERG_15_14_1_1__1_EmbeddedEmissionsFromUpstreamFreight_Outgoing_Result_Method1</f>
        <v>No data</v>
      </c>
      <c r="F36" s="216">
        <f>VEERG_15_14_1_1__1_EmbeddedEmissionsFromUpstreamFreight_Outgoing_Result_Method2</f>
        <v>432640</v>
      </c>
      <c r="G36" s="13" t="s">
        <v>842</v>
      </c>
    </row>
    <row r="37" spans="1:7" ht="20.100000000000001" customHeight="1" x14ac:dyDescent="0.25">
      <c r="A37" s="16" t="str">
        <f>HYPERLINK("#'Constants - Electricity'!A1", "Constants - Electricity")</f>
        <v>Constants - Electricity</v>
      </c>
      <c r="D37" s="60" t="s">
        <v>222</v>
      </c>
      <c r="E37" s="219" t="e">
        <f>SUM(E10:E36)</f>
        <v>#VALUE!</v>
      </c>
      <c r="F37" s="219" t="e">
        <f>SUM(F10:F36)</f>
        <v>#VALUE!</v>
      </c>
      <c r="G37" s="175" t="s">
        <v>842</v>
      </c>
    </row>
    <row r="38" spans="1:7" ht="20.100000000000001" customHeight="1" x14ac:dyDescent="0.25">
      <c r="A38" s="16" t="str">
        <f>HYPERLINK("#'Constants - Common'!A1", "Constants - Common")</f>
        <v>Constants - Common</v>
      </c>
    </row>
    <row r="39" spans="1:7" ht="20.100000000000001" customHeight="1" x14ac:dyDescent="0.25"/>
    <row r="40" spans="1:7" ht="20.100000000000001" customHeight="1" x14ac:dyDescent="0.25"/>
    <row r="41" spans="1:7" ht="20.100000000000001" customHeight="1" x14ac:dyDescent="0.25"/>
    <row r="42" spans="1:7" ht="20.100000000000001" customHeight="1" x14ac:dyDescent="0.25"/>
    <row r="43" spans="1:7" ht="20.100000000000001" customHeight="1" x14ac:dyDescent="0.25"/>
    <row r="44" spans="1:7" ht="20.100000000000001" customHeight="1" x14ac:dyDescent="0.25"/>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sheetPr>
    <tabColor theme="5" tint="-0.249977111117893"/>
  </sheetPr>
  <dimension ref="A1:AA160"/>
  <sheetViews>
    <sheetView showGridLines="0" topLeftCell="A2" zoomScaleNormal="100" workbookViewId="0">
      <selection activeCell="A38" sqref="A38"/>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7" t="e" vm="1">
        <v>#VALUE!</v>
      </c>
      <c r="C1" s="102" t="s">
        <v>264</v>
      </c>
    </row>
    <row r="2" spans="1:24" s="4" customFormat="1" ht="20.100000000000001" customHeight="1" x14ac:dyDescent="0.25">
      <c r="A2"/>
      <c r="C2" s="2"/>
      <c r="D2" s="2"/>
      <c r="E2" s="2"/>
      <c r="F2" s="2"/>
      <c r="G2" s="2"/>
      <c r="H2" s="2"/>
      <c r="I2" s="2"/>
      <c r="J2" s="2"/>
    </row>
    <row r="3" spans="1:24" ht="20.100000000000001" customHeight="1" x14ac:dyDescent="0.25">
      <c r="A3" s="16" t="str">
        <f>HYPERLINK("#'Overview'!A1", "Overview")</f>
        <v>Overview</v>
      </c>
      <c r="C3" s="38"/>
      <c r="D3" s="38"/>
      <c r="E3" s="38"/>
      <c r="F3" s="38"/>
      <c r="G3" s="38"/>
      <c r="H3" s="38"/>
      <c r="I3" s="38"/>
      <c r="J3" s="38"/>
      <c r="K3" s="38"/>
      <c r="M3" s="6"/>
      <c r="N3" s="6"/>
      <c r="O3" s="6"/>
      <c r="P3" s="6"/>
      <c r="Q3" s="6"/>
      <c r="R3" s="6"/>
      <c r="S3" s="6"/>
      <c r="T3" s="6"/>
      <c r="U3" s="6"/>
      <c r="V3" s="6"/>
      <c r="W3" s="6"/>
      <c r="X3" s="6"/>
    </row>
    <row r="4" spans="1:24" ht="20.100000000000001" customHeight="1" x14ac:dyDescent="0.25">
      <c r="A4" s="16" t="str">
        <f>HYPERLINK("#'Results'!A1", "Results")</f>
        <v>Results</v>
      </c>
      <c r="C4" s="103"/>
      <c r="D4" s="103"/>
      <c r="E4" s="103"/>
      <c r="F4" s="103"/>
      <c r="G4" s="103"/>
      <c r="H4" s="103"/>
      <c r="I4" s="103"/>
      <c r="J4" s="103"/>
      <c r="K4" s="103"/>
    </row>
    <row r="5" spans="1:24" ht="20.100000000000001" customHeight="1" x14ac:dyDescent="0.25">
      <c r="A5"/>
      <c r="D5" s="9" t="s">
        <v>265</v>
      </c>
      <c r="N5" s="104"/>
    </row>
    <row r="6" spans="1:24" ht="20.100000000000001" customHeight="1" x14ac:dyDescent="0.25">
      <c r="A6"/>
      <c r="D6" s="105"/>
      <c r="N6" s="106"/>
    </row>
    <row r="7" spans="1:24" ht="20.100000000000001" customHeight="1" x14ac:dyDescent="0.25">
      <c r="A7" s="19" t="s">
        <v>67</v>
      </c>
      <c r="D7" s="8" t="s">
        <v>266</v>
      </c>
      <c r="E7" s="82" t="s">
        <v>267</v>
      </c>
      <c r="F7" s="65"/>
    </row>
    <row r="8" spans="1:24" ht="20.100000000000001" customHeight="1" x14ac:dyDescent="0.25">
      <c r="A8" s="42" t="str">
        <f>HYPERLINK("#'Input - Site'!A1", "Site")</f>
        <v>Site</v>
      </c>
      <c r="D8" s="107" t="s">
        <v>268</v>
      </c>
      <c r="E8" s="82" t="s">
        <v>269</v>
      </c>
    </row>
    <row r="9" spans="1:24" ht="20.100000000000001" customHeight="1" x14ac:dyDescent="0.25">
      <c r="A9" s="16" t="str">
        <f>HYPERLINK("#'Input - Fuel'!A1", "Fuel")</f>
        <v>Fuel</v>
      </c>
      <c r="N9" s="108"/>
    </row>
    <row r="10" spans="1:24" ht="20.100000000000001" customHeight="1" x14ac:dyDescent="0.25">
      <c r="A10" s="16" t="str">
        <f>HYPERLINK("#'Input - Fertiliser'!A1", "Fertiliser")</f>
        <v>Fertiliser</v>
      </c>
      <c r="D10" s="95" t="s">
        <v>270</v>
      </c>
      <c r="E10" s="109"/>
      <c r="F10" s="110"/>
      <c r="G10" s="96"/>
      <c r="N10" s="108"/>
    </row>
    <row r="11" spans="1:24" ht="20.100000000000001" customHeight="1" x14ac:dyDescent="0.25">
      <c r="A11" s="16" t="str">
        <f>HYPERLINK("#'Input - Farm Inputs'!A1", "Farm Inputs")</f>
        <v>Farm Inputs</v>
      </c>
      <c r="N11" s="111"/>
    </row>
    <row r="12" spans="1:24" ht="20.100000000000001" customHeight="1" x14ac:dyDescent="0.25">
      <c r="A12" s="16" t="str">
        <f>HYPERLINK("#'Input - Livestock purchases'!A1", "Livestock purchases")</f>
        <v>Livestock purchases</v>
      </c>
      <c r="D12" s="107" t="s">
        <v>271</v>
      </c>
      <c r="E12" s="112">
        <v>45292</v>
      </c>
      <c r="F12" s="65" t="s">
        <v>272</v>
      </c>
    </row>
    <row r="13" spans="1:24" ht="20.100000000000001" customHeight="1" x14ac:dyDescent="0.25">
      <c r="A13" s="16" t="str">
        <f>HYPERLINK("#'Input - Freight'!A1", "Freight")</f>
        <v>Freight</v>
      </c>
      <c r="D13" s="107" t="s">
        <v>273</v>
      </c>
      <c r="E13" s="113">
        <f>DATE(YEAR(X_Cell_Site_StartDate)+1,MONTH(X_Cell_Site_StartDate),DAY(X_Cell_Site_StartDate))-1</f>
        <v>45657</v>
      </c>
      <c r="F13" s="65" t="s">
        <v>274</v>
      </c>
      <c r="N13" s="114"/>
      <c r="O13" s="114"/>
    </row>
    <row r="14" spans="1:24" ht="20.100000000000001" customHeight="1" x14ac:dyDescent="0.25">
      <c r="A14" s="16" t="str">
        <f>HYPERLINK("#'Input - Solid waste'!A1", "Solid waste")</f>
        <v>Solid waste</v>
      </c>
      <c r="N14" s="114"/>
      <c r="O14" s="114"/>
    </row>
    <row r="15" spans="1:24" ht="20.100000000000001" customHeight="1" x14ac:dyDescent="0.25">
      <c r="A15" s="16" t="str">
        <f>HYPERLINK("#'Input - Manure sent off-site'!A1", "Manure sent off-site")</f>
        <v>Manure sent off-site</v>
      </c>
      <c r="N15" s="114"/>
      <c r="O15" s="114"/>
    </row>
    <row r="16" spans="1:24" ht="20.100000000000001" customHeight="1" x14ac:dyDescent="0.25">
      <c r="A16" s="16" t="str">
        <f>HYPERLINK("#'Input - Electricity'!A1", "Electricity")</f>
        <v>Electricity</v>
      </c>
      <c r="D16" s="9" t="s">
        <v>275</v>
      </c>
      <c r="N16" s="114"/>
      <c r="O16" s="114"/>
    </row>
    <row r="17" spans="1:25" ht="20.100000000000001" customHeight="1" x14ac:dyDescent="0.25">
      <c r="A17"/>
    </row>
    <row r="18" spans="1:25" ht="20.100000000000001" customHeight="1" x14ac:dyDescent="0.25">
      <c r="A18"/>
      <c r="D18" s="115" t="s">
        <v>276</v>
      </c>
      <c r="E18" s="40"/>
      <c r="F18" s="40"/>
      <c r="G18" s="41"/>
    </row>
    <row r="19" spans="1:25" ht="20.100000000000001" customHeight="1" x14ac:dyDescent="0.25">
      <c r="A19" s="21" t="s">
        <v>77</v>
      </c>
      <c r="D19" s="43" t="s">
        <v>277</v>
      </c>
      <c r="E19" s="44"/>
      <c r="F19" s="44"/>
      <c r="G19" s="45"/>
      <c r="N19" s="104"/>
    </row>
    <row r="20" spans="1:25" ht="20.100000000000001" customHeight="1" x14ac:dyDescent="0.25">
      <c r="A20" s="16" t="str">
        <f>HYPERLINK("#'15 Scope 3'!A1", "15 Scope 3")</f>
        <v>15 Scope 3</v>
      </c>
      <c r="D20" s="8"/>
      <c r="E20" s="116"/>
      <c r="F20" s="65"/>
      <c r="N20" s="106"/>
    </row>
    <row r="21" spans="1:25" ht="20.100000000000001" customHeight="1" x14ac:dyDescent="0.25">
      <c r="A21" s="16" t="str">
        <f>HYPERLINK("#'10.1.1-2 Solid waste treatment'!A1", "10.1.1-2 Solid waste treatment")</f>
        <v>10.1.1-2 Solid waste treatment</v>
      </c>
      <c r="D21" s="8" t="s">
        <v>278</v>
      </c>
      <c r="E21" s="47" t="s">
        <v>313</v>
      </c>
      <c r="F21" s="65" t="s">
        <v>195</v>
      </c>
    </row>
    <row r="22" spans="1:25" ht="20.100000000000001" customHeight="1" x14ac:dyDescent="0.25">
      <c r="A22" s="16" t="str">
        <f>HYPERLINK("#'Calcs - Manure sent off-site'!A1", "Calcs - Manure sent off-site")</f>
        <v>Calcs - Manure sent off-site</v>
      </c>
      <c r="D22" s="8" t="s">
        <v>279</v>
      </c>
      <c r="E22" s="47" t="s">
        <v>280</v>
      </c>
      <c r="F22" s="65" t="s">
        <v>195</v>
      </c>
      <c r="G22" s="8"/>
    </row>
    <row r="23" spans="1:25" ht="20.100000000000001" customHeight="1" x14ac:dyDescent="0.25">
      <c r="A23" s="16" t="str">
        <f>HYPERLINK("#'8.1.1.1-2 Transport fuel'!A1", "8.1.1.1-2 Transport fuel")</f>
        <v>8.1.1.1-2 Transport fuel</v>
      </c>
      <c r="D23" s="8" t="s">
        <v>753</v>
      </c>
      <c r="E23" s="47" t="s">
        <v>754</v>
      </c>
      <c r="F23" s="65" t="s">
        <v>195</v>
      </c>
    </row>
    <row r="24" spans="1:25" ht="20.100000000000001" customHeight="1" x14ac:dyDescent="0.25">
      <c r="A24" s="16" t="str">
        <f>HYPERLINK("#'8.2.1.1-2 Stationary fuel'!A1", "8.2.1.1-2 Stationary fuel")</f>
        <v>8.2.1.1-2 Stationary fuel</v>
      </c>
      <c r="D24" s="8" t="s">
        <v>16</v>
      </c>
      <c r="E24" s="82">
        <v>307.7</v>
      </c>
      <c r="F24" s="65" t="s">
        <v>755</v>
      </c>
    </row>
    <row r="25" spans="1:25" ht="20.100000000000001" customHeight="1" x14ac:dyDescent="0.25">
      <c r="A25"/>
      <c r="D25" s="8" t="s">
        <v>756</v>
      </c>
      <c r="E25" s="82">
        <v>18</v>
      </c>
      <c r="F25" s="65" t="s">
        <v>757</v>
      </c>
      <c r="N25" s="106"/>
    </row>
    <row r="26" spans="1:25" ht="20.100000000000001" customHeight="1" x14ac:dyDescent="0.25">
      <c r="A26"/>
      <c r="D26" s="8" t="s">
        <v>758</v>
      </c>
      <c r="E26" s="82">
        <v>599</v>
      </c>
      <c r="F26" s="65" t="s">
        <v>759</v>
      </c>
    </row>
    <row r="27" spans="1:25" ht="20.100000000000001" customHeight="1" x14ac:dyDescent="0.25">
      <c r="A27" s="222" t="s">
        <v>78</v>
      </c>
      <c r="D27" s="107" t="s">
        <v>760</v>
      </c>
      <c r="E27" s="82">
        <v>1326</v>
      </c>
      <c r="F27" s="65" t="s">
        <v>759</v>
      </c>
    </row>
    <row r="28" spans="1:25" ht="20.100000000000001" customHeight="1" x14ac:dyDescent="0.25">
      <c r="A28" s="16" t="str">
        <f>HYPERLINK("#'Constants - Scope 3'!A1", "Constants - Scope 3")</f>
        <v>Constants - Scope 3</v>
      </c>
      <c r="D28" s="8" t="s">
        <v>761</v>
      </c>
      <c r="E28" s="82">
        <v>7</v>
      </c>
      <c r="F28" s="65" t="s">
        <v>762</v>
      </c>
    </row>
    <row r="29" spans="1:25" ht="20.100000000000001" customHeight="1" x14ac:dyDescent="0.25">
      <c r="A29" s="16" t="str">
        <f>HYPERLINK("#'Constants - Solid Waste'!A1", "Constants - Solid Waste")</f>
        <v>Constants - Solid Waste</v>
      </c>
      <c r="D29" s="107" t="s">
        <v>763</v>
      </c>
      <c r="E29" s="49">
        <f>X_Cell_Site_TotalRainfall/X_Cell_Site_PotentialEvapotranspiration</f>
        <v>0.45173453996983409</v>
      </c>
      <c r="F29" s="65"/>
    </row>
    <row r="30" spans="1:25" ht="20.100000000000001" customHeight="1" x14ac:dyDescent="0.25">
      <c r="A30" s="16" t="str">
        <f>HYPERLINK("#'Constants - Fuel'!A1", "Constants - Fuel")</f>
        <v>Constants - Fuel</v>
      </c>
      <c r="D30" s="107" t="s">
        <v>44</v>
      </c>
      <c r="E30" s="49" t="str">
        <f>Common_InputFunctions.Utility_LookupItemFromMinMax(X_Cell_Site_TotalRainfall,Table_SourceData_RainfallZones[Min rainfall],Table_SourceData_RainfallZones[Max rainfall],Table_SourceData_RainfallZones[Rainfall Zone])</f>
        <v>Low rainfall</v>
      </c>
      <c r="G30" s="117"/>
      <c r="L30" s="118"/>
      <c r="M30" s="118"/>
      <c r="N30" s="118"/>
      <c r="O30" s="118"/>
      <c r="P30" s="118"/>
      <c r="Q30" s="118"/>
      <c r="R30" s="118"/>
      <c r="S30" s="118"/>
      <c r="T30" s="118"/>
      <c r="U30" s="118"/>
      <c r="V30" s="118"/>
      <c r="W30" s="118"/>
      <c r="X30" s="118"/>
      <c r="Y30" s="118"/>
    </row>
    <row r="31" spans="1:25" ht="20.100000000000001" customHeight="1" x14ac:dyDescent="0.25">
      <c r="A31" s="16" t="str">
        <f>HYPERLINK("#'Constants - Poultry'!A1", "Constants - Poultry")</f>
        <v>Constants - Poultry</v>
      </c>
      <c r="D31" s="8" t="s">
        <v>11</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6"/>
      <c r="L31" s="119"/>
      <c r="M31" s="119"/>
      <c r="N31" s="119"/>
      <c r="O31" s="119"/>
      <c r="P31" s="119"/>
      <c r="Q31" s="119"/>
      <c r="R31" s="119"/>
      <c r="S31" s="119"/>
      <c r="T31" s="119"/>
      <c r="U31" s="119"/>
      <c r="V31" s="119"/>
      <c r="W31" s="119"/>
      <c r="X31" s="119"/>
      <c r="Y31" s="119"/>
    </row>
    <row r="32" spans="1:25" ht="20.100000000000001" customHeight="1" x14ac:dyDescent="0.25">
      <c r="A32" s="16" t="str">
        <f>HYPERLINK("#'Constants - Swine'!A1", "Constants - Swine")</f>
        <v>Constants - Swine</v>
      </c>
      <c r="D32" s="8" t="s">
        <v>764</v>
      </c>
      <c r="E32" s="49" t="str">
        <f>Common_InputFunctions.Utility_LookupValueInTable(X_Cell_Site_ClimateZone,Table_SourceData_WetDryZones[Climate zone],Table_SourceData_WetDryZones[Wet or Dry Zone])</f>
        <v>Dry climate zone</v>
      </c>
      <c r="F32" s="8"/>
      <c r="G32" s="116"/>
      <c r="L32" s="119"/>
      <c r="M32" s="119"/>
      <c r="N32" s="119"/>
      <c r="O32" s="119"/>
      <c r="P32" s="119"/>
      <c r="Q32" s="119"/>
      <c r="R32" s="119"/>
      <c r="S32" s="119"/>
      <c r="T32" s="119"/>
      <c r="U32" s="119"/>
      <c r="V32" s="119"/>
      <c r="W32" s="119"/>
      <c r="X32" s="119"/>
      <c r="Y32" s="119"/>
    </row>
    <row r="33" spans="1:25" ht="20.100000000000001" customHeight="1" x14ac:dyDescent="0.25">
      <c r="A33" s="16" t="str">
        <f>HYPERLINK("#'Constants - Dairy'!A1", "Constants - Dairy")</f>
        <v>Constants - Dairy</v>
      </c>
      <c r="D33" s="8" t="s">
        <v>48</v>
      </c>
      <c r="E33" s="49" t="str">
        <f>Common_InputFunctions.Utility_LookupItemFromMinMax(X_Cell_Site_AverageTemperature,Table_SourceData_TemperatureZones[Min MAT],Table_SourceData_TemperatureZones[Max MAT],Table_SourceData_TemperatureZones[Temperature Zone])</f>
        <v>Temperate</v>
      </c>
      <c r="G33" s="120"/>
      <c r="L33" s="119"/>
      <c r="M33" s="119"/>
      <c r="N33" s="119"/>
      <c r="O33" s="119"/>
      <c r="P33" s="119"/>
      <c r="Q33" s="119"/>
      <c r="R33" s="119"/>
      <c r="S33" s="119"/>
      <c r="T33" s="119"/>
      <c r="U33" s="119"/>
      <c r="V33" s="119"/>
      <c r="W33" s="119"/>
      <c r="X33" s="119"/>
      <c r="Y33" s="119"/>
    </row>
    <row r="34" spans="1:25" ht="20.100000000000001" customHeight="1" x14ac:dyDescent="0.25">
      <c r="A34" s="16" t="str">
        <f>HYPERLINK("#'Constants - Pasture Beef'!A1", "Constants - Pasture Beef")</f>
        <v>Constants - Pasture Beef</v>
      </c>
      <c r="J34" s="121"/>
      <c r="K34" s="122"/>
      <c r="L34" s="119"/>
      <c r="M34" s="119"/>
      <c r="N34" s="119"/>
      <c r="O34" s="119"/>
      <c r="P34" s="119"/>
      <c r="Q34" s="119"/>
      <c r="R34" s="119"/>
      <c r="S34" s="119"/>
      <c r="T34" s="119"/>
      <c r="U34" s="119"/>
      <c r="V34" s="119"/>
      <c r="W34" s="119"/>
      <c r="X34" s="119"/>
      <c r="Y34" s="119"/>
    </row>
    <row r="35" spans="1:25" ht="20.100000000000001" customHeight="1" x14ac:dyDescent="0.25">
      <c r="A35" s="16" t="str">
        <f>HYPERLINK("#'Constants - Common Livestock'!A1", "Constants - Common Livestock")</f>
        <v>Constants - Common Livestock</v>
      </c>
      <c r="J35" s="121"/>
      <c r="K35" s="122"/>
      <c r="L35" s="119"/>
      <c r="M35" s="119"/>
      <c r="N35" s="119"/>
      <c r="O35" s="119"/>
      <c r="P35" s="119"/>
      <c r="Q35" s="119"/>
      <c r="R35" s="119"/>
      <c r="S35" s="119"/>
      <c r="T35" s="119"/>
      <c r="U35" s="119"/>
      <c r="V35" s="119"/>
      <c r="W35" s="119"/>
      <c r="X35" s="119"/>
      <c r="Y35" s="119"/>
    </row>
    <row r="36" spans="1:25" ht="20.100000000000001" customHeight="1" x14ac:dyDescent="0.25">
      <c r="A36" s="16" t="str">
        <f>HYPERLINK("#'Constants - Fertiliser'!A1", "Constants - Fertiliser")</f>
        <v>Constants - Fertiliser</v>
      </c>
      <c r="D36" s="123"/>
      <c r="E36" s="123"/>
      <c r="F36" s="124"/>
      <c r="G36" s="121"/>
      <c r="H36" s="121"/>
      <c r="I36" s="125"/>
      <c r="J36" s="121"/>
      <c r="K36" s="122"/>
      <c r="L36" s="119"/>
      <c r="M36" s="119"/>
      <c r="N36" s="119"/>
      <c r="O36" s="119"/>
      <c r="P36" s="119"/>
      <c r="Q36" s="119"/>
      <c r="R36" s="119"/>
      <c r="S36" s="119"/>
      <c r="T36" s="119"/>
      <c r="U36" s="119"/>
      <c r="V36" s="119"/>
      <c r="W36" s="119"/>
      <c r="X36" s="119"/>
      <c r="Y36" s="119"/>
    </row>
    <row r="37" spans="1:25" ht="20.100000000000001" customHeight="1" x14ac:dyDescent="0.25">
      <c r="A37" s="16" t="str">
        <f>HYPERLINK("#'Constants - Electricity'!A1", "Constants - Electricity")</f>
        <v>Constants - Electricity</v>
      </c>
      <c r="D37" s="123"/>
      <c r="E37" s="123"/>
      <c r="F37" s="124"/>
      <c r="G37" s="121"/>
      <c r="H37" s="121"/>
      <c r="I37" s="125"/>
      <c r="J37" s="121"/>
      <c r="K37" s="122"/>
      <c r="L37" s="119"/>
      <c r="M37" s="119"/>
      <c r="N37" s="119"/>
      <c r="O37" s="119"/>
      <c r="P37" s="119"/>
      <c r="Q37" s="119"/>
      <c r="R37" s="119"/>
      <c r="S37" s="119"/>
      <c r="T37" s="119"/>
      <c r="U37" s="119"/>
      <c r="V37" s="119"/>
      <c r="W37" s="119"/>
      <c r="X37" s="119"/>
      <c r="Y37" s="119"/>
    </row>
    <row r="38" spans="1:25" ht="20.100000000000001" customHeight="1" x14ac:dyDescent="0.25">
      <c r="A38" s="16" t="str">
        <f>HYPERLINK("#'Constants - Common'!A1", "Constants - Common")</f>
        <v>Constants - Common</v>
      </c>
      <c r="D38" s="123"/>
      <c r="E38" s="123"/>
      <c r="F38" s="124"/>
      <c r="G38" s="121"/>
      <c r="H38" s="121"/>
      <c r="I38" s="125"/>
      <c r="J38" s="121"/>
      <c r="K38" s="122"/>
      <c r="L38" s="119"/>
      <c r="M38" s="119"/>
      <c r="N38" s="119"/>
      <c r="O38" s="119"/>
      <c r="P38" s="119"/>
      <c r="Q38" s="119"/>
      <c r="R38" s="119"/>
      <c r="S38" s="119"/>
      <c r="T38" s="119"/>
      <c r="U38" s="119"/>
      <c r="V38" s="119"/>
      <c r="W38" s="119"/>
      <c r="X38" s="119"/>
      <c r="Y38" s="119"/>
    </row>
    <row r="39" spans="1:25" ht="20.100000000000001" customHeight="1" x14ac:dyDescent="0.25">
      <c r="A39"/>
      <c r="D39" s="123"/>
      <c r="E39" s="123"/>
      <c r="F39" s="124"/>
      <c r="G39" s="121"/>
      <c r="H39" s="121"/>
      <c r="I39" s="125"/>
      <c r="J39" s="121"/>
      <c r="K39" s="122"/>
      <c r="L39" s="119"/>
      <c r="M39" s="119"/>
      <c r="N39" s="119"/>
      <c r="O39" s="119"/>
      <c r="P39" s="119"/>
      <c r="Q39" s="119"/>
      <c r="R39" s="119"/>
      <c r="S39" s="119"/>
      <c r="T39" s="119"/>
      <c r="U39" s="119"/>
      <c r="V39" s="119"/>
      <c r="W39" s="119"/>
      <c r="X39" s="119"/>
      <c r="Y39" s="119"/>
    </row>
    <row r="40" spans="1:25" ht="20.100000000000001" customHeight="1" x14ac:dyDescent="0.25">
      <c r="A40"/>
      <c r="D40" s="126"/>
      <c r="E40" s="126"/>
      <c r="F40" s="126"/>
      <c r="G40" s="127"/>
      <c r="H40" s="128"/>
      <c r="I40" s="128"/>
      <c r="J40" s="128"/>
      <c r="K40" s="128"/>
      <c r="L40" s="129"/>
      <c r="M40" s="129"/>
      <c r="N40" s="129"/>
      <c r="O40" s="129"/>
      <c r="P40" s="129"/>
      <c r="Q40" s="129"/>
      <c r="R40" s="129"/>
      <c r="S40" s="129"/>
      <c r="T40" s="129"/>
      <c r="U40" s="129"/>
      <c r="V40" s="129"/>
      <c r="W40" s="129"/>
      <c r="X40" s="129"/>
      <c r="Y40" s="12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9"/>
    </row>
    <row r="46" spans="1:25" ht="20.100000000000001" customHeight="1" x14ac:dyDescent="0.25">
      <c r="A46"/>
      <c r="D46" s="9"/>
    </row>
    <row r="47" spans="1:25" ht="20.100000000000001" customHeight="1" x14ac:dyDescent="0.25">
      <c r="A47"/>
      <c r="D47" s="130"/>
      <c r="E47" s="130"/>
      <c r="F47" s="130"/>
      <c r="G47" s="130"/>
      <c r="H47" s="130"/>
    </row>
    <row r="48" spans="1:25" ht="20.100000000000001" customHeight="1" x14ac:dyDescent="0.25">
      <c r="A48"/>
      <c r="D48" s="131"/>
      <c r="E48" s="131"/>
      <c r="F48" s="132"/>
      <c r="G48" s="132"/>
      <c r="H48" s="131"/>
    </row>
    <row r="49" spans="1:8" ht="20.100000000000001" customHeight="1" x14ac:dyDescent="0.25">
      <c r="A49"/>
      <c r="D49" s="131"/>
      <c r="E49" s="131"/>
      <c r="F49" s="132"/>
      <c r="G49" s="132"/>
      <c r="H49" s="131"/>
    </row>
    <row r="50" spans="1:8" ht="20.100000000000001" customHeight="1" x14ac:dyDescent="0.25">
      <c r="A50"/>
      <c r="D50" s="131"/>
      <c r="E50" s="131"/>
      <c r="F50" s="132"/>
      <c r="G50" s="132"/>
      <c r="H50" s="131"/>
    </row>
    <row r="51" spans="1:8" ht="20.100000000000001" customHeight="1" x14ac:dyDescent="0.25">
      <c r="A51"/>
      <c r="D51" s="133"/>
      <c r="E51" s="134"/>
      <c r="F51" s="134"/>
      <c r="G51" s="134"/>
      <c r="H51" s="135"/>
    </row>
    <row r="52" spans="1:8" ht="20.100000000000001" customHeight="1" x14ac:dyDescent="0.25">
      <c r="A52"/>
    </row>
    <row r="53" spans="1:8" ht="20.100000000000001" customHeight="1" x14ac:dyDescent="0.25">
      <c r="A53"/>
    </row>
    <row r="54" spans="1:8" ht="20.100000000000001" customHeight="1" x14ac:dyDescent="0.25">
      <c r="A54"/>
      <c r="G54" s="136"/>
    </row>
    <row r="55" spans="1:8" ht="20.100000000000001" customHeight="1" x14ac:dyDescent="0.25">
      <c r="A55"/>
      <c r="D55" s="9"/>
    </row>
    <row r="56" spans="1:8" ht="20.100000000000001" customHeight="1" x14ac:dyDescent="0.25">
      <c r="A56"/>
    </row>
    <row r="57" spans="1:8" ht="20.100000000000001" customHeight="1" x14ac:dyDescent="0.25">
      <c r="A57"/>
      <c r="D57" s="137"/>
      <c r="F57" s="138"/>
    </row>
    <row r="58" spans="1:8" ht="20.100000000000001" customHeight="1" x14ac:dyDescent="0.25">
      <c r="A58"/>
      <c r="D58" s="8"/>
      <c r="E58" s="139"/>
    </row>
    <row r="59" spans="1:8" ht="20.100000000000001" customHeight="1" x14ac:dyDescent="0.25">
      <c r="A59"/>
      <c r="D59" s="8"/>
      <c r="E59" s="139"/>
    </row>
    <row r="60" spans="1:8" ht="20.100000000000001" customHeight="1" x14ac:dyDescent="0.25">
      <c r="A60"/>
      <c r="D60" s="8"/>
      <c r="E60" s="140"/>
    </row>
    <row r="61" spans="1:8" ht="20.100000000000001" customHeight="1" x14ac:dyDescent="0.25">
      <c r="A61"/>
      <c r="D61" s="8"/>
    </row>
    <row r="62" spans="1:8" ht="20.100000000000001" customHeight="1" x14ac:dyDescent="0.25">
      <c r="A62"/>
    </row>
    <row r="63" spans="1:8" ht="20.100000000000001" customHeight="1" x14ac:dyDescent="0.25">
      <c r="A63"/>
      <c r="D63" s="137"/>
    </row>
    <row r="64" spans="1:8" ht="20.100000000000001" customHeight="1" x14ac:dyDescent="0.25">
      <c r="A64"/>
      <c r="D64" s="8"/>
      <c r="E64" s="139"/>
    </row>
    <row r="65" spans="1:9" ht="20.100000000000001" customHeight="1" x14ac:dyDescent="0.25">
      <c r="A65"/>
      <c r="D65" s="8"/>
      <c r="E65" s="139"/>
    </row>
    <row r="66" spans="1:9" ht="20.100000000000001" customHeight="1" x14ac:dyDescent="0.25">
      <c r="A66"/>
      <c r="D66" s="8"/>
      <c r="E66" s="140"/>
    </row>
    <row r="67" spans="1:9" ht="20.100000000000001" customHeight="1" x14ac:dyDescent="0.25">
      <c r="A67"/>
    </row>
    <row r="68" spans="1:9" ht="20.100000000000001" customHeight="1" x14ac:dyDescent="0.25">
      <c r="A68"/>
    </row>
    <row r="69" spans="1:9" ht="20.100000000000001" customHeight="1" x14ac:dyDescent="0.25">
      <c r="A69"/>
      <c r="D69" s="141"/>
      <c r="E69" s="141"/>
      <c r="F69" s="141"/>
      <c r="G69" s="141"/>
      <c r="H69" s="141"/>
      <c r="I69" s="141"/>
    </row>
    <row r="70" spans="1:9" ht="20.100000000000001" customHeight="1" x14ac:dyDescent="0.25">
      <c r="A70"/>
      <c r="D70" s="141"/>
      <c r="E70" s="141"/>
      <c r="F70" s="141"/>
      <c r="G70" s="141"/>
      <c r="H70" s="141"/>
      <c r="I70" s="141"/>
    </row>
    <row r="71" spans="1:9" ht="20.100000000000001" customHeight="1" x14ac:dyDescent="0.25">
      <c r="A71"/>
      <c r="D71" s="141"/>
      <c r="E71" s="141"/>
      <c r="F71" s="141"/>
      <c r="G71" s="141"/>
      <c r="H71" s="141"/>
      <c r="I71" s="141"/>
    </row>
    <row r="72" spans="1:9" ht="20.100000000000001" customHeight="1" x14ac:dyDescent="0.25">
      <c r="A72"/>
      <c r="D72" s="141"/>
      <c r="E72" s="141"/>
      <c r="F72" s="141"/>
      <c r="G72" s="141"/>
      <c r="H72" s="141"/>
      <c r="I72" s="14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142"/>
    </row>
    <row r="79" spans="1:9" ht="20.100000000000001" customHeight="1" x14ac:dyDescent="0.25">
      <c r="A79"/>
      <c r="D79" s="142"/>
    </row>
    <row r="80" spans="1:9" ht="20.100000000000001" customHeight="1" x14ac:dyDescent="0.25">
      <c r="A80"/>
      <c r="D80" s="142"/>
    </row>
    <row r="81" spans="1:4" ht="20.100000000000001" customHeight="1" x14ac:dyDescent="0.25">
      <c r="A81"/>
      <c r="D81" s="142"/>
    </row>
    <row r="82" spans="1:4" ht="20.100000000000001" customHeight="1" x14ac:dyDescent="0.25">
      <c r="A82"/>
      <c r="D82" s="142"/>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 type="list" allowBlank="1" showInputMessage="1" showErrorMessage="1" sqref="E23" xr:uid="{C355EFE3-141E-4817-9200-A023608C977C}">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A0CB-A215-4968-BAAE-5C270491FA98}">
  <sheetPr>
    <tabColor theme="5" tint="-0.249977111117893"/>
  </sheetPr>
  <dimension ref="A1:J354"/>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7" customFormat="1" ht="30" customHeight="1" x14ac:dyDescent="0.35">
      <c r="A1" s="37" t="e" vm="1">
        <v>#VALUE!</v>
      </c>
      <c r="C1" s="37" t="s">
        <v>119</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9" t="s">
        <v>120</v>
      </c>
      <c r="E5" s="7"/>
      <c r="F5" s="7"/>
      <c r="G5" s="7"/>
      <c r="H5" s="7"/>
    </row>
    <row r="6" spans="1:10" ht="20.100000000000001" customHeight="1" x14ac:dyDescent="0.25">
      <c r="A6"/>
      <c r="D6" s="14"/>
      <c r="E6" s="14"/>
      <c r="F6" s="14"/>
      <c r="G6" s="14"/>
      <c r="H6" s="14"/>
      <c r="I6" s="14"/>
    </row>
    <row r="7" spans="1:10" ht="20.100000000000001" customHeight="1" x14ac:dyDescent="0.25">
      <c r="A7" s="19" t="s">
        <v>67</v>
      </c>
      <c r="D7" s="8" t="s">
        <v>740</v>
      </c>
    </row>
    <row r="8" spans="1:10" ht="20.100000000000001" customHeight="1" x14ac:dyDescent="0.25">
      <c r="A8" s="16" t="str">
        <f>HYPERLINK("#'Input - Site'!A1", "Site")</f>
        <v>Site</v>
      </c>
      <c r="D8" s="8" t="s">
        <v>741</v>
      </c>
    </row>
    <row r="9" spans="1:10" ht="20.100000000000001" customHeight="1" x14ac:dyDescent="0.25">
      <c r="A9" s="42" t="str">
        <f>HYPERLINK("#'Input - Fuel'!A1", "Fuel")</f>
        <v>Fuel</v>
      </c>
      <c r="D9" s="8" t="s">
        <v>742</v>
      </c>
    </row>
    <row r="10" spans="1:10" ht="20.100000000000001" customHeight="1" x14ac:dyDescent="0.25">
      <c r="A10" s="16" t="str">
        <f>HYPERLINK("#'Input - Fertiliser'!A1", "Fertiliser")</f>
        <v>Fertiliser</v>
      </c>
    </row>
    <row r="11" spans="1:10" ht="20.100000000000001" customHeight="1" x14ac:dyDescent="0.25">
      <c r="A11" s="16" t="str">
        <f>HYPERLINK("#'Input - Farm Inputs'!A1", "Farm Inputs")</f>
        <v>Farm Inputs</v>
      </c>
      <c r="D11" s="8" t="s">
        <v>743</v>
      </c>
      <c r="E11" s="47" t="s">
        <v>711</v>
      </c>
      <c r="F11" s="65" t="s">
        <v>195</v>
      </c>
    </row>
    <row r="12" spans="1:10" ht="20.100000000000001" customHeight="1" x14ac:dyDescent="0.25">
      <c r="A12" s="16" t="str">
        <f>HYPERLINK("#'Input - Livestock purchases'!A1", "Livestock purchases")</f>
        <v>Livestock purchases</v>
      </c>
    </row>
    <row r="13" spans="1:10" ht="20.100000000000001" customHeight="1" x14ac:dyDescent="0.25">
      <c r="A13" s="16" t="str">
        <f>HYPERLINK("#'Input - Freight'!A1", "Freight")</f>
        <v>Freight</v>
      </c>
      <c r="D13" s="39" t="s">
        <v>121</v>
      </c>
      <c r="E13" s="40"/>
      <c r="F13" s="40"/>
      <c r="G13" s="40"/>
      <c r="H13" s="41"/>
    </row>
    <row r="14" spans="1:10" ht="20.100000000000001" customHeight="1" x14ac:dyDescent="0.25">
      <c r="A14" s="16" t="str">
        <f>HYPERLINK("#'Input - Solid waste'!A1", "Solid waste")</f>
        <v>Solid waste</v>
      </c>
      <c r="D14" s="43" t="s">
        <v>122</v>
      </c>
      <c r="E14" s="44"/>
      <c r="F14" s="44"/>
      <c r="G14" s="44"/>
      <c r="H14" s="45"/>
    </row>
    <row r="15" spans="1:10" ht="20.100000000000001" customHeight="1" x14ac:dyDescent="0.25">
      <c r="A15" s="16" t="str">
        <f>HYPERLINK("#'Input - Manure sent off-site'!A1", "Manure sent off-site")</f>
        <v>Manure sent off-site</v>
      </c>
      <c r="D15" s="14"/>
      <c r="E15" s="14"/>
      <c r="F15" s="14"/>
      <c r="G15" s="14"/>
      <c r="H15" s="14"/>
      <c r="I15" s="14"/>
    </row>
    <row r="16" spans="1:10" ht="20.100000000000001" customHeight="1" x14ac:dyDescent="0.25">
      <c r="A16" s="16" t="str">
        <f>HYPERLINK("#'Input - Electricity'!A1", "Electricity")</f>
        <v>Electricity</v>
      </c>
      <c r="D16" s="46" t="s">
        <v>123</v>
      </c>
      <c r="E16" s="46" t="s">
        <v>124</v>
      </c>
      <c r="F16" s="46" t="s">
        <v>125</v>
      </c>
      <c r="G16" s="46" t="s">
        <v>126</v>
      </c>
      <c r="H16" s="46" t="s">
        <v>127</v>
      </c>
      <c r="I16" s="46" t="s">
        <v>128</v>
      </c>
    </row>
    <row r="17" spans="1:9" ht="20.100000000000001" customHeight="1" x14ac:dyDescent="0.25">
      <c r="A17"/>
      <c r="D17" s="47" t="s">
        <v>89</v>
      </c>
      <c r="E17" s="47" t="s">
        <v>118</v>
      </c>
      <c r="F17" s="48">
        <v>100</v>
      </c>
      <c r="G17" s="49" t="str" cm="1">
        <f t="array" ref="G17">Common_InputFunctions.Utility_LookupValueInTable(Table_Input_Fuel[[#This Row],[Fuel type (select)]],Table_FuelTypes_Units[Fuel type], Table_FuelTypes_Units[Unit])</f>
        <v>GJ</v>
      </c>
      <c r="H17" s="50">
        <f>1</f>
        <v>1</v>
      </c>
      <c r="I17" s="49">
        <f>Table_Input_Fuel[[#This Row],[Amount purchased]]*Table_Input_Fuel[[#This Row],[Percent consumed]]*10^-3</f>
        <v>0.1</v>
      </c>
    </row>
    <row r="18" spans="1:9" ht="20.100000000000001" customHeight="1" x14ac:dyDescent="0.25">
      <c r="A18"/>
      <c r="D18" s="47" t="s">
        <v>90</v>
      </c>
      <c r="E18" s="47" t="s">
        <v>106</v>
      </c>
      <c r="F18" s="48">
        <v>100</v>
      </c>
      <c r="G18" s="49" t="str" cm="1">
        <f t="array" ref="G18">Common_InputFunctions.Utility_LookupValueInTable(Table_Input_Fuel[[#This Row],[Fuel type (select)]],Table_FuelTypes_Units[Fuel type], Table_FuelTypes_Units[Unit])</f>
        <v>kL</v>
      </c>
      <c r="H18" s="50">
        <f>1</f>
        <v>1</v>
      </c>
      <c r="I18" s="49">
        <f>Table_Input_Fuel[[#This Row],[Amount purchased]]*Table_Input_Fuel[[#This Row],[Percent consumed]]*10^-3</f>
        <v>0.1</v>
      </c>
    </row>
    <row r="19" spans="1:9" ht="20.100000000000001" customHeight="1" x14ac:dyDescent="0.25">
      <c r="A19" s="21" t="s">
        <v>77</v>
      </c>
      <c r="D19" s="47" t="s">
        <v>93</v>
      </c>
      <c r="E19" s="47" t="s">
        <v>100</v>
      </c>
      <c r="F19" s="48">
        <v>100</v>
      </c>
      <c r="G19" s="49" t="str" cm="1">
        <f t="array" ref="G19">Common_InputFunctions.Utility_LookupValueInTable(Table_Input_Fuel[[#This Row],[Fuel type (select)]],Table_FuelTypes_Units[Fuel type], Table_FuelTypes_Units[Unit])</f>
        <v>kL</v>
      </c>
      <c r="H19" s="50">
        <f>1</f>
        <v>1</v>
      </c>
      <c r="I19" s="49">
        <f>Table_Input_Fuel[[#This Row],[Amount purchased]]*Table_Input_Fuel[[#This Row],[Percent consumed]]*10^-3</f>
        <v>0.1</v>
      </c>
    </row>
    <row r="20" spans="1:9" ht="20.100000000000001" customHeight="1" x14ac:dyDescent="0.25">
      <c r="A20" s="16" t="str">
        <f>HYPERLINK("#'15 Scope 3'!A1", "15 Scope 3")</f>
        <v>15 Scope 3</v>
      </c>
      <c r="D20" s="47" t="s">
        <v>89</v>
      </c>
      <c r="E20" s="47" t="s">
        <v>118</v>
      </c>
      <c r="F20" s="48">
        <v>100</v>
      </c>
      <c r="G20" s="49" t="str" cm="1">
        <f t="array" ref="G20">Common_InputFunctions.Utility_LookupValueInTable(Table_Input_Fuel[[#This Row],[Fuel type (select)]],Table_FuelTypes_Units[Fuel type], Table_FuelTypes_Units[Unit])</f>
        <v>GJ</v>
      </c>
      <c r="H20" s="50">
        <f>1</f>
        <v>1</v>
      </c>
      <c r="I20" s="49">
        <f>Table_Input_Fuel[[#This Row],[Amount purchased]]*Table_Input_Fuel[[#This Row],[Percent consumed]]*10^-3</f>
        <v>0.1</v>
      </c>
    </row>
    <row r="21" spans="1:9" ht="20.100000000000001" customHeight="1" x14ac:dyDescent="0.25">
      <c r="A21" s="16" t="str">
        <f>HYPERLINK("#'10.1.1-2 Solid waste treatment'!A1", "10.1.1-2 Solid waste treatment")</f>
        <v>10.1.1-2 Solid waste treatment</v>
      </c>
      <c r="D21" s="47" t="s">
        <v>91</v>
      </c>
      <c r="E21" s="47" t="s">
        <v>100</v>
      </c>
      <c r="F21" s="48">
        <v>100</v>
      </c>
      <c r="G21" s="49" t="str" cm="1">
        <f t="array" ref="G21">Common_InputFunctions.Utility_LookupValueInTable(Table_Input_Fuel[[#This Row],[Fuel type (select)]],Table_FuelTypes_Units[Fuel type], Table_FuelTypes_Units[Unit])</f>
        <v>kL</v>
      </c>
      <c r="H21" s="50">
        <f>1</f>
        <v>1</v>
      </c>
      <c r="I21" s="49">
        <f>Table_Input_Fuel[[#This Row],[Amount purchased]]*Table_Input_Fuel[[#This Row],[Percent consumed]]*10^-3</f>
        <v>0.1</v>
      </c>
    </row>
    <row r="22" spans="1:9" ht="20.100000000000001" customHeight="1" x14ac:dyDescent="0.25">
      <c r="A22" s="16" t="str">
        <f>HYPERLINK("#'Calcs - Manure sent off-site'!A1", "Calcs - Manure sent off-site")</f>
        <v>Calcs - Manure sent off-site</v>
      </c>
    </row>
    <row r="23" spans="1:9" ht="20.100000000000001" customHeight="1" x14ac:dyDescent="0.25">
      <c r="A23" s="16" t="str">
        <f>HYPERLINK("#'8.1.1.1-2 Transport fuel'!A1", "8.1.1.1-2 Transport fuel")</f>
        <v>8.1.1.1-2 Transport fuel</v>
      </c>
    </row>
    <row r="24" spans="1:9" ht="20.100000000000001" customHeight="1" x14ac:dyDescent="0.25">
      <c r="A24" s="16" t="str">
        <f>HYPERLINK("#'8.2.1.1-2 Stationary fuel'!A1", "8.2.1.1-2 Stationary fuel")</f>
        <v>8.2.1.1-2 Stationary fuel</v>
      </c>
    </row>
    <row r="25" spans="1:9" ht="20.100000000000001" customHeight="1" x14ac:dyDescent="0.25">
      <c r="A25"/>
    </row>
    <row r="26" spans="1:9" ht="20.100000000000001" customHeight="1" x14ac:dyDescent="0.25">
      <c r="A26"/>
    </row>
    <row r="27" spans="1:9" ht="20.100000000000001" customHeight="1" x14ac:dyDescent="0.25">
      <c r="A27" s="222" t="s">
        <v>78</v>
      </c>
    </row>
    <row r="28" spans="1:9" ht="20.100000000000001" customHeight="1" x14ac:dyDescent="0.25">
      <c r="A28" s="16" t="str">
        <f>HYPERLINK("#'Constants - Scope 3'!A1", "Constants - Scope 3")</f>
        <v>Constants - Scope 3</v>
      </c>
    </row>
    <row r="29" spans="1:9" ht="20.100000000000001" customHeight="1" x14ac:dyDescent="0.25">
      <c r="A29" s="16" t="str">
        <f>HYPERLINK("#'Constants - Solid Waste'!A1", "Constants - Solid Waste")</f>
        <v>Constants - Solid Waste</v>
      </c>
    </row>
    <row r="30" spans="1:9" ht="20.100000000000001" customHeight="1" x14ac:dyDescent="0.25">
      <c r="A30" s="16" t="str">
        <f>HYPERLINK("#'Constants - Fuel'!A1", "Constants - Fuel")</f>
        <v>Constants - Fuel</v>
      </c>
    </row>
    <row r="31" spans="1:9" ht="20.100000000000001" customHeight="1" x14ac:dyDescent="0.25">
      <c r="A31" s="16" t="str">
        <f>HYPERLINK("#'Constants - Poultry'!A1", "Constants - Poultry")</f>
        <v>Constants - Poultry</v>
      </c>
    </row>
    <row r="32" spans="1:9" ht="20.100000000000001" customHeight="1" x14ac:dyDescent="0.25">
      <c r="A32" s="16" t="str">
        <f>HYPERLINK("#'Constants - Swine'!A1", "Constants - Swine")</f>
        <v>Constants - Swine</v>
      </c>
    </row>
    <row r="33" spans="1:10" ht="20.100000000000001" customHeight="1" x14ac:dyDescent="0.25">
      <c r="A33" s="16" t="str">
        <f>HYPERLINK("#'Constants - Dairy'!A1", "Constants - Dairy")</f>
        <v>Constants - Dairy</v>
      </c>
    </row>
    <row r="34" spans="1:10" ht="20.100000000000001" customHeight="1" x14ac:dyDescent="0.25">
      <c r="A34" s="16" t="str">
        <f>HYPERLINK("#'Constants - Pasture Beef'!A1", "Constants - Pasture Beef")</f>
        <v>Constants - Pasture Beef</v>
      </c>
    </row>
    <row r="35" spans="1:10" ht="20.100000000000001" customHeight="1" x14ac:dyDescent="0.25">
      <c r="A35" s="16" t="str">
        <f>HYPERLINK("#'Constants - Common Livestock'!A1", "Constants - Common Livestock")</f>
        <v>Constants - Common Livestock</v>
      </c>
    </row>
    <row r="36" spans="1:10" ht="20.100000000000001" customHeight="1" x14ac:dyDescent="0.25">
      <c r="A36" s="16" t="str">
        <f>HYPERLINK("#'Constants - Fertiliser'!A1", "Constants - Fertiliser")</f>
        <v>Constants - Fertiliser</v>
      </c>
    </row>
    <row r="37" spans="1:10" ht="20.100000000000001" customHeight="1" x14ac:dyDescent="0.25">
      <c r="A37" s="16" t="str">
        <f>HYPERLINK("#'Constants - Electricity'!A1", "Constants - Electricity")</f>
        <v>Constants - Electricity</v>
      </c>
    </row>
    <row r="38" spans="1:10" ht="20.100000000000001" customHeight="1" x14ac:dyDescent="0.25">
      <c r="A38" s="16" t="str">
        <f>HYPERLINK("#'Constants - Common'!A1", "Constants - Common")</f>
        <v>Constants - Common</v>
      </c>
      <c r="C38" s="51"/>
      <c r="J38" s="51"/>
    </row>
    <row r="39" spans="1:10" ht="20.100000000000001" customHeight="1" x14ac:dyDescent="0.25">
      <c r="A39"/>
      <c r="C39" s="51"/>
      <c r="J39" s="51"/>
    </row>
    <row r="40" spans="1:10" s="52" customFormat="1" ht="20.100000000000001" customHeight="1" x14ac:dyDescent="0.25">
      <c r="A40"/>
      <c r="C40" s="8"/>
      <c r="D40" s="8"/>
      <c r="E40" s="8"/>
      <c r="F40" s="8"/>
      <c r="G40" s="8"/>
      <c r="H40" s="8"/>
      <c r="I40" s="8"/>
      <c r="J40" s="8"/>
    </row>
    <row r="41" spans="1:10" s="52" customFormat="1" ht="20.100000000000001" customHeight="1" x14ac:dyDescent="0.25">
      <c r="A41"/>
      <c r="C41" s="8"/>
      <c r="D41" s="8"/>
      <c r="E41" s="8"/>
      <c r="F41" s="8"/>
      <c r="G41" s="8"/>
      <c r="H41" s="8"/>
      <c r="I41" s="8"/>
      <c r="J41" s="8"/>
    </row>
    <row r="42" spans="1:10" ht="20.100000000000001" customHeight="1" x14ac:dyDescent="0.25">
      <c r="A42"/>
    </row>
    <row r="43" spans="1:10" ht="20.100000000000001" customHeight="1" x14ac:dyDescent="0.25">
      <c r="A43"/>
    </row>
    <row r="44" spans="1:10" ht="20.100000000000001" customHeight="1" x14ac:dyDescent="0.25">
      <c r="A44"/>
    </row>
    <row r="45" spans="1:10" ht="20.100000000000001" customHeight="1" x14ac:dyDescent="0.25">
      <c r="A45"/>
    </row>
    <row r="46" spans="1:10" ht="20.100000000000001" customHeight="1" x14ac:dyDescent="0.25">
      <c r="A46"/>
    </row>
    <row r="47" spans="1:10" ht="20.100000000000001" customHeight="1" x14ac:dyDescent="0.25">
      <c r="A47"/>
    </row>
    <row r="48" spans="1:10"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4" spans="4:4" x14ac:dyDescent="0.25">
      <c r="D354" s="54"/>
    </row>
  </sheetData>
  <conditionalFormatting sqref="F40">
    <cfRule type="cellIs" dxfId="99" priority="9" operator="lessThan">
      <formula>0</formula>
    </cfRule>
  </conditionalFormatting>
  <conditionalFormatting sqref="F119:F120">
    <cfRule type="cellIs" dxfId="98" priority="8" operator="lessThan">
      <formula>0</formula>
    </cfRule>
  </conditionalFormatting>
  <conditionalFormatting sqref="F131:F132">
    <cfRule type="cellIs" dxfId="97" priority="7" operator="lessThan">
      <formula>0</formula>
    </cfRule>
  </conditionalFormatting>
  <conditionalFormatting sqref="F143:F144">
    <cfRule type="cellIs" dxfId="96" priority="6" operator="lessThan">
      <formula>0</formula>
    </cfRule>
  </conditionalFormatting>
  <conditionalFormatting sqref="F155:F156">
    <cfRule type="cellIs" dxfId="95" priority="5" operator="lessThan">
      <formula>0</formula>
    </cfRule>
  </conditionalFormatting>
  <conditionalFormatting sqref="F243:F244">
    <cfRule type="cellIs" dxfId="94" priority="17" operator="lessThan">
      <formula>0</formula>
    </cfRule>
  </conditionalFormatting>
  <conditionalFormatting sqref="F248:F249">
    <cfRule type="cellIs" dxfId="93" priority="16" operator="lessThan">
      <formula>0</formula>
    </cfRule>
  </conditionalFormatting>
  <conditionalFormatting sqref="F253:F254">
    <cfRule type="cellIs" dxfId="92" priority="15" operator="lessThan">
      <formula>0</formula>
    </cfRule>
  </conditionalFormatting>
  <conditionalFormatting sqref="F277:F278">
    <cfRule type="cellIs" dxfId="91" priority="14" operator="lessThan">
      <formula>0</formula>
    </cfRule>
  </conditionalFormatting>
  <conditionalFormatting sqref="F282:F283">
    <cfRule type="cellIs" dxfId="90" priority="13" operator="lessThan">
      <formula>0</formula>
    </cfRule>
  </conditionalFormatting>
  <conditionalFormatting sqref="F287:F288">
    <cfRule type="cellIs" dxfId="89" priority="12" operator="lessThan">
      <formula>0</formula>
    </cfRule>
  </conditionalFormatting>
  <conditionalFormatting sqref="I24 I26:I30 I34:I35 H36:H38 I39 I41:I43 I45:I46 I197 E203:G203 I203">
    <cfRule type="cellIs" dxfId="88" priority="11" operator="lessThan">
      <formula>0</formula>
    </cfRule>
  </conditionalFormatting>
  <conditionalFormatting sqref="I50:I54">
    <cfRule type="cellIs" dxfId="87" priority="4" operator="lessThan">
      <formula>0</formula>
    </cfRule>
  </conditionalFormatting>
  <conditionalFormatting sqref="I58 I117">
    <cfRule type="cellIs" dxfId="86" priority="10" operator="lessThan">
      <formula>0</formula>
    </cfRule>
  </conditionalFormatting>
  <conditionalFormatting sqref="I69:I71">
    <cfRule type="cellIs" dxfId="85" priority="3" operator="lessThan">
      <formula>0</formula>
    </cfRule>
  </conditionalFormatting>
  <conditionalFormatting sqref="I75:I78">
    <cfRule type="cellIs" dxfId="84" priority="2" operator="lessThan">
      <formula>0</formula>
    </cfRule>
  </conditionalFormatting>
  <conditionalFormatting sqref="I82:I86">
    <cfRule type="cellIs" dxfId="83" priority="1" operator="lessThan">
      <formula>0</formula>
    </cfRule>
  </conditionalFormatting>
  <dataValidations count="9">
    <dataValidation type="list" allowBlank="1" showInputMessage="1" showErrorMessage="1" sqref="E11" xr:uid="{EC685BB7-B56B-4265-AD52-40335DE44C47}">
      <formula1>"Metro, Non-metro"</formula1>
    </dataValidation>
    <dataValidation type="list" allowBlank="1" showInputMessage="1" showErrorMessage="1" sqref="E17:E21" xr:uid="{CDFC472F-3B6B-4156-9814-EA631756A7C5}">
      <formula1>_xlfn.TRIMRANGE(INDIRECT("Table_FuelTypesPerUse["&amp;D17&amp;"]"))</formula1>
    </dataValidation>
    <dataValidation type="list" allowBlank="1" showInputMessage="1" showErrorMessage="1" sqref="D17:D21" xr:uid="{2AB8B607-6113-4019-83B9-8914AD3CCFB1}">
      <formula1>INDIRECT("Table_FuelTypesPerUse[#Headers]")</formula1>
    </dataValidation>
    <dataValidation type="list" allowBlank="1" showInputMessage="1" showErrorMessage="1" sqref="D37:D38" xr:uid="{6F95C83A-E076-4503-9E9A-7A2A314D3676}">
      <formula1>INDIRECT("Table_SourceData_OrganicFertiliserTypes[Organic fertiliser type]")</formula1>
    </dataValidation>
    <dataValidation type="list" allowBlank="1" showInputMessage="1" showErrorMessage="1" sqref="E57" xr:uid="{DCB9AC3F-7B51-44E2-8476-5A6D721418A4}">
      <formula1>INDIRECT("Table_SourceData_Swine_CropProdSystems[Production system]")</formula1>
    </dataValidation>
    <dataValidation type="list" allowBlank="1" showInputMessage="1" showErrorMessage="1" sqref="E58" xr:uid="{8A8B8C7A-CB04-4725-A2D3-9509D7095954}">
      <formula1>INDIRECT("Table_SourceData_Swine_IrrigationMethods[Irrigation method]")</formula1>
    </dataValidation>
    <dataValidation type="list" allowBlank="1" showInputMessage="1" showErrorMessage="1" sqref="E242 E247 E252 E286 E281 E276 E154 E142 E118 E130" xr:uid="{F108D1A2-7D49-4B65-BBCF-5C9040E33C98}">
      <formula1>"Yes, No"</formula1>
    </dataValidation>
    <dataValidation type="list" allowBlank="1" showInputMessage="1" showErrorMessage="1" sqref="E218" xr:uid="{B6139B07-8354-42B1-BF7E-1053FE7BF5BE}">
      <formula1>INDIRECT("Table_SourceData_Dairy_ProductionSystemTemplates[Area]")</formula1>
    </dataValidation>
    <dataValidation type="list" allowBlank="1" showInputMessage="1" showErrorMessage="1" sqref="D270" xr:uid="{57908C32-05CD-4D1F-8EAF-3562AE6E1B24}">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sheetPr>
    <tabColor theme="5" tint="-0.249977111117893"/>
  </sheetPr>
  <dimension ref="A1:Y361"/>
  <sheetViews>
    <sheetView showGridLines="0" topLeftCell="A22" zoomScaleNormal="100" workbookViewId="0">
      <selection activeCell="A36" sqref="A36"/>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7" customFormat="1" ht="30" customHeight="1" x14ac:dyDescent="0.35">
      <c r="A1" s="37" t="e" vm="1">
        <v>#VALUE!</v>
      </c>
      <c r="C1" s="37" t="s">
        <v>194</v>
      </c>
    </row>
    <row r="2" spans="1:25" s="2" customFormat="1" ht="20.100000000000001" customHeight="1" x14ac:dyDescent="0.25">
      <c r="A2"/>
    </row>
    <row r="3" spans="1:25"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c r="T3" s="38"/>
      <c r="U3" s="38"/>
      <c r="V3" s="38"/>
      <c r="W3" s="38"/>
      <c r="X3" s="38"/>
      <c r="Y3" s="38"/>
    </row>
    <row r="4" spans="1:25" ht="20.100000000000001" customHeight="1" x14ac:dyDescent="0.25">
      <c r="A4" s="16" t="str">
        <f>HYPERLINK("#'Results'!A1", "Results")</f>
        <v>Results</v>
      </c>
    </row>
    <row r="5" spans="1:25" ht="20.100000000000001" customHeight="1" x14ac:dyDescent="0.25">
      <c r="A5"/>
    </row>
    <row r="6" spans="1:25" ht="20.100000000000001" customHeight="1" x14ac:dyDescent="0.25">
      <c r="A6"/>
      <c r="D6" s="8" t="s">
        <v>145</v>
      </c>
      <c r="E6" s="47" t="s">
        <v>150</v>
      </c>
      <c r="F6" s="65" t="s">
        <v>195</v>
      </c>
    </row>
    <row r="7" spans="1:25" ht="20.100000000000001" customHeight="1" x14ac:dyDescent="0.25">
      <c r="A7" s="19" t="s">
        <v>67</v>
      </c>
      <c r="D7" s="8" t="s">
        <v>196</v>
      </c>
      <c r="E7" s="47" t="s">
        <v>151</v>
      </c>
      <c r="F7" s="65" t="s">
        <v>195</v>
      </c>
    </row>
    <row r="8" spans="1:25" ht="20.100000000000001" customHeight="1" x14ac:dyDescent="0.25">
      <c r="A8" s="16" t="str">
        <f>HYPERLINK("#'Input - Site'!A1", "Site")</f>
        <v>Site</v>
      </c>
      <c r="D8" s="8" t="s">
        <v>43</v>
      </c>
      <c r="E8" s="47" t="s">
        <v>152</v>
      </c>
      <c r="F8" s="65" t="s">
        <v>195</v>
      </c>
    </row>
    <row r="9" spans="1:25" ht="20.100000000000001" customHeight="1" x14ac:dyDescent="0.25">
      <c r="A9" s="16" t="str">
        <f>HYPERLINK("#'Input - Fuel'!A1", "Fuel")</f>
        <v>Fuel</v>
      </c>
      <c r="D9" s="8" t="s">
        <v>197</v>
      </c>
      <c r="E9" s="66">
        <v>100</v>
      </c>
      <c r="F9" s="65" t="s">
        <v>198</v>
      </c>
    </row>
    <row r="10" spans="1:25" ht="20.100000000000001" customHeight="1" x14ac:dyDescent="0.25">
      <c r="A10" s="42" t="str">
        <f>HYPERLINK("#'Input - Fertiliser'!A1", "Fertiliser")</f>
        <v>Fertiliser</v>
      </c>
    </row>
    <row r="11" spans="1:25" ht="20.100000000000001" customHeight="1" x14ac:dyDescent="0.25">
      <c r="A11" s="16" t="str">
        <f>HYPERLINK("#'Input - Farm Inputs'!A1", "Farm Inputs")</f>
        <v>Farm Inputs</v>
      </c>
      <c r="D11" s="9" t="s">
        <v>199</v>
      </c>
      <c r="E11" s="7"/>
      <c r="F11" s="7"/>
      <c r="G11" s="7"/>
      <c r="H11" s="7"/>
      <c r="I11" s="7"/>
      <c r="J11" s="7"/>
      <c r="K11" s="7"/>
      <c r="L11" s="7"/>
      <c r="M11" s="7"/>
    </row>
    <row r="12" spans="1:25" ht="20.100000000000001" customHeight="1" x14ac:dyDescent="0.25">
      <c r="A12" s="16" t="str">
        <f>HYPERLINK("#'Input - Livestock purchases'!A1", "Livestock purchases")</f>
        <v>Livestock purchases</v>
      </c>
      <c r="D12" s="14"/>
      <c r="E12" s="14"/>
      <c r="F12" s="14"/>
      <c r="G12" s="14"/>
      <c r="H12" s="14"/>
      <c r="I12" s="14"/>
      <c r="J12" s="14"/>
      <c r="K12" s="14"/>
      <c r="L12" s="14"/>
      <c r="M12" s="14"/>
    </row>
    <row r="13" spans="1:25" ht="20.100000000000001" customHeight="1" x14ac:dyDescent="0.25">
      <c r="A13" s="16" t="str">
        <f>HYPERLINK("#'Input - Freight'!A1", "Freight")</f>
        <v>Freight</v>
      </c>
      <c r="D13" s="39" t="s">
        <v>200</v>
      </c>
      <c r="E13" s="40"/>
      <c r="F13" s="40"/>
      <c r="G13" s="40"/>
      <c r="H13" s="41"/>
      <c r="I13" s="67"/>
      <c r="J13" s="68"/>
      <c r="K13" s="69"/>
      <c r="L13" s="69"/>
      <c r="M13" s="69"/>
    </row>
    <row r="14" spans="1:25" ht="20.100000000000001" customHeight="1" x14ac:dyDescent="0.25">
      <c r="A14" s="16" t="str">
        <f>HYPERLINK("#'Input - Solid waste'!A1", "Solid waste")</f>
        <v>Solid waste</v>
      </c>
      <c r="D14" s="43" t="s">
        <v>201</v>
      </c>
      <c r="E14" s="44"/>
      <c r="F14" s="44"/>
      <c r="G14" s="45"/>
      <c r="H14" s="70"/>
      <c r="I14" s="14"/>
      <c r="J14" s="14"/>
      <c r="K14" s="14"/>
      <c r="L14" s="14"/>
      <c r="M14" s="14"/>
    </row>
    <row r="15" spans="1:25" ht="20.100000000000001" customHeight="1" x14ac:dyDescent="0.25">
      <c r="A15" s="16" t="str">
        <f>HYPERLINK("#'Input - Manure sent off-site'!A1", "Manure sent off-site")</f>
        <v>Manure sent off-site</v>
      </c>
      <c r="D15" s="14"/>
      <c r="E15" s="14"/>
      <c r="F15" s="14"/>
      <c r="G15" s="14"/>
      <c r="H15" s="14"/>
      <c r="I15" s="14"/>
      <c r="J15" s="14"/>
      <c r="K15" s="14"/>
      <c r="L15" s="14"/>
      <c r="M15" s="14"/>
    </row>
    <row r="16" spans="1:25" ht="20.100000000000001" customHeight="1" x14ac:dyDescent="0.25">
      <c r="A16" s="16" t="str">
        <f>HYPERLINK("#'Input - Electricity'!A1", "Electricity")</f>
        <v>Electricity</v>
      </c>
      <c r="D16" s="71" t="s">
        <v>202</v>
      </c>
      <c r="E16" s="14"/>
      <c r="F16" s="14"/>
      <c r="G16" s="14"/>
      <c r="H16" s="14"/>
      <c r="I16" s="14"/>
      <c r="J16" s="14"/>
      <c r="K16" s="14"/>
      <c r="L16" s="14"/>
      <c r="M16" s="14"/>
    </row>
    <row r="17" spans="1:24" ht="36" customHeight="1" x14ac:dyDescent="0.25">
      <c r="A17"/>
      <c r="D17" s="91" t="s">
        <v>203</v>
      </c>
      <c r="E17" s="91" t="s">
        <v>322</v>
      </c>
      <c r="F17" s="91" t="s">
        <v>315</v>
      </c>
      <c r="G17" s="91" t="s">
        <v>316</v>
      </c>
      <c r="H17" s="91" t="s">
        <v>204</v>
      </c>
      <c r="I17" s="91" t="s">
        <v>205</v>
      </c>
      <c r="J17" s="91" t="s">
        <v>174</v>
      </c>
      <c r="K17" s="91" t="s">
        <v>175</v>
      </c>
      <c r="L17" s="91" t="s">
        <v>176</v>
      </c>
      <c r="M17" s="91" t="s">
        <v>177</v>
      </c>
      <c r="N17" s="91" t="s">
        <v>178</v>
      </c>
      <c r="O17" s="91" t="s">
        <v>179</v>
      </c>
      <c r="P17" s="91" t="s">
        <v>180</v>
      </c>
      <c r="Q17" s="91" t="s">
        <v>181</v>
      </c>
      <c r="R17" s="91" t="s">
        <v>182</v>
      </c>
      <c r="S17" s="91" t="s">
        <v>183</v>
      </c>
      <c r="T17" s="91" t="s">
        <v>184</v>
      </c>
      <c r="U17" s="91" t="s">
        <v>185</v>
      </c>
      <c r="V17" s="91" t="s">
        <v>206</v>
      </c>
      <c r="W17" s="91" t="s">
        <v>172</v>
      </c>
      <c r="X17" s="91" t="s">
        <v>173</v>
      </c>
    </row>
    <row r="18" spans="1:24" ht="36" customHeight="1" x14ac:dyDescent="0.25">
      <c r="A18"/>
      <c r="D18" s="72" t="s">
        <v>875</v>
      </c>
      <c r="E18" s="73">
        <v>100</v>
      </c>
      <c r="F18" s="49" t="str">
        <f>_xlfn.XLOOKUP(Table_Input_InorganicFertiliser_Brands[[#This Row],[Product (select)]],FertiliserProducts[Product name],FertiliserProducts[Unit])</f>
        <v>Aqua Grow - Campbells Fertilisers Australasia</v>
      </c>
      <c r="G18" s="49" t="str">
        <f>_xlfn.XLOOKUP(Table_Input_InorganicFertiliser_Brands[[#This Row],[Product (select)]],FertiliserProducts[Product name],FertiliserProducts[Density / gravity])</f>
        <v>Website</v>
      </c>
      <c r="H18" s="73">
        <f>X_Cell_Fertiliser_AreaUnderCropping</f>
        <v>100</v>
      </c>
      <c r="I18" s="74" t="e">
        <f>(Table_Input_InorganicFertiliser_Brands[[#This Row],[Amount applied per hectare]]*Table_Input_InorganicFertiliser_Brands[[#This Row],[Density]])*Table_Input_InorganicFertiliser_Brands[[#This Row],[Application area (ha)]]</f>
        <v>#VALUE!</v>
      </c>
      <c r="J18" s="74"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1.26</v>
      </c>
      <c r="K18" s="74" t="str"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
      </c>
      <c r="L18" s="7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
      </c>
      <c r="M18" s="74" t="str"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Potassium - Generic</v>
      </c>
      <c r="N18" s="74"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0.105</v>
      </c>
      <c r="O18" s="74" t="str"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Nitrogen - Generic</v>
      </c>
      <c r="P18" s="74"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9.6000000000000002E-2</v>
      </c>
      <c r="Q18" s="74"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Phosphorus - Generic</v>
      </c>
      <c r="R18" s="74"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0.05</v>
      </c>
      <c r="S18" s="74"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4"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4"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4" t="e">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#VALUE!</v>
      </c>
      <c r="W18" s="74" t="str">
        <f>_xlfn.XLOOKUP(Table_Input_InorganicFertiliser_Brands[[#This Row],[Product (select)]],FertiliserProducts[Product name],FertiliserProducts[Urea source])</f>
        <v/>
      </c>
      <c r="X18" s="74" t="str">
        <f>_xlfn.XLOOKUP(Table_Input_InorganicFertiliser_Brands[[#This Row],[Product (select)]],FertiliserProducts[Product name],FertiliserProducts[Ammonia source])</f>
        <v>L</v>
      </c>
    </row>
    <row r="19" spans="1:24" ht="36" customHeight="1" x14ac:dyDescent="0.25">
      <c r="A19" s="21" t="s">
        <v>77</v>
      </c>
      <c r="D19" s="72" t="s">
        <v>876</v>
      </c>
      <c r="E19" s="73">
        <v>200</v>
      </c>
      <c r="F19" s="49" t="str">
        <f>_xlfn.XLOOKUP(Table_Input_InorganicFertiliser_Brands[[#This Row],[Product (select)]],FertiliserProducts[Product name],FertiliserProducts[Unit])</f>
        <v>Aqua Finish - Campbells Fertilisers Australasia</v>
      </c>
      <c r="G19" s="49" t="str">
        <f>_xlfn.XLOOKUP(Table_Input_InorganicFertiliser_Brands[[#This Row],[Product (select)]],FertiliserProducts[Product name],FertiliserProducts[Density / gravity])</f>
        <v>Website</v>
      </c>
      <c r="H19" s="73">
        <f>X_Cell_Fertiliser_AreaUnderCropping</f>
        <v>100</v>
      </c>
      <c r="I19" s="74" t="e">
        <f>(Table_Input_InorganicFertiliser_Brands[[#This Row],[Amount applied per hectare]]*Table_Input_InorganicFertiliser_Brands[[#This Row],[Density]])*Table_Input_InorganicFertiliser_Brands[[#This Row],[Application area (ha)]]</f>
        <v>#VALUE!</v>
      </c>
      <c r="J19" s="74"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1.26</v>
      </c>
      <c r="K19" s="74" t="str"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
      </c>
      <c r="L19" s="7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
      </c>
      <c r="M19" s="74" t="str"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Potassium - Generic</v>
      </c>
      <c r="N19" s="74"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0.22500000000000001</v>
      </c>
      <c r="O19" s="74"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Phosphorus - Generic</v>
      </c>
      <c r="P19" s="74"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0.04</v>
      </c>
      <c r="Q19" s="74"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Nitrogen - Generic</v>
      </c>
      <c r="R19" s="74"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2.5999999999999999E-2</v>
      </c>
      <c r="S19" s="74"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74"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74"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74" t="e">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#VALUE!</v>
      </c>
      <c r="W19" s="74" t="str">
        <f>_xlfn.XLOOKUP(Table_Input_InorganicFertiliser_Brands[[#This Row],[Product (select)]],FertiliserProducts[Product name],FertiliserProducts[Urea source])</f>
        <v/>
      </c>
      <c r="X19" s="74" t="str">
        <f>_xlfn.XLOOKUP(Table_Input_InorganicFertiliser_Brands[[#This Row],[Product (select)]],FertiliserProducts[Product name],FertiliserProducts[Ammonia source])</f>
        <v>L</v>
      </c>
    </row>
    <row r="20" spans="1:24" ht="36" customHeight="1" x14ac:dyDescent="0.25">
      <c r="A20" s="16" t="str">
        <f>HYPERLINK("#'15 Scope 3'!A1", "15 Scope 3")</f>
        <v>15 Scope 3</v>
      </c>
      <c r="D20" s="72" t="s">
        <v>877</v>
      </c>
      <c r="E20" s="73">
        <v>100</v>
      </c>
      <c r="F20" s="49" t="str">
        <f>_xlfn.XLOOKUP(Table_Input_InorganicFertiliser_Brands[[#This Row],[Product (select)]],FertiliserProducts[Product name],FertiliserProducts[Unit])</f>
        <v>Aqua NitroCal - Campbells Fertilisers Australasia</v>
      </c>
      <c r="G20" s="49" t="str">
        <f>_xlfn.XLOOKUP(Table_Input_InorganicFertiliser_Brands[[#This Row],[Product (select)]],FertiliserProducts[Product name],FertiliserProducts[Density / gravity])</f>
        <v>Website SDS</v>
      </c>
      <c r="H20" s="73">
        <f>X_Cell_Fertiliser_AreaUnderCropping</f>
        <v>100</v>
      </c>
      <c r="I20" s="74" t="e">
        <f>(Table_Input_InorganicFertiliser_Brands[[#This Row],[Amount applied per hectare]]*Table_Input_InorganicFertiliser_Brands[[#This Row],[Density]])*Table_Input_InorganicFertiliser_Brands[[#This Row],[Application area (ha)]]</f>
        <v>#VALUE!</v>
      </c>
      <c r="J20" s="74"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1.5</v>
      </c>
      <c r="K20" s="74" t="str"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
      </c>
      <c r="L20" s="74"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
      </c>
      <c r="M20" s="74" t="str"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Calcium - Generic</v>
      </c>
      <c r="N20" s="74"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0.16200000000000001</v>
      </c>
      <c r="O20" s="74"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Nitrogen - Nitrate</v>
      </c>
      <c r="P20" s="74"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0.13200000000000001</v>
      </c>
      <c r="Q20" s="74"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74"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4"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4"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4"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4" t="e">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#VALUE!</v>
      </c>
      <c r="W20" s="74" t="str">
        <f>_xlfn.XLOOKUP(Table_Input_InorganicFertiliser_Brands[[#This Row],[Product (select)]],FertiliserProducts[Product name],FertiliserProducts[Urea source])</f>
        <v/>
      </c>
      <c r="X20" s="74" t="str">
        <f>_xlfn.XLOOKUP(Table_Input_InorganicFertiliser_Brands[[#This Row],[Product (select)]],FertiliserProducts[Product name],FertiliserProducts[Ammonia source])</f>
        <v>L</v>
      </c>
    </row>
    <row r="21" spans="1:24" ht="36" customHeight="1" x14ac:dyDescent="0.25">
      <c r="A21" s="16" t="str">
        <f>HYPERLINK("#'10.1.1-2 Solid waste treatment'!A1", "10.1.1-2 Solid waste treatment")</f>
        <v>10.1.1-2 Solid waste treatment</v>
      </c>
      <c r="D21" s="75"/>
      <c r="E21" s="76"/>
      <c r="F21" s="77"/>
      <c r="G21" s="77"/>
      <c r="H21" s="77"/>
      <c r="I21" s="77"/>
      <c r="J21" s="78"/>
      <c r="K21" s="78"/>
      <c r="L21" s="79"/>
      <c r="M21" s="79"/>
      <c r="N21" s="51"/>
      <c r="O21" s="51"/>
      <c r="P21" s="51"/>
      <c r="Q21" s="51"/>
      <c r="R21" s="51"/>
      <c r="S21" s="51"/>
      <c r="T21" s="51"/>
      <c r="U21" s="51"/>
      <c r="V21" s="51"/>
      <c r="W21" s="51"/>
      <c r="X21" s="51"/>
    </row>
    <row r="22" spans="1:24" ht="36" customHeight="1" x14ac:dyDescent="0.25">
      <c r="A22" s="16" t="str">
        <f>HYPERLINK("#'Calcs - Manure sent off-site'!A1", "Calcs - Manure sent off-site")</f>
        <v>Calcs - Manure sent off-site</v>
      </c>
      <c r="D22" s="80" t="s">
        <v>207</v>
      </c>
      <c r="E22" s="81"/>
      <c r="F22" s="81"/>
      <c r="G22" s="81"/>
      <c r="H22" s="81"/>
      <c r="I22" s="81"/>
      <c r="J22" s="81"/>
      <c r="K22" s="81"/>
      <c r="L22" s="81"/>
      <c r="M22" s="81"/>
      <c r="N22" s="51"/>
      <c r="O22" s="51"/>
      <c r="P22" s="51"/>
      <c r="Q22" s="51"/>
      <c r="R22" s="51"/>
      <c r="S22" s="51"/>
      <c r="T22" s="51"/>
      <c r="U22" s="51"/>
      <c r="V22" s="51"/>
      <c r="W22" s="51"/>
      <c r="X22" s="51"/>
    </row>
    <row r="23" spans="1:24" ht="36" customHeight="1" x14ac:dyDescent="0.25">
      <c r="A23" s="16" t="str">
        <f>HYPERLINK("#'8.1.1.1-2 Transport fuel'!A1", "8.1.1.1-2 Transport fuel")</f>
        <v>8.1.1.1-2 Transport fuel</v>
      </c>
      <c r="D23" s="91" t="s">
        <v>208</v>
      </c>
      <c r="E23" s="91" t="s">
        <v>843</v>
      </c>
      <c r="F23" s="91" t="s">
        <v>204</v>
      </c>
      <c r="G23" s="91" t="s">
        <v>205</v>
      </c>
      <c r="H23" s="91" t="s">
        <v>209</v>
      </c>
      <c r="I23" s="91" t="s">
        <v>175</v>
      </c>
      <c r="J23" s="91" t="s">
        <v>176</v>
      </c>
      <c r="K23" s="91" t="s">
        <v>177</v>
      </c>
      <c r="L23" s="91" t="s">
        <v>178</v>
      </c>
      <c r="M23" s="91" t="s">
        <v>179</v>
      </c>
      <c r="N23" s="91" t="s">
        <v>180</v>
      </c>
      <c r="O23" s="91" t="s">
        <v>181</v>
      </c>
      <c r="P23" s="91" t="s">
        <v>206</v>
      </c>
      <c r="Q23" s="91" t="s">
        <v>866</v>
      </c>
      <c r="R23" s="91" t="s">
        <v>867</v>
      </c>
      <c r="S23" s="51"/>
      <c r="T23" s="51"/>
      <c r="U23" s="51"/>
      <c r="V23" s="51"/>
      <c r="W23" s="51"/>
      <c r="X23" s="51"/>
    </row>
    <row r="24" spans="1:24" ht="36" customHeight="1" x14ac:dyDescent="0.25">
      <c r="A24" s="16" t="str">
        <f>HYPERLINK("#'8.2.1.1-2 Stationary fuel'!A1", "8.2.1.1-2 Stationary fuel")</f>
        <v>8.2.1.1-2 Stationary fuel</v>
      </c>
      <c r="D24" s="82" t="s">
        <v>210</v>
      </c>
      <c r="E24" s="64">
        <v>100</v>
      </c>
      <c r="F24" s="73">
        <f>X_Cell_Fertiliser_AreaUnderCropping</f>
        <v>100</v>
      </c>
      <c r="G24" s="74">
        <f>Table_Input_InorganicFertiliser_Custom[[#This Row],[Amount applied (kg / ha)]]*Table_Input_InorganicFertiliser_Custom[[#This Row],[Application area (ha)]]</f>
        <v>10000</v>
      </c>
      <c r="H24" s="83" t="s">
        <v>321</v>
      </c>
      <c r="I24" s="84">
        <v>0.45</v>
      </c>
      <c r="J24" s="83" t="s">
        <v>320</v>
      </c>
      <c r="K24" s="84">
        <v>0.3</v>
      </c>
      <c r="L24" s="83" t="s">
        <v>212</v>
      </c>
      <c r="M24" s="84">
        <v>0.1</v>
      </c>
      <c r="N24" s="85" t="s">
        <v>213</v>
      </c>
      <c r="O24" s="86">
        <v>0.1</v>
      </c>
      <c r="P24"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41.707499999999996</v>
      </c>
      <c r="Q24" s="47" t="s">
        <v>317</v>
      </c>
      <c r="R24" s="47" t="s">
        <v>351</v>
      </c>
    </row>
    <row r="25" spans="1:24" ht="36" customHeight="1" x14ac:dyDescent="0.25">
      <c r="A25"/>
      <c r="D25" s="82"/>
      <c r="E25" s="64">
        <v>100</v>
      </c>
      <c r="F25" s="148">
        <f>X_Cell_Fertiliser_AreaUnderCropping</f>
        <v>100</v>
      </c>
      <c r="G25" s="74">
        <f>Table_Input_InorganicFertiliser_Custom[[#This Row],[Amount applied (kg / ha)]]*Table_Input_InorganicFertiliser_Custom[[#This Row],[Application area (ha)]]</f>
        <v>10000</v>
      </c>
      <c r="H25" s="83" t="s">
        <v>211</v>
      </c>
      <c r="I25" s="87">
        <v>0.9</v>
      </c>
      <c r="J25" s="83" t="s">
        <v>321</v>
      </c>
      <c r="K25" s="87">
        <v>0.1</v>
      </c>
      <c r="L25" s="83"/>
      <c r="M25" s="87"/>
      <c r="N25" s="85"/>
      <c r="O25" s="86"/>
      <c r="P25"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49.635000000000005</v>
      </c>
      <c r="Q25" s="72" t="s">
        <v>317</v>
      </c>
      <c r="R25" s="72" t="s">
        <v>317</v>
      </c>
    </row>
    <row r="26" spans="1:24" ht="36" customHeight="1" x14ac:dyDescent="0.25">
      <c r="A26"/>
    </row>
    <row r="27" spans="1:24" ht="20.100000000000001" customHeight="1" x14ac:dyDescent="0.25">
      <c r="A27" s="222" t="s">
        <v>78</v>
      </c>
      <c r="D27" s="9" t="s">
        <v>833</v>
      </c>
      <c r="E27" s="7"/>
      <c r="F27" s="7"/>
      <c r="G27" s="7"/>
      <c r="H27" s="7"/>
      <c r="I27" s="7"/>
      <c r="J27" s="7"/>
      <c r="K27" s="14"/>
      <c r="L27" s="14"/>
      <c r="M27" s="14"/>
    </row>
    <row r="28" spans="1:24" ht="20.100000000000001" customHeight="1" x14ac:dyDescent="0.25">
      <c r="A28" s="16" t="str">
        <f>HYPERLINK("#'Constants - Scope 3'!A1", "Constants - Scope 3")</f>
        <v>Constants - Scope 3</v>
      </c>
      <c r="D28" s="14"/>
      <c r="E28" s="14"/>
      <c r="F28" s="14"/>
      <c r="G28" s="14"/>
      <c r="H28" s="14"/>
      <c r="I28" s="14"/>
      <c r="J28" s="14"/>
      <c r="K28" s="14"/>
      <c r="L28" s="14"/>
      <c r="M28" s="7"/>
    </row>
    <row r="29" spans="1:24" ht="20.100000000000001" customHeight="1" x14ac:dyDescent="0.25">
      <c r="A29" s="16" t="str">
        <f>HYPERLINK("#'Constants - Solid Waste'!A1", "Constants - Solid Waste")</f>
        <v>Constants - Solid Waste</v>
      </c>
      <c r="D29" s="39" t="s">
        <v>214</v>
      </c>
      <c r="E29" s="40"/>
      <c r="F29" s="41"/>
      <c r="G29" s="39"/>
      <c r="H29" s="41"/>
      <c r="I29" s="7"/>
      <c r="J29" s="7"/>
      <c r="K29" s="14"/>
      <c r="L29" s="14"/>
      <c r="M29" s="14"/>
    </row>
    <row r="30" spans="1:24" ht="20.100000000000001" customHeight="1" x14ac:dyDescent="0.25">
      <c r="A30" s="16" t="str">
        <f>HYPERLINK("#'Constants - Fuel'!A1", "Constants - Fuel")</f>
        <v>Constants - Fuel</v>
      </c>
      <c r="D30" s="88" t="s">
        <v>215</v>
      </c>
      <c r="E30" s="89"/>
      <c r="F30" s="90"/>
      <c r="G30" s="88"/>
      <c r="H30" s="90"/>
      <c r="I30" s="14"/>
      <c r="J30" s="14"/>
      <c r="K30" s="14"/>
      <c r="L30" s="14"/>
      <c r="M30" s="7"/>
    </row>
    <row r="31" spans="1:24" ht="20.100000000000001" customHeight="1" x14ac:dyDescent="0.25">
      <c r="A31" s="16" t="str">
        <f>HYPERLINK("#'Constants - Poultry'!A1", "Constants - Poultry")</f>
        <v>Constants - Poultry</v>
      </c>
      <c r="D31" s="43" t="s">
        <v>201</v>
      </c>
      <c r="E31" s="44"/>
      <c r="F31" s="44"/>
      <c r="G31" s="44"/>
      <c r="H31" s="45"/>
      <c r="I31" s="14"/>
      <c r="J31" s="14"/>
      <c r="K31" s="14"/>
      <c r="L31" s="14"/>
      <c r="M31" s="7"/>
    </row>
    <row r="32" spans="1:24" ht="20.100000000000001" customHeight="1" x14ac:dyDescent="0.25">
      <c r="A32" s="16" t="str">
        <f>HYPERLINK("#'Constants - Swine'!A1", "Constants - Swine")</f>
        <v>Constants - Swine</v>
      </c>
      <c r="D32" s="54" t="str">
        <f>IF(MAX(Table_Input_Lime[Total]) &gt; 1, "There can not be more than 100% ingredients in a product. Check the table below.", "")</f>
        <v/>
      </c>
    </row>
    <row r="33" spans="1:25" ht="36" customHeight="1" x14ac:dyDescent="0.25">
      <c r="A33" s="16" t="str">
        <f>HYPERLINK("#'Constants - Dairy'!A1", "Constants - Dairy")</f>
        <v>Constants - Dairy</v>
      </c>
      <c r="D33" s="91" t="s">
        <v>216</v>
      </c>
      <c r="E33" s="91" t="s">
        <v>217</v>
      </c>
      <c r="F33" s="91" t="s">
        <v>204</v>
      </c>
      <c r="G33" s="91" t="s">
        <v>218</v>
      </c>
      <c r="H33" s="91" t="s">
        <v>219</v>
      </c>
      <c r="I33" s="91" t="s">
        <v>220</v>
      </c>
      <c r="J33" s="91" t="s">
        <v>221</v>
      </c>
      <c r="K33" s="91" t="s">
        <v>222</v>
      </c>
      <c r="Y33" s="3"/>
    </row>
    <row r="34" spans="1:25" ht="36" customHeight="1" x14ac:dyDescent="0.25">
      <c r="A34" s="16" t="str">
        <f>HYPERLINK("#'Constants - Pasture Beef'!A1", "Constants - Pasture Beef")</f>
        <v>Constants - Pasture Beef</v>
      </c>
      <c r="D34" s="92" t="s">
        <v>223</v>
      </c>
      <c r="E34" s="73">
        <v>100</v>
      </c>
      <c r="F34" s="73">
        <f>X_Cell_Fertiliser_AreaUnderCropping</f>
        <v>100</v>
      </c>
      <c r="G34" s="74">
        <f>IFERROR(Table_Input_Lime[[#This Row],[Amount applied (t/hectare)]]*Table_Input_Lime[[#This Row],[Application area (ha)]], 0)</f>
        <v>10000</v>
      </c>
      <c r="H34" s="86">
        <v>0.4</v>
      </c>
      <c r="I34" s="86">
        <v>0.3</v>
      </c>
      <c r="J34" s="86">
        <v>0.25</v>
      </c>
      <c r="K34" s="93">
        <f>SUM(Table_Input_Lime[[#This Row],[Percent Lime CaCO3]:[Percent Gypsum]])</f>
        <v>0.95</v>
      </c>
      <c r="Y34" s="3"/>
    </row>
    <row r="35" spans="1:25" ht="36" customHeight="1" x14ac:dyDescent="0.25">
      <c r="A35" s="16" t="str">
        <f>HYPERLINK("#'Constants - Common Livestock'!A1", "Constants - Common Livestock")</f>
        <v>Constants - Common Livestock</v>
      </c>
      <c r="D35" s="92" t="s">
        <v>224</v>
      </c>
      <c r="E35" s="73">
        <v>100</v>
      </c>
      <c r="F35" s="73">
        <f>X_Cell_Fertiliser_AreaUnderCropping</f>
        <v>100</v>
      </c>
      <c r="G35" s="74">
        <f>IFERROR(Table_Input_Lime[[#This Row],[Amount applied (t/hectare)]]*Table_Input_Lime[[#This Row],[Application area (ha)]], 0)</f>
        <v>10000</v>
      </c>
      <c r="H35" s="86">
        <v>1</v>
      </c>
      <c r="I35" s="86"/>
      <c r="J35" s="86"/>
      <c r="K35" s="93">
        <f>SUM(Table_Input_Lime[[#This Row],[Percent Lime CaCO3]:[Percent Gypsum]])</f>
        <v>1</v>
      </c>
      <c r="Y35" s="3"/>
    </row>
    <row r="36" spans="1:25" ht="36" customHeight="1" x14ac:dyDescent="0.25">
      <c r="A36" s="16" t="str">
        <f>HYPERLINK("#'Constants - Fertiliser'!A1", "Constants - Fertiliser")</f>
        <v>Constants - Fertiliser</v>
      </c>
      <c r="D36" s="14"/>
      <c r="E36" s="14"/>
      <c r="F36" s="14"/>
      <c r="G36" s="14"/>
      <c r="H36" s="14"/>
      <c r="I36" s="14"/>
      <c r="J36" s="14"/>
      <c r="L36" s="7"/>
      <c r="M36" s="7"/>
    </row>
    <row r="37" spans="1:25" ht="20.100000000000001" customHeight="1" x14ac:dyDescent="0.25">
      <c r="A37" s="16" t="str">
        <f>HYPERLINK("#'Constants - Electricity'!A1", "Constants - Electricity")</f>
        <v>Constants - Electricity</v>
      </c>
      <c r="D37" s="14"/>
      <c r="E37" s="14"/>
      <c r="F37" s="14"/>
      <c r="G37" s="14"/>
      <c r="H37" s="14"/>
      <c r="I37" s="14"/>
      <c r="J37" s="94"/>
      <c r="K37" s="7"/>
      <c r="L37" s="7"/>
      <c r="M37" s="7"/>
    </row>
    <row r="38" spans="1:25" ht="20.100000000000001" customHeight="1" x14ac:dyDescent="0.25">
      <c r="A38" s="16" t="str">
        <f>HYPERLINK("#'Constants - Common'!A1", "Constants - Common")</f>
        <v>Constants - Common</v>
      </c>
      <c r="C38" s="51"/>
      <c r="L38" s="14"/>
      <c r="M38" s="14"/>
    </row>
    <row r="39" spans="1:25" ht="20.100000000000001" customHeight="1" x14ac:dyDescent="0.25">
      <c r="A39"/>
      <c r="C39" s="51"/>
      <c r="L39" s="14"/>
      <c r="M39" s="14"/>
    </row>
    <row r="40" spans="1:25" s="52" customFormat="1" ht="20.100000000000001" customHeight="1" x14ac:dyDescent="0.25">
      <c r="A40"/>
      <c r="C40" s="8"/>
      <c r="D40" s="8"/>
      <c r="E40" s="8"/>
      <c r="F40" s="8"/>
      <c r="G40" s="8"/>
      <c r="H40" s="8"/>
      <c r="I40" s="8"/>
      <c r="J40" s="8"/>
      <c r="K40" s="8"/>
      <c r="L40" s="14"/>
      <c r="M40" s="14"/>
      <c r="N40" s="8"/>
      <c r="O40" s="8"/>
      <c r="P40" s="8"/>
      <c r="Q40" s="51"/>
      <c r="R40" s="51"/>
      <c r="S40" s="51"/>
      <c r="T40" s="8"/>
      <c r="U40" s="8"/>
      <c r="V40" s="8"/>
      <c r="W40" s="8"/>
      <c r="X40" s="8"/>
      <c r="Y40" s="8"/>
    </row>
    <row r="41" spans="1:25" s="52" customFormat="1" ht="20.100000000000001" customHeight="1" x14ac:dyDescent="0.25">
      <c r="A41"/>
      <c r="C41" s="8"/>
      <c r="D41" s="8"/>
      <c r="E41" s="8"/>
      <c r="F41" s="8"/>
      <c r="G41" s="8"/>
      <c r="H41" s="8"/>
      <c r="I41" s="8"/>
      <c r="J41" s="8"/>
      <c r="K41" s="8"/>
      <c r="L41" s="14"/>
      <c r="M41" s="14"/>
      <c r="N41" s="8"/>
      <c r="O41" s="51"/>
      <c r="P41" s="51"/>
      <c r="Q41" s="51"/>
      <c r="R41" s="51"/>
      <c r="S41" s="51"/>
      <c r="T41" s="8"/>
      <c r="U41" s="8"/>
      <c r="V41" s="8"/>
      <c r="W41" s="8"/>
      <c r="X41" s="8"/>
      <c r="Y41" s="8"/>
    </row>
    <row r="42" spans="1:25" ht="20.100000000000001" customHeight="1" x14ac:dyDescent="0.25">
      <c r="A42"/>
      <c r="L42" s="14"/>
      <c r="M42" s="51"/>
      <c r="N42" s="51"/>
      <c r="O42" s="51"/>
      <c r="P42" s="51"/>
    </row>
    <row r="43" spans="1:25" ht="36" customHeight="1" x14ac:dyDescent="0.25">
      <c r="A43"/>
      <c r="L43" s="81"/>
      <c r="M43" s="51"/>
      <c r="N43" s="51"/>
    </row>
    <row r="44" spans="1:25" ht="36" customHeight="1" x14ac:dyDescent="0.25">
      <c r="A44"/>
      <c r="L44" s="81"/>
    </row>
    <row r="45" spans="1:25" ht="36" customHeight="1" x14ac:dyDescent="0.25">
      <c r="A45"/>
    </row>
    <row r="46" spans="1:25" ht="36" customHeight="1" x14ac:dyDescent="0.25">
      <c r="A46"/>
    </row>
    <row r="47" spans="1:25" ht="20.100000000000001" customHeight="1" x14ac:dyDescent="0.25">
      <c r="A47"/>
    </row>
    <row r="48" spans="1:25"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3" ht="20.100000000000001" customHeight="1" x14ac:dyDescent="0.25">
      <c r="A97"/>
    </row>
    <row r="98" spans="1:13" ht="20.100000000000001" customHeight="1" x14ac:dyDescent="0.25">
      <c r="A98"/>
    </row>
    <row r="99" spans="1:13" ht="20.100000000000001" customHeight="1" x14ac:dyDescent="0.25">
      <c r="A99"/>
    </row>
    <row r="100" spans="1:13" ht="20.100000000000001" customHeight="1" x14ac:dyDescent="0.25">
      <c r="A100"/>
    </row>
    <row r="101" spans="1:13" ht="20.100000000000001" customHeight="1" x14ac:dyDescent="0.25">
      <c r="A101"/>
    </row>
    <row r="102" spans="1:13" ht="20.100000000000001" customHeight="1" x14ac:dyDescent="0.25">
      <c r="A102"/>
    </row>
    <row r="103" spans="1:13" ht="20.100000000000001" customHeight="1" x14ac:dyDescent="0.25">
      <c r="A103"/>
    </row>
    <row r="104" spans="1:13" ht="20.100000000000001" customHeight="1" x14ac:dyDescent="0.25">
      <c r="A104"/>
    </row>
    <row r="105" spans="1:13" ht="20.100000000000001" customHeight="1" x14ac:dyDescent="0.25">
      <c r="A105"/>
    </row>
    <row r="106" spans="1:13" ht="20.100000000000001" customHeight="1" x14ac:dyDescent="0.25">
      <c r="A106"/>
    </row>
    <row r="107" spans="1:13" ht="20.100000000000001" customHeight="1" x14ac:dyDescent="0.25">
      <c r="A107"/>
    </row>
    <row r="108" spans="1:13" ht="20.100000000000001" customHeight="1" x14ac:dyDescent="0.25">
      <c r="A108"/>
    </row>
    <row r="109" spans="1:13" ht="20.100000000000001" customHeight="1" x14ac:dyDescent="0.25">
      <c r="A109"/>
    </row>
    <row r="110" spans="1:13" ht="20.100000000000001" customHeight="1" x14ac:dyDescent="0.25">
      <c r="A110"/>
    </row>
    <row r="111" spans="1:13" ht="20.100000000000001" customHeight="1" x14ac:dyDescent="0.25">
      <c r="A111"/>
      <c r="M111" s="7"/>
    </row>
    <row r="112" spans="1:13" ht="20.100000000000001" customHeight="1" x14ac:dyDescent="0.25">
      <c r="A112"/>
      <c r="M112" s="7"/>
    </row>
    <row r="113" spans="1:13" ht="20.100000000000001" customHeight="1" x14ac:dyDescent="0.25">
      <c r="A113"/>
      <c r="M113" s="7"/>
    </row>
    <row r="114" spans="1:13" ht="20.100000000000001" customHeight="1" x14ac:dyDescent="0.25">
      <c r="A114"/>
      <c r="M114" s="7"/>
    </row>
    <row r="115" spans="1:13" ht="20.100000000000001" customHeight="1" x14ac:dyDescent="0.25">
      <c r="A115"/>
      <c r="M115" s="7"/>
    </row>
    <row r="116" spans="1:13" ht="20.100000000000001" customHeight="1" x14ac:dyDescent="0.25">
      <c r="A116"/>
      <c r="M116" s="7"/>
    </row>
    <row r="117" spans="1:13" ht="20.100000000000001" customHeight="1" x14ac:dyDescent="0.25">
      <c r="A117"/>
      <c r="M117" s="7"/>
    </row>
    <row r="118" spans="1:13" ht="20.100000000000001" customHeight="1" x14ac:dyDescent="0.25">
      <c r="A118"/>
      <c r="M118" s="7"/>
    </row>
    <row r="119" spans="1:13" ht="20.100000000000001" customHeight="1" x14ac:dyDescent="0.25">
      <c r="A119"/>
      <c r="M119" s="7"/>
    </row>
    <row r="120" spans="1:13" ht="20.100000000000001" customHeight="1" x14ac:dyDescent="0.25">
      <c r="A120"/>
      <c r="M120" s="7"/>
    </row>
    <row r="121" spans="1:13" ht="20.100000000000001" customHeight="1" x14ac:dyDescent="0.25">
      <c r="A121"/>
      <c r="M121" s="7"/>
    </row>
    <row r="122" spans="1:13" ht="20.100000000000001" customHeight="1" x14ac:dyDescent="0.25">
      <c r="A122"/>
      <c r="M122" s="7"/>
    </row>
    <row r="123" spans="1:13" ht="20.100000000000001" customHeight="1" x14ac:dyDescent="0.25">
      <c r="A123"/>
      <c r="M123" s="7"/>
    </row>
    <row r="124" spans="1:13" ht="20.100000000000001" customHeight="1" x14ac:dyDescent="0.25">
      <c r="A124"/>
      <c r="M124" s="7"/>
    </row>
    <row r="125" spans="1:13" ht="20.100000000000001" customHeight="1" x14ac:dyDescent="0.25">
      <c r="A125"/>
      <c r="M125" s="7"/>
    </row>
    <row r="126" spans="1:13" ht="20.100000000000001" customHeight="1" x14ac:dyDescent="0.25">
      <c r="A126"/>
      <c r="M126" s="7"/>
    </row>
    <row r="127" spans="1:13" ht="20.100000000000001" customHeight="1" x14ac:dyDescent="0.25">
      <c r="A127"/>
      <c r="M127" s="7"/>
    </row>
    <row r="128" spans="1:13" ht="20.100000000000001" customHeight="1" x14ac:dyDescent="0.25">
      <c r="A128"/>
      <c r="M128" s="7"/>
    </row>
    <row r="129" spans="1:13" ht="20.100000000000001" customHeight="1" x14ac:dyDescent="0.25">
      <c r="A129"/>
      <c r="M129" s="7"/>
    </row>
    <row r="130" spans="1:13" ht="20.100000000000001" customHeight="1" x14ac:dyDescent="0.25">
      <c r="A130"/>
      <c r="M130" s="7"/>
    </row>
    <row r="131" spans="1:13" ht="20.100000000000001" customHeight="1" x14ac:dyDescent="0.25">
      <c r="A131"/>
      <c r="M131" s="7"/>
    </row>
    <row r="132" spans="1:13" ht="20.100000000000001" customHeight="1" x14ac:dyDescent="0.25">
      <c r="A132"/>
      <c r="M132" s="7"/>
    </row>
    <row r="133" spans="1:13" ht="20.100000000000001" customHeight="1" x14ac:dyDescent="0.25">
      <c r="A133"/>
    </row>
    <row r="134" spans="1:13" ht="20.100000000000001" customHeight="1" x14ac:dyDescent="0.25">
      <c r="A134"/>
    </row>
    <row r="135" spans="1:13" ht="20.100000000000001" customHeight="1" x14ac:dyDescent="0.25">
      <c r="A135"/>
    </row>
    <row r="136" spans="1:13" ht="20.100000000000001" customHeight="1" x14ac:dyDescent="0.25">
      <c r="A136"/>
    </row>
    <row r="137" spans="1:13" ht="20.100000000000001" customHeight="1" x14ac:dyDescent="0.25">
      <c r="A137"/>
    </row>
    <row r="138" spans="1:13" ht="20.100000000000001" customHeight="1" x14ac:dyDescent="0.25">
      <c r="A138"/>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65"/>
    </row>
    <row r="211" spans="12:12" x14ac:dyDescent="0.25">
      <c r="L211" s="65"/>
    </row>
    <row r="212" spans="12:12" x14ac:dyDescent="0.25">
      <c r="L212" s="65"/>
    </row>
    <row r="213" spans="12:12" x14ac:dyDescent="0.25">
      <c r="L213" s="65"/>
    </row>
    <row r="214" spans="12:12" x14ac:dyDescent="0.25">
      <c r="L214" s="65"/>
    </row>
    <row r="216" spans="12:12" x14ac:dyDescent="0.25">
      <c r="L216" s="65"/>
    </row>
    <row r="218" spans="12:12" x14ac:dyDescent="0.25">
      <c r="L218" s="65"/>
    </row>
    <row r="219" spans="12:12" x14ac:dyDescent="0.25">
      <c r="L219" s="65"/>
    </row>
    <row r="220" spans="12:12" x14ac:dyDescent="0.25">
      <c r="L220" s="65"/>
    </row>
    <row r="221" spans="12:12" x14ac:dyDescent="0.25">
      <c r="L221" s="65"/>
    </row>
    <row r="223" spans="12:12" x14ac:dyDescent="0.25">
      <c r="L223" s="65"/>
    </row>
    <row r="231" spans="12:12" x14ac:dyDescent="0.25">
      <c r="L231" s="65"/>
    </row>
    <row r="232" spans="12:12" x14ac:dyDescent="0.25">
      <c r="L232" s="65"/>
    </row>
    <row r="233" spans="12:12" x14ac:dyDescent="0.25">
      <c r="L233" s="65"/>
    </row>
    <row r="236" spans="12:12" x14ac:dyDescent="0.25">
      <c r="L236" s="65"/>
    </row>
    <row r="237" spans="12:12" x14ac:dyDescent="0.25">
      <c r="L237" s="65"/>
    </row>
    <row r="238" spans="12:12" x14ac:dyDescent="0.25">
      <c r="L238" s="65"/>
    </row>
    <row r="241" spans="11:12" x14ac:dyDescent="0.25">
      <c r="L241" s="65"/>
    </row>
    <row r="242" spans="11:12" x14ac:dyDescent="0.25">
      <c r="L242" s="65"/>
    </row>
    <row r="243" spans="11:12" x14ac:dyDescent="0.25">
      <c r="L243" s="65"/>
    </row>
    <row r="246" spans="11:12" x14ac:dyDescent="0.25">
      <c r="L246" s="65"/>
    </row>
    <row r="247" spans="11:12" x14ac:dyDescent="0.25">
      <c r="K247" s="65"/>
      <c r="L247" s="65"/>
    </row>
    <row r="248" spans="11:12" x14ac:dyDescent="0.25">
      <c r="L248" s="65"/>
    </row>
    <row r="252" spans="11:12" x14ac:dyDescent="0.25">
      <c r="K252" s="65"/>
    </row>
    <row r="255" spans="11:12" x14ac:dyDescent="0.25">
      <c r="L255" s="65"/>
    </row>
    <row r="256" spans="11:12" x14ac:dyDescent="0.25">
      <c r="L256" s="65"/>
    </row>
    <row r="257" spans="11:12" x14ac:dyDescent="0.25">
      <c r="K257" s="65"/>
      <c r="L257" s="65"/>
    </row>
    <row r="260" spans="11:12" x14ac:dyDescent="0.25">
      <c r="L260" s="65"/>
    </row>
    <row r="261" spans="11:12" x14ac:dyDescent="0.25">
      <c r="L261" s="65"/>
    </row>
    <row r="262" spans="11:12" x14ac:dyDescent="0.25">
      <c r="K262" s="65"/>
      <c r="L262" s="65"/>
    </row>
    <row r="263" spans="11:12" x14ac:dyDescent="0.25">
      <c r="K263" s="65"/>
    </row>
    <row r="264" spans="11:12" x14ac:dyDescent="0.25">
      <c r="K264" s="65"/>
    </row>
    <row r="265" spans="11:12" x14ac:dyDescent="0.25">
      <c r="K265" s="65"/>
      <c r="L265" s="65"/>
    </row>
    <row r="266" spans="11:12" x14ac:dyDescent="0.25">
      <c r="K266" s="65"/>
      <c r="L266" s="65"/>
    </row>
    <row r="267" spans="11:12" x14ac:dyDescent="0.25">
      <c r="L267" s="65"/>
    </row>
    <row r="268" spans="11:12" x14ac:dyDescent="0.25">
      <c r="K268" s="65"/>
    </row>
    <row r="270" spans="11:12" x14ac:dyDescent="0.25">
      <c r="K270" s="65"/>
      <c r="L270" s="65"/>
    </row>
    <row r="271" spans="11:12" x14ac:dyDescent="0.25">
      <c r="K271" s="65"/>
      <c r="L271" s="65"/>
    </row>
    <row r="272" spans="11:12" x14ac:dyDescent="0.25">
      <c r="K272" s="65"/>
      <c r="L272" s="65"/>
    </row>
    <row r="273" spans="11:11" x14ac:dyDescent="0.25">
      <c r="K273" s="65"/>
    </row>
    <row r="275" spans="11:11" x14ac:dyDescent="0.25">
      <c r="K275" s="65"/>
    </row>
    <row r="281" spans="11:11" x14ac:dyDescent="0.25">
      <c r="K281" s="65"/>
    </row>
    <row r="286" spans="11:11" x14ac:dyDescent="0.25">
      <c r="K286" s="65"/>
    </row>
    <row r="291" spans="11:11" x14ac:dyDescent="0.25">
      <c r="K291" s="65"/>
    </row>
    <row r="296" spans="11:11" x14ac:dyDescent="0.25">
      <c r="K296" s="65"/>
    </row>
    <row r="297" spans="11:11" x14ac:dyDescent="0.25">
      <c r="K297" s="65"/>
    </row>
    <row r="298" spans="11:11" x14ac:dyDescent="0.25">
      <c r="K298" s="65"/>
    </row>
    <row r="299" spans="11:11" x14ac:dyDescent="0.25">
      <c r="K299" s="65"/>
    </row>
    <row r="300" spans="11:11" x14ac:dyDescent="0.25">
      <c r="K300" s="65"/>
    </row>
    <row r="302" spans="11:11" x14ac:dyDescent="0.25">
      <c r="K302" s="65"/>
    </row>
    <row r="304" spans="11:11" x14ac:dyDescent="0.25">
      <c r="K304" s="65"/>
    </row>
    <row r="305" spans="11:11" x14ac:dyDescent="0.25">
      <c r="K305" s="65"/>
    </row>
    <row r="306" spans="11:11" x14ac:dyDescent="0.25">
      <c r="K306" s="65"/>
    </row>
    <row r="307" spans="11:11" x14ac:dyDescent="0.25">
      <c r="K307" s="65"/>
    </row>
    <row r="309" spans="11:11" x14ac:dyDescent="0.25">
      <c r="K309" s="65"/>
    </row>
    <row r="317" spans="11:11" x14ac:dyDescent="0.25">
      <c r="K317" s="65"/>
    </row>
    <row r="318" spans="11:11" x14ac:dyDescent="0.25">
      <c r="K318" s="65"/>
    </row>
    <row r="319" spans="11:11" x14ac:dyDescent="0.25">
      <c r="K319" s="65"/>
    </row>
    <row r="322" spans="11:11" x14ac:dyDescent="0.25">
      <c r="K322" s="65"/>
    </row>
    <row r="323" spans="11:11" x14ac:dyDescent="0.25">
      <c r="K323" s="65"/>
    </row>
    <row r="324" spans="11:11" x14ac:dyDescent="0.25">
      <c r="K324" s="65"/>
    </row>
    <row r="327" spans="11:11" x14ac:dyDescent="0.25">
      <c r="K327" s="65"/>
    </row>
    <row r="328" spans="11:11" x14ac:dyDescent="0.25">
      <c r="K328" s="65"/>
    </row>
    <row r="329" spans="11:11" x14ac:dyDescent="0.25">
      <c r="K329" s="65"/>
    </row>
    <row r="332" spans="11:11" x14ac:dyDescent="0.25">
      <c r="K332" s="65"/>
    </row>
    <row r="333" spans="11:11" x14ac:dyDescent="0.25">
      <c r="K333" s="65"/>
    </row>
    <row r="334" spans="11:11" x14ac:dyDescent="0.25">
      <c r="K334" s="65"/>
    </row>
    <row r="341" spans="11:11" x14ac:dyDescent="0.25">
      <c r="K341" s="65"/>
    </row>
    <row r="342" spans="11:11" x14ac:dyDescent="0.25">
      <c r="K342" s="65"/>
    </row>
    <row r="343" spans="11:11" x14ac:dyDescent="0.25">
      <c r="K343" s="65"/>
    </row>
    <row r="346" spans="11:11" x14ac:dyDescent="0.25">
      <c r="K346" s="65"/>
    </row>
    <row r="347" spans="11:11" x14ac:dyDescent="0.25">
      <c r="K347" s="65"/>
    </row>
    <row r="348" spans="11:11" x14ac:dyDescent="0.25">
      <c r="K348" s="65"/>
    </row>
    <row r="351" spans="11:11" x14ac:dyDescent="0.25">
      <c r="K351" s="65"/>
    </row>
    <row r="352" spans="11:11" x14ac:dyDescent="0.25">
      <c r="K352" s="65"/>
    </row>
    <row r="353" spans="4:11" x14ac:dyDescent="0.25">
      <c r="K353" s="65"/>
    </row>
    <row r="356" spans="4:11" x14ac:dyDescent="0.25">
      <c r="K356" s="65"/>
    </row>
    <row r="357" spans="4:11" x14ac:dyDescent="0.25">
      <c r="K357" s="65"/>
    </row>
    <row r="358" spans="4:11" x14ac:dyDescent="0.25">
      <c r="K358" s="65"/>
    </row>
    <row r="361" spans="4:11" x14ac:dyDescent="0.25">
      <c r="D361" s="54"/>
    </row>
  </sheetData>
  <phoneticPr fontId="53" type="noConversion"/>
  <conditionalFormatting sqref="F126:F127">
    <cfRule type="cellIs" dxfId="82" priority="17" operator="lessThan">
      <formula>0</formula>
    </cfRule>
  </conditionalFormatting>
  <conditionalFormatting sqref="F138:F139">
    <cfRule type="cellIs" dxfId="81" priority="16" operator="lessThan">
      <formula>0</formula>
    </cfRule>
  </conditionalFormatting>
  <conditionalFormatting sqref="F150:F151">
    <cfRule type="cellIs" dxfId="80" priority="15" operator="lessThan">
      <formula>0</formula>
    </cfRule>
  </conditionalFormatting>
  <conditionalFormatting sqref="F162:F163">
    <cfRule type="cellIs" dxfId="79" priority="14" operator="lessThan">
      <formula>0</formula>
    </cfRule>
  </conditionalFormatting>
  <conditionalFormatting sqref="F250:F251">
    <cfRule type="cellIs" dxfId="78" priority="27" operator="lessThan">
      <formula>0</formula>
    </cfRule>
  </conditionalFormatting>
  <conditionalFormatting sqref="F255:F256">
    <cfRule type="cellIs" dxfId="77" priority="26" operator="lessThan">
      <formula>0</formula>
    </cfRule>
  </conditionalFormatting>
  <conditionalFormatting sqref="F260:F261">
    <cfRule type="cellIs" dxfId="76" priority="25" operator="lessThan">
      <formula>0</formula>
    </cfRule>
  </conditionalFormatting>
  <conditionalFormatting sqref="F284:F285">
    <cfRule type="cellIs" dxfId="75" priority="24" operator="lessThan">
      <formula>0</formula>
    </cfRule>
  </conditionalFormatting>
  <conditionalFormatting sqref="F289:F290">
    <cfRule type="cellIs" dxfId="74" priority="23" operator="lessThan">
      <formula>0</formula>
    </cfRule>
  </conditionalFormatting>
  <conditionalFormatting sqref="F294:F295">
    <cfRule type="cellIs" dxfId="73" priority="22" operator="lessThan">
      <formula>0</formula>
    </cfRule>
  </conditionalFormatting>
  <conditionalFormatting sqref="I31 I41:I42 H43:H45 O44 N45 I46 I48:I50 I52:I53 I204:J204 E210:G210 I210:J210 K247 J248 K252 J253 K257 J258 K262:K266 J263:J267 K268 J269 K270:K273 J271:J274 K275 J276 K281 J282 K286 J287 K291 J292 K296:K300 J297:J301 K302 J303 K304:K307 J305:J308 K309 J310">
    <cfRule type="cellIs" dxfId="72" priority="21" operator="lessThan">
      <formula>0</formula>
    </cfRule>
  </conditionalFormatting>
  <conditionalFormatting sqref="I33:I37 F47 K184:L184 K188:L189 K192:L193 K198:L199 K202:L203 K209:L209">
    <cfRule type="cellIs" dxfId="71" priority="19" operator="lessThan">
      <formula>0</formula>
    </cfRule>
  </conditionalFormatting>
  <conditionalFormatting sqref="I57:I61">
    <cfRule type="cellIs" dxfId="70" priority="4" operator="lessThan">
      <formula>0</formula>
    </cfRule>
  </conditionalFormatting>
  <conditionalFormatting sqref="I65 M104 I124:J124">
    <cfRule type="cellIs" dxfId="69" priority="20" operator="lessThan">
      <formula>0</formula>
    </cfRule>
  </conditionalFormatting>
  <conditionalFormatting sqref="I76:I78">
    <cfRule type="cellIs" dxfId="68" priority="3" operator="lessThan">
      <formula>0</formula>
    </cfRule>
  </conditionalFormatting>
  <conditionalFormatting sqref="I82:I85">
    <cfRule type="cellIs" dxfId="67" priority="2" operator="lessThan">
      <formula>0</formula>
    </cfRule>
  </conditionalFormatting>
  <conditionalFormatting sqref="I89:I93">
    <cfRule type="cellIs" dxfId="66" priority="1" operator="lessThan">
      <formula>0</formula>
    </cfRule>
  </conditionalFormatting>
  <conditionalFormatting sqref="J152">
    <cfRule type="cellIs" dxfId="65" priority="18" operator="lessThan">
      <formula>0</formula>
    </cfRule>
  </conditionalFormatting>
  <conditionalFormatting sqref="L117:L120">
    <cfRule type="cellIs" dxfId="64" priority="8" operator="lessThan">
      <formula>0</formula>
    </cfRule>
  </conditionalFormatting>
  <conditionalFormatting sqref="L123">
    <cfRule type="cellIs" dxfId="63" priority="13" operator="lessThan">
      <formula>0</formula>
    </cfRule>
  </conditionalFormatting>
  <conditionalFormatting sqref="L129:L132">
    <cfRule type="cellIs" dxfId="62" priority="7" operator="lessThan">
      <formula>0</formula>
    </cfRule>
  </conditionalFormatting>
  <conditionalFormatting sqref="L135">
    <cfRule type="cellIs" dxfId="61" priority="12" operator="lessThan">
      <formula>0</formula>
    </cfRule>
  </conditionalFormatting>
  <conditionalFormatting sqref="L141:L144">
    <cfRule type="cellIs" dxfId="60" priority="6" operator="lessThan">
      <formula>0</formula>
    </cfRule>
  </conditionalFormatting>
  <conditionalFormatting sqref="L147">
    <cfRule type="cellIs" dxfId="59" priority="11" operator="lessThan">
      <formula>0</formula>
    </cfRule>
  </conditionalFormatting>
  <conditionalFormatting sqref="L153:L156">
    <cfRule type="cellIs" dxfId="58" priority="5" operator="lessThan">
      <formula>0</formula>
    </cfRule>
  </conditionalFormatting>
  <conditionalFormatting sqref="L159">
    <cfRule type="cellIs" dxfId="57" priority="10" operator="lessThan">
      <formula>0</formula>
    </cfRule>
  </conditionalFormatting>
  <conditionalFormatting sqref="L163:L164">
    <cfRule type="cellIs" dxfId="56" priority="9" operator="lessThan">
      <formula>0</formula>
    </cfRule>
  </conditionalFormatting>
  <conditionalFormatting sqref="L210:L214 L216 L218:L221 L223 J228:J230 J233:J235">
    <cfRule type="cellIs" dxfId="55" priority="28" operator="lessThan">
      <formula>0</formula>
    </cfRule>
  </conditionalFormatting>
  <dataValidations count="12">
    <dataValidation type="list" allowBlank="1" showInputMessage="1" showErrorMessage="1" sqref="D18:D20" xr:uid="{DFB1096D-C6F6-4F85-BE80-B4F0EFA04D5F}">
      <formula1>INDIRECT("FertiliserProducts[Product Name]")</formula1>
    </dataValidation>
    <dataValidation type="list" allowBlank="1" showInputMessage="1" showErrorMessage="1" sqref="D44:D45" xr:uid="{933F6C75-4F8D-4677-98CD-E5EE702A5D18}">
      <formula1>INDIRECT("Table_SourceData_OrganicFertiliserTypes[Organic fertiliser type]")</formula1>
    </dataValidation>
    <dataValidation type="list" allowBlank="1" showInputMessage="1" showErrorMessage="1" sqref="H24:H25 J24:J25 L24:L25 N24:N25"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4" xr:uid="{0C22F7DB-C841-4220-875C-77CE00E27B46}">
      <formula1>INDIRECT("Table_SourceData_Swine_CropProdSystems[Production system]")</formula1>
    </dataValidation>
    <dataValidation type="list" allowBlank="1" showInputMessage="1" showErrorMessage="1" sqref="E65" xr:uid="{1A26CE76-D0A3-489D-A86A-781AB458D170}">
      <formula1>INDIRECT("Table_SourceData_Swine_IrrigationMethods[Irrigation method]")</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4:R25" xr:uid="{BFE65A65-42AA-49AF-8F4F-A3B2D9836831}">
      <formula1>INDIRECT("Table_SourceData_Fertiliser_UreaAmmoniaSources[Source]")</formula1>
    </dataValidation>
  </dataValidations>
  <pageMargins left="0.7" right="0.7" top="0.75" bottom="0.75" header="0.3" footer="0.3"/>
  <pageSetup paperSize="9"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5" zoomScaleNormal="100" workbookViewId="0">
      <selection activeCell="D90" sqref="D90:H102"/>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37" t="e" vm="1">
        <v>#VALUE!</v>
      </c>
      <c r="C1" s="102" t="s">
        <v>871</v>
      </c>
      <c r="D1" s="4"/>
      <c r="E1" s="4"/>
      <c r="F1" s="4"/>
      <c r="G1" s="4"/>
      <c r="H1" s="4"/>
      <c r="I1" s="4"/>
      <c r="J1" s="4"/>
      <c r="K1" s="4"/>
      <c r="L1" s="4"/>
      <c r="M1" s="4"/>
      <c r="N1" s="4"/>
      <c r="O1" s="4"/>
      <c r="P1" s="4"/>
      <c r="Q1" s="4"/>
      <c r="R1" s="4"/>
      <c r="S1" s="4"/>
    </row>
    <row r="2" spans="1:19" ht="20.100000000000001" customHeight="1" x14ac:dyDescent="0.25">
      <c r="A2"/>
      <c r="C2" s="2"/>
      <c r="D2" s="2"/>
      <c r="E2" s="2"/>
      <c r="F2" s="2"/>
      <c r="G2" s="2"/>
      <c r="H2" s="2"/>
      <c r="I2" s="2"/>
      <c r="J2" s="2"/>
      <c r="K2" s="2"/>
      <c r="L2" s="2"/>
      <c r="M2" s="2"/>
      <c r="N2" s="2"/>
      <c r="O2" s="2"/>
      <c r="P2" s="2"/>
      <c r="Q2" s="2"/>
      <c r="R2" s="2"/>
      <c r="S2" s="2"/>
    </row>
    <row r="3" spans="1:19"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row>
    <row r="4" spans="1:19" ht="20.100000000000001" customHeight="1" x14ac:dyDescent="0.25">
      <c r="A4" s="16" t="str">
        <f>HYPERLINK("#'Results'!A1", "Results")</f>
        <v>Results</v>
      </c>
      <c r="C4" s="7"/>
      <c r="D4" s="7"/>
      <c r="E4" s="7"/>
      <c r="F4" s="7"/>
      <c r="G4" s="7"/>
      <c r="H4" s="7"/>
      <c r="I4" s="7"/>
      <c r="J4" s="7"/>
    </row>
    <row r="5" spans="1:19" ht="20.100000000000001" customHeight="1" x14ac:dyDescent="0.25">
      <c r="A5"/>
      <c r="C5" s="8"/>
      <c r="D5" s="9" t="s">
        <v>289</v>
      </c>
      <c r="E5" s="7"/>
      <c r="F5" s="7"/>
      <c r="G5" s="7"/>
      <c r="H5" s="7"/>
      <c r="I5" s="7"/>
      <c r="J5" s="7"/>
    </row>
    <row r="6" spans="1:19" ht="20.100000000000001" customHeight="1" x14ac:dyDescent="0.25">
      <c r="A6"/>
      <c r="C6" s="8"/>
    </row>
    <row r="7" spans="1:19" ht="20.100000000000001" customHeight="1" x14ac:dyDescent="0.25">
      <c r="A7" s="19" t="s">
        <v>67</v>
      </c>
      <c r="C7" s="8"/>
      <c r="D7" s="46" t="s">
        <v>170</v>
      </c>
      <c r="E7" s="46" t="s">
        <v>345</v>
      </c>
      <c r="F7" s="46" t="s">
        <v>348</v>
      </c>
    </row>
    <row r="8" spans="1:19" ht="20.100000000000001" customHeight="1" x14ac:dyDescent="0.25">
      <c r="A8" s="16" t="str">
        <f>HYPERLINK("#'Input - Site'!A1", "Site")</f>
        <v>Site</v>
      </c>
      <c r="C8" s="8"/>
      <c r="D8" s="82" t="s">
        <v>386</v>
      </c>
      <c r="E8" s="47" t="s">
        <v>347</v>
      </c>
      <c r="F8" s="66">
        <v>100</v>
      </c>
    </row>
    <row r="9" spans="1:19" ht="20.100000000000001" customHeight="1" x14ac:dyDescent="0.25">
      <c r="A9" s="16" t="str">
        <f>HYPERLINK("#'Input - Fuel'!A1", "Fuel")</f>
        <v>Fuel</v>
      </c>
      <c r="C9" s="8"/>
      <c r="D9" s="82" t="s">
        <v>385</v>
      </c>
      <c r="E9" s="149" t="s">
        <v>346</v>
      </c>
      <c r="F9" s="150">
        <v>100</v>
      </c>
    </row>
    <row r="10" spans="1:19" ht="20.100000000000001" customHeight="1" x14ac:dyDescent="0.25">
      <c r="A10" s="16" t="str">
        <f>HYPERLINK("#'Input - Fertiliser'!A1", "Fertiliser")</f>
        <v>Fertiliser</v>
      </c>
      <c r="D10" s="82" t="s">
        <v>290</v>
      </c>
      <c r="E10" s="149" t="s">
        <v>291</v>
      </c>
      <c r="F10" s="150">
        <v>100</v>
      </c>
    </row>
    <row r="11" spans="1:19" ht="20.100000000000001" customHeight="1" x14ac:dyDescent="0.25">
      <c r="A11" s="42" t="str">
        <f>HYPERLINK("#'Input - Farm Inputs'!A1", "Farm Inputs")</f>
        <v>Farm Inputs</v>
      </c>
      <c r="D11" s="82" t="s">
        <v>290</v>
      </c>
      <c r="E11" s="149" t="s">
        <v>291</v>
      </c>
      <c r="F11" s="150">
        <v>100</v>
      </c>
    </row>
    <row r="12" spans="1:19" ht="20.100000000000001" customHeight="1" x14ac:dyDescent="0.25">
      <c r="A12" s="16" t="str">
        <f>HYPERLINK("#'Input - Livestock purchases'!A1", "Livestock purchases")</f>
        <v>Livestock purchases</v>
      </c>
      <c r="C12" s="8"/>
      <c r="D12" s="82" t="s">
        <v>386</v>
      </c>
      <c r="E12" s="149" t="s">
        <v>347</v>
      </c>
      <c r="F12" s="150">
        <v>100</v>
      </c>
    </row>
    <row r="13" spans="1:19" ht="20.100000000000001" customHeight="1" x14ac:dyDescent="0.25">
      <c r="A13" s="16" t="str">
        <f>HYPERLINK("#'Input - Freight'!A1", "Freight")</f>
        <v>Freight</v>
      </c>
      <c r="C13" s="8"/>
      <c r="D13" s="82" t="s">
        <v>386</v>
      </c>
      <c r="E13" s="149" t="s">
        <v>347</v>
      </c>
      <c r="F13" s="150">
        <v>100</v>
      </c>
    </row>
    <row r="14" spans="1:19" ht="20.100000000000001" customHeight="1" x14ac:dyDescent="0.25">
      <c r="A14" s="16" t="str">
        <f>HYPERLINK("#'Input - Solid waste'!A1", "Solid waste")</f>
        <v>Solid waste</v>
      </c>
      <c r="D14" s="82"/>
      <c r="E14" s="47"/>
      <c r="F14" s="66"/>
    </row>
    <row r="15" spans="1:19" ht="20.100000000000001" customHeight="1" x14ac:dyDescent="0.25">
      <c r="A15" s="16" t="str">
        <f>HYPERLINK("#'Input - Manure sent off-site'!A1", "Manure sent off-site")</f>
        <v>Manure sent off-site</v>
      </c>
      <c r="D15" s="82"/>
      <c r="E15" s="47"/>
      <c r="F15" s="66"/>
    </row>
    <row r="16" spans="1:19" ht="20.100000000000001" customHeight="1" x14ac:dyDescent="0.25">
      <c r="A16" s="16" t="str">
        <f>HYPERLINK("#'Input - Electricity'!A1", "Electricity")</f>
        <v>Electricity</v>
      </c>
      <c r="D16" s="82"/>
      <c r="E16" s="47"/>
      <c r="F16" s="66"/>
    </row>
    <row r="17" spans="1:10" ht="20.100000000000001" customHeight="1" x14ac:dyDescent="0.25">
      <c r="A17"/>
      <c r="C17" s="8"/>
      <c r="D17" s="82"/>
      <c r="E17" s="47"/>
      <c r="F17" s="66"/>
    </row>
    <row r="18" spans="1:10" ht="20.100000000000001" customHeight="1" x14ac:dyDescent="0.25">
      <c r="A18"/>
      <c r="C18" s="8"/>
    </row>
    <row r="19" spans="1:10" ht="20.100000000000001" customHeight="1" x14ac:dyDescent="0.25">
      <c r="A19" s="21" t="s">
        <v>77</v>
      </c>
    </row>
    <row r="20" spans="1:10" ht="20.100000000000001" customHeight="1" x14ac:dyDescent="0.25">
      <c r="A20" s="16" t="str">
        <f>HYPERLINK("#'15 Scope 3'!A1", "15 Scope 3")</f>
        <v>15 Scope 3</v>
      </c>
      <c r="D20" s="9" t="s">
        <v>609</v>
      </c>
    </row>
    <row r="21" spans="1:10" ht="20.100000000000001" customHeight="1" x14ac:dyDescent="0.25">
      <c r="A21" s="16" t="str">
        <f>HYPERLINK("#'10.1.1-2 Solid waste treatment'!A1", "10.1.1-2 Solid waste treatment")</f>
        <v>10.1.1-2 Solid waste treatment</v>
      </c>
      <c r="D21" s="12"/>
      <c r="I21" s="7"/>
      <c r="J21" s="7"/>
    </row>
    <row r="22" spans="1:10" ht="20.100000000000001" customHeight="1" x14ac:dyDescent="0.25">
      <c r="A22" s="16" t="str">
        <f>HYPERLINK("#'Calcs - Manure sent off-site'!A1", "Calcs - Manure sent off-site")</f>
        <v>Calcs - Manure sent off-site</v>
      </c>
      <c r="D22" s="164" t="s">
        <v>610</v>
      </c>
      <c r="E22" s="164" t="s">
        <v>619</v>
      </c>
      <c r="F22" s="164" t="s">
        <v>614</v>
      </c>
      <c r="G22" s="164" t="s">
        <v>126</v>
      </c>
    </row>
    <row r="23" spans="1:10" ht="20.100000000000001" customHeight="1" x14ac:dyDescent="0.25">
      <c r="A23" s="16" t="str">
        <f>HYPERLINK("#'8.1.1.1-2 Transport fuel'!A1", "8.1.1.1-2 Transport fuel")</f>
        <v>8.1.1.1-2 Transport fuel</v>
      </c>
      <c r="D23" s="82" t="s">
        <v>611</v>
      </c>
      <c r="E23" s="82" t="s">
        <v>612</v>
      </c>
      <c r="F23" s="66">
        <v>10000</v>
      </c>
      <c r="G23" s="47" t="s">
        <v>616</v>
      </c>
    </row>
    <row r="24" spans="1:10" ht="20.100000000000001" customHeight="1" x14ac:dyDescent="0.25">
      <c r="A24" s="16" t="str">
        <f>HYPERLINK("#'8.2.1.1-2 Stationary fuel'!A1", "8.2.1.1-2 Stationary fuel")</f>
        <v>8.2.1.1-2 Stationary fuel</v>
      </c>
      <c r="D24" s="82" t="s">
        <v>613</v>
      </c>
      <c r="E24" s="82" t="s">
        <v>618</v>
      </c>
      <c r="F24" s="66">
        <v>1000</v>
      </c>
      <c r="G24" s="47" t="s">
        <v>617</v>
      </c>
    </row>
    <row r="25" spans="1:10" ht="20.100000000000001" customHeight="1" x14ac:dyDescent="0.25">
      <c r="A25"/>
      <c r="C25" s="8"/>
      <c r="D25" s="82"/>
      <c r="E25" s="82"/>
      <c r="F25" s="66"/>
      <c r="G25" s="47"/>
    </row>
    <row r="26" spans="1:10" ht="20.100000000000001" customHeight="1" x14ac:dyDescent="0.25">
      <c r="A26"/>
      <c r="C26" s="8"/>
      <c r="D26" s="82"/>
      <c r="E26" s="82"/>
      <c r="F26" s="66"/>
      <c r="G26" s="47"/>
    </row>
    <row r="27" spans="1:10" ht="20.100000000000001" customHeight="1" x14ac:dyDescent="0.25">
      <c r="A27" s="222" t="s">
        <v>78</v>
      </c>
      <c r="C27" s="8"/>
      <c r="D27" s="82"/>
      <c r="E27" s="82"/>
      <c r="F27" s="66"/>
      <c r="G27" s="47"/>
    </row>
    <row r="28" spans="1:10" ht="20.100000000000001" customHeight="1" x14ac:dyDescent="0.25">
      <c r="A28" s="16" t="str">
        <f>HYPERLINK("#'Constants - Scope 3'!A1", "Constants - Scope 3")</f>
        <v>Constants - Scope 3</v>
      </c>
      <c r="D28" s="82"/>
      <c r="E28" s="82"/>
      <c r="F28" s="66"/>
      <c r="G28" s="47"/>
    </row>
    <row r="29" spans="1:10" ht="20.100000000000001" customHeight="1" x14ac:dyDescent="0.25">
      <c r="A29" s="16" t="str">
        <f>HYPERLINK("#'Constants - Solid Waste'!A1", "Constants - Solid Waste")</f>
        <v>Constants - Solid Waste</v>
      </c>
      <c r="D29" s="82"/>
      <c r="E29" s="82"/>
      <c r="F29" s="66"/>
      <c r="G29" s="47"/>
    </row>
    <row r="30" spans="1:10" ht="20.100000000000001" customHeight="1" x14ac:dyDescent="0.25">
      <c r="A30" s="16" t="str">
        <f>HYPERLINK("#'Constants - Fuel'!A1", "Constants - Fuel")</f>
        <v>Constants - Fuel</v>
      </c>
      <c r="D30" s="82"/>
      <c r="E30" s="82"/>
      <c r="F30" s="66"/>
      <c r="G30" s="47"/>
    </row>
    <row r="31" spans="1:10" ht="20.100000000000001" customHeight="1" x14ac:dyDescent="0.25">
      <c r="A31" s="16" t="str">
        <f>HYPERLINK("#'Constants - Poultry'!A1", "Constants - Poultry")</f>
        <v>Constants - Poultry</v>
      </c>
      <c r="D31" s="82"/>
      <c r="E31" s="82"/>
      <c r="F31" s="66"/>
      <c r="G31" s="47"/>
    </row>
    <row r="32" spans="1:10" ht="20.100000000000001" customHeight="1" x14ac:dyDescent="0.25">
      <c r="A32" s="16" t="str">
        <f>HYPERLINK("#'Constants - Swine'!A1", "Constants - Swine")</f>
        <v>Constants - Swine</v>
      </c>
      <c r="D32" s="82"/>
      <c r="E32" s="82"/>
      <c r="F32" s="66"/>
      <c r="G32" s="47"/>
    </row>
    <row r="33" spans="1:6" ht="20.100000000000001" customHeight="1" x14ac:dyDescent="0.25">
      <c r="A33" s="16" t="str">
        <f>HYPERLINK("#'Constants - Dairy'!A1", "Constants - Dairy")</f>
        <v>Constants - Dairy</v>
      </c>
    </row>
    <row r="34" spans="1:6" ht="20.100000000000001" customHeight="1" x14ac:dyDescent="0.25">
      <c r="A34" s="16" t="str">
        <f>HYPERLINK("#'Constants - Pasture Beef'!A1", "Constants - Pasture Beef")</f>
        <v>Constants - Pasture Beef</v>
      </c>
    </row>
    <row r="35" spans="1:6" ht="20.100000000000001" customHeight="1" x14ac:dyDescent="0.25">
      <c r="A35" s="16" t="str">
        <f>HYPERLINK("#'Constants - Common Livestock'!A1", "Constants - Common Livestock")</f>
        <v>Constants - Common Livestock</v>
      </c>
      <c r="D35" s="9" t="s">
        <v>608</v>
      </c>
    </row>
    <row r="36" spans="1:6" ht="20.100000000000001" customHeight="1" x14ac:dyDescent="0.25">
      <c r="A36" s="16" t="str">
        <f>HYPERLINK("#'Constants - Fertiliser'!A1", "Constants - Fertiliser")</f>
        <v>Constants - Fertiliser</v>
      </c>
      <c r="D36" s="12"/>
    </row>
    <row r="37" spans="1:6" ht="20.100000000000001" customHeight="1" x14ac:dyDescent="0.25">
      <c r="A37" s="16" t="str">
        <f>HYPERLINK("#'Constants - Electricity'!A1", "Constants - Electricity")</f>
        <v>Constants - Electricity</v>
      </c>
      <c r="D37" s="46" t="s">
        <v>603</v>
      </c>
      <c r="E37" s="46" t="s">
        <v>602</v>
      </c>
      <c r="F37" s="46" t="s">
        <v>126</v>
      </c>
    </row>
    <row r="38" spans="1:6" ht="20.100000000000001" customHeight="1" x14ac:dyDescent="0.25">
      <c r="A38" s="16" t="str">
        <f>HYPERLINK("#'Constants - Common'!A1", "Constants - Common")</f>
        <v>Constants - Common</v>
      </c>
      <c r="D38" s="82" t="s">
        <v>704</v>
      </c>
      <c r="E38" s="66">
        <v>1000</v>
      </c>
      <c r="F38" s="82" t="s">
        <v>352</v>
      </c>
    </row>
    <row r="39" spans="1:6" ht="20.100000000000001" customHeight="1" x14ac:dyDescent="0.25">
      <c r="A39"/>
      <c r="D39" s="82"/>
      <c r="E39" s="66"/>
      <c r="F39" s="82"/>
    </row>
    <row r="40" spans="1:6" ht="20.100000000000001" customHeight="1" x14ac:dyDescent="0.25">
      <c r="A40"/>
      <c r="D40" s="82"/>
      <c r="E40" s="66"/>
      <c r="F40" s="82"/>
    </row>
    <row r="41" spans="1:6" ht="20.100000000000001" customHeight="1" x14ac:dyDescent="0.25">
      <c r="A41"/>
      <c r="D41" s="82"/>
      <c r="E41" s="66"/>
      <c r="F41" s="82"/>
    </row>
    <row r="42" spans="1:6" ht="20.100000000000001" customHeight="1" x14ac:dyDescent="0.25">
      <c r="A42"/>
      <c r="D42" s="82"/>
      <c r="E42" s="66"/>
      <c r="F42" s="82"/>
    </row>
    <row r="43" spans="1:6" ht="20.100000000000001" customHeight="1" x14ac:dyDescent="0.25">
      <c r="A43"/>
      <c r="D43" s="82"/>
      <c r="E43" s="66"/>
      <c r="F43" s="82"/>
    </row>
    <row r="44" spans="1:6" ht="20.100000000000001" customHeight="1" x14ac:dyDescent="0.25">
      <c r="A44"/>
      <c r="C44" s="8"/>
      <c r="D44" s="82"/>
      <c r="E44" s="66"/>
      <c r="F44" s="82"/>
    </row>
    <row r="45" spans="1:6" ht="20.100000000000001" customHeight="1" x14ac:dyDescent="0.25">
      <c r="A45"/>
      <c r="C45" s="8"/>
      <c r="D45" s="82"/>
      <c r="E45" s="66"/>
      <c r="F45" s="82"/>
    </row>
    <row r="46" spans="1:6" ht="20.100000000000001" customHeight="1" x14ac:dyDescent="0.25">
      <c r="A46"/>
      <c r="C46" s="8"/>
      <c r="D46" s="82"/>
      <c r="E46" s="66"/>
      <c r="F46" s="82"/>
    </row>
    <row r="47" spans="1:6" ht="20.100000000000001" customHeight="1" x14ac:dyDescent="0.25">
      <c r="A47"/>
      <c r="C47" s="8"/>
      <c r="D47" s="82"/>
      <c r="E47" s="66"/>
      <c r="F47" s="82"/>
    </row>
    <row r="48" spans="1:6" ht="20.100000000000001" customHeight="1" x14ac:dyDescent="0.25">
      <c r="A48"/>
      <c r="C48" s="8"/>
    </row>
    <row r="49" spans="1:3" ht="20.100000000000001" customHeight="1" x14ac:dyDescent="0.25">
      <c r="A49"/>
      <c r="C49" s="8"/>
    </row>
    <row r="50" spans="1:3" ht="20.100000000000001" customHeight="1" x14ac:dyDescent="0.25">
      <c r="A50"/>
    </row>
    <row r="51" spans="1:3" ht="20.100000000000001" customHeight="1" x14ac:dyDescent="0.25">
      <c r="A51"/>
    </row>
    <row r="52" spans="1:3" ht="20.100000000000001" customHeight="1" x14ac:dyDescent="0.25">
      <c r="A52"/>
    </row>
    <row r="53" spans="1:3" ht="20.100000000000001" customHeight="1" x14ac:dyDescent="0.25">
      <c r="A53"/>
    </row>
    <row r="54" spans="1:3" ht="20.100000000000001" customHeight="1" x14ac:dyDescent="0.25">
      <c r="A54"/>
    </row>
    <row r="55" spans="1:3" ht="20.100000000000001" customHeight="1" x14ac:dyDescent="0.25">
      <c r="A55"/>
    </row>
    <row r="56" spans="1:3" ht="20.100000000000001" customHeight="1" x14ac:dyDescent="0.25">
      <c r="A56"/>
    </row>
    <row r="57" spans="1:3" ht="20.100000000000001" customHeight="1" x14ac:dyDescent="0.25">
      <c r="A57"/>
    </row>
    <row r="58" spans="1:3" ht="20.100000000000001" customHeight="1" x14ac:dyDescent="0.25">
      <c r="A58"/>
    </row>
    <row r="59" spans="1:3" ht="20.100000000000001" customHeight="1" x14ac:dyDescent="0.25">
      <c r="A59"/>
    </row>
    <row r="60" spans="1:3" ht="20.100000000000001" customHeight="1" x14ac:dyDescent="0.25">
      <c r="A60"/>
    </row>
    <row r="61" spans="1:3" ht="20.100000000000001" customHeight="1" x14ac:dyDescent="0.25">
      <c r="A61"/>
    </row>
    <row r="62" spans="1:3" ht="20.100000000000001" customHeight="1" x14ac:dyDescent="0.25">
      <c r="A62"/>
    </row>
    <row r="63" spans="1:3" ht="20.100000000000001" customHeight="1" x14ac:dyDescent="0.25">
      <c r="A63"/>
    </row>
    <row r="64" spans="1:3" ht="20.100000000000001" customHeight="1" x14ac:dyDescent="0.25">
      <c r="A64"/>
    </row>
    <row r="65" spans="1:11" ht="20.100000000000001" customHeight="1" x14ac:dyDescent="0.25">
      <c r="A65"/>
    </row>
    <row r="66" spans="1:11" ht="20.100000000000001" customHeight="1" x14ac:dyDescent="0.25">
      <c r="A66"/>
    </row>
    <row r="67" spans="1:11" ht="20.100000000000001" customHeight="1" x14ac:dyDescent="0.25">
      <c r="A67"/>
    </row>
    <row r="68" spans="1:11" ht="20.100000000000001" customHeight="1" x14ac:dyDescent="0.25">
      <c r="A68"/>
    </row>
    <row r="69" spans="1:11" ht="20.100000000000001" customHeight="1" x14ac:dyDescent="0.25">
      <c r="A69"/>
    </row>
    <row r="70" spans="1:11" ht="20.100000000000001" customHeight="1" x14ac:dyDescent="0.25">
      <c r="A70"/>
    </row>
    <row r="71" spans="1:11" ht="20.100000000000001" customHeight="1" x14ac:dyDescent="0.25">
      <c r="A71"/>
    </row>
    <row r="72" spans="1:11" ht="20.100000000000001" customHeight="1" x14ac:dyDescent="0.25">
      <c r="A72"/>
    </row>
    <row r="73" spans="1:11" ht="20.100000000000001" customHeight="1" x14ac:dyDescent="0.25">
      <c r="A73"/>
    </row>
    <row r="74" spans="1:11" ht="20.100000000000001" customHeight="1" x14ac:dyDescent="0.25">
      <c r="A74"/>
      <c r="K74" s="14"/>
    </row>
    <row r="75" spans="1:11" ht="20.100000000000001" customHeight="1" x14ac:dyDescent="0.25">
      <c r="A75"/>
    </row>
    <row r="76" spans="1:11" ht="20.100000000000001" customHeight="1" x14ac:dyDescent="0.25">
      <c r="A76"/>
    </row>
    <row r="77" spans="1:11" ht="20.100000000000001" customHeight="1" x14ac:dyDescent="0.25">
      <c r="A77"/>
    </row>
    <row r="78" spans="1:11" ht="20.100000000000001" customHeight="1" x14ac:dyDescent="0.25">
      <c r="A78"/>
    </row>
    <row r="79" spans="1:11" ht="20.100000000000001" customHeight="1" x14ac:dyDescent="0.25">
      <c r="A79"/>
    </row>
    <row r="80" spans="1:11" ht="20.100000000000001" customHeight="1" x14ac:dyDescent="0.25">
      <c r="A80"/>
    </row>
    <row r="81" spans="1:10" ht="20.100000000000001" customHeight="1" x14ac:dyDescent="0.25">
      <c r="A81"/>
    </row>
    <row r="82" spans="1:10" ht="20.100000000000001" customHeight="1" x14ac:dyDescent="0.25">
      <c r="A82"/>
    </row>
    <row r="83" spans="1:10" ht="20.100000000000001" customHeight="1" x14ac:dyDescent="0.25">
      <c r="A83"/>
    </row>
    <row r="84" spans="1:10" ht="20.100000000000001" customHeight="1" x14ac:dyDescent="0.25">
      <c r="A84"/>
    </row>
    <row r="85" spans="1:10" ht="20.100000000000001" customHeight="1" x14ac:dyDescent="0.25">
      <c r="A85"/>
    </row>
    <row r="86" spans="1:10" ht="20.100000000000001" customHeight="1" x14ac:dyDescent="0.25">
      <c r="A86"/>
    </row>
    <row r="87" spans="1:10" ht="20.100000000000001" customHeight="1" x14ac:dyDescent="0.25">
      <c r="A87"/>
    </row>
    <row r="88" spans="1:10" ht="20.100000000000001" customHeight="1" x14ac:dyDescent="0.25">
      <c r="A88"/>
    </row>
    <row r="89" spans="1:10" ht="20.100000000000001" customHeight="1" x14ac:dyDescent="0.25">
      <c r="A89"/>
    </row>
    <row r="90" spans="1:10" ht="20.100000000000001" customHeight="1" x14ac:dyDescent="0.25">
      <c r="A90"/>
    </row>
    <row r="91" spans="1:10" ht="20.100000000000001" customHeight="1" x14ac:dyDescent="0.25">
      <c r="A91"/>
    </row>
    <row r="92" spans="1:10" ht="20.100000000000001" customHeight="1" x14ac:dyDescent="0.25">
      <c r="A92"/>
      <c r="J92" s="7"/>
    </row>
    <row r="93" spans="1:10" ht="20.100000000000001" customHeight="1" x14ac:dyDescent="0.25">
      <c r="A93"/>
      <c r="J93" s="7"/>
    </row>
    <row r="94" spans="1:10" ht="20.100000000000001" customHeight="1" x14ac:dyDescent="0.25">
      <c r="A94"/>
      <c r="J94" s="7"/>
    </row>
    <row r="95" spans="1:10" ht="20.100000000000001" customHeight="1" x14ac:dyDescent="0.25">
      <c r="A95"/>
      <c r="J95" s="7"/>
    </row>
    <row r="96" spans="1:10" ht="20.100000000000001" customHeight="1" x14ac:dyDescent="0.25">
      <c r="A96"/>
      <c r="J96" s="7"/>
    </row>
    <row r="97" spans="1:10" ht="20.100000000000001" customHeight="1" x14ac:dyDescent="0.25">
      <c r="A97"/>
      <c r="J97" s="9"/>
    </row>
    <row r="98" spans="1:10" ht="20.100000000000001" customHeight="1" x14ac:dyDescent="0.25">
      <c r="A98"/>
      <c r="J98" s="8"/>
    </row>
    <row r="99" spans="1:10" ht="20.100000000000001" customHeight="1" x14ac:dyDescent="0.25">
      <c r="A99"/>
      <c r="J99" s="8"/>
    </row>
    <row r="100" spans="1:10" ht="20.100000000000001" customHeight="1" x14ac:dyDescent="0.25">
      <c r="A100"/>
      <c r="J100" s="8"/>
    </row>
    <row r="101" spans="1:10" ht="20.100000000000001" customHeight="1" x14ac:dyDescent="0.25">
      <c r="A101"/>
      <c r="J101" s="8"/>
    </row>
    <row r="102" spans="1:10" ht="20.100000000000001" customHeight="1" x14ac:dyDescent="0.25">
      <c r="A102"/>
      <c r="J102" s="8"/>
    </row>
    <row r="103" spans="1:10" ht="20.100000000000001" customHeight="1" x14ac:dyDescent="0.25">
      <c r="A103"/>
    </row>
    <row r="104" spans="1:10" ht="20.100000000000001" customHeight="1" x14ac:dyDescent="0.25">
      <c r="A104"/>
    </row>
    <row r="105" spans="1:10" ht="20.100000000000001" customHeight="1" x14ac:dyDescent="0.25">
      <c r="A105"/>
    </row>
    <row r="106" spans="1:10" ht="20.100000000000001" customHeight="1" x14ac:dyDescent="0.25">
      <c r="A106"/>
    </row>
    <row r="107" spans="1:10" ht="20.100000000000001" customHeight="1" x14ac:dyDescent="0.25">
      <c r="A107"/>
      <c r="J107" s="8"/>
    </row>
    <row r="108" spans="1:10" ht="20.100000000000001" customHeight="1" x14ac:dyDescent="0.25">
      <c r="A108"/>
      <c r="J108" s="8"/>
    </row>
    <row r="109" spans="1:10" ht="20.100000000000001" customHeight="1" x14ac:dyDescent="0.25">
      <c r="A109"/>
      <c r="J109" s="8"/>
    </row>
    <row r="110" spans="1:10" ht="20.100000000000001" customHeight="1" x14ac:dyDescent="0.25">
      <c r="A110"/>
      <c r="J110" s="8"/>
    </row>
    <row r="111" spans="1:10" ht="20.100000000000001" customHeight="1" x14ac:dyDescent="0.25">
      <c r="A111"/>
      <c r="J111" s="8"/>
    </row>
    <row r="112" spans="1:10" ht="20.100000000000001" customHeight="1" x14ac:dyDescent="0.25">
      <c r="A112"/>
      <c r="J112" s="8"/>
    </row>
    <row r="113" spans="1:16" ht="20.100000000000001" customHeight="1" x14ac:dyDescent="0.25">
      <c r="A113"/>
      <c r="J113" s="8"/>
      <c r="L113" s="7"/>
      <c r="M113" s="7"/>
      <c r="N113" s="7"/>
      <c r="O113" s="7"/>
      <c r="P113" s="7"/>
    </row>
    <row r="114" spans="1:16" ht="20.100000000000001" customHeight="1" x14ac:dyDescent="0.25">
      <c r="A114"/>
      <c r="J114" s="8"/>
      <c r="L114" s="7"/>
      <c r="M114" s="7"/>
      <c r="N114" s="7"/>
      <c r="O114" s="7"/>
      <c r="P114" s="7"/>
    </row>
    <row r="115" spans="1:16" ht="20.100000000000001" customHeight="1" x14ac:dyDescent="0.25">
      <c r="A115"/>
      <c r="J115" s="8"/>
      <c r="L115" s="7"/>
      <c r="M115" s="7"/>
      <c r="N115" s="7"/>
      <c r="O115" s="7"/>
      <c r="P115" s="7"/>
    </row>
    <row r="116" spans="1:16" ht="20.100000000000001" customHeight="1" x14ac:dyDescent="0.25">
      <c r="A116"/>
      <c r="I116" s="7"/>
      <c r="J116" s="8"/>
      <c r="N116" s="7"/>
      <c r="O116" s="7"/>
      <c r="P116" s="7"/>
    </row>
    <row r="117" spans="1:16" ht="20.100000000000001" customHeight="1" x14ac:dyDescent="0.25">
      <c r="A117"/>
      <c r="I117" s="7"/>
      <c r="J117" s="8"/>
      <c r="N117" s="7"/>
      <c r="O117" s="7"/>
      <c r="P117" s="7"/>
    </row>
    <row r="118" spans="1:16" ht="20.100000000000001" customHeight="1" x14ac:dyDescent="0.25">
      <c r="A118"/>
      <c r="J118" s="7"/>
      <c r="N118" s="9"/>
      <c r="O118" s="9"/>
      <c r="P118" s="7"/>
    </row>
    <row r="119" spans="1:16" ht="20.100000000000001" customHeight="1" x14ac:dyDescent="0.25">
      <c r="A119"/>
      <c r="J119" s="7"/>
      <c r="P119" s="147"/>
    </row>
    <row r="120" spans="1:16" ht="20.100000000000001" customHeight="1" x14ac:dyDescent="0.25">
      <c r="A120"/>
      <c r="J120" s="7"/>
      <c r="P120" s="147"/>
    </row>
    <row r="121" spans="1:16" ht="20.100000000000001" customHeight="1" x14ac:dyDescent="0.25">
      <c r="A121"/>
      <c r="J121" s="9"/>
      <c r="P121" s="147"/>
    </row>
    <row r="122" spans="1:16" ht="20.100000000000001" customHeight="1" x14ac:dyDescent="0.25">
      <c r="A122"/>
      <c r="G122" s="7"/>
      <c r="H122" s="8"/>
      <c r="J122" s="8"/>
      <c r="P122" s="147"/>
    </row>
    <row r="123" spans="1:16" ht="20.100000000000001" customHeight="1" x14ac:dyDescent="0.25">
      <c r="A123"/>
      <c r="G123" s="7"/>
      <c r="H123" s="8"/>
      <c r="J123" s="8"/>
      <c r="P123" s="147"/>
    </row>
    <row r="124" spans="1:16" ht="20.100000000000001" customHeight="1" x14ac:dyDescent="0.25">
      <c r="A124"/>
      <c r="G124" s="7"/>
      <c r="H124" s="7"/>
      <c r="J124" s="8"/>
      <c r="N124" s="7"/>
      <c r="O124" s="7"/>
      <c r="P124" s="7"/>
    </row>
    <row r="125" spans="1:16" ht="20.100000000000001" customHeight="1" x14ac:dyDescent="0.25">
      <c r="A125"/>
      <c r="G125" s="7"/>
      <c r="H125" s="7"/>
      <c r="I125" s="7"/>
      <c r="J125" s="8"/>
      <c r="N125" s="7"/>
      <c r="O125" s="7"/>
      <c r="P125" s="7"/>
    </row>
    <row r="126" spans="1:16" ht="20.100000000000001" customHeight="1" x14ac:dyDescent="0.25">
      <c r="A126"/>
      <c r="G126" s="7"/>
      <c r="I126" s="7"/>
      <c r="J126" s="8"/>
    </row>
    <row r="127" spans="1:16" ht="20.100000000000001" customHeight="1" x14ac:dyDescent="0.25">
      <c r="A127"/>
      <c r="I127" s="7"/>
      <c r="J127" s="7"/>
    </row>
    <row r="128" spans="1:16" ht="20.100000000000001" customHeight="1" x14ac:dyDescent="0.25">
      <c r="A128"/>
      <c r="I128" s="7"/>
      <c r="J128" s="7"/>
    </row>
    <row r="129" spans="1:13" ht="20.100000000000001" customHeight="1" x14ac:dyDescent="0.25">
      <c r="A129"/>
      <c r="I129" s="7"/>
      <c r="L129" s="7"/>
      <c r="M129" s="7"/>
    </row>
    <row r="130" spans="1:13" ht="20.100000000000001" customHeight="1" x14ac:dyDescent="0.25">
      <c r="A130"/>
      <c r="I130" s="7"/>
      <c r="L130" s="7"/>
      <c r="M130" s="7"/>
    </row>
    <row r="131" spans="1:13" ht="20.100000000000001" customHeight="1" x14ac:dyDescent="0.25">
      <c r="A131"/>
      <c r="G131" s="8"/>
      <c r="I131" s="8"/>
      <c r="L131" s="9"/>
      <c r="M131" s="9"/>
    </row>
    <row r="132" spans="1:13" ht="20.100000000000001" customHeight="1" x14ac:dyDescent="0.25">
      <c r="A132"/>
      <c r="G132" s="7"/>
      <c r="I132" s="8"/>
    </row>
    <row r="133" spans="1:13" ht="20.100000000000001" customHeight="1" x14ac:dyDescent="0.25">
      <c r="A133"/>
      <c r="G133" s="7"/>
      <c r="I133" s="8"/>
    </row>
    <row r="134" spans="1:13" ht="20.100000000000001" customHeight="1" x14ac:dyDescent="0.25">
      <c r="A134"/>
      <c r="I134" s="8"/>
    </row>
    <row r="135" spans="1:13" ht="20.100000000000001" customHeight="1" x14ac:dyDescent="0.25">
      <c r="A135"/>
      <c r="I135" s="8"/>
    </row>
    <row r="136" spans="1:13" ht="20.100000000000001" customHeight="1" x14ac:dyDescent="0.25">
      <c r="A136"/>
      <c r="I136" s="7"/>
    </row>
    <row r="137" spans="1:13" ht="20.100000000000001" customHeight="1" x14ac:dyDescent="0.25">
      <c r="A137"/>
      <c r="I137" s="7"/>
      <c r="L137" s="7"/>
      <c r="M137" s="7"/>
    </row>
    <row r="138" spans="1:13" ht="20.100000000000001" customHeight="1" x14ac:dyDescent="0.25">
      <c r="A138"/>
      <c r="L138" s="7"/>
      <c r="M138" s="7"/>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78" spans="11:19" ht="20.100000000000001" customHeight="1" x14ac:dyDescent="0.25"/>
    <row r="179" spans="11:19" ht="20.100000000000001" customHeight="1" x14ac:dyDescent="0.25"/>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phoneticPr fontId="53" type="noConversion"/>
  <dataValidations count="3">
    <dataValidation type="list" allowBlank="1" showInputMessage="1" showErrorMessage="1" sqref="E8:E17" xr:uid="{C432D3D7-90B5-49EB-9686-44E33AA46DF7}">
      <formula1>INDIRECT("Table_SourceData_Scope3_ChemicalsCleaning[Product]")</formula1>
    </dataValidation>
    <dataValidation type="list" allowBlank="1" showInputMessage="1" showErrorMessage="1" sqref="G23:G32" xr:uid="{92F419C3-BB6B-4ED0-BE3F-195DAC4808A6}">
      <formula1>"Hour, Hectare"</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s>
  <pageMargins left="0.7" right="0.7" top="0.75" bottom="0.75" header="0.3" footer="0.3"/>
  <pageSetup orientation="portrait"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57E6F-01DC-4691-A4D3-FD22E4E07C07}">
  <sheetPr>
    <tabColor theme="5" tint="-0.249977111117893"/>
  </sheetPr>
  <dimension ref="C1:I17"/>
  <sheetViews>
    <sheetView showGridLines="0" zoomScaleNormal="100" workbookViewId="0">
      <selection activeCell="D32" sqref="D32"/>
    </sheetView>
  </sheetViews>
  <sheetFormatPr defaultRowHeight="15.75" x14ac:dyDescent="0.25"/>
  <cols>
    <col min="1" max="1" width="30.625" customWidth="1"/>
    <col min="2" max="2" width="4.625" customWidth="1"/>
    <col min="3" max="3" width="4.625" style="8" customWidth="1"/>
    <col min="4" max="8" width="30.625" style="8" customWidth="1"/>
    <col min="9" max="9" width="4.625" style="8" customWidth="1"/>
  </cols>
  <sheetData>
    <row r="1" spans="3:9" s="37" customFormat="1" ht="25.5" x14ac:dyDescent="0.35">
      <c r="C1" s="37" t="s">
        <v>874</v>
      </c>
    </row>
    <row r="2" spans="3:9" s="2" customFormat="1" x14ac:dyDescent="0.25"/>
    <row r="3" spans="3:9" ht="20.25" x14ac:dyDescent="0.25">
      <c r="C3" s="38"/>
      <c r="D3" s="38"/>
      <c r="E3" s="38"/>
      <c r="F3" s="38"/>
      <c r="G3" s="38"/>
      <c r="H3" s="38"/>
      <c r="I3" s="38"/>
    </row>
    <row r="5" spans="3:9" ht="23.25" x14ac:dyDescent="0.25">
      <c r="D5" s="9" t="s">
        <v>368</v>
      </c>
      <c r="E5" s="14"/>
      <c r="F5" s="14"/>
      <c r="G5" s="14"/>
      <c r="H5" s="14"/>
    </row>
    <row r="6" spans="3:9" x14ac:dyDescent="0.25">
      <c r="D6" s="14"/>
      <c r="E6" s="14"/>
      <c r="F6" s="14"/>
      <c r="G6" s="14"/>
      <c r="H6" s="14"/>
    </row>
    <row r="7" spans="3:9" x14ac:dyDescent="0.25">
      <c r="D7" s="91" t="s">
        <v>287</v>
      </c>
      <c r="E7" s="91" t="s">
        <v>288</v>
      </c>
      <c r="F7" s="91" t="s">
        <v>409</v>
      </c>
      <c r="G7" s="91" t="s">
        <v>410</v>
      </c>
      <c r="H7" s="91" t="s">
        <v>604</v>
      </c>
    </row>
    <row r="8" spans="3:9" x14ac:dyDescent="0.25">
      <c r="D8" s="143" t="s">
        <v>411</v>
      </c>
      <c r="E8" s="66">
        <v>100000</v>
      </c>
      <c r="F8" s="47" t="s">
        <v>412</v>
      </c>
      <c r="G8" s="66">
        <v>0.02</v>
      </c>
      <c r="H8" s="49">
        <f>Table_Input_Packaging[[#This Row],[Quantity purchased]]*Table_Input_Packaging[[#This Row],[Weight per unit (kg)]]</f>
        <v>2000</v>
      </c>
    </row>
    <row r="9" spans="3:9" x14ac:dyDescent="0.25">
      <c r="D9" s="143"/>
      <c r="E9" s="165"/>
      <c r="F9" s="47"/>
      <c r="G9" s="66"/>
      <c r="H9" s="49">
        <f>Table_Input_Packaging[[#This Row],[Quantity purchased]]*Table_Input_Packaging[[#This Row],[Weight per unit (kg)]]</f>
        <v>0</v>
      </c>
    </row>
    <row r="10" spans="3:9" x14ac:dyDescent="0.25">
      <c r="D10" s="143"/>
      <c r="E10" s="165"/>
      <c r="F10" s="47"/>
      <c r="G10" s="66"/>
      <c r="H10" s="49">
        <f>Table_Input_Packaging[[#This Row],[Quantity purchased]]*Table_Input_Packaging[[#This Row],[Weight per unit (kg)]]</f>
        <v>0</v>
      </c>
    </row>
    <row r="11" spans="3:9" x14ac:dyDescent="0.25">
      <c r="D11" s="143"/>
      <c r="E11" s="165"/>
      <c r="F11" s="47"/>
      <c r="G11" s="66"/>
      <c r="H11" s="49">
        <f>Table_Input_Packaging[[#This Row],[Quantity purchased]]*Table_Input_Packaging[[#This Row],[Weight per unit (kg)]]</f>
        <v>0</v>
      </c>
    </row>
    <row r="12" spans="3:9" x14ac:dyDescent="0.25">
      <c r="D12" s="143"/>
      <c r="E12" s="165"/>
      <c r="F12" s="47"/>
      <c r="G12" s="66"/>
      <c r="H12" s="49">
        <f>Table_Input_Packaging[[#This Row],[Quantity purchased]]*Table_Input_Packaging[[#This Row],[Weight per unit (kg)]]</f>
        <v>0</v>
      </c>
    </row>
    <row r="13" spans="3:9" x14ac:dyDescent="0.25">
      <c r="D13" s="143"/>
      <c r="E13" s="165"/>
      <c r="F13" s="47"/>
      <c r="G13" s="66"/>
      <c r="H13" s="49">
        <f>Table_Input_Packaging[[#This Row],[Quantity purchased]]*Table_Input_Packaging[[#This Row],[Weight per unit (kg)]]</f>
        <v>0</v>
      </c>
    </row>
    <row r="14" spans="3:9" x14ac:dyDescent="0.25">
      <c r="D14" s="143"/>
      <c r="E14" s="165"/>
      <c r="F14" s="47"/>
      <c r="G14" s="66"/>
      <c r="H14" s="49">
        <f>Table_Input_Packaging[[#This Row],[Quantity purchased]]*Table_Input_Packaging[[#This Row],[Weight per unit (kg)]]</f>
        <v>0</v>
      </c>
    </row>
    <row r="15" spans="3:9" x14ac:dyDescent="0.25">
      <c r="D15" s="143"/>
      <c r="E15" s="165"/>
      <c r="F15" s="47"/>
      <c r="G15" s="66"/>
      <c r="H15" s="49">
        <f>Table_Input_Packaging[[#This Row],[Quantity purchased]]*Table_Input_Packaging[[#This Row],[Weight per unit (kg)]]</f>
        <v>0</v>
      </c>
    </row>
    <row r="16" spans="3:9" x14ac:dyDescent="0.25">
      <c r="D16" s="143"/>
      <c r="E16" s="165"/>
      <c r="F16" s="47"/>
      <c r="G16" s="66"/>
      <c r="H16" s="49">
        <f>Table_Input_Packaging[[#This Row],[Quantity purchased]]*Table_Input_Packaging[[#This Row],[Weight per unit (kg)]]</f>
        <v>0</v>
      </c>
    </row>
    <row r="17" spans="4:8" x14ac:dyDescent="0.25">
      <c r="D17" s="143"/>
      <c r="E17" s="165"/>
      <c r="F17" s="47"/>
      <c r="G17" s="66"/>
      <c r="H17" s="49">
        <f>Table_Input_Packaging[[#This Row],[Quantity purchased]]*Table_Input_Packaging[[#This Row],[Weight per unit (kg)]]</f>
        <v>0</v>
      </c>
    </row>
  </sheetData>
  <dataValidations count="1">
    <dataValidation type="list" allowBlank="1" showInputMessage="1" showErrorMessage="1" sqref="F8:F17" xr:uid="{C1194F4C-B4BA-4C6C-9335-96226E3C874D}">
      <formula1>INDIRECT("Table_SourceData_Scope3_Packaging[Product]")</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D86D0-1A03-4883-95F2-A33D9BAD0AFE}">
  <sheetPr>
    <tabColor theme="5" tint="-0.249977111117893"/>
  </sheetPr>
  <dimension ref="C1:S27"/>
  <sheetViews>
    <sheetView showGridLines="0" zoomScaleNormal="100" workbookViewId="0">
      <selection activeCell="F28" sqref="F28"/>
    </sheetView>
  </sheetViews>
  <sheetFormatPr defaultRowHeight="15.75" x14ac:dyDescent="0.25"/>
  <cols>
    <col min="1" max="1" width="30.625" customWidth="1"/>
    <col min="2" max="2" width="4.625" customWidth="1"/>
    <col min="3" max="3" width="4.625" style="8" customWidth="1"/>
    <col min="4" max="18" width="30.625" style="8" customWidth="1"/>
    <col min="19" max="19" width="4.625" style="8" customWidth="1"/>
  </cols>
  <sheetData>
    <row r="1" spans="3:19" s="37" customFormat="1" ht="25.5" x14ac:dyDescent="0.35">
      <c r="C1" s="37" t="s">
        <v>872</v>
      </c>
    </row>
    <row r="2" spans="3:19" s="2" customFormat="1" x14ac:dyDescent="0.25"/>
    <row r="3" spans="3:19" ht="20.25" x14ac:dyDescent="0.25">
      <c r="C3" s="38"/>
      <c r="D3" s="38"/>
      <c r="E3" s="38"/>
      <c r="F3" s="38"/>
      <c r="G3" s="38"/>
      <c r="H3" s="38"/>
      <c r="I3" s="38"/>
      <c r="J3" s="38"/>
      <c r="K3" s="38"/>
      <c r="L3" s="38"/>
      <c r="M3" s="38"/>
      <c r="N3" s="38"/>
      <c r="O3" s="38"/>
      <c r="P3" s="38"/>
      <c r="Q3" s="38"/>
      <c r="R3" s="38"/>
      <c r="S3" s="38"/>
    </row>
    <row r="5" spans="3:19" ht="18.75" x14ac:dyDescent="0.25">
      <c r="D5" s="144" t="s">
        <v>369</v>
      </c>
      <c r="E5" s="147"/>
      <c r="F5" s="147"/>
      <c r="G5" s="147"/>
      <c r="H5" s="147"/>
      <c r="I5" s="147"/>
      <c r="J5" s="147"/>
    </row>
    <row r="6" spans="3:19" x14ac:dyDescent="0.25">
      <c r="D6" s="173" t="s">
        <v>301</v>
      </c>
      <c r="E6" s="173"/>
      <c r="F6" s="39"/>
      <c r="G6" s="41"/>
      <c r="H6" s="7"/>
      <c r="I6" s="7"/>
      <c r="J6" s="7"/>
    </row>
    <row r="7" spans="3:19" x14ac:dyDescent="0.25">
      <c r="D7" s="43" t="s">
        <v>302</v>
      </c>
      <c r="E7" s="44"/>
      <c r="F7" s="44"/>
      <c r="G7" s="45"/>
      <c r="H7" s="7"/>
      <c r="I7" s="7"/>
      <c r="J7" s="7"/>
    </row>
    <row r="8" spans="3:19" x14ac:dyDescent="0.25">
      <c r="D8" s="147"/>
      <c r="E8" s="147"/>
      <c r="F8" s="147"/>
      <c r="G8" s="147"/>
      <c r="H8" s="147"/>
      <c r="I8" s="147"/>
      <c r="J8" s="147"/>
      <c r="K8" s="54"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54"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54"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3:19" x14ac:dyDescent="0.25">
      <c r="D9" s="154" t="s">
        <v>170</v>
      </c>
      <c r="E9" s="154" t="s">
        <v>303</v>
      </c>
      <c r="F9" s="154" t="s">
        <v>304</v>
      </c>
      <c r="G9" s="154" t="s">
        <v>204</v>
      </c>
      <c r="H9" s="154" t="s">
        <v>305</v>
      </c>
      <c r="I9" s="154" t="s">
        <v>426</v>
      </c>
      <c r="J9" s="154" t="s">
        <v>306</v>
      </c>
      <c r="K9" s="162" t="s">
        <v>307</v>
      </c>
      <c r="L9" s="162" t="s">
        <v>422</v>
      </c>
      <c r="M9" s="162" t="s">
        <v>308</v>
      </c>
      <c r="N9" s="162" t="s">
        <v>309</v>
      </c>
      <c r="O9" s="162" t="s">
        <v>423</v>
      </c>
      <c r="P9" s="162" t="s">
        <v>310</v>
      </c>
      <c r="Q9" s="162" t="s">
        <v>311</v>
      </c>
      <c r="R9" s="162" t="s">
        <v>424</v>
      </c>
    </row>
    <row r="10" spans="3:19" x14ac:dyDescent="0.25">
      <c r="D10" s="143" t="s">
        <v>428</v>
      </c>
      <c r="E10" s="155">
        <v>10</v>
      </c>
      <c r="F10" s="47" t="s">
        <v>418</v>
      </c>
      <c r="G10" s="66">
        <v>100</v>
      </c>
      <c r="H10" s="49">
        <f>Table_Input_Pesticides[[#This Row],[Amount applied per ha]]*Table_Input_Pesticides[[#This Row],[Application area (ha)]]</f>
        <v>1000</v>
      </c>
      <c r="I10" s="47" t="s">
        <v>417</v>
      </c>
      <c r="J10" s="47" t="s">
        <v>416</v>
      </c>
      <c r="K10" s="66">
        <v>100</v>
      </c>
      <c r="L10" s="49">
        <f>Table_Input_Pesticides[[#This Row],[Total applied]]*Table_Input_Pesticides[[#This Row],[Active ingredient 1 amount]]*IF(Table_Input_Pesticides[[#This Row],[Constituent unit (select)]]="fraction of product", 1, 10^-3)</f>
        <v>100</v>
      </c>
      <c r="M10" s="47" t="s">
        <v>416</v>
      </c>
      <c r="N10" s="66">
        <v>100</v>
      </c>
      <c r="O10" s="49">
        <f>Table_Input_Pesticides[[#This Row],[Total applied]]*Table_Input_Pesticides[[#This Row],[Active ingredient 2 amount]]*IF(Table_Input_Pesticides[[#This Row],[Constituent unit (select)]]="fraction of product", 1, 10^-3)</f>
        <v>100</v>
      </c>
      <c r="P10" s="47" t="s">
        <v>680</v>
      </c>
      <c r="Q10" s="66">
        <v>100</v>
      </c>
      <c r="R10" s="49">
        <f>Table_Input_Pesticides[[#This Row],[Total applied]]*Table_Input_Pesticides[[#This Row],[Active ingredient 3 amount]]*IF(Table_Input_Pesticides[[#This Row],[Constituent unit (select)]]="fraction of product", 1, 10^-3)</f>
        <v>100</v>
      </c>
    </row>
    <row r="11" spans="3:19" x14ac:dyDescent="0.25">
      <c r="D11" s="143" t="s">
        <v>427</v>
      </c>
      <c r="E11" s="155">
        <v>10</v>
      </c>
      <c r="F11" s="47" t="s">
        <v>312</v>
      </c>
      <c r="G11" s="66">
        <v>100</v>
      </c>
      <c r="H11" s="49">
        <f>Table_Input_Pesticides[[#This Row],[Amount applied per ha]]*Table_Input_Pesticides[[#This Row],[Application area (ha)]]</f>
        <v>1000</v>
      </c>
      <c r="I11" s="47" t="s">
        <v>417</v>
      </c>
      <c r="J11" s="47" t="s">
        <v>416</v>
      </c>
      <c r="K11" s="66">
        <v>100</v>
      </c>
      <c r="L11" s="49">
        <f>Table_Input_Pesticides[[#This Row],[Total applied]]*Table_Input_Pesticides[[#This Row],[Active ingredient 1 amount]]*IF(Table_Input_Pesticides[[#This Row],[Constituent unit (select)]]="fraction of product", 1, 10^-3)</f>
        <v>100</v>
      </c>
      <c r="M11" s="47" t="s">
        <v>678</v>
      </c>
      <c r="N11" s="66">
        <v>100</v>
      </c>
      <c r="O11" s="49">
        <f>Table_Input_Pesticides[[#This Row],[Total applied]]*Table_Input_Pesticides[[#This Row],[Active ingredient 2 amount]]*IF(Table_Input_Pesticides[[#This Row],[Constituent unit (select)]]="fraction of product", 1, 10^-3)</f>
        <v>100</v>
      </c>
      <c r="P11" s="47" t="s">
        <v>681</v>
      </c>
      <c r="Q11" s="66">
        <v>100</v>
      </c>
      <c r="R11" s="49">
        <f>Table_Input_Pesticides[[#This Row],[Total applied]]*Table_Input_Pesticides[[#This Row],[Active ingredient 3 amount]]*IF(Table_Input_Pesticides[[#This Row],[Constituent unit (select)]]="fraction of product", 1, 10^-3)</f>
        <v>100</v>
      </c>
    </row>
    <row r="12" spans="3:19" x14ac:dyDescent="0.25">
      <c r="D12" s="143" t="s">
        <v>425</v>
      </c>
      <c r="E12" s="155">
        <v>10</v>
      </c>
      <c r="F12" s="47" t="s">
        <v>418</v>
      </c>
      <c r="G12" s="66">
        <v>100</v>
      </c>
      <c r="H12" s="49">
        <f>Table_Input_Pesticides[[#This Row],[Amount applied per ha]]*Table_Input_Pesticides[[#This Row],[Application area (ha)]]</f>
        <v>1000</v>
      </c>
      <c r="I12" s="47" t="s">
        <v>417</v>
      </c>
      <c r="J12" s="47" t="s">
        <v>416</v>
      </c>
      <c r="K12" s="66">
        <v>100</v>
      </c>
      <c r="L12" s="49">
        <f>Table_Input_Pesticides[[#This Row],[Total applied]]*Table_Input_Pesticides[[#This Row],[Active ingredient 1 amount]]*IF(Table_Input_Pesticides[[#This Row],[Constituent unit (select)]]="fraction of product", 1, 10^-3)</f>
        <v>100</v>
      </c>
      <c r="M12" s="47" t="s">
        <v>679</v>
      </c>
      <c r="N12" s="66">
        <v>100</v>
      </c>
      <c r="O12" s="49">
        <f>Table_Input_Pesticides[[#This Row],[Total applied]]*Table_Input_Pesticides[[#This Row],[Active ingredient 2 amount]]*IF(Table_Input_Pesticides[[#This Row],[Constituent unit (select)]]="fraction of product", 1, 10^-3)</f>
        <v>100</v>
      </c>
      <c r="P12" s="47" t="s">
        <v>682</v>
      </c>
      <c r="Q12" s="66">
        <v>100</v>
      </c>
      <c r="R12" s="49">
        <f>Table_Input_Pesticides[[#This Row],[Total applied]]*Table_Input_Pesticides[[#This Row],[Active ingredient 3 amount]]*IF(Table_Input_Pesticides[[#This Row],[Constituent unit (select)]]="fraction of product", 1, 10^-3)</f>
        <v>100</v>
      </c>
    </row>
    <row r="13" spans="3:19" x14ac:dyDescent="0.25">
      <c r="D13" s="143"/>
      <c r="E13" s="155"/>
      <c r="F13" s="47"/>
      <c r="G13" s="66"/>
      <c r="H13" s="49">
        <f>Table_Input_Pesticides[[#This Row],[Amount applied per ha]]*Table_Input_Pesticides[[#This Row],[Application area (ha)]]</f>
        <v>0</v>
      </c>
      <c r="I13" s="47"/>
      <c r="J13" s="47"/>
      <c r="K13" s="66"/>
      <c r="L13" s="49">
        <f>Table_Input_Pesticides[[#This Row],[Total applied]]*Table_Input_Pesticides[[#This Row],[Active ingredient 1 amount]]*IF(Table_Input_Pesticides[[#This Row],[Constituent unit (select)]]="fraction of product", 1, 10^-3)</f>
        <v>0</v>
      </c>
      <c r="M13" s="47"/>
      <c r="N13" s="66"/>
      <c r="O13" s="49">
        <f>Table_Input_Pesticides[[#This Row],[Total applied]]*Table_Input_Pesticides[[#This Row],[Active ingredient 2 amount]]*IF(Table_Input_Pesticides[[#This Row],[Constituent unit (select)]]="fraction of product", 1, 10^-3)</f>
        <v>0</v>
      </c>
      <c r="P13" s="47"/>
      <c r="Q13" s="66"/>
      <c r="R13" s="49">
        <f>Table_Input_Pesticides[[#This Row],[Total applied]]*Table_Input_Pesticides[[#This Row],[Active ingredient 3 amount]]*IF(Table_Input_Pesticides[[#This Row],[Constituent unit (select)]]="fraction of product", 1, 10^-3)</f>
        <v>0</v>
      </c>
    </row>
    <row r="14" spans="3:19" x14ac:dyDescent="0.25">
      <c r="D14" s="143"/>
      <c r="E14" s="155"/>
      <c r="F14" s="47"/>
      <c r="G14" s="66"/>
      <c r="H14" s="49">
        <f>Table_Input_Pesticides[[#This Row],[Amount applied per ha]]*Table_Input_Pesticides[[#This Row],[Application area (ha)]]</f>
        <v>0</v>
      </c>
      <c r="I14" s="47"/>
      <c r="J14" s="47"/>
      <c r="K14" s="66"/>
      <c r="L14" s="49">
        <f>Table_Input_Pesticides[[#This Row],[Total applied]]*Table_Input_Pesticides[[#This Row],[Active ingredient 1 amount]]*IF(Table_Input_Pesticides[[#This Row],[Constituent unit (select)]]="fraction of product", 1, 10^-3)</f>
        <v>0</v>
      </c>
      <c r="M14" s="47"/>
      <c r="N14" s="66"/>
      <c r="O14" s="49">
        <f>Table_Input_Pesticides[[#This Row],[Total applied]]*Table_Input_Pesticides[[#This Row],[Active ingredient 2 amount]]*IF(Table_Input_Pesticides[[#This Row],[Constituent unit (select)]]="fraction of product", 1, 10^-3)</f>
        <v>0</v>
      </c>
      <c r="P14" s="47"/>
      <c r="Q14" s="66"/>
      <c r="R14" s="49">
        <f>Table_Input_Pesticides[[#This Row],[Total applied]]*Table_Input_Pesticides[[#This Row],[Active ingredient 3 amount]]*IF(Table_Input_Pesticides[[#This Row],[Constituent unit (select)]]="fraction of product", 1, 10^-3)</f>
        <v>0</v>
      </c>
    </row>
    <row r="15" spans="3:19" x14ac:dyDescent="0.25">
      <c r="D15" s="143"/>
      <c r="E15" s="155"/>
      <c r="F15" s="47"/>
      <c r="G15" s="66"/>
      <c r="H15" s="49">
        <f>Table_Input_Pesticides[[#This Row],[Amount applied per ha]]*Table_Input_Pesticides[[#This Row],[Application area (ha)]]</f>
        <v>0</v>
      </c>
      <c r="I15" s="47"/>
      <c r="J15" s="47"/>
      <c r="K15" s="66"/>
      <c r="L15" s="49">
        <f>Table_Input_Pesticides[[#This Row],[Total applied]]*Table_Input_Pesticides[[#This Row],[Active ingredient 1 amount]]*IF(Table_Input_Pesticides[[#This Row],[Constituent unit (select)]]="fraction of product", 1, 10^-3)</f>
        <v>0</v>
      </c>
      <c r="M15" s="47"/>
      <c r="N15" s="66"/>
      <c r="O15" s="49">
        <f>Table_Input_Pesticides[[#This Row],[Total applied]]*Table_Input_Pesticides[[#This Row],[Active ingredient 2 amount]]*IF(Table_Input_Pesticides[[#This Row],[Constituent unit (select)]]="fraction of product", 1, 10^-3)</f>
        <v>0</v>
      </c>
      <c r="P15" s="47"/>
      <c r="Q15" s="66"/>
      <c r="R15" s="49">
        <f>Table_Input_Pesticides[[#This Row],[Total applied]]*Table_Input_Pesticides[[#This Row],[Active ingredient 3 amount]]*IF(Table_Input_Pesticides[[#This Row],[Constituent unit (select)]]="fraction of product", 1, 10^-3)</f>
        <v>0</v>
      </c>
    </row>
    <row r="16" spans="3:19" x14ac:dyDescent="0.25">
      <c r="D16" s="143"/>
      <c r="E16" s="155"/>
      <c r="F16" s="47"/>
      <c r="G16" s="66"/>
      <c r="H16" s="49">
        <f>Table_Input_Pesticides[[#This Row],[Amount applied per ha]]*Table_Input_Pesticides[[#This Row],[Application area (ha)]]</f>
        <v>0</v>
      </c>
      <c r="I16" s="47"/>
      <c r="J16" s="47"/>
      <c r="K16" s="66"/>
      <c r="L16" s="49">
        <f>Table_Input_Pesticides[[#This Row],[Total applied]]*Table_Input_Pesticides[[#This Row],[Active ingredient 1 amount]]*IF(Table_Input_Pesticides[[#This Row],[Constituent unit (select)]]="fraction of product", 1, 10^-3)</f>
        <v>0</v>
      </c>
      <c r="M16" s="47"/>
      <c r="N16" s="66"/>
      <c r="O16" s="49">
        <f>Table_Input_Pesticides[[#This Row],[Total applied]]*Table_Input_Pesticides[[#This Row],[Active ingredient 2 amount]]*IF(Table_Input_Pesticides[[#This Row],[Constituent unit (select)]]="fraction of product", 1, 10^-3)</f>
        <v>0</v>
      </c>
      <c r="P16" s="47"/>
      <c r="Q16" s="66"/>
      <c r="R16" s="49">
        <f>Table_Input_Pesticides[[#This Row],[Total applied]]*Table_Input_Pesticides[[#This Row],[Active ingredient 3 amount]]*IF(Table_Input_Pesticides[[#This Row],[Constituent unit (select)]]="fraction of product", 1, 10^-3)</f>
        <v>0</v>
      </c>
    </row>
    <row r="17" spans="4:18" x14ac:dyDescent="0.25">
      <c r="D17" s="143"/>
      <c r="E17" s="155"/>
      <c r="F17" s="47"/>
      <c r="G17" s="66"/>
      <c r="H17" s="49">
        <f>Table_Input_Pesticides[[#This Row],[Amount applied per ha]]*Table_Input_Pesticides[[#This Row],[Application area (ha)]]</f>
        <v>0</v>
      </c>
      <c r="I17" s="47"/>
      <c r="J17" s="47"/>
      <c r="K17" s="66"/>
      <c r="L17" s="49">
        <f>Table_Input_Pesticides[[#This Row],[Total applied]]*Table_Input_Pesticides[[#This Row],[Active ingredient 1 amount]]*IF(Table_Input_Pesticides[[#This Row],[Constituent unit (select)]]="fraction of product", 1, 10^-3)</f>
        <v>0</v>
      </c>
      <c r="M17" s="47"/>
      <c r="N17" s="66"/>
      <c r="O17" s="49">
        <f>Table_Input_Pesticides[[#This Row],[Total applied]]*Table_Input_Pesticides[[#This Row],[Active ingredient 2 amount]]*IF(Table_Input_Pesticides[[#This Row],[Constituent unit (select)]]="fraction of product", 1, 10^-3)</f>
        <v>0</v>
      </c>
      <c r="P17" s="47"/>
      <c r="Q17" s="66"/>
      <c r="R17" s="49">
        <f>Table_Input_Pesticides[[#This Row],[Total applied]]*Table_Input_Pesticides[[#This Row],[Active ingredient 3 amount]]*IF(Table_Input_Pesticides[[#This Row],[Constituent unit (select)]]="fraction of product", 1, 10^-3)</f>
        <v>0</v>
      </c>
    </row>
    <row r="18" spans="4:18" x14ac:dyDescent="0.25">
      <c r="D18" s="143"/>
      <c r="E18" s="155"/>
      <c r="F18" s="47"/>
      <c r="G18" s="66"/>
      <c r="H18" s="49">
        <f>Table_Input_Pesticides[[#This Row],[Amount applied per ha]]*Table_Input_Pesticides[[#This Row],[Application area (ha)]]</f>
        <v>0</v>
      </c>
      <c r="I18" s="47"/>
      <c r="J18" s="47"/>
      <c r="K18" s="66"/>
      <c r="L18" s="49">
        <f>Table_Input_Pesticides[[#This Row],[Total applied]]*Table_Input_Pesticides[[#This Row],[Active ingredient 1 amount]]*IF(Table_Input_Pesticides[[#This Row],[Constituent unit (select)]]="fraction of product", 1, 10^-3)</f>
        <v>0</v>
      </c>
      <c r="M18" s="47"/>
      <c r="N18" s="66"/>
      <c r="O18" s="49">
        <f>Table_Input_Pesticides[[#This Row],[Total applied]]*Table_Input_Pesticides[[#This Row],[Active ingredient 2 amount]]*IF(Table_Input_Pesticides[[#This Row],[Constituent unit (select)]]="fraction of product", 1, 10^-3)</f>
        <v>0</v>
      </c>
      <c r="P18" s="47"/>
      <c r="Q18" s="66"/>
      <c r="R18" s="49">
        <f>Table_Input_Pesticides[[#This Row],[Total applied]]*Table_Input_Pesticides[[#This Row],[Active ingredient 3 amount]]*IF(Table_Input_Pesticides[[#This Row],[Constituent unit (select)]]="fraction of product", 1, 10^-3)</f>
        <v>0</v>
      </c>
    </row>
    <row r="19" spans="4:18" x14ac:dyDescent="0.25">
      <c r="D19" s="143"/>
      <c r="E19" s="155"/>
      <c r="F19" s="47"/>
      <c r="G19" s="66"/>
      <c r="H19" s="49">
        <f>Table_Input_Pesticides[[#This Row],[Amount applied per ha]]*Table_Input_Pesticides[[#This Row],[Application area (ha)]]</f>
        <v>0</v>
      </c>
      <c r="I19" s="47"/>
      <c r="J19" s="47"/>
      <c r="K19" s="66"/>
      <c r="L19" s="49">
        <f>Table_Input_Pesticides[[#This Row],[Total applied]]*Table_Input_Pesticides[[#This Row],[Active ingredient 1 amount]]*IF(Table_Input_Pesticides[[#This Row],[Constituent unit (select)]]="fraction of product", 1, 10^-3)</f>
        <v>0</v>
      </c>
      <c r="M19" s="47"/>
      <c r="N19" s="66"/>
      <c r="O19" s="49">
        <f>Table_Input_Pesticides[[#This Row],[Total applied]]*Table_Input_Pesticides[[#This Row],[Active ingredient 2 amount]]*IF(Table_Input_Pesticides[[#This Row],[Constituent unit (select)]]="fraction of product", 1, 10^-3)</f>
        <v>0</v>
      </c>
      <c r="P19" s="47"/>
      <c r="Q19" s="66"/>
      <c r="R19" s="49">
        <f>Table_Input_Pesticides[[#This Row],[Total applied]]*Table_Input_Pesticides[[#This Row],[Active ingredient 3 amount]]*IF(Table_Input_Pesticides[[#This Row],[Constituent unit (select)]]="fraction of product", 1, 10^-3)</f>
        <v>0</v>
      </c>
    </row>
    <row r="22" spans="4:18" ht="23.25" x14ac:dyDescent="0.25">
      <c r="D22" s="9" t="s">
        <v>415</v>
      </c>
      <c r="E22" s="14"/>
      <c r="F22" s="14"/>
    </row>
    <row r="23" spans="4:18" x14ac:dyDescent="0.25">
      <c r="D23" s="8" t="str">
        <f>'Constants - Scope 3'!E204</f>
        <v>Barley grain (for seed)</v>
      </c>
      <c r="E23" s="66">
        <v>500</v>
      </c>
      <c r="F23" s="65" t="s">
        <v>352</v>
      </c>
    </row>
    <row r="24" spans="4:18" x14ac:dyDescent="0.25">
      <c r="D24" s="8" t="str">
        <f>'Constants - Scope 3'!E205</f>
        <v>Maize grain (for seed)</v>
      </c>
      <c r="E24" s="66">
        <v>600</v>
      </c>
      <c r="F24" s="65" t="s">
        <v>352</v>
      </c>
    </row>
    <row r="25" spans="4:18" x14ac:dyDescent="0.25">
      <c r="D25" s="8" t="str">
        <f>'Constants - Scope 3'!E207</f>
        <v>Oat grain (for seed)</v>
      </c>
      <c r="E25" s="66">
        <v>700</v>
      </c>
      <c r="F25" s="65" t="s">
        <v>352</v>
      </c>
    </row>
    <row r="26" spans="4:18" x14ac:dyDescent="0.25">
      <c r="D26" s="8" t="str">
        <f>'Constants - Scope 3'!E208</f>
        <v>Sorghum grain (for seed)</v>
      </c>
      <c r="E26" s="66">
        <v>800</v>
      </c>
      <c r="F26" s="65" t="s">
        <v>352</v>
      </c>
    </row>
    <row r="27" spans="4:18" x14ac:dyDescent="0.25">
      <c r="D27" s="8" t="str">
        <f>'Constants - Scope 3'!E209</f>
        <v>Wheat grain (for seed)</v>
      </c>
      <c r="E27" s="66">
        <v>900</v>
      </c>
      <c r="F27" s="65" t="s">
        <v>352</v>
      </c>
    </row>
  </sheetData>
  <dataValidations count="3">
    <dataValidation type="list" allowBlank="1" showInputMessage="1" showErrorMessage="1" sqref="F10:F19" xr:uid="{3E384BB8-0CCC-45EA-83A2-5F436B025D10}">
      <formula1>"kg / hectare, litre / hectare"</formula1>
    </dataValidation>
    <dataValidation type="list" allowBlank="1" showInputMessage="1" showErrorMessage="1" sqref="I10:I19" xr:uid="{8108ECDB-1F4C-43F2-85A5-19117852A987}">
      <formula1>"grams/litre or grams/kg, fraction of product"</formula1>
    </dataValidation>
    <dataValidation type="list" allowBlank="1" showInputMessage="1" showErrorMessage="1" sqref="J10:J19 M10:M19 P10:P19" xr:uid="{4EB7609B-9081-416E-B296-83CB5579804F}">
      <formula1>INDIRECT("Table_SourceData_Scope3_Pesticides[Product]")</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D657B-5418-4A51-83CD-A627B1146FC3}">
  <sheetPr>
    <tabColor theme="5" tint="-0.249977111117893"/>
  </sheetPr>
  <dimension ref="C1:K20"/>
  <sheetViews>
    <sheetView showGridLines="0" zoomScaleNormal="100" workbookViewId="0">
      <selection activeCell="G13" sqref="G13"/>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s="37" customFormat="1" ht="25.5" x14ac:dyDescent="0.35">
      <c r="C1" s="37" t="s">
        <v>870</v>
      </c>
    </row>
    <row r="2" spans="3:11" s="2" customFormat="1" x14ac:dyDescent="0.25"/>
    <row r="3" spans="3:11" ht="20.25" x14ac:dyDescent="0.25">
      <c r="C3" s="38"/>
      <c r="D3" s="38"/>
      <c r="E3" s="38"/>
      <c r="F3" s="38"/>
      <c r="G3" s="38"/>
      <c r="H3" s="38"/>
      <c r="I3" s="38"/>
      <c r="J3" s="38"/>
      <c r="K3" s="38"/>
    </row>
    <row r="5" spans="3:11" x14ac:dyDescent="0.25">
      <c r="D5" s="8" t="str">
        <f>'Constants - Scope 3'!E206</f>
        <v>Nylon netting</v>
      </c>
      <c r="E5" s="66">
        <v>300</v>
      </c>
      <c r="F5" s="65" t="s">
        <v>352</v>
      </c>
    </row>
    <row r="8" spans="3:11" ht="23.25" x14ac:dyDescent="0.25">
      <c r="D8" s="9" t="s">
        <v>698</v>
      </c>
      <c r="E8" s="14"/>
      <c r="F8" s="14"/>
    </row>
    <row r="9" spans="3:11" x14ac:dyDescent="0.25">
      <c r="D9" s="12"/>
      <c r="E9" s="14"/>
      <c r="F9" s="14"/>
    </row>
    <row r="10" spans="3:11" x14ac:dyDescent="0.25">
      <c r="D10" s="164" t="s">
        <v>699</v>
      </c>
      <c r="E10" s="164" t="s">
        <v>614</v>
      </c>
      <c r="F10" s="164" t="s">
        <v>126</v>
      </c>
    </row>
    <row r="11" spans="3:11" x14ac:dyDescent="0.25">
      <c r="D11" s="82" t="s">
        <v>701</v>
      </c>
      <c r="E11" s="66">
        <v>10000</v>
      </c>
      <c r="F11" s="47" t="s">
        <v>352</v>
      </c>
    </row>
    <row r="12" spans="3:11" x14ac:dyDescent="0.25">
      <c r="D12" s="82" t="s">
        <v>702</v>
      </c>
      <c r="E12" s="66">
        <v>100</v>
      </c>
      <c r="F12" s="47" t="s">
        <v>700</v>
      </c>
    </row>
    <row r="13" spans="3:11" x14ac:dyDescent="0.25">
      <c r="D13" s="82" t="s">
        <v>703</v>
      </c>
      <c r="E13" s="66">
        <v>10000</v>
      </c>
      <c r="F13" s="47" t="s">
        <v>352</v>
      </c>
    </row>
    <row r="14" spans="3:11" x14ac:dyDescent="0.25">
      <c r="D14" s="82"/>
      <c r="E14" s="66"/>
      <c r="F14" s="47"/>
    </row>
    <row r="15" spans="3:11" x14ac:dyDescent="0.25">
      <c r="D15" s="82"/>
      <c r="E15" s="66"/>
      <c r="F15" s="47"/>
    </row>
    <row r="16" spans="3:11" x14ac:dyDescent="0.25">
      <c r="D16" s="82"/>
      <c r="E16" s="66"/>
      <c r="F16" s="47"/>
    </row>
    <row r="17" spans="4:6" x14ac:dyDescent="0.25">
      <c r="D17" s="82"/>
      <c r="E17" s="66"/>
      <c r="F17" s="47"/>
    </row>
    <row r="18" spans="4:6" x14ac:dyDescent="0.25">
      <c r="D18" s="82"/>
      <c r="E18" s="66"/>
      <c r="F18" s="47"/>
    </row>
    <row r="19" spans="4:6" x14ac:dyDescent="0.25">
      <c r="D19" s="82"/>
      <c r="E19" s="66"/>
      <c r="F19" s="47"/>
    </row>
    <row r="20" spans="4:6" x14ac:dyDescent="0.25">
      <c r="D20" s="82"/>
      <c r="E20" s="66"/>
      <c r="F20" s="47"/>
    </row>
  </sheetData>
  <dataValidations count="1">
    <dataValidation type="list" allowBlank="1" showInputMessage="1" showErrorMessage="1" sqref="F11:F20" xr:uid="{9C8B3973-FAC4-43D3-9591-1F01F0AB4558}">
      <formula1>"kg, m3"</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AC24D-2696-4CE2-8385-3146CB7DCC45}">
  <sheetPr>
    <tabColor theme="5" tint="-0.249977111117893"/>
  </sheetPr>
  <dimension ref="C1:R76"/>
  <sheetViews>
    <sheetView showGridLines="0" topLeftCell="A3" zoomScaleNormal="100" workbookViewId="0">
      <selection activeCell="C2" sqref="C2"/>
    </sheetView>
  </sheetViews>
  <sheetFormatPr defaultRowHeight="15.75" x14ac:dyDescent="0.25"/>
  <cols>
    <col min="1" max="1" width="30.625" customWidth="1"/>
    <col min="2" max="2" width="4.625" customWidth="1"/>
    <col min="3" max="3" width="4.625" style="8" customWidth="1"/>
    <col min="4" max="17" width="30.625" style="8" customWidth="1"/>
    <col min="18" max="18" width="4.625" style="8" customWidth="1"/>
  </cols>
  <sheetData>
    <row r="1" spans="3:18" s="37" customFormat="1" ht="25.5" x14ac:dyDescent="0.35">
      <c r="C1" s="37" t="s">
        <v>873</v>
      </c>
    </row>
    <row r="2" spans="3:18" s="2" customFormat="1" ht="20.100000000000001" customHeight="1" x14ac:dyDescent="0.25"/>
    <row r="3" spans="3:18" ht="20.100000000000001" customHeight="1" x14ac:dyDescent="0.25">
      <c r="C3" s="38"/>
      <c r="D3" s="38"/>
      <c r="E3" s="38"/>
      <c r="F3" s="38"/>
      <c r="G3" s="38"/>
      <c r="H3" s="38"/>
      <c r="I3" s="38"/>
      <c r="J3" s="38"/>
      <c r="K3" s="38"/>
      <c r="L3" s="38"/>
      <c r="M3" s="38"/>
      <c r="N3" s="38"/>
      <c r="O3" s="38"/>
      <c r="P3" s="38"/>
      <c r="Q3" s="38"/>
      <c r="R3" s="38"/>
    </row>
    <row r="4" spans="3:18" ht="20.100000000000001" customHeight="1" x14ac:dyDescent="0.25"/>
    <row r="5" spans="3:18" ht="20.100000000000001" customHeight="1" x14ac:dyDescent="0.25">
      <c r="D5" s="9" t="s">
        <v>366</v>
      </c>
      <c r="E5" s="14"/>
      <c r="F5" s="14"/>
      <c r="G5" s="14"/>
      <c r="H5" s="14"/>
      <c r="I5" s="14"/>
      <c r="J5" s="14"/>
    </row>
    <row r="6" spans="3:18" ht="20.100000000000001" customHeight="1" x14ac:dyDescent="0.25">
      <c r="D6" s="144" t="s">
        <v>292</v>
      </c>
      <c r="E6" s="145"/>
      <c r="F6" s="67"/>
      <c r="G6" s="14"/>
      <c r="H6" s="14"/>
      <c r="I6" s="14"/>
      <c r="J6" s="14"/>
    </row>
    <row r="7" spans="3:18" ht="20.100000000000001" customHeight="1" x14ac:dyDescent="0.25">
      <c r="D7" s="8" t="str" cm="1">
        <f t="array" ref="D7:D9">Table_SourceData_Scope3_LickBlocks[Product]</f>
        <v>Lick block, dry season mix</v>
      </c>
      <c r="E7" s="66">
        <v>100</v>
      </c>
      <c r="F7" s="65" t="s">
        <v>352</v>
      </c>
      <c r="G7" s="14"/>
      <c r="H7" s="14"/>
      <c r="I7" s="14"/>
      <c r="J7" s="14"/>
    </row>
    <row r="8" spans="3:18" ht="20.100000000000001" customHeight="1" x14ac:dyDescent="0.25">
      <c r="D8" s="8" t="str">
        <v>Lick block, mineral</v>
      </c>
      <c r="E8" s="66">
        <v>100</v>
      </c>
      <c r="F8" s="65" t="s">
        <v>352</v>
      </c>
      <c r="G8" s="14"/>
      <c r="H8" s="14"/>
      <c r="I8" s="14"/>
      <c r="J8" s="14"/>
    </row>
    <row r="9" spans="3:18" ht="20.100000000000001" customHeight="1" x14ac:dyDescent="0.25">
      <c r="D9" s="8" t="str">
        <v>Lick block, weaner</v>
      </c>
      <c r="E9" s="66">
        <v>100</v>
      </c>
      <c r="F9" s="65" t="s">
        <v>352</v>
      </c>
      <c r="G9" s="14"/>
      <c r="H9" s="14"/>
      <c r="I9" s="14"/>
      <c r="J9" s="14"/>
    </row>
    <row r="10" spans="3:18" ht="20.100000000000001" customHeight="1" x14ac:dyDescent="0.25">
      <c r="G10" s="14"/>
      <c r="H10" s="14"/>
      <c r="I10" s="14"/>
      <c r="J10" s="14"/>
    </row>
    <row r="11" spans="3:18" ht="20.100000000000001" customHeight="1" x14ac:dyDescent="0.25">
      <c r="D11" s="144" t="s">
        <v>401</v>
      </c>
      <c r="E11" s="7"/>
      <c r="F11" s="7"/>
      <c r="G11" s="14"/>
      <c r="H11" s="14"/>
      <c r="I11" s="14"/>
      <c r="J11" s="14"/>
    </row>
    <row r="12" spans="3:18" ht="20.100000000000001" customHeight="1" x14ac:dyDescent="0.25">
      <c r="D12" s="8" t="str" cm="1">
        <f t="array" ref="D12:D15">Table_SourceData_Scope3_MixedRations[Product]</f>
        <v>Feed for chickens</v>
      </c>
      <c r="E12" s="66">
        <v>100</v>
      </c>
      <c r="F12" s="65" t="s">
        <v>352</v>
      </c>
      <c r="G12" s="14"/>
      <c r="H12" s="14"/>
      <c r="I12" s="14"/>
      <c r="J12" s="14"/>
    </row>
    <row r="13" spans="3:18" ht="20.100000000000001" customHeight="1" x14ac:dyDescent="0.25">
      <c r="D13" s="8" t="str">
        <v>Feed for dairy calves</v>
      </c>
      <c r="E13" s="66">
        <v>100</v>
      </c>
      <c r="F13" s="65" t="s">
        <v>352</v>
      </c>
      <c r="G13" s="14"/>
      <c r="H13" s="14"/>
      <c r="I13" s="14"/>
      <c r="J13" s="14"/>
    </row>
    <row r="14" spans="3:18" ht="20.100000000000001" customHeight="1" x14ac:dyDescent="0.25">
      <c r="D14" s="8" t="str">
        <v>Feed for dairy cows</v>
      </c>
      <c r="E14" s="66">
        <v>100</v>
      </c>
      <c r="F14" s="65" t="s">
        <v>352</v>
      </c>
      <c r="G14" s="14"/>
      <c r="H14" s="14"/>
      <c r="I14" s="14"/>
      <c r="J14" s="14"/>
    </row>
    <row r="15" spans="3:18" ht="20.100000000000001" customHeight="1" x14ac:dyDescent="0.25">
      <c r="D15" s="8" t="str">
        <v>Feed for pigs</v>
      </c>
      <c r="E15" s="66">
        <v>100</v>
      </c>
      <c r="F15" s="65" t="s">
        <v>352</v>
      </c>
      <c r="G15" s="14"/>
      <c r="H15" s="14"/>
      <c r="I15" s="14"/>
      <c r="J15" s="14"/>
    </row>
    <row r="16" spans="3:18" ht="20.100000000000001" customHeight="1" x14ac:dyDescent="0.25">
      <c r="D16" s="7"/>
      <c r="E16" s="7"/>
      <c r="F16" s="7"/>
      <c r="G16" s="14"/>
      <c r="H16" s="14"/>
      <c r="I16" s="14"/>
      <c r="J16" s="14"/>
    </row>
    <row r="17" spans="4:17" ht="20.100000000000001" customHeight="1" x14ac:dyDescent="0.25">
      <c r="D17" s="144" t="s">
        <v>869</v>
      </c>
      <c r="E17" s="7"/>
      <c r="F17" s="7"/>
      <c r="G17" s="14"/>
      <c r="H17" s="14" t="s">
        <v>868</v>
      </c>
      <c r="I17" s="14"/>
      <c r="J17" s="14"/>
    </row>
    <row r="18" spans="4:17" ht="20.100000000000001" customHeight="1" x14ac:dyDescent="0.25">
      <c r="D18" s="48" t="s">
        <v>294</v>
      </c>
      <c r="E18" s="48" t="s">
        <v>295</v>
      </c>
      <c r="F18" s="48" t="s">
        <v>209</v>
      </c>
      <c r="G18" s="48" t="s">
        <v>392</v>
      </c>
      <c r="H18" s="48" t="s">
        <v>175</v>
      </c>
      <c r="I18" s="48" t="s">
        <v>296</v>
      </c>
      <c r="J18" s="48" t="s">
        <v>397</v>
      </c>
      <c r="K18" s="48" t="s">
        <v>177</v>
      </c>
      <c r="L18" s="48" t="s">
        <v>297</v>
      </c>
      <c r="M18" s="48" t="s">
        <v>398</v>
      </c>
      <c r="N18" s="48" t="s">
        <v>179</v>
      </c>
      <c r="O18" s="48" t="s">
        <v>298</v>
      </c>
      <c r="P18" s="48" t="s">
        <v>399</v>
      </c>
      <c r="Q18" s="48" t="s">
        <v>181</v>
      </c>
    </row>
    <row r="19" spans="4:17" ht="20.100000000000001" customHeight="1" x14ac:dyDescent="0.25">
      <c r="D19" s="15"/>
      <c r="E19" s="146">
        <v>1200</v>
      </c>
      <c r="F19" s="47" t="s">
        <v>848</v>
      </c>
      <c r="G19" s="47" t="s">
        <v>394</v>
      </c>
      <c r="H19" s="50">
        <v>0.35</v>
      </c>
      <c r="I19" s="47" t="s">
        <v>389</v>
      </c>
      <c r="J19" s="47" t="s">
        <v>394</v>
      </c>
      <c r="K19" s="50">
        <v>0.22</v>
      </c>
      <c r="L19" s="47" t="s">
        <v>299</v>
      </c>
      <c r="M19" s="47" t="s">
        <v>336</v>
      </c>
      <c r="N19" s="50">
        <v>0.12</v>
      </c>
      <c r="O19" s="47" t="s">
        <v>400</v>
      </c>
      <c r="P19" s="47" t="s">
        <v>338</v>
      </c>
      <c r="Q19" s="50">
        <v>0.05</v>
      </c>
    </row>
    <row r="20" spans="4:17" ht="20.100000000000001" customHeight="1" x14ac:dyDescent="0.25">
      <c r="D20" s="15"/>
      <c r="E20" s="146">
        <v>3456</v>
      </c>
      <c r="F20" s="47" t="s">
        <v>395</v>
      </c>
      <c r="G20" s="47" t="s">
        <v>344</v>
      </c>
      <c r="H20" s="50">
        <v>0.2</v>
      </c>
      <c r="I20" s="47" t="s">
        <v>395</v>
      </c>
      <c r="J20" s="47" t="s">
        <v>337</v>
      </c>
      <c r="K20" s="50">
        <v>0.2</v>
      </c>
      <c r="L20" s="47"/>
      <c r="M20" s="47"/>
      <c r="N20" s="50"/>
      <c r="O20" s="47"/>
      <c r="P20" s="47"/>
      <c r="Q20" s="50"/>
    </row>
    <row r="21" spans="4:17" ht="20.100000000000001" customHeight="1" x14ac:dyDescent="0.25">
      <c r="D21" s="15" t="s">
        <v>300</v>
      </c>
      <c r="E21" s="146">
        <v>300</v>
      </c>
      <c r="F21" s="47" t="s">
        <v>393</v>
      </c>
      <c r="G21" s="47" t="s">
        <v>343</v>
      </c>
      <c r="H21" s="50">
        <v>0.8</v>
      </c>
      <c r="I21" s="47" t="s">
        <v>390</v>
      </c>
      <c r="J21" s="47" t="s">
        <v>396</v>
      </c>
      <c r="K21" s="50">
        <v>0.2</v>
      </c>
      <c r="L21" s="47"/>
      <c r="M21" s="47"/>
      <c r="N21" s="50"/>
      <c r="O21" s="47"/>
      <c r="P21" s="47"/>
      <c r="Q21" s="50"/>
    </row>
    <row r="22" spans="4:17" ht="20.100000000000001" customHeight="1" x14ac:dyDescent="0.25">
      <c r="D22" s="15"/>
      <c r="E22" s="146">
        <v>500</v>
      </c>
      <c r="F22" s="47" t="s">
        <v>402</v>
      </c>
      <c r="G22" s="47" t="s">
        <v>343</v>
      </c>
      <c r="H22" s="50">
        <v>1</v>
      </c>
      <c r="I22" s="47"/>
      <c r="J22" s="47"/>
      <c r="K22" s="50"/>
      <c r="L22" s="47"/>
      <c r="M22" s="47"/>
      <c r="N22" s="50"/>
      <c r="O22" s="47"/>
      <c r="P22" s="47"/>
      <c r="Q22" s="50"/>
    </row>
    <row r="23" spans="4:17" ht="20.100000000000001" customHeight="1" x14ac:dyDescent="0.25">
      <c r="D23" s="15"/>
      <c r="E23" s="146"/>
      <c r="F23" s="47"/>
      <c r="G23" s="47"/>
      <c r="H23" s="50"/>
      <c r="I23" s="47"/>
      <c r="J23" s="47"/>
      <c r="K23" s="50"/>
      <c r="L23" s="47"/>
      <c r="M23" s="47"/>
      <c r="N23" s="50"/>
      <c r="O23" s="47"/>
      <c r="P23" s="47"/>
      <c r="Q23" s="50"/>
    </row>
    <row r="24" spans="4:17" ht="20.100000000000001" customHeight="1" x14ac:dyDescent="0.25">
      <c r="D24" s="15"/>
      <c r="E24" s="146"/>
      <c r="F24" s="47"/>
      <c r="G24" s="47"/>
      <c r="H24" s="50"/>
      <c r="I24" s="47"/>
      <c r="J24" s="47"/>
      <c r="K24" s="50"/>
      <c r="L24" s="47"/>
      <c r="M24" s="47"/>
      <c r="N24" s="50"/>
      <c r="O24" s="47"/>
      <c r="P24" s="47"/>
      <c r="Q24" s="50"/>
    </row>
    <row r="25" spans="4:17" ht="20.100000000000001" customHeight="1" x14ac:dyDescent="0.25">
      <c r="D25" s="15"/>
      <c r="E25" s="146"/>
      <c r="F25" s="47"/>
      <c r="G25" s="47"/>
      <c r="H25" s="50"/>
      <c r="I25" s="47"/>
      <c r="J25" s="47"/>
      <c r="K25" s="50"/>
      <c r="L25" s="47"/>
      <c r="M25" s="47"/>
      <c r="N25" s="50"/>
      <c r="O25" s="47"/>
      <c r="P25" s="47"/>
      <c r="Q25" s="50"/>
    </row>
    <row r="26" spans="4:17" ht="20.100000000000001" customHeight="1" x14ac:dyDescent="0.25">
      <c r="D26" s="15"/>
      <c r="E26" s="146"/>
      <c r="F26" s="47"/>
      <c r="G26" s="47"/>
      <c r="H26" s="50"/>
      <c r="I26" s="47"/>
      <c r="J26" s="47"/>
      <c r="K26" s="50"/>
      <c r="L26" s="47"/>
      <c r="M26" s="47"/>
      <c r="N26" s="50"/>
      <c r="O26" s="47"/>
      <c r="P26" s="47"/>
      <c r="Q26" s="50"/>
    </row>
    <row r="27" spans="4:17" ht="20.100000000000001" customHeight="1" x14ac:dyDescent="0.25">
      <c r="D27" s="15"/>
      <c r="E27" s="146"/>
      <c r="F27" s="47"/>
      <c r="G27" s="47"/>
      <c r="H27" s="50"/>
      <c r="I27" s="47"/>
      <c r="J27" s="47"/>
      <c r="K27" s="50"/>
      <c r="L27" s="47"/>
      <c r="M27" s="47"/>
      <c r="N27" s="50"/>
      <c r="O27" s="47"/>
      <c r="P27" s="47"/>
      <c r="Q27" s="50"/>
    </row>
    <row r="28" spans="4:17" ht="20.100000000000001" customHeight="1" x14ac:dyDescent="0.25">
      <c r="D28" s="15"/>
      <c r="E28" s="146"/>
      <c r="F28" s="47"/>
      <c r="G28" s="47"/>
      <c r="H28" s="50"/>
      <c r="I28" s="47"/>
      <c r="J28" s="47"/>
      <c r="K28" s="50"/>
      <c r="L28" s="47"/>
      <c r="M28" s="47"/>
      <c r="N28" s="50"/>
      <c r="O28" s="47"/>
      <c r="P28" s="47"/>
      <c r="Q28" s="50"/>
    </row>
    <row r="29" spans="4:17" ht="20.100000000000001" customHeight="1" x14ac:dyDescent="0.25"/>
    <row r="30" spans="4:17" ht="20.100000000000001" customHeight="1" x14ac:dyDescent="0.25"/>
    <row r="31" spans="4:17" ht="20.100000000000001" customHeight="1" x14ac:dyDescent="0.25">
      <c r="D31" s="144" t="s">
        <v>830</v>
      </c>
    </row>
    <row r="32" spans="4:17" ht="20.100000000000001" customHeight="1" x14ac:dyDescent="0.25">
      <c r="D32" s="46" t="s">
        <v>170</v>
      </c>
      <c r="E32" s="46" t="s">
        <v>345</v>
      </c>
      <c r="F32" s="46" t="s">
        <v>377</v>
      </c>
    </row>
    <row r="33" spans="4:6" ht="20.100000000000001" customHeight="1" x14ac:dyDescent="0.25">
      <c r="D33" s="82" t="s">
        <v>381</v>
      </c>
      <c r="E33" s="72" t="s">
        <v>373</v>
      </c>
      <c r="F33" s="66">
        <v>100</v>
      </c>
    </row>
    <row r="34" spans="4:6" ht="20.100000000000001" customHeight="1" x14ac:dyDescent="0.25">
      <c r="D34" s="82" t="s">
        <v>382</v>
      </c>
      <c r="E34" s="163" t="s">
        <v>374</v>
      </c>
      <c r="F34" s="150">
        <v>100</v>
      </c>
    </row>
    <row r="35" spans="4:6" ht="20.100000000000001" customHeight="1" x14ac:dyDescent="0.25">
      <c r="D35" s="82" t="s">
        <v>383</v>
      </c>
      <c r="E35" s="163" t="s">
        <v>375</v>
      </c>
      <c r="F35" s="150">
        <v>100</v>
      </c>
    </row>
    <row r="36" spans="4:6" ht="20.100000000000001" customHeight="1" x14ac:dyDescent="0.25">
      <c r="D36" s="82" t="s">
        <v>384</v>
      </c>
      <c r="E36" s="163" t="s">
        <v>376</v>
      </c>
      <c r="F36" s="150">
        <v>100</v>
      </c>
    </row>
    <row r="37" spans="4:6" ht="20.100000000000001" customHeight="1" x14ac:dyDescent="0.25">
      <c r="D37" s="82" t="s">
        <v>381</v>
      </c>
      <c r="E37" s="163" t="s">
        <v>373</v>
      </c>
      <c r="F37" s="150">
        <v>100</v>
      </c>
    </row>
    <row r="38" spans="4:6" ht="20.100000000000001" customHeight="1" x14ac:dyDescent="0.25">
      <c r="D38" s="82" t="s">
        <v>382</v>
      </c>
      <c r="E38" s="163" t="s">
        <v>374</v>
      </c>
      <c r="F38" s="150">
        <v>100</v>
      </c>
    </row>
    <row r="39" spans="4:6" ht="20.100000000000001" customHeight="1" x14ac:dyDescent="0.25">
      <c r="D39" s="82"/>
      <c r="E39" s="72"/>
      <c r="F39" s="66"/>
    </row>
    <row r="40" spans="4:6" ht="20.100000000000001" customHeight="1" x14ac:dyDescent="0.25">
      <c r="D40" s="82"/>
      <c r="E40" s="72"/>
      <c r="F40" s="66"/>
    </row>
    <row r="41" spans="4:6" ht="20.100000000000001" customHeight="1" x14ac:dyDescent="0.25">
      <c r="D41" s="82"/>
      <c r="E41" s="72"/>
      <c r="F41" s="66"/>
    </row>
    <row r="42" spans="4:6" ht="20.100000000000001" customHeight="1" x14ac:dyDescent="0.25">
      <c r="D42" s="82"/>
      <c r="E42" s="72"/>
      <c r="F42" s="66"/>
    </row>
    <row r="43" spans="4:6" ht="20.100000000000001" customHeight="1" x14ac:dyDescent="0.25"/>
    <row r="44" spans="4:6" ht="20.100000000000001" customHeight="1" x14ac:dyDescent="0.25"/>
    <row r="45" spans="4:6" ht="20.100000000000001" customHeight="1" x14ac:dyDescent="0.25"/>
    <row r="46" spans="4:6" ht="20.100000000000001" customHeight="1" x14ac:dyDescent="0.25">
      <c r="D46" s="9" t="s">
        <v>421</v>
      </c>
      <c r="E46" s="14"/>
      <c r="F46" s="14"/>
    </row>
    <row r="47" spans="4:6" ht="20.100000000000001" customHeight="1" x14ac:dyDescent="0.25">
      <c r="D47" s="8" t="str">
        <f>'Constants - Scope 3'!E202</f>
        <v>Animal ear tags (large)</v>
      </c>
      <c r="E47" s="66">
        <v>100</v>
      </c>
      <c r="F47" s="65" t="s">
        <v>408</v>
      </c>
    </row>
    <row r="48" spans="4:6" ht="20.100000000000001" customHeight="1" x14ac:dyDescent="0.25">
      <c r="D48" s="8" t="str">
        <f>'Constants - Scope 3'!E203</f>
        <v>Animal ear tags (small)</v>
      </c>
      <c r="E48" s="66">
        <v>200</v>
      </c>
      <c r="F48" s="65" t="s">
        <v>408</v>
      </c>
    </row>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sheetData>
  <dataValidations count="3">
    <dataValidation type="list" allowBlank="1" showInputMessage="1" showErrorMessage="1" sqref="F19:F28 I19:I28 L19:L28 O19:O28" xr:uid="{1054A587-AE3C-4093-8FA5-82F7F165672F}">
      <formula1>INDIRECT(_xlfn.UNIQUE("Table_SourceData_Scope3_Feed[Product]"))</formula1>
    </dataValidation>
    <dataValidation type="list" allowBlank="1" showInputMessage="1" showErrorMessage="1" sqref="M19:M28 P19:P28 J19:J28 G19:G28" xr:uid="{299DE751-C45B-453E-A22E-D9874EC037B6}">
      <formula1>INDIRECT("Table_ProductRegions_" &amp; SUBSTITUTE(SUBSTITUTE(SUBSTITUTE(SUBSTITUTE(F19, " ", ""), ",", ""), "(", ""), ")", "") &amp; "[Region]")</formula1>
    </dataValidation>
    <dataValidation type="list" allowBlank="1" showInputMessage="1" showErrorMessage="1" sqref="E33:E42" xr:uid="{F14848CE-F457-49B7-A95E-514E2B530B92}">
      <formula1>INDIRECT("Table_SourceData_Scope3_ChemicalsPharmacy[Product]")</formula1>
    </dataValidation>
  </dataValidations>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0CD1-D04A-4ABE-8A15-867D223FBAEF}">
  <sheetPr>
    <tabColor theme="5" tint="-0.249977111117893"/>
  </sheetPr>
  <dimension ref="A1"/>
  <sheetViews>
    <sheetView zoomScaleNormal="100" workbookViewId="0"/>
  </sheetViews>
  <sheetFormatPr defaultRowHeight="15.7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L63"/>
  <sheetViews>
    <sheetView showGridLines="0" zoomScaleNormal="100" workbookViewId="0">
      <selection activeCell="D5" sqref="D5"/>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 min="13" max="16" width="30.625" customWidth="1"/>
  </cols>
  <sheetData>
    <row r="1" spans="1:12" ht="25.5" x14ac:dyDescent="0.35">
      <c r="A1" s="37" t="e" vm="1">
        <v>#VALUE!</v>
      </c>
      <c r="B1" s="3"/>
      <c r="C1" s="37" t="s">
        <v>864</v>
      </c>
      <c r="D1" s="37"/>
      <c r="E1" s="37"/>
      <c r="F1" s="37"/>
      <c r="G1" s="37"/>
      <c r="H1" s="37"/>
      <c r="I1" s="37"/>
      <c r="J1" s="37"/>
      <c r="K1" s="37"/>
      <c r="L1" s="37"/>
    </row>
    <row r="2" spans="1:12" x14ac:dyDescent="0.25">
      <c r="C2" s="2"/>
      <c r="D2" s="2"/>
      <c r="E2" s="2"/>
      <c r="F2" s="2"/>
      <c r="G2" s="2"/>
      <c r="H2" s="2"/>
      <c r="I2" s="2"/>
      <c r="J2" s="2"/>
      <c r="K2" s="2"/>
      <c r="L2" s="2"/>
    </row>
    <row r="3" spans="1:12" ht="20.25" x14ac:dyDescent="0.25">
      <c r="A3" s="16" t="str">
        <f>HYPERLINK("#'Overview'!A1", "Overview")</f>
        <v>Overview</v>
      </c>
      <c r="C3" s="38"/>
      <c r="D3" s="38"/>
      <c r="E3" s="38"/>
      <c r="F3" s="38"/>
      <c r="G3" s="38"/>
      <c r="H3" s="38"/>
      <c r="I3" s="38"/>
      <c r="J3" s="38"/>
      <c r="K3" s="38"/>
      <c r="L3" s="38"/>
    </row>
    <row r="4" spans="1:12" x14ac:dyDescent="0.25">
      <c r="A4" s="16" t="str">
        <f>HYPERLINK("#'Results'!A1", "Results")</f>
        <v>Results</v>
      </c>
    </row>
    <row r="5" spans="1:12" x14ac:dyDescent="0.25">
      <c r="D5" s="54" t="s">
        <v>865</v>
      </c>
      <c r="E5" s="14"/>
      <c r="F5" s="14"/>
      <c r="G5" s="14"/>
      <c r="H5" s="14"/>
      <c r="I5" s="14"/>
      <c r="J5" s="14"/>
    </row>
    <row r="6" spans="1:12" x14ac:dyDescent="0.25">
      <c r="D6" s="10" t="s">
        <v>360</v>
      </c>
      <c r="E6" s="10" t="s">
        <v>432</v>
      </c>
      <c r="F6" s="10" t="s">
        <v>324</v>
      </c>
      <c r="G6" s="10" t="s">
        <v>429</v>
      </c>
      <c r="H6" s="10" t="s">
        <v>327</v>
      </c>
      <c r="I6" s="10" t="s">
        <v>325</v>
      </c>
      <c r="J6" s="162" t="s">
        <v>430</v>
      </c>
      <c r="K6" s="162" t="s">
        <v>431</v>
      </c>
    </row>
    <row r="7" spans="1:12" x14ac:dyDescent="0.25">
      <c r="A7" s="19" t="s">
        <v>67</v>
      </c>
      <c r="D7" s="82" t="s">
        <v>519</v>
      </c>
      <c r="E7" s="158">
        <v>45547</v>
      </c>
      <c r="F7" s="47" t="s">
        <v>490</v>
      </c>
      <c r="G7" s="72" t="s">
        <v>335</v>
      </c>
      <c r="H7" s="47" t="s">
        <v>438</v>
      </c>
      <c r="I7" s="66">
        <v>100</v>
      </c>
      <c r="J7" s="49" cm="1">
        <f t="array" ref="J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7" s="66">
        <v>205</v>
      </c>
    </row>
    <row r="8" spans="1:12" x14ac:dyDescent="0.25">
      <c r="A8" s="16" t="str">
        <f>HYPERLINK("#'Input - Site'!A1", "Site")</f>
        <v>Site</v>
      </c>
      <c r="D8" s="82"/>
      <c r="E8" s="158">
        <v>45292</v>
      </c>
      <c r="F8" s="149" t="s">
        <v>491</v>
      </c>
      <c r="G8" s="72" t="s">
        <v>334</v>
      </c>
      <c r="H8" s="47" t="s">
        <v>437</v>
      </c>
      <c r="I8" s="66">
        <v>100</v>
      </c>
      <c r="J8" s="49"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8" s="66">
        <v>465</v>
      </c>
    </row>
    <row r="9" spans="1:12" x14ac:dyDescent="0.25">
      <c r="A9" s="16" t="str">
        <f>HYPERLINK("#'Input - Fuel'!A1", "Fuel")</f>
        <v>Fuel</v>
      </c>
      <c r="D9" s="82"/>
      <c r="E9" s="82"/>
      <c r="F9" s="149"/>
      <c r="G9" s="72"/>
      <c r="H9" s="47"/>
      <c r="I9" s="66"/>
      <c r="J9" s="49"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9" s="66"/>
    </row>
    <row r="10" spans="1:12" x14ac:dyDescent="0.25">
      <c r="A10" s="16" t="str">
        <f>HYPERLINK("#'Input - Fertiliser'!A1", "Fertiliser")</f>
        <v>Fertiliser</v>
      </c>
      <c r="D10" s="82"/>
      <c r="E10" s="82"/>
      <c r="F10" s="149"/>
      <c r="G10" s="72"/>
      <c r="H10" s="47"/>
      <c r="I10" s="66"/>
      <c r="J10" s="49"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6"/>
    </row>
    <row r="11" spans="1:12" x14ac:dyDescent="0.25">
      <c r="A11" s="16" t="str">
        <f>HYPERLINK("#'Input - Farm Inputs'!A1", "Farm Inputs")</f>
        <v>Farm Inputs</v>
      </c>
      <c r="D11" s="82"/>
      <c r="E11" s="82"/>
      <c r="F11" s="149"/>
      <c r="G11" s="72"/>
      <c r="H11" s="47"/>
      <c r="I11" s="66"/>
      <c r="J11" s="49"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6"/>
    </row>
    <row r="12" spans="1:12" x14ac:dyDescent="0.25">
      <c r="A12" s="42" t="str">
        <f>HYPERLINK("#'Input - Beef cattle purchases'!A1", "Beef cattle purchases")</f>
        <v>Beef cattle purchases</v>
      </c>
      <c r="D12" s="82"/>
      <c r="E12" s="82"/>
      <c r="F12" s="149"/>
      <c r="G12" s="72"/>
      <c r="H12" s="47"/>
      <c r="I12" s="66"/>
      <c r="J12" s="49"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6"/>
    </row>
    <row r="13" spans="1:12" x14ac:dyDescent="0.25">
      <c r="A13" s="16" t="str">
        <f>HYPERLINK("#'Input - Dairy cattle purchases'!A1", "Dairy cattle purchases")</f>
        <v>Dairy cattle purchases</v>
      </c>
      <c r="D13" s="82"/>
      <c r="E13" s="82"/>
      <c r="F13" s="149"/>
      <c r="G13" s="72"/>
      <c r="H13" s="47"/>
      <c r="I13" s="66"/>
      <c r="J13" s="49"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6"/>
    </row>
    <row r="14" spans="1:12" x14ac:dyDescent="0.25">
      <c r="A14" s="16" t="str">
        <f>HYPERLINK("#'Input - Pig purchases'!A1", "Pig purchases")</f>
        <v>Pig purchases</v>
      </c>
      <c r="D14" s="82"/>
      <c r="E14" s="82"/>
      <c r="F14" s="149"/>
      <c r="G14" s="72"/>
      <c r="H14" s="47"/>
      <c r="I14" s="66"/>
      <c r="J14" s="49"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6"/>
    </row>
    <row r="15" spans="1:12" x14ac:dyDescent="0.25">
      <c r="A15" s="16" t="str">
        <f>HYPERLINK("#'Input - Poultry purchases'!A1", "Poultry purchases")</f>
        <v>Poultry purchases</v>
      </c>
      <c r="D15" s="82"/>
      <c r="E15" s="82"/>
      <c r="F15" s="149"/>
      <c r="G15" s="72"/>
      <c r="H15" s="47"/>
      <c r="I15" s="66"/>
      <c r="J15" s="49"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6"/>
    </row>
    <row r="16" spans="1:12" x14ac:dyDescent="0.25">
      <c r="A16" s="16" t="str">
        <f>HYPERLINK("#'Input - Freight'!A1", "Freight")</f>
        <v>Freight</v>
      </c>
      <c r="D16" s="82"/>
      <c r="E16" s="82"/>
      <c r="F16" s="149"/>
      <c r="G16" s="72"/>
      <c r="H16" s="47"/>
      <c r="I16" s="66"/>
      <c r="J16" s="49"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6"/>
    </row>
    <row r="17" spans="1:10" x14ac:dyDescent="0.25">
      <c r="A17" s="16" t="str">
        <f>HYPERLINK("#'Input - Solid waste'!A1", "Solid waste")</f>
        <v>Solid waste</v>
      </c>
    </row>
    <row r="18" spans="1:10" x14ac:dyDescent="0.25">
      <c r="A18" s="16" t="str">
        <f>HYPERLINK("#'Input - Manure sent off-site'!A1", "Manure sent off-site")</f>
        <v>Manure sent off-site</v>
      </c>
      <c r="D18" s="14"/>
      <c r="E18" s="14"/>
      <c r="F18" s="14"/>
      <c r="G18" s="14"/>
      <c r="H18" s="14"/>
      <c r="I18" s="14"/>
      <c r="J18" s="14"/>
    </row>
    <row r="19" spans="1:10" x14ac:dyDescent="0.25">
      <c r="A19" s="16" t="str">
        <f>HYPERLINK("#'Input - Electricity'!A1", "Electricity")</f>
        <v>Electricity</v>
      </c>
      <c r="J19" s="14"/>
    </row>
    <row r="20" spans="1:10" x14ac:dyDescent="0.25">
      <c r="J20" s="14"/>
    </row>
    <row r="21" spans="1:10" x14ac:dyDescent="0.25">
      <c r="J21" s="14"/>
    </row>
    <row r="22" spans="1:10" x14ac:dyDescent="0.25">
      <c r="A22" s="21" t="s">
        <v>77</v>
      </c>
      <c r="J22" s="14"/>
    </row>
    <row r="23" spans="1:10" x14ac:dyDescent="0.25">
      <c r="A23" s="16" t="str">
        <f>HYPERLINK("#'15 Scope 3'!A1", "15 Scope 3")</f>
        <v>15 Scope 3</v>
      </c>
      <c r="J23" s="14"/>
    </row>
    <row r="24" spans="1:10" x14ac:dyDescent="0.25">
      <c r="A24" s="16" t="str">
        <f>HYPERLINK("#'10.1.1-2 Solid waste treatment'!A1", "10.1.1-2 Solid waste treatment")</f>
        <v>10.1.1-2 Solid waste treatment</v>
      </c>
      <c r="J24" s="14"/>
    </row>
    <row r="25" spans="1:10" x14ac:dyDescent="0.25">
      <c r="A25" s="16" t="str">
        <f>HYPERLINK("#'Calcs - Manure sent off-site'!A1", "Calcs - Manure sent off-site")</f>
        <v>Calcs - Manure sent off-site</v>
      </c>
      <c r="J25" s="14"/>
    </row>
    <row r="26" spans="1:10" x14ac:dyDescent="0.25">
      <c r="A26" s="16" t="str">
        <f>HYPERLINK("#'8.1.1.1-2 Transport fuel'!A1", "8.1.1.1-2 Transport fuel")</f>
        <v>8.1.1.1-2 Transport fuel</v>
      </c>
      <c r="J26" s="14"/>
    </row>
    <row r="27" spans="1:10" x14ac:dyDescent="0.25">
      <c r="A27" s="16" t="str">
        <f>HYPERLINK("#'8.2.1.1-2 Stationary fuel'!A1", "8.2.1.1-2 Stationary fuel")</f>
        <v>8.2.1.1-2 Stationary fuel</v>
      </c>
      <c r="J27" s="14"/>
    </row>
    <row r="28" spans="1:10" x14ac:dyDescent="0.25">
      <c r="J28" s="14"/>
    </row>
    <row r="29" spans="1:10" x14ac:dyDescent="0.25">
      <c r="J29" s="14"/>
    </row>
    <row r="30" spans="1:10" x14ac:dyDescent="0.25">
      <c r="A30" s="222" t="s">
        <v>78</v>
      </c>
      <c r="J30" s="14"/>
    </row>
    <row r="31" spans="1:10" x14ac:dyDescent="0.25">
      <c r="A31" s="16" t="str">
        <f>HYPERLINK("#'Constants - Scope 3'!A1", "Constants - Scope 3")</f>
        <v>Constants - Scope 3</v>
      </c>
      <c r="D31" s="14"/>
      <c r="E31" s="14"/>
      <c r="F31" s="14"/>
      <c r="G31" s="14"/>
      <c r="H31" s="14"/>
      <c r="I31" s="14"/>
      <c r="J31" s="14"/>
    </row>
    <row r="32" spans="1:10" x14ac:dyDescent="0.25">
      <c r="A32" s="16" t="str">
        <f>HYPERLINK("#'Constants - Solid Waste'!A1", "Constants - Solid Waste")</f>
        <v>Constants - Solid Waste</v>
      </c>
      <c r="I32" s="14"/>
      <c r="J32" s="14"/>
    </row>
    <row r="33" spans="1:10" x14ac:dyDescent="0.25">
      <c r="A33" s="16" t="str">
        <f>HYPERLINK("#'Constants - Fuel'!A1", "Constants - Fuel")</f>
        <v>Constants - Fuel</v>
      </c>
      <c r="I33" s="14"/>
      <c r="J33" s="14"/>
    </row>
    <row r="34" spans="1:10" x14ac:dyDescent="0.25">
      <c r="A34" s="16" t="str">
        <f>HYPERLINK("#'Constants - Poultry'!A1", "Constants - Poultry")</f>
        <v>Constants - Poultry</v>
      </c>
      <c r="I34" s="14"/>
      <c r="J34" s="14"/>
    </row>
    <row r="35" spans="1:10" x14ac:dyDescent="0.25">
      <c r="A35" s="16" t="str">
        <f>HYPERLINK("#'Constants - Swine'!A1", "Constants - Swine")</f>
        <v>Constants - Swine</v>
      </c>
      <c r="I35" s="14"/>
      <c r="J35" s="14"/>
    </row>
    <row r="36" spans="1:10" x14ac:dyDescent="0.25">
      <c r="A36" s="16" t="str">
        <f>HYPERLINK("#'Constants - Dairy'!A1", "Constants - Dairy")</f>
        <v>Constants - Dairy</v>
      </c>
      <c r="I36" s="14"/>
      <c r="J36" s="14"/>
    </row>
    <row r="37" spans="1:10" x14ac:dyDescent="0.25">
      <c r="A37" s="16" t="str">
        <f>HYPERLINK("#'Constants - Pasture Beef'!A1", "Constants - Pasture Beef")</f>
        <v>Constants - Pasture Beef</v>
      </c>
      <c r="I37" s="14"/>
      <c r="J37" s="14"/>
    </row>
    <row r="38" spans="1:10" x14ac:dyDescent="0.25">
      <c r="A38" s="16" t="str">
        <f>HYPERLINK("#'Constants - Common Livestock'!A1", "Constants - Common Livestock")</f>
        <v>Constants - Common Livestock</v>
      </c>
      <c r="I38" s="14"/>
      <c r="J38" s="14"/>
    </row>
    <row r="39" spans="1:10" x14ac:dyDescent="0.25">
      <c r="A39" s="16" t="str">
        <f>HYPERLINK("#'Constants - Fertiliser'!A1", "Constants - Fertiliser")</f>
        <v>Constants - Fertiliser</v>
      </c>
      <c r="I39" s="14"/>
      <c r="J39" s="14"/>
    </row>
    <row r="40" spans="1:10" x14ac:dyDescent="0.25">
      <c r="A40" s="16" t="str">
        <f>HYPERLINK("#'Constants - Electricity'!A1", "Constants - Electricity")</f>
        <v>Constants - Electricity</v>
      </c>
      <c r="I40" s="14"/>
      <c r="J40" s="14"/>
    </row>
    <row r="41" spans="1:10" x14ac:dyDescent="0.25">
      <c r="A41" s="16" t="str">
        <f>HYPERLINK("#'Constants - Common'!A1", "Constants - Common")</f>
        <v>Constants - Common</v>
      </c>
      <c r="I41" s="14"/>
      <c r="J41" s="14"/>
    </row>
    <row r="42" spans="1:10" x14ac:dyDescent="0.25">
      <c r="I42" s="14"/>
      <c r="J42" s="14"/>
    </row>
    <row r="43" spans="1:10" x14ac:dyDescent="0.25">
      <c r="I43" s="14"/>
      <c r="J43" s="14"/>
    </row>
    <row r="44" spans="1:10" x14ac:dyDescent="0.25">
      <c r="D44" s="14"/>
      <c r="E44" s="14"/>
      <c r="F44" s="14"/>
      <c r="G44" s="14"/>
      <c r="H44" s="14"/>
      <c r="I44" s="14"/>
      <c r="J44" s="14"/>
    </row>
    <row r="45" spans="1:10" x14ac:dyDescent="0.25">
      <c r="I45" s="14"/>
      <c r="J45" s="14"/>
    </row>
    <row r="46" spans="1:10" x14ac:dyDescent="0.25">
      <c r="I46" s="14"/>
      <c r="J46" s="14"/>
    </row>
    <row r="47" spans="1:10" x14ac:dyDescent="0.25">
      <c r="I47" s="14"/>
      <c r="J47" s="14"/>
    </row>
    <row r="48" spans="1:10" x14ac:dyDescent="0.25">
      <c r="I48" s="14"/>
      <c r="J48" s="14"/>
    </row>
    <row r="49" spans="4:10" x14ac:dyDescent="0.25">
      <c r="I49" s="14"/>
      <c r="J49" s="14"/>
    </row>
    <row r="50" spans="4:10" x14ac:dyDescent="0.25">
      <c r="I50" s="14"/>
      <c r="J50" s="14"/>
    </row>
    <row r="51" spans="4:10" x14ac:dyDescent="0.25">
      <c r="I51" s="14"/>
      <c r="J51" s="14"/>
    </row>
    <row r="52" spans="4:10" x14ac:dyDescent="0.25">
      <c r="I52" s="14"/>
      <c r="J52" s="14"/>
    </row>
    <row r="53" spans="4:10" x14ac:dyDescent="0.25">
      <c r="I53" s="14"/>
      <c r="J53" s="14"/>
    </row>
    <row r="54" spans="4:10" x14ac:dyDescent="0.25">
      <c r="I54" s="14"/>
      <c r="J54" s="14"/>
    </row>
    <row r="55" spans="4:10" x14ac:dyDescent="0.25">
      <c r="I55" s="14"/>
      <c r="J55" s="14"/>
    </row>
    <row r="56" spans="4:10" x14ac:dyDescent="0.25">
      <c r="I56" s="14"/>
      <c r="J56" s="14"/>
    </row>
    <row r="57" spans="4:10" x14ac:dyDescent="0.25">
      <c r="D57" s="14"/>
      <c r="E57" s="14"/>
      <c r="F57" s="14"/>
      <c r="G57" s="14"/>
      <c r="H57" s="14"/>
      <c r="I57" s="14"/>
      <c r="J57" s="14"/>
    </row>
    <row r="58" spans="4:10" ht="18.75" x14ac:dyDescent="0.25">
      <c r="D58" s="144"/>
      <c r="E58" s="14"/>
      <c r="F58" s="14"/>
      <c r="G58" s="14"/>
      <c r="H58" s="14"/>
      <c r="I58" s="14"/>
      <c r="J58" s="14"/>
    </row>
    <row r="59" spans="4:10" x14ac:dyDescent="0.25">
      <c r="D59" s="14"/>
      <c r="E59" s="14"/>
      <c r="F59" s="14"/>
      <c r="G59" s="14"/>
      <c r="H59" s="14"/>
      <c r="I59" s="14"/>
      <c r="J59" s="14"/>
    </row>
    <row r="60" spans="4:10" x14ac:dyDescent="0.25">
      <c r="D60" s="14"/>
      <c r="E60" s="14"/>
      <c r="F60" s="14"/>
      <c r="G60" s="14"/>
      <c r="H60" s="14"/>
      <c r="I60" s="14"/>
      <c r="J60" s="14"/>
    </row>
    <row r="61" spans="4:10" x14ac:dyDescent="0.25">
      <c r="D61" s="14"/>
      <c r="E61" s="14"/>
      <c r="F61" s="14"/>
      <c r="G61" s="14"/>
      <c r="H61" s="14"/>
      <c r="I61" s="14"/>
      <c r="J61" s="14"/>
    </row>
    <row r="62" spans="4:10" x14ac:dyDescent="0.25">
      <c r="D62" s="14"/>
      <c r="E62" s="14"/>
      <c r="F62" s="14"/>
      <c r="G62" s="14"/>
      <c r="H62" s="14"/>
      <c r="I62" s="14"/>
      <c r="J62" s="14"/>
    </row>
    <row r="63" spans="4:10" x14ac:dyDescent="0.25">
      <c r="D63" s="14"/>
      <c r="E63" s="14"/>
      <c r="F63" s="14"/>
      <c r="G63" s="14"/>
      <c r="H63" s="14"/>
      <c r="I63" s="14"/>
      <c r="J63" s="14"/>
    </row>
  </sheetData>
  <dataValidations count="3">
    <dataValidation type="list" allowBlank="1" showInputMessage="1" showErrorMessage="1" sqref="F7:F16" xr:uid="{E820CFC8-651A-4AAE-8CFC-0434A22A2CFE}">
      <formula1>INDIRECT("Table_LivestockClasses_Beefcattle[Livestock class]")</formula1>
    </dataValidation>
    <dataValidation type="list" allowBlank="1" showInputMessage="1" showErrorMessage="1" sqref="G7:G16" xr:uid="{D038D161-4CB4-4F66-9EA9-1B3DFD795E64}">
      <formula1>INDIRECT(TRIM("Table_SourceData_LivestockProduct_Beefcattle[Product]"))</formula1>
    </dataValidation>
    <dataValidation type="list" allowBlank="1" showInputMessage="1" showErrorMessage="1" sqref="H7:H16" xr:uid="{579B6E80-B21D-49A6-A5CC-E0740A79C06C}">
      <formula1>INDIRECT("Table_ProductRegions_Beefcattle[Region]")</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85AB-6202-448E-860E-DDB3E9B12826}">
  <sheetPr>
    <tabColor theme="5" tint="-0.249977111117893"/>
  </sheetPr>
  <dimension ref="C1:J16"/>
  <sheetViews>
    <sheetView showGridLines="0" zoomScaleNormal="100" workbookViewId="0">
      <selection activeCell="D5" sqref="D5"/>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3:10" ht="25.5" x14ac:dyDescent="0.35">
      <c r="C1" s="37" t="s">
        <v>863</v>
      </c>
      <c r="D1" s="37"/>
      <c r="E1" s="37"/>
      <c r="F1" s="37"/>
      <c r="G1" s="37"/>
      <c r="H1" s="37"/>
      <c r="I1" s="37"/>
      <c r="J1" s="37"/>
    </row>
    <row r="2" spans="3:10" x14ac:dyDescent="0.25">
      <c r="C2" s="2"/>
      <c r="D2" s="2"/>
      <c r="E2" s="2"/>
      <c r="F2" s="2"/>
      <c r="G2" s="2"/>
      <c r="H2" s="2"/>
      <c r="I2" s="2"/>
      <c r="J2" s="2"/>
    </row>
    <row r="3" spans="3:10" ht="20.25" x14ac:dyDescent="0.25">
      <c r="C3" s="38"/>
      <c r="D3" s="38"/>
      <c r="E3" s="38"/>
      <c r="F3" s="38"/>
      <c r="G3" s="38"/>
      <c r="H3" s="38"/>
      <c r="I3" s="38"/>
      <c r="J3" s="38"/>
    </row>
    <row r="5" spans="3:10" x14ac:dyDescent="0.25">
      <c r="D5" s="54" t="s">
        <v>865</v>
      </c>
      <c r="E5" s="14"/>
      <c r="F5" s="14"/>
      <c r="G5" s="14"/>
      <c r="H5" s="14"/>
      <c r="I5" s="14"/>
    </row>
    <row r="6" spans="3:10" x14ac:dyDescent="0.25">
      <c r="D6" s="162" t="s">
        <v>360</v>
      </c>
      <c r="E6" s="162" t="s">
        <v>324</v>
      </c>
      <c r="F6" s="162" t="s">
        <v>521</v>
      </c>
      <c r="G6" s="162" t="s">
        <v>325</v>
      </c>
      <c r="H6" s="162" t="s">
        <v>430</v>
      </c>
      <c r="I6" s="162" t="s">
        <v>431</v>
      </c>
    </row>
    <row r="7" spans="3:10" x14ac:dyDescent="0.25">
      <c r="D7" s="82" t="s">
        <v>520</v>
      </c>
      <c r="E7" s="47" t="s">
        <v>518</v>
      </c>
      <c r="F7" s="47" t="s">
        <v>846</v>
      </c>
      <c r="G7" s="66">
        <v>100</v>
      </c>
      <c r="H7" s="49" cm="1">
        <f t="array" ref="H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7" s="66">
        <v>350</v>
      </c>
    </row>
    <row r="8" spans="3:10" x14ac:dyDescent="0.25">
      <c r="D8" s="82"/>
      <c r="E8" s="149" t="s">
        <v>517</v>
      </c>
      <c r="F8" s="47" t="s">
        <v>847</v>
      </c>
      <c r="G8" s="66">
        <v>100</v>
      </c>
      <c r="H8" s="49" cm="1">
        <f t="array" ref="H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8" s="66">
        <v>625</v>
      </c>
    </row>
    <row r="9" spans="3:10" x14ac:dyDescent="0.25">
      <c r="D9" s="82"/>
      <c r="E9" s="149" t="s">
        <v>526</v>
      </c>
      <c r="F9" s="47" t="s">
        <v>846</v>
      </c>
      <c r="G9" s="66"/>
      <c r="H9" s="49" cm="1">
        <f t="array" ref="H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9" s="66"/>
    </row>
    <row r="10" spans="3:10" x14ac:dyDescent="0.25">
      <c r="D10" s="82"/>
      <c r="E10" s="149"/>
      <c r="F10" s="47"/>
      <c r="G10" s="66"/>
      <c r="H10" s="49" cm="1">
        <f t="array" ref="H1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 s="66"/>
    </row>
    <row r="11" spans="3:10" x14ac:dyDescent="0.25">
      <c r="D11" s="82"/>
      <c r="E11" s="149"/>
      <c r="F11" s="47"/>
      <c r="G11" s="66"/>
      <c r="H11" s="49" cm="1">
        <f t="array" ref="H1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1" s="66"/>
    </row>
    <row r="12" spans="3:10" x14ac:dyDescent="0.25">
      <c r="D12" s="82"/>
      <c r="E12" s="149"/>
      <c r="F12" s="47"/>
      <c r="G12" s="66"/>
      <c r="H12" s="49" cm="1">
        <f t="array" ref="H1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2" s="66"/>
    </row>
    <row r="13" spans="3:10" x14ac:dyDescent="0.25">
      <c r="D13" s="82"/>
      <c r="E13" s="149"/>
      <c r="F13" s="47"/>
      <c r="G13" s="66"/>
      <c r="H13" s="49" cm="1">
        <f t="array" ref="H1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3" s="66"/>
    </row>
    <row r="14" spans="3:10" x14ac:dyDescent="0.25">
      <c r="D14" s="82"/>
      <c r="E14" s="149"/>
      <c r="F14" s="47"/>
      <c r="G14" s="66"/>
      <c r="H14" s="49" cm="1">
        <f t="array" ref="H1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4" s="66"/>
    </row>
    <row r="15" spans="3:10" x14ac:dyDescent="0.25">
      <c r="D15" s="82"/>
      <c r="E15" s="149"/>
      <c r="F15" s="47"/>
      <c r="G15" s="66"/>
      <c r="H15" s="49" cm="1">
        <f t="array" ref="H1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5" s="66"/>
    </row>
    <row r="16" spans="3:10" x14ac:dyDescent="0.25">
      <c r="D16" s="82"/>
      <c r="E16" s="149"/>
      <c r="F16" s="47"/>
      <c r="G16" s="66"/>
      <c r="H16" s="49" cm="1">
        <f t="array" ref="H1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6" s="66"/>
    </row>
  </sheetData>
  <dataValidations count="2">
    <dataValidation type="list" allowBlank="1" showInputMessage="1" showErrorMessage="1" sqref="F7:F16" xr:uid="{6C01C856-27C6-4CD3-9F44-CB174DFAC047}">
      <formula1>INDIRECT("Table_SourceData_Dairy_WjCowsHeifers[Breed]")</formula1>
    </dataValidation>
    <dataValidation type="list" allowBlank="1" showInputMessage="1" showErrorMessage="1" sqref="E7:E16" xr:uid="{5781C060-ED70-4962-97D0-9C205A1D4D9A}">
      <formula1>INDIRECT("Table_SourceData_Dairy_WjCowsHeifers[[#Headers],[Milking cows]:[Heifers &lt; 1 (weaned)]]")</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B7189-D8E7-45FA-AE6D-92AD001C72EC}">
  <sheetPr>
    <tabColor theme="5" tint="-0.249977111117893"/>
  </sheetPr>
  <dimension ref="C1:J16"/>
  <sheetViews>
    <sheetView showGridLines="0" zoomScaleNormal="100" workbookViewId="0">
      <selection activeCell="E21" sqref="E21"/>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3:10" ht="25.5" x14ac:dyDescent="0.35">
      <c r="C1" s="37" t="s">
        <v>862</v>
      </c>
      <c r="D1" s="37"/>
      <c r="E1" s="37"/>
      <c r="F1" s="37"/>
      <c r="G1" s="37"/>
      <c r="H1" s="37"/>
      <c r="I1" s="37"/>
      <c r="J1" s="37"/>
    </row>
    <row r="2" spans="3:10" x14ac:dyDescent="0.25">
      <c r="C2" s="2"/>
      <c r="D2" s="2"/>
      <c r="E2" s="2"/>
      <c r="F2" s="2"/>
      <c r="G2" s="2"/>
      <c r="H2" s="2"/>
      <c r="I2" s="2"/>
      <c r="J2" s="2"/>
    </row>
    <row r="3" spans="3:10" ht="20.25" x14ac:dyDescent="0.25">
      <c r="C3" s="38"/>
      <c r="D3" s="38"/>
      <c r="E3" s="38"/>
      <c r="F3" s="38"/>
      <c r="G3" s="38"/>
      <c r="H3" s="38"/>
      <c r="I3" s="38"/>
      <c r="J3" s="38"/>
    </row>
    <row r="5" spans="3:10" x14ac:dyDescent="0.25">
      <c r="D5" s="54" t="s">
        <v>865</v>
      </c>
      <c r="E5" s="14"/>
      <c r="F5" s="14"/>
      <c r="G5" s="14"/>
      <c r="H5" s="14"/>
    </row>
    <row r="6" spans="3:10" x14ac:dyDescent="0.25">
      <c r="D6" s="162" t="s">
        <v>360</v>
      </c>
      <c r="E6" s="162" t="s">
        <v>324</v>
      </c>
      <c r="F6" s="162" t="s">
        <v>325</v>
      </c>
      <c r="G6" s="162" t="s">
        <v>430</v>
      </c>
      <c r="H6" s="162" t="s">
        <v>431</v>
      </c>
    </row>
    <row r="7" spans="3:10" x14ac:dyDescent="0.25">
      <c r="D7" s="82" t="s">
        <v>567</v>
      </c>
      <c r="E7" s="47" t="s">
        <v>568</v>
      </c>
      <c r="F7" s="66">
        <v>100</v>
      </c>
      <c r="G7" s="49" cm="1">
        <f t="array" ref="G7">Common_InputFunctions.Utility_LookupValueInTableNumber(Table_Input_LivestockPurchases_Pigs[[#This Row],[Class (select)]], Table_SourceData_Swine_Liveweight[Livestock type j],Table_SourceData_Swine_Liveweight[Average liveweight (kg)])</f>
        <v>188</v>
      </c>
      <c r="H7" s="66">
        <v>180</v>
      </c>
    </row>
    <row r="8" spans="3:10" x14ac:dyDescent="0.25">
      <c r="D8" s="82" t="s">
        <v>569</v>
      </c>
      <c r="E8" s="149" t="s">
        <v>568</v>
      </c>
      <c r="F8" s="66">
        <v>100</v>
      </c>
      <c r="G8" s="49" cm="1">
        <f t="array" ref="G8">Common_InputFunctions.Utility_LookupValueInTableNumber(Table_Input_LivestockPurchases_Pigs[[#This Row],[Class (select)]], Table_SourceData_Swine_Liveweight[Livestock type j],Table_SourceData_Swine_Liveweight[Average liveweight (kg)])</f>
        <v>188</v>
      </c>
      <c r="H8" s="66">
        <v>38</v>
      </c>
    </row>
    <row r="9" spans="3:10" x14ac:dyDescent="0.25">
      <c r="D9" s="82"/>
      <c r="E9" s="149"/>
      <c r="F9" s="66"/>
      <c r="G9" s="49" cm="1">
        <f t="array" ref="G9">Common_InputFunctions.Utility_LookupValueInTableNumber(Table_Input_LivestockPurchases_Pigs[[#This Row],[Class (select)]], Table_SourceData_Swine_Liveweight[Livestock type j],Table_SourceData_Swine_Liveweight[Average liveweight (kg)])</f>
        <v>0</v>
      </c>
      <c r="H9" s="66"/>
    </row>
    <row r="10" spans="3:10" x14ac:dyDescent="0.25">
      <c r="D10" s="82"/>
      <c r="E10" s="149"/>
      <c r="F10" s="66"/>
      <c r="G10" s="49" cm="1">
        <f t="array" ref="G10">Common_InputFunctions.Utility_LookupValueInTableNumber(Table_Input_LivestockPurchases_Pigs[[#This Row],[Class (select)]], Table_SourceData_Swine_Liveweight[Livestock type j],Table_SourceData_Swine_Liveweight[Average liveweight (kg)])</f>
        <v>0</v>
      </c>
      <c r="H10" s="66"/>
    </row>
    <row r="11" spans="3:10" x14ac:dyDescent="0.25">
      <c r="D11" s="82"/>
      <c r="E11" s="149"/>
      <c r="F11" s="66"/>
      <c r="G11" s="49" cm="1">
        <f t="array" ref="G11">Common_InputFunctions.Utility_LookupValueInTableNumber(Table_Input_LivestockPurchases_Pigs[[#This Row],[Class (select)]], Table_SourceData_Swine_Liveweight[Livestock type j],Table_SourceData_Swine_Liveweight[Average liveweight (kg)])</f>
        <v>0</v>
      </c>
      <c r="H11" s="66"/>
    </row>
    <row r="12" spans="3:10" x14ac:dyDescent="0.25">
      <c r="D12" s="82"/>
      <c r="E12" s="149"/>
      <c r="F12" s="66"/>
      <c r="G12" s="49" cm="1">
        <f t="array" ref="G12">Common_InputFunctions.Utility_LookupValueInTableNumber(Table_Input_LivestockPurchases_Pigs[[#This Row],[Class (select)]], Table_SourceData_Swine_Liveweight[Livestock type j],Table_SourceData_Swine_Liveweight[Average liveweight (kg)])</f>
        <v>0</v>
      </c>
      <c r="H12" s="66"/>
    </row>
    <row r="13" spans="3:10" x14ac:dyDescent="0.25">
      <c r="D13" s="82"/>
      <c r="E13" s="149"/>
      <c r="F13" s="66"/>
      <c r="G13" s="49" cm="1">
        <f t="array" ref="G13">Common_InputFunctions.Utility_LookupValueInTableNumber(Table_Input_LivestockPurchases_Pigs[[#This Row],[Class (select)]], Table_SourceData_Swine_Liveweight[Livestock type j],Table_SourceData_Swine_Liveweight[Average liveweight (kg)])</f>
        <v>0</v>
      </c>
      <c r="H13" s="66"/>
    </row>
    <row r="14" spans="3:10" x14ac:dyDescent="0.25">
      <c r="D14" s="82"/>
      <c r="E14" s="149"/>
      <c r="F14" s="66"/>
      <c r="G14" s="49" cm="1">
        <f t="array" ref="G14">Common_InputFunctions.Utility_LookupValueInTableNumber(Table_Input_LivestockPurchases_Pigs[[#This Row],[Class (select)]], Table_SourceData_Swine_Liveweight[Livestock type j],Table_SourceData_Swine_Liveweight[Average liveweight (kg)])</f>
        <v>0</v>
      </c>
      <c r="H14" s="66"/>
    </row>
    <row r="15" spans="3:10" x14ac:dyDescent="0.25">
      <c r="D15" s="82"/>
      <c r="E15" s="149"/>
      <c r="F15" s="66"/>
      <c r="G15" s="49" cm="1">
        <f t="array" ref="G15">Common_InputFunctions.Utility_LookupValueInTableNumber(Table_Input_LivestockPurchases_Pigs[[#This Row],[Class (select)]], Table_SourceData_Swine_Liveweight[Livestock type j],Table_SourceData_Swine_Liveweight[Average liveweight (kg)])</f>
        <v>0</v>
      </c>
      <c r="H15" s="66"/>
    </row>
    <row r="16" spans="3:10" x14ac:dyDescent="0.25">
      <c r="D16" s="82"/>
      <c r="E16" s="149"/>
      <c r="F16" s="66"/>
      <c r="G16" s="49" cm="1">
        <f t="array" ref="G16">Common_InputFunctions.Utility_LookupValueInTableNumber(Table_Input_LivestockPurchases_Pigs[[#This Row],[Class (select)]], Table_SourceData_Swine_Liveweight[Livestock type j],Table_SourceData_Swine_Liveweight[Average liveweight (kg)])</f>
        <v>0</v>
      </c>
      <c r="H16" s="66"/>
    </row>
  </sheetData>
  <dataValidations count="1">
    <dataValidation type="list" allowBlank="1" showInputMessage="1" showErrorMessage="1" sqref="E7:E16" xr:uid="{F5AB456D-7F9C-4165-97C1-CAA2ABA57C96}">
      <formula1>INDIRECT("Table_SourceData_Swine_Liveweight[Livestock type j]")</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3FA9-AC33-4EC0-8F0E-A1D128249FE0}">
  <sheetPr>
    <tabColor theme="5" tint="-0.249977111117893"/>
  </sheetPr>
  <dimension ref="C1:J16"/>
  <sheetViews>
    <sheetView showGridLines="0" zoomScaleNormal="100" workbookViewId="0">
      <selection activeCell="E8" sqref="E8"/>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3:10" ht="25.5" x14ac:dyDescent="0.35">
      <c r="C1" s="37" t="s">
        <v>861</v>
      </c>
      <c r="D1" s="37"/>
      <c r="E1" s="37"/>
      <c r="F1" s="37"/>
      <c r="G1" s="37"/>
      <c r="H1" s="37"/>
      <c r="I1" s="37"/>
      <c r="J1" s="37"/>
    </row>
    <row r="2" spans="3:10" x14ac:dyDescent="0.25">
      <c r="C2" s="2"/>
      <c r="D2" s="2"/>
      <c r="E2" s="2"/>
      <c r="F2" s="2"/>
      <c r="G2" s="2"/>
      <c r="H2" s="2"/>
      <c r="I2" s="2"/>
      <c r="J2" s="2"/>
    </row>
    <row r="3" spans="3:10" ht="20.25" x14ac:dyDescent="0.25">
      <c r="C3" s="38"/>
      <c r="D3" s="38"/>
      <c r="E3" s="38"/>
      <c r="F3" s="38"/>
      <c r="G3" s="38"/>
      <c r="H3" s="38"/>
      <c r="I3" s="38"/>
      <c r="J3" s="38"/>
    </row>
    <row r="5" spans="3:10" x14ac:dyDescent="0.25">
      <c r="D5" s="54" t="s">
        <v>865</v>
      </c>
      <c r="E5" s="14"/>
      <c r="F5" s="14"/>
      <c r="G5" s="14"/>
      <c r="H5" s="14"/>
    </row>
    <row r="6" spans="3:10" x14ac:dyDescent="0.25">
      <c r="D6" s="162" t="s">
        <v>360</v>
      </c>
      <c r="E6" s="162" t="s">
        <v>324</v>
      </c>
      <c r="F6" s="162" t="s">
        <v>325</v>
      </c>
      <c r="G6" s="162" t="s">
        <v>430</v>
      </c>
      <c r="H6" s="162" t="s">
        <v>431</v>
      </c>
    </row>
    <row r="7" spans="3:10" x14ac:dyDescent="0.25">
      <c r="D7" s="82" t="s">
        <v>572</v>
      </c>
      <c r="E7" s="47" t="s">
        <v>600</v>
      </c>
      <c r="F7" s="66">
        <v>100</v>
      </c>
      <c r="G7" s="49" cm="1">
        <f t="array" ref="G7">Common_InputFunctions.Utility_LookupValueInTableNumber(Table_Input_LivestockPurchases_Poultry[[#This Row],[Class (select)]], Table_SourceData_Poultry_Liveweights[Livestock class j],Table_SourceData_Poultry_Liveweights[Average liveweight (kg)])</f>
        <v>1.3</v>
      </c>
      <c r="H7" s="66">
        <v>1.3</v>
      </c>
    </row>
    <row r="8" spans="3:10" x14ac:dyDescent="0.25">
      <c r="D8" s="82" t="s">
        <v>573</v>
      </c>
      <c r="E8" s="149" t="s">
        <v>601</v>
      </c>
      <c r="F8" s="66">
        <v>100</v>
      </c>
      <c r="G8" s="49" cm="1">
        <f t="array" ref="G8">Common_InputFunctions.Utility_LookupValueInTableNumber(Table_Input_LivestockPurchases_Poultry[[#This Row],[Class (select)]], Table_SourceData_Poultry_Liveweights[Livestock class j],Table_SourceData_Poultry_Liveweights[Average liveweight (kg)])</f>
        <v>1.4</v>
      </c>
      <c r="H8" s="66">
        <v>1.4</v>
      </c>
    </row>
    <row r="9" spans="3:10" x14ac:dyDescent="0.25">
      <c r="D9" s="82"/>
      <c r="E9" s="149"/>
      <c r="F9" s="66"/>
      <c r="G9" s="49" cm="1">
        <f t="array" ref="G9">Common_InputFunctions.Utility_LookupValueInTableNumber(Table_Input_LivestockPurchases_Poultry[[#This Row],[Class (select)]], Table_SourceData_Poultry_Liveweights[Livestock class j],Table_SourceData_Poultry_Liveweights[Average liveweight (kg)])</f>
        <v>0</v>
      </c>
      <c r="H9" s="66"/>
    </row>
    <row r="10" spans="3:10" x14ac:dyDescent="0.25">
      <c r="D10" s="82"/>
      <c r="E10" s="149"/>
      <c r="F10" s="66"/>
      <c r="G10" s="49" cm="1">
        <f t="array" ref="G10">Common_InputFunctions.Utility_LookupValueInTableNumber(Table_Input_LivestockPurchases_Poultry[[#This Row],[Class (select)]], Table_SourceData_Poultry_Liveweights[Livestock class j],Table_SourceData_Poultry_Liveweights[Average liveweight (kg)])</f>
        <v>0</v>
      </c>
      <c r="H10" s="66"/>
    </row>
    <row r="11" spans="3:10" x14ac:dyDescent="0.25">
      <c r="D11" s="82"/>
      <c r="E11" s="149"/>
      <c r="F11" s="66"/>
      <c r="G11" s="49" cm="1">
        <f t="array" ref="G11">Common_InputFunctions.Utility_LookupValueInTableNumber(Table_Input_LivestockPurchases_Poultry[[#This Row],[Class (select)]], Table_SourceData_Poultry_Liveweights[Livestock class j],Table_SourceData_Poultry_Liveweights[Average liveweight (kg)])</f>
        <v>0</v>
      </c>
      <c r="H11" s="66"/>
    </row>
    <row r="12" spans="3:10" x14ac:dyDescent="0.25">
      <c r="D12" s="82"/>
      <c r="E12" s="149"/>
      <c r="F12" s="66"/>
      <c r="G12" s="49" cm="1">
        <f t="array" ref="G12">Common_InputFunctions.Utility_LookupValueInTableNumber(Table_Input_LivestockPurchases_Poultry[[#This Row],[Class (select)]], Table_SourceData_Poultry_Liveweights[Livestock class j],Table_SourceData_Poultry_Liveweights[Average liveweight (kg)])</f>
        <v>0</v>
      </c>
      <c r="H12" s="66"/>
    </row>
    <row r="13" spans="3:10" x14ac:dyDescent="0.25">
      <c r="D13" s="82"/>
      <c r="E13" s="149"/>
      <c r="F13" s="66"/>
      <c r="G13" s="49" cm="1">
        <f t="array" ref="G13">Common_InputFunctions.Utility_LookupValueInTableNumber(Table_Input_LivestockPurchases_Poultry[[#This Row],[Class (select)]], Table_SourceData_Poultry_Liveweights[Livestock class j],Table_SourceData_Poultry_Liveweights[Average liveweight (kg)])</f>
        <v>0</v>
      </c>
      <c r="H13" s="66"/>
    </row>
    <row r="14" spans="3:10" x14ac:dyDescent="0.25">
      <c r="D14" s="82"/>
      <c r="E14" s="149"/>
      <c r="F14" s="66"/>
      <c r="G14" s="49" cm="1">
        <f t="array" ref="G14">Common_InputFunctions.Utility_LookupValueInTableNumber(Table_Input_LivestockPurchases_Poultry[[#This Row],[Class (select)]], Table_SourceData_Poultry_Liveweights[Livestock class j],Table_SourceData_Poultry_Liveweights[Average liveweight (kg)])</f>
        <v>0</v>
      </c>
      <c r="H14" s="66"/>
    </row>
    <row r="15" spans="3:10" x14ac:dyDescent="0.25">
      <c r="D15" s="82"/>
      <c r="E15" s="149"/>
      <c r="F15" s="66"/>
      <c r="G15" s="49" cm="1">
        <f t="array" ref="G15">Common_InputFunctions.Utility_LookupValueInTableNumber(Table_Input_LivestockPurchases_Poultry[[#This Row],[Class (select)]], Table_SourceData_Poultry_Liveweights[Livestock class j],Table_SourceData_Poultry_Liveweights[Average liveweight (kg)])</f>
        <v>0</v>
      </c>
      <c r="H15" s="66"/>
    </row>
    <row r="16" spans="3:10" x14ac:dyDescent="0.25">
      <c r="D16" s="82"/>
      <c r="E16" s="149"/>
      <c r="F16" s="66"/>
      <c r="G16" s="49" cm="1">
        <f t="array" ref="G16">Common_InputFunctions.Utility_LookupValueInTableNumber(Table_Input_LivestockPurchases_Poultry[[#This Row],[Class (select)]], Table_SourceData_Poultry_Liveweights[Livestock class j],Table_SourceData_Poultry_Liveweights[Average liveweight (kg)])</f>
        <v>0</v>
      </c>
      <c r="H16" s="66"/>
    </row>
  </sheetData>
  <dataValidations count="1">
    <dataValidation type="list" allowBlank="1" showInputMessage="1" showErrorMessage="1" sqref="E7:E16" xr:uid="{EF3323C3-C624-43FE-8DC3-2DC12C1B5DDD}">
      <formula1>INDIRECT("Table_SourceData_Poultry_Liveweights[Livestock class j]")</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A1:J51"/>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1:10" s="37" customFormat="1" ht="30" customHeight="1" x14ac:dyDescent="0.35">
      <c r="C1" s="37" t="s">
        <v>832</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row r="6" spans="1:10" ht="20.100000000000001" customHeight="1" x14ac:dyDescent="0.25">
      <c r="D6" s="9" t="s">
        <v>809</v>
      </c>
    </row>
    <row r="7" spans="1:10" ht="20.100000000000001" customHeight="1" x14ac:dyDescent="0.25">
      <c r="A7" s="19" t="s">
        <v>67</v>
      </c>
    </row>
    <row r="8" spans="1:10" ht="20.100000000000001" customHeight="1" x14ac:dyDescent="0.25">
      <c r="A8" s="16" t="str">
        <f>HYPERLINK("#'Input - Site'!A1", "Site")</f>
        <v>Site</v>
      </c>
      <c r="D8" s="10" t="s">
        <v>811</v>
      </c>
      <c r="E8" s="10" t="s">
        <v>814</v>
      </c>
      <c r="F8" s="10" t="s">
        <v>815</v>
      </c>
      <c r="G8" s="10" t="s">
        <v>812</v>
      </c>
      <c r="H8" s="10" t="s">
        <v>813</v>
      </c>
    </row>
    <row r="9" spans="1:10" ht="20.100000000000001" customHeight="1" x14ac:dyDescent="0.25">
      <c r="A9" s="16" t="str">
        <f>HYPERLINK("#'Input - Fuel'!A1", "Fuel")</f>
        <v>Fuel</v>
      </c>
      <c r="D9" s="10" t="s">
        <v>818</v>
      </c>
      <c r="E9" s="47" t="s">
        <v>816</v>
      </c>
      <c r="F9" s="10">
        <v>986</v>
      </c>
      <c r="G9" s="10">
        <v>10</v>
      </c>
      <c r="H9" s="10">
        <v>52</v>
      </c>
    </row>
    <row r="10" spans="1:10" ht="20.100000000000001" customHeight="1" x14ac:dyDescent="0.25">
      <c r="A10" s="16" t="str">
        <f>HYPERLINK("#'Input - Fertiliser'!A1", "Fertiliser")</f>
        <v>Fertiliser</v>
      </c>
      <c r="D10" s="10" t="s">
        <v>820</v>
      </c>
      <c r="E10" s="47" t="s">
        <v>821</v>
      </c>
      <c r="F10" s="10">
        <v>65</v>
      </c>
      <c r="G10" s="10">
        <v>10</v>
      </c>
      <c r="H10" s="10">
        <v>6</v>
      </c>
    </row>
    <row r="11" spans="1:10" ht="20.100000000000001" customHeight="1" x14ac:dyDescent="0.25">
      <c r="A11" s="16" t="str">
        <f>HYPERLINK("#'Input - Farm Inputs'!A1", "Farm Inputs")</f>
        <v>Farm Inputs</v>
      </c>
      <c r="D11" s="10"/>
      <c r="E11" s="47"/>
      <c r="F11" s="10"/>
      <c r="G11" s="10"/>
      <c r="H11" s="10"/>
    </row>
    <row r="12" spans="1:10" ht="20.100000000000001" customHeight="1" x14ac:dyDescent="0.25">
      <c r="A12" s="16" t="str">
        <f>HYPERLINK("#'Input - Livestock purchases'!A1", "Livestock purchases")</f>
        <v>Livestock purchases</v>
      </c>
      <c r="D12" s="10"/>
      <c r="E12" s="47"/>
      <c r="F12" s="10"/>
      <c r="G12" s="10"/>
      <c r="H12" s="10"/>
    </row>
    <row r="13" spans="1:10" ht="20.100000000000001" customHeight="1" x14ac:dyDescent="0.25">
      <c r="A13" s="42" t="str">
        <f>HYPERLINK("#'Input - Freight'!A1", "Freight")</f>
        <v>Freight</v>
      </c>
      <c r="D13" s="10"/>
      <c r="E13" s="47"/>
      <c r="F13" s="10"/>
      <c r="G13" s="10"/>
      <c r="H13" s="10"/>
    </row>
    <row r="14" spans="1:10" ht="20.100000000000001" customHeight="1" x14ac:dyDescent="0.25">
      <c r="A14" s="16" t="str">
        <f>HYPERLINK("#'Input - Solid waste'!A1", "Solid waste")</f>
        <v>Solid waste</v>
      </c>
      <c r="D14" s="10"/>
      <c r="E14" s="47"/>
      <c r="F14" s="10"/>
      <c r="G14" s="10"/>
      <c r="H14" s="10"/>
    </row>
    <row r="15" spans="1:10" ht="20.100000000000001" customHeight="1" x14ac:dyDescent="0.25">
      <c r="A15" s="16" t="str">
        <f>HYPERLINK("#'Input - Manure sent off-site'!A1", "Manure sent off-site")</f>
        <v>Manure sent off-site</v>
      </c>
      <c r="D15" s="10"/>
      <c r="E15" s="47"/>
      <c r="F15" s="10"/>
      <c r="G15" s="10"/>
      <c r="H15" s="10"/>
    </row>
    <row r="16" spans="1:10" ht="20.100000000000001" customHeight="1" x14ac:dyDescent="0.25">
      <c r="A16" s="16" t="str">
        <f>HYPERLINK("#'Input - Electricity'!A1", "Electricity")</f>
        <v>Electricity</v>
      </c>
      <c r="D16" s="10"/>
      <c r="E16" s="47"/>
      <c r="F16" s="10"/>
      <c r="G16" s="10"/>
      <c r="H16" s="10"/>
    </row>
    <row r="17" spans="1:8" ht="20.100000000000001" customHeight="1" x14ac:dyDescent="0.25">
      <c r="D17" s="10"/>
      <c r="E17" s="47"/>
      <c r="F17" s="10"/>
      <c r="G17" s="10"/>
      <c r="H17" s="10"/>
    </row>
    <row r="18" spans="1:8" ht="20.100000000000001" customHeight="1" x14ac:dyDescent="0.25">
      <c r="D18" s="10"/>
      <c r="E18" s="47"/>
      <c r="F18" s="10"/>
      <c r="G18" s="10"/>
      <c r="H18" s="10"/>
    </row>
    <row r="19" spans="1:8" ht="20.100000000000001" customHeight="1" x14ac:dyDescent="0.25">
      <c r="A19" s="21" t="s">
        <v>77</v>
      </c>
    </row>
    <row r="20" spans="1:8" ht="20.100000000000001" customHeight="1" x14ac:dyDescent="0.25">
      <c r="A20" s="16" t="str">
        <f>HYPERLINK("#'15 Scope 3'!A1", "15 Scope 3")</f>
        <v>15 Scope 3</v>
      </c>
    </row>
    <row r="21" spans="1:8" ht="20.100000000000001" customHeight="1" x14ac:dyDescent="0.25">
      <c r="A21" s="16" t="str">
        <f>HYPERLINK("#'10.1.1-2 Solid waste treatment'!A1", "10.1.1-2 Solid waste treatment")</f>
        <v>10.1.1-2 Solid waste treatment</v>
      </c>
    </row>
    <row r="22" spans="1:8" ht="20.100000000000001" customHeight="1" x14ac:dyDescent="0.25">
      <c r="A22" s="16" t="str">
        <f>HYPERLINK("#'Calcs - Manure sent off-site'!A1", "Calcs - Manure sent off-site")</f>
        <v>Calcs - Manure sent off-site</v>
      </c>
      <c r="D22" s="9" t="s">
        <v>817</v>
      </c>
    </row>
    <row r="23" spans="1:8" ht="20.100000000000001" customHeight="1" x14ac:dyDescent="0.25">
      <c r="A23" s="16" t="str">
        <f>HYPERLINK("#'8.1.1.1-2 Transport fuel'!A1", "8.1.1.1-2 Transport fuel")</f>
        <v>8.1.1.1-2 Transport fuel</v>
      </c>
    </row>
    <row r="24" spans="1:8" ht="20.100000000000001" customHeight="1" x14ac:dyDescent="0.25">
      <c r="A24" s="16" t="str">
        <f>HYPERLINK("#'8.2.1.1-2 Stationary fuel'!A1", "8.2.1.1-2 Stationary fuel")</f>
        <v>8.2.1.1-2 Stationary fuel</v>
      </c>
      <c r="D24" s="10" t="s">
        <v>811</v>
      </c>
      <c r="E24" s="10" t="s">
        <v>814</v>
      </c>
      <c r="F24" s="10" t="s">
        <v>815</v>
      </c>
      <c r="G24" s="10" t="s">
        <v>812</v>
      </c>
      <c r="H24" s="10" t="s">
        <v>813</v>
      </c>
    </row>
    <row r="25" spans="1:8" ht="20.100000000000001" customHeight="1" x14ac:dyDescent="0.25">
      <c r="D25" s="10" t="s">
        <v>819</v>
      </c>
      <c r="E25" s="47" t="s">
        <v>816</v>
      </c>
      <c r="F25" s="10">
        <v>65</v>
      </c>
      <c r="G25" s="10">
        <v>20</v>
      </c>
      <c r="H25" s="10">
        <v>52</v>
      </c>
    </row>
    <row r="26" spans="1:8" ht="20.100000000000001" customHeight="1" x14ac:dyDescent="0.25">
      <c r="D26" s="10"/>
      <c r="E26" s="47"/>
      <c r="F26" s="10"/>
      <c r="G26" s="10"/>
      <c r="H26" s="10"/>
    </row>
    <row r="27" spans="1:8" ht="20.100000000000001" customHeight="1" x14ac:dyDescent="0.25">
      <c r="A27" s="222" t="s">
        <v>78</v>
      </c>
      <c r="D27" s="10"/>
      <c r="E27" s="47"/>
      <c r="F27" s="10"/>
      <c r="G27" s="10"/>
      <c r="H27" s="10"/>
    </row>
    <row r="28" spans="1:8" ht="20.100000000000001" customHeight="1" x14ac:dyDescent="0.25">
      <c r="A28" s="16" t="str">
        <f>HYPERLINK("#'Constants - Scope 3'!A1", "Constants - Scope 3")</f>
        <v>Constants - Scope 3</v>
      </c>
      <c r="D28" s="10"/>
      <c r="E28" s="47"/>
      <c r="F28" s="10"/>
      <c r="G28" s="10"/>
      <c r="H28" s="10"/>
    </row>
    <row r="29" spans="1:8" ht="20.100000000000001" customHeight="1" x14ac:dyDescent="0.25">
      <c r="A29" s="16" t="str">
        <f>HYPERLINK("#'Constants - Solid Waste'!A1", "Constants - Solid Waste")</f>
        <v>Constants - Solid Waste</v>
      </c>
      <c r="D29" s="10"/>
      <c r="E29" s="47"/>
      <c r="F29" s="10"/>
      <c r="G29" s="10"/>
      <c r="H29" s="10"/>
    </row>
    <row r="30" spans="1:8" ht="20.100000000000001" customHeight="1" x14ac:dyDescent="0.25">
      <c r="A30" s="16" t="str">
        <f>HYPERLINK("#'Constants - Fuel'!A1", "Constants - Fuel")</f>
        <v>Constants - Fuel</v>
      </c>
      <c r="D30" s="10"/>
      <c r="E30" s="47"/>
      <c r="F30" s="10"/>
      <c r="G30" s="10"/>
      <c r="H30" s="10"/>
    </row>
    <row r="31" spans="1:8" ht="20.100000000000001" customHeight="1" x14ac:dyDescent="0.25">
      <c r="A31" s="16" t="str">
        <f>HYPERLINK("#'Constants - Poultry'!A1", "Constants - Poultry")</f>
        <v>Constants - Poultry</v>
      </c>
      <c r="D31" s="10"/>
      <c r="E31" s="47"/>
      <c r="F31" s="10"/>
      <c r="G31" s="10"/>
      <c r="H31" s="10"/>
    </row>
    <row r="32" spans="1:8" ht="20.100000000000001" customHeight="1" x14ac:dyDescent="0.25">
      <c r="A32" s="16" t="str">
        <f>HYPERLINK("#'Constants - Swine'!A1", "Constants - Swine")</f>
        <v>Constants - Swine</v>
      </c>
      <c r="D32" s="10"/>
      <c r="E32" s="47"/>
      <c r="F32" s="10"/>
      <c r="G32" s="10"/>
      <c r="H32" s="10"/>
    </row>
    <row r="33" spans="1:8" ht="20.100000000000001" customHeight="1" x14ac:dyDescent="0.25">
      <c r="A33" s="16" t="str">
        <f>HYPERLINK("#'Constants - Dairy'!A1", "Constants - Dairy")</f>
        <v>Constants - Dairy</v>
      </c>
      <c r="D33" s="10"/>
      <c r="E33" s="47"/>
      <c r="F33" s="10"/>
      <c r="G33" s="10"/>
      <c r="H33" s="10"/>
    </row>
    <row r="34" spans="1:8" ht="20.100000000000001" customHeight="1" x14ac:dyDescent="0.25">
      <c r="A34" s="16" t="str">
        <f>HYPERLINK("#'Constants - Pasture Beef'!A1", "Constants - Pasture Beef")</f>
        <v>Constants - Pasture Beef</v>
      </c>
      <c r="D34" s="10"/>
      <c r="E34" s="47"/>
      <c r="F34" s="10"/>
      <c r="G34" s="10"/>
      <c r="H34" s="10"/>
    </row>
    <row r="35" spans="1:8" ht="20.100000000000001" customHeight="1" x14ac:dyDescent="0.25">
      <c r="A35" s="16" t="str">
        <f>HYPERLINK("#'Constants - Common Livestock'!A1", "Constants - Common Livestock")</f>
        <v>Constants - Common Livestock</v>
      </c>
    </row>
    <row r="36" spans="1:8" ht="20.100000000000001" customHeight="1" x14ac:dyDescent="0.25">
      <c r="A36" s="16" t="str">
        <f>HYPERLINK("#'Constants - Fertiliser'!A1", "Constants - Fertiliser")</f>
        <v>Constants - Fertiliser</v>
      </c>
    </row>
    <row r="37" spans="1:8" ht="20.100000000000001" customHeight="1" x14ac:dyDescent="0.25">
      <c r="A37" s="16" t="str">
        <f>HYPERLINK("#'Constants - Electricity'!A1", "Constants - Electricity")</f>
        <v>Constants - Electricity</v>
      </c>
    </row>
    <row r="38" spans="1:8" ht="20.100000000000001" customHeight="1" x14ac:dyDescent="0.25">
      <c r="A38" s="16" t="str">
        <f>HYPERLINK("#'Constants - Common'!A1", "Constants - Common")</f>
        <v>Constants - Common</v>
      </c>
    </row>
    <row r="39" spans="1:8" ht="20.100000000000001" customHeight="1" x14ac:dyDescent="0.25"/>
    <row r="40" spans="1:8" ht="20.100000000000001" customHeight="1" x14ac:dyDescent="0.25"/>
    <row r="41" spans="1:8" ht="20.100000000000001" customHeight="1" x14ac:dyDescent="0.25"/>
    <row r="42" spans="1:8" ht="20.100000000000001" customHeight="1" x14ac:dyDescent="0.25"/>
    <row r="43" spans="1:8" ht="20.100000000000001" customHeight="1" x14ac:dyDescent="0.25"/>
    <row r="44" spans="1:8" ht="20.100000000000001" customHeight="1" x14ac:dyDescent="0.25"/>
    <row r="45" spans="1:8" ht="20.100000000000001" customHeight="1" x14ac:dyDescent="0.25"/>
    <row r="46" spans="1:8" ht="20.100000000000001" customHeight="1" x14ac:dyDescent="0.25"/>
    <row r="47" spans="1:8" ht="20.100000000000001" customHeight="1" x14ac:dyDescent="0.25"/>
    <row r="48" spans="1: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A64F-97E7-4417-9266-0D8579540B1C}">
  <sheetPr>
    <tabColor theme="5" tint="-0.249977111117893"/>
  </sheetPr>
  <dimension ref="A1:K74"/>
  <sheetViews>
    <sheetView showGridLines="0" topLeftCell="A2"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s="37" customFormat="1" ht="30" customHeight="1" x14ac:dyDescent="0.35">
      <c r="C1" s="102" t="s">
        <v>768</v>
      </c>
    </row>
    <row r="2" spans="1:11" s="2" customFormat="1" ht="20.100000000000001" customHeight="1" x14ac:dyDescent="0.25">
      <c r="A2"/>
    </row>
    <row r="3" spans="1:11" ht="20.100000000000001" customHeight="1" x14ac:dyDescent="0.25">
      <c r="A3" s="16" t="str">
        <f>HYPERLINK("#'Overview'!A1", "Overview")</f>
        <v>Overview</v>
      </c>
      <c r="C3" s="38"/>
      <c r="D3" s="38"/>
      <c r="E3" s="38"/>
      <c r="F3" s="38"/>
      <c r="G3" s="38"/>
      <c r="H3" s="38"/>
      <c r="I3" s="38"/>
      <c r="J3" s="38"/>
      <c r="K3" s="38"/>
    </row>
    <row r="4" spans="1:11" ht="20.100000000000001" customHeight="1" x14ac:dyDescent="0.25">
      <c r="A4" s="16" t="str">
        <f>HYPERLINK("#'Results'!A1", "Results")</f>
        <v>Results</v>
      </c>
    </row>
    <row r="5" spans="1:11" ht="20.100000000000001" customHeight="1" x14ac:dyDescent="0.25">
      <c r="D5" s="9" t="s">
        <v>793</v>
      </c>
    </row>
    <row r="6" spans="1:11" ht="20.100000000000001" customHeight="1" x14ac:dyDescent="0.25"/>
    <row r="7" spans="1:11" ht="20.100000000000001" customHeight="1" x14ac:dyDescent="0.25">
      <c r="A7" s="19" t="s">
        <v>67</v>
      </c>
      <c r="D7" s="95" t="s">
        <v>121</v>
      </c>
      <c r="E7" s="96"/>
    </row>
    <row r="8" spans="1:11" ht="20.100000000000001" customHeight="1" x14ac:dyDescent="0.25">
      <c r="A8" s="16" t="str">
        <f>HYPERLINK("#'Input - Site'!A1", "Site")</f>
        <v>Site</v>
      </c>
    </row>
    <row r="9" spans="1:11" ht="20.100000000000001" customHeight="1" x14ac:dyDescent="0.25">
      <c r="A9" s="16" t="str">
        <f>HYPERLINK("#'Input - Fuel'!A1", "Fuel")</f>
        <v>Fuel</v>
      </c>
      <c r="D9" s="46" t="s">
        <v>250</v>
      </c>
      <c r="E9" s="46" t="s">
        <v>781</v>
      </c>
      <c r="F9" s="46" t="s">
        <v>782</v>
      </c>
      <c r="G9" s="46" t="s">
        <v>783</v>
      </c>
      <c r="H9" s="46" t="s">
        <v>602</v>
      </c>
      <c r="I9" s="46" t="s">
        <v>784</v>
      </c>
    </row>
    <row r="10" spans="1:11" ht="20.100000000000001" customHeight="1" x14ac:dyDescent="0.25">
      <c r="A10" s="16" t="str">
        <f>HYPERLINK("#'Input - Fertiliser'!A1", "Fertiliser")</f>
        <v>Fertiliser</v>
      </c>
      <c r="D10" s="10" t="s">
        <v>785</v>
      </c>
      <c r="E10" s="47" t="s">
        <v>786</v>
      </c>
      <c r="F10" s="47" t="s">
        <v>787</v>
      </c>
      <c r="G10" s="49" t="s">
        <v>788</v>
      </c>
      <c r="H10" s="66">
        <v>50</v>
      </c>
      <c r="I10" s="47" t="s">
        <v>789</v>
      </c>
    </row>
    <row r="11" spans="1:11" ht="20.100000000000001" customHeight="1" x14ac:dyDescent="0.25">
      <c r="A11" s="16" t="str">
        <f>HYPERLINK("#'Input - Farm Inputs'!A1", "Farm Inputs")</f>
        <v>Farm Inputs</v>
      </c>
      <c r="D11" s="10"/>
      <c r="E11" s="47" t="s">
        <v>786</v>
      </c>
      <c r="F11" s="47" t="s">
        <v>787</v>
      </c>
      <c r="G11" s="49" t="s">
        <v>788</v>
      </c>
      <c r="H11" s="66">
        <v>50</v>
      </c>
      <c r="I11" s="47" t="s">
        <v>789</v>
      </c>
    </row>
    <row r="12" spans="1:11" ht="20.100000000000001" customHeight="1" x14ac:dyDescent="0.25">
      <c r="A12" s="16" t="str">
        <f>HYPERLINK("#'Input - Livestock purchases'!A1", "Livestock purchases")</f>
        <v>Livestock purchases</v>
      </c>
      <c r="D12" s="10"/>
      <c r="E12" s="47" t="s">
        <v>786</v>
      </c>
      <c r="F12" s="47" t="s">
        <v>787</v>
      </c>
      <c r="G12" s="49" t="s">
        <v>788</v>
      </c>
      <c r="H12" s="66">
        <v>50</v>
      </c>
      <c r="I12" s="47" t="s">
        <v>790</v>
      </c>
    </row>
    <row r="13" spans="1:11" ht="20.100000000000001" customHeight="1" x14ac:dyDescent="0.25">
      <c r="A13" s="16" t="str">
        <f>HYPERLINK("#'Input - Freight'!A1", "Freight")</f>
        <v>Freight</v>
      </c>
      <c r="D13" s="10"/>
      <c r="E13" s="47" t="s">
        <v>786</v>
      </c>
      <c r="F13" s="47" t="s">
        <v>787</v>
      </c>
      <c r="G13" s="49" t="s">
        <v>788</v>
      </c>
      <c r="H13" s="66">
        <v>50</v>
      </c>
      <c r="I13" s="47" t="s">
        <v>790</v>
      </c>
    </row>
    <row r="14" spans="1:11" ht="20.100000000000001" customHeight="1" x14ac:dyDescent="0.25">
      <c r="A14" s="42" t="str">
        <f>HYPERLINK("#'Input - Solid waste'!A1", "Solid waste")</f>
        <v>Solid waste</v>
      </c>
      <c r="D14" s="10"/>
      <c r="E14" s="47" t="s">
        <v>791</v>
      </c>
      <c r="F14" s="47" t="s">
        <v>831</v>
      </c>
      <c r="G14" s="49" t="s">
        <v>788</v>
      </c>
      <c r="H14" s="66">
        <v>50</v>
      </c>
      <c r="I14" s="47" t="s">
        <v>789</v>
      </c>
    </row>
    <row r="15" spans="1:11" ht="20.100000000000001" customHeight="1" x14ac:dyDescent="0.25">
      <c r="A15" s="16" t="str">
        <f>HYPERLINK("#'Input - Manure sent off-site'!A1", "Manure sent off-site")</f>
        <v>Manure sent off-site</v>
      </c>
      <c r="D15" s="10"/>
      <c r="E15" s="47" t="s">
        <v>791</v>
      </c>
      <c r="F15" s="47" t="s">
        <v>792</v>
      </c>
      <c r="G15" s="49" t="s">
        <v>788</v>
      </c>
      <c r="H15" s="66">
        <v>50</v>
      </c>
      <c r="I15" s="47" t="s">
        <v>789</v>
      </c>
    </row>
    <row r="16" spans="1:11" ht="20.100000000000001" customHeight="1" x14ac:dyDescent="0.25">
      <c r="A16" s="16" t="str">
        <f>HYPERLINK("#'Input - Electricity'!A1", "Electricity")</f>
        <v>Electricity</v>
      </c>
      <c r="D16" s="10"/>
      <c r="E16" s="47" t="s">
        <v>791</v>
      </c>
      <c r="F16" s="47" t="s">
        <v>792</v>
      </c>
      <c r="G16" s="49" t="s">
        <v>788</v>
      </c>
      <c r="H16" s="66">
        <v>50</v>
      </c>
      <c r="I16" s="47" t="s">
        <v>790</v>
      </c>
    </row>
    <row r="17" spans="1:9" ht="20.100000000000001" customHeight="1" x14ac:dyDescent="0.25">
      <c r="D17" s="10"/>
      <c r="E17" s="47" t="s">
        <v>791</v>
      </c>
      <c r="F17" s="47" t="s">
        <v>792</v>
      </c>
      <c r="G17" s="49" t="s">
        <v>788</v>
      </c>
      <c r="H17" s="66">
        <v>50</v>
      </c>
      <c r="I17" s="47" t="s">
        <v>790</v>
      </c>
    </row>
    <row r="18" spans="1:9" ht="20.100000000000001" customHeight="1" x14ac:dyDescent="0.25">
      <c r="D18" s="10"/>
      <c r="E18" s="47" t="s">
        <v>791</v>
      </c>
      <c r="F18" s="47" t="s">
        <v>792</v>
      </c>
      <c r="G18" s="49" t="s">
        <v>788</v>
      </c>
      <c r="H18" s="66">
        <v>50</v>
      </c>
      <c r="I18" s="47" t="s">
        <v>789</v>
      </c>
    </row>
    <row r="19" spans="1:9" ht="20.100000000000001" customHeight="1" x14ac:dyDescent="0.25">
      <c r="A19" s="21" t="s">
        <v>77</v>
      </c>
    </row>
    <row r="20" spans="1:9" ht="20.100000000000001" customHeight="1" x14ac:dyDescent="0.25">
      <c r="A20" s="16" t="str">
        <f>HYPERLINK("#'15 Scope 3'!A1", "15 Scope 3")</f>
        <v>15 Scope 3</v>
      </c>
    </row>
    <row r="21" spans="1:9" ht="20.100000000000001" customHeight="1" x14ac:dyDescent="0.25">
      <c r="A21" s="16" t="str">
        <f>HYPERLINK("#'10.1.1-2 Solid waste treatment'!A1", "10.1.1-2 Solid waste treatment")</f>
        <v>10.1.1-2 Solid waste treatment</v>
      </c>
    </row>
    <row r="22" spans="1:9" ht="20.100000000000001" customHeight="1" x14ac:dyDescent="0.25">
      <c r="A22" s="16" t="str">
        <f>HYPERLINK("#'Calcs - Manure sent off-site'!A1", "Calcs - Manure sent off-site")</f>
        <v>Calcs - Manure sent off-site</v>
      </c>
    </row>
    <row r="23" spans="1:9" ht="20.100000000000001" customHeight="1" x14ac:dyDescent="0.25">
      <c r="A23" s="16" t="str">
        <f>HYPERLINK("#'8.1.1.1-2 Transport fuel'!A1", "8.1.1.1-2 Transport fuel")</f>
        <v>8.1.1.1-2 Transport fuel</v>
      </c>
    </row>
    <row r="24" spans="1:9" ht="20.100000000000001" customHeight="1" x14ac:dyDescent="0.25">
      <c r="A24" s="16" t="str">
        <f>HYPERLINK("#'8.2.1.1-2 Stationary fuel'!A1", "8.2.1.1-2 Stationary fuel")</f>
        <v>8.2.1.1-2 Stationary fuel</v>
      </c>
    </row>
    <row r="25" spans="1:9" ht="20.100000000000001" customHeight="1" x14ac:dyDescent="0.25"/>
    <row r="26" spans="1:9" ht="20.100000000000001" customHeight="1" x14ac:dyDescent="0.25"/>
    <row r="27" spans="1:9" ht="20.100000000000001" customHeight="1" x14ac:dyDescent="0.25">
      <c r="A27" s="222" t="s">
        <v>78</v>
      </c>
    </row>
    <row r="28" spans="1:9" ht="20.100000000000001" customHeight="1" x14ac:dyDescent="0.25">
      <c r="A28" s="16" t="str">
        <f>HYPERLINK("#'Constants - Scope 3'!A1", "Constants - Scope 3")</f>
        <v>Constants - Scope 3</v>
      </c>
    </row>
    <row r="29" spans="1:9" ht="20.100000000000001" customHeight="1" x14ac:dyDescent="0.25">
      <c r="A29" s="16" t="str">
        <f>HYPERLINK("#'Constants - Solid Waste'!A1", "Constants - Solid Waste")</f>
        <v>Constants - Solid Waste</v>
      </c>
    </row>
    <row r="30" spans="1:9" ht="20.100000000000001" customHeight="1" x14ac:dyDescent="0.25">
      <c r="A30" s="16" t="str">
        <f>HYPERLINK("#'Constants - Fuel'!A1", "Constants - Fuel")</f>
        <v>Constants - Fuel</v>
      </c>
    </row>
    <row r="31" spans="1:9" ht="20.100000000000001" customHeight="1" x14ac:dyDescent="0.25">
      <c r="A31" s="16" t="str">
        <f>HYPERLINK("#'Constants - Poultry'!A1", "Constants - Poultry")</f>
        <v>Constants - Poultry</v>
      </c>
    </row>
    <row r="32" spans="1:9"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16"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sheetData>
  <conditionalFormatting sqref="I30">
    <cfRule type="cellIs" dxfId="54" priority="1" operator="lessThan">
      <formula>0</formula>
    </cfRule>
  </conditionalFormatting>
  <dataValidations count="4">
    <dataValidation type="list" allowBlank="1" showInputMessage="1" showErrorMessage="1" sqref="E10:E18" xr:uid="{3F495E7C-4D24-4D19-86E9-9EED671E0444}">
      <formula1>INDIRECT(_xlfn.UNIQUE("Table_SourceData_WasteSolid_WasteTreatmentEFs[Treatment type t]"))</formula1>
    </dataValidation>
    <dataValidation type="list" allowBlank="1" showInputMessage="1" showErrorMessage="1" sqref="G10:G18" xr:uid="{97A3C4B6-FFC2-4584-9F07-94A094AA24D0}">
      <formula1>"Removed and treated off-site"</formula1>
    </dataValidation>
    <dataValidation type="list" allowBlank="1" showInputMessage="1" showErrorMessage="1" sqref="I10:I18" xr:uid="{82C47F76-631A-49C4-B15B-FBE027EE7CB0}">
      <formula1>"tonnes, cubic metres m3"</formula1>
    </dataValidation>
    <dataValidation type="list" allowBlank="1" showInputMessage="1" showErrorMessage="1" sqref="F10:F18" xr:uid="{8E0FD0C6-A37F-4220-A483-A841E04E3816}">
      <formula1>INDIRECT("Table_WasteTypes_" &amp; SUBSTITUTE(E10, " ", "") &amp; "[Waste type w]")</formula1>
    </dataValidation>
  </dataValidation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A1:K38"/>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ht="25.5" x14ac:dyDescent="0.35">
      <c r="A1" s="37" t="e" vm="1">
        <v>#VALUE!</v>
      </c>
      <c r="C1" s="37" t="s">
        <v>856</v>
      </c>
      <c r="D1" s="37"/>
      <c r="E1" s="37"/>
      <c r="F1" s="37"/>
      <c r="G1" s="37"/>
      <c r="H1" s="37"/>
      <c r="I1" s="37"/>
      <c r="J1" s="37"/>
      <c r="K1" s="37"/>
    </row>
    <row r="2" spans="1:11" s="2" customFormat="1" x14ac:dyDescent="0.25">
      <c r="A2"/>
    </row>
    <row r="3" spans="1:11" ht="20.25" x14ac:dyDescent="0.25">
      <c r="A3" s="16" t="str">
        <f>HYPERLINK("#'Overview'!A1", "Overview")</f>
        <v>Overview</v>
      </c>
      <c r="C3" s="38"/>
      <c r="D3" s="38"/>
      <c r="E3" s="38"/>
      <c r="F3" s="38"/>
      <c r="G3" s="38"/>
      <c r="H3" s="38"/>
      <c r="I3" s="38"/>
      <c r="J3" s="38"/>
      <c r="K3" s="38"/>
    </row>
    <row r="4" spans="1:11" x14ac:dyDescent="0.25">
      <c r="A4" s="16" t="str">
        <f>HYPERLINK("#'Results'!A1", "Results")</f>
        <v>Results</v>
      </c>
    </row>
    <row r="5" spans="1:11" ht="23.25" x14ac:dyDescent="0.25">
      <c r="D5" s="9" t="s">
        <v>746</v>
      </c>
    </row>
    <row r="7" spans="1:11" x14ac:dyDescent="0.25">
      <c r="A7" s="19" t="s">
        <v>67</v>
      </c>
      <c r="D7" s="8" t="s">
        <v>769</v>
      </c>
    </row>
    <row r="8" spans="1:11" ht="18.75" x14ac:dyDescent="0.25">
      <c r="A8" s="16" t="str">
        <f>HYPERLINK("#'Input - Site'!A1", "Site")</f>
        <v>Site</v>
      </c>
      <c r="D8" s="8" t="s">
        <v>770</v>
      </c>
    </row>
    <row r="9" spans="1:11" x14ac:dyDescent="0.25">
      <c r="A9" s="16" t="str">
        <f>HYPERLINK("#'Input - Fuel'!A1", "Fuel")</f>
        <v>Fuel</v>
      </c>
    </row>
    <row r="10" spans="1:11" x14ac:dyDescent="0.25">
      <c r="A10" s="16" t="str">
        <f>HYPERLINK("#'Input - Fertiliser'!A1", "Fertiliser")</f>
        <v>Fertiliser</v>
      </c>
      <c r="D10" s="8" t="s">
        <v>857</v>
      </c>
      <c r="F10" s="66">
        <v>1000</v>
      </c>
      <c r="G10" s="65" t="s">
        <v>747</v>
      </c>
    </row>
    <row r="11" spans="1:11" x14ac:dyDescent="0.25">
      <c r="A11" s="16" t="str">
        <f>HYPERLINK("#'Input - Farm Inputs'!A1", "Farm Inputs")</f>
        <v>Farm Inputs</v>
      </c>
      <c r="D11" s="8" t="s">
        <v>858</v>
      </c>
      <c r="F11" s="66">
        <v>2000</v>
      </c>
      <c r="G11" s="65" t="s">
        <v>747</v>
      </c>
    </row>
    <row r="12" spans="1:11" x14ac:dyDescent="0.25">
      <c r="A12" s="16" t="str">
        <f>HYPERLINK("#'Input - Livestock purchases'!A1", "Livestock purchases")</f>
        <v>Livestock purchases</v>
      </c>
    </row>
    <row r="13" spans="1:11" x14ac:dyDescent="0.25">
      <c r="A13" s="16" t="str">
        <f>HYPERLINK("#'Input - Freight'!A1", "Freight")</f>
        <v>Freight</v>
      </c>
      <c r="D13" s="8" t="s">
        <v>748</v>
      </c>
      <c r="F13" s="47" t="s">
        <v>150</v>
      </c>
      <c r="G13" s="65" t="s">
        <v>195</v>
      </c>
    </row>
    <row r="14" spans="1:11" x14ac:dyDescent="0.25">
      <c r="A14" s="16" t="str">
        <f>HYPERLINK("#'Input - Solid waste'!A1", "Solid waste")</f>
        <v>Solid waste</v>
      </c>
      <c r="D14" s="8" t="s">
        <v>752</v>
      </c>
      <c r="F14" s="47" t="s">
        <v>155</v>
      </c>
      <c r="G14" s="65" t="s">
        <v>195</v>
      </c>
    </row>
    <row r="15" spans="1:11" x14ac:dyDescent="0.25">
      <c r="A15" s="42" t="str">
        <f>HYPERLINK("#'Input - Manure sent off-site'!A1", "Manure sent off-site")</f>
        <v>Manure sent off-site</v>
      </c>
    </row>
    <row r="16" spans="1:11" x14ac:dyDescent="0.25">
      <c r="A16" s="16" t="str">
        <f>HYPERLINK("#'Input - Electricity'!A1", "Electricity")</f>
        <v>Electricity</v>
      </c>
    </row>
    <row r="19" spans="1:1" x14ac:dyDescent="0.25">
      <c r="A19" s="21" t="s">
        <v>77</v>
      </c>
    </row>
    <row r="20" spans="1:1" x14ac:dyDescent="0.25">
      <c r="A20" s="16" t="str">
        <f>HYPERLINK("#'15 Scope 3'!A1", "15 Scope 3")</f>
        <v>15 Scope 3</v>
      </c>
    </row>
    <row r="21" spans="1:1" x14ac:dyDescent="0.25">
      <c r="A21" s="16" t="str">
        <f>HYPERLINK("#'10.1.1-2 Solid waste treatment'!A1", "10.1.1-2 Solid waste treatment")</f>
        <v>10.1.1-2 Solid waste treatment</v>
      </c>
    </row>
    <row r="22" spans="1:1" x14ac:dyDescent="0.25">
      <c r="A22" s="16" t="str">
        <f>HYPERLINK("#'Calcs - Manure sent off-site'!A1", "Calcs - Manure sent off-site")</f>
        <v>Calcs - Manure sent off-site</v>
      </c>
    </row>
    <row r="23" spans="1:1" x14ac:dyDescent="0.25">
      <c r="A23" s="16" t="str">
        <f>HYPERLINK("#'8.1.1.1-2 Transport fuel'!A1", "8.1.1.1-2 Transport fuel")</f>
        <v>8.1.1.1-2 Transport fuel</v>
      </c>
    </row>
    <row r="24" spans="1:1" x14ac:dyDescent="0.25">
      <c r="A24" s="16" t="str">
        <f>HYPERLINK("#'8.2.1.1-2 Stationary fuel'!A1", "8.2.1.1-2 Stationary fuel")</f>
        <v>8.2.1.1-2 Stationary fuel</v>
      </c>
    </row>
    <row r="27" spans="1:1" x14ac:dyDescent="0.25">
      <c r="A27" s="222" t="s">
        <v>78</v>
      </c>
    </row>
    <row r="28" spans="1:1" x14ac:dyDescent="0.25">
      <c r="A28" s="16" t="str">
        <f>HYPERLINK("#'Constants - Scope 3'!A1", "Constants - Scope 3")</f>
        <v>Constants - Scope 3</v>
      </c>
    </row>
    <row r="29" spans="1:1" x14ac:dyDescent="0.25">
      <c r="A29" s="16" t="str">
        <f>HYPERLINK("#'Constants - Solid Waste'!A1", "Constants - Solid Waste")</f>
        <v>Constants - Solid Waste</v>
      </c>
    </row>
    <row r="30" spans="1:1" x14ac:dyDescent="0.25">
      <c r="A30" s="16" t="str">
        <f>HYPERLINK("#'Constants - Fuel'!A1", "Constants - Fuel")</f>
        <v>Constants - Fuel</v>
      </c>
    </row>
    <row r="31" spans="1:1" x14ac:dyDescent="0.25">
      <c r="A31" s="16" t="str">
        <f>HYPERLINK("#'Constants - Poultry'!A1", "Constants - Poultry")</f>
        <v>Constants - Poultry</v>
      </c>
    </row>
    <row r="32" spans="1:1" x14ac:dyDescent="0.25">
      <c r="A32" s="16" t="str">
        <f>HYPERLINK("#'Constants - Swine'!A1", "Constants - Swine")</f>
        <v>Constants - Swine</v>
      </c>
    </row>
    <row r="33" spans="1:1" x14ac:dyDescent="0.25">
      <c r="A33" s="16" t="str">
        <f>HYPERLINK("#'Constants - Dairy'!A1", "Constants - Dairy")</f>
        <v>Constants - Dairy</v>
      </c>
    </row>
    <row r="34" spans="1:1" x14ac:dyDescent="0.25">
      <c r="A34" s="16" t="str">
        <f>HYPERLINK("#'Constants - Pasture Beef'!A1", "Constants - Pasture Beef")</f>
        <v>Constants - Pasture Beef</v>
      </c>
    </row>
    <row r="35" spans="1:1" x14ac:dyDescent="0.25">
      <c r="A35" s="16" t="str">
        <f>HYPERLINK("#'Constants - Common Livestock'!A1", "Constants - Common Livestock")</f>
        <v>Constants - Common Livestock</v>
      </c>
    </row>
    <row r="36" spans="1:1" x14ac:dyDescent="0.25">
      <c r="A36" s="16" t="str">
        <f>HYPERLINK("#'Constants - Fertiliser'!A1", "Constants - Fertiliser")</f>
        <v>Constants - Fertiliser</v>
      </c>
    </row>
    <row r="37" spans="1:1" x14ac:dyDescent="0.25">
      <c r="A37" s="16" t="str">
        <f>HYPERLINK("#'Constants - Electricity'!A1", "Constants - Electricity")</f>
        <v>Constants - Electricity</v>
      </c>
    </row>
    <row r="38" spans="1:1" x14ac:dyDescent="0.25">
      <c r="A38" s="16" t="str">
        <f>HYPERLINK("#'Constants - Common'!A1", "Constants - Common")</f>
        <v>Constants - Common</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sheetPr>
    <tabColor theme="5" tint="-0.249977111117893"/>
  </sheetPr>
  <dimension ref="A1:L365"/>
  <sheetViews>
    <sheetView showGridLines="0" topLeftCell="A1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233</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8" t="s">
        <v>844</v>
      </c>
      <c r="E5" s="47" t="s">
        <v>845</v>
      </c>
      <c r="F5" s="65" t="s">
        <v>195</v>
      </c>
    </row>
    <row r="6" spans="1:10" ht="20.100000000000001" customHeight="1" x14ac:dyDescent="0.25">
      <c r="A6"/>
      <c r="E6" s="54"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16" t="str">
        <f>HYPERLINK("#'Input - Site'!A1", "Site")</f>
        <v>Site</v>
      </c>
      <c r="C8" s="98"/>
      <c r="D8" s="98"/>
      <c r="E8" s="98"/>
      <c r="F8" s="98"/>
      <c r="G8" s="98"/>
      <c r="H8" s="98"/>
      <c r="I8" s="98"/>
      <c r="J8" s="98"/>
    </row>
    <row r="9" spans="1:10" ht="20.100000000000001" customHeight="1" x14ac:dyDescent="0.25">
      <c r="A9" s="16" t="str">
        <f>HYPERLINK("#'Input - Fuel'!A1", "Fuel")</f>
        <v>Fuel</v>
      </c>
      <c r="D9" s="9" t="s">
        <v>234</v>
      </c>
    </row>
    <row r="10" spans="1:10" ht="20.100000000000001" customHeight="1" x14ac:dyDescent="0.25">
      <c r="A10" s="16" t="str">
        <f>HYPERLINK("#'Input - Fertiliser'!A1", "Fertiliser")</f>
        <v>Fertiliser</v>
      </c>
    </row>
    <row r="11" spans="1:10" ht="20.100000000000001" customHeight="1" x14ac:dyDescent="0.25">
      <c r="A11" s="16" t="str">
        <f>HYPERLINK("#'Input - Farm Inputs'!A1", "Farm Inputs")</f>
        <v>Farm Inputs</v>
      </c>
      <c r="D11" s="71" t="s">
        <v>235</v>
      </c>
    </row>
    <row r="12" spans="1:10" ht="20.100000000000001" customHeight="1" x14ac:dyDescent="0.25">
      <c r="A12" s="16" t="str">
        <f>HYPERLINK("#'Input - Livestock purchases'!A1", "Livestock purchases")</f>
        <v>Livestock purchases</v>
      </c>
    </row>
    <row r="13" spans="1:10" ht="20.100000000000001" customHeight="1" x14ac:dyDescent="0.25">
      <c r="A13" s="16" t="str">
        <f>HYPERLINK("#'Input - Freight'!A1", "Freight")</f>
        <v>Freight</v>
      </c>
      <c r="D13" s="95" t="s">
        <v>236</v>
      </c>
      <c r="E13" s="96"/>
      <c r="F13" s="14"/>
    </row>
    <row r="14" spans="1:10" ht="20.100000000000001" customHeight="1" x14ac:dyDescent="0.25">
      <c r="A14" s="16" t="str">
        <f>HYPERLINK("#'Input - Solid waste'!A1", "Solid waste")</f>
        <v>Solid waste</v>
      </c>
      <c r="D14" s="14"/>
      <c r="E14" s="14"/>
      <c r="F14" s="14"/>
    </row>
    <row r="15" spans="1:10" ht="20.100000000000001" customHeight="1" x14ac:dyDescent="0.25">
      <c r="A15" s="16" t="str">
        <f>HYPERLINK("#'Input - Manure sent off-site'!A1", "Manure sent off-site")</f>
        <v>Manure sent off-site</v>
      </c>
      <c r="D15" s="8" t="s">
        <v>237</v>
      </c>
      <c r="E15" s="97">
        <v>500</v>
      </c>
      <c r="F15" s="65" t="s">
        <v>238</v>
      </c>
    </row>
    <row r="16" spans="1:10" ht="20.100000000000001" customHeight="1" x14ac:dyDescent="0.25">
      <c r="A16" s="42" t="str">
        <f>HYPERLINK("#'Input - Electricity'!A1", "Electricity")</f>
        <v>Electricity</v>
      </c>
      <c r="D16" s="8" t="s">
        <v>239</v>
      </c>
      <c r="E16" s="49" t="str">
        <f>IF(X_Cell_Site_State="Western Australia", X_Cell_Site_Region, X_Cell_Site_State)</f>
        <v>ACT</v>
      </c>
      <c r="F16" s="14"/>
    </row>
    <row r="17" spans="1:11" ht="20.100000000000001" customHeight="1" x14ac:dyDescent="0.25">
      <c r="A17"/>
      <c r="D17" s="8" t="s">
        <v>240</v>
      </c>
      <c r="E17" s="47" t="s">
        <v>314</v>
      </c>
      <c r="F17" s="65" t="s">
        <v>195</v>
      </c>
    </row>
    <row r="18" spans="1:11" ht="20.100000000000001" customHeight="1" x14ac:dyDescent="0.25">
      <c r="A18"/>
    </row>
    <row r="19" spans="1:11" ht="20.100000000000001" customHeight="1" x14ac:dyDescent="0.25">
      <c r="A19" s="21" t="s">
        <v>77</v>
      </c>
    </row>
    <row r="20" spans="1:11" ht="20.100000000000001" customHeight="1" x14ac:dyDescent="0.25">
      <c r="A20" s="16" t="str">
        <f>HYPERLINK("#'15 Scope 3'!A1", "15 Scope 3")</f>
        <v>15 Scope 3</v>
      </c>
      <c r="C20" s="98"/>
      <c r="D20" s="98"/>
      <c r="E20" s="98"/>
      <c r="F20" s="98"/>
      <c r="G20" s="98"/>
      <c r="H20" s="98"/>
      <c r="I20" s="98"/>
      <c r="J20" s="98"/>
    </row>
    <row r="21" spans="1:11" ht="20.100000000000001" customHeight="1" x14ac:dyDescent="0.25">
      <c r="A21" s="16" t="str">
        <f>HYPERLINK("#'10.1.1-2 Solid waste treatment'!A1", "10.1.1-2 Solid waste treatment")</f>
        <v>10.1.1-2 Solid waste treatment</v>
      </c>
      <c r="D21" s="9" t="s">
        <v>241</v>
      </c>
    </row>
    <row r="22" spans="1:11" ht="20.100000000000001" customHeight="1" x14ac:dyDescent="0.25">
      <c r="A22" s="16" t="str">
        <f>HYPERLINK("#'Calcs - Manure sent off-site'!A1", "Calcs - Manure sent off-site")</f>
        <v>Calcs - Manure sent off-site</v>
      </c>
      <c r="E22" s="54" t="str">
        <f>IF(E16="ACT", "", "ALERT: Your farm is not in the ACT, so the JRPP is not applicable")</f>
        <v/>
      </c>
    </row>
    <row r="23" spans="1:11" ht="20.100000000000001" customHeight="1" x14ac:dyDescent="0.25">
      <c r="A23" s="16" t="str">
        <f>HYPERLINK("#'8.1.1.1-2 Transport fuel'!A1", "8.1.1.1-2 Transport fuel")</f>
        <v>8.1.1.1-2 Transport fuel</v>
      </c>
      <c r="D23" s="8" t="s">
        <v>242</v>
      </c>
      <c r="E23" s="97">
        <v>30000</v>
      </c>
      <c r="F23" s="65" t="s">
        <v>238</v>
      </c>
    </row>
    <row r="24" spans="1:11" ht="20.100000000000001" customHeight="1" x14ac:dyDescent="0.25">
      <c r="A24" s="16" t="str">
        <f>HYPERLINK("#'8.2.1.1-2 Stationary fuel'!A1", "8.2.1.1-2 Stationary fuel")</f>
        <v>8.2.1.1-2 Stationary fuel</v>
      </c>
      <c r="D24" s="8" t="s">
        <v>243</v>
      </c>
      <c r="E24" s="86">
        <v>0.1</v>
      </c>
      <c r="F24" s="65" t="s">
        <v>244</v>
      </c>
    </row>
    <row r="25" spans="1:11" ht="20.100000000000001" customHeight="1" x14ac:dyDescent="0.25">
      <c r="A25"/>
      <c r="D25" s="8" t="s">
        <v>245</v>
      </c>
      <c r="E25" s="86">
        <v>0.1</v>
      </c>
      <c r="F25" s="65" t="s">
        <v>244</v>
      </c>
    </row>
    <row r="26" spans="1:11" ht="20.100000000000001" customHeight="1" x14ac:dyDescent="0.25">
      <c r="A26"/>
    </row>
    <row r="27" spans="1:11" ht="20.100000000000001" customHeight="1" x14ac:dyDescent="0.25">
      <c r="A27" s="222" t="s">
        <v>78</v>
      </c>
      <c r="D27" s="8" t="s">
        <v>246</v>
      </c>
      <c r="E27" s="97">
        <v>10000</v>
      </c>
      <c r="F27" s="65" t="s">
        <v>238</v>
      </c>
    </row>
    <row r="28" spans="1:11" ht="20.100000000000001" customHeight="1" x14ac:dyDescent="0.25">
      <c r="A28" s="16" t="str">
        <f>HYPERLINK("#'Constants - Scope 3'!A1", "Constants - Scope 3")</f>
        <v>Constants - Scope 3</v>
      </c>
    </row>
    <row r="29" spans="1:11" ht="20.100000000000001" customHeight="1" x14ac:dyDescent="0.25">
      <c r="A29" s="16" t="str">
        <f>HYPERLINK("#'Constants - Solid Waste'!A1", "Constants - Solid Waste")</f>
        <v>Constants - Solid Waste</v>
      </c>
      <c r="D29" s="8" t="s">
        <v>247</v>
      </c>
      <c r="E29" s="99" t="str">
        <f>TEXT(X_Cell_Site_StartDate, "dd mmm yyyy")</f>
        <v>01 Jan 2024</v>
      </c>
      <c r="K29" s="52"/>
    </row>
    <row r="30" spans="1:11" ht="20.100000000000001" customHeight="1" x14ac:dyDescent="0.25">
      <c r="A30" s="16" t="str">
        <f>HYPERLINK("#'Constants - Fuel'!A1", "Constants - Fuel")</f>
        <v>Constants - Fuel</v>
      </c>
      <c r="D30" s="8" t="s">
        <v>248</v>
      </c>
      <c r="E30" s="99" t="str">
        <f>TEXT(X_Cell_Site_EndDate, "dd mmm yyyy")</f>
        <v>31 Dec 2024</v>
      </c>
      <c r="K30" s="52"/>
    </row>
    <row r="31" spans="1:11" ht="20.100000000000001" customHeight="1" x14ac:dyDescent="0.25">
      <c r="A31" s="16" t="str">
        <f>HYPERLINK("#'Constants - Poultry'!A1", "Constants - Poultry")</f>
        <v>Constants - Poultry</v>
      </c>
      <c r="K31" s="52"/>
    </row>
    <row r="32" spans="1:11" ht="20.100000000000001" customHeight="1" x14ac:dyDescent="0.25">
      <c r="A32" s="16" t="str">
        <f>HYPERLINK("#'Constants - Swine'!A1", "Constants - Swine")</f>
        <v>Constants - Swine</v>
      </c>
      <c r="D32" s="71" t="s">
        <v>249</v>
      </c>
      <c r="K32" s="52"/>
    </row>
    <row r="33" spans="1:12" ht="20.100000000000001" customHeight="1" x14ac:dyDescent="0.25">
      <c r="A33" s="16" t="str">
        <f>HYPERLINK("#'Constants - Dairy'!A1", "Constants - Dairy")</f>
        <v>Constants - Dairy</v>
      </c>
      <c r="K33" s="52"/>
    </row>
    <row r="34" spans="1:12" ht="20.100000000000001" customHeight="1" x14ac:dyDescent="0.25">
      <c r="A34" s="16" t="str">
        <f>HYPERLINK("#'Constants - Pasture Beef'!A1", "Constants - Pasture Beef")</f>
        <v>Constants - Pasture Beef</v>
      </c>
      <c r="D34" s="95" t="s">
        <v>121</v>
      </c>
      <c r="E34" s="96"/>
      <c r="K34" s="52"/>
    </row>
    <row r="35" spans="1:12" ht="20.100000000000001" customHeight="1" x14ac:dyDescent="0.25">
      <c r="A35" s="16" t="str">
        <f>HYPERLINK("#'Constants - Common Livestock'!A1", "Constants - Common Livestock")</f>
        <v>Constants - Common Livestock</v>
      </c>
    </row>
    <row r="36" spans="1:12" ht="20.100000000000001" customHeight="1" x14ac:dyDescent="0.25">
      <c r="A36" s="16" t="str">
        <f>HYPERLINK("#'Constants - Fertiliser'!A1", "Constants - Fertiliser")</f>
        <v>Constants - Fertiliser</v>
      </c>
      <c r="D36" s="46" t="s">
        <v>250</v>
      </c>
      <c r="E36" s="46" t="s">
        <v>251</v>
      </c>
      <c r="F36" s="46" t="s">
        <v>252</v>
      </c>
      <c r="G36" s="46" t="s">
        <v>253</v>
      </c>
      <c r="H36" s="46" t="s">
        <v>254</v>
      </c>
      <c r="I36" s="46" t="s">
        <v>255</v>
      </c>
      <c r="L36" s="52"/>
    </row>
    <row r="37" spans="1:12" ht="20.100000000000001" customHeight="1" x14ac:dyDescent="0.25">
      <c r="A37" s="16" t="str">
        <f>HYPERLINK("#'Constants - Electricity'!A1", "Constants - Electricity")</f>
        <v>Constants - Electricity</v>
      </c>
      <c r="D37" s="10" t="s">
        <v>256</v>
      </c>
      <c r="E37" s="47" t="s">
        <v>257</v>
      </c>
      <c r="F37" s="100">
        <v>44185</v>
      </c>
      <c r="G37" s="10">
        <v>12</v>
      </c>
      <c r="H37" s="49">
        <f>Table_Input_RECSurrendered[[#This Row],[Number of certificates]]</f>
        <v>12</v>
      </c>
      <c r="I37" s="49" t="str">
        <f>IF(DATEDIF(Table_Input_RECSurrendered[[#This Row],[Generation date]],DATEVALUE($E$30),"M")&gt;36,"Ineligible - older than 36 months","Elegible")</f>
        <v>Ineligible - older than 36 months</v>
      </c>
      <c r="L37" s="52"/>
    </row>
    <row r="38" spans="1:12" ht="20.100000000000001" customHeight="1" x14ac:dyDescent="0.25">
      <c r="A38" s="16" t="str">
        <f>HYPERLINK("#'Constants - Common'!A1", "Constants - Common")</f>
        <v>Constants - Common</v>
      </c>
      <c r="D38" s="10"/>
      <c r="E38" s="47" t="s">
        <v>258</v>
      </c>
      <c r="F38" s="100">
        <v>44575</v>
      </c>
      <c r="G38" s="10">
        <v>5</v>
      </c>
      <c r="H38" s="49">
        <f>Table_Input_RECSurrendered[[#This Row],[Number of certificates]]</f>
        <v>5</v>
      </c>
      <c r="I38" s="49" t="str">
        <f>IF(DATEDIF(Table_Input_RECSurrendered[[#This Row],[Generation date]],DATEVALUE($E$30),"M")&gt;36,"Ineligible - older than 36 months","Elegible")</f>
        <v>Elegible</v>
      </c>
    </row>
    <row r="39" spans="1:12" ht="20.100000000000001" customHeight="1" x14ac:dyDescent="0.25">
      <c r="A39"/>
      <c r="D39" s="10"/>
      <c r="E39" s="47" t="s">
        <v>257</v>
      </c>
      <c r="F39" s="100">
        <v>45438</v>
      </c>
      <c r="G39" s="10">
        <v>5</v>
      </c>
      <c r="H39" s="49">
        <f>Table_Input_RECSurrendered[[#This Row],[Number of certificates]]</f>
        <v>5</v>
      </c>
      <c r="I39" s="49" t="str">
        <f>IF(DATEDIF(Table_Input_RECSurrendered[[#This Row],[Generation date]],DATEVALUE($E$30),"M")&gt;36,"Ineligible - older than 36 months","Elegible")</f>
        <v>Elegible</v>
      </c>
    </row>
    <row r="40" spans="1:12" s="52" customFormat="1" ht="20.100000000000001" customHeight="1" x14ac:dyDescent="0.25">
      <c r="A40"/>
      <c r="C40" s="8"/>
      <c r="D40" s="8"/>
      <c r="E40" s="8"/>
      <c r="F40" s="8"/>
      <c r="G40" s="8"/>
      <c r="H40" s="8"/>
      <c r="I40" s="8"/>
      <c r="J40" s="8"/>
    </row>
    <row r="41" spans="1:12" s="52" customFormat="1" ht="20.100000000000001" customHeight="1" x14ac:dyDescent="0.25">
      <c r="A41"/>
      <c r="C41" s="8"/>
      <c r="D41" s="8" t="s">
        <v>259</v>
      </c>
      <c r="E41" s="49">
        <f>SUMIF(Table_Input_RECSurrendered[Elegibility], "Elegible", Table_Input_RECSurrendered[MWh])</f>
        <v>10</v>
      </c>
      <c r="F41" s="65" t="s">
        <v>254</v>
      </c>
      <c r="G41" s="8"/>
      <c r="H41" s="8"/>
      <c r="I41" s="8"/>
      <c r="J41" s="8"/>
      <c r="L41" s="52" t="s">
        <v>261</v>
      </c>
    </row>
    <row r="42" spans="1:12" ht="20.100000000000001" customHeight="1" x14ac:dyDescent="0.25">
      <c r="A42"/>
      <c r="C42" s="51"/>
    </row>
    <row r="43" spans="1:12" ht="20.100000000000001" customHeight="1" x14ac:dyDescent="0.25">
      <c r="A43"/>
      <c r="C43" s="51"/>
      <c r="D43" s="71" t="s">
        <v>260</v>
      </c>
      <c r="J43" s="51"/>
    </row>
    <row r="44" spans="1:12" ht="20.100000000000001" customHeight="1" x14ac:dyDescent="0.25">
      <c r="A44"/>
    </row>
    <row r="45" spans="1:12" ht="20.100000000000001" customHeight="1" x14ac:dyDescent="0.25">
      <c r="A45"/>
      <c r="D45" s="46" t="s">
        <v>250</v>
      </c>
      <c r="E45" s="46" t="s">
        <v>140</v>
      </c>
      <c r="F45" s="46" t="s">
        <v>252</v>
      </c>
      <c r="G45" s="46" t="s">
        <v>253</v>
      </c>
      <c r="H45" s="46" t="s">
        <v>254</v>
      </c>
      <c r="I45" s="46" t="s">
        <v>255</v>
      </c>
    </row>
    <row r="46" spans="1:12" ht="20.100000000000001" customHeight="1" x14ac:dyDescent="0.25">
      <c r="A46"/>
      <c r="D46" s="10" t="s">
        <v>262</v>
      </c>
      <c r="E46" s="49" t="str">
        <f>"Issued for generated electricity"</f>
        <v>Issued for generated electricity</v>
      </c>
      <c r="F46" s="100">
        <v>44697</v>
      </c>
      <c r="G46" s="10">
        <v>10</v>
      </c>
      <c r="H46" s="49">
        <f>Table_Input_RECConsumedByEntity[[#This Row],[Number of certificates]]</f>
        <v>10</v>
      </c>
      <c r="I46" s="49"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A47"/>
      <c r="D47" s="10"/>
      <c r="E47" s="49" t="str">
        <f>"Issued for generated electricity"</f>
        <v>Issued for generated electricity</v>
      </c>
      <c r="F47" s="100">
        <v>45483</v>
      </c>
      <c r="G47" s="10">
        <v>4</v>
      </c>
      <c r="H47" s="49">
        <f>Table_Input_RECConsumedByEntity[[#This Row],[Number of certificates]]</f>
        <v>4</v>
      </c>
      <c r="I47" s="49"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A48"/>
      <c r="D48" s="10"/>
      <c r="E48" s="49" t="str">
        <f>"Issued for generated electricity"</f>
        <v>Issued for generated electricity</v>
      </c>
      <c r="F48" s="100">
        <v>45607</v>
      </c>
      <c r="G48" s="10">
        <v>7</v>
      </c>
      <c r="H48" s="49">
        <f>Table_Input_RECConsumedByEntity[[#This Row],[Number of certificates]]</f>
        <v>7</v>
      </c>
      <c r="I48" s="49" t="str">
        <f>IF(AND(Table_Input_RECConsumedByEntity[[#This Row],[Generation date]]&gt;=DATEVALUE($E$29), Table_Input_RECConsumedByEntity[[#This Row],[Generation date]]&lt;= DATEVALUE($E$30)), "Elegible", "Ineligible - outside reporting year")</f>
        <v>Elegible</v>
      </c>
    </row>
    <row r="49" spans="1:6" ht="20.100000000000001" customHeight="1" x14ac:dyDescent="0.25">
      <c r="A49"/>
    </row>
    <row r="50" spans="1:6" ht="20.100000000000001" customHeight="1" x14ac:dyDescent="0.25">
      <c r="A50"/>
      <c r="D50" s="8" t="s">
        <v>263</v>
      </c>
      <c r="E50" s="49">
        <f>SUMIF(Table_Input_RECConsumedByEntity[Elegibility], "Elegible", Table_Input_RECConsumedByEntity[Number of certificates])</f>
        <v>11</v>
      </c>
      <c r="F50" s="65" t="s">
        <v>254</v>
      </c>
    </row>
    <row r="51" spans="1:6" ht="20.100000000000001" customHeight="1" x14ac:dyDescent="0.25">
      <c r="A51"/>
    </row>
    <row r="52" spans="1:6" ht="20.100000000000001" customHeight="1" x14ac:dyDescent="0.25">
      <c r="A52"/>
    </row>
    <row r="53" spans="1:6" ht="20.100000000000001" customHeight="1" x14ac:dyDescent="0.25">
      <c r="A53"/>
    </row>
    <row r="54" spans="1:6" ht="20.100000000000001" customHeight="1" x14ac:dyDescent="0.25">
      <c r="A54"/>
    </row>
    <row r="55" spans="1:6" ht="20.100000000000001" customHeight="1" x14ac:dyDescent="0.25">
      <c r="A55"/>
    </row>
    <row r="56" spans="1:6" ht="20.100000000000001" customHeight="1" x14ac:dyDescent="0.25">
      <c r="A56"/>
    </row>
    <row r="57" spans="1:6" ht="20.100000000000001" customHeight="1" x14ac:dyDescent="0.25">
      <c r="A57"/>
      <c r="D57" s="101"/>
    </row>
    <row r="58" spans="1:6" ht="20.100000000000001" customHeight="1" x14ac:dyDescent="0.25">
      <c r="A58"/>
    </row>
    <row r="59" spans="1:6" ht="20.100000000000001" customHeight="1" x14ac:dyDescent="0.25">
      <c r="A59"/>
      <c r="D59" s="101"/>
    </row>
    <row r="60" spans="1:6" ht="20.100000000000001" customHeight="1" x14ac:dyDescent="0.25">
      <c r="A60"/>
      <c r="D60" s="101"/>
    </row>
    <row r="61" spans="1:6" ht="20.100000000000001" customHeight="1" x14ac:dyDescent="0.25">
      <c r="A61"/>
    </row>
    <row r="62" spans="1:6" ht="20.100000000000001" customHeight="1" x14ac:dyDescent="0.25">
      <c r="A62"/>
    </row>
    <row r="63" spans="1:6" ht="20.100000000000001" customHeight="1" x14ac:dyDescent="0.25">
      <c r="A63"/>
    </row>
    <row r="64" spans="1:6"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4"/>
    </row>
  </sheetData>
  <conditionalFormatting sqref="F130:F131">
    <cfRule type="cellIs" dxfId="53" priority="8" operator="lessThan">
      <formula>0</formula>
    </cfRule>
  </conditionalFormatting>
  <conditionalFormatting sqref="F142:F143">
    <cfRule type="cellIs" dxfId="52" priority="7" operator="lessThan">
      <formula>0</formula>
    </cfRule>
  </conditionalFormatting>
  <conditionalFormatting sqref="F154:F155">
    <cfRule type="cellIs" dxfId="51" priority="6" operator="lessThan">
      <formula>0</formula>
    </cfRule>
  </conditionalFormatting>
  <conditionalFormatting sqref="F166:F167">
    <cfRule type="cellIs" dxfId="50" priority="5" operator="lessThan">
      <formula>0</formula>
    </cfRule>
  </conditionalFormatting>
  <conditionalFormatting sqref="F254:F255">
    <cfRule type="cellIs" dxfId="49" priority="17" operator="lessThan">
      <formula>0</formula>
    </cfRule>
  </conditionalFormatting>
  <conditionalFormatting sqref="F259:F260">
    <cfRule type="cellIs" dxfId="48" priority="16" operator="lessThan">
      <formula>0</formula>
    </cfRule>
  </conditionalFormatting>
  <conditionalFormatting sqref="F264:F265">
    <cfRule type="cellIs" dxfId="47" priority="15" operator="lessThan">
      <formula>0</formula>
    </cfRule>
  </conditionalFormatting>
  <conditionalFormatting sqref="F288:F289">
    <cfRule type="cellIs" dxfId="46" priority="14" operator="lessThan">
      <formula>0</formula>
    </cfRule>
  </conditionalFormatting>
  <conditionalFormatting sqref="F293:F294">
    <cfRule type="cellIs" dxfId="45" priority="13" operator="lessThan">
      <formula>0</formula>
    </cfRule>
  </conditionalFormatting>
  <conditionalFormatting sqref="F298:F299">
    <cfRule type="cellIs" dxfId="44" priority="12" operator="lessThan">
      <formula>0</formula>
    </cfRule>
  </conditionalFormatting>
  <conditionalFormatting sqref="I61:I63">
    <cfRule type="cellIs" dxfId="43" priority="4" operator="lessThan">
      <formula>0</formula>
    </cfRule>
  </conditionalFormatting>
  <conditionalFormatting sqref="I67 I126">
    <cfRule type="cellIs" dxfId="42" priority="10" operator="lessThan">
      <formula>0</formula>
    </cfRule>
  </conditionalFormatting>
  <conditionalFormatting sqref="I78:I80">
    <cfRule type="cellIs" dxfId="41" priority="3" operator="lessThan">
      <formula>0</formula>
    </cfRule>
  </conditionalFormatting>
  <conditionalFormatting sqref="I84:I87">
    <cfRule type="cellIs" dxfId="40" priority="2" operator="lessThan">
      <formula>0</formula>
    </cfRule>
  </conditionalFormatting>
  <conditionalFormatting sqref="I91:I95">
    <cfRule type="cellIs" dxfId="39" priority="1" operator="lessThan">
      <formula>0</formula>
    </cfRule>
  </conditionalFormatting>
  <conditionalFormatting sqref="J35 I49:I50 H51:H53 I52 I54:I56 I58:I59 I206 I212 E214:G214">
    <cfRule type="cellIs" dxfId="38" priority="11" operator="lessThan">
      <formula>0</formula>
    </cfRule>
  </conditionalFormatting>
  <conditionalFormatting sqref="J39 I40 J41 I43 F55">
    <cfRule type="cellIs" dxfId="37" priority="9" operator="lessThan">
      <formula>0</formula>
    </cfRule>
  </conditionalFormatting>
  <dataValidations count="7">
    <dataValidation type="list" allowBlank="1" showInputMessage="1" showErrorMessage="1" sqref="E37:E39" xr:uid="{FBACCABC-AF99-44FB-9146-6F32E67A5303}">
      <formula1>"Purchased certificate, Issued for generated electricity"</formula1>
    </dataValidation>
    <dataValidation type="list" allowBlank="1" showInputMessage="1" showErrorMessage="1" sqref="E17"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 type="list" allowBlank="1" showInputMessage="1" showErrorMessage="1" sqref="E5" xr:uid="{28F0502C-12DB-4B63-8AF7-49181A465B60}">
      <formula1>"Location-based (simpler), Market-based (more complex)"</formula1>
    </dataValidation>
  </dataValidations>
  <pageMargins left="0.7" right="0.7" top="0.75" bottom="0.75" header="0.3" footer="0.3"/>
  <pageSetup paperSize="9" orientation="portrait"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A1:AO642"/>
  <sheetViews>
    <sheetView showGridLines="0" topLeftCell="L208" zoomScaleNormal="100" workbookViewId="0">
      <selection activeCell="R221" sqref="R221"/>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1:41" s="1" customFormat="1" ht="30" customHeight="1" x14ac:dyDescent="0.35">
      <c r="A1" s="37" t="e" vm="1">
        <v>#VALUE!</v>
      </c>
      <c r="C1" s="1" t="s">
        <v>834</v>
      </c>
    </row>
    <row r="2" spans="1:41" s="2" customFormat="1" ht="20.100000000000001" customHeight="1" x14ac:dyDescent="0.25">
      <c r="A2"/>
    </row>
    <row r="3" spans="1:4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1:41" ht="20.100000000000001" customHeight="1" x14ac:dyDescent="0.25">
      <c r="A4" s="16" t="str">
        <f>HYPERLINK("#'Results'!A1", "Results")</f>
        <v>Results</v>
      </c>
    </row>
    <row r="5" spans="1:41" ht="20.100000000000001" customHeight="1" x14ac:dyDescent="0.25">
      <c r="D5" s="9" t="str" cm="1">
        <f t="array" ref="D5">Scope3_Equations.VEERG_15_1_1_1__1_EmissionsFromPurchasedLivestock_Title()</f>
        <v>Total emissions from purchased livestock</v>
      </c>
    </row>
    <row r="6" spans="1:41" ht="20.100000000000001" customHeight="1" x14ac:dyDescent="0.25">
      <c r="D6" s="11" t="str" cm="1">
        <f t="array" ref="D6">Scope3_Equations.VEERG_15_1_1_1__1_EmissionsFromPurchasedLivestock_Source()</f>
        <v>VEERG 2026: 15.1.1.1, Equation (1)</v>
      </c>
    </row>
    <row r="7" spans="1:41" ht="20.100000000000001" customHeight="1" x14ac:dyDescent="0.25">
      <c r="A7" s="19" t="s">
        <v>67</v>
      </c>
      <c r="D7" s="172" t="s">
        <v>629</v>
      </c>
      <c r="E7" s="172" t="str" cm="1">
        <f t="array" aca="1" ref="E7" ca="1">Common_InputFunctions.Utility_DisplayFunctionName(J23)</f>
        <v>=Scope3_Equations.VEERG_15_1_1_1__1_EmissionsFromPurchasedLivestock</v>
      </c>
    </row>
    <row r="8" spans="1:41" ht="20.100000000000001" customHeight="1" x14ac:dyDescent="0.25">
      <c r="A8" s="16" t="str">
        <f>HYPERLINK("#'Input - Site'!A1", "Site")</f>
        <v>Site</v>
      </c>
    </row>
    <row r="9" spans="1:41" ht="20.100000000000001" customHeight="1" x14ac:dyDescent="0.25">
      <c r="A9" s="16" t="str">
        <f>HYPERLINK("#'Input - Fuel'!A1", "Fuel")</f>
        <v>Fuel</v>
      </c>
      <c r="H9" s="172"/>
    </row>
    <row r="10" spans="1:41" ht="20.100000000000001" customHeight="1" x14ac:dyDescent="0.25">
      <c r="A10" s="16" t="str">
        <f>HYPERLINK("#'Input - Fertiliser'!A1", "Fertiliser")</f>
        <v>Fertiliser</v>
      </c>
      <c r="D10" s="27" t="s">
        <v>630</v>
      </c>
      <c r="E10" s="8" t="str" cm="1">
        <f t="array" ref="E10">Scope3_Equations.VEERG_15_1_1_1__1_EmissionsFromPurchasedLivestock_Variable()</f>
        <v>E</v>
      </c>
    </row>
    <row r="11" spans="1:41" ht="20.100000000000001" customHeight="1" x14ac:dyDescent="0.25">
      <c r="A11" s="16" t="str">
        <f>HYPERLINK("#'Input - Farm Inputs'!A1", "Farm Inputs")</f>
        <v>Farm Inputs</v>
      </c>
      <c r="D11" s="27" t="s">
        <v>97</v>
      </c>
      <c r="E11" s="13" t="str" cm="1">
        <f t="array" ref="E11">Scope3_Equations.VEERG_15_1_1_1__1_EmissionsFromPurchasedLivestock_Unit()</f>
        <v>t CO2e</v>
      </c>
    </row>
    <row r="12" spans="1:41" ht="20.100000000000001" customHeight="1" x14ac:dyDescent="0.25">
      <c r="A12" s="16" t="str">
        <f>HYPERLINK("#'Input - Livestock purchases'!A1", "Livestock purchases")</f>
        <v>Livestock purchases</v>
      </c>
    </row>
    <row r="13" spans="1:41" ht="20.100000000000001" customHeight="1" x14ac:dyDescent="0.25">
      <c r="A13" s="16" t="str">
        <f>HYPERLINK("#'Input - Freight'!A1", "Freight")</f>
        <v>Freight</v>
      </c>
      <c r="D13" s="167" t="str" cm="1">
        <f t="array" ref="D13:E17">_xlfn.CHOOSECOLS(Scope3_Equations.VEERG_15_1_1_1__1_EmissionsFromPurchasedLivestock_Arguments(),1,2)</f>
        <v>N_co</v>
      </c>
      <c r="E13" s="171" t="str">
        <v>number of animals purchased in livestock type c from origin o</v>
      </c>
      <c r="F13" s="166"/>
      <c r="G13" s="167" t="str" cm="1">
        <f t="array" ref="G13:H17">_xlfn.CHOOSECOLS(Scope3_Equations.VEERG_15_1_1_1__1_EmissionsFromPurchasedLivestock_Arguments(),3,4)</f>
        <v>head</v>
      </c>
      <c r="H13" s="168" t="str">
        <v>Input</v>
      </c>
    </row>
    <row r="14" spans="1:41" ht="20.100000000000001" customHeight="1" x14ac:dyDescent="0.25">
      <c r="A14" s="16" t="str">
        <f>HYPERLINK("#'Input - Solid waste'!A1", "Solid waste")</f>
        <v>Solid waste</v>
      </c>
      <c r="D14" s="167" t="str">
        <v>W_co</v>
      </c>
      <c r="E14" s="171" t="str">
        <v>average liveweight of purchased livestock at point of purchase</v>
      </c>
      <c r="F14" s="166"/>
      <c r="G14" s="167" t="str">
        <v>kg/head</v>
      </c>
      <c r="H14" s="168" t="str">
        <v>Input</v>
      </c>
    </row>
    <row r="15" spans="1:41" ht="20.100000000000001" customHeight="1" x14ac:dyDescent="0.25">
      <c r="A15" s="16" t="str">
        <f>HYPERLINK("#'Input - Manure sent off-site'!A1", "Manure sent off-site")</f>
        <v>Manure sent off-site</v>
      </c>
      <c r="D15" s="167" t="str">
        <v>EF_co</v>
      </c>
      <c r="E15" s="171" t="str">
        <v>emission factor per livestock type and origin</v>
      </c>
      <c r="F15" s="166"/>
      <c r="G15" s="167" t="str">
        <v>kg CO2e/kg</v>
      </c>
      <c r="H15" s="169" t="str">
        <v>Constant</v>
      </c>
    </row>
    <row r="16" spans="1:41" ht="20.100000000000001" customHeight="1" x14ac:dyDescent="0.25">
      <c r="A16" s="16" t="str">
        <f>HYPERLINK("#'Input - Electricity'!A1", "Electricity")</f>
        <v>Electricity</v>
      </c>
      <c r="D16" s="167" t="str">
        <v>c</v>
      </c>
      <c r="E16" s="171" t="str">
        <v>livestock type</v>
      </c>
      <c r="F16" s="166"/>
      <c r="G16" s="167" t="str">
        <v/>
      </c>
      <c r="H16" s="168" t="str">
        <v>Input</v>
      </c>
    </row>
    <row r="17" spans="1:16" ht="20.100000000000001" customHeight="1" x14ac:dyDescent="0.25">
      <c r="D17" s="167" t="str">
        <v>o</v>
      </c>
      <c r="E17" s="171" t="str">
        <v>origin</v>
      </c>
      <c r="F17" s="166"/>
      <c r="G17" s="167" t="str">
        <v/>
      </c>
      <c r="H17" s="168" t="str">
        <v>Input</v>
      </c>
    </row>
    <row r="18" spans="1:16" ht="20.100000000000001" customHeight="1" x14ac:dyDescent="0.25"/>
    <row r="19" spans="1:16" ht="20.100000000000001" customHeight="1" x14ac:dyDescent="0.25">
      <c r="A19" s="21" t="s">
        <v>77</v>
      </c>
      <c r="D19" s="95" t="s">
        <v>570</v>
      </c>
      <c r="E19" s="110"/>
      <c r="F19" s="96"/>
    </row>
    <row r="20" spans="1:16" ht="20.100000000000001" customHeight="1" x14ac:dyDescent="0.25">
      <c r="A20" s="180" t="str">
        <f>HYPERLINK("#'15 Scope 3'!A1", "15 Scope 3")</f>
        <v>15 Scope 3</v>
      </c>
    </row>
    <row r="21" spans="1:16" ht="20.100000000000001" customHeight="1" x14ac:dyDescent="0.25">
      <c r="A21" s="16" t="str">
        <f>HYPERLINK("#'10.1.1-2 Solid waste treatment'!A1", "10.1.1-2 Solid waste treatment")</f>
        <v>10.1.1-2 Solid waste treatment</v>
      </c>
      <c r="D21" s="144" t="s">
        <v>326</v>
      </c>
    </row>
    <row r="22" spans="1:16" ht="20.100000000000001" customHeight="1" x14ac:dyDescent="0.25">
      <c r="A22" s="16" t="str">
        <f>HYPERLINK("#'Calcs - Manure sent off-site'!A1", "Calcs - Manure sent off-site")</f>
        <v>Calcs - Manure sent off-site</v>
      </c>
      <c r="D22" s="46" t="s">
        <v>364</v>
      </c>
      <c r="E22" s="152" t="s">
        <v>623</v>
      </c>
      <c r="F22" s="152" t="s">
        <v>622</v>
      </c>
      <c r="G22" s="152" t="s">
        <v>624</v>
      </c>
      <c r="H22" s="152" t="s">
        <v>625</v>
      </c>
      <c r="I22" s="57" t="s">
        <v>627</v>
      </c>
      <c r="J22" s="57" t="s">
        <v>636</v>
      </c>
      <c r="K22" s="152" t="s">
        <v>626</v>
      </c>
      <c r="L22" s="46" t="s">
        <v>628</v>
      </c>
      <c r="M22" s="57" t="s">
        <v>638</v>
      </c>
      <c r="N22" s="46" t="s">
        <v>632</v>
      </c>
      <c r="O22" s="46" t="s">
        <v>633</v>
      </c>
      <c r="P22" s="46" t="s">
        <v>634</v>
      </c>
    </row>
    <row r="23" spans="1:16" ht="20.100000000000001" customHeight="1" x14ac:dyDescent="0.25">
      <c r="A23" s="16" t="str">
        <f>HYPERLINK("#'8.1.1.1-2 Transport fuel'!A1", "8.1.1.1-2 Transport fuel")</f>
        <v>8.1.1.1-2 Transport fuel</v>
      </c>
      <c r="D23" s="49" t="str" cm="1">
        <f t="array" ref="D23:D32">IFERROR(INDEX(Table_Input_LivestockPurchases_Beefcattle[Transaction name], _xlfn.SEQUENCE(10)), "")</f>
        <v>Cows from Barry</v>
      </c>
      <c r="E23" s="49" t="str" cm="1">
        <f t="array" ref="E23:E32">IFERROR(INDEX(Table_Input_LivestockPurchases_Beefcattle[Purchase class (select)], _xlfn.SEQUENCE(10)), "")</f>
        <v>Cattle, for prime beef</v>
      </c>
      <c r="F23" s="49" t="str" cm="1">
        <f t="array" ref="F23:F32">IFERROR(_xlfn.XLOOKUP(INDEX(Table_Input_LivestockPurchases_Beefcattle[Source region (Select)], _xlfn.SEQUENCE(10)), Table_ProductRegions_Beefcattle[Region],Table_ProductRegions_Beefcattle[Scope3 region]), "")</f>
        <v>WA</v>
      </c>
      <c r="G23" s="49" cm="1">
        <f t="array" ref="G23:G32">IFERROR(INDEX(Table_Input_LivestockPurchases_Beefcattle[Quantity (head)], _xlfn.SEQUENCE(10)), "")</f>
        <v>100</v>
      </c>
      <c r="H23" s="49" cm="1">
        <f t="array" ref="H23:H32">IFERROR(INDEX(Table_Input_LivestockPurchases_Beefcattle[Liveweight (kg/head) Method 1], _xlfn.SEQUENCE(10)), 0)</f>
        <v>210</v>
      </c>
      <c r="I23" s="49" cm="1">
        <f t="array" ref="I23">Common_InputFunctions.Utility_LookupValueInTableTwoColumns(E23,F23,Table_SourceData_Scope3_Animals[Product],Table_SourceData_Scope3_Animals[Region of origin],Table_SourceData_Scope3_Animals[AusLCI Emissions intensity], 0)</f>
        <v>20.8</v>
      </c>
      <c r="J23" s="151" cm="1">
        <f t="array" ref="J23">Scope3_Equations.VEERG_15_1_1_1__1_EmissionsFromPurchasedLivestock(G23,H23,I23)</f>
        <v>436.8</v>
      </c>
      <c r="K23" s="49" cm="1">
        <f t="array" ref="K23:K32">IFERROR(INDEX(Table_Input_LivestockPurchases_Beefcattle[Liveweight (kg/head) Method 2], _xlfn.SEQUENCE(10)), "")</f>
        <v>205</v>
      </c>
      <c r="L23" s="66">
        <v>20</v>
      </c>
      <c r="M23" s="151" cm="1">
        <f t="array" ref="M23">Scope3_Equations.VEERG_15_1_1_1__1_EmissionsFromPurchasedLivestock(G23,K23,IF(L23, L23, I23))</f>
        <v>410</v>
      </c>
      <c r="N23" s="82" t="s">
        <v>606</v>
      </c>
      <c r="O23" s="47" t="s">
        <v>605</v>
      </c>
      <c r="P23" t="s">
        <v>607</v>
      </c>
    </row>
    <row r="24" spans="1:16" ht="20.100000000000001" customHeight="1" x14ac:dyDescent="0.25">
      <c r="A24" s="16" t="str">
        <f>HYPERLINK("#'8.2.1.1-2 Stationary fuel'!A1", "8.2.1.1-2 Stationary fuel")</f>
        <v>8.2.1.1-2 Stationary fuel</v>
      </c>
      <c r="D24" s="49">
        <v>0</v>
      </c>
      <c r="E24" s="49" t="str">
        <v>Cattle, for manufacturing beef</v>
      </c>
      <c r="F24" s="49" t="str">
        <v>WA</v>
      </c>
      <c r="G24" s="49">
        <v>100</v>
      </c>
      <c r="H24" s="49">
        <v>470</v>
      </c>
      <c r="I24" s="49" cm="1">
        <f t="array" ref="I24">Common_InputFunctions.Utility_LookupValueInTableTwoColumns(E24,F24,Table_SourceData_Scope3_Animals[Product],Table_SourceData_Scope3_Animals[Region of origin],Table_SourceData_Scope3_Animals[AusLCI Emissions intensity], 0)</f>
        <v>13.1</v>
      </c>
      <c r="J24" s="151" cm="1">
        <f t="array" ref="J24">Scope3_Equations.VEERG_15_1_1_1__1_EmissionsFromPurchasedLivestock(G24,H24,I24)</f>
        <v>615.70000000000005</v>
      </c>
      <c r="K24" s="49">
        <v>465</v>
      </c>
      <c r="L24" s="66">
        <v>13</v>
      </c>
      <c r="M24" s="151" cm="1">
        <f t="array" ref="M24">Scope3_Equations.VEERG_15_1_1_1__1_EmissionsFromPurchasedLivestock(G24,K24,IF(L24, L24, I24))</f>
        <v>604.5</v>
      </c>
      <c r="N24" s="82"/>
      <c r="O24" s="47"/>
      <c r="P24" s="82"/>
    </row>
    <row r="25" spans="1:16" ht="20.100000000000001" customHeight="1" x14ac:dyDescent="0.25">
      <c r="D25" s="49">
        <v>0</v>
      </c>
      <c r="E25" s="49">
        <v>0</v>
      </c>
      <c r="F25" s="49" t="str">
        <v/>
      </c>
      <c r="G25" s="49">
        <v>0</v>
      </c>
      <c r="H25" s="49">
        <v>0</v>
      </c>
      <c r="I25" s="49" cm="1">
        <f t="array" ref="I25">Common_InputFunctions.Utility_LookupValueInTableTwoColumns(E25,F25,Table_SourceData_Scope3_Animals[Product],Table_SourceData_Scope3_Animals[Region of origin],Table_SourceData_Scope3_Animals[AusLCI Emissions intensity], 0)</f>
        <v>0</v>
      </c>
      <c r="J25" s="151" cm="1">
        <f t="array" ref="J25">Scope3_Equations.VEERG_15_1_1_1__1_EmissionsFromPurchasedLivestock(G25,H25,I25)</f>
        <v>0</v>
      </c>
      <c r="K25" s="49">
        <v>0</v>
      </c>
      <c r="L25" s="66"/>
      <c r="M25" s="151" cm="1">
        <f t="array" ref="M25">Scope3_Equations.VEERG_15_1_1_1__1_EmissionsFromPurchasedLivestock(G25,K25,IF(L25, L25, I25))</f>
        <v>0</v>
      </c>
      <c r="N25" s="82"/>
      <c r="O25" s="47"/>
      <c r="P25" s="82"/>
    </row>
    <row r="26" spans="1:16" ht="20.100000000000001" customHeight="1" x14ac:dyDescent="0.25">
      <c r="D26" s="49">
        <v>0</v>
      </c>
      <c r="E26" s="49">
        <v>0</v>
      </c>
      <c r="F26" s="49" t="str">
        <v/>
      </c>
      <c r="G26" s="49">
        <v>0</v>
      </c>
      <c r="H26" s="49">
        <v>0</v>
      </c>
      <c r="I26" s="49" cm="1">
        <f t="array" ref="I26">Common_InputFunctions.Utility_LookupValueInTableTwoColumns(E26,F26,Table_SourceData_Scope3_Animals[Product],Table_SourceData_Scope3_Animals[Region of origin],Table_SourceData_Scope3_Animals[AusLCI Emissions intensity], 0)</f>
        <v>0</v>
      </c>
      <c r="J26" s="151" cm="1">
        <f t="array" ref="J26">Scope3_Equations.VEERG_15_1_1_1__1_EmissionsFromPurchasedLivestock(G26,H26,I26)</f>
        <v>0</v>
      </c>
      <c r="K26" s="49">
        <v>0</v>
      </c>
      <c r="L26" s="66"/>
      <c r="M26" s="151" cm="1">
        <f t="array" ref="M26">Scope3_Equations.VEERG_15_1_1_1__1_EmissionsFromPurchasedLivestock(G26,K26,IF(L26, L26, I26))</f>
        <v>0</v>
      </c>
      <c r="N26" s="82"/>
      <c r="O26" s="47"/>
      <c r="P26" s="82"/>
    </row>
    <row r="27" spans="1:16" ht="20.100000000000001" customHeight="1" x14ac:dyDescent="0.25">
      <c r="A27" s="222" t="s">
        <v>78</v>
      </c>
      <c r="D27" s="49">
        <v>0</v>
      </c>
      <c r="E27" s="49">
        <v>0</v>
      </c>
      <c r="F27" s="49" t="str">
        <v/>
      </c>
      <c r="G27" s="49">
        <v>0</v>
      </c>
      <c r="H27" s="49">
        <v>0</v>
      </c>
      <c r="I27" s="49" cm="1">
        <f t="array" ref="I27">Common_InputFunctions.Utility_LookupValueInTableTwoColumns(E27,F27,Table_SourceData_Scope3_Animals[Product],Table_SourceData_Scope3_Animals[Region of origin],Table_SourceData_Scope3_Animals[AusLCI Emissions intensity], 0)</f>
        <v>0</v>
      </c>
      <c r="J27" s="151" cm="1">
        <f t="array" ref="J27">Scope3_Equations.VEERG_15_1_1_1__1_EmissionsFromPurchasedLivestock(G27,H27,I27)</f>
        <v>0</v>
      </c>
      <c r="K27" s="49">
        <v>0</v>
      </c>
      <c r="L27" s="66"/>
      <c r="M27" s="151" cm="1">
        <f t="array" ref="M27">Scope3_Equations.VEERG_15_1_1_1__1_EmissionsFromPurchasedLivestock(G27,K27,IF(L27, L27, I27))</f>
        <v>0</v>
      </c>
      <c r="N27" s="82"/>
      <c r="O27" s="47"/>
      <c r="P27" s="82"/>
    </row>
    <row r="28" spans="1:16" ht="20.100000000000001" customHeight="1" x14ac:dyDescent="0.25">
      <c r="A28" s="16" t="str">
        <f>HYPERLINK("#'Constants - Scope 3'!A1", "Constants - Scope 3")</f>
        <v>Constants - Scope 3</v>
      </c>
      <c r="D28" s="49">
        <v>0</v>
      </c>
      <c r="E28" s="49">
        <v>0</v>
      </c>
      <c r="F28" s="49" t="str">
        <v/>
      </c>
      <c r="G28" s="49">
        <v>0</v>
      </c>
      <c r="H28" s="49">
        <v>0</v>
      </c>
      <c r="I28" s="49" cm="1">
        <f t="array" ref="I28">Common_InputFunctions.Utility_LookupValueInTableTwoColumns(E28,F28,Table_SourceData_Scope3_Animals[Product],Table_SourceData_Scope3_Animals[Region of origin],Table_SourceData_Scope3_Animals[AusLCI Emissions intensity], 0)</f>
        <v>0</v>
      </c>
      <c r="J28" s="151" cm="1">
        <f t="array" ref="J28">Scope3_Equations.VEERG_15_1_1_1__1_EmissionsFromPurchasedLivestock(G28,H28,I28)</f>
        <v>0</v>
      </c>
      <c r="K28" s="49">
        <v>0</v>
      </c>
      <c r="L28" s="66"/>
      <c r="M28" s="151" cm="1">
        <f t="array" ref="M28">Scope3_Equations.VEERG_15_1_1_1__1_EmissionsFromPurchasedLivestock(G28,K28,IF(L28, L28, I28))</f>
        <v>0</v>
      </c>
      <c r="N28" s="82"/>
      <c r="O28" s="47"/>
      <c r="P28" s="82"/>
    </row>
    <row r="29" spans="1:16" ht="20.100000000000001" customHeight="1" x14ac:dyDescent="0.25">
      <c r="A29" s="16" t="str">
        <f>HYPERLINK("#'Constants - Solid Waste'!A1", "Constants - Solid Waste")</f>
        <v>Constants - Solid Waste</v>
      </c>
      <c r="D29" s="49">
        <v>0</v>
      </c>
      <c r="E29" s="49">
        <v>0</v>
      </c>
      <c r="F29" s="49" t="str">
        <v/>
      </c>
      <c r="G29" s="49">
        <v>0</v>
      </c>
      <c r="H29" s="49">
        <v>0</v>
      </c>
      <c r="I29" s="49" cm="1">
        <f t="array" ref="I29">Common_InputFunctions.Utility_LookupValueInTableTwoColumns(E29,F29,Table_SourceData_Scope3_Animals[Product],Table_SourceData_Scope3_Animals[Region of origin],Table_SourceData_Scope3_Animals[AusLCI Emissions intensity], 0)</f>
        <v>0</v>
      </c>
      <c r="J29" s="151" cm="1">
        <f t="array" ref="J29">Scope3_Equations.VEERG_15_1_1_1__1_EmissionsFromPurchasedLivestock(G29,H29,I29)</f>
        <v>0</v>
      </c>
      <c r="K29" s="49">
        <v>0</v>
      </c>
      <c r="L29" s="66"/>
      <c r="M29" s="151" cm="1">
        <f t="array" ref="M29">Scope3_Equations.VEERG_15_1_1_1__1_EmissionsFromPurchasedLivestock(G29,K29,IF(L29, L29, I29))</f>
        <v>0</v>
      </c>
      <c r="N29" s="82"/>
      <c r="O29" s="47"/>
      <c r="P29" s="82"/>
    </row>
    <row r="30" spans="1:16" ht="20.100000000000001" customHeight="1" x14ac:dyDescent="0.25">
      <c r="A30" s="16" t="str">
        <f>HYPERLINK("#'Constants - Fuel'!A1", "Constants - Fuel")</f>
        <v>Constants - Fuel</v>
      </c>
      <c r="D30" s="49">
        <v>0</v>
      </c>
      <c r="E30" s="49">
        <v>0</v>
      </c>
      <c r="F30" s="49" t="str">
        <v/>
      </c>
      <c r="G30" s="49">
        <v>0</v>
      </c>
      <c r="H30" s="49">
        <v>0</v>
      </c>
      <c r="I30" s="49" cm="1">
        <f t="array" ref="I30">Common_InputFunctions.Utility_LookupValueInTableTwoColumns(E30,F30,Table_SourceData_Scope3_Animals[Product],Table_SourceData_Scope3_Animals[Region of origin],Table_SourceData_Scope3_Animals[AusLCI Emissions intensity], 0)</f>
        <v>0</v>
      </c>
      <c r="J30" s="151" cm="1">
        <f t="array" ref="J30">Scope3_Equations.VEERG_15_1_1_1__1_EmissionsFromPurchasedLivestock(G30,H30,I30)</f>
        <v>0</v>
      </c>
      <c r="K30" s="49">
        <v>0</v>
      </c>
      <c r="L30" s="66"/>
      <c r="M30" s="151" cm="1">
        <f t="array" ref="M30">Scope3_Equations.VEERG_15_1_1_1__1_EmissionsFromPurchasedLivestock(G30,K30,IF(L30, L30, I30))</f>
        <v>0</v>
      </c>
      <c r="N30" s="82"/>
      <c r="O30" s="47"/>
      <c r="P30" s="82"/>
    </row>
    <row r="31" spans="1:16" ht="20.100000000000001" customHeight="1" x14ac:dyDescent="0.25">
      <c r="A31" s="16" t="str">
        <f>HYPERLINK("#'Constants - Poultry'!A1", "Constants - Poultry")</f>
        <v>Constants - Poultry</v>
      </c>
      <c r="D31" s="49">
        <v>0</v>
      </c>
      <c r="E31" s="49">
        <v>0</v>
      </c>
      <c r="F31" s="49" t="str">
        <v/>
      </c>
      <c r="G31" s="49">
        <v>0</v>
      </c>
      <c r="H31" s="49">
        <v>0</v>
      </c>
      <c r="I31" s="49" cm="1">
        <f t="array" ref="I31">Common_InputFunctions.Utility_LookupValueInTableTwoColumns(E31,F31,Table_SourceData_Scope3_Animals[Product],Table_SourceData_Scope3_Animals[Region of origin],Table_SourceData_Scope3_Animals[AusLCI Emissions intensity], 0)</f>
        <v>0</v>
      </c>
      <c r="J31" s="151" cm="1">
        <f t="array" ref="J31">Scope3_Equations.VEERG_15_1_1_1__1_EmissionsFromPurchasedLivestock(G31,H31,I31)</f>
        <v>0</v>
      </c>
      <c r="K31" s="49">
        <v>0</v>
      </c>
      <c r="L31" s="66"/>
      <c r="M31" s="151" cm="1">
        <f t="array" ref="M31">Scope3_Equations.VEERG_15_1_1_1__1_EmissionsFromPurchasedLivestock(G31,K31,IF(L31, L31, I31))</f>
        <v>0</v>
      </c>
      <c r="N31" s="82"/>
      <c r="O31" s="47"/>
      <c r="P31" s="82"/>
    </row>
    <row r="32" spans="1:16" ht="20.100000000000001" customHeight="1" x14ac:dyDescent="0.25">
      <c r="A32" s="16" t="str">
        <f>HYPERLINK("#'Constants - Swine'!A1", "Constants - Swine")</f>
        <v>Constants - Swine</v>
      </c>
      <c r="D32" s="49">
        <v>0</v>
      </c>
      <c r="E32" s="49">
        <v>0</v>
      </c>
      <c r="F32" s="49" t="str">
        <v/>
      </c>
      <c r="G32" s="49">
        <v>0</v>
      </c>
      <c r="H32" s="49">
        <v>0</v>
      </c>
      <c r="I32" s="49" cm="1">
        <f t="array" ref="I32">Common_InputFunctions.Utility_LookupValueInTableTwoColumns(E32,F32,Table_SourceData_Scope3_Animals[Product],Table_SourceData_Scope3_Animals[Region of origin],Table_SourceData_Scope3_Animals[AusLCI Emissions intensity], 0)</f>
        <v>0</v>
      </c>
      <c r="J32" s="151" cm="1">
        <f t="array" ref="J32">Scope3_Equations.VEERG_15_1_1_1__1_EmissionsFromPurchasedLivestock(G32,H32,I32)</f>
        <v>0</v>
      </c>
      <c r="K32" s="49">
        <v>0</v>
      </c>
      <c r="L32" s="66"/>
      <c r="M32" s="151" cm="1">
        <f t="array" ref="M32">Scope3_Equations.VEERG_15_1_1_1__1_EmissionsFromPurchasedLivestock(G32,K32,IF(L32, L32, I32))</f>
        <v>0</v>
      </c>
      <c r="N32" s="82"/>
      <c r="O32" s="47"/>
      <c r="P32" s="82"/>
    </row>
    <row r="33" spans="1:13" ht="20.100000000000001" customHeight="1" x14ac:dyDescent="0.25">
      <c r="A33" s="16" t="str">
        <f>HYPERLINK("#'Constants - Dairy'!A1", "Constants - Dairy")</f>
        <v>Constants - Dairy</v>
      </c>
    </row>
    <row r="34" spans="1:13" ht="20.100000000000001" customHeight="1" x14ac:dyDescent="0.25">
      <c r="A34" s="16" t="str">
        <f>HYPERLINK("#'Constants - Pasture Beef'!A1", "Constants - Pasture Beef")</f>
        <v>Constants - Pasture Beef</v>
      </c>
      <c r="D34" s="174" t="s">
        <v>652</v>
      </c>
      <c r="E34" s="98">
        <f>SUM(J23:J32)</f>
        <v>1052.5</v>
      </c>
      <c r="F34" s="175" t="str">
        <f>$E$11</f>
        <v>t CO2e</v>
      </c>
    </row>
    <row r="35" spans="1:13" ht="20.100000000000001" customHeight="1" x14ac:dyDescent="0.25">
      <c r="A35" s="16" t="str">
        <f>HYPERLINK("#'Constants - Common Livestock'!A1", "Constants - Common Livestock")</f>
        <v>Constants - Common Livestock</v>
      </c>
      <c r="D35" s="174" t="s">
        <v>653</v>
      </c>
      <c r="E35" s="98">
        <f>SUM(M23:M32)</f>
        <v>1014.5</v>
      </c>
      <c r="F35" s="175" t="str">
        <f>$E$11</f>
        <v>t CO2e</v>
      </c>
    </row>
    <row r="36" spans="1:13" ht="20.100000000000001" customHeight="1" x14ac:dyDescent="0.25">
      <c r="A36" s="16" t="str">
        <f>HYPERLINK("#'Constants - Fertiliser'!A1", "Constants - Fertiliser")</f>
        <v>Constants - Fertiliser</v>
      </c>
    </row>
    <row r="37" spans="1:13" ht="20.100000000000001" customHeight="1" x14ac:dyDescent="0.25">
      <c r="A37" s="16" t="str">
        <f>HYPERLINK("#'Constants - Electricity'!A1", "Constants - Electricity")</f>
        <v>Constants - Electricity</v>
      </c>
    </row>
    <row r="38" spans="1:13" ht="20.100000000000001" customHeight="1" x14ac:dyDescent="0.25">
      <c r="A38" s="16" t="str">
        <f>HYPERLINK("#'Constants - Common'!A1", "Constants - Common")</f>
        <v>Constants - Common</v>
      </c>
      <c r="D38" s="144" t="s">
        <v>342</v>
      </c>
    </row>
    <row r="39" spans="1:13" ht="20.100000000000001" customHeight="1" x14ac:dyDescent="0.25">
      <c r="D39" s="167" t="s">
        <v>631</v>
      </c>
      <c r="E39" s="49" cm="1">
        <f t="array" ref="E39">Common_InputFunctions.Utility_LookupValueInTableNumber("Dairy cows", Table_SourceData_Scope3_Animals[Product],Table_SourceData_Scope3_Animals[AusLCI Emissions intensity])</f>
        <v>4.41</v>
      </c>
    </row>
    <row r="40" spans="1:13" ht="20.100000000000001" customHeight="1" x14ac:dyDescent="0.25"/>
    <row r="41" spans="1:13" ht="20.100000000000001" customHeight="1" x14ac:dyDescent="0.25">
      <c r="D41" s="46" t="s">
        <v>364</v>
      </c>
      <c r="E41" s="152" t="s">
        <v>624</v>
      </c>
      <c r="F41" s="152" t="s">
        <v>625</v>
      </c>
      <c r="G41" s="57" t="s">
        <v>636</v>
      </c>
      <c r="H41" s="152" t="s">
        <v>626</v>
      </c>
      <c r="I41" s="46" t="s">
        <v>628</v>
      </c>
      <c r="J41" s="57" t="s">
        <v>638</v>
      </c>
      <c r="K41" s="46" t="s">
        <v>632</v>
      </c>
      <c r="L41" s="46" t="s">
        <v>633</v>
      </c>
      <c r="M41" s="46" t="s">
        <v>634</v>
      </c>
    </row>
    <row r="42" spans="1:13" ht="20.100000000000001" customHeight="1" x14ac:dyDescent="0.25">
      <c r="D42" s="49" t="str" cm="1">
        <f t="array" ref="D42:D51">IFERROR(INDEX(Table_Input_LivestockPurchases_Dairy[Transaction name], _xlfn.SEQUENCE(10)), "")</f>
        <v>Dairy cows from Denise</v>
      </c>
      <c r="E42" s="49" cm="1">
        <f t="array" ref="E42:E51">IFERROR(INDEX(Table_Input_LivestockPurchases_Dairy[Quantity (head)], _xlfn.SEQUENCE(10)), 0)</f>
        <v>100</v>
      </c>
      <c r="F42" s="49" cm="1">
        <f t="array" ref="F42:F51">IFERROR(INDEX(Table_Input_LivestockPurchases_Dairy[Liveweight (kg/head) Method 1], _xlfn.SEQUENCE(10)), 0)</f>
        <v>130</v>
      </c>
      <c r="G42" s="151" cm="1">
        <f t="array" ref="G42">Scope3_Equations.VEERG_15_1_1_1__1_EmissionsFromPurchasedLivestock(E42,F42,$E$39)</f>
        <v>57.33</v>
      </c>
      <c r="H42" s="49" cm="1">
        <f t="array" ref="H42:H51">IFERROR(INDEX(Table_Input_LivestockPurchases_Dairy[Liveweight (kg/head) Method 2], _xlfn.SEQUENCE(10)), "")</f>
        <v>350</v>
      </c>
      <c r="I42" s="66">
        <v>4</v>
      </c>
      <c r="J42" s="151" cm="1">
        <f t="array" ref="J42">Scope3_Equations.VEERG_15_1_1_1__1_EmissionsFromPurchasedLivestock(E42,H42,IF(I42,I42,$E$39))</f>
        <v>140</v>
      </c>
      <c r="K42" s="82" t="s">
        <v>606</v>
      </c>
      <c r="L42" s="47" t="s">
        <v>605</v>
      </c>
      <c r="M42" t="s">
        <v>607</v>
      </c>
    </row>
    <row r="43" spans="1:13" ht="20.100000000000001" customHeight="1" x14ac:dyDescent="0.25">
      <c r="D43" s="49">
        <v>0</v>
      </c>
      <c r="E43" s="49">
        <v>100</v>
      </c>
      <c r="F43" s="49">
        <v>540</v>
      </c>
      <c r="G43" s="151" cm="1">
        <f t="array" ref="G43">Scope3_Equations.VEERG_15_1_1_1__1_EmissionsFromPurchasedLivestock(E43,F43,$E$39)</f>
        <v>238.14000000000001</v>
      </c>
      <c r="H43" s="49">
        <v>625</v>
      </c>
      <c r="I43" s="66"/>
      <c r="J43" s="151" cm="1">
        <f t="array" ref="J43">Scope3_Equations.VEERG_15_1_1_1__1_EmissionsFromPurchasedLivestock(E43,H43,IF(I43,I43,$E$39))</f>
        <v>275.625</v>
      </c>
      <c r="K43" s="82"/>
      <c r="L43" s="47"/>
      <c r="M43" s="82"/>
    </row>
    <row r="44" spans="1:13" ht="20.100000000000001" customHeight="1" x14ac:dyDescent="0.25">
      <c r="D44" s="49">
        <v>0</v>
      </c>
      <c r="E44" s="49">
        <v>0</v>
      </c>
      <c r="F44" s="49">
        <v>315</v>
      </c>
      <c r="G44" s="151" cm="1">
        <f t="array" ref="G44">Scope3_Equations.VEERG_15_1_1_1__1_EmissionsFromPurchasedLivestock(E44,F44,$E$39)</f>
        <v>0</v>
      </c>
      <c r="H44" s="49">
        <v>0</v>
      </c>
      <c r="I44" s="66"/>
      <c r="J44" s="151" cm="1">
        <f t="array" ref="J44">Scope3_Equations.VEERG_15_1_1_1__1_EmissionsFromPurchasedLivestock(E44,H44,IF(I44,I44,$E$39))</f>
        <v>0</v>
      </c>
      <c r="K44" s="82"/>
      <c r="L44" s="47"/>
      <c r="M44" s="82"/>
    </row>
    <row r="45" spans="1:13" ht="20.100000000000001" customHeight="1" x14ac:dyDescent="0.25">
      <c r="D45" s="49">
        <v>0</v>
      </c>
      <c r="E45" s="49">
        <v>0</v>
      </c>
      <c r="F45" s="49">
        <v>0</v>
      </c>
      <c r="G45" s="151" cm="1">
        <f t="array" ref="G45">Scope3_Equations.VEERG_15_1_1_1__1_EmissionsFromPurchasedLivestock(E45,F45,$E$39)</f>
        <v>0</v>
      </c>
      <c r="H45" s="49">
        <v>0</v>
      </c>
      <c r="I45" s="66"/>
      <c r="J45" s="151" cm="1">
        <f t="array" ref="J45">Scope3_Equations.VEERG_15_1_1_1__1_EmissionsFromPurchasedLivestock(E45,H45,IF(I45,I45,$E$39))</f>
        <v>0</v>
      </c>
      <c r="K45" s="82"/>
      <c r="L45" s="47"/>
      <c r="M45" s="82"/>
    </row>
    <row r="46" spans="1:13" ht="20.100000000000001" customHeight="1" x14ac:dyDescent="0.25">
      <c r="D46" s="49">
        <v>0</v>
      </c>
      <c r="E46" s="49">
        <v>0</v>
      </c>
      <c r="F46" s="49">
        <v>0</v>
      </c>
      <c r="G46" s="151" cm="1">
        <f t="array" ref="G46">Scope3_Equations.VEERG_15_1_1_1__1_EmissionsFromPurchasedLivestock(E46,F46,$E$39)</f>
        <v>0</v>
      </c>
      <c r="H46" s="49">
        <v>0</v>
      </c>
      <c r="I46" s="66"/>
      <c r="J46" s="151" cm="1">
        <f t="array" ref="J46">Scope3_Equations.VEERG_15_1_1_1__1_EmissionsFromPurchasedLivestock(E46,H46,IF(I46,I46,$E$39))</f>
        <v>0</v>
      </c>
      <c r="K46" s="82"/>
      <c r="L46" s="47"/>
      <c r="M46" s="82"/>
    </row>
    <row r="47" spans="1:13" ht="20.100000000000001" customHeight="1" x14ac:dyDescent="0.25">
      <c r="D47" s="49">
        <v>0</v>
      </c>
      <c r="E47" s="49">
        <v>0</v>
      </c>
      <c r="F47" s="49">
        <v>0</v>
      </c>
      <c r="G47" s="151" cm="1">
        <f t="array" ref="G47">Scope3_Equations.VEERG_15_1_1_1__1_EmissionsFromPurchasedLivestock(E47,F47,$E$39)</f>
        <v>0</v>
      </c>
      <c r="H47" s="49">
        <v>0</v>
      </c>
      <c r="I47" s="66"/>
      <c r="J47" s="151" cm="1">
        <f t="array" ref="J47">Scope3_Equations.VEERG_15_1_1_1__1_EmissionsFromPurchasedLivestock(E47,H47,IF(I47,I47,$E$39))</f>
        <v>0</v>
      </c>
      <c r="K47" s="82"/>
      <c r="L47" s="47"/>
      <c r="M47" s="82"/>
    </row>
    <row r="48" spans="1:13" ht="20.100000000000001" customHeight="1" x14ac:dyDescent="0.25">
      <c r="D48" s="49">
        <v>0</v>
      </c>
      <c r="E48" s="49">
        <v>0</v>
      </c>
      <c r="F48" s="49">
        <v>0</v>
      </c>
      <c r="G48" s="151" cm="1">
        <f t="array" ref="G48">Scope3_Equations.VEERG_15_1_1_1__1_EmissionsFromPurchasedLivestock(E48,F48,$E$39)</f>
        <v>0</v>
      </c>
      <c r="H48" s="49">
        <v>0</v>
      </c>
      <c r="I48" s="66"/>
      <c r="J48" s="151" cm="1">
        <f t="array" ref="J48">Scope3_Equations.VEERG_15_1_1_1__1_EmissionsFromPurchasedLivestock(E48,H48,IF(I48,I48,$E$39))</f>
        <v>0</v>
      </c>
      <c r="K48" s="82"/>
      <c r="L48" s="47"/>
      <c r="M48" s="82"/>
    </row>
    <row r="49" spans="4:13" ht="20.100000000000001" customHeight="1" x14ac:dyDescent="0.25">
      <c r="D49" s="49">
        <v>0</v>
      </c>
      <c r="E49" s="49">
        <v>0</v>
      </c>
      <c r="F49" s="49">
        <v>0</v>
      </c>
      <c r="G49" s="151" cm="1">
        <f t="array" ref="G49">Scope3_Equations.VEERG_15_1_1_1__1_EmissionsFromPurchasedLivestock(E49,F49,$E$39)</f>
        <v>0</v>
      </c>
      <c r="H49" s="49">
        <v>0</v>
      </c>
      <c r="I49" s="66"/>
      <c r="J49" s="151" cm="1">
        <f t="array" ref="J49">Scope3_Equations.VEERG_15_1_1_1__1_EmissionsFromPurchasedLivestock(E49,H49,IF(I49,I49,$E$39))</f>
        <v>0</v>
      </c>
      <c r="K49" s="82"/>
      <c r="L49" s="47"/>
      <c r="M49" s="82"/>
    </row>
    <row r="50" spans="4:13" ht="20.100000000000001" customHeight="1" x14ac:dyDescent="0.25">
      <c r="D50" s="49">
        <v>0</v>
      </c>
      <c r="E50" s="49">
        <v>0</v>
      </c>
      <c r="F50" s="49">
        <v>0</v>
      </c>
      <c r="G50" s="151" cm="1">
        <f t="array" ref="G50">Scope3_Equations.VEERG_15_1_1_1__1_EmissionsFromPurchasedLivestock(E50,F50,$E$39)</f>
        <v>0</v>
      </c>
      <c r="H50" s="49">
        <v>0</v>
      </c>
      <c r="I50" s="66"/>
      <c r="J50" s="151" cm="1">
        <f t="array" ref="J50">Scope3_Equations.VEERG_15_1_1_1__1_EmissionsFromPurchasedLivestock(E50,H50,IF(I50,I50,$E$39))</f>
        <v>0</v>
      </c>
      <c r="K50" s="82"/>
      <c r="L50" s="47"/>
      <c r="M50" s="82"/>
    </row>
    <row r="51" spans="4:13" ht="20.100000000000001" customHeight="1" x14ac:dyDescent="0.25">
      <c r="D51" s="49">
        <v>0</v>
      </c>
      <c r="E51" s="49">
        <v>0</v>
      </c>
      <c r="F51" s="49">
        <v>0</v>
      </c>
      <c r="G51" s="151" cm="1">
        <f t="array" ref="G51">Scope3_Equations.VEERG_15_1_1_1__1_EmissionsFromPurchasedLivestock(E51,F51,$E$39)</f>
        <v>0</v>
      </c>
      <c r="H51" s="49">
        <v>0</v>
      </c>
      <c r="I51" s="66"/>
      <c r="J51" s="151" cm="1">
        <f t="array" ref="J51">Scope3_Equations.VEERG_15_1_1_1__1_EmissionsFromPurchasedLivestock(E51,H51,IF(I51,I51,$E$39))</f>
        <v>0</v>
      </c>
      <c r="K51" s="82"/>
      <c r="L51" s="47"/>
      <c r="M51" s="82"/>
    </row>
    <row r="52" spans="4:13" ht="20.100000000000001" customHeight="1" x14ac:dyDescent="0.25"/>
    <row r="53" spans="4:13" ht="20.100000000000001" customHeight="1" x14ac:dyDescent="0.25">
      <c r="D53" s="174" t="s">
        <v>650</v>
      </c>
      <c r="E53" s="98">
        <f>SUM(G42:G51)</f>
        <v>295.47000000000003</v>
      </c>
      <c r="F53" s="175" t="str">
        <f>$E$11</f>
        <v>t CO2e</v>
      </c>
    </row>
    <row r="54" spans="4:13" ht="20.100000000000001" customHeight="1" x14ac:dyDescent="0.25">
      <c r="D54" s="174" t="s">
        <v>651</v>
      </c>
      <c r="E54" s="98">
        <f>SUM(J42:J51)</f>
        <v>415.625</v>
      </c>
      <c r="F54" s="175" t="str">
        <f>$E$11</f>
        <v>t CO2e</v>
      </c>
    </row>
    <row r="55" spans="4:13" ht="20.100000000000001" customHeight="1" x14ac:dyDescent="0.25"/>
    <row r="56" spans="4:13" ht="20.100000000000001" customHeight="1" x14ac:dyDescent="0.25"/>
    <row r="57" spans="4:13" ht="20.100000000000001" customHeight="1" x14ac:dyDescent="0.25">
      <c r="D57" s="144" t="s">
        <v>545</v>
      </c>
    </row>
    <row r="58" spans="4:13" ht="20.100000000000001" customHeight="1" x14ac:dyDescent="0.25">
      <c r="D58" s="167" t="s">
        <v>631</v>
      </c>
      <c r="E58" s="49"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6" t="s">
        <v>364</v>
      </c>
      <c r="E60" s="152" t="s">
        <v>624</v>
      </c>
      <c r="F60" s="152" t="s">
        <v>625</v>
      </c>
      <c r="G60" s="57" t="s">
        <v>636</v>
      </c>
      <c r="H60" s="152" t="s">
        <v>626</v>
      </c>
      <c r="I60" s="46" t="s">
        <v>628</v>
      </c>
      <c r="J60" s="57" t="s">
        <v>638</v>
      </c>
      <c r="K60" s="46" t="s">
        <v>632</v>
      </c>
      <c r="L60" s="46" t="s">
        <v>633</v>
      </c>
      <c r="M60" s="46" t="s">
        <v>634</v>
      </c>
    </row>
    <row r="61" spans="4:13" ht="20.100000000000001" customHeight="1" x14ac:dyDescent="0.25">
      <c r="D61" s="49" t="str" cm="1">
        <f t="array" ref="D61:D70">IFERROR(INDEX(Table_Input_LivestockPurchases_Pigs[Transaction name], _xlfn.SEQUENCE(10)), "")</f>
        <v>Pigs from Pam</v>
      </c>
      <c r="E61" s="49" cm="1">
        <f t="array" ref="E61:E70">IFERROR(INDEX(Table_Input_LivestockPurchases_Pigs[Quantity (head)], _xlfn.SEQUENCE(10)), 0)</f>
        <v>100</v>
      </c>
      <c r="F61" s="49" cm="1">
        <f t="array" ref="F61:F70">IFERROR(INDEX(Table_Input_LivestockPurchases_Pigs[Liveweight (kg/head) Method 1], _xlfn.SEQUENCE(10)), 0)</f>
        <v>188</v>
      </c>
      <c r="G61" s="151" cm="1">
        <f t="array" ref="G61">Scope3_Equations.VEERG_15_1_1_1__1_EmissionsFromPurchasedLivestock(E61,F61,$E$58)</f>
        <v>63.544000000000004</v>
      </c>
      <c r="H61" s="49" cm="1">
        <f t="array" ref="H61:H70">IFERROR(INDEX(Table_Input_LivestockPurchases_Pigs[Liveweight (kg/head) Method 2], _xlfn.SEQUENCE(10)), 0)</f>
        <v>180</v>
      </c>
      <c r="I61" s="66">
        <v>3.38</v>
      </c>
      <c r="J61" s="151" cm="1">
        <f t="array" ref="J61">Scope3_Equations.VEERG_15_1_1_1__1_EmissionsFromPurchasedLivestock(E61,H61,IF(I61, I61,$E$58))</f>
        <v>60.84</v>
      </c>
      <c r="K61" s="82"/>
      <c r="L61" s="47"/>
      <c r="M61"/>
    </row>
    <row r="62" spans="4:13" ht="20.100000000000001" customHeight="1" x14ac:dyDescent="0.25">
      <c r="D62" s="49" t="str">
        <v>Swine from Samantha</v>
      </c>
      <c r="E62" s="49">
        <v>100</v>
      </c>
      <c r="F62" s="49">
        <v>188</v>
      </c>
      <c r="G62" s="151" cm="1">
        <f t="array" ref="G62">Scope3_Equations.VEERG_15_1_1_1__1_EmissionsFromPurchasedLivestock(E62,F62,$E$58)</f>
        <v>63.544000000000004</v>
      </c>
      <c r="H62" s="49">
        <v>38</v>
      </c>
      <c r="I62" s="66">
        <v>3.3</v>
      </c>
      <c r="J62" s="151" cm="1">
        <f t="array" ref="J62">Scope3_Equations.VEERG_15_1_1_1__1_EmissionsFromPurchasedLivestock(E62,H62,IF(I62, I62,$E$58))</f>
        <v>12.540000000000001</v>
      </c>
      <c r="K62" s="82"/>
      <c r="L62" s="47"/>
      <c r="M62" s="82"/>
    </row>
    <row r="63" spans="4:13" ht="20.100000000000001" customHeight="1" x14ac:dyDescent="0.25">
      <c r="D63" s="49">
        <v>0</v>
      </c>
      <c r="E63" s="49">
        <v>0</v>
      </c>
      <c r="F63" s="49">
        <v>0</v>
      </c>
      <c r="G63" s="151" cm="1">
        <f t="array" ref="G63">Scope3_Equations.VEERG_15_1_1_1__1_EmissionsFromPurchasedLivestock(E63,F63,$E$58)</f>
        <v>0</v>
      </c>
      <c r="H63" s="49">
        <v>0</v>
      </c>
      <c r="I63" s="66"/>
      <c r="J63" s="151" cm="1">
        <f t="array" ref="J63">Scope3_Equations.VEERG_15_1_1_1__1_EmissionsFromPurchasedLivestock(E63,H63,IF(I63, I63,$E$58))</f>
        <v>0</v>
      </c>
      <c r="K63" s="82"/>
      <c r="L63" s="47"/>
      <c r="M63" s="82"/>
    </row>
    <row r="64" spans="4:13" ht="20.100000000000001" customHeight="1" x14ac:dyDescent="0.25">
      <c r="D64" s="49">
        <v>0</v>
      </c>
      <c r="E64" s="49">
        <v>0</v>
      </c>
      <c r="F64" s="49">
        <v>0</v>
      </c>
      <c r="G64" s="151" cm="1">
        <f t="array" ref="G64">Scope3_Equations.VEERG_15_1_1_1__1_EmissionsFromPurchasedLivestock(E64,F64,$E$58)</f>
        <v>0</v>
      </c>
      <c r="H64" s="49">
        <v>0</v>
      </c>
      <c r="I64" s="66"/>
      <c r="J64" s="151" cm="1">
        <f t="array" ref="J64">Scope3_Equations.VEERG_15_1_1_1__1_EmissionsFromPurchasedLivestock(E64,H64,IF(I64, I64,$E$58))</f>
        <v>0</v>
      </c>
      <c r="K64" s="82"/>
      <c r="L64" s="47"/>
      <c r="M64" s="82"/>
    </row>
    <row r="65" spans="4:13" ht="20.100000000000001" customHeight="1" x14ac:dyDescent="0.25">
      <c r="D65" s="49">
        <v>0</v>
      </c>
      <c r="E65" s="49">
        <v>0</v>
      </c>
      <c r="F65" s="49">
        <v>0</v>
      </c>
      <c r="G65" s="151" cm="1">
        <f t="array" ref="G65">Scope3_Equations.VEERG_15_1_1_1__1_EmissionsFromPurchasedLivestock(E65,F65,$E$58)</f>
        <v>0</v>
      </c>
      <c r="H65" s="49">
        <v>0</v>
      </c>
      <c r="I65" s="66"/>
      <c r="J65" s="151" cm="1">
        <f t="array" ref="J65">Scope3_Equations.VEERG_15_1_1_1__1_EmissionsFromPurchasedLivestock(E65,H65,IF(I65, I65,$E$58))</f>
        <v>0</v>
      </c>
      <c r="K65" s="82"/>
      <c r="L65" s="47"/>
      <c r="M65" s="82"/>
    </row>
    <row r="66" spans="4:13" ht="20.100000000000001" customHeight="1" x14ac:dyDescent="0.25">
      <c r="D66" s="49">
        <v>0</v>
      </c>
      <c r="E66" s="49">
        <v>0</v>
      </c>
      <c r="F66" s="49">
        <v>0</v>
      </c>
      <c r="G66" s="151" cm="1">
        <f t="array" ref="G66">Scope3_Equations.VEERG_15_1_1_1__1_EmissionsFromPurchasedLivestock(E66,F66,$E$58)</f>
        <v>0</v>
      </c>
      <c r="H66" s="49">
        <v>0</v>
      </c>
      <c r="I66" s="66"/>
      <c r="J66" s="151" cm="1">
        <f t="array" ref="J66">Scope3_Equations.VEERG_15_1_1_1__1_EmissionsFromPurchasedLivestock(E66,H66,IF(I66, I66,$E$58))</f>
        <v>0</v>
      </c>
      <c r="K66" s="82"/>
      <c r="L66" s="47"/>
      <c r="M66" s="82"/>
    </row>
    <row r="67" spans="4:13" ht="20.100000000000001" customHeight="1" x14ac:dyDescent="0.25">
      <c r="D67" s="49">
        <v>0</v>
      </c>
      <c r="E67" s="49">
        <v>0</v>
      </c>
      <c r="F67" s="49">
        <v>0</v>
      </c>
      <c r="G67" s="151" cm="1">
        <f t="array" ref="G67">Scope3_Equations.VEERG_15_1_1_1__1_EmissionsFromPurchasedLivestock(E67,F67,$E$58)</f>
        <v>0</v>
      </c>
      <c r="H67" s="49">
        <v>0</v>
      </c>
      <c r="I67" s="66"/>
      <c r="J67" s="151" cm="1">
        <f t="array" ref="J67">Scope3_Equations.VEERG_15_1_1_1__1_EmissionsFromPurchasedLivestock(E67,H67,IF(I67, I67,$E$58))</f>
        <v>0</v>
      </c>
      <c r="K67" s="82"/>
      <c r="L67" s="47"/>
      <c r="M67" s="82"/>
    </row>
    <row r="68" spans="4:13" ht="20.100000000000001" customHeight="1" x14ac:dyDescent="0.25">
      <c r="D68" s="49">
        <v>0</v>
      </c>
      <c r="E68" s="49">
        <v>0</v>
      </c>
      <c r="F68" s="49">
        <v>0</v>
      </c>
      <c r="G68" s="151" cm="1">
        <f t="array" ref="G68">Scope3_Equations.VEERG_15_1_1_1__1_EmissionsFromPurchasedLivestock(E68,F68,$E$58)</f>
        <v>0</v>
      </c>
      <c r="H68" s="49">
        <v>0</v>
      </c>
      <c r="I68" s="66"/>
      <c r="J68" s="151" cm="1">
        <f t="array" ref="J68">Scope3_Equations.VEERG_15_1_1_1__1_EmissionsFromPurchasedLivestock(E68,H68,IF(I68, I68,$E$58))</f>
        <v>0</v>
      </c>
      <c r="K68" s="82"/>
      <c r="L68" s="47"/>
      <c r="M68" s="82"/>
    </row>
    <row r="69" spans="4:13" ht="20.100000000000001" customHeight="1" x14ac:dyDescent="0.25">
      <c r="D69" s="49">
        <v>0</v>
      </c>
      <c r="E69" s="49">
        <v>0</v>
      </c>
      <c r="F69" s="49">
        <v>0</v>
      </c>
      <c r="G69" s="151" cm="1">
        <f t="array" ref="G69">Scope3_Equations.VEERG_15_1_1_1__1_EmissionsFromPurchasedLivestock(E69,F69,$E$58)</f>
        <v>0</v>
      </c>
      <c r="H69" s="49">
        <v>0</v>
      </c>
      <c r="I69" s="66"/>
      <c r="J69" s="151" cm="1">
        <f t="array" ref="J69">Scope3_Equations.VEERG_15_1_1_1__1_EmissionsFromPurchasedLivestock(E69,H69,IF(I69, I69,$E$58))</f>
        <v>0</v>
      </c>
      <c r="K69" s="82"/>
      <c r="L69" s="47"/>
      <c r="M69" s="82"/>
    </row>
    <row r="70" spans="4:13" ht="20.100000000000001" customHeight="1" x14ac:dyDescent="0.25">
      <c r="D70" s="49">
        <v>0</v>
      </c>
      <c r="E70" s="49">
        <v>0</v>
      </c>
      <c r="F70" s="49">
        <v>0</v>
      </c>
      <c r="G70" s="151" cm="1">
        <f t="array" ref="G70">Scope3_Equations.VEERG_15_1_1_1__1_EmissionsFromPurchasedLivestock(E70,F70,$E$58)</f>
        <v>0</v>
      </c>
      <c r="H70" s="49">
        <v>0</v>
      </c>
      <c r="I70" s="66"/>
      <c r="J70" s="151" cm="1">
        <f t="array" ref="J70">Scope3_Equations.VEERG_15_1_1_1__1_EmissionsFromPurchasedLivestock(E70,H70,IF(I70, I70,$E$58))</f>
        <v>0</v>
      </c>
      <c r="K70" s="82"/>
      <c r="L70" s="47"/>
      <c r="M70" s="82"/>
    </row>
    <row r="71" spans="4:13" ht="20.100000000000001" customHeight="1" x14ac:dyDescent="0.25"/>
    <row r="72" spans="4:13" ht="20.100000000000001" customHeight="1" x14ac:dyDescent="0.25">
      <c r="D72" s="174" t="s">
        <v>648</v>
      </c>
      <c r="E72" s="98">
        <f>SUM(G61:G70)</f>
        <v>127.08800000000001</v>
      </c>
      <c r="F72" s="175" t="str">
        <f>$E$11</f>
        <v>t CO2e</v>
      </c>
    </row>
    <row r="73" spans="4:13" ht="20.100000000000001" customHeight="1" x14ac:dyDescent="0.25">
      <c r="D73" s="174" t="s">
        <v>649</v>
      </c>
      <c r="E73" s="98">
        <f>SUM(J61:J70)</f>
        <v>73.38000000000001</v>
      </c>
      <c r="F73" s="175" t="str">
        <f>$E$11</f>
        <v>t CO2e</v>
      </c>
    </row>
    <row r="74" spans="4:13" ht="20.100000000000001" customHeight="1" x14ac:dyDescent="0.25"/>
    <row r="75" spans="4:13" ht="20.100000000000001" customHeight="1" x14ac:dyDescent="0.25">
      <c r="D75" s="144" t="s">
        <v>571</v>
      </c>
    </row>
    <row r="76" spans="4:13" ht="20.100000000000001" customHeight="1" x14ac:dyDescent="0.25">
      <c r="D76" s="167" t="s">
        <v>631</v>
      </c>
      <c r="E76" s="49"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6" t="s">
        <v>364</v>
      </c>
      <c r="E78" s="152" t="s">
        <v>624</v>
      </c>
      <c r="F78" s="152" t="s">
        <v>625</v>
      </c>
      <c r="G78" s="57" t="s">
        <v>636</v>
      </c>
      <c r="H78" s="152" t="s">
        <v>626</v>
      </c>
      <c r="I78" s="46" t="s">
        <v>628</v>
      </c>
      <c r="J78" s="57" t="s">
        <v>638</v>
      </c>
      <c r="K78" s="46" t="s">
        <v>632</v>
      </c>
      <c r="L78" s="46" t="s">
        <v>633</v>
      </c>
      <c r="M78" s="46" t="s">
        <v>634</v>
      </c>
    </row>
    <row r="79" spans="4:13" ht="20.100000000000001" customHeight="1" x14ac:dyDescent="0.25">
      <c r="D79" s="49" t="str" cm="1">
        <f t="array" ref="D79:D88">IFERROR(INDEX(Table_Input_LivestockPurchases_Poultry[Transaction name], _xlfn.SEQUENCE(10)), "")</f>
        <v>Chooks from Carolyn</v>
      </c>
      <c r="E79" s="49" cm="1">
        <f t="array" ref="E79:E88">IFERROR(INDEX(Table_Input_LivestockPurchases_Poultry[Quantity (head)], _xlfn.SEQUENCE(10)), "")</f>
        <v>100</v>
      </c>
      <c r="F79" s="49" cm="1">
        <f t="array" ref="F79:F88">IFERROR(INDEX(Table_Input_LivestockPurchases_Poultry[Liveweight (kg/head) Method 1], _xlfn.SEQUENCE(10)), "")</f>
        <v>1.3</v>
      </c>
      <c r="G79" s="151" cm="1">
        <f t="array" ref="G79">Scope3_Equations.VEERG_15_1_1_1__1_EmissionsFromPurchasedLivestock(E79,F79,$E$76)</f>
        <v>0.17680000000000001</v>
      </c>
      <c r="H79" s="49" cm="1">
        <f t="array" ref="H79:H88">IFERROR(INDEX(Table_Input_LivestockPurchases_Poultry[Liveweight (kg/head) Method 2], _xlfn.SEQUENCE(10)), "")</f>
        <v>1.3</v>
      </c>
      <c r="I79" s="66">
        <v>1.3</v>
      </c>
      <c r="J79" s="151" cm="1">
        <f t="array" ref="J79">Scope3_Equations.VEERG_15_1_1_1__1_EmissionsFromPurchasedLivestock(E79,H79,IF(I79, I79,$E$76))</f>
        <v>0.16900000000000001</v>
      </c>
      <c r="K79" s="82"/>
      <c r="L79" s="47"/>
      <c r="M79"/>
    </row>
    <row r="80" spans="4:13" ht="20.100000000000001" customHeight="1" x14ac:dyDescent="0.25">
      <c r="D80" s="49" t="str">
        <v>Roosters from Raj</v>
      </c>
      <c r="E80" s="49">
        <v>100</v>
      </c>
      <c r="F80" s="49">
        <v>1.4</v>
      </c>
      <c r="G80" s="151" cm="1">
        <f t="array" ref="G80">Scope3_Equations.VEERG_15_1_1_1__1_EmissionsFromPurchasedLivestock(E80,F80,$E$76)</f>
        <v>0.19040000000000001</v>
      </c>
      <c r="H80" s="49">
        <v>1.4</v>
      </c>
      <c r="I80" s="66"/>
      <c r="J80" s="151" cm="1">
        <f t="array" ref="J80">Scope3_Equations.VEERG_15_1_1_1__1_EmissionsFromPurchasedLivestock(E80,H80,IF(I80, I80,$E$76))</f>
        <v>0.19040000000000001</v>
      </c>
      <c r="K80" s="82"/>
      <c r="L80" s="47"/>
      <c r="M80" s="82"/>
    </row>
    <row r="81" spans="4:13" ht="20.100000000000001" customHeight="1" x14ac:dyDescent="0.25">
      <c r="D81" s="49">
        <v>0</v>
      </c>
      <c r="E81" s="49">
        <v>0</v>
      </c>
      <c r="F81" s="49">
        <v>0</v>
      </c>
      <c r="G81" s="151" cm="1">
        <f t="array" ref="G81">Scope3_Equations.VEERG_15_1_1_1__1_EmissionsFromPurchasedLivestock(E81,F81,$E$76)</f>
        <v>0</v>
      </c>
      <c r="H81" s="49">
        <v>0</v>
      </c>
      <c r="I81" s="66"/>
      <c r="J81" s="151" cm="1">
        <f t="array" ref="J81">Scope3_Equations.VEERG_15_1_1_1__1_EmissionsFromPurchasedLivestock(E81,H81,IF(I81, I81,$E$76))</f>
        <v>0</v>
      </c>
      <c r="K81" s="82"/>
      <c r="L81" s="47"/>
      <c r="M81" s="82"/>
    </row>
    <row r="82" spans="4:13" ht="20.100000000000001" customHeight="1" x14ac:dyDescent="0.25">
      <c r="D82" s="49">
        <v>0</v>
      </c>
      <c r="E82" s="49">
        <v>0</v>
      </c>
      <c r="F82" s="49">
        <v>0</v>
      </c>
      <c r="G82" s="151" cm="1">
        <f t="array" ref="G82">Scope3_Equations.VEERG_15_1_1_1__1_EmissionsFromPurchasedLivestock(E82,F82,$E$76)</f>
        <v>0</v>
      </c>
      <c r="H82" s="49">
        <v>0</v>
      </c>
      <c r="I82" s="66"/>
      <c r="J82" s="151" cm="1">
        <f t="array" ref="J82">Scope3_Equations.VEERG_15_1_1_1__1_EmissionsFromPurchasedLivestock(E82,H82,IF(I82, I82,$E$76))</f>
        <v>0</v>
      </c>
      <c r="K82" s="82"/>
      <c r="L82" s="47"/>
      <c r="M82" s="82"/>
    </row>
    <row r="83" spans="4:13" ht="20.100000000000001" customHeight="1" x14ac:dyDescent="0.25">
      <c r="D83" s="49">
        <v>0</v>
      </c>
      <c r="E83" s="49">
        <v>0</v>
      </c>
      <c r="F83" s="49">
        <v>0</v>
      </c>
      <c r="G83" s="151" cm="1">
        <f t="array" ref="G83">Scope3_Equations.VEERG_15_1_1_1__1_EmissionsFromPurchasedLivestock(E83,F83,$E$76)</f>
        <v>0</v>
      </c>
      <c r="H83" s="49">
        <v>0</v>
      </c>
      <c r="I83" s="66"/>
      <c r="J83" s="151" cm="1">
        <f t="array" ref="J83">Scope3_Equations.VEERG_15_1_1_1__1_EmissionsFromPurchasedLivestock(E83,H83,IF(I83, I83,$E$76))</f>
        <v>0</v>
      </c>
      <c r="K83" s="82"/>
      <c r="L83" s="47"/>
      <c r="M83" s="82"/>
    </row>
    <row r="84" spans="4:13" ht="20.100000000000001" customHeight="1" x14ac:dyDescent="0.25">
      <c r="D84" s="49">
        <v>0</v>
      </c>
      <c r="E84" s="49">
        <v>0</v>
      </c>
      <c r="F84" s="49">
        <v>0</v>
      </c>
      <c r="G84" s="151" cm="1">
        <f t="array" ref="G84">Scope3_Equations.VEERG_15_1_1_1__1_EmissionsFromPurchasedLivestock(E84,F84,$E$76)</f>
        <v>0</v>
      </c>
      <c r="H84" s="49">
        <v>0</v>
      </c>
      <c r="I84" s="66"/>
      <c r="J84" s="151" cm="1">
        <f t="array" ref="J84">Scope3_Equations.VEERG_15_1_1_1__1_EmissionsFromPurchasedLivestock(E84,H84,IF(I84, I84,$E$76))</f>
        <v>0</v>
      </c>
      <c r="K84" s="82"/>
      <c r="L84" s="47"/>
      <c r="M84" s="82"/>
    </row>
    <row r="85" spans="4:13" ht="20.100000000000001" customHeight="1" x14ac:dyDescent="0.25">
      <c r="D85" s="49">
        <v>0</v>
      </c>
      <c r="E85" s="49">
        <v>0</v>
      </c>
      <c r="F85" s="49">
        <v>0</v>
      </c>
      <c r="G85" s="151" cm="1">
        <f t="array" ref="G85">Scope3_Equations.VEERG_15_1_1_1__1_EmissionsFromPurchasedLivestock(E85,F85,$E$76)</f>
        <v>0</v>
      </c>
      <c r="H85" s="49">
        <v>0</v>
      </c>
      <c r="I85" s="66"/>
      <c r="J85" s="151" cm="1">
        <f t="array" ref="J85">Scope3_Equations.VEERG_15_1_1_1__1_EmissionsFromPurchasedLivestock(E85,H85,IF(I85, I85,$E$76))</f>
        <v>0</v>
      </c>
      <c r="K85" s="82"/>
      <c r="L85" s="47"/>
      <c r="M85" s="82"/>
    </row>
    <row r="86" spans="4:13" ht="20.100000000000001" customHeight="1" x14ac:dyDescent="0.25">
      <c r="D86" s="49">
        <v>0</v>
      </c>
      <c r="E86" s="49">
        <v>0</v>
      </c>
      <c r="F86" s="49">
        <v>0</v>
      </c>
      <c r="G86" s="151" cm="1">
        <f t="array" ref="G86">Scope3_Equations.VEERG_15_1_1_1__1_EmissionsFromPurchasedLivestock(E86,F86,$E$76)</f>
        <v>0</v>
      </c>
      <c r="H86" s="49">
        <v>0</v>
      </c>
      <c r="I86" s="66"/>
      <c r="J86" s="151" cm="1">
        <f t="array" ref="J86">Scope3_Equations.VEERG_15_1_1_1__1_EmissionsFromPurchasedLivestock(E86,H86,IF(I86, I86,$E$76))</f>
        <v>0</v>
      </c>
      <c r="K86" s="82"/>
      <c r="L86" s="47"/>
      <c r="M86" s="82"/>
    </row>
    <row r="87" spans="4:13" ht="20.100000000000001" customHeight="1" x14ac:dyDescent="0.25">
      <c r="D87" s="49">
        <v>0</v>
      </c>
      <c r="E87" s="49">
        <v>0</v>
      </c>
      <c r="F87" s="49">
        <v>0</v>
      </c>
      <c r="G87" s="151" cm="1">
        <f t="array" ref="G87">Scope3_Equations.VEERG_15_1_1_1__1_EmissionsFromPurchasedLivestock(E87,F87,$E$76)</f>
        <v>0</v>
      </c>
      <c r="H87" s="49">
        <v>0</v>
      </c>
      <c r="I87" s="66"/>
      <c r="J87" s="151" cm="1">
        <f t="array" ref="J87">Scope3_Equations.VEERG_15_1_1_1__1_EmissionsFromPurchasedLivestock(E87,H87,IF(I87, I87,$E$76))</f>
        <v>0</v>
      </c>
      <c r="K87" s="82"/>
      <c r="L87" s="47"/>
      <c r="M87" s="82"/>
    </row>
    <row r="88" spans="4:13" ht="20.100000000000001" customHeight="1" x14ac:dyDescent="0.25">
      <c r="D88" s="49">
        <v>0</v>
      </c>
      <c r="E88" s="49">
        <v>0</v>
      </c>
      <c r="F88" s="49">
        <v>0</v>
      </c>
      <c r="G88" s="151" cm="1">
        <f t="array" ref="G88">Scope3_Equations.VEERG_15_1_1_1__1_EmissionsFromPurchasedLivestock(E88,F88,$E$76)</f>
        <v>0</v>
      </c>
      <c r="H88" s="49">
        <v>0</v>
      </c>
      <c r="I88" s="66"/>
      <c r="J88" s="151" cm="1">
        <f t="array" ref="J88">Scope3_Equations.VEERG_15_1_1_1__1_EmissionsFromPurchasedLivestock(E88,H88,IF(I88, I88,$E$76))</f>
        <v>0</v>
      </c>
      <c r="K88" s="82"/>
      <c r="L88" s="47"/>
      <c r="M88" s="82"/>
    </row>
    <row r="89" spans="4:13" ht="20.100000000000001" customHeight="1" x14ac:dyDescent="0.25"/>
    <row r="90" spans="4:13" ht="20.100000000000001" customHeight="1" x14ac:dyDescent="0.25">
      <c r="D90" s="174" t="s">
        <v>646</v>
      </c>
      <c r="E90" s="98">
        <f>SUM(G79:G88)</f>
        <v>0.36720000000000003</v>
      </c>
      <c r="F90" s="175" t="str">
        <f>$E$11</f>
        <v>t CO2e</v>
      </c>
    </row>
    <row r="91" spans="4:13" ht="20.100000000000001" customHeight="1" x14ac:dyDescent="0.25">
      <c r="D91" s="174" t="s">
        <v>647</v>
      </c>
      <c r="E91" s="98">
        <f>SUM(J79:J88)</f>
        <v>0.35940000000000005</v>
      </c>
      <c r="F91" s="175" t="str">
        <f>$E$11</f>
        <v>t CO2e</v>
      </c>
    </row>
    <row r="92" spans="4:13" ht="20.100000000000001" customHeight="1" x14ac:dyDescent="0.25"/>
    <row r="93" spans="4:13" ht="20.100000000000001" customHeight="1" x14ac:dyDescent="0.25">
      <c r="D93" s="176" t="s">
        <v>636</v>
      </c>
      <c r="E93" s="177">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1475.4251999999999</v>
      </c>
      <c r="F93" s="178" t="str">
        <f>$E$11</f>
        <v>t CO2e</v>
      </c>
    </row>
    <row r="94" spans="4:13" ht="20.100000000000001" customHeight="1" x14ac:dyDescent="0.25">
      <c r="D94" s="176" t="s">
        <v>638</v>
      </c>
      <c r="E94" s="177">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1503.8644000000002</v>
      </c>
      <c r="F94" s="178" t="str">
        <f>$E$11</f>
        <v>t CO2e</v>
      </c>
    </row>
    <row r="95" spans="4:13" ht="20.100000000000001" customHeight="1" x14ac:dyDescent="0.25"/>
    <row r="96" spans="4:13" ht="20.100000000000001" customHeight="1" x14ac:dyDescent="0.25"/>
    <row r="97" spans="3:41" ht="20.100000000000001" customHeight="1" x14ac:dyDescent="0.25">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c r="AN97" s="98"/>
      <c r="AO97" s="98"/>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2" t="s">
        <v>629</v>
      </c>
      <c r="E100" s="172"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2"/>
    </row>
    <row r="103" spans="3:41" ht="20.100000000000001" customHeight="1" x14ac:dyDescent="0.25">
      <c r="D103" s="27" t="s">
        <v>630</v>
      </c>
      <c r="E103" s="8" t="str" cm="1">
        <f t="array" ref="E103">Scope3_Equations.VEERG_15_2_1_1__1_EmissionsFromPurchasedFeed_Variable()</f>
        <v>E</v>
      </c>
    </row>
    <row r="104" spans="3:41" ht="20.100000000000001" customHeight="1" x14ac:dyDescent="0.25">
      <c r="D104" s="27" t="s">
        <v>97</v>
      </c>
      <c r="E104" s="13" t="str" cm="1">
        <f t="array" ref="E104">Scope3_Equations.VEERG_15_2_1_1__1_EmissionsFromPurchasedFeed_Unit()</f>
        <v>t CO2e</v>
      </c>
    </row>
    <row r="105" spans="3:41" ht="20.100000000000001" customHeight="1" x14ac:dyDescent="0.25"/>
    <row r="106" spans="3:41" ht="20.100000000000001" customHeight="1" x14ac:dyDescent="0.25">
      <c r="D106" s="167" t="str" cm="1">
        <f t="array" ref="D106:E108">_xlfn.CHOOSECOLS(Scope3_Equations.VEERG_15_2_1_1__1_EmissionsFromPurchasedFeed_Arguments(),1,2)</f>
        <v>Q_j</v>
      </c>
      <c r="E106" s="171" t="str">
        <v>quantity of feed type j purchased</v>
      </c>
      <c r="F106" s="166"/>
      <c r="G106" s="167" t="str" cm="1">
        <f t="array" ref="G106:H108">_xlfn.CHOOSECOLS(Scope3_Equations.VEERG_15_2_1_1__1_EmissionsFromPurchasedFeed_Arguments(),3,4)</f>
        <v>t</v>
      </c>
      <c r="H106" s="168" t="str">
        <v>Input</v>
      </c>
    </row>
    <row r="107" spans="3:41" ht="20.100000000000001" customHeight="1" x14ac:dyDescent="0.25">
      <c r="D107" s="167" t="str">
        <v>EF_j</v>
      </c>
      <c r="E107" s="171" t="str">
        <v>emission factor of purchased feed</v>
      </c>
      <c r="F107" s="166"/>
      <c r="G107" s="167" t="str">
        <v>kg CO2e/kg</v>
      </c>
      <c r="H107" s="168" t="str">
        <v>Constant</v>
      </c>
    </row>
    <row r="108" spans="3:41" ht="20.100000000000001" customHeight="1" x14ac:dyDescent="0.25">
      <c r="D108" s="167" t="str">
        <v>j</v>
      </c>
      <c r="E108" s="171" t="str">
        <v>feed type</v>
      </c>
      <c r="F108" s="166"/>
      <c r="G108" s="167" t="str">
        <v/>
      </c>
      <c r="H108" s="169" t="str">
        <v>Input</v>
      </c>
    </row>
    <row r="109" spans="3:41" ht="20.100000000000001" customHeight="1" x14ac:dyDescent="0.25"/>
    <row r="110" spans="3:41" ht="20.100000000000001" customHeight="1" x14ac:dyDescent="0.25">
      <c r="D110" s="144" t="s">
        <v>293</v>
      </c>
    </row>
    <row r="111" spans="3:41" ht="20.100000000000001" customHeight="1" x14ac:dyDescent="0.25"/>
    <row r="112" spans="3:41" ht="20.100000000000001" customHeight="1" x14ac:dyDescent="0.25">
      <c r="D112" s="39" t="s">
        <v>640</v>
      </c>
      <c r="E112" s="41"/>
      <c r="F112" s="39"/>
      <c r="G112" s="40"/>
      <c r="H112" s="41"/>
    </row>
    <row r="113" spans="4:28" ht="20.100000000000001" customHeight="1" x14ac:dyDescent="0.25">
      <c r="D113" s="88" t="s">
        <v>641</v>
      </c>
      <c r="E113" s="90"/>
      <c r="F113" s="88"/>
      <c r="G113" s="89"/>
      <c r="H113" s="90"/>
    </row>
    <row r="114" spans="4:28" ht="20.100000000000001" customHeight="1" x14ac:dyDescent="0.25">
      <c r="D114" s="43" t="s">
        <v>642</v>
      </c>
      <c r="E114" s="45"/>
      <c r="F114" s="43"/>
      <c r="G114" s="44"/>
      <c r="H114" s="45"/>
    </row>
    <row r="115" spans="4:28" ht="20.100000000000001" customHeight="1" x14ac:dyDescent="0.25"/>
    <row r="116" spans="4:28" ht="20.100000000000001" customHeight="1" x14ac:dyDescent="0.25">
      <c r="D116" s="95" t="s">
        <v>403</v>
      </c>
      <c r="E116" s="110"/>
      <c r="F116" s="96"/>
    </row>
    <row r="117" spans="4:28" ht="20.100000000000001" customHeight="1" x14ac:dyDescent="0.25"/>
    <row r="118" spans="4:28" ht="20.100000000000001" customHeight="1" x14ac:dyDescent="0.25">
      <c r="D118" s="46" t="s">
        <v>407</v>
      </c>
      <c r="E118" s="46" t="s">
        <v>635</v>
      </c>
      <c r="F118" s="57" t="s">
        <v>639</v>
      </c>
      <c r="G118" s="57" t="s">
        <v>636</v>
      </c>
      <c r="H118" s="46" t="s">
        <v>637</v>
      </c>
      <c r="I118" s="57" t="s">
        <v>638</v>
      </c>
      <c r="J118" s="46" t="s">
        <v>632</v>
      </c>
      <c r="K118" s="46" t="s">
        <v>633</v>
      </c>
      <c r="L118" s="46" t="s">
        <v>634</v>
      </c>
      <c r="M118" s="57" t="s">
        <v>174</v>
      </c>
      <c r="N118" s="57" t="s">
        <v>388</v>
      </c>
      <c r="O118" s="57" t="s">
        <v>175</v>
      </c>
      <c r="P118" s="57" t="s">
        <v>349</v>
      </c>
      <c r="Q118" s="57" t="s">
        <v>176</v>
      </c>
      <c r="R118" s="57" t="s">
        <v>404</v>
      </c>
      <c r="S118" s="57" t="s">
        <v>177</v>
      </c>
      <c r="T118" s="57" t="s">
        <v>353</v>
      </c>
      <c r="U118" s="57" t="s">
        <v>178</v>
      </c>
      <c r="V118" s="57" t="s">
        <v>405</v>
      </c>
      <c r="W118" s="57" t="s">
        <v>179</v>
      </c>
      <c r="X118" s="57" t="s">
        <v>354</v>
      </c>
      <c r="Y118" s="57" t="s">
        <v>180</v>
      </c>
      <c r="Z118" s="57" t="s">
        <v>406</v>
      </c>
      <c r="AA118" s="57" t="s">
        <v>181</v>
      </c>
      <c r="AB118" s="57" t="s">
        <v>355</v>
      </c>
    </row>
    <row r="119" spans="4:28" ht="20.100000000000001" customHeight="1" x14ac:dyDescent="0.25">
      <c r="D119" s="49" cm="1">
        <f t="array" ref="D119:D128">IFERROR(INDEX(Table_Input_FeedBlends[Feed blend name], _xlfn.SEQUENCE(10)), "")</f>
        <v>0</v>
      </c>
      <c r="E119" s="49" cm="1">
        <f t="array" ref="E119:E128">IFERROR(INDEX(Table_Input_FeedBlends[Amount fed (kg)], _xlfn.SEQUENCE(10)), "")</f>
        <v>1200</v>
      </c>
      <c r="F119" s="49">
        <f t="shared" ref="F119:F128" si="0">IFERROR((O119*P119)+(S119*T119)+(W119*X119)+(AA119*AB119), 0)</f>
        <v>0.16272999999999999</v>
      </c>
      <c r="G119" s="151" cm="1">
        <f t="array" ref="G119">Scope3_Equations.VEERG_15_2_1_1__1_EmissionsFromPurchasedFeed(E119,F119)</f>
        <v>195.27599999999998</v>
      </c>
      <c r="H119" s="66">
        <v>0.04</v>
      </c>
      <c r="I119" s="151" cm="1">
        <f t="array" ref="I119">Scope3_Equations.VEERG_15_2_1_1__1_EmissionsFromPurchasedFeed(E119,IF(H119,H119, F119))</f>
        <v>48</v>
      </c>
      <c r="J119" s="82"/>
      <c r="K119" s="47"/>
      <c r="L119"/>
      <c r="M119" s="49" t="str" cm="1">
        <f t="array" ref="M119:M128">IFERROR(INDEX(Table_Input_FeedBlends[Ingredient 1 (select)], _xlfn.SEQUENCE(10)), "")</f>
        <v>Cereal silage</v>
      </c>
      <c r="N119" s="49" t="str" cm="1">
        <f t="array" ref="N119:N128">IFERROR(INDEX(Table_Input_FeedBlends[Ingredient 1 source region], _xlfn.SEQUENCE(10)), "")</f>
        <v>SA</v>
      </c>
      <c r="O119" s="49" cm="1">
        <f t="array" ref="O119:O128">IFERROR(INDEX(Table_Input_FeedBlends[Ingredient 1 percent], _xlfn.SEQUENCE(10)), "")</f>
        <v>0.35</v>
      </c>
      <c r="P119" s="49"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49" t="str" cm="1">
        <f t="array" ref="Q119:Q128">IFERROR(INDEX(Table_Input_FeedBlends[Ingredient 2 (select)], _xlfn.SEQUENCE(10)), "")</f>
        <v>Cereal hay</v>
      </c>
      <c r="R119" s="49" t="str" cm="1">
        <f t="array" ref="R119:R128">IFERROR(INDEX(Table_Input_FeedBlends[Ingredient 2 source region], _xlfn.SEQUENCE(10)), "")</f>
        <v>SA</v>
      </c>
      <c r="S119" s="49" cm="1">
        <f t="array" ref="S119:S128">IFERROR(INDEX(Table_Input_FeedBlends[Ingredient 2 percent], _xlfn.SEQUENCE(10)), "")</f>
        <v>0.22</v>
      </c>
      <c r="T119" s="49" cm="1">
        <f t="array" ref="T119">_xlfn.LET(_xlpm.result, Common_InputFunctions.Utility_LookupValueInTableTwoColumns(Q119, R119, Table_SourceData_Scope3_Feed[Product], Table_SourceData_Scope3_Feed[Region of origin], Table_SourceData_Scope3_Feed[AusLCI Emissions intensity]), IF(_xlpm.result="", 0, _xlpm.result))</f>
        <v>0.111</v>
      </c>
      <c r="U119" s="49" t="str" cm="1">
        <f t="array" ref="U119:U128">IFERROR(INDEX(Table_Input_FeedBlends[Ingredient 3 (select)], _xlfn.SEQUENCE(10)), "")</f>
        <v>Canola oil</v>
      </c>
      <c r="V119" s="49" t="str" cm="1">
        <f t="array" ref="V119:V128">IFERROR(INDEX(Table_Input_FeedBlends[Ingredient 3 source region], _xlfn.SEQUENCE(10)), "")</f>
        <v>Australia</v>
      </c>
      <c r="W119" s="49" cm="1">
        <f t="array" ref="W119:W128">IFERROR(INDEX(Table_Input_FeedBlends[Ingredient 3 percent], _xlfn.SEQUENCE(10)), "")</f>
        <v>0.12</v>
      </c>
      <c r="X119" s="49" cm="1">
        <f t="array" ref="X119">_xlfn.LET(_xlpm.result, Common_InputFunctions.Utility_LookupValueInTableTwoColumns(U119, V119, Table_SourceData_Scope3_Feed[Product], Table_SourceData_Scope3_Feed[Region of origin], Table_SourceData_Scope3_Feed[AusLCI Emissions intensity]), IF(_xlpm.result="", 0, _xlpm.result))</f>
        <v>0.87</v>
      </c>
      <c r="Y119" s="49" t="str" cm="1">
        <f t="array" ref="Y119:Y128">IFERROR(INDEX(Table_Input_FeedBlends[Ingredient 4 (select)], _xlfn.SEQUENCE(10)), "")</f>
        <v>Molasses</v>
      </c>
      <c r="Z119" s="49" t="str" cm="1">
        <f t="array" ref="Z119:Z128">IFERROR(INDEX(Table_Input_FeedBlends[Ingredient 4 source region], _xlfn.SEQUENCE(10)), "")</f>
        <v>QLD</v>
      </c>
      <c r="AA119" s="49" cm="1">
        <f t="array" ref="AA119:AA128">IFERROR(INDEX(Table_Input_FeedBlends[Ingredient 4 percent], _xlfn.SEQUENCE(10)), "")</f>
        <v>0.05</v>
      </c>
      <c r="AB119" s="49" cm="1">
        <f t="array" ref="AB119">_xlfn.LET(_xlpm.result, Common_InputFunctions.Utility_LookupValueInTableTwoColumns(Y119, Z119, Table_SourceData_Scope3_Feed[Product], Table_SourceData_Scope3_Feed[Region of origin], Table_SourceData_Scope3_Feed[AusLCI Emissions intensity]), IF(_xlpm.result="", 0, _xlpm.result))</f>
        <v>0.184</v>
      </c>
    </row>
    <row r="120" spans="4:28" ht="20.100000000000001" customHeight="1" x14ac:dyDescent="0.25">
      <c r="D120" s="49">
        <v>0</v>
      </c>
      <c r="E120" s="49">
        <v>3456</v>
      </c>
      <c r="F120" s="49">
        <f t="shared" si="0"/>
        <v>2.2600000000000002E-2</v>
      </c>
      <c r="G120" s="151" cm="1">
        <f t="array" ref="G120">Scope3_Equations.VEERG_15_2_1_1__1_EmissionsFromPurchasedFeed(E120,F120)</f>
        <v>78.10560000000001</v>
      </c>
      <c r="H120" s="66">
        <v>0.03</v>
      </c>
      <c r="I120" s="151" cm="1">
        <f t="array" ref="I120">Scope3_Equations.VEERG_15_2_1_1__1_EmissionsFromPurchasedFeed(E120,IF(H120,H120, F120))</f>
        <v>103.67999999999999</v>
      </c>
      <c r="J120" s="82"/>
      <c r="K120" s="47"/>
      <c r="L120" s="82"/>
      <c r="M120" s="49" t="str">
        <v>Lucerne hay</v>
      </c>
      <c r="N120" s="49" t="str">
        <v>WA</v>
      </c>
      <c r="O120" s="49">
        <v>0.2</v>
      </c>
      <c r="P120" s="49"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49" t="str">
        <v>Lucerne hay</v>
      </c>
      <c r="R120" s="49" t="str">
        <v>NSW</v>
      </c>
      <c r="S120" s="49">
        <v>0.2</v>
      </c>
      <c r="T120" s="49" cm="1">
        <f t="array" ref="T120">_xlfn.LET(_xlpm.result, Common_InputFunctions.Utility_LookupValueInTableTwoColumns(Q120, R120, Table_SourceData_Scope3_Feed[Product], Table_SourceData_Scope3_Feed[Region of origin], Table_SourceData_Scope3_Feed[AusLCI Emissions intensity]), IF(_xlpm.result="", 0, _xlpm.result))</f>
        <v>0.113</v>
      </c>
      <c r="U120" s="49">
        <v>0</v>
      </c>
      <c r="V120" s="49">
        <v>0</v>
      </c>
      <c r="W120" s="49">
        <v>0</v>
      </c>
      <c r="X120" s="49" cm="1">
        <f t="array" ref="X120">_xlfn.LET(_xlpm.result, Common_InputFunctions.Utility_LookupValueInTableTwoColumns(U120, V120, Table_SourceData_Scope3_Feed[Product], Table_SourceData_Scope3_Feed[Region of origin], Table_SourceData_Scope3_Feed[AusLCI Emissions intensity]), IF(_xlpm.result="", 0, _xlpm.result))</f>
        <v>0</v>
      </c>
      <c r="Y120" s="49">
        <v>0</v>
      </c>
      <c r="Z120" s="49">
        <v>0</v>
      </c>
      <c r="AA120" s="49">
        <v>0</v>
      </c>
      <c r="AB120" s="49" cm="1">
        <f t="array" ref="AB120">_xlfn.LET(_xlpm.result, Common_InputFunctions.Utility_LookupValueInTableTwoColumns(Y120, Z120, Table_SourceData_Scope3_Feed[Product], Table_SourceData_Scope3_Feed[Region of origin], Table_SourceData_Scope3_Feed[AusLCI Emissions intensity]), IF(_xlpm.result="", 0, _xlpm.result))</f>
        <v>0</v>
      </c>
    </row>
    <row r="121" spans="4:28" ht="20.100000000000001" customHeight="1" x14ac:dyDescent="0.25">
      <c r="D121" s="49" t="str">
        <v>Hay bales in paddock</v>
      </c>
      <c r="E121" s="49">
        <v>300</v>
      </c>
      <c r="F121" s="49">
        <f t="shared" si="0"/>
        <v>8.5199999999999998E-2</v>
      </c>
      <c r="G121" s="151" cm="1">
        <f t="array" ref="G121">Scope3_Equations.VEERG_15_2_1_1__1_EmissionsFromPurchasedFeed(E121,F121)</f>
        <v>25.56</v>
      </c>
      <c r="H121" s="66">
        <v>0.14000000000000001</v>
      </c>
      <c r="I121" s="151" cm="1">
        <f t="array" ref="I121">Scope3_Equations.VEERG_15_2_1_1__1_EmissionsFromPurchasedFeed(E121,IF(H121,H121, F121))</f>
        <v>42.000000000000007</v>
      </c>
      <c r="J121" s="82"/>
      <c r="K121" s="47"/>
      <c r="L121" s="82"/>
      <c r="M121" s="49" t="str">
        <v>Sardines (whole)</v>
      </c>
      <c r="N121" s="49" t="str">
        <v>VIC</v>
      </c>
      <c r="O121" s="49">
        <v>0.8</v>
      </c>
      <c r="P121" s="49"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49" t="str">
        <v>Soybean meal</v>
      </c>
      <c r="R121" s="49" t="str">
        <v>Brazil</v>
      </c>
      <c r="S121" s="49">
        <v>0.2</v>
      </c>
      <c r="T121" s="49" cm="1">
        <f t="array" ref="T121">_xlfn.LET(_xlpm.result, Common_InputFunctions.Utility_LookupValueInTableTwoColumns(Q121, R121, Table_SourceData_Scope3_Feed[Product], Table_SourceData_Scope3_Feed[Region of origin], Table_SourceData_Scope3_Feed[AusLCI Emissions intensity]), IF(_xlpm.result="", 0, _xlpm.result))</f>
        <v>0.42599999999999999</v>
      </c>
      <c r="U121" s="49">
        <v>0</v>
      </c>
      <c r="V121" s="49">
        <v>0</v>
      </c>
      <c r="W121" s="49">
        <v>0</v>
      </c>
      <c r="X121" s="49" cm="1">
        <f t="array" ref="X121">_xlfn.LET(_xlpm.result, Common_InputFunctions.Utility_LookupValueInTableTwoColumns(U121, V121, Table_SourceData_Scope3_Feed[Product], Table_SourceData_Scope3_Feed[Region of origin], Table_SourceData_Scope3_Feed[AusLCI Emissions intensity]), IF(_xlpm.result="", 0, _xlpm.result))</f>
        <v>0</v>
      </c>
      <c r="Y121" s="49">
        <v>0</v>
      </c>
      <c r="Z121" s="49">
        <v>0</v>
      </c>
      <c r="AA121" s="49">
        <v>0</v>
      </c>
      <c r="AB121" s="49" cm="1">
        <f t="array" ref="AB121">_xlfn.LET(_xlpm.result, Common_InputFunctions.Utility_LookupValueInTableTwoColumns(Y121, Z121, Table_SourceData_Scope3_Feed[Product], Table_SourceData_Scope3_Feed[Region of origin], Table_SourceData_Scope3_Feed[AusLCI Emissions intensity]), IF(_xlpm.result="", 0, _xlpm.result))</f>
        <v>0</v>
      </c>
    </row>
    <row r="122" spans="4:28" ht="20.100000000000001" customHeight="1" x14ac:dyDescent="0.25">
      <c r="D122" s="49">
        <v>0</v>
      </c>
      <c r="E122" s="49">
        <v>500</v>
      </c>
      <c r="F122" s="49">
        <f t="shared" si="0"/>
        <v>0.34499999999999997</v>
      </c>
      <c r="G122" s="151" cm="1">
        <f t="array" ref="G122">Scope3_Equations.VEERG_15_2_1_1__1_EmissionsFromPurchasedFeed(E122,F122)</f>
        <v>172.5</v>
      </c>
      <c r="H122" s="66"/>
      <c r="I122" s="151" cm="1">
        <f t="array" ref="I122">Scope3_Equations.VEERG_15_2_1_1__1_EmissionsFromPurchasedFeed(E122,IF(H122,H122, F122))</f>
        <v>172.5</v>
      </c>
      <c r="J122" s="82"/>
      <c r="K122" s="47"/>
      <c r="L122" s="82"/>
      <c r="M122" s="49" t="str">
        <v>Pasture hay</v>
      </c>
      <c r="N122" s="49" t="str">
        <v>VIC</v>
      </c>
      <c r="O122" s="49">
        <v>1</v>
      </c>
      <c r="P122" s="49"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49">
        <v>0</v>
      </c>
      <c r="R122" s="49">
        <v>0</v>
      </c>
      <c r="S122" s="49">
        <v>0</v>
      </c>
      <c r="T122" s="49" cm="1">
        <f t="array" ref="T122">_xlfn.LET(_xlpm.result, Common_InputFunctions.Utility_LookupValueInTableTwoColumns(Q122, R122, Table_SourceData_Scope3_Feed[Product], Table_SourceData_Scope3_Feed[Region of origin], Table_SourceData_Scope3_Feed[AusLCI Emissions intensity]), IF(_xlpm.result="", 0, _xlpm.result))</f>
        <v>0</v>
      </c>
      <c r="U122" s="49">
        <v>0</v>
      </c>
      <c r="V122" s="49">
        <v>0</v>
      </c>
      <c r="W122" s="49">
        <v>0</v>
      </c>
      <c r="X122" s="49" cm="1">
        <f t="array" ref="X122">_xlfn.LET(_xlpm.result, Common_InputFunctions.Utility_LookupValueInTableTwoColumns(U122, V122, Table_SourceData_Scope3_Feed[Product], Table_SourceData_Scope3_Feed[Region of origin], Table_SourceData_Scope3_Feed[AusLCI Emissions intensity]), IF(_xlpm.result="", 0, _xlpm.result))</f>
        <v>0</v>
      </c>
      <c r="Y122" s="49">
        <v>0</v>
      </c>
      <c r="Z122" s="49">
        <v>0</v>
      </c>
      <c r="AA122" s="49">
        <v>0</v>
      </c>
      <c r="AB122" s="49" cm="1">
        <f t="array" ref="AB122">_xlfn.LET(_xlpm.result, Common_InputFunctions.Utility_LookupValueInTableTwoColumns(Y122, Z122, Table_SourceData_Scope3_Feed[Product], Table_SourceData_Scope3_Feed[Region of origin], Table_SourceData_Scope3_Feed[AusLCI Emissions intensity]), IF(_xlpm.result="", 0, _xlpm.result))</f>
        <v>0</v>
      </c>
    </row>
    <row r="123" spans="4:28" ht="20.100000000000001" customHeight="1" x14ac:dyDescent="0.25">
      <c r="D123" s="49">
        <v>0</v>
      </c>
      <c r="E123" s="49">
        <v>0</v>
      </c>
      <c r="F123" s="49">
        <f t="shared" si="0"/>
        <v>0</v>
      </c>
      <c r="G123" s="151" cm="1">
        <f t="array" ref="G123">Scope3_Equations.VEERG_15_2_1_1__1_EmissionsFromPurchasedFeed(E123,F123)</f>
        <v>0</v>
      </c>
      <c r="H123" s="66"/>
      <c r="I123" s="151" cm="1">
        <f t="array" ref="I123">Scope3_Equations.VEERG_15_2_1_1__1_EmissionsFromPurchasedFeed(E123,IF(H123,H123, F123))</f>
        <v>0</v>
      </c>
      <c r="J123" s="82"/>
      <c r="K123" s="47"/>
      <c r="L123" s="82"/>
      <c r="M123" s="49">
        <v>0</v>
      </c>
      <c r="N123" s="49">
        <v>0</v>
      </c>
      <c r="O123" s="49">
        <v>0</v>
      </c>
      <c r="P123" s="49"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49">
        <v>0</v>
      </c>
      <c r="R123" s="49">
        <v>0</v>
      </c>
      <c r="S123" s="49">
        <v>0</v>
      </c>
      <c r="T123" s="49" cm="1">
        <f t="array" ref="T123">_xlfn.LET(_xlpm.result, Common_InputFunctions.Utility_LookupValueInTableTwoColumns(Q123, R123, Table_SourceData_Scope3_Feed[Product], Table_SourceData_Scope3_Feed[Region of origin], Table_SourceData_Scope3_Feed[AusLCI Emissions intensity]), IF(_xlpm.result="", 0, _xlpm.result))</f>
        <v>0</v>
      </c>
      <c r="U123" s="49">
        <v>0</v>
      </c>
      <c r="V123" s="49">
        <v>0</v>
      </c>
      <c r="W123" s="49">
        <v>0</v>
      </c>
      <c r="X123" s="49" cm="1">
        <f t="array" ref="X123">_xlfn.LET(_xlpm.result, Common_InputFunctions.Utility_LookupValueInTableTwoColumns(U123, V123, Table_SourceData_Scope3_Feed[Product], Table_SourceData_Scope3_Feed[Region of origin], Table_SourceData_Scope3_Feed[AusLCI Emissions intensity]), IF(_xlpm.result="", 0, _xlpm.result))</f>
        <v>0</v>
      </c>
      <c r="Y123" s="49">
        <v>0</v>
      </c>
      <c r="Z123" s="49">
        <v>0</v>
      </c>
      <c r="AA123" s="49">
        <v>0</v>
      </c>
      <c r="AB123" s="49" cm="1">
        <f t="array" ref="AB123">_xlfn.LET(_xlpm.result, Common_InputFunctions.Utility_LookupValueInTableTwoColumns(Y123, Z123, Table_SourceData_Scope3_Feed[Product], Table_SourceData_Scope3_Feed[Region of origin], Table_SourceData_Scope3_Feed[AusLCI Emissions intensity]), IF(_xlpm.result="", 0, _xlpm.result))</f>
        <v>0</v>
      </c>
    </row>
    <row r="124" spans="4:28" ht="20.100000000000001" customHeight="1" x14ac:dyDescent="0.25">
      <c r="D124" s="49">
        <v>0</v>
      </c>
      <c r="E124" s="49">
        <v>0</v>
      </c>
      <c r="F124" s="49">
        <f t="shared" si="0"/>
        <v>0</v>
      </c>
      <c r="G124" s="151" cm="1">
        <f t="array" ref="G124">Scope3_Equations.VEERG_15_2_1_1__1_EmissionsFromPurchasedFeed(E124,F124)</f>
        <v>0</v>
      </c>
      <c r="H124" s="66"/>
      <c r="I124" s="151" cm="1">
        <f t="array" ref="I124">Scope3_Equations.VEERG_15_2_1_1__1_EmissionsFromPurchasedFeed(E124,IF(H124,H124, F124))</f>
        <v>0</v>
      </c>
      <c r="J124" s="82"/>
      <c r="K124" s="47"/>
      <c r="L124" s="82"/>
      <c r="M124" s="49">
        <v>0</v>
      </c>
      <c r="N124" s="49">
        <v>0</v>
      </c>
      <c r="O124" s="49">
        <v>0</v>
      </c>
      <c r="P124" s="49"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49">
        <v>0</v>
      </c>
      <c r="R124" s="49">
        <v>0</v>
      </c>
      <c r="S124" s="49">
        <v>0</v>
      </c>
      <c r="T124" s="49" cm="1">
        <f t="array" ref="T124">_xlfn.LET(_xlpm.result, Common_InputFunctions.Utility_LookupValueInTableTwoColumns(Q124, R124, Table_SourceData_Scope3_Feed[Product], Table_SourceData_Scope3_Feed[Region of origin], Table_SourceData_Scope3_Feed[AusLCI Emissions intensity]), IF(_xlpm.result="", 0, _xlpm.result))</f>
        <v>0</v>
      </c>
      <c r="U124" s="49">
        <v>0</v>
      </c>
      <c r="V124" s="49">
        <v>0</v>
      </c>
      <c r="W124" s="49">
        <v>0</v>
      </c>
      <c r="X124" s="49" cm="1">
        <f t="array" ref="X124">_xlfn.LET(_xlpm.result, Common_InputFunctions.Utility_LookupValueInTableTwoColumns(U124, V124, Table_SourceData_Scope3_Feed[Product], Table_SourceData_Scope3_Feed[Region of origin], Table_SourceData_Scope3_Feed[AusLCI Emissions intensity]), IF(_xlpm.result="", 0, _xlpm.result))</f>
        <v>0</v>
      </c>
      <c r="Y124" s="49">
        <v>0</v>
      </c>
      <c r="Z124" s="49">
        <v>0</v>
      </c>
      <c r="AA124" s="49">
        <v>0</v>
      </c>
      <c r="AB124" s="49" cm="1">
        <f t="array" ref="AB124">_xlfn.LET(_xlpm.result, Common_InputFunctions.Utility_LookupValueInTableTwoColumns(Y124, Z124, Table_SourceData_Scope3_Feed[Product], Table_SourceData_Scope3_Feed[Region of origin], Table_SourceData_Scope3_Feed[AusLCI Emissions intensity]), IF(_xlpm.result="", 0, _xlpm.result))</f>
        <v>0</v>
      </c>
    </row>
    <row r="125" spans="4:28" ht="20.100000000000001" customHeight="1" x14ac:dyDescent="0.25">
      <c r="D125" s="49">
        <v>0</v>
      </c>
      <c r="E125" s="49">
        <v>0</v>
      </c>
      <c r="F125" s="49">
        <f t="shared" si="0"/>
        <v>0</v>
      </c>
      <c r="G125" s="151" cm="1">
        <f t="array" ref="G125">Scope3_Equations.VEERG_15_2_1_1__1_EmissionsFromPurchasedFeed(E125,F125)</f>
        <v>0</v>
      </c>
      <c r="H125" s="66"/>
      <c r="I125" s="151" cm="1">
        <f t="array" ref="I125">Scope3_Equations.VEERG_15_2_1_1__1_EmissionsFromPurchasedFeed(E125,IF(H125,H125, F125))</f>
        <v>0</v>
      </c>
      <c r="J125" s="82"/>
      <c r="K125" s="47"/>
      <c r="L125" s="82"/>
      <c r="M125" s="49">
        <v>0</v>
      </c>
      <c r="N125" s="49">
        <v>0</v>
      </c>
      <c r="O125" s="49">
        <v>0</v>
      </c>
      <c r="P125" s="49"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49">
        <v>0</v>
      </c>
      <c r="R125" s="49">
        <v>0</v>
      </c>
      <c r="S125" s="49">
        <v>0</v>
      </c>
      <c r="T125" s="49" cm="1">
        <f t="array" ref="T125">_xlfn.LET(_xlpm.result, Common_InputFunctions.Utility_LookupValueInTableTwoColumns(Q125, R125, Table_SourceData_Scope3_Feed[Product], Table_SourceData_Scope3_Feed[Region of origin], Table_SourceData_Scope3_Feed[AusLCI Emissions intensity]), IF(_xlpm.result="", 0, _xlpm.result))</f>
        <v>0</v>
      </c>
      <c r="U125" s="49">
        <v>0</v>
      </c>
      <c r="V125" s="49">
        <v>0</v>
      </c>
      <c r="W125" s="49">
        <v>0</v>
      </c>
      <c r="X125" s="49" cm="1">
        <f t="array" ref="X125">_xlfn.LET(_xlpm.result, Common_InputFunctions.Utility_LookupValueInTableTwoColumns(U125, V125, Table_SourceData_Scope3_Feed[Product], Table_SourceData_Scope3_Feed[Region of origin], Table_SourceData_Scope3_Feed[AusLCI Emissions intensity]), IF(_xlpm.result="", 0, _xlpm.result))</f>
        <v>0</v>
      </c>
      <c r="Y125" s="49">
        <v>0</v>
      </c>
      <c r="Z125" s="49">
        <v>0</v>
      </c>
      <c r="AA125" s="49">
        <v>0</v>
      </c>
      <c r="AB125" s="49" cm="1">
        <f t="array" ref="AB125">_xlfn.LET(_xlpm.result, Common_InputFunctions.Utility_LookupValueInTableTwoColumns(Y125, Z125, Table_SourceData_Scope3_Feed[Product], Table_SourceData_Scope3_Feed[Region of origin], Table_SourceData_Scope3_Feed[AusLCI Emissions intensity]), IF(_xlpm.result="", 0, _xlpm.result))</f>
        <v>0</v>
      </c>
    </row>
    <row r="126" spans="4:28" ht="20.100000000000001" customHeight="1" x14ac:dyDescent="0.25">
      <c r="D126" s="49">
        <v>0</v>
      </c>
      <c r="E126" s="49">
        <v>0</v>
      </c>
      <c r="F126" s="49">
        <f t="shared" si="0"/>
        <v>0</v>
      </c>
      <c r="G126" s="151" cm="1">
        <f t="array" ref="G126">Scope3_Equations.VEERG_15_2_1_1__1_EmissionsFromPurchasedFeed(E126,F126)</f>
        <v>0</v>
      </c>
      <c r="H126" s="66"/>
      <c r="I126" s="151" cm="1">
        <f t="array" ref="I126">Scope3_Equations.VEERG_15_2_1_1__1_EmissionsFromPurchasedFeed(E126,IF(H126,H126, F126))</f>
        <v>0</v>
      </c>
      <c r="J126" s="82"/>
      <c r="K126" s="47"/>
      <c r="L126" s="82"/>
      <c r="M126" s="49">
        <v>0</v>
      </c>
      <c r="N126" s="49">
        <v>0</v>
      </c>
      <c r="O126" s="49">
        <v>0</v>
      </c>
      <c r="P126" s="49"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49">
        <v>0</v>
      </c>
      <c r="R126" s="49">
        <v>0</v>
      </c>
      <c r="S126" s="49">
        <v>0</v>
      </c>
      <c r="T126" s="49" cm="1">
        <f t="array" ref="T126">_xlfn.LET(_xlpm.result, Common_InputFunctions.Utility_LookupValueInTableTwoColumns(Q126, R126, Table_SourceData_Scope3_Feed[Product], Table_SourceData_Scope3_Feed[Region of origin], Table_SourceData_Scope3_Feed[AusLCI Emissions intensity]), IF(_xlpm.result="", 0, _xlpm.result))</f>
        <v>0</v>
      </c>
      <c r="U126" s="49">
        <v>0</v>
      </c>
      <c r="V126" s="49">
        <v>0</v>
      </c>
      <c r="W126" s="49">
        <v>0</v>
      </c>
      <c r="X126" s="49" cm="1">
        <f t="array" ref="X126">_xlfn.LET(_xlpm.result, Common_InputFunctions.Utility_LookupValueInTableTwoColumns(U126, V126, Table_SourceData_Scope3_Feed[Product], Table_SourceData_Scope3_Feed[Region of origin], Table_SourceData_Scope3_Feed[AusLCI Emissions intensity]), IF(_xlpm.result="", 0, _xlpm.result))</f>
        <v>0</v>
      </c>
      <c r="Y126" s="49">
        <v>0</v>
      </c>
      <c r="Z126" s="49">
        <v>0</v>
      </c>
      <c r="AA126" s="49">
        <v>0</v>
      </c>
      <c r="AB126" s="49" cm="1">
        <f t="array" ref="AB126">_xlfn.LET(_xlpm.result, Common_InputFunctions.Utility_LookupValueInTableTwoColumns(Y126, Z126, Table_SourceData_Scope3_Feed[Product], Table_SourceData_Scope3_Feed[Region of origin], Table_SourceData_Scope3_Feed[AusLCI Emissions intensity]), IF(_xlpm.result="", 0, _xlpm.result))</f>
        <v>0</v>
      </c>
    </row>
    <row r="127" spans="4:28" ht="20.100000000000001" customHeight="1" x14ac:dyDescent="0.25">
      <c r="D127" s="49">
        <v>0</v>
      </c>
      <c r="E127" s="49">
        <v>0</v>
      </c>
      <c r="F127" s="49">
        <f t="shared" si="0"/>
        <v>0</v>
      </c>
      <c r="G127" s="151" cm="1">
        <f t="array" ref="G127">Scope3_Equations.VEERG_15_2_1_1__1_EmissionsFromPurchasedFeed(E127,F127)</f>
        <v>0</v>
      </c>
      <c r="H127" s="66"/>
      <c r="I127" s="151" cm="1">
        <f t="array" ref="I127">Scope3_Equations.VEERG_15_2_1_1__1_EmissionsFromPurchasedFeed(E127,IF(H127,H127, F127))</f>
        <v>0</v>
      </c>
      <c r="J127" s="82"/>
      <c r="K127" s="47"/>
      <c r="L127" s="82"/>
      <c r="M127" s="49">
        <v>0</v>
      </c>
      <c r="N127" s="49">
        <v>0</v>
      </c>
      <c r="O127" s="49">
        <v>0</v>
      </c>
      <c r="P127" s="49"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49">
        <v>0</v>
      </c>
      <c r="R127" s="49">
        <v>0</v>
      </c>
      <c r="S127" s="49">
        <v>0</v>
      </c>
      <c r="T127" s="49" cm="1">
        <f t="array" ref="T127">_xlfn.LET(_xlpm.result, Common_InputFunctions.Utility_LookupValueInTableTwoColumns(Q127, R127, Table_SourceData_Scope3_Feed[Product], Table_SourceData_Scope3_Feed[Region of origin], Table_SourceData_Scope3_Feed[AusLCI Emissions intensity]), IF(_xlpm.result="", 0, _xlpm.result))</f>
        <v>0</v>
      </c>
      <c r="U127" s="49">
        <v>0</v>
      </c>
      <c r="V127" s="49">
        <v>0</v>
      </c>
      <c r="W127" s="49">
        <v>0</v>
      </c>
      <c r="X127" s="49" cm="1">
        <f t="array" ref="X127">_xlfn.LET(_xlpm.result, Common_InputFunctions.Utility_LookupValueInTableTwoColumns(U127, V127, Table_SourceData_Scope3_Feed[Product], Table_SourceData_Scope3_Feed[Region of origin], Table_SourceData_Scope3_Feed[AusLCI Emissions intensity]), IF(_xlpm.result="", 0, _xlpm.result))</f>
        <v>0</v>
      </c>
      <c r="Y127" s="49">
        <v>0</v>
      </c>
      <c r="Z127" s="49">
        <v>0</v>
      </c>
      <c r="AA127" s="49">
        <v>0</v>
      </c>
      <c r="AB127" s="49" cm="1">
        <f t="array" ref="AB127">_xlfn.LET(_xlpm.result, Common_InputFunctions.Utility_LookupValueInTableTwoColumns(Y127, Z127, Table_SourceData_Scope3_Feed[Product], Table_SourceData_Scope3_Feed[Region of origin], Table_SourceData_Scope3_Feed[AusLCI Emissions intensity]), IF(_xlpm.result="", 0, _xlpm.result))</f>
        <v>0</v>
      </c>
    </row>
    <row r="128" spans="4:28" ht="20.100000000000001" customHeight="1" x14ac:dyDescent="0.25">
      <c r="D128" s="49">
        <v>0</v>
      </c>
      <c r="E128" s="49">
        <v>0</v>
      </c>
      <c r="F128" s="49">
        <f t="shared" si="0"/>
        <v>0</v>
      </c>
      <c r="G128" s="151" cm="1">
        <f t="array" ref="G128">Scope3_Equations.VEERG_15_2_1_1__1_EmissionsFromPurchasedFeed(E128,F128)</f>
        <v>0</v>
      </c>
      <c r="H128" s="66"/>
      <c r="I128" s="151" cm="1">
        <f t="array" ref="I128">Scope3_Equations.VEERG_15_2_1_1__1_EmissionsFromPurchasedFeed(E128,IF(H128,H128, F128))</f>
        <v>0</v>
      </c>
      <c r="J128" s="82"/>
      <c r="K128" s="47"/>
      <c r="L128" s="82"/>
      <c r="M128" s="49">
        <v>0</v>
      </c>
      <c r="N128" s="49">
        <v>0</v>
      </c>
      <c r="O128" s="49">
        <v>0</v>
      </c>
      <c r="P128" s="49"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49">
        <v>0</v>
      </c>
      <c r="R128" s="49">
        <v>0</v>
      </c>
      <c r="S128" s="49">
        <v>0</v>
      </c>
      <c r="T128" s="49" cm="1">
        <f t="array" ref="T128">_xlfn.LET(_xlpm.result, Common_InputFunctions.Utility_LookupValueInTableTwoColumns(Q128, R128, Table_SourceData_Scope3_Feed[Product], Table_SourceData_Scope3_Feed[Region of origin], Table_SourceData_Scope3_Feed[AusLCI Emissions intensity]), IF(_xlpm.result="", 0, _xlpm.result))</f>
        <v>0</v>
      </c>
      <c r="U128" s="49">
        <v>0</v>
      </c>
      <c r="V128" s="49">
        <v>0</v>
      </c>
      <c r="W128" s="49">
        <v>0</v>
      </c>
      <c r="X128" s="49" cm="1">
        <f t="array" ref="X128">_xlfn.LET(_xlpm.result, Common_InputFunctions.Utility_LookupValueInTableTwoColumns(U128, V128, Table_SourceData_Scope3_Feed[Product], Table_SourceData_Scope3_Feed[Region of origin], Table_SourceData_Scope3_Feed[AusLCI Emissions intensity]), IF(_xlpm.result="", 0, _xlpm.result))</f>
        <v>0</v>
      </c>
      <c r="Y128" s="49">
        <v>0</v>
      </c>
      <c r="Z128" s="49">
        <v>0</v>
      </c>
      <c r="AA128" s="49">
        <v>0</v>
      </c>
      <c r="AB128" s="49" cm="1">
        <f t="array" ref="AB128">_xlfn.LET(_xlpm.result, Common_InputFunctions.Utility_LookupValueInTableTwoColumns(Y128, Z128, Table_SourceData_Scope3_Feed[Product], Table_SourceData_Scope3_Feed[Region of origin], Table_SourceData_Scope3_Feed[AusLCI Emissions intensity]), IF(_xlpm.result="", 0, _xlpm.result))</f>
        <v>0</v>
      </c>
    </row>
    <row r="129" spans="4:12" ht="20.100000000000001" customHeight="1" x14ac:dyDescent="0.25"/>
    <row r="130" spans="4:12" ht="20.100000000000001" customHeight="1" x14ac:dyDescent="0.25">
      <c r="D130" s="174" t="s">
        <v>636</v>
      </c>
      <c r="E130" s="98">
        <f>SUM(G119:G128)</f>
        <v>471.44159999999999</v>
      </c>
      <c r="F130" s="175" t="str">
        <f>$E$104</f>
        <v>t CO2e</v>
      </c>
    </row>
    <row r="131" spans="4:12" ht="20.100000000000001" customHeight="1" x14ac:dyDescent="0.25">
      <c r="D131" s="174" t="s">
        <v>638</v>
      </c>
      <c r="E131" s="98">
        <f>SUM(I119:I128)</f>
        <v>366.18</v>
      </c>
      <c r="F131" s="175" t="str">
        <f>$E$104</f>
        <v>t CO2e</v>
      </c>
    </row>
    <row r="132" spans="4:12" ht="20.100000000000001" customHeight="1" x14ac:dyDescent="0.25"/>
    <row r="133" spans="4:12" ht="20.100000000000001" customHeight="1" x14ac:dyDescent="0.25"/>
    <row r="134" spans="4:12" ht="20.100000000000001" customHeight="1" x14ac:dyDescent="0.25">
      <c r="D134" s="144" t="s">
        <v>401</v>
      </c>
    </row>
    <row r="135" spans="4:12" ht="20.100000000000001" customHeight="1" x14ac:dyDescent="0.25">
      <c r="D135" s="46" t="s">
        <v>216</v>
      </c>
      <c r="E135" s="46" t="s">
        <v>635</v>
      </c>
      <c r="F135" s="57" t="s">
        <v>639</v>
      </c>
      <c r="G135" s="57" t="s">
        <v>636</v>
      </c>
      <c r="H135" s="46" t="s">
        <v>637</v>
      </c>
      <c r="I135" s="57" t="s">
        <v>638</v>
      </c>
      <c r="J135" s="46" t="s">
        <v>632</v>
      </c>
      <c r="K135" s="46" t="s">
        <v>633</v>
      </c>
      <c r="L135" s="46" t="s">
        <v>634</v>
      </c>
    </row>
    <row r="136" spans="4:12" ht="20.100000000000001" customHeight="1" x14ac:dyDescent="0.25">
      <c r="D136" s="49" t="str">
        <f>'Input - Livestock farm Inputs'!D12</f>
        <v>Feed for chickens</v>
      </c>
      <c r="E136" s="49">
        <f>X_Cell_FarmInputs_FeedRations_Chickens</f>
        <v>100</v>
      </c>
      <c r="F136" s="49" cm="1">
        <f t="array" ref="F136">Common_InputFunctions.Utility_LookupValueInTableNumber(D136,Table_SourceData_Scope3_MixedRations[Product],Table_SourceData_Scope3_MixedRations[AusLCI Emissions intensity])</f>
        <v>0.59399999999999997</v>
      </c>
      <c r="G136" s="151" cm="1">
        <f t="array" ref="G136">Scope3_Equations.VEERG_15_2_1_1__1_EmissionsFromPurchasedFeed(E136,F136)</f>
        <v>59.4</v>
      </c>
      <c r="H136" s="66">
        <v>0.5</v>
      </c>
      <c r="I136" s="151" cm="1">
        <f t="array" ref="I136">Scope3_Equations.VEERG_15_2_1_1__1_EmissionsFromPurchasedFeed(E136,IF(H136,H136, F136))</f>
        <v>50</v>
      </c>
      <c r="J136" s="82"/>
      <c r="K136" s="47"/>
      <c r="L136"/>
    </row>
    <row r="137" spans="4:12" ht="20.100000000000001" customHeight="1" x14ac:dyDescent="0.25">
      <c r="D137" s="49" t="str">
        <f>'Input - Livestock farm Inputs'!D13</f>
        <v>Feed for dairy calves</v>
      </c>
      <c r="E137" s="49">
        <f>X_Cell_FarmInputs_FeedRations_DairyCalves</f>
        <v>100</v>
      </c>
      <c r="F137" s="49" cm="1">
        <f t="array" ref="F137">Common_InputFunctions.Utility_LookupValueInTableNumber(D137,Table_SourceData_Scope3_MixedRations[Product],Table_SourceData_Scope3_MixedRations[AusLCI Emissions intensity])</f>
        <v>0.41899999999999998</v>
      </c>
      <c r="G137" s="151" cm="1">
        <f t="array" ref="G137">Scope3_Equations.VEERG_15_2_1_1__1_EmissionsFromPurchasedFeed(E137,F137)</f>
        <v>41.9</v>
      </c>
      <c r="H137" s="66">
        <v>0.4</v>
      </c>
      <c r="I137" s="151" cm="1">
        <f t="array" ref="I137">Scope3_Equations.VEERG_15_2_1_1__1_EmissionsFromPurchasedFeed(E137,IF(H137,H137, F137))</f>
        <v>40</v>
      </c>
      <c r="J137" s="82"/>
      <c r="K137" s="47"/>
      <c r="L137" s="82"/>
    </row>
    <row r="138" spans="4:12" ht="20.100000000000001" customHeight="1" x14ac:dyDescent="0.25">
      <c r="D138" s="49" t="str">
        <f>'Input - Livestock farm Inputs'!D14</f>
        <v>Feed for dairy cows</v>
      </c>
      <c r="E138" s="49">
        <f>X_Cell_FarmInputs_FeedRations_DairyCows</f>
        <v>100</v>
      </c>
      <c r="F138" s="49" cm="1">
        <f t="array" ref="F138">Common_InputFunctions.Utility_LookupValueInTableNumber(D138,Table_SourceData_Scope3_MixedRations[Product],Table_SourceData_Scope3_MixedRations[AusLCI Emissions intensity])</f>
        <v>0.33300000000000002</v>
      </c>
      <c r="G138" s="151" cm="1">
        <f t="array" ref="G138">Scope3_Equations.VEERG_15_2_1_1__1_EmissionsFromPurchasedFeed(E138,F138)</f>
        <v>33.300000000000004</v>
      </c>
      <c r="H138" s="66">
        <v>0</v>
      </c>
      <c r="I138" s="151" cm="1">
        <f t="array" ref="I138">Scope3_Equations.VEERG_15_2_1_1__1_EmissionsFromPurchasedFeed(E138,IF(H138,H138, F138))</f>
        <v>33.300000000000004</v>
      </c>
      <c r="J138" s="82"/>
      <c r="K138" s="47"/>
      <c r="L138" s="82"/>
    </row>
    <row r="139" spans="4:12" ht="20.100000000000001" customHeight="1" x14ac:dyDescent="0.25">
      <c r="D139" s="49" t="str">
        <f>'Input - Livestock farm Inputs'!D15</f>
        <v>Feed for pigs</v>
      </c>
      <c r="E139" s="49">
        <f>X_Cell_FarmInputs_FeedRations_Pigs</f>
        <v>100</v>
      </c>
      <c r="F139" s="49" cm="1">
        <f t="array" ref="F139">Common_InputFunctions.Utility_LookupValueInTableNumber(D139,Table_SourceData_Scope3_MixedRations[Product],Table_SourceData_Scope3_MixedRations[AusLCI Emissions intensity])</f>
        <v>0.40300000000000002</v>
      </c>
      <c r="G139" s="151" cm="1">
        <f t="array" ref="G139">Scope3_Equations.VEERG_15_2_1_1__1_EmissionsFromPurchasedFeed(E139,F139)</f>
        <v>40.300000000000004</v>
      </c>
      <c r="H139" s="66">
        <v>0</v>
      </c>
      <c r="I139" s="151" cm="1">
        <f t="array" ref="I139">Scope3_Equations.VEERG_15_2_1_1__1_EmissionsFromPurchasedFeed(E139,IF(H139,H139, F139))</f>
        <v>40.300000000000004</v>
      </c>
      <c r="J139" s="82"/>
      <c r="K139" s="47"/>
      <c r="L139" s="82"/>
    </row>
    <row r="140" spans="4:12" ht="20.100000000000001" customHeight="1" x14ac:dyDescent="0.25"/>
    <row r="141" spans="4:12" ht="20.100000000000001" customHeight="1" x14ac:dyDescent="0.25">
      <c r="D141" s="174" t="s">
        <v>636</v>
      </c>
      <c r="E141" s="98">
        <f>SUM(G136:G139)</f>
        <v>174.9</v>
      </c>
      <c r="F141" s="175" t="str">
        <f>$E$104</f>
        <v>t CO2e</v>
      </c>
    </row>
    <row r="142" spans="4:12" ht="20.100000000000001" customHeight="1" x14ac:dyDescent="0.25">
      <c r="D142" s="174" t="s">
        <v>638</v>
      </c>
      <c r="E142" s="98">
        <f>SUM(I136:I139)</f>
        <v>163.60000000000002</v>
      </c>
      <c r="F142" s="175" t="str">
        <f>$E$104</f>
        <v>t CO2e</v>
      </c>
    </row>
    <row r="143" spans="4:12" ht="20.100000000000001" customHeight="1" x14ac:dyDescent="0.25"/>
    <row r="144" spans="4:12" ht="20.100000000000001" customHeight="1" x14ac:dyDescent="0.25">
      <c r="D144" s="176" t="s">
        <v>636</v>
      </c>
      <c r="E144" s="177">
        <f>E130+E141</f>
        <v>646.34159999999997</v>
      </c>
      <c r="F144" s="178" t="str">
        <f>$E$104</f>
        <v>t CO2e</v>
      </c>
    </row>
    <row r="145" spans="3:41" ht="20.100000000000001" customHeight="1" x14ac:dyDescent="0.25">
      <c r="D145" s="176" t="s">
        <v>638</v>
      </c>
      <c r="E145" s="177">
        <f>E131+E142</f>
        <v>529.78</v>
      </c>
      <c r="F145" s="178" t="str">
        <f>$E$104</f>
        <v>t CO2e</v>
      </c>
    </row>
    <row r="146" spans="3:41" ht="20.100000000000001" customHeight="1" x14ac:dyDescent="0.25"/>
    <row r="147" spans="3:41" ht="20.100000000000001" customHeight="1" x14ac:dyDescent="0.25"/>
    <row r="148" spans="3:41" ht="20.100000000000001" customHeight="1" x14ac:dyDescent="0.25">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c r="AE148" s="98"/>
      <c r="AF148" s="98"/>
      <c r="AG148" s="98"/>
      <c r="AH148" s="98"/>
      <c r="AI148" s="98"/>
      <c r="AJ148" s="98"/>
      <c r="AK148" s="98"/>
      <c r="AL148" s="98"/>
      <c r="AM148" s="98"/>
      <c r="AN148" s="98"/>
      <c r="AO148" s="98"/>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2" t="s">
        <v>629</v>
      </c>
      <c r="E151" s="172"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2"/>
    </row>
    <row r="154" spans="3:41" ht="20.100000000000001" customHeight="1" x14ac:dyDescent="0.25">
      <c r="D154" s="27" t="s">
        <v>630</v>
      </c>
      <c r="E154" s="8" t="str" cm="1">
        <f t="array" ref="E154">Scope3_Equations.VEERG_15_3_1_1__1_EmissionsFromPurchasedMineralSupplements_Variable()</f>
        <v>E</v>
      </c>
    </row>
    <row r="155" spans="3:41" ht="20.100000000000001" customHeight="1" x14ac:dyDescent="0.25">
      <c r="D155" s="27" t="s">
        <v>97</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67" t="str" cm="1">
        <f t="array" ref="D157:E159">_xlfn.CHOOSECOLS(Scope3_Equations.VEERG_15_3_1_1__1_EmissionsFromPurchasedMineralSupplements_Arguments(),1,2)</f>
        <v>Q_m</v>
      </c>
      <c r="E157" s="171" t="str">
        <v>total quantity of mineral supplement type m used</v>
      </c>
      <c r="F157" s="166"/>
      <c r="G157" s="167" t="str" cm="1">
        <f t="array" ref="G157:H159">_xlfn.CHOOSECOLS(Scope3_Equations.VEERG_15_3_1_1__1_EmissionsFromPurchasedMineralSupplements_Arguments(),3,4)</f>
        <v>t</v>
      </c>
      <c r="H157" s="168" t="str">
        <v>Input</v>
      </c>
    </row>
    <row r="158" spans="3:41" ht="20.100000000000001" customHeight="1" x14ac:dyDescent="0.25">
      <c r="D158" s="167" t="str">
        <v>EF_m</v>
      </c>
      <c r="E158" s="171" t="str">
        <v>emission factor of purchased mineral supplement</v>
      </c>
      <c r="F158" s="166"/>
      <c r="G158" s="167" t="str">
        <v>kg CO2e/kg</v>
      </c>
      <c r="H158" s="168" t="str">
        <v>Constant</v>
      </c>
    </row>
    <row r="159" spans="3:41" ht="20.100000000000001" customHeight="1" x14ac:dyDescent="0.25">
      <c r="D159" s="167" t="str">
        <v>m</v>
      </c>
      <c r="E159" s="171" t="str">
        <v>mineral supplement type</v>
      </c>
      <c r="F159" s="166"/>
      <c r="G159" s="167" t="str">
        <v/>
      </c>
      <c r="H159" s="169" t="str">
        <v>Input</v>
      </c>
    </row>
    <row r="160" spans="3:41" ht="20.100000000000001" customHeight="1" x14ac:dyDescent="0.25"/>
    <row r="161" spans="3:41" ht="20.100000000000001" customHeight="1" x14ac:dyDescent="0.25">
      <c r="D161" s="46" t="s">
        <v>216</v>
      </c>
      <c r="E161" s="46" t="s">
        <v>643</v>
      </c>
      <c r="F161" s="57" t="s">
        <v>644</v>
      </c>
      <c r="G161" s="57" t="s">
        <v>636</v>
      </c>
      <c r="H161" s="46" t="s">
        <v>645</v>
      </c>
      <c r="I161" s="57" t="s">
        <v>638</v>
      </c>
      <c r="J161" s="46" t="s">
        <v>632</v>
      </c>
      <c r="K161" s="46" t="s">
        <v>633</v>
      </c>
      <c r="L161" s="46" t="s">
        <v>634</v>
      </c>
    </row>
    <row r="162" spans="3:41" ht="20.100000000000001" customHeight="1" x14ac:dyDescent="0.25">
      <c r="D162" s="49" t="str">
        <f>'Input - Livestock farm Inputs'!D7</f>
        <v>Lick block, dry season mix</v>
      </c>
      <c r="E162" s="49">
        <f>X_Cell_FarmInputs_LickBlocks_DrySeasonMix</f>
        <v>100</v>
      </c>
      <c r="F162" s="49" cm="1">
        <f t="array" ref="F162">Common_InputFunctions.Utility_LookupValueInTableNumber(D162,Table_SourceData_Scope3_LickBlocks[Product],Table_SourceData_Scope3_LickBlocks[AusLCI Emissions intensity])</f>
        <v>0.88100000000000001</v>
      </c>
      <c r="G162" s="151" cm="1">
        <f t="array" ref="G162">Scope3_Equations.VEERG_15_3_1_1__1_EmissionsFromPurchasedMineralSupplements(E162,F162)</f>
        <v>88.1</v>
      </c>
      <c r="H162" s="66">
        <v>0.8</v>
      </c>
      <c r="I162" s="151" cm="1">
        <f t="array" ref="I162">Scope3_Equations.VEERG_15_3_1_1__1_EmissionsFromPurchasedMineralSupplements(E162,IF(H162, H162, F162))</f>
        <v>80</v>
      </c>
      <c r="J162" s="82"/>
      <c r="K162" s="47"/>
      <c r="L162"/>
    </row>
    <row r="163" spans="3:41" ht="20.100000000000001" customHeight="1" x14ac:dyDescent="0.25">
      <c r="D163" s="49" t="str">
        <f>'Input - Livestock farm Inputs'!D8</f>
        <v>Lick block, mineral</v>
      </c>
      <c r="E163" s="49">
        <f>X_Cell_FarmInputs_LickBlocks_Mineral</f>
        <v>100</v>
      </c>
      <c r="F163" s="49" cm="1">
        <f t="array" ref="F163">Common_InputFunctions.Utility_LookupValueInTableNumber(D163,Table_SourceData_Scope3_LickBlocks[Product],Table_SourceData_Scope3_LickBlocks[AusLCI Emissions intensity])</f>
        <v>0.67700000000000005</v>
      </c>
      <c r="G163" s="151" cm="1">
        <f t="array" ref="G163">Scope3_Equations.VEERG_15_3_1_1__1_EmissionsFromPurchasedMineralSupplements(E163,F163)</f>
        <v>67.7</v>
      </c>
      <c r="H163" s="66">
        <v>0.6</v>
      </c>
      <c r="I163" s="151" cm="1">
        <f t="array" ref="I163">Scope3_Equations.VEERG_15_3_1_1__1_EmissionsFromPurchasedMineralSupplements(E163,IF(H163, H163, F163))</f>
        <v>60</v>
      </c>
      <c r="J163" s="82"/>
      <c r="K163" s="47"/>
      <c r="L163" s="82"/>
    </row>
    <row r="164" spans="3:41" ht="20.100000000000001" customHeight="1" x14ac:dyDescent="0.25">
      <c r="D164" s="49" t="str">
        <f>'Input - Livestock farm Inputs'!D9</f>
        <v>Lick block, weaner</v>
      </c>
      <c r="E164" s="49">
        <f>X_Cell_FarmInputs_LickBlocks_Weaner</f>
        <v>100</v>
      </c>
      <c r="F164" s="49" cm="1">
        <f t="array" ref="F164">Common_InputFunctions.Utility_LookupValueInTableNumber(D164,Table_SourceData_Scope3_LickBlocks[Product],Table_SourceData_Scope3_LickBlocks[AusLCI Emissions intensity])</f>
        <v>0.23100000000000001</v>
      </c>
      <c r="G164" s="151" cm="1">
        <f t="array" ref="G164">Scope3_Equations.VEERG_15_3_1_1__1_EmissionsFromPurchasedMineralSupplements(E164,F164)</f>
        <v>23.1</v>
      </c>
      <c r="H164" s="66">
        <v>0.2</v>
      </c>
      <c r="I164" s="151" cm="1">
        <f t="array" ref="I164">Scope3_Equations.VEERG_15_3_1_1__1_EmissionsFromPurchasedMineralSupplements(E164,IF(H164, H164, F164))</f>
        <v>20</v>
      </c>
      <c r="J164" s="82"/>
      <c r="K164" s="47"/>
      <c r="L164" s="82"/>
    </row>
    <row r="165" spans="3:41" ht="20.100000000000001" customHeight="1" x14ac:dyDescent="0.25"/>
    <row r="166" spans="3:41" ht="20.100000000000001" customHeight="1" x14ac:dyDescent="0.25">
      <c r="D166" s="176" t="s">
        <v>636</v>
      </c>
      <c r="E166" s="177">
        <f>SUM(G162:G164)</f>
        <v>178.9</v>
      </c>
      <c r="F166" s="178" t="str">
        <f>$E$155</f>
        <v>t CO2e</v>
      </c>
    </row>
    <row r="167" spans="3:41" ht="20.100000000000001" customHeight="1" x14ac:dyDescent="0.25">
      <c r="D167" s="176" t="s">
        <v>638</v>
      </c>
      <c r="E167" s="177">
        <f>SUM(I162:I164)</f>
        <v>160</v>
      </c>
      <c r="F167" s="178" t="str">
        <f>$E$155</f>
        <v>t CO2e</v>
      </c>
    </row>
    <row r="168" spans="3:41" ht="20.100000000000001" customHeight="1" x14ac:dyDescent="0.25"/>
    <row r="169" spans="3:41" ht="20.100000000000001" customHeight="1" x14ac:dyDescent="0.25"/>
    <row r="170" spans="3:41" ht="20.100000000000001" customHeight="1" x14ac:dyDescent="0.25">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c r="AG170" s="98"/>
      <c r="AH170" s="98"/>
      <c r="AI170" s="98"/>
      <c r="AJ170" s="98"/>
      <c r="AK170" s="98"/>
      <c r="AL170" s="98"/>
      <c r="AM170" s="98"/>
      <c r="AN170" s="98"/>
      <c r="AO170" s="98"/>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2" t="s">
        <v>629</v>
      </c>
      <c r="E174" s="172"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7" t="s">
        <v>630</v>
      </c>
      <c r="E177" s="8" t="str" cm="1">
        <f t="array" ref="E177">Scope3_Equations.VEERG_15_4_1_1__X_EmissionFactorFromPurchasedFertiliserComponents_Variable()</f>
        <v>EF_f</v>
      </c>
    </row>
    <row r="178" spans="4:8" ht="20.100000000000001" customHeight="1" x14ac:dyDescent="0.25">
      <c r="D178" s="27" t="s">
        <v>97</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67" t="str" cm="1">
        <f t="array" ref="D180:E183">_xlfn.CHOOSECOLS(Scope3_Equations.VEERG_15_4_1_1__X_EmissionFactorFromPurchasedFertiliserComponents_Arguments(),1,2)</f>
        <v>F_cf</v>
      </c>
      <c r="E180" s="171" t="str">
        <v>fraction of component c contained within the inorganic fertiliser f</v>
      </c>
      <c r="F180" s="166"/>
      <c r="G180" s="167" t="str" cm="1">
        <f t="array" ref="G180:H183">_xlfn.CHOOSECOLS(Scope3_Equations.VEERG_15_4_1_1__X_EmissionFactorFromPurchasedFertiliserComponents_Arguments(),3,4)</f>
        <v>wt%</v>
      </c>
      <c r="H180" s="168" t="str">
        <v>Input</v>
      </c>
    </row>
    <row r="181" spans="4:8" ht="20.100000000000001" customHeight="1" x14ac:dyDescent="0.25">
      <c r="D181" s="167" t="str">
        <v>EF_c</v>
      </c>
      <c r="E181" s="171" t="str">
        <v>emission factor for the production of component c</v>
      </c>
      <c r="F181" s="166"/>
      <c r="G181" s="167" t="str">
        <v>kg CO2e/kg component</v>
      </c>
      <c r="H181" s="169" t="str">
        <v>Constant</v>
      </c>
    </row>
    <row r="182" spans="4:8" ht="20.100000000000001" customHeight="1" x14ac:dyDescent="0.25">
      <c r="D182" s="167" t="str">
        <v>c</v>
      </c>
      <c r="E182" s="171" t="str">
        <v>fertiliser component</v>
      </c>
      <c r="F182" s="166"/>
      <c r="G182" s="167" t="str">
        <v/>
      </c>
      <c r="H182" s="168" t="str">
        <v>Input</v>
      </c>
    </row>
    <row r="183" spans="4:8" ht="20.100000000000001" customHeight="1" x14ac:dyDescent="0.25">
      <c r="D183" s="167" t="str">
        <v>f</v>
      </c>
      <c r="E183" s="171" t="str">
        <v>inorganic fertiliser type</v>
      </c>
      <c r="F183" s="166"/>
      <c r="G183" s="167" t="str">
        <v/>
      </c>
      <c r="H183" s="168"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2" t="s">
        <v>629</v>
      </c>
      <c r="E188" s="172"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7" t="s">
        <v>630</v>
      </c>
      <c r="E191" s="8" t="str" cm="1">
        <f t="array" ref="E191">Scope3_Equations.VEERG_15_4_1_1__1_EmissionsFromPurchasedFertiliser_Variable()</f>
        <v>E</v>
      </c>
    </row>
    <row r="192" spans="4:8" ht="20.100000000000001" customHeight="1" x14ac:dyDescent="0.25">
      <c r="D192" s="27" t="s">
        <v>97</v>
      </c>
      <c r="E192" s="13" t="str" cm="1">
        <f t="array" ref="E192">Scope3_Equations.VEERG_15_4_1_1__1_EmissionsFromPurchasedFertiliser_Unit()</f>
        <v>t CO2e</v>
      </c>
    </row>
    <row r="193" spans="4:8" ht="20.100000000000001" customHeight="1" x14ac:dyDescent="0.25"/>
    <row r="194" spans="4:8" ht="20.100000000000001" customHeight="1" x14ac:dyDescent="0.25">
      <c r="D194" s="167" t="str" cm="1">
        <f t="array" ref="D194:E197">_xlfn.CHOOSECOLS(Scope3_Equations.VEERG_15_4_1_1__1_EmissionsFromPurchasedFertiliser_Arguments(),1,2)</f>
        <v>TM_jf</v>
      </c>
      <c r="E194" s="167" t="str">
        <v>quantity of inorganic fertiliser type f purchased and applied to production system j</v>
      </c>
      <c r="F194" s="167"/>
      <c r="G194" s="167" t="str" cm="1">
        <f t="array" ref="G194:H197">_xlfn.CHOOSECOLS(Scope3_Equations.VEERG_15_4_1_1__1_EmissionsFromPurchasedFertiliser_Arguments(),3,4)</f>
        <v>kg</v>
      </c>
      <c r="H194" s="168" t="str">
        <v>Input</v>
      </c>
    </row>
    <row r="195" spans="4:8" ht="20.100000000000001" customHeight="1" x14ac:dyDescent="0.25">
      <c r="D195" s="167" t="str">
        <v>EF_f</v>
      </c>
      <c r="E195" s="167" t="str">
        <v>emission factor of purchased inorganic fertiliser</v>
      </c>
      <c r="F195" s="167"/>
      <c r="G195" s="167" t="str">
        <v>kg CO2e/kg</v>
      </c>
      <c r="H195" s="169" t="str">
        <v>Constant</v>
      </c>
    </row>
    <row r="196" spans="4:8" ht="20.100000000000001" customHeight="1" x14ac:dyDescent="0.25">
      <c r="D196" s="167" t="str">
        <v>j</v>
      </c>
      <c r="E196" s="167" t="str">
        <v>production system</v>
      </c>
      <c r="F196" s="167"/>
      <c r="G196" s="167" t="str">
        <v/>
      </c>
      <c r="H196" s="168" t="str">
        <v>Input</v>
      </c>
    </row>
    <row r="197" spans="4:8" ht="20.100000000000001" customHeight="1" x14ac:dyDescent="0.25">
      <c r="D197" s="167" t="str">
        <v>f</v>
      </c>
      <c r="E197" s="167" t="str">
        <v>inorganic fertiliser type</v>
      </c>
      <c r="F197" s="167"/>
      <c r="G197" s="167" t="str">
        <v/>
      </c>
      <c r="H197" s="168"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2" t="s">
        <v>629</v>
      </c>
      <c r="E203" s="172"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7" t="s">
        <v>630</v>
      </c>
      <c r="E206" s="8" t="str" cm="1">
        <f t="array" ref="E206">Scope3_Equations.VEERG_15_4_1_1__2_EmissionsFromPurchasedFertiliserComponents_Variable()</f>
        <v>E</v>
      </c>
    </row>
    <row r="207" spans="4:8" ht="20.100000000000001" customHeight="1" x14ac:dyDescent="0.25">
      <c r="D207" s="27" t="s">
        <v>97</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67" t="str" cm="1">
        <f t="array" ref="D209:E214">_xlfn.CHOOSECOLS(Scope3_Equations.VEERG_15_4_1_1__2_EmissionsFromPurchasedFertiliserComponents_Arguments(),1,2)</f>
        <v>F_cf</v>
      </c>
      <c r="E209" s="171" t="str">
        <v>fraction of component c contained within the inorganic fertiliser f</v>
      </c>
      <c r="F209" s="166"/>
      <c r="G209" s="167" t="str" cm="1">
        <f t="array" ref="G209:H214">_xlfn.CHOOSECOLS(Scope3_Equations.VEERG_15_4_1_1__2_EmissionsFromPurchasedFertiliserComponents_Arguments(),3,4)</f>
        <v>wt%</v>
      </c>
      <c r="H209" s="168" t="str">
        <v>Input</v>
      </c>
    </row>
    <row r="210" spans="4:40" ht="20.100000000000001" customHeight="1" x14ac:dyDescent="0.25">
      <c r="D210" s="167" t="str">
        <v>TM_jf</v>
      </c>
      <c r="E210" s="171" t="str">
        <v>quantity of inorganic fertiliser type f purchased and applied to production system j</v>
      </c>
      <c r="F210" s="166"/>
      <c r="G210" s="167" t="str">
        <v>kg</v>
      </c>
      <c r="H210" s="169" t="str">
        <v>Input</v>
      </c>
    </row>
    <row r="211" spans="4:40" ht="20.100000000000001" customHeight="1" x14ac:dyDescent="0.25">
      <c r="D211" s="167" t="str">
        <v>EF_c</v>
      </c>
      <c r="E211" s="171" t="str">
        <v>emission factor for the production of component c</v>
      </c>
      <c r="F211" s="166"/>
      <c r="G211" s="167" t="str">
        <v>kg CO2e/kg component</v>
      </c>
      <c r="H211" s="169" t="str">
        <v>Constant</v>
      </c>
    </row>
    <row r="212" spans="4:40" ht="20.100000000000001" customHeight="1" x14ac:dyDescent="0.25">
      <c r="D212" s="167" t="str">
        <v>c</v>
      </c>
      <c r="E212" s="171" t="str">
        <v>fertiliser component</v>
      </c>
      <c r="F212" s="166"/>
      <c r="G212" s="167" t="str">
        <v/>
      </c>
      <c r="H212" s="168" t="str">
        <v>Input</v>
      </c>
    </row>
    <row r="213" spans="4:40" ht="20.100000000000001" customHeight="1" x14ac:dyDescent="0.25">
      <c r="D213" s="167" t="str">
        <v>f</v>
      </c>
      <c r="E213" s="171" t="str">
        <v>inorganic fertiliser type</v>
      </c>
      <c r="F213" s="166"/>
      <c r="G213" s="167" t="str">
        <v/>
      </c>
      <c r="H213" s="168" t="str">
        <v>Input</v>
      </c>
    </row>
    <row r="214" spans="4:40" ht="20.100000000000001" customHeight="1" x14ac:dyDescent="0.25">
      <c r="D214" s="167" t="str">
        <v>j</v>
      </c>
      <c r="E214" s="171" t="str">
        <v>production system</v>
      </c>
      <c r="F214" s="166"/>
      <c r="G214" s="167" t="str">
        <v/>
      </c>
      <c r="H214" s="168" t="str">
        <v>Input</v>
      </c>
    </row>
    <row r="215" spans="4:40" ht="20.100000000000001" customHeight="1" x14ac:dyDescent="0.25"/>
    <row r="216" spans="4:40" ht="20.100000000000001" customHeight="1" x14ac:dyDescent="0.25">
      <c r="D216" s="144" t="s">
        <v>372</v>
      </c>
    </row>
    <row r="217" spans="4:40" ht="20.100000000000001" customHeight="1" x14ac:dyDescent="0.25"/>
    <row r="218" spans="4:40" ht="20.100000000000001" customHeight="1" x14ac:dyDescent="0.25">
      <c r="D218" s="95" t="s">
        <v>371</v>
      </c>
      <c r="E218" s="110"/>
      <c r="F218" s="96"/>
    </row>
    <row r="219" spans="4:40" ht="20.100000000000001" customHeight="1" x14ac:dyDescent="0.25"/>
    <row r="220" spans="4:40" ht="20.100000000000001" customHeight="1" x14ac:dyDescent="0.25">
      <c r="D220" s="46" t="s">
        <v>216</v>
      </c>
      <c r="E220" s="46" t="s">
        <v>359</v>
      </c>
      <c r="F220" s="57" t="s">
        <v>671</v>
      </c>
      <c r="G220" s="57" t="s">
        <v>655</v>
      </c>
      <c r="H220" s="57" t="s">
        <v>654</v>
      </c>
      <c r="I220" s="46" t="s">
        <v>672</v>
      </c>
      <c r="J220" s="57" t="s">
        <v>656</v>
      </c>
      <c r="K220" s="57" t="s">
        <v>657</v>
      </c>
      <c r="L220" s="46" t="s">
        <v>632</v>
      </c>
      <c r="M220" s="46" t="s">
        <v>633</v>
      </c>
      <c r="N220" s="46" t="s">
        <v>634</v>
      </c>
      <c r="O220" s="57" t="s">
        <v>172</v>
      </c>
      <c r="P220" s="57" t="s">
        <v>173</v>
      </c>
      <c r="Q220" s="57" t="s">
        <v>174</v>
      </c>
      <c r="R220" s="57" t="s">
        <v>175</v>
      </c>
      <c r="S220" s="57" t="s">
        <v>659</v>
      </c>
      <c r="T220" s="46" t="s">
        <v>660</v>
      </c>
      <c r="U220" s="57" t="s">
        <v>176</v>
      </c>
      <c r="V220" s="57" t="s">
        <v>177</v>
      </c>
      <c r="W220" s="57" t="s">
        <v>661</v>
      </c>
      <c r="X220" s="46" t="s">
        <v>662</v>
      </c>
      <c r="Y220" s="57" t="s">
        <v>178</v>
      </c>
      <c r="Z220" s="57" t="s">
        <v>179</v>
      </c>
      <c r="AA220" s="57" t="s">
        <v>663</v>
      </c>
      <c r="AB220" s="46" t="s">
        <v>664</v>
      </c>
      <c r="AC220" s="57" t="s">
        <v>180</v>
      </c>
      <c r="AD220" s="57" t="s">
        <v>181</v>
      </c>
      <c r="AE220" s="57" t="s">
        <v>665</v>
      </c>
      <c r="AF220" s="46" t="s">
        <v>666</v>
      </c>
      <c r="AG220" s="57" t="s">
        <v>182</v>
      </c>
      <c r="AH220" s="57" t="s">
        <v>183</v>
      </c>
      <c r="AI220" s="57" t="s">
        <v>667</v>
      </c>
      <c r="AJ220" s="46" t="s">
        <v>668</v>
      </c>
      <c r="AK220" s="57" t="s">
        <v>184</v>
      </c>
      <c r="AL220" s="57" t="s">
        <v>185</v>
      </c>
      <c r="AM220" s="57" t="s">
        <v>669</v>
      </c>
      <c r="AN220" s="46" t="s">
        <v>670</v>
      </c>
    </row>
    <row r="221" spans="4:40" ht="20.100000000000001" customHeight="1" x14ac:dyDescent="0.25">
      <c r="D221" s="49" t="str" cm="1">
        <f t="array" ref="D221:D230">IFERROR(INDEX(Table_Input_InorganicFertiliser_Brands[Product (select)], _xlfn.SEQUENCE(10)), "")</f>
        <v>Aqua Grow</v>
      </c>
      <c r="E221" s="49" cm="1">
        <f t="array" ref="E221:E230">IFERROR(INDEX(Table_Input_InorganicFertiliser_Brands[Total applied (kg)], _xlfn.SEQUENCE(10)), 0)</f>
        <v>0</v>
      </c>
      <c r="F221" s="49" t="e"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#VALUE!</v>
      </c>
      <c r="G221" s="151" t="e" cm="1">
        <f t="array" ref="G221">Scope3_Equations.VEERG_15_4_1_1__1_EmissionsFromPurchasedFertiliser(E221,F221)</f>
        <v>#VALUE!</v>
      </c>
      <c r="H221" s="49" t="e"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#VALUE!</v>
      </c>
      <c r="I221" s="66">
        <v>0.4</v>
      </c>
      <c r="J221" s="151" cm="1">
        <f t="array" ref="J221">Scope3_Equations.VEERG_15_4_1_1__1_EmissionsFromPurchasedFertiliser(E221,I221)</f>
        <v>0</v>
      </c>
      <c r="K221" s="151" t="e"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#VALUE!</v>
      </c>
      <c r="L221" s="82"/>
      <c r="M221" s="47"/>
      <c r="N221"/>
      <c r="O221" s="49" t="str" cm="1">
        <f t="array" ref="O221:O230">IFERROR(INDEX(Table_Input_InorganicFertiliser_Brands[Urea source], _xlfn.SEQUENCE(10)), "")</f>
        <v/>
      </c>
      <c r="P221" s="49" t="str" cm="1">
        <f t="array" ref="P221:P230">IFERROR(INDEX(Table_Input_InorganicFertiliser_Brands[Ammonia source], _xlfn.SEQUENCE(10)), "")</f>
        <v>L</v>
      </c>
      <c r="Q221" s="49" cm="1">
        <f t="array" ref="Q221:Q230">IFERROR(INDEX(Table_Input_InorganicFertiliser_Brands[Ingredient 1], _xlfn.SEQUENCE(10)), "")</f>
        <v>1.26</v>
      </c>
      <c r="R221" s="49" cm="1">
        <f t="array" ref="R221:R230">IFERROR(INDEX(_xlfn.LET(_xlpm.result, Table_Input_InorganicFertiliser_Brands[Ingredient 1 percent], IF(_xlpm.result="", 0, _xlpm.result)), _xlfn.SEQUENCE(10)), 0)</f>
        <v>0</v>
      </c>
      <c r="S221" s="49"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v>
      </c>
      <c r="T221" s="66">
        <v>0.9</v>
      </c>
      <c r="U221" s="49" t="str" cm="1">
        <f t="array" ref="U221:U230">IFERROR(INDEX(Table_Input_InorganicFertiliser_Brands[Ingredient 2], _xlfn.SEQUENCE(10)), "")</f>
        <v/>
      </c>
      <c r="V221" s="49" t="str" cm="1">
        <f t="array" ref="V221:V230">IFERROR(INDEX(_xlfn.LET(_xlpm.result, Table_Input_InorganicFertiliser_Brands[Ingredient 2 percent], IF(_xlpm.result="", 0, _xlpm.result)), _xlfn.SEQUENCE(10)), 0)</f>
        <v>Potassium - Generic</v>
      </c>
      <c r="W221" s="49"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0</v>
      </c>
      <c r="X221" s="66">
        <v>0.9</v>
      </c>
      <c r="Y221" s="49" cm="1">
        <f t="array" ref="Y221:Y230">IFERROR(INDEX(Table_Input_InorganicFertiliser_Brands[Ingredient 3], _xlfn.SEQUENCE(10)), "")</f>
        <v>0.105</v>
      </c>
      <c r="Z221" s="49" t="str" cm="1">
        <f t="array" ref="Z221:Z230">IFERROR(INDEX(_xlfn.LET(_xlpm.result, Table_Input_InorganicFertiliser_Brands[Ingredient 3 percent], IF(_xlpm.result="", 0, _xlpm.result)), _xlfn.SEQUENCE(10)), 0)</f>
        <v>Nitrogen - Generic</v>
      </c>
      <c r="AA221" s="49"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0</v>
      </c>
      <c r="AB221" s="66">
        <v>4</v>
      </c>
      <c r="AC221" s="49" cm="1">
        <f t="array" ref="AC221:AC230">IFERROR(INDEX(Table_Input_InorganicFertiliser_Brands[Ingredient 4], _xlfn.SEQUENCE(10)), "")</f>
        <v>9.6000000000000002E-2</v>
      </c>
      <c r="AD221" s="49" t="str" cm="1">
        <f t="array" ref="AD221:AD230">IFERROR(INDEX(_xlfn.LET(_xlpm.result, Table_Input_InorganicFertiliser_Brands[Ingredient 4 percent], IF(_xlpm.result="", 0, _xlpm.result)), _xlfn.SEQUENCE(10)), 0)</f>
        <v>Phosphorus - Generic</v>
      </c>
      <c r="AE221" s="49"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6">
        <v>0</v>
      </c>
      <c r="AG221" s="49" cm="1">
        <f t="array" ref="AG221:AG230">IFERROR(INDEX(Table_Input_InorganicFertiliser_Brands[Ingredient 5], _xlfn.SEQUENCE(10)), "")</f>
        <v>0.05</v>
      </c>
      <c r="AH221" s="49" cm="1">
        <f t="array" ref="AH221:AH230">IFERROR(INDEX(_xlfn.LET(_xlpm.result, Table_Input_InorganicFertiliser_Brands[Ingredient 5 percent], IF(_xlpm.result="", 0, _xlpm.result)), _xlfn.SEQUENCE(10)), 0)</f>
        <v>0</v>
      </c>
      <c r="AI221" s="49"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6">
        <v>0</v>
      </c>
      <c r="AK221" s="49" t="str" cm="1">
        <f t="array" ref="AK221:AK230">IFERROR(INDEX(Table_Input_InorganicFertiliser_Brands[Ingredient 6], _xlfn.SEQUENCE(10)), "")</f>
        <v/>
      </c>
      <c r="AL221" s="49" cm="1">
        <f t="array" ref="AL221:AL230">IFERROR(INDEX(_xlfn.LET(_xlpm.result, Table_Input_InorganicFertiliser_Brands[Ingredient 6 percent], IF(_xlpm.result="", 0, _xlpm.result)), _xlfn.SEQUENCE(10)), 0)</f>
        <v>0</v>
      </c>
      <c r="AM221" s="49"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6"/>
    </row>
    <row r="222" spans="4:40" ht="20.100000000000001" customHeight="1" x14ac:dyDescent="0.25">
      <c r="D222" s="49" t="str">
        <v>Aqua Finish</v>
      </c>
      <c r="E222" s="49">
        <v>0</v>
      </c>
      <c r="F222" s="49" t="e"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#VALUE!</v>
      </c>
      <c r="G222" s="151" t="e" cm="1">
        <f t="array" ref="G222">Scope3_Equations.VEERG_15_4_1_1__1_EmissionsFromPurchasedFertiliser(E222,F222)</f>
        <v>#VALUE!</v>
      </c>
      <c r="H222" s="49" t="e"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#VALUE!</v>
      </c>
      <c r="I222" s="66">
        <v>0.9</v>
      </c>
      <c r="J222" s="151" cm="1">
        <f t="array" ref="J222">Scope3_Equations.VEERG_15_4_1_1__1_EmissionsFromPurchasedFertiliser(E222,I222)</f>
        <v>0</v>
      </c>
      <c r="K222" s="151" t="e"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#VALUE!</v>
      </c>
      <c r="L222" s="82"/>
      <c r="M222" s="47"/>
      <c r="N222" s="82"/>
      <c r="O222" s="49" t="str">
        <v/>
      </c>
      <c r="P222" s="49" t="str">
        <v>L</v>
      </c>
      <c r="Q222" s="49">
        <v>1.26</v>
      </c>
      <c r="R222" s="49">
        <v>0</v>
      </c>
      <c r="S222" s="49"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0</v>
      </c>
      <c r="T222" s="66"/>
      <c r="U222" s="49" t="str">
        <v/>
      </c>
      <c r="V222" s="49" t="str">
        <v>Potassium - Generic</v>
      </c>
      <c r="W222" s="49"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v>
      </c>
      <c r="X222" s="66"/>
      <c r="Y222" s="49">
        <v>0.22500000000000001</v>
      </c>
      <c r="Z222" s="49" t="str">
        <v>Phosphorus - Generic</v>
      </c>
      <c r="AA222" s="49"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0</v>
      </c>
      <c r="AB222" s="66"/>
      <c r="AC222" s="49">
        <v>0.04</v>
      </c>
      <c r="AD222" s="49" t="str">
        <v>Nitrogen - Generic</v>
      </c>
      <c r="AE222" s="49"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0</v>
      </c>
      <c r="AF222" s="66"/>
      <c r="AG222" s="49">
        <v>2.5999999999999999E-2</v>
      </c>
      <c r="AH222" s="49">
        <v>0</v>
      </c>
      <c r="AI222" s="49"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6"/>
      <c r="AK222" s="49" t="str">
        <v/>
      </c>
      <c r="AL222" s="49">
        <v>0</v>
      </c>
      <c r="AM222" s="49"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6"/>
    </row>
    <row r="223" spans="4:40" ht="20.100000000000001" customHeight="1" x14ac:dyDescent="0.25">
      <c r="D223" s="49" t="str">
        <v>Aqua NitroCal</v>
      </c>
      <c r="E223" s="49">
        <v>0</v>
      </c>
      <c r="F223" s="49" t="e"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#VALUE!</v>
      </c>
      <c r="G223" s="151" t="e" cm="1">
        <f t="array" ref="G223">Scope3_Equations.VEERG_15_4_1_1__1_EmissionsFromPurchasedFertiliser(E223,F223)</f>
        <v>#VALUE!</v>
      </c>
      <c r="H223" s="49" t="e"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#VALUE!</v>
      </c>
      <c r="I223" s="66">
        <v>0.4</v>
      </c>
      <c r="J223" s="151" cm="1">
        <f t="array" ref="J223">Scope3_Equations.VEERG_15_4_1_1__1_EmissionsFromPurchasedFertiliser(E223,I223)</f>
        <v>0</v>
      </c>
      <c r="K223" s="151" t="e"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#VALUE!</v>
      </c>
      <c r="L223" s="82"/>
      <c r="M223" s="47"/>
      <c r="N223" s="82"/>
      <c r="O223" s="49" t="str">
        <v/>
      </c>
      <c r="P223" s="49" t="str">
        <v>L</v>
      </c>
      <c r="Q223" s="49">
        <v>1.5</v>
      </c>
      <c r="R223" s="49">
        <v>0</v>
      </c>
      <c r="S223" s="49"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0</v>
      </c>
      <c r="T223" s="66"/>
      <c r="U223" s="49" t="str">
        <v/>
      </c>
      <c r="V223" s="49" t="str">
        <v>Calcium - Generic</v>
      </c>
      <c r="W223" s="49"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v>
      </c>
      <c r="X223" s="66"/>
      <c r="Y223" s="49">
        <v>0.16200000000000001</v>
      </c>
      <c r="Z223" s="49" t="str">
        <v>Nitrogen - Nitrate</v>
      </c>
      <c r="AA223" s="49"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0</v>
      </c>
      <c r="AB223" s="66"/>
      <c r="AC223" s="49">
        <v>0.13200000000000001</v>
      </c>
      <c r="AD223" s="49">
        <v>0</v>
      </c>
      <c r="AE223" s="49"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6"/>
      <c r="AG223" s="49" t="str">
        <v/>
      </c>
      <c r="AH223" s="49">
        <v>0</v>
      </c>
      <c r="AI223" s="49"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6"/>
      <c r="AK223" s="49" t="str">
        <v/>
      </c>
      <c r="AL223" s="49">
        <v>0</v>
      </c>
      <c r="AM223" s="49"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6"/>
    </row>
    <row r="224" spans="4:40" ht="20.100000000000001" customHeight="1" x14ac:dyDescent="0.25">
      <c r="D224" s="49" t="str">
        <v/>
      </c>
      <c r="E224" s="49">
        <v>0</v>
      </c>
      <c r="F224" s="49"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v>
      </c>
      <c r="G224" s="151" cm="1">
        <f t="array" ref="G224">Scope3_Equations.VEERG_15_4_1_1__1_EmissionsFromPurchasedFertiliser(E224,F224)</f>
        <v>0</v>
      </c>
      <c r="H224" s="49"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0</v>
      </c>
      <c r="I224" s="66"/>
      <c r="J224" s="151" cm="1">
        <f t="array" ref="J224">Scope3_Equations.VEERG_15_4_1_1__1_EmissionsFromPurchasedFertiliser(E224,I224)</f>
        <v>0</v>
      </c>
      <c r="K224" s="151"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0</v>
      </c>
      <c r="L224" s="82"/>
      <c r="M224" s="47"/>
      <c r="N224" s="82"/>
      <c r="O224" s="49" t="str">
        <v/>
      </c>
      <c r="P224" s="49" t="str">
        <v/>
      </c>
      <c r="Q224" s="49" t="str">
        <v/>
      </c>
      <c r="R224" s="49">
        <v>0</v>
      </c>
      <c r="S224" s="49"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v>
      </c>
      <c r="T224" s="66"/>
      <c r="U224" s="49" t="str">
        <v/>
      </c>
      <c r="V224" s="49">
        <v>0</v>
      </c>
      <c r="W224" s="49"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0</v>
      </c>
      <c r="X224" s="66"/>
      <c r="Y224" s="49" t="str">
        <v/>
      </c>
      <c r="Z224" s="49">
        <v>0</v>
      </c>
      <c r="AA224" s="49"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0</v>
      </c>
      <c r="AB224" s="66"/>
      <c r="AC224" s="49" t="str">
        <v/>
      </c>
      <c r="AD224" s="49">
        <v>0</v>
      </c>
      <c r="AE224" s="49"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6"/>
      <c r="AG224" s="49" t="str">
        <v/>
      </c>
      <c r="AH224" s="49">
        <v>0</v>
      </c>
      <c r="AI224" s="49"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6"/>
      <c r="AK224" s="49" t="str">
        <v/>
      </c>
      <c r="AL224" s="49">
        <v>0</v>
      </c>
      <c r="AM224" s="49"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6"/>
    </row>
    <row r="225" spans="4:40" ht="20.100000000000001" customHeight="1" x14ac:dyDescent="0.25">
      <c r="D225" s="49" t="str">
        <v/>
      </c>
      <c r="E225" s="49">
        <v>0</v>
      </c>
      <c r="F225" s="49"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v>
      </c>
      <c r="G225" s="151" cm="1">
        <f t="array" ref="G225">Scope3_Equations.VEERG_15_4_1_1__1_EmissionsFromPurchasedFertiliser(E225,F225)</f>
        <v>0</v>
      </c>
      <c r="H225" s="49"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0</v>
      </c>
      <c r="I225" s="66"/>
      <c r="J225" s="151" cm="1">
        <f t="array" ref="J225">Scope3_Equations.VEERG_15_4_1_1__1_EmissionsFromPurchasedFertiliser(E225,I225)</f>
        <v>0</v>
      </c>
      <c r="K225" s="151"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0</v>
      </c>
      <c r="L225" s="82"/>
      <c r="M225" s="47"/>
      <c r="N225" s="82"/>
      <c r="O225" s="49" t="str">
        <v/>
      </c>
      <c r="P225" s="49" t="str">
        <v/>
      </c>
      <c r="Q225" s="49" t="str">
        <v/>
      </c>
      <c r="R225" s="49">
        <v>0</v>
      </c>
      <c r="S225" s="49"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6"/>
      <c r="U225" s="49" t="str">
        <v/>
      </c>
      <c r="V225" s="49">
        <v>0</v>
      </c>
      <c r="W225" s="49"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0</v>
      </c>
      <c r="X225" s="66"/>
      <c r="Y225" s="49" t="str">
        <v/>
      </c>
      <c r="Z225" s="49">
        <v>0</v>
      </c>
      <c r="AA225" s="49"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6"/>
      <c r="AC225" s="49" t="str">
        <v/>
      </c>
      <c r="AD225" s="49">
        <v>0</v>
      </c>
      <c r="AE225" s="49"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6"/>
      <c r="AG225" s="49" t="str">
        <v/>
      </c>
      <c r="AH225" s="49">
        <v>0</v>
      </c>
      <c r="AI225" s="49"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6"/>
      <c r="AK225" s="49" t="str">
        <v/>
      </c>
      <c r="AL225" s="49">
        <v>0</v>
      </c>
      <c r="AM225" s="49"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6"/>
    </row>
    <row r="226" spans="4:40" ht="20.100000000000001" customHeight="1" x14ac:dyDescent="0.25">
      <c r="D226" s="49" t="str">
        <v/>
      </c>
      <c r="E226" s="49">
        <v>0</v>
      </c>
      <c r="F226" s="49"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1" cm="1">
        <f t="array" ref="G226">Scope3_Equations.VEERG_15_4_1_1__1_EmissionsFromPurchasedFertiliser(E226,F226)</f>
        <v>0</v>
      </c>
      <c r="H226" s="49"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6"/>
      <c r="J226" s="151" cm="1">
        <f t="array" ref="J226">Scope3_Equations.VEERG_15_4_1_1__1_EmissionsFromPurchasedFertiliser(E226,I226)</f>
        <v>0</v>
      </c>
      <c r="K226" s="151"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2"/>
      <c r="M226" s="47"/>
      <c r="N226" s="82"/>
      <c r="O226" s="49" t="str">
        <v/>
      </c>
      <c r="P226" s="49" t="str">
        <v/>
      </c>
      <c r="Q226" s="49" t="str">
        <v/>
      </c>
      <c r="R226" s="49">
        <v>0</v>
      </c>
      <c r="S226" s="49"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6"/>
      <c r="U226" s="49" t="str">
        <v/>
      </c>
      <c r="V226" s="49">
        <v>0</v>
      </c>
      <c r="W226" s="49"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6"/>
      <c r="Y226" s="49" t="str">
        <v/>
      </c>
      <c r="Z226" s="49">
        <v>0</v>
      </c>
      <c r="AA226" s="49"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6"/>
      <c r="AC226" s="49" t="str">
        <v/>
      </c>
      <c r="AD226" s="49">
        <v>0</v>
      </c>
      <c r="AE226" s="49"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6"/>
      <c r="AG226" s="49" t="str">
        <v/>
      </c>
      <c r="AH226" s="49">
        <v>0</v>
      </c>
      <c r="AI226" s="49"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6"/>
      <c r="AK226" s="49" t="str">
        <v/>
      </c>
      <c r="AL226" s="49">
        <v>0</v>
      </c>
      <c r="AM226" s="49"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6"/>
    </row>
    <row r="227" spans="4:40" ht="20.100000000000001" customHeight="1" x14ac:dyDescent="0.25">
      <c r="D227" s="49" t="str">
        <v/>
      </c>
      <c r="E227" s="49">
        <v>0</v>
      </c>
      <c r="F227" s="49"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1" cm="1">
        <f t="array" ref="G227">Scope3_Equations.VEERG_15_4_1_1__1_EmissionsFromPurchasedFertiliser(E227,F227)</f>
        <v>0</v>
      </c>
      <c r="H227" s="49"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6"/>
      <c r="J227" s="151" cm="1">
        <f t="array" ref="J227">Scope3_Equations.VEERG_15_4_1_1__1_EmissionsFromPurchasedFertiliser(E227,I227)</f>
        <v>0</v>
      </c>
      <c r="K227" s="151"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2"/>
      <c r="M227" s="47"/>
      <c r="N227" s="82"/>
      <c r="O227" s="49" t="str">
        <v/>
      </c>
      <c r="P227" s="49" t="str">
        <v/>
      </c>
      <c r="Q227" s="49" t="str">
        <v/>
      </c>
      <c r="R227" s="49">
        <v>0</v>
      </c>
      <c r="S227" s="49"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6"/>
      <c r="U227" s="49" t="str">
        <v/>
      </c>
      <c r="V227" s="49">
        <v>0</v>
      </c>
      <c r="W227" s="49"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6"/>
      <c r="Y227" s="49" t="str">
        <v/>
      </c>
      <c r="Z227" s="49">
        <v>0</v>
      </c>
      <c r="AA227" s="49"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6"/>
      <c r="AC227" s="49" t="str">
        <v/>
      </c>
      <c r="AD227" s="49">
        <v>0</v>
      </c>
      <c r="AE227" s="49"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6"/>
      <c r="AG227" s="49" t="str">
        <v/>
      </c>
      <c r="AH227" s="49">
        <v>0</v>
      </c>
      <c r="AI227" s="49"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6"/>
      <c r="AK227" s="49" t="str">
        <v/>
      </c>
      <c r="AL227" s="49">
        <v>0</v>
      </c>
      <c r="AM227" s="49"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6"/>
    </row>
    <row r="228" spans="4:40" ht="20.100000000000001" customHeight="1" x14ac:dyDescent="0.25">
      <c r="D228" s="49" t="str">
        <v/>
      </c>
      <c r="E228" s="49">
        <v>0</v>
      </c>
      <c r="F228" s="49"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1" cm="1">
        <f t="array" ref="G228">Scope3_Equations.VEERG_15_4_1_1__1_EmissionsFromPurchasedFertiliser(E228,F228)</f>
        <v>0</v>
      </c>
      <c r="H228" s="49"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6"/>
      <c r="J228" s="151" cm="1">
        <f t="array" ref="J228">Scope3_Equations.VEERG_15_4_1_1__1_EmissionsFromPurchasedFertiliser(E228,I228)</f>
        <v>0</v>
      </c>
      <c r="K228" s="151"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2"/>
      <c r="M228" s="47"/>
      <c r="N228" s="82"/>
      <c r="O228" s="49" t="str">
        <v/>
      </c>
      <c r="P228" s="49" t="str">
        <v/>
      </c>
      <c r="Q228" s="49" t="str">
        <v/>
      </c>
      <c r="R228" s="49">
        <v>0</v>
      </c>
      <c r="S228" s="49"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6"/>
      <c r="U228" s="49" t="str">
        <v/>
      </c>
      <c r="V228" s="49">
        <v>0</v>
      </c>
      <c r="W228" s="49"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6"/>
      <c r="Y228" s="49" t="str">
        <v/>
      </c>
      <c r="Z228" s="49">
        <v>0</v>
      </c>
      <c r="AA228" s="49"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6"/>
      <c r="AC228" s="49" t="str">
        <v/>
      </c>
      <c r="AD228" s="49">
        <v>0</v>
      </c>
      <c r="AE228" s="49"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6"/>
      <c r="AG228" s="49" t="str">
        <v/>
      </c>
      <c r="AH228" s="49">
        <v>0</v>
      </c>
      <c r="AI228" s="49"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6"/>
      <c r="AK228" s="49" t="str">
        <v/>
      </c>
      <c r="AL228" s="49">
        <v>0</v>
      </c>
      <c r="AM228" s="49"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6"/>
    </row>
    <row r="229" spans="4:40" ht="20.100000000000001" customHeight="1" x14ac:dyDescent="0.25">
      <c r="D229" s="49" t="str">
        <v/>
      </c>
      <c r="E229" s="49">
        <v>0</v>
      </c>
      <c r="F229" s="49"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1" cm="1">
        <f t="array" ref="G229">Scope3_Equations.VEERG_15_4_1_1__1_EmissionsFromPurchasedFertiliser(E229,F229)</f>
        <v>0</v>
      </c>
      <c r="H229" s="49"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6"/>
      <c r="J229" s="151" cm="1">
        <f t="array" ref="J229">Scope3_Equations.VEERG_15_4_1_1__1_EmissionsFromPurchasedFertiliser(E229,I229)</f>
        <v>0</v>
      </c>
      <c r="K229" s="151"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2"/>
      <c r="M229" s="47"/>
      <c r="N229" s="82"/>
      <c r="O229" s="49" t="str">
        <v/>
      </c>
      <c r="P229" s="49" t="str">
        <v/>
      </c>
      <c r="Q229" s="49" t="str">
        <v/>
      </c>
      <c r="R229" s="49">
        <v>0</v>
      </c>
      <c r="S229" s="49"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6"/>
      <c r="U229" s="49" t="str">
        <v/>
      </c>
      <c r="V229" s="49">
        <v>0</v>
      </c>
      <c r="W229" s="49"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6"/>
      <c r="Y229" s="49" t="str">
        <v/>
      </c>
      <c r="Z229" s="49">
        <v>0</v>
      </c>
      <c r="AA229" s="49"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6"/>
      <c r="AC229" s="49" t="str">
        <v/>
      </c>
      <c r="AD229" s="49">
        <v>0</v>
      </c>
      <c r="AE229" s="49"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6"/>
      <c r="AG229" s="49" t="str">
        <v/>
      </c>
      <c r="AH229" s="49">
        <v>0</v>
      </c>
      <c r="AI229" s="49"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6"/>
      <c r="AK229" s="49" t="str">
        <v/>
      </c>
      <c r="AL229" s="49">
        <v>0</v>
      </c>
      <c r="AM229" s="49"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6"/>
    </row>
    <row r="230" spans="4:40" ht="20.100000000000001" customHeight="1" x14ac:dyDescent="0.25">
      <c r="D230" s="49" t="str">
        <v/>
      </c>
      <c r="E230" s="49">
        <v>0</v>
      </c>
      <c r="F230" s="49"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1" cm="1">
        <f t="array" ref="G230">Scope3_Equations.VEERG_15_4_1_1__1_EmissionsFromPurchasedFertiliser(E230,F230)</f>
        <v>0</v>
      </c>
      <c r="H230" s="49"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6"/>
      <c r="J230" s="151" cm="1">
        <f t="array" ref="J230">Scope3_Equations.VEERG_15_4_1_1__1_EmissionsFromPurchasedFertiliser(E230,I230)</f>
        <v>0</v>
      </c>
      <c r="K230" s="151"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2"/>
      <c r="M230" s="47"/>
      <c r="N230" s="82"/>
      <c r="O230" s="49" t="str">
        <v/>
      </c>
      <c r="P230" s="49" t="str">
        <v/>
      </c>
      <c r="Q230" s="49" t="str">
        <v/>
      </c>
      <c r="R230" s="49">
        <v>0</v>
      </c>
      <c r="S230" s="49"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6"/>
      <c r="U230" s="49" t="str">
        <v/>
      </c>
      <c r="V230" s="49">
        <v>0</v>
      </c>
      <c r="W230" s="49"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6"/>
      <c r="Y230" s="49" t="str">
        <v/>
      </c>
      <c r="Z230" s="49">
        <v>0</v>
      </c>
      <c r="AA230" s="49"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6"/>
      <c r="AC230" s="49" t="str">
        <v/>
      </c>
      <c r="AD230" s="49">
        <v>0</v>
      </c>
      <c r="AE230" s="49"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6"/>
      <c r="AG230" s="49" t="str">
        <v/>
      </c>
      <c r="AH230" s="49">
        <v>0</v>
      </c>
      <c r="AI230" s="49"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6"/>
      <c r="AK230" s="49" t="str">
        <v/>
      </c>
      <c r="AL230" s="49">
        <v>0</v>
      </c>
      <c r="AM230" s="49"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6"/>
    </row>
    <row r="231" spans="4:40" ht="20.100000000000001" customHeight="1" x14ac:dyDescent="0.25"/>
    <row r="232" spans="4:40" ht="20.100000000000001" customHeight="1" x14ac:dyDescent="0.25">
      <c r="D232" s="144" t="s">
        <v>658</v>
      </c>
    </row>
    <row r="233" spans="4:40" ht="20.100000000000001" customHeight="1" x14ac:dyDescent="0.25"/>
    <row r="234" spans="4:40" ht="20.100000000000001" customHeight="1" x14ac:dyDescent="0.25">
      <c r="D234" s="95" t="s">
        <v>673</v>
      </c>
      <c r="E234" s="110"/>
      <c r="F234" s="96"/>
    </row>
    <row r="235" spans="4:40" ht="20.100000000000001" customHeight="1" x14ac:dyDescent="0.25"/>
    <row r="236" spans="4:40" ht="20.100000000000001" customHeight="1" x14ac:dyDescent="0.25">
      <c r="D236" s="46" t="s">
        <v>407</v>
      </c>
      <c r="E236" s="46" t="s">
        <v>359</v>
      </c>
      <c r="F236" s="57" t="s">
        <v>671</v>
      </c>
      <c r="G236" s="57" t="s">
        <v>655</v>
      </c>
      <c r="H236" s="57" t="s">
        <v>654</v>
      </c>
      <c r="I236" s="46" t="s">
        <v>672</v>
      </c>
      <c r="J236" s="57" t="s">
        <v>656</v>
      </c>
      <c r="K236" s="57" t="s">
        <v>657</v>
      </c>
      <c r="L236" s="46" t="s">
        <v>632</v>
      </c>
      <c r="M236" s="46" t="s">
        <v>633</v>
      </c>
      <c r="N236" s="46" t="s">
        <v>634</v>
      </c>
      <c r="O236" s="57" t="s">
        <v>172</v>
      </c>
      <c r="P236" s="57" t="s">
        <v>173</v>
      </c>
      <c r="Q236" s="57" t="s">
        <v>174</v>
      </c>
      <c r="R236" s="57" t="s">
        <v>175</v>
      </c>
      <c r="S236" s="57" t="s">
        <v>659</v>
      </c>
      <c r="T236" s="46" t="s">
        <v>660</v>
      </c>
      <c r="U236" s="57" t="s">
        <v>176</v>
      </c>
      <c r="V236" s="57" t="s">
        <v>177</v>
      </c>
      <c r="W236" s="57" t="s">
        <v>661</v>
      </c>
      <c r="X236" s="46" t="s">
        <v>662</v>
      </c>
      <c r="Y236" s="57" t="s">
        <v>178</v>
      </c>
      <c r="Z236" s="57" t="s">
        <v>179</v>
      </c>
      <c r="AA236" s="57" t="s">
        <v>663</v>
      </c>
      <c r="AB236" s="46" t="s">
        <v>664</v>
      </c>
      <c r="AC236" s="57" t="s">
        <v>180</v>
      </c>
      <c r="AD236" s="57" t="s">
        <v>181</v>
      </c>
      <c r="AE236" s="57" t="s">
        <v>665</v>
      </c>
      <c r="AF236" s="46" t="s">
        <v>666</v>
      </c>
    </row>
    <row r="237" spans="4:40" ht="20.100000000000001" customHeight="1" x14ac:dyDescent="0.25">
      <c r="D237" s="49" t="str" cm="1">
        <f t="array" ref="D237:D246">IFERROR(INDEX(Table_Input_InorganicFertiliser_Custom[Custom blend name], _xlfn.SEQUENCE(10)), "")</f>
        <v>My first custom blend</v>
      </c>
      <c r="E237" s="49" cm="1">
        <f t="array" ref="E237:E246">IFERROR(INDEX(Table_Input_InorganicFertiliser_Custom[Total applied (kg)], _xlfn.SEQUENCE(10)), 0)</f>
        <v>10000</v>
      </c>
      <c r="F237" s="49"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1.6099000000000001</v>
      </c>
      <c r="G237" s="151" cm="1">
        <f t="array" ref="G237">Scope3_Equations.VEERG_15_4_1_1__1_EmissionsFromPurchasedFertiliser(E237,F237)</f>
        <v>16.099000000000004</v>
      </c>
      <c r="H237" s="49"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16.099</v>
      </c>
      <c r="I237" s="66">
        <v>0.4</v>
      </c>
      <c r="J237" s="151" cm="1">
        <f t="array" ref="J237">Scope3_Equations.VEERG_15_4_1_1__1_EmissionsFromPurchasedFertiliser(E237,I237)</f>
        <v>4</v>
      </c>
      <c r="K237" s="151"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13.25</v>
      </c>
      <c r="L237" s="82"/>
      <c r="M237" s="47"/>
      <c r="N237"/>
      <c r="O237" s="49" t="str" cm="1">
        <f t="array" ref="O237:O246">IFERROR(INDEX(Table_Input_InorganicFertiliser_Custom[Urea source (Select)], _xlfn.SEQUENCE(10)), "")</f>
        <v>Canada</v>
      </c>
      <c r="P237" s="49" t="str" cm="1">
        <f t="array" ref="P237:P246">IFERROR(INDEX(Table_Input_InorganicFertiliser_Custom[Ammonia source (select)], _xlfn.SEQUENCE(10)), "")</f>
        <v>Global</v>
      </c>
      <c r="Q237" s="49" t="str" cm="1">
        <f t="array" ref="Q237:Q246">IFERROR(INDEX(Table_Input_InorganicFertiliser_Custom[Ingredient 1 (select)], _xlfn.SEQUENCE(10)), "")</f>
        <v>Ammonia</v>
      </c>
      <c r="R237" s="49" cm="1">
        <f t="array" ref="R237:R246">IFERROR(INDEX(_xlfn.LET(_xlpm.result, Table_Input_InorganicFertiliser_Custom[Ingredient 1 percent], IF(_xlpm.result="", 0, _xlpm.result)), _xlfn.SEQUENCE(10)), 0)</f>
        <v>0.45</v>
      </c>
      <c r="S237" s="49"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2.3199999999999998</v>
      </c>
      <c r="T237" s="66">
        <v>0.9</v>
      </c>
      <c r="U237" s="49" t="str" cm="1">
        <f t="array" ref="U237:U246">IFERROR(INDEX(Table_Input_InorganicFertiliser_Custom[Ingredient 2], _xlfn.SEQUENCE(10)), "")</f>
        <v>Calcium nitrate</v>
      </c>
      <c r="V237" s="49" cm="1">
        <f t="array" ref="V237:V246">IFERROR(INDEX(_xlfn.LET(_xlpm.result, Table_Input_InorganicFertiliser_Custom[Ingredient 2 percent], IF(_xlpm.result="", 0, _xlpm.result)), _xlfn.SEQUENCE(10)), 0)</f>
        <v>0.3</v>
      </c>
      <c r="W237" s="49"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0.75</v>
      </c>
      <c r="X237" s="66">
        <v>0.9</v>
      </c>
      <c r="Y237" s="49" t="str" cm="1">
        <f t="array" ref="Y237:Y246">IFERROR(INDEX(Table_Input_InorganicFertiliser_Custom[Ingredient 3], _xlfn.SEQUENCE(10)), "")</f>
        <v>Potassium - Generic</v>
      </c>
      <c r="Z237" s="49" cm="1">
        <f t="array" ref="Z237:Z246">IFERROR(INDEX(_xlfn.LET(_xlpm.result, Table_Input_InorganicFertiliser_Custom[Ingredient 3 percent], IF(_xlpm.result="", 0, _xlpm.result)), _xlfn.SEQUENCE(10)), 0)</f>
        <v>0.1</v>
      </c>
      <c r="AA237" s="49"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6">
        <v>4</v>
      </c>
      <c r="AC237" s="49" t="str" cm="1">
        <f t="array" ref="AC237:AC246">IFERROR(INDEX(Table_Input_InorganicFertiliser_Custom[Ingredient 4], _xlfn.SEQUENCE(10)), "")</f>
        <v>Sulfur - Generic</v>
      </c>
      <c r="AD237" s="49" cm="1">
        <f t="array" ref="AD237:AD246">IFERROR(INDEX(_xlfn.LET(_xlpm.result, Table_Input_InorganicFertiliser_Custom[Ingredient 4 percent], IF(_xlpm.result="", 0, _xlpm.result)), _xlfn.SEQUENCE(10)), 0)</f>
        <v>0.1</v>
      </c>
      <c r="AE237" s="49"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6">
        <v>0</v>
      </c>
    </row>
    <row r="238" spans="4:40" ht="20.100000000000001" customHeight="1" x14ac:dyDescent="0.25">
      <c r="D238" s="49">
        <v>0</v>
      </c>
      <c r="E238" s="49">
        <v>10000</v>
      </c>
      <c r="F238" s="49"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0.9527000000000001</v>
      </c>
      <c r="G238" s="151" cm="1">
        <f t="array" ref="G238">Scope3_Equations.VEERG_15_4_1_1__1_EmissionsFromPurchasedFertiliser(E238,F238)</f>
        <v>9.5270000000000028</v>
      </c>
      <c r="H238" s="49"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9.527000000000001</v>
      </c>
      <c r="I238" s="66">
        <v>0.9</v>
      </c>
      <c r="J238" s="151" cm="1">
        <f t="array" ref="J238">Scope3_Equations.VEERG_15_4_1_1__1_EmissionsFromPurchasedFertiliser(E238,I238)</f>
        <v>9</v>
      </c>
      <c r="K238" s="151"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9.527000000000001</v>
      </c>
      <c r="L238" s="82"/>
      <c r="M238" s="47"/>
      <c r="N238" s="82"/>
      <c r="O238" s="49" t="str">
        <v>Canada</v>
      </c>
      <c r="P238" s="49" t="str">
        <v>Canada</v>
      </c>
      <c r="Q238" s="49" t="str">
        <v>Urea</v>
      </c>
      <c r="R238" s="49">
        <v>0.9</v>
      </c>
      <c r="S238" s="49"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0.82299999999999995</v>
      </c>
      <c r="T238" s="66"/>
      <c r="U238" s="49" t="str">
        <v>Ammonia</v>
      </c>
      <c r="V238" s="49">
        <v>0.1</v>
      </c>
      <c r="W238" s="49"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2.12</v>
      </c>
      <c r="X238" s="66"/>
      <c r="Y238" s="49">
        <v>0</v>
      </c>
      <c r="Z238" s="49">
        <v>0</v>
      </c>
      <c r="AA238" s="49"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6"/>
      <c r="AC238" s="49">
        <v>0</v>
      </c>
      <c r="AD238" s="49">
        <v>0</v>
      </c>
      <c r="AE238" s="49"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6"/>
    </row>
    <row r="239" spans="4:40" ht="20.100000000000001" customHeight="1" x14ac:dyDescent="0.25">
      <c r="D239" s="49" t="str">
        <v/>
      </c>
      <c r="E239" s="49">
        <v>0</v>
      </c>
      <c r="F239" s="49"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0</v>
      </c>
      <c r="G239" s="151" cm="1">
        <f t="array" ref="G239">Scope3_Equations.VEERG_15_4_1_1__1_EmissionsFromPurchasedFertiliser(E239,F239)</f>
        <v>0</v>
      </c>
      <c r="H239" s="49"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0</v>
      </c>
      <c r="I239" s="66">
        <v>0.4</v>
      </c>
      <c r="J239" s="151" cm="1">
        <f t="array" ref="J239">Scope3_Equations.VEERG_15_4_1_1__1_EmissionsFromPurchasedFertiliser(E239,I239)</f>
        <v>0</v>
      </c>
      <c r="K239" s="151"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0</v>
      </c>
      <c r="L239" s="82"/>
      <c r="M239" s="47"/>
      <c r="N239" s="82"/>
      <c r="O239" s="49" t="str">
        <v/>
      </c>
      <c r="P239" s="49" t="str">
        <v/>
      </c>
      <c r="Q239" s="49" t="str">
        <v/>
      </c>
      <c r="R239" s="49">
        <v>0</v>
      </c>
      <c r="S239" s="49"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0</v>
      </c>
      <c r="T239" s="66"/>
      <c r="U239" s="49" t="str">
        <v/>
      </c>
      <c r="V239" s="49">
        <v>0</v>
      </c>
      <c r="W239" s="49"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6"/>
      <c r="Y239" s="49" t="str">
        <v/>
      </c>
      <c r="Z239" s="49">
        <v>0</v>
      </c>
      <c r="AA239" s="49"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6"/>
      <c r="AC239" s="49" t="str">
        <v/>
      </c>
      <c r="AD239" s="49">
        <v>0</v>
      </c>
      <c r="AE239" s="49"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6"/>
    </row>
    <row r="240" spans="4:40" ht="20.100000000000001" customHeight="1" x14ac:dyDescent="0.25">
      <c r="D240" s="49" t="str">
        <v/>
      </c>
      <c r="E240" s="49">
        <v>0</v>
      </c>
      <c r="F240" s="49"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1" cm="1">
        <f t="array" ref="G240">Scope3_Equations.VEERG_15_4_1_1__1_EmissionsFromPurchasedFertiliser(E240,F240)</f>
        <v>0</v>
      </c>
      <c r="H240" s="49"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6"/>
      <c r="J240" s="151" cm="1">
        <f t="array" ref="J240">Scope3_Equations.VEERG_15_4_1_1__1_EmissionsFromPurchasedFertiliser(E240,I240)</f>
        <v>0</v>
      </c>
      <c r="K240" s="151"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2"/>
      <c r="M240" s="47"/>
      <c r="N240" s="82"/>
      <c r="O240" s="49" t="str">
        <v/>
      </c>
      <c r="P240" s="49" t="str">
        <v/>
      </c>
      <c r="Q240" s="49" t="str">
        <v/>
      </c>
      <c r="R240" s="49">
        <v>0</v>
      </c>
      <c r="S240" s="49"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6"/>
      <c r="U240" s="49" t="str">
        <v/>
      </c>
      <c r="V240" s="49">
        <v>0</v>
      </c>
      <c r="W240" s="49"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6"/>
      <c r="Y240" s="49" t="str">
        <v/>
      </c>
      <c r="Z240" s="49">
        <v>0</v>
      </c>
      <c r="AA240" s="49"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6"/>
      <c r="AC240" s="49" t="str">
        <v/>
      </c>
      <c r="AD240" s="49">
        <v>0</v>
      </c>
      <c r="AE240" s="49"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6"/>
    </row>
    <row r="241" spans="3:41" ht="20.100000000000001" customHeight="1" x14ac:dyDescent="0.25">
      <c r="D241" s="49" t="str">
        <v/>
      </c>
      <c r="E241" s="49">
        <v>0</v>
      </c>
      <c r="F241" s="49"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1" cm="1">
        <f t="array" ref="G241">Scope3_Equations.VEERG_15_4_1_1__1_EmissionsFromPurchasedFertiliser(E241,F241)</f>
        <v>0</v>
      </c>
      <c r="H241" s="49"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6"/>
      <c r="J241" s="151" cm="1">
        <f t="array" ref="J241">Scope3_Equations.VEERG_15_4_1_1__1_EmissionsFromPurchasedFertiliser(E241,I241)</f>
        <v>0</v>
      </c>
      <c r="K241" s="151"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2"/>
      <c r="M241" s="47"/>
      <c r="N241" s="82"/>
      <c r="O241" s="49" t="str">
        <v/>
      </c>
      <c r="P241" s="49" t="str">
        <v/>
      </c>
      <c r="Q241" s="49" t="str">
        <v/>
      </c>
      <c r="R241" s="49">
        <v>0</v>
      </c>
      <c r="S241" s="49"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6"/>
      <c r="U241" s="49" t="str">
        <v/>
      </c>
      <c r="V241" s="49">
        <v>0</v>
      </c>
      <c r="W241" s="49"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6"/>
      <c r="Y241" s="49" t="str">
        <v/>
      </c>
      <c r="Z241" s="49">
        <v>0</v>
      </c>
      <c r="AA241" s="49"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6"/>
      <c r="AC241" s="49" t="str">
        <v/>
      </c>
      <c r="AD241" s="49">
        <v>0</v>
      </c>
      <c r="AE241" s="49"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6"/>
    </row>
    <row r="242" spans="3:41" ht="20.100000000000001" customHeight="1" x14ac:dyDescent="0.25">
      <c r="D242" s="49" t="str">
        <v/>
      </c>
      <c r="E242" s="49">
        <v>0</v>
      </c>
      <c r="F242" s="49"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1" cm="1">
        <f t="array" ref="G242">Scope3_Equations.VEERG_15_4_1_1__1_EmissionsFromPurchasedFertiliser(E242,F242)</f>
        <v>0</v>
      </c>
      <c r="H242" s="49"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6"/>
      <c r="J242" s="151" cm="1">
        <f t="array" ref="J242">Scope3_Equations.VEERG_15_4_1_1__1_EmissionsFromPurchasedFertiliser(E242,I242)</f>
        <v>0</v>
      </c>
      <c r="K242" s="151"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2"/>
      <c r="M242" s="47"/>
      <c r="N242" s="82"/>
      <c r="O242" s="49" t="str">
        <v/>
      </c>
      <c r="P242" s="49" t="str">
        <v/>
      </c>
      <c r="Q242" s="49" t="str">
        <v/>
      </c>
      <c r="R242" s="49">
        <v>0</v>
      </c>
      <c r="S242" s="49"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6"/>
      <c r="U242" s="49" t="str">
        <v/>
      </c>
      <c r="V242" s="49">
        <v>0</v>
      </c>
      <c r="W242" s="49"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6"/>
      <c r="Y242" s="49" t="str">
        <v/>
      </c>
      <c r="Z242" s="49">
        <v>0</v>
      </c>
      <c r="AA242" s="49"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6"/>
      <c r="AC242" s="49" t="str">
        <v/>
      </c>
      <c r="AD242" s="49">
        <v>0</v>
      </c>
      <c r="AE242" s="49"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6"/>
    </row>
    <row r="243" spans="3:41" ht="20.100000000000001" customHeight="1" x14ac:dyDescent="0.25">
      <c r="D243" s="49" t="str">
        <v/>
      </c>
      <c r="E243" s="49">
        <v>0</v>
      </c>
      <c r="F243" s="49"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1" cm="1">
        <f t="array" ref="G243">Scope3_Equations.VEERG_15_4_1_1__1_EmissionsFromPurchasedFertiliser(E243,F243)</f>
        <v>0</v>
      </c>
      <c r="H243" s="49"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6"/>
      <c r="J243" s="151" cm="1">
        <f t="array" ref="J243">Scope3_Equations.VEERG_15_4_1_1__1_EmissionsFromPurchasedFertiliser(E243,I243)</f>
        <v>0</v>
      </c>
      <c r="K243" s="151"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2"/>
      <c r="M243" s="47"/>
      <c r="N243" s="82"/>
      <c r="O243" s="49" t="str">
        <v/>
      </c>
      <c r="P243" s="49" t="str">
        <v/>
      </c>
      <c r="Q243" s="49" t="str">
        <v/>
      </c>
      <c r="R243" s="49">
        <v>0</v>
      </c>
      <c r="S243" s="49"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6"/>
      <c r="U243" s="49" t="str">
        <v/>
      </c>
      <c r="V243" s="49">
        <v>0</v>
      </c>
      <c r="W243" s="49"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6"/>
      <c r="Y243" s="49" t="str">
        <v/>
      </c>
      <c r="Z243" s="49">
        <v>0</v>
      </c>
      <c r="AA243" s="49"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6"/>
      <c r="AC243" s="49" t="str">
        <v/>
      </c>
      <c r="AD243" s="49">
        <v>0</v>
      </c>
      <c r="AE243" s="49"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6"/>
    </row>
    <row r="244" spans="3:41" ht="20.100000000000001" customHeight="1" x14ac:dyDescent="0.25">
      <c r="D244" s="49" t="str">
        <v/>
      </c>
      <c r="E244" s="49">
        <v>0</v>
      </c>
      <c r="F244" s="49"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1" cm="1">
        <f t="array" ref="G244">Scope3_Equations.VEERG_15_4_1_1__1_EmissionsFromPurchasedFertiliser(E244,F244)</f>
        <v>0</v>
      </c>
      <c r="H244" s="49"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6"/>
      <c r="J244" s="151" cm="1">
        <f t="array" ref="J244">Scope3_Equations.VEERG_15_4_1_1__1_EmissionsFromPurchasedFertiliser(E244,I244)</f>
        <v>0</v>
      </c>
      <c r="K244" s="151"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2"/>
      <c r="M244" s="47"/>
      <c r="N244" s="82"/>
      <c r="O244" s="49" t="str">
        <v/>
      </c>
      <c r="P244" s="49" t="str">
        <v/>
      </c>
      <c r="Q244" s="49" t="str">
        <v/>
      </c>
      <c r="R244" s="49">
        <v>0</v>
      </c>
      <c r="S244" s="49"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6"/>
      <c r="U244" s="49" t="str">
        <v/>
      </c>
      <c r="V244" s="49">
        <v>0</v>
      </c>
      <c r="W244" s="49"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6"/>
      <c r="Y244" s="49" t="str">
        <v/>
      </c>
      <c r="Z244" s="49">
        <v>0</v>
      </c>
      <c r="AA244" s="49"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6"/>
      <c r="AC244" s="49" t="str">
        <v/>
      </c>
      <c r="AD244" s="49">
        <v>0</v>
      </c>
      <c r="AE244" s="49"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6"/>
    </row>
    <row r="245" spans="3:41" ht="20.100000000000001" customHeight="1" x14ac:dyDescent="0.25">
      <c r="D245" s="49" t="str">
        <v/>
      </c>
      <c r="E245" s="49">
        <v>0</v>
      </c>
      <c r="F245" s="49"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1" cm="1">
        <f t="array" ref="G245">Scope3_Equations.VEERG_15_4_1_1__1_EmissionsFromPurchasedFertiliser(E245,F245)</f>
        <v>0</v>
      </c>
      <c r="H245" s="49"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6"/>
      <c r="J245" s="151" cm="1">
        <f t="array" ref="J245">Scope3_Equations.VEERG_15_4_1_1__1_EmissionsFromPurchasedFertiliser(E245,I245)</f>
        <v>0</v>
      </c>
      <c r="K245" s="151"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2"/>
      <c r="M245" s="47"/>
      <c r="N245" s="82"/>
      <c r="O245" s="49" t="str">
        <v/>
      </c>
      <c r="P245" s="49" t="str">
        <v/>
      </c>
      <c r="Q245" s="49" t="str">
        <v/>
      </c>
      <c r="R245" s="49">
        <v>0</v>
      </c>
      <c r="S245" s="49"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6"/>
      <c r="U245" s="49" t="str">
        <v/>
      </c>
      <c r="V245" s="49">
        <v>0</v>
      </c>
      <c r="W245" s="49"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6"/>
      <c r="Y245" s="49" t="str">
        <v/>
      </c>
      <c r="Z245" s="49">
        <v>0</v>
      </c>
      <c r="AA245" s="49"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6"/>
      <c r="AC245" s="49" t="str">
        <v/>
      </c>
      <c r="AD245" s="49">
        <v>0</v>
      </c>
      <c r="AE245" s="49"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6"/>
    </row>
    <row r="246" spans="3:41" ht="20.100000000000001" customHeight="1" x14ac:dyDescent="0.25">
      <c r="D246" s="49" t="str">
        <v/>
      </c>
      <c r="E246" s="49">
        <v>0</v>
      </c>
      <c r="F246" s="49"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1" cm="1">
        <f t="array" ref="G246">Scope3_Equations.VEERG_15_4_1_1__1_EmissionsFromPurchasedFertiliser(E246,F246)</f>
        <v>0</v>
      </c>
      <c r="H246" s="49"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6"/>
      <c r="J246" s="151" cm="1">
        <f t="array" ref="J246">Scope3_Equations.VEERG_15_4_1_1__1_EmissionsFromPurchasedFertiliser(E246,I246)</f>
        <v>0</v>
      </c>
      <c r="K246" s="151"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2"/>
      <c r="M246" s="47"/>
      <c r="N246" s="82"/>
      <c r="O246" s="49" t="str">
        <v/>
      </c>
      <c r="P246" s="49" t="str">
        <v/>
      </c>
      <c r="Q246" s="49" t="str">
        <v/>
      </c>
      <c r="R246" s="49">
        <v>0</v>
      </c>
      <c r="S246" s="49"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6"/>
      <c r="U246" s="49" t="str">
        <v/>
      </c>
      <c r="V246" s="49">
        <v>0</v>
      </c>
      <c r="W246" s="49"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6"/>
      <c r="Y246" s="49" t="str">
        <v/>
      </c>
      <c r="Z246" s="49">
        <v>0</v>
      </c>
      <c r="AA246" s="49"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6"/>
      <c r="AC246" s="49" t="str">
        <v/>
      </c>
      <c r="AD246" s="49">
        <v>0</v>
      </c>
      <c r="AE246" s="49"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6"/>
    </row>
    <row r="247" spans="3:41" ht="20.100000000000001" customHeight="1" x14ac:dyDescent="0.25"/>
    <row r="248" spans="3:41" ht="20.100000000000001" customHeight="1" x14ac:dyDescent="0.25">
      <c r="D248" s="179" t="s">
        <v>674</v>
      </c>
      <c r="E248" s="177" t="e">
        <f>SUM(G221:G230)+SUM(G237:G246)</f>
        <v>#VALUE!</v>
      </c>
      <c r="F248" s="178" t="str">
        <f>$E$155</f>
        <v>t CO2e</v>
      </c>
    </row>
    <row r="249" spans="3:41" ht="20.100000000000001" customHeight="1" x14ac:dyDescent="0.25">
      <c r="D249" s="179" t="s">
        <v>675</v>
      </c>
      <c r="E249" s="177">
        <f>SUM(J221:J230)+SUM(J237:J246)</f>
        <v>13</v>
      </c>
      <c r="F249" s="178" t="str">
        <f>$E$155</f>
        <v>t CO2e</v>
      </c>
    </row>
    <row r="250" spans="3:41" ht="20.100000000000001" customHeight="1" x14ac:dyDescent="0.25"/>
    <row r="251" spans="3:41" ht="20.100000000000001" customHeight="1" x14ac:dyDescent="0.25">
      <c r="D251" s="179" t="s">
        <v>676</v>
      </c>
      <c r="E251" s="177" t="e">
        <f>SUM(H221:H230)+SUM(H237:H246)</f>
        <v>#VALUE!</v>
      </c>
      <c r="F251" s="178" t="str">
        <f>$E$155</f>
        <v>t CO2e</v>
      </c>
    </row>
    <row r="252" spans="3:41" ht="20.100000000000001" customHeight="1" x14ac:dyDescent="0.25">
      <c r="D252" s="179" t="s">
        <v>677</v>
      </c>
      <c r="E252" s="177" t="e">
        <f>SUM(K221:K230)+SUM(K237:K246)</f>
        <v>#VALUE!</v>
      </c>
      <c r="F252" s="178" t="str">
        <f>$E$155</f>
        <v>t CO2e</v>
      </c>
    </row>
    <row r="253" spans="3:41" ht="20.100000000000001" customHeight="1" x14ac:dyDescent="0.25"/>
    <row r="254" spans="3:41" ht="20.100000000000001" customHeight="1" x14ac:dyDescent="0.25"/>
    <row r="255" spans="3:41" ht="20.100000000000001" customHeight="1" x14ac:dyDescent="0.25">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c r="AF255" s="98"/>
      <c r="AG255" s="98"/>
      <c r="AH255" s="98"/>
      <c r="AI255" s="98"/>
      <c r="AJ255" s="98"/>
      <c r="AK255" s="98"/>
      <c r="AL255" s="98"/>
      <c r="AM255" s="98"/>
      <c r="AN255" s="98"/>
      <c r="AO255" s="98"/>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2" t="s">
        <v>629</v>
      </c>
      <c r="E258" s="172"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7" t="s">
        <v>630</v>
      </c>
      <c r="E262" s="8" t="str" cm="1">
        <f t="array" ref="E262">Scope3_Equations.VEERG_15_5_1_1__1_EmissionsFromPurchasedAgrichemicals_Variable()</f>
        <v>E</v>
      </c>
    </row>
    <row r="263" spans="4:9" ht="20.100000000000001" customHeight="1" x14ac:dyDescent="0.25">
      <c r="D263" s="27" t="s">
        <v>97</v>
      </c>
      <c r="E263" s="13" t="str" cm="1">
        <f t="array" ref="E263">Scope3_Equations.VEERG_15_5_1_1__1_EmissionsFromPurchasedAgrichemicals_Unit()</f>
        <v>t CO2e</v>
      </c>
    </row>
    <row r="264" spans="4:9" ht="20.100000000000001" customHeight="1" x14ac:dyDescent="0.25"/>
    <row r="265" spans="4:9" x14ac:dyDescent="0.25">
      <c r="D265" s="167" t="str" cm="1">
        <f t="array" ref="D265:E267">_xlfn.CHOOSECOLS(Scope3_Equations.VEERG_15_5_1_1__1_EmissionsFromPurchasedAgrichemicals_Arguments(),1,2)</f>
        <v>Q_h</v>
      </c>
      <c r="E265" s="171" t="str">
        <v>quantity of active ingredients in agrichemical type h purchased and applied to soils</v>
      </c>
      <c r="F265" s="166"/>
      <c r="G265" s="167" t="str" cm="1">
        <f t="array" ref="G265:H267">_xlfn.CHOOSECOLS(Scope3_Equations.VEERG_15_5_1_1__1_EmissionsFromPurchasedAgrichemicals_Arguments(),3,4)</f>
        <v>kg ai</v>
      </c>
      <c r="H265" s="168" t="str">
        <v>Input</v>
      </c>
    </row>
    <row r="266" spans="4:9" x14ac:dyDescent="0.25">
      <c r="D266" s="167" t="str">
        <v>EF_h</v>
      </c>
      <c r="E266" s="171" t="str">
        <v>emission factor for purchased agrichemical active ingredient</v>
      </c>
      <c r="F266" s="166"/>
      <c r="G266" s="167" t="str">
        <v>kg CO2e/kg ai</v>
      </c>
      <c r="H266" s="169" t="str">
        <v>Constant</v>
      </c>
    </row>
    <row r="267" spans="4:9" x14ac:dyDescent="0.25">
      <c r="D267" s="167" t="str">
        <v>h</v>
      </c>
      <c r="E267" s="171" t="str">
        <v>agrichemical type</v>
      </c>
      <c r="F267" s="166"/>
      <c r="G267" s="167" t="str">
        <v/>
      </c>
      <c r="H267" s="168" t="str">
        <v>Input</v>
      </c>
    </row>
    <row r="269" spans="4:9" ht="17.25" x14ac:dyDescent="0.25">
      <c r="D269" s="46" t="s">
        <v>683</v>
      </c>
      <c r="E269" s="46" t="s">
        <v>205</v>
      </c>
      <c r="F269" s="57" t="s">
        <v>684</v>
      </c>
      <c r="G269" s="57" t="s">
        <v>636</v>
      </c>
      <c r="H269" s="46" t="s">
        <v>685</v>
      </c>
      <c r="I269" s="57" t="s">
        <v>638</v>
      </c>
    </row>
    <row r="270" spans="4:9" x14ac:dyDescent="0.25">
      <c r="D270" s="49" t="str" cm="1">
        <f t="array" ref="D270:D281">Table_SourceData_Scope3_Pesticides[Product]</f>
        <v>2,4-D</v>
      </c>
      <c r="E270" s="49">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49" cm="1">
        <f t="array" ref="F270">Common_InputFunctions.Utility_LookupValueInTableNumber(D270,Table_SourceData_Scope3_Pesticides[Product],Table_SourceData_Scope3_Pesticides[AusLCI Emissions intensity])</f>
        <v>5.2</v>
      </c>
      <c r="G270" s="49" cm="1">
        <f t="array" ref="G270">Scope3_Equations.VEERG_15_5_1_1__1_EmissionsFromPurchasedAgrichemicals($E270,F270)</f>
        <v>0.52</v>
      </c>
      <c r="H270" s="66">
        <v>5</v>
      </c>
      <c r="I270" s="49" cm="1">
        <f t="array" ref="I270">Scope3_Equations.VEERG_15_5_1_1__1_EmissionsFromPurchasedAgrichemicals($E270,IF(H270,H270,F270))</f>
        <v>0.5</v>
      </c>
    </row>
    <row r="271" spans="4:9" x14ac:dyDescent="0.25">
      <c r="D271" s="49" t="str">
        <v>Atrazine</v>
      </c>
      <c r="E271" s="49">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49" cm="1">
        <f t="array" ref="F271">Common_InputFunctions.Utility_LookupValueInTableNumber(D271,Table_SourceData_Scope3_Pesticides[Product],Table_SourceData_Scope3_Pesticides[AusLCI Emissions intensity])</f>
        <v>8.3800000000000008</v>
      </c>
      <c r="G271" s="49" cm="1">
        <f t="array" ref="G271">Scope3_Equations.VEERG_15_5_1_1__1_EmissionsFromPurchasedAgrichemicals($E271,F271)</f>
        <v>0</v>
      </c>
      <c r="H271" s="66">
        <v>8</v>
      </c>
      <c r="I271" s="49" cm="1">
        <f t="array" ref="I271">Scope3_Equations.VEERG_15_5_1_1__1_EmissionsFromPurchasedAgrichemicals($E271,IF(H271,H271,F271))</f>
        <v>0</v>
      </c>
    </row>
    <row r="272" spans="4:9" x14ac:dyDescent="0.25">
      <c r="D272" s="49" t="str">
        <v>Diuron</v>
      </c>
      <c r="E272" s="49">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49" cm="1">
        <f t="array" ref="F272">Common_InputFunctions.Utility_LookupValueInTableNumber(D272,Table_SourceData_Scope3_Pesticides[Product],Table_SourceData_Scope3_Pesticides[AusLCI Emissions intensity])</f>
        <v>8.8000000000000007</v>
      </c>
      <c r="G272" s="49" cm="1">
        <f t="array" ref="G272">Scope3_Equations.VEERG_15_5_1_1__1_EmissionsFromPurchasedAgrichemicals($E272,F272)</f>
        <v>0</v>
      </c>
      <c r="H272" s="66"/>
      <c r="I272" s="49" cm="1">
        <f t="array" ref="I272">Scope3_Equations.VEERG_15_5_1_1__1_EmissionsFromPurchasedAgrichemicals($E272,IF(H272,H272,F272))</f>
        <v>0</v>
      </c>
    </row>
    <row r="273" spans="3:41" x14ac:dyDescent="0.25">
      <c r="D273" s="49" t="str">
        <v>Glyphosate</v>
      </c>
      <c r="E273" s="49">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49" cm="1">
        <f t="array" ref="F273">Common_InputFunctions.Utility_LookupValueInTableNumber(D273,Table_SourceData_Scope3_Pesticides[Product],Table_SourceData_Scope3_Pesticides[AusLCI Emissions intensity])</f>
        <v>10.3</v>
      </c>
      <c r="G273" s="49" cm="1">
        <f t="array" ref="G273">Scope3_Equations.VEERG_15_5_1_1__1_EmissionsFromPurchasedAgrichemicals($E273,F273)</f>
        <v>1.03</v>
      </c>
      <c r="H273" s="66"/>
      <c r="I273" s="49" cm="1">
        <f t="array" ref="I273">Scope3_Equations.VEERG_15_5_1_1__1_EmissionsFromPurchasedAgrichemicals($E273,IF(H273,H273,F273))</f>
        <v>1.03</v>
      </c>
    </row>
    <row r="274" spans="3:41" x14ac:dyDescent="0.25">
      <c r="D274" s="49" t="str">
        <v>Mancozeb</v>
      </c>
      <c r="E274" s="49">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49" cm="1">
        <f t="array" ref="F274">Common_InputFunctions.Utility_LookupValueInTableNumber(D274,Table_SourceData_Scope3_Pesticides[Product],Table_SourceData_Scope3_Pesticides[AusLCI Emissions intensity])</f>
        <v>4.55</v>
      </c>
      <c r="G274" s="49" cm="1">
        <f t="array" ref="G274">Scope3_Equations.VEERG_15_5_1_1__1_EmissionsFromPurchasedAgrichemicals($E274,F274)</f>
        <v>0</v>
      </c>
      <c r="H274" s="66"/>
      <c r="I274" s="49" cm="1">
        <f t="array" ref="I274">Scope3_Equations.VEERG_15_5_1_1__1_EmissionsFromPurchasedAgrichemicals($E274,IF(H274,H274,F274))</f>
        <v>0</v>
      </c>
    </row>
    <row r="275" spans="3:41" x14ac:dyDescent="0.25">
      <c r="D275" s="49" t="str">
        <v>MCPA</v>
      </c>
      <c r="E275" s="49">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49" cm="1">
        <f t="array" ref="F275">Common_InputFunctions.Utility_LookupValueInTableNumber(D275,Table_SourceData_Scope3_Pesticides[Product],Table_SourceData_Scope3_Pesticides[AusLCI Emissions intensity])</f>
        <v>5.6</v>
      </c>
      <c r="G275" s="49" cm="1">
        <f t="array" ref="G275">Scope3_Equations.VEERG_15_5_1_1__1_EmissionsFromPurchasedAgrichemicals($E275,F275)</f>
        <v>0</v>
      </c>
      <c r="H275" s="66"/>
      <c r="I275" s="49" cm="1">
        <f t="array" ref="I275">Scope3_Equations.VEERG_15_5_1_1__1_EmissionsFromPurchasedAgrichemicals($E275,IF(H275,H275,F275))</f>
        <v>0</v>
      </c>
    </row>
    <row r="276" spans="3:41" x14ac:dyDescent="0.25">
      <c r="D276" s="49" t="str">
        <v>Metolachlor</v>
      </c>
      <c r="E276" s="49">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49" cm="1">
        <f t="array" ref="F276">Common_InputFunctions.Utility_LookupValueInTableNumber(D276,Table_SourceData_Scope3_Pesticides[Product],Table_SourceData_Scope3_Pesticides[AusLCI Emissions intensity])</f>
        <v>8.06</v>
      </c>
      <c r="G276" s="49" cm="1">
        <f t="array" ref="G276">Scope3_Equations.VEERG_15_5_1_1__1_EmissionsFromPurchasedAgrichemicals($E276,F276)</f>
        <v>0.80600000000000005</v>
      </c>
      <c r="H276" s="66"/>
      <c r="I276" s="49" cm="1">
        <f t="array" ref="I276">Scope3_Equations.VEERG_15_5_1_1__1_EmissionsFromPurchasedAgrichemicals($E276,IF(H276,H276,F276))</f>
        <v>0.80600000000000005</v>
      </c>
    </row>
    <row r="277" spans="3:41" x14ac:dyDescent="0.25">
      <c r="D277" s="49" t="str">
        <v>Metsulfuron-methyl</v>
      </c>
      <c r="E277" s="49">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49" cm="1">
        <f t="array" ref="F277">Common_InputFunctions.Utility_LookupValueInTableNumber(D277,Table_SourceData_Scope3_Pesticides[Product],Table_SourceData_Scope3_Pesticides[AusLCI Emissions intensity])</f>
        <v>8.8000000000000007</v>
      </c>
      <c r="G277" s="49" cm="1">
        <f t="array" ref="G277">Scope3_Equations.VEERG_15_5_1_1__1_EmissionsFromPurchasedAgrichemicals($E277,F277)</f>
        <v>0</v>
      </c>
      <c r="H277" s="66"/>
      <c r="I277" s="49" cm="1">
        <f t="array" ref="I277">Scope3_Equations.VEERG_15_5_1_1__1_EmissionsFromPurchasedAgrichemicals($E277,IF(H277,H277,F277))</f>
        <v>0</v>
      </c>
    </row>
    <row r="278" spans="3:41" x14ac:dyDescent="0.25">
      <c r="D278" s="49" t="str">
        <v>Pesticides (generic)</v>
      </c>
      <c r="E278" s="49">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49" cm="1">
        <f t="array" ref="F278">Common_InputFunctions.Utility_LookupValueInTableNumber(D278,Table_SourceData_Scope3_Pesticides[Product],Table_SourceData_Scope3_Pesticides[AusLCI Emissions intensity])</f>
        <v>9.16</v>
      </c>
      <c r="G278" s="49" cm="1">
        <f t="array" ref="G278">Scope3_Equations.VEERG_15_5_1_1__1_EmissionsFromPurchasedAgrichemicals($E278,F278)</f>
        <v>3.6640000000000001</v>
      </c>
      <c r="H278" s="66"/>
      <c r="I278" s="49" cm="1">
        <f t="array" ref="I278">Scope3_Equations.VEERG_15_5_1_1__1_EmissionsFromPurchasedAgrichemicals($E278,IF(H278,H278,F278))</f>
        <v>3.6640000000000001</v>
      </c>
    </row>
    <row r="279" spans="3:41" x14ac:dyDescent="0.25">
      <c r="D279" s="49" t="str">
        <v>Tri-allate</v>
      </c>
      <c r="E279" s="49">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49" cm="1">
        <f t="array" ref="F279">Common_InputFunctions.Utility_LookupValueInTableNumber(D279,Table_SourceData_Scope3_Pesticides[Product],Table_SourceData_Scope3_Pesticides[AusLCI Emissions intensity])</f>
        <v>8.57</v>
      </c>
      <c r="G279" s="49" cm="1">
        <f t="array" ref="G279">Scope3_Equations.VEERG_15_5_1_1__1_EmissionsFromPurchasedAgrichemicals($E279,F279)</f>
        <v>0</v>
      </c>
      <c r="H279" s="66"/>
      <c r="I279" s="49" cm="1">
        <f t="array" ref="I279">Scope3_Equations.VEERG_15_5_1_1__1_EmissionsFromPurchasedAgrichemicals($E279,IF(H279,H279,F279))</f>
        <v>0</v>
      </c>
    </row>
    <row r="280" spans="3:41" x14ac:dyDescent="0.25">
      <c r="D280" s="49" t="str">
        <v>Tribenuron methyl</v>
      </c>
      <c r="E280" s="49">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49" cm="1">
        <f t="array" ref="F280">Common_InputFunctions.Utility_LookupValueInTableNumber(D280,Table_SourceData_Scope3_Pesticides[Product],Table_SourceData_Scope3_Pesticides[AusLCI Emissions intensity])</f>
        <v>8.8000000000000007</v>
      </c>
      <c r="G280" s="49" cm="1">
        <f t="array" ref="G280">Scope3_Equations.VEERG_15_5_1_1__1_EmissionsFromPurchasedAgrichemicals($E280,F280)</f>
        <v>0.88000000000000012</v>
      </c>
      <c r="H280" s="66"/>
      <c r="I280" s="49" cm="1">
        <f t="array" ref="I280">Scope3_Equations.VEERG_15_5_1_1__1_EmissionsFromPurchasedAgrichemicals($E280,IF(H280,H280,F280))</f>
        <v>0.88000000000000012</v>
      </c>
    </row>
    <row r="281" spans="3:41" x14ac:dyDescent="0.25">
      <c r="D281" s="49" t="str">
        <v>Trifluralin</v>
      </c>
      <c r="E281" s="49">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49" cm="1">
        <f t="array" ref="F281">Common_InputFunctions.Utility_LookupValueInTableNumber(D281,Table_SourceData_Scope3_Pesticides[Product],Table_SourceData_Scope3_Pesticides[AusLCI Emissions intensity])</f>
        <v>6.16</v>
      </c>
      <c r="G281" s="49" cm="1">
        <f t="array" ref="G281">Scope3_Equations.VEERG_15_5_1_1__1_EmissionsFromPurchasedAgrichemicals($E281,F281)</f>
        <v>0.61599999999999999</v>
      </c>
      <c r="H281" s="66"/>
      <c r="I281" s="49" cm="1">
        <f t="array" ref="I281">Scope3_Equations.VEERG_15_5_1_1__1_EmissionsFromPurchasedAgrichemicals($E281,IF(H281,H281,F281))</f>
        <v>0.61599999999999999</v>
      </c>
    </row>
    <row r="283" spans="3:41" ht="20.25" x14ac:dyDescent="0.25">
      <c r="D283" s="179" t="s">
        <v>636</v>
      </c>
      <c r="E283" s="177">
        <f>SUM(G270:G281)</f>
        <v>7.5159999999999991</v>
      </c>
      <c r="F283" s="178" t="str">
        <f>$E$155</f>
        <v>t CO2e</v>
      </c>
    </row>
    <row r="284" spans="3:41" ht="20.25" x14ac:dyDescent="0.25">
      <c r="D284" s="179" t="s">
        <v>638</v>
      </c>
      <c r="E284" s="177">
        <f>SUM(I270:I281)</f>
        <v>7.4959999999999996</v>
      </c>
      <c r="F284" s="178" t="str">
        <f>$E$155</f>
        <v>t CO2e</v>
      </c>
    </row>
    <row r="287" spans="3:41" x14ac:dyDescent="0.25">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c r="AF287" s="98"/>
      <c r="AG287" s="98"/>
      <c r="AH287" s="98"/>
      <c r="AI287" s="98"/>
      <c r="AJ287" s="98"/>
      <c r="AK287" s="98"/>
      <c r="AL287" s="98"/>
      <c r="AM287" s="98"/>
      <c r="AN287" s="98"/>
      <c r="AO287" s="98"/>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2" t="s">
        <v>629</v>
      </c>
      <c r="E290" s="172" t="str" cm="1">
        <f t="array" aca="1" ref="E290" ca="1">Common_InputFunctions.Utility_DisplayFunctionName(I305)</f>
        <v>=Scope3_Equations.VEERG_15_6_1_1__1_EmissionsFromPurchasedLime</v>
      </c>
    </row>
    <row r="293" spans="4:13" x14ac:dyDescent="0.25">
      <c r="D293" s="27" t="s">
        <v>630</v>
      </c>
      <c r="E293" s="8" t="str" cm="1">
        <f t="array" ref="E293">Scope3_Equations.VEERG_15_6_1_1__1_EmissionsFromPurchasedLime_Variable()</f>
        <v>E</v>
      </c>
    </row>
    <row r="294" spans="4:13" x14ac:dyDescent="0.25">
      <c r="D294" s="27" t="s">
        <v>97</v>
      </c>
      <c r="E294" s="8" t="str" cm="1">
        <f t="array" ref="E294">Scope3_Equations.VEERG_15_6_1_1__1_EmissionsFromPurchasedLime_Unit()</f>
        <v>t CO2e</v>
      </c>
    </row>
    <row r="296" spans="4:13" x14ac:dyDescent="0.25">
      <c r="D296" s="167" t="str" cm="1">
        <f t="array" ref="D296:E297">_xlfn.CHOOSECOLS(Scope3_Equations.VEERG_15_6_1_1__1_EmissionsFromPurchasedLime_Arguments(),1,2)</f>
        <v>M_lime</v>
      </c>
      <c r="E296" s="167" t="str">
        <v>total quantity of lime applied to soils</v>
      </c>
      <c r="F296" s="167" t="str" cm="1">
        <f t="array" ref="F296:G297">_xlfn.CHOOSECOLS(Scope3_Equations.VEERG_15_6_1_1__1_EmissionsFromPurchasedLime_Arguments(),3,4)</f>
        <v>t</v>
      </c>
      <c r="G296" s="168" t="str">
        <v>Input</v>
      </c>
    </row>
    <row r="297" spans="4:13" x14ac:dyDescent="0.25">
      <c r="D297" s="167" t="str">
        <v>EF_l</v>
      </c>
      <c r="E297" s="167" t="str">
        <v>emission factor for purchased lime</v>
      </c>
      <c r="F297" s="167" t="str">
        <v>t CO2e/t</v>
      </c>
      <c r="G297" s="169" t="str">
        <v>Constant</v>
      </c>
    </row>
    <row r="299" spans="4:13" x14ac:dyDescent="0.25">
      <c r="E299" s="57" t="s">
        <v>413</v>
      </c>
      <c r="F299" s="46" t="s">
        <v>414</v>
      </c>
    </row>
    <row r="300" spans="4:13" ht="18.75" x14ac:dyDescent="0.25">
      <c r="D300" s="8" t="s">
        <v>688</v>
      </c>
      <c r="E300" s="49" cm="1">
        <f t="array" ref="E300">Common_InputFunctions.Utility_LookupValueInTableNumber("Limestone (crushed)", Table_SourceData_Scope3_SoilAmeliorants[Product],Table_SourceData_Scope3_SoilAmeliorants[AusLCI Emissions intensity])*10^-3</f>
        <v>4.85E-5</v>
      </c>
      <c r="F300" s="66">
        <v>4.0000000000000003E-5</v>
      </c>
      <c r="G300" s="65" t="str">
        <f>$F$297</f>
        <v>t CO2e/t</v>
      </c>
    </row>
    <row r="301" spans="4:13" ht="18.75" x14ac:dyDescent="0.25">
      <c r="D301" s="8" t="s">
        <v>689</v>
      </c>
      <c r="E301" s="49" cm="1">
        <f t="array" ref="E301">Common_InputFunctions.Utility_LookupValueInTableNumber("Dolomite", Table_SourceData_Scope3_SoilAmeliorants[Product],Table_SourceData_Scope3_SoilAmeliorants[AusLCI Emissions intensity])*10^-3</f>
        <v>6.5199999999999999E-5</v>
      </c>
      <c r="F301" s="66">
        <v>6.0000000000000002E-5</v>
      </c>
      <c r="G301" s="65"/>
    </row>
    <row r="302" spans="4:13" ht="18.75" x14ac:dyDescent="0.25">
      <c r="D302" s="8" t="s">
        <v>690</v>
      </c>
      <c r="E302" s="49" cm="1">
        <f t="array" ref="E302">Common_InputFunctions.Utility_LookupValueInTableNumber("Gypsum", Table_SourceData_Scope3_SoilAmeliorants[Product],Table_SourceData_Scope3_SoilAmeliorants[AusLCI Emissions intensity])*10^-3</f>
        <v>6.5199999999999999E-5</v>
      </c>
      <c r="F302" s="66">
        <v>6.0000000000000002E-5</v>
      </c>
      <c r="G302" s="65"/>
    </row>
    <row r="304" spans="4:13" ht="17.25" x14ac:dyDescent="0.25">
      <c r="D304" s="46" t="s">
        <v>170</v>
      </c>
      <c r="E304" s="152" t="s">
        <v>686</v>
      </c>
      <c r="F304" s="46" t="s">
        <v>691</v>
      </c>
      <c r="G304" s="46" t="s">
        <v>692</v>
      </c>
      <c r="H304" s="46" t="s">
        <v>693</v>
      </c>
      <c r="I304" s="57" t="s">
        <v>636</v>
      </c>
      <c r="J304" s="57" t="s">
        <v>687</v>
      </c>
      <c r="K304" s="46" t="s">
        <v>632</v>
      </c>
      <c r="L304" s="46" t="s">
        <v>633</v>
      </c>
      <c r="M304" s="46" t="s">
        <v>634</v>
      </c>
    </row>
    <row r="305" spans="3:41" x14ac:dyDescent="0.25">
      <c r="D305" s="49" t="str" cm="1">
        <f t="array" ref="D305:D314">IFERROR(INDEX(Table_Input_Lime[Product], _xlfn.SEQUENCE(10)), "")</f>
        <v>Lime product 1</v>
      </c>
      <c r="E305" s="49" cm="1">
        <f t="array" ref="E305:E314">IFERROR(INDEX(Table_Input_Lime[Total amount applied (t)], _xlfn.SEQUENCE(10)), 0)</f>
        <v>10000</v>
      </c>
      <c r="F305" s="49" cm="1">
        <f t="array" ref="F305:F314">IFERROR(INDEX(Table_Input_Lime[Percent Lime CaCO3], _xlfn.SEQUENCE(10)), 0)*E305</f>
        <v>4000</v>
      </c>
      <c r="G305" s="49" cm="1">
        <f t="array" ref="G305:G314">IFERROR(INDEX(Table_Input_Lime[Percent Dolomite CaMg(CO3)2], _xlfn.SEQUENCE(10)), 0)*E305</f>
        <v>3000</v>
      </c>
      <c r="H305" s="49" cm="1">
        <f t="array" ref="H305:H314">IFERROR(INDEX(Table_Input_Lime[Percent Gypsum], _xlfn.SEQUENCE(10)), 0)*E305</f>
        <v>2500</v>
      </c>
      <c r="I305" s="151" cm="1">
        <f t="array" ref="I305">Scope3_Equations.VEERG_15_6_1_1__1_EmissionsFromPurchasedLime(F305,$E$300)+
Scope3_Equations.VEERG_15_6_1_1__1_EmissionsFromPurchasedLime(G305,$E$301)+
Scope3_Equations.VEERG_15_6_1_1__1_EmissionsFromPurchasedLime(H305,$E$302)</f>
        <v>0.55259999999999998</v>
      </c>
      <c r="J305" s="151" cm="1">
        <f t="array" ref="J305">Scope3_Equations.VEERG_15_6_1_1__1_EmissionsFromPurchasedLime(F305,IF($F$300,$F$300,$E$300))+
Scope3_Equations.VEERG_15_6_1_1__1_EmissionsFromPurchasedLime(G305,IF($F$301,$F$301,$E$301))+
Scope3_Equations.VEERG_15_6_1_1__1_EmissionsFromPurchasedLime(H305,IF($F$302,$F$302,$E$302))</f>
        <v>0.49</v>
      </c>
      <c r="K305" s="82"/>
      <c r="L305" s="47"/>
      <c r="M305" s="82"/>
    </row>
    <row r="306" spans="3:41" x14ac:dyDescent="0.25">
      <c r="D306" s="49" t="str">
        <v>Lime product 2</v>
      </c>
      <c r="E306" s="49">
        <v>10000</v>
      </c>
      <c r="F306" s="49">
        <v>10000</v>
      </c>
      <c r="G306" s="49">
        <v>0</v>
      </c>
      <c r="H306" s="49">
        <v>0</v>
      </c>
      <c r="I306" s="151" cm="1">
        <f t="array" ref="I306">Scope3_Equations.VEERG_15_6_1_1__1_EmissionsFromPurchasedLime(F306,$E$300)+
Scope3_Equations.VEERG_15_6_1_1__1_EmissionsFromPurchasedLime(G306,$E$301)+
Scope3_Equations.VEERG_15_6_1_1__1_EmissionsFromPurchasedLime(H306,$E$302)</f>
        <v>0.48499999999999999</v>
      </c>
      <c r="J306" s="151" cm="1">
        <f t="array" ref="J306">Scope3_Equations.VEERG_15_6_1_1__1_EmissionsFromPurchasedLime(F306,IF($F$300,$F$300,$E$300))+
Scope3_Equations.VEERG_15_6_1_1__1_EmissionsFromPurchasedLime(G306,IF($F$301,$F$301,$E$301))+
Scope3_Equations.VEERG_15_6_1_1__1_EmissionsFromPurchasedLime(H306,IF($F$302,$F$302,$E$302))</f>
        <v>0.4</v>
      </c>
      <c r="K306" s="82"/>
      <c r="L306" s="47"/>
      <c r="M306" s="82"/>
    </row>
    <row r="307" spans="3:41" x14ac:dyDescent="0.25">
      <c r="D307" s="49" t="str">
        <v/>
      </c>
      <c r="E307" s="49">
        <v>0</v>
      </c>
      <c r="F307" s="49">
        <v>0</v>
      </c>
      <c r="G307" s="49">
        <v>0</v>
      </c>
      <c r="H307" s="49">
        <v>0</v>
      </c>
      <c r="I307" s="151" cm="1">
        <f t="array" ref="I307">Scope3_Equations.VEERG_15_6_1_1__1_EmissionsFromPurchasedLime(F307,$E$300)+
Scope3_Equations.VEERG_15_6_1_1__1_EmissionsFromPurchasedLime(G307,$E$301)+
Scope3_Equations.VEERG_15_6_1_1__1_EmissionsFromPurchasedLime(H307,$E$302)</f>
        <v>0</v>
      </c>
      <c r="J307" s="151" cm="1">
        <f t="array" ref="J307">Scope3_Equations.VEERG_15_6_1_1__1_EmissionsFromPurchasedLime(F307,IF($F$300,$F$300,$E$300))+
Scope3_Equations.VEERG_15_6_1_1__1_EmissionsFromPurchasedLime(G307,IF($F$301,$F$301,$E$301))+
Scope3_Equations.VEERG_15_6_1_1__1_EmissionsFromPurchasedLime(H307,IF($F$302,$F$302,$E$302))</f>
        <v>0</v>
      </c>
      <c r="K307" s="82"/>
      <c r="L307" s="47"/>
      <c r="M307" s="82"/>
    </row>
    <row r="308" spans="3:41" x14ac:dyDescent="0.25">
      <c r="D308" s="49" t="str">
        <v/>
      </c>
      <c r="E308" s="49">
        <v>0</v>
      </c>
      <c r="F308" s="49">
        <v>0</v>
      </c>
      <c r="G308" s="49">
        <v>0</v>
      </c>
      <c r="H308" s="49">
        <v>0</v>
      </c>
      <c r="I308" s="151" cm="1">
        <f t="array" ref="I308">Scope3_Equations.VEERG_15_6_1_1__1_EmissionsFromPurchasedLime(F308,$E$300)+
Scope3_Equations.VEERG_15_6_1_1__1_EmissionsFromPurchasedLime(G308,$E$301)+
Scope3_Equations.VEERG_15_6_1_1__1_EmissionsFromPurchasedLime(H308,$E$302)</f>
        <v>0</v>
      </c>
      <c r="J308" s="151" cm="1">
        <f t="array" ref="J308">Scope3_Equations.VEERG_15_6_1_1__1_EmissionsFromPurchasedLime(F308,IF($F$300,$F$300,$E$300))+
Scope3_Equations.VEERG_15_6_1_1__1_EmissionsFromPurchasedLime(G308,IF($F$301,$F$301,$E$301))+
Scope3_Equations.VEERG_15_6_1_1__1_EmissionsFromPurchasedLime(H308,IF($F$302,$F$302,$E$302))</f>
        <v>0</v>
      </c>
      <c r="K308" s="82"/>
      <c r="L308" s="47"/>
      <c r="M308" s="82"/>
    </row>
    <row r="309" spans="3:41" x14ac:dyDescent="0.25">
      <c r="D309" s="49" t="str">
        <v/>
      </c>
      <c r="E309" s="49">
        <v>0</v>
      </c>
      <c r="F309" s="49">
        <v>0</v>
      </c>
      <c r="G309" s="49">
        <v>0</v>
      </c>
      <c r="H309" s="49">
        <v>0</v>
      </c>
      <c r="I309" s="151" cm="1">
        <f t="array" ref="I309">Scope3_Equations.VEERG_15_6_1_1__1_EmissionsFromPurchasedLime(F309,$E$300)+
Scope3_Equations.VEERG_15_6_1_1__1_EmissionsFromPurchasedLime(G309,$E$301)+
Scope3_Equations.VEERG_15_6_1_1__1_EmissionsFromPurchasedLime(H309,$E$302)</f>
        <v>0</v>
      </c>
      <c r="J309" s="151" cm="1">
        <f t="array" ref="J309">Scope3_Equations.VEERG_15_6_1_1__1_EmissionsFromPurchasedLime(F309,IF($F$300,$F$300,$E$300))+
Scope3_Equations.VEERG_15_6_1_1__1_EmissionsFromPurchasedLime(G309,IF($F$301,$F$301,$E$301))+
Scope3_Equations.VEERG_15_6_1_1__1_EmissionsFromPurchasedLime(H309,IF($F$302,$F$302,$E$302))</f>
        <v>0</v>
      </c>
      <c r="K309" s="82"/>
      <c r="L309" s="47"/>
      <c r="M309" s="82"/>
    </row>
    <row r="310" spans="3:41" x14ac:dyDescent="0.25">
      <c r="D310" s="49" t="str">
        <v/>
      </c>
      <c r="E310" s="49">
        <v>0</v>
      </c>
      <c r="F310" s="49">
        <v>0</v>
      </c>
      <c r="G310" s="49">
        <v>0</v>
      </c>
      <c r="H310" s="49">
        <v>0</v>
      </c>
      <c r="I310" s="151" cm="1">
        <f t="array" ref="I310">Scope3_Equations.VEERG_15_6_1_1__1_EmissionsFromPurchasedLime(F310,$E$300)+
Scope3_Equations.VEERG_15_6_1_1__1_EmissionsFromPurchasedLime(G310,$E$301)+
Scope3_Equations.VEERG_15_6_1_1__1_EmissionsFromPurchasedLime(H310,$E$302)</f>
        <v>0</v>
      </c>
      <c r="J310" s="151" cm="1">
        <f t="array" ref="J310">Scope3_Equations.VEERG_15_6_1_1__1_EmissionsFromPurchasedLime(F310,IF($F$300,$F$300,$E$300))+
Scope3_Equations.VEERG_15_6_1_1__1_EmissionsFromPurchasedLime(G310,IF($F$301,$F$301,$E$301))+
Scope3_Equations.VEERG_15_6_1_1__1_EmissionsFromPurchasedLime(H310,IF($F$302,$F$302,$E$302))</f>
        <v>0</v>
      </c>
      <c r="K310" s="82"/>
      <c r="L310" s="47"/>
      <c r="M310" s="82"/>
    </row>
    <row r="311" spans="3:41" x14ac:dyDescent="0.25">
      <c r="D311" s="49" t="str">
        <v/>
      </c>
      <c r="E311" s="49">
        <v>0</v>
      </c>
      <c r="F311" s="49">
        <v>0</v>
      </c>
      <c r="G311" s="49">
        <v>0</v>
      </c>
      <c r="H311" s="49">
        <v>0</v>
      </c>
      <c r="I311" s="151" cm="1">
        <f t="array" ref="I311">Scope3_Equations.VEERG_15_6_1_1__1_EmissionsFromPurchasedLime(F311,$E$300)+
Scope3_Equations.VEERG_15_6_1_1__1_EmissionsFromPurchasedLime(G311,$E$301)+
Scope3_Equations.VEERG_15_6_1_1__1_EmissionsFromPurchasedLime(H311,$E$302)</f>
        <v>0</v>
      </c>
      <c r="J311" s="151" cm="1">
        <f t="array" ref="J311">Scope3_Equations.VEERG_15_6_1_1__1_EmissionsFromPurchasedLime(F311,IF($F$300,$F$300,$E$300))+
Scope3_Equations.VEERG_15_6_1_1__1_EmissionsFromPurchasedLime(G311,IF($F$301,$F$301,$E$301))+
Scope3_Equations.VEERG_15_6_1_1__1_EmissionsFromPurchasedLime(H311,IF($F$302,$F$302,$E$302))</f>
        <v>0</v>
      </c>
      <c r="K311" s="82"/>
      <c r="L311" s="47"/>
      <c r="M311" s="82"/>
    </row>
    <row r="312" spans="3:41" x14ac:dyDescent="0.25">
      <c r="D312" s="49" t="str">
        <v/>
      </c>
      <c r="E312" s="49">
        <v>0</v>
      </c>
      <c r="F312" s="49">
        <v>0</v>
      </c>
      <c r="G312" s="49">
        <v>0</v>
      </c>
      <c r="H312" s="49">
        <v>0</v>
      </c>
      <c r="I312" s="151" cm="1">
        <f t="array" ref="I312">Scope3_Equations.VEERG_15_6_1_1__1_EmissionsFromPurchasedLime(F312,$E$300)+
Scope3_Equations.VEERG_15_6_1_1__1_EmissionsFromPurchasedLime(G312,$E$301)+
Scope3_Equations.VEERG_15_6_1_1__1_EmissionsFromPurchasedLime(H312,$E$302)</f>
        <v>0</v>
      </c>
      <c r="J312" s="151" cm="1">
        <f t="array" ref="J312">Scope3_Equations.VEERG_15_6_1_1__1_EmissionsFromPurchasedLime(F312,IF($F$300,$F$300,$E$300))+
Scope3_Equations.VEERG_15_6_1_1__1_EmissionsFromPurchasedLime(G312,IF($F$301,$F$301,$E$301))+
Scope3_Equations.VEERG_15_6_1_1__1_EmissionsFromPurchasedLime(H312,IF($F$302,$F$302,$E$302))</f>
        <v>0</v>
      </c>
      <c r="K312" s="82"/>
      <c r="L312" s="47"/>
      <c r="M312" s="82"/>
    </row>
    <row r="313" spans="3:41" x14ac:dyDescent="0.25">
      <c r="D313" s="49" t="str">
        <v/>
      </c>
      <c r="E313" s="49">
        <v>0</v>
      </c>
      <c r="F313" s="49">
        <v>0</v>
      </c>
      <c r="G313" s="49">
        <v>0</v>
      </c>
      <c r="H313" s="49">
        <v>0</v>
      </c>
      <c r="I313" s="151" cm="1">
        <f t="array" ref="I313">Scope3_Equations.VEERG_15_6_1_1__1_EmissionsFromPurchasedLime(F313,$E$300)+
Scope3_Equations.VEERG_15_6_1_1__1_EmissionsFromPurchasedLime(G313,$E$301)+
Scope3_Equations.VEERG_15_6_1_1__1_EmissionsFromPurchasedLime(H313,$E$302)</f>
        <v>0</v>
      </c>
      <c r="J313" s="151" cm="1">
        <f t="array" ref="J313">Scope3_Equations.VEERG_15_6_1_1__1_EmissionsFromPurchasedLime(F313,IF($F$300,$F$300,$E$300))+
Scope3_Equations.VEERG_15_6_1_1__1_EmissionsFromPurchasedLime(G313,IF($F$301,$F$301,$E$301))+
Scope3_Equations.VEERG_15_6_1_1__1_EmissionsFromPurchasedLime(H313,IF($F$302,$F$302,$E$302))</f>
        <v>0</v>
      </c>
      <c r="K313" s="82"/>
      <c r="L313" s="47"/>
      <c r="M313" s="82"/>
    </row>
    <row r="314" spans="3:41" x14ac:dyDescent="0.25">
      <c r="D314" s="49" t="str">
        <v/>
      </c>
      <c r="E314" s="49">
        <v>0</v>
      </c>
      <c r="F314" s="49">
        <v>0</v>
      </c>
      <c r="G314" s="49">
        <v>0</v>
      </c>
      <c r="H314" s="49">
        <v>0</v>
      </c>
      <c r="I314" s="151" cm="1">
        <f t="array" ref="I314">Scope3_Equations.VEERG_15_6_1_1__1_EmissionsFromPurchasedLime(F314,$E$300)+
Scope3_Equations.VEERG_15_6_1_1__1_EmissionsFromPurchasedLime(G314,$E$301)+
Scope3_Equations.VEERG_15_6_1_1__1_EmissionsFromPurchasedLime(H314,$E$302)</f>
        <v>0</v>
      </c>
      <c r="J314" s="151" cm="1">
        <f t="array" ref="J314">Scope3_Equations.VEERG_15_6_1_1__1_EmissionsFromPurchasedLime(F314,IF($F$300,$F$300,$E$300))+
Scope3_Equations.VEERG_15_6_1_1__1_EmissionsFromPurchasedLime(G314,IF($F$301,$F$301,$E$301))+
Scope3_Equations.VEERG_15_6_1_1__1_EmissionsFromPurchasedLime(H314,IF($F$302,$F$302,$E$302))</f>
        <v>0</v>
      </c>
      <c r="K314" s="82"/>
      <c r="L314" s="47"/>
      <c r="M314" s="82"/>
    </row>
    <row r="316" spans="3:41" ht="20.25" x14ac:dyDescent="0.25">
      <c r="D316" s="179" t="s">
        <v>636</v>
      </c>
      <c r="E316" s="177">
        <f>SUM(I305:I314)</f>
        <v>1.0375999999999999</v>
      </c>
      <c r="F316" s="178" t="str">
        <f>$E$155</f>
        <v>t CO2e</v>
      </c>
    </row>
    <row r="317" spans="3:41" ht="20.25" x14ac:dyDescent="0.25">
      <c r="D317" s="179" t="s">
        <v>638</v>
      </c>
      <c r="E317" s="177">
        <f>SUM(J305:J314)</f>
        <v>0.89</v>
      </c>
      <c r="F317" s="178" t="str">
        <f>$E$155</f>
        <v>t CO2e</v>
      </c>
    </row>
    <row r="320" spans="3:41" x14ac:dyDescent="0.25">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c r="AE320" s="98"/>
      <c r="AF320" s="98"/>
      <c r="AG320" s="98"/>
      <c r="AH320" s="98"/>
      <c r="AI320" s="98"/>
      <c r="AJ320" s="98"/>
      <c r="AK320" s="98"/>
      <c r="AL320" s="98"/>
      <c r="AM320" s="98"/>
      <c r="AN320" s="98"/>
      <c r="AO320" s="98"/>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2" t="s">
        <v>629</v>
      </c>
      <c r="E323" s="172" t="str" cm="1">
        <f t="array" aca="1" ref="E323" ca="1">Common_InputFunctions.Utility_DisplayFunctionName(K336)</f>
        <v>=Scope3_Equations.VEERG_15_7_1_1__1_EmissionsFromPurchasedServices</v>
      </c>
    </row>
    <row r="325" spans="4:15" x14ac:dyDescent="0.25">
      <c r="H325" s="8" t="s">
        <v>860</v>
      </c>
    </row>
    <row r="326" spans="4:15" x14ac:dyDescent="0.25">
      <c r="D326" s="27" t="s">
        <v>630</v>
      </c>
      <c r="E326" s="8" t="str" cm="1">
        <f t="array" ref="E326">Scope3_Equations.VEERG_15_7_1_1__1_EmissionsFromPurchasedServices_Variable()</f>
        <v>E</v>
      </c>
    </row>
    <row r="327" spans="4:15" x14ac:dyDescent="0.25">
      <c r="D327" s="27" t="s">
        <v>97</v>
      </c>
      <c r="E327" s="8" t="str" cm="1">
        <f t="array" ref="E327">Scope3_Equations.VEERG_15_7_1_1__1_EmissionsFromPurchasedServices_Unit()</f>
        <v>t CO2e</v>
      </c>
    </row>
    <row r="329" spans="4:15" x14ac:dyDescent="0.25">
      <c r="D329" s="167" t="str" cm="1">
        <f t="array" ref="D329:E331">_xlfn.CHOOSECOLS(Scope3_Equations.VEERG_15_7_1_1__1_EmissionsFromPurchasedServices_Arguments(),1,2)</f>
        <v>A_p</v>
      </c>
      <c r="E329" s="171" t="str">
        <v>activity data of the service that was purchased</v>
      </c>
      <c r="F329" s="166"/>
      <c r="G329" s="167" t="str" cm="1">
        <f t="array" ref="G329:H331">_xlfn.CHOOSECOLS(Scope3_Equations.VEERG_15_7_1_1__1_EmissionsFromPurchasedServices_Arguments(),3,4)</f>
        <v>ha or h</v>
      </c>
      <c r="H329" s="168" t="str">
        <v>Input</v>
      </c>
    </row>
    <row r="330" spans="4:15" x14ac:dyDescent="0.25">
      <c r="D330" s="167" t="str">
        <v>EF_p</v>
      </c>
      <c r="E330" s="171" t="str">
        <v>life cycle emission factor for the purchased service</v>
      </c>
      <c r="F330" s="166"/>
      <c r="G330" s="167" t="str">
        <v>kg CO2e/ha or kg CO2e/h</v>
      </c>
      <c r="H330" s="169" t="str">
        <v>Constant</v>
      </c>
    </row>
    <row r="331" spans="4:15" x14ac:dyDescent="0.25">
      <c r="D331" s="167" t="str">
        <v>p</v>
      </c>
      <c r="E331" s="171" t="str">
        <v>service type</v>
      </c>
      <c r="F331" s="166"/>
      <c r="G331" s="167" t="str">
        <v/>
      </c>
      <c r="H331" s="168" t="str">
        <v>Input</v>
      </c>
    </row>
    <row r="333" spans="4:15" x14ac:dyDescent="0.25">
      <c r="D333" s="12" t="s">
        <v>694</v>
      </c>
    </row>
    <row r="335" spans="4:15" x14ac:dyDescent="0.25">
      <c r="D335" s="46" t="s">
        <v>610</v>
      </c>
      <c r="E335" s="46" t="s">
        <v>619</v>
      </c>
      <c r="F335" s="46" t="s">
        <v>614</v>
      </c>
      <c r="G335" s="46" t="s">
        <v>126</v>
      </c>
      <c r="H335" s="57" t="s">
        <v>419</v>
      </c>
      <c r="I335" s="57" t="s">
        <v>356</v>
      </c>
      <c r="J335" s="46" t="s">
        <v>420</v>
      </c>
      <c r="K335" s="57" t="s">
        <v>357</v>
      </c>
      <c r="L335" s="57" t="s">
        <v>615</v>
      </c>
      <c r="M335" s="46" t="s">
        <v>632</v>
      </c>
      <c r="N335" s="46" t="s">
        <v>633</v>
      </c>
      <c r="O335" s="46" t="s">
        <v>634</v>
      </c>
    </row>
    <row r="336" spans="4:15" x14ac:dyDescent="0.25">
      <c r="D336" s="49" t="str" cm="1">
        <f t="array" ref="D336:D345">IFERROR(INDEX(Table_Input_ServicesAndContractors[Service provider / contractor], _xlfn.SEQUENCE(10)), "")</f>
        <v>Pete's Pickers</v>
      </c>
      <c r="E336" s="49" t="str" cm="1">
        <f t="array" ref="E336:E345">IFERROR(INDEX(Table_Input_ServicesAndContractors[Activity], _xlfn.SEQUENCE(10)), "")</f>
        <v>Fruit picking</v>
      </c>
      <c r="F336" s="49" cm="1">
        <f t="array" ref="F336:F345">IFERROR(INDEX(Table_Input_ServicesAndContractors[Total amount], _xlfn.SEQUENCE(10)), "")</f>
        <v>10000</v>
      </c>
      <c r="G336" s="49" t="str" cm="1">
        <f t="array" ref="G336:G345">IFERROR(INDEX(Table_Input_ServicesAndContractors[Amount unit], _xlfn.SEQUENCE(10)), "")</f>
        <v>Hour</v>
      </c>
      <c r="H336" s="49" t="s">
        <v>825</v>
      </c>
      <c r="I336" s="49" t="s">
        <v>825</v>
      </c>
      <c r="J336" s="66">
        <v>4</v>
      </c>
      <c r="K336" s="151" cm="1">
        <f t="array" ref="K336">Scope3_Equations.VEERG_15_7_1_1__1_EmissionsFromPurchasedServices(F336,J336)</f>
        <v>40</v>
      </c>
      <c r="L336" s="49" t="str">
        <f>"t CO2e / " &amp; G336</f>
        <v>t CO2e / Hour</v>
      </c>
      <c r="M336" s="82"/>
      <c r="N336" s="47"/>
      <c r="O336" s="82"/>
    </row>
    <row r="337" spans="3:41" x14ac:dyDescent="0.25">
      <c r="D337" s="49" t="str">
        <v>Harini's Harvesting Services Pty Ltd</v>
      </c>
      <c r="E337" s="49" t="str">
        <v>Wheat harvesting</v>
      </c>
      <c r="F337" s="49">
        <v>1000</v>
      </c>
      <c r="G337" s="49" t="str">
        <v>Hectare</v>
      </c>
      <c r="H337" s="49" t="s">
        <v>825</v>
      </c>
      <c r="I337" s="49" t="s">
        <v>825</v>
      </c>
      <c r="J337" s="66">
        <v>2</v>
      </c>
      <c r="K337" s="151" cm="1">
        <f t="array" ref="K337">Scope3_Equations.VEERG_15_7_1_1__1_EmissionsFromPurchasedServices(F337,J337)</f>
        <v>2</v>
      </c>
      <c r="L337" s="49" t="str">
        <f t="shared" ref="L337:L345" si="1">"t CO2e / " &amp; G337</f>
        <v>t CO2e / Hectare</v>
      </c>
      <c r="M337" s="82"/>
      <c r="N337" s="47"/>
      <c r="O337" s="82"/>
    </row>
    <row r="338" spans="3:41" x14ac:dyDescent="0.25">
      <c r="D338" s="49">
        <v>0</v>
      </c>
      <c r="E338" s="49">
        <v>0</v>
      </c>
      <c r="F338" s="49">
        <v>0</v>
      </c>
      <c r="G338" s="49">
        <v>0</v>
      </c>
      <c r="H338" s="49" t="s">
        <v>825</v>
      </c>
      <c r="I338" s="49" t="s">
        <v>825</v>
      </c>
      <c r="J338" s="66"/>
      <c r="K338" s="151" cm="1">
        <f t="array" ref="K338">Scope3_Equations.VEERG_15_7_1_1__1_EmissionsFromPurchasedServices(F338,J338)</f>
        <v>0</v>
      </c>
      <c r="L338" s="49" t="str">
        <f t="shared" si="1"/>
        <v>t CO2e / 0</v>
      </c>
      <c r="M338" s="82"/>
      <c r="N338" s="47"/>
      <c r="O338" s="82"/>
    </row>
    <row r="339" spans="3:41" x14ac:dyDescent="0.25">
      <c r="D339" s="49">
        <v>0</v>
      </c>
      <c r="E339" s="49">
        <v>0</v>
      </c>
      <c r="F339" s="49">
        <v>0</v>
      </c>
      <c r="G339" s="49">
        <v>0</v>
      </c>
      <c r="H339" s="49" t="s">
        <v>825</v>
      </c>
      <c r="I339" s="49" t="s">
        <v>825</v>
      </c>
      <c r="J339" s="66"/>
      <c r="K339" s="151" cm="1">
        <f t="array" ref="K339">Scope3_Equations.VEERG_15_7_1_1__1_EmissionsFromPurchasedServices(F339,J339)</f>
        <v>0</v>
      </c>
      <c r="L339" s="49" t="str">
        <f t="shared" si="1"/>
        <v>t CO2e / 0</v>
      </c>
      <c r="M339" s="82"/>
      <c r="N339" s="47"/>
      <c r="O339" s="82"/>
    </row>
    <row r="340" spans="3:41" x14ac:dyDescent="0.25">
      <c r="D340" s="49">
        <v>0</v>
      </c>
      <c r="E340" s="49">
        <v>0</v>
      </c>
      <c r="F340" s="49">
        <v>0</v>
      </c>
      <c r="G340" s="49">
        <v>0</v>
      </c>
      <c r="H340" s="49" t="s">
        <v>825</v>
      </c>
      <c r="I340" s="49" t="s">
        <v>825</v>
      </c>
      <c r="J340" s="66"/>
      <c r="K340" s="151" cm="1">
        <f t="array" ref="K340">Scope3_Equations.VEERG_15_7_1_1__1_EmissionsFromPurchasedServices(F340,J340)</f>
        <v>0</v>
      </c>
      <c r="L340" s="49" t="str">
        <f t="shared" si="1"/>
        <v>t CO2e / 0</v>
      </c>
      <c r="M340" s="82"/>
      <c r="N340" s="47"/>
      <c r="O340" s="82"/>
    </row>
    <row r="341" spans="3:41" x14ac:dyDescent="0.25">
      <c r="D341" s="49">
        <v>0</v>
      </c>
      <c r="E341" s="49">
        <v>0</v>
      </c>
      <c r="F341" s="49">
        <v>0</v>
      </c>
      <c r="G341" s="49">
        <v>0</v>
      </c>
      <c r="H341" s="49" t="s">
        <v>825</v>
      </c>
      <c r="I341" s="49" t="s">
        <v>825</v>
      </c>
      <c r="J341" s="66"/>
      <c r="K341" s="151" cm="1">
        <f t="array" ref="K341">Scope3_Equations.VEERG_15_7_1_1__1_EmissionsFromPurchasedServices(F341,J341)</f>
        <v>0</v>
      </c>
      <c r="L341" s="49" t="str">
        <f t="shared" si="1"/>
        <v>t CO2e / 0</v>
      </c>
      <c r="M341" s="82"/>
      <c r="N341" s="47"/>
      <c r="O341" s="82"/>
    </row>
    <row r="342" spans="3:41" x14ac:dyDescent="0.25">
      <c r="D342" s="49">
        <v>0</v>
      </c>
      <c r="E342" s="49">
        <v>0</v>
      </c>
      <c r="F342" s="49">
        <v>0</v>
      </c>
      <c r="G342" s="49">
        <v>0</v>
      </c>
      <c r="H342" s="49" t="s">
        <v>825</v>
      </c>
      <c r="I342" s="49" t="s">
        <v>825</v>
      </c>
      <c r="J342" s="66"/>
      <c r="K342" s="151" cm="1">
        <f t="array" ref="K342">Scope3_Equations.VEERG_15_7_1_1__1_EmissionsFromPurchasedServices(F342,J342)</f>
        <v>0</v>
      </c>
      <c r="L342" s="49" t="str">
        <f t="shared" si="1"/>
        <v>t CO2e / 0</v>
      </c>
      <c r="M342" s="82"/>
      <c r="N342" s="47"/>
      <c r="O342" s="82"/>
    </row>
    <row r="343" spans="3:41" x14ac:dyDescent="0.25">
      <c r="D343" s="49">
        <v>0</v>
      </c>
      <c r="E343" s="49">
        <v>0</v>
      </c>
      <c r="F343" s="49">
        <v>0</v>
      </c>
      <c r="G343" s="49">
        <v>0</v>
      </c>
      <c r="H343" s="49" t="s">
        <v>825</v>
      </c>
      <c r="I343" s="49" t="s">
        <v>825</v>
      </c>
      <c r="J343" s="66"/>
      <c r="K343" s="151" cm="1">
        <f t="array" ref="K343">Scope3_Equations.VEERG_15_7_1_1__1_EmissionsFromPurchasedServices(F343,J343)</f>
        <v>0</v>
      </c>
      <c r="L343" s="49" t="str">
        <f t="shared" si="1"/>
        <v>t CO2e / 0</v>
      </c>
      <c r="M343" s="82"/>
      <c r="N343" s="47"/>
      <c r="O343" s="82"/>
    </row>
    <row r="344" spans="3:41" x14ac:dyDescent="0.25">
      <c r="D344" s="49">
        <v>0</v>
      </c>
      <c r="E344" s="49">
        <v>0</v>
      </c>
      <c r="F344" s="49">
        <v>0</v>
      </c>
      <c r="G344" s="49">
        <v>0</v>
      </c>
      <c r="H344" s="49" t="s">
        <v>825</v>
      </c>
      <c r="I344" s="49" t="s">
        <v>825</v>
      </c>
      <c r="J344" s="66"/>
      <c r="K344" s="151" cm="1">
        <f t="array" ref="K344">Scope3_Equations.VEERG_15_7_1_1__1_EmissionsFromPurchasedServices(F344,J344)</f>
        <v>0</v>
      </c>
      <c r="L344" s="49" t="str">
        <f t="shared" si="1"/>
        <v>t CO2e / 0</v>
      </c>
      <c r="M344" s="82"/>
      <c r="N344" s="47"/>
      <c r="O344" s="82"/>
    </row>
    <row r="345" spans="3:41" x14ac:dyDescent="0.25">
      <c r="D345" s="49">
        <v>0</v>
      </c>
      <c r="E345" s="49">
        <v>0</v>
      </c>
      <c r="F345" s="49">
        <v>0</v>
      </c>
      <c r="G345" s="49">
        <v>0</v>
      </c>
      <c r="H345" s="49" t="s">
        <v>825</v>
      </c>
      <c r="I345" s="49" t="s">
        <v>825</v>
      </c>
      <c r="J345" s="66"/>
      <c r="K345" s="151" cm="1">
        <f t="array" ref="K345">Scope3_Equations.VEERG_15_7_1_1__1_EmissionsFromPurchasedServices(F345,J345)</f>
        <v>0</v>
      </c>
      <c r="L345" s="49" t="str">
        <f t="shared" si="1"/>
        <v>t CO2e / 0</v>
      </c>
      <c r="M345" s="82"/>
      <c r="N345" s="47"/>
      <c r="O345" s="82"/>
    </row>
    <row r="347" spans="3:41" ht="20.25" x14ac:dyDescent="0.25">
      <c r="D347" s="179" t="s">
        <v>636</v>
      </c>
      <c r="E347" s="177" t="s">
        <v>825</v>
      </c>
      <c r="F347" s="178" t="str">
        <f>$E$155</f>
        <v>t CO2e</v>
      </c>
    </row>
    <row r="348" spans="3:41" ht="20.25" x14ac:dyDescent="0.25">
      <c r="D348" s="179" t="s">
        <v>638</v>
      </c>
      <c r="E348" s="177">
        <f>SUM(K336:K345)</f>
        <v>42</v>
      </c>
      <c r="F348" s="178" t="str">
        <f>$E$155</f>
        <v>t CO2e</v>
      </c>
    </row>
    <row r="351" spans="3:41" x14ac:dyDescent="0.25">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c r="AF351" s="98"/>
      <c r="AG351" s="98"/>
      <c r="AH351" s="98"/>
      <c r="AI351" s="98"/>
      <c r="AJ351" s="98"/>
      <c r="AK351" s="98"/>
      <c r="AL351" s="98"/>
      <c r="AM351" s="98"/>
      <c r="AN351" s="98"/>
      <c r="AO351" s="98"/>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2" t="s">
        <v>629</v>
      </c>
      <c r="E355" s="172" t="str" cm="1">
        <f t="array" aca="1" ref="E355" ca="1">Common_InputFunctions.Utility_DisplayFunctionName(H367)</f>
        <v>=Scope3_Equations.VEERG_15_8_1_1__1_EmissionsFromPurchasedPackaging</v>
      </c>
    </row>
    <row r="359" spans="4:13" x14ac:dyDescent="0.25">
      <c r="D359" s="27" t="s">
        <v>630</v>
      </c>
      <c r="E359" s="8" t="str" cm="1">
        <f t="array" ref="E359">Scope3_Equations.VEERG_15_8_1_1__1_EmissionsFromPurchasedPackaging_Variable()</f>
        <v>E</v>
      </c>
    </row>
    <row r="360" spans="4:13" x14ac:dyDescent="0.25">
      <c r="D360" s="27" t="s">
        <v>97</v>
      </c>
      <c r="E360" s="13" t="str" cm="1">
        <f t="array" ref="E360">Scope3_Equations.VEERG_15_8_1_1__1_EmissionsFromPurchasedPackaging_Unit()</f>
        <v>t CO2e</v>
      </c>
    </row>
    <row r="362" spans="4:13" x14ac:dyDescent="0.25">
      <c r="D362" s="167" t="str" cm="1">
        <f t="array" ref="D362:E364">_xlfn.CHOOSECOLS(Scope3_Equations.VEERG_15_8_1_1__1_EmissionsFromPurchasedPackaging_Arguments(),1,2)</f>
        <v>Q_p</v>
      </c>
      <c r="E362" s="167" t="str">
        <v>units of packaging type p</v>
      </c>
      <c r="F362" s="167" t="str" cm="1">
        <f t="array" ref="F362:G364">_xlfn.CHOOSECOLS(Scope3_Equations.VEERG_15_8_1_1__1_EmissionsFromPurchasedPackaging_Arguments(),3,4)</f>
        <v>units</v>
      </c>
      <c r="G362" s="168" t="str">
        <v>Input</v>
      </c>
    </row>
    <row r="363" spans="4:13" x14ac:dyDescent="0.25">
      <c r="D363" s="167" t="str">
        <v>EF_p</v>
      </c>
      <c r="E363" s="167" t="str">
        <v>emission factor for packaging type p</v>
      </c>
      <c r="F363" s="167" t="str">
        <v>kg CO2e/unit</v>
      </c>
      <c r="G363" s="169" t="str">
        <v>Constant</v>
      </c>
    </row>
    <row r="364" spans="4:13" x14ac:dyDescent="0.25">
      <c r="D364" s="167" t="str">
        <v>p</v>
      </c>
      <c r="E364" s="167" t="str">
        <v>packaging type</v>
      </c>
      <c r="F364" s="167" t="str">
        <v/>
      </c>
      <c r="G364" s="168" t="str">
        <v>Input</v>
      </c>
    </row>
    <row r="366" spans="4:13" ht="17.25" x14ac:dyDescent="0.25">
      <c r="D366" s="46" t="s">
        <v>364</v>
      </c>
      <c r="E366" s="152" t="s">
        <v>409</v>
      </c>
      <c r="F366" s="152" t="s">
        <v>695</v>
      </c>
      <c r="G366" s="57" t="s">
        <v>696</v>
      </c>
      <c r="H366" s="57" t="s">
        <v>636</v>
      </c>
      <c r="I366" s="46" t="s">
        <v>697</v>
      </c>
      <c r="J366" s="57" t="s">
        <v>638</v>
      </c>
      <c r="K366" s="46" t="s">
        <v>632</v>
      </c>
      <c r="L366" s="46" t="s">
        <v>633</v>
      </c>
      <c r="M366" s="46" t="s">
        <v>634</v>
      </c>
    </row>
    <row r="367" spans="4:13" x14ac:dyDescent="0.25">
      <c r="D367" s="49" t="str" cm="1">
        <f t="array" ref="D367:D376">IFERROR(INDEX(Table_Input_Packaging[Packaging name], _xlfn.SEQUENCE(10)), "")</f>
        <v>250g punnet</v>
      </c>
      <c r="E367" s="49" t="str" cm="1">
        <f t="array" ref="E367:E376">IFERROR(INDEX(Table_Input_Packaging[Primary material], _xlfn.SEQUENCE(10)), "")</f>
        <v>Plastic sheet HDPE</v>
      </c>
      <c r="F367" s="49" cm="1">
        <f t="array" ref="F367:F376">IFERROR(INDEX(Table_Input_Packaging[Total weight purchased (kg)], _xlfn.SEQUENCE(10)), "")</f>
        <v>2000</v>
      </c>
      <c r="G367" s="49" cm="1">
        <f t="array" ref="G367">Common_InputFunctions.Utility_LookupValueInTableNumber(E367,Table_SourceData_Scope3_Packaging[Product],Table_SourceData_Scope3_Packaging[AusLCI Emissions intensity])</f>
        <v>3.72</v>
      </c>
      <c r="H367" s="151" cm="1">
        <f t="array" ref="H367">Scope3_Equations.VEERG_15_8_1_1__1_EmissionsFromPurchasedPackaging(F367,G367)</f>
        <v>7.44</v>
      </c>
      <c r="I367" s="66">
        <v>3</v>
      </c>
      <c r="J367" s="151" cm="1">
        <f t="array" ref="J367">Scope3_Equations.VEERG_15_8_1_1__1_EmissionsFromPurchasedPackaging(F367,IF(I367,I367,G367))</f>
        <v>6</v>
      </c>
      <c r="K367" s="82"/>
      <c r="L367" s="47"/>
      <c r="M367" s="82"/>
    </row>
    <row r="368" spans="4:13" x14ac:dyDescent="0.25">
      <c r="D368" s="49">
        <v>0</v>
      </c>
      <c r="E368" s="49">
        <v>0</v>
      </c>
      <c r="F368" s="49">
        <v>0</v>
      </c>
      <c r="G368" s="49" cm="1">
        <f t="array" ref="G368">Common_InputFunctions.Utility_LookupValueInTableNumber(E368,Table_SourceData_Scope3_Packaging[Product],Table_SourceData_Scope3_Packaging[AusLCI Emissions intensity])</f>
        <v>0</v>
      </c>
      <c r="H368" s="151" cm="1">
        <f t="array" ref="H368">Scope3_Equations.VEERG_15_8_1_1__1_EmissionsFromPurchasedPackaging(F368,G368)</f>
        <v>0</v>
      </c>
      <c r="I368" s="66"/>
      <c r="J368" s="151" cm="1">
        <f t="array" ref="J368">Scope3_Equations.VEERG_15_8_1_1__1_EmissionsFromPurchasedPackaging(F368,IF(I368,I368,G368))</f>
        <v>0</v>
      </c>
      <c r="K368" s="82"/>
      <c r="L368" s="47"/>
      <c r="M368" s="82"/>
    </row>
    <row r="369" spans="3:41" x14ac:dyDescent="0.25">
      <c r="D369" s="49">
        <v>0</v>
      </c>
      <c r="E369" s="49">
        <v>0</v>
      </c>
      <c r="F369" s="49">
        <v>0</v>
      </c>
      <c r="G369" s="49" cm="1">
        <f t="array" ref="G369">Common_InputFunctions.Utility_LookupValueInTableNumber(E369,Table_SourceData_Scope3_Packaging[Product],Table_SourceData_Scope3_Packaging[AusLCI Emissions intensity])</f>
        <v>0</v>
      </c>
      <c r="H369" s="151" cm="1">
        <f t="array" ref="H369">Scope3_Equations.VEERG_15_8_1_1__1_EmissionsFromPurchasedPackaging(F369,G369)</f>
        <v>0</v>
      </c>
      <c r="I369" s="66"/>
      <c r="J369" s="151" cm="1">
        <f t="array" ref="J369">Scope3_Equations.VEERG_15_8_1_1__1_EmissionsFromPurchasedPackaging(F369,IF(I369,I369,G369))</f>
        <v>0</v>
      </c>
      <c r="K369" s="82"/>
      <c r="L369" s="47"/>
      <c r="M369" s="82"/>
    </row>
    <row r="370" spans="3:41" x14ac:dyDescent="0.25">
      <c r="D370" s="49">
        <v>0</v>
      </c>
      <c r="E370" s="49">
        <v>0</v>
      </c>
      <c r="F370" s="49">
        <v>0</v>
      </c>
      <c r="G370" s="49" cm="1">
        <f t="array" ref="G370">Common_InputFunctions.Utility_LookupValueInTableNumber(E370,Table_SourceData_Scope3_Packaging[Product],Table_SourceData_Scope3_Packaging[AusLCI Emissions intensity])</f>
        <v>0</v>
      </c>
      <c r="H370" s="151" cm="1">
        <f t="array" ref="H370">Scope3_Equations.VEERG_15_8_1_1__1_EmissionsFromPurchasedPackaging(F370,G370)</f>
        <v>0</v>
      </c>
      <c r="I370" s="66"/>
      <c r="J370" s="151" cm="1">
        <f t="array" ref="J370">Scope3_Equations.VEERG_15_8_1_1__1_EmissionsFromPurchasedPackaging(F370,IF(I370,I370,G370))</f>
        <v>0</v>
      </c>
      <c r="K370" s="82"/>
      <c r="L370" s="47"/>
      <c r="M370" s="82"/>
    </row>
    <row r="371" spans="3:41" x14ac:dyDescent="0.25">
      <c r="D371" s="49">
        <v>0</v>
      </c>
      <c r="E371" s="49">
        <v>0</v>
      </c>
      <c r="F371" s="49">
        <v>0</v>
      </c>
      <c r="G371" s="49" cm="1">
        <f t="array" ref="G371">Common_InputFunctions.Utility_LookupValueInTableNumber(E371,Table_SourceData_Scope3_Packaging[Product],Table_SourceData_Scope3_Packaging[AusLCI Emissions intensity])</f>
        <v>0</v>
      </c>
      <c r="H371" s="151" cm="1">
        <f t="array" ref="H371">Scope3_Equations.VEERG_15_8_1_1__1_EmissionsFromPurchasedPackaging(F371,G371)</f>
        <v>0</v>
      </c>
      <c r="I371" s="66"/>
      <c r="J371" s="151" cm="1">
        <f t="array" ref="J371">Scope3_Equations.VEERG_15_8_1_1__1_EmissionsFromPurchasedPackaging(F371,IF(I371,I371,G371))</f>
        <v>0</v>
      </c>
      <c r="K371" s="82"/>
      <c r="L371" s="47"/>
      <c r="M371" s="82"/>
    </row>
    <row r="372" spans="3:41" x14ac:dyDescent="0.25">
      <c r="D372" s="49">
        <v>0</v>
      </c>
      <c r="E372" s="49">
        <v>0</v>
      </c>
      <c r="F372" s="49">
        <v>0</v>
      </c>
      <c r="G372" s="49" cm="1">
        <f t="array" ref="G372">Common_InputFunctions.Utility_LookupValueInTableNumber(E372,Table_SourceData_Scope3_Packaging[Product],Table_SourceData_Scope3_Packaging[AusLCI Emissions intensity])</f>
        <v>0</v>
      </c>
      <c r="H372" s="151" cm="1">
        <f t="array" ref="H372">Scope3_Equations.VEERG_15_8_1_1__1_EmissionsFromPurchasedPackaging(F372,G372)</f>
        <v>0</v>
      </c>
      <c r="I372" s="66"/>
      <c r="J372" s="151" cm="1">
        <f t="array" ref="J372">Scope3_Equations.VEERG_15_8_1_1__1_EmissionsFromPurchasedPackaging(F372,IF(I372,I372,G372))</f>
        <v>0</v>
      </c>
      <c r="K372" s="82"/>
      <c r="L372" s="47"/>
      <c r="M372" s="82"/>
    </row>
    <row r="373" spans="3:41" x14ac:dyDescent="0.25">
      <c r="D373" s="49">
        <v>0</v>
      </c>
      <c r="E373" s="49">
        <v>0</v>
      </c>
      <c r="F373" s="49">
        <v>0</v>
      </c>
      <c r="G373" s="49" cm="1">
        <f t="array" ref="G373">Common_InputFunctions.Utility_LookupValueInTableNumber(E373,Table_SourceData_Scope3_Packaging[Product],Table_SourceData_Scope3_Packaging[AusLCI Emissions intensity])</f>
        <v>0</v>
      </c>
      <c r="H373" s="151" cm="1">
        <f t="array" ref="H373">Scope3_Equations.VEERG_15_8_1_1__1_EmissionsFromPurchasedPackaging(F373,G373)</f>
        <v>0</v>
      </c>
      <c r="I373" s="66"/>
      <c r="J373" s="151" cm="1">
        <f t="array" ref="J373">Scope3_Equations.VEERG_15_8_1_1__1_EmissionsFromPurchasedPackaging(F373,IF(I373,I373,G373))</f>
        <v>0</v>
      </c>
      <c r="K373" s="82"/>
      <c r="L373" s="47"/>
      <c r="M373" s="82"/>
    </row>
    <row r="374" spans="3:41" x14ac:dyDescent="0.25">
      <c r="D374" s="49">
        <v>0</v>
      </c>
      <c r="E374" s="49">
        <v>0</v>
      </c>
      <c r="F374" s="49">
        <v>0</v>
      </c>
      <c r="G374" s="49" cm="1">
        <f t="array" ref="G374">Common_InputFunctions.Utility_LookupValueInTableNumber(E374,Table_SourceData_Scope3_Packaging[Product],Table_SourceData_Scope3_Packaging[AusLCI Emissions intensity])</f>
        <v>0</v>
      </c>
      <c r="H374" s="151" cm="1">
        <f t="array" ref="H374">Scope3_Equations.VEERG_15_8_1_1__1_EmissionsFromPurchasedPackaging(F374,G374)</f>
        <v>0</v>
      </c>
      <c r="I374" s="66"/>
      <c r="J374" s="151" cm="1">
        <f t="array" ref="J374">Scope3_Equations.VEERG_15_8_1_1__1_EmissionsFromPurchasedPackaging(F374,IF(I374,I374,G374))</f>
        <v>0</v>
      </c>
      <c r="K374" s="82"/>
      <c r="L374" s="47"/>
      <c r="M374" s="82"/>
    </row>
    <row r="375" spans="3:41" x14ac:dyDescent="0.25">
      <c r="D375" s="49">
        <v>0</v>
      </c>
      <c r="E375" s="49">
        <v>0</v>
      </c>
      <c r="F375" s="49">
        <v>0</v>
      </c>
      <c r="G375" s="49" cm="1">
        <f t="array" ref="G375">Common_InputFunctions.Utility_LookupValueInTableNumber(E375,Table_SourceData_Scope3_Packaging[Product],Table_SourceData_Scope3_Packaging[AusLCI Emissions intensity])</f>
        <v>0</v>
      </c>
      <c r="H375" s="151" cm="1">
        <f t="array" ref="H375">Scope3_Equations.VEERG_15_8_1_1__1_EmissionsFromPurchasedPackaging(F375,G375)</f>
        <v>0</v>
      </c>
      <c r="I375" s="66"/>
      <c r="J375" s="151" cm="1">
        <f t="array" ref="J375">Scope3_Equations.VEERG_15_8_1_1__1_EmissionsFromPurchasedPackaging(F375,IF(I375,I375,G375))</f>
        <v>0</v>
      </c>
      <c r="K375" s="82"/>
      <c r="L375" s="47"/>
      <c r="M375" s="82"/>
    </row>
    <row r="376" spans="3:41" x14ac:dyDescent="0.25">
      <c r="D376" s="49">
        <v>0</v>
      </c>
      <c r="E376" s="49">
        <v>0</v>
      </c>
      <c r="F376" s="49">
        <v>0</v>
      </c>
      <c r="G376" s="49" cm="1">
        <f t="array" ref="G376">Common_InputFunctions.Utility_LookupValueInTableNumber(E376,Table_SourceData_Scope3_Packaging[Product],Table_SourceData_Scope3_Packaging[AusLCI Emissions intensity])</f>
        <v>0</v>
      </c>
      <c r="H376" s="151" cm="1">
        <f t="array" ref="H376">Scope3_Equations.VEERG_15_8_1_1__1_EmissionsFromPurchasedPackaging(F376,G376)</f>
        <v>0</v>
      </c>
      <c r="I376" s="66"/>
      <c r="J376" s="151" cm="1">
        <f t="array" ref="J376">Scope3_Equations.VEERG_15_8_1_1__1_EmissionsFromPurchasedPackaging(F376,IF(I376,I376,G376))</f>
        <v>0</v>
      </c>
      <c r="K376" s="82"/>
      <c r="L376" s="47"/>
      <c r="M376" s="82"/>
    </row>
    <row r="378" spans="3:41" ht="20.25" x14ac:dyDescent="0.25">
      <c r="D378" s="179" t="s">
        <v>636</v>
      </c>
      <c r="E378" s="177">
        <f>SUM(H367:H376)</f>
        <v>7.44</v>
      </c>
      <c r="F378" s="178" t="str">
        <f>$E$155</f>
        <v>t CO2e</v>
      </c>
    </row>
    <row r="379" spans="3:41" ht="20.25" x14ac:dyDescent="0.25">
      <c r="D379" s="179" t="s">
        <v>638</v>
      </c>
      <c r="E379" s="177">
        <f>SUM(J367:J376)</f>
        <v>6</v>
      </c>
      <c r="F379" s="178" t="str">
        <f>$E$155</f>
        <v>t CO2e</v>
      </c>
    </row>
    <row r="382" spans="3:41" x14ac:dyDescent="0.25">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c r="AD382" s="98"/>
      <c r="AE382" s="98"/>
      <c r="AF382" s="98"/>
      <c r="AG382" s="98"/>
      <c r="AH382" s="98"/>
      <c r="AI382" s="98"/>
      <c r="AJ382" s="98"/>
      <c r="AK382" s="98"/>
      <c r="AL382" s="98"/>
      <c r="AM382" s="98"/>
      <c r="AN382" s="98"/>
      <c r="AO382" s="98"/>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2" t="s">
        <v>629</v>
      </c>
      <c r="E385" s="172" t="str" cm="1">
        <f t="array" aca="1" ref="E385" ca="1">Common_InputFunctions.Utility_DisplayFunctionName(J399)</f>
        <v>=Scope3_Equations.VEERG_15_9_1_1__1_EmissionsFromPurchasedGrowMedia</v>
      </c>
    </row>
    <row r="388" spans="4:14" x14ac:dyDescent="0.25">
      <c r="G388" s="172"/>
    </row>
    <row r="389" spans="4:14" x14ac:dyDescent="0.25">
      <c r="D389" s="27" t="s">
        <v>630</v>
      </c>
      <c r="E389" s="8" t="str" cm="1">
        <f t="array" ref="E389">Scope3_Equations.VEERG_15_9_1_1__1_EmissionsFromPurchasedGrowMedia_Variable()</f>
        <v>E</v>
      </c>
    </row>
    <row r="390" spans="4:14" x14ac:dyDescent="0.25">
      <c r="D390" s="27" t="s">
        <v>97</v>
      </c>
      <c r="E390" s="8" t="str" cm="1">
        <f t="array" ref="E390">Scope3_Equations.VEERG_15_9_1_1__1_EmissionsFromPurchasedGrowMedia_Unit()</f>
        <v>t CO2e</v>
      </c>
    </row>
    <row r="392" spans="4:14" x14ac:dyDescent="0.25">
      <c r="D392" s="167" t="str" cm="1">
        <f t="array" ref="D392:E394">_xlfn.CHOOSECOLS(Scope3_Equations.VEERG_15_9_1_1__1_EmissionsFromPurchasedGrowMedia_Arguments(),1,2)</f>
        <v>Q_g</v>
      </c>
      <c r="E392" s="167" t="str">
        <v>total quantity of grow media type g</v>
      </c>
      <c r="F392" s="167" t="str" cm="1">
        <f t="array" ref="F392:G394">_xlfn.CHOOSECOLS(Scope3_Equations.VEERG_15_9_1_1__1_EmissionsFromPurchasedGrowMedia_Arguments(),3,4)</f>
        <v>kg or m3</v>
      </c>
      <c r="G392" s="168" t="str">
        <v>Input</v>
      </c>
    </row>
    <row r="393" spans="4:14" x14ac:dyDescent="0.25">
      <c r="D393" s="167" t="str">
        <v>EF_g</v>
      </c>
      <c r="E393" s="167" t="str">
        <v>emission factor for grow media type g</v>
      </c>
      <c r="F393" s="167" t="str">
        <v>kg CO2e/kg or kg CO2e/m3</v>
      </c>
      <c r="G393" s="169" t="str">
        <v>Constant</v>
      </c>
    </row>
    <row r="394" spans="4:14" x14ac:dyDescent="0.25">
      <c r="D394" s="167" t="str">
        <v>g</v>
      </c>
      <c r="E394" s="167" t="str">
        <v>grow media type</v>
      </c>
      <c r="F394" s="167" t="str">
        <v/>
      </c>
      <c r="G394" s="168" t="str">
        <v>Input</v>
      </c>
    </row>
    <row r="396" spans="4:14" x14ac:dyDescent="0.25">
      <c r="D396" s="12" t="s">
        <v>694</v>
      </c>
    </row>
    <row r="398" spans="4:14" x14ac:dyDescent="0.25">
      <c r="D398" s="46" t="s">
        <v>699</v>
      </c>
      <c r="E398" s="46" t="s">
        <v>614</v>
      </c>
      <c r="F398" s="46" t="s">
        <v>126</v>
      </c>
      <c r="G398" s="57" t="s">
        <v>419</v>
      </c>
      <c r="H398" s="57" t="s">
        <v>356</v>
      </c>
      <c r="I398" s="46" t="s">
        <v>420</v>
      </c>
      <c r="J398" s="57" t="s">
        <v>357</v>
      </c>
      <c r="K398" s="57" t="s">
        <v>615</v>
      </c>
      <c r="L398" s="46" t="s">
        <v>632</v>
      </c>
      <c r="M398" s="46" t="s">
        <v>633</v>
      </c>
      <c r="N398" s="46" t="s">
        <v>634</v>
      </c>
    </row>
    <row r="399" spans="4:14" x14ac:dyDescent="0.25">
      <c r="D399" s="49" t="str" cm="1">
        <f t="array" ref="D399:D408">IFERROR(INDEX(Table_Input_GrowMedia[Grow media type], _xlfn.SEQUENCE(10)), "")</f>
        <v>Coir</v>
      </c>
      <c r="E399" s="49" cm="1">
        <f t="array" ref="E399:E408">IFERROR(INDEX(Table_Input_GrowMedia[Total amount], _xlfn.SEQUENCE(10)), "")</f>
        <v>10000</v>
      </c>
      <c r="F399" s="49" t="str" cm="1">
        <f t="array" ref="F399:F408">IFERROR(INDEX(Table_Input_GrowMedia[Amount unit], _xlfn.SEQUENCE(10)), "")</f>
        <v>kg</v>
      </c>
      <c r="G399" s="49" t="s">
        <v>825</v>
      </c>
      <c r="H399" s="49" t="s">
        <v>825</v>
      </c>
      <c r="I399" s="66">
        <v>4</v>
      </c>
      <c r="J399" s="151" cm="1">
        <f t="array" ref="J399">Scope3_Equations.VEERG_15_9_1_1__1_EmissionsFromPurchasedGrowMedia(E399,I399)</f>
        <v>40</v>
      </c>
      <c r="K399" s="49" t="str">
        <f>"t CO2e / " &amp; F399</f>
        <v>t CO2e / kg</v>
      </c>
      <c r="L399" s="82"/>
      <c r="M399" s="47"/>
      <c r="N399" s="82"/>
    </row>
    <row r="400" spans="4:14" x14ac:dyDescent="0.25">
      <c r="D400" s="49" t="str">
        <v>Peat moss</v>
      </c>
      <c r="E400" s="49">
        <v>100</v>
      </c>
      <c r="F400" s="49" t="str">
        <v>m3</v>
      </c>
      <c r="G400" s="49" t="s">
        <v>825</v>
      </c>
      <c r="H400" s="49" t="s">
        <v>825</v>
      </c>
      <c r="I400" s="66">
        <v>2</v>
      </c>
      <c r="J400" s="151" cm="1">
        <f t="array" ref="J400">Scope3_Equations.VEERG_15_9_1_1__1_EmissionsFromPurchasedGrowMedia(E400,I400)</f>
        <v>0.2</v>
      </c>
      <c r="K400" s="49" t="str">
        <f t="shared" ref="K400:K408" si="2">"t CO2e / " &amp; F400</f>
        <v>t CO2e / m3</v>
      </c>
      <c r="L400" s="82"/>
      <c r="M400" s="47"/>
      <c r="N400" s="82"/>
    </row>
    <row r="401" spans="3:41" x14ac:dyDescent="0.25">
      <c r="D401" s="49" t="str">
        <v>tiny gravel</v>
      </c>
      <c r="E401" s="49">
        <v>10000</v>
      </c>
      <c r="F401" s="49" t="str">
        <v>kg</v>
      </c>
      <c r="G401" s="49" t="s">
        <v>825</v>
      </c>
      <c r="H401" s="49" t="s">
        <v>825</v>
      </c>
      <c r="I401" s="66"/>
      <c r="J401" s="151" cm="1">
        <f t="array" ref="J401">Scope3_Equations.VEERG_15_9_1_1__1_EmissionsFromPurchasedGrowMedia(E401,I401)</f>
        <v>0</v>
      </c>
      <c r="K401" s="49" t="str">
        <f t="shared" si="2"/>
        <v>t CO2e / kg</v>
      </c>
      <c r="L401" s="82"/>
      <c r="M401" s="47"/>
      <c r="N401" s="82"/>
    </row>
    <row r="402" spans="3:41" x14ac:dyDescent="0.25">
      <c r="D402" s="49">
        <v>0</v>
      </c>
      <c r="E402" s="49">
        <v>0</v>
      </c>
      <c r="F402" s="49">
        <v>0</v>
      </c>
      <c r="G402" s="49" t="s">
        <v>825</v>
      </c>
      <c r="H402" s="49" t="s">
        <v>825</v>
      </c>
      <c r="I402" s="66"/>
      <c r="J402" s="151" cm="1">
        <f t="array" ref="J402">Scope3_Equations.VEERG_15_9_1_1__1_EmissionsFromPurchasedGrowMedia(E402,I402)</f>
        <v>0</v>
      </c>
      <c r="K402" s="49" t="str">
        <f t="shared" si="2"/>
        <v>t CO2e / 0</v>
      </c>
      <c r="L402" s="82"/>
      <c r="M402" s="47"/>
      <c r="N402" s="82"/>
    </row>
    <row r="403" spans="3:41" x14ac:dyDescent="0.25">
      <c r="D403" s="49">
        <v>0</v>
      </c>
      <c r="E403" s="49">
        <v>0</v>
      </c>
      <c r="F403" s="49">
        <v>0</v>
      </c>
      <c r="G403" s="49" t="s">
        <v>825</v>
      </c>
      <c r="H403" s="49" t="s">
        <v>825</v>
      </c>
      <c r="I403" s="66"/>
      <c r="J403" s="151" cm="1">
        <f t="array" ref="J403">Scope3_Equations.VEERG_15_9_1_1__1_EmissionsFromPurchasedGrowMedia(E403,I403)</f>
        <v>0</v>
      </c>
      <c r="K403" s="49" t="str">
        <f t="shared" si="2"/>
        <v>t CO2e / 0</v>
      </c>
      <c r="L403" s="82"/>
      <c r="M403" s="47"/>
      <c r="N403" s="82"/>
    </row>
    <row r="404" spans="3:41" x14ac:dyDescent="0.25">
      <c r="D404" s="49">
        <v>0</v>
      </c>
      <c r="E404" s="49">
        <v>0</v>
      </c>
      <c r="F404" s="49">
        <v>0</v>
      </c>
      <c r="G404" s="49" t="s">
        <v>825</v>
      </c>
      <c r="H404" s="49" t="s">
        <v>825</v>
      </c>
      <c r="I404" s="66"/>
      <c r="J404" s="151" cm="1">
        <f t="array" ref="J404">Scope3_Equations.VEERG_15_9_1_1__1_EmissionsFromPurchasedGrowMedia(E404,I404)</f>
        <v>0</v>
      </c>
      <c r="K404" s="49" t="str">
        <f t="shared" si="2"/>
        <v>t CO2e / 0</v>
      </c>
      <c r="L404" s="82"/>
      <c r="M404" s="47"/>
      <c r="N404" s="82"/>
    </row>
    <row r="405" spans="3:41" x14ac:dyDescent="0.25">
      <c r="D405" s="49">
        <v>0</v>
      </c>
      <c r="E405" s="49">
        <v>0</v>
      </c>
      <c r="F405" s="49">
        <v>0</v>
      </c>
      <c r="G405" s="49" t="s">
        <v>825</v>
      </c>
      <c r="H405" s="49" t="s">
        <v>825</v>
      </c>
      <c r="I405" s="66"/>
      <c r="J405" s="151" cm="1">
        <f t="array" ref="J405">Scope3_Equations.VEERG_15_9_1_1__1_EmissionsFromPurchasedGrowMedia(E405,I405)</f>
        <v>0</v>
      </c>
      <c r="K405" s="49" t="str">
        <f t="shared" si="2"/>
        <v>t CO2e / 0</v>
      </c>
      <c r="L405" s="82"/>
      <c r="M405" s="47"/>
      <c r="N405" s="82"/>
    </row>
    <row r="406" spans="3:41" x14ac:dyDescent="0.25">
      <c r="D406" s="49">
        <v>0</v>
      </c>
      <c r="E406" s="49">
        <v>0</v>
      </c>
      <c r="F406" s="49">
        <v>0</v>
      </c>
      <c r="G406" s="49" t="s">
        <v>825</v>
      </c>
      <c r="H406" s="49" t="s">
        <v>825</v>
      </c>
      <c r="I406" s="66"/>
      <c r="J406" s="151" cm="1">
        <f t="array" ref="J406">Scope3_Equations.VEERG_15_9_1_1__1_EmissionsFromPurchasedGrowMedia(E406,I406)</f>
        <v>0</v>
      </c>
      <c r="K406" s="49" t="str">
        <f t="shared" si="2"/>
        <v>t CO2e / 0</v>
      </c>
      <c r="L406" s="82"/>
      <c r="M406" s="47"/>
      <c r="N406" s="82"/>
    </row>
    <row r="407" spans="3:41" x14ac:dyDescent="0.25">
      <c r="D407" s="49">
        <v>0</v>
      </c>
      <c r="E407" s="49">
        <v>0</v>
      </c>
      <c r="F407" s="49">
        <v>0</v>
      </c>
      <c r="G407" s="49" t="s">
        <v>825</v>
      </c>
      <c r="H407" s="49" t="s">
        <v>825</v>
      </c>
      <c r="I407" s="66"/>
      <c r="J407" s="151" cm="1">
        <f t="array" ref="J407">Scope3_Equations.VEERG_15_9_1_1__1_EmissionsFromPurchasedGrowMedia(E407,I407)</f>
        <v>0</v>
      </c>
      <c r="K407" s="49" t="str">
        <f t="shared" si="2"/>
        <v>t CO2e / 0</v>
      </c>
      <c r="L407" s="82"/>
      <c r="M407" s="47"/>
      <c r="N407" s="82"/>
    </row>
    <row r="408" spans="3:41" x14ac:dyDescent="0.25">
      <c r="D408" s="49">
        <v>0</v>
      </c>
      <c r="E408" s="49">
        <v>0</v>
      </c>
      <c r="F408" s="49">
        <v>0</v>
      </c>
      <c r="G408" s="49" t="s">
        <v>825</v>
      </c>
      <c r="H408" s="49" t="s">
        <v>825</v>
      </c>
      <c r="I408" s="66"/>
      <c r="J408" s="151" cm="1">
        <f t="array" ref="J408">Scope3_Equations.VEERG_15_9_1_1__1_EmissionsFromPurchasedGrowMedia(E408,I408)</f>
        <v>0</v>
      </c>
      <c r="K408" s="49" t="str">
        <f t="shared" si="2"/>
        <v>t CO2e / 0</v>
      </c>
      <c r="L408" s="82"/>
      <c r="M408" s="47"/>
      <c r="N408" s="82"/>
    </row>
    <row r="410" spans="3:41" ht="20.25" x14ac:dyDescent="0.25">
      <c r="D410" s="179" t="s">
        <v>636</v>
      </c>
      <c r="E410" s="177" t="s">
        <v>825</v>
      </c>
      <c r="F410" s="178" t="str">
        <f>$E$155</f>
        <v>t CO2e</v>
      </c>
    </row>
    <row r="411" spans="3:41" ht="20.25" x14ac:dyDescent="0.25">
      <c r="D411" s="179" t="s">
        <v>638</v>
      </c>
      <c r="E411" s="177">
        <f>SUM(J399:J408)</f>
        <v>40.200000000000003</v>
      </c>
      <c r="F411" s="178" t="str">
        <f>$E$155</f>
        <v>t CO2e</v>
      </c>
    </row>
    <row r="414" spans="3:41" x14ac:dyDescent="0.25">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c r="AD414" s="98"/>
      <c r="AE414" s="98"/>
      <c r="AF414" s="98"/>
      <c r="AG414" s="98"/>
      <c r="AH414" s="98"/>
      <c r="AI414" s="98"/>
      <c r="AJ414" s="98"/>
      <c r="AK414" s="98"/>
      <c r="AL414" s="98"/>
      <c r="AM414" s="98"/>
      <c r="AN414" s="98"/>
      <c r="AO414" s="98"/>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707</v>
      </c>
    </row>
    <row r="418" spans="4:13" x14ac:dyDescent="0.25">
      <c r="D418" s="172" t="s">
        <v>629</v>
      </c>
      <c r="E418" s="172" t="str" cm="1">
        <f t="array" aca="1" ref="E418" ca="1">Common_InputFunctions.Utility_DisplayFunctionName(H430)</f>
        <v>=Scope3_Equations.VEERG_15_10_1_1__1_OtherPurchasedGoodsAndServices</v>
      </c>
    </row>
    <row r="421" spans="4:13" x14ac:dyDescent="0.25">
      <c r="D421" s="27" t="s">
        <v>630</v>
      </c>
      <c r="E421" s="8" t="str" cm="1">
        <f t="array" ref="E421">Scope3_Equations.VEERG_15_10_1_1__1_OtherPurchasedGoodsAndServices_Variable()</f>
        <v>emissions</v>
      </c>
    </row>
    <row r="422" spans="4:13" x14ac:dyDescent="0.25">
      <c r="D422" s="27" t="s">
        <v>97</v>
      </c>
      <c r="E422" s="13" t="str" cm="1">
        <f t="array" ref="E422">Scope3_Equations.VEERG_15_10_1_1__1_OtherPurchasedGoodsAndServices_Unit()</f>
        <v>t CO2e</v>
      </c>
    </row>
    <row r="424" spans="4:13" x14ac:dyDescent="0.25">
      <c r="D424" s="167" t="str" cm="1">
        <f t="array" ref="D424:E425">_xlfn.CHOOSECOLS(Scope3_Equations.VEERG_15_10_1_1__1_OtherPurchasedGoodsAndServices_Arguments(),1,2)</f>
        <v>activity_data</v>
      </c>
      <c r="E424" s="171" t="str">
        <v>measured activity for the purchased good or service</v>
      </c>
      <c r="F424" s="166"/>
      <c r="G424" s="167" t="str" cm="1">
        <f t="array" ref="G424:H425">_xlfn.CHOOSECOLS(Scope3_Equations.VEERG_15_10_1_1__1_OtherPurchasedGoodsAndServices_Arguments(),3,4)</f>
        <v>varies</v>
      </c>
      <c r="H424" s="168" t="str">
        <v>Input</v>
      </c>
    </row>
    <row r="425" spans="4:13" x14ac:dyDescent="0.25">
      <c r="D425" s="167" t="str">
        <v>emission_factor</v>
      </c>
      <c r="E425" s="171" t="str">
        <v>lifecycle emissions per unit of activity</v>
      </c>
      <c r="F425" s="166"/>
      <c r="G425" s="167" t="str">
        <v>varies</v>
      </c>
      <c r="H425" s="169" t="str">
        <v>Constant</v>
      </c>
    </row>
    <row r="427" spans="4:13" ht="18.75" x14ac:dyDescent="0.25">
      <c r="D427" s="144" t="s">
        <v>378</v>
      </c>
    </row>
    <row r="429" spans="4:13" x14ac:dyDescent="0.25">
      <c r="D429" s="46" t="s">
        <v>364</v>
      </c>
      <c r="E429" s="152" t="s">
        <v>286</v>
      </c>
      <c r="F429" s="152" t="s">
        <v>380</v>
      </c>
      <c r="G429" s="57" t="s">
        <v>358</v>
      </c>
      <c r="H429" s="57" t="s">
        <v>636</v>
      </c>
      <c r="I429" s="46" t="s">
        <v>361</v>
      </c>
      <c r="J429" s="57" t="s">
        <v>638</v>
      </c>
      <c r="K429" s="46" t="s">
        <v>632</v>
      </c>
      <c r="L429" s="46" t="s">
        <v>633</v>
      </c>
      <c r="M429" s="46" t="s">
        <v>634</v>
      </c>
    </row>
    <row r="430" spans="4:13" x14ac:dyDescent="0.25">
      <c r="D430" s="49" t="str" cm="1">
        <f t="array" ref="D430:D439">IFERROR(INDEX(Table_Input_ChemicalsCleaning[Product name], _xlfn.SEQUENCE(10)), "")</f>
        <v>Acid kleen</v>
      </c>
      <c r="E430" s="49" t="str" cm="1">
        <f t="array" ref="E430:E439">IFERROR(INDEX(Table_Input_ChemicalsCleaning[Type (select)], _xlfn.SEQUENCE(10)), "")</f>
        <v>Phosphoric acid</v>
      </c>
      <c r="F430" s="49" cm="1">
        <f t="array" ref="F430:F439">IFERROR(INDEX(Table_Input_ChemicalsCleaning[Quantity purchased (kg)], _xlfn.SEQUENCE(10)), "")</f>
        <v>100</v>
      </c>
      <c r="G430" s="49" cm="1">
        <f t="array" ref="G430">Common_InputFunctions.Utility_LookupValueInTableNumber(E430,Table_SourceData_Scope3_ChemicalsCleaning[Product],Table_SourceData_Scope3_ChemicalsCleaning[AusLCI Emissions intensity])</f>
        <v>0.90700000000000003</v>
      </c>
      <c r="H430" s="151" cm="1">
        <f t="array" ref="H430">Scope3_Equations.VEERG_15_10_1_1__1_OtherPurchasedGoodsAndServices(F430,G430*10^-3)</f>
        <v>9.0700000000000003E-2</v>
      </c>
      <c r="I430" s="66">
        <v>1.3</v>
      </c>
      <c r="J430" s="151" cm="1">
        <f t="array" ref="J430">Scope3_Equations.VEERG_15_10_1_1__1_OtherPurchasedGoodsAndServices(F430,IF(I430,I430,G430)*10^-3)</f>
        <v>0.13</v>
      </c>
      <c r="K430" s="82"/>
      <c r="L430" s="47"/>
      <c r="M430" s="82"/>
    </row>
    <row r="431" spans="4:13" x14ac:dyDescent="0.25">
      <c r="D431" s="49" t="str">
        <v>Kleen alk</v>
      </c>
      <c r="E431" s="49" t="str">
        <v>Alkaline cleaner</v>
      </c>
      <c r="F431" s="49">
        <v>100</v>
      </c>
      <c r="G431" s="49" cm="1">
        <f t="array" ref="G431">Common_InputFunctions.Utility_LookupValueInTableNumber(E431,Table_SourceData_Scope3_ChemicalsCleaning[Product],Table_SourceData_Scope3_ChemicalsCleaning[AusLCI Emissions intensity])</f>
        <v>0.72199999999999998</v>
      </c>
      <c r="H431" s="151" cm="1">
        <f t="array" ref="H431">Scope3_Equations.VEERG_15_10_1_1__1_OtherPurchasedGoodsAndServices(F431,G431*10^-3)</f>
        <v>7.22E-2</v>
      </c>
      <c r="I431" s="66">
        <v>8</v>
      </c>
      <c r="J431" s="151" cm="1">
        <f t="array" ref="J431">Scope3_Equations.VEERG_15_10_1_1__1_OtherPurchasedGoodsAndServices(F431,IF(I431,I431,G431)*10^-3)</f>
        <v>0.8</v>
      </c>
      <c r="K431" s="82"/>
      <c r="L431" s="47"/>
      <c r="M431" s="82"/>
    </row>
    <row r="432" spans="4:13" x14ac:dyDescent="0.25">
      <c r="D432" s="49" t="str">
        <v>White king</v>
      </c>
      <c r="E432" s="49" t="str">
        <v>Bleach</v>
      </c>
      <c r="F432" s="49">
        <v>100</v>
      </c>
      <c r="G432" s="49" cm="1">
        <f t="array" ref="G432">Common_InputFunctions.Utility_LookupValueInTableNumber(E432,Table_SourceData_Scope3_ChemicalsCleaning[Product],Table_SourceData_Scope3_ChemicalsCleaning[AusLCI Emissions intensity])</f>
        <v>0.80400000000000005</v>
      </c>
      <c r="H432" s="151" cm="1">
        <f t="array" ref="H432">Scope3_Equations.VEERG_15_10_1_1__1_OtherPurchasedGoodsAndServices(F432,G432*10^-3)</f>
        <v>8.0399999999999999E-2</v>
      </c>
      <c r="I432" s="66">
        <v>4</v>
      </c>
      <c r="J432" s="151" cm="1">
        <f t="array" ref="J432">Scope3_Equations.VEERG_15_10_1_1__1_OtherPurchasedGoodsAndServices(F432,IF(I432,I432,G432)*10^-3)</f>
        <v>0.4</v>
      </c>
      <c r="K432" s="82"/>
      <c r="L432" s="47"/>
      <c r="M432" s="82"/>
    </row>
    <row r="433" spans="4:13" x14ac:dyDescent="0.25">
      <c r="D433" s="49" t="str">
        <v>White king</v>
      </c>
      <c r="E433" s="49" t="str">
        <v>Bleach</v>
      </c>
      <c r="F433" s="49">
        <v>100</v>
      </c>
      <c r="G433" s="49" cm="1">
        <f t="array" ref="G433">Common_InputFunctions.Utility_LookupValueInTableNumber(E433,Table_SourceData_Scope3_ChemicalsCleaning[Product],Table_SourceData_Scope3_ChemicalsCleaning[AusLCI Emissions intensity])</f>
        <v>0.80400000000000005</v>
      </c>
      <c r="H433" s="151" cm="1">
        <f t="array" ref="H433">Scope3_Equations.VEERG_15_10_1_1__1_OtherPurchasedGoodsAndServices(F433,G433*10^-3)</f>
        <v>8.0399999999999999E-2</v>
      </c>
      <c r="I433" s="66">
        <v>3</v>
      </c>
      <c r="J433" s="151" cm="1">
        <f t="array" ref="J433">Scope3_Equations.VEERG_15_10_1_1__1_OtherPurchasedGoodsAndServices(F433,IF(I433,I433,G433)*10^-3)</f>
        <v>0.3</v>
      </c>
      <c r="K433" s="82"/>
      <c r="L433" s="47"/>
      <c r="M433" s="82"/>
    </row>
    <row r="434" spans="4:13" x14ac:dyDescent="0.25">
      <c r="D434" s="49" t="str">
        <v>Acid kleen</v>
      </c>
      <c r="E434" s="49" t="str">
        <v>Phosphoric acid</v>
      </c>
      <c r="F434" s="49">
        <v>100</v>
      </c>
      <c r="G434" s="49" cm="1">
        <f t="array" ref="G434">Common_InputFunctions.Utility_LookupValueInTableNumber(E434,Table_SourceData_Scope3_ChemicalsCleaning[Product],Table_SourceData_Scope3_ChemicalsCleaning[AusLCI Emissions intensity])</f>
        <v>0.90700000000000003</v>
      </c>
      <c r="H434" s="151" cm="1">
        <f t="array" ref="H434">Scope3_Equations.VEERG_15_10_1_1__1_OtherPurchasedGoodsAndServices(F434,G434*10^-3)</f>
        <v>9.0700000000000003E-2</v>
      </c>
      <c r="I434" s="66">
        <v>6</v>
      </c>
      <c r="J434" s="151" cm="1">
        <f t="array" ref="J434">Scope3_Equations.VEERG_15_10_1_1__1_OtherPurchasedGoodsAndServices(F434,IF(I434,I434,G434)*10^-3)</f>
        <v>0.6</v>
      </c>
      <c r="K434" s="82"/>
      <c r="L434" s="47"/>
      <c r="M434" s="82"/>
    </row>
    <row r="435" spans="4:13" x14ac:dyDescent="0.25">
      <c r="D435" s="49" t="str">
        <v>Acid kleen</v>
      </c>
      <c r="E435" s="49" t="str">
        <v>Phosphoric acid</v>
      </c>
      <c r="F435" s="49">
        <v>100</v>
      </c>
      <c r="G435" s="49" cm="1">
        <f t="array" ref="G435">Common_InputFunctions.Utility_LookupValueInTableNumber(E435,Table_SourceData_Scope3_ChemicalsCleaning[Product],Table_SourceData_Scope3_ChemicalsCleaning[AusLCI Emissions intensity])</f>
        <v>0.90700000000000003</v>
      </c>
      <c r="H435" s="151" cm="1">
        <f t="array" ref="H435">Scope3_Equations.VEERG_15_10_1_1__1_OtherPurchasedGoodsAndServices(F435,G435*10^-3)</f>
        <v>9.0700000000000003E-2</v>
      </c>
      <c r="I435" s="66">
        <v>5</v>
      </c>
      <c r="J435" s="151" cm="1">
        <f t="array" ref="J435">Scope3_Equations.VEERG_15_10_1_1__1_OtherPurchasedGoodsAndServices(F435,IF(I435,I435,G435)*10^-3)</f>
        <v>0.5</v>
      </c>
      <c r="K435" s="82"/>
      <c r="L435" s="47"/>
      <c r="M435" s="82"/>
    </row>
    <row r="436" spans="4:13" x14ac:dyDescent="0.25">
      <c r="D436" s="49">
        <v>0</v>
      </c>
      <c r="E436" s="49">
        <v>0</v>
      </c>
      <c r="F436" s="49">
        <v>0</v>
      </c>
      <c r="G436" s="49" cm="1">
        <f t="array" ref="G436">Common_InputFunctions.Utility_LookupValueInTableNumber(E436,Table_SourceData_Scope3_ChemicalsCleaning[Product],Table_SourceData_Scope3_ChemicalsCleaning[AusLCI Emissions intensity])</f>
        <v>0</v>
      </c>
      <c r="H436" s="151" cm="1">
        <f t="array" ref="H436">Scope3_Equations.VEERG_15_10_1_1__1_OtherPurchasedGoodsAndServices(F436,G436*10^-3)</f>
        <v>0</v>
      </c>
      <c r="I436" s="66"/>
      <c r="J436" s="151" cm="1">
        <f t="array" ref="J436">Scope3_Equations.VEERG_15_10_1_1__1_OtherPurchasedGoodsAndServices(F436,IF(I436,I436,G436)*10^-3)</f>
        <v>0</v>
      </c>
      <c r="K436" s="82"/>
      <c r="L436" s="47"/>
      <c r="M436" s="82"/>
    </row>
    <row r="437" spans="4:13" x14ac:dyDescent="0.25">
      <c r="D437" s="49">
        <v>0</v>
      </c>
      <c r="E437" s="49">
        <v>0</v>
      </c>
      <c r="F437" s="49">
        <v>0</v>
      </c>
      <c r="G437" s="49" cm="1">
        <f t="array" ref="G437">Common_InputFunctions.Utility_LookupValueInTableNumber(E437,Table_SourceData_Scope3_ChemicalsCleaning[Product],Table_SourceData_Scope3_ChemicalsCleaning[AusLCI Emissions intensity])</f>
        <v>0</v>
      </c>
      <c r="H437" s="151" cm="1">
        <f t="array" ref="H437">Scope3_Equations.VEERG_15_10_1_1__1_OtherPurchasedGoodsAndServices(F437,G437*10^-3)</f>
        <v>0</v>
      </c>
      <c r="I437" s="66"/>
      <c r="J437" s="151" cm="1">
        <f t="array" ref="J437">Scope3_Equations.VEERG_15_10_1_1__1_OtherPurchasedGoodsAndServices(F437,IF(I437,I437,G437)*10^-3)</f>
        <v>0</v>
      </c>
      <c r="K437" s="82"/>
      <c r="L437" s="47"/>
      <c r="M437" s="82"/>
    </row>
    <row r="438" spans="4:13" x14ac:dyDescent="0.25">
      <c r="D438" s="49">
        <v>0</v>
      </c>
      <c r="E438" s="49">
        <v>0</v>
      </c>
      <c r="F438" s="49">
        <v>0</v>
      </c>
      <c r="G438" s="49" cm="1">
        <f t="array" ref="G438">Common_InputFunctions.Utility_LookupValueInTableNumber(E438,Table_SourceData_Scope3_ChemicalsCleaning[Product],Table_SourceData_Scope3_ChemicalsCleaning[AusLCI Emissions intensity])</f>
        <v>0</v>
      </c>
      <c r="H438" s="151" cm="1">
        <f t="array" ref="H438">Scope3_Equations.VEERG_15_10_1_1__1_OtherPurchasedGoodsAndServices(F438,G438*10^-3)</f>
        <v>0</v>
      </c>
      <c r="I438" s="66"/>
      <c r="J438" s="151" cm="1">
        <f t="array" ref="J438">Scope3_Equations.VEERG_15_10_1_1__1_OtherPurchasedGoodsAndServices(F438,IF(I438,I438,G438)*10^-3)</f>
        <v>0</v>
      </c>
      <c r="K438" s="82"/>
      <c r="L438" s="47"/>
      <c r="M438" s="82"/>
    </row>
    <row r="439" spans="4:13" x14ac:dyDescent="0.25">
      <c r="D439" s="49">
        <v>0</v>
      </c>
      <c r="E439" s="49">
        <v>0</v>
      </c>
      <c r="F439" s="49">
        <v>0</v>
      </c>
      <c r="G439" s="49" cm="1">
        <f t="array" ref="G439">Common_InputFunctions.Utility_LookupValueInTableNumber(E439,Table_SourceData_Scope3_ChemicalsCleaning[Product],Table_SourceData_Scope3_ChemicalsCleaning[AusLCI Emissions intensity])</f>
        <v>0</v>
      </c>
      <c r="H439" s="151" cm="1">
        <f t="array" ref="H439">Scope3_Equations.VEERG_15_10_1_1__1_OtherPurchasedGoodsAndServices(F439,G439*10^-3)</f>
        <v>0</v>
      </c>
      <c r="I439" s="66"/>
      <c r="J439" s="151" cm="1">
        <f t="array" ref="J439">Scope3_Equations.VEERG_15_10_1_1__1_OtherPurchasedGoodsAndServices(F439,IF(I439,I439,G439)*10^-3)</f>
        <v>0</v>
      </c>
      <c r="K439" s="82"/>
      <c r="L439" s="47"/>
      <c r="M439" s="82"/>
    </row>
    <row r="441" spans="4:13" ht="20.25" x14ac:dyDescent="0.25">
      <c r="D441" s="179" t="s">
        <v>636</v>
      </c>
      <c r="E441" s="177">
        <f>SUM(H430:H439)</f>
        <v>0.50509999999999999</v>
      </c>
      <c r="F441" s="178" t="str">
        <f>$E$155</f>
        <v>t CO2e</v>
      </c>
    </row>
    <row r="442" spans="4:13" ht="20.25" x14ac:dyDescent="0.25">
      <c r="D442" s="179" t="s">
        <v>638</v>
      </c>
      <c r="E442" s="177">
        <f>SUM(J430:J439)</f>
        <v>2.73</v>
      </c>
      <c r="F442" s="178" t="str">
        <f>$E$155</f>
        <v>t CO2e</v>
      </c>
    </row>
    <row r="445" spans="4:13" ht="18.75" x14ac:dyDescent="0.25">
      <c r="D445" s="144" t="s">
        <v>379</v>
      </c>
    </row>
    <row r="447" spans="4:13" x14ac:dyDescent="0.25">
      <c r="D447" s="46" t="s">
        <v>364</v>
      </c>
      <c r="E447" s="152" t="s">
        <v>286</v>
      </c>
      <c r="F447" s="152" t="s">
        <v>377</v>
      </c>
      <c r="G447" s="57" t="s">
        <v>620</v>
      </c>
      <c r="H447" s="57" t="s">
        <v>636</v>
      </c>
      <c r="I447" s="46" t="s">
        <v>621</v>
      </c>
      <c r="J447" s="57" t="s">
        <v>638</v>
      </c>
      <c r="K447" s="46" t="s">
        <v>632</v>
      </c>
      <c r="L447" s="46" t="s">
        <v>633</v>
      </c>
      <c r="M447" s="46" t="s">
        <v>634</v>
      </c>
    </row>
    <row r="448" spans="4:13" x14ac:dyDescent="0.25">
      <c r="D448" s="49" t="str" cm="1">
        <f t="array" ref="D448:D457">IFERROR(INDEX(Table_Input_ChemicalsPharmacy[Product name], _xlfn.SEQUENCE(10)), "")</f>
        <v>Cow bug off</v>
      </c>
      <c r="E448" s="49" t="str" cm="1">
        <f t="array" ref="E448:E457">IFERROR(INDEX(Table_Input_ChemicalsPharmacy[Type (select)], _xlfn.SEQUENCE(10)), "")</f>
        <v>Parasite control for cattle (external), dipping</v>
      </c>
      <c r="F448" s="49" cm="1">
        <f t="array" ref="F448:F457">IFERROR(INDEX(Table_Input_ChemicalsCleaning[Quantity purchased (kg)], _xlfn.SEQUENCE(10)), "")</f>
        <v>100</v>
      </c>
      <c r="G448" s="49" cm="1">
        <f t="array" ref="G448">Common_InputFunctions.Utility_LookupValueInTableNumber(E448,Table_SourceData_Scope3_ChemicalsPharmacy[Product],Table_SourceData_Scope3_ChemicalsPharmacy[AusLCI Emissions intensity])</f>
        <v>5.4699999999999999E-2</v>
      </c>
      <c r="H448" s="151" cm="1">
        <f t="array" ref="H448">Scope3_Equations.VEERG_15_10_1_1__1_OtherPurchasedGoodsAndServices(F448,G448*10^-3)</f>
        <v>5.47E-3</v>
      </c>
      <c r="I448" s="66">
        <v>0.05</v>
      </c>
      <c r="J448" s="151" cm="1">
        <f t="array" ref="J448">Scope3_Equations.VEERG_15_10_1_1__1_OtherPurchasedGoodsAndServices(F448,IF(I448,I448,G448)*10^-3)</f>
        <v>5.0000000000000001E-3</v>
      </c>
      <c r="K448" s="82"/>
      <c r="L448" s="47"/>
      <c r="M448" s="82"/>
    </row>
    <row r="449" spans="4:13" x14ac:dyDescent="0.25">
      <c r="D449" s="49" t="str">
        <v>Cow worm-away</v>
      </c>
      <c r="E449" s="49" t="str">
        <v>Parasite control for cattle (internal)</v>
      </c>
      <c r="F449" s="49">
        <v>100</v>
      </c>
      <c r="G449" s="49" cm="1">
        <f t="array" ref="G449">Common_InputFunctions.Utility_LookupValueInTableNumber(E449,Table_SourceData_Scope3_ChemicalsPharmacy[Product],Table_SourceData_Scope3_ChemicalsPharmacy[AusLCI Emissions intensity])</f>
        <v>1.4200000000000001E-2</v>
      </c>
      <c r="H449" s="151" cm="1">
        <f t="array" ref="H449">Scope3_Equations.VEERG_15_10_1_1__1_OtherPurchasedGoodsAndServices(F449,G449*10^-3)</f>
        <v>1.42E-3</v>
      </c>
      <c r="I449" s="66">
        <v>0.01</v>
      </c>
      <c r="J449" s="151" cm="1">
        <f t="array" ref="J449">Scope3_Equations.VEERG_15_10_1_1__1_OtherPurchasedGoodsAndServices(F449,IF(I449,I449,G449)*10^-3)</f>
        <v>1E-3</v>
      </c>
      <c r="K449" s="82"/>
      <c r="L449" s="47"/>
      <c r="M449" s="82"/>
    </row>
    <row r="450" spans="4:13" x14ac:dyDescent="0.25">
      <c r="D450" s="49" t="str">
        <v>Sheep bug off</v>
      </c>
      <c r="E450" s="49" t="str">
        <v>Parasite control for sheep (external)</v>
      </c>
      <c r="F450" s="49">
        <v>100</v>
      </c>
      <c r="G450" s="49" cm="1">
        <f t="array" ref="G450">Common_InputFunctions.Utility_LookupValueInTableNumber(E450,Table_SourceData_Scope3_ChemicalsPharmacy[Product],Table_SourceData_Scope3_ChemicalsPharmacy[AusLCI Emissions intensity])</f>
        <v>1.43E-2</v>
      </c>
      <c r="H450" s="151" cm="1">
        <f t="array" ref="H450">Scope3_Equations.VEERG_15_10_1_1__1_OtherPurchasedGoodsAndServices(F450,G450*10^-3)</f>
        <v>1.4300000000000001E-3</v>
      </c>
      <c r="I450" s="66">
        <v>0.01</v>
      </c>
      <c r="J450" s="151" cm="1">
        <f t="array" ref="J450">Scope3_Equations.VEERG_15_10_1_1__1_OtherPurchasedGoodsAndServices(F450,IF(I450,I450,G450)*10^-3)</f>
        <v>1E-3</v>
      </c>
      <c r="K450" s="82"/>
      <c r="L450" s="47"/>
      <c r="M450" s="82"/>
    </row>
    <row r="451" spans="4:13" x14ac:dyDescent="0.25">
      <c r="D451" s="49" t="str">
        <v>Sheep worm-away</v>
      </c>
      <c r="E451" s="49" t="str">
        <v>Parasite control for sheep (internal)</v>
      </c>
      <c r="F451" s="49">
        <v>100</v>
      </c>
      <c r="G451" s="49" cm="1">
        <f t="array" ref="G451">Common_InputFunctions.Utility_LookupValueInTableNumber(E451,Table_SourceData_Scope3_ChemicalsPharmacy[Product],Table_SourceData_Scope3_ChemicalsPharmacy[AusLCI Emissions intensity])</f>
        <v>4.2599999999999999E-3</v>
      </c>
      <c r="H451" s="151" cm="1">
        <f t="array" ref="H451">Scope3_Equations.VEERG_15_10_1_1__1_OtherPurchasedGoodsAndServices(F451,G451*10^-3)</f>
        <v>4.26E-4</v>
      </c>
      <c r="I451" s="66">
        <v>4.0000000000000001E-3</v>
      </c>
      <c r="J451" s="151" cm="1">
        <f t="array" ref="J451">Scope3_Equations.VEERG_15_10_1_1__1_OtherPurchasedGoodsAndServices(F451,IF(I451,I451,G451)*10^-3)</f>
        <v>3.9999999999999996E-4</v>
      </c>
      <c r="K451" s="82"/>
      <c r="L451" s="47"/>
      <c r="M451" s="82"/>
    </row>
    <row r="452" spans="4:13" x14ac:dyDescent="0.25">
      <c r="D452" s="49" t="str">
        <v>Cow bug off</v>
      </c>
      <c r="E452" s="49" t="str">
        <v>Parasite control for cattle (external), dipping</v>
      </c>
      <c r="F452" s="49">
        <v>100</v>
      </c>
      <c r="G452" s="49" cm="1">
        <f t="array" ref="G452">Common_InputFunctions.Utility_LookupValueInTableNumber(E452,Table_SourceData_Scope3_ChemicalsPharmacy[Product],Table_SourceData_Scope3_ChemicalsPharmacy[AusLCI Emissions intensity])</f>
        <v>5.4699999999999999E-2</v>
      </c>
      <c r="H452" s="151" cm="1">
        <f t="array" ref="H452">Scope3_Equations.VEERG_15_10_1_1__1_OtherPurchasedGoodsAndServices(F452,G452*10^-3)</f>
        <v>5.47E-3</v>
      </c>
      <c r="I452" s="66">
        <v>0.05</v>
      </c>
      <c r="J452" s="151" cm="1">
        <f t="array" ref="J452">Scope3_Equations.VEERG_15_10_1_1__1_OtherPurchasedGoodsAndServices(F452,IF(I452,I452,G452)*10^-3)</f>
        <v>5.0000000000000001E-3</v>
      </c>
      <c r="K452" s="82"/>
      <c r="L452" s="47"/>
      <c r="M452" s="82"/>
    </row>
    <row r="453" spans="4:13" x14ac:dyDescent="0.25">
      <c r="D453" s="49" t="str">
        <v>Cow worm-away</v>
      </c>
      <c r="E453" s="49" t="str">
        <v>Parasite control for cattle (internal)</v>
      </c>
      <c r="F453" s="49">
        <v>100</v>
      </c>
      <c r="G453" s="49" cm="1">
        <f t="array" ref="G453">Common_InputFunctions.Utility_LookupValueInTableNumber(E453,Table_SourceData_Scope3_ChemicalsPharmacy[Product],Table_SourceData_Scope3_ChemicalsPharmacy[AusLCI Emissions intensity])</f>
        <v>1.4200000000000001E-2</v>
      </c>
      <c r="H453" s="151" cm="1">
        <f t="array" ref="H453">Scope3_Equations.VEERG_15_10_1_1__1_OtherPurchasedGoodsAndServices(F453,G453*10^-3)</f>
        <v>1.42E-3</v>
      </c>
      <c r="I453" s="66">
        <v>0.01</v>
      </c>
      <c r="J453" s="151" cm="1">
        <f t="array" ref="J453">Scope3_Equations.VEERG_15_10_1_1__1_OtherPurchasedGoodsAndServices(F453,IF(I453,I453,G453)*10^-3)</f>
        <v>1E-3</v>
      </c>
      <c r="K453" s="82"/>
      <c r="L453" s="47"/>
      <c r="M453" s="82"/>
    </row>
    <row r="454" spans="4:13" x14ac:dyDescent="0.25">
      <c r="D454" s="49">
        <v>0</v>
      </c>
      <c r="E454" s="49">
        <v>0</v>
      </c>
      <c r="F454" s="49">
        <v>0</v>
      </c>
      <c r="G454" s="49" cm="1">
        <f t="array" ref="G454">Common_InputFunctions.Utility_LookupValueInTableNumber(E454,Table_SourceData_Scope3_ChemicalsPharmacy[Product],Table_SourceData_Scope3_ChemicalsPharmacy[AusLCI Emissions intensity])</f>
        <v>0</v>
      </c>
      <c r="H454" s="151" cm="1">
        <f t="array" ref="H454">Scope3_Equations.VEERG_15_10_1_1__1_OtherPurchasedGoodsAndServices(F454,G454*10^-3)</f>
        <v>0</v>
      </c>
      <c r="I454" s="66"/>
      <c r="J454" s="151" cm="1">
        <f t="array" ref="J454">Scope3_Equations.VEERG_15_10_1_1__1_OtherPurchasedGoodsAndServices(F454,IF(I454,I454,G454)*10^-3)</f>
        <v>0</v>
      </c>
      <c r="K454" s="82"/>
      <c r="L454" s="47"/>
      <c r="M454" s="82"/>
    </row>
    <row r="455" spans="4:13" x14ac:dyDescent="0.25">
      <c r="D455" s="49">
        <v>0</v>
      </c>
      <c r="E455" s="49">
        <v>0</v>
      </c>
      <c r="F455" s="49">
        <v>0</v>
      </c>
      <c r="G455" s="49" cm="1">
        <f t="array" ref="G455">Common_InputFunctions.Utility_LookupValueInTableNumber(E455,Table_SourceData_Scope3_ChemicalsPharmacy[Product],Table_SourceData_Scope3_ChemicalsPharmacy[AusLCI Emissions intensity])</f>
        <v>0</v>
      </c>
      <c r="H455" s="151" cm="1">
        <f t="array" ref="H455">Scope3_Equations.VEERG_15_10_1_1__1_OtherPurchasedGoodsAndServices(F455,G455*10^-3)</f>
        <v>0</v>
      </c>
      <c r="I455" s="66"/>
      <c r="J455" s="151" cm="1">
        <f t="array" ref="J455">Scope3_Equations.VEERG_15_10_1_1__1_OtherPurchasedGoodsAndServices(F455,IF(I455,I455,G455)*10^-3)</f>
        <v>0</v>
      </c>
      <c r="K455" s="82"/>
      <c r="L455" s="47"/>
      <c r="M455" s="82"/>
    </row>
    <row r="456" spans="4:13" x14ac:dyDescent="0.25">
      <c r="D456" s="49">
        <v>0</v>
      </c>
      <c r="E456" s="49">
        <v>0</v>
      </c>
      <c r="F456" s="49">
        <v>0</v>
      </c>
      <c r="G456" s="49" cm="1">
        <f t="array" ref="G456">Common_InputFunctions.Utility_LookupValueInTableNumber(E456,Table_SourceData_Scope3_ChemicalsPharmacy[Product],Table_SourceData_Scope3_ChemicalsPharmacy[AusLCI Emissions intensity])</f>
        <v>0</v>
      </c>
      <c r="H456" s="151" cm="1">
        <f t="array" ref="H456">Scope3_Equations.VEERG_15_10_1_1__1_OtherPurchasedGoodsAndServices(F456,G456*10^-3)</f>
        <v>0</v>
      </c>
      <c r="I456" s="66"/>
      <c r="J456" s="151" cm="1">
        <f t="array" ref="J456">Scope3_Equations.VEERG_15_10_1_1__1_OtherPurchasedGoodsAndServices(F456,IF(I456,I456,G456)*10^-3)</f>
        <v>0</v>
      </c>
      <c r="K456" s="82"/>
      <c r="L456" s="47"/>
      <c r="M456" s="82"/>
    </row>
    <row r="457" spans="4:13" x14ac:dyDescent="0.25">
      <c r="D457" s="49">
        <v>0</v>
      </c>
      <c r="E457" s="49">
        <v>0</v>
      </c>
      <c r="F457" s="49">
        <v>0</v>
      </c>
      <c r="G457" s="49" cm="1">
        <f t="array" ref="G457">Common_InputFunctions.Utility_LookupValueInTableNumber(E457,Table_SourceData_Scope3_ChemicalsPharmacy[Product],Table_SourceData_Scope3_ChemicalsPharmacy[AusLCI Emissions intensity])</f>
        <v>0</v>
      </c>
      <c r="H457" s="151" cm="1">
        <f t="array" ref="H457">Scope3_Equations.VEERG_15_10_1_1__1_OtherPurchasedGoodsAndServices(F457,G457*10^-3)</f>
        <v>0</v>
      </c>
      <c r="I457" s="66"/>
      <c r="J457" s="151" cm="1">
        <f t="array" ref="J457">Scope3_Equations.VEERG_15_10_1_1__1_OtherPurchasedGoodsAndServices(F457,IF(I457,I457,G457)*10^-3)</f>
        <v>0</v>
      </c>
      <c r="K457" s="82"/>
      <c r="L457" s="47"/>
      <c r="M457" s="82"/>
    </row>
    <row r="459" spans="4:13" ht="20.25" x14ac:dyDescent="0.25">
      <c r="D459" s="179" t="s">
        <v>636</v>
      </c>
      <c r="E459" s="177">
        <f>SUM(H448:H457)</f>
        <v>1.5636000000000001E-2</v>
      </c>
      <c r="F459" s="178" t="str">
        <f>$E$155</f>
        <v>t CO2e</v>
      </c>
    </row>
    <row r="460" spans="4:13" ht="20.25" x14ac:dyDescent="0.25">
      <c r="D460" s="179" t="s">
        <v>638</v>
      </c>
      <c r="E460" s="177">
        <f>SUM(J448:J457)</f>
        <v>1.3400000000000002E-2</v>
      </c>
      <c r="F460" s="178" t="str">
        <f>$E$155</f>
        <v>t CO2e</v>
      </c>
    </row>
    <row r="463" spans="4:13" ht="18.75" x14ac:dyDescent="0.25">
      <c r="D463" s="144" t="s">
        <v>415</v>
      </c>
    </row>
    <row r="465" spans="4:12" x14ac:dyDescent="0.25">
      <c r="D465" s="46" t="s">
        <v>170</v>
      </c>
      <c r="E465" s="46" t="s">
        <v>708</v>
      </c>
      <c r="F465" s="57" t="s">
        <v>620</v>
      </c>
      <c r="G465" s="57" t="s">
        <v>636</v>
      </c>
      <c r="H465" s="46" t="s">
        <v>621</v>
      </c>
      <c r="I465" s="57" t="s">
        <v>638</v>
      </c>
      <c r="J465" s="46" t="s">
        <v>632</v>
      </c>
      <c r="K465" s="46" t="s">
        <v>633</v>
      </c>
      <c r="L465" s="46" t="s">
        <v>634</v>
      </c>
    </row>
    <row r="466" spans="4:12" x14ac:dyDescent="0.25">
      <c r="D466" s="49" t="str">
        <f>'Input - Crop pasture farm input'!D23</f>
        <v>Barley grain (for seed)</v>
      </c>
      <c r="E466" s="49">
        <f>X_Cell_FarmInputs_Seed_BarleyGrain</f>
        <v>500</v>
      </c>
      <c r="F466" s="49" cm="1">
        <f t="array" ref="F466">Common_InputFunctions.Utility_LookupValueInTableNumber(D466,Table_SourceData_Scope3_Other[Product],Table_SourceData_Scope3_Other[AusLCI Emissions intensity])</f>
        <v>0.23899999999999999</v>
      </c>
      <c r="G466" s="151" cm="1">
        <f t="array" ref="G466">Scope3_Equations.VEERG_15_10_1_1__1_OtherPurchasedGoodsAndServices(E466,F466*10^-3)</f>
        <v>0.1195</v>
      </c>
      <c r="H466" s="66">
        <v>0.2</v>
      </c>
      <c r="I466" s="151" cm="1">
        <f t="array" ref="I466">Scope3_Equations.VEERG_15_10_1_1__1_OtherPurchasedGoodsAndServices(E466,IF(H466,H466,F466)*10^-3)</f>
        <v>0.1</v>
      </c>
      <c r="J466" s="82"/>
      <c r="K466" s="47"/>
      <c r="L466" s="82"/>
    </row>
    <row r="467" spans="4:12" x14ac:dyDescent="0.25">
      <c r="D467" s="49" t="str">
        <f>'Input - Crop pasture farm input'!D24</f>
        <v>Maize grain (for seed)</v>
      </c>
      <c r="E467" s="49">
        <f>X_Cell_FarmInputs_Seed_MaizeGrain</f>
        <v>600</v>
      </c>
      <c r="F467" s="49" cm="1">
        <f t="array" ref="F467">Common_InputFunctions.Utility_LookupValueInTableNumber(D467,Table_SourceData_Scope3_Other[Product],Table_SourceData_Scope3_Other[AusLCI Emissions intensity])</f>
        <v>0.18099999999999999</v>
      </c>
      <c r="G467" s="151" cm="1">
        <f t="array" ref="G467">Scope3_Equations.VEERG_15_10_1_1__1_OtherPurchasedGoodsAndServices(E467,F467*10^-3)</f>
        <v>0.1086</v>
      </c>
      <c r="H467" s="66"/>
      <c r="I467" s="151" cm="1">
        <f t="array" ref="I467">Scope3_Equations.VEERG_15_10_1_1__1_OtherPurchasedGoodsAndServices(E467,IF(H467,H467,F467)*10^-3)</f>
        <v>0.1086</v>
      </c>
      <c r="J467" s="82"/>
      <c r="K467" s="47"/>
      <c r="L467" s="82"/>
    </row>
    <row r="468" spans="4:12" x14ac:dyDescent="0.25">
      <c r="D468" s="49" t="str">
        <f>'Input - Crop pasture farm input'!D25</f>
        <v>Oat grain (for seed)</v>
      </c>
      <c r="E468" s="49">
        <f>X_Cell_FarmInputs_Seed_OatGrain</f>
        <v>700</v>
      </c>
      <c r="F468" s="49" cm="1">
        <f t="array" ref="F468">Common_InputFunctions.Utility_LookupValueInTableNumber(D468,Table_SourceData_Scope3_Other[Product],Table_SourceData_Scope3_Other[AusLCI Emissions intensity])</f>
        <v>0.27</v>
      </c>
      <c r="G468" s="151" cm="1">
        <f t="array" ref="G468">Scope3_Equations.VEERG_15_10_1_1__1_OtherPurchasedGoodsAndServices(E468,F468*10^-3)</f>
        <v>0.189</v>
      </c>
      <c r="H468" s="66">
        <v>0.2</v>
      </c>
      <c r="I468" s="151" cm="1">
        <f t="array" ref="I468">Scope3_Equations.VEERG_15_10_1_1__1_OtherPurchasedGoodsAndServices(E468,IF(H468,H468,F468)*10^-3)</f>
        <v>0.14000000000000001</v>
      </c>
      <c r="J468" s="82"/>
      <c r="K468" s="47"/>
      <c r="L468" s="82"/>
    </row>
    <row r="469" spans="4:12" x14ac:dyDescent="0.25">
      <c r="D469" s="49" t="str">
        <f>'Input - Crop pasture farm input'!D26</f>
        <v>Sorghum grain (for seed)</v>
      </c>
      <c r="E469" s="49">
        <f>X_Cell_FarmInputs_Seed_SorghumGrain</f>
        <v>800</v>
      </c>
      <c r="F469" s="49" cm="1">
        <f t="array" ref="F469">Common_InputFunctions.Utility_LookupValueInTableNumber(D469,Table_SourceData_Scope3_Other[Product],Table_SourceData_Scope3_Other[AusLCI Emissions intensity])</f>
        <v>0.23200000000000001</v>
      </c>
      <c r="G469" s="151" cm="1">
        <f t="array" ref="G469">Scope3_Equations.VEERG_15_10_1_1__1_OtherPurchasedGoodsAndServices(E469,F469*10^-3)</f>
        <v>0.18560000000000001</v>
      </c>
      <c r="H469" s="66"/>
      <c r="I469" s="151" cm="1">
        <f t="array" ref="I469">Scope3_Equations.VEERG_15_10_1_1__1_OtherPurchasedGoodsAndServices(E469,IF(H469,H469,F469)*10^-3)</f>
        <v>0.18560000000000001</v>
      </c>
      <c r="J469" s="82"/>
      <c r="K469" s="47"/>
      <c r="L469" s="82"/>
    </row>
    <row r="470" spans="4:12" x14ac:dyDescent="0.25">
      <c r="D470" s="49" t="str">
        <f>'Input - Crop pasture farm input'!D27</f>
        <v>Wheat grain (for seed)</v>
      </c>
      <c r="E470" s="49">
        <f>X_Cell_FarmInputs_Seed_WheatGrain</f>
        <v>900</v>
      </c>
      <c r="F470" s="49" cm="1">
        <f t="array" ref="F470">Common_InputFunctions.Utility_LookupValueInTableNumber(D470,Table_SourceData_Scope3_Other[Product],Table_SourceData_Scope3_Other[AusLCI Emissions intensity])</f>
        <v>0.26800000000000002</v>
      </c>
      <c r="G470" s="151" cm="1">
        <f t="array" ref="G470">Scope3_Equations.VEERG_15_10_1_1__1_OtherPurchasedGoodsAndServices(E470,F470*10^-3)</f>
        <v>0.2412</v>
      </c>
      <c r="H470" s="66">
        <v>0.2</v>
      </c>
      <c r="I470" s="151" cm="1">
        <f t="array" ref="I470">Scope3_Equations.VEERG_15_10_1_1__1_OtherPurchasedGoodsAndServices(E470,IF(H470,H470,F470)*10^-3)</f>
        <v>0.18000000000000002</v>
      </c>
      <c r="J470" s="82"/>
      <c r="K470" s="47"/>
      <c r="L470" s="82"/>
    </row>
    <row r="472" spans="4:12" ht="20.25" x14ac:dyDescent="0.25">
      <c r="D472" s="179" t="s">
        <v>636</v>
      </c>
      <c r="E472" s="177">
        <f>SUM(G466:G470)</f>
        <v>0.84389999999999998</v>
      </c>
      <c r="F472" s="178" t="str">
        <f>$E$155</f>
        <v>t CO2e</v>
      </c>
    </row>
    <row r="473" spans="4:12" ht="20.25" x14ac:dyDescent="0.25">
      <c r="D473" s="179" t="s">
        <v>638</v>
      </c>
      <c r="E473" s="177">
        <f>SUM(I466:I470)</f>
        <v>0.71420000000000006</v>
      </c>
      <c r="F473" s="178" t="str">
        <f>$E$155</f>
        <v>t CO2e</v>
      </c>
    </row>
    <row r="476" spans="4:12" ht="18.75" x14ac:dyDescent="0.25">
      <c r="D476" s="144" t="s">
        <v>709</v>
      </c>
    </row>
    <row r="478" spans="4:12" x14ac:dyDescent="0.25">
      <c r="D478" s="46" t="s">
        <v>170</v>
      </c>
      <c r="E478" s="46" t="s">
        <v>708</v>
      </c>
      <c r="F478" s="57" t="s">
        <v>620</v>
      </c>
      <c r="G478" s="57" t="s">
        <v>636</v>
      </c>
      <c r="H478" s="46" t="s">
        <v>621</v>
      </c>
      <c r="I478" s="57" t="s">
        <v>638</v>
      </c>
      <c r="J478" s="46" t="s">
        <v>632</v>
      </c>
      <c r="K478" s="46" t="s">
        <v>633</v>
      </c>
      <c r="L478" s="46" t="s">
        <v>634</v>
      </c>
    </row>
    <row r="479" spans="4:12" x14ac:dyDescent="0.25">
      <c r="D479" s="49" t="str">
        <f>'Input - Livestock farm Inputs'!D47</f>
        <v>Animal ear tags (large)</v>
      </c>
      <c r="E479" s="49">
        <f>X_Cell_FarmInputs_Misc_AnimalEarTagsLarge</f>
        <v>100</v>
      </c>
      <c r="F479" s="49" cm="1">
        <f t="array" ref="F479">Common_InputFunctions.Utility_LookupValueInTableNumber(D479,Table_SourceData_Scope3_Other[Product],Table_SourceData_Scope3_Other[AusLCI Emissions intensity])</f>
        <v>4.24E-2</v>
      </c>
      <c r="G479" s="151" cm="1">
        <f t="array" ref="G479">Scope3_Equations.VEERG_15_10_1_1__1_OtherPurchasedGoodsAndServices(E479,F479*10^-3)</f>
        <v>4.2399999999999998E-3</v>
      </c>
      <c r="H479" s="66">
        <v>0.2</v>
      </c>
      <c r="I479" s="151" cm="1">
        <f t="array" ref="I479">Scope3_Equations.VEERG_15_10_1_1__1_OtherPurchasedGoodsAndServices(E479,IF(H479,H479,F479)*10^-3)</f>
        <v>0.02</v>
      </c>
      <c r="J479" s="82"/>
      <c r="K479" s="47"/>
      <c r="L479" s="82"/>
    </row>
    <row r="480" spans="4:12" x14ac:dyDescent="0.25">
      <c r="D480" s="49" t="str">
        <f>'Input - Livestock farm Inputs'!D48</f>
        <v>Animal ear tags (small)</v>
      </c>
      <c r="E480" s="49">
        <f>X_Cell_FarmInputs_Misc_AnimalEarTagsSmall</f>
        <v>200</v>
      </c>
      <c r="F480" s="49" cm="1">
        <f t="array" ref="F480">Common_InputFunctions.Utility_LookupValueInTableNumber(D480,Table_SourceData_Scope3_Other[Product],Table_SourceData_Scope3_Other[AusLCI Emissions intensity])</f>
        <v>2.93E-2</v>
      </c>
      <c r="G480" s="151" cm="1">
        <f t="array" ref="G480">Scope3_Equations.VEERG_15_10_1_1__1_OtherPurchasedGoodsAndServices(E480,F480*10^-3)</f>
        <v>5.8599999999999998E-3</v>
      </c>
      <c r="H480" s="66"/>
      <c r="I480" s="151" cm="1">
        <f t="array" ref="I480">Scope3_Equations.VEERG_15_10_1_1__1_OtherPurchasedGoodsAndServices(E480,IF(H480,H480,F480)*10^-3)</f>
        <v>5.8599999999999998E-3</v>
      </c>
      <c r="J480" s="82"/>
      <c r="K480" s="47"/>
      <c r="L480" s="82"/>
    </row>
    <row r="481" spans="4:14" x14ac:dyDescent="0.25">
      <c r="D481" s="49" t="str">
        <f>'Input - Hort farm Inputs'!D5</f>
        <v>Nylon netting</v>
      </c>
      <c r="E481" s="49">
        <f>X_Cell_FarmInputs_Misc_NylonNetting</f>
        <v>300</v>
      </c>
      <c r="F481" s="49" cm="1">
        <f t="array" ref="F481">Common_InputFunctions.Utility_LookupValueInTableNumber(D481,Table_SourceData_Scope3_Other[Product],Table_SourceData_Scope3_Other[AusLCI Emissions intensity])</f>
        <v>9.81</v>
      </c>
      <c r="G481" s="151" cm="1">
        <f t="array" ref="G481">Scope3_Equations.VEERG_15_10_1_1__1_OtherPurchasedGoodsAndServices(E481,F481*10^-3)</f>
        <v>2.9430000000000005</v>
      </c>
      <c r="H481" s="66">
        <v>0.2</v>
      </c>
      <c r="I481" s="151" cm="1">
        <f t="array" ref="I481">Scope3_Equations.VEERG_15_10_1_1__1_OtherPurchasedGoodsAndServices(E481,IF(H481,H481,F481)*10^-3)</f>
        <v>6.0000000000000005E-2</v>
      </c>
      <c r="J481" s="82"/>
      <c r="K481" s="47"/>
      <c r="L481" s="82"/>
    </row>
    <row r="483" spans="4:14" ht="20.25" x14ac:dyDescent="0.25">
      <c r="D483" s="179" t="s">
        <v>636</v>
      </c>
      <c r="E483" s="177">
        <f>SUM(G479:G481)</f>
        <v>2.9531000000000005</v>
      </c>
      <c r="F483" s="178" t="str">
        <f>$E$155</f>
        <v>t CO2e</v>
      </c>
    </row>
    <row r="484" spans="4:14" ht="20.25" x14ac:dyDescent="0.25">
      <c r="D484" s="179" t="s">
        <v>638</v>
      </c>
      <c r="E484" s="177">
        <f>SUM(I479:I481)</f>
        <v>8.5860000000000006E-2</v>
      </c>
      <c r="F484" s="178" t="str">
        <f>$E$155</f>
        <v>t CO2e</v>
      </c>
    </row>
    <row r="487" spans="4:14" ht="18.75" x14ac:dyDescent="0.25">
      <c r="D487" s="144" t="s">
        <v>710</v>
      </c>
    </row>
    <row r="489" spans="4:14" x14ac:dyDescent="0.25">
      <c r="D489" s="46" t="s">
        <v>170</v>
      </c>
      <c r="E489" s="46" t="s">
        <v>602</v>
      </c>
      <c r="F489" s="46" t="s">
        <v>126</v>
      </c>
      <c r="G489" s="57" t="s">
        <v>419</v>
      </c>
      <c r="H489" s="57" t="s">
        <v>356</v>
      </c>
      <c r="I489" s="46" t="s">
        <v>420</v>
      </c>
      <c r="J489" s="46" t="s">
        <v>705</v>
      </c>
      <c r="K489" s="57" t="s">
        <v>357</v>
      </c>
      <c r="L489" s="46" t="s">
        <v>632</v>
      </c>
      <c r="M489" s="46" t="s">
        <v>633</v>
      </c>
      <c r="N489" s="46" t="s">
        <v>634</v>
      </c>
    </row>
    <row r="490" spans="4:14" x14ac:dyDescent="0.25">
      <c r="D490" s="49" t="str" cm="1">
        <f t="array" ref="D490:D499">IFERROR(INDEX(Table_Input_UncategorisedProductsServices[Product / service name], _xlfn.SEQUENCE(10)), "")</f>
        <v>Something</v>
      </c>
      <c r="E490" s="49" cm="1">
        <f t="array" ref="E490:E499">IFERROR(INDEX(Table_Input_UncategorisedProductsServices[Amount], _xlfn.SEQUENCE(10)), "")</f>
        <v>1000</v>
      </c>
      <c r="F490" s="49" t="str" cm="1">
        <f t="array" ref="F490:F499">IFERROR(INDEX(Table_Input_UncategorisedProductsServices[Amount unit], _xlfn.SEQUENCE(10)), "")</f>
        <v>kg</v>
      </c>
      <c r="G490" s="49" t="s">
        <v>825</v>
      </c>
      <c r="H490" s="49" t="s">
        <v>825</v>
      </c>
      <c r="I490" s="66">
        <v>4</v>
      </c>
      <c r="J490" s="47" t="s">
        <v>706</v>
      </c>
      <c r="K490" s="151" cm="1">
        <f t="array" ref="K490">Scope3_Equations.VEERG_15_10_1_1__1_OtherPurchasedGoodsAndServices(E490,IF(J490="kg / amount unit", I490*10^-3, I490))</f>
        <v>4000</v>
      </c>
      <c r="L490" s="82"/>
      <c r="M490" s="47"/>
      <c r="N490" s="82"/>
    </row>
    <row r="491" spans="4:14" x14ac:dyDescent="0.25">
      <c r="D491" s="49">
        <v>0</v>
      </c>
      <c r="E491" s="49">
        <v>0</v>
      </c>
      <c r="F491" s="49">
        <v>0</v>
      </c>
      <c r="G491" s="49" t="s">
        <v>825</v>
      </c>
      <c r="H491" s="49" t="s">
        <v>825</v>
      </c>
      <c r="I491" s="66">
        <v>2</v>
      </c>
      <c r="J491" s="47" t="s">
        <v>706</v>
      </c>
      <c r="K491" s="151" cm="1">
        <f t="array" ref="K491">Scope3_Equations.VEERG_15_10_1_1__1_OtherPurchasedGoodsAndServices(E491,IF(J491="kg / amount unit", I491*10^-3, I491))</f>
        <v>0</v>
      </c>
      <c r="L491" s="82"/>
      <c r="M491" s="47"/>
      <c r="N491" s="82"/>
    </row>
    <row r="492" spans="4:14" x14ac:dyDescent="0.25">
      <c r="D492" s="49">
        <v>0</v>
      </c>
      <c r="E492" s="49">
        <v>0</v>
      </c>
      <c r="F492" s="49">
        <v>0</v>
      </c>
      <c r="G492" s="49" t="s">
        <v>825</v>
      </c>
      <c r="H492" s="49" t="s">
        <v>825</v>
      </c>
      <c r="I492" s="66"/>
      <c r="J492" s="47"/>
      <c r="K492" s="151" cm="1">
        <f t="array" ref="K492">Scope3_Equations.VEERG_15_10_1_1__1_OtherPurchasedGoodsAndServices(E492,IF(J492="kg / amount unit", I492*10^-3, I492))</f>
        <v>0</v>
      </c>
      <c r="L492" s="82"/>
      <c r="M492" s="47"/>
      <c r="N492" s="82"/>
    </row>
    <row r="493" spans="4:14" x14ac:dyDescent="0.25">
      <c r="D493" s="49">
        <v>0</v>
      </c>
      <c r="E493" s="49">
        <v>0</v>
      </c>
      <c r="F493" s="49">
        <v>0</v>
      </c>
      <c r="G493" s="49" t="s">
        <v>825</v>
      </c>
      <c r="H493" s="49" t="s">
        <v>825</v>
      </c>
      <c r="I493" s="66"/>
      <c r="J493" s="47"/>
      <c r="K493" s="151" cm="1">
        <f t="array" ref="K493">Scope3_Equations.VEERG_15_10_1_1__1_OtherPurchasedGoodsAndServices(E493,IF(J493="kg / amount unit", I493*10^-3, I493))</f>
        <v>0</v>
      </c>
      <c r="L493" s="82"/>
      <c r="M493" s="47"/>
      <c r="N493" s="82"/>
    </row>
    <row r="494" spans="4:14" x14ac:dyDescent="0.25">
      <c r="D494" s="49">
        <v>0</v>
      </c>
      <c r="E494" s="49">
        <v>0</v>
      </c>
      <c r="F494" s="49">
        <v>0</v>
      </c>
      <c r="G494" s="49" t="s">
        <v>825</v>
      </c>
      <c r="H494" s="49" t="s">
        <v>825</v>
      </c>
      <c r="I494" s="66"/>
      <c r="J494" s="47"/>
      <c r="K494" s="151" cm="1">
        <f t="array" ref="K494">Scope3_Equations.VEERG_15_10_1_1__1_OtherPurchasedGoodsAndServices(E494,IF(J494="kg / amount unit", I494*10^-3, I494))</f>
        <v>0</v>
      </c>
      <c r="L494" s="82"/>
      <c r="M494" s="47"/>
      <c r="N494" s="82"/>
    </row>
    <row r="495" spans="4:14" x14ac:dyDescent="0.25">
      <c r="D495" s="49">
        <v>0</v>
      </c>
      <c r="E495" s="49">
        <v>0</v>
      </c>
      <c r="F495" s="49">
        <v>0</v>
      </c>
      <c r="G495" s="49" t="s">
        <v>825</v>
      </c>
      <c r="H495" s="49" t="s">
        <v>825</v>
      </c>
      <c r="I495" s="66"/>
      <c r="J495" s="47"/>
      <c r="K495" s="151" cm="1">
        <f t="array" ref="K495">Scope3_Equations.VEERG_15_10_1_1__1_OtherPurchasedGoodsAndServices(E495,IF(J495="kg / amount unit", I495*10^-3, I495))</f>
        <v>0</v>
      </c>
      <c r="L495" s="82"/>
      <c r="M495" s="47"/>
      <c r="N495" s="82"/>
    </row>
    <row r="496" spans="4:14" x14ac:dyDescent="0.25">
      <c r="D496" s="49">
        <v>0</v>
      </c>
      <c r="E496" s="49">
        <v>0</v>
      </c>
      <c r="F496" s="49">
        <v>0</v>
      </c>
      <c r="G496" s="49" t="s">
        <v>825</v>
      </c>
      <c r="H496" s="49" t="s">
        <v>825</v>
      </c>
      <c r="I496" s="66"/>
      <c r="J496" s="47"/>
      <c r="K496" s="151" cm="1">
        <f t="array" ref="K496">Scope3_Equations.VEERG_15_10_1_1__1_OtherPurchasedGoodsAndServices(E496,IF(J496="kg / amount unit", I496*10^-3, I496))</f>
        <v>0</v>
      </c>
      <c r="L496" s="82"/>
      <c r="M496" s="47"/>
      <c r="N496" s="82"/>
    </row>
    <row r="497" spans="3:41" x14ac:dyDescent="0.25">
      <c r="D497" s="49">
        <v>0</v>
      </c>
      <c r="E497" s="49">
        <v>0</v>
      </c>
      <c r="F497" s="49">
        <v>0</v>
      </c>
      <c r="G497" s="49" t="s">
        <v>825</v>
      </c>
      <c r="H497" s="49" t="s">
        <v>825</v>
      </c>
      <c r="I497" s="66"/>
      <c r="J497" s="47"/>
      <c r="K497" s="151" cm="1">
        <f t="array" ref="K497">Scope3_Equations.VEERG_15_10_1_1__1_OtherPurchasedGoodsAndServices(E497,IF(J497="kg / amount unit", I497*10^-3, I497))</f>
        <v>0</v>
      </c>
      <c r="L497" s="82"/>
      <c r="M497" s="47"/>
      <c r="N497" s="82"/>
    </row>
    <row r="498" spans="3:41" x14ac:dyDescent="0.25">
      <c r="D498" s="49">
        <v>0</v>
      </c>
      <c r="E498" s="49">
        <v>0</v>
      </c>
      <c r="F498" s="49">
        <v>0</v>
      </c>
      <c r="G498" s="49" t="s">
        <v>825</v>
      </c>
      <c r="H498" s="49" t="s">
        <v>825</v>
      </c>
      <c r="I498" s="66"/>
      <c r="J498" s="47"/>
      <c r="K498" s="151" cm="1">
        <f t="array" ref="K498">Scope3_Equations.VEERG_15_10_1_1__1_OtherPurchasedGoodsAndServices(E498,IF(J498="kg / amount unit", I498*10^-3, I498))</f>
        <v>0</v>
      </c>
      <c r="L498" s="82"/>
      <c r="M498" s="47"/>
      <c r="N498" s="82"/>
    </row>
    <row r="499" spans="3:41" x14ac:dyDescent="0.25">
      <c r="D499" s="49">
        <v>0</v>
      </c>
      <c r="E499" s="49">
        <v>0</v>
      </c>
      <c r="F499" s="49">
        <v>0</v>
      </c>
      <c r="G499" s="49" t="s">
        <v>825</v>
      </c>
      <c r="H499" s="49" t="s">
        <v>825</v>
      </c>
      <c r="I499" s="66"/>
      <c r="J499" s="47"/>
      <c r="K499" s="151" cm="1">
        <f t="array" ref="K499">Scope3_Equations.VEERG_15_10_1_1__1_OtherPurchasedGoodsAndServices(E499,IF(J499="kg / amount unit", I499*10^-3, I499))</f>
        <v>0</v>
      </c>
      <c r="L499" s="82"/>
      <c r="M499" s="47"/>
      <c r="N499" s="82"/>
    </row>
    <row r="501" spans="3:41" ht="20.25" x14ac:dyDescent="0.25">
      <c r="D501" s="179" t="s">
        <v>636</v>
      </c>
      <c r="E501" s="177" t="s">
        <v>825</v>
      </c>
      <c r="F501" s="178" t="str">
        <f>$E$155</f>
        <v>t CO2e</v>
      </c>
    </row>
    <row r="502" spans="3:41" ht="20.25" x14ac:dyDescent="0.25">
      <c r="D502" s="179" t="s">
        <v>638</v>
      </c>
      <c r="E502" s="177">
        <f>SUM(K490:K499)</f>
        <v>4000</v>
      </c>
      <c r="F502" s="178" t="str">
        <f>$E$155</f>
        <v>t CO2e</v>
      </c>
    </row>
    <row r="505" spans="3:41" x14ac:dyDescent="0.25">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c r="AN505" s="98"/>
      <c r="AO505" s="98"/>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2" t="s">
        <v>629</v>
      </c>
      <c r="E508" s="172" t="str">
        <f ca="1">Common_InputFunctions.Utility_DisplayFunctionName(VEERG_15_11_1_1__1_TotalUpstreamEmissionsFromFuel_Result)</f>
        <v>=Scope3_Equations.VEERG_15_11_1_1__1_TotalUpstreamEmissionsFromFuel</v>
      </c>
    </row>
    <row r="512" spans="3:41" x14ac:dyDescent="0.25">
      <c r="D512" s="27" t="s">
        <v>630</v>
      </c>
      <c r="E512" s="8" t="str" cm="1">
        <f t="array" ref="E512">Scope3_Equations.VEERG_15_11_1_1__1_TotalUpstreamEmissionsFromFuel_Variable()</f>
        <v>E</v>
      </c>
    </row>
    <row r="513" spans="3:41" x14ac:dyDescent="0.25">
      <c r="D513" s="27" t="s">
        <v>97</v>
      </c>
      <c r="E513" s="13" t="str" cm="1">
        <f t="array" ref="E513">Scope3_Equations.VEERG_15_11_1_1__1_TotalUpstreamEmissionsFromFuel_Unit()</f>
        <v>t CO2e</v>
      </c>
    </row>
    <row r="515" spans="3:41" x14ac:dyDescent="0.25">
      <c r="D515" s="167" t="str" cm="1">
        <f t="array" ref="D515:E516">_xlfn.CHOOSECOLS(Scope3_Equations.VEERG_15_11_1_1__1_TotalUpstreamEmissionsFromFuel_Arguments(),1,2)</f>
        <v>E_WTTtransq</v>
      </c>
      <c r="E515" s="171" t="str">
        <v>upstream emissions from scope 1 transport fuel use</v>
      </c>
      <c r="F515" s="166"/>
      <c r="G515" s="167" t="str" cm="1">
        <f t="array" ref="G515:H516">_xlfn.CHOOSECOLS(Scope3_Equations.VEERG_15_11_1_1__1_TotalUpstreamEmissionsFromFuel_Arguments(),3,4)</f>
        <v>t CO2e</v>
      </c>
      <c r="H515" s="169" t="str">
        <v>Calculated by 15.11.1.1 (2)</v>
      </c>
      <c r="I515" s="167">
        <f>VEERG_8_1_1_1__1_FuelCombustionTransport_Result</f>
        <v>0.13355600000000001</v>
      </c>
    </row>
    <row r="516" spans="3:41" x14ac:dyDescent="0.25">
      <c r="D516" s="167" t="str">
        <v>E_WTTSCq</v>
      </c>
      <c r="E516" s="171" t="str">
        <v>upstream emissions from scope 1 stationary combustion fuel use</v>
      </c>
      <c r="F516" s="166"/>
      <c r="G516" s="167" t="str">
        <v>t CO2e</v>
      </c>
      <c r="H516" s="169" t="str">
        <v>Calculated by 15.11.1.1 (3)</v>
      </c>
      <c r="I516" s="167">
        <f>VEERG_8_2_1_1__1_FuelCombustionStationary_Result</f>
        <v>2.6200000000000004E-3</v>
      </c>
    </row>
    <row r="518" spans="3:41" ht="20.25" x14ac:dyDescent="0.25">
      <c r="D518" s="179" t="s">
        <v>744</v>
      </c>
      <c r="E518" s="177" cm="1">
        <f t="array" ref="E518">Scope3_Equations.VEERG_15_11_1_1__1_TotalUpstreamEmissionsFromFuel(I515,I516)</f>
        <v>0.13617600000000002</v>
      </c>
      <c r="F518" s="178" t="str">
        <f>$E$155</f>
        <v>t CO2e</v>
      </c>
    </row>
    <row r="520" spans="3:41" x14ac:dyDescent="0.25">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c r="AF520" s="98"/>
      <c r="AG520" s="98"/>
      <c r="AH520" s="98"/>
      <c r="AI520" s="98"/>
      <c r="AJ520" s="98"/>
      <c r="AK520" s="98"/>
      <c r="AL520" s="98"/>
      <c r="AM520" s="98"/>
      <c r="AN520" s="98"/>
      <c r="AO520" s="98"/>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2" t="s">
        <v>629</v>
      </c>
      <c r="E523" s="172" t="str">
        <f ca="1">Common_InputFunctions.Utility_DisplayFunctionName(VEERG_15_12_1_1__1_UpstreamPurchasedElectricityLocationBased_Result)</f>
        <v>=Scope3_Equations.VEERG_15_12_1_1__1_UpstreamPurchasedElectricityLocationBased</v>
      </c>
    </row>
    <row r="526" spans="3:41" x14ac:dyDescent="0.25">
      <c r="D526" s="27" t="s">
        <v>630</v>
      </c>
      <c r="E526" s="8" t="str" cm="1">
        <f t="array" ref="E526">Scope3_Equations.VEERG_15_12_1_1__1_UpstreamPurchasedElectricityLocationBased_Variable()</f>
        <v>E_3elec</v>
      </c>
    </row>
    <row r="527" spans="3:41" x14ac:dyDescent="0.25">
      <c r="D527" s="27" t="s">
        <v>97</v>
      </c>
      <c r="E527" s="8" t="str" cm="1">
        <f t="array" ref="E527">Scope3_Equations.VEERG_15_12_1_1__1_UpstreamPurchasedElectricityLocationBased_Unit()</f>
        <v>t CO2e</v>
      </c>
    </row>
    <row r="529" spans="3:41" x14ac:dyDescent="0.25">
      <c r="D529" s="167" t="str" cm="1">
        <f t="array" ref="D529:E531">_xlfn.CHOOSECOLS(Scope3_Equations.VEERG_15_12_1_1__1_UpstreamPurchasedElectricityLocationBased_Arguments(),1,2)</f>
        <v>Q_elec</v>
      </c>
      <c r="E529" s="167" t="str">
        <v>amount of electricity purchased from the grid</v>
      </c>
      <c r="F529" s="167"/>
      <c r="G529" s="167" t="str" cm="1">
        <f t="array" ref="G529:H531">_xlfn.CHOOSECOLS(Scope3_Equations.VEERG_15_12_1_1__1_UpstreamPurchasedElectricityLocationBased_Arguments(),3,4)</f>
        <v>kWh</v>
      </c>
      <c r="H529" s="168" t="str">
        <v>Input</v>
      </c>
      <c r="I529" s="171">
        <f>X_Cell_Electricity_Location_AmountPurchasedInkWh</f>
        <v>500</v>
      </c>
      <c r="J529" s="166"/>
    </row>
    <row r="530" spans="3:41" x14ac:dyDescent="0.25">
      <c r="D530" s="167" t="str">
        <v>EF_3elec</v>
      </c>
      <c r="E530" s="167" t="str">
        <v>scope 3 emission factor for purchased electricity</v>
      </c>
      <c r="F530" s="167"/>
      <c r="G530" s="167" t="str">
        <v>kg CO2e/kWh</v>
      </c>
      <c r="H530" s="169" t="str">
        <v>Constant</v>
      </c>
      <c r="I530" s="171" cm="1">
        <f t="array" ref="I530">Common_InputFunctions.Utility_LookupValueInTableNumber(I531,Table_SourceData_ElectricityEFs[State, Territory or grid description],Table_SourceData_ElectricityEFs[Scope 3 Emission Factors (kg CO2-e/kWh)])</f>
        <v>0.06</v>
      </c>
      <c r="J530" s="166"/>
    </row>
    <row r="531" spans="3:41" x14ac:dyDescent="0.25">
      <c r="D531" s="167" t="str">
        <v>g</v>
      </c>
      <c r="E531" s="171" t="str">
        <v>grid electricity was purchased from</v>
      </c>
      <c r="F531" s="166"/>
      <c r="G531" s="167" t="str">
        <v/>
      </c>
      <c r="H531" s="168" t="str">
        <v>Input</v>
      </c>
      <c r="I531" s="171" t="str">
        <f>X_Cell_Electricity_Location_GridElectricityPurchasedFrom</f>
        <v>Western Australia - South West Interconnected System (SWIS)</v>
      </c>
      <c r="J531" s="166"/>
    </row>
    <row r="533" spans="3:41" ht="20.25" x14ac:dyDescent="0.25">
      <c r="D533" s="179" t="s">
        <v>745</v>
      </c>
      <c r="E533" s="177" cm="1">
        <f t="array" ref="E533">Scope3_Equations.VEERG_15_12_1_1__1_UpstreamPurchasedElectricityLocationBased(I529,I530)</f>
        <v>0.03</v>
      </c>
      <c r="F533" s="178" t="str">
        <f>$E$155</f>
        <v>t CO2e</v>
      </c>
    </row>
    <row r="536" spans="3:41" x14ac:dyDescent="0.25">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c r="AD536" s="98"/>
      <c r="AE536" s="98"/>
      <c r="AF536" s="98"/>
      <c r="AG536" s="98"/>
      <c r="AH536" s="98"/>
      <c r="AI536" s="98"/>
      <c r="AJ536" s="98"/>
      <c r="AK536" s="98"/>
      <c r="AL536" s="98"/>
      <c r="AM536" s="98"/>
      <c r="AN536" s="98"/>
      <c r="AO536" s="98"/>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2" t="s">
        <v>629</v>
      </c>
      <c r="E540" s="172" t="str">
        <f ca="1">Common_InputFunctions.Utility_DisplayFunctionName(VEERG_15_12_1_2__1_UpstreamPurchasedElectricityMarketBasedVariation_Result)</f>
        <v>=Scope3_Equations.VEERG_15_12_1_2__1_UpstreamPurchasedElectricityMarketBasedVariation</v>
      </c>
    </row>
    <row r="544" spans="3:41" x14ac:dyDescent="0.25">
      <c r="D544" s="27" t="s">
        <v>630</v>
      </c>
      <c r="E544" s="8" t="str" cm="1">
        <f t="array" ref="E544">Scope3_Equations.VEERG_15_12_1_2__1_UpstreamPurchasedElectricityMarketBased_Variable()</f>
        <v>E_3elec</v>
      </c>
    </row>
    <row r="545" spans="3:41" x14ac:dyDescent="0.25">
      <c r="D545" s="27" t="s">
        <v>97</v>
      </c>
      <c r="E545" s="8" t="str" cm="1">
        <f t="array" ref="E545">Scope3_Equations.VEERG_15_12_1_2__1_UpstreamPurchasedElectricityMarketBased_Unit()</f>
        <v>t CO2e</v>
      </c>
    </row>
    <row r="547" spans="3:41" x14ac:dyDescent="0.25">
      <c r="D547" s="167" t="str" cm="1">
        <f t="array" ref="D547:E553">_xlfn.CHOOSECOLS(Scope3_Equations.VEERG_15_12_1_2__1_UpstreamPurchasedElectricityMarketBased_Arguments(),1,2)</f>
        <v>Q_elec</v>
      </c>
      <c r="E547" s="171" t="str">
        <v>amount of electricity purchased from the grid</v>
      </c>
      <c r="F547" s="166"/>
      <c r="G547" s="167" t="str" cm="1">
        <f t="array" ref="G547:H553">_xlfn.CHOOSECOLS(Scope3_Equations.VEERG_15_12_1_2__1_UpstreamPurchasedElectricityMarketBased_Arguments(),3,4)</f>
        <v>kWh</v>
      </c>
      <c r="H547" s="168" t="str">
        <v>Input</v>
      </c>
      <c r="I547" s="204">
        <f>X_Cell_Electricity_Market_AmountPurchasedExcludingGreenPower</f>
        <v>30000</v>
      </c>
    </row>
    <row r="548" spans="3:41" x14ac:dyDescent="0.25">
      <c r="D548" s="167" t="str">
        <v>RPP</v>
      </c>
      <c r="E548" s="171" t="str">
        <v>renewable power percentage under LRET for the applicable period</v>
      </c>
      <c r="F548" s="166"/>
      <c r="G548" s="167" t="str">
        <v>fraction</v>
      </c>
      <c r="H548" s="168" t="str">
        <v>Input</v>
      </c>
      <c r="I548" s="203">
        <f>X_Cell_Electricity_Market_RenewablePowerPercentage</f>
        <v>0.1</v>
      </c>
    </row>
    <row r="549" spans="3:41" x14ac:dyDescent="0.25">
      <c r="D549" s="167" t="str">
        <v>JRPP</v>
      </c>
      <c r="E549" s="171" t="str">
        <v>jurisdictional renewable power percentage for the applicable period</v>
      </c>
      <c r="F549" s="166"/>
      <c r="G549" s="167" t="str">
        <v>fraction</v>
      </c>
      <c r="H549" s="168" t="str">
        <v>Input</v>
      </c>
      <c r="I549" s="203">
        <f>X_Cell_Electricity_Market_JurisdictionalRenewablePowerPercentage</f>
        <v>0.1</v>
      </c>
    </row>
    <row r="550" spans="3:41" x14ac:dyDescent="0.25">
      <c r="D550" s="167" t="str">
        <v>REC_surrendered</v>
      </c>
      <c r="E550" s="171" t="str">
        <v>eligible renewable energy certificates voluntarily surrendered</v>
      </c>
      <c r="F550" s="166"/>
      <c r="G550" s="167" t="str">
        <v>MWh</v>
      </c>
      <c r="H550" s="168" t="str">
        <v>Input</v>
      </c>
      <c r="I550" s="167">
        <f>(X_Cell_Electricity_Market_AmountPurchasedGreenPower*10^-3)+X_Cell_TotalElegibleVoluntarilySurrenderedRECs</f>
        <v>20</v>
      </c>
    </row>
    <row r="551" spans="3:41" x14ac:dyDescent="0.25">
      <c r="D551" s="167" t="str">
        <v>REC_onsite</v>
      </c>
      <c r="E551" s="171" t="str">
        <v>eligible renewable energy certificates issued for onsite generated electricity</v>
      </c>
      <c r="F551" s="166"/>
      <c r="G551" s="167" t="str">
        <v>MWh</v>
      </c>
      <c r="H551" s="168" t="str">
        <v>Input</v>
      </c>
      <c r="I551" s="167">
        <f>X_Cell_TotalElegibleRECsForElectricityProducedOnSite</f>
        <v>11</v>
      </c>
    </row>
    <row r="552" spans="3:41" x14ac:dyDescent="0.25">
      <c r="D552" s="167" t="str">
        <v>EF_RMF3elec</v>
      </c>
      <c r="E552" s="171" t="str">
        <v>scope 3 residual mix emission factor for electricity</v>
      </c>
      <c r="F552" s="166"/>
      <c r="G552" s="167" t="str">
        <v>kg CO2e/kWh</v>
      </c>
      <c r="H552" s="169" t="str">
        <v>Constant</v>
      </c>
      <c r="I552" s="167" cm="1">
        <f t="array" ref="I552">Table_SourceData_ElectricityEFsMarketBased[Scope 3 EF (kg CO2-e/kWh)]</f>
        <v>0.1</v>
      </c>
    </row>
    <row r="553" spans="3:41" x14ac:dyDescent="0.25">
      <c r="D553" s="167" t="str">
        <v>i</v>
      </c>
      <c r="E553" s="171" t="str">
        <v>state</v>
      </c>
      <c r="F553" s="166"/>
      <c r="G553" s="167" t="str">
        <v/>
      </c>
      <c r="H553" s="168" t="str">
        <v>Input</v>
      </c>
      <c r="I553" s="167" t="str">
        <f>X_Cell_Site_State</f>
        <v>ACT</v>
      </c>
    </row>
    <row r="555" spans="3:41" ht="20.25" x14ac:dyDescent="0.25">
      <c r="D555" s="179" t="s">
        <v>745</v>
      </c>
      <c r="E555" s="177" cm="1">
        <f t="array" ref="E555">Scope3_Equations.VEERG_15_12_1_2__1_UpstreamPurchasedElectricityMarketBasedVariation(I547,I548,I549,I550,I551,I552)</f>
        <v>1.5</v>
      </c>
      <c r="F555" s="178" t="str">
        <f>$E$155</f>
        <v>t CO2e</v>
      </c>
    </row>
    <row r="558" spans="3:41" x14ac:dyDescent="0.25">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c r="AF558" s="98"/>
      <c r="AG558" s="98"/>
      <c r="AH558" s="98"/>
      <c r="AI558" s="98"/>
      <c r="AJ558" s="98"/>
      <c r="AK558" s="98"/>
      <c r="AL558" s="98"/>
      <c r="AM558" s="98"/>
      <c r="AN558" s="98"/>
      <c r="AO558" s="98"/>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8" x14ac:dyDescent="0.25">
      <c r="D561" s="172" t="s">
        <v>629</v>
      </c>
      <c r="E561" s="172" t="str" cm="1">
        <f t="array" aca="1" ref="E561" ca="1">Common_InputFunctions.Utility_DisplayFunctionName(E573)</f>
        <v>=Scope3_Equations.VEERG_15_13_1_1__1_EmissionsFromManureSentOffSite</v>
      </c>
    </row>
    <row r="564" spans="4:18" x14ac:dyDescent="0.25">
      <c r="D564" s="27" t="s">
        <v>630</v>
      </c>
      <c r="E564" s="8" t="str" cm="1">
        <f t="array" ref="E564">Scope3_Equations.VEERG_15_13_1_1__1_EmissionsFromManureSentOffSite_Variable()</f>
        <v>E</v>
      </c>
    </row>
    <row r="565" spans="4:18" x14ac:dyDescent="0.25">
      <c r="D565" s="27" t="s">
        <v>97</v>
      </c>
      <c r="E565" s="13" t="str" cm="1">
        <f t="array" ref="E565">Scope3_Equations.VEERG_15_13_1_1__1_EmissionsFromManureSentOffSite_Unit()</f>
        <v>t N2O</v>
      </c>
    </row>
    <row r="567" spans="4:18" x14ac:dyDescent="0.25">
      <c r="D567" s="7" t="s">
        <v>413</v>
      </c>
      <c r="L567" s="7" t="s">
        <v>414</v>
      </c>
    </row>
    <row r="569" spans="4:18" x14ac:dyDescent="0.25">
      <c r="D569" s="167" t="str" cm="1">
        <f t="array" ref="D569:E571">_xlfn.CHOOSECOLS(Scope3_Equations.VEERG_15_13_1_1__1_EmissionsFromManureSentOffSite_Arguments(),1,2)</f>
        <v>E_N2O</v>
      </c>
      <c r="E569" s="171" t="str">
        <v>direct nitrous oxide emissions from application of manure to soils outside of scope 1 boundary</v>
      </c>
      <c r="F569" s="205"/>
      <c r="G569" s="166"/>
      <c r="H569" s="167" t="str" cm="1">
        <f t="array" ref="H569:I571">_xlfn.CHOOSECOLS(Scope3_Equations.VEERG_15_13_1_1__1_EmissionsFromManureSentOffSite_Arguments(),3,4)</f>
        <v>t N2O</v>
      </c>
      <c r="I569" s="169" t="str">
        <v>Calculated</v>
      </c>
      <c r="J569" s="167">
        <f>VEERG_5_2_1_1__1_OrganicFertiliserApplicationN2OEmissions_Result_Method1</f>
        <v>7.8571428571428577E-3</v>
      </c>
      <c r="L569" s="167" t="str" cm="1">
        <f t="array" ref="L569:M571">_xlfn.CHOOSECOLS(Scope3_Equations.VEERG_15_13_1_1__1_EmissionsFromManureSentOffSite_Arguments(),1,2)</f>
        <v>E_N2O</v>
      </c>
      <c r="M569" s="171" t="str">
        <v>direct nitrous oxide emissions from application of manure to soils outside of scope 1 boundary</v>
      </c>
      <c r="N569" s="205"/>
      <c r="O569" s="166"/>
      <c r="P569" s="167" t="str" cm="1">
        <f t="array" ref="P569:Q571">_xlfn.CHOOSECOLS(Scope3_Equations.VEERG_15_13_1_1__1_EmissionsFromManureSentOffSite_Arguments(),3,4)</f>
        <v>t N2O</v>
      </c>
      <c r="Q569" s="169" t="str">
        <v>Calculated</v>
      </c>
      <c r="R569" s="167">
        <f>VEERG_5_2_1_1__1_OrganicFertiliserApplicationN2OEmissions_Result_Method2</f>
        <v>1.5714285714285715E-2</v>
      </c>
    </row>
    <row r="570" spans="4:18" x14ac:dyDescent="0.25">
      <c r="D570" s="167" t="str">
        <v>E_ad</v>
      </c>
      <c r="E570" s="171" t="str">
        <v>nitrous oxide emissions from atmospheric deposition of manure to soils</v>
      </c>
      <c r="F570" s="205"/>
      <c r="G570" s="166"/>
      <c r="H570" s="167" t="str">
        <v>t N2O</v>
      </c>
      <c r="I570" s="169" t="str">
        <v>Calculated</v>
      </c>
      <c r="J570" s="167">
        <f>VEERG_5_4_1_3__1_OrganicFertiliserAtmosphericDepositionN2OEmissions_Result_Method1</f>
        <v>2.31E-3</v>
      </c>
      <c r="L570" s="167" t="str">
        <v>E_ad</v>
      </c>
      <c r="M570" s="171" t="str">
        <v>nitrous oxide emissions from atmospheric deposition of manure to soils</v>
      </c>
      <c r="N570" s="205"/>
      <c r="O570" s="166"/>
      <c r="P570" s="167" t="str">
        <v>t N2O</v>
      </c>
      <c r="Q570" s="169" t="str">
        <v>Calculated</v>
      </c>
      <c r="R570" s="167">
        <f>VEERG_5_4_1_3__1_OrganicFertiliserAtmosphericDepositionN2OEmissions_Result_Method2</f>
        <v>4.62E-3</v>
      </c>
    </row>
    <row r="571" spans="4:18" x14ac:dyDescent="0.25">
      <c r="D571" s="167" t="str">
        <v>E_leach</v>
      </c>
      <c r="E571" s="171" t="str">
        <v>nitrous oxide emissions from nitrogen leaching and runoff of manure to soils</v>
      </c>
      <c r="F571" s="205"/>
      <c r="G571" s="166"/>
      <c r="H571" s="167" t="str">
        <v>t N2O</v>
      </c>
      <c r="I571" s="169" t="str">
        <v>Calculated</v>
      </c>
      <c r="J571" s="167">
        <f>VEERG_5_5_1_1__1_FertiliserLeachingAndRunoffN2OEmissions_Result_Method1</f>
        <v>4.1485714285714277E-3</v>
      </c>
      <c r="L571" s="167" t="str">
        <v>E_leach</v>
      </c>
      <c r="M571" s="171" t="str">
        <v>nitrous oxide emissions from nitrogen leaching and runoff of manure to soils</v>
      </c>
      <c r="N571" s="205"/>
      <c r="O571" s="166"/>
      <c r="P571" s="167" t="str">
        <v>t N2O</v>
      </c>
      <c r="Q571" s="169" t="str">
        <v>Calculated</v>
      </c>
      <c r="R571" s="167">
        <f>VEERG_5_5_1_1__1_FertiliserLeachingAndRunoffN2OEmissions_Result_Method2</f>
        <v>8.2971428571428554E-3</v>
      </c>
    </row>
    <row r="573" spans="4:18" ht="20.25" x14ac:dyDescent="0.25">
      <c r="D573" s="179" t="s">
        <v>745</v>
      </c>
      <c r="E573" s="177" cm="1">
        <f t="array" ref="E573">Scope3_Equations.VEERG_15_13_1_1__1_EmissionsFromManureSentOffSite(J569,J570,J571)</f>
        <v>1.4315714285714286E-2</v>
      </c>
      <c r="F573" s="178" t="str">
        <f>$E$565</f>
        <v>t N2O</v>
      </c>
      <c r="L573" s="179" t="s">
        <v>745</v>
      </c>
      <c r="M573" s="177" cm="1">
        <f t="array" ref="M573">Scope3_Equations.VEERG_15_13_1_1__1_EmissionsFromManureSentOffSite(R569,R570,R571)</f>
        <v>2.8631428571428572E-2</v>
      </c>
      <c r="N573" s="178" t="str">
        <f>$E$565</f>
        <v>t N2O</v>
      </c>
    </row>
    <row r="575" spans="4:18" x14ac:dyDescent="0.25">
      <c r="D575" s="206" t="str" cm="1">
        <f t="array" ref="D575:E576">Common_Equations.Common_ConvertN2OToCO2e_Arguments()</f>
        <v>EN2O</v>
      </c>
      <c r="E575" s="207" t="str">
        <v>Nitrous oxide emissions (t N2O)</v>
      </c>
      <c r="F575" s="208"/>
      <c r="G575" s="49">
        <f>E573</f>
        <v>1.4315714285714286E-2</v>
      </c>
      <c r="L575" s="206" t="str" cm="1">
        <f t="array" ref="L575:M576">Common_Equations.Common_ConvertN2OToCO2e_Arguments()</f>
        <v>EN2O</v>
      </c>
      <c r="M575" s="207" t="str">
        <v>Nitrous oxide emissions (t N2O)</v>
      </c>
      <c r="N575" s="208"/>
      <c r="O575" s="49">
        <f>M573</f>
        <v>2.8631428571428572E-2</v>
      </c>
    </row>
    <row r="576" spans="4:18" x14ac:dyDescent="0.25">
      <c r="D576" s="206" t="str">
        <v>GWPN2O</v>
      </c>
      <c r="E576" s="207" t="str">
        <v>Global warming potential for nitrous oxide (t CO2-e / t N2O)</v>
      </c>
      <c r="F576" s="208"/>
      <c r="G576" s="49">
        <f>Common_InputFunctions.Utility_LookupValueInTableNumber("N2O",Table_GWPData[Gas],Table_GWPData[CO2-e factor])</f>
        <v>265</v>
      </c>
      <c r="L576" s="206" t="str">
        <v>GWPN2O</v>
      </c>
      <c r="M576" s="207" t="str">
        <v>Global warming potential for nitrous oxide (t CO2-e / t N2O)</v>
      </c>
      <c r="N576" s="208"/>
      <c r="O576" s="49">
        <f>Common_InputFunctions.Utility_LookupValueInTableNumber("N2O",Table_GWPData[Gas],Table_GWPData[CO2-e factor])</f>
        <v>265</v>
      </c>
    </row>
    <row r="578" spans="3:41" ht="18.75" x14ac:dyDescent="0.25">
      <c r="D578" s="98" t="s">
        <v>750</v>
      </c>
      <c r="E578" s="98" cm="1">
        <f t="array" ref="E578">Common_Equations.Common_ConvertN2OToCO2e(G575,G576)</f>
        <v>3.7936642857142857</v>
      </c>
      <c r="F578" s="175" t="str" cm="1">
        <f t="array" ref="F578">Common_Equations.Common_ConvertN2OToCO2e_Unit()</f>
        <v>t CO2e</v>
      </c>
      <c r="L578" s="98" t="s">
        <v>750</v>
      </c>
      <c r="M578" s="98" cm="1">
        <f t="array" ref="M578">Common_Equations.Common_ConvertN2OToCO2e(O575,O576)</f>
        <v>7.5873285714285714</v>
      </c>
      <c r="N578" s="175" t="str" cm="1">
        <f t="array" ref="N578">Common_Equations.Common_ConvertN2OToCO2e_Unit()</f>
        <v>t CO2e</v>
      </c>
    </row>
    <row r="581" spans="3:41" x14ac:dyDescent="0.25">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c r="AK581" s="98"/>
      <c r="AL581" s="98"/>
      <c r="AM581" s="98"/>
      <c r="AN581" s="98"/>
      <c r="AO581" s="98"/>
    </row>
    <row r="582" spans="3:41" ht="23.25" x14ac:dyDescent="0.25">
      <c r="D582" s="9" t="str" cm="1">
        <f t="array" ref="D582">Scope3_Equations.VEERG_15_13_1_3__1_EmissionsFromSolidWasteTreatmentFacility_Title()</f>
        <v>Emissions from solid waste sent to a treatment facility</v>
      </c>
    </row>
    <row r="583" spans="3:41" x14ac:dyDescent="0.25">
      <c r="D583" s="11" t="str" cm="1">
        <f t="array" ref="D583">Scope3_Equations.VEERG_15_13_1_3__1_EmissionsFromSolidWasteTreatmentFacility_Source()</f>
        <v>VEERG 2026: 15.13.1.3</v>
      </c>
    </row>
    <row r="585" spans="3:41" x14ac:dyDescent="0.25">
      <c r="D585" s="27" t="s">
        <v>630</v>
      </c>
      <c r="E585" s="8" t="str" cm="1">
        <f t="array" ref="E585">Scope3_Equations.VEERG_15_13_1_3__1_EmissionsFromSolidWasteTreatmentFacility_Variable()</f>
        <v>E</v>
      </c>
    </row>
    <row r="586" spans="3:41" x14ac:dyDescent="0.25">
      <c r="D586" s="27" t="s">
        <v>97</v>
      </c>
      <c r="E586" s="13" t="str" cm="1">
        <f t="array" ref="E586">Scope3_Equations.VEERG_15_13_1_3__1_EmissionsFromSolidWasteTreatmentFacility_Unit()</f>
        <v>t CO2e</v>
      </c>
    </row>
    <row r="588" spans="3:41" ht="20.25" x14ac:dyDescent="0.25">
      <c r="D588" s="179" t="s">
        <v>745</v>
      </c>
      <c r="E588" s="177">
        <f>VEERG_10_1_1_1__1_EmissionsFromWasteManagement_Scope3_Result_Method1</f>
        <v>330.84210000000002</v>
      </c>
      <c r="F588" s="178" t="str">
        <f>E586</f>
        <v>t CO2e</v>
      </c>
    </row>
    <row r="591" spans="3:41" x14ac:dyDescent="0.25">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c r="AF591" s="98"/>
      <c r="AG591" s="98"/>
      <c r="AH591" s="98"/>
      <c r="AI591" s="98"/>
      <c r="AJ591" s="98"/>
      <c r="AK591" s="98"/>
      <c r="AL591" s="98"/>
      <c r="AM591" s="98"/>
      <c r="AN591" s="98"/>
      <c r="AO591" s="98"/>
    </row>
    <row r="592" spans="3:41" ht="23.25" x14ac:dyDescent="0.25">
      <c r="D592" s="9" t="str" cm="1">
        <f t="array" ref="D592">Scope3_Equations.VEERG_15_14_1_1__1_EmbeddedEmissionsFromUpstreamFreight_Title()</f>
        <v>Embedded emissions from upstream freight</v>
      </c>
    </row>
    <row r="593" spans="4:13" x14ac:dyDescent="0.25">
      <c r="D593" s="11" t="str" cm="1">
        <f t="array" ref="D593">Scope3_Equations.VEERG_15_14_1_1__1_EmbeddedEmissionsFromUpstreamFreight_Source()</f>
        <v>VEERG 2026: 15.14.1.1, Equation (1)</v>
      </c>
    </row>
    <row r="594" spans="4:13" x14ac:dyDescent="0.25">
      <c r="D594" s="172" t="s">
        <v>629</v>
      </c>
      <c r="E594" s="172" t="str" cm="1">
        <f t="array" aca="1" ref="E594" ca="1">Common_InputFunctions.Utility_DisplayFunctionName(J609)</f>
        <v>=Scope3_Equations.VEERG_15_14_1_1__1_EmbeddedEmissionsFromUpstreamFreight</v>
      </c>
    </row>
    <row r="598" spans="4:13" x14ac:dyDescent="0.25">
      <c r="D598" s="27" t="s">
        <v>630</v>
      </c>
      <c r="E598" s="8" t="str" cm="1">
        <f t="array" ref="E598">Scope3_Equations.VEERG_15_14_1_1__1_EmbeddedEmissionsFromUpstreamFreight_Variable()</f>
        <v>E</v>
      </c>
    </row>
    <row r="599" spans="4:13" x14ac:dyDescent="0.25">
      <c r="D599" s="27" t="s">
        <v>97</v>
      </c>
      <c r="E599" s="13" t="str" cm="1">
        <f t="array" ref="E599">Scope3_Equations.VEERG_15_14_1_1__1_EmbeddedEmissionsFromUpstreamFreight_Unit()</f>
        <v>t CO2e</v>
      </c>
    </row>
    <row r="601" spans="4:13" x14ac:dyDescent="0.25">
      <c r="D601" s="167" t="str" cm="1">
        <f t="array" ref="D601:E604">_xlfn.CHOOSECOLS(Scope3_Equations.VEERG_15_14_1_1__1_EmbeddedEmissionsFromUpstreamFreight_Arguments(),1,2)</f>
        <v>W_f</v>
      </c>
      <c r="E601" s="171" t="str">
        <v>total mass of goods transported per freight type f</v>
      </c>
      <c r="F601" s="166"/>
      <c r="G601" s="167" t="str" cm="1">
        <f t="array" ref="G601:H604">_xlfn.CHOOSECOLS(Scope3_Equations.VEERG_15_14_1_1__1_EmbeddedEmissionsFromUpstreamFreight_Arguments(),3,4)</f>
        <v>t</v>
      </c>
      <c r="H601" s="168" t="str">
        <v>Input</v>
      </c>
    </row>
    <row r="602" spans="4:13" x14ac:dyDescent="0.25">
      <c r="D602" s="167" t="str">
        <v>D_f</v>
      </c>
      <c r="E602" s="171" t="str">
        <v>total distance transported per freight type f</v>
      </c>
      <c r="F602" s="166"/>
      <c r="G602" s="167" t="str">
        <v>km</v>
      </c>
      <c r="H602" s="168" t="str">
        <v>Input</v>
      </c>
    </row>
    <row r="603" spans="4:13" x14ac:dyDescent="0.25">
      <c r="D603" s="167" t="str">
        <v>EF_f</v>
      </c>
      <c r="E603" s="171" t="str">
        <v>emission factor for freight type f</v>
      </c>
      <c r="F603" s="166"/>
      <c r="G603" s="167" t="str">
        <v>t CO2e/(t km)</v>
      </c>
      <c r="H603" s="169" t="str">
        <v>Constant</v>
      </c>
    </row>
    <row r="604" spans="4:13" x14ac:dyDescent="0.25">
      <c r="D604" s="167" t="str">
        <v>f</v>
      </c>
      <c r="E604" s="171" t="str">
        <v>freight type</v>
      </c>
      <c r="F604" s="166"/>
      <c r="G604" s="167" t="str">
        <v/>
      </c>
      <c r="H604" s="168" t="str">
        <v>Input</v>
      </c>
    </row>
    <row r="606" spans="4:13" ht="18.75" x14ac:dyDescent="0.25">
      <c r="D606" s="144" t="s">
        <v>809</v>
      </c>
    </row>
    <row r="608" spans="4:13" ht="17.25" x14ac:dyDescent="0.25">
      <c r="D608" s="46" t="s">
        <v>810</v>
      </c>
      <c r="E608" s="46" t="s">
        <v>822</v>
      </c>
      <c r="F608" s="46" t="s">
        <v>823</v>
      </c>
      <c r="G608" s="57" t="s">
        <v>824</v>
      </c>
      <c r="H608" s="57" t="s">
        <v>636</v>
      </c>
      <c r="I608" s="46" t="s">
        <v>672</v>
      </c>
      <c r="J608" s="57" t="s">
        <v>638</v>
      </c>
      <c r="K608" s="46" t="s">
        <v>632</v>
      </c>
      <c r="L608" s="46" t="s">
        <v>633</v>
      </c>
      <c r="M608" s="46" t="s">
        <v>634</v>
      </c>
    </row>
    <row r="609" spans="4:13" x14ac:dyDescent="0.25">
      <c r="D609" s="49" t="str" cm="1">
        <f t="array" ref="D609:D618">IFERROR(INDEX(Table_Input_FreightIncoming[Route name], _xlfn.SEQUENCE(10)), "")</f>
        <v>Melbourne depot to farm depot weekly</v>
      </c>
      <c r="E609" s="49" cm="1">
        <f t="array" ref="E609:E618">IFERROR(INDEX(Table_Input_FreightIncoming[Average weight of freight per trip (t)], _xlfn.SEQUENCE(10)), "")</f>
        <v>10</v>
      </c>
      <c r="F609" s="49" cm="1">
        <f t="array" ref="F609:F618">IFERROR(INDEX(Table_Input_FreightIncoming[Route distance (km)], _xlfn.SEQUENCE(10))*INDEX(Table_Input_FreightIncoming[Number of trips taken], _xlfn.SEQUENCE(10)), "")</f>
        <v>51272</v>
      </c>
      <c r="G609" s="49" t="s">
        <v>825</v>
      </c>
      <c r="H609" s="49" t="s">
        <v>825</v>
      </c>
      <c r="I609" s="66">
        <v>10</v>
      </c>
      <c r="J609" s="49" cm="1">
        <f t="array" ref="J609">Scope3_Equations.VEERG_15_14_1_1__1_EmbeddedEmissionsFromUpstreamFreight(E609,F609,I609)</f>
        <v>5127200</v>
      </c>
      <c r="K609" s="82"/>
      <c r="L609" s="47"/>
      <c r="M609" s="82"/>
    </row>
    <row r="610" spans="4:13" x14ac:dyDescent="0.25">
      <c r="D610" s="49" t="str">
        <v>Fertiliser supplier to farm</v>
      </c>
      <c r="E610" s="49">
        <v>10</v>
      </c>
      <c r="F610" s="49">
        <v>390</v>
      </c>
      <c r="G610" s="49" t="s">
        <v>825</v>
      </c>
      <c r="H610" s="49" t="s">
        <v>825</v>
      </c>
      <c r="I610" s="66">
        <v>5</v>
      </c>
      <c r="J610" s="49" cm="1">
        <f t="array" ref="J610">Scope3_Equations.VEERG_15_14_1_1__1_EmbeddedEmissionsFromUpstreamFreight(E610,F610,I610)</f>
        <v>19500</v>
      </c>
      <c r="K610" s="82"/>
      <c r="L610" s="47"/>
      <c r="M610" s="82"/>
    </row>
    <row r="611" spans="4:13" x14ac:dyDescent="0.25">
      <c r="D611" s="49">
        <v>0</v>
      </c>
      <c r="E611" s="49">
        <v>0</v>
      </c>
      <c r="F611" s="49">
        <v>0</v>
      </c>
      <c r="G611" s="49" t="s">
        <v>825</v>
      </c>
      <c r="H611" s="49" t="s">
        <v>825</v>
      </c>
      <c r="I611" s="66"/>
      <c r="J611" s="49" cm="1">
        <f t="array" ref="J611">Scope3_Equations.VEERG_15_14_1_1__1_EmbeddedEmissionsFromUpstreamFreight(E611,F611,I611)</f>
        <v>0</v>
      </c>
      <c r="K611" s="82"/>
      <c r="L611" s="47"/>
      <c r="M611" s="82"/>
    </row>
    <row r="612" spans="4:13" x14ac:dyDescent="0.25">
      <c r="D612" s="49">
        <v>0</v>
      </c>
      <c r="E612" s="49">
        <v>0</v>
      </c>
      <c r="F612" s="49">
        <v>0</v>
      </c>
      <c r="G612" s="49" t="s">
        <v>825</v>
      </c>
      <c r="H612" s="49" t="s">
        <v>825</v>
      </c>
      <c r="I612" s="66"/>
      <c r="J612" s="49" cm="1">
        <f t="array" ref="J612">Scope3_Equations.VEERG_15_14_1_1__1_EmbeddedEmissionsFromUpstreamFreight(E612,F612,I612)</f>
        <v>0</v>
      </c>
      <c r="K612" s="82"/>
      <c r="L612" s="47"/>
      <c r="M612" s="82"/>
    </row>
    <row r="613" spans="4:13" x14ac:dyDescent="0.25">
      <c r="D613" s="49">
        <v>0</v>
      </c>
      <c r="E613" s="49">
        <v>0</v>
      </c>
      <c r="F613" s="49">
        <v>0</v>
      </c>
      <c r="G613" s="49" t="s">
        <v>825</v>
      </c>
      <c r="H613" s="49" t="s">
        <v>825</v>
      </c>
      <c r="I613" s="66"/>
      <c r="J613" s="49" cm="1">
        <f t="array" ref="J613">Scope3_Equations.VEERG_15_14_1_1__1_EmbeddedEmissionsFromUpstreamFreight(E613,F613,I613)</f>
        <v>0</v>
      </c>
      <c r="K613" s="82"/>
      <c r="L613" s="47"/>
      <c r="M613" s="82"/>
    </row>
    <row r="614" spans="4:13" x14ac:dyDescent="0.25">
      <c r="D614" s="49">
        <v>0</v>
      </c>
      <c r="E614" s="49">
        <v>0</v>
      </c>
      <c r="F614" s="49">
        <v>0</v>
      </c>
      <c r="G614" s="49" t="s">
        <v>825</v>
      </c>
      <c r="H614" s="49" t="s">
        <v>825</v>
      </c>
      <c r="I614" s="66"/>
      <c r="J614" s="49" cm="1">
        <f t="array" ref="J614">Scope3_Equations.VEERG_15_14_1_1__1_EmbeddedEmissionsFromUpstreamFreight(E614,F614,I614)</f>
        <v>0</v>
      </c>
      <c r="K614" s="82"/>
      <c r="L614" s="47"/>
      <c r="M614" s="82"/>
    </row>
    <row r="615" spans="4:13" x14ac:dyDescent="0.25">
      <c r="D615" s="49">
        <v>0</v>
      </c>
      <c r="E615" s="49">
        <v>0</v>
      </c>
      <c r="F615" s="49">
        <v>0</v>
      </c>
      <c r="G615" s="49" t="s">
        <v>825</v>
      </c>
      <c r="H615" s="49" t="s">
        <v>825</v>
      </c>
      <c r="I615" s="66"/>
      <c r="J615" s="49" cm="1">
        <f t="array" ref="J615">Scope3_Equations.VEERG_15_14_1_1__1_EmbeddedEmissionsFromUpstreamFreight(E615,F615,I615)</f>
        <v>0</v>
      </c>
      <c r="K615" s="82"/>
      <c r="L615" s="47"/>
      <c r="M615" s="82"/>
    </row>
    <row r="616" spans="4:13" x14ac:dyDescent="0.25">
      <c r="D616" s="49">
        <v>0</v>
      </c>
      <c r="E616" s="49">
        <v>0</v>
      </c>
      <c r="F616" s="49">
        <v>0</v>
      </c>
      <c r="G616" s="49" t="s">
        <v>825</v>
      </c>
      <c r="H616" s="49" t="s">
        <v>825</v>
      </c>
      <c r="I616" s="66"/>
      <c r="J616" s="49" cm="1">
        <f t="array" ref="J616">Scope3_Equations.VEERG_15_14_1_1__1_EmbeddedEmissionsFromUpstreamFreight(E616,F616,I616)</f>
        <v>0</v>
      </c>
      <c r="K616" s="82"/>
      <c r="L616" s="47"/>
      <c r="M616" s="82"/>
    </row>
    <row r="617" spans="4:13" x14ac:dyDescent="0.25">
      <c r="D617" s="49">
        <v>0</v>
      </c>
      <c r="E617" s="49">
        <v>0</v>
      </c>
      <c r="F617" s="49">
        <v>0</v>
      </c>
      <c r="G617" s="49" t="s">
        <v>825</v>
      </c>
      <c r="H617" s="49" t="s">
        <v>825</v>
      </c>
      <c r="I617" s="66"/>
      <c r="J617" s="49" cm="1">
        <f t="array" ref="J617">Scope3_Equations.VEERG_15_14_1_1__1_EmbeddedEmissionsFromUpstreamFreight(E617,F617,I617)</f>
        <v>0</v>
      </c>
      <c r="K617" s="82"/>
      <c r="L617" s="47"/>
      <c r="M617" s="82"/>
    </row>
    <row r="618" spans="4:13" x14ac:dyDescent="0.25">
      <c r="D618" s="49">
        <v>0</v>
      </c>
      <c r="E618" s="49">
        <v>0</v>
      </c>
      <c r="F618" s="49">
        <v>0</v>
      </c>
      <c r="G618" s="49" t="s">
        <v>825</v>
      </c>
      <c r="H618" s="49" t="s">
        <v>825</v>
      </c>
      <c r="I618" s="66"/>
      <c r="J618" s="49" cm="1">
        <f t="array" ref="J618">Scope3_Equations.VEERG_15_14_1_1__1_EmbeddedEmissionsFromUpstreamFreight(E618,F618,I618)</f>
        <v>0</v>
      </c>
      <c r="K618" s="82"/>
      <c r="L618" s="47"/>
      <c r="M618" s="82"/>
    </row>
    <row r="620" spans="4:13" x14ac:dyDescent="0.25">
      <c r="D620" s="174" t="s">
        <v>828</v>
      </c>
      <c r="E620" s="98" t="s">
        <v>825</v>
      </c>
      <c r="F620" s="175" t="str">
        <f>$E$104</f>
        <v>t CO2e</v>
      </c>
    </row>
    <row r="621" spans="4:13" x14ac:dyDescent="0.25">
      <c r="D621" s="174" t="s">
        <v>829</v>
      </c>
      <c r="E621" s="98">
        <f>SUM(J609:J618)</f>
        <v>5146700</v>
      </c>
      <c r="F621" s="175" t="str">
        <f>$E$104</f>
        <v>t CO2e</v>
      </c>
    </row>
    <row r="624" spans="4:13" ht="18.75" x14ac:dyDescent="0.25">
      <c r="D624" s="144" t="s">
        <v>817</v>
      </c>
    </row>
    <row r="626" spans="4:13" ht="17.25" x14ac:dyDescent="0.25">
      <c r="D626" s="46" t="s">
        <v>810</v>
      </c>
      <c r="E626" s="46" t="s">
        <v>822</v>
      </c>
      <c r="F626" s="46" t="s">
        <v>823</v>
      </c>
      <c r="G626" s="57" t="s">
        <v>824</v>
      </c>
      <c r="H626" s="57" t="s">
        <v>636</v>
      </c>
      <c r="I626" s="46" t="s">
        <v>672</v>
      </c>
      <c r="J626" s="57" t="s">
        <v>638</v>
      </c>
      <c r="K626" s="46" t="s">
        <v>632</v>
      </c>
      <c r="L626" s="46" t="s">
        <v>633</v>
      </c>
      <c r="M626" s="46" t="s">
        <v>634</v>
      </c>
    </row>
    <row r="627" spans="4:13" x14ac:dyDescent="0.25">
      <c r="D627" s="49" t="str" cm="1">
        <f t="array" ref="D627:D636">IFERROR(INDEX(Table_Input_FreightOutgoing[Route name], _xlfn.SEQUENCE(10)), "")</f>
        <v>Farm to bulk handler</v>
      </c>
      <c r="E627" s="49" cm="1">
        <f t="array" ref="E627:E636">IFERROR(INDEX(Table_Input_FreightOutgoing[Average weight of freight per trip (t)], _xlfn.SEQUENCE(10)), "")</f>
        <v>20</v>
      </c>
      <c r="F627" s="49" cm="1">
        <f t="array" ref="F627:F636">IFERROR(INDEX(Table_Input_FreightOutgoing[Route distance (km)], _xlfn.SEQUENCE(10))*INDEX(Table_Input_FreightOutgoing[Number of trips taken], _xlfn.SEQUENCE(10)), "")</f>
        <v>3380</v>
      </c>
      <c r="G627" s="49" t="s">
        <v>825</v>
      </c>
      <c r="H627" s="49" t="s">
        <v>825</v>
      </c>
      <c r="I627" s="66">
        <v>6.4</v>
      </c>
      <c r="J627" s="49" cm="1">
        <f t="array" ref="J627">Scope3_Equations.VEERG_15_14_1_1__1_EmbeddedEmissionsFromUpstreamFreight(E627,F627,I627)</f>
        <v>432640</v>
      </c>
      <c r="K627" s="82"/>
      <c r="L627" s="47"/>
      <c r="M627" s="82"/>
    </row>
    <row r="628" spans="4:13" x14ac:dyDescent="0.25">
      <c r="D628" s="49">
        <v>0</v>
      </c>
      <c r="E628" s="49">
        <v>0</v>
      </c>
      <c r="F628" s="49">
        <v>0</v>
      </c>
      <c r="G628" s="49" t="s">
        <v>825</v>
      </c>
      <c r="H628" s="49" t="s">
        <v>825</v>
      </c>
      <c r="I628" s="66"/>
      <c r="J628" s="49" cm="1">
        <f t="array" ref="J628">Scope3_Equations.VEERG_15_14_1_1__1_EmbeddedEmissionsFromUpstreamFreight(E628,F628,I628)</f>
        <v>0</v>
      </c>
      <c r="K628" s="82"/>
      <c r="L628" s="47"/>
      <c r="M628" s="82"/>
    </row>
    <row r="629" spans="4:13" x14ac:dyDescent="0.25">
      <c r="D629" s="49">
        <v>0</v>
      </c>
      <c r="E629" s="49">
        <v>0</v>
      </c>
      <c r="F629" s="49">
        <v>0</v>
      </c>
      <c r="G629" s="49" t="s">
        <v>825</v>
      </c>
      <c r="H629" s="49" t="s">
        <v>825</v>
      </c>
      <c r="I629" s="66"/>
      <c r="J629" s="49" cm="1">
        <f t="array" ref="J629">Scope3_Equations.VEERG_15_14_1_1__1_EmbeddedEmissionsFromUpstreamFreight(E629,F629,I629)</f>
        <v>0</v>
      </c>
      <c r="K629" s="82"/>
      <c r="L629" s="47"/>
      <c r="M629" s="82"/>
    </row>
    <row r="630" spans="4:13" x14ac:dyDescent="0.25">
      <c r="D630" s="49">
        <v>0</v>
      </c>
      <c r="E630" s="49">
        <v>0</v>
      </c>
      <c r="F630" s="49">
        <v>0</v>
      </c>
      <c r="G630" s="49" t="s">
        <v>825</v>
      </c>
      <c r="H630" s="49" t="s">
        <v>825</v>
      </c>
      <c r="I630" s="66"/>
      <c r="J630" s="49" cm="1">
        <f t="array" ref="J630">Scope3_Equations.VEERG_15_14_1_1__1_EmbeddedEmissionsFromUpstreamFreight(E630,F630,I630)</f>
        <v>0</v>
      </c>
      <c r="K630" s="82"/>
      <c r="L630" s="47"/>
      <c r="M630" s="82"/>
    </row>
    <row r="631" spans="4:13" x14ac:dyDescent="0.25">
      <c r="D631" s="49">
        <v>0</v>
      </c>
      <c r="E631" s="49">
        <v>0</v>
      </c>
      <c r="F631" s="49">
        <v>0</v>
      </c>
      <c r="G631" s="49" t="s">
        <v>825</v>
      </c>
      <c r="H631" s="49" t="s">
        <v>825</v>
      </c>
      <c r="I631" s="66"/>
      <c r="J631" s="49" cm="1">
        <f t="array" ref="J631">Scope3_Equations.VEERG_15_14_1_1__1_EmbeddedEmissionsFromUpstreamFreight(E631,F631,I631)</f>
        <v>0</v>
      </c>
      <c r="K631" s="82"/>
      <c r="L631" s="47"/>
      <c r="M631" s="82"/>
    </row>
    <row r="632" spans="4:13" x14ac:dyDescent="0.25">
      <c r="D632" s="49">
        <v>0</v>
      </c>
      <c r="E632" s="49">
        <v>0</v>
      </c>
      <c r="F632" s="49">
        <v>0</v>
      </c>
      <c r="G632" s="49" t="s">
        <v>825</v>
      </c>
      <c r="H632" s="49" t="s">
        <v>825</v>
      </c>
      <c r="I632" s="66"/>
      <c r="J632" s="49" cm="1">
        <f t="array" ref="J632">Scope3_Equations.VEERG_15_14_1_1__1_EmbeddedEmissionsFromUpstreamFreight(E632,F632,I632)</f>
        <v>0</v>
      </c>
      <c r="K632" s="82"/>
      <c r="L632" s="47"/>
      <c r="M632" s="82"/>
    </row>
    <row r="633" spans="4:13" x14ac:dyDescent="0.25">
      <c r="D633" s="49">
        <v>0</v>
      </c>
      <c r="E633" s="49">
        <v>0</v>
      </c>
      <c r="F633" s="49">
        <v>0</v>
      </c>
      <c r="G633" s="49" t="s">
        <v>825</v>
      </c>
      <c r="H633" s="49" t="s">
        <v>825</v>
      </c>
      <c r="I633" s="66"/>
      <c r="J633" s="49" cm="1">
        <f t="array" ref="J633">Scope3_Equations.VEERG_15_14_1_1__1_EmbeddedEmissionsFromUpstreamFreight(E633,F633,I633)</f>
        <v>0</v>
      </c>
      <c r="K633" s="82"/>
      <c r="L633" s="47"/>
      <c r="M633" s="82"/>
    </row>
    <row r="634" spans="4:13" x14ac:dyDescent="0.25">
      <c r="D634" s="49">
        <v>0</v>
      </c>
      <c r="E634" s="49">
        <v>0</v>
      </c>
      <c r="F634" s="49">
        <v>0</v>
      </c>
      <c r="G634" s="49" t="s">
        <v>825</v>
      </c>
      <c r="H634" s="49" t="s">
        <v>825</v>
      </c>
      <c r="I634" s="66"/>
      <c r="J634" s="49" cm="1">
        <f t="array" ref="J634">Scope3_Equations.VEERG_15_14_1_1__1_EmbeddedEmissionsFromUpstreamFreight(E634,F634,I634)</f>
        <v>0</v>
      </c>
      <c r="K634" s="82"/>
      <c r="L634" s="47"/>
      <c r="M634" s="82"/>
    </row>
    <row r="635" spans="4:13" x14ac:dyDescent="0.25">
      <c r="D635" s="49">
        <v>0</v>
      </c>
      <c r="E635" s="49">
        <v>0</v>
      </c>
      <c r="F635" s="49">
        <v>0</v>
      </c>
      <c r="G635" s="49" t="s">
        <v>825</v>
      </c>
      <c r="H635" s="49" t="s">
        <v>825</v>
      </c>
      <c r="I635" s="66"/>
      <c r="J635" s="49" cm="1">
        <f t="array" ref="J635">Scope3_Equations.VEERG_15_14_1_1__1_EmbeddedEmissionsFromUpstreamFreight(E635,F635,I635)</f>
        <v>0</v>
      </c>
      <c r="K635" s="82"/>
      <c r="L635" s="47"/>
      <c r="M635" s="82"/>
    </row>
    <row r="636" spans="4:13" x14ac:dyDescent="0.25">
      <c r="D636" s="49">
        <v>0</v>
      </c>
      <c r="E636" s="49">
        <v>0</v>
      </c>
      <c r="F636" s="49">
        <v>0</v>
      </c>
      <c r="G636" s="49" t="s">
        <v>825</v>
      </c>
      <c r="H636" s="49" t="s">
        <v>825</v>
      </c>
      <c r="I636" s="66"/>
      <c r="J636" s="49" cm="1">
        <f t="array" ref="J636">Scope3_Equations.VEERG_15_14_1_1__1_EmbeddedEmissionsFromUpstreamFreight(E636,F636,I636)</f>
        <v>0</v>
      </c>
      <c r="K636" s="82"/>
      <c r="L636" s="47"/>
      <c r="M636" s="82"/>
    </row>
    <row r="638" spans="4:13" x14ac:dyDescent="0.25">
      <c r="D638" s="174" t="s">
        <v>826</v>
      </c>
      <c r="E638" s="98" t="s">
        <v>825</v>
      </c>
      <c r="F638" s="175" t="str">
        <f>$E$104</f>
        <v>t CO2e</v>
      </c>
    </row>
    <row r="639" spans="4:13" x14ac:dyDescent="0.25">
      <c r="D639" s="174" t="s">
        <v>827</v>
      </c>
      <c r="E639" s="98">
        <f>SUM(J627:J636)</f>
        <v>432640</v>
      </c>
      <c r="F639" s="175" t="str">
        <f>$E$104</f>
        <v>t CO2e</v>
      </c>
    </row>
    <row r="641" spans="4:6" ht="20.25" x14ac:dyDescent="0.25">
      <c r="D641" s="176" t="s">
        <v>636</v>
      </c>
      <c r="E641" s="177" t="s">
        <v>825</v>
      </c>
      <c r="F641" s="178" t="str">
        <f>$E$104</f>
        <v>t CO2e</v>
      </c>
    </row>
    <row r="642" spans="4:6" ht="20.25" x14ac:dyDescent="0.25">
      <c r="D642" s="176" t="s">
        <v>638</v>
      </c>
      <c r="E642" s="177">
        <f>VEERG_15_14_1_1__1_EmbeddedEmissionsFromUpstreamFreight_Incoming_Result_Method2+VEERG_15_14_1_1__1_EmbeddedEmissionsFromUpstreamFreight_Outgoing_Result_Method2</f>
        <v>5579340</v>
      </c>
      <c r="F642" s="178"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9:L618 L627:L636"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71E9-F2D0-4292-ABFB-027E6AD3AAA9}">
  <sheetPr>
    <tabColor theme="9" tint="-0.249977111117893"/>
  </sheetPr>
  <dimension ref="A1:L342"/>
  <sheetViews>
    <sheetView showGridLines="0" topLeftCell="A82" zoomScaleNormal="100" workbookViewId="0">
      <selection activeCell="A38" sqref="A38"/>
    </sheetView>
  </sheetViews>
  <sheetFormatPr defaultRowHeight="15.75" x14ac:dyDescent="0.25"/>
  <cols>
    <col min="1" max="1" width="26.875" customWidth="1"/>
    <col min="2" max="2" width="4.125" customWidth="1"/>
    <col min="3" max="3" width="4.125" style="8" customWidth="1"/>
    <col min="4" max="4" width="40.5" style="8" customWidth="1"/>
    <col min="5" max="11" width="26.875" style="8" customWidth="1"/>
    <col min="12" max="12" width="4.125" style="8" customWidth="1"/>
  </cols>
  <sheetData>
    <row r="1" spans="1:12" s="1" customFormat="1" ht="30" customHeight="1" x14ac:dyDescent="0.35">
      <c r="A1" s="37" t="e" vm="1">
        <v>#VALUE!</v>
      </c>
      <c r="C1" s="1" t="s">
        <v>794</v>
      </c>
    </row>
    <row r="2" spans="1:12" s="2" customFormat="1" ht="20.100000000000001" customHeight="1" x14ac:dyDescent="0.25">
      <c r="A2"/>
    </row>
    <row r="3" spans="1:12" ht="20.100000000000001" customHeight="1" x14ac:dyDescent="0.25">
      <c r="A3" s="16" t="str">
        <f>HYPERLINK("#'Overview'!A1", "Overview")</f>
        <v>Overview</v>
      </c>
      <c r="C3" s="5"/>
      <c r="D3" s="5" t="s">
        <v>413</v>
      </c>
      <c r="E3" s="5"/>
      <c r="F3" s="5"/>
      <c r="G3" s="5"/>
      <c r="H3" s="5"/>
      <c r="I3" s="5"/>
      <c r="J3" s="5"/>
      <c r="K3" s="5"/>
      <c r="L3" s="5"/>
    </row>
    <row r="4" spans="1:12" ht="20.100000000000001" customHeight="1" x14ac:dyDescent="0.25">
      <c r="A4" s="16" t="str">
        <f>HYPERLINK("#'Results'!A1", "Results")</f>
        <v>Results</v>
      </c>
    </row>
    <row r="5" spans="1:12" ht="20.100000000000001" customHeight="1" x14ac:dyDescent="0.25">
      <c r="D5" s="9" t="str" cm="1">
        <f t="array" ref="D5">WasteSolid_Equations.VEERG_10_1_1_1__2_MassOfWasteFromVolume_Title()</f>
        <v>Mass of waste from waste volume</v>
      </c>
    </row>
    <row r="6" spans="1:12" ht="20.100000000000001" customHeight="1" x14ac:dyDescent="0.25">
      <c r="D6" s="11" t="str" cm="1">
        <f t="array" ref="D6">WasteSolid_Equations.VEERG_10_1_1_1__2_MassOfWasteFromVolume_Source()</f>
        <v>VEERG 2026: 10.1.1.1, Equation (2)</v>
      </c>
    </row>
    <row r="7" spans="1:12" ht="20.100000000000001" customHeight="1" x14ac:dyDescent="0.25">
      <c r="A7" s="19" t="s">
        <v>67</v>
      </c>
      <c r="D7" s="172" t="s">
        <v>629</v>
      </c>
      <c r="E7" s="172" t="str" cm="1">
        <f t="array" aca="1" ref="E7" ca="1">Common_InputFunctions.Utility_DisplayFunctionName(I21)</f>
        <v>=WasteSolid_Equations.VEERG_10_1_1_1__2_MassOfWasteFromVolume</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c r="D10" s="27" t="s">
        <v>630</v>
      </c>
      <c r="E10" s="8" t="str" cm="1">
        <f t="array" ref="E10">WasteSolid_Equations.VEERG_10_1_1_1__2_MassOfWasteFromVolume_Variable()</f>
        <v>Q_wt</v>
      </c>
    </row>
    <row r="11" spans="1:12" ht="20.100000000000001" customHeight="1" x14ac:dyDescent="0.25">
      <c r="A11" s="16" t="str">
        <f>HYPERLINK("#'Input - Farm Inputs'!A1", "Farm Inputs")</f>
        <v>Farm Inputs</v>
      </c>
      <c r="D11" s="27" t="s">
        <v>97</v>
      </c>
      <c r="E11" s="13" t="str" cm="1">
        <f t="array" ref="E11">WasteSolid_Equations.VEERG_10_1_1_1__2_MassOfWasteFromVolume_Unit()</f>
        <v>t</v>
      </c>
    </row>
    <row r="12" spans="1:12" ht="20.100000000000001" customHeight="1" x14ac:dyDescent="0.25">
      <c r="A12" s="16" t="str">
        <f>HYPERLINK("#'Input - Livestock purchases'!A1", "Livestock purchases")</f>
        <v>Livestock purchases</v>
      </c>
    </row>
    <row r="13" spans="1:12" ht="20.100000000000001" customHeight="1" x14ac:dyDescent="0.25">
      <c r="A13" s="16" t="str">
        <f>HYPERLINK("#'Input - Freight'!A1", "Freight")</f>
        <v>Freight</v>
      </c>
      <c r="D13" s="167" t="str" cm="1">
        <f t="array" ref="D13:E16">_xlfn.CHOOSECOLS(WasteSolid_Equations.VEERG_10_1_1_1__2_MassOfWasteFromVolume_Arguments(),1,2)</f>
        <v>V_wt</v>
      </c>
      <c r="E13" s="171" t="str">
        <v>volume of solid waste type w being sent to treatment facility t</v>
      </c>
      <c r="F13" s="166"/>
      <c r="G13" s="167" t="str" cm="1">
        <f t="array" ref="G13:H16">_xlfn.CHOOSECOLS(WasteSolid_Equations.VEERG_10_1_1_1__2_MassOfWasteFromVolume_Arguments(),3,4)</f>
        <v>m3</v>
      </c>
      <c r="H13" s="168" t="str">
        <v>Input</v>
      </c>
      <c r="I13" s="170" t="str" cm="1">
        <f t="array" aca="1" ref="I13" ca="1">HYPERLINK(Common_InputFunctions.Utility_SourceHyperlink($D$18),$D$18)</f>
        <v>Table_V_w_t_onsite</v>
      </c>
      <c r="J13" s="170" t="str" cm="1">
        <f t="array" aca="1" ref="J13" ca="1">HYPERLINK(Common_InputFunctions.Utility_SourceHyperlink($D$56),$D$56)</f>
        <v>Table_V_w_t_offsite</v>
      </c>
    </row>
    <row r="14" spans="1:12" ht="20.100000000000001" customHeight="1" x14ac:dyDescent="0.25">
      <c r="A14" s="16" t="str">
        <f>HYPERLINK("#'Input - Solid waste'!A1", "Solid waste")</f>
        <v>Solid waste</v>
      </c>
      <c r="D14" s="167" t="str">
        <v>VTM_w</v>
      </c>
      <c r="E14" s="171" t="str">
        <v>conversion factor of volume to mass for waste type w</v>
      </c>
      <c r="F14" s="166"/>
      <c r="G14" s="167" t="str">
        <v>t/m3</v>
      </c>
      <c r="H14" s="169" t="str">
        <v>Constant</v>
      </c>
      <c r="I14" s="170" t="str" cm="1">
        <f t="array" aca="1" ref="I14" ca="1">HYPERLINK(Common_InputFunctions.Utility_SourceHyperlink($D$18),$D$18)</f>
        <v>Table_V_w_t_onsite</v>
      </c>
      <c r="J14" s="170" t="str" cm="1">
        <f t="array" aca="1" ref="J14" ca="1">HYPERLINK(Common_InputFunctions.Utility_SourceHyperlink($D$56),$D$56)</f>
        <v>Table_V_w_t_offsite</v>
      </c>
    </row>
    <row r="15" spans="1:12" ht="20.100000000000001" customHeight="1" x14ac:dyDescent="0.25">
      <c r="A15" s="16" t="str">
        <f>HYPERLINK("#'Input - Manure sent off-site'!A1", "Manure sent off-site")</f>
        <v>Manure sent off-site</v>
      </c>
      <c r="D15" s="167" t="str">
        <v>w</v>
      </c>
      <c r="E15" s="171" t="str">
        <v>waste type</v>
      </c>
      <c r="F15" s="166"/>
      <c r="G15" s="167" t="str">
        <v/>
      </c>
      <c r="H15" s="168" t="str">
        <v>Input</v>
      </c>
      <c r="I15" s="170" t="str" cm="1">
        <f t="array" aca="1" ref="I15" ca="1">HYPERLINK(Common_InputFunctions.Utility_SourceHyperlink($D$18),$D$18)</f>
        <v>Table_V_w_t_onsite</v>
      </c>
      <c r="J15" s="170" t="str" cm="1">
        <f t="array" aca="1" ref="J15" ca="1">HYPERLINK(Common_InputFunctions.Utility_SourceHyperlink($D$56),$D$56)</f>
        <v>Table_V_w_t_offsite</v>
      </c>
    </row>
    <row r="16" spans="1:12" ht="20.100000000000001" customHeight="1" x14ac:dyDescent="0.25">
      <c r="A16" s="16" t="str">
        <f>HYPERLINK("#'Input - Electricity'!A1", "Electricity")</f>
        <v>Electricity</v>
      </c>
      <c r="D16" s="167" t="str">
        <v>t</v>
      </c>
      <c r="E16" s="171" t="str">
        <v>treatment facility</v>
      </c>
      <c r="F16" s="166"/>
      <c r="G16" s="167" t="str">
        <v/>
      </c>
      <c r="H16" s="168" t="str">
        <v>Input</v>
      </c>
      <c r="I16" s="170" t="str" cm="1">
        <f t="array" aca="1" ref="I16" ca="1">HYPERLINK(Common_InputFunctions.Utility_SourceHyperlink($D$18),$D$18)</f>
        <v>Table_V_w_t_onsite</v>
      </c>
      <c r="J16" s="170" t="str" cm="1">
        <f t="array" aca="1" ref="J16" ca="1">HYPERLINK(Common_InputFunctions.Utility_SourceHyperlink($D$56),$D$56)</f>
        <v>Table_V_w_t_offsite</v>
      </c>
    </row>
    <row r="17" spans="1:9" ht="20.100000000000001" customHeight="1" x14ac:dyDescent="0.25"/>
    <row r="18" spans="1:9" ht="20.100000000000001" customHeight="1" x14ac:dyDescent="0.25">
      <c r="D18" s="55" t="s">
        <v>795</v>
      </c>
    </row>
    <row r="19" spans="1:9" ht="20.100000000000001" customHeight="1" x14ac:dyDescent="0.25">
      <c r="A19" s="21" t="s">
        <v>77</v>
      </c>
      <c r="D19" s="56" t="s">
        <v>796</v>
      </c>
    </row>
    <row r="20" spans="1:9" ht="20.100000000000001" customHeight="1" x14ac:dyDescent="0.25">
      <c r="A20" s="16" t="str">
        <f>HYPERLINK("#'15 Scope 3'!A1", "15 Scope 3")</f>
        <v>15 Scope 3</v>
      </c>
      <c r="D20" s="46" t="s">
        <v>797</v>
      </c>
      <c r="E20" s="46" t="s">
        <v>798</v>
      </c>
      <c r="F20" s="46"/>
      <c r="G20" s="46" t="s">
        <v>799</v>
      </c>
      <c r="H20" s="57" t="s">
        <v>800</v>
      </c>
      <c r="I20" s="57" t="s">
        <v>801</v>
      </c>
    </row>
    <row r="21" spans="1:9" ht="20.100000000000001" customHeight="1" x14ac:dyDescent="0.25">
      <c r="A21" s="180" t="str">
        <f>HYPERLINK("#'10.1.1-2 Solid waste treatment'!A1", "10.1.1-2 Solid waste treatment")</f>
        <v>10.1.1-2 Solid waste treatment</v>
      </c>
      <c r="D21" s="167" t="str" cm="1">
        <f t="array" ref="D21:D54">Table_SourceData_WasteSolid_WasteTreatmentEFs[Treatment type t]</f>
        <v>Landfill</v>
      </c>
      <c r="E21" s="171" t="str" cm="1">
        <f t="array" ref="E21:E54">Table_SourceData_WasteSolid_WasteTreatmentEFs[Waste type w]</f>
        <v>Food waste (including animal carcasses, spoiled animal feed or crop)</v>
      </c>
      <c r="F21" s="209"/>
      <c r="G21" s="49"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0</v>
      </c>
      <c r="H21" s="49" cm="1">
        <f t="array" ref="H21">Common_InputFunctions.Utility_LookupValueInTableNumber(E21,Table_SourceData_WasteSolid_VolumeToMassConversion[Waste type w],Table_SourceData_WasteSolid_VolumeToMassConversion[VTMw])</f>
        <v>0.5</v>
      </c>
      <c r="I21" s="49" cm="1">
        <f t="array" ref="I21">WasteSolid_Equations.VEERG_10_1_1_1__2_MassOfWasteFromVolume(G21,H21)</f>
        <v>0</v>
      </c>
    </row>
    <row r="22" spans="1:9" ht="20.100000000000001" customHeight="1" x14ac:dyDescent="0.25">
      <c r="A22" s="16" t="str">
        <f>HYPERLINK("#'Calcs - Manure sent off-site'!A1", "Calcs - Manure sent off-site")</f>
        <v>Calcs - Manure sent off-site</v>
      </c>
      <c r="D22" s="167" t="str">
        <v>Landfill</v>
      </c>
      <c r="E22" s="171" t="str">
        <v>Paper and cardboard</v>
      </c>
      <c r="F22" s="209"/>
      <c r="G22" s="49"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49" cm="1">
        <f t="array" ref="H22">Common_InputFunctions.Utility_LookupValueInTableNumber(E22,Table_SourceData_WasteSolid_VolumeToMassConversion[Waste type w],Table_SourceData_WasteSolid_VolumeToMassConversion[VTMw])</f>
        <v>0.09</v>
      </c>
      <c r="I22" s="49" cm="1">
        <f t="array" ref="I22">WasteSolid_Equations.VEERG_10_1_1_1__2_MassOfWasteFromVolume(G22,H22)</f>
        <v>0</v>
      </c>
    </row>
    <row r="23" spans="1:9" ht="20.100000000000001" customHeight="1" x14ac:dyDescent="0.25">
      <c r="A23" s="16" t="str">
        <f>HYPERLINK("#'8.1.1.1-2 Transport fuel'!A1", "8.1.1.1-2 Transport fuel")</f>
        <v>8.1.1.1-2 Transport fuel</v>
      </c>
      <c r="D23" s="167" t="str">
        <v>Landfill</v>
      </c>
      <c r="E23" s="171" t="str">
        <v>Green waste (including crop residues or prunings)</v>
      </c>
      <c r="F23" s="209"/>
      <c r="G23" s="49"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49" cm="1">
        <f t="array" ref="H23">Common_InputFunctions.Utility_LookupValueInTableNumber(E23,Table_SourceData_WasteSolid_VolumeToMassConversion[Waste type w],Table_SourceData_WasteSolid_VolumeToMassConversion[VTMw])</f>
        <v>0.24</v>
      </c>
      <c r="I23" s="49" cm="1">
        <f t="array" ref="I23">WasteSolid_Equations.VEERG_10_1_1_1__2_MassOfWasteFromVolume(G23,H23)</f>
        <v>0</v>
      </c>
    </row>
    <row r="24" spans="1:9" ht="20.100000000000001" customHeight="1" x14ac:dyDescent="0.25">
      <c r="A24" s="16" t="str">
        <f>HYPERLINK("#'8.2.1.1-2 Stationary fuel'!A1", "8.2.1.1-2 Stationary fuel")</f>
        <v>8.2.1.1-2 Stationary fuel</v>
      </c>
      <c r="D24" s="167" t="str">
        <v>Landfill</v>
      </c>
      <c r="E24" s="171" t="str">
        <v>Wood</v>
      </c>
      <c r="F24" s="209"/>
      <c r="G24" s="49"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49" cm="1">
        <f t="array" ref="H24">Common_InputFunctions.Utility_LookupValueInTableNumber(E24,Table_SourceData_WasteSolid_VolumeToMassConversion[Waste type w],Table_SourceData_WasteSolid_VolumeToMassConversion[VTMw])</f>
        <v>0.15</v>
      </c>
      <c r="I24" s="49" cm="1">
        <f t="array" ref="I24">WasteSolid_Equations.VEERG_10_1_1_1__2_MassOfWasteFromVolume(G24,H24)</f>
        <v>0</v>
      </c>
    </row>
    <row r="25" spans="1:9" ht="20.100000000000001" customHeight="1" x14ac:dyDescent="0.25">
      <c r="D25" s="167" t="str">
        <v>Landfill</v>
      </c>
      <c r="E25" s="171" t="str">
        <v>Textiles</v>
      </c>
      <c r="F25" s="209"/>
      <c r="G25" s="49"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49" cm="1">
        <f t="array" ref="H25">Common_InputFunctions.Utility_LookupValueInTableNumber(E25,Table_SourceData_WasteSolid_VolumeToMassConversion[Waste type w],Table_SourceData_WasteSolid_VolumeToMassConversion[VTMw])</f>
        <v>0.14000000000000001</v>
      </c>
      <c r="I25" s="49" cm="1">
        <f t="array" ref="I25">WasteSolid_Equations.VEERG_10_1_1_1__2_MassOfWasteFromVolume(G25,H25)</f>
        <v>0</v>
      </c>
    </row>
    <row r="26" spans="1:9" ht="20.100000000000001" customHeight="1" x14ac:dyDescent="0.25">
      <c r="D26" s="167" t="str">
        <v>Landfill</v>
      </c>
      <c r="E26" s="171" t="str">
        <v>Sludge</v>
      </c>
      <c r="F26" s="209"/>
      <c r="G26" s="49"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49" cm="1">
        <f t="array" ref="H26">Common_InputFunctions.Utility_LookupValueInTableNumber(E26,Table_SourceData_WasteSolid_VolumeToMassConversion[Waste type w],Table_SourceData_WasteSolid_VolumeToMassConversion[VTMw])</f>
        <v>0.72</v>
      </c>
      <c r="I26" s="49" cm="1">
        <f t="array" ref="I26">WasteSolid_Equations.VEERG_10_1_1_1__2_MassOfWasteFromVolume(G26,H26)</f>
        <v>0</v>
      </c>
    </row>
    <row r="27" spans="1:9" ht="20.100000000000001" customHeight="1" x14ac:dyDescent="0.25">
      <c r="A27" s="222" t="s">
        <v>78</v>
      </c>
      <c r="D27" s="167" t="str">
        <v>Landfill</v>
      </c>
      <c r="E27" s="171" t="str">
        <v>Rubber and leather</v>
      </c>
      <c r="F27" s="209"/>
      <c r="G27" s="49"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49" cm="1">
        <f t="array" ref="H27">Common_InputFunctions.Utility_LookupValueInTableNumber(E27,Table_SourceData_WasteSolid_VolumeToMassConversion[Waste type w],Table_SourceData_WasteSolid_VolumeToMassConversion[VTMw])</f>
        <v>0.14000000000000001</v>
      </c>
      <c r="I27" s="49" cm="1">
        <f t="array" ref="I27">WasteSolid_Equations.VEERG_10_1_1_1__2_MassOfWasteFromVolume(G27,H27)</f>
        <v>0</v>
      </c>
    </row>
    <row r="28" spans="1:9" ht="20.100000000000001" customHeight="1" x14ac:dyDescent="0.25">
      <c r="A28" s="16" t="str">
        <f>HYPERLINK("#'Constants - Scope 3'!A1", "Constants - Scope 3")</f>
        <v>Constants - Scope 3</v>
      </c>
      <c r="D28" s="167" t="str">
        <v>Landfill</v>
      </c>
      <c r="E28" s="171" t="str">
        <v>Inert waste (including concrete, metal, plastic or glass)</v>
      </c>
      <c r="F28" s="209"/>
      <c r="G28" s="49"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49" cm="1">
        <f t="array" ref="H28">Common_InputFunctions.Utility_LookupValueInTableNumber(E28,Table_SourceData_WasteSolid_VolumeToMassConversion[Waste type w],Table_SourceData_WasteSolid_VolumeToMassConversion[VTMw])</f>
        <v>0.42</v>
      </c>
      <c r="I28" s="49" cm="1">
        <f t="array" ref="I28">WasteSolid_Equations.VEERG_10_1_1_1__2_MassOfWasteFromVolume(G28,H28)</f>
        <v>0</v>
      </c>
    </row>
    <row r="29" spans="1:9" ht="20.100000000000001" customHeight="1" x14ac:dyDescent="0.25">
      <c r="A29" s="16" t="str">
        <f>HYPERLINK("#'Constants - Solid Waste'!A1", "Constants - Solid Waste")</f>
        <v>Constants - Solid Waste</v>
      </c>
      <c r="D29" s="167" t="str">
        <v>Landfill</v>
      </c>
      <c r="E29" s="171" t="str">
        <v>Municipal solid waste</v>
      </c>
      <c r="F29" s="209"/>
      <c r="G29" s="49"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49" cm="1">
        <f t="array" ref="H29">Common_InputFunctions.Utility_LookupValueInTableNumber(E29,Table_SourceData_WasteSolid_VolumeToMassConversion[Waste type w],Table_SourceData_WasteSolid_VolumeToMassConversion[VTMw])</f>
        <v>0.36</v>
      </c>
      <c r="I29" s="49" cm="1">
        <f t="array" ref="I29">WasteSolid_Equations.VEERG_10_1_1_1__2_MassOfWasteFromVolume(G29,H29)</f>
        <v>0</v>
      </c>
    </row>
    <row r="30" spans="1:9" ht="20.100000000000001" customHeight="1" x14ac:dyDescent="0.25">
      <c r="A30" s="16" t="str">
        <f>HYPERLINK("#'Constants - Fuel'!A1", "Constants - Fuel")</f>
        <v>Constants - Fuel</v>
      </c>
      <c r="D30" s="167" t="str">
        <v>Landfill</v>
      </c>
      <c r="E30" s="171" t="str">
        <v>Commercial and industrial waste</v>
      </c>
      <c r="F30" s="209"/>
      <c r="G30" s="49"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49" cm="1">
        <f t="array" ref="H30">Common_InputFunctions.Utility_LookupValueInTableNumber(E30,Table_SourceData_WasteSolid_VolumeToMassConversion[Waste type w],Table_SourceData_WasteSolid_VolumeToMassConversion[VTMw])</f>
        <v>0.33</v>
      </c>
      <c r="I30" s="49" cm="1">
        <f t="array" ref="I30">WasteSolid_Equations.VEERG_10_1_1_1__2_MassOfWasteFromVolume(G30,H30)</f>
        <v>0</v>
      </c>
    </row>
    <row r="31" spans="1:9" ht="20.100000000000001" customHeight="1" x14ac:dyDescent="0.25">
      <c r="A31" s="16" t="str">
        <f>HYPERLINK("#'Constants - Poultry'!A1", "Constants - Poultry")</f>
        <v>Constants - Poultry</v>
      </c>
      <c r="D31" s="167" t="str">
        <v>Landfill</v>
      </c>
      <c r="E31" s="171" t="str">
        <v>Construction and demolition waste</v>
      </c>
      <c r="F31" s="209"/>
      <c r="G31" s="49"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49" cm="1">
        <f t="array" ref="H31">Common_InputFunctions.Utility_LookupValueInTableNumber(E31,Table_SourceData_WasteSolid_VolumeToMassConversion[Waste type w],Table_SourceData_WasteSolid_VolumeToMassConversion[VTMw])</f>
        <v>0.39</v>
      </c>
      <c r="I31" s="49" cm="1">
        <f t="array" ref="I31">WasteSolid_Equations.VEERG_10_1_1_1__2_MassOfWasteFromVolume(G31,H31)</f>
        <v>0</v>
      </c>
    </row>
    <row r="32" spans="1:9" ht="20.100000000000001" customHeight="1" x14ac:dyDescent="0.25">
      <c r="A32" s="16" t="str">
        <f>HYPERLINK("#'Constants - Swine'!A1", "Constants - Swine")</f>
        <v>Constants - Swine</v>
      </c>
      <c r="D32" s="167" t="str">
        <v>Incineration</v>
      </c>
      <c r="E32" s="171" t="str">
        <v>Food waste, green waste, wood, sludge</v>
      </c>
      <c r="F32" s="209"/>
      <c r="G32" s="49" t="s">
        <v>849</v>
      </c>
      <c r="H32" s="49" t="s">
        <v>849</v>
      </c>
      <c r="I32" s="49" t="s">
        <v>849</v>
      </c>
    </row>
    <row r="33" spans="1:9" ht="20.100000000000001" customHeight="1" x14ac:dyDescent="0.25">
      <c r="A33" s="16" t="str">
        <f>HYPERLINK("#'Constants - Dairy'!A1", "Constants - Dairy")</f>
        <v>Constants - Dairy</v>
      </c>
      <c r="D33" s="167" t="str">
        <v>Incineration</v>
      </c>
      <c r="E33" s="171" t="str">
        <v>Food waste (including animal carcasses, spoiled animal feed or crop)</v>
      </c>
      <c r="F33" s="209"/>
      <c r="G33" s="49"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49" cm="1">
        <f t="array" ref="H33">Common_InputFunctions.Utility_LookupValueInTableNumber(E33,Table_SourceData_WasteSolid_VolumeToMassConversion[Waste type w],Table_SourceData_WasteSolid_VolumeToMassConversion[VTMw])</f>
        <v>0.5</v>
      </c>
      <c r="I33" s="49" cm="1">
        <f t="array" ref="I33">WasteSolid_Equations.VEERG_10_1_1_1__2_MassOfWasteFromVolume(G33,H33)</f>
        <v>0</v>
      </c>
    </row>
    <row r="34" spans="1:9" ht="20.100000000000001" customHeight="1" x14ac:dyDescent="0.25">
      <c r="A34" s="16" t="str">
        <f>HYPERLINK("#'Constants - Pasture Beef'!A1", "Constants - Pasture Beef")</f>
        <v>Constants - Pasture Beef</v>
      </c>
      <c r="D34" s="167" t="str">
        <v>Incineration</v>
      </c>
      <c r="E34" s="171" t="str">
        <v>Green waste (including crop residues or prunings)</v>
      </c>
      <c r="F34" s="209"/>
      <c r="G34" s="49"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49" cm="1">
        <f t="array" ref="H34">Common_InputFunctions.Utility_LookupValueInTableNumber(E34,Table_SourceData_WasteSolid_VolumeToMassConversion[Waste type w],Table_SourceData_WasteSolid_VolumeToMassConversion[VTMw])</f>
        <v>0.24</v>
      </c>
      <c r="I34" s="49" cm="1">
        <f t="array" ref="I34">WasteSolid_Equations.VEERG_10_1_1_1__2_MassOfWasteFromVolume(G34,H34)</f>
        <v>0</v>
      </c>
    </row>
    <row r="35" spans="1:9" ht="20.100000000000001" customHeight="1" x14ac:dyDescent="0.25">
      <c r="A35" s="16" t="str">
        <f>HYPERLINK("#'Constants - Common Livestock'!A1", "Constants - Common Livestock")</f>
        <v>Constants - Common Livestock</v>
      </c>
      <c r="D35" s="167" t="str">
        <v>Incineration</v>
      </c>
      <c r="E35" s="171" t="str">
        <v>Wood</v>
      </c>
      <c r="F35" s="209"/>
      <c r="G35" s="49"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49" cm="1">
        <f t="array" ref="H35">Common_InputFunctions.Utility_LookupValueInTableNumber(E35,Table_SourceData_WasteSolid_VolumeToMassConversion[Waste type w],Table_SourceData_WasteSolid_VolumeToMassConversion[VTMw])</f>
        <v>0.15</v>
      </c>
      <c r="I35" s="49" cm="1">
        <f t="array" ref="I35">WasteSolid_Equations.VEERG_10_1_1_1__2_MassOfWasteFromVolume(G35,H35)</f>
        <v>0</v>
      </c>
    </row>
    <row r="36" spans="1:9" ht="20.100000000000001" customHeight="1" x14ac:dyDescent="0.25">
      <c r="A36" s="16" t="str">
        <f>HYPERLINK("#'Constants - Fertiliser'!A1", "Constants - Fertiliser")</f>
        <v>Constants - Fertiliser</v>
      </c>
      <c r="D36" s="167" t="str">
        <v>Incineration</v>
      </c>
      <c r="E36" s="171" t="str">
        <v>Sludge</v>
      </c>
      <c r="F36" s="209"/>
      <c r="G36" s="49"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49" cm="1">
        <f t="array" ref="H36">Common_InputFunctions.Utility_LookupValueInTableNumber(E36,Table_SourceData_WasteSolid_VolumeToMassConversion[Waste type w],Table_SourceData_WasteSolid_VolumeToMassConversion[VTMw])</f>
        <v>0.72</v>
      </c>
      <c r="I36" s="49" cm="1">
        <f t="array" ref="I36">WasteSolid_Equations.VEERG_10_1_1_1__2_MassOfWasteFromVolume(G36,H36)</f>
        <v>0</v>
      </c>
    </row>
    <row r="37" spans="1:9" ht="20.100000000000001" customHeight="1" x14ac:dyDescent="0.25">
      <c r="A37" s="16" t="str">
        <f>HYPERLINK("#'Constants - Electricity'!A1", "Constants - Electricity")</f>
        <v>Constants - Electricity</v>
      </c>
      <c r="D37" s="167" t="str">
        <v>Incineration</v>
      </c>
      <c r="E37" s="171" t="str">
        <v>Paper and cardboard</v>
      </c>
      <c r="F37" s="209"/>
      <c r="G37" s="49"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49" cm="1">
        <f t="array" ref="H37">Common_InputFunctions.Utility_LookupValueInTableNumber(E37,Table_SourceData_WasteSolid_VolumeToMassConversion[Waste type w],Table_SourceData_WasteSolid_VolumeToMassConversion[VTMw])</f>
        <v>0.09</v>
      </c>
      <c r="I37" s="49" cm="1">
        <f t="array" ref="I37">WasteSolid_Equations.VEERG_10_1_1_1__2_MassOfWasteFromVolume(G37,H37)</f>
        <v>0</v>
      </c>
    </row>
    <row r="38" spans="1:9" ht="20.100000000000001" customHeight="1" x14ac:dyDescent="0.25">
      <c r="A38" s="16" t="str">
        <f>HYPERLINK("#'Constants - Common'!A1", "Constants - Common")</f>
        <v>Constants - Common</v>
      </c>
      <c r="D38" s="167" t="str">
        <v>Incineration</v>
      </c>
      <c r="E38" s="171" t="str">
        <v>Textiles</v>
      </c>
      <c r="F38" s="209"/>
      <c r="G38" s="49"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49" cm="1">
        <f t="array" ref="H38">Common_InputFunctions.Utility_LookupValueInTableNumber(E38,Table_SourceData_WasteSolid_VolumeToMassConversion[Waste type w],Table_SourceData_WasteSolid_VolumeToMassConversion[VTMw])</f>
        <v>0.14000000000000001</v>
      </c>
      <c r="I38" s="49" cm="1">
        <f t="array" ref="I38">WasteSolid_Equations.VEERG_10_1_1_1__2_MassOfWasteFromVolume(G38,H38)</f>
        <v>0</v>
      </c>
    </row>
    <row r="39" spans="1:9" ht="20.100000000000001" customHeight="1" x14ac:dyDescent="0.25">
      <c r="D39" s="167" t="str">
        <v>Incineration</v>
      </c>
      <c r="E39" s="171" t="str">
        <v>Rubber and leather</v>
      </c>
      <c r="F39" s="209"/>
      <c r="G39" s="49"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49" cm="1">
        <f t="array" ref="H39">Common_InputFunctions.Utility_LookupValueInTableNumber(E39,Table_SourceData_WasteSolid_VolumeToMassConversion[Waste type w],Table_SourceData_WasteSolid_VolumeToMassConversion[VTMw])</f>
        <v>0.14000000000000001</v>
      </c>
      <c r="I39" s="49" cm="1">
        <f t="array" ref="I39">WasteSolid_Equations.VEERG_10_1_1_1__2_MassOfWasteFromVolume(G39,H39)</f>
        <v>0</v>
      </c>
    </row>
    <row r="40" spans="1:9" ht="20.100000000000001" customHeight="1" x14ac:dyDescent="0.25">
      <c r="D40" s="167" t="str">
        <v>Incineration</v>
      </c>
      <c r="E40" s="167" t="str">
        <v>Inert waste (including concrete, metal, plastic or glass)</v>
      </c>
      <c r="F40" s="167"/>
      <c r="G40" s="49"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49" cm="1">
        <f t="array" ref="H40">Common_InputFunctions.Utility_LookupValueInTableNumber(E40,Table_SourceData_WasteSolid_VolumeToMassConversion[Waste type w],Table_SourceData_WasteSolid_VolumeToMassConversion[VTMw])</f>
        <v>0.42</v>
      </c>
      <c r="I40" s="49" cm="1">
        <f t="array" ref="I40">WasteSolid_Equations.VEERG_10_1_1_1__2_MassOfWasteFromVolume(G40,H40)</f>
        <v>0</v>
      </c>
    </row>
    <row r="41" spans="1:9" ht="20.100000000000001" customHeight="1" x14ac:dyDescent="0.25">
      <c r="D41" s="167" t="str">
        <v>Incineration</v>
      </c>
      <c r="E41" s="171" t="str">
        <v>Municipal solid waste</v>
      </c>
      <c r="F41" s="166"/>
      <c r="G41" s="49"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49" cm="1">
        <f t="array" ref="H41">Common_InputFunctions.Utility_LookupValueInTableNumber(E41,Table_SourceData_WasteSolid_VolumeToMassConversion[Waste type w],Table_SourceData_WasteSolid_VolumeToMassConversion[VTMw])</f>
        <v>0.36</v>
      </c>
      <c r="I41" s="49" cm="1">
        <f t="array" ref="I41">WasteSolid_Equations.VEERG_10_1_1_1__2_MassOfWasteFromVolume(G41,H41)</f>
        <v>0</v>
      </c>
    </row>
    <row r="42" spans="1:9" ht="20.100000000000001" customHeight="1" x14ac:dyDescent="0.25">
      <c r="D42" s="167" t="str">
        <v>Incineration</v>
      </c>
      <c r="E42" s="171" t="str">
        <v>Commercial and industrial waste</v>
      </c>
      <c r="F42" s="166"/>
      <c r="G42" s="49"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49" cm="1">
        <f t="array" ref="H42">Common_InputFunctions.Utility_LookupValueInTableNumber(E42,Table_SourceData_WasteSolid_VolumeToMassConversion[Waste type w],Table_SourceData_WasteSolid_VolumeToMassConversion[VTMw])</f>
        <v>0.33</v>
      </c>
      <c r="I42" s="49" cm="1">
        <f t="array" ref="I42">WasteSolid_Equations.VEERG_10_1_1_1__2_MassOfWasteFromVolume(G42,H42)</f>
        <v>0</v>
      </c>
    </row>
    <row r="43" spans="1:9" ht="20.100000000000001" customHeight="1" x14ac:dyDescent="0.25">
      <c r="D43" s="167" t="str">
        <v>Composting</v>
      </c>
      <c r="E43" s="171" t="str">
        <v>All organic waste</v>
      </c>
      <c r="F43" s="166"/>
      <c r="G43" s="49" t="s">
        <v>849</v>
      </c>
      <c r="H43" s="49" t="s">
        <v>849</v>
      </c>
      <c r="I43" s="49" t="s">
        <v>849</v>
      </c>
    </row>
    <row r="44" spans="1:9" ht="20.100000000000001" customHeight="1" x14ac:dyDescent="0.25">
      <c r="D44" s="167" t="str">
        <v>Composting</v>
      </c>
      <c r="E44" s="171" t="str">
        <v>Food waste (including animal carcasses, spoiled animal feed or crop)</v>
      </c>
      <c r="F44" s="166"/>
      <c r="G44" s="49"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0</v>
      </c>
      <c r="H44" s="49" cm="1">
        <f t="array" ref="H44">Common_InputFunctions.Utility_LookupValueInTableNumber(E44,Table_SourceData_WasteSolid_VolumeToMassConversion[Waste type w],Table_SourceData_WasteSolid_VolumeToMassConversion[VTMw])</f>
        <v>0.5</v>
      </c>
      <c r="I44" s="49" cm="1">
        <f t="array" ref="I44">WasteSolid_Equations.VEERG_10_1_1_1__2_MassOfWasteFromVolume(G44,H44)</f>
        <v>0</v>
      </c>
    </row>
    <row r="45" spans="1:9" ht="20.100000000000001" customHeight="1" x14ac:dyDescent="0.25">
      <c r="D45" s="167" t="str">
        <v>Composting</v>
      </c>
      <c r="E45" s="171" t="str">
        <v>Green waste (including crop residues or prunings)</v>
      </c>
      <c r="F45" s="166"/>
      <c r="G45" s="49"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49" cm="1">
        <f t="array" ref="H45">Common_InputFunctions.Utility_LookupValueInTableNumber(E45,Table_SourceData_WasteSolid_VolumeToMassConversion[Waste type w],Table_SourceData_WasteSolid_VolumeToMassConversion[VTMw])</f>
        <v>0.24</v>
      </c>
      <c r="I45" s="49" cm="1">
        <f t="array" ref="I45">WasteSolid_Equations.VEERG_10_1_1_1__2_MassOfWasteFromVolume(G45,H45)</f>
        <v>0</v>
      </c>
    </row>
    <row r="46" spans="1:9" ht="20.100000000000001" customHeight="1" x14ac:dyDescent="0.25">
      <c r="D46" s="167" t="str">
        <v>Composting</v>
      </c>
      <c r="E46" s="171" t="str">
        <v>Wood</v>
      </c>
      <c r="F46" s="166"/>
      <c r="G46" s="49"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49" cm="1">
        <f t="array" ref="H46">Common_InputFunctions.Utility_LookupValueInTableNumber(E46,Table_SourceData_WasteSolid_VolumeToMassConversion[Waste type w],Table_SourceData_WasteSolid_VolumeToMassConversion[VTMw])</f>
        <v>0.15</v>
      </c>
      <c r="I46" s="49" cm="1">
        <f t="array" ref="I46">WasteSolid_Equations.VEERG_10_1_1_1__2_MassOfWasteFromVolume(G46,H46)</f>
        <v>0</v>
      </c>
    </row>
    <row r="47" spans="1:9" ht="20.100000000000001" customHeight="1" x14ac:dyDescent="0.25">
      <c r="D47" s="167" t="str">
        <v>Composting</v>
      </c>
      <c r="E47" s="171" t="str">
        <v>Sludge</v>
      </c>
      <c r="F47" s="166"/>
      <c r="G47" s="49"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49" cm="1">
        <f t="array" ref="H47">Common_InputFunctions.Utility_LookupValueInTableNumber(E47,Table_SourceData_WasteSolid_VolumeToMassConversion[Waste type w],Table_SourceData_WasteSolid_VolumeToMassConversion[VTMw])</f>
        <v>0.72</v>
      </c>
      <c r="I47" s="49" cm="1">
        <f t="array" ref="I47">WasteSolid_Equations.VEERG_10_1_1_1__2_MassOfWasteFromVolume(G47,H47)</f>
        <v>0</v>
      </c>
    </row>
    <row r="48" spans="1:9" ht="20.100000000000001" customHeight="1" x14ac:dyDescent="0.25">
      <c r="D48" s="167" t="str">
        <v>Composting</v>
      </c>
      <c r="E48" s="171" t="str">
        <v>Paper and cardboard</v>
      </c>
      <c r="F48" s="166"/>
      <c r="G48" s="49"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0</v>
      </c>
      <c r="H48" s="49" cm="1">
        <f t="array" ref="H48">Common_InputFunctions.Utility_LookupValueInTableNumber(E48,Table_SourceData_WasteSolid_VolumeToMassConversion[Waste type w],Table_SourceData_WasteSolid_VolumeToMassConversion[VTMw])</f>
        <v>0.09</v>
      </c>
      <c r="I48" s="49" cm="1">
        <f t="array" ref="I48">WasteSolid_Equations.VEERG_10_1_1_1__2_MassOfWasteFromVolume(G48,H48)</f>
        <v>0</v>
      </c>
    </row>
    <row r="49" spans="4:9" ht="20.100000000000001" customHeight="1" x14ac:dyDescent="0.25">
      <c r="D49" s="167" t="str">
        <v>Anaerobic digestion</v>
      </c>
      <c r="E49" s="171" t="str">
        <v>All organic waste</v>
      </c>
      <c r="F49" s="166"/>
      <c r="G49" s="49" t="s">
        <v>849</v>
      </c>
      <c r="H49" s="49" t="s">
        <v>849</v>
      </c>
      <c r="I49" s="49" t="s">
        <v>849</v>
      </c>
    </row>
    <row r="50" spans="4:9" ht="20.100000000000001" customHeight="1" x14ac:dyDescent="0.25">
      <c r="D50" s="167" t="str">
        <v>Anaerobic digestion</v>
      </c>
      <c r="E50" s="171" t="str">
        <v>Food waste (including animal carcasses, spoiled animal feed or crop)</v>
      </c>
      <c r="F50" s="166"/>
      <c r="G50" s="49"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49" cm="1">
        <f t="array" ref="H50">Common_InputFunctions.Utility_LookupValueInTableNumber(E50,Table_SourceData_WasteSolid_VolumeToMassConversion[Waste type w],Table_SourceData_WasteSolid_VolumeToMassConversion[VTMw])</f>
        <v>0.5</v>
      </c>
      <c r="I50" s="49" cm="1">
        <f t="array" ref="I50">WasteSolid_Equations.VEERG_10_1_1_1__2_MassOfWasteFromVolume(G50,H50)</f>
        <v>0</v>
      </c>
    </row>
    <row r="51" spans="4:9" ht="20.100000000000001" customHeight="1" x14ac:dyDescent="0.25">
      <c r="D51" s="167" t="str">
        <v>Anaerobic digestion</v>
      </c>
      <c r="E51" s="171" t="str">
        <v>Green waste (including crop residues or prunings)</v>
      </c>
      <c r="F51" s="166"/>
      <c r="G51" s="49"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49" cm="1">
        <f t="array" ref="H51">Common_InputFunctions.Utility_LookupValueInTableNumber(E51,Table_SourceData_WasteSolid_VolumeToMassConversion[Waste type w],Table_SourceData_WasteSolid_VolumeToMassConversion[VTMw])</f>
        <v>0.24</v>
      </c>
      <c r="I51" s="49" cm="1">
        <f t="array" ref="I51">WasteSolid_Equations.VEERG_10_1_1_1__2_MassOfWasteFromVolume(G51,H51)</f>
        <v>0</v>
      </c>
    </row>
    <row r="52" spans="4:9" ht="20.100000000000001" customHeight="1" x14ac:dyDescent="0.25">
      <c r="D52" s="167" t="str">
        <v>Anaerobic digestion</v>
      </c>
      <c r="E52" s="171" t="str">
        <v>Wood</v>
      </c>
      <c r="F52" s="166"/>
      <c r="G52" s="49"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49" cm="1">
        <f t="array" ref="H52">Common_InputFunctions.Utility_LookupValueInTableNumber(E52,Table_SourceData_WasteSolid_VolumeToMassConversion[Waste type w],Table_SourceData_WasteSolid_VolumeToMassConversion[VTMw])</f>
        <v>0.15</v>
      </c>
      <c r="I52" s="49" cm="1">
        <f t="array" ref="I52">WasteSolid_Equations.VEERG_10_1_1_1__2_MassOfWasteFromVolume(G52,H52)</f>
        <v>0</v>
      </c>
    </row>
    <row r="53" spans="4:9" ht="20.100000000000001" customHeight="1" x14ac:dyDescent="0.25">
      <c r="D53" s="167" t="str">
        <v>Anaerobic digestion</v>
      </c>
      <c r="E53" s="171" t="str">
        <v>Sludge</v>
      </c>
      <c r="F53" s="166"/>
      <c r="G53" s="49"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49" cm="1">
        <f t="array" ref="H53">Common_InputFunctions.Utility_LookupValueInTableNumber(E53,Table_SourceData_WasteSolid_VolumeToMassConversion[Waste type w],Table_SourceData_WasteSolid_VolumeToMassConversion[VTMw])</f>
        <v>0.72</v>
      </c>
      <c r="I53" s="49" cm="1">
        <f t="array" ref="I53">WasteSolid_Equations.VEERG_10_1_1_1__2_MassOfWasteFromVolume(G53,H53)</f>
        <v>0</v>
      </c>
    </row>
    <row r="54" spans="4:9" ht="20.100000000000001" customHeight="1" x14ac:dyDescent="0.25">
      <c r="D54" s="167" t="str">
        <v>Anaerobic digestion</v>
      </c>
      <c r="E54" s="171" t="str">
        <v>Paper and cardboard</v>
      </c>
      <c r="F54" s="166"/>
      <c r="G54" s="49"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49" cm="1">
        <f t="array" ref="H54">Common_InputFunctions.Utility_LookupValueInTableNumber(E54,Table_SourceData_WasteSolid_VolumeToMassConversion[Waste type w],Table_SourceData_WasteSolid_VolumeToMassConversion[VTMw])</f>
        <v>0.09</v>
      </c>
      <c r="I54" s="49" cm="1">
        <f t="array" ref="I54">WasteSolid_Equations.VEERG_10_1_1_1__2_MassOfWasteFromVolume(G54,H54)</f>
        <v>0</v>
      </c>
    </row>
    <row r="55" spans="4:9" ht="20.100000000000001" customHeight="1" x14ac:dyDescent="0.25"/>
    <row r="56" spans="4:9" ht="20.100000000000001" customHeight="1" x14ac:dyDescent="0.25">
      <c r="D56" s="55" t="s">
        <v>802</v>
      </c>
    </row>
    <row r="57" spans="4:9" ht="20.100000000000001" customHeight="1" x14ac:dyDescent="0.25">
      <c r="D57" s="56" t="s">
        <v>803</v>
      </c>
    </row>
    <row r="58" spans="4:9" ht="20.100000000000001" customHeight="1" x14ac:dyDescent="0.25">
      <c r="D58" s="46" t="s">
        <v>797</v>
      </c>
      <c r="E58" s="46" t="s">
        <v>798</v>
      </c>
      <c r="F58" s="46"/>
      <c r="G58" s="46" t="s">
        <v>799</v>
      </c>
      <c r="H58" s="57" t="s">
        <v>800</v>
      </c>
      <c r="I58" s="57" t="s">
        <v>801</v>
      </c>
    </row>
    <row r="59" spans="4:9" ht="20.100000000000001" customHeight="1" x14ac:dyDescent="0.25">
      <c r="D59" s="167" t="str" cm="1">
        <f t="array" ref="D59:D92">Table_SourceData_WasteSolid_WasteTreatmentEFs[Treatment type t]</f>
        <v>Landfill</v>
      </c>
      <c r="E59" s="171" t="str" cm="1">
        <f t="array" ref="E59:E92">Table_SourceData_WasteSolid_WasteTreatmentEFs[Waste type w]</f>
        <v>Food waste (including animal carcasses, spoiled animal feed or crop)</v>
      </c>
      <c r="F59" s="209"/>
      <c r="G59" s="49"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100</v>
      </c>
      <c r="H59" s="49" cm="1">
        <f t="array" ref="H59">Common_InputFunctions.Utility_LookupValueInTableNumber(E59,Table_SourceData_WasteSolid_VolumeToMassConversion[Waste type w],Table_SourceData_WasteSolid_VolumeToMassConversion[VTMw])</f>
        <v>0.5</v>
      </c>
      <c r="I59" s="49" cm="1">
        <f t="array" ref="I59">WasteSolid_Equations.VEERG_10_1_1_1__2_MassOfWasteFromVolume(G59,H59)</f>
        <v>50</v>
      </c>
    </row>
    <row r="60" spans="4:9" ht="20.100000000000001" customHeight="1" x14ac:dyDescent="0.25">
      <c r="D60" s="167" t="str">
        <v>Landfill</v>
      </c>
      <c r="E60" s="171" t="str">
        <v>Paper and cardboard</v>
      </c>
      <c r="F60" s="209"/>
      <c r="G60" s="49"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49" cm="1">
        <f t="array" ref="H60">Common_InputFunctions.Utility_LookupValueInTableNumber(E60,Table_SourceData_WasteSolid_VolumeToMassConversion[Waste type w],Table_SourceData_WasteSolid_VolumeToMassConversion[VTMw])</f>
        <v>0.09</v>
      </c>
      <c r="I60" s="49" cm="1">
        <f t="array" ref="I60">WasteSolid_Equations.VEERG_10_1_1_1__2_MassOfWasteFromVolume(G60,H60)</f>
        <v>0</v>
      </c>
    </row>
    <row r="61" spans="4:9" ht="20.100000000000001" customHeight="1" x14ac:dyDescent="0.25">
      <c r="D61" s="167" t="str">
        <v>Landfill</v>
      </c>
      <c r="E61" s="171" t="str">
        <v>Green waste (including crop residues or prunings)</v>
      </c>
      <c r="F61" s="209"/>
      <c r="G61" s="49"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0</v>
      </c>
      <c r="H61" s="49" cm="1">
        <f t="array" ref="H61">Common_InputFunctions.Utility_LookupValueInTableNumber(E61,Table_SourceData_WasteSolid_VolumeToMassConversion[Waste type w],Table_SourceData_WasteSolid_VolumeToMassConversion[VTMw])</f>
        <v>0.24</v>
      </c>
      <c r="I61" s="49" cm="1">
        <f t="array" ref="I61">WasteSolid_Equations.VEERG_10_1_1_1__2_MassOfWasteFromVolume(G61,H61)</f>
        <v>0</v>
      </c>
    </row>
    <row r="62" spans="4:9" ht="20.100000000000001" customHeight="1" x14ac:dyDescent="0.25">
      <c r="D62" s="167" t="str">
        <v>Landfill</v>
      </c>
      <c r="E62" s="171" t="str">
        <v>Wood</v>
      </c>
      <c r="F62" s="209"/>
      <c r="G62" s="49"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49" cm="1">
        <f t="array" ref="H62">Common_InputFunctions.Utility_LookupValueInTableNumber(E62,Table_SourceData_WasteSolid_VolumeToMassConversion[Waste type w],Table_SourceData_WasteSolid_VolumeToMassConversion[VTMw])</f>
        <v>0.15</v>
      </c>
      <c r="I62" s="49" cm="1">
        <f t="array" ref="I62">WasteSolid_Equations.VEERG_10_1_1_1__2_MassOfWasteFromVolume(G62,H62)</f>
        <v>0</v>
      </c>
    </row>
    <row r="63" spans="4:9" ht="20.100000000000001" customHeight="1" x14ac:dyDescent="0.25">
      <c r="D63" s="167" t="str">
        <v>Landfill</v>
      </c>
      <c r="E63" s="171" t="str">
        <v>Textiles</v>
      </c>
      <c r="F63" s="209"/>
      <c r="G63" s="49"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50</v>
      </c>
      <c r="H63" s="49" cm="1">
        <f t="array" ref="H63">Common_InputFunctions.Utility_LookupValueInTableNumber(E63,Table_SourceData_WasteSolid_VolumeToMassConversion[Waste type w],Table_SourceData_WasteSolid_VolumeToMassConversion[VTMw])</f>
        <v>0.14000000000000001</v>
      </c>
      <c r="I63" s="49" cm="1">
        <f t="array" ref="I63">WasteSolid_Equations.VEERG_10_1_1_1__2_MassOfWasteFromVolume(G63,H63)</f>
        <v>7.0000000000000009</v>
      </c>
    </row>
    <row r="64" spans="4:9" ht="20.100000000000001" customHeight="1" x14ac:dyDescent="0.25">
      <c r="D64" s="167" t="str">
        <v>Landfill</v>
      </c>
      <c r="E64" s="171" t="str">
        <v>Sludge</v>
      </c>
      <c r="F64" s="209"/>
      <c r="G64" s="49"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49" cm="1">
        <f t="array" ref="H64">Common_InputFunctions.Utility_LookupValueInTableNumber(E64,Table_SourceData_WasteSolid_VolumeToMassConversion[Waste type w],Table_SourceData_WasteSolid_VolumeToMassConversion[VTMw])</f>
        <v>0.72</v>
      </c>
      <c r="I64" s="49" cm="1">
        <f t="array" ref="I64">WasteSolid_Equations.VEERG_10_1_1_1__2_MassOfWasteFromVolume(G64,H64)</f>
        <v>0</v>
      </c>
    </row>
    <row r="65" spans="4:9" ht="20.100000000000001" customHeight="1" x14ac:dyDescent="0.25">
      <c r="D65" s="167" t="str">
        <v>Landfill</v>
      </c>
      <c r="E65" s="171" t="str">
        <v>Rubber and leather</v>
      </c>
      <c r="F65" s="209"/>
      <c r="G65" s="49"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49" cm="1">
        <f t="array" ref="H65">Common_InputFunctions.Utility_LookupValueInTableNumber(E65,Table_SourceData_WasteSolid_VolumeToMassConversion[Waste type w],Table_SourceData_WasteSolid_VolumeToMassConversion[VTMw])</f>
        <v>0.14000000000000001</v>
      </c>
      <c r="I65" s="49" cm="1">
        <f t="array" ref="I65">WasteSolid_Equations.VEERG_10_1_1_1__2_MassOfWasteFromVolume(G65,H65)</f>
        <v>0</v>
      </c>
    </row>
    <row r="66" spans="4:9" ht="20.100000000000001" customHeight="1" x14ac:dyDescent="0.25">
      <c r="D66" s="167" t="str">
        <v>Landfill</v>
      </c>
      <c r="E66" s="171" t="str">
        <v>Inert waste (including concrete, metal, plastic or glass)</v>
      </c>
      <c r="F66" s="209"/>
      <c r="G66" s="49"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49" cm="1">
        <f t="array" ref="H66">Common_InputFunctions.Utility_LookupValueInTableNumber(E66,Table_SourceData_WasteSolid_VolumeToMassConversion[Waste type w],Table_SourceData_WasteSolid_VolumeToMassConversion[VTMw])</f>
        <v>0.42</v>
      </c>
      <c r="I66" s="49" cm="1">
        <f t="array" ref="I66">WasteSolid_Equations.VEERG_10_1_1_1__2_MassOfWasteFromVolume(G66,H66)</f>
        <v>0</v>
      </c>
    </row>
    <row r="67" spans="4:9" ht="20.100000000000001" customHeight="1" x14ac:dyDescent="0.25">
      <c r="D67" s="167" t="str">
        <v>Landfill</v>
      </c>
      <c r="E67" s="171" t="str">
        <v>Municipal solid waste</v>
      </c>
      <c r="F67" s="209"/>
      <c r="G67" s="49"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49" cm="1">
        <f t="array" ref="H67">Common_InputFunctions.Utility_LookupValueInTableNumber(E67,Table_SourceData_WasteSolid_VolumeToMassConversion[Waste type w],Table_SourceData_WasteSolid_VolumeToMassConversion[VTMw])</f>
        <v>0.36</v>
      </c>
      <c r="I67" s="49" cm="1">
        <f t="array" ref="I67">WasteSolid_Equations.VEERG_10_1_1_1__2_MassOfWasteFromVolume(G67,H67)</f>
        <v>0</v>
      </c>
    </row>
    <row r="68" spans="4:9" ht="20.100000000000001" customHeight="1" x14ac:dyDescent="0.25">
      <c r="D68" s="167" t="str">
        <v>Landfill</v>
      </c>
      <c r="E68" s="171" t="str">
        <v>Commercial and industrial waste</v>
      </c>
      <c r="F68" s="209"/>
      <c r="G68" s="49"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49" cm="1">
        <f t="array" ref="H68">Common_InputFunctions.Utility_LookupValueInTableNumber(E68,Table_SourceData_WasteSolid_VolumeToMassConversion[Waste type w],Table_SourceData_WasteSolid_VolumeToMassConversion[VTMw])</f>
        <v>0.33</v>
      </c>
      <c r="I68" s="49" cm="1">
        <f t="array" ref="I68">WasteSolid_Equations.VEERG_10_1_1_1__2_MassOfWasteFromVolume(G68,H68)</f>
        <v>0</v>
      </c>
    </row>
    <row r="69" spans="4:9" ht="20.100000000000001" customHeight="1" x14ac:dyDescent="0.25">
      <c r="D69" s="167" t="str">
        <v>Landfill</v>
      </c>
      <c r="E69" s="171" t="str">
        <v>Construction and demolition waste</v>
      </c>
      <c r="F69" s="209"/>
      <c r="G69" s="49"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49" cm="1">
        <f t="array" ref="H69">Common_InputFunctions.Utility_LookupValueInTableNumber(E69,Table_SourceData_WasteSolid_VolumeToMassConversion[Waste type w],Table_SourceData_WasteSolid_VolumeToMassConversion[VTMw])</f>
        <v>0.39</v>
      </c>
      <c r="I69" s="49" cm="1">
        <f t="array" ref="I69">WasteSolid_Equations.VEERG_10_1_1_1__2_MassOfWasteFromVolume(G69,H69)</f>
        <v>0</v>
      </c>
    </row>
    <row r="70" spans="4:9" ht="20.100000000000001" customHeight="1" x14ac:dyDescent="0.25">
      <c r="D70" s="167" t="str">
        <v>Incineration</v>
      </c>
      <c r="E70" s="171" t="str">
        <v>Food waste, green waste, wood, sludge</v>
      </c>
      <c r="F70" s="209"/>
      <c r="G70" s="49" t="s">
        <v>849</v>
      </c>
      <c r="H70" s="49" t="s">
        <v>849</v>
      </c>
      <c r="I70" s="49" t="s">
        <v>849</v>
      </c>
    </row>
    <row r="71" spans="4:9" ht="20.100000000000001" customHeight="1" x14ac:dyDescent="0.25">
      <c r="D71" s="167" t="str">
        <v>Incineration</v>
      </c>
      <c r="E71" s="171" t="str">
        <v>Food waste (including animal carcasses, spoiled animal feed or crop)</v>
      </c>
      <c r="F71" s="209"/>
      <c r="G71" s="49"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49" cm="1">
        <f t="array" ref="H71">Common_InputFunctions.Utility_LookupValueInTableNumber(E71,Table_SourceData_WasteSolid_VolumeToMassConversion[Waste type w],Table_SourceData_WasteSolid_VolumeToMassConversion[VTMw])</f>
        <v>0.5</v>
      </c>
      <c r="I71" s="49" cm="1">
        <f t="array" ref="I71">WasteSolid_Equations.VEERG_10_1_1_1__2_MassOfWasteFromVolume(G71,H71)</f>
        <v>0</v>
      </c>
    </row>
    <row r="72" spans="4:9" ht="20.100000000000001" customHeight="1" x14ac:dyDescent="0.25">
      <c r="D72" s="167" t="str">
        <v>Incineration</v>
      </c>
      <c r="E72" s="171" t="str">
        <v>Green waste (including crop residues or prunings)</v>
      </c>
      <c r="F72" s="209"/>
      <c r="G72" s="49"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0</v>
      </c>
      <c r="H72" s="49" cm="1">
        <f t="array" ref="H72">Common_InputFunctions.Utility_LookupValueInTableNumber(E72,Table_SourceData_WasteSolid_VolumeToMassConversion[Waste type w],Table_SourceData_WasteSolid_VolumeToMassConversion[VTMw])</f>
        <v>0.24</v>
      </c>
      <c r="I72" s="49" cm="1">
        <f t="array" ref="I72">WasteSolid_Equations.VEERG_10_1_1_1__2_MassOfWasteFromVolume(G72,H72)</f>
        <v>0</v>
      </c>
    </row>
    <row r="73" spans="4:9" ht="20.100000000000001" customHeight="1" x14ac:dyDescent="0.25">
      <c r="D73" s="167" t="str">
        <v>Incineration</v>
      </c>
      <c r="E73" s="171" t="str">
        <v>Wood</v>
      </c>
      <c r="F73" s="209"/>
      <c r="G73" s="49"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49" cm="1">
        <f t="array" ref="H73">Common_InputFunctions.Utility_LookupValueInTableNumber(E73,Table_SourceData_WasteSolid_VolumeToMassConversion[Waste type w],Table_SourceData_WasteSolid_VolumeToMassConversion[VTMw])</f>
        <v>0.15</v>
      </c>
      <c r="I73" s="49" cm="1">
        <f t="array" ref="I73">WasteSolid_Equations.VEERG_10_1_1_1__2_MassOfWasteFromVolume(G73,H73)</f>
        <v>0</v>
      </c>
    </row>
    <row r="74" spans="4:9" ht="20.100000000000001" customHeight="1" x14ac:dyDescent="0.25">
      <c r="D74" s="167" t="str">
        <v>Incineration</v>
      </c>
      <c r="E74" s="171" t="str">
        <v>Sludge</v>
      </c>
      <c r="F74" s="209"/>
      <c r="G74" s="49"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49" cm="1">
        <f t="array" ref="H74">Common_InputFunctions.Utility_LookupValueInTableNumber(E74,Table_SourceData_WasteSolid_VolumeToMassConversion[Waste type w],Table_SourceData_WasteSolid_VolumeToMassConversion[VTMw])</f>
        <v>0.72</v>
      </c>
      <c r="I74" s="49" cm="1">
        <f t="array" ref="I74">WasteSolid_Equations.VEERG_10_1_1_1__2_MassOfWasteFromVolume(G74,H74)</f>
        <v>0</v>
      </c>
    </row>
    <row r="75" spans="4:9" ht="20.100000000000001" customHeight="1" x14ac:dyDescent="0.25">
      <c r="D75" s="167" t="str">
        <v>Incineration</v>
      </c>
      <c r="E75" s="171" t="str">
        <v>Paper and cardboard</v>
      </c>
      <c r="F75" s="209"/>
      <c r="G75" s="49"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100</v>
      </c>
      <c r="H75" s="49" cm="1">
        <f t="array" ref="H75">Common_InputFunctions.Utility_LookupValueInTableNumber(E75,Table_SourceData_WasteSolid_VolumeToMassConversion[Waste type w],Table_SourceData_WasteSolid_VolumeToMassConversion[VTMw])</f>
        <v>0.09</v>
      </c>
      <c r="I75" s="49" cm="1">
        <f t="array" ref="I75">WasteSolid_Equations.VEERG_10_1_1_1__2_MassOfWasteFromVolume(G75,H75)</f>
        <v>9</v>
      </c>
    </row>
    <row r="76" spans="4:9" ht="20.100000000000001" customHeight="1" x14ac:dyDescent="0.25">
      <c r="D76" s="167" t="str">
        <v>Incineration</v>
      </c>
      <c r="E76" s="171" t="str">
        <v>Textiles</v>
      </c>
      <c r="F76" s="209"/>
      <c r="G76" s="49"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49" cm="1">
        <f t="array" ref="H76">Common_InputFunctions.Utility_LookupValueInTableNumber(E76,Table_SourceData_WasteSolid_VolumeToMassConversion[Waste type w],Table_SourceData_WasteSolid_VolumeToMassConversion[VTMw])</f>
        <v>0.14000000000000001</v>
      </c>
      <c r="I76" s="49" cm="1">
        <f t="array" ref="I76">WasteSolid_Equations.VEERG_10_1_1_1__2_MassOfWasteFromVolume(G76,H76)</f>
        <v>0</v>
      </c>
    </row>
    <row r="77" spans="4:9" ht="20.100000000000001" customHeight="1" x14ac:dyDescent="0.25">
      <c r="D77" s="167" t="str">
        <v>Incineration</v>
      </c>
      <c r="E77" s="171" t="str">
        <v>Rubber and leather</v>
      </c>
      <c r="F77" s="209"/>
      <c r="G77" s="49"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49" cm="1">
        <f t="array" ref="H77">Common_InputFunctions.Utility_LookupValueInTableNumber(E77,Table_SourceData_WasteSolid_VolumeToMassConversion[Waste type w],Table_SourceData_WasteSolid_VolumeToMassConversion[VTMw])</f>
        <v>0.14000000000000001</v>
      </c>
      <c r="I77" s="49" cm="1">
        <f t="array" ref="I77">WasteSolid_Equations.VEERG_10_1_1_1__2_MassOfWasteFromVolume(G77,H77)</f>
        <v>0</v>
      </c>
    </row>
    <row r="78" spans="4:9" ht="20.100000000000001" customHeight="1" x14ac:dyDescent="0.25">
      <c r="D78" s="167" t="str">
        <v>Incineration</v>
      </c>
      <c r="E78" s="171" t="str">
        <v>Inert waste (including concrete, metal, plastic or glass)</v>
      </c>
      <c r="F78" s="209"/>
      <c r="G78" s="49"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49" cm="1">
        <f t="array" ref="H78">Common_InputFunctions.Utility_LookupValueInTableNumber(E78,Table_SourceData_WasteSolid_VolumeToMassConversion[Waste type w],Table_SourceData_WasteSolid_VolumeToMassConversion[VTMw])</f>
        <v>0.42</v>
      </c>
      <c r="I78" s="49" cm="1">
        <f t="array" ref="I78">WasteSolid_Equations.VEERG_10_1_1_1__2_MassOfWasteFromVolume(G78,H78)</f>
        <v>0</v>
      </c>
    </row>
    <row r="79" spans="4:9" ht="20.100000000000001" customHeight="1" x14ac:dyDescent="0.25">
      <c r="D79" s="167" t="str">
        <v>Incineration</v>
      </c>
      <c r="E79" s="171" t="str">
        <v>Municipal solid waste</v>
      </c>
      <c r="F79" s="166"/>
      <c r="G79" s="49"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49" cm="1">
        <f t="array" ref="H79">Common_InputFunctions.Utility_LookupValueInTableNumber(E79,Table_SourceData_WasteSolid_VolumeToMassConversion[Waste type w],Table_SourceData_WasteSolid_VolumeToMassConversion[VTMw])</f>
        <v>0.36</v>
      </c>
      <c r="I79" s="49" cm="1">
        <f t="array" ref="I79">WasteSolid_Equations.VEERG_10_1_1_1__2_MassOfWasteFromVolume(G79,H79)</f>
        <v>0</v>
      </c>
    </row>
    <row r="80" spans="4:9" ht="20.100000000000001" customHeight="1" x14ac:dyDescent="0.25">
      <c r="D80" s="167" t="str">
        <v>Incineration</v>
      </c>
      <c r="E80" s="171" t="str">
        <v>Commercial and industrial waste</v>
      </c>
      <c r="F80" s="166"/>
      <c r="G80" s="49"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49" cm="1">
        <f t="array" ref="H80">Common_InputFunctions.Utility_LookupValueInTableNumber(E80,Table_SourceData_WasteSolid_VolumeToMassConversion[Waste type w],Table_SourceData_WasteSolid_VolumeToMassConversion[VTMw])</f>
        <v>0.33</v>
      </c>
      <c r="I80" s="49" cm="1">
        <f t="array" ref="I80">WasteSolid_Equations.VEERG_10_1_1_1__2_MassOfWasteFromVolume(G80,H80)</f>
        <v>0</v>
      </c>
    </row>
    <row r="81" spans="3:12" ht="20.100000000000001" customHeight="1" x14ac:dyDescent="0.25">
      <c r="D81" s="167" t="str">
        <v>Composting</v>
      </c>
      <c r="E81" s="171" t="str">
        <v>All organic waste</v>
      </c>
      <c r="F81" s="166"/>
      <c r="G81" s="49" t="s">
        <v>849</v>
      </c>
      <c r="H81" s="49" t="s">
        <v>849</v>
      </c>
      <c r="I81" s="49" t="s">
        <v>849</v>
      </c>
    </row>
    <row r="82" spans="3:12" ht="20.100000000000001" customHeight="1" x14ac:dyDescent="0.25">
      <c r="D82" s="167" t="str">
        <v>Composting</v>
      </c>
      <c r="E82" s="171" t="str">
        <v>Food waste (including animal carcasses, spoiled animal feed or crop)</v>
      </c>
      <c r="F82" s="166"/>
      <c r="G82" s="49"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49" cm="1">
        <f t="array" ref="H82">Common_InputFunctions.Utility_LookupValueInTableNumber(E82,Table_SourceData_WasteSolid_VolumeToMassConversion[Waste type w],Table_SourceData_WasteSolid_VolumeToMassConversion[VTMw])</f>
        <v>0.5</v>
      </c>
      <c r="I82" s="49" cm="1">
        <f t="array" ref="I82">WasteSolid_Equations.VEERG_10_1_1_1__2_MassOfWasteFromVolume(G82,H82)</f>
        <v>0</v>
      </c>
    </row>
    <row r="83" spans="3:12" ht="20.100000000000001" customHeight="1" x14ac:dyDescent="0.25">
      <c r="D83" s="167" t="str">
        <v>Composting</v>
      </c>
      <c r="E83" s="171" t="str">
        <v>Green waste (including crop residues or prunings)</v>
      </c>
      <c r="F83" s="166"/>
      <c r="G83" s="49"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49" cm="1">
        <f t="array" ref="H83">Common_InputFunctions.Utility_LookupValueInTableNumber(E83,Table_SourceData_WasteSolid_VolumeToMassConversion[Waste type w],Table_SourceData_WasteSolid_VolumeToMassConversion[VTMw])</f>
        <v>0.24</v>
      </c>
      <c r="I83" s="49" cm="1">
        <f t="array" ref="I83">WasteSolid_Equations.VEERG_10_1_1_1__2_MassOfWasteFromVolume(G83,H83)</f>
        <v>0</v>
      </c>
    </row>
    <row r="84" spans="3:12" ht="20.100000000000001" customHeight="1" x14ac:dyDescent="0.25">
      <c r="D84" s="167" t="str">
        <v>Composting</v>
      </c>
      <c r="E84" s="171" t="str">
        <v>Wood</v>
      </c>
      <c r="F84" s="166"/>
      <c r="G84" s="49"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49" cm="1">
        <f t="array" ref="H84">Common_InputFunctions.Utility_LookupValueInTableNumber(E84,Table_SourceData_WasteSolid_VolumeToMassConversion[Waste type w],Table_SourceData_WasteSolid_VolumeToMassConversion[VTMw])</f>
        <v>0.15</v>
      </c>
      <c r="I84" s="49" cm="1">
        <f t="array" ref="I84">WasteSolid_Equations.VEERG_10_1_1_1__2_MassOfWasteFromVolume(G84,H84)</f>
        <v>0</v>
      </c>
    </row>
    <row r="85" spans="3:12" ht="20.100000000000001" customHeight="1" x14ac:dyDescent="0.25">
      <c r="D85" s="167" t="str">
        <v>Composting</v>
      </c>
      <c r="E85" s="171" t="str">
        <v>Sludge</v>
      </c>
      <c r="F85" s="166"/>
      <c r="G85" s="49"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49" cm="1">
        <f t="array" ref="H85">Common_InputFunctions.Utility_LookupValueInTableNumber(E85,Table_SourceData_WasteSolid_VolumeToMassConversion[Waste type w],Table_SourceData_WasteSolid_VolumeToMassConversion[VTMw])</f>
        <v>0.72</v>
      </c>
      <c r="I85" s="49" cm="1">
        <f t="array" ref="I85">WasteSolid_Equations.VEERG_10_1_1_1__2_MassOfWasteFromVolume(G85,H85)</f>
        <v>0</v>
      </c>
    </row>
    <row r="86" spans="3:12" ht="20.100000000000001" customHeight="1" x14ac:dyDescent="0.25">
      <c r="D86" s="167" t="str">
        <v>Composting</v>
      </c>
      <c r="E86" s="171" t="str">
        <v>Paper and cardboard</v>
      </c>
      <c r="F86" s="166"/>
      <c r="G86" s="49"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49" cm="1">
        <f t="array" ref="H86">Common_InputFunctions.Utility_LookupValueInTableNumber(E86,Table_SourceData_WasteSolid_VolumeToMassConversion[Waste type w],Table_SourceData_WasteSolid_VolumeToMassConversion[VTMw])</f>
        <v>0.09</v>
      </c>
      <c r="I86" s="49" cm="1">
        <f t="array" ref="I86">WasteSolid_Equations.VEERG_10_1_1_1__2_MassOfWasteFromVolume(G86,H86)</f>
        <v>0</v>
      </c>
    </row>
    <row r="87" spans="3:12" ht="20.100000000000001" customHeight="1" x14ac:dyDescent="0.25">
      <c r="D87" s="167" t="str">
        <v>Anaerobic digestion</v>
      </c>
      <c r="E87" s="171" t="str">
        <v>All organic waste</v>
      </c>
      <c r="F87" s="166"/>
      <c r="G87" s="49" t="s">
        <v>849</v>
      </c>
      <c r="H87" s="49" t="s">
        <v>849</v>
      </c>
      <c r="I87" s="49" t="s">
        <v>849</v>
      </c>
    </row>
    <row r="88" spans="3:12" ht="20.100000000000001" customHeight="1" x14ac:dyDescent="0.25">
      <c r="D88" s="167" t="str">
        <v>Anaerobic digestion</v>
      </c>
      <c r="E88" s="171" t="str">
        <v>Food waste (including animal carcasses, spoiled animal feed or crop)</v>
      </c>
      <c r="F88" s="166"/>
      <c r="G88" s="49"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49" cm="1">
        <f t="array" ref="H88">Common_InputFunctions.Utility_LookupValueInTableNumber(E88,Table_SourceData_WasteSolid_VolumeToMassConversion[Waste type w],Table_SourceData_WasteSolid_VolumeToMassConversion[VTMw])</f>
        <v>0.5</v>
      </c>
      <c r="I88" s="49" cm="1">
        <f t="array" ref="I88">WasteSolid_Equations.VEERG_10_1_1_1__2_MassOfWasteFromVolume(G88,H88)</f>
        <v>0</v>
      </c>
    </row>
    <row r="89" spans="3:12" ht="20.100000000000001" customHeight="1" x14ac:dyDescent="0.25">
      <c r="D89" s="167" t="str">
        <v>Anaerobic digestion</v>
      </c>
      <c r="E89" s="171" t="str">
        <v>Green waste (including crop residues or prunings)</v>
      </c>
      <c r="F89" s="166"/>
      <c r="G89" s="49"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49" cm="1">
        <f t="array" ref="H89">Common_InputFunctions.Utility_LookupValueInTableNumber(E89,Table_SourceData_WasteSolid_VolumeToMassConversion[Waste type w],Table_SourceData_WasteSolid_VolumeToMassConversion[VTMw])</f>
        <v>0.24</v>
      </c>
      <c r="I89" s="49" cm="1">
        <f t="array" ref="I89">WasteSolid_Equations.VEERG_10_1_1_1__2_MassOfWasteFromVolume(G89,H89)</f>
        <v>0</v>
      </c>
    </row>
    <row r="90" spans="3:12" ht="20.100000000000001" customHeight="1" x14ac:dyDescent="0.25">
      <c r="D90" s="167" t="str">
        <v>Anaerobic digestion</v>
      </c>
      <c r="E90" s="171" t="str">
        <v>Wood</v>
      </c>
      <c r="F90" s="166"/>
      <c r="G90" s="49"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49" cm="1">
        <f t="array" ref="H90">Common_InputFunctions.Utility_LookupValueInTableNumber(E90,Table_SourceData_WasteSolid_VolumeToMassConversion[Waste type w],Table_SourceData_WasteSolid_VolumeToMassConversion[VTMw])</f>
        <v>0.15</v>
      </c>
      <c r="I90" s="49" cm="1">
        <f t="array" ref="I90">WasteSolid_Equations.VEERG_10_1_1_1__2_MassOfWasteFromVolume(G90,H90)</f>
        <v>0</v>
      </c>
    </row>
    <row r="91" spans="3:12" ht="20.100000000000001" customHeight="1" x14ac:dyDescent="0.25">
      <c r="D91" s="167" t="str">
        <v>Anaerobic digestion</v>
      </c>
      <c r="E91" s="171" t="str">
        <v>Sludge</v>
      </c>
      <c r="F91" s="166"/>
      <c r="G91" s="49"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49" cm="1">
        <f t="array" ref="H91">Common_InputFunctions.Utility_LookupValueInTableNumber(E91,Table_SourceData_WasteSolid_VolumeToMassConversion[Waste type w],Table_SourceData_WasteSolid_VolumeToMassConversion[VTMw])</f>
        <v>0.72</v>
      </c>
      <c r="I91" s="49" cm="1">
        <f t="array" ref="I91">WasteSolid_Equations.VEERG_10_1_1_1__2_MassOfWasteFromVolume(G91,H91)</f>
        <v>0</v>
      </c>
    </row>
    <row r="92" spans="3:12" ht="20.100000000000001" customHeight="1" x14ac:dyDescent="0.25">
      <c r="D92" s="167" t="str">
        <v>Anaerobic digestion</v>
      </c>
      <c r="E92" s="171" t="str">
        <v>Paper and cardboard</v>
      </c>
      <c r="F92" s="166"/>
      <c r="G92" s="49"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49" cm="1">
        <f t="array" ref="H92">Common_InputFunctions.Utility_LookupValueInTableNumber(E92,Table_SourceData_WasteSolid_VolumeToMassConversion[Waste type w],Table_SourceData_WasteSolid_VolumeToMassConversion[VTMw])</f>
        <v>0.09</v>
      </c>
      <c r="I92" s="49"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98"/>
      <c r="D95" s="98"/>
      <c r="E95" s="98"/>
      <c r="F95" s="98"/>
      <c r="G95" s="98"/>
      <c r="H95" s="98"/>
      <c r="I95" s="98"/>
      <c r="J95" s="98"/>
      <c r="K95" s="98"/>
      <c r="L95" s="98"/>
    </row>
    <row r="96" spans="3:12" ht="20.100000000000001" customHeight="1" x14ac:dyDescent="0.25">
      <c r="D96" s="9" t="str" cm="1">
        <f t="array" ref="D96">WasteSolid_Equations.VEERG_10_1_1_1__1_EmissionsFromWasteManagement_Title()</f>
        <v>Emissions from waste management by greenhouse gas</v>
      </c>
    </row>
    <row r="97" spans="4:9" ht="20.100000000000001" customHeight="1" x14ac:dyDescent="0.25">
      <c r="D97" s="11" t="str" cm="1">
        <f t="array" ref="D97">WasteSolid_Equations.VEERG_10_1_1_1__1_EmissionsFromWasteManagement_Source()</f>
        <v>VEERG 2026: 10.1.1.1, Equation (1)</v>
      </c>
    </row>
    <row r="98" spans="4:9" ht="20.100000000000001" customHeight="1" x14ac:dyDescent="0.25">
      <c r="D98" s="12"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5">
      <c r="D99" s="172" t="s">
        <v>629</v>
      </c>
      <c r="E99" s="172" t="str" cm="1">
        <f t="array" aca="1" ref="E99" ca="1">Common_InputFunctions.Utility_DisplayFunctionName(K116)</f>
        <v>=WasteSolid_Equations.VEERG_10_1_1_1__1_EmissionsFromWasteManagement</v>
      </c>
    </row>
    <row r="100" spans="4:9" ht="20.100000000000001" customHeight="1" x14ac:dyDescent="0.25"/>
    <row r="101" spans="4:9" ht="20.100000000000001" customHeight="1" x14ac:dyDescent="0.25"/>
    <row r="102" spans="4:9" ht="20.100000000000001" customHeight="1" x14ac:dyDescent="0.25">
      <c r="D102" s="27" t="s">
        <v>630</v>
      </c>
      <c r="E102" s="8" t="str" cm="1">
        <f t="array" ref="E102">WasteSolid_Equations.VEERG_10_1_1_1__1_EmissionsFromWasteManagement_Variable()</f>
        <v>E_g</v>
      </c>
    </row>
    <row r="103" spans="4:9" ht="20.100000000000001" customHeight="1" x14ac:dyDescent="0.25">
      <c r="D103" s="27" t="s">
        <v>97</v>
      </c>
      <c r="E103" s="13" t="str" cm="1">
        <f t="array" ref="E103">WasteSolid_Equations.VEERG_10_1_1_1__1_EmissionsFromWasteManagement_Unit()</f>
        <v>t CO2e</v>
      </c>
    </row>
    <row r="104" spans="4:9" ht="20.100000000000001" customHeight="1" x14ac:dyDescent="0.25"/>
    <row r="105" spans="4:9" ht="20.100000000000001" customHeight="1" x14ac:dyDescent="0.25">
      <c r="D105" s="167" t="str" cm="1">
        <f t="array" ref="D105:E111">_xlfn.CHOOSECOLS(WasteSolid_Equations.VEERG_10_1_1_1__1_EmissionsFromWasteManagement_Arguments(),1,2)</f>
        <v>Q_wt</v>
      </c>
      <c r="E105" s="171" t="str">
        <v>quantity of solid waste of type w being sent to treatment facility t, on a wet weight basis</v>
      </c>
      <c r="F105" s="205"/>
      <c r="G105" s="166"/>
      <c r="H105" s="167" t="str" cm="1">
        <f t="array" ref="H105:I111">_xlfn.CHOOSECOLS(WasteSolid_Equations.VEERG_10_1_1_1__1_EmissionsFromWasteManagement_Arguments(),3,4)</f>
        <v>t</v>
      </c>
      <c r="I105" s="169" t="str">
        <v>Sum of Q_volwt and Q_masswt</v>
      </c>
    </row>
    <row r="106" spans="4:9" ht="20.100000000000001" customHeight="1" x14ac:dyDescent="0.25">
      <c r="D106" s="167" t="str">
        <v>EF_wtg</v>
      </c>
      <c r="E106" s="171" t="str">
        <v>emission factor for greenhouse gas g for the management of waste at treatment facility t</v>
      </c>
      <c r="F106" s="205"/>
      <c r="G106" s="166"/>
      <c r="H106" s="167" t="str">
        <v>t CO2e/t</v>
      </c>
      <c r="I106" s="169" t="str">
        <v>Constant</v>
      </c>
    </row>
    <row r="107" spans="4:9" ht="20.100000000000001" customHeight="1" x14ac:dyDescent="0.25">
      <c r="D107" s="167" t="str">
        <v>w</v>
      </c>
      <c r="E107" s="171" t="str">
        <v>waste type</v>
      </c>
      <c r="F107" s="205"/>
      <c r="G107" s="166"/>
      <c r="H107" s="167" t="str">
        <v/>
      </c>
      <c r="I107" s="168" t="str">
        <v>Input</v>
      </c>
    </row>
    <row r="108" spans="4:9" ht="20.100000000000001" customHeight="1" x14ac:dyDescent="0.25">
      <c r="D108" s="167" t="str">
        <v>t</v>
      </c>
      <c r="E108" s="171" t="str">
        <v>treatment facility</v>
      </c>
      <c r="F108" s="205"/>
      <c r="G108" s="166"/>
      <c r="H108" s="167" t="str">
        <v/>
      </c>
      <c r="I108" s="168" t="str">
        <v>Input</v>
      </c>
    </row>
    <row r="109" spans="4:9" ht="20.100000000000001" customHeight="1" x14ac:dyDescent="0.25">
      <c r="D109" s="167" t="str">
        <v>g</v>
      </c>
      <c r="E109" s="171" t="str">
        <v>greenhouse gas</v>
      </c>
      <c r="F109" s="205"/>
      <c r="G109" s="166"/>
      <c r="H109" s="167" t="str">
        <v/>
      </c>
      <c r="I109" s="168" t="str">
        <v>Input</v>
      </c>
    </row>
    <row r="110" spans="4:9" ht="20.100000000000001" customHeight="1" x14ac:dyDescent="0.25">
      <c r="D110" s="167" t="str">
        <v>Q_volwt</v>
      </c>
      <c r="E110" s="171" t="str">
        <v>quantity of sold waste input as volume and converted to tonnes</v>
      </c>
      <c r="F110" s="205"/>
      <c r="G110" s="166"/>
      <c r="H110" s="167" t="str">
        <v>tonnes</v>
      </c>
      <c r="I110" s="169" t="str">
        <v>Calculated from 10.1.1.1 (2)</v>
      </c>
    </row>
    <row r="111" spans="4:9" ht="20.100000000000001" customHeight="1" x14ac:dyDescent="0.25">
      <c r="D111" s="167" t="str">
        <v>Q_masswt</v>
      </c>
      <c r="E111" s="171" t="str">
        <v>quantity of solid waste input as mass</v>
      </c>
      <c r="F111" s="205"/>
      <c r="G111" s="166"/>
      <c r="H111" s="167" t="str">
        <v>tonnes</v>
      </c>
      <c r="I111" s="168" t="str">
        <v>Input</v>
      </c>
    </row>
    <row r="112" spans="4:9" ht="20.100000000000001" customHeight="1" x14ac:dyDescent="0.25"/>
    <row r="113" spans="4:11" ht="20.100000000000001" customHeight="1" x14ac:dyDescent="0.25">
      <c r="D113" s="55" t="s">
        <v>804</v>
      </c>
    </row>
    <row r="114" spans="4:11" ht="20.100000000000001" customHeight="1" x14ac:dyDescent="0.25">
      <c r="D114" s="56" t="s">
        <v>805</v>
      </c>
    </row>
    <row r="115" spans="4:11" ht="20.100000000000001" customHeight="1" x14ac:dyDescent="0.25">
      <c r="D115" s="46" t="s">
        <v>797</v>
      </c>
      <c r="E115" s="46" t="s">
        <v>798</v>
      </c>
      <c r="F115" s="46"/>
      <c r="G115" s="46" t="s">
        <v>850</v>
      </c>
      <c r="H115" s="57" t="s">
        <v>851</v>
      </c>
      <c r="I115" s="57" t="s">
        <v>801</v>
      </c>
      <c r="J115" s="57" t="s">
        <v>852</v>
      </c>
      <c r="K115" s="57" t="s">
        <v>853</v>
      </c>
    </row>
    <row r="116" spans="4:11" ht="20.100000000000001" customHeight="1" x14ac:dyDescent="0.25">
      <c r="D116" s="167" t="str" cm="1">
        <f t="array" ref="D116:D149">Table_SourceData_WasteSolid_WasteTreatmentEFs[Treatment type t]</f>
        <v>Landfill</v>
      </c>
      <c r="E116" s="171" t="str" cm="1">
        <f t="array" ref="E116:E149">Table_SourceData_WasteSolid_WasteTreatmentEFs[Waste type w]</f>
        <v>Food waste (including animal carcasses, spoiled animal feed or crop)</v>
      </c>
      <c r="F116" s="209"/>
      <c r="G116" s="49"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0</v>
      </c>
      <c r="H116" s="49">
        <f t="shared" ref="H116:H149" si="0">I21</f>
        <v>0</v>
      </c>
      <c r="I116" s="49">
        <f>G116+H116</f>
        <v>0</v>
      </c>
      <c r="J116" s="49" cm="1">
        <f t="array" ref="J116">Common_InputFunctions.Utility_LookupValueInTableTwoColumns(D116,E116,Table_SourceData_WasteSolid_WasteTreatmentEFs[Treatment type t],Table_SourceData_WasteSolid_WasteTreatmentEFs[Waste type w],Table_SourceData_WasteSolid_WasteTreatmentEFs[EFwt])</f>
        <v>2.1</v>
      </c>
      <c r="K116" s="49" cm="1">
        <f t="array" ref="K116">WasteSolid_Equations.VEERG_10_1_1_1__1_EmissionsFromWasteManagement(I116, J116)</f>
        <v>0</v>
      </c>
    </row>
    <row r="117" spans="4:11" ht="20.100000000000001" customHeight="1" x14ac:dyDescent="0.25">
      <c r="D117" s="167" t="str">
        <v>Landfill</v>
      </c>
      <c r="E117" s="171" t="str">
        <v>Paper and cardboard</v>
      </c>
      <c r="F117" s="209"/>
      <c r="G117" s="49"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117" s="49">
        <f t="shared" si="0"/>
        <v>0</v>
      </c>
      <c r="I117" s="49">
        <f t="shared" ref="I117:I126" si="1">G117+H117</f>
        <v>0</v>
      </c>
      <c r="J117" s="49" cm="1">
        <f t="array" ref="J117">Common_InputFunctions.Utility_LookupValueInTableTwoColumns(D117,E117,Table_SourceData_WasteSolid_WasteTreatmentEFs[Treatment type t],Table_SourceData_WasteSolid_WasteTreatmentEFs[Waste type w],Table_SourceData_WasteSolid_WasteTreatmentEFs[EFwt])</f>
        <v>3.3</v>
      </c>
      <c r="K117" s="49" cm="1">
        <f t="array" ref="K117">WasteSolid_Equations.VEERG_10_1_1_1__1_EmissionsFromWasteManagement(I117, J117)</f>
        <v>0</v>
      </c>
    </row>
    <row r="118" spans="4:11" ht="20.100000000000001" customHeight="1" x14ac:dyDescent="0.25">
      <c r="D118" s="167" t="str">
        <v>Landfill</v>
      </c>
      <c r="E118" s="171" t="str">
        <v>Green waste (including crop residues or prunings)</v>
      </c>
      <c r="F118" s="209"/>
      <c r="G118" s="49"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118" s="49">
        <f t="shared" si="0"/>
        <v>0</v>
      </c>
      <c r="I118" s="49">
        <f t="shared" si="1"/>
        <v>0</v>
      </c>
      <c r="J118" s="49" cm="1">
        <f t="array" ref="J118">Common_InputFunctions.Utility_LookupValueInTableTwoColumns(D118,E118,Table_SourceData_WasteSolid_WasteTreatmentEFs[Treatment type t],Table_SourceData_WasteSolid_WasteTreatmentEFs[Waste type w],Table_SourceData_WasteSolid_WasteTreatmentEFs[EFwt])</f>
        <v>1.6</v>
      </c>
      <c r="K118" s="49" cm="1">
        <f t="array" ref="K118">WasteSolid_Equations.VEERG_10_1_1_1__1_EmissionsFromWasteManagement(I118, J118)</f>
        <v>0</v>
      </c>
    </row>
    <row r="119" spans="4:11" ht="20.100000000000001" customHeight="1" x14ac:dyDescent="0.25">
      <c r="D119" s="167" t="str">
        <v>Landfill</v>
      </c>
      <c r="E119" s="171" t="str">
        <v>Wood</v>
      </c>
      <c r="F119" s="209"/>
      <c r="G119" s="49"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49">
        <f t="shared" si="0"/>
        <v>0</v>
      </c>
      <c r="I119" s="49">
        <f t="shared" si="1"/>
        <v>0</v>
      </c>
      <c r="J119" s="49" cm="1">
        <f t="array" ref="J119">Common_InputFunctions.Utility_LookupValueInTableTwoColumns(D119,E119,Table_SourceData_WasteSolid_WasteTreatmentEFs[Treatment type t],Table_SourceData_WasteSolid_WasteTreatmentEFs[Waste type w],Table_SourceData_WasteSolid_WasteTreatmentEFs[EFwt])</f>
        <v>0.7</v>
      </c>
      <c r="K119" s="49" cm="1">
        <f t="array" ref="K119">WasteSolid_Equations.VEERG_10_1_1_1__1_EmissionsFromWasteManagement(I119, J119)</f>
        <v>0</v>
      </c>
    </row>
    <row r="120" spans="4:11" ht="20.100000000000001" customHeight="1" x14ac:dyDescent="0.25">
      <c r="D120" s="167" t="str">
        <v>Landfill</v>
      </c>
      <c r="E120" s="171" t="str">
        <v>Textiles</v>
      </c>
      <c r="F120" s="209"/>
      <c r="G120" s="49"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49">
        <f t="shared" si="0"/>
        <v>0</v>
      </c>
      <c r="I120" s="49">
        <f t="shared" si="1"/>
        <v>0</v>
      </c>
      <c r="J120" s="49" cm="1">
        <f t="array" ref="J120">Common_InputFunctions.Utility_LookupValueInTableTwoColumns(D120,E120,Table_SourceData_WasteSolid_WasteTreatmentEFs[Treatment type t],Table_SourceData_WasteSolid_WasteTreatmentEFs[Waste type w],Table_SourceData_WasteSolid_WasteTreatmentEFs[EFwt])</f>
        <v>2</v>
      </c>
      <c r="K120" s="49" cm="1">
        <f t="array" ref="K120">WasteSolid_Equations.VEERG_10_1_1_1__1_EmissionsFromWasteManagement(I120, J120)</f>
        <v>0</v>
      </c>
    </row>
    <row r="121" spans="4:11" ht="20.100000000000001" customHeight="1" x14ac:dyDescent="0.25">
      <c r="D121" s="167" t="str">
        <v>Landfill</v>
      </c>
      <c r="E121" s="171" t="str">
        <v>Sludge</v>
      </c>
      <c r="F121" s="209"/>
      <c r="G121" s="49"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49">
        <f t="shared" si="0"/>
        <v>0</v>
      </c>
      <c r="I121" s="49">
        <f t="shared" si="1"/>
        <v>0</v>
      </c>
      <c r="J121" s="49" cm="1">
        <f t="array" ref="J121">Common_InputFunctions.Utility_LookupValueInTableTwoColumns(D121,E121,Table_SourceData_WasteSolid_WasteTreatmentEFs[Treatment type t],Table_SourceData_WasteSolid_WasteTreatmentEFs[Waste type w],Table_SourceData_WasteSolid_WasteTreatmentEFs[EFwt])</f>
        <v>0.4</v>
      </c>
      <c r="K121" s="49" cm="1">
        <f t="array" ref="K121">WasteSolid_Equations.VEERG_10_1_1_1__1_EmissionsFromWasteManagement(I121, J121)</f>
        <v>0</v>
      </c>
    </row>
    <row r="122" spans="4:11" ht="20.100000000000001" customHeight="1" x14ac:dyDescent="0.25">
      <c r="D122" s="167" t="str">
        <v>Landfill</v>
      </c>
      <c r="E122" s="171" t="str">
        <v>Rubber and leather</v>
      </c>
      <c r="F122" s="209"/>
      <c r="G122" s="49"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49">
        <f t="shared" si="0"/>
        <v>0</v>
      </c>
      <c r="I122" s="49">
        <f t="shared" si="1"/>
        <v>0</v>
      </c>
      <c r="J122" s="49" cm="1">
        <f t="array" ref="J122">Common_InputFunctions.Utility_LookupValueInTableTwoColumns(D122,E122,Table_SourceData_WasteSolid_WasteTreatmentEFs[Treatment type t],Table_SourceData_WasteSolid_WasteTreatmentEFs[Waste type w],Table_SourceData_WasteSolid_WasteTreatmentEFs[EFwt])</f>
        <v>3.3</v>
      </c>
      <c r="K122" s="49" cm="1">
        <f t="array" ref="K122">WasteSolid_Equations.VEERG_10_1_1_1__1_EmissionsFromWasteManagement(I122, J122)</f>
        <v>0</v>
      </c>
    </row>
    <row r="123" spans="4:11" ht="20.100000000000001" customHeight="1" x14ac:dyDescent="0.25">
      <c r="D123" s="167" t="str">
        <v>Landfill</v>
      </c>
      <c r="E123" s="171" t="str">
        <v>Inert waste (including concrete, metal, plastic or glass)</v>
      </c>
      <c r="F123" s="209"/>
      <c r="G123" s="49"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49">
        <f t="shared" si="0"/>
        <v>0</v>
      </c>
      <c r="I123" s="49">
        <f t="shared" si="1"/>
        <v>0</v>
      </c>
      <c r="J123" s="49" cm="1">
        <f t="array" ref="J123">Common_InputFunctions.Utility_LookupValueInTableTwoColumns(D123,E123,Table_SourceData_WasteSolid_WasteTreatmentEFs[Treatment type t],Table_SourceData_WasteSolid_WasteTreatmentEFs[Waste type w],Table_SourceData_WasteSolid_WasteTreatmentEFs[EFwt])</f>
        <v>0</v>
      </c>
      <c r="K123" s="49" cm="1">
        <f t="array" ref="K123">WasteSolid_Equations.VEERG_10_1_1_1__1_EmissionsFromWasteManagement(I123, J123)</f>
        <v>0</v>
      </c>
    </row>
    <row r="124" spans="4:11" ht="20.100000000000001" customHeight="1" x14ac:dyDescent="0.25">
      <c r="D124" s="167" t="str">
        <v>Landfill</v>
      </c>
      <c r="E124" s="171" t="str">
        <v>Municipal solid waste</v>
      </c>
      <c r="F124" s="209"/>
      <c r="G124" s="49"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49">
        <f t="shared" si="0"/>
        <v>0</v>
      </c>
      <c r="I124" s="49">
        <f t="shared" si="1"/>
        <v>0</v>
      </c>
      <c r="J124" s="49" cm="1">
        <f t="array" ref="J124">Common_InputFunctions.Utility_LookupValueInTableTwoColumns(D124,E124,Table_SourceData_WasteSolid_WasteTreatmentEFs[Treatment type t],Table_SourceData_WasteSolid_WasteTreatmentEFs[Waste type w],Table_SourceData_WasteSolid_WasteTreatmentEFs[EFwt])</f>
        <v>1.6</v>
      </c>
      <c r="K124" s="49" cm="1">
        <f t="array" ref="K124">WasteSolid_Equations.VEERG_10_1_1_1__1_EmissionsFromWasteManagement(I124, J124)</f>
        <v>0</v>
      </c>
    </row>
    <row r="125" spans="4:11" ht="20.100000000000001" customHeight="1" x14ac:dyDescent="0.25">
      <c r="D125" s="167" t="str">
        <v>Landfill</v>
      </c>
      <c r="E125" s="171" t="str">
        <v>Commercial and industrial waste</v>
      </c>
      <c r="F125" s="209"/>
      <c r="G125" s="49"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49">
        <f t="shared" si="0"/>
        <v>0</v>
      </c>
      <c r="I125" s="49">
        <f t="shared" si="1"/>
        <v>0</v>
      </c>
      <c r="J125" s="49" cm="1">
        <f t="array" ref="J125">Common_InputFunctions.Utility_LookupValueInTableTwoColumns(D125,E125,Table_SourceData_WasteSolid_WasteTreatmentEFs[Treatment type t],Table_SourceData_WasteSolid_WasteTreatmentEFs[Waste type w],Table_SourceData_WasteSolid_WasteTreatmentEFs[EFwt])</f>
        <v>1.3</v>
      </c>
      <c r="K125" s="49" cm="1">
        <f t="array" ref="K125">WasteSolid_Equations.VEERG_10_1_1_1__1_EmissionsFromWasteManagement(I125, J125)</f>
        <v>0</v>
      </c>
    </row>
    <row r="126" spans="4:11" ht="20.100000000000001" customHeight="1" x14ac:dyDescent="0.25">
      <c r="D126" s="167" t="str">
        <v>Landfill</v>
      </c>
      <c r="E126" s="171" t="str">
        <v>Construction and demolition waste</v>
      </c>
      <c r="F126" s="209"/>
      <c r="G126" s="49"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49">
        <f t="shared" si="0"/>
        <v>0</v>
      </c>
      <c r="I126" s="49">
        <f t="shared" si="1"/>
        <v>0</v>
      </c>
      <c r="J126" s="49" cm="1">
        <f t="array" ref="J126">Common_InputFunctions.Utility_LookupValueInTableTwoColumns(D126,E126,Table_SourceData_WasteSolid_WasteTreatmentEFs[Treatment type t],Table_SourceData_WasteSolid_WasteTreatmentEFs[Waste type w],Table_SourceData_WasteSolid_WasteTreatmentEFs[EFwt])</f>
        <v>0.2</v>
      </c>
      <c r="K126" s="49" cm="1">
        <f t="array" ref="K126">WasteSolid_Equations.VEERG_10_1_1_1__1_EmissionsFromWasteManagement(I126, J126)</f>
        <v>0</v>
      </c>
    </row>
    <row r="127" spans="4:11" ht="20.100000000000001" customHeight="1" x14ac:dyDescent="0.25">
      <c r="D127" s="167" t="str">
        <v>Incineration</v>
      </c>
      <c r="E127" s="171" t="str">
        <v>Food waste, green waste, wood, sludge</v>
      </c>
      <c r="F127" s="209"/>
      <c r="G127" s="49" t="s">
        <v>849</v>
      </c>
      <c r="H127" s="49" t="str">
        <f t="shared" si="0"/>
        <v>Not used</v>
      </c>
      <c r="I127" s="49">
        <f>SUM(G128:G131)+SUM(H128:H131)</f>
        <v>0</v>
      </c>
      <c r="J127" s="49" cm="1">
        <f t="array" ref="J127">Common_InputFunctions.Utility_LookupValueInTableTwoColumns(D127,E127,Table_SourceData_WasteSolid_WasteTreatmentEFs[Treatment type t],Table_SourceData_WasteSolid_WasteTreatmentEFs[Waste type w],Table_SourceData_WasteSolid_WasteTreatmentEFs[EFwt])</f>
        <v>0</v>
      </c>
      <c r="K127" s="49" cm="1">
        <f t="array" ref="K127">WasteSolid_Equations.VEERG_10_1_1_1__1_EmissionsFromWasteManagement(I127, J127)</f>
        <v>0</v>
      </c>
    </row>
    <row r="128" spans="4:11" ht="20.100000000000001" customHeight="1" x14ac:dyDescent="0.25">
      <c r="D128" s="167" t="str">
        <v>Incineration</v>
      </c>
      <c r="E128" s="171" t="str">
        <v>Food waste (including animal carcasses, spoiled animal feed or crop)</v>
      </c>
      <c r="F128" s="209"/>
      <c r="G128" s="49"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49">
        <f t="shared" si="0"/>
        <v>0</v>
      </c>
      <c r="I128" s="49" t="s">
        <v>854</v>
      </c>
      <c r="J128" s="49" t="s">
        <v>849</v>
      </c>
      <c r="K128" s="49" t="s">
        <v>849</v>
      </c>
    </row>
    <row r="129" spans="4:11" ht="20.100000000000001" customHeight="1" x14ac:dyDescent="0.25">
      <c r="D129" s="167" t="str">
        <v>Incineration</v>
      </c>
      <c r="E129" s="171" t="str">
        <v>Green waste (including crop residues or prunings)</v>
      </c>
      <c r="F129" s="209"/>
      <c r="G129" s="49"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29" s="49">
        <f t="shared" si="0"/>
        <v>0</v>
      </c>
      <c r="I129" s="49" t="s">
        <v>854</v>
      </c>
      <c r="J129" s="49" t="s">
        <v>849</v>
      </c>
      <c r="K129" s="49" t="s">
        <v>849</v>
      </c>
    </row>
    <row r="130" spans="4:11" ht="20.100000000000001" customHeight="1" x14ac:dyDescent="0.25">
      <c r="D130" s="167" t="str">
        <v>Incineration</v>
      </c>
      <c r="E130" s="171" t="str">
        <v>Wood</v>
      </c>
      <c r="F130" s="209"/>
      <c r="G130" s="49"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49">
        <f t="shared" si="0"/>
        <v>0</v>
      </c>
      <c r="I130" s="49" t="s">
        <v>854</v>
      </c>
      <c r="J130" s="49" t="s">
        <v>849</v>
      </c>
      <c r="K130" s="49" t="s">
        <v>849</v>
      </c>
    </row>
    <row r="131" spans="4:11" ht="20.100000000000001" customHeight="1" x14ac:dyDescent="0.25">
      <c r="D131" s="167" t="str">
        <v>Incineration</v>
      </c>
      <c r="E131" s="171" t="str">
        <v>Sludge</v>
      </c>
      <c r="F131" s="209"/>
      <c r="G131" s="49"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49">
        <f t="shared" si="0"/>
        <v>0</v>
      </c>
      <c r="I131" s="49" t="s">
        <v>854</v>
      </c>
      <c r="J131" s="49" t="s">
        <v>849</v>
      </c>
      <c r="K131" s="49" t="s">
        <v>849</v>
      </c>
    </row>
    <row r="132" spans="4:11" ht="20.100000000000001" customHeight="1" x14ac:dyDescent="0.25">
      <c r="D132" s="167" t="str">
        <v>Incineration</v>
      </c>
      <c r="E132" s="171" t="str">
        <v>Paper and cardboard</v>
      </c>
      <c r="F132" s="209"/>
      <c r="G132" s="49"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32" s="49">
        <f t="shared" si="0"/>
        <v>0</v>
      </c>
      <c r="I132" s="49">
        <f t="shared" ref="I132:I137" si="2">G132+H132</f>
        <v>0</v>
      </c>
      <c r="J132" s="49"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49" cm="1">
        <f t="array" ref="K132">WasteSolid_Equations.VEERG_10_1_1_1__1_EmissionsFromWasteManagement(I132, J132)</f>
        <v>0</v>
      </c>
    </row>
    <row r="133" spans="4:11" ht="20.100000000000001" customHeight="1" x14ac:dyDescent="0.25">
      <c r="D133" s="167" t="str">
        <v>Incineration</v>
      </c>
      <c r="E133" s="171" t="str">
        <v>Textiles</v>
      </c>
      <c r="F133" s="209"/>
      <c r="G133" s="49"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49">
        <f t="shared" si="0"/>
        <v>0</v>
      </c>
      <c r="I133" s="49">
        <f t="shared" si="2"/>
        <v>0</v>
      </c>
      <c r="J133" s="49"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49" cm="1">
        <f t="array" ref="K133">WasteSolid_Equations.VEERG_10_1_1_1__1_EmissionsFromWasteManagement(I133, J133)</f>
        <v>0</v>
      </c>
    </row>
    <row r="134" spans="4:11" ht="20.100000000000001" customHeight="1" x14ac:dyDescent="0.25">
      <c r="D134" s="167" t="str">
        <v>Incineration</v>
      </c>
      <c r="E134" s="171" t="str">
        <v>Rubber and leather</v>
      </c>
      <c r="F134" s="209"/>
      <c r="G134" s="49"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49">
        <f t="shared" si="0"/>
        <v>0</v>
      </c>
      <c r="I134" s="49">
        <f t="shared" si="2"/>
        <v>0</v>
      </c>
      <c r="J134" s="49" cm="1">
        <f t="array" ref="J134">Common_InputFunctions.Utility_LookupValueInTableTwoColumns(D134,E134,Table_SourceData_WasteSolid_WasteTreatmentEFs[Treatment type t],Table_SourceData_WasteSolid_WasteTreatmentEFs[Waste type w],Table_SourceData_WasteSolid_WasteTreatmentEFs[EFwt])</f>
        <v>0.4919</v>
      </c>
      <c r="K134" s="49" cm="1">
        <f t="array" ref="K134">WasteSolid_Equations.VEERG_10_1_1_1__1_EmissionsFromWasteManagement(I134, J134)</f>
        <v>0</v>
      </c>
    </row>
    <row r="135" spans="4:11" ht="20.100000000000001" customHeight="1" x14ac:dyDescent="0.25">
      <c r="D135" s="167" t="str">
        <v>Incineration</v>
      </c>
      <c r="E135" s="171" t="str">
        <v>Inert waste (including concrete, metal, plastic or glass)</v>
      </c>
      <c r="F135" s="209"/>
      <c r="G135" s="49"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49">
        <f t="shared" si="0"/>
        <v>0</v>
      </c>
      <c r="I135" s="49">
        <f t="shared" si="2"/>
        <v>0</v>
      </c>
      <c r="J135" s="49" cm="1">
        <f t="array" ref="J135">Common_InputFunctions.Utility_LookupValueInTableTwoColumns(D135,E135,Table_SourceData_WasteSolid_WasteTreatmentEFs[Treatment type t],Table_SourceData_WasteSolid_WasteTreatmentEFs[Waste type w],Table_SourceData_WasteSolid_WasteTreatmentEFs[EFwt])</f>
        <v>0.11</v>
      </c>
      <c r="K135" s="49" cm="1">
        <f t="array" ref="K135">WasteSolid_Equations.VEERG_10_1_1_1__1_EmissionsFromWasteManagement(I135, J135)</f>
        <v>0</v>
      </c>
    </row>
    <row r="136" spans="4:11" ht="20.100000000000001" customHeight="1" x14ac:dyDescent="0.25">
      <c r="D136" s="167" t="str">
        <v>Incineration</v>
      </c>
      <c r="E136" s="171" t="str">
        <v>Municipal solid waste</v>
      </c>
      <c r="F136" s="166"/>
      <c r="G136" s="49"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49">
        <f t="shared" si="0"/>
        <v>0</v>
      </c>
      <c r="I136" s="49">
        <f t="shared" si="2"/>
        <v>0</v>
      </c>
      <c r="J136" s="49"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49" cm="1">
        <f t="array" ref="K136">WasteSolid_Equations.VEERG_10_1_1_1__1_EmissionsFromWasteManagement(I136, J136)</f>
        <v>0</v>
      </c>
    </row>
    <row r="137" spans="4:11" ht="20.100000000000001" customHeight="1" x14ac:dyDescent="0.25">
      <c r="D137" s="167" t="str">
        <v>Incineration</v>
      </c>
      <c r="E137" s="171" t="str">
        <v>Commercial and industrial waste</v>
      </c>
      <c r="F137" s="166"/>
      <c r="G137" s="49"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49">
        <f t="shared" si="0"/>
        <v>0</v>
      </c>
      <c r="I137" s="49">
        <f t="shared" si="2"/>
        <v>0</v>
      </c>
      <c r="J137" s="49" cm="1">
        <f t="array" ref="J137">Common_InputFunctions.Utility_LookupValueInTableTwoColumns(D137,E137,Table_SourceData_WasteSolid_WasteTreatmentEFs[Treatment type t],Table_SourceData_WasteSolid_WasteTreatmentEFs[Waste type w],Table_SourceData_WasteSolid_WasteTreatmentEFs[EFwt])</f>
        <v>1.649</v>
      </c>
      <c r="K137" s="49" cm="1">
        <f t="array" ref="K137">WasteSolid_Equations.VEERG_10_1_1_1__1_EmissionsFromWasteManagement(I137, J137)</f>
        <v>0</v>
      </c>
    </row>
    <row r="138" spans="4:11" ht="20.100000000000001" customHeight="1" x14ac:dyDescent="0.25">
      <c r="D138" s="167" t="str">
        <v>Composting</v>
      </c>
      <c r="E138" s="171" t="str">
        <v>All organic waste</v>
      </c>
      <c r="F138" s="166"/>
      <c r="G138" s="49" t="s">
        <v>849</v>
      </c>
      <c r="H138" s="49" t="str">
        <f t="shared" si="0"/>
        <v>Not used</v>
      </c>
      <c r="I138" s="49">
        <f>SUM(G139:G143)+SUM(H139:H143)</f>
        <v>0</v>
      </c>
      <c r="J138" s="49"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49" cm="1">
        <f t="array" ref="K138">WasteSolid_Equations.VEERG_10_1_1_1__1_EmissionsFromWasteManagement(I138, J138)</f>
        <v>0</v>
      </c>
    </row>
    <row r="139" spans="4:11" ht="20.100000000000001" customHeight="1" x14ac:dyDescent="0.25">
      <c r="D139" s="167" t="str">
        <v>Composting</v>
      </c>
      <c r="E139" s="171" t="str">
        <v>Food waste (including animal carcasses, spoiled animal feed or crop)</v>
      </c>
      <c r="F139" s="166"/>
      <c r="G139" s="49"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49">
        <f t="shared" si="0"/>
        <v>0</v>
      </c>
      <c r="I139" s="49" t="s">
        <v>854</v>
      </c>
      <c r="J139" s="49" t="s">
        <v>849</v>
      </c>
      <c r="K139" s="49" t="s">
        <v>849</v>
      </c>
    </row>
    <row r="140" spans="4:11" ht="20.100000000000001" customHeight="1" x14ac:dyDescent="0.25">
      <c r="D140" s="167" t="str">
        <v>Composting</v>
      </c>
      <c r="E140" s="171" t="str">
        <v>Green waste (including crop residues or prunings)</v>
      </c>
      <c r="F140" s="166"/>
      <c r="G140" s="49"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49">
        <f t="shared" si="0"/>
        <v>0</v>
      </c>
      <c r="I140" s="49" t="s">
        <v>854</v>
      </c>
      <c r="J140" s="49" t="s">
        <v>849</v>
      </c>
      <c r="K140" s="49" t="s">
        <v>849</v>
      </c>
    </row>
    <row r="141" spans="4:11" ht="20.100000000000001" customHeight="1" x14ac:dyDescent="0.25">
      <c r="D141" s="167" t="str">
        <v>Composting</v>
      </c>
      <c r="E141" s="171" t="str">
        <v>Wood</v>
      </c>
      <c r="F141" s="166"/>
      <c r="G141" s="49"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49">
        <f t="shared" si="0"/>
        <v>0</v>
      </c>
      <c r="I141" s="49" t="s">
        <v>854</v>
      </c>
      <c r="J141" s="49" t="s">
        <v>849</v>
      </c>
      <c r="K141" s="49" t="s">
        <v>849</v>
      </c>
    </row>
    <row r="142" spans="4:11" ht="20.100000000000001" customHeight="1" x14ac:dyDescent="0.25">
      <c r="D142" s="167" t="str">
        <v>Composting</v>
      </c>
      <c r="E142" s="171" t="str">
        <v>Sludge</v>
      </c>
      <c r="F142" s="166"/>
      <c r="G142" s="49"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49">
        <f t="shared" si="0"/>
        <v>0</v>
      </c>
      <c r="I142" s="49" t="s">
        <v>854</v>
      </c>
      <c r="J142" s="49" t="s">
        <v>849</v>
      </c>
      <c r="K142" s="49" t="s">
        <v>849</v>
      </c>
    </row>
    <row r="143" spans="4:11" ht="20.100000000000001" customHeight="1" x14ac:dyDescent="0.25">
      <c r="D143" s="167" t="str">
        <v>Composting</v>
      </c>
      <c r="E143" s="171" t="str">
        <v>Paper and cardboard</v>
      </c>
      <c r="F143" s="166"/>
      <c r="G143" s="49"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49">
        <f t="shared" si="0"/>
        <v>0</v>
      </c>
      <c r="I143" s="49" t="s">
        <v>854</v>
      </c>
      <c r="J143" s="49" t="s">
        <v>849</v>
      </c>
      <c r="K143" s="49" t="s">
        <v>849</v>
      </c>
    </row>
    <row r="144" spans="4:11" ht="20.100000000000001" customHeight="1" x14ac:dyDescent="0.25">
      <c r="D144" s="167" t="str">
        <v>Anaerobic digestion</v>
      </c>
      <c r="E144" s="171" t="str">
        <v>All organic waste</v>
      </c>
      <c r="F144" s="166"/>
      <c r="G144" s="49" t="s">
        <v>849</v>
      </c>
      <c r="H144" s="49" t="str">
        <f t="shared" si="0"/>
        <v>Not used</v>
      </c>
      <c r="I144" s="49">
        <f>SUM(G145:G149)+SUM(H145:H149)</f>
        <v>0</v>
      </c>
      <c r="J144" s="49"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49" cm="1">
        <f t="array" ref="K144">WasteSolid_Equations.VEERG_10_1_1_1__1_EmissionsFromWasteManagement(I144, J144)</f>
        <v>0</v>
      </c>
    </row>
    <row r="145" spans="4:11" ht="20.100000000000001" customHeight="1" x14ac:dyDescent="0.25">
      <c r="D145" s="167" t="str">
        <v>Anaerobic digestion</v>
      </c>
      <c r="E145" s="171" t="str">
        <v>Food waste (including animal carcasses, spoiled animal feed or crop)</v>
      </c>
      <c r="F145" s="166"/>
      <c r="G145" s="49"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49">
        <f t="shared" si="0"/>
        <v>0</v>
      </c>
      <c r="I145" s="49" t="s">
        <v>854</v>
      </c>
      <c r="J145" s="49" t="s">
        <v>849</v>
      </c>
      <c r="K145" s="49" t="s">
        <v>849</v>
      </c>
    </row>
    <row r="146" spans="4:11" ht="20.100000000000001" customHeight="1" x14ac:dyDescent="0.25">
      <c r="D146" s="167" t="str">
        <v>Anaerobic digestion</v>
      </c>
      <c r="E146" s="171" t="str">
        <v>Green waste (including crop residues or prunings)</v>
      </c>
      <c r="F146" s="166"/>
      <c r="G146" s="49"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49">
        <f t="shared" si="0"/>
        <v>0</v>
      </c>
      <c r="I146" s="49" t="s">
        <v>854</v>
      </c>
      <c r="J146" s="49" t="s">
        <v>849</v>
      </c>
      <c r="K146" s="49" t="s">
        <v>849</v>
      </c>
    </row>
    <row r="147" spans="4:11" ht="20.100000000000001" customHeight="1" x14ac:dyDescent="0.25">
      <c r="D147" s="167" t="str">
        <v>Anaerobic digestion</v>
      </c>
      <c r="E147" s="171" t="str">
        <v>Wood</v>
      </c>
      <c r="F147" s="166"/>
      <c r="G147" s="49"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49">
        <f t="shared" si="0"/>
        <v>0</v>
      </c>
      <c r="I147" s="49" t="s">
        <v>854</v>
      </c>
      <c r="J147" s="49" t="s">
        <v>849</v>
      </c>
      <c r="K147" s="49" t="s">
        <v>849</v>
      </c>
    </row>
    <row r="148" spans="4:11" ht="20.100000000000001" customHeight="1" x14ac:dyDescent="0.25">
      <c r="D148" s="167" t="str">
        <v>Anaerobic digestion</v>
      </c>
      <c r="E148" s="171" t="str">
        <v>Sludge</v>
      </c>
      <c r="F148" s="166"/>
      <c r="G148" s="49"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49">
        <f t="shared" si="0"/>
        <v>0</v>
      </c>
      <c r="I148" s="49" t="s">
        <v>854</v>
      </c>
      <c r="J148" s="49" t="s">
        <v>849</v>
      </c>
      <c r="K148" s="49" t="s">
        <v>849</v>
      </c>
    </row>
    <row r="149" spans="4:11" ht="20.100000000000001" customHeight="1" x14ac:dyDescent="0.25">
      <c r="D149" s="167" t="str">
        <v>Anaerobic digestion</v>
      </c>
      <c r="E149" s="171" t="str">
        <v>Paper and cardboard</v>
      </c>
      <c r="F149" s="166"/>
      <c r="G149" s="49"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49">
        <f t="shared" si="0"/>
        <v>0</v>
      </c>
      <c r="I149" s="49" t="s">
        <v>854</v>
      </c>
      <c r="J149" s="49" t="s">
        <v>849</v>
      </c>
      <c r="K149" s="49" t="s">
        <v>849</v>
      </c>
    </row>
    <row r="150" spans="4:11" ht="20.100000000000001" customHeight="1" x14ac:dyDescent="0.25"/>
    <row r="151" spans="4:11" ht="20.100000000000001" customHeight="1" x14ac:dyDescent="0.25">
      <c r="D151" s="176" t="s">
        <v>806</v>
      </c>
      <c r="E151" s="177">
        <f>SUM(K116:K149)</f>
        <v>0</v>
      </c>
      <c r="F151" s="178" t="str">
        <f>$E$103</f>
        <v>t CO2e</v>
      </c>
    </row>
    <row r="152" spans="4:11" ht="20.100000000000001" customHeight="1" x14ac:dyDescent="0.25"/>
    <row r="153" spans="4:11" ht="20.100000000000001" customHeight="1" x14ac:dyDescent="0.25"/>
    <row r="154" spans="4:11" ht="20.100000000000001" customHeight="1" x14ac:dyDescent="0.25">
      <c r="D154" s="55" t="s">
        <v>807</v>
      </c>
    </row>
    <row r="155" spans="4:11" ht="20.100000000000001" customHeight="1" x14ac:dyDescent="0.25">
      <c r="D155" s="56" t="s">
        <v>808</v>
      </c>
    </row>
    <row r="156" spans="4:11" ht="20.100000000000001" customHeight="1" x14ac:dyDescent="0.25">
      <c r="D156" s="46" t="s">
        <v>797</v>
      </c>
      <c r="E156" s="46" t="s">
        <v>798</v>
      </c>
      <c r="F156" s="46"/>
      <c r="G156" s="46" t="s">
        <v>850</v>
      </c>
      <c r="H156" s="57" t="s">
        <v>851</v>
      </c>
      <c r="I156" s="57" t="s">
        <v>801</v>
      </c>
      <c r="J156" s="57" t="s">
        <v>852</v>
      </c>
      <c r="K156" s="57" t="s">
        <v>853</v>
      </c>
    </row>
    <row r="157" spans="4:11" ht="20.100000000000001" customHeight="1" x14ac:dyDescent="0.25">
      <c r="D157" s="167" t="str" cm="1">
        <f t="array" ref="D157:D190">Table_SourceData_WasteSolid_WasteTreatmentEFs[Treatment type t]</f>
        <v>Landfill</v>
      </c>
      <c r="E157" s="171" t="str" cm="1">
        <f t="array" ref="E157:E190">Table_SourceData_WasteSolid_WasteTreatmentEFs[Waste type w]</f>
        <v>Food waste (including animal carcasses, spoiled animal feed or crop)</v>
      </c>
      <c r="F157" s="209"/>
      <c r="G157" s="49"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100</v>
      </c>
      <c r="H157" s="49">
        <f t="shared" ref="H157:H190" si="3">I59</f>
        <v>50</v>
      </c>
      <c r="I157" s="49">
        <f>G157+H157</f>
        <v>150</v>
      </c>
      <c r="J157" s="49" cm="1">
        <f t="array" ref="J157">Common_InputFunctions.Utility_LookupValueInTableTwoColumns(D157,E157,Table_SourceData_WasteSolid_WasteTreatmentEFs[Treatment type t],Table_SourceData_WasteSolid_WasteTreatmentEFs[Waste type w],Table_SourceData_WasteSolid_WasteTreatmentEFs[EFwt])</f>
        <v>2.1</v>
      </c>
      <c r="K157" s="49" cm="1">
        <f t="array" ref="K157">WasteSolid_Equations.VEERG_10_1_1_1__1_EmissionsFromWasteManagement(I157, J157)</f>
        <v>315</v>
      </c>
    </row>
    <row r="158" spans="4:11" ht="20.100000000000001" customHeight="1" x14ac:dyDescent="0.25">
      <c r="D158" s="167" t="str">
        <v>Landfill</v>
      </c>
      <c r="E158" s="171" t="str">
        <v>Paper and cardboard</v>
      </c>
      <c r="F158" s="209"/>
      <c r="G158" s="49"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58" s="49">
        <f t="shared" si="3"/>
        <v>0</v>
      </c>
      <c r="I158" s="49">
        <f t="shared" ref="I158:I167" si="4">G158+H158</f>
        <v>0</v>
      </c>
      <c r="J158" s="49" cm="1">
        <f t="array" ref="J158">Common_InputFunctions.Utility_LookupValueInTableTwoColumns(D158,E158,Table_SourceData_WasteSolid_WasteTreatmentEFs[Treatment type t],Table_SourceData_WasteSolid_WasteTreatmentEFs[Waste type w],Table_SourceData_WasteSolid_WasteTreatmentEFs[EFwt])</f>
        <v>3.3</v>
      </c>
      <c r="K158" s="49" cm="1">
        <f t="array" ref="K158">WasteSolid_Equations.VEERG_10_1_1_1__1_EmissionsFromWasteManagement(I158, J158)</f>
        <v>0</v>
      </c>
    </row>
    <row r="159" spans="4:11" ht="20.100000000000001" customHeight="1" x14ac:dyDescent="0.25">
      <c r="D159" s="167" t="str">
        <v>Landfill</v>
      </c>
      <c r="E159" s="171" t="str">
        <v>Green waste (including crop residues or prunings)</v>
      </c>
      <c r="F159" s="209"/>
      <c r="G159" s="49"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59" s="49">
        <f t="shared" si="3"/>
        <v>0</v>
      </c>
      <c r="I159" s="49">
        <f t="shared" si="4"/>
        <v>0</v>
      </c>
      <c r="J159" s="49" cm="1">
        <f t="array" ref="J159">Common_InputFunctions.Utility_LookupValueInTableTwoColumns(D159,E159,Table_SourceData_WasteSolid_WasteTreatmentEFs[Treatment type t],Table_SourceData_WasteSolid_WasteTreatmentEFs[Waste type w],Table_SourceData_WasteSolid_WasteTreatmentEFs[EFwt])</f>
        <v>1.6</v>
      </c>
      <c r="K159" s="49" cm="1">
        <f t="array" ref="K159">WasteSolid_Equations.VEERG_10_1_1_1__1_EmissionsFromWasteManagement(I159, J159)</f>
        <v>0</v>
      </c>
    </row>
    <row r="160" spans="4:11" ht="20.100000000000001" customHeight="1" x14ac:dyDescent="0.25">
      <c r="D160" s="167" t="str">
        <v>Landfill</v>
      </c>
      <c r="E160" s="171" t="str">
        <v>Wood</v>
      </c>
      <c r="F160" s="209"/>
      <c r="G160" s="49"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49">
        <f t="shared" si="3"/>
        <v>0</v>
      </c>
      <c r="I160" s="49">
        <f t="shared" si="4"/>
        <v>0</v>
      </c>
      <c r="J160" s="49" cm="1">
        <f t="array" ref="J160">Common_InputFunctions.Utility_LookupValueInTableTwoColumns(D160,E160,Table_SourceData_WasteSolid_WasteTreatmentEFs[Treatment type t],Table_SourceData_WasteSolid_WasteTreatmentEFs[Waste type w],Table_SourceData_WasteSolid_WasteTreatmentEFs[EFwt])</f>
        <v>0.7</v>
      </c>
      <c r="K160" s="49" cm="1">
        <f t="array" ref="K160">WasteSolid_Equations.VEERG_10_1_1_1__1_EmissionsFromWasteManagement(I160, J160)</f>
        <v>0</v>
      </c>
    </row>
    <row r="161" spans="4:11" ht="20.100000000000001" customHeight="1" x14ac:dyDescent="0.25">
      <c r="D161" s="167" t="str">
        <v>Landfill</v>
      </c>
      <c r="E161" s="171" t="str">
        <v>Textiles</v>
      </c>
      <c r="F161" s="209"/>
      <c r="G161" s="49"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49">
        <f t="shared" si="3"/>
        <v>7.0000000000000009</v>
      </c>
      <c r="I161" s="49">
        <f t="shared" si="4"/>
        <v>7.0000000000000009</v>
      </c>
      <c r="J161" s="49" cm="1">
        <f t="array" ref="J161">Common_InputFunctions.Utility_LookupValueInTableTwoColumns(D161,E161,Table_SourceData_WasteSolid_WasteTreatmentEFs[Treatment type t],Table_SourceData_WasteSolid_WasteTreatmentEFs[Waste type w],Table_SourceData_WasteSolid_WasteTreatmentEFs[EFwt])</f>
        <v>2</v>
      </c>
      <c r="K161" s="49" cm="1">
        <f t="array" ref="K161">WasteSolid_Equations.VEERG_10_1_1_1__1_EmissionsFromWasteManagement(I161, J161)</f>
        <v>14.000000000000002</v>
      </c>
    </row>
    <row r="162" spans="4:11" ht="20.100000000000001" customHeight="1" x14ac:dyDescent="0.25">
      <c r="D162" s="167" t="str">
        <v>Landfill</v>
      </c>
      <c r="E162" s="171" t="str">
        <v>Sludge</v>
      </c>
      <c r="F162" s="209"/>
      <c r="G162" s="49"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49">
        <f t="shared" si="3"/>
        <v>0</v>
      </c>
      <c r="I162" s="49">
        <f t="shared" si="4"/>
        <v>0</v>
      </c>
      <c r="J162" s="49" cm="1">
        <f t="array" ref="J162">Common_InputFunctions.Utility_LookupValueInTableTwoColumns(D162,E162,Table_SourceData_WasteSolid_WasteTreatmentEFs[Treatment type t],Table_SourceData_WasteSolid_WasteTreatmentEFs[Waste type w],Table_SourceData_WasteSolid_WasteTreatmentEFs[EFwt])</f>
        <v>0.4</v>
      </c>
      <c r="K162" s="49" cm="1">
        <f t="array" ref="K162">WasteSolid_Equations.VEERG_10_1_1_1__1_EmissionsFromWasteManagement(I162, J162)</f>
        <v>0</v>
      </c>
    </row>
    <row r="163" spans="4:11" ht="20.100000000000001" customHeight="1" x14ac:dyDescent="0.25">
      <c r="D163" s="167" t="str">
        <v>Landfill</v>
      </c>
      <c r="E163" s="171" t="str">
        <v>Rubber and leather</v>
      </c>
      <c r="F163" s="209"/>
      <c r="G163" s="49"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49">
        <f t="shared" si="3"/>
        <v>0</v>
      </c>
      <c r="I163" s="49">
        <f t="shared" si="4"/>
        <v>0</v>
      </c>
      <c r="J163" s="49" cm="1">
        <f t="array" ref="J163">Common_InputFunctions.Utility_LookupValueInTableTwoColumns(D163,E163,Table_SourceData_WasteSolid_WasteTreatmentEFs[Treatment type t],Table_SourceData_WasteSolid_WasteTreatmentEFs[Waste type w],Table_SourceData_WasteSolid_WasteTreatmentEFs[EFwt])</f>
        <v>3.3</v>
      </c>
      <c r="K163" s="49" cm="1">
        <f t="array" ref="K163">WasteSolid_Equations.VEERG_10_1_1_1__1_EmissionsFromWasteManagement(I163, J163)</f>
        <v>0</v>
      </c>
    </row>
    <row r="164" spans="4:11" ht="20.100000000000001" customHeight="1" x14ac:dyDescent="0.25">
      <c r="D164" s="167" t="str">
        <v>Landfill</v>
      </c>
      <c r="E164" s="171" t="str">
        <v>Inert waste (including concrete, metal, plastic or glass)</v>
      </c>
      <c r="F164" s="209"/>
      <c r="G164" s="49"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49">
        <f t="shared" si="3"/>
        <v>0</v>
      </c>
      <c r="I164" s="49">
        <f t="shared" si="4"/>
        <v>0</v>
      </c>
      <c r="J164" s="49" cm="1">
        <f t="array" ref="J164">Common_InputFunctions.Utility_LookupValueInTableTwoColumns(D164,E164,Table_SourceData_WasteSolid_WasteTreatmentEFs[Treatment type t],Table_SourceData_WasteSolid_WasteTreatmentEFs[Waste type w],Table_SourceData_WasteSolid_WasteTreatmentEFs[EFwt])</f>
        <v>0</v>
      </c>
      <c r="K164" s="49" cm="1">
        <f t="array" ref="K164">WasteSolid_Equations.VEERG_10_1_1_1__1_EmissionsFromWasteManagement(I164, J164)</f>
        <v>0</v>
      </c>
    </row>
    <row r="165" spans="4:11" ht="20.100000000000001" customHeight="1" x14ac:dyDescent="0.25">
      <c r="D165" s="167" t="str">
        <v>Landfill</v>
      </c>
      <c r="E165" s="171" t="str">
        <v>Municipal solid waste</v>
      </c>
      <c r="F165" s="209"/>
      <c r="G165" s="49"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49">
        <f t="shared" si="3"/>
        <v>0</v>
      </c>
      <c r="I165" s="49">
        <f t="shared" si="4"/>
        <v>0</v>
      </c>
      <c r="J165" s="49" cm="1">
        <f t="array" ref="J165">Common_InputFunctions.Utility_LookupValueInTableTwoColumns(D165,E165,Table_SourceData_WasteSolid_WasteTreatmentEFs[Treatment type t],Table_SourceData_WasteSolid_WasteTreatmentEFs[Waste type w],Table_SourceData_WasteSolid_WasteTreatmentEFs[EFwt])</f>
        <v>1.6</v>
      </c>
      <c r="K165" s="49" cm="1">
        <f t="array" ref="K165">WasteSolid_Equations.VEERG_10_1_1_1__1_EmissionsFromWasteManagement(I165, J165)</f>
        <v>0</v>
      </c>
    </row>
    <row r="166" spans="4:11" ht="20.100000000000001" customHeight="1" x14ac:dyDescent="0.25">
      <c r="D166" s="167" t="str">
        <v>Landfill</v>
      </c>
      <c r="E166" s="171" t="str">
        <v>Commercial and industrial waste</v>
      </c>
      <c r="F166" s="209"/>
      <c r="G166" s="49"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49">
        <f t="shared" si="3"/>
        <v>0</v>
      </c>
      <c r="I166" s="49">
        <f t="shared" si="4"/>
        <v>0</v>
      </c>
      <c r="J166" s="49" cm="1">
        <f t="array" ref="J166">Common_InputFunctions.Utility_LookupValueInTableTwoColumns(D166,E166,Table_SourceData_WasteSolid_WasteTreatmentEFs[Treatment type t],Table_SourceData_WasteSolid_WasteTreatmentEFs[Waste type w],Table_SourceData_WasteSolid_WasteTreatmentEFs[EFwt])</f>
        <v>1.3</v>
      </c>
      <c r="K166" s="49" cm="1">
        <f t="array" ref="K166">WasteSolid_Equations.VEERG_10_1_1_1__1_EmissionsFromWasteManagement(I166, J166)</f>
        <v>0</v>
      </c>
    </row>
    <row r="167" spans="4:11" ht="20.100000000000001" customHeight="1" x14ac:dyDescent="0.25">
      <c r="D167" s="167" t="str">
        <v>Landfill</v>
      </c>
      <c r="E167" s="171" t="str">
        <v>Construction and demolition waste</v>
      </c>
      <c r="F167" s="209"/>
      <c r="G167" s="49"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49">
        <f t="shared" si="3"/>
        <v>0</v>
      </c>
      <c r="I167" s="49">
        <f t="shared" si="4"/>
        <v>0</v>
      </c>
      <c r="J167" s="49" cm="1">
        <f t="array" ref="J167">Common_InputFunctions.Utility_LookupValueInTableTwoColumns(D167,E167,Table_SourceData_WasteSolid_WasteTreatmentEFs[Treatment type t],Table_SourceData_WasteSolid_WasteTreatmentEFs[Waste type w],Table_SourceData_WasteSolid_WasteTreatmentEFs[EFwt])</f>
        <v>0.2</v>
      </c>
      <c r="K167" s="49" cm="1">
        <f t="array" ref="K167">WasteSolid_Equations.VEERG_10_1_1_1__1_EmissionsFromWasteManagement(I167, J167)</f>
        <v>0</v>
      </c>
    </row>
    <row r="168" spans="4:11" ht="20.100000000000001" customHeight="1" x14ac:dyDescent="0.25">
      <c r="D168" s="167" t="str">
        <v>Incineration</v>
      </c>
      <c r="E168" s="171" t="str">
        <v>Food waste, green waste, wood, sludge</v>
      </c>
      <c r="F168" s="209"/>
      <c r="G168" s="49" t="s">
        <v>849</v>
      </c>
      <c r="H168" s="49" t="str">
        <f t="shared" si="3"/>
        <v>Not used</v>
      </c>
      <c r="I168" s="49">
        <f>SUM(G169:G172)+SUM(H169:H172)</f>
        <v>0</v>
      </c>
      <c r="J168" s="49" cm="1">
        <f t="array" ref="J168">Common_InputFunctions.Utility_LookupValueInTableTwoColumns(D168,E168,Table_SourceData_WasteSolid_WasteTreatmentEFs[Treatment type t],Table_SourceData_WasteSolid_WasteTreatmentEFs[Waste type w],Table_SourceData_WasteSolid_WasteTreatmentEFs[EFwt])</f>
        <v>0</v>
      </c>
      <c r="K168" s="49" cm="1">
        <f t="array" ref="K168">WasteSolid_Equations.VEERG_10_1_1_1__1_EmissionsFromWasteManagement(I168, J168)</f>
        <v>0</v>
      </c>
    </row>
    <row r="169" spans="4:11" ht="20.100000000000001" customHeight="1" x14ac:dyDescent="0.25">
      <c r="D169" s="167" t="str">
        <v>Incineration</v>
      </c>
      <c r="E169" s="171" t="str">
        <v>Food waste (including animal carcasses, spoiled animal feed or crop)</v>
      </c>
      <c r="F169" s="209"/>
      <c r="G169" s="49"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49">
        <f t="shared" si="3"/>
        <v>0</v>
      </c>
      <c r="I169" s="49" t="s">
        <v>854</v>
      </c>
      <c r="J169" s="49" t="s">
        <v>849</v>
      </c>
      <c r="K169" s="49" t="s">
        <v>849</v>
      </c>
    </row>
    <row r="170" spans="4:11" ht="20.100000000000001" customHeight="1" x14ac:dyDescent="0.25">
      <c r="D170" s="167" t="str">
        <v>Incineration</v>
      </c>
      <c r="E170" s="171" t="str">
        <v>Green waste (including crop residues or prunings)</v>
      </c>
      <c r="F170" s="209"/>
      <c r="G170" s="49"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70" s="49">
        <f t="shared" si="3"/>
        <v>0</v>
      </c>
      <c r="I170" s="49" t="s">
        <v>854</v>
      </c>
      <c r="J170" s="49" t="s">
        <v>849</v>
      </c>
      <c r="K170" s="49" t="s">
        <v>849</v>
      </c>
    </row>
    <row r="171" spans="4:11" ht="20.100000000000001" customHeight="1" x14ac:dyDescent="0.25">
      <c r="D171" s="167" t="str">
        <v>Incineration</v>
      </c>
      <c r="E171" s="171" t="str">
        <v>Wood</v>
      </c>
      <c r="F171" s="209"/>
      <c r="G171" s="49"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49">
        <f t="shared" si="3"/>
        <v>0</v>
      </c>
      <c r="I171" s="49" t="s">
        <v>854</v>
      </c>
      <c r="J171" s="49" t="s">
        <v>849</v>
      </c>
      <c r="K171" s="49" t="s">
        <v>849</v>
      </c>
    </row>
    <row r="172" spans="4:11" ht="20.100000000000001" customHeight="1" x14ac:dyDescent="0.25">
      <c r="D172" s="167" t="str">
        <v>Incineration</v>
      </c>
      <c r="E172" s="171" t="str">
        <v>Sludge</v>
      </c>
      <c r="F172" s="209"/>
      <c r="G172" s="49"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49">
        <f t="shared" si="3"/>
        <v>0</v>
      </c>
      <c r="I172" s="49" t="s">
        <v>854</v>
      </c>
      <c r="J172" s="49" t="s">
        <v>849</v>
      </c>
      <c r="K172" s="49" t="s">
        <v>849</v>
      </c>
    </row>
    <row r="173" spans="4:11" ht="20.100000000000001" customHeight="1" x14ac:dyDescent="0.25">
      <c r="D173" s="167" t="str">
        <v>Incineration</v>
      </c>
      <c r="E173" s="171" t="str">
        <v>Paper and cardboard</v>
      </c>
      <c r="F173" s="209"/>
      <c r="G173" s="49"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100</v>
      </c>
      <c r="H173" s="49">
        <f t="shared" si="3"/>
        <v>9</v>
      </c>
      <c r="I173" s="49">
        <f t="shared" ref="I173:I178" si="5">G173+H173</f>
        <v>109</v>
      </c>
      <c r="J173" s="49"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49" cm="1">
        <f t="array" ref="K173">WasteSolid_Equations.VEERG_10_1_1_1__1_EmissionsFromWasteManagement(I173, J173)</f>
        <v>1.8420999999999998</v>
      </c>
    </row>
    <row r="174" spans="4:11" ht="20.100000000000001" customHeight="1" x14ac:dyDescent="0.25">
      <c r="D174" s="167" t="str">
        <v>Incineration</v>
      </c>
      <c r="E174" s="171" t="str">
        <v>Textiles</v>
      </c>
      <c r="F174" s="209"/>
      <c r="G174" s="49"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49">
        <f t="shared" si="3"/>
        <v>0</v>
      </c>
      <c r="I174" s="49">
        <f t="shared" si="5"/>
        <v>0</v>
      </c>
      <c r="J174" s="49"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49" cm="1">
        <f t="array" ref="K174">WasteSolid_Equations.VEERG_10_1_1_1__1_EmissionsFromWasteManagement(I174, J174)</f>
        <v>0</v>
      </c>
    </row>
    <row r="175" spans="4:11" ht="20.100000000000001" customHeight="1" x14ac:dyDescent="0.25">
      <c r="D175" s="167" t="str">
        <v>Incineration</v>
      </c>
      <c r="E175" s="171" t="str">
        <v>Rubber and leather</v>
      </c>
      <c r="F175" s="209"/>
      <c r="G175" s="49"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49">
        <f t="shared" si="3"/>
        <v>0</v>
      </c>
      <c r="I175" s="49">
        <f t="shared" si="5"/>
        <v>0</v>
      </c>
      <c r="J175" s="49" cm="1">
        <f t="array" ref="J175">Common_InputFunctions.Utility_LookupValueInTableTwoColumns(D175,E175,Table_SourceData_WasteSolid_WasteTreatmentEFs[Treatment type t],Table_SourceData_WasteSolid_WasteTreatmentEFs[Waste type w],Table_SourceData_WasteSolid_WasteTreatmentEFs[EFwt])</f>
        <v>0.4919</v>
      </c>
      <c r="K175" s="49" cm="1">
        <f t="array" ref="K175">WasteSolid_Equations.VEERG_10_1_1_1__1_EmissionsFromWasteManagement(I175, J175)</f>
        <v>0</v>
      </c>
    </row>
    <row r="176" spans="4:11" ht="20.100000000000001" customHeight="1" x14ac:dyDescent="0.25">
      <c r="D176" s="167" t="str">
        <v>Incineration</v>
      </c>
      <c r="E176" s="171" t="str">
        <v>Inert waste (including concrete, metal, plastic or glass)</v>
      </c>
      <c r="F176" s="209"/>
      <c r="G176" s="49"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49">
        <f t="shared" si="3"/>
        <v>0</v>
      </c>
      <c r="I176" s="49">
        <f t="shared" si="5"/>
        <v>0</v>
      </c>
      <c r="J176" s="49" cm="1">
        <f t="array" ref="J176">Common_InputFunctions.Utility_LookupValueInTableTwoColumns(D176,E176,Table_SourceData_WasteSolid_WasteTreatmentEFs[Treatment type t],Table_SourceData_WasteSolid_WasteTreatmentEFs[Waste type w],Table_SourceData_WasteSolid_WasteTreatmentEFs[EFwt])</f>
        <v>0.11</v>
      </c>
      <c r="K176" s="49" cm="1">
        <f t="array" ref="K176">WasteSolid_Equations.VEERG_10_1_1_1__1_EmissionsFromWasteManagement(I176, J176)</f>
        <v>0</v>
      </c>
    </row>
    <row r="177" spans="4:11" ht="20.100000000000001" customHeight="1" x14ac:dyDescent="0.25">
      <c r="D177" s="167" t="str">
        <v>Incineration</v>
      </c>
      <c r="E177" s="171" t="str">
        <v>Municipal solid waste</v>
      </c>
      <c r="F177" s="166"/>
      <c r="G177" s="49"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49">
        <f t="shared" si="3"/>
        <v>0</v>
      </c>
      <c r="I177" s="49">
        <f t="shared" si="5"/>
        <v>0</v>
      </c>
      <c r="J177" s="49"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49" cm="1">
        <f t="array" ref="K177">WasteSolid_Equations.VEERG_10_1_1_1__1_EmissionsFromWasteManagement(I177, J177)</f>
        <v>0</v>
      </c>
    </row>
    <row r="178" spans="4:11" ht="20.100000000000001" customHeight="1" x14ac:dyDescent="0.25">
      <c r="D178" s="167" t="str">
        <v>Incineration</v>
      </c>
      <c r="E178" s="171" t="str">
        <v>Commercial and industrial waste</v>
      </c>
      <c r="F178" s="166"/>
      <c r="G178" s="49"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49">
        <f t="shared" si="3"/>
        <v>0</v>
      </c>
      <c r="I178" s="49">
        <f t="shared" si="5"/>
        <v>0</v>
      </c>
      <c r="J178" s="49" cm="1">
        <f t="array" ref="J178">Common_InputFunctions.Utility_LookupValueInTableTwoColumns(D178,E178,Table_SourceData_WasteSolid_WasteTreatmentEFs[Treatment type t],Table_SourceData_WasteSolid_WasteTreatmentEFs[Waste type w],Table_SourceData_WasteSolid_WasteTreatmentEFs[EFwt])</f>
        <v>1.649</v>
      </c>
      <c r="K178" s="49" cm="1">
        <f t="array" ref="K178">WasteSolid_Equations.VEERG_10_1_1_1__1_EmissionsFromWasteManagement(I178, J178)</f>
        <v>0</v>
      </c>
    </row>
    <row r="179" spans="4:11" ht="20.100000000000001" customHeight="1" x14ac:dyDescent="0.25">
      <c r="D179" s="167" t="str">
        <v>Composting</v>
      </c>
      <c r="E179" s="171" t="str">
        <v>All organic waste</v>
      </c>
      <c r="F179" s="166"/>
      <c r="G179" s="49" t="s">
        <v>849</v>
      </c>
      <c r="H179" s="49" t="str">
        <f t="shared" si="3"/>
        <v>Not used</v>
      </c>
      <c r="I179" s="49">
        <f>SUM(G180:G184)+SUM(H180:H184)</f>
        <v>0</v>
      </c>
      <c r="J179" s="49"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49" cm="1">
        <f t="array" ref="K179">WasteSolid_Equations.VEERG_10_1_1_1__1_EmissionsFromWasteManagement(I179, J179)</f>
        <v>0</v>
      </c>
    </row>
    <row r="180" spans="4:11" ht="20.100000000000001" customHeight="1" x14ac:dyDescent="0.25">
      <c r="D180" s="167" t="str">
        <v>Composting</v>
      </c>
      <c r="E180" s="171" t="str">
        <v>Food waste (including animal carcasses, spoiled animal feed or crop)</v>
      </c>
      <c r="F180" s="166"/>
      <c r="G180" s="49"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0</v>
      </c>
      <c r="H180" s="49">
        <f t="shared" si="3"/>
        <v>0</v>
      </c>
      <c r="I180" s="49" t="s">
        <v>854</v>
      </c>
      <c r="J180" s="49" t="s">
        <v>849</v>
      </c>
      <c r="K180" s="49" t="s">
        <v>849</v>
      </c>
    </row>
    <row r="181" spans="4:11" ht="20.100000000000001" customHeight="1" x14ac:dyDescent="0.25">
      <c r="D181" s="167" t="str">
        <v>Composting</v>
      </c>
      <c r="E181" s="171" t="str">
        <v>Green waste (including crop residues or prunings)</v>
      </c>
      <c r="F181" s="166"/>
      <c r="G181" s="49"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49">
        <f t="shared" si="3"/>
        <v>0</v>
      </c>
      <c r="I181" s="49" t="s">
        <v>854</v>
      </c>
      <c r="J181" s="49" t="s">
        <v>849</v>
      </c>
      <c r="K181" s="49" t="s">
        <v>849</v>
      </c>
    </row>
    <row r="182" spans="4:11" ht="20.100000000000001" customHeight="1" x14ac:dyDescent="0.25">
      <c r="D182" s="167" t="str">
        <v>Composting</v>
      </c>
      <c r="E182" s="171" t="str">
        <v>Wood</v>
      </c>
      <c r="F182" s="166"/>
      <c r="G182" s="49"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49">
        <f t="shared" si="3"/>
        <v>0</v>
      </c>
      <c r="I182" s="49" t="s">
        <v>854</v>
      </c>
      <c r="J182" s="49" t="s">
        <v>849</v>
      </c>
      <c r="K182" s="49" t="s">
        <v>849</v>
      </c>
    </row>
    <row r="183" spans="4:11" ht="20.100000000000001" customHeight="1" x14ac:dyDescent="0.25">
      <c r="D183" s="167" t="str">
        <v>Composting</v>
      </c>
      <c r="E183" s="171" t="str">
        <v>Sludge</v>
      </c>
      <c r="F183" s="166"/>
      <c r="G183" s="49"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49">
        <f t="shared" si="3"/>
        <v>0</v>
      </c>
      <c r="I183" s="49" t="s">
        <v>854</v>
      </c>
      <c r="J183" s="49" t="s">
        <v>849</v>
      </c>
      <c r="K183" s="49" t="s">
        <v>849</v>
      </c>
    </row>
    <row r="184" spans="4:11" ht="20.100000000000001" customHeight="1" x14ac:dyDescent="0.25">
      <c r="D184" s="167" t="str">
        <v>Composting</v>
      </c>
      <c r="E184" s="171" t="str">
        <v>Paper and cardboard</v>
      </c>
      <c r="F184" s="166"/>
      <c r="G184" s="49"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0</v>
      </c>
      <c r="H184" s="49">
        <f t="shared" si="3"/>
        <v>0</v>
      </c>
      <c r="I184" s="49" t="s">
        <v>854</v>
      </c>
      <c r="J184" s="49" t="s">
        <v>849</v>
      </c>
      <c r="K184" s="49" t="s">
        <v>849</v>
      </c>
    </row>
    <row r="185" spans="4:11" ht="20.100000000000001" customHeight="1" x14ac:dyDescent="0.25">
      <c r="D185" s="167" t="str">
        <v>Anaerobic digestion</v>
      </c>
      <c r="E185" s="171" t="str">
        <v>All organic waste</v>
      </c>
      <c r="F185" s="166"/>
      <c r="G185" s="49" t="s">
        <v>849</v>
      </c>
      <c r="H185" s="49" t="str">
        <f t="shared" si="3"/>
        <v>Not used</v>
      </c>
      <c r="I185" s="49">
        <f>SUM(G186:G190)+SUM(H186:H190)</f>
        <v>0</v>
      </c>
      <c r="J185" s="49"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49" cm="1">
        <f t="array" ref="K185">WasteSolid_Equations.VEERG_10_1_1_1__1_EmissionsFromWasteManagement(I185, J185)</f>
        <v>0</v>
      </c>
    </row>
    <row r="186" spans="4:11" ht="20.100000000000001" customHeight="1" x14ac:dyDescent="0.25">
      <c r="D186" s="167" t="str">
        <v>Anaerobic digestion</v>
      </c>
      <c r="E186" s="171" t="str">
        <v>Food waste (including animal carcasses, spoiled animal feed or crop)</v>
      </c>
      <c r="F186" s="166"/>
      <c r="G186" s="49"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49">
        <f t="shared" si="3"/>
        <v>0</v>
      </c>
      <c r="I186" s="49" t="s">
        <v>854</v>
      </c>
      <c r="J186" s="49" t="s">
        <v>849</v>
      </c>
      <c r="K186" s="49" t="s">
        <v>849</v>
      </c>
    </row>
    <row r="187" spans="4:11" ht="20.100000000000001" customHeight="1" x14ac:dyDescent="0.25">
      <c r="D187" s="167" t="str">
        <v>Anaerobic digestion</v>
      </c>
      <c r="E187" s="171" t="str">
        <v>Green waste (including crop residues or prunings)</v>
      </c>
      <c r="F187" s="166"/>
      <c r="G187" s="49"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49">
        <f t="shared" si="3"/>
        <v>0</v>
      </c>
      <c r="I187" s="49" t="s">
        <v>854</v>
      </c>
      <c r="J187" s="49" t="s">
        <v>849</v>
      </c>
      <c r="K187" s="49" t="s">
        <v>849</v>
      </c>
    </row>
    <row r="188" spans="4:11" ht="20.100000000000001" customHeight="1" x14ac:dyDescent="0.25">
      <c r="D188" s="167" t="str">
        <v>Anaerobic digestion</v>
      </c>
      <c r="E188" s="171" t="str">
        <v>Wood</v>
      </c>
      <c r="F188" s="166"/>
      <c r="G188" s="49"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49">
        <f t="shared" si="3"/>
        <v>0</v>
      </c>
      <c r="I188" s="49" t="s">
        <v>854</v>
      </c>
      <c r="J188" s="49" t="s">
        <v>849</v>
      </c>
      <c r="K188" s="49" t="s">
        <v>849</v>
      </c>
    </row>
    <row r="189" spans="4:11" ht="20.100000000000001" customHeight="1" x14ac:dyDescent="0.25">
      <c r="D189" s="167" t="str">
        <v>Anaerobic digestion</v>
      </c>
      <c r="E189" s="171" t="str">
        <v>Sludge</v>
      </c>
      <c r="F189" s="166"/>
      <c r="G189" s="49"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49">
        <f t="shared" si="3"/>
        <v>0</v>
      </c>
      <c r="I189" s="49" t="s">
        <v>854</v>
      </c>
      <c r="J189" s="49" t="s">
        <v>849</v>
      </c>
      <c r="K189" s="49" t="s">
        <v>849</v>
      </c>
    </row>
    <row r="190" spans="4:11" ht="20.100000000000001" customHeight="1" x14ac:dyDescent="0.25">
      <c r="D190" s="167" t="str">
        <v>Anaerobic digestion</v>
      </c>
      <c r="E190" s="171" t="str">
        <v>Paper and cardboard</v>
      </c>
      <c r="F190" s="166"/>
      <c r="G190" s="49"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49">
        <f t="shared" si="3"/>
        <v>0</v>
      </c>
      <c r="I190" s="49" t="s">
        <v>854</v>
      </c>
      <c r="J190" s="49" t="s">
        <v>849</v>
      </c>
      <c r="K190" s="49" t="s">
        <v>849</v>
      </c>
    </row>
    <row r="191" spans="4:11" ht="20.100000000000001" customHeight="1" x14ac:dyDescent="0.25"/>
    <row r="192" spans="4:11" ht="20.100000000000001" customHeight="1" x14ac:dyDescent="0.25">
      <c r="D192" s="176" t="s">
        <v>806</v>
      </c>
      <c r="E192" s="177">
        <f>SUM(K157:K190)</f>
        <v>330.84210000000002</v>
      </c>
      <c r="F192" s="178"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7"/>
    </row>
    <row r="342" spans="8:8" x14ac:dyDescent="0.25">
      <c r="H342" s="147"/>
    </row>
  </sheetData>
  <dataValidations count="1">
    <dataValidation operator="equal" allowBlank="1" showInputMessage="1" showErrorMessage="1" sqref="E269 E228" xr:uid="{83680300-44BD-466D-B6B3-6E099F639BF7}"/>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A1:U90"/>
  <sheetViews>
    <sheetView showGridLines="0" topLeftCell="C56" zoomScaleNormal="100" workbookViewId="0">
      <selection activeCell="I68" sqref="I6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1:21" ht="30" customHeight="1" x14ac:dyDescent="0.35">
      <c r="A1" s="37" t="e" vm="1">
        <v>#VALUE!</v>
      </c>
      <c r="C1" s="1" t="s">
        <v>859</v>
      </c>
      <c r="D1" s="1"/>
      <c r="E1" s="1"/>
      <c r="F1" s="1"/>
      <c r="G1" s="1"/>
      <c r="H1" s="1"/>
      <c r="I1" s="1"/>
      <c r="J1" s="1"/>
      <c r="K1" s="1"/>
      <c r="M1" s="1"/>
      <c r="N1" s="1"/>
      <c r="O1" s="1"/>
      <c r="P1" s="1"/>
      <c r="Q1" s="1"/>
      <c r="R1" s="1"/>
      <c r="S1" s="1"/>
      <c r="T1" s="1"/>
      <c r="U1" s="1"/>
    </row>
    <row r="2" spans="1:21" ht="20.100000000000001" customHeight="1" x14ac:dyDescent="0.25">
      <c r="C2" s="2"/>
      <c r="D2" s="2"/>
      <c r="E2" s="2"/>
      <c r="F2" s="2"/>
      <c r="G2" s="2"/>
      <c r="H2" s="2"/>
      <c r="I2" s="2"/>
      <c r="J2" s="2"/>
      <c r="K2" s="2"/>
      <c r="M2" s="2"/>
      <c r="N2" s="2"/>
      <c r="O2" s="2"/>
      <c r="P2" s="2"/>
      <c r="Q2" s="2"/>
      <c r="R2" s="2"/>
      <c r="S2" s="2"/>
      <c r="T2" s="2"/>
      <c r="U2" s="2"/>
    </row>
    <row r="3" spans="1:21" ht="20.100000000000001" customHeight="1" x14ac:dyDescent="0.25">
      <c r="A3" s="16" t="str">
        <f>HYPERLINK("#'Overview'!A1", "Overview")</f>
        <v>Overview</v>
      </c>
      <c r="C3" s="5"/>
      <c r="D3" s="5" t="s">
        <v>413</v>
      </c>
      <c r="E3" s="5"/>
      <c r="F3" s="5"/>
      <c r="G3" s="5"/>
      <c r="H3" s="5"/>
      <c r="I3" s="5"/>
      <c r="J3" s="5"/>
      <c r="K3" s="5"/>
      <c r="M3" s="5"/>
      <c r="N3" s="5" t="s">
        <v>414</v>
      </c>
      <c r="O3" s="5"/>
      <c r="P3" s="5"/>
      <c r="Q3" s="5"/>
      <c r="R3" s="5"/>
      <c r="S3" s="5"/>
      <c r="T3" s="5"/>
      <c r="U3" s="5"/>
    </row>
    <row r="4" spans="1:21" ht="20.100000000000001" customHeight="1" x14ac:dyDescent="0.25">
      <c r="A4" s="16" t="str">
        <f>HYPERLINK("#'Results'!A1", "Results")</f>
        <v>Results</v>
      </c>
    </row>
    <row r="5" spans="1:21"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1:21" ht="20.100000000000001" customHeight="1" x14ac:dyDescent="0.25">
      <c r="A7" s="19" t="s">
        <v>67</v>
      </c>
      <c r="D7" s="172" t="s">
        <v>629</v>
      </c>
      <c r="E7" s="172" t="str">
        <f ca="1">Common_InputFunctions.Utility_DisplayFunctionName(VEERG_5_2_1_1__1_OrganicFertiliserApplicationN2OEmissions_Result_Method1)</f>
        <v>=Fertiliser_Equations_OrganicN2O.VEERG_5_2_1_1__1_OrganicFertiliserApplicationN2OEmissions</v>
      </c>
      <c r="N7" s="172" t="s">
        <v>629</v>
      </c>
      <c r="O7" s="172"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5">
      <c r="A8" s="16" t="str">
        <f>HYPERLINK("#'Input - Site'!A1", "Site")</f>
        <v>Site</v>
      </c>
    </row>
    <row r="9" spans="1:21" ht="20.100000000000001" customHeight="1" x14ac:dyDescent="0.25">
      <c r="A9" s="16" t="str">
        <f>HYPERLINK("#'Input - Fuel'!A1", "Fuel")</f>
        <v>Fuel</v>
      </c>
    </row>
    <row r="10" spans="1:21" ht="20.100000000000001" customHeight="1" x14ac:dyDescent="0.25">
      <c r="A10" s="16" t="str">
        <f>HYPERLINK("#'Input - Fertiliser'!A1", "Fertiliser")</f>
        <v>Fertiliser</v>
      </c>
      <c r="D10" s="27" t="s">
        <v>630</v>
      </c>
      <c r="E10" s="8" t="str" cm="1">
        <f t="array" ref="E10">Fertiliser_Equations_OrganicN2O.VEERG_5_2_1_1__1_OrganicFertiliserApplicationN2OEmissions_Variable()</f>
        <v>E_N2O</v>
      </c>
      <c r="N10" s="27" t="s">
        <v>630</v>
      </c>
      <c r="O10" s="8" t="str" cm="1">
        <f t="array" ref="O10">Fertiliser_Equations_OrganicN2O.VEERG_5_2_1_1__1_OrganicFertiliserApplicationN2OEmissions_Variable()</f>
        <v>E_N2O</v>
      </c>
    </row>
    <row r="11" spans="1:21" ht="20.100000000000001" customHeight="1" x14ac:dyDescent="0.25">
      <c r="A11" s="16" t="str">
        <f>HYPERLINK("#'Input - Farm Inputs'!A1", "Farm Inputs")</f>
        <v>Farm Inputs</v>
      </c>
      <c r="D11" s="27" t="s">
        <v>97</v>
      </c>
      <c r="E11" s="13" t="str" cm="1">
        <f t="array" ref="E11">Fertiliser_Equations_OrganicN2O.VEERG_5_2_1_1__1_OrganicFertiliserApplicationN2OEmissions_Unit()</f>
        <v>t N2O</v>
      </c>
      <c r="N11" s="27" t="s">
        <v>97</v>
      </c>
      <c r="O11" s="13" t="str" cm="1">
        <f t="array" ref="O11">Fertiliser_Equations_OrganicN2O.VEERG_5_2_1_1__1_OrganicFertiliserApplicationN2OEmissions_Unit()</f>
        <v>t N2O</v>
      </c>
    </row>
    <row r="12" spans="1:21" ht="20.100000000000001" customHeight="1" x14ac:dyDescent="0.25">
      <c r="A12" s="16" t="str">
        <f>HYPERLINK("#'Input - Livestock purchases'!A1", "Livestock purchases")</f>
        <v>Livestock purchases</v>
      </c>
    </row>
    <row r="13" spans="1:21" ht="20.100000000000001" customHeight="1" x14ac:dyDescent="0.25">
      <c r="A13" s="16" t="str">
        <f>HYPERLINK("#'Input - Freight'!A1", "Freight")</f>
        <v>Freight</v>
      </c>
      <c r="D13" s="167" t="str" cm="1">
        <f t="array" ref="D13:E17">_xlfn.CHOOSECOLS(Fertiliser_Equations_OrganicN2O.VEERG_5_2_1_1__1_OrganicFertiliserApplicationN2OEmissions_Arguments(), 1, 2)</f>
        <v>MNSoil_jf</v>
      </c>
      <c r="E13" s="171" t="str">
        <v>mass of nitrogen in organic fertiliser type f applied to production system j</v>
      </c>
      <c r="F13" s="205"/>
      <c r="G13" s="166"/>
      <c r="H13" s="167" t="str" cm="1">
        <f t="array" ref="H13:I17">_xlfn.CHOOSECOLS(Fertiliser_Equations_OrganicN2O.VEERG_5_2_1_1__1_OrganicFertiliserApplicationN2OEmissions_Arguments(), 3,4)</f>
        <v>kg N</v>
      </c>
      <c r="I13" s="169" t="str">
        <v>Calculated from 5.2.1.1 (2)</v>
      </c>
      <c r="J13" s="167">
        <f>X_Cell_ManureSentOffsite_MassNitrogenManure_Method1</f>
        <v>1000</v>
      </c>
      <c r="N13" s="167" t="str" cm="1">
        <f t="array" ref="N13:O17">_xlfn.CHOOSECOLS(Fertiliser_Equations_OrganicN2O.VEERG_5_2_1_1__1_OrganicFertiliserApplicationN2OEmissions_Arguments(), 1, 2)</f>
        <v>MNSoil_jf</v>
      </c>
      <c r="O13" s="171" t="str">
        <v>mass of nitrogen in organic fertiliser type f applied to production system j</v>
      </c>
      <c r="P13" s="205"/>
      <c r="Q13" s="166"/>
      <c r="R13" s="167" t="str" cm="1">
        <f t="array" ref="R13:S17">_xlfn.CHOOSECOLS(Fertiliser_Equations_OrganicN2O.VEERG_5_2_1_1__1_OrganicFertiliserApplicationN2OEmissions_Arguments(), 3,4)</f>
        <v>kg N</v>
      </c>
      <c r="S13" s="169" t="str">
        <v>Calculated from 5.2.1.1 (2)</v>
      </c>
      <c r="T13" s="167">
        <f>X_Cell_ManureSentOffsite_MassNitrogenManure_Method2</f>
        <v>2000</v>
      </c>
    </row>
    <row r="14" spans="1:21" ht="20.100000000000001" customHeight="1" x14ac:dyDescent="0.25">
      <c r="A14" s="16" t="str">
        <f>HYPERLINK("#'Input - Solid waste'!A1", "Solid waste")</f>
        <v>Solid waste</v>
      </c>
      <c r="D14" s="167" t="str">
        <v>EF_N2Oi</v>
      </c>
      <c r="E14" s="171" t="str">
        <v>emission factor for direct nitrous oxide emissions from organic fertiliser applied to soils and aquatic systems in climate zone i</v>
      </c>
      <c r="F14" s="205"/>
      <c r="G14" s="166"/>
      <c r="H14" s="167" t="str">
        <v>kg N2O-N/kg N</v>
      </c>
      <c r="I14" s="169" t="str">
        <v>Lookup</v>
      </c>
      <c r="J14" s="167">
        <f>Common_InputFunctions.Utility_LookupValueInTableNumber(J17, Table_SourceData_Common_EFOrganicFertCropResidues[Climate Zone],Table_SourceData_Common_EFOrganicFertCropResidues[EFNi &amp; EFN2Oi])</f>
        <v>5.0000000000000001E-3</v>
      </c>
      <c r="N14" s="167" t="str">
        <v>EF_N2Oi</v>
      </c>
      <c r="O14" s="171" t="str">
        <v>emission factor for direct nitrous oxide emissions from organic fertiliser applied to soils and aquatic systems in climate zone i</v>
      </c>
      <c r="P14" s="205"/>
      <c r="Q14" s="166"/>
      <c r="R14" s="167" t="str">
        <v>kg N2O-N/kg N</v>
      </c>
      <c r="S14" s="169" t="str">
        <v>Lookup</v>
      </c>
      <c r="T14" s="167"/>
    </row>
    <row r="15" spans="1:21" ht="20.100000000000001" customHeight="1" x14ac:dyDescent="0.25">
      <c r="A15" s="16" t="str">
        <f>HYPERLINK("#'Input - Manure sent off-site'!A1", "Manure sent off-site")</f>
        <v>Manure sent off-site</v>
      </c>
      <c r="D15" s="167" t="str">
        <v>C_N2O</v>
      </c>
      <c r="E15" s="171" t="str">
        <v>factor to convert elemental mass of nitrous oxide to molecular mass</v>
      </c>
      <c r="F15" s="205"/>
      <c r="G15" s="166"/>
      <c r="H15" s="167" t="str">
        <v/>
      </c>
      <c r="I15" s="169" t="str">
        <v>Constant</v>
      </c>
      <c r="J15" s="167">
        <f>Common_InputFunctions.Utility_LookupValueInTableNumber("N2O",Table_GasToMolecularConversionFactor[Gas],Table_GasToMolecularConversionFactor[Conversion factor combined])</f>
        <v>1.5714285714285714</v>
      </c>
      <c r="N15" s="167" t="str">
        <v>C_N2O</v>
      </c>
      <c r="O15" s="171" t="str">
        <v>factor to convert elemental mass of nitrous oxide to molecular mass</v>
      </c>
      <c r="P15" s="205"/>
      <c r="Q15" s="166"/>
      <c r="R15" s="167" t="str">
        <v/>
      </c>
      <c r="S15" s="169" t="str">
        <v>Constant</v>
      </c>
      <c r="T15" s="167"/>
    </row>
    <row r="16" spans="1:21" ht="20.100000000000001" customHeight="1" x14ac:dyDescent="0.25">
      <c r="A16" s="16" t="str">
        <f>HYPERLINK("#'Input - Electricity'!A1", "Electricity")</f>
        <v>Electricity</v>
      </c>
      <c r="D16" s="167" t="str">
        <v>j</v>
      </c>
      <c r="E16" s="171" t="str">
        <v>Production system</v>
      </c>
      <c r="F16" s="205"/>
      <c r="G16" s="166"/>
      <c r="H16" s="167" t="str">
        <v/>
      </c>
      <c r="I16" s="168" t="str">
        <v>Input</v>
      </c>
      <c r="J16" s="167" t="str">
        <f>X_Cell_ManureSentOffsite_ManureProductionSystem</f>
        <v>Crop</v>
      </c>
      <c r="N16" s="167" t="str">
        <v>j</v>
      </c>
      <c r="O16" s="171" t="str">
        <v>Production system</v>
      </c>
      <c r="P16" s="205"/>
      <c r="Q16" s="166"/>
      <c r="R16" s="167" t="str">
        <v/>
      </c>
      <c r="S16" s="168" t="str">
        <v>Input</v>
      </c>
      <c r="T16" s="167"/>
    </row>
    <row r="17" spans="1:20" ht="20.100000000000001" customHeight="1" x14ac:dyDescent="0.25">
      <c r="D17" s="167" t="str">
        <v>i</v>
      </c>
      <c r="E17" s="171" t="str">
        <v>Wet or dry climate zone</v>
      </c>
      <c r="F17" s="205"/>
      <c r="G17" s="166"/>
      <c r="H17" s="167" t="str">
        <v/>
      </c>
      <c r="I17" s="168" t="str">
        <v>Input</v>
      </c>
      <c r="J17" s="167" t="str">
        <f>X_Cell_Site_WetOrDryClimateZone</f>
        <v>Dry climate zone</v>
      </c>
      <c r="N17" s="167" t="str">
        <v>i</v>
      </c>
      <c r="O17" s="171" t="str">
        <v>Wet or dry climate zone</v>
      </c>
      <c r="P17" s="205"/>
      <c r="Q17" s="166"/>
      <c r="R17" s="167" t="str">
        <v/>
      </c>
      <c r="S17" s="168" t="str">
        <v>Input</v>
      </c>
      <c r="T17" s="167"/>
    </row>
    <row r="18" spans="1:20" ht="20.100000000000001" customHeight="1" x14ac:dyDescent="0.25"/>
    <row r="19" spans="1:20" ht="20.100000000000001" customHeight="1" x14ac:dyDescent="0.25">
      <c r="A19" s="21" t="s">
        <v>77</v>
      </c>
      <c r="D19" s="176" t="s">
        <v>749</v>
      </c>
      <c r="E19" s="177" cm="1">
        <f t="array" ref="E19">Fertiliser_Equations_OrganicN2O.VEERG_5_2_1_1__1_OrganicFertiliserApplicationN2OEmissions(J13,J14,J15)</f>
        <v>7.8571428571428577E-3</v>
      </c>
      <c r="F19" s="178" t="str">
        <f>$E$11</f>
        <v>t N2O</v>
      </c>
      <c r="N19" s="176" t="s">
        <v>749</v>
      </c>
      <c r="O19" s="177" cm="1">
        <f t="array" ref="O19">Fertiliser_Equations_OrganicN2O.VEERG_5_2_1_1__1_OrganicFertiliserApplicationN2OEmissions(T13,J14,J15)</f>
        <v>1.5714285714285715E-2</v>
      </c>
      <c r="P19" s="178" t="str">
        <f>$E$11</f>
        <v>t N2O</v>
      </c>
    </row>
    <row r="20" spans="1:20" ht="20.100000000000001" customHeight="1" x14ac:dyDescent="0.25">
      <c r="A20" s="16" t="str">
        <f>HYPERLINK("#'15 Scope 3'!A1", "15 Scope 3")</f>
        <v>15 Scope 3</v>
      </c>
    </row>
    <row r="21" spans="1:20" ht="20.100000000000001" customHeight="1" x14ac:dyDescent="0.25">
      <c r="A21" s="16" t="str">
        <f>HYPERLINK("#'10.1.1-2 Solid waste treatment'!A1", "10.1.1-2 Solid waste treatment")</f>
        <v>10.1.1-2 Solid waste treatment</v>
      </c>
    </row>
    <row r="22" spans="1:20" ht="20.100000000000001" customHeight="1" x14ac:dyDescent="0.25">
      <c r="A22" s="180" t="str">
        <f>HYPERLINK("#'Calcs - Manure sent off-site'!A1", "Calcs - Manure sent off-site")</f>
        <v>Calcs - Manure sent off-site</v>
      </c>
    </row>
    <row r="23" spans="1:20" ht="20.100000000000001" customHeight="1" x14ac:dyDescent="0.25">
      <c r="A23" s="16" t="str">
        <f>HYPERLINK("#'8.1.1.1-2 Transport fuel'!A1", "8.1.1.1-2 Transport fuel")</f>
        <v>8.1.1.1-2 Transport fuel</v>
      </c>
    </row>
    <row r="24" spans="1:20" ht="20.100000000000001" customHeight="1" x14ac:dyDescent="0.25">
      <c r="A24" s="16" t="str">
        <f>HYPERLINK("#'8.2.1.1-2 Stationary fuel'!A1", "8.2.1.1-2 Stationary fuel")</f>
        <v>8.2.1.1-2 Stationary fuel</v>
      </c>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1:20" ht="20.100000000000001" customHeight="1" x14ac:dyDescent="0.25">
      <c r="D26" s="172" t="s">
        <v>629</v>
      </c>
      <c r="E26" s="172" t="str" cm="1">
        <f t="array" aca="1" ref="E26" ca="1">Common_InputFunctions.Utility_DisplayFunctionName(E35)</f>
        <v>=Fertiliser_Equations_AtmosphericDeposition.VEERG_5_4_1_3__2_MassOfNitrogenVolatilisedFromOrganicFertiliser</v>
      </c>
      <c r="N26" s="172" t="s">
        <v>629</v>
      </c>
      <c r="O26" s="172" t="str" cm="1">
        <f t="array" aca="1" ref="O26" ca="1">Common_InputFunctions.Utility_DisplayFunctionName(O35)</f>
        <v>=Fertiliser_Equations_AtmosphericDeposition.VEERG_5_4_1_3__2_MassOfNitrogenVolatilisedFromOrganicFertiliser</v>
      </c>
    </row>
    <row r="27" spans="1:20" ht="20.100000000000001" customHeight="1" x14ac:dyDescent="0.25">
      <c r="A27" s="222" t="s">
        <v>78</v>
      </c>
    </row>
    <row r="28" spans="1:20" ht="20.100000000000001" customHeight="1" x14ac:dyDescent="0.25">
      <c r="A28" s="16" t="str">
        <f>HYPERLINK("#'Constants - Scope 3'!A1", "Constants - Scope 3")</f>
        <v>Constants - Scope 3</v>
      </c>
    </row>
    <row r="29" spans="1:20" ht="20.100000000000001" customHeight="1" x14ac:dyDescent="0.25">
      <c r="A29" s="16" t="str">
        <f>HYPERLINK("#'Constants - Solid Waste'!A1", "Constants - Solid Waste")</f>
        <v>Constants - Solid Waste</v>
      </c>
      <c r="D29" s="27" t="s">
        <v>630</v>
      </c>
      <c r="E29" s="8" t="str" cm="1">
        <f t="array" ref="E29">Fertiliser_Equations_AtmosphericDeposition.VEERG_5_4_1_3__2_MassOfNitrogenVolatilisedFromOrganicFertiliser_Variable()</f>
        <v>M_volorganicjf</v>
      </c>
      <c r="N29" s="27" t="s">
        <v>630</v>
      </c>
      <c r="O29" s="8" t="str" cm="1">
        <f t="array" ref="O29">Fertiliser_Equations_AtmosphericDeposition.VEERG_5_4_1_3__2_MassOfNitrogenVolatilisedFromOrganicFertiliser_Variable()</f>
        <v>M_volorganicjf</v>
      </c>
    </row>
    <row r="30" spans="1:20" ht="20.100000000000001" customHeight="1" x14ac:dyDescent="0.25">
      <c r="A30" s="16" t="str">
        <f>HYPERLINK("#'Constants - Fuel'!A1", "Constants - Fuel")</f>
        <v>Constants - Fuel</v>
      </c>
      <c r="D30" s="27" t="s">
        <v>97</v>
      </c>
      <c r="E30" s="13" t="str" cm="1">
        <f t="array" ref="E30">Fertiliser_Equations_AtmosphericDeposition.VEERG_5_4_1_3__2_MassOfNitrogenVolatilisedFromOrganicFertiliser_Unit()</f>
        <v>kg N</v>
      </c>
      <c r="N30" s="27" t="s">
        <v>97</v>
      </c>
      <c r="O30" s="13" t="str" cm="1">
        <f t="array" ref="O30">Fertiliser_Equations_AtmosphericDeposition.VEERG_5_4_1_3__2_MassOfNitrogenVolatilisedFromOrganicFertiliser_Unit()</f>
        <v>kg N</v>
      </c>
    </row>
    <row r="31" spans="1:20" ht="20.100000000000001" customHeight="1" x14ac:dyDescent="0.25">
      <c r="A31" s="16" t="str">
        <f>HYPERLINK("#'Constants - Poultry'!A1", "Constants - Poultry")</f>
        <v>Constants - Poultry</v>
      </c>
    </row>
    <row r="32" spans="1:20" ht="20.100000000000001" customHeight="1" x14ac:dyDescent="0.25">
      <c r="A32" s="16" t="str">
        <f>HYPERLINK("#'Constants - Swine'!A1", "Constants - Swine")</f>
        <v>Constants - Swine</v>
      </c>
      <c r="D32" s="167" t="str" cm="1">
        <f t="array" ref="D32:E33">_xlfn.CHOOSECOLS(Fertiliser_Equations_AtmosphericDeposition.VEERG_5_4_1_3__2_MassOfNitrogenVolatilisedFromOrganicFertiliser_Arguments(), 1, 2)</f>
        <v>MNSoil_jf</v>
      </c>
      <c r="E32" s="167" t="str">
        <v>mass of nitrogen in organic fertiliser type f applied to production system j</v>
      </c>
      <c r="F32" s="167"/>
      <c r="G32" s="167" t="str" cm="1">
        <f t="array" ref="G32:H33">_xlfn.CHOOSECOLS(Fertiliser_Equations_AtmosphericDeposition.VEERG_5_4_1_3__2_MassOfNitrogenVolatilisedFromOrganicFertiliser_Arguments(), 3,4)</f>
        <v>kg N</v>
      </c>
      <c r="H32" s="169" t="str">
        <v>Calculated from 5.2.1.1 (2)</v>
      </c>
      <c r="I32" s="167">
        <f>X_Cell_ManureSentOffsite_MassNitrogenManure_Method1</f>
        <v>1000</v>
      </c>
      <c r="N32" s="167" t="str" cm="1">
        <f t="array" ref="N32:O33">_xlfn.CHOOSECOLS(Fertiliser_Equations_AtmosphericDeposition.VEERG_5_4_1_3__2_MassOfNitrogenVolatilisedFromOrganicFertiliser_Arguments(), 1, 2)</f>
        <v>MNSoil_jf</v>
      </c>
      <c r="O32" s="167" t="str">
        <v>mass of nitrogen in organic fertiliser type f applied to production system j</v>
      </c>
      <c r="P32" s="167"/>
      <c r="Q32" s="167" t="str" cm="1">
        <f t="array" ref="Q32:R33">_xlfn.CHOOSECOLS(Fertiliser_Equations_AtmosphericDeposition.VEERG_5_4_1_3__2_MassOfNitrogenVolatilisedFromOrganicFertiliser_Arguments(), 3,4)</f>
        <v>kg N</v>
      </c>
      <c r="R32" s="169" t="str">
        <v>Calculated from 5.2.1.1 (2)</v>
      </c>
      <c r="S32" s="167">
        <f>X_Cell_ManureSentOffsite_MassNitrogenManure_Method2</f>
        <v>2000</v>
      </c>
    </row>
    <row r="33" spans="1:19" ht="20.100000000000001" customHeight="1" x14ac:dyDescent="0.25">
      <c r="A33" s="16" t="str">
        <f>HYPERLINK("#'Constants - Dairy'!A1", "Constants - Dairy")</f>
        <v>Constants - Dairy</v>
      </c>
      <c r="D33" s="167" t="str">
        <v>FracGASM_soil</v>
      </c>
      <c r="E33" s="167" t="str">
        <v>fraction of organic fertiliser N that volatilises</v>
      </c>
      <c r="F33" s="167"/>
      <c r="G33" s="167" t="str">
        <v>(kg NH3-N + NOx-N)/kg N</v>
      </c>
      <c r="H33" s="169" t="str">
        <v>Constant</v>
      </c>
      <c r="I33" s="167">
        <f>Fertiliser_FracGASMSoil_Data</f>
        <v>0.21</v>
      </c>
      <c r="N33" s="167" t="str">
        <v>FracGASM_soil</v>
      </c>
      <c r="O33" s="167" t="str">
        <v>fraction of organic fertiliser N that volatilises</v>
      </c>
      <c r="P33" s="167"/>
      <c r="Q33" s="167" t="str">
        <v>(kg NH3-N + NOx-N)/kg N</v>
      </c>
      <c r="R33" s="169" t="str">
        <v>Constant</v>
      </c>
      <c r="S33" s="167"/>
    </row>
    <row r="34" spans="1:19" ht="20.100000000000001" customHeight="1" x14ac:dyDescent="0.25">
      <c r="A34" s="16" t="str">
        <f>HYPERLINK("#'Constants - Pasture Beef'!A1", "Constants - Pasture Beef")</f>
        <v>Constants - Pasture Beef</v>
      </c>
    </row>
    <row r="35" spans="1:19" ht="20.100000000000001" customHeight="1" x14ac:dyDescent="0.25">
      <c r="A35" s="16" t="str">
        <f>HYPERLINK("#'Constants - Common Livestock'!A1", "Constants - Common Livestock")</f>
        <v>Constants - Common Livestock</v>
      </c>
      <c r="D35" s="174" t="s">
        <v>751</v>
      </c>
      <c r="E35" s="98" cm="1">
        <f t="array" ref="E35">Fertiliser_Equations_AtmosphericDeposition.VEERG_5_4_1_3__2_MassOfNitrogenVolatilisedFromOrganicFertiliser(I32,I33)</f>
        <v>210</v>
      </c>
      <c r="F35" s="175" t="str">
        <f>E30</f>
        <v>kg N</v>
      </c>
      <c r="N35" s="174" t="s">
        <v>751</v>
      </c>
      <c r="O35" s="98" cm="1">
        <f t="array" ref="O35">Fertiliser_Equations_AtmosphericDeposition.VEERG_5_4_1_3__2_MassOfNitrogenVolatilisedFromOrganicFertiliser(S32,I33)</f>
        <v>420</v>
      </c>
      <c r="P35" s="175" t="str">
        <f>O30</f>
        <v>kg N</v>
      </c>
    </row>
    <row r="36" spans="1:19" ht="20.100000000000001" customHeight="1" x14ac:dyDescent="0.25">
      <c r="A36" s="16" t="str">
        <f>HYPERLINK("#'Constants - Fertiliser'!A1", "Constants - Fertiliser")</f>
        <v>Constants - Fertiliser</v>
      </c>
    </row>
    <row r="37" spans="1:19" ht="20.100000000000001" customHeight="1" x14ac:dyDescent="0.25">
      <c r="A37" s="16" t="str">
        <f>HYPERLINK("#'Constants - Electricity'!A1", "Constants - Electricity")</f>
        <v>Constants - Electricity</v>
      </c>
    </row>
    <row r="38" spans="1:19" ht="20.100000000000001" customHeight="1" x14ac:dyDescent="0.25">
      <c r="A38" s="16" t="str">
        <f>HYPERLINK("#'Constants - Common'!A1", "Constants - Common")</f>
        <v>Constants - Common</v>
      </c>
    </row>
    <row r="39" spans="1:19" ht="20.100000000000001" customHeight="1" x14ac:dyDescent="0.25"/>
    <row r="40" spans="1:19" ht="20.100000000000001" customHeight="1" x14ac:dyDescent="0.25">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1:19" ht="20.100000000000001" customHeight="1" x14ac:dyDescent="0.25">
      <c r="D42" s="172" t="s">
        <v>629</v>
      </c>
      <c r="E42" s="172" t="str">
        <f ca="1">Common_InputFunctions.Utility_DisplayFunctionName(VEERG_5_4_1_3__1_OrganicFertiliserAtmosphericDepositionN2OEmissions_Result_Method1)</f>
        <v>=Fertiliser_Equations_AtmosphericDeposition.VEERG_5_4_1_3__1_OrganicFertiliserAtmosphericDepositionN2OEmissions</v>
      </c>
      <c r="N42" s="172" t="s">
        <v>629</v>
      </c>
      <c r="O42" s="172"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5"/>
    <row r="44" spans="1:19" ht="20.100000000000001" customHeight="1" x14ac:dyDescent="0.25"/>
    <row r="45" spans="1:19" ht="20.100000000000001" customHeight="1" x14ac:dyDescent="0.25">
      <c r="D45" s="27" t="s">
        <v>630</v>
      </c>
      <c r="E45" s="8" t="str" cm="1">
        <f t="array" ref="E45">Fertiliser_Equations_AtmosphericDeposition.VEERG_5_4_1_3__1_OrganicFertiliserAtmosphericDepositionN2OEmissions_Variable()</f>
        <v>E_adorganic</v>
      </c>
      <c r="N45" s="27" t="s">
        <v>630</v>
      </c>
      <c r="O45" s="8" t="str" cm="1">
        <f t="array" ref="O45">Fertiliser_Equations_AtmosphericDeposition.VEERG_5_4_1_3__1_OrganicFertiliserAtmosphericDepositionN2OEmissions_Variable()</f>
        <v>E_adorganic</v>
      </c>
    </row>
    <row r="46" spans="1:19" ht="20.100000000000001" customHeight="1" x14ac:dyDescent="0.25">
      <c r="D46" s="27" t="s">
        <v>97</v>
      </c>
      <c r="E46" s="13" t="str" cm="1">
        <f t="array" ref="E46">Fertiliser_Equations_AtmosphericDeposition.VEERG_5_4_1_3__1_OrganicFertiliserAtmosphericDepositionN2OEmissions_Unit()</f>
        <v>t N2O</v>
      </c>
      <c r="N46" s="27" t="s">
        <v>97</v>
      </c>
      <c r="O46" s="13" t="str" cm="1">
        <f t="array" ref="O46">Fertiliser_Equations_AtmosphericDeposition.VEERG_5_4_1_3__1_OrganicFertiliserAtmosphericDepositionN2OEmissions_Unit()</f>
        <v>t N2O</v>
      </c>
    </row>
    <row r="47" spans="1:19" ht="20.100000000000001" customHeight="1" x14ac:dyDescent="0.25"/>
    <row r="48" spans="1:19" ht="20.100000000000001" customHeight="1" x14ac:dyDescent="0.25">
      <c r="D48" s="167" t="str" cm="1">
        <f t="array" ref="D48:E53">_xlfn.CHOOSECOLS(Fertiliser_Equations_AtmosphericDeposition.VEERG_5_4_1_3__1_OrganicFertiliserAtmosphericDepositionN2OEmissions_Arguments(), 1, 2)</f>
        <v>M_volorganicjf</v>
      </c>
      <c r="E48" s="171" t="str">
        <v>mass of nitrogen volatilised from organic fertiliser applied to production system</v>
      </c>
      <c r="F48" s="166"/>
      <c r="G48" s="167" t="str" cm="1">
        <f t="array" ref="G48:H53">_xlfn.CHOOSECOLS(Fertiliser_Equations_AtmosphericDeposition.VEERG_5_4_1_3__1_OrganicFertiliserAtmosphericDepositionN2OEmissions_Arguments(), 3,4)</f>
        <v>kg N</v>
      </c>
      <c r="H48" s="169" t="str">
        <v>Calculated from 5.4.1.3 (2)</v>
      </c>
      <c r="I48" s="167">
        <f>E35</f>
        <v>210</v>
      </c>
      <c r="N48" s="167" t="str" cm="1">
        <f t="array" ref="N48:O53">_xlfn.CHOOSECOLS(Fertiliser_Equations_AtmosphericDeposition.VEERG_5_4_1_3__1_OrganicFertiliserAtmosphericDepositionN2OEmissions_Arguments(), 1, 2)</f>
        <v>M_volorganicjf</v>
      </c>
      <c r="O48" s="171" t="str">
        <v>mass of nitrogen volatilised from organic fertiliser applied to production system</v>
      </c>
      <c r="P48" s="166"/>
      <c r="Q48" s="167" t="str" cm="1">
        <f t="array" ref="Q48:R53">_xlfn.CHOOSECOLS(Fertiliser_Equations_AtmosphericDeposition.VEERG_5_4_1_3__1_OrganicFertiliserAtmosphericDepositionN2OEmissions_Arguments(), 3,4)</f>
        <v>kg N</v>
      </c>
      <c r="R48" s="169" t="str">
        <v>Calculated from 5.4.1.3 (2)</v>
      </c>
      <c r="S48" s="167">
        <f>O35</f>
        <v>420</v>
      </c>
    </row>
    <row r="49" spans="4:19" ht="20.100000000000001" customHeight="1" x14ac:dyDescent="0.25">
      <c r="D49" s="167" t="str">
        <v>EF_N2Oj</v>
      </c>
      <c r="E49" s="171" t="str">
        <v>emission factor for atmospheric deposition in production system j</v>
      </c>
      <c r="F49" s="166"/>
      <c r="G49" s="167" t="str">
        <v>kg N2O-N/kg N</v>
      </c>
      <c r="H49" s="169" t="str">
        <v>Constant</v>
      </c>
      <c r="I49" s="167">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67" t="str">
        <v>EF_N2Oj</v>
      </c>
      <c r="O49" s="171" t="str">
        <v>emission factor for atmospheric deposition in production system j</v>
      </c>
      <c r="P49" s="166"/>
      <c r="Q49" s="167" t="str">
        <v>kg N2O-N/kg N</v>
      </c>
      <c r="R49" s="169" t="str">
        <v>Constant</v>
      </c>
      <c r="S49" s="167"/>
    </row>
    <row r="50" spans="4:19" ht="20.100000000000001" customHeight="1" x14ac:dyDescent="0.25">
      <c r="D50" s="167" t="str">
        <v>C_N2O</v>
      </c>
      <c r="E50" s="171" t="str">
        <v>factor to convert elemental mass of nitrous oxide to molecular mass</v>
      </c>
      <c r="F50" s="166"/>
      <c r="G50" s="167" t="str">
        <v/>
      </c>
      <c r="H50" s="169" t="str">
        <v>Constant</v>
      </c>
      <c r="I50" s="206">
        <f>Common_InputFunctions.Utility_LookupValueInTableNumber("N2O",Table_GasToMolecularConversionFactor[Gas],Table_GasToMolecularConversionFactor[Conversion factor combined])</f>
        <v>1.5714285714285714</v>
      </c>
      <c r="N50" s="167" t="str">
        <v>C_N2O</v>
      </c>
      <c r="O50" s="171" t="str">
        <v>factor to convert elemental mass of nitrous oxide to molecular mass</v>
      </c>
      <c r="P50" s="166"/>
      <c r="Q50" s="167" t="str">
        <v/>
      </c>
      <c r="R50" s="169" t="str">
        <v>Constant</v>
      </c>
      <c r="S50" s="206"/>
    </row>
    <row r="51" spans="4:19" ht="20.100000000000001" customHeight="1" x14ac:dyDescent="0.25">
      <c r="D51" s="167" t="str">
        <v>j</v>
      </c>
      <c r="E51" s="171" t="str">
        <v>Production system</v>
      </c>
      <c r="F51" s="166"/>
      <c r="G51" s="167" t="str">
        <v/>
      </c>
      <c r="H51" s="168" t="str">
        <v>Input</v>
      </c>
      <c r="I51" s="167" t="str">
        <f>X_Cell_ManureSentOffsite_ManureProductionSystem</f>
        <v>Crop</v>
      </c>
      <c r="N51" s="167" t="str">
        <v>j</v>
      </c>
      <c r="O51" s="171" t="str">
        <v>Production system</v>
      </c>
      <c r="P51" s="166"/>
      <c r="Q51" s="167" t="str">
        <v/>
      </c>
      <c r="R51" s="168" t="str">
        <v>Input</v>
      </c>
      <c r="S51" s="167"/>
    </row>
    <row r="52" spans="4:19" ht="20.100000000000001" customHeight="1" x14ac:dyDescent="0.25">
      <c r="D52" s="167" t="str">
        <v>ir</v>
      </c>
      <c r="E52" s="171" t="str">
        <v>irrigation method</v>
      </c>
      <c r="F52" s="166"/>
      <c r="G52" s="167" t="str">
        <v/>
      </c>
      <c r="H52" s="168" t="str">
        <v>Input</v>
      </c>
      <c r="I52" s="167" t="str">
        <f>X_Cell_ManureSentOffsite_ManureIrrigationMethod</f>
        <v>Sprinkler irrigation</v>
      </c>
      <c r="N52" s="167" t="str">
        <v>ir</v>
      </c>
      <c r="O52" s="171" t="str">
        <v>irrigation method</v>
      </c>
      <c r="P52" s="166"/>
      <c r="Q52" s="167" t="str">
        <v/>
      </c>
      <c r="R52" s="168" t="str">
        <v>Input</v>
      </c>
      <c r="S52" s="167"/>
    </row>
    <row r="53" spans="4:19" ht="20.100000000000001" customHeight="1" x14ac:dyDescent="0.25">
      <c r="D53" s="167" t="str">
        <v>r</v>
      </c>
      <c r="E53" s="171" t="str">
        <v>rainfall region</v>
      </c>
      <c r="F53" s="166"/>
      <c r="G53" s="167" t="str">
        <v/>
      </c>
      <c r="H53" s="168" t="str">
        <v>Input</v>
      </c>
      <c r="I53" s="167" t="str">
        <f>X_Cell_Site_RainfallZone</f>
        <v>Low rainfall</v>
      </c>
      <c r="N53" s="167" t="str">
        <v>r</v>
      </c>
      <c r="O53" s="171" t="str">
        <v>rainfall region</v>
      </c>
      <c r="P53" s="166"/>
      <c r="Q53" s="167" t="str">
        <v/>
      </c>
      <c r="R53" s="168" t="str">
        <v>Input</v>
      </c>
      <c r="S53" s="167"/>
    </row>
    <row r="54" spans="4:19" ht="20.100000000000001" customHeight="1" x14ac:dyDescent="0.25"/>
    <row r="55" spans="4:19" ht="20.100000000000001" customHeight="1" x14ac:dyDescent="0.25">
      <c r="D55" s="176" t="s">
        <v>765</v>
      </c>
      <c r="E55" s="177" cm="1">
        <f t="array" ref="E55">Fertiliser_Equations_AtmosphericDeposition.VEERG_5_4_1_3__1_OrganicFertiliserAtmosphericDepositionN2OEmissions(I48,I49,I50)</f>
        <v>2.31E-3</v>
      </c>
      <c r="F55" s="178" t="str">
        <f>$E$46</f>
        <v>t N2O</v>
      </c>
      <c r="N55" s="176" t="s">
        <v>765</v>
      </c>
      <c r="O55" s="177" cm="1">
        <f t="array" ref="O55">Fertiliser_Equations_AtmosphericDeposition.VEERG_5_4_1_3__1_OrganicFertiliserAtmosphericDepositionN2OEmissions(S48,I49,I50)</f>
        <v>4.62E-3</v>
      </c>
      <c r="P55" s="178" t="str">
        <f>$E$46</f>
        <v>t N2O</v>
      </c>
    </row>
    <row r="56" spans="4:19" ht="20.100000000000001" customHeight="1" x14ac:dyDescent="0.25"/>
    <row r="57" spans="4:19" ht="20.100000000000001" customHeight="1" x14ac:dyDescent="0.25"/>
    <row r="58" spans="4:19" ht="20.100000000000001" customHeight="1" x14ac:dyDescent="0.25"/>
    <row r="59" spans="4:1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5">
      <c r="D61" s="172" t="s">
        <v>629</v>
      </c>
      <c r="E61" s="172" t="str" cm="1">
        <f t="array" aca="1" ref="E61" ca="1">Common_InputFunctions.Utility_DisplayFunctionName(E74)</f>
        <v>=Fertiliser_Equations_LeachingAndRunoff.VEERG_5_5_1_1__3_MassOfNitrogenLeachedFromOrganicFertiliser</v>
      </c>
      <c r="N61" s="172" t="s">
        <v>629</v>
      </c>
      <c r="O61" s="172" t="str" cm="1">
        <f t="array" aca="1" ref="O61" ca="1">Common_InputFunctions.Utility_DisplayFunctionName(O74)</f>
        <v>=Fertiliser_Equations_LeachingAndRunoff.VEERG_5_5_1_1__3_MassOfNitrogenLeachedFromOrganicFertiliser</v>
      </c>
    </row>
    <row r="62" spans="4:19" ht="20.100000000000001" customHeight="1" x14ac:dyDescent="0.25"/>
    <row r="63" spans="4:19" ht="20.100000000000001" customHeight="1" x14ac:dyDescent="0.25"/>
    <row r="64" spans="4:19" ht="20.100000000000001" customHeight="1" x14ac:dyDescent="0.25">
      <c r="D64" s="27" t="s">
        <v>630</v>
      </c>
      <c r="E64" s="8" t="str" cm="1">
        <f t="array" ref="E64">Fertiliser_Equations_LeachingAndRunoff.VEERG_5_5_1_1__3_MassOfNitrogenLeachedFromOrganicFertiliser_Variable()</f>
        <v>M_leachorganicj</v>
      </c>
      <c r="N64" s="27" t="s">
        <v>630</v>
      </c>
      <c r="O64" s="8" t="str" cm="1">
        <f t="array" ref="O64">Fertiliser_Equations_LeachingAndRunoff.VEERG_5_5_1_1__3_MassOfNitrogenLeachedFromOrganicFertiliser_Variable()</f>
        <v>M_leachorganicj</v>
      </c>
    </row>
    <row r="65" spans="4:19" ht="20.100000000000001" customHeight="1" x14ac:dyDescent="0.25">
      <c r="D65" s="27" t="s">
        <v>97</v>
      </c>
      <c r="E65" s="13" t="str" cm="1">
        <f t="array" ref="E65">Fertiliser_Equations_LeachingAndRunoff.VEERG_5_5_1_1__3_MassOfNitrogenLeachedFromOrganicFertiliser_Unit()</f>
        <v>kg N</v>
      </c>
      <c r="N65" s="27" t="s">
        <v>97</v>
      </c>
      <c r="O65" s="13" t="str" cm="1">
        <f t="array" ref="O65">Fertiliser_Equations_LeachingAndRunoff.VEERG_5_5_1_1__3_MassOfNitrogenLeachedFromOrganicFertiliser_Unit()</f>
        <v>kg N</v>
      </c>
    </row>
    <row r="66" spans="4:19" ht="20.100000000000001" customHeight="1" x14ac:dyDescent="0.25"/>
    <row r="67" spans="4:19" ht="20.100000000000001" customHeight="1" x14ac:dyDescent="0.25">
      <c r="D67" s="167" t="str" cm="1">
        <f t="array" ref="D67:E72">_xlfn.CHOOSECOLS(Fertiliser_Equations_LeachingAndRunoff.VEERG_5_5_1_1__3_MassOfNitrogenLeachedFromOrganicFertiliser_Arguments(), 1, 2)</f>
        <v>MNSoil_jf</v>
      </c>
      <c r="E67" s="171" t="str">
        <v>mass of nitrogen in organic fertiliser</v>
      </c>
      <c r="F67" s="166"/>
      <c r="G67" s="167" t="str" cm="1">
        <f t="array" ref="G67:H72">_xlfn.CHOOSECOLS(Fertiliser_Equations_LeachingAndRunoff.VEERG_5_5_1_1__3_MassOfNitrogenLeachedFromOrganicFertiliser_Arguments(), 3,4)</f>
        <v>kg N</v>
      </c>
      <c r="H67" s="169" t="str">
        <v>Calculated from 5.2.1.1 (2)</v>
      </c>
      <c r="I67" s="167">
        <f>X_Cell_ManureSentOffsite_MassNitrogenManure_Method1</f>
        <v>1000</v>
      </c>
      <c r="N67" s="167" t="str" cm="1">
        <f t="array" ref="N67:O72">_xlfn.CHOOSECOLS(Fertiliser_Equations_LeachingAndRunoff.VEERG_5_5_1_1__3_MassOfNitrogenLeachedFromOrganicFertiliser_Arguments(), 1, 2)</f>
        <v>MNSoil_jf</v>
      </c>
      <c r="O67" s="171" t="str">
        <v>mass of nitrogen in organic fertiliser</v>
      </c>
      <c r="P67" s="166"/>
      <c r="Q67" s="167" t="str" cm="1">
        <f t="array" ref="Q67:R72">_xlfn.CHOOSECOLS(Fertiliser_Equations_LeachingAndRunoff.VEERG_5_5_1_1__3_MassOfNitrogenLeachedFromOrganicFertiliser_Arguments(), 3,4)</f>
        <v>kg N</v>
      </c>
      <c r="R67" s="169" t="str">
        <v>Calculated from 5.2.1.1 (2)</v>
      </c>
      <c r="S67" s="167">
        <f>X_Cell_ManureSentOffsite_MassNitrogenManure_Method2</f>
        <v>2000</v>
      </c>
    </row>
    <row r="68" spans="4:19" ht="20.100000000000001" customHeight="1" x14ac:dyDescent="0.25">
      <c r="D68" s="167" t="str">
        <v>FracWETj</v>
      </c>
      <c r="E68" s="171" t="str">
        <v>fraction of N available for leaching and runoff</v>
      </c>
      <c r="F68" s="166"/>
      <c r="G68" s="167" t="str">
        <v>fraction</v>
      </c>
      <c r="H68" s="169" t="str">
        <v>Constant</v>
      </c>
      <c r="I68" s="167">
        <f>Common_InputFunctions.CommonCropping_GetFracWET(I70,I72,Table_SourceData_FracWET[Is in leaching zone],Table_SourceData_FracWET[FracWET],Table_SourceData_FracWETIrrigation[Irrigation type i],Table_SourceData_FracWETIrrigation[FracWET])</f>
        <v>1</v>
      </c>
      <c r="N68" s="167" t="str">
        <v>FracWETj</v>
      </c>
      <c r="O68" s="171" t="str">
        <v>fraction of N available for leaching and runoff</v>
      </c>
      <c r="P68" s="166"/>
      <c r="Q68" s="167" t="str">
        <v>fraction</v>
      </c>
      <c r="R68" s="169" t="str">
        <v>Constant</v>
      </c>
      <c r="S68" s="167"/>
    </row>
    <row r="69" spans="4:19" ht="20.100000000000001" customHeight="1" x14ac:dyDescent="0.25">
      <c r="D69" s="167" t="str">
        <v>FracLEACH</v>
      </c>
      <c r="E69" s="171" t="str">
        <v>fraction of N that is lost through leaching and runoff</v>
      </c>
      <c r="F69" s="166"/>
      <c r="G69" s="167" t="str">
        <v>fraction</v>
      </c>
      <c r="H69" s="169" t="str">
        <v>Constant</v>
      </c>
      <c r="I69" s="167">
        <f>Fertiliser_FracLEACH_Data</f>
        <v>0.24</v>
      </c>
      <c r="N69" s="167" t="str">
        <v>FracLEACH</v>
      </c>
      <c r="O69" s="171" t="str">
        <v>fraction of N that is lost through leaching and runoff</v>
      </c>
      <c r="P69" s="166"/>
      <c r="Q69" s="167" t="str">
        <v>fraction</v>
      </c>
      <c r="R69" s="169" t="str">
        <v>Constant</v>
      </c>
      <c r="S69" s="167"/>
    </row>
    <row r="70" spans="4:19" ht="20.100000000000001" customHeight="1" x14ac:dyDescent="0.25">
      <c r="D70" s="167" t="str">
        <v>z</v>
      </c>
      <c r="E70" s="171" t="str">
        <v>location in leaching zone</v>
      </c>
      <c r="F70" s="166"/>
      <c r="G70" s="167" t="str">
        <v/>
      </c>
      <c r="H70" s="168" t="str">
        <v>Input</v>
      </c>
      <c r="I70" s="167" t="str">
        <f>X_Cell_Site_LeachingZone</f>
        <v>NO - Not in leaching zone</v>
      </c>
      <c r="N70" s="167" t="str">
        <v>z</v>
      </c>
      <c r="O70" s="171" t="str">
        <v>location in leaching zone</v>
      </c>
      <c r="P70" s="166"/>
      <c r="Q70" s="167" t="str">
        <v/>
      </c>
      <c r="R70" s="168" t="str">
        <v>Input</v>
      </c>
      <c r="S70" s="167"/>
    </row>
    <row r="71" spans="4:19" ht="20.100000000000001" customHeight="1" x14ac:dyDescent="0.25">
      <c r="D71" s="167" t="str">
        <v>j</v>
      </c>
      <c r="E71" s="171" t="str">
        <v>production system</v>
      </c>
      <c r="F71" s="166"/>
      <c r="G71" s="167" t="str">
        <v/>
      </c>
      <c r="H71" s="168" t="str">
        <v>Input</v>
      </c>
      <c r="I71" s="167" t="str">
        <f>X_Cell_ManureSentOffsite_ManureProductionSystem</f>
        <v>Crop</v>
      </c>
      <c r="N71" s="167" t="str">
        <v>j</v>
      </c>
      <c r="O71" s="171" t="str">
        <v>production system</v>
      </c>
      <c r="P71" s="166"/>
      <c r="Q71" s="167" t="str">
        <v/>
      </c>
      <c r="R71" s="168" t="str">
        <v>Input</v>
      </c>
      <c r="S71" s="167"/>
    </row>
    <row r="72" spans="4:19" ht="20.100000000000001" customHeight="1" x14ac:dyDescent="0.25">
      <c r="D72" s="167" t="str">
        <v>ir</v>
      </c>
      <c r="E72" s="171" t="str">
        <v>irrigation method</v>
      </c>
      <c r="F72" s="166"/>
      <c r="G72" s="167" t="str">
        <v/>
      </c>
      <c r="H72" s="168" t="str">
        <v>Input</v>
      </c>
      <c r="I72" s="167" t="str">
        <f>X_Cell_ManureSentOffsite_ManureIrrigationMethod</f>
        <v>Sprinkler irrigation</v>
      </c>
      <c r="N72" s="167" t="str">
        <v>ir</v>
      </c>
      <c r="O72" s="171" t="str">
        <v>irrigation method</v>
      </c>
      <c r="P72" s="166"/>
      <c r="Q72" s="167" t="str">
        <v/>
      </c>
      <c r="R72" s="168" t="str">
        <v>Input</v>
      </c>
      <c r="S72" s="167"/>
    </row>
    <row r="73" spans="4:19" ht="20.100000000000001" customHeight="1" x14ac:dyDescent="0.25"/>
    <row r="74" spans="4:19" ht="20.100000000000001" customHeight="1" x14ac:dyDescent="0.25">
      <c r="D74" s="174" t="s">
        <v>766</v>
      </c>
      <c r="E74" s="98" cm="1">
        <f t="array" ref="E74">Fertiliser_Equations_LeachingAndRunoff.VEERG_5_5_1_1__3_MassOfNitrogenLeachedFromOrganicFertiliser(I67,I68,I69)</f>
        <v>240</v>
      </c>
      <c r="F74" s="175" t="str">
        <f>$E$65</f>
        <v>kg N</v>
      </c>
      <c r="N74" s="174" t="s">
        <v>766</v>
      </c>
      <c r="O74" s="98" cm="1">
        <f t="array" ref="O74">Fertiliser_Equations_LeachingAndRunoff.VEERG_5_5_1_1__3_MassOfNitrogenLeachedFromOrganicFertiliser(S67,I68,I69)</f>
        <v>480</v>
      </c>
      <c r="P74" s="175" t="str">
        <f>$E$65</f>
        <v>kg N</v>
      </c>
    </row>
    <row r="75" spans="4:19" ht="20.100000000000001" customHeight="1" x14ac:dyDescent="0.25"/>
    <row r="76" spans="4:19" ht="20.100000000000001" customHeight="1" x14ac:dyDescent="0.25"/>
    <row r="77" spans="4:1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5">
      <c r="D79" s="172" t="s">
        <v>629</v>
      </c>
      <c r="E79" s="172" t="str">
        <f ca="1">Common_InputFunctions.Utility_DisplayFunctionName(VEERG_5_5_1_1__1_FertiliserLeachingAndRunoffN2OEmissions_Result_Method1)</f>
        <v>=Fertiliser_Equations_LeachingAndRunoff.VEERG_5_5_1_1__1_FertiliserLeachingAndRunoffN2OEmissions</v>
      </c>
      <c r="N79" s="172" t="s">
        <v>629</v>
      </c>
      <c r="O79" s="172" t="str">
        <f ca="1">Common_InputFunctions.Utility_DisplayFunctionName(VEERG_5_5_1_1__1_FertiliserLeachingAndRunoffN2OEmissions_Result_Method2)</f>
        <v>=Fertiliser_Equations_LeachingAndRunoff.VEERG_5_5_1_1__1_FertiliserLeachingAndRunoffN2OEmissions</v>
      </c>
    </row>
    <row r="80" spans="4:19" ht="20.100000000000001" customHeight="1" x14ac:dyDescent="0.25"/>
    <row r="81" spans="4:20" ht="20.100000000000001" customHeight="1" x14ac:dyDescent="0.25"/>
    <row r="82" spans="4:20" ht="20.100000000000001" customHeight="1" x14ac:dyDescent="0.25">
      <c r="D82" s="27" t="s">
        <v>630</v>
      </c>
      <c r="E82" s="8" t="str" cm="1">
        <f t="array" ref="E82">Fertiliser_Equations_LeachingAndRunoff.VEERG_5_5_1_1__1_FertiliserLeachingAndRunoffN2OEmissions_Variable()</f>
        <v>E_fertleach</v>
      </c>
      <c r="N82" s="27" t="s">
        <v>630</v>
      </c>
      <c r="O82" s="8" t="str" cm="1">
        <f t="array" ref="O82">Fertiliser_Equations_LeachingAndRunoff.VEERG_5_5_1_1__1_FertiliserLeachingAndRunoffN2OEmissions_Variable()</f>
        <v>E_fertleach</v>
      </c>
    </row>
    <row r="83" spans="4:20" x14ac:dyDescent="0.25">
      <c r="D83" s="27" t="s">
        <v>97</v>
      </c>
      <c r="E83" s="13" t="str" cm="1">
        <f t="array" ref="E83">Fertiliser_Equations_LeachingAndRunoff.VEERG_5_5_1_1__1_FertiliserLeachingAndRunoffN2OEmissions_Unit()</f>
        <v>t N2O</v>
      </c>
      <c r="N83" s="27" t="s">
        <v>97</v>
      </c>
      <c r="O83" s="13" t="str" cm="1">
        <f t="array" ref="O83">Fertiliser_Equations_LeachingAndRunoff.VEERG_5_5_1_1__1_FertiliserLeachingAndRunoffN2OEmissions_Unit()</f>
        <v>t N2O</v>
      </c>
    </row>
    <row r="85" spans="4:20" x14ac:dyDescent="0.25">
      <c r="D85" s="167" t="str" cm="1">
        <f t="array" ref="D85:E88">_xlfn.CHOOSECOLS(Fertiliser_Equations_LeachingAndRunoff.VEERG_5_5_1_1__1_FertiliserLeachingAndRunoffN2OEmissions_Arguments(), 1, 2)</f>
        <v>M_leachinorganicj</v>
      </c>
      <c r="E85" s="171" t="str">
        <v>mass of nitrogen lost through leaching and runoff from inorganic fertiliser application in production system j</v>
      </c>
      <c r="F85" s="205"/>
      <c r="G85" s="166"/>
      <c r="H85" s="167" t="str" cm="1">
        <f t="array" ref="H85:I88">_xlfn.CHOOSECOLS(Fertiliser_Equations_LeachingAndRunoff.VEERG_5_5_1_1__1_FertiliserLeachingAndRunoffN2OEmissions_Arguments(), 3,4)</f>
        <v>kg N</v>
      </c>
      <c r="I85" s="169" t="str">
        <v>Calculated from 5.5.1.1 (2)</v>
      </c>
      <c r="J85" s="167">
        <v>0</v>
      </c>
      <c r="N85" s="167" t="str" cm="1">
        <f t="array" ref="N85:O88">_xlfn.CHOOSECOLS(Fertiliser_Equations_LeachingAndRunoff.VEERG_5_5_1_1__1_FertiliserLeachingAndRunoffN2OEmissions_Arguments(), 1, 2)</f>
        <v>M_leachinorganicj</v>
      </c>
      <c r="O85" s="171" t="str">
        <v>mass of nitrogen lost through leaching and runoff from inorganic fertiliser application in production system j</v>
      </c>
      <c r="P85" s="205"/>
      <c r="Q85" s="166"/>
      <c r="R85" s="167" t="str" cm="1">
        <f t="array" ref="R85:S88">_xlfn.CHOOSECOLS(Fertiliser_Equations_LeachingAndRunoff.VEERG_5_5_1_1__1_FertiliserLeachingAndRunoffN2OEmissions_Arguments(), 3,4)</f>
        <v>kg N</v>
      </c>
      <c r="S85" s="169" t="str">
        <v>Calculated from 5.5.1.1 (2)</v>
      </c>
      <c r="T85" s="167"/>
    </row>
    <row r="86" spans="4:20" x14ac:dyDescent="0.25">
      <c r="D86" s="167" t="str">
        <v>M_leachorganicj</v>
      </c>
      <c r="E86" s="171" t="str">
        <v>mass of nitrogen lost through leaching and runoff from organic fertiliser application</v>
      </c>
      <c r="F86" s="205"/>
      <c r="G86" s="166"/>
      <c r="H86" s="167" t="str">
        <v>kg N</v>
      </c>
      <c r="I86" s="169" t="str">
        <v>Calculated from 5.5.1.1 (3)</v>
      </c>
      <c r="J86" s="167">
        <f>E74</f>
        <v>240</v>
      </c>
      <c r="N86" s="167" t="str">
        <v>M_leachorganicj</v>
      </c>
      <c r="O86" s="171" t="str">
        <v>mass of nitrogen lost through leaching and runoff from organic fertiliser application</v>
      </c>
      <c r="P86" s="205"/>
      <c r="Q86" s="166"/>
      <c r="R86" s="167" t="str">
        <v>kg N</v>
      </c>
      <c r="S86" s="169" t="str">
        <v>Calculated from 5.5.1.1 (3)</v>
      </c>
      <c r="T86" s="167">
        <f>O74</f>
        <v>480</v>
      </c>
    </row>
    <row r="87" spans="4:20" x14ac:dyDescent="0.25">
      <c r="D87" s="167" t="str">
        <v>EF_leach</v>
      </c>
      <c r="E87" s="171" t="str">
        <v>emission factor for nitrogen leaching and runoff</v>
      </c>
      <c r="F87" s="205"/>
      <c r="G87" s="166"/>
      <c r="H87" s="167" t="str">
        <v>kg N2O-N/kg N</v>
      </c>
      <c r="I87" s="169" t="str">
        <v>Constant</v>
      </c>
      <c r="J87" s="167">
        <f>Fertiliser_EFLeach_Data</f>
        <v>1.0999999999999999E-2</v>
      </c>
      <c r="N87" s="167" t="str">
        <v>EF_leach</v>
      </c>
      <c r="O87" s="171" t="str">
        <v>emission factor for nitrogen leaching and runoff</v>
      </c>
      <c r="P87" s="205"/>
      <c r="Q87" s="166"/>
      <c r="R87" s="167" t="str">
        <v>kg N2O-N/kg N</v>
      </c>
      <c r="S87" s="169" t="str">
        <v>Constant</v>
      </c>
      <c r="T87" s="167"/>
    </row>
    <row r="88" spans="4:20" x14ac:dyDescent="0.25">
      <c r="D88" s="167" t="str">
        <v>C_N2O</v>
      </c>
      <c r="E88" s="171" t="str">
        <v>factor to convert elemental mass of nitrous oxide to molecular mass</v>
      </c>
      <c r="F88" s="205"/>
      <c r="G88" s="166"/>
      <c r="H88" s="167" t="str">
        <v/>
      </c>
      <c r="I88" s="169" t="str">
        <v>Constant</v>
      </c>
      <c r="J88" s="206">
        <f>Common_InputFunctions.Utility_LookupValueInTableNumber("N2O",Table_GasToMolecularConversionFactor[Gas],Table_GasToMolecularConversionFactor[Conversion factor combined])</f>
        <v>1.5714285714285714</v>
      </c>
      <c r="N88" s="167" t="str">
        <v>C_N2O</v>
      </c>
      <c r="O88" s="171" t="str">
        <v>factor to convert elemental mass of nitrous oxide to molecular mass</v>
      </c>
      <c r="P88" s="205"/>
      <c r="Q88" s="166"/>
      <c r="R88" s="167" t="str">
        <v/>
      </c>
      <c r="S88" s="169" t="str">
        <v>Constant</v>
      </c>
      <c r="T88" s="206"/>
    </row>
    <row r="90" spans="4:20" ht="23.25" x14ac:dyDescent="0.25">
      <c r="D90" s="176" t="s">
        <v>767</v>
      </c>
      <c r="E90" s="177" cm="1">
        <f t="array" ref="E90">Fertiliser_Equations_LeachingAndRunoff.VEERG_5_5_1_1__1_FertiliserLeachingAndRunoffN2OEmissions(J85,J86,J87,J88)</f>
        <v>4.1485714285714277E-3</v>
      </c>
      <c r="F90" s="178" t="str">
        <f>$E$83</f>
        <v>t N2O</v>
      </c>
      <c r="N90" s="176" t="s">
        <v>767</v>
      </c>
      <c r="O90" s="177" cm="1">
        <f t="array" ref="O90">Fertiliser_Equations_LeachingAndRunoff.VEERG_5_5_1_1__1_FertiliserLeachingAndRunoffN2OEmissions(J85,T86,J87,J88)</f>
        <v>8.2971428571428554E-3</v>
      </c>
      <c r="P90" s="178" t="str">
        <f>$E$83</f>
        <v>t N2O</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927A-1FDA-4D09-8931-48DC362E8215}">
  <sheetPr>
    <tabColor theme="9" tint="-0.249977111117893"/>
  </sheetPr>
  <dimension ref="A1:R342"/>
  <sheetViews>
    <sheetView showGridLines="0" topLeftCell="A1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7" t="e" vm="1">
        <v>#VALUE!</v>
      </c>
      <c r="C1" s="1" t="s">
        <v>713</v>
      </c>
    </row>
    <row r="2" spans="1:18" s="2" customFormat="1" ht="20.100000000000001" customHeight="1" x14ac:dyDescent="0.25">
      <c r="A2"/>
    </row>
    <row r="3" spans="1:18" ht="20.100000000000001" customHeight="1" x14ac:dyDescent="0.25">
      <c r="A3" s="16" t="str">
        <f>HYPERLINK("#'Overview'!A1", "Overview")</f>
        <v>Overview</v>
      </c>
      <c r="C3" s="5"/>
      <c r="D3" s="5" t="s">
        <v>413</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2" t="s">
        <v>629</v>
      </c>
      <c r="E7" s="172" t="str" cm="1">
        <f t="array" aca="1" ref="E7" ca="1">Common_InputFunctions.Utility_DisplayFunctionName(N25)</f>
        <v>=Fuel_Equations.VEERG_8_1_1_1__1_FuelCombustionTransport</v>
      </c>
      <c r="K7" s="172" t="s">
        <v>629</v>
      </c>
      <c r="L7" s="172"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Site'!A1", "Site")</f>
        <v>Site</v>
      </c>
      <c r="E8" s="172"/>
      <c r="L8" s="172"/>
      <c r="O8" s="17"/>
      <c r="P8" s="17"/>
      <c r="Q8" s="17"/>
    </row>
    <row r="9" spans="1:18" ht="20.100000000000001" customHeight="1" x14ac:dyDescent="0.25">
      <c r="A9" s="16" t="str">
        <f>HYPERLINK("#'Input - Fuel'!A1", "Fuel")</f>
        <v>Fuel</v>
      </c>
      <c r="G9" s="11"/>
      <c r="O9" s="17"/>
      <c r="P9" s="17"/>
      <c r="Q9" s="17"/>
    </row>
    <row r="10" spans="1:18" ht="20.100000000000001" customHeight="1" x14ac:dyDescent="0.25">
      <c r="A10" s="16" t="str">
        <f>HYPERLINK("#'Input - Fertiliser'!A1", "Fertiliser")</f>
        <v>Fertiliser</v>
      </c>
      <c r="O10" s="17"/>
      <c r="P10" s="17"/>
      <c r="Q10" s="17"/>
    </row>
    <row r="11" spans="1:18" ht="20.100000000000001" customHeight="1" x14ac:dyDescent="0.25">
      <c r="A11" s="16" t="str">
        <f>HYPERLINK("#'Input - Farm Inputs'!A1", "Farm Inputs")</f>
        <v>Farm Inputs</v>
      </c>
      <c r="D11" s="27" t="s">
        <v>630</v>
      </c>
      <c r="E11" s="8" t="str" cm="1">
        <f t="array" ref="E11">Fuel_Equations.VEERG_8_1_1_1__1_FuelCombustionTransport_Variable()</f>
        <v>E_g</v>
      </c>
      <c r="K11" s="27" t="s">
        <v>630</v>
      </c>
      <c r="L11" s="8" t="str" cm="1">
        <f t="array" ref="L11">Scope3_Equations.VEERG_15_11_1_1__2_UpstreamTransportFuelEmissions_Variable()</f>
        <v>E_WTTtransq</v>
      </c>
      <c r="O11" s="17"/>
      <c r="P11" s="17"/>
      <c r="Q11" s="17"/>
    </row>
    <row r="12" spans="1:18" ht="20.100000000000001" customHeight="1" x14ac:dyDescent="0.25">
      <c r="A12" s="16" t="str">
        <f>HYPERLINK("#'Input - Livestock purchases'!A1", "Livestock purchases")</f>
        <v>Livestock purchases</v>
      </c>
      <c r="D12" s="27" t="s">
        <v>97</v>
      </c>
      <c r="E12" s="13" t="str" cm="1">
        <f t="array" ref="E12">Fuel_Equations.VEERG_8_1_1_1__1_FuelCombustionTransport_Unit()</f>
        <v>t CO2-e</v>
      </c>
      <c r="K12" s="27" t="s">
        <v>97</v>
      </c>
      <c r="L12" s="13" t="str" cm="1">
        <f t="array" ref="L12">Scope3_Equations.VEERG_15_11_1_1__2_UpstreamTransportFuelEmissions_Unit()</f>
        <v>t CO2e</v>
      </c>
    </row>
    <row r="13" spans="1:18" ht="20.100000000000001" customHeight="1" x14ac:dyDescent="0.25">
      <c r="A13" s="16" t="str">
        <f>HYPERLINK("#'Input - Freight'!A1", "Freight")</f>
        <v>Freight</v>
      </c>
    </row>
    <row r="14" spans="1:18" ht="20.100000000000001" customHeight="1" x14ac:dyDescent="0.25">
      <c r="A14" s="16" t="str">
        <f>HYPERLINK("#'Input - Solid waste'!A1", "Solid waste")</f>
        <v>Solid waste</v>
      </c>
      <c r="D14" s="167" t="str" cm="1">
        <f t="array" ref="D14:E20">_xlfn.CHOOSECOLS(Fuel_Equations.VEERG_8_1_1_1__1_FuelCombustionTransport_Arguments(), 1,2)</f>
        <v>Q_Transtq</v>
      </c>
      <c r="E14" s="171" t="str">
        <v>Amount of fuel type q combusted for transport energy purposes</v>
      </c>
      <c r="F14" s="166"/>
      <c r="G14" s="167" t="str" cm="1">
        <f t="array" ref="G14:H20">_xlfn.CHOOSECOLS(Fuel_Equations.VEERG_8_1_1_1__1_FuelCombustionTransport_Arguments(), 3,4)</f>
        <v>Varies based on fuel type: kL, m3, GJ</v>
      </c>
      <c r="H14" s="168" t="str">
        <v>Input</v>
      </c>
      <c r="I14" s="170" t="str" cm="1">
        <f t="array" aca="1" ref="I14" ca="1">HYPERLINK(Common_InputFunctions.Utility_SourceHyperlink($D$22), $D$22)</f>
        <v>Table_E_g</v>
      </c>
      <c r="K14" s="167" t="str" cm="1">
        <f t="array" ref="K14:L16">_xlfn.CHOOSECOLS(Scope3_Equations.VEERG_15_11_1_1__2_UpstreamTransportFuelEmissions_Arguments(),1,2)</f>
        <v>Q_Transq</v>
      </c>
      <c r="L14" s="167" t="str">
        <v>amount of fuel q combusted for transport energy purposes</v>
      </c>
      <c r="M14" s="167"/>
      <c r="N14" s="167" t="str" cm="1">
        <f t="array" ref="N14:O16">_xlfn.CHOOSECOLS(Scope3_Equations.VEERG_15_11_1_1__2_UpstreamTransportFuelEmissions_Arguments(),3,4)</f>
        <v>kL</v>
      </c>
      <c r="O14" s="168" t="str">
        <v>Input</v>
      </c>
      <c r="P14" s="170" t="str" cm="1">
        <f t="array" aca="1" ref="P14" ca="1">HYPERLINK(Common_InputFunctions.Utility_SourceHyperlink($D$22), $D$22)</f>
        <v>Table_E_g</v>
      </c>
      <c r="Q14" s="17"/>
    </row>
    <row r="15" spans="1:18" ht="20.100000000000001" customHeight="1" x14ac:dyDescent="0.25">
      <c r="A15" s="16" t="str">
        <f>HYPERLINK("#'Input - Manure sent off-site'!A1", "Manure sent off-site")</f>
        <v>Manure sent off-site</v>
      </c>
      <c r="D15" s="167" t="str">
        <v>EC_Transq</v>
      </c>
      <c r="E15" s="171" t="str">
        <v>Energy content factor for transport energy purposes</v>
      </c>
      <c r="F15" s="166"/>
      <c r="G15" s="167" t="str">
        <v>GJ / unit of fuel</v>
      </c>
      <c r="H15" s="169" t="str">
        <v>Constant</v>
      </c>
      <c r="I15" s="170" t="str" cm="1">
        <f t="array" aca="1" ref="I15" ca="1">HYPERLINK(Common_InputFunctions.Utility_SourceHyperlink($D$22), $D$22)</f>
        <v>Table_E_g</v>
      </c>
      <c r="K15" s="167" t="str">
        <v>EC_Transq</v>
      </c>
      <c r="L15" s="167" t="str">
        <v>energy content factor for transport energy purposes</v>
      </c>
      <c r="M15" s="167"/>
      <c r="N15" s="167" t="str">
        <v>GJ/kL or GJ/m3</v>
      </c>
      <c r="O15" s="169" t="str">
        <v>Constant</v>
      </c>
      <c r="P15" s="170" t="str" cm="1">
        <f t="array" aca="1" ref="P15" ca="1">HYPERLINK(Common_InputFunctions.Utility_SourceHyperlink($D$22), $D$22)</f>
        <v>Table_E_g</v>
      </c>
      <c r="Q15" s="17"/>
    </row>
    <row r="16" spans="1:18" ht="20.100000000000001" customHeight="1" x14ac:dyDescent="0.25">
      <c r="A16" s="16" t="str">
        <f>HYPERLINK("#'Input - Electricity'!A1", "Electricity")</f>
        <v>Electricity</v>
      </c>
      <c r="D16" s="167" t="str">
        <v>EF_Trans1tqg</v>
      </c>
      <c r="E16" s="171" t="str">
        <v>Scope 1 emission factor for transport energy purposes for each greenhouse gas</v>
      </c>
      <c r="F16" s="166"/>
      <c r="G16" s="167" t="str">
        <v>kg CO2e / GJ</v>
      </c>
      <c r="H16" s="169" t="str">
        <v>Constant</v>
      </c>
      <c r="I16" s="170" t="str" cm="1">
        <f t="array" aca="1" ref="I16" ca="1">HYPERLINK(Common_InputFunctions.Utility_SourceHyperlink($D$22), $D$22)</f>
        <v>Table_E_g</v>
      </c>
      <c r="K16" s="167" t="str">
        <v>EF_Trans3q</v>
      </c>
      <c r="L16" s="167" t="str">
        <v>scope 3 emission factor for transport energy purposes</v>
      </c>
      <c r="M16" s="167"/>
      <c r="N16" s="167" t="str">
        <v>kg CO2e/GJ</v>
      </c>
      <c r="O16" s="169" t="str">
        <v>Constant</v>
      </c>
      <c r="P16" s="170" t="str" cm="1">
        <f t="array" aca="1" ref="P16" ca="1">HYPERLINK(Common_InputFunctions.Utility_SourceHyperlink($D$22), $D$22)</f>
        <v>Table_E_g</v>
      </c>
      <c r="Q16" s="17"/>
    </row>
    <row r="17" spans="1:17" ht="20.100000000000001" customHeight="1" x14ac:dyDescent="0.25">
      <c r="A17"/>
      <c r="D17" s="167" t="str">
        <v>q</v>
      </c>
      <c r="E17" s="171" t="str">
        <v>Fuel type</v>
      </c>
      <c r="F17" s="166"/>
      <c r="G17" s="167" t="str">
        <v/>
      </c>
      <c r="H17" s="169" t="str">
        <v>Constant</v>
      </c>
      <c r="I17" s="170"/>
      <c r="J17" s="17"/>
      <c r="P17" s="17"/>
      <c r="Q17" s="17"/>
    </row>
    <row r="18" spans="1:17" ht="20.100000000000001" customHeight="1" x14ac:dyDescent="0.25">
      <c r="A18"/>
      <c r="D18" s="167" t="str">
        <v>Trans</v>
      </c>
      <c r="E18" s="171" t="str">
        <v>Transport combustion</v>
      </c>
      <c r="F18" s="166"/>
      <c r="G18" s="167" t="str">
        <v/>
      </c>
      <c r="H18" s="169" t="str">
        <v>Constant</v>
      </c>
      <c r="I18" s="170"/>
      <c r="J18" s="17"/>
      <c r="L18" s="17"/>
      <c r="M18" s="17"/>
      <c r="N18" s="17"/>
      <c r="O18" s="17"/>
      <c r="P18" s="17"/>
      <c r="Q18" s="17"/>
    </row>
    <row r="19" spans="1:17" ht="20.100000000000001" customHeight="1" x14ac:dyDescent="0.25">
      <c r="A19" s="21" t="s">
        <v>77</v>
      </c>
      <c r="D19" s="167" t="str">
        <v>g</v>
      </c>
      <c r="E19" s="171" t="str">
        <v>Greenhouse gas</v>
      </c>
      <c r="F19" s="166"/>
      <c r="G19" s="167" t="str">
        <v/>
      </c>
      <c r="H19" s="169" t="str">
        <v>Constant</v>
      </c>
      <c r="I19" s="170"/>
      <c r="J19" s="17"/>
      <c r="L19" s="17"/>
      <c r="M19" s="17"/>
      <c r="N19" s="17"/>
      <c r="O19" s="17"/>
      <c r="P19" s="17"/>
      <c r="Q19" s="17"/>
    </row>
    <row r="20" spans="1:17" ht="20.100000000000001" customHeight="1" x14ac:dyDescent="0.25">
      <c r="A20" s="16" t="str">
        <f>HYPERLINK("#'15 Scope 3'!A1", "15 Scope 3")</f>
        <v>15 Scope 3</v>
      </c>
      <c r="D20" s="167" t="str">
        <v>1</v>
      </c>
      <c r="E20" s="171" t="str">
        <v>Scope 1</v>
      </c>
      <c r="F20" s="166"/>
      <c r="G20" s="167" t="str">
        <v/>
      </c>
      <c r="H20" s="169" t="str">
        <v>Constant</v>
      </c>
      <c r="I20" s="170"/>
      <c r="J20" s="17"/>
      <c r="L20" s="17"/>
      <c r="M20" s="17"/>
      <c r="N20" s="17"/>
      <c r="O20" s="17"/>
      <c r="P20" s="17"/>
      <c r="Q20" s="17"/>
    </row>
    <row r="21" spans="1:17" ht="20.100000000000001" customHeight="1" x14ac:dyDescent="0.25">
      <c r="A21" s="16" t="str">
        <f>HYPERLINK("#'10.1.1-2 Solid waste treatment'!A1", "10.1.1-2 Solid waste treatment")</f>
        <v>10.1.1-2 Solid waste treatment</v>
      </c>
      <c r="O21" s="17"/>
      <c r="P21" s="17"/>
      <c r="Q21" s="17"/>
    </row>
    <row r="22" spans="1:17" ht="20.100000000000001" customHeight="1" x14ac:dyDescent="0.25">
      <c r="A22" s="16" t="str">
        <f>HYPERLINK("#'Calcs - Manure sent off-site'!A1", "Calcs - Manure sent off-site")</f>
        <v>Calcs - Manure sent off-site</v>
      </c>
      <c r="D22" s="55" t="s">
        <v>129</v>
      </c>
    </row>
    <row r="23" spans="1:17" ht="20.100000000000001" customHeight="1" x14ac:dyDescent="0.25">
      <c r="A23" s="180" t="str">
        <f>HYPERLINK("#'8.1.1.1-2 Transport fuel'!A1", "8.1.1.1-2 Transport fuel")</f>
        <v>8.1.1.1-2 Transport fuel</v>
      </c>
      <c r="D23" s="56" t="s">
        <v>130</v>
      </c>
    </row>
    <row r="24" spans="1:17" ht="20.100000000000001" customHeight="1" x14ac:dyDescent="0.25">
      <c r="A24" s="16" t="str">
        <f>HYPERLINK("#'8.2.1.1-2 Stationary fuel'!A1", "8.2.1.1-2 Stationary fuel")</f>
        <v>8.2.1.1-2 Stationary fuel</v>
      </c>
      <c r="D24" s="57" t="s">
        <v>131</v>
      </c>
      <c r="E24" s="57" t="s">
        <v>132</v>
      </c>
      <c r="F24" s="57" t="s">
        <v>133</v>
      </c>
      <c r="G24" s="57" t="s">
        <v>714</v>
      </c>
      <c r="H24" s="57" t="s">
        <v>715</v>
      </c>
      <c r="I24" s="57" t="s">
        <v>716</v>
      </c>
      <c r="J24" s="57" t="s">
        <v>717</v>
      </c>
      <c r="K24" s="57" t="s">
        <v>718</v>
      </c>
      <c r="L24" s="46" t="s">
        <v>719</v>
      </c>
      <c r="M24" s="57" t="s">
        <v>720</v>
      </c>
      <c r="N24" s="57" t="s">
        <v>721</v>
      </c>
      <c r="O24" s="57" t="s">
        <v>722</v>
      </c>
      <c r="P24" s="57" t="s">
        <v>723</v>
      </c>
      <c r="Q24" s="57" t="s">
        <v>724</v>
      </c>
    </row>
    <row r="25" spans="1:17" ht="20.100000000000001" customHeight="1" x14ac:dyDescent="0.25">
      <c r="A25"/>
      <c r="D25" s="7" t="str">
        <f>Table_FuelTypesPerUse[[#Headers],[Cars and light commercial vehicles]]</f>
        <v>Cars and light commercial vehicles</v>
      </c>
      <c r="E25" s="58" t="str">
        <f>'Constants - Fuel'!$E$10</f>
        <v>Gasoline</v>
      </c>
      <c r="F25" s="58" t="str">
        <f>'Constants - Fuel'!G131</f>
        <v>Petrol</v>
      </c>
      <c r="G25" s="49" cm="1">
        <f t="array" ref="G25">IFERROR(_xlfn.XLOOKUP(1, (Table_Fuel_EFs_Transport[Fuel combusted]=$E25)*(Table_Fuel_EFs_Transport[Transport type]=$D$25), Table_Fuel_EFs_Transport[Energy Content Factor (GJ per unit of fuel)]), 0)</f>
        <v>34.200000000000003</v>
      </c>
      <c r="H25" s="49" cm="1">
        <f t="array" ref="H25">IFERROR(_xlfn.XLOOKUP(1, (Table_Fuel_EFs_Transport[Fuel combusted]=$E25)*(Table_Fuel_EFs_Transport[Transport type]=$D$25), Table_Fuel_EFs_Transport[Scope 1 Emission Factor (kg CO2 - e / GJ) CO2]), 0)</f>
        <v>67.400000000000006</v>
      </c>
      <c r="I25" s="49" cm="1">
        <f t="array" ref="I25">IFERROR(_xlfn.XLOOKUP(1, (Table_Fuel_EFs_Transport[Fuel combusted]=$E25)*(Table_Fuel_EFs_Transport[Transport type]=$D$25), Table_Fuel_EFs_Transport[Scope 1 Emission Factor (kg CO2 - e / GJ) CH4]), 0)</f>
        <v>0.02</v>
      </c>
      <c r="J25" s="49" cm="1">
        <f t="array" ref="J25">IFERROR(_xlfn.XLOOKUP(1, (Table_Fuel_EFs_Transport[Fuel combusted]=$E25)*(Table_Fuel_EFs_Transport[Transport type]=$D$25), Table_Fuel_EFs_Transport[Scope 1 Emission Factor (kg CO2 - e / GJ) N2O]), 0)</f>
        <v>0.2</v>
      </c>
      <c r="K25" s="49" cm="1">
        <f t="array" ref="K25">IFERROR(_xlfn.XLOOKUP(1, (Table_Fuel_EFs_Transport[Fuel combusted]=$E25)*(Table_Fuel_EFs_Transport[Transport type]=$D$25), Table_Fuel_EFs_Transport[Scope 3 Emission Factor (kg CO2 - e / GJ)]), 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182" cm="1">
        <f t="array" ref="N25">Fuel_Equations.VEERG_8_1_1_1__1_FuelCombustionTransport($L25,$G25,$H25)</f>
        <v>0</v>
      </c>
      <c r="O25" s="182" cm="1">
        <f t="array" ref="O25">Fuel_Equations.VEERG_8_1_1_1__1_FuelCombustionTransport($L25,$G25,$I25)</f>
        <v>0</v>
      </c>
      <c r="P25" s="182" cm="1">
        <f t="array" ref="P25">Fuel_Equations.VEERG_8_1_1_1__1_FuelCombustionTransport($L25,$G25,$J25)</f>
        <v>0</v>
      </c>
      <c r="Q25" s="182" cm="1">
        <f t="array" ref="Q25">Scope3_Equations.VEERG_15_11_1_1__2_UpstreamTransportFuelEmissions(L25,G25,K25)</f>
        <v>0</v>
      </c>
    </row>
    <row r="26" spans="1:17" ht="20.100000000000001" customHeight="1" x14ac:dyDescent="0.25">
      <c r="A26"/>
      <c r="D26" s="59" t="str">
        <f t="shared" ref="D26:D32" si="0">$D$25</f>
        <v>Cars and light commercial vehicles</v>
      </c>
      <c r="E26" s="58" t="str">
        <f>'Constants - Fuel'!$E$11</f>
        <v>Diesel oil</v>
      </c>
      <c r="F26" s="58" t="str">
        <f>'Constants - Fuel'!G132</f>
        <v>Diesel</v>
      </c>
      <c r="G26" s="49" cm="1">
        <f t="array" ref="G26">IFERROR(_xlfn.XLOOKUP(1, (Table_Fuel_EFs_Transport[Fuel combusted]=$E26)*(Table_Fuel_EFs_Transport[Transport type]=$D$25), Table_Fuel_EFs_Transport[Energy Content Factor (GJ per unit of fuel)]), 0)</f>
        <v>38.6</v>
      </c>
      <c r="H26" s="49" cm="1">
        <f t="array" ref="H26">IFERROR(_xlfn.XLOOKUP(1, (Table_Fuel_EFs_Transport[Fuel combusted]=$E26)*(Table_Fuel_EFs_Transport[Transport type]=$D$25), Table_Fuel_EFs_Transport[Scope 1 Emission Factor (kg CO2 - e / GJ) CO2]), 0)</f>
        <v>69.900000000000006</v>
      </c>
      <c r="I26" s="49" cm="1">
        <f t="array" ref="I26">IFERROR(_xlfn.XLOOKUP(1, (Table_Fuel_EFs_Transport[Fuel combusted]=$E26)*(Table_Fuel_EFs_Transport[Transport type]=$D$25), Table_Fuel_EFs_Transport[Scope 1 Emission Factor (kg CO2 - e / GJ) CH4]), 0)</f>
        <v>0.01</v>
      </c>
      <c r="J26" s="49" cm="1">
        <f t="array" ref="J26">IFERROR(_xlfn.XLOOKUP(1, (Table_Fuel_EFs_Transport[Fuel combusted]=$E26)*(Table_Fuel_EFs_Transport[Transport type]=$D$25), Table_Fuel_EFs_Transport[Scope 1 Emission Factor (kg CO2 - e / GJ) N2O]), 0)</f>
        <v>0.5</v>
      </c>
      <c r="K26" s="49" cm="1">
        <f t="array" ref="K26">IFERROR(_xlfn.XLOOKUP(1, (Table_Fuel_EFs_Transport[Fuel combusted]=$E26)*(Table_Fuel_EFs_Transport[Transport type]=$D$25), Table_Fuel_EFs_Transport[Scope 3 Emission Factor (kg CO2 - e / GJ)]), 0)</f>
        <v>17.3</v>
      </c>
      <c r="L26" s="181" cm="1">
        <f t="array" ref="L26">Fuel_InputFunctions.Fuel_TotalConsumption(Table_Input_Fuel[Amount consumed], Table_Input_Fuel[Fuel use (select)], D26, Table_Input_Fuel[Fuel type (select)],F26)</f>
        <v>0.1</v>
      </c>
      <c r="M26" s="181" t="str" cm="1">
        <f t="array" ref="M26">Common_InputFunctions.Utility_LookupValueInTable(F26,Table_FuelTypes_Units[Fuel type],Table_FuelTypes_Units[Unit])</f>
        <v>kL</v>
      </c>
      <c r="N26" s="182" cm="1">
        <f t="array" ref="N26">Fuel_Equations.VEERG_8_1_1_1__1_FuelCombustionTransport($L26,$G26,$H26)</f>
        <v>0.26981400000000005</v>
      </c>
      <c r="O26" s="182" cm="1">
        <f t="array" ref="O26">Fuel_Equations.VEERG_8_1_1_1__1_FuelCombustionTransport($L26,$G26,$I26)</f>
        <v>3.8600000000000003E-5</v>
      </c>
      <c r="P26" s="182" cm="1">
        <f t="array" ref="P26">Fuel_Equations.VEERG_8_1_1_1__1_FuelCombustionTransport($L26,$G26,$J26)</f>
        <v>1.9300000000000003E-3</v>
      </c>
      <c r="Q26" s="182" cm="1">
        <f t="array" ref="Q26">Scope3_Equations.VEERG_15_11_1_1__2_UpstreamTransportFuelEmissions(L26,G26,K26)</f>
        <v>6.6778000000000004E-2</v>
      </c>
    </row>
    <row r="27" spans="1:17" ht="20.100000000000001" customHeight="1" x14ac:dyDescent="0.25">
      <c r="A27" s="222" t="s">
        <v>78</v>
      </c>
      <c r="D27" s="59" t="str">
        <f t="shared" si="0"/>
        <v>Cars and light commercial vehicles</v>
      </c>
      <c r="E27" s="58" t="str">
        <f>'Constants - Fuel'!$E$12</f>
        <v>Liquefied petroleum gas (LPG)</v>
      </c>
      <c r="F27" s="58" t="str">
        <f>'Constants - Fuel'!G133</f>
        <v>Liquefied petroleum gas (LPG)</v>
      </c>
      <c r="G27" s="49" cm="1">
        <f t="array" ref="G27">IFERROR(_xlfn.XLOOKUP(1, (Table_Fuel_EFs_Transport[Fuel combusted]=$E27)*(Table_Fuel_EFs_Transport[Transport type]=$D$25), Table_Fuel_EFs_Transport[Energy Content Factor (GJ per unit of fuel)]), 0)</f>
        <v>26.2</v>
      </c>
      <c r="H27" s="49" cm="1">
        <f t="array" ref="H27">IFERROR(_xlfn.XLOOKUP(1, (Table_Fuel_EFs_Transport[Fuel combusted]=$E27)*(Table_Fuel_EFs_Transport[Transport type]=$D$25), Table_Fuel_EFs_Transport[Scope 1 Emission Factor (kg CO2 - e / GJ) CO2]), 0)</f>
        <v>60.2</v>
      </c>
      <c r="I27" s="49" cm="1">
        <f t="array" ref="I27">IFERROR(_xlfn.XLOOKUP(1, (Table_Fuel_EFs_Transport[Fuel combusted]=$E27)*(Table_Fuel_EFs_Transport[Transport type]=$D$25), Table_Fuel_EFs_Transport[Scope 1 Emission Factor (kg CO2 - e / GJ) CH4]), 0)</f>
        <v>0.5</v>
      </c>
      <c r="J27" s="49" cm="1">
        <f t="array" ref="J27">IFERROR(_xlfn.XLOOKUP(1, (Table_Fuel_EFs_Transport[Fuel combusted]=$E27)*(Table_Fuel_EFs_Transport[Transport type]=$D$25), Table_Fuel_EFs_Transport[Scope 1 Emission Factor (kg CO2 - e / GJ) N2O]), 0)</f>
        <v>0.3</v>
      </c>
      <c r="K27" s="49" cm="1">
        <f t="array" ref="K27">IFERROR(_xlfn.XLOOKUP(1, (Table_Fuel_EFs_Transport[Fuel combusted]=$E27)*(Table_Fuel_EFs_Transport[Transport type]=$D$25), Table_Fuel_EFs_Transport[Scope 3 Emission Factor (kg CO2 - e / GJ)]), 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182" cm="1">
        <f t="array" ref="N27">Fuel_Equations.VEERG_8_1_1_1__1_FuelCombustionTransport($L27,$G27,$H27)</f>
        <v>0</v>
      </c>
      <c r="O27" s="182" cm="1">
        <f t="array" ref="O27">Fuel_Equations.VEERG_8_1_1_1__1_FuelCombustionTransport($L27,$G27,$I27)</f>
        <v>0</v>
      </c>
      <c r="P27" s="182" cm="1">
        <f t="array" ref="P27">Fuel_Equations.VEERG_8_1_1_1__1_FuelCombustionTransport($L27,$G27,$J27)</f>
        <v>0</v>
      </c>
      <c r="Q27" s="182" cm="1">
        <f t="array" ref="Q27">Scope3_Equations.VEERG_15_11_1_1__2_UpstreamTransportFuelEmissions(L27,G27,K27)</f>
        <v>0</v>
      </c>
    </row>
    <row r="28" spans="1:17" ht="20.100000000000001" customHeight="1" x14ac:dyDescent="0.25">
      <c r="A28" s="16" t="str">
        <f>HYPERLINK("#'Constants - Scope 3'!A1", "Constants - Scope 3")</f>
        <v>Constants - Scope 3</v>
      </c>
      <c r="D28" s="59" t="str">
        <f t="shared" si="0"/>
        <v>Cars and light commercial vehicles</v>
      </c>
      <c r="E28" s="58" t="str">
        <f>'Constants - Fuel'!$E$13</f>
        <v>Fuel oil</v>
      </c>
      <c r="F28" s="58" t="str">
        <f>'Constants - Fuel'!G134</f>
        <v>Fuel oil</v>
      </c>
      <c r="G28" s="49" cm="1">
        <f t="array" ref="G28">IFERROR(_xlfn.XLOOKUP(1, (Table_Fuel_EFs_Transport[Fuel combusted]=$E28)*(Table_Fuel_EFs_Transport[Transport type]=$D$25), Table_Fuel_EFs_Transport[Energy Content Factor (GJ per unit of fuel)]), 0)</f>
        <v>39.700000000000003</v>
      </c>
      <c r="H28" s="49" cm="1">
        <f t="array" ref="H28">IFERROR(_xlfn.XLOOKUP(1, (Table_Fuel_EFs_Transport[Fuel combusted]=$E28)*(Table_Fuel_EFs_Transport[Transport type]=$D$25), Table_Fuel_EFs_Transport[Scope 1 Emission Factor (kg CO2 - e / GJ) CO2]), 0)</f>
        <v>73.599999999999994</v>
      </c>
      <c r="I28" s="49" cm="1">
        <f t="array" ref="I28">IFERROR(_xlfn.XLOOKUP(1, (Table_Fuel_EFs_Transport[Fuel combusted]=$E28)*(Table_Fuel_EFs_Transport[Transport type]=$D$25), Table_Fuel_EFs_Transport[Scope 1 Emission Factor (kg CO2 - e / GJ) CH4]), 0)</f>
        <v>0.08</v>
      </c>
      <c r="J28" s="49" cm="1">
        <f t="array" ref="J28">IFERROR(_xlfn.XLOOKUP(1, (Table_Fuel_EFs_Transport[Fuel combusted]=$E28)*(Table_Fuel_EFs_Transport[Transport type]=$D$25), Table_Fuel_EFs_Transport[Scope 1 Emission Factor (kg CO2 - e / GJ) N2O]), 0)</f>
        <v>0.5</v>
      </c>
      <c r="K28" s="49" cm="1">
        <f t="array" ref="K28">IFERROR(_xlfn.XLOOKUP(1, (Table_Fuel_EFs_Transport[Fuel combusted]=$E28)*(Table_Fuel_EFs_Transport[Transport type]=$D$25), Table_Fuel_EFs_Transport[Scope 3 Emission Factor (kg CO2 - e / GJ)]), 0)</f>
        <v>18</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182" cm="1">
        <f t="array" ref="N28">Fuel_Equations.VEERG_8_1_1_1__1_FuelCombustionTransport($L28,$G28,$H28)</f>
        <v>0</v>
      </c>
      <c r="O28" s="182" cm="1">
        <f t="array" ref="O28">Fuel_Equations.VEERG_8_1_1_1__1_FuelCombustionTransport($L28,$G28,$I28)</f>
        <v>0</v>
      </c>
      <c r="P28" s="182" cm="1">
        <f t="array" ref="P28">Fuel_Equations.VEERG_8_1_1_1__1_FuelCombustionTransport($L28,$G28,$J28)</f>
        <v>0</v>
      </c>
      <c r="Q28" s="182" cm="1">
        <f t="array" ref="Q28">Scope3_Equations.VEERG_15_11_1_1__2_UpstreamTransportFuelEmissions(L28,G28,K28)</f>
        <v>0</v>
      </c>
    </row>
    <row r="29" spans="1:17" ht="20.100000000000001" customHeight="1" x14ac:dyDescent="0.25">
      <c r="A29" s="16" t="str">
        <f>HYPERLINK("#'Constants - Solid Waste'!A1", "Constants - Solid Waste")</f>
        <v>Constants - Solid Waste</v>
      </c>
      <c r="D29" s="59" t="str">
        <f t="shared" si="0"/>
        <v>Cars and light commercial vehicles</v>
      </c>
      <c r="E29" s="58" t="str">
        <f>'Constants - Fuel'!$E$14</f>
        <v>Ethanol</v>
      </c>
      <c r="F29" s="58" t="str">
        <f>'Constants - Fuel'!G135</f>
        <v>Ethanol</v>
      </c>
      <c r="G29" s="49" cm="1">
        <f t="array" ref="G29">IFERROR(_xlfn.XLOOKUP(1, (Table_Fuel_EFs_Transport[Fuel combusted]=$E29)*(Table_Fuel_EFs_Transport[Transport type]=$D$25), Table_Fuel_EFs_Transport[Energy Content Factor (GJ per unit of fuel)]), 0)</f>
        <v>23.4</v>
      </c>
      <c r="H29" s="49" cm="1">
        <f t="array" ref="H29">IFERROR(_xlfn.XLOOKUP(1, (Table_Fuel_EFs_Transport[Fuel combusted]=$E29)*(Table_Fuel_EFs_Transport[Transport type]=$D$25), Table_Fuel_EFs_Transport[Scope 1 Emission Factor (kg CO2 - e / GJ) CO2]), 0)</f>
        <v>0</v>
      </c>
      <c r="I29" s="49" cm="1">
        <f t="array" ref="I29">IFERROR(_xlfn.XLOOKUP(1, (Table_Fuel_EFs_Transport[Fuel combusted]=$E29)*(Table_Fuel_EFs_Transport[Transport type]=$D$25), Table_Fuel_EFs_Transport[Scope 1 Emission Factor (kg CO2 - e / GJ) CH4]), 0)</f>
        <v>0.2</v>
      </c>
      <c r="J29" s="49" cm="1">
        <f t="array" ref="J29">IFERROR(_xlfn.XLOOKUP(1, (Table_Fuel_EFs_Transport[Fuel combusted]=$E29)*(Table_Fuel_EFs_Transport[Transport type]=$D$25), Table_Fuel_EFs_Transport[Scope 1 Emission Factor (kg CO2 - e / GJ) N2O]), 0)</f>
        <v>0.2</v>
      </c>
      <c r="K29" s="49" t="str" cm="1">
        <f t="array" ref="K29">IFERROR(_xlfn.XLOOKUP(1, (Table_Fuel_EFs_Transport[Fuel combusted]=$E29)*(Table_Fuel_EFs_Transport[Transport type]=$D$25), Table_Fuel_EFs_Transport[Scope 3 Emission Factor (kg CO2 - e / GJ)]), 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182" cm="1">
        <f t="array" ref="N29">Fuel_Equations.VEERG_8_1_1_1__1_FuelCombustionTransport($L29,$G29,$H29)</f>
        <v>0</v>
      </c>
      <c r="O29" s="182" cm="1">
        <f t="array" ref="O29">Fuel_Equations.VEERG_8_1_1_1__1_FuelCombustionTransport($L29,$G29,$I29)</f>
        <v>0</v>
      </c>
      <c r="P29" s="182" cm="1">
        <f t="array" ref="P29">Fuel_Equations.VEERG_8_1_1_1__1_FuelCombustionTransport($L29,$G29,$J29)</f>
        <v>0</v>
      </c>
      <c r="Q29" s="182" cm="1">
        <f t="array" ref="Q29">Scope3_Equations.VEERG_15_11_1_1__2_UpstreamTransportFuelEmissions(L29,G29,IF(ISNUMBER(K29),K29,0))</f>
        <v>0</v>
      </c>
    </row>
    <row r="30" spans="1:17" ht="20.100000000000001" customHeight="1" x14ac:dyDescent="0.25">
      <c r="A30" s="16" t="str">
        <f>HYPERLINK("#'Constants - Fuel'!A1", "Constants - Fuel")</f>
        <v>Constants - Fuel</v>
      </c>
      <c r="D30" s="59" t="str">
        <f t="shared" si="0"/>
        <v>Cars and light commercial vehicles</v>
      </c>
      <c r="E30" s="58" t="str">
        <f>'Constants - Fuel'!$E$15</f>
        <v>Biodiesel</v>
      </c>
      <c r="F30" s="58" t="str">
        <f>'Constants - Fuel'!G136</f>
        <v>Biodiesel</v>
      </c>
      <c r="G30" s="49" cm="1">
        <f t="array" ref="G30">IFERROR(_xlfn.XLOOKUP(1, (Table_Fuel_EFs_Transport[Fuel combusted]=$E30)*(Table_Fuel_EFs_Transport[Transport type]=$D$25), Table_Fuel_EFs_Transport[Energy Content Factor (GJ per unit of fuel)]), 0)</f>
        <v>34.6</v>
      </c>
      <c r="H30" s="49" cm="1">
        <f t="array" ref="H30">IFERROR(_xlfn.XLOOKUP(1, (Table_Fuel_EFs_Transport[Fuel combusted]=$E30)*(Table_Fuel_EFs_Transport[Transport type]=$D$25), Table_Fuel_EFs_Transport[Scope 1 Emission Factor (kg CO2 - e / GJ) CO2]), 0)</f>
        <v>0</v>
      </c>
      <c r="I30" s="49" cm="1">
        <f t="array" ref="I30">IFERROR(_xlfn.XLOOKUP(1, (Table_Fuel_EFs_Transport[Fuel combusted]=$E30)*(Table_Fuel_EFs_Transport[Transport type]=$D$25), Table_Fuel_EFs_Transport[Scope 1 Emission Factor (kg CO2 - e / GJ) CH4]), 0)</f>
        <v>0.8</v>
      </c>
      <c r="J30" s="49" cm="1">
        <f t="array" ref="J30">IFERROR(_xlfn.XLOOKUP(1, (Table_Fuel_EFs_Transport[Fuel combusted]=$E30)*(Table_Fuel_EFs_Transport[Transport type]=$D$25), Table_Fuel_EFs_Transport[Scope 1 Emission Factor (kg CO2 - e / GJ) N2O]), 0)</f>
        <v>1.7</v>
      </c>
      <c r="K30" s="49" t="str" cm="1">
        <f t="array" ref="K30">IFERROR(_xlfn.XLOOKUP(1, (Table_Fuel_EFs_Transport[Fuel combusted]=$E30)*(Table_Fuel_EFs_Transport[Transport type]=$D$25), Table_Fuel_EFs_Transport[Scope 3 Emission Factor (kg CO2 - e / GJ)]), 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182" cm="1">
        <f t="array" ref="N30">Fuel_Equations.VEERG_8_1_1_1__1_FuelCombustionTransport($L30,$G30,$H30)</f>
        <v>0</v>
      </c>
      <c r="O30" s="182" cm="1">
        <f t="array" ref="O30">Fuel_Equations.VEERG_8_1_1_1__1_FuelCombustionTransport($L30,$G30,$I30)</f>
        <v>0</v>
      </c>
      <c r="P30" s="182" cm="1">
        <f t="array" ref="P30">Fuel_Equations.VEERG_8_1_1_1__1_FuelCombustionTransport($L30,$G30,$J30)</f>
        <v>0</v>
      </c>
      <c r="Q30" s="182" cm="1">
        <f t="array" ref="Q30">Scope3_Equations.VEERG_15_11_1_1__2_UpstreamTransportFuelEmissions(L30,G30,IF(ISNUMBER(K30),K30,0))</f>
        <v>0</v>
      </c>
    </row>
    <row r="31" spans="1:17" ht="20.100000000000001" customHeight="1" x14ac:dyDescent="0.25">
      <c r="A31" s="16" t="str">
        <f>HYPERLINK("#'Constants - Poultry'!A1", "Constants - Poultry")</f>
        <v>Constants - Poultry</v>
      </c>
      <c r="D31" s="59" t="str">
        <f t="shared" si="0"/>
        <v>Cars and light commercial vehicles</v>
      </c>
      <c r="E31" s="58" t="str">
        <f>'Constants - Fuel'!$E$16</f>
        <v>Renewable diesel</v>
      </c>
      <c r="F31" s="58" t="str">
        <f>'Constants - Fuel'!G137</f>
        <v>Renewable diesel</v>
      </c>
      <c r="G31" s="49" cm="1">
        <f t="array" ref="G31">IFERROR(_xlfn.XLOOKUP(1, (Table_Fuel_EFs_Transport[Fuel combusted]=$E31)*(Table_Fuel_EFs_Transport[Transport type]=$D$25), Table_Fuel_EFs_Transport[Energy Content Factor (GJ per unit of fuel)]), 0)</f>
        <v>38.6</v>
      </c>
      <c r="H31" s="49" cm="1">
        <f t="array" ref="H31">IFERROR(_xlfn.XLOOKUP(1, (Table_Fuel_EFs_Transport[Fuel combusted]=$E31)*(Table_Fuel_EFs_Transport[Transport type]=$D$25), Table_Fuel_EFs_Transport[Scope 1 Emission Factor (kg CO2 - e / GJ) CO2]), 0)</f>
        <v>0</v>
      </c>
      <c r="I31" s="49" cm="1">
        <f t="array" ref="I31">IFERROR(_xlfn.XLOOKUP(1, (Table_Fuel_EFs_Transport[Fuel combusted]=$E31)*(Table_Fuel_EFs_Transport[Transport type]=$D$25), Table_Fuel_EFs_Transport[Scope 1 Emission Factor (kg CO2 - e / GJ) CH4]), 0)</f>
        <v>0.01</v>
      </c>
      <c r="J31" s="49" cm="1">
        <f t="array" ref="J31">IFERROR(_xlfn.XLOOKUP(1, (Table_Fuel_EFs_Transport[Fuel combusted]=$E31)*(Table_Fuel_EFs_Transport[Transport type]=$D$25), Table_Fuel_EFs_Transport[Scope 1 Emission Factor (kg CO2 - e / GJ) N2O]), 0)</f>
        <v>0.5</v>
      </c>
      <c r="K31" s="49" t="str" cm="1">
        <f t="array" ref="K31">IFERROR(_xlfn.XLOOKUP(1, (Table_Fuel_EFs_Transport[Fuel combusted]=$E31)*(Table_Fuel_EFs_Transport[Transport type]=$D$25), Table_Fuel_EFs_Transport[Scope 3 Emission Factor (kg CO2 - e / GJ)]), 0)</f>
        <v>NE</v>
      </c>
      <c r="L31" s="181" cm="1">
        <f t="array" ref="L31">Fuel_InputFunctions.Fuel_TotalConsumption(Table_Input_Fuel[Amount consumed], Table_Input_Fuel[Fuel use (select)], D31, Table_Input_Fuel[Fuel type (select)],F31)</f>
        <v>0</v>
      </c>
      <c r="M31" s="181" t="str" cm="1">
        <f t="array" ref="M31">Common_InputFunctions.Utility_LookupValueInTable(F31,Table_FuelTypes_Units[Fuel type],Table_FuelTypes_Units[Unit])</f>
        <v>kL</v>
      </c>
      <c r="N31" s="182" cm="1">
        <f t="array" ref="N31">Fuel_Equations.VEERG_8_1_1_1__1_FuelCombustionTransport($L31,$G31,$H31)</f>
        <v>0</v>
      </c>
      <c r="O31" s="182" cm="1">
        <f t="array" ref="O31">Fuel_Equations.VEERG_8_1_1_1__1_FuelCombustionTransport($L31,$G31,$I31)</f>
        <v>0</v>
      </c>
      <c r="P31" s="182" cm="1">
        <f t="array" ref="P31">Fuel_Equations.VEERG_8_1_1_1__1_FuelCombustionTransport($L31,$G31,$J31)</f>
        <v>0</v>
      </c>
      <c r="Q31" s="182" cm="1">
        <f t="array" ref="Q31">Scope3_Equations.VEERG_15_11_1_1__2_UpstreamTransportFuelEmissions(L31,G31,IF(ISNUMBER(K31),K31,0))</f>
        <v>0</v>
      </c>
    </row>
    <row r="32" spans="1:17" ht="20.100000000000001" customHeight="1" x14ac:dyDescent="0.25">
      <c r="A32" s="16" t="str">
        <f>HYPERLINK("#'Constants - Swine'!A1", "Constants - Swine")</f>
        <v>Constants - Swine</v>
      </c>
      <c r="D32" s="59" t="str">
        <f t="shared" si="0"/>
        <v>Cars and light commercial vehicles</v>
      </c>
      <c r="E32" s="58" t="str">
        <f>'Constants - Fuel'!$E$17</f>
        <v>Other biofuels</v>
      </c>
      <c r="F32" s="58" t="str">
        <f>'Constants - Fuel'!G138</f>
        <v>Other biofuels</v>
      </c>
      <c r="G32" s="49" cm="1">
        <f t="array" ref="G32">IFERROR(_xlfn.XLOOKUP(1, (Table_Fuel_EFs_Transport[Fuel combusted]=$E32)*(Table_Fuel_EFs_Transport[Transport type]=$D$25), Table_Fuel_EFs_Transport[Energy Content Factor (GJ per unit of fuel)]), 0)</f>
        <v>23.4</v>
      </c>
      <c r="H32" s="49" cm="1">
        <f t="array" ref="H32">IFERROR(_xlfn.XLOOKUP(1, (Table_Fuel_EFs_Transport[Fuel combusted]=$E32)*(Table_Fuel_EFs_Transport[Transport type]=$D$25), Table_Fuel_EFs_Transport[Scope 1 Emission Factor (kg CO2 - e / GJ) CO2]), 0)</f>
        <v>0</v>
      </c>
      <c r="I32" s="49" cm="1">
        <f t="array" ref="I32">IFERROR(_xlfn.XLOOKUP(1, (Table_Fuel_EFs_Transport[Fuel combusted]=$E32)*(Table_Fuel_EFs_Transport[Transport type]=$D$25), Table_Fuel_EFs_Transport[Scope 1 Emission Factor (kg CO2 - e / GJ) CH4]), 0)</f>
        <v>0.8</v>
      </c>
      <c r="J32" s="49" cm="1">
        <f t="array" ref="J32">IFERROR(_xlfn.XLOOKUP(1, (Table_Fuel_EFs_Transport[Fuel combusted]=$E32)*(Table_Fuel_EFs_Transport[Transport type]=$D$25), Table_Fuel_EFs_Transport[Scope 1 Emission Factor (kg CO2 - e / GJ) N2O]), 0)</f>
        <v>1.7</v>
      </c>
      <c r="K32" s="161" t="str" cm="1">
        <f t="array" ref="K32">IFERROR(_xlfn.XLOOKUP(1, (Table_Fuel_EFs_Transport[Fuel combusted]=$E32)*(Table_Fuel_EFs_Transport[Transport type]=$D$25), Table_Fuel_EFs_Transport[Scope 3 Emission Factor (kg CO2 - e / GJ)]), 0)</f>
        <v>NE</v>
      </c>
      <c r="L32" s="183" cm="1">
        <f t="array" ref="L32">Fuel_InputFunctions.Fuel_TotalConsumption(Table_Input_Fuel[Amount consumed], Table_Input_Fuel[Fuel use (select)], D32, Table_Input_Fuel[Fuel type (select)],F32)</f>
        <v>0</v>
      </c>
      <c r="M32" s="181" t="str" cm="1">
        <f t="array" ref="M32">Common_InputFunctions.Utility_LookupValueInTable(F32,Table_FuelTypes_Units[Fuel type],Table_FuelTypes_Units[Unit])</f>
        <v>kL</v>
      </c>
      <c r="N32" s="184" cm="1">
        <f t="array" ref="N32">Fuel_Equations.VEERG_8_1_1_1__1_FuelCombustionTransport($L32,$G32,$H32)</f>
        <v>0</v>
      </c>
      <c r="O32" s="184" cm="1">
        <f t="array" ref="O32">Fuel_Equations.VEERG_8_1_1_1__1_FuelCombustionTransport($L32,$G32,$I32)</f>
        <v>0</v>
      </c>
      <c r="P32" s="184" cm="1">
        <f t="array" ref="P32">Fuel_Equations.VEERG_8_1_1_1__1_FuelCombustionTransport($L32,$G32,$J32)</f>
        <v>0</v>
      </c>
      <c r="Q32" s="182" cm="1">
        <f t="array" ref="Q32">Scope3_Equations.VEERG_15_11_1_1__2_UpstreamTransportFuelEmissions(L32,G32,IF(ISNUMBER(K32),K32,0))</f>
        <v>0</v>
      </c>
    </row>
    <row r="33" spans="1:17" ht="20.100000000000001" customHeight="1" x14ac:dyDescent="0.25">
      <c r="A33" s="16" t="str">
        <f>HYPERLINK("#'Constants - Dairy'!A1", "Constants - Dairy")</f>
        <v>Constants - Dairy</v>
      </c>
      <c r="D33" s="60" t="str">
        <f>Table_FuelTypesPerUse[[#Headers],[Off-road Agriculture and forestry equipment]]</f>
        <v>Off-road Agriculture and forestry equipment</v>
      </c>
      <c r="E33" s="61" t="str">
        <f>'Constants - Fuel'!$E$11</f>
        <v>Diesel oil</v>
      </c>
      <c r="F33" s="61" t="str">
        <f>'Constants - Fuel'!H131</f>
        <v>Diesel</v>
      </c>
      <c r="G33" s="185" cm="1">
        <f t="array" ref="G33">IFERROR(_xlfn.XLOOKUP(1, (Table_Fuel_EFs_Transport[Fuel combusted]=$E33)*(Table_Fuel_EFs_Transport[Transport type]=$D$33), Table_Fuel_EFs_Transport[Energy Content Factor (GJ per unit of fuel)]), 0)</f>
        <v>38.6</v>
      </c>
      <c r="H33" s="185" cm="1">
        <f t="array" ref="H33">IFERROR(_xlfn.XLOOKUP(1, (Table_Fuel_EFs_Transport[Fuel combusted]=$E33)*(Table_Fuel_EFs_Transport[Transport type]=$D$33), Table_Fuel_EFs_Transport[Scope 1 Emission Factor (kg CO2 - e / GJ) CO2]), 0)</f>
        <v>69.900000000000006</v>
      </c>
      <c r="I33" s="185" cm="1">
        <f t="array" ref="I33">IFERROR(_xlfn.XLOOKUP(1, (Table_Fuel_EFs_Transport[Fuel combusted]=$E33)*(Table_Fuel_EFs_Transport[Transport type]=$D$33), Table_Fuel_EFs_Transport[Scope 1 Emission Factor (kg CO2 - e / GJ) CH4]), 0)</f>
        <v>0.3</v>
      </c>
      <c r="J33" s="185" cm="1">
        <f t="array" ref="J33">IFERROR(_xlfn.XLOOKUP(1, (Table_Fuel_EFs_Transport[Fuel combusted]=$E33)*(Table_Fuel_EFs_Transport[Transport type]=$D$33), Table_Fuel_EFs_Transport[Scope 1 Emission Factor (kg CO2 - e / GJ) N2O]), 0)</f>
        <v>0.5</v>
      </c>
      <c r="K33" s="186" cm="1">
        <f t="array" ref="K33">IFERROR(_xlfn.XLOOKUP(1, (Table_Fuel_EFs_Transport[Fuel combusted]=$E33)*(Table_Fuel_EFs_Transport[Transport type]=$D$25), Table_Fuel_EFs_Transport[Scope 3 Emission Factor (kg CO2 - e / GJ)]), 0)</f>
        <v>17.3</v>
      </c>
      <c r="L33" s="187" cm="1">
        <f t="array" ref="L33">Fuel_InputFunctions.Fuel_TotalConsumption(Table_Input_Fuel[Amount consumed], Table_Input_Fuel[Fuel use (select)], D33, Table_Input_Fuel[Fuel type (select)],F33)</f>
        <v>0</v>
      </c>
      <c r="M33" s="188" t="str" cm="1">
        <f t="array" ref="M33">Common_InputFunctions.Utility_LookupValueInTable(F33,Table_FuelTypes_Units[Fuel type],Table_FuelTypes_Units[Unit])</f>
        <v>kL</v>
      </c>
      <c r="N33" s="189" cm="1">
        <f t="array" ref="N33">Fuel_Equations.VEERG_8_1_1_1__1_FuelCombustionTransport($L33,$G33,$H33)</f>
        <v>0</v>
      </c>
      <c r="O33" s="189" cm="1">
        <f t="array" ref="O33">Fuel_Equations.VEERG_8_1_1_1__1_FuelCombustionTransport($L33,$G33,$I33)</f>
        <v>0</v>
      </c>
      <c r="P33" s="189" cm="1">
        <f t="array" ref="P33">Fuel_Equations.VEERG_8_1_1_1__1_FuelCombustionTransport($L33,$G33,$J33)</f>
        <v>0</v>
      </c>
      <c r="Q33" s="190" cm="1">
        <f t="array" ref="Q33">Scope3_Equations.VEERG_15_11_1_1__2_UpstreamTransportFuelEmissions(L33,G33,K33)</f>
        <v>0</v>
      </c>
    </row>
    <row r="34" spans="1:17" ht="20.100000000000001" customHeight="1" x14ac:dyDescent="0.25">
      <c r="A34" s="16" t="str">
        <f>HYPERLINK("#'Constants - Pasture Beef'!A1", "Constants - Pasture Beef")</f>
        <v>Constants - Pasture Beef</v>
      </c>
      <c r="D34" s="60" t="str">
        <f>Table_FuelTypesPerUse[[#Headers],[Aviation]]</f>
        <v>Aviation</v>
      </c>
      <c r="E34" s="61" t="str">
        <f>'Constants - Fuel'!$E$28</f>
        <v>Gasoline for use as fuel in an aircraft</v>
      </c>
      <c r="F34" s="61" t="str">
        <f>'Constants - Fuel'!$F$131</f>
        <v>Avgas</v>
      </c>
      <c r="G34" s="191" cm="1">
        <f t="array" ref="G34">IFERROR(_xlfn.XLOOKUP(1, (Table_Fuel_EFs_Transport[Fuel combusted]=$E34)*(Table_Fuel_EFs_Transport[Transport type]=$D$34), Table_Fuel_EFs_Transport[Energy Content Factor (GJ per unit of fuel)]), 0)</f>
        <v>33.1</v>
      </c>
      <c r="H34" s="191" cm="1">
        <f t="array" ref="H34">IFERROR(_xlfn.XLOOKUP(1, (Table_Fuel_EFs_Transport[Fuel combusted]=$E34)*(Table_Fuel_EFs_Transport[Transport type]=$D$34), Table_Fuel_EFs_Transport[Scope 1 Emission Factor (kg CO2 - e / GJ) CO2]), 0)</f>
        <v>67</v>
      </c>
      <c r="I34" s="191" cm="1">
        <f t="array" ref="I34">IFERROR(_xlfn.XLOOKUP(1, (Table_Fuel_EFs_Transport[Fuel combusted]=$E34)*(Table_Fuel_EFs_Transport[Transport type]=$D$34), Table_Fuel_EFs_Transport[Scope 1 Emission Factor (kg CO2 - e / GJ) CH4]), 0)</f>
        <v>0.06</v>
      </c>
      <c r="J34" s="191" cm="1">
        <f t="array" ref="J34">IFERROR(_xlfn.XLOOKUP(1, (Table_Fuel_EFs_Transport[Fuel combusted]=$E34)*(Table_Fuel_EFs_Transport[Transport type]=$D$34), Table_Fuel_EFs_Transport[Scope 1 Emission Factor (kg CO2 - e / GJ) N2O]), 0)</f>
        <v>0.6</v>
      </c>
      <c r="K34" s="191" cm="1">
        <f t="array" ref="K34">IFERROR(_xlfn.XLOOKUP(1, (Table_Fuel_EFs_Transport[Fuel combusted]=$E34)*(Table_Fuel_EFs_Transport[Transport type]=$D$25), Table_Fuel_EFs_Transport[Scope 3 Emission Factor (kg CO2 - e / GJ)]), 0)</f>
        <v>0</v>
      </c>
      <c r="L34" s="188" cm="1">
        <f t="array" ref="L34">Fuel_InputFunctions.Fuel_TotalConsumption(Table_Input_Fuel[Amount consumed], Table_Input_Fuel[Fuel use (select)], D34, Table_Input_Fuel[Fuel type (select)],F34)</f>
        <v>0.1</v>
      </c>
      <c r="M34" s="188" t="str" cm="1">
        <f t="array" ref="M34">Common_InputFunctions.Utility_LookupValueInTable(F34,Table_FuelTypes_Units[Fuel type],Table_FuelTypes_Units[Unit])</f>
        <v>kL</v>
      </c>
      <c r="N34" s="189" cm="1">
        <f t="array" ref="N34">Fuel_Equations.VEERG_8_1_1_1__1_FuelCombustionTransport($L34,$G34,$H34)</f>
        <v>0.22177000000000005</v>
      </c>
      <c r="O34" s="189" cm="1">
        <f t="array" ref="O34">Fuel_Equations.VEERG_8_1_1_1__1_FuelCombustionTransport($L34,$G34,$I34)</f>
        <v>1.9860000000000003E-4</v>
      </c>
      <c r="P34" s="189" cm="1">
        <f t="array" ref="P34">Fuel_Equations.VEERG_8_1_1_1__1_FuelCombustionTransport($L34,$G34,$J34)</f>
        <v>1.9860000000000004E-3</v>
      </c>
      <c r="Q34" s="189" cm="1">
        <f t="array" ref="Q34">Scope3_Equations.VEERG_15_11_1_1__2_UpstreamTransportFuelEmissions(L34,G34,K34)</f>
        <v>0</v>
      </c>
    </row>
    <row r="35" spans="1:17" ht="20.100000000000001" customHeight="1" x14ac:dyDescent="0.25">
      <c r="A35" s="16" t="str">
        <f>HYPERLINK("#'Constants - Common Livestock'!A1", "Constants - Common Livestock")</f>
        <v>Constants - Common Livestock</v>
      </c>
      <c r="D35" s="59" t="str">
        <f>$D$34</f>
        <v>Aviation</v>
      </c>
      <c r="E35" s="58" t="str">
        <f>'Constants - Fuel'!$E$29</f>
        <v>Kerosene for use as fuel in an aircraft</v>
      </c>
      <c r="F35" s="58" t="str">
        <f>'Constants - Fuel'!$F$132</f>
        <v>Jet A1, Jet B</v>
      </c>
      <c r="G35" s="49" cm="1">
        <f t="array" ref="G35">IFERROR(_xlfn.XLOOKUP(1, (Table_Fuel_EFs_Transport[Fuel combusted]=$E35)*(Table_Fuel_EFs_Transport[Transport type]=$D$34), Table_Fuel_EFs_Transport[Energy Content Factor (GJ per unit of fuel)]), 0)</f>
        <v>36.799999999999997</v>
      </c>
      <c r="H35" s="49" cm="1">
        <f t="array" ref="H35">IFERROR(_xlfn.XLOOKUP(1, (Table_Fuel_EFs_Transport[Fuel combusted]=$E35)*(Table_Fuel_EFs_Transport[Transport type]=$D$34), Table_Fuel_EFs_Transport[Scope 1 Emission Factor (kg CO2 - e / GJ) CO2]), 0)</f>
        <v>69.599999999999994</v>
      </c>
      <c r="I35" s="49" cm="1">
        <f t="array" ref="I35">IFERROR(_xlfn.XLOOKUP(1, (Table_Fuel_EFs_Transport[Fuel combusted]=$E35)*(Table_Fuel_EFs_Transport[Transport type]=$D$34), Table_Fuel_EFs_Transport[Scope 1 Emission Factor (kg CO2 - e / GJ) CH4]), 0)</f>
        <v>0.01</v>
      </c>
      <c r="J35" s="49" cm="1">
        <f t="array" ref="J35">IFERROR(_xlfn.XLOOKUP(1, (Table_Fuel_EFs_Transport[Fuel combusted]=$E35)*(Table_Fuel_EFs_Transport[Transport type]=$D$34), Table_Fuel_EFs_Transport[Scope 1 Emission Factor (kg CO2 - e / GJ) N2O]), 0)</f>
        <v>0.6</v>
      </c>
      <c r="K35" s="49" cm="1">
        <f t="array" ref="K35">IFERROR(_xlfn.XLOOKUP(1, (Table_Fuel_EFs_Transport[Fuel combusted]=$E35)*(Table_Fuel_EFs_Transport[Transport type]=$D$25), Table_Fuel_EFs_Transport[Scope 3 Emission Factor (kg CO2 - e / GJ)]), 0)</f>
        <v>0</v>
      </c>
      <c r="L35" s="181" cm="1">
        <f t="array" ref="L35">Fuel_InputFunctions.Fuel_TotalConsumption(Table_Input_Fuel[Amount consumed], Table_Input_Fuel[Fuel use (select)], D35, Table_Input_Fuel[Fuel type (select)],F35)</f>
        <v>0</v>
      </c>
      <c r="M35" s="181" t="str" cm="1">
        <f t="array" ref="M35">Common_InputFunctions.Utility_LookupValueInTable(F35,Table_FuelTypes_Units[Fuel type],Table_FuelTypes_Units[Unit])</f>
        <v>kL</v>
      </c>
      <c r="N35" s="182" cm="1">
        <f t="array" ref="N35">Fuel_Equations.VEERG_8_1_1_1__1_FuelCombustionTransport($L35,$G35,$H35)</f>
        <v>0</v>
      </c>
      <c r="O35" s="182" cm="1">
        <f t="array" ref="O35">Fuel_Equations.VEERG_8_1_1_1__1_FuelCombustionTransport($L35,$G35,$I35)</f>
        <v>0</v>
      </c>
      <c r="P35" s="182" cm="1">
        <f t="array" ref="P35">Fuel_Equations.VEERG_8_1_1_1__1_FuelCombustionTransport($L35,$G35,$J35)</f>
        <v>0</v>
      </c>
      <c r="Q35" s="182" cm="1">
        <f t="array" ref="Q35">Scope3_Equations.VEERG_15_11_1_1__2_UpstreamTransportFuelEmissions(L35,G35,K35)</f>
        <v>0</v>
      </c>
    </row>
    <row r="36" spans="1:17" ht="20.100000000000001" customHeight="1" x14ac:dyDescent="0.25">
      <c r="A36" s="16" t="str">
        <f>HYPERLINK("#'Constants - Fertiliser'!A1", "Constants - Fertiliser")</f>
        <v>Constants - Fertiliser</v>
      </c>
      <c r="D36" s="59" t="str">
        <f>$D$34</f>
        <v>Aviation</v>
      </c>
      <c r="E36" s="58" t="str">
        <f>'Constants - Fuel'!$E$30</f>
        <v>Renewable aviation kerosene</v>
      </c>
      <c r="F36" s="58" t="str">
        <f>'Constants - Fuel'!$F$133</f>
        <v>Renewable aviation kerosene</v>
      </c>
      <c r="G36" s="161" cm="1">
        <f t="array" ref="G36">IFERROR(_xlfn.XLOOKUP(1, (Table_Fuel_EFs_Transport[Fuel combusted]=$E36)*(Table_Fuel_EFs_Transport[Transport type]=$D$34), Table_Fuel_EFs_Transport[Energy Content Factor (GJ per unit of fuel)]), 0)</f>
        <v>36.799999999999997</v>
      </c>
      <c r="H36" s="161" cm="1">
        <f t="array" ref="H36">IFERROR(_xlfn.XLOOKUP(1, (Table_Fuel_EFs_Transport[Fuel combusted]=$E36)*(Table_Fuel_EFs_Transport[Transport type]=$D$34), Table_Fuel_EFs_Transport[Scope 1 Emission Factor (kg CO2 - e / GJ) CO2]), 0)</f>
        <v>0</v>
      </c>
      <c r="I36" s="161" cm="1">
        <f t="array" ref="I36">IFERROR(_xlfn.XLOOKUP(1, (Table_Fuel_EFs_Transport[Fuel combusted]=$E36)*(Table_Fuel_EFs_Transport[Transport type]=$D$34), Table_Fuel_EFs_Transport[Scope 1 Emission Factor (kg CO2 - e / GJ) CH4]), 0)</f>
        <v>0.01</v>
      </c>
      <c r="J36" s="161" cm="1">
        <f t="array" ref="J36">IFERROR(_xlfn.XLOOKUP(1, (Table_Fuel_EFs_Transport[Fuel combusted]=$E36)*(Table_Fuel_EFs_Transport[Transport type]=$D$34), Table_Fuel_EFs_Transport[Scope 1 Emission Factor (kg CO2 - e / GJ) N2O]), 0)</f>
        <v>0.6</v>
      </c>
      <c r="K36" s="161" cm="1">
        <f t="array" ref="K36">IFERROR(_xlfn.XLOOKUP(1, (Table_Fuel_EFs_Transport[Fuel combusted]=$E36)*(Table_Fuel_EFs_Transport[Transport type]=$D$25), Table_Fuel_EFs_Transport[Scope 3 Emission Factor (kg CO2 - e / GJ)]), 0)</f>
        <v>0</v>
      </c>
      <c r="L36" s="183" cm="1">
        <f t="array" ref="L36">Fuel_InputFunctions.Fuel_TotalConsumption(Table_Input_Fuel[Amount consumed], Table_Input_Fuel[Fuel use (select)], D36, Table_Input_Fuel[Fuel type (select)],F36)</f>
        <v>0</v>
      </c>
      <c r="M36" s="181" t="str" cm="1">
        <f t="array" ref="M36">Common_InputFunctions.Utility_LookupValueInTable(F36,Table_FuelTypes_Units[Fuel type],Table_FuelTypes_Units[Unit])</f>
        <v>kL</v>
      </c>
      <c r="N36" s="182" cm="1">
        <f t="array" ref="N36">Fuel_Equations.VEERG_8_1_1_1__1_FuelCombustionTransport($L36,$G36,$H36)</f>
        <v>0</v>
      </c>
      <c r="O36" s="182" cm="1">
        <f t="array" ref="O36">Fuel_Equations.VEERG_8_1_1_1__1_FuelCombustionTransport($L36,$G36,$I36)</f>
        <v>0</v>
      </c>
      <c r="P36" s="182" cm="1">
        <f t="array" ref="P36">Fuel_Equations.VEERG_8_1_1_1__1_FuelCombustionTransport($L36,$G36,$J36)</f>
        <v>0</v>
      </c>
      <c r="Q36" s="184" cm="1">
        <f t="array" ref="Q36">Scope3_Equations.VEERG_15_11_1_1__2_UpstreamTransportFuelEmissions(L36,G36,K36)</f>
        <v>0</v>
      </c>
    </row>
    <row r="37" spans="1:17" ht="20.100000000000001" customHeight="1" x14ac:dyDescent="0.25">
      <c r="A37" s="16" t="str">
        <f>HYPERLINK("#'Constants - Electricity'!A1", "Constants - Electricity")</f>
        <v>Constants - Electricity</v>
      </c>
      <c r="D37" s="60" t="str">
        <f>Table_FuelTypesPerUse[[#Headers],[Vessels]]</f>
        <v>Vessels</v>
      </c>
      <c r="E37" s="61" t="str">
        <f>'Constants - Fuel'!$E$10</f>
        <v>Gasoline</v>
      </c>
      <c r="F37" s="61" t="str">
        <f>'Constants - Fuel'!$I$131</f>
        <v>Petrol</v>
      </c>
      <c r="G37" s="191" cm="1">
        <f t="array" ref="G37">IFERROR(_xlfn.XLOOKUP(1, (Table_Fuel_EFs_Transport[Fuel combusted]=$E37)*(Table_Fuel_EFs_Transport[Transport type]=$D$37), Table_Fuel_EFs_Transport[Energy Content Factor (GJ per unit of fuel)]), 0)</f>
        <v>34.200000000000003</v>
      </c>
      <c r="H37" s="191" cm="1">
        <f t="array" ref="H37">IFERROR(_xlfn.XLOOKUP(1, (Table_Fuel_EFs_Transport[Fuel combusted]=$E37)*(Table_Fuel_EFs_Transport[Transport type]=$D$37), Table_Fuel_EFs_Transport[Scope 1 Emission Factor (kg CO2 - e / GJ) CO2]), 0)</f>
        <v>67.400000000000006</v>
      </c>
      <c r="I37" s="191" cm="1">
        <f t="array" ref="I37">IFERROR(_xlfn.XLOOKUP(1, (Table_Fuel_EFs_Transport[Fuel combusted]=$E37)*(Table_Fuel_EFs_Transport[Transport type]=$D$37), Table_Fuel_EFs_Transport[Scope 1 Emission Factor (kg CO2 - e / GJ) CH4]), 0)</f>
        <v>10.1</v>
      </c>
      <c r="J37" s="191" cm="1">
        <f t="array" ref="J37">IFERROR(_xlfn.XLOOKUP(1, (Table_Fuel_EFs_Transport[Fuel combusted]=$E37)*(Table_Fuel_EFs_Transport[Transport type]=$D$37), Table_Fuel_EFs_Transport[Scope 1 Emission Factor (kg CO2 - e / GJ) N2O]), 0)</f>
        <v>0.3</v>
      </c>
      <c r="K37" s="191" cm="1">
        <f t="array" ref="K37">IFERROR(_xlfn.XLOOKUP(1, (Table_Fuel_EFs_Transport[Fuel combusted]=$E37)*(Table_Fuel_EFs_Transport[Transport type]=$D$25), Table_Fuel_EFs_Transport[Scope 3 Emission Factor (kg CO2 - e / GJ)]), 0)</f>
        <v>17.2</v>
      </c>
      <c r="L37" s="188" cm="1">
        <f t="array" ref="L37">Fuel_InputFunctions.Fuel_TotalConsumption(Table_Input_Fuel[Amount consumed], Table_Input_Fuel[Fuel use (select)], D37, Table_Input_Fuel[Fuel type (select)],F37)</f>
        <v>0</v>
      </c>
      <c r="M37" s="192" t="str" cm="1">
        <f t="array" ref="M37">Common_InputFunctions.Utility_LookupValueInTable(F37,Table_FuelTypes_Units[Fuel type],Table_FuelTypes_Units[Unit])</f>
        <v>kL</v>
      </c>
      <c r="N37" s="189" cm="1">
        <f t="array" ref="N37">Fuel_Equations.VEERG_8_1_1_1__1_FuelCombustionTransport($L37,$G37,$H37)</f>
        <v>0</v>
      </c>
      <c r="O37" s="189" cm="1">
        <f t="array" ref="O37">Fuel_Equations.VEERG_8_1_1_1__1_FuelCombustionTransport($L37,$G37,$I37)</f>
        <v>0</v>
      </c>
      <c r="P37" s="189" cm="1">
        <f t="array" ref="P37">Fuel_Equations.VEERG_8_1_1_1__1_FuelCombustionTransport($L37,$G37,$J37)</f>
        <v>0</v>
      </c>
      <c r="Q37" s="189" cm="1">
        <f t="array" ref="Q37">Scope3_Equations.VEERG_15_11_1_1__2_UpstreamTransportFuelEmissions(L37,G37,K37)</f>
        <v>0</v>
      </c>
    </row>
    <row r="38" spans="1:17" ht="20.100000000000001" customHeight="1" x14ac:dyDescent="0.25">
      <c r="A38" s="16" t="str">
        <f>HYPERLINK("#'Constants - Common'!A1", "Constants - Common")</f>
        <v>Constants - Common</v>
      </c>
      <c r="D38" s="59" t="str">
        <f>$D$37</f>
        <v>Vessels</v>
      </c>
      <c r="E38" s="58" t="str">
        <f>'Constants - Fuel'!$E$11</f>
        <v>Diesel oil</v>
      </c>
      <c r="F38" s="58" t="str">
        <f>'Constants - Fuel'!$I$132</f>
        <v>Diesel</v>
      </c>
      <c r="G38" s="49" cm="1">
        <f t="array" ref="G38">IFERROR(_xlfn.XLOOKUP(1, (Table_Fuel_EFs_Transport[Fuel combusted]=$E38)*(Table_Fuel_EFs_Transport[Transport type]=$D$37), Table_Fuel_EFs_Transport[Energy Content Factor (GJ per unit of fuel)]), 0)</f>
        <v>38.6</v>
      </c>
      <c r="H38" s="49" cm="1">
        <f t="array" ref="H38">IFERROR(_xlfn.XLOOKUP(1, (Table_Fuel_EFs_Transport[Fuel combusted]=$E38)*(Table_Fuel_EFs_Transport[Transport type]=$D$37), Table_Fuel_EFs_Transport[Scope 1 Emission Factor (kg CO2 - e / GJ) CO2]), 0)</f>
        <v>69.900000000000006</v>
      </c>
      <c r="I38" s="49" cm="1">
        <f t="array" ref="I38">IFERROR(_xlfn.XLOOKUP(1, (Table_Fuel_EFs_Transport[Fuel combusted]=$E38)*(Table_Fuel_EFs_Transport[Transport type]=$D$37), Table_Fuel_EFs_Transport[Scope 1 Emission Factor (kg CO2 - e / GJ) CH4]), 0)</f>
        <v>0.2</v>
      </c>
      <c r="J38" s="49" cm="1">
        <f t="array" ref="J38">IFERROR(_xlfn.XLOOKUP(1, (Table_Fuel_EFs_Transport[Fuel combusted]=$E38)*(Table_Fuel_EFs_Transport[Transport type]=$D$37), Table_Fuel_EFs_Transport[Scope 1 Emission Factor (kg CO2 - e / GJ) N2O]), 0)</f>
        <v>0.5</v>
      </c>
      <c r="K38" s="49" cm="1">
        <f t="array" ref="K38">IFERROR(_xlfn.XLOOKUP(1, (Table_Fuel_EFs_Transport[Fuel combusted]=$E38)*(Table_Fuel_EFs_Transport[Transport type]=$D$25), Table_Fuel_EFs_Transport[Scope 3 Emission Factor (kg CO2 - e / GJ)]), 0)</f>
        <v>17.3</v>
      </c>
      <c r="L38" s="181" cm="1">
        <f t="array" ref="L38">Fuel_InputFunctions.Fuel_TotalConsumption(Table_Input_Fuel[Amount consumed], Table_Input_Fuel[Fuel use (select)], D38, Table_Input_Fuel[Fuel type (select)],F38)</f>
        <v>0.1</v>
      </c>
      <c r="M38" s="181" t="str" cm="1">
        <f t="array" ref="M38">Common_InputFunctions.Utility_LookupValueInTable(F38,Table_FuelTypes_Units[Fuel type],Table_FuelTypes_Units[Unit])</f>
        <v>kL</v>
      </c>
      <c r="N38" s="182" cm="1">
        <f t="array" ref="N38">Fuel_Equations.VEERG_8_1_1_1__1_FuelCombustionTransport($L38,$G38,$H38)</f>
        <v>0.26981400000000005</v>
      </c>
      <c r="O38" s="182" cm="1">
        <f t="array" ref="O38">Fuel_Equations.VEERG_8_1_1_1__1_FuelCombustionTransport($L38,$G38,$I38)</f>
        <v>7.7200000000000012E-4</v>
      </c>
      <c r="P38" s="182" cm="1">
        <f t="array" ref="P38">Fuel_Equations.VEERG_8_1_1_1__1_FuelCombustionTransport($L38,$G38,$J38)</f>
        <v>1.9300000000000003E-3</v>
      </c>
      <c r="Q38" s="182" cm="1">
        <f t="array" ref="Q38">Scope3_Equations.VEERG_15_11_1_1__2_UpstreamTransportFuelEmissions(L38,G38,K38)</f>
        <v>6.6778000000000004E-2</v>
      </c>
    </row>
    <row r="39" spans="1:17" ht="20.100000000000001" customHeight="1" x14ac:dyDescent="0.25">
      <c r="A39"/>
      <c r="D39" s="59" t="str">
        <f>$D$37</f>
        <v>Vessels</v>
      </c>
      <c r="E39" s="58" t="str">
        <f>'Constants - Fuel'!E33</f>
        <v>Fuel Oil</v>
      </c>
      <c r="F39" s="58" t="str">
        <f>'Constants - Fuel'!$I$133</f>
        <v>Fuel oil</v>
      </c>
      <c r="G39" s="49" cm="1">
        <f t="array" ref="G39">IFERROR(_xlfn.XLOOKUP(1, (Table_Fuel_EFs_Transport[Fuel combusted]=$E39)*(Table_Fuel_EFs_Transport[Transport type]=$D$37), Table_Fuel_EFs_Transport[Energy Content Factor (GJ per unit of fuel)]), 0)</f>
        <v>39.700000000000003</v>
      </c>
      <c r="H39" s="49" cm="1">
        <f t="array" ref="H39">IFERROR(_xlfn.XLOOKUP(1, (Table_Fuel_EFs_Transport[Fuel combusted]=$E39)*(Table_Fuel_EFs_Transport[Transport type]=$D$37), Table_Fuel_EFs_Transport[Scope 1 Emission Factor (kg CO2 - e / GJ) CO2]), 0)</f>
        <v>73.599999999999994</v>
      </c>
      <c r="I39" s="49" cm="1">
        <f t="array" ref="I39">IFERROR(_xlfn.XLOOKUP(1, (Table_Fuel_EFs_Transport[Fuel combusted]=$E39)*(Table_Fuel_EFs_Transport[Transport type]=$D$37), Table_Fuel_EFs_Transport[Scope 1 Emission Factor (kg CO2 - e / GJ) CH4]), 0)</f>
        <v>0.2</v>
      </c>
      <c r="J39" s="49" cm="1">
        <f t="array" ref="J39">IFERROR(_xlfn.XLOOKUP(1, (Table_Fuel_EFs_Transport[Fuel combusted]=$E39)*(Table_Fuel_EFs_Transport[Transport type]=$D$37), Table_Fuel_EFs_Transport[Scope 1 Emission Factor (kg CO2 - e / GJ) N2O]), 0)</f>
        <v>0.5</v>
      </c>
      <c r="K39" s="49" cm="1">
        <f t="array" ref="K39">IFERROR(_xlfn.XLOOKUP(1, (Table_Fuel_EFs_Transport[Fuel combusted]=$E39)*(Table_Fuel_EFs_Transport[Transport type]=$D$25), Table_Fuel_EFs_Transport[Scope 3 Emission Factor (kg CO2 - e / GJ)]), 0)</f>
        <v>18</v>
      </c>
      <c r="L39" s="181" cm="1">
        <f t="array" ref="L39">Fuel_InputFunctions.Fuel_TotalConsumption(Table_Input_Fuel[Amount consumed], Table_Input_Fuel[Fuel use (select)], D39, Table_Input_Fuel[Fuel type (select)],F39)</f>
        <v>0</v>
      </c>
      <c r="M39" s="181" t="str" cm="1">
        <f t="array" ref="M39">Common_InputFunctions.Utility_LookupValueInTable(F39,Table_FuelTypes_Units[Fuel type],Table_FuelTypes_Units[Unit])</f>
        <v>kL</v>
      </c>
      <c r="N39" s="182" cm="1">
        <f t="array" ref="N39">Fuel_Equations.VEERG_8_1_1_1__1_FuelCombustionTransport($L39,$G39,$H39)</f>
        <v>0</v>
      </c>
      <c r="O39" s="182" cm="1">
        <f t="array" ref="O39">Fuel_Equations.VEERG_8_1_1_1__1_FuelCombustionTransport($L39,$G39,$I39)</f>
        <v>0</v>
      </c>
      <c r="P39" s="182" cm="1">
        <f t="array" ref="P39">Fuel_Equations.VEERG_8_1_1_1__1_FuelCombustionTransport($L39,$G39,$J39)</f>
        <v>0</v>
      </c>
      <c r="Q39" s="182" cm="1">
        <f t="array" ref="Q39">Scope3_Equations.VEERG_15_11_1_1__2_UpstreamTransportFuelEmissions(L39,G39,K39)</f>
        <v>0</v>
      </c>
    </row>
    <row r="40" spans="1:17" ht="20.100000000000001" customHeight="1" x14ac:dyDescent="0.25">
      <c r="A40"/>
      <c r="H40" s="17"/>
      <c r="I40" s="17"/>
      <c r="J40" s="17"/>
      <c r="L40" s="17"/>
      <c r="M40" s="17"/>
      <c r="N40" s="17"/>
      <c r="O40" s="17"/>
      <c r="P40" s="17"/>
      <c r="Q40" s="17"/>
    </row>
    <row r="41" spans="1:17" ht="20.100000000000001" customHeight="1" x14ac:dyDescent="0.25">
      <c r="A41"/>
      <c r="H41" s="17"/>
      <c r="I41" s="17"/>
      <c r="J41" s="17"/>
      <c r="L41" s="17"/>
      <c r="M41" s="17"/>
      <c r="N41" s="17"/>
      <c r="O41" s="17"/>
      <c r="P41" s="17"/>
      <c r="Q41" s="17"/>
    </row>
    <row r="42" spans="1:17" ht="20.100000000000001" customHeight="1" x14ac:dyDescent="0.25">
      <c r="A42"/>
      <c r="D42" s="193" t="str">
        <f>"Total scope 1 - " &amp; D25</f>
        <v>Total scope 1 - Cars and light commercial vehicles</v>
      </c>
      <c r="E42" s="194"/>
      <c r="F42" s="195"/>
    </row>
    <row r="43" spans="1:17" ht="20.100000000000001" customHeight="1" x14ac:dyDescent="0.25">
      <c r="A43"/>
      <c r="D43" s="7" t="s">
        <v>725</v>
      </c>
      <c r="E43" s="196">
        <f>SUM(N25:N32)</f>
        <v>0.26981400000000005</v>
      </c>
      <c r="F43" s="65" t="str">
        <f>$E$12</f>
        <v>t CO2-e</v>
      </c>
    </row>
    <row r="44" spans="1:17" ht="20.100000000000001" customHeight="1" x14ac:dyDescent="0.25">
      <c r="A44"/>
      <c r="D44" s="7" t="s">
        <v>726</v>
      </c>
      <c r="E44" s="196">
        <f>SUM(O25:O32)</f>
        <v>3.8600000000000003E-5</v>
      </c>
      <c r="F44" s="65" t="str">
        <f t="shared" ref="F44:F46" si="1">$E$12</f>
        <v>t CO2-e</v>
      </c>
    </row>
    <row r="45" spans="1:17" ht="20.100000000000001" customHeight="1" x14ac:dyDescent="0.25">
      <c r="A45"/>
      <c r="D45" s="7" t="s">
        <v>727</v>
      </c>
      <c r="E45" s="196">
        <f>SUM(P25:P32)</f>
        <v>1.9300000000000003E-3</v>
      </c>
      <c r="F45" s="65" t="str">
        <f t="shared" si="1"/>
        <v>t CO2-e</v>
      </c>
    </row>
    <row r="46" spans="1:17" ht="20.100000000000001" customHeight="1" x14ac:dyDescent="0.25">
      <c r="A46"/>
      <c r="D46" s="7" t="s">
        <v>728</v>
      </c>
      <c r="E46" s="196">
        <f>SUM(Q25:Q32)</f>
        <v>6.6778000000000004E-2</v>
      </c>
      <c r="F46" s="65" t="str">
        <f t="shared" si="1"/>
        <v>t CO2-e</v>
      </c>
    </row>
    <row r="47" spans="1:17" ht="20.100000000000001" customHeight="1" x14ac:dyDescent="0.25">
      <c r="A47"/>
      <c r="D47" s="17"/>
      <c r="E47" s="17"/>
      <c r="F47" s="17"/>
    </row>
    <row r="48" spans="1:17" ht="20.100000000000001" customHeight="1" x14ac:dyDescent="0.25">
      <c r="A48"/>
      <c r="D48" s="193" t="str">
        <f>"Total scope 1 - " &amp; D33</f>
        <v>Total scope 1 - Off-road Agriculture and forestry equipment</v>
      </c>
      <c r="E48" s="197"/>
      <c r="F48" s="195"/>
      <c r="H48" s="17"/>
      <c r="I48" s="17"/>
      <c r="J48" s="17"/>
      <c r="L48" s="17"/>
      <c r="M48" s="17"/>
      <c r="N48" s="17"/>
      <c r="O48" s="17"/>
      <c r="P48" s="17"/>
      <c r="Q48" s="17"/>
    </row>
    <row r="49" spans="1:17" ht="20.100000000000001" customHeight="1" x14ac:dyDescent="0.25">
      <c r="A49"/>
      <c r="D49" s="7" t="s">
        <v>725</v>
      </c>
      <c r="E49" s="196">
        <f>SUM(N33:N33)</f>
        <v>0</v>
      </c>
      <c r="F49" s="65" t="str">
        <f t="shared" ref="F49:F52" si="2">$E$12</f>
        <v>t CO2-e</v>
      </c>
      <c r="H49" s="17"/>
      <c r="I49" s="17"/>
      <c r="J49" s="17"/>
      <c r="L49" s="17"/>
      <c r="M49" s="17"/>
      <c r="N49" s="17"/>
      <c r="O49" s="17"/>
      <c r="P49" s="17"/>
      <c r="Q49" s="17"/>
    </row>
    <row r="50" spans="1:17" ht="20.100000000000001" customHeight="1" x14ac:dyDescent="0.25">
      <c r="A50"/>
      <c r="D50" s="7" t="s">
        <v>726</v>
      </c>
      <c r="E50" s="196">
        <f>SUM(O33:O33)</f>
        <v>0</v>
      </c>
      <c r="F50" s="65" t="str">
        <f t="shared" si="2"/>
        <v>t CO2-e</v>
      </c>
      <c r="H50" s="17"/>
      <c r="I50" s="17"/>
      <c r="J50" s="17"/>
      <c r="L50" s="17"/>
      <c r="M50" s="17"/>
      <c r="N50" s="17"/>
      <c r="O50" s="17"/>
      <c r="P50" s="17"/>
      <c r="Q50" s="17"/>
    </row>
    <row r="51" spans="1:17" ht="20.100000000000001" customHeight="1" x14ac:dyDescent="0.25">
      <c r="A51"/>
      <c r="D51" s="7" t="s">
        <v>727</v>
      </c>
      <c r="E51" s="196">
        <f>SUM(P33:P33)</f>
        <v>0</v>
      </c>
      <c r="F51" s="65" t="str">
        <f t="shared" si="2"/>
        <v>t CO2-e</v>
      </c>
      <c r="H51" s="17"/>
      <c r="I51" s="17"/>
      <c r="J51" s="17"/>
      <c r="L51" s="17"/>
      <c r="M51" s="17"/>
      <c r="N51" s="17"/>
      <c r="O51" s="17"/>
      <c r="P51" s="17"/>
      <c r="Q51" s="17"/>
    </row>
    <row r="52" spans="1:17" ht="20.100000000000001" customHeight="1" x14ac:dyDescent="0.25">
      <c r="A52"/>
      <c r="D52" s="7" t="s">
        <v>728</v>
      </c>
      <c r="E52" s="196">
        <f>SUM(Q33)</f>
        <v>0</v>
      </c>
      <c r="F52" s="65" t="str">
        <f t="shared" si="2"/>
        <v>t CO2-e</v>
      </c>
      <c r="H52" s="17"/>
      <c r="I52" s="17"/>
      <c r="J52" s="17"/>
      <c r="L52" s="17"/>
      <c r="M52" s="17"/>
      <c r="N52" s="17"/>
      <c r="O52" s="17"/>
      <c r="P52" s="17"/>
      <c r="Q52" s="17"/>
    </row>
    <row r="53" spans="1:17" ht="20.100000000000001" customHeight="1" x14ac:dyDescent="0.25">
      <c r="A53"/>
      <c r="D53" s="17"/>
      <c r="E53" s="198"/>
      <c r="F53" s="17"/>
      <c r="G53" s="17"/>
      <c r="H53" s="17"/>
      <c r="I53" s="17"/>
      <c r="J53" s="17"/>
      <c r="L53" s="17"/>
      <c r="M53" s="17"/>
      <c r="N53" s="17"/>
      <c r="O53" s="17"/>
      <c r="P53" s="17"/>
      <c r="Q53" s="17"/>
    </row>
    <row r="54" spans="1:17" ht="20.100000000000001" customHeight="1" x14ac:dyDescent="0.25">
      <c r="A54"/>
      <c r="D54" s="193" t="str">
        <f>"Total scope 1 - " &amp; D34</f>
        <v>Total scope 1 - Aviation</v>
      </c>
      <c r="E54" s="197"/>
      <c r="F54" s="195"/>
      <c r="G54" s="17"/>
      <c r="H54" s="17"/>
      <c r="I54" s="17"/>
      <c r="J54" s="17"/>
      <c r="L54" s="17"/>
      <c r="M54" s="17"/>
      <c r="N54" s="17"/>
      <c r="O54" s="17"/>
      <c r="P54" s="17"/>
      <c r="Q54" s="17"/>
    </row>
    <row r="55" spans="1:17" ht="20.100000000000001" customHeight="1" x14ac:dyDescent="0.25">
      <c r="A55"/>
      <c r="D55" s="7" t="s">
        <v>725</v>
      </c>
      <c r="E55" s="196">
        <f>SUM(N34:N36)</f>
        <v>0.22177000000000005</v>
      </c>
      <c r="F55" s="65" t="str">
        <f t="shared" ref="F55:F58" si="3">$E$12</f>
        <v>t CO2-e</v>
      </c>
      <c r="G55" s="17"/>
      <c r="H55" s="17"/>
      <c r="I55" s="17"/>
      <c r="J55" s="17"/>
      <c r="L55" s="17"/>
      <c r="M55" s="17"/>
      <c r="N55" s="17"/>
      <c r="O55" s="17"/>
      <c r="P55" s="17"/>
      <c r="Q55" s="17"/>
    </row>
    <row r="56" spans="1:17" ht="20.100000000000001" customHeight="1" x14ac:dyDescent="0.25">
      <c r="A56"/>
      <c r="D56" s="7" t="s">
        <v>726</v>
      </c>
      <c r="E56" s="196">
        <f>SUM(O34:O36)</f>
        <v>1.9860000000000003E-4</v>
      </c>
      <c r="F56" s="65" t="str">
        <f t="shared" si="3"/>
        <v>t CO2-e</v>
      </c>
      <c r="G56" s="17"/>
      <c r="H56" s="17"/>
      <c r="I56" s="17"/>
      <c r="J56" s="17"/>
      <c r="L56" s="17"/>
      <c r="M56" s="17"/>
      <c r="N56" s="17"/>
      <c r="O56" s="17"/>
      <c r="P56" s="17"/>
      <c r="Q56" s="17"/>
    </row>
    <row r="57" spans="1:17" ht="20.100000000000001" customHeight="1" x14ac:dyDescent="0.25">
      <c r="A57"/>
      <c r="D57" s="7" t="s">
        <v>727</v>
      </c>
      <c r="E57" s="196">
        <f>SUM(P34:P36)</f>
        <v>1.9860000000000004E-3</v>
      </c>
      <c r="F57" s="65" t="str">
        <f t="shared" si="3"/>
        <v>t CO2-e</v>
      </c>
      <c r="G57" s="17"/>
      <c r="H57" s="17"/>
      <c r="I57" s="17"/>
      <c r="J57" s="17"/>
      <c r="L57" s="17"/>
      <c r="M57" s="17"/>
      <c r="N57" s="17"/>
      <c r="O57" s="17"/>
      <c r="P57" s="17"/>
      <c r="Q57" s="17"/>
    </row>
    <row r="58" spans="1:17" ht="20.100000000000001" customHeight="1" x14ac:dyDescent="0.25">
      <c r="A58"/>
      <c r="D58" s="7" t="s">
        <v>728</v>
      </c>
      <c r="E58" s="196">
        <f>SUM(Q34:Q36)</f>
        <v>0</v>
      </c>
      <c r="F58" s="65" t="str">
        <f t="shared" si="3"/>
        <v>t CO2-e</v>
      </c>
      <c r="G58" s="17"/>
      <c r="H58" s="17"/>
      <c r="I58" s="17"/>
      <c r="J58" s="17"/>
      <c r="L58" s="17"/>
      <c r="M58" s="17"/>
      <c r="N58" s="17"/>
      <c r="O58" s="17"/>
      <c r="P58" s="17"/>
      <c r="Q58" s="17"/>
    </row>
    <row r="59" spans="1:17" ht="20.100000000000001" customHeight="1" x14ac:dyDescent="0.25">
      <c r="A59"/>
      <c r="D59" s="17"/>
      <c r="E59" s="198"/>
      <c r="F59" s="17"/>
      <c r="G59" s="17"/>
      <c r="H59" s="17"/>
      <c r="I59" s="17"/>
      <c r="J59" s="17"/>
      <c r="L59" s="17"/>
      <c r="M59" s="17"/>
      <c r="N59" s="17"/>
      <c r="O59" s="17"/>
      <c r="P59" s="17"/>
      <c r="Q59" s="17"/>
    </row>
    <row r="60" spans="1:17" ht="20.100000000000001" customHeight="1" x14ac:dyDescent="0.25">
      <c r="A60"/>
      <c r="D60" s="193" t="str">
        <f>"Total scope 1 - " &amp; D37</f>
        <v>Total scope 1 - Vessels</v>
      </c>
      <c r="E60" s="197"/>
      <c r="F60" s="195"/>
      <c r="G60" s="17"/>
      <c r="H60" s="17"/>
      <c r="I60" s="17"/>
      <c r="J60" s="17"/>
      <c r="L60" s="17"/>
      <c r="M60" s="17"/>
      <c r="N60" s="17"/>
      <c r="O60" s="17"/>
      <c r="P60" s="17"/>
      <c r="Q60" s="17"/>
    </row>
    <row r="61" spans="1:17" ht="20.100000000000001" customHeight="1" x14ac:dyDescent="0.25">
      <c r="A61"/>
      <c r="D61" s="7" t="s">
        <v>725</v>
      </c>
      <c r="E61" s="196">
        <f>SUM(N37:N39)</f>
        <v>0.26981400000000005</v>
      </c>
      <c r="F61" s="65" t="str">
        <f t="shared" ref="F61:F64" si="4">$E$12</f>
        <v>t CO2-e</v>
      </c>
      <c r="G61" s="17"/>
      <c r="H61" s="17"/>
      <c r="I61" s="17"/>
      <c r="J61" s="17"/>
      <c r="L61" s="17"/>
      <c r="M61" s="17"/>
      <c r="N61" s="17"/>
      <c r="O61" s="17"/>
      <c r="P61" s="17"/>
      <c r="Q61" s="17"/>
    </row>
    <row r="62" spans="1:17" ht="20.100000000000001" customHeight="1" x14ac:dyDescent="0.25">
      <c r="A62"/>
      <c r="D62" s="7" t="s">
        <v>726</v>
      </c>
      <c r="E62" s="196">
        <f>SUM(O37:O39)</f>
        <v>7.7200000000000012E-4</v>
      </c>
      <c r="F62" s="65" t="str">
        <f t="shared" si="4"/>
        <v>t CO2-e</v>
      </c>
      <c r="G62" s="17"/>
      <c r="H62" s="17"/>
      <c r="I62" s="17"/>
      <c r="J62" s="17"/>
      <c r="L62" s="17"/>
      <c r="M62" s="17"/>
      <c r="N62" s="17"/>
      <c r="O62" s="17"/>
      <c r="P62" s="17"/>
      <c r="Q62" s="17"/>
    </row>
    <row r="63" spans="1:17" ht="20.100000000000001" customHeight="1" x14ac:dyDescent="0.25">
      <c r="A63"/>
      <c r="D63" s="7" t="s">
        <v>727</v>
      </c>
      <c r="E63" s="196">
        <f>SUM(P37:P39)</f>
        <v>1.9300000000000003E-3</v>
      </c>
      <c r="F63" s="65" t="str">
        <f t="shared" si="4"/>
        <v>t CO2-e</v>
      </c>
      <c r="G63" s="17"/>
      <c r="H63" s="17"/>
      <c r="I63" s="17"/>
      <c r="J63" s="17"/>
      <c r="L63" s="17"/>
      <c r="M63" s="17"/>
      <c r="N63" s="17"/>
      <c r="O63" s="17"/>
      <c r="P63" s="17"/>
      <c r="Q63" s="17"/>
    </row>
    <row r="64" spans="1:17" ht="20.100000000000001" customHeight="1" x14ac:dyDescent="0.25">
      <c r="A64"/>
      <c r="D64" s="7" t="s">
        <v>728</v>
      </c>
      <c r="E64" s="196">
        <f>SUM(Q37:Q39)</f>
        <v>6.6778000000000004E-2</v>
      </c>
      <c r="F64" s="65" t="str">
        <f t="shared" si="4"/>
        <v>t CO2-e</v>
      </c>
      <c r="G64" s="17"/>
      <c r="H64" s="17"/>
      <c r="I64" s="17"/>
      <c r="J64" s="17"/>
      <c r="L64" s="17"/>
      <c r="M64" s="17"/>
      <c r="N64" s="17"/>
      <c r="O64" s="17"/>
      <c r="P64" s="17"/>
      <c r="Q64" s="17"/>
    </row>
    <row r="65" spans="1:17" ht="20.100000000000001" customHeight="1" x14ac:dyDescent="0.25">
      <c r="A65"/>
      <c r="G65" s="17"/>
      <c r="H65" s="17"/>
      <c r="I65" s="17"/>
      <c r="J65" s="17"/>
      <c r="L65" s="17"/>
      <c r="M65" s="17"/>
      <c r="N65" s="17"/>
      <c r="O65" s="17"/>
      <c r="P65" s="17"/>
      <c r="Q65" s="17"/>
    </row>
    <row r="66" spans="1:17" ht="20.100000000000001" customHeight="1" x14ac:dyDescent="0.25">
      <c r="A66"/>
      <c r="D66" s="193" t="s">
        <v>729</v>
      </c>
      <c r="E66" s="199"/>
      <c r="F66" s="195"/>
      <c r="G66" s="17"/>
      <c r="H66" s="17"/>
      <c r="I66" s="17"/>
      <c r="J66" s="17"/>
      <c r="L66" s="17"/>
      <c r="M66" s="17"/>
      <c r="N66" s="17"/>
      <c r="O66" s="17"/>
      <c r="P66" s="17"/>
      <c r="Q66" s="17"/>
    </row>
    <row r="67" spans="1:17" ht="20.100000000000001" customHeight="1" x14ac:dyDescent="0.25">
      <c r="A67"/>
      <c r="D67" s="7" t="s">
        <v>725</v>
      </c>
      <c r="E67" s="196">
        <f>E43+E49+E55+E61</f>
        <v>0.76139800000000024</v>
      </c>
      <c r="F67" s="65" t="str">
        <f t="shared" ref="F67:F70" si="5">$E$12</f>
        <v>t CO2-e</v>
      </c>
      <c r="G67" s="17"/>
    </row>
    <row r="68" spans="1:17" ht="20.100000000000001" customHeight="1" x14ac:dyDescent="0.25">
      <c r="A68"/>
      <c r="D68" s="7" t="s">
        <v>726</v>
      </c>
      <c r="E68" s="196">
        <f t="shared" ref="E68:E70" si="6">E44+E50+E56+E62</f>
        <v>1.0092E-3</v>
      </c>
      <c r="F68" s="65" t="str">
        <f t="shared" si="5"/>
        <v>t CO2-e</v>
      </c>
      <c r="G68" s="17"/>
    </row>
    <row r="69" spans="1:17" ht="20.100000000000001" customHeight="1" x14ac:dyDescent="0.25">
      <c r="A69"/>
      <c r="D69" s="7" t="s">
        <v>727</v>
      </c>
      <c r="E69" s="196">
        <f t="shared" si="6"/>
        <v>5.8460000000000014E-3</v>
      </c>
      <c r="F69" s="65" t="str">
        <f t="shared" si="5"/>
        <v>t CO2-e</v>
      </c>
      <c r="G69" s="17"/>
    </row>
    <row r="70" spans="1:17" ht="20.100000000000001" customHeight="1" x14ac:dyDescent="0.25">
      <c r="A70"/>
      <c r="D70" s="7" t="s">
        <v>728</v>
      </c>
      <c r="E70" s="196">
        <f t="shared" si="6"/>
        <v>0.13355600000000001</v>
      </c>
      <c r="F70" s="65" t="str">
        <f t="shared" si="5"/>
        <v>t CO2-e</v>
      </c>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C752315A-B5E5-44EF-8A25-FDBF5DF9036B}"/>
  </dataValidation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5D5D-FEA3-44B0-9E5B-51CEC314728D}">
  <sheetPr>
    <tabColor theme="9" tint="-0.249977111117893"/>
  </sheetPr>
  <dimension ref="A1:R165"/>
  <sheetViews>
    <sheetView showGridLines="0" topLeftCell="A7"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37" t="e" vm="1">
        <v>#VALUE!</v>
      </c>
      <c r="C1" s="1" t="s">
        <v>730</v>
      </c>
    </row>
    <row r="2" spans="1:18" s="2" customFormat="1" ht="20.100000000000001" customHeight="1" x14ac:dyDescent="0.25">
      <c r="A2"/>
    </row>
    <row r="3" spans="1:18" ht="20.100000000000001" customHeight="1" x14ac:dyDescent="0.25">
      <c r="A3" s="16" t="str">
        <f>HYPERLINK("#'Overview'!A1", "Overview")</f>
        <v>Overview</v>
      </c>
      <c r="C3" s="5"/>
      <c r="D3" s="5" t="s">
        <v>413</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2" t="s">
        <v>629</v>
      </c>
      <c r="E7" s="172"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Site'!A1", "Site")</f>
        <v>Site</v>
      </c>
      <c r="K8" s="172" t="s">
        <v>629</v>
      </c>
      <c r="L8" s="172" t="str" cm="1">
        <f t="array" aca="1" ref="L8" ca="1">Common_InputFunctions.Utility_DisplayFunctionName(Q25)</f>
        <v>=Fuel_Equations.VEERG_8_2_1_1__1_FuelCombustionStationary</v>
      </c>
      <c r="O8" s="17"/>
      <c r="P8" s="17"/>
      <c r="Q8" s="17"/>
      <c r="R8" s="17"/>
    </row>
    <row r="9" spans="1:18" ht="20.100000000000001" customHeight="1" x14ac:dyDescent="0.25">
      <c r="A9" s="16" t="str">
        <f>HYPERLINK("#'Input - Fuel'!A1", "Fuel")</f>
        <v>Fuel</v>
      </c>
      <c r="G9" s="11"/>
      <c r="O9" s="17"/>
      <c r="P9" s="17"/>
      <c r="Q9" s="17"/>
      <c r="R9" s="17"/>
    </row>
    <row r="10" spans="1:18" ht="20.100000000000001" customHeight="1" x14ac:dyDescent="0.25">
      <c r="A10" s="16" t="str">
        <f>HYPERLINK("#'Input - Fertiliser'!A1", "Fertiliser")</f>
        <v>Fertiliser</v>
      </c>
      <c r="O10" s="17"/>
      <c r="P10" s="17"/>
      <c r="Q10" s="17"/>
      <c r="R10" s="17"/>
    </row>
    <row r="11" spans="1:18" ht="20.100000000000001" customHeight="1" x14ac:dyDescent="0.25">
      <c r="A11" s="16" t="str">
        <f>HYPERLINK("#'Input - Farm Inputs'!A1", "Farm Inputs")</f>
        <v>Farm Inputs</v>
      </c>
      <c r="D11" s="27" t="s">
        <v>630</v>
      </c>
      <c r="E11" s="8" t="str" cm="1">
        <f t="array" ref="E11">Fuel_Equations.VEERG_8_2_1_1__1_FuelCombustionStationary_Variable()</f>
        <v>E_g</v>
      </c>
      <c r="K11" s="27" t="s">
        <v>630</v>
      </c>
      <c r="L11" s="8" t="str" cm="1">
        <f t="array" ref="L11">Scope3_Equations.VEERG_15_11_1_1__3_UpstreamStationaryFuelEmissions_Variable()</f>
        <v>E_WTTSCq</v>
      </c>
      <c r="O11" s="17"/>
      <c r="P11" s="17"/>
      <c r="Q11" s="17"/>
      <c r="R11" s="17"/>
    </row>
    <row r="12" spans="1:18" ht="20.100000000000001" customHeight="1" x14ac:dyDescent="0.25">
      <c r="A12" s="16" t="str">
        <f>HYPERLINK("#'Input - Livestock purchases'!A1", "Livestock purchases")</f>
        <v>Livestock purchases</v>
      </c>
      <c r="D12" s="27" t="s">
        <v>97</v>
      </c>
      <c r="E12" s="13" t="str" cm="1">
        <f t="array" ref="E12">Fuel_Equations.VEERG_8_2_1_1__1_FuelCombustionStationary_Unit()</f>
        <v>t CO2-e</v>
      </c>
      <c r="K12" s="27" t="s">
        <v>97</v>
      </c>
      <c r="L12" s="13" t="str" cm="1">
        <f t="array" ref="L12">Scope3_Equations.VEERG_15_11_1_1__3_UpstreamStationaryFuelEmissions_Unit()</f>
        <v>t CO2e</v>
      </c>
    </row>
    <row r="13" spans="1:18" ht="20.100000000000001" customHeight="1" x14ac:dyDescent="0.25">
      <c r="A13" s="16" t="str">
        <f>HYPERLINK("#'Input - Freight'!A1", "Freight")</f>
        <v>Freight</v>
      </c>
    </row>
    <row r="14" spans="1:18" ht="20.100000000000001" customHeight="1" x14ac:dyDescent="0.25">
      <c r="A14" s="16" t="str">
        <f>HYPERLINK("#'Input - Solid waste'!A1", "Solid waste")</f>
        <v>Solid waste</v>
      </c>
      <c r="D14" s="167" t="str" cm="1">
        <f t="array" ref="D14:E20">_xlfn.CHOOSECOLS(Fuel_Equations.VEERG_8_2_1_1__1_FuelCombustionStationary_Arguments(), 1,2)</f>
        <v>Q_SCq</v>
      </c>
      <c r="E14" s="171" t="str">
        <v>Amount of fuel type q used for stationary combustion operations</v>
      </c>
      <c r="F14" s="166"/>
      <c r="G14" s="167" t="str" cm="1">
        <f t="array" ref="G14:H20">_xlfn.CHOOSECOLS(Fuel_Equations.VEERG_8_2_1_1__1_FuelCombustionStationary_Arguments(), 3,4)</f>
        <v>Varies based on fuel type: kL, m3, GJ</v>
      </c>
      <c r="H14" s="168" t="str">
        <v>Input</v>
      </c>
      <c r="I14" s="170" t="str" cm="1">
        <f t="array" aca="1" ref="I14" ca="1">HYPERLINK(Common_InputFunctions.Utility_SourceHyperlink($D$22), $D$22)</f>
        <v>Table_E_g</v>
      </c>
      <c r="K14" s="167" t="str" cm="1">
        <f t="array" ref="K14:L18">_xlfn.CHOOSECOLS(Scope3_Equations.VEERG_15_11_1_1__3_UpstreamStationaryFuelEmissions_Arguments(),1,2)</f>
        <v>Q_SCq</v>
      </c>
      <c r="L14" s="167" t="str">
        <v>amount of fuel q used for stationary combustion operations</v>
      </c>
      <c r="M14" s="167"/>
      <c r="N14" s="167" t="str" cm="1">
        <f t="array" ref="N14:O18">_xlfn.CHOOSECOLS(Scope3_Equations.VEERG_15_11_1_1__3_UpstreamStationaryFuelEmissions_Arguments(),3,4)</f>
        <v>kL</v>
      </c>
      <c r="O14" s="168" t="str">
        <v>Input</v>
      </c>
      <c r="P14" s="170" t="str" cm="1">
        <f t="array" aca="1" ref="P14" ca="1">HYPERLINK(Common_InputFunctions.Utility_SourceHyperlink($D$22), $D$22)</f>
        <v>Table_E_g</v>
      </c>
      <c r="Q14" s="17"/>
    </row>
    <row r="15" spans="1:18" ht="20.100000000000001" customHeight="1" x14ac:dyDescent="0.25">
      <c r="A15" s="16" t="str">
        <f>HYPERLINK("#'Input - Manure sent off-site'!A1", "Manure sent off-site")</f>
        <v>Manure sent off-site</v>
      </c>
      <c r="D15" s="167" t="str">
        <v>EC_SCq</v>
      </c>
      <c r="E15" s="171" t="str">
        <v>Energy content factor for stationary combustion operations</v>
      </c>
      <c r="F15" s="166"/>
      <c r="G15" s="167" t="str">
        <v>GJ / unit of fuel</v>
      </c>
      <c r="H15" s="169" t="str">
        <v>Constant</v>
      </c>
      <c r="I15" s="170" t="str" cm="1">
        <f t="array" aca="1" ref="I15" ca="1">HYPERLINK(Common_InputFunctions.Utility_SourceHyperlink($D$22), $D$22)</f>
        <v>Table_E_g</v>
      </c>
      <c r="K15" s="167" t="str">
        <v>EC_SCq</v>
      </c>
      <c r="L15" s="167" t="str">
        <v>energy content factor for stationary combustion operations</v>
      </c>
      <c r="M15" s="167"/>
      <c r="N15" s="167" t="str">
        <v>GJ/kL</v>
      </c>
      <c r="O15" s="169" t="str">
        <v>Constant</v>
      </c>
      <c r="P15" s="170" t="str" cm="1">
        <f t="array" aca="1" ref="P15" ca="1">HYPERLINK(Common_InputFunctions.Utility_SourceHyperlink($D$22), $D$22)</f>
        <v>Table_E_g</v>
      </c>
      <c r="Q15" s="17"/>
    </row>
    <row r="16" spans="1:18" ht="20.100000000000001" customHeight="1" x14ac:dyDescent="0.25">
      <c r="A16" s="16" t="str">
        <f>HYPERLINK("#'Input - Electricity'!A1", "Electricity")</f>
        <v>Electricity</v>
      </c>
      <c r="D16" s="167" t="str">
        <v>EF_SC1qg</v>
      </c>
      <c r="E16" s="171" t="str">
        <v>Scope 1 emission factor for stationary combustion for each greenhouse gas</v>
      </c>
      <c r="F16" s="166"/>
      <c r="G16" s="167" t="str">
        <v>kg CO2e / GJ</v>
      </c>
      <c r="H16" s="169" t="str">
        <v>Constant</v>
      </c>
      <c r="I16" s="170" t="str" cm="1">
        <f t="array" aca="1" ref="I16" ca="1">HYPERLINK(Common_InputFunctions.Utility_SourceHyperlink($D$22), $D$22)</f>
        <v>Table_E_g</v>
      </c>
      <c r="K16" s="167" t="str">
        <v>EF_SC3q</v>
      </c>
      <c r="L16" s="167" t="str">
        <v>scope 3 emission factor for stationary combustion operations</v>
      </c>
      <c r="M16" s="167"/>
      <c r="N16" s="167" t="str">
        <v>kg CO2e/GJ</v>
      </c>
      <c r="O16" s="169" t="str">
        <v>Constant</v>
      </c>
      <c r="P16" s="170" t="str" cm="1">
        <f t="array" aca="1" ref="P16" ca="1">HYPERLINK(Common_InputFunctions.Utility_SourceHyperlink($D$22), $D$22)</f>
        <v>Table_E_g</v>
      </c>
      <c r="Q16" s="17"/>
    </row>
    <row r="17" spans="1:17" ht="20.100000000000001" customHeight="1" x14ac:dyDescent="0.25">
      <c r="A17"/>
      <c r="D17" s="167" t="str">
        <v>q</v>
      </c>
      <c r="E17" s="171" t="str">
        <v>Fuel type</v>
      </c>
      <c r="F17" s="166"/>
      <c r="G17" s="167" t="str">
        <v/>
      </c>
      <c r="H17" s="169" t="str">
        <v>Constant</v>
      </c>
      <c r="I17" s="170"/>
      <c r="J17" s="17"/>
      <c r="K17" s="167" t="str">
        <v>i</v>
      </c>
      <c r="L17" s="171" t="str">
        <v>state</v>
      </c>
      <c r="M17" s="166"/>
      <c r="N17" s="167" t="str">
        <v/>
      </c>
      <c r="O17" s="168" t="str">
        <v>Input</v>
      </c>
      <c r="P17" s="167" t="str">
        <f>X_Cell_Site_State</f>
        <v>ACT</v>
      </c>
      <c r="Q17" s="17"/>
    </row>
    <row r="18" spans="1:17" ht="20.100000000000001" customHeight="1" x14ac:dyDescent="0.25">
      <c r="A18"/>
      <c r="D18" s="167" t="str">
        <v>SC</v>
      </c>
      <c r="E18" s="171" t="str">
        <v>Stationary combustion</v>
      </c>
      <c r="F18" s="166"/>
      <c r="G18" s="167" t="str">
        <v/>
      </c>
      <c r="H18" s="169" t="str">
        <v>Constant</v>
      </c>
      <c r="I18" s="170"/>
      <c r="J18" s="17"/>
      <c r="K18" s="167" t="str">
        <v>m</v>
      </c>
      <c r="L18" s="171" t="str">
        <v>metropolitan/non-metropolitan location</v>
      </c>
      <c r="M18" s="166"/>
      <c r="N18" s="167" t="str">
        <v/>
      </c>
      <c r="O18" s="168" t="str">
        <v>Input</v>
      </c>
      <c r="P18" s="167" t="str">
        <f>X_Cell_Fuel_IsMetroLocation</f>
        <v>Metro</v>
      </c>
      <c r="Q18" s="17"/>
    </row>
    <row r="19" spans="1:17" ht="20.100000000000001" customHeight="1" x14ac:dyDescent="0.25">
      <c r="A19" s="21" t="s">
        <v>77</v>
      </c>
      <c r="D19" s="167" t="str">
        <v>g</v>
      </c>
      <c r="E19" s="171" t="str">
        <v>Greenhouse gas</v>
      </c>
      <c r="F19" s="166"/>
      <c r="G19" s="167" t="str">
        <v/>
      </c>
      <c r="H19" s="169" t="str">
        <v>Constant</v>
      </c>
      <c r="I19" s="170"/>
      <c r="J19" s="17"/>
      <c r="L19" s="17"/>
      <c r="N19" s="17"/>
      <c r="O19" s="17"/>
      <c r="P19" s="17"/>
      <c r="Q19" s="17"/>
    </row>
    <row r="20" spans="1:17" ht="20.100000000000001" customHeight="1" x14ac:dyDescent="0.25">
      <c r="A20" s="16" t="str">
        <f>HYPERLINK("#'15 Scope 3'!A1", "15 Scope 3")</f>
        <v>15 Scope 3</v>
      </c>
      <c r="D20" s="167" t="str">
        <v>1</v>
      </c>
      <c r="E20" s="171" t="str">
        <v>Scope 1</v>
      </c>
      <c r="F20" s="166"/>
      <c r="G20" s="167" t="str">
        <v/>
      </c>
      <c r="H20" s="169" t="str">
        <v>Constant</v>
      </c>
      <c r="I20" s="170"/>
      <c r="J20" s="17"/>
      <c r="L20" s="17"/>
      <c r="N20" s="17"/>
      <c r="O20" s="17"/>
      <c r="P20" s="17"/>
      <c r="Q20" s="17"/>
    </row>
    <row r="21" spans="1:17" ht="20.100000000000001" customHeight="1" x14ac:dyDescent="0.25">
      <c r="A21" s="16" t="str">
        <f>HYPERLINK("#'10.1.1-2 Solid waste treatment'!A1", "10.1.1-2 Solid waste treatment")</f>
        <v>10.1.1-2 Solid waste treatment</v>
      </c>
      <c r="O21" s="17"/>
      <c r="P21" s="17"/>
      <c r="Q21" s="17"/>
    </row>
    <row r="22" spans="1:17" ht="20.100000000000001" customHeight="1" x14ac:dyDescent="0.25">
      <c r="A22" s="16" t="str">
        <f>HYPERLINK("#'Calcs - Manure sent off-site'!A1", "Calcs - Manure sent off-site")</f>
        <v>Calcs - Manure sent off-site</v>
      </c>
      <c r="D22" s="55" t="s">
        <v>129</v>
      </c>
    </row>
    <row r="23" spans="1:17" ht="20.100000000000001" customHeight="1" x14ac:dyDescent="0.25">
      <c r="A23" s="16" t="str">
        <f>HYPERLINK("#'8.1.1.1-2 Transport fuel'!A1", "8.1.1.1-2 Transport fuel")</f>
        <v>8.1.1.1-2 Transport fuel</v>
      </c>
      <c r="D23" s="56" t="s">
        <v>731</v>
      </c>
    </row>
    <row r="24" spans="1:17" ht="20.100000000000001" customHeight="1" x14ac:dyDescent="0.25">
      <c r="A24" s="180" t="str">
        <f>HYPERLINK("#'8.2.1.1-2 Stationary fuel'!A1", "8.2.1.1-2 Stationary fuel")</f>
        <v>8.2.1.1-2 Stationary fuel</v>
      </c>
      <c r="D24" s="57" t="s">
        <v>131</v>
      </c>
      <c r="E24" s="57" t="s">
        <v>132</v>
      </c>
      <c r="F24" s="57" t="s">
        <v>133</v>
      </c>
      <c r="G24" s="57" t="s">
        <v>732</v>
      </c>
      <c r="H24" s="57" t="s">
        <v>733</v>
      </c>
      <c r="I24" s="57" t="s">
        <v>734</v>
      </c>
      <c r="J24" s="57" t="s">
        <v>735</v>
      </c>
      <c r="K24" s="57" t="s">
        <v>736</v>
      </c>
      <c r="L24" s="46" t="s">
        <v>737</v>
      </c>
      <c r="M24" s="57" t="s">
        <v>720</v>
      </c>
      <c r="N24" s="57" t="s">
        <v>721</v>
      </c>
      <c r="O24" s="57" t="s">
        <v>722</v>
      </c>
      <c r="P24" s="57" t="s">
        <v>723</v>
      </c>
      <c r="Q24" s="57" t="s">
        <v>738</v>
      </c>
    </row>
    <row r="25" spans="1:17" ht="20.100000000000001" customHeight="1" x14ac:dyDescent="0.25">
      <c r="A25"/>
      <c r="D25" s="7" t="str">
        <f>Table_FuelTypesPerUse[[#Headers],[Generators]]</f>
        <v>Generators</v>
      </c>
      <c r="E25" s="58" t="str">
        <f>'Constants - Fuel'!$D$58</f>
        <v>Automotive gasoline / petrol (other than for use as fuel in an aircraft)</v>
      </c>
      <c r="F25" s="58" t="str">
        <f>'Constants - Fuel'!D131</f>
        <v>Petrol</v>
      </c>
      <c r="G25" s="49">
        <f>IFERROR(_xlfn.XLOOKUP($E25, Table_Fuel_EFs_StationaryLiquid[Fuel combusted], Table_Fuel_EFs_StationaryLiquid[Energy Content Factor (GJ per unit of fuel)]),0)</f>
        <v>34.200000000000003</v>
      </c>
      <c r="H25" s="49">
        <f>IFERROR(_xlfn.XLOOKUP($E25, Table_Fuel_EFs_StationaryLiquid[Fuel combusted], Table_Fuel_EFs_StationaryLiquid[Scope 1 Emission Factor (kg CO2 - e / GJ) CO2]),0)</f>
        <v>67.400000000000006</v>
      </c>
      <c r="I25" s="49">
        <f>IFERROR(_xlfn.XLOOKUP($E25, Table_Fuel_EFs_StationaryLiquid[Fuel combusted], Table_Fuel_EFs_StationaryLiquid[Scope 1 Emission Factor (kg CO2 - e / GJ) CH4]),0)</f>
        <v>0.2</v>
      </c>
      <c r="J25" s="49">
        <f>IFERROR(_xlfn.XLOOKUP($E25, Table_Fuel_EFs_StationaryLiquid[Fuel combusted], Table_Fuel_EFs_StationaryLiquid[Scope 1 Emission Factor (kg CO2 - e / GJ) N2O]),0)</f>
        <v>0.2</v>
      </c>
      <c r="K25" s="49">
        <f>IFERROR(_xlfn.XLOOKUP($E25, Table_Fuel_EFs_StationaryLiquid[Fuel combusted], Table_Fuel_EFs_StationaryLiquid[Scope 3 Emission Factor (kg CO2 - e / GJ)]),0)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200" cm="1">
        <f t="array" ref="N25">Fuel_Equations.VEERG_8_2_1_1__1_FuelCombustionStationary($L25,$G25,H25)</f>
        <v>0</v>
      </c>
      <c r="O25" s="200" cm="1">
        <f t="array" ref="O25">Fuel_Equations.VEERG_8_2_1_1__1_FuelCombustionStationary($L25,$G25,I25)</f>
        <v>0</v>
      </c>
      <c r="P25" s="200" cm="1">
        <f t="array" ref="P25">Fuel_Equations.VEERG_8_2_1_1__1_FuelCombustionStationary($L25,$G25,J25)</f>
        <v>0</v>
      </c>
      <c r="Q25" s="200" cm="1">
        <f t="array" ref="Q25">Fuel_Equations.VEERG_8_2_1_1__1_FuelCombustionStationary($L25,$G25,IF(ISNUMBER(K25), K25, 0))</f>
        <v>0</v>
      </c>
    </row>
    <row r="26" spans="1:17" ht="20.100000000000001" customHeight="1" x14ac:dyDescent="0.25">
      <c r="A26"/>
      <c r="D26" s="59" t="str">
        <f t="shared" ref="D26:D31" si="0">$D$25</f>
        <v>Generators</v>
      </c>
      <c r="E26" s="58" t="str">
        <f>'Constants - Fuel'!$D$63</f>
        <v>Diesel oil</v>
      </c>
      <c r="F26" s="58" t="str">
        <f>'Constants - Fuel'!D132</f>
        <v>Diesel</v>
      </c>
      <c r="G26" s="49">
        <f>IFERROR(_xlfn.XLOOKUP($E26, Table_Fuel_EFs_StationaryLiquid[Fuel combusted], Table_Fuel_EFs_StationaryLiquid[Energy Content Factor (GJ per unit of fuel)]),0)</f>
        <v>38.6</v>
      </c>
      <c r="H26" s="49">
        <f>IFERROR(_xlfn.XLOOKUP($E26, Table_Fuel_EFs_StationaryLiquid[Fuel combusted], Table_Fuel_EFs_StationaryLiquid[Scope 1 Emission Factor (kg CO2 - e / GJ) CO2]),0)</f>
        <v>69.900000000000006</v>
      </c>
      <c r="I26" s="49">
        <f>IFERROR(_xlfn.XLOOKUP($E26, Table_Fuel_EFs_StationaryLiquid[Fuel combusted], Table_Fuel_EFs_StationaryLiquid[Scope 1 Emission Factor (kg CO2 - e / GJ) CH4]),0)</f>
        <v>0.1</v>
      </c>
      <c r="J26" s="49">
        <f>IFERROR(_xlfn.XLOOKUP($E26, Table_Fuel_EFs_StationaryLiquid[Fuel combusted], Table_Fuel_EFs_StationaryLiquid[Scope 1 Emission Factor (kg CO2 - e / GJ) N2O]),0)</f>
        <v>0.2</v>
      </c>
      <c r="K26" s="49">
        <f>IFERROR(_xlfn.XLOOKUP($E26, Table_Fuel_EFs_StationaryLiquid[Fuel combusted], Table_Fuel_EFs_StationaryLiquid[Scope 3 Emission Factor (kg CO2 - e / GJ)]),0)</f>
        <v>17.3</v>
      </c>
      <c r="L26" s="181" cm="1">
        <f t="array" ref="L26">Fuel_InputFunctions.Fuel_TotalConsumption(Table_Input_Fuel[Amount consumed], Table_Input_Fuel[Fuel use (select)], D26, Table_Input_Fuel[Fuel type (select)],F26)</f>
        <v>0</v>
      </c>
      <c r="M26" s="181" t="str" cm="1">
        <f t="array" ref="M26">Common_InputFunctions.Utility_LookupValueInTable(F26,Table_FuelTypes_Units[Fuel type],Table_FuelTypes_Units[Unit])</f>
        <v>kL</v>
      </c>
      <c r="N26" s="200" cm="1">
        <f t="array" ref="N26">Fuel_Equations.VEERG_8_2_1_1__1_FuelCombustionStationary($L26,$G26,H26)</f>
        <v>0</v>
      </c>
      <c r="O26" s="200" cm="1">
        <f t="array" ref="O26">Fuel_Equations.VEERG_8_2_1_1__1_FuelCombustionStationary($L26,$G26,I26)</f>
        <v>0</v>
      </c>
      <c r="P26" s="200" cm="1">
        <f t="array" ref="P26">Fuel_Equations.VEERG_8_2_1_1__1_FuelCombustionStationary($L26,$G26,J26)</f>
        <v>0</v>
      </c>
      <c r="Q26" s="200" cm="1">
        <f t="array" ref="Q26">Fuel_Equations.VEERG_8_2_1_1__1_FuelCombustionStationary($L26,$G26,IF(ISNUMBER(K26), K26, 0))</f>
        <v>0</v>
      </c>
    </row>
    <row r="27" spans="1:17" ht="20.100000000000001" customHeight="1" x14ac:dyDescent="0.25">
      <c r="A27" s="222" t="s">
        <v>78</v>
      </c>
      <c r="D27" s="59" t="str">
        <f t="shared" si="0"/>
        <v>Generators</v>
      </c>
      <c r="E27" s="58" t="str">
        <f>'Constants - Fuel'!$D$67</f>
        <v>Liquefied petroleum gas (LPG)</v>
      </c>
      <c r="F27" s="58" t="str">
        <f>'Constants - Fuel'!D133</f>
        <v>Liquefied petroleum gas (LPG)</v>
      </c>
      <c r="G27" s="49">
        <f>IFERROR(_xlfn.XLOOKUP($E27, Table_Fuel_EFs_StationaryLiquid[Fuel combusted], Table_Fuel_EFs_StationaryLiquid[Energy Content Factor (GJ per unit of fuel)]),0)</f>
        <v>25.7</v>
      </c>
      <c r="H27" s="49">
        <f>IFERROR(_xlfn.XLOOKUP($E27, Table_Fuel_EFs_StationaryLiquid[Fuel combusted], Table_Fuel_EFs_StationaryLiquid[Scope 1 Emission Factor (kg CO2 - e / GJ) CO2]),0)</f>
        <v>60.2</v>
      </c>
      <c r="I27" s="49">
        <f>IFERROR(_xlfn.XLOOKUP($E27, Table_Fuel_EFs_StationaryLiquid[Fuel combusted], Table_Fuel_EFs_StationaryLiquid[Scope 1 Emission Factor (kg CO2 - e / GJ) CH4]),0)</f>
        <v>0.2</v>
      </c>
      <c r="J27" s="49">
        <f>IFERROR(_xlfn.XLOOKUP($E27, Table_Fuel_EFs_StationaryLiquid[Fuel combusted], Table_Fuel_EFs_StationaryLiquid[Scope 1 Emission Factor (kg CO2 - e / GJ) N2O]),0)</f>
        <v>0.2</v>
      </c>
      <c r="K27" s="49">
        <f>IFERROR(_xlfn.XLOOKUP($E27, Table_Fuel_EFs_StationaryLiquid[Fuel combusted], Table_Fuel_EFs_StationaryLiquid[Scope 3 Emission Factor (kg CO2 - e / GJ)]),0)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200" cm="1">
        <f t="array" ref="N27">Fuel_Equations.VEERG_8_2_1_1__1_FuelCombustionStationary($L27,$G27,H27)</f>
        <v>0</v>
      </c>
      <c r="O27" s="200" cm="1">
        <f t="array" ref="O27">Fuel_Equations.VEERG_8_2_1_1__1_FuelCombustionStationary($L27,$G27,I27)</f>
        <v>0</v>
      </c>
      <c r="P27" s="200" cm="1">
        <f t="array" ref="P27">Fuel_Equations.VEERG_8_2_1_1__1_FuelCombustionStationary($L27,$G27,J27)</f>
        <v>0</v>
      </c>
      <c r="Q27" s="200" cm="1">
        <f t="array" ref="Q27">Fuel_Equations.VEERG_8_2_1_1__1_FuelCombustionStationary($L27,$G27,IF(ISNUMBER(K27), K27, 0))</f>
        <v>0</v>
      </c>
    </row>
    <row r="28" spans="1:17" ht="20.100000000000001" customHeight="1" x14ac:dyDescent="0.25">
      <c r="A28" s="16" t="str">
        <f>HYPERLINK("#'Constants - Scope 3'!A1", "Constants - Scope 3")</f>
        <v>Constants - Scope 3</v>
      </c>
      <c r="D28" s="59" t="str">
        <f t="shared" si="0"/>
        <v>Generators</v>
      </c>
      <c r="E28" s="58" t="str">
        <f>'Constants - Fuel'!$D$73</f>
        <v>Biodiesel</v>
      </c>
      <c r="F28" s="58" t="str">
        <f>'Constants - Fuel'!D134</f>
        <v>Biodiesel</v>
      </c>
      <c r="G28" s="49">
        <f>IFERROR(_xlfn.XLOOKUP($E28, Table_Fuel_EFs_StationaryLiquid[Fuel combusted], Table_Fuel_EFs_StationaryLiquid[Energy Content Factor (GJ per unit of fuel)]),0)</f>
        <v>34.6</v>
      </c>
      <c r="H28" s="49">
        <f>IFERROR(_xlfn.XLOOKUP($E28, Table_Fuel_EFs_StationaryLiquid[Fuel combusted], Table_Fuel_EFs_StationaryLiquid[Scope 1 Emission Factor (kg CO2 - e / GJ) CO2]),0)</f>
        <v>0</v>
      </c>
      <c r="I28" s="49">
        <f>IFERROR(_xlfn.XLOOKUP($E28, Table_Fuel_EFs_StationaryLiquid[Fuel combusted], Table_Fuel_EFs_StationaryLiquid[Scope 1 Emission Factor (kg CO2 - e / GJ) CH4]),0)</f>
        <v>0.08</v>
      </c>
      <c r="J28" s="49">
        <f>IFERROR(_xlfn.XLOOKUP($E28, Table_Fuel_EFs_StationaryLiquid[Fuel combusted], Table_Fuel_EFs_StationaryLiquid[Scope 1 Emission Factor (kg CO2 - e / GJ) N2O]),0)</f>
        <v>0.2</v>
      </c>
      <c r="K28" s="49" t="str">
        <f>IFERROR(_xlfn.XLOOKUP($E28, Table_Fuel_EFs_StationaryLiquid[Fuel combusted], Table_Fuel_EFs_StationaryLiquid[Scope 3 Emission Factor (kg CO2 - e / GJ)]),0)</f>
        <v>NE</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200" cm="1">
        <f t="array" ref="N28">Fuel_Equations.VEERG_8_2_1_1__1_FuelCombustionStationary($L28,$G28,H28)</f>
        <v>0</v>
      </c>
      <c r="O28" s="200" cm="1">
        <f t="array" ref="O28">Fuel_Equations.VEERG_8_2_1_1__1_FuelCombustionStationary($L28,$G28,I28)</f>
        <v>0</v>
      </c>
      <c r="P28" s="200" cm="1">
        <f t="array" ref="P28">Fuel_Equations.VEERG_8_2_1_1__1_FuelCombustionStationary($L28,$G28,J28)</f>
        <v>0</v>
      </c>
      <c r="Q28" s="200" cm="1">
        <f t="array" ref="Q28">Fuel_Equations.VEERG_8_2_1_1__1_FuelCombustionStationary($L28,$G28,IF(ISNUMBER(K28), K28, 0))</f>
        <v>0</v>
      </c>
    </row>
    <row r="29" spans="1:17" ht="20.100000000000001" customHeight="1" x14ac:dyDescent="0.25">
      <c r="A29" s="16" t="str">
        <f>HYPERLINK("#'Constants - Solid Waste'!A1", "Constants - Solid Waste")</f>
        <v>Constants - Solid Waste</v>
      </c>
      <c r="D29" s="59" t="str">
        <f t="shared" si="0"/>
        <v>Generators</v>
      </c>
      <c r="E29" s="58" t="str">
        <f>'Constants - Fuel'!$D$74</f>
        <v>Ethanol for use as a fuel in an internal combustion engine</v>
      </c>
      <c r="F29" s="58" t="str">
        <f>'Constants - Fuel'!D135</f>
        <v>Ethanol</v>
      </c>
      <c r="G29" s="49">
        <f>IFERROR(_xlfn.XLOOKUP($E29, Table_Fuel_EFs_StationaryLiquid[Fuel combusted], Table_Fuel_EFs_StationaryLiquid[Energy Content Factor (GJ per unit of fuel)]),0)</f>
        <v>23.4</v>
      </c>
      <c r="H29" s="49">
        <f>IFERROR(_xlfn.XLOOKUP($E29, Table_Fuel_EFs_StationaryLiquid[Fuel combusted], Table_Fuel_EFs_StationaryLiquid[Scope 1 Emission Factor (kg CO2 - e / GJ) CO2]),0)</f>
        <v>0</v>
      </c>
      <c r="I29" s="49">
        <f>IFERROR(_xlfn.XLOOKUP($E29, Table_Fuel_EFs_StationaryLiquid[Fuel combusted], Table_Fuel_EFs_StationaryLiquid[Scope 1 Emission Factor (kg CO2 - e / GJ) CH4]),0)</f>
        <v>0.08</v>
      </c>
      <c r="J29" s="49">
        <f>IFERROR(_xlfn.XLOOKUP($E29, Table_Fuel_EFs_StationaryLiquid[Fuel combusted], Table_Fuel_EFs_StationaryLiquid[Scope 1 Emission Factor (kg CO2 - e / GJ) N2O]),0)</f>
        <v>0.2</v>
      </c>
      <c r="K29" s="49" t="str">
        <f>IFERROR(_xlfn.XLOOKUP($E29, Table_Fuel_EFs_StationaryLiquid[Fuel combusted], Table_Fuel_EFs_StationaryLiquid[Scope 3 Emission Factor (kg CO2 - e / GJ)]),0)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200" cm="1">
        <f t="array" ref="N29">Fuel_Equations.VEERG_8_2_1_1__1_FuelCombustionStationary($L29,$G29,H29)</f>
        <v>0</v>
      </c>
      <c r="O29" s="200" cm="1">
        <f t="array" ref="O29">Fuel_Equations.VEERG_8_2_1_1__1_FuelCombustionStationary($L29,$G29,I29)</f>
        <v>0</v>
      </c>
      <c r="P29" s="200" cm="1">
        <f t="array" ref="P29">Fuel_Equations.VEERG_8_2_1_1__1_FuelCombustionStationary($L29,$G29,J29)</f>
        <v>0</v>
      </c>
      <c r="Q29" s="200" cm="1">
        <f t="array" ref="Q29">Fuel_Equations.VEERG_8_2_1_1__1_FuelCombustionStationary($L29,$G29,IF(ISNUMBER(K29), K29, 0))</f>
        <v>0</v>
      </c>
    </row>
    <row r="30" spans="1:17" ht="20.100000000000001" customHeight="1" x14ac:dyDescent="0.25">
      <c r="A30" s="16" t="str">
        <f>HYPERLINK("#'Constants - Fuel'!A1", "Constants - Fuel")</f>
        <v>Constants - Fuel</v>
      </c>
      <c r="D30" s="59" t="str">
        <f t="shared" si="0"/>
        <v>Generators</v>
      </c>
      <c r="E30" s="58" t="str">
        <f>'Constants - Fuel'!$D$75</f>
        <v>Biofuels other than those mentioned in the items above and below</v>
      </c>
      <c r="F30" s="58" t="str">
        <f>'Constants - Fuel'!D136</f>
        <v>Other biofuels</v>
      </c>
      <c r="G30" s="49">
        <f>IFERROR(_xlfn.XLOOKUP($E30, Table_Fuel_EFs_StationaryLiquid[Fuel combusted], Table_Fuel_EFs_StationaryLiquid[Energy Content Factor (GJ per unit of fuel)]),0)</f>
        <v>23.4</v>
      </c>
      <c r="H30" s="49">
        <f>IFERROR(_xlfn.XLOOKUP($E30, Table_Fuel_EFs_StationaryLiquid[Fuel combusted], Table_Fuel_EFs_StationaryLiquid[Scope 1 Emission Factor (kg CO2 - e / GJ) CO2]),0)</f>
        <v>0</v>
      </c>
      <c r="I30" s="49">
        <f>IFERROR(_xlfn.XLOOKUP($E30, Table_Fuel_EFs_StationaryLiquid[Fuel combusted], Table_Fuel_EFs_StationaryLiquid[Scope 1 Emission Factor (kg CO2 - e / GJ) CH4]),0)</f>
        <v>0.08</v>
      </c>
      <c r="J30" s="49">
        <f>IFERROR(_xlfn.XLOOKUP($E30, Table_Fuel_EFs_StationaryLiquid[Fuel combusted], Table_Fuel_EFs_StationaryLiquid[Scope 1 Emission Factor (kg CO2 - e / GJ) N2O]),0)</f>
        <v>0.2</v>
      </c>
      <c r="K30" s="49" t="str">
        <f>IFERROR(_xlfn.XLOOKUP($E30, Table_Fuel_EFs_StationaryLiquid[Fuel combusted], Table_Fuel_EFs_StationaryLiquid[Scope 3 Emission Factor (kg CO2 - e / GJ)]),0)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200" cm="1">
        <f t="array" ref="N30">Fuel_Equations.VEERG_8_2_1_1__1_FuelCombustionStationary($L30,$G30,H30)</f>
        <v>0</v>
      </c>
      <c r="O30" s="200" cm="1">
        <f t="array" ref="O30">Fuel_Equations.VEERG_8_2_1_1__1_FuelCombustionStationary($L30,$G30,I30)</f>
        <v>0</v>
      </c>
      <c r="P30" s="200" cm="1">
        <f t="array" ref="P30">Fuel_Equations.VEERG_8_2_1_1__1_FuelCombustionStationary($L30,$G30,J30)</f>
        <v>0</v>
      </c>
      <c r="Q30" s="200" cm="1">
        <f t="array" ref="Q30">Fuel_Equations.VEERG_8_2_1_1__1_FuelCombustionStationary($L30,$G30,IF(ISNUMBER(K30), K30, 0))</f>
        <v>0</v>
      </c>
    </row>
    <row r="31" spans="1:17" ht="20.100000000000001" customHeight="1" x14ac:dyDescent="0.25">
      <c r="A31" s="16" t="str">
        <f>HYPERLINK("#'Constants - Poultry'!A1", "Constants - Poultry")</f>
        <v>Constants - Poultry</v>
      </c>
      <c r="D31" s="59" t="str">
        <f t="shared" si="0"/>
        <v>Generators</v>
      </c>
      <c r="E31" s="58" t="str">
        <f>'Constants - Fuel'!$D$77</f>
        <v>Renewable diesel</v>
      </c>
      <c r="F31" s="58" t="str">
        <f>'Constants - Fuel'!D137</f>
        <v>Renewable diesel</v>
      </c>
      <c r="G31" s="161">
        <f>IFERROR(_xlfn.XLOOKUP($E31, Table_Fuel_EFs_StationaryLiquid[Fuel combusted], Table_Fuel_EFs_StationaryLiquid[Energy Content Factor (GJ per unit of fuel)]),0)</f>
        <v>38.6</v>
      </c>
      <c r="H31" s="161">
        <f>IFERROR(_xlfn.XLOOKUP($E31, Table_Fuel_EFs_StationaryLiquid[Fuel combusted], Table_Fuel_EFs_StationaryLiquid[Scope 1 Emission Factor (kg CO2 - e / GJ) CO2]),0)</f>
        <v>0</v>
      </c>
      <c r="I31" s="161">
        <f>IFERROR(_xlfn.XLOOKUP($E31, Table_Fuel_EFs_StationaryLiquid[Fuel combusted], Table_Fuel_EFs_StationaryLiquid[Scope 1 Emission Factor (kg CO2 - e / GJ) CH4]),0)</f>
        <v>0.1</v>
      </c>
      <c r="J31" s="161">
        <f>IFERROR(_xlfn.XLOOKUP($E31, Table_Fuel_EFs_StationaryLiquid[Fuel combusted], Table_Fuel_EFs_StationaryLiquid[Scope 1 Emission Factor (kg CO2 - e / GJ) N2O]),0)</f>
        <v>0.2</v>
      </c>
      <c r="K31" s="161" t="str">
        <f>IFERROR(_xlfn.XLOOKUP($E31, Table_Fuel_EFs_StationaryLiquid[Fuel combusted], Table_Fuel_EFs_StationaryLiquid[Scope 3 Emission Factor (kg CO2 - e / GJ)]),0)</f>
        <v>NE</v>
      </c>
      <c r="L31" s="183" cm="1">
        <f t="array" ref="L31">Fuel_InputFunctions.Fuel_TotalConsumption(Table_Input_Fuel[Amount consumed], Table_Input_Fuel[Fuel use (select)], D31, Table_Input_Fuel[Fuel type (select)],F31)</f>
        <v>0</v>
      </c>
      <c r="M31" s="183" t="str" cm="1">
        <f t="array" ref="M31">Common_InputFunctions.Utility_LookupValueInTable(F31,Table_FuelTypes_Units[Fuel type],Table_FuelTypes_Units[Unit])</f>
        <v>kL</v>
      </c>
      <c r="N31" s="201" cm="1">
        <f t="array" ref="N31">Fuel_Equations.VEERG_8_2_1_1__1_FuelCombustionStationary($L31,$G31,H31)</f>
        <v>0</v>
      </c>
      <c r="O31" s="201" cm="1">
        <f t="array" ref="O31">Fuel_Equations.VEERG_8_2_1_1__1_FuelCombustionStationary($L31,$G31,I31)</f>
        <v>0</v>
      </c>
      <c r="P31" s="201" cm="1">
        <f t="array" ref="P31">Fuel_Equations.VEERG_8_2_1_1__1_FuelCombustionStationary($L31,$G31,J31)</f>
        <v>0</v>
      </c>
      <c r="Q31" s="201" cm="1">
        <f t="array" ref="Q31">Fuel_Equations.VEERG_8_2_1_1__1_FuelCombustionStationary($L31,$G31,IF(ISNUMBER(K31), K31, 0))</f>
        <v>0</v>
      </c>
    </row>
    <row r="32" spans="1:17" ht="20.100000000000001" customHeight="1" x14ac:dyDescent="0.25">
      <c r="A32" s="16" t="str">
        <f>HYPERLINK("#'Constants - Swine'!A1", "Constants - Swine")</f>
        <v>Constants - Swine</v>
      </c>
      <c r="D32" s="60" t="str">
        <f>Table_FuelTypesPerUse[[#Headers],[Power standalone machinery or heating]]</f>
        <v>Power standalone machinery or heating</v>
      </c>
      <c r="E32" s="61" t="str">
        <f>'Constants - Fuel'!$D$58</f>
        <v>Automotive gasoline / petrol (other than for use as fuel in an aircraft)</v>
      </c>
      <c r="F32" s="61" t="str">
        <f>'Constants - Fuel'!E131</f>
        <v>Petrol</v>
      </c>
      <c r="G32" s="191">
        <f>IFERROR(_xlfn.XLOOKUP($E32, Table_Fuel_EFs_StationaryLiquid[Fuel combusted], Table_Fuel_EFs_StationaryLiquid[Energy Content Factor (GJ per unit of fuel)]),0)</f>
        <v>34.200000000000003</v>
      </c>
      <c r="H32" s="191">
        <f>IFERROR(_xlfn.XLOOKUP($E32, Table_Fuel_EFs_StationaryLiquid[Fuel combusted], Table_Fuel_EFs_StationaryLiquid[Scope 1 Emission Factor (kg CO2 - e / GJ) CO2]),0)</f>
        <v>67.400000000000006</v>
      </c>
      <c r="I32" s="191">
        <f>IFERROR(_xlfn.XLOOKUP($E32, Table_Fuel_EFs_StationaryLiquid[Fuel combusted], Table_Fuel_EFs_StationaryLiquid[Scope 1 Emission Factor (kg CO2 - e / GJ) CH4]),0)</f>
        <v>0.2</v>
      </c>
      <c r="J32" s="191">
        <f>IFERROR(_xlfn.XLOOKUP($E32, Table_Fuel_EFs_StationaryLiquid[Fuel combusted], Table_Fuel_EFs_StationaryLiquid[Scope 1 Emission Factor (kg CO2 - e / GJ) N2O]),0)</f>
        <v>0.2</v>
      </c>
      <c r="K32" s="191">
        <f>IFERROR(_xlfn.XLOOKUP($E32, Table_Fuel_EFs_StationaryLiquid[Fuel combusted], Table_Fuel_EFs_StationaryLiquid[Scope 3 Emission Factor (kg CO2 - e / GJ)]),0)</f>
        <v>17.2</v>
      </c>
      <c r="L32" s="187" cm="1">
        <f t="array" ref="L32">Fuel_InputFunctions.Fuel_TotalConsumption(Table_Input_Fuel[Amount consumed], Table_Input_Fuel[Fuel use (select)], D32, Table_Input_Fuel[Fuel type (select)],F32)</f>
        <v>0</v>
      </c>
      <c r="M32" s="188" t="str" cm="1">
        <f t="array" ref="M32">Common_InputFunctions.Utility_LookupValueInTable(F32,Table_FuelTypes_Units[Fuel type],Table_FuelTypes_Units[Unit])</f>
        <v>kL</v>
      </c>
      <c r="N32" s="202" cm="1">
        <f t="array" ref="N32">Fuel_Equations.VEERG_8_2_1_1__1_FuelCombustionStationary($L32,$G32,H32)</f>
        <v>0</v>
      </c>
      <c r="O32" s="202" cm="1">
        <f t="array" ref="O32">Fuel_Equations.VEERG_8_2_1_1__1_FuelCombustionStationary($L32,$G32,I32)</f>
        <v>0</v>
      </c>
      <c r="P32" s="202" cm="1">
        <f t="array" ref="P32">Fuel_Equations.VEERG_8_2_1_1__1_FuelCombustionStationary($L32,$G32,J32)</f>
        <v>0</v>
      </c>
      <c r="Q32" s="202" cm="1">
        <f t="array" ref="Q32">Fuel_Equations.VEERG_8_2_1_1__1_FuelCombustionStationary($L32,$G32,IF(ISNUMBER(K32), K32, 0))</f>
        <v>0</v>
      </c>
    </row>
    <row r="33" spans="1:17" ht="20.100000000000001" customHeight="1" x14ac:dyDescent="0.25">
      <c r="A33" s="16" t="str">
        <f>HYPERLINK("#'Constants - Dairy'!A1", "Constants - Dairy")</f>
        <v>Constants - Dairy</v>
      </c>
      <c r="D33" s="59" t="str">
        <f t="shared" ref="D33:D40" si="1">$D$32</f>
        <v>Power standalone machinery or heating</v>
      </c>
      <c r="E33" s="58" t="str">
        <f>'Constants - Fuel'!$D$63</f>
        <v>Diesel oil</v>
      </c>
      <c r="F33" s="58" t="str">
        <f>'Constants - Fuel'!E132</f>
        <v>Diesel</v>
      </c>
      <c r="G33" s="49">
        <f>IFERROR(_xlfn.XLOOKUP($E33, Table_Fuel_EFs_StationaryLiquid[Fuel combusted], Table_Fuel_EFs_StationaryLiquid[Energy Content Factor (GJ per unit of fuel)]),0)</f>
        <v>38.6</v>
      </c>
      <c r="H33" s="49">
        <f>IFERROR(_xlfn.XLOOKUP($E33, Table_Fuel_EFs_StationaryLiquid[Fuel combusted], Table_Fuel_EFs_StationaryLiquid[Scope 1 Emission Factor (kg CO2 - e / GJ) CO2]),0)</f>
        <v>69.900000000000006</v>
      </c>
      <c r="I33" s="49">
        <f>IFERROR(_xlfn.XLOOKUP($E33, Table_Fuel_EFs_StationaryLiquid[Fuel combusted], Table_Fuel_EFs_StationaryLiquid[Scope 1 Emission Factor (kg CO2 - e / GJ) CH4]),0)</f>
        <v>0.1</v>
      </c>
      <c r="J33" s="49">
        <f>IFERROR(_xlfn.XLOOKUP($E33, Table_Fuel_EFs_StationaryLiquid[Fuel combusted], Table_Fuel_EFs_StationaryLiquid[Scope 1 Emission Factor (kg CO2 - e / GJ) N2O]),0)</f>
        <v>0.2</v>
      </c>
      <c r="K33" s="49">
        <f>IFERROR(_xlfn.XLOOKUP($E33, Table_Fuel_EFs_StationaryLiquid[Fuel combusted], Table_Fuel_EFs_StationaryLiquid[Scope 3 Emission Factor (kg CO2 - e / GJ)]),0)</f>
        <v>17.3</v>
      </c>
      <c r="L33" s="49" cm="1">
        <f t="array" ref="L33">Fuel_InputFunctions.Fuel_TotalConsumption(Table_Input_Fuel[Amount consumed], Table_Input_Fuel[Fuel use (select)], D33, Table_Input_Fuel[Fuel type (select)],F33)</f>
        <v>0</v>
      </c>
      <c r="M33" s="49" t="str" cm="1">
        <f t="array" ref="M33">Common_InputFunctions.Utility_LookupValueInTable(F33,Table_FuelTypes_Units[Fuel type],Table_FuelTypes_Units[Unit])</f>
        <v>kL</v>
      </c>
      <c r="N33" s="200" cm="1">
        <f t="array" ref="N33">Fuel_Equations.VEERG_8_2_1_1__1_FuelCombustionStationary($L33,$G33,H33)</f>
        <v>0</v>
      </c>
      <c r="O33" s="200" cm="1">
        <f t="array" ref="O33">Fuel_Equations.VEERG_8_2_1_1__1_FuelCombustionStationary($L33,$G33,I33)</f>
        <v>0</v>
      </c>
      <c r="P33" s="200" cm="1">
        <f t="array" ref="P33">Fuel_Equations.VEERG_8_2_1_1__1_FuelCombustionStationary($L33,$G33,J33)</f>
        <v>0</v>
      </c>
      <c r="Q33" s="200" cm="1">
        <f t="array" ref="Q33">Fuel_Equations.VEERG_8_2_1_1__1_FuelCombustionStationary($L33,$G33,IF(ISNUMBER(K33), K33, 0))</f>
        <v>0</v>
      </c>
    </row>
    <row r="34" spans="1:17" ht="20.100000000000001" customHeight="1" x14ac:dyDescent="0.25">
      <c r="A34" s="16" t="str">
        <f>HYPERLINK("#'Constants - Pasture Beef'!A1", "Constants - Pasture Beef")</f>
        <v>Constants - Pasture Beef</v>
      </c>
      <c r="D34" s="59" t="str">
        <f t="shared" si="1"/>
        <v>Power standalone machinery or heating</v>
      </c>
      <c r="E34" s="58" t="str">
        <f>'Constants - Fuel'!$D$67</f>
        <v>Liquefied petroleum gas (LPG)</v>
      </c>
      <c r="F34" s="58" t="str">
        <f>'Constants - Fuel'!E133</f>
        <v>Liquefied petroleum gas (LPG)</v>
      </c>
      <c r="G34" s="49">
        <f>IFERROR(_xlfn.XLOOKUP($E34, Table_Fuel_EFs_StationaryLiquid[Fuel combusted], Table_Fuel_EFs_StationaryLiquid[Energy Content Factor (GJ per unit of fuel)]),0)</f>
        <v>25.7</v>
      </c>
      <c r="H34" s="49">
        <f>IFERROR(_xlfn.XLOOKUP($E34, Table_Fuel_EFs_StationaryLiquid[Fuel combusted], Table_Fuel_EFs_StationaryLiquid[Scope 1 Emission Factor (kg CO2 - e / GJ) CO2]),0)</f>
        <v>60.2</v>
      </c>
      <c r="I34" s="49">
        <f>IFERROR(_xlfn.XLOOKUP($E34, Table_Fuel_EFs_StationaryLiquid[Fuel combusted], Table_Fuel_EFs_StationaryLiquid[Scope 1 Emission Factor (kg CO2 - e / GJ) CH4]),0)</f>
        <v>0.2</v>
      </c>
      <c r="J34" s="49">
        <f>IFERROR(_xlfn.XLOOKUP($E34, Table_Fuel_EFs_StationaryLiquid[Fuel combusted], Table_Fuel_EFs_StationaryLiquid[Scope 1 Emission Factor (kg CO2 - e / GJ) N2O]),0)</f>
        <v>0.2</v>
      </c>
      <c r="K34" s="49">
        <f>IFERROR(_xlfn.XLOOKUP($E34, Table_Fuel_EFs_StationaryLiquid[Fuel combusted], Table_Fuel_EFs_StationaryLiquid[Scope 3 Emission Factor (kg CO2 - e / GJ)]),0)</f>
        <v>20.2</v>
      </c>
      <c r="L34" s="49" cm="1">
        <f t="array" ref="L34">Fuel_InputFunctions.Fuel_TotalConsumption(Table_Input_Fuel[Amount consumed], Table_Input_Fuel[Fuel use (select)], D34, Table_Input_Fuel[Fuel type (select)],F34)</f>
        <v>0</v>
      </c>
      <c r="M34" s="49" t="str" cm="1">
        <f t="array" ref="M34">Common_InputFunctions.Utility_LookupValueInTable(F34,Table_FuelTypes_Units[Fuel type],Table_FuelTypes_Units[Unit])</f>
        <v>kL</v>
      </c>
      <c r="N34" s="200" cm="1">
        <f t="array" ref="N34">Fuel_Equations.VEERG_8_2_1_1__1_FuelCombustionStationary($L34,$G34,H34)</f>
        <v>0</v>
      </c>
      <c r="O34" s="200" cm="1">
        <f t="array" ref="O34">Fuel_Equations.VEERG_8_2_1_1__1_FuelCombustionStationary($L34,$G34,I34)</f>
        <v>0</v>
      </c>
      <c r="P34" s="200" cm="1">
        <f t="array" ref="P34">Fuel_Equations.VEERG_8_2_1_1__1_FuelCombustionStationary($L34,$G34,J34)</f>
        <v>0</v>
      </c>
      <c r="Q34" s="200" cm="1">
        <f t="array" ref="Q34">Fuel_Equations.VEERG_8_2_1_1__1_FuelCombustionStationary($L34,$G34,IF(ISNUMBER(K34), K34, 0))</f>
        <v>0</v>
      </c>
    </row>
    <row r="35" spans="1:17" ht="20.100000000000001" customHeight="1" x14ac:dyDescent="0.25">
      <c r="A35" s="16" t="str">
        <f>HYPERLINK("#'Constants - Common Livestock'!A1", "Constants - Common Livestock")</f>
        <v>Constants - Common Livestock</v>
      </c>
      <c r="D35" s="59" t="str">
        <f t="shared" si="1"/>
        <v>Power standalone machinery or heating</v>
      </c>
      <c r="E35" s="58" t="str">
        <f>'Constants - Fuel'!$D$73</f>
        <v>Biodiesel</v>
      </c>
      <c r="F35" s="58" t="str">
        <f>'Constants - Fuel'!E134</f>
        <v>Biodiesel</v>
      </c>
      <c r="G35" s="49">
        <f>IFERROR(_xlfn.XLOOKUP($E35, Table_Fuel_EFs_StationaryLiquid[Fuel combusted], Table_Fuel_EFs_StationaryLiquid[Energy Content Factor (GJ per unit of fuel)]),0)</f>
        <v>34.6</v>
      </c>
      <c r="H35" s="49">
        <f>IFERROR(_xlfn.XLOOKUP($E35, Table_Fuel_EFs_StationaryLiquid[Fuel combusted], Table_Fuel_EFs_StationaryLiquid[Scope 1 Emission Factor (kg CO2 - e / GJ) CO2]),0)</f>
        <v>0</v>
      </c>
      <c r="I35" s="49">
        <f>IFERROR(_xlfn.XLOOKUP($E35, Table_Fuel_EFs_StationaryLiquid[Fuel combusted], Table_Fuel_EFs_StationaryLiquid[Scope 1 Emission Factor (kg CO2 - e / GJ) CH4]),0)</f>
        <v>0.08</v>
      </c>
      <c r="J35" s="49">
        <f>IFERROR(_xlfn.XLOOKUP($E35, Table_Fuel_EFs_StationaryLiquid[Fuel combusted], Table_Fuel_EFs_StationaryLiquid[Scope 1 Emission Factor (kg CO2 - e / GJ) N2O]),0)</f>
        <v>0.2</v>
      </c>
      <c r="K35" s="49" t="str">
        <f>IFERROR(_xlfn.XLOOKUP($E35, Table_Fuel_EFs_StationaryLiquid[Fuel combusted], Table_Fuel_EFs_StationaryLiquid[Scope 3 Emission Factor (kg CO2 - e / GJ)]),0)</f>
        <v>NE</v>
      </c>
      <c r="L35" s="49" cm="1">
        <f t="array" ref="L35">Fuel_InputFunctions.Fuel_TotalConsumption(Table_Input_Fuel[Amount consumed], Table_Input_Fuel[Fuel use (select)], D35, Table_Input_Fuel[Fuel type (select)],F35)</f>
        <v>0</v>
      </c>
      <c r="M35" s="49" t="str" cm="1">
        <f t="array" ref="M35">Common_InputFunctions.Utility_LookupValueInTable(F35,Table_FuelTypes_Units[Fuel type],Table_FuelTypes_Units[Unit])</f>
        <v>kL</v>
      </c>
      <c r="N35" s="200" cm="1">
        <f t="array" ref="N35">Fuel_Equations.VEERG_8_2_1_1__1_FuelCombustionStationary($L35,$G35,H35)</f>
        <v>0</v>
      </c>
      <c r="O35" s="200" cm="1">
        <f t="array" ref="O35">Fuel_Equations.VEERG_8_2_1_1__1_FuelCombustionStationary($L35,$G35,I35)</f>
        <v>0</v>
      </c>
      <c r="P35" s="200" cm="1">
        <f t="array" ref="P35">Fuel_Equations.VEERG_8_2_1_1__1_FuelCombustionStationary($L35,$G35,J35)</f>
        <v>0</v>
      </c>
      <c r="Q35" s="200" cm="1">
        <f t="array" ref="Q35">Fuel_Equations.VEERG_8_2_1_1__1_FuelCombustionStationary($L35,$G35,IF(ISNUMBER(K35), K35, 0))</f>
        <v>0</v>
      </c>
    </row>
    <row r="36" spans="1:17" ht="20.100000000000001" customHeight="1" x14ac:dyDescent="0.25">
      <c r="A36" s="16" t="str">
        <f>HYPERLINK("#'Constants - Fertiliser'!A1", "Constants - Fertiliser")</f>
        <v>Constants - Fertiliser</v>
      </c>
      <c r="D36" s="59" t="str">
        <f t="shared" si="1"/>
        <v>Power standalone machinery or heating</v>
      </c>
      <c r="E36" s="58" t="str">
        <f>'Constants - Fuel'!$D$74</f>
        <v>Ethanol for use as a fuel in an internal combustion engine</v>
      </c>
      <c r="F36" s="58" t="str">
        <f>'Constants - Fuel'!E135</f>
        <v>Ethanol</v>
      </c>
      <c r="G36" s="49">
        <f>IFERROR(_xlfn.XLOOKUP($E36, Table_Fuel_EFs_StationaryLiquid[Fuel combusted], Table_Fuel_EFs_StationaryLiquid[Energy Content Factor (GJ per unit of fuel)]),0)</f>
        <v>23.4</v>
      </c>
      <c r="H36" s="49">
        <f>IFERROR(_xlfn.XLOOKUP($E36, Table_Fuel_EFs_StationaryLiquid[Fuel combusted], Table_Fuel_EFs_StationaryLiquid[Scope 1 Emission Factor (kg CO2 - e / GJ) CO2]),0)</f>
        <v>0</v>
      </c>
      <c r="I36" s="49">
        <f>IFERROR(_xlfn.XLOOKUP($E36, Table_Fuel_EFs_StationaryLiquid[Fuel combusted], Table_Fuel_EFs_StationaryLiquid[Scope 1 Emission Factor (kg CO2 - e / GJ) CH4]),0)</f>
        <v>0.08</v>
      </c>
      <c r="J36" s="49">
        <f>IFERROR(_xlfn.XLOOKUP($E36, Table_Fuel_EFs_StationaryLiquid[Fuel combusted], Table_Fuel_EFs_StationaryLiquid[Scope 1 Emission Factor (kg CO2 - e / GJ) N2O]),0)</f>
        <v>0.2</v>
      </c>
      <c r="K36" s="49" t="str">
        <f>IFERROR(_xlfn.XLOOKUP($E36, Table_Fuel_EFs_StationaryLiquid[Fuel combusted], Table_Fuel_EFs_StationaryLiquid[Scope 3 Emission Factor (kg CO2 - e / GJ)]),0)</f>
        <v>NE</v>
      </c>
      <c r="L36" s="49" cm="1">
        <f t="array" ref="L36">Fuel_InputFunctions.Fuel_TotalConsumption(Table_Input_Fuel[Amount consumed], Table_Input_Fuel[Fuel use (select)], D36, Table_Input_Fuel[Fuel type (select)],F36)</f>
        <v>0</v>
      </c>
      <c r="M36" s="49" t="str" cm="1">
        <f t="array" ref="M36">Common_InputFunctions.Utility_LookupValueInTable(F36,Table_FuelTypes_Units[Fuel type],Table_FuelTypes_Units[Unit])</f>
        <v>kL</v>
      </c>
      <c r="N36" s="200" cm="1">
        <f t="array" ref="N36">Fuel_Equations.VEERG_8_2_1_1__1_FuelCombustionStationary($L36,$G36,H36)</f>
        <v>0</v>
      </c>
      <c r="O36" s="200" cm="1">
        <f t="array" ref="O36">Fuel_Equations.VEERG_8_2_1_1__1_FuelCombustionStationary($L36,$G36,I36)</f>
        <v>0</v>
      </c>
      <c r="P36" s="200" cm="1">
        <f t="array" ref="P36">Fuel_Equations.VEERG_8_2_1_1__1_FuelCombustionStationary($L36,$G36,J36)</f>
        <v>0</v>
      </c>
      <c r="Q36" s="200" cm="1">
        <f t="array" ref="Q36">Fuel_Equations.VEERG_8_2_1_1__1_FuelCombustionStationary($L36,$G36,IF(ISNUMBER(K36), K36, 0))</f>
        <v>0</v>
      </c>
    </row>
    <row r="37" spans="1:17" ht="20.100000000000001" customHeight="1" x14ac:dyDescent="0.25">
      <c r="A37" s="16" t="str">
        <f>HYPERLINK("#'Constants - Electricity'!A1", "Constants - Electricity")</f>
        <v>Constants - Electricity</v>
      </c>
      <c r="D37" s="59" t="str">
        <f t="shared" si="1"/>
        <v>Power standalone machinery or heating</v>
      </c>
      <c r="E37" s="58" t="str">
        <f>'Constants - Fuel'!$D$75</f>
        <v>Biofuels other than those mentioned in the items above and below</v>
      </c>
      <c r="F37" s="58" t="str">
        <f>'Constants - Fuel'!E136</f>
        <v>Other biofuels</v>
      </c>
      <c r="G37" s="49">
        <f>IFERROR(_xlfn.XLOOKUP($E37, Table_Fuel_EFs_StationaryLiquid[Fuel combusted], Table_Fuel_EFs_StationaryLiquid[Energy Content Factor (GJ per unit of fuel)]),0)</f>
        <v>23.4</v>
      </c>
      <c r="H37" s="49">
        <f>IFERROR(_xlfn.XLOOKUP($E37, Table_Fuel_EFs_StationaryLiquid[Fuel combusted], Table_Fuel_EFs_StationaryLiquid[Scope 1 Emission Factor (kg CO2 - e / GJ) CO2]),0)</f>
        <v>0</v>
      </c>
      <c r="I37" s="49">
        <f>IFERROR(_xlfn.XLOOKUP($E37, Table_Fuel_EFs_StationaryLiquid[Fuel combusted], Table_Fuel_EFs_StationaryLiquid[Scope 1 Emission Factor (kg CO2 - e / GJ) CH4]),0)</f>
        <v>0.08</v>
      </c>
      <c r="J37" s="49">
        <f>IFERROR(_xlfn.XLOOKUP($E37, Table_Fuel_EFs_StationaryLiquid[Fuel combusted], Table_Fuel_EFs_StationaryLiquid[Scope 1 Emission Factor (kg CO2 - e / GJ) N2O]),0)</f>
        <v>0.2</v>
      </c>
      <c r="K37" s="49" t="str">
        <f>IFERROR(_xlfn.XLOOKUP($E37, Table_Fuel_EFs_StationaryLiquid[Fuel combusted], Table_Fuel_EFs_StationaryLiquid[Scope 3 Emission Factor (kg CO2 - e / GJ)]),0)</f>
        <v>NE</v>
      </c>
      <c r="L37" s="49" cm="1">
        <f t="array" ref="L37">Fuel_InputFunctions.Fuel_TotalConsumption(Table_Input_Fuel[Amount consumed], Table_Input_Fuel[Fuel use (select)], D37, Table_Input_Fuel[Fuel type (select)],F37)</f>
        <v>0</v>
      </c>
      <c r="M37" s="49" t="str" cm="1">
        <f t="array" ref="M37">Common_InputFunctions.Utility_LookupValueInTable(F37,Table_FuelTypes_Units[Fuel type],Table_FuelTypes_Units[Unit])</f>
        <v>kL</v>
      </c>
      <c r="N37" s="200" cm="1">
        <f t="array" ref="N37">Fuel_Equations.VEERG_8_2_1_1__1_FuelCombustionStationary($L37,$G37,H37)</f>
        <v>0</v>
      </c>
      <c r="O37" s="200" cm="1">
        <f t="array" ref="O37">Fuel_Equations.VEERG_8_2_1_1__1_FuelCombustionStationary($L37,$G37,I37)</f>
        <v>0</v>
      </c>
      <c r="P37" s="200" cm="1">
        <f t="array" ref="P37">Fuel_Equations.VEERG_8_2_1_1__1_FuelCombustionStationary($L37,$G37,J37)</f>
        <v>0</v>
      </c>
      <c r="Q37" s="200" cm="1">
        <f t="array" ref="Q37">Fuel_Equations.VEERG_8_2_1_1__1_FuelCombustionStationary($L37,$G37,IF(ISNUMBER(K37), K37, 0))</f>
        <v>0</v>
      </c>
    </row>
    <row r="38" spans="1:17" ht="20.100000000000001" customHeight="1" x14ac:dyDescent="0.25">
      <c r="A38" s="16" t="str">
        <f>HYPERLINK("#'Constants - Common'!A1", "Constants - Common")</f>
        <v>Constants - Common</v>
      </c>
      <c r="D38" s="59" t="str">
        <f t="shared" si="1"/>
        <v>Power standalone machinery or heating</v>
      </c>
      <c r="E38" s="58" t="str">
        <f>'Constants - Fuel'!$D$77</f>
        <v>Renewable diesel</v>
      </c>
      <c r="F38" s="58" t="str">
        <f>'Constants - Fuel'!E137</f>
        <v>Renewable diesel</v>
      </c>
      <c r="G38" s="49">
        <f>IFERROR(_xlfn.XLOOKUP($E38, Table_Fuel_EFs_StationaryLiquid[Fuel combusted], Table_Fuel_EFs_StationaryLiquid[Energy Content Factor (GJ per unit of fuel)]),0)</f>
        <v>38.6</v>
      </c>
      <c r="H38" s="49">
        <f>IFERROR(_xlfn.XLOOKUP($E38, Table_Fuel_EFs_StationaryLiquid[Fuel combusted], Table_Fuel_EFs_StationaryLiquid[Scope 1 Emission Factor (kg CO2 - e / GJ) CO2]),0)</f>
        <v>0</v>
      </c>
      <c r="I38" s="49">
        <f>IFERROR(_xlfn.XLOOKUP($E38, Table_Fuel_EFs_StationaryLiquid[Fuel combusted], Table_Fuel_EFs_StationaryLiquid[Scope 1 Emission Factor (kg CO2 - e / GJ) CH4]),0)</f>
        <v>0.1</v>
      </c>
      <c r="J38" s="49">
        <f>IFERROR(_xlfn.XLOOKUP($E38, Table_Fuel_EFs_StationaryLiquid[Fuel combusted], Table_Fuel_EFs_StationaryLiquid[Scope 1 Emission Factor (kg CO2 - e / GJ) N2O]),0)</f>
        <v>0.2</v>
      </c>
      <c r="K38" s="49" t="str">
        <f>IFERROR(_xlfn.XLOOKUP($E38, Table_Fuel_EFs_StationaryLiquid[Fuel combusted], Table_Fuel_EFs_StationaryLiquid[Scope 3 Emission Factor (kg CO2 - e / GJ)]),0)</f>
        <v>NE</v>
      </c>
      <c r="L38" s="49" cm="1">
        <f t="array" ref="L38">Fuel_InputFunctions.Fuel_TotalConsumption(Table_Input_Fuel[Amount consumed], Table_Input_Fuel[Fuel use (select)], D38, Table_Input_Fuel[Fuel type (select)],F38)</f>
        <v>0</v>
      </c>
      <c r="M38" s="49" t="str" cm="1">
        <f t="array" ref="M38">Common_InputFunctions.Utility_LookupValueInTable(F38,Table_FuelTypes_Units[Fuel type],Table_FuelTypes_Units[Unit])</f>
        <v>kL</v>
      </c>
      <c r="N38" s="200" cm="1">
        <f t="array" ref="N38">Fuel_Equations.VEERG_8_2_1_1__1_FuelCombustionStationary($L38,$G38,H38)</f>
        <v>0</v>
      </c>
      <c r="O38" s="200" cm="1">
        <f t="array" ref="O38">Fuel_Equations.VEERG_8_2_1_1__1_FuelCombustionStationary($L38,$G38,I38)</f>
        <v>0</v>
      </c>
      <c r="P38" s="200" cm="1">
        <f t="array" ref="P38">Fuel_Equations.VEERG_8_2_1_1__1_FuelCombustionStationary($L38,$G38,J38)</f>
        <v>0</v>
      </c>
      <c r="Q38" s="200" cm="1">
        <f t="array" ref="Q38">Fuel_Equations.VEERG_8_2_1_1__1_FuelCombustionStationary($L38,$G38,IF(ISNUMBER(K38), K38, 0))</f>
        <v>0</v>
      </c>
    </row>
    <row r="39" spans="1:17" ht="20.100000000000001" customHeight="1" x14ac:dyDescent="0.25">
      <c r="A39"/>
      <c r="D39" s="59" t="str">
        <f t="shared" si="1"/>
        <v>Power standalone machinery or heating</v>
      </c>
      <c r="E39" s="58" t="str">
        <f>'Constants - Fuel'!$D$103</f>
        <v>Natural gas distributed in a pipeline - Gigajoules</v>
      </c>
      <c r="F39" s="58" t="str">
        <f>'Constants - Fuel'!E138</f>
        <v>Natural gas (via pipeline) in GJ</v>
      </c>
      <c r="G39" s="49">
        <f>IFERROR(_xlfn.XLOOKUP($E39, Table_Fuel_EFs_StationaryGaseous[Fuel combusted], Table_Fuel_EFs_StationaryGaseous[Energy Content Factor (GJ per unit of fuel)]),0)</f>
        <v>1</v>
      </c>
      <c r="H39" s="49">
        <f>IFERROR(_xlfn.XLOOKUP($E39, Table_Fuel_EFs_StationaryGaseous[Fuel combusted], Table_Fuel_EFs_StationaryGaseous[Scope 1 Emission Factor (kg CO2 - e / GJ) CO2]),0)</f>
        <v>51.4</v>
      </c>
      <c r="I39" s="49">
        <f>IFERROR(_xlfn.XLOOKUP($E39, Table_Fuel_EFs_StationaryGaseous[Fuel combusted], Table_Fuel_EFs_StationaryGaseous[Scope 1 Emission Factor (kg CO2 - e / GJ) CH4]),0)</f>
        <v>0.1</v>
      </c>
      <c r="J39" s="49">
        <f>IFERROR(_xlfn.XLOOKUP($E39, Table_Fuel_EFs_StationaryGaseous[Fuel combusted], Table_Fuel_EFs_StationaryGaseous[Scope 1 Emission Factor (kg CO2 - e / GJ) N2O]),0)</f>
        <v>0.03</v>
      </c>
      <c r="K39" s="49" cm="1">
        <f t="array" ref="K39">IFERROR(Common_InputFunctions.Utility_LookupValueInTableOneColumnAndHeader($P$17,$P$18,Table_Fuel_EFs_StationaryGaseous34[State or territory],Table_Fuel_EFs_StationaryGaseous34[#Headers],Table_Fuel_EFs_StationaryGaseous34[]),0)</f>
        <v>13.1</v>
      </c>
      <c r="L39" s="181" cm="1">
        <f t="array" ref="L39">Fuel_InputFunctions.Fuel_TotalConsumption(Table_Input_Fuel[Amount consumed], Table_Input_Fuel[Fuel use (select)], D39, Table_Input_Fuel[Fuel type (select)],F39)</f>
        <v>0</v>
      </c>
      <c r="M39" s="181" t="str" cm="1">
        <f t="array" ref="M39">Common_InputFunctions.Utility_LookupValueInTable(F39,Table_FuelTypes_Units[Fuel type],Table_FuelTypes_Units[Unit])</f>
        <v>GJ</v>
      </c>
      <c r="N39" s="200" cm="1">
        <f t="array" ref="N39">Fuel_Equations.VEERG_8_2_1_1__1_FuelCombustionStationary($L39,$G39,H39)</f>
        <v>0</v>
      </c>
      <c r="O39" s="200" cm="1">
        <f t="array" ref="O39">Fuel_Equations.VEERG_8_2_1_1__1_FuelCombustionStationary($L39,$G39,I39)</f>
        <v>0</v>
      </c>
      <c r="P39" s="200" cm="1">
        <f t="array" ref="P39">Fuel_Equations.VEERG_8_2_1_1__1_FuelCombustionStationary($L39,$G39,J39)</f>
        <v>0</v>
      </c>
      <c r="Q39" s="200" cm="1">
        <f t="array" ref="Q39">Fuel_Equations.VEERG_8_2_1_1__1_FuelCombustionStationary($L39,$G39,IF(ISNUMBER(K39), K39, 0))</f>
        <v>0</v>
      </c>
    </row>
    <row r="40" spans="1:17" ht="20.100000000000001" customHeight="1" x14ac:dyDescent="0.25">
      <c r="A40"/>
      <c r="D40" s="59" t="str">
        <f t="shared" si="1"/>
        <v>Power standalone machinery or heating</v>
      </c>
      <c r="E40" s="58" t="str">
        <f>'Constants - Fuel'!$D$104</f>
        <v>Town gas - Gigajoules</v>
      </c>
      <c r="F40" s="58" t="str">
        <f>'Constants - Fuel'!E139</f>
        <v>Town gas in GJ</v>
      </c>
      <c r="G40" s="49">
        <f>IFERROR(_xlfn.XLOOKUP($E40, Table_Fuel_EFs_StationaryGaseous[Fuel combusted], Table_Fuel_EFs_StationaryGaseous[Energy Content Factor (GJ per unit of fuel)]),0)</f>
        <v>1</v>
      </c>
      <c r="H40" s="49">
        <f>IFERROR(_xlfn.XLOOKUP($E40, Table_Fuel_EFs_StationaryGaseous[Fuel combusted], Table_Fuel_EFs_StationaryGaseous[Scope 1 Emission Factor (kg CO2 - e / GJ) CO2]),0)</f>
        <v>60.2</v>
      </c>
      <c r="I40" s="49">
        <f>IFERROR(_xlfn.XLOOKUP($E40, Table_Fuel_EFs_StationaryGaseous[Fuel combusted], Table_Fuel_EFs_StationaryGaseous[Scope 1 Emission Factor (kg CO2 - e / GJ) CH4]),0)</f>
        <v>0.04</v>
      </c>
      <c r="J40" s="49">
        <f>IFERROR(_xlfn.XLOOKUP($E40, Table_Fuel_EFs_StationaryGaseous[Fuel combusted], Table_Fuel_EFs_StationaryGaseous[Scope 1 Emission Factor (kg CO2 - e / GJ) N2O]),0)</f>
        <v>0.03</v>
      </c>
      <c r="K40" s="49" cm="1">
        <f t="array" ref="K40">IFERROR(Common_InputFunctions.Utility_LookupValueInTableOneColumnAndHeader($P$17,$P$18,Table_Fuel_EFs_StationaryGaseous34[State or territory],Table_Fuel_EFs_StationaryGaseous34[#Headers],Table_Fuel_EFs_StationaryGaseous34[]),0)</f>
        <v>13.1</v>
      </c>
      <c r="L40" s="181" cm="1">
        <f t="array" ref="L40">Fuel_InputFunctions.Fuel_TotalConsumption(Table_Input_Fuel[Amount consumed], Table_Input_Fuel[Fuel use (select)], D40, Table_Input_Fuel[Fuel type (select)],F40)</f>
        <v>0.2</v>
      </c>
      <c r="M40" s="181" t="str" cm="1">
        <f t="array" ref="M40">Common_InputFunctions.Utility_LookupValueInTable(F40,Table_FuelTypes_Units[Fuel type],Table_FuelTypes_Units[Unit])</f>
        <v>GJ</v>
      </c>
      <c r="N40" s="200" cm="1">
        <f t="array" ref="N40">Fuel_Equations.VEERG_8_2_1_1__1_FuelCombustionStationary($L40,$G40,H40)</f>
        <v>1.204E-2</v>
      </c>
      <c r="O40" s="200" cm="1">
        <f t="array" ref="O40">Fuel_Equations.VEERG_8_2_1_1__1_FuelCombustionStationary($L40,$G40,I40)</f>
        <v>7.9999999999999996E-6</v>
      </c>
      <c r="P40" s="200" cm="1">
        <f t="array" ref="P40">Fuel_Equations.VEERG_8_2_1_1__1_FuelCombustionStationary($L40,$G40,J40)</f>
        <v>6.0000000000000002E-6</v>
      </c>
      <c r="Q40" s="200" cm="1">
        <f t="array" ref="Q40">Fuel_Equations.VEERG_8_2_1_1__1_FuelCombustionStationary($L40,$G40,IF(ISNUMBER(K40), K40, 0))</f>
        <v>2.6200000000000004E-3</v>
      </c>
    </row>
    <row r="41" spans="1:17" ht="20.100000000000001" customHeight="1" x14ac:dyDescent="0.25">
      <c r="A41"/>
    </row>
    <row r="42" spans="1:17" ht="20.100000000000001" customHeight="1" x14ac:dyDescent="0.25">
      <c r="A42"/>
      <c r="D42" s="193" t="str">
        <f>"Total scope 1 - " &amp; D25</f>
        <v>Total scope 1 - Generators</v>
      </c>
      <c r="E42" s="194"/>
      <c r="F42" s="195"/>
    </row>
    <row r="43" spans="1:17" ht="20.100000000000001" customHeight="1" x14ac:dyDescent="0.25">
      <c r="A43"/>
      <c r="D43" s="7" t="s">
        <v>725</v>
      </c>
      <c r="E43" s="196">
        <f>SUM(N25:N31)</f>
        <v>0</v>
      </c>
      <c r="F43" s="65" t="str">
        <f>$E$12</f>
        <v>t CO2-e</v>
      </c>
    </row>
    <row r="44" spans="1:17" ht="20.100000000000001" customHeight="1" x14ac:dyDescent="0.25">
      <c r="A44"/>
      <c r="D44" s="7" t="s">
        <v>726</v>
      </c>
      <c r="E44" s="196">
        <f>SUM(O25:O31)</f>
        <v>0</v>
      </c>
      <c r="F44" s="65" t="str">
        <f t="shared" ref="F44:F46" si="2">$E$12</f>
        <v>t CO2-e</v>
      </c>
    </row>
    <row r="45" spans="1:17" ht="20.100000000000001" customHeight="1" x14ac:dyDescent="0.25">
      <c r="A45"/>
      <c r="D45" s="7" t="s">
        <v>727</v>
      </c>
      <c r="E45" s="196">
        <f>SUM(P25:P31)</f>
        <v>0</v>
      </c>
      <c r="F45" s="65" t="str">
        <f t="shared" si="2"/>
        <v>t CO2-e</v>
      </c>
    </row>
    <row r="46" spans="1:17" ht="20.100000000000001" customHeight="1" x14ac:dyDescent="0.25">
      <c r="A46"/>
      <c r="D46" s="7" t="s">
        <v>728</v>
      </c>
      <c r="E46" s="196">
        <f>SUM(Q25:Q31)</f>
        <v>0</v>
      </c>
      <c r="F46" s="65" t="str">
        <f t="shared" si="2"/>
        <v>t CO2-e</v>
      </c>
    </row>
    <row r="47" spans="1:17" ht="20.100000000000001" customHeight="1" x14ac:dyDescent="0.25">
      <c r="A47"/>
      <c r="H47" s="17"/>
      <c r="I47" s="17"/>
      <c r="J47" s="17"/>
      <c r="L47" s="17"/>
      <c r="N47" s="17"/>
      <c r="O47" s="17"/>
      <c r="P47" s="17"/>
      <c r="Q47" s="17"/>
    </row>
    <row r="48" spans="1:17" ht="20.100000000000001" customHeight="1" x14ac:dyDescent="0.25">
      <c r="A48"/>
      <c r="D48" s="193" t="str">
        <f>"Total scope 1 - " &amp; D32</f>
        <v>Total scope 1 - Power standalone machinery or heating</v>
      </c>
      <c r="E48" s="197"/>
      <c r="F48" s="195"/>
      <c r="H48" s="17"/>
      <c r="I48" s="17"/>
      <c r="J48" s="17"/>
      <c r="L48" s="17"/>
      <c r="N48" s="17"/>
      <c r="O48" s="17"/>
      <c r="P48" s="17"/>
      <c r="Q48" s="17"/>
    </row>
    <row r="49" spans="1:17" ht="20.100000000000001" customHeight="1" x14ac:dyDescent="0.25">
      <c r="A49"/>
      <c r="D49" s="7" t="s">
        <v>725</v>
      </c>
      <c r="E49" s="196">
        <f>SUM(N32:N40)</f>
        <v>1.204E-2</v>
      </c>
      <c r="F49" s="65" t="str">
        <f t="shared" ref="F49:F52" si="3">$E$12</f>
        <v>t CO2-e</v>
      </c>
      <c r="H49" s="17"/>
      <c r="I49" s="17"/>
      <c r="J49" s="17"/>
      <c r="L49" s="17"/>
      <c r="N49" s="17"/>
      <c r="O49" s="17"/>
      <c r="P49" s="17"/>
      <c r="Q49" s="17"/>
    </row>
    <row r="50" spans="1:17" ht="20.100000000000001" customHeight="1" x14ac:dyDescent="0.25">
      <c r="A50"/>
      <c r="D50" s="7" t="s">
        <v>726</v>
      </c>
      <c r="E50" s="196">
        <f>SUM(O32:O40)</f>
        <v>7.9999999999999996E-6</v>
      </c>
      <c r="F50" s="65" t="str">
        <f t="shared" si="3"/>
        <v>t CO2-e</v>
      </c>
      <c r="H50" s="17"/>
      <c r="I50" s="17"/>
      <c r="J50" s="17"/>
      <c r="L50" s="17"/>
      <c r="N50" s="17"/>
      <c r="O50" s="17"/>
      <c r="P50" s="17"/>
      <c r="Q50" s="17"/>
    </row>
    <row r="51" spans="1:17" ht="20.100000000000001" customHeight="1" x14ac:dyDescent="0.25">
      <c r="A51"/>
      <c r="D51" s="7" t="s">
        <v>727</v>
      </c>
      <c r="E51" s="196">
        <f>SUM(P32:P40)</f>
        <v>6.0000000000000002E-6</v>
      </c>
      <c r="F51" s="65" t="str">
        <f t="shared" si="3"/>
        <v>t CO2-e</v>
      </c>
      <c r="H51" s="17"/>
      <c r="I51" s="17"/>
      <c r="J51" s="17"/>
      <c r="L51" s="17"/>
      <c r="N51" s="17"/>
      <c r="O51" s="17"/>
      <c r="P51" s="17"/>
      <c r="Q51" s="17"/>
    </row>
    <row r="52" spans="1:17" ht="20.100000000000001" customHeight="1" x14ac:dyDescent="0.25">
      <c r="A52"/>
      <c r="D52" s="7" t="s">
        <v>728</v>
      </c>
      <c r="E52" s="196">
        <f>SUM(Q32:Q40)</f>
        <v>2.6200000000000004E-3</v>
      </c>
      <c r="F52" s="65" t="str">
        <f t="shared" si="3"/>
        <v>t CO2-e</v>
      </c>
      <c r="G52" s="17"/>
      <c r="H52" s="17"/>
      <c r="I52" s="17"/>
      <c r="J52" s="17"/>
      <c r="L52" s="17"/>
      <c r="N52" s="17"/>
      <c r="O52" s="17"/>
      <c r="P52" s="17"/>
      <c r="Q52" s="17"/>
    </row>
    <row r="53" spans="1:17" ht="20.100000000000001" customHeight="1" x14ac:dyDescent="0.25">
      <c r="A53"/>
      <c r="G53" s="17"/>
      <c r="H53" s="17"/>
      <c r="I53" s="17"/>
      <c r="J53" s="17"/>
      <c r="L53" s="17"/>
      <c r="N53" s="17"/>
      <c r="O53" s="17"/>
      <c r="P53" s="17"/>
      <c r="Q53" s="17"/>
    </row>
    <row r="54" spans="1:17" ht="20.100000000000001" customHeight="1" x14ac:dyDescent="0.25">
      <c r="A54"/>
      <c r="D54" s="193" t="s">
        <v>739</v>
      </c>
      <c r="E54" s="197"/>
      <c r="F54" s="195"/>
      <c r="G54" s="17"/>
      <c r="H54" s="17"/>
      <c r="I54" s="17"/>
      <c r="J54" s="17"/>
      <c r="L54" s="17"/>
      <c r="N54" s="17"/>
      <c r="O54" s="17"/>
      <c r="P54" s="17"/>
      <c r="Q54" s="17"/>
    </row>
    <row r="55" spans="1:17" ht="20.100000000000001" customHeight="1" x14ac:dyDescent="0.25">
      <c r="A55"/>
      <c r="D55" s="7" t="s">
        <v>725</v>
      </c>
      <c r="E55" s="196">
        <f>E43+E49</f>
        <v>1.204E-2</v>
      </c>
      <c r="F55" s="65" t="str">
        <f t="shared" ref="F55:F58" si="4">$E$12</f>
        <v>t CO2-e</v>
      </c>
      <c r="G55" s="17"/>
      <c r="H55" s="17"/>
      <c r="I55" s="17"/>
      <c r="J55" s="17"/>
      <c r="L55" s="17"/>
      <c r="N55" s="17"/>
      <c r="O55" s="17"/>
      <c r="P55" s="17"/>
      <c r="Q55" s="17"/>
    </row>
    <row r="56" spans="1:17" ht="20.100000000000001" customHeight="1" x14ac:dyDescent="0.25">
      <c r="A56"/>
      <c r="D56" s="7" t="s">
        <v>726</v>
      </c>
      <c r="E56" s="196">
        <f>E44+E50</f>
        <v>7.9999999999999996E-6</v>
      </c>
      <c r="F56" s="65" t="str">
        <f t="shared" si="4"/>
        <v>t CO2-e</v>
      </c>
    </row>
    <row r="57" spans="1:17" ht="20.100000000000001" customHeight="1" x14ac:dyDescent="0.25">
      <c r="A57"/>
      <c r="D57" s="7" t="s">
        <v>727</v>
      </c>
      <c r="E57" s="196">
        <f>E45+E51</f>
        <v>6.0000000000000002E-6</v>
      </c>
      <c r="F57" s="65" t="str">
        <f t="shared" si="4"/>
        <v>t CO2-e</v>
      </c>
      <c r="G57" s="17"/>
      <c r="H57" s="17"/>
      <c r="I57" s="17"/>
      <c r="J57" s="17"/>
      <c r="L57" s="17"/>
      <c r="N57" s="17"/>
      <c r="O57" s="17"/>
      <c r="P57" s="17"/>
      <c r="Q57" s="17"/>
    </row>
    <row r="58" spans="1:17" ht="20.100000000000001" customHeight="1" x14ac:dyDescent="0.25">
      <c r="A58"/>
      <c r="D58" s="7" t="s">
        <v>728</v>
      </c>
      <c r="E58" s="196">
        <f>E46+E52</f>
        <v>2.6200000000000004E-3</v>
      </c>
      <c r="F58" s="65" t="str">
        <f t="shared" si="4"/>
        <v>t CO2-e</v>
      </c>
      <c r="G58" s="17"/>
      <c r="H58" s="17"/>
      <c r="I58" s="17"/>
      <c r="J58" s="17"/>
      <c r="L58" s="17"/>
      <c r="N58" s="17"/>
      <c r="O58" s="17"/>
      <c r="P58" s="17"/>
      <c r="Q58" s="17"/>
    </row>
    <row r="59" spans="1:17" ht="20.100000000000001" customHeight="1" x14ac:dyDescent="0.25">
      <c r="A59"/>
      <c r="G59" s="17"/>
      <c r="H59" s="17"/>
      <c r="I59" s="17"/>
      <c r="J59" s="17"/>
      <c r="L59" s="17"/>
      <c r="N59" s="17"/>
      <c r="O59" s="17"/>
      <c r="P59" s="17"/>
      <c r="Q59" s="17"/>
    </row>
    <row r="60" spans="1:17" ht="20.100000000000001" customHeight="1" x14ac:dyDescent="0.25">
      <c r="A60"/>
      <c r="G60" s="17"/>
      <c r="H60" s="17"/>
      <c r="I60" s="17"/>
      <c r="J60" s="17"/>
      <c r="L60" s="17"/>
      <c r="N60" s="17"/>
      <c r="O60" s="17"/>
      <c r="P60" s="17"/>
      <c r="Q60" s="17"/>
    </row>
    <row r="61" spans="1:17" ht="20.100000000000001" customHeight="1" x14ac:dyDescent="0.25">
      <c r="A61"/>
      <c r="G61" s="17"/>
      <c r="H61" s="17"/>
      <c r="I61" s="17"/>
      <c r="J61" s="17"/>
      <c r="L61" s="17"/>
      <c r="N61" s="17"/>
      <c r="O61" s="17"/>
      <c r="P61" s="17"/>
      <c r="Q61" s="17"/>
    </row>
    <row r="62" spans="1:17" ht="20.100000000000001" customHeight="1" x14ac:dyDescent="0.25">
      <c r="A62"/>
      <c r="G62" s="17"/>
      <c r="H62" s="17"/>
      <c r="I62" s="17"/>
      <c r="J62" s="17"/>
      <c r="L62" s="17"/>
      <c r="N62" s="17"/>
      <c r="O62" s="17"/>
      <c r="P62" s="17"/>
      <c r="Q62" s="17"/>
    </row>
    <row r="63" spans="1:17" ht="20.100000000000001" customHeight="1" x14ac:dyDescent="0.25">
      <c r="A63"/>
      <c r="G63" s="17"/>
      <c r="H63" s="17"/>
      <c r="I63" s="17"/>
      <c r="J63" s="17"/>
      <c r="L63" s="17"/>
      <c r="N63" s="17"/>
      <c r="O63" s="17"/>
      <c r="P63" s="17"/>
      <c r="Q63" s="17"/>
    </row>
    <row r="64" spans="1:17" ht="20.100000000000001" customHeight="1" x14ac:dyDescent="0.25">
      <c r="A64"/>
      <c r="G64" s="17"/>
      <c r="H64" s="17"/>
      <c r="I64" s="17"/>
      <c r="J64" s="17"/>
      <c r="L64" s="17"/>
      <c r="N64" s="17"/>
      <c r="O64" s="17"/>
      <c r="P64" s="17"/>
      <c r="Q64" s="17"/>
    </row>
    <row r="65" spans="1:17" ht="20.100000000000001" customHeight="1" x14ac:dyDescent="0.25">
      <c r="A65"/>
      <c r="G65" s="17"/>
      <c r="H65" s="17"/>
      <c r="I65" s="17"/>
      <c r="J65" s="17"/>
      <c r="L65" s="17"/>
      <c r="N65" s="17"/>
      <c r="O65" s="17"/>
      <c r="P65" s="17"/>
      <c r="Q65" s="17"/>
    </row>
    <row r="66" spans="1:17" ht="20.100000000000001" customHeight="1" x14ac:dyDescent="0.25">
      <c r="A66"/>
      <c r="G66" s="17"/>
      <c r="H66" s="17"/>
      <c r="I66" s="17"/>
      <c r="J66" s="17"/>
      <c r="L66" s="17"/>
      <c r="N66" s="17"/>
      <c r="O66" s="17"/>
      <c r="P66" s="17"/>
      <c r="Q66" s="17"/>
    </row>
    <row r="67" spans="1:17" ht="20.100000000000001" customHeight="1" x14ac:dyDescent="0.25">
      <c r="A67"/>
      <c r="G67" s="17"/>
    </row>
    <row r="68" spans="1:17" ht="20.100000000000001" customHeight="1" x14ac:dyDescent="0.25">
      <c r="A68"/>
      <c r="G68" s="17"/>
    </row>
    <row r="69" spans="1:17" ht="20.100000000000001" customHeight="1" x14ac:dyDescent="0.25">
      <c r="A69"/>
      <c r="G69" s="17"/>
    </row>
    <row r="70" spans="1:17" ht="20.100000000000001" customHeight="1" x14ac:dyDescent="0.25">
      <c r="A70"/>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A1:Q238"/>
  <sheetViews>
    <sheetView showGridLines="0" topLeftCell="A9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1:17" ht="30" customHeight="1" x14ac:dyDescent="0.35">
      <c r="A1" s="37" t="e" vm="1">
        <v>#VALUE!</v>
      </c>
      <c r="C1"/>
      <c r="D1"/>
      <c r="E1"/>
      <c r="F1"/>
      <c r="G1"/>
      <c r="H1"/>
      <c r="I1"/>
      <c r="J1"/>
      <c r="K1"/>
      <c r="L1"/>
      <c r="M1"/>
      <c r="N1"/>
      <c r="O1"/>
      <c r="P1"/>
      <c r="Q1"/>
    </row>
    <row r="2" spans="1:17" ht="20.100000000000001" customHeight="1" x14ac:dyDescent="0.25">
      <c r="C2"/>
      <c r="D2"/>
      <c r="E2"/>
      <c r="F2"/>
      <c r="G2"/>
      <c r="H2"/>
      <c r="I2"/>
      <c r="J2"/>
      <c r="K2"/>
      <c r="L2"/>
      <c r="M2"/>
      <c r="N2"/>
      <c r="O2"/>
      <c r="P2"/>
      <c r="Q2"/>
    </row>
    <row r="3" spans="1:17" ht="20.100000000000001" customHeight="1" x14ac:dyDescent="0.25">
      <c r="A3" s="16" t="str">
        <f>HYPERLINK("#'Overview'!A1", "Overview")</f>
        <v>Overview</v>
      </c>
    </row>
    <row r="4" spans="1:17" ht="20.100000000000001" customHeight="1" x14ac:dyDescent="0.25">
      <c r="A4" s="16" t="str">
        <f>HYPERLINK("#'Results'!A1", "Results")</f>
        <v>Results</v>
      </c>
    </row>
    <row r="5" spans="1:17" ht="20.100000000000001" customHeight="1" x14ac:dyDescent="0.25"/>
    <row r="6" spans="1:17" ht="20.100000000000001" customHeight="1" x14ac:dyDescent="0.25"/>
    <row r="7" spans="1:17" ht="20.100000000000001" customHeight="1" x14ac:dyDescent="0.25">
      <c r="A7" s="19" t="s">
        <v>67</v>
      </c>
    </row>
    <row r="8" spans="1:17" ht="20.100000000000001" customHeight="1" x14ac:dyDescent="0.25">
      <c r="A8" s="16" t="str">
        <f>HYPERLINK("#'Input - Site'!A1", "Site")</f>
        <v>Site</v>
      </c>
    </row>
    <row r="9" spans="1:17" ht="20.100000000000001" customHeight="1" x14ac:dyDescent="0.25">
      <c r="A9" s="16" t="str">
        <f>HYPERLINK("#'Input - Fuel'!A1", "Fuel")</f>
        <v>Fuel</v>
      </c>
    </row>
    <row r="10" spans="1:17" ht="20.100000000000001" customHeight="1" x14ac:dyDescent="0.25">
      <c r="A10" s="16" t="str">
        <f>HYPERLINK("#'Input - Fertiliser'!A1", "Fertiliser")</f>
        <v>Fertiliser</v>
      </c>
    </row>
    <row r="11" spans="1:17" ht="20.100000000000001" customHeight="1" x14ac:dyDescent="0.25">
      <c r="A11" s="16" t="str">
        <f>HYPERLINK("#'Input - Farm Inputs'!A1", "Farm Inputs")</f>
        <v>Farm Inputs</v>
      </c>
    </row>
    <row r="12" spans="1:17" ht="20.100000000000001" customHeight="1" x14ac:dyDescent="0.25">
      <c r="A12" s="16" t="str">
        <f>HYPERLINK("#'Input - Livestock purchases'!A1", "Livestock purchases")</f>
        <v>Livestock purchases</v>
      </c>
    </row>
    <row r="13" spans="1:17" ht="20.100000000000001" customHeight="1" x14ac:dyDescent="0.25">
      <c r="A13" s="16" t="str">
        <f>HYPERLINK("#'Input - Freight'!A1", "Freight")</f>
        <v>Freight</v>
      </c>
    </row>
    <row r="14" spans="1:17" ht="20.100000000000001" customHeight="1" x14ac:dyDescent="0.25">
      <c r="A14" s="16" t="str">
        <f>HYPERLINK("#'Input - Solid waste'!A1", "Solid waste")</f>
        <v>Solid waste</v>
      </c>
    </row>
    <row r="15" spans="1:17" ht="20.100000000000001" customHeight="1" x14ac:dyDescent="0.25">
      <c r="A15" s="16" t="str">
        <f>HYPERLINK("#'Input - Manure sent off-site'!A1", "Manure sent off-site")</f>
        <v>Manure sent off-site</v>
      </c>
    </row>
    <row r="16" spans="1:17" ht="20.100000000000001" customHeight="1" x14ac:dyDescent="0.25">
      <c r="A16" s="16" t="str">
        <f>HYPERLINK("#'Input - Electricity'!A1", "Electricity")</f>
        <v>Electricity</v>
      </c>
    </row>
    <row r="17" spans="1:11" ht="20.100000000000001" customHeight="1" x14ac:dyDescent="0.25"/>
    <row r="18" spans="1:11" ht="20.100000000000001" customHeight="1" x14ac:dyDescent="0.25"/>
    <row r="19" spans="1:11" ht="20.100000000000001" customHeight="1" x14ac:dyDescent="0.25">
      <c r="A19" s="21" t="s">
        <v>77</v>
      </c>
    </row>
    <row r="20" spans="1:11" ht="20.100000000000001" customHeight="1" x14ac:dyDescent="0.25">
      <c r="A20" s="16" t="str">
        <f>HYPERLINK("#'15 Scope 3'!A1", "15 Scope 3")</f>
        <v>15 Scope 3</v>
      </c>
    </row>
    <row r="21" spans="1:11" ht="20.100000000000001" customHeight="1" x14ac:dyDescent="0.25">
      <c r="A21" s="16" t="str">
        <f>HYPERLINK("#'10.1.1-2 Solid waste treatment'!A1", "10.1.1-2 Solid waste treatment")</f>
        <v>10.1.1-2 Solid waste treatment</v>
      </c>
    </row>
    <row r="22" spans="1:11" ht="20.100000000000001" customHeight="1" x14ac:dyDescent="0.25">
      <c r="A22" s="16" t="str">
        <f>HYPERLINK("#'Calcs - Manure sent off-site'!A1", "Calcs - Manure sent off-site")</f>
        <v>Calcs - Manure sent off-site</v>
      </c>
    </row>
    <row r="23" spans="1:11" ht="20.100000000000001" customHeight="1" x14ac:dyDescent="0.25">
      <c r="A23" s="16" t="str">
        <f>HYPERLINK("#'8.1.1.1-2 Transport fuel'!A1", "8.1.1.1-2 Transport fuel")</f>
        <v>8.1.1.1-2 Transport fuel</v>
      </c>
    </row>
    <row r="24" spans="1:11" ht="20.100000000000001" customHeight="1" x14ac:dyDescent="0.25">
      <c r="A24" s="16" t="str">
        <f>HYPERLINK("#'8.2.1.1-2 Stationary fuel'!A1", "8.2.1.1-2 Stationary fuel")</f>
        <v>8.2.1.1-2 Stationary fuel</v>
      </c>
    </row>
    <row r="25" spans="1:11" ht="20.100000000000001" customHeight="1" x14ac:dyDescent="0.25"/>
    <row r="26" spans="1:11" ht="20.100000000000001" customHeight="1" x14ac:dyDescent="0.25"/>
    <row r="27" spans="1:11" ht="20.100000000000001" customHeight="1" x14ac:dyDescent="0.25">
      <c r="A27" s="222" t="s">
        <v>78</v>
      </c>
    </row>
    <row r="28" spans="1:11" ht="20.100000000000001" customHeight="1" x14ac:dyDescent="0.25">
      <c r="A28" s="23" t="str">
        <f>HYPERLINK("#'Constants - Scope 3'!A1", "Constants - Scope 3")</f>
        <v>Constants - Scope 3</v>
      </c>
    </row>
    <row r="29" spans="1:11" ht="20.100000000000001" customHeight="1" x14ac:dyDescent="0.25">
      <c r="A29" s="16" t="str">
        <f>HYPERLINK("#'Constants - Solid Waste'!A1", "Constants - Solid Waste")</f>
        <v>Constants - Solid Waste</v>
      </c>
    </row>
    <row r="30" spans="1:11" ht="20.100000000000001" customHeight="1" x14ac:dyDescent="0.25">
      <c r="A30" s="16" t="str">
        <f>HYPERLINK("#'Constants - Fuel'!A1", "Constants - Fuel")</f>
        <v>Constants - Fuel</v>
      </c>
    </row>
    <row r="31" spans="1:11" ht="20.100000000000001" customHeight="1" x14ac:dyDescent="0.25">
      <c r="A31" s="16" t="str">
        <f>HYPERLINK("#'Constants - Poultry'!A1", "Constants - Poultry")</f>
        <v>Constants - Poultry</v>
      </c>
    </row>
    <row r="32" spans="1:11" ht="20.100000000000001" customHeight="1" x14ac:dyDescent="0.25">
      <c r="A32" s="16" t="str">
        <f>HYPERLINK("#'Constants - Swine'!A1", "Constants - Swine")</f>
        <v>Constants - Swine</v>
      </c>
      <c r="D32" s="9" t="s">
        <v>362</v>
      </c>
      <c r="K32" s="8" t="s">
        <v>433</v>
      </c>
    </row>
    <row r="33" spans="1:12" ht="20.100000000000001" customHeight="1" x14ac:dyDescent="0.25">
      <c r="A33" s="16" t="str">
        <f>HYPERLINK("#'Constants - Dairy'!A1", "Constants - Dairy")</f>
        <v>Constants - Dairy</v>
      </c>
      <c r="D33" s="10" t="s">
        <v>318</v>
      </c>
      <c r="E33" s="10" t="s">
        <v>216</v>
      </c>
      <c r="F33" s="10" t="s">
        <v>319</v>
      </c>
      <c r="G33" s="10" t="s">
        <v>283</v>
      </c>
      <c r="H33" s="10" t="s">
        <v>284</v>
      </c>
      <c r="I33" s="10" t="s">
        <v>363</v>
      </c>
      <c r="K33" s="10" t="s">
        <v>387</v>
      </c>
      <c r="L33" s="10" t="s">
        <v>516</v>
      </c>
    </row>
    <row r="34" spans="1:12" ht="20.100000000000001" customHeight="1" x14ac:dyDescent="0.25">
      <c r="A34" s="16" t="str">
        <f>HYPERLINK("#'Constants - Pasture Beef'!A1", "Constants - Pasture Beef")</f>
        <v>Constants - Pasture Beef</v>
      </c>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313</v>
      </c>
      <c r="L34" s="10" t="s">
        <v>337</v>
      </c>
    </row>
    <row r="35" spans="1:12" ht="20.100000000000001" customHeight="1" x14ac:dyDescent="0.25">
      <c r="A35" s="16" t="str">
        <f>HYPERLINK("#'Constants - Common Livestock'!A1", "Constants - Common Livestock")</f>
        <v>Constants - Common Livestock</v>
      </c>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337</v>
      </c>
      <c r="L35" s="10" t="s">
        <v>337</v>
      </c>
    </row>
    <row r="36" spans="1:12" ht="20.100000000000001" customHeight="1" x14ac:dyDescent="0.25">
      <c r="A36" s="16" t="str">
        <f>HYPERLINK("#'Constants - Fertiliser'!A1", "Constants - Fertiliser")</f>
        <v>Constants - Fertiliser</v>
      </c>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394</v>
      </c>
      <c r="L36" s="10" t="s">
        <v>394</v>
      </c>
    </row>
    <row r="37" spans="1:12" ht="20.100000000000001" customHeight="1" x14ac:dyDescent="0.25">
      <c r="A37" s="16" t="str">
        <f>HYPERLINK("#'Constants - Electricity'!A1", "Constants - Electricity")</f>
        <v>Constants - Electricity</v>
      </c>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391</v>
      </c>
      <c r="L37" s="10" t="s">
        <v>391</v>
      </c>
    </row>
    <row r="38" spans="1:12" ht="20.100000000000001" customHeight="1" x14ac:dyDescent="0.25">
      <c r="A38" s="16" t="str">
        <f>HYPERLINK("#'Constants - Common'!A1", "Constants - Common")</f>
        <v>Constants - Common</v>
      </c>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343</v>
      </c>
      <c r="L38" s="10" t="s">
        <v>343</v>
      </c>
    </row>
    <row r="39" spans="1: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437</v>
      </c>
      <c r="L39" s="10" t="s">
        <v>344</v>
      </c>
    </row>
    <row r="40" spans="1: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436</v>
      </c>
      <c r="L40" s="10" t="s">
        <v>344</v>
      </c>
    </row>
    <row r="41" spans="1: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438</v>
      </c>
      <c r="L41" s="10" t="s">
        <v>344</v>
      </c>
    </row>
    <row r="42" spans="1: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439</v>
      </c>
      <c r="L42" s="10" t="s">
        <v>435</v>
      </c>
    </row>
    <row r="43" spans="1: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440</v>
      </c>
      <c r="L43" s="10" t="s">
        <v>435</v>
      </c>
    </row>
    <row r="44" spans="1: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441</v>
      </c>
      <c r="L44" s="10" t="s">
        <v>435</v>
      </c>
    </row>
    <row r="45" spans="1: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442</v>
      </c>
      <c r="L45" s="10" t="s">
        <v>338</v>
      </c>
    </row>
    <row r="46" spans="1: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443</v>
      </c>
      <c r="L46" s="10" t="s">
        <v>338</v>
      </c>
    </row>
    <row r="47" spans="1: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444</v>
      </c>
      <c r="L47" s="10" t="s">
        <v>338</v>
      </c>
    </row>
    <row r="48" spans="1: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445</v>
      </c>
      <c r="L48" s="10" t="s">
        <v>338</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336</v>
      </c>
      <c r="L49" s="8" t="s">
        <v>336</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365</v>
      </c>
    </row>
    <row r="77" spans="4:9" ht="20.100000000000001" customHeight="1" x14ac:dyDescent="0.25">
      <c r="D77" s="10" t="s">
        <v>318</v>
      </c>
      <c r="E77" s="10" t="s">
        <v>216</v>
      </c>
      <c r="F77" s="10" t="s">
        <v>319</v>
      </c>
      <c r="G77" s="10" t="s">
        <v>283</v>
      </c>
      <c r="H77" s="10" t="s">
        <v>284</v>
      </c>
      <c r="I77" s="10" t="s">
        <v>363</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318</v>
      </c>
      <c r="E82" s="10" t="s">
        <v>216</v>
      </c>
      <c r="F82" s="10" t="s">
        <v>319</v>
      </c>
      <c r="G82" s="10" t="s">
        <v>283</v>
      </c>
      <c r="H82" s="10" t="s">
        <v>284</v>
      </c>
      <c r="I82" s="10" t="s">
        <v>363</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366</v>
      </c>
    </row>
    <row r="89" spans="4:16" ht="20.100000000000001" customHeight="1" x14ac:dyDescent="0.25">
      <c r="D89" s="10" t="s">
        <v>318</v>
      </c>
      <c r="E89" s="10" t="s">
        <v>216</v>
      </c>
      <c r="F89" s="10" t="s">
        <v>319</v>
      </c>
      <c r="G89" s="10" t="s">
        <v>283</v>
      </c>
      <c r="H89" s="10" t="s">
        <v>284</v>
      </c>
      <c r="I89" s="10" t="s">
        <v>363</v>
      </c>
      <c r="K89" s="10" t="s">
        <v>216</v>
      </c>
      <c r="L89" s="10" t="s">
        <v>387</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216</v>
      </c>
      <c r="O90" s="10" t="s">
        <v>387</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216</v>
      </c>
      <c r="L98" s="10" t="s">
        <v>387</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216</v>
      </c>
      <c r="O105" s="10" t="s">
        <v>387</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216</v>
      </c>
      <c r="L110" s="10" t="s">
        <v>387</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216</v>
      </c>
      <c r="O118" s="10" t="s">
        <v>387</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216</v>
      </c>
      <c r="L125" s="10" t="s">
        <v>387</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216</v>
      </c>
      <c r="O131" s="10" t="s">
        <v>387</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216</v>
      </c>
      <c r="L138" s="10" t="s">
        <v>387</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216</v>
      </c>
      <c r="O144" s="10" t="s">
        <v>387</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3" t="s">
        <v>216</v>
      </c>
      <c r="L151" s="153" t="s">
        <v>387</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216</v>
      </c>
      <c r="O152" s="10" t="s">
        <v>387</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216</v>
      </c>
      <c r="L153" s="10" t="s">
        <v>387</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216</v>
      </c>
      <c r="O154" s="10" t="s">
        <v>387</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216</v>
      </c>
      <c r="L155" s="10" t="s">
        <v>387</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216</v>
      </c>
      <c r="O156" s="10" t="s">
        <v>387</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216</v>
      </c>
      <c r="L157" s="10" t="s">
        <v>387</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216</v>
      </c>
      <c r="O158" s="10" t="s">
        <v>387</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318</v>
      </c>
      <c r="E161" s="10" t="s">
        <v>216</v>
      </c>
      <c r="F161" s="10" t="s">
        <v>319</v>
      </c>
      <c r="G161" s="10" t="s">
        <v>283</v>
      </c>
      <c r="H161" s="10" t="s">
        <v>284</v>
      </c>
      <c r="I161" s="10" t="s">
        <v>363</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318</v>
      </c>
      <c r="E167" s="10" t="s">
        <v>216</v>
      </c>
      <c r="F167" s="10" t="s">
        <v>319</v>
      </c>
      <c r="G167" s="10" t="s">
        <v>283</v>
      </c>
      <c r="H167" s="10" t="s">
        <v>284</v>
      </c>
      <c r="I167" s="10" t="s">
        <v>363</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350</v>
      </c>
    </row>
    <row r="173" spans="4:13" ht="20.100000000000001" customHeight="1" x14ac:dyDescent="0.25">
      <c r="D173" s="10" t="s">
        <v>318</v>
      </c>
      <c r="E173" s="10" t="s">
        <v>216</v>
      </c>
      <c r="F173" s="10" t="s">
        <v>319</v>
      </c>
      <c r="G173" s="10" t="s">
        <v>281</v>
      </c>
      <c r="H173" s="10" t="s">
        <v>172</v>
      </c>
      <c r="I173" s="10" t="s">
        <v>173</v>
      </c>
      <c r="J173" s="10" t="s">
        <v>282</v>
      </c>
      <c r="K173" s="10" t="s">
        <v>283</v>
      </c>
      <c r="L173" s="10" t="s">
        <v>284</v>
      </c>
      <c r="M173" s="10" t="s">
        <v>363</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367</v>
      </c>
      <c r="N200" s="10"/>
      <c r="O200" s="10"/>
      <c r="P200" s="10"/>
    </row>
    <row r="201" spans="4:16" ht="20.100000000000001" customHeight="1" x14ac:dyDescent="0.25">
      <c r="D201" s="10" t="s">
        <v>318</v>
      </c>
      <c r="E201" s="10" t="s">
        <v>216</v>
      </c>
      <c r="F201" s="10" t="s">
        <v>319</v>
      </c>
      <c r="G201" s="10" t="s">
        <v>283</v>
      </c>
      <c r="H201" s="10" t="s">
        <v>284</v>
      </c>
      <c r="I201" s="10" t="s">
        <v>363</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368</v>
      </c>
    </row>
    <row r="212" spans="4:16" ht="20.100000000000001" customHeight="1" x14ac:dyDescent="0.25">
      <c r="D212" s="10" t="s">
        <v>318</v>
      </c>
      <c r="E212" s="10" t="s">
        <v>216</v>
      </c>
      <c r="F212" s="10" t="s">
        <v>319</v>
      </c>
      <c r="G212" s="10" t="s">
        <v>283</v>
      </c>
      <c r="H212" s="10" t="s">
        <v>284</v>
      </c>
      <c r="I212" s="10" t="s">
        <v>363</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369</v>
      </c>
    </row>
    <row r="219" spans="4:16" ht="20.100000000000001" customHeight="1" x14ac:dyDescent="0.25">
      <c r="D219" s="10" t="s">
        <v>318</v>
      </c>
      <c r="E219" s="10" t="s">
        <v>216</v>
      </c>
      <c r="F219" s="10" t="s">
        <v>319</v>
      </c>
      <c r="G219" s="10" t="s">
        <v>283</v>
      </c>
      <c r="H219" s="10" t="s">
        <v>284</v>
      </c>
      <c r="I219" s="10" t="s">
        <v>363</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370</v>
      </c>
    </row>
    <row r="234" spans="4:9" ht="20.100000000000001" customHeight="1" x14ac:dyDescent="0.25">
      <c r="D234" s="10" t="s">
        <v>318</v>
      </c>
      <c r="E234" s="10" t="s">
        <v>216</v>
      </c>
      <c r="F234" s="10" t="s">
        <v>319</v>
      </c>
      <c r="G234" s="10" t="s">
        <v>283</v>
      </c>
      <c r="H234" s="10" t="s">
        <v>284</v>
      </c>
      <c r="I234" s="10" t="s">
        <v>363</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294B-0412-4C25-A6D4-AEEB49C81981}">
  <sheetPr>
    <tabColor theme="2" tint="-0.499984740745262"/>
  </sheetPr>
  <dimension ref="A1:AI165"/>
  <sheetViews>
    <sheetView showGridLines="0" topLeftCell="A24" zoomScaleNormal="100" workbookViewId="0">
      <selection activeCell="A38" sqref="A38"/>
    </sheetView>
  </sheetViews>
  <sheetFormatPr defaultRowHeight="15.75" x14ac:dyDescent="0.25"/>
  <cols>
    <col min="1" max="1" width="26.875" customWidth="1"/>
    <col min="2" max="2" width="4.125"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s>
  <sheetData>
    <row r="1" spans="1:35" s="1" customFormat="1" ht="30" customHeight="1" x14ac:dyDescent="0.35">
      <c r="A1" s="37" t="e" vm="1">
        <v>#VALUE!</v>
      </c>
      <c r="C1" s="1" t="s">
        <v>771</v>
      </c>
      <c r="AG1"/>
      <c r="AH1"/>
      <c r="AI1"/>
    </row>
    <row r="2" spans="1:35" s="2" customFormat="1" ht="20.100000000000001" customHeight="1" x14ac:dyDescent="0.25">
      <c r="A2"/>
      <c r="AG2"/>
      <c r="AH2"/>
      <c r="AI2"/>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D5" s="9" t="str" cm="1">
        <f t="array" ref="D5">WasteSolid_SourceData.Waste_EmissionFactorsForWasteTreatment_Title()</f>
        <v>Emission factors for wastes disposed of at different treatment facilities</v>
      </c>
    </row>
    <row r="6" spans="1:35" ht="20.100000000000001" customHeight="1" x14ac:dyDescent="0.25">
      <c r="D6" s="11" t="str" cm="1">
        <f t="array" ref="D6">WasteSolid_SourceData.Waste_EmissionFactorsForWasteTreatment_Source()</f>
        <v>VEERG 2026: Table A.4.1.1</v>
      </c>
    </row>
    <row r="7" spans="1:35" ht="20.100000000000001" customHeight="1" x14ac:dyDescent="0.25">
      <c r="A7" s="19" t="s">
        <v>67</v>
      </c>
      <c r="D7" s="12" t="str" cm="1">
        <f t="array" ref="D7:D13">WasteSolid_SourceData.Waste_EmissionFactorsForWasteTreatment_Variation()</f>
        <v>VARIATION ON SOURCE:</v>
      </c>
    </row>
    <row r="8" spans="1:35" ht="20.100000000000001" customHeight="1" x14ac:dyDescent="0.25">
      <c r="A8" s="16" t="str">
        <f>HYPERLINK("#'Input - Site'!A1", "Site")</f>
        <v>Site</v>
      </c>
      <c r="D8" s="12" t="str">
        <v>Fixed typo 'paper and carboard' to 'paper and cardboard'</v>
      </c>
    </row>
    <row r="9" spans="1:35" ht="20.100000000000001" customHeight="1" x14ac:dyDescent="0.25">
      <c r="A9" s="16" t="str">
        <f>HYPERLINK("#'Input - Fuel'!A1", "Fuel")</f>
        <v>Fuel</v>
      </c>
      <c r="D9" s="12" t="str">
        <v>Fixed typo 'prunnings' to 'prunings'</v>
      </c>
    </row>
    <row r="10" spans="1:35" ht="20.100000000000001" customHeight="1" x14ac:dyDescent="0.25">
      <c r="A10" s="16" t="str">
        <f>HYPERLINK("#'Input - Fertiliser'!A1", "Fertiliser")</f>
        <v>Fertiliser</v>
      </c>
      <c r="D10" s="12" t="str">
        <v>Added EF source column with specific references</v>
      </c>
    </row>
    <row r="11" spans="1:35" ht="20.100000000000001" customHeight="1" x14ac:dyDescent="0.25">
      <c r="A11" s="16" t="str">
        <f>HYPERLINK("#'Input - Farm Inputs'!A1", "Farm Inputs")</f>
        <v>Farm Inputs</v>
      </c>
      <c r="D11" s="12" t="str">
        <v>Added sub-categories for 'Incineration: Food waste, green waste, wood, sludge' in order to use volume to mass conversion factor values</v>
      </c>
    </row>
    <row r="12" spans="1:35" ht="20.100000000000001" customHeight="1" x14ac:dyDescent="0.25">
      <c r="A12" s="16" t="str">
        <f>HYPERLINK("#'Input - Livestock purchases'!A1", "Livestock purchases")</f>
        <v>Livestock purchases</v>
      </c>
      <c r="D12" s="12" t="str">
        <v>Added sub-categories for 'Composting: All organic waste' in order to use volume to mass conversion factor values</v>
      </c>
    </row>
    <row r="13" spans="1:35" ht="20.100000000000001" customHeight="1" x14ac:dyDescent="0.25">
      <c r="A13" s="16" t="str">
        <f>HYPERLINK("#'Input - Freight'!A1", "Freight")</f>
        <v>Freight</v>
      </c>
      <c r="D13" s="12" t="str">
        <v>Added sub-categories for 'Anaerobic digestion: All organic waste' in order to use volume to mass conversion factor values</v>
      </c>
    </row>
    <row r="14" spans="1:35" ht="20.100000000000001" customHeight="1" x14ac:dyDescent="0.25">
      <c r="A14" s="16" t="str">
        <f>HYPERLINK("#'Input - Solid waste'!A1", "Solid waste")</f>
        <v>Solid waste</v>
      </c>
      <c r="D14" s="8" t="str" cm="1">
        <f t="array" ref="D14">WasteSolid_SourceData.Waste_EmissionFactorsForWasteTreatment_Variable()</f>
        <v>EFwt</v>
      </c>
    </row>
    <row r="15" spans="1:35" ht="20.100000000000001" customHeight="1" x14ac:dyDescent="0.25">
      <c r="A15" s="16" t="str">
        <f>HYPERLINK("#'Input - Manure sent off-site'!A1", "Manure sent off-site")</f>
        <v>Manure sent off-site</v>
      </c>
      <c r="D15" s="13" t="str" cm="1">
        <f t="array" ref="D15">WasteSolid_SourceData.Waste_EmissionFactorsForWasteTreatment_Unit()</f>
        <v>t CO2e / t</v>
      </c>
      <c r="I15" s="8" t="s">
        <v>772</v>
      </c>
      <c r="K15" s="8" t="s">
        <v>773</v>
      </c>
      <c r="M15" s="8" t="s">
        <v>774</v>
      </c>
      <c r="O15" s="8" t="s">
        <v>775</v>
      </c>
    </row>
    <row r="16" spans="1:35" ht="20.100000000000001" customHeight="1" x14ac:dyDescent="0.25">
      <c r="A16" s="16" t="str">
        <f>HYPERLINK("#'Input - Electricity'!A1", "Electricity")</f>
        <v>Electricity</v>
      </c>
      <c r="D16" s="10" t="s">
        <v>776</v>
      </c>
      <c r="E16" s="10" t="s">
        <v>777</v>
      </c>
      <c r="F16" s="10" t="s">
        <v>778</v>
      </c>
      <c r="G16" s="10" t="s">
        <v>779</v>
      </c>
      <c r="I16" s="10" t="s">
        <v>777</v>
      </c>
      <c r="K16" s="160" t="s">
        <v>777</v>
      </c>
      <c r="M16" s="160" t="s">
        <v>777</v>
      </c>
      <c r="O16" s="160" t="s">
        <v>777</v>
      </c>
    </row>
    <row r="17" spans="1:15" ht="20.100000000000001" customHeight="1" x14ac:dyDescent="0.25">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5">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5">
      <c r="A19" s="21" t="s">
        <v>77</v>
      </c>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5">
      <c r="A20" s="16" t="str">
        <f>HYPERLINK("#'15 Scope 3'!A1", "15 Scope 3")</f>
        <v>15 Scope 3</v>
      </c>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5">
      <c r="A21" s="16" t="str">
        <f>HYPERLINK("#'10.1.1-2 Solid waste treatment'!A1", "10.1.1-2 Solid waste treatment")</f>
        <v>10.1.1-2 Solid waste treatment</v>
      </c>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5">
      <c r="A22" s="16" t="str">
        <f>HYPERLINK("#'Calcs - Manure sent off-site'!A1", "Calcs - Manure sent off-site")</f>
        <v>Calcs - Manure sent off-site</v>
      </c>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5">
      <c r="A23" s="16" t="str">
        <f>HYPERLINK("#'8.1.1.1-2 Transport fuel'!A1", "8.1.1.1-2 Transport fuel")</f>
        <v>8.1.1.1-2 Transport fuel</v>
      </c>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5">
      <c r="A24" s="16" t="str">
        <f>HYPERLINK("#'8.2.1.1-2 Stationary fuel'!A1", "8.2.1.1-2 Stationary fuel")</f>
        <v>8.2.1.1-2 Stationary fuel</v>
      </c>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5">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5">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5">
      <c r="A27" s="222" t="s">
        <v>78</v>
      </c>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5">
      <c r="A28" s="16" t="str">
        <f>HYPERLINK("#'Constants - Scope 3'!A1", "Constants - Scope 3")</f>
        <v>Constants - Scope 3</v>
      </c>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23" t="str">
        <f>HYPERLINK("#'Constants - Solid Waste'!A1", "Constants - Solid Waste")</f>
        <v>Constants - Solid Waste</v>
      </c>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16" t="str">
        <f>HYPERLINK("#'Constants - Fuel'!A1", "Constants - Fuel")</f>
        <v>Constants - Fuel</v>
      </c>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16" t="str">
        <f>HYPERLINK("#'Constants - Poultry'!A1", "Constants - Poultry")</f>
        <v>Constants - Poultry</v>
      </c>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16" t="str">
        <f>HYPERLINK("#'Constants - Swine'!A1", "Constants - Swine")</f>
        <v>Constants - Swine</v>
      </c>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16" t="str">
        <f>HYPERLINK("#'Constants - Dairy'!A1", "Constants - Dairy")</f>
        <v>Constants - Dairy</v>
      </c>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16" t="str">
        <f>HYPERLINK("#'Constants - Pasture Beef'!A1", "Constants - Pasture Beef")</f>
        <v>Constants - Pasture Beef</v>
      </c>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16" t="str">
        <f>HYPERLINK("#'Constants - Common Livestock'!A1", "Constants - Common Livestock")</f>
        <v>Constants - Common Livestock</v>
      </c>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16" t="str">
        <f>HYPERLINK("#'Constants - Fertiliser'!A1", "Constants - Fertiliser")</f>
        <v>Constants - Fertiliser</v>
      </c>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16" t="str">
        <f>HYPERLINK("#'Constants - Electricity'!A1", "Constants - Electricity")</f>
        <v>Constants - Electricity</v>
      </c>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20"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16" t="str">
        <f>HYPERLINK("#'Constants - Common'!A1", "Constants - Common")</f>
        <v>Constants - Common</v>
      </c>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20"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20"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20"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20"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20"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20"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20"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20"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20"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20"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20" t="str" cm="1">
        <f t="array" ref="G48">Common_InputFunctions.Utility_DisplayArrayInTable(WasteSolid_SourceData.Waste_EmissionFactorsForWasteTreatment_Data(), Table_SourceData_WasteSolid_WasteTreatmentEFs[[#Headers],[Treatment type t]], 0)</f>
        <v/>
      </c>
    </row>
    <row r="49" spans="4:7" ht="20.100000000000001" customHeight="1" x14ac:dyDescent="0.25">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20" t="str" cm="1">
        <f t="array" ref="G49">Common_InputFunctions.Utility_DisplayArrayInTable(WasteSolid_SourceData.Waste_EmissionFactorsForWasteTreatment_Data(), Table_SourceData_WasteSolid_WasteTreatmentEFs[[#Headers],[Treatment type t]], 0)</f>
        <v/>
      </c>
    </row>
    <row r="50" spans="4:7" ht="20.100000000000001" customHeight="1" x14ac:dyDescent="0.25">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20" t="str" cm="1">
        <f t="array" ref="G50">Common_InputFunctions.Utility_DisplayArrayInTable(WasteSolid_SourceData.Waste_EmissionFactorsForWasteTreatment_Data(), Table_SourceData_WasteSolid_WasteTreatmentEFs[[#Headers],[Treatment type t]], 0)</f>
        <v/>
      </c>
    </row>
    <row r="51" spans="4:7" ht="20.100000000000001" customHeight="1" x14ac:dyDescent="0.25"/>
    <row r="52" spans="4:7" ht="20.100000000000001" customHeight="1" x14ac:dyDescent="0.25">
      <c r="D52" s="9" t="str" cm="1">
        <f t="array" ref="D52">WasteSolid_SourceData.Waste_WasteVolumeToMassConversion_Title()</f>
        <v>Volume to mass conversion factor for various waste types</v>
      </c>
    </row>
    <row r="53" spans="4:7" ht="20.100000000000001" customHeight="1" x14ac:dyDescent="0.25">
      <c r="D53" s="11" t="str" cm="1">
        <f t="array" ref="D53">WasteSolid_SourceData.Waste_WasteVolumeToMassConversion_Source()</f>
        <v>VEERG 2026: Table A.4.1.2</v>
      </c>
    </row>
    <row r="54" spans="4:7" ht="20.100000000000001" customHeight="1" x14ac:dyDescent="0.25">
      <c r="D54" s="12" t="str" cm="1">
        <f t="array" ref="D54">WasteSolid_SourceData.Waste_WasteVolumeToMassConversion_Variation()</f>
        <v>VARIATION OF SOURCE: Changed column header CFw to VTMw to match title variable.</v>
      </c>
    </row>
    <row r="55" spans="4:7" ht="20.100000000000001" customHeight="1" x14ac:dyDescent="0.25">
      <c r="D55" s="8" t="str" cm="1">
        <f t="array" ref="D55">WasteSolid_SourceData.Waste_WasteVolumeToMassConversion_Variable()</f>
        <v>VTMw</v>
      </c>
    </row>
    <row r="56" spans="4:7" ht="20.100000000000001" customHeight="1" x14ac:dyDescent="0.25">
      <c r="D56" s="13" t="str" cm="1">
        <f t="array" ref="D56">WasteSolid_SourceData.Waste_WasteVolumeToMassConversion_Unit()</f>
        <v>t/m3</v>
      </c>
    </row>
    <row r="57" spans="4:7" ht="20.100000000000001" customHeight="1" x14ac:dyDescent="0.25">
      <c r="D57" s="10" t="s">
        <v>777</v>
      </c>
      <c r="E57" s="10" t="s">
        <v>780</v>
      </c>
    </row>
    <row r="58" spans="4:7" ht="20.100000000000001" customHeight="1" x14ac:dyDescent="0.25">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4:7" ht="20.100000000000001" customHeight="1" x14ac:dyDescent="0.25">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4:7" ht="20.100000000000001" customHeight="1" x14ac:dyDescent="0.25">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4:7" ht="20.100000000000001" customHeight="1" x14ac:dyDescent="0.25">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4:7" ht="20.100000000000001" customHeight="1" x14ac:dyDescent="0.25">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4:7" ht="20.100000000000001" customHeight="1" x14ac:dyDescent="0.25">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4:7" ht="20.100000000000001" customHeight="1" x14ac:dyDescent="0.25">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4:5" ht="20.100000000000001" customHeight="1" x14ac:dyDescent="0.25">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4:5" ht="20.100000000000001" customHeight="1" x14ac:dyDescent="0.25">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4:5" ht="20.100000000000001" customHeight="1" x14ac:dyDescent="0.25">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4:5" ht="20.100000000000001" customHeight="1" x14ac:dyDescent="0.25"/>
    <row r="70" spans="4:5" ht="20.100000000000001" customHeight="1" x14ac:dyDescent="0.25"/>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7E4C-15BE-43DB-A1F6-FB6FC538C10E}">
  <sheetPr>
    <tabColor theme="2" tint="-0.499984740745262"/>
  </sheetPr>
  <dimension ref="A1:AI165"/>
  <sheetViews>
    <sheetView showGridLines="0" topLeftCell="A17"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66</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Site'!A1", "Site")</f>
        <v>Site</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t="str">
        <f>HYPERLINK("#'Input - Fuel'!A1", "Fuel")</f>
        <v>Fuel</v>
      </c>
      <c r="D9" s="20" t="s">
        <v>68</v>
      </c>
      <c r="E9" s="20" t="s">
        <v>69</v>
      </c>
      <c r="F9" s="20" t="s">
        <v>70</v>
      </c>
      <c r="G9" s="20" t="s">
        <v>71</v>
      </c>
      <c r="H9" s="20" t="s">
        <v>72</v>
      </c>
      <c r="I9" s="20" t="s">
        <v>73</v>
      </c>
      <c r="J9" s="20" t="s">
        <v>74</v>
      </c>
      <c r="K9" s="20" t="s">
        <v>75</v>
      </c>
      <c r="L9" s="20" t="s">
        <v>76</v>
      </c>
    </row>
    <row r="10" spans="1:35" ht="20.100000000000001" customHeight="1" x14ac:dyDescent="0.25">
      <c r="A10" s="16" t="str">
        <f>HYPERLINK("#'Input - Fertiliser'!A1", "Fertiliser")</f>
        <v>Fertiliser</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HYPERLINK("#'Input - Farm Inputs'!A1", "Farm Inputs")</f>
        <v>Farm Inputs</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HYPERLINK("#'Input - Livestock purchases'!A1", "Livestock purchases")</f>
        <v>Livestock purchases</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HYPERLINK("#'Input - Freight'!A1", "Freight")</f>
        <v>Freight</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t="str">
        <f>HYPERLINK("#'Input - Solid waste'!A1", "Solid waste")</f>
        <v>Solid waste</v>
      </c>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16" t="str">
        <f>HYPERLINK("#'Input - Manure sent off-site'!A1", "Manure sent off-site")</f>
        <v>Manure sent off-site</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16" t="str">
        <f>HYPERLINK("#'Input - Electricity'!A1", "Electricity")</f>
        <v>Electricity</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A18"/>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A19" s="21" t="s">
        <v>77</v>
      </c>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t="str">
        <f>HYPERLINK("#'15 Scope 3'!A1", "15 Scope 3")</f>
        <v>15 Scope 3</v>
      </c>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t="str">
        <f>HYPERLINK("#'10.1.1-2 Solid waste treatment'!A1", "10.1.1-2 Solid waste treatment")</f>
        <v>10.1.1-2 Solid waste treatment</v>
      </c>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A22" s="16" t="str">
        <f>HYPERLINK("#'Calcs - Manure sent off-site'!A1", "Calcs - Manure sent off-site")</f>
        <v>Calcs - Manure sent off-site</v>
      </c>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t="str">
        <f>HYPERLINK("#'8.1.1.1-2 Transport fuel'!A1", "8.1.1.1-2 Transport fuel")</f>
        <v>8.1.1.1-2 Transport fuel</v>
      </c>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A24" s="16" t="str">
        <f>HYPERLINK("#'8.2.1.1-2 Stationary fuel'!A1", "8.2.1.1-2 Stationary fuel")</f>
        <v>8.2.1.1-2 Stationary fuel</v>
      </c>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A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A26"/>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A27" s="222" t="s">
        <v>78</v>
      </c>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A28" s="16" t="str">
        <f>HYPERLINK("#'Constants - Scope 3'!A1", "Constants - Scope 3")</f>
        <v>Constants - Scope 3</v>
      </c>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A29" s="16" t="str">
        <f>HYPERLINK("#'Constants - Solid Waste'!A1", "Constants - Solid Waste")</f>
        <v>Constants - Solid Waste</v>
      </c>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A30" s="23" t="str">
        <f>HYPERLINK("#'Constants - Fuel'!A1", "Constants - Fuel")</f>
        <v>Constants - Fuel</v>
      </c>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A31" s="16" t="str">
        <f>HYPERLINK("#'Constants - Poultry'!A1", "Constants - Poultry")</f>
        <v>Constants - Poultry</v>
      </c>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A32" s="16" t="str">
        <f>HYPERLINK("#'Constants - Swine'!A1", "Constants - Swine")</f>
        <v>Constants - Swine</v>
      </c>
      <c r="D32" s="24" t="str" cm="1">
        <f t="array" ref="D32">Common_InputFunctions.Utility_DisplayArrayInTable(Fuel_SourceData.Fuel_Scope1Scope3EmissionFactorsTransport_Data(), Table_Fuel_EFs_Transport[[#Headers],[Transport type]], 0)</f>
        <v>Vessels</v>
      </c>
      <c r="E32" s="24" t="str" cm="1">
        <f t="array" ref="E32">Common_InputFunctions.Utility_DisplayArrayInTable(Fuel_SourceData.Fuel_Scope1Scope3EmissionFactorsTransport_Data(), Table_Fuel_EFs_Transport[[#Headers],[Transport type]], 0)</f>
        <v>Diesel oil</v>
      </c>
      <c r="F32" s="24" cm="1">
        <f t="array" ref="F32">Common_InputFunctions.Utility_DisplayArrayInTable(Fuel_SourceData.Fuel_Scope1Scope3EmissionFactorsTransport_Data(), Table_Fuel_EFs_Transport[[#Headers],[Transport type]], 0)</f>
        <v>38.6</v>
      </c>
      <c r="G32" s="24" t="str" cm="1">
        <f t="array" ref="G32">Common_InputFunctions.Utility_DisplayArrayInTable(Fuel_SourceData.Fuel_Scope1Scope3EmissionFactorsTransport_Data(), Table_Fuel_EFs_Transport[[#Headers],[Transport type]], 0)</f>
        <v>kL</v>
      </c>
      <c r="H32" s="24" cm="1">
        <f t="array" ref="H32">Common_InputFunctions.Utility_DisplayArrayInTable(Fuel_SourceData.Fuel_Scope1Scope3EmissionFactorsTransport_Data(), Table_Fuel_EFs_Transport[[#Headers],[Transport type]], 0)</f>
        <v>69.900000000000006</v>
      </c>
      <c r="I32" s="24" cm="1">
        <f t="array" ref="I32">Common_InputFunctions.Utility_DisplayArrayInTable(Fuel_SourceData.Fuel_Scope1Scope3EmissionFactorsTransport_Data(), Table_Fuel_EFs_Transport[[#Headers],[Transport type]], 0)</f>
        <v>0.2</v>
      </c>
      <c r="J32" s="24" cm="1">
        <f t="array" ref="J32">Common_InputFunctions.Utility_DisplayArrayInTable(Fuel_SourceData.Fuel_Scope1Scope3EmissionFactorsTransport_Data(), Table_Fuel_EFs_Transport[[#Headers],[Transport type]], 0)</f>
        <v>0.5</v>
      </c>
      <c r="K32" s="24" t="str" cm="1">
        <f t="array" ref="K32">Common_InputFunctions.Utility_DisplayArrayInTable(Fuel_SourceData.Fuel_Scope1Scope3EmissionFactorsTransport_Data(), Table_Fuel_EFs_Transport[[#Headers],[Transport type]], 0)</f>
        <v/>
      </c>
      <c r="L32" s="24" cm="1">
        <f t="array" ref="L32">Common_InputFunctions.Utility_DisplayArrayInTable(Fuel_SourceData.Fuel_Scope1Scope3EmissionFactorsTransport_Data(), Table_Fuel_EFs_Transport[[#Headers],[Transport type]], 0)</f>
        <v>17.3</v>
      </c>
    </row>
    <row r="33" spans="1:12" ht="20.100000000000001" customHeight="1" x14ac:dyDescent="0.25">
      <c r="A33" s="16" t="str">
        <f>HYPERLINK("#'Constants - Dairy'!A1", "Constants - Dairy")</f>
        <v>Constants - Dairy</v>
      </c>
      <c r="D33" s="24" t="str" cm="1">
        <f t="array" ref="D33">Common_InputFunctions.Utility_DisplayArrayInTable(Fuel_SourceData.Fuel_Scope1Scope3EmissionFactorsTransport_Data(), Table_Fuel_EFs_Transport[[#Headers],[Transport type]], 0)</f>
        <v>Vessels</v>
      </c>
      <c r="E33" s="24" t="str" cm="1">
        <f t="array" ref="E33">Common_InputFunctions.Utility_DisplayArrayInTable(Fuel_SourceData.Fuel_Scope1Scope3EmissionFactorsTransport_Data(), Table_Fuel_EFs_Transport[[#Headers],[Transport type]], 0)</f>
        <v>Fuel Oil</v>
      </c>
      <c r="F33" s="24" cm="1">
        <f t="array" ref="F33">Common_InputFunctions.Utility_DisplayArrayInTable(Fuel_SourceData.Fuel_Scope1Scope3EmissionFactorsTransport_Data(), Table_Fuel_EFs_Transport[[#Headers],[Transport type]], 0)</f>
        <v>39.700000000000003</v>
      </c>
      <c r="G33" s="24" t="str" cm="1">
        <f t="array" ref="G33">Common_InputFunctions.Utility_DisplayArrayInTable(Fuel_SourceData.Fuel_Scope1Scope3EmissionFactorsTransport_Data(), Table_Fuel_EFs_Transport[[#Headers],[Transport type]], 0)</f>
        <v>kL</v>
      </c>
      <c r="H33" s="24" cm="1">
        <f t="array" ref="H33">Common_InputFunctions.Utility_DisplayArrayInTable(Fuel_SourceData.Fuel_Scope1Scope3EmissionFactorsTransport_Data(), Table_Fuel_EFs_Transport[[#Headers],[Transport type]], 0)</f>
        <v>73.599999999999994</v>
      </c>
      <c r="I33" s="24" cm="1">
        <f t="array" ref="I33">Common_InputFunctions.Utility_DisplayArrayInTable(Fuel_SourceData.Fuel_Scope1Scope3EmissionFactorsTransport_Data(), Table_Fuel_EFs_Transport[[#Headers],[Transport type]], 0)</f>
        <v>0.2</v>
      </c>
      <c r="J33" s="24" cm="1">
        <f t="array" ref="J33">Common_InputFunctions.Utility_DisplayArrayInTable(Fuel_SourceData.Fuel_Scope1Scope3EmissionFactorsTransport_Data(), Table_Fuel_EFs_Transport[[#Headers],[Transport type]], 0)</f>
        <v>0.5</v>
      </c>
      <c r="K33" s="24" t="str" cm="1">
        <f t="array" ref="K33">Common_InputFunctions.Utility_DisplayArrayInTable(Fuel_SourceData.Fuel_Scope1Scope3EmissionFactorsTransport_Data(), Table_Fuel_EFs_Transport[[#Headers],[Transport type]], 0)</f>
        <v/>
      </c>
      <c r="L33" s="24" cm="1">
        <f t="array" ref="L33">Common_InputFunctions.Utility_DisplayArrayInTable(Fuel_SourceData.Fuel_Scope1Scope3EmissionFactorsTransport_Data(), Table_Fuel_EFs_Transport[[#Headers],[Transport type]], 0)</f>
        <v>18</v>
      </c>
    </row>
    <row r="34" spans="1:12" ht="20.100000000000001" customHeight="1" x14ac:dyDescent="0.25">
      <c r="A34" s="16" t="str">
        <f>HYPERLINK("#'Constants - Pasture Beef'!A1", "Constants - Pasture Beef")</f>
        <v>Constants - Pasture Beef</v>
      </c>
      <c r="D34" s="24" t="str" cm="1">
        <f t="array" ref="D34">Common_InputFunctions.Utility_DisplayArrayInTable(Fuel_SourceData.Fuel_Scope1Scope3EmissionFactorsTransport_Data(), Table_Fuel_EFs_Transport[[#Headers],[Transport type]], 0)</f>
        <v>Off-road Agriculture and forestry equipment</v>
      </c>
      <c r="E34" s="24" t="str" cm="1">
        <f t="array" ref="E34">Common_InputFunctions.Utility_DisplayArrayInTable(Fuel_SourceData.Fuel_Scope1Scope3EmissionFactorsTransport_Data(), Table_Fuel_EFs_Transport[[#Headers],[Transport type]], 0)</f>
        <v>Diesel oil</v>
      </c>
      <c r="F34" s="24" cm="1">
        <f t="array" ref="F34">Common_InputFunctions.Utility_DisplayArrayInTable(Fuel_SourceData.Fuel_Scope1Scope3EmissionFactorsTransport_Data(), Table_Fuel_EFs_Transport[[#Headers],[Transport type]], 0)</f>
        <v>38.6</v>
      </c>
      <c r="G34" s="24" t="str" cm="1">
        <f t="array" ref="G34">Common_InputFunctions.Utility_DisplayArrayInTable(Fuel_SourceData.Fuel_Scope1Scope3EmissionFactorsTransport_Data(), Table_Fuel_EFs_Transport[[#Headers],[Transport type]], 0)</f>
        <v>kL</v>
      </c>
      <c r="H34" s="24" cm="1">
        <f t="array" ref="H34">Common_InputFunctions.Utility_DisplayArrayInTable(Fuel_SourceData.Fuel_Scope1Scope3EmissionFactorsTransport_Data(), Table_Fuel_EFs_Transport[[#Headers],[Transport type]], 0)</f>
        <v>69.900000000000006</v>
      </c>
      <c r="I34" s="24" cm="1">
        <f t="array" ref="I34">Common_InputFunctions.Utility_DisplayArrayInTable(Fuel_SourceData.Fuel_Scope1Scope3EmissionFactorsTransport_Data(), Table_Fuel_EFs_Transport[[#Headers],[Transport type]], 0)</f>
        <v>0.3</v>
      </c>
      <c r="J34" s="24" cm="1">
        <f t="array" ref="J34">Common_InputFunctions.Utility_DisplayArrayInTable(Fuel_SourceData.Fuel_Scope1Scope3EmissionFactorsTransport_Data(), Table_Fuel_EFs_Transport[[#Headers],[Transport type]], 0)</f>
        <v>0.5</v>
      </c>
      <c r="K34" s="24" t="str" cm="1">
        <f t="array" ref="K34">Common_InputFunctions.Utility_DisplayArrayInTable(Fuel_SourceData.Fuel_Scope1Scope3EmissionFactorsTransport_Data(), Table_Fuel_EFs_Transport[[#Headers],[Transport type]], 0)</f>
        <v/>
      </c>
      <c r="L34" s="24" cm="1">
        <f t="array" ref="L34">Common_InputFunctions.Utility_DisplayArrayInTable(Fuel_SourceData.Fuel_Scope1Scope3EmissionFactorsTransport_Data(), Table_Fuel_EFs_Transport[[#Headers],[Transport type]], 0)</f>
        <v>17.3</v>
      </c>
    </row>
    <row r="35" spans="1:12" ht="20.100000000000001" customHeight="1" x14ac:dyDescent="0.25">
      <c r="A35" s="16" t="str">
        <f>HYPERLINK("#'Constants - Common Livestock'!A1", "Constants - Common Livestock")</f>
        <v>Constants - Common Livestock</v>
      </c>
    </row>
    <row r="36" spans="1:12" ht="20.100000000000001" customHeight="1" x14ac:dyDescent="0.25">
      <c r="A36" s="16" t="str">
        <f>HYPERLINK("#'Constants - Fertiliser'!A1", "Constants - Fertiliser")</f>
        <v>Constants - Fertiliser</v>
      </c>
    </row>
    <row r="37" spans="1:12" ht="20.100000000000001" customHeight="1" x14ac:dyDescent="0.25">
      <c r="A37" s="16" t="str">
        <f>HYPERLINK("#'Constants - Electricity'!A1", "Constants - Electricity")</f>
        <v>Constants - Electricity</v>
      </c>
      <c r="D37" s="9" t="str" cm="1">
        <f t="array" ref="D37">Fuel_SourceData.Fuel_Scope1Scope3EmissionFactorsTransportOffRoad_Title()</f>
        <v>Fuel scope 1 and 3 emission factors - Off-road equipment and vessels</v>
      </c>
    </row>
    <row r="38" spans="1:12" ht="20.100000000000001" customHeight="1" x14ac:dyDescent="0.25">
      <c r="A38" s="16" t="str">
        <f>HYPERLINK("#'Constants - Common'!A1", "Constants - Common")</f>
        <v>Constants - Common</v>
      </c>
      <c r="D38" s="11" t="str" cm="1">
        <f t="array" ref="D38">Fuel_SourceData.Fuel_Scope1Scope3EmissionFactorsTransportOffRoad_Source()</f>
        <v>VEERG 2026: Table A.4.2.1</v>
      </c>
    </row>
    <row r="39" spans="1:12" ht="20.100000000000001" customHeight="1" x14ac:dyDescent="0.25">
      <c r="A39"/>
      <c r="D39" s="10" t="s">
        <v>79</v>
      </c>
      <c r="E39" s="10" t="s">
        <v>80</v>
      </c>
      <c r="F39" s="10" t="s">
        <v>81</v>
      </c>
      <c r="G39" s="10" t="s">
        <v>82</v>
      </c>
      <c r="H39" s="10" t="s">
        <v>83</v>
      </c>
      <c r="I39" s="10" t="s">
        <v>84</v>
      </c>
      <c r="J39" s="10" t="s">
        <v>85</v>
      </c>
    </row>
    <row r="40" spans="1:12" ht="20.100000000000001" customHeight="1" x14ac:dyDescent="0.25">
      <c r="A40"/>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row>
    <row r="45" spans="1:12" ht="20.100000000000001" customHeight="1" x14ac:dyDescent="0.25">
      <c r="A45"/>
    </row>
    <row r="46" spans="1:12" ht="20.100000000000001" customHeight="1" x14ac:dyDescent="0.25">
      <c r="A46"/>
    </row>
    <row r="47" spans="1:12" ht="20.100000000000001" customHeight="1" x14ac:dyDescent="0.25">
      <c r="A47"/>
    </row>
    <row r="48" spans="1:12" ht="20.100000000000001" customHeight="1" x14ac:dyDescent="0.25">
      <c r="A48"/>
    </row>
    <row r="49" spans="1:12" ht="20.100000000000001" customHeight="1" x14ac:dyDescent="0.25">
      <c r="A49"/>
      <c r="D49" s="9" t="str" cm="1">
        <f t="array" ref="D49">Fuel_SourceData.Fuel_Scope1Scope3EmissionFactorsStationaryLiquid_Title()</f>
        <v>Fuel scope 1 and 3 emission factors - Stationary liquid fuels</v>
      </c>
      <c r="E49" s="17"/>
      <c r="F49" s="17"/>
      <c r="G49" s="17"/>
      <c r="H49" s="17"/>
      <c r="I49" s="17"/>
      <c r="J49" s="17"/>
      <c r="K49" s="17"/>
      <c r="L49" s="17"/>
    </row>
    <row r="50" spans="1:12" ht="20.100000000000001" customHeight="1" x14ac:dyDescent="0.25">
      <c r="A50"/>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1:12" ht="20.100000000000001" customHeight="1" x14ac:dyDescent="0.25">
      <c r="A51"/>
      <c r="D51" s="11" t="str" cm="1">
        <f t="array" ref="D51">Fuel_SourceData.Fuel_Scope1Scope3EmissionFactorsStationaryLiquid_Source()</f>
        <v>Australian National Greenhouse Accounts Factors 2025 - Table 8</v>
      </c>
      <c r="E51" s="17"/>
      <c r="F51" s="17"/>
      <c r="G51" s="17"/>
      <c r="H51" s="17"/>
      <c r="I51" s="17"/>
      <c r="J51" s="17"/>
      <c r="K51" s="17"/>
      <c r="L51" s="17"/>
    </row>
    <row r="52" spans="1:12" ht="20.100000000000001" customHeight="1" x14ac:dyDescent="0.25">
      <c r="A52"/>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1:12" ht="20.100000000000001" customHeight="1" x14ac:dyDescent="0.25">
      <c r="A53"/>
      <c r="D53" s="25" t="s">
        <v>69</v>
      </c>
      <c r="E53" s="20" t="s">
        <v>70</v>
      </c>
      <c r="F53" s="25" t="s">
        <v>71</v>
      </c>
      <c r="G53" s="20" t="s">
        <v>72</v>
      </c>
      <c r="H53" s="20" t="s">
        <v>73</v>
      </c>
      <c r="I53" s="20" t="s">
        <v>74</v>
      </c>
      <c r="J53" s="20" t="s">
        <v>75</v>
      </c>
      <c r="K53" s="20" t="s">
        <v>76</v>
      </c>
      <c r="L53" s="17"/>
    </row>
    <row r="54" spans="1:12" ht="20.100000000000001" customHeight="1" x14ac:dyDescent="0.25">
      <c r="A54"/>
      <c r="D54" s="26"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6" cm="1">
        <f t="array" ref="E54">Common_InputFunctions.Utility_DisplayArrayInTable(Fuel_SourceData.Fuel_Scope1Scope3EmissionFactorsStationaryLiquid_Data(), Table_Fuel_EFs_StationaryLiquid[[#Headers],[Fuel combusted]],0)</f>
        <v>38.799999999999997</v>
      </c>
      <c r="F54" s="26" t="str" cm="1">
        <f t="array" ref="F54">Common_InputFunctions.Utility_DisplayArrayInTable(Fuel_SourceData.Fuel_Scope1Scope3EmissionFactorsStationaryLiquid_Data(), Table_Fuel_EFs_StationaryLiquid[[#Headers],[Fuel combusted]],0)</f>
        <v>kl</v>
      </c>
      <c r="G54" s="26" cm="1">
        <f t="array" ref="G54">Common_InputFunctions.Utility_DisplayArrayInTable(Fuel_SourceData.Fuel_Scope1Scope3EmissionFactorsStationaryLiquid_Data(), Table_Fuel_EFs_StationaryLiquid[[#Headers],[Fuel combusted]],0)</f>
        <v>13.9</v>
      </c>
      <c r="H54" s="26" cm="1">
        <f t="array" ref="H54">Common_InputFunctions.Utility_DisplayArrayInTable(Fuel_SourceData.Fuel_Scope1Scope3EmissionFactorsStationaryLiquid_Data(), Table_Fuel_EFs_StationaryLiquid[[#Headers],[Fuel combusted]],0)</f>
        <v>0</v>
      </c>
      <c r="I54" s="26" cm="1">
        <f t="array" ref="I54">Common_InputFunctions.Utility_DisplayArrayInTable(Fuel_SourceData.Fuel_Scope1Scope3EmissionFactorsStationaryLiquid_Data(), Table_Fuel_EFs_StationaryLiquid[[#Headers],[Fuel combusted]],0)</f>
        <v>0</v>
      </c>
      <c r="J54" s="26" cm="1">
        <f t="array" ref="J54">Common_InputFunctions.Utility_DisplayArrayInTable(Fuel_SourceData.Fuel_Scope1Scope3EmissionFactorsStationaryLiquid_Data(), Table_Fuel_EFs_StationaryLiquid[[#Headers],[Fuel combusted]],0)</f>
        <v>13.9</v>
      </c>
      <c r="K54" s="26" cm="1">
        <f t="array" ref="K54">Common_InputFunctions.Utility_DisplayArrayInTable(Fuel_SourceData.Fuel_Scope1Scope3EmissionFactorsStationaryLiquid_Data(), Table_Fuel_EFs_StationaryLiquid[[#Headers],[Fuel combusted]],0)</f>
        <v>18</v>
      </c>
      <c r="L54" s="17"/>
    </row>
    <row r="55" spans="1:12" ht="20.100000000000001" customHeight="1" x14ac:dyDescent="0.25">
      <c r="A55"/>
      <c r="D55" s="26" t="str" cm="1">
        <f t="array" ref="D55">Common_InputFunctions.Utility_DisplayArrayInTable(Fuel_SourceData.Fuel_Scope1Scope3EmissionFactorsStationaryLiquid_Data(), Table_Fuel_EFs_StationaryLiquid[[#Headers],[Fuel combusted]],0)</f>
        <v>Petroleum based greases</v>
      </c>
      <c r="E55" s="26" cm="1">
        <f t="array" ref="E55">Common_InputFunctions.Utility_DisplayArrayInTable(Fuel_SourceData.Fuel_Scope1Scope3EmissionFactorsStationaryLiquid_Data(), Table_Fuel_EFs_StationaryLiquid[[#Headers],[Fuel combusted]],0)</f>
        <v>38.799999999999997</v>
      </c>
      <c r="F55" s="26" t="str" cm="1">
        <f t="array" ref="F55">Common_InputFunctions.Utility_DisplayArrayInTable(Fuel_SourceData.Fuel_Scope1Scope3EmissionFactorsStationaryLiquid_Data(), Table_Fuel_EFs_StationaryLiquid[[#Headers],[Fuel combusted]],0)</f>
        <v>kl</v>
      </c>
      <c r="G55" s="26" cm="1">
        <f t="array" ref="G55">Common_InputFunctions.Utility_DisplayArrayInTable(Fuel_SourceData.Fuel_Scope1Scope3EmissionFactorsStationaryLiquid_Data(), Table_Fuel_EFs_StationaryLiquid[[#Headers],[Fuel combusted]],0)</f>
        <v>3.5</v>
      </c>
      <c r="H55" s="26" cm="1">
        <f t="array" ref="H55">Common_InputFunctions.Utility_DisplayArrayInTable(Fuel_SourceData.Fuel_Scope1Scope3EmissionFactorsStationaryLiquid_Data(), Table_Fuel_EFs_StationaryLiquid[[#Headers],[Fuel combusted]],0)</f>
        <v>0</v>
      </c>
      <c r="I55" s="26" cm="1">
        <f t="array" ref="I55">Common_InputFunctions.Utility_DisplayArrayInTable(Fuel_SourceData.Fuel_Scope1Scope3EmissionFactorsStationaryLiquid_Data(), Table_Fuel_EFs_StationaryLiquid[[#Headers],[Fuel combusted]],0)</f>
        <v>0</v>
      </c>
      <c r="J55" s="26" cm="1">
        <f t="array" ref="J55">Common_InputFunctions.Utility_DisplayArrayInTable(Fuel_SourceData.Fuel_Scope1Scope3EmissionFactorsStationaryLiquid_Data(), Table_Fuel_EFs_StationaryLiquid[[#Headers],[Fuel combusted]],0)</f>
        <v>3.5</v>
      </c>
      <c r="K55" s="26" cm="1">
        <f t="array" ref="K55">Common_InputFunctions.Utility_DisplayArrayInTable(Fuel_SourceData.Fuel_Scope1Scope3EmissionFactorsStationaryLiquid_Data(), Table_Fuel_EFs_StationaryLiquid[[#Headers],[Fuel combusted]],0)</f>
        <v>18</v>
      </c>
      <c r="L55" s="17"/>
    </row>
    <row r="56" spans="1:12" ht="20.100000000000001" customHeight="1" x14ac:dyDescent="0.25">
      <c r="A56"/>
      <c r="D56" s="26" t="str" cm="1">
        <f t="array" ref="D56">Common_InputFunctions.Utility_DisplayArrayInTable(Fuel_SourceData.Fuel_Scope1Scope3EmissionFactorsStationaryLiquid_Data(), Table_Fuel_EFs_StationaryLiquid[[#Headers],[Fuel combusted]],0)</f>
        <v>Crude oil including crude oil condensates</v>
      </c>
      <c r="E56" s="26" cm="1">
        <f t="array" ref="E56">Common_InputFunctions.Utility_DisplayArrayInTable(Fuel_SourceData.Fuel_Scope1Scope3EmissionFactorsStationaryLiquid_Data(), Table_Fuel_EFs_StationaryLiquid[[#Headers],[Fuel combusted]],0)</f>
        <v>45.3</v>
      </c>
      <c r="F56" s="26" t="str" cm="1">
        <f t="array" ref="F56">Common_InputFunctions.Utility_DisplayArrayInTable(Fuel_SourceData.Fuel_Scope1Scope3EmissionFactorsStationaryLiquid_Data(), Table_Fuel_EFs_StationaryLiquid[[#Headers],[Fuel combusted]],0)</f>
        <v>t</v>
      </c>
      <c r="G56" s="26" cm="1">
        <f t="array" ref="G56">Common_InputFunctions.Utility_DisplayArrayInTable(Fuel_SourceData.Fuel_Scope1Scope3EmissionFactorsStationaryLiquid_Data(), Table_Fuel_EFs_StationaryLiquid[[#Headers],[Fuel combusted]],0)</f>
        <v>69.599999999999994</v>
      </c>
      <c r="H56" s="26" cm="1">
        <f t="array" ref="H56">Common_InputFunctions.Utility_DisplayArrayInTable(Fuel_SourceData.Fuel_Scope1Scope3EmissionFactorsStationaryLiquid_Data(), Table_Fuel_EFs_StationaryLiquid[[#Headers],[Fuel combusted]],0)</f>
        <v>0.08</v>
      </c>
      <c r="I56" s="26" cm="1">
        <f t="array" ref="I56">Common_InputFunctions.Utility_DisplayArrayInTable(Fuel_SourceData.Fuel_Scope1Scope3EmissionFactorsStationaryLiquid_Data(), Table_Fuel_EFs_StationaryLiquid[[#Headers],[Fuel combusted]],0)</f>
        <v>0.2</v>
      </c>
      <c r="J56" s="26" cm="1">
        <f t="array" ref="J56">Common_InputFunctions.Utility_DisplayArrayInTable(Fuel_SourceData.Fuel_Scope1Scope3EmissionFactorsStationaryLiquid_Data(), Table_Fuel_EFs_StationaryLiquid[[#Headers],[Fuel combusted]],0)</f>
        <v>69.88</v>
      </c>
      <c r="K56" s="26" t="str" cm="1">
        <f t="array" ref="K56">Common_InputFunctions.Utility_DisplayArrayInTable(Fuel_SourceData.Fuel_Scope1Scope3EmissionFactorsStationaryLiquid_Data(), Table_Fuel_EFs_StationaryLiquid[[#Headers],[Fuel combusted]],0)</f>
        <v>NE</v>
      </c>
      <c r="L56" s="17"/>
    </row>
    <row r="57" spans="1:12" ht="20.100000000000001" customHeight="1" x14ac:dyDescent="0.25">
      <c r="A57"/>
      <c r="D57" s="26" t="str" cm="1">
        <f t="array" ref="D57">Common_InputFunctions.Utility_DisplayArrayInTable(Fuel_SourceData.Fuel_Scope1Scope3EmissionFactorsStationaryLiquid_Data(), Table_Fuel_EFs_StationaryLiquid[[#Headers],[Fuel combusted]],0)</f>
        <v>Other natural gas liquids</v>
      </c>
      <c r="E57" s="26" cm="1">
        <f t="array" ref="E57">Common_InputFunctions.Utility_DisplayArrayInTable(Fuel_SourceData.Fuel_Scope1Scope3EmissionFactorsStationaryLiquid_Data(), Table_Fuel_EFs_StationaryLiquid[[#Headers],[Fuel combusted]],0)</f>
        <v>46.5</v>
      </c>
      <c r="F57" s="26" t="str" cm="1">
        <f t="array" ref="F57">Common_InputFunctions.Utility_DisplayArrayInTable(Fuel_SourceData.Fuel_Scope1Scope3EmissionFactorsStationaryLiquid_Data(), Table_Fuel_EFs_StationaryLiquid[[#Headers],[Fuel combusted]],0)</f>
        <v>t</v>
      </c>
      <c r="G57" s="26" cm="1">
        <f t="array" ref="G57">Common_InputFunctions.Utility_DisplayArrayInTable(Fuel_SourceData.Fuel_Scope1Scope3EmissionFactorsStationaryLiquid_Data(), Table_Fuel_EFs_StationaryLiquid[[#Headers],[Fuel combusted]],0)</f>
        <v>61</v>
      </c>
      <c r="H57" s="26" cm="1">
        <f t="array" ref="H57">Common_InputFunctions.Utility_DisplayArrayInTable(Fuel_SourceData.Fuel_Scope1Scope3EmissionFactorsStationaryLiquid_Data(), Table_Fuel_EFs_StationaryLiquid[[#Headers],[Fuel combusted]],0)</f>
        <v>0.08</v>
      </c>
      <c r="I57" s="26" cm="1">
        <f t="array" ref="I57">Common_InputFunctions.Utility_DisplayArrayInTable(Fuel_SourceData.Fuel_Scope1Scope3EmissionFactorsStationaryLiquid_Data(), Table_Fuel_EFs_StationaryLiquid[[#Headers],[Fuel combusted]],0)</f>
        <v>0.2</v>
      </c>
      <c r="J57" s="26" cm="1">
        <f t="array" ref="J57">Common_InputFunctions.Utility_DisplayArrayInTable(Fuel_SourceData.Fuel_Scope1Scope3EmissionFactorsStationaryLiquid_Data(), Table_Fuel_EFs_StationaryLiquid[[#Headers],[Fuel combusted]],0)</f>
        <v>61.28</v>
      </c>
      <c r="K57" s="26" t="str" cm="1">
        <f t="array" ref="K57">Common_InputFunctions.Utility_DisplayArrayInTable(Fuel_SourceData.Fuel_Scope1Scope3EmissionFactorsStationaryLiquid_Data(), Table_Fuel_EFs_StationaryLiquid[[#Headers],[Fuel combusted]],0)</f>
        <v>NE</v>
      </c>
      <c r="L57" s="17"/>
    </row>
    <row r="58" spans="1:12" ht="20.100000000000001" customHeight="1" x14ac:dyDescent="0.25">
      <c r="A58"/>
      <c r="D58" s="26"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6" cm="1">
        <f t="array" ref="E58">Common_InputFunctions.Utility_DisplayArrayInTable(Fuel_SourceData.Fuel_Scope1Scope3EmissionFactorsStationaryLiquid_Data(), Table_Fuel_EFs_StationaryLiquid[[#Headers],[Fuel combusted]],0)</f>
        <v>34.200000000000003</v>
      </c>
      <c r="F58" s="26" t="str" cm="1">
        <f t="array" ref="F58">Common_InputFunctions.Utility_DisplayArrayInTable(Fuel_SourceData.Fuel_Scope1Scope3EmissionFactorsStationaryLiquid_Data(), Table_Fuel_EFs_StationaryLiquid[[#Headers],[Fuel combusted]],0)</f>
        <v>kL</v>
      </c>
      <c r="G58" s="26" cm="1">
        <f t="array" ref="G58">Common_InputFunctions.Utility_DisplayArrayInTable(Fuel_SourceData.Fuel_Scope1Scope3EmissionFactorsStationaryLiquid_Data(), Table_Fuel_EFs_StationaryLiquid[[#Headers],[Fuel combusted]],0)</f>
        <v>67.400000000000006</v>
      </c>
      <c r="H58" s="26" cm="1">
        <f t="array" ref="H58">Common_InputFunctions.Utility_DisplayArrayInTable(Fuel_SourceData.Fuel_Scope1Scope3EmissionFactorsStationaryLiquid_Data(), Table_Fuel_EFs_StationaryLiquid[[#Headers],[Fuel combusted]],0)</f>
        <v>0.2</v>
      </c>
      <c r="I58" s="26" cm="1">
        <f t="array" ref="I58">Common_InputFunctions.Utility_DisplayArrayInTable(Fuel_SourceData.Fuel_Scope1Scope3EmissionFactorsStationaryLiquid_Data(), Table_Fuel_EFs_StationaryLiquid[[#Headers],[Fuel combusted]],0)</f>
        <v>0.2</v>
      </c>
      <c r="J58" s="26" cm="1">
        <f t="array" ref="J58">Common_InputFunctions.Utility_DisplayArrayInTable(Fuel_SourceData.Fuel_Scope1Scope3EmissionFactorsStationaryLiquid_Data(), Table_Fuel_EFs_StationaryLiquid[[#Headers],[Fuel combusted]],0)</f>
        <v>67.8</v>
      </c>
      <c r="K58" s="26" cm="1">
        <f t="array" ref="K58">Common_InputFunctions.Utility_DisplayArrayInTable(Fuel_SourceData.Fuel_Scope1Scope3EmissionFactorsStationaryLiquid_Data(), Table_Fuel_EFs_StationaryLiquid[[#Headers],[Fuel combusted]],0)</f>
        <v>17.2</v>
      </c>
      <c r="L58" s="17"/>
    </row>
    <row r="59" spans="1:12" ht="20.100000000000001" customHeight="1" x14ac:dyDescent="0.25">
      <c r="A59"/>
      <c r="D59" s="26" t="str" cm="1">
        <f t="array" ref="D59">Common_InputFunctions.Utility_DisplayArrayInTable(Fuel_SourceData.Fuel_Scope1Scope3EmissionFactorsStationaryLiquid_Data(), Table_Fuel_EFs_StationaryLiquid[[#Headers],[Fuel combusted]],0)</f>
        <v>Aviation gasoline</v>
      </c>
      <c r="E59" s="26" cm="1">
        <f t="array" ref="E59">Common_InputFunctions.Utility_DisplayArrayInTable(Fuel_SourceData.Fuel_Scope1Scope3EmissionFactorsStationaryLiquid_Data(), Table_Fuel_EFs_StationaryLiquid[[#Headers],[Fuel combusted]],0)</f>
        <v>33.1</v>
      </c>
      <c r="F59" s="26" t="str" cm="1">
        <f t="array" ref="F59">Common_InputFunctions.Utility_DisplayArrayInTable(Fuel_SourceData.Fuel_Scope1Scope3EmissionFactorsStationaryLiquid_Data(), Table_Fuel_EFs_StationaryLiquid[[#Headers],[Fuel combusted]],0)</f>
        <v>kL</v>
      </c>
      <c r="G59" s="26" cm="1">
        <f t="array" ref="G59">Common_InputFunctions.Utility_DisplayArrayInTable(Fuel_SourceData.Fuel_Scope1Scope3EmissionFactorsStationaryLiquid_Data(), Table_Fuel_EFs_StationaryLiquid[[#Headers],[Fuel combusted]],0)</f>
        <v>67</v>
      </c>
      <c r="H59" s="26" cm="1">
        <f t="array" ref="H59">Common_InputFunctions.Utility_DisplayArrayInTable(Fuel_SourceData.Fuel_Scope1Scope3EmissionFactorsStationaryLiquid_Data(), Table_Fuel_EFs_StationaryLiquid[[#Headers],[Fuel combusted]],0)</f>
        <v>0.2</v>
      </c>
      <c r="I59" s="26" cm="1">
        <f t="array" ref="I59">Common_InputFunctions.Utility_DisplayArrayInTable(Fuel_SourceData.Fuel_Scope1Scope3EmissionFactorsStationaryLiquid_Data(), Table_Fuel_EFs_StationaryLiquid[[#Headers],[Fuel combusted]],0)</f>
        <v>0.2</v>
      </c>
      <c r="J59" s="26" cm="1">
        <f t="array" ref="J59">Common_InputFunctions.Utility_DisplayArrayInTable(Fuel_SourceData.Fuel_Scope1Scope3EmissionFactorsStationaryLiquid_Data(), Table_Fuel_EFs_StationaryLiquid[[#Headers],[Fuel combusted]],0)</f>
        <v>67.400000000000006</v>
      </c>
      <c r="K59" s="26" cm="1">
        <f t="array" ref="K59">Common_InputFunctions.Utility_DisplayArrayInTable(Fuel_SourceData.Fuel_Scope1Scope3EmissionFactorsStationaryLiquid_Data(), Table_Fuel_EFs_StationaryLiquid[[#Headers],[Fuel combusted]],0)</f>
        <v>18</v>
      </c>
      <c r="L59" s="17"/>
    </row>
    <row r="60" spans="1:12" ht="20.100000000000001" customHeight="1" x14ac:dyDescent="0.25">
      <c r="A60"/>
      <c r="D60" s="26" t="str" cm="1">
        <f t="array" ref="D60">Common_InputFunctions.Utility_DisplayArrayInTable(Fuel_SourceData.Fuel_Scope1Scope3EmissionFactorsStationaryLiquid_Data(), Table_Fuel_EFs_StationaryLiquid[[#Headers],[Fuel combusted]],0)</f>
        <v>Kerosene (other than for use as fuel in an aircraft)</v>
      </c>
      <c r="E60" s="26" cm="1">
        <f t="array" ref="E60">Common_InputFunctions.Utility_DisplayArrayInTable(Fuel_SourceData.Fuel_Scope1Scope3EmissionFactorsStationaryLiquid_Data(), Table_Fuel_EFs_StationaryLiquid[[#Headers],[Fuel combusted]],0)</f>
        <v>37.5</v>
      </c>
      <c r="F60" s="26" t="str" cm="1">
        <f t="array" ref="F60">Common_InputFunctions.Utility_DisplayArrayInTable(Fuel_SourceData.Fuel_Scope1Scope3EmissionFactorsStationaryLiquid_Data(), Table_Fuel_EFs_StationaryLiquid[[#Headers],[Fuel combusted]],0)</f>
        <v>kL</v>
      </c>
      <c r="G60" s="26" cm="1">
        <f t="array" ref="G60">Common_InputFunctions.Utility_DisplayArrayInTable(Fuel_SourceData.Fuel_Scope1Scope3EmissionFactorsStationaryLiquid_Data(), Table_Fuel_EFs_StationaryLiquid[[#Headers],[Fuel combusted]],0)</f>
        <v>68.900000000000006</v>
      </c>
      <c r="H60" s="26" cm="1">
        <f t="array" ref="H60">Common_InputFunctions.Utility_DisplayArrayInTable(Fuel_SourceData.Fuel_Scope1Scope3EmissionFactorsStationaryLiquid_Data(), Table_Fuel_EFs_StationaryLiquid[[#Headers],[Fuel combusted]],0)</f>
        <v>0.01</v>
      </c>
      <c r="I60" s="26" cm="1">
        <f t="array" ref="I60">Common_InputFunctions.Utility_DisplayArrayInTable(Fuel_SourceData.Fuel_Scope1Scope3EmissionFactorsStationaryLiquid_Data(), Table_Fuel_EFs_StationaryLiquid[[#Headers],[Fuel combusted]],0)</f>
        <v>0.2</v>
      </c>
      <c r="J60" s="26" cm="1">
        <f t="array" ref="J60">Common_InputFunctions.Utility_DisplayArrayInTable(Fuel_SourceData.Fuel_Scope1Scope3EmissionFactorsStationaryLiquid_Data(), Table_Fuel_EFs_StationaryLiquid[[#Headers],[Fuel combusted]],0)</f>
        <v>69.11</v>
      </c>
      <c r="K60" s="26" cm="1">
        <f t="array" ref="K60">Common_InputFunctions.Utility_DisplayArrayInTable(Fuel_SourceData.Fuel_Scope1Scope3EmissionFactorsStationaryLiquid_Data(), Table_Fuel_EFs_StationaryLiquid[[#Headers],[Fuel combusted]],0)</f>
        <v>18</v>
      </c>
      <c r="L60" s="17"/>
    </row>
    <row r="61" spans="1:12" ht="20.100000000000001" customHeight="1" x14ac:dyDescent="0.25">
      <c r="A61"/>
      <c r="D61" s="26" t="str" cm="1">
        <f t="array" ref="D61">Common_InputFunctions.Utility_DisplayArrayInTable(Fuel_SourceData.Fuel_Scope1Scope3EmissionFactorsStationaryLiquid_Data(), Table_Fuel_EFs_StationaryLiquid[[#Headers],[Fuel combusted]],0)</f>
        <v>Aviation turbine fuel / kerosene</v>
      </c>
      <c r="E61" s="26" cm="1">
        <f t="array" ref="E61">Common_InputFunctions.Utility_DisplayArrayInTable(Fuel_SourceData.Fuel_Scope1Scope3EmissionFactorsStationaryLiquid_Data(), Table_Fuel_EFs_StationaryLiquid[[#Headers],[Fuel combusted]],0)</f>
        <v>36.799999999999997</v>
      </c>
      <c r="F61" s="26" t="str" cm="1">
        <f t="array" ref="F61">Common_InputFunctions.Utility_DisplayArrayInTable(Fuel_SourceData.Fuel_Scope1Scope3EmissionFactorsStationaryLiquid_Data(), Table_Fuel_EFs_StationaryLiquid[[#Headers],[Fuel combusted]],0)</f>
        <v>kL</v>
      </c>
      <c r="G61" s="26" cm="1">
        <f t="array" ref="G61">Common_InputFunctions.Utility_DisplayArrayInTable(Fuel_SourceData.Fuel_Scope1Scope3EmissionFactorsStationaryLiquid_Data(), Table_Fuel_EFs_StationaryLiquid[[#Headers],[Fuel combusted]],0)</f>
        <v>69.599999999999994</v>
      </c>
      <c r="H61" s="26" cm="1">
        <f t="array" ref="H61">Common_InputFunctions.Utility_DisplayArrayInTable(Fuel_SourceData.Fuel_Scope1Scope3EmissionFactorsStationaryLiquid_Data(), Table_Fuel_EFs_StationaryLiquid[[#Headers],[Fuel combusted]],0)</f>
        <v>0.02</v>
      </c>
      <c r="I61" s="26" cm="1">
        <f t="array" ref="I61">Common_InputFunctions.Utility_DisplayArrayInTable(Fuel_SourceData.Fuel_Scope1Scope3EmissionFactorsStationaryLiquid_Data(), Table_Fuel_EFs_StationaryLiquid[[#Headers],[Fuel combusted]],0)</f>
        <v>0.2</v>
      </c>
      <c r="J61" s="26" cm="1">
        <f t="array" ref="J61">Common_InputFunctions.Utility_DisplayArrayInTable(Fuel_SourceData.Fuel_Scope1Scope3EmissionFactorsStationaryLiquid_Data(), Table_Fuel_EFs_StationaryLiquid[[#Headers],[Fuel combusted]],0)</f>
        <v>69.819999999999993</v>
      </c>
      <c r="K61" s="26" cm="1">
        <f t="array" ref="K61">Common_InputFunctions.Utility_DisplayArrayInTable(Fuel_SourceData.Fuel_Scope1Scope3EmissionFactorsStationaryLiquid_Data(), Table_Fuel_EFs_StationaryLiquid[[#Headers],[Fuel combusted]],0)</f>
        <v>18</v>
      </c>
      <c r="L61" s="17"/>
    </row>
    <row r="62" spans="1:12" ht="20.100000000000001" customHeight="1" x14ac:dyDescent="0.25">
      <c r="A62"/>
      <c r="D62" s="26" t="str" cm="1">
        <f t="array" ref="D62">Common_InputFunctions.Utility_DisplayArrayInTable(Fuel_SourceData.Fuel_Scope1Scope3EmissionFactorsStationaryLiquid_Data(), Table_Fuel_EFs_StationaryLiquid[[#Headers],[Fuel combusted]],0)</f>
        <v>Heating oil</v>
      </c>
      <c r="E62" s="26" cm="1">
        <f t="array" ref="E62">Common_InputFunctions.Utility_DisplayArrayInTable(Fuel_SourceData.Fuel_Scope1Scope3EmissionFactorsStationaryLiquid_Data(), Table_Fuel_EFs_StationaryLiquid[[#Headers],[Fuel combusted]],0)</f>
        <v>37.299999999999997</v>
      </c>
      <c r="F62" s="26" t="str" cm="1">
        <f t="array" ref="F62">Common_InputFunctions.Utility_DisplayArrayInTable(Fuel_SourceData.Fuel_Scope1Scope3EmissionFactorsStationaryLiquid_Data(), Table_Fuel_EFs_StationaryLiquid[[#Headers],[Fuel combusted]],0)</f>
        <v>kL</v>
      </c>
      <c r="G62" s="26" cm="1">
        <f t="array" ref="G62">Common_InputFunctions.Utility_DisplayArrayInTable(Fuel_SourceData.Fuel_Scope1Scope3EmissionFactorsStationaryLiquid_Data(), Table_Fuel_EFs_StationaryLiquid[[#Headers],[Fuel combusted]],0)</f>
        <v>69.5</v>
      </c>
      <c r="H62" s="26" cm="1">
        <f t="array" ref="H62">Common_InputFunctions.Utility_DisplayArrayInTable(Fuel_SourceData.Fuel_Scope1Scope3EmissionFactorsStationaryLiquid_Data(), Table_Fuel_EFs_StationaryLiquid[[#Headers],[Fuel combusted]],0)</f>
        <v>0.03</v>
      </c>
      <c r="I62" s="26" cm="1">
        <f t="array" ref="I62">Common_InputFunctions.Utility_DisplayArrayInTable(Fuel_SourceData.Fuel_Scope1Scope3EmissionFactorsStationaryLiquid_Data(), Table_Fuel_EFs_StationaryLiquid[[#Headers],[Fuel combusted]],0)</f>
        <v>0.2</v>
      </c>
      <c r="J62" s="26" cm="1">
        <f t="array" ref="J62">Common_InputFunctions.Utility_DisplayArrayInTable(Fuel_SourceData.Fuel_Scope1Scope3EmissionFactorsStationaryLiquid_Data(), Table_Fuel_EFs_StationaryLiquid[[#Headers],[Fuel combusted]],0)</f>
        <v>69.73</v>
      </c>
      <c r="K62" s="26" cm="1">
        <f t="array" ref="K62">Common_InputFunctions.Utility_DisplayArrayInTable(Fuel_SourceData.Fuel_Scope1Scope3EmissionFactorsStationaryLiquid_Data(), Table_Fuel_EFs_StationaryLiquid[[#Headers],[Fuel combusted]],0)</f>
        <v>18</v>
      </c>
      <c r="L62" s="17"/>
    </row>
    <row r="63" spans="1:12" ht="20.100000000000001" customHeight="1" x14ac:dyDescent="0.25">
      <c r="A63"/>
      <c r="D63" s="26" t="str" cm="1">
        <f t="array" ref="D63">Common_InputFunctions.Utility_DisplayArrayInTable(Fuel_SourceData.Fuel_Scope1Scope3EmissionFactorsStationaryLiquid_Data(), Table_Fuel_EFs_StationaryLiquid[[#Headers],[Fuel combusted]],0)</f>
        <v>Diesel oil</v>
      </c>
      <c r="E63" s="26" cm="1">
        <f t="array" ref="E63">Common_InputFunctions.Utility_DisplayArrayInTable(Fuel_SourceData.Fuel_Scope1Scope3EmissionFactorsStationaryLiquid_Data(), Table_Fuel_EFs_StationaryLiquid[[#Headers],[Fuel combusted]],0)</f>
        <v>38.6</v>
      </c>
      <c r="F63" s="26" t="str" cm="1">
        <f t="array" ref="F63">Common_InputFunctions.Utility_DisplayArrayInTable(Fuel_SourceData.Fuel_Scope1Scope3EmissionFactorsStationaryLiquid_Data(), Table_Fuel_EFs_StationaryLiquid[[#Headers],[Fuel combusted]],0)</f>
        <v>kL</v>
      </c>
      <c r="G63" s="26" cm="1">
        <f t="array" ref="G63">Common_InputFunctions.Utility_DisplayArrayInTable(Fuel_SourceData.Fuel_Scope1Scope3EmissionFactorsStationaryLiquid_Data(), Table_Fuel_EFs_StationaryLiquid[[#Headers],[Fuel combusted]],0)</f>
        <v>69.900000000000006</v>
      </c>
      <c r="H63" s="26" cm="1">
        <f t="array" ref="H63">Common_InputFunctions.Utility_DisplayArrayInTable(Fuel_SourceData.Fuel_Scope1Scope3EmissionFactorsStationaryLiquid_Data(), Table_Fuel_EFs_StationaryLiquid[[#Headers],[Fuel combusted]],0)</f>
        <v>0.1</v>
      </c>
      <c r="I63" s="26" cm="1">
        <f t="array" ref="I63">Common_InputFunctions.Utility_DisplayArrayInTable(Fuel_SourceData.Fuel_Scope1Scope3EmissionFactorsStationaryLiquid_Data(), Table_Fuel_EFs_StationaryLiquid[[#Headers],[Fuel combusted]],0)</f>
        <v>0.2</v>
      </c>
      <c r="J63" s="26" cm="1">
        <f t="array" ref="J63">Common_InputFunctions.Utility_DisplayArrayInTable(Fuel_SourceData.Fuel_Scope1Scope3EmissionFactorsStationaryLiquid_Data(), Table_Fuel_EFs_StationaryLiquid[[#Headers],[Fuel combusted]],0)</f>
        <v>70.2</v>
      </c>
      <c r="K63" s="26" cm="1">
        <f t="array" ref="K63">Common_InputFunctions.Utility_DisplayArrayInTable(Fuel_SourceData.Fuel_Scope1Scope3EmissionFactorsStationaryLiquid_Data(), Table_Fuel_EFs_StationaryLiquid[[#Headers],[Fuel combusted]],0)</f>
        <v>17.3</v>
      </c>
      <c r="L63" s="17"/>
    </row>
    <row r="64" spans="1:12" ht="20.100000000000001" customHeight="1" x14ac:dyDescent="0.25">
      <c r="A64"/>
      <c r="D64" s="26" t="str" cm="1">
        <f t="array" ref="D64">Common_InputFunctions.Utility_DisplayArrayInTable(Fuel_SourceData.Fuel_Scope1Scope3EmissionFactorsStationaryLiquid_Data(), Table_Fuel_EFs_StationaryLiquid[[#Headers],[Fuel combusted]],0)</f>
        <v>Fuel oil</v>
      </c>
      <c r="E64" s="26" cm="1">
        <f t="array" ref="E64">Common_InputFunctions.Utility_DisplayArrayInTable(Fuel_SourceData.Fuel_Scope1Scope3EmissionFactorsStationaryLiquid_Data(), Table_Fuel_EFs_StationaryLiquid[[#Headers],[Fuel combusted]],0)</f>
        <v>39.700000000000003</v>
      </c>
      <c r="F64" s="26" t="str" cm="1">
        <f t="array" ref="F64">Common_InputFunctions.Utility_DisplayArrayInTable(Fuel_SourceData.Fuel_Scope1Scope3EmissionFactorsStationaryLiquid_Data(), Table_Fuel_EFs_StationaryLiquid[[#Headers],[Fuel combusted]],0)</f>
        <v>kL</v>
      </c>
      <c r="G64" s="26" cm="1">
        <f t="array" ref="G64">Common_InputFunctions.Utility_DisplayArrayInTable(Fuel_SourceData.Fuel_Scope1Scope3EmissionFactorsStationaryLiquid_Data(), Table_Fuel_EFs_StationaryLiquid[[#Headers],[Fuel combusted]],0)</f>
        <v>73.599999999999994</v>
      </c>
      <c r="H64" s="26" cm="1">
        <f t="array" ref="H64">Common_InputFunctions.Utility_DisplayArrayInTable(Fuel_SourceData.Fuel_Scope1Scope3EmissionFactorsStationaryLiquid_Data(), Table_Fuel_EFs_StationaryLiquid[[#Headers],[Fuel combusted]],0)</f>
        <v>0.04</v>
      </c>
      <c r="I64" s="26" cm="1">
        <f t="array" ref="I64">Common_InputFunctions.Utility_DisplayArrayInTable(Fuel_SourceData.Fuel_Scope1Scope3EmissionFactorsStationaryLiquid_Data(), Table_Fuel_EFs_StationaryLiquid[[#Headers],[Fuel combusted]],0)</f>
        <v>0.2</v>
      </c>
      <c r="J64" s="26" cm="1">
        <f t="array" ref="J64">Common_InputFunctions.Utility_DisplayArrayInTable(Fuel_SourceData.Fuel_Scope1Scope3EmissionFactorsStationaryLiquid_Data(), Table_Fuel_EFs_StationaryLiquid[[#Headers],[Fuel combusted]],0)</f>
        <v>73.84</v>
      </c>
      <c r="K64" s="26" cm="1">
        <f t="array" ref="K64">Common_InputFunctions.Utility_DisplayArrayInTable(Fuel_SourceData.Fuel_Scope1Scope3EmissionFactorsStationaryLiquid_Data(), Table_Fuel_EFs_StationaryLiquid[[#Headers],[Fuel combusted]],0)</f>
        <v>18</v>
      </c>
      <c r="L64" s="17"/>
    </row>
    <row r="65" spans="1:13" ht="20.100000000000001" customHeight="1" x14ac:dyDescent="0.25">
      <c r="A65"/>
      <c r="D65" s="26" t="str" cm="1">
        <f t="array" ref="D65">Common_InputFunctions.Utility_DisplayArrayInTable(Fuel_SourceData.Fuel_Scope1Scope3EmissionFactorsStationaryLiquid_Data(), Table_Fuel_EFs_StationaryLiquid[[#Headers],[Fuel combusted]],0)</f>
        <v>Liquefied aromatic hydrocarbons</v>
      </c>
      <c r="E65" s="26" cm="1">
        <f t="array" ref="E65">Common_InputFunctions.Utility_DisplayArrayInTable(Fuel_SourceData.Fuel_Scope1Scope3EmissionFactorsStationaryLiquid_Data(), Table_Fuel_EFs_StationaryLiquid[[#Headers],[Fuel combusted]],0)</f>
        <v>34.4</v>
      </c>
      <c r="F65" s="26" t="str" cm="1">
        <f t="array" ref="F65">Common_InputFunctions.Utility_DisplayArrayInTable(Fuel_SourceData.Fuel_Scope1Scope3EmissionFactorsStationaryLiquid_Data(), Table_Fuel_EFs_StationaryLiquid[[#Headers],[Fuel combusted]],0)</f>
        <v>kL</v>
      </c>
      <c r="G65" s="26" cm="1">
        <f t="array" ref="G65">Common_InputFunctions.Utility_DisplayArrayInTable(Fuel_SourceData.Fuel_Scope1Scope3EmissionFactorsStationaryLiquid_Data(), Table_Fuel_EFs_StationaryLiquid[[#Headers],[Fuel combusted]],0)</f>
        <v>69.7</v>
      </c>
      <c r="H65" s="26" cm="1">
        <f t="array" ref="H65">Common_InputFunctions.Utility_DisplayArrayInTable(Fuel_SourceData.Fuel_Scope1Scope3EmissionFactorsStationaryLiquid_Data(), Table_Fuel_EFs_StationaryLiquid[[#Headers],[Fuel combusted]],0)</f>
        <v>0.03</v>
      </c>
      <c r="I65" s="26" cm="1">
        <f t="array" ref="I65">Common_InputFunctions.Utility_DisplayArrayInTable(Fuel_SourceData.Fuel_Scope1Scope3EmissionFactorsStationaryLiquid_Data(), Table_Fuel_EFs_StationaryLiquid[[#Headers],[Fuel combusted]],0)</f>
        <v>0.2</v>
      </c>
      <c r="J65" s="26" cm="1">
        <f t="array" ref="J65">Common_InputFunctions.Utility_DisplayArrayInTable(Fuel_SourceData.Fuel_Scope1Scope3EmissionFactorsStationaryLiquid_Data(), Table_Fuel_EFs_StationaryLiquid[[#Headers],[Fuel combusted]],0)</f>
        <v>69.930000000000007</v>
      </c>
      <c r="K65" s="26" cm="1">
        <f t="array" ref="K65">Common_InputFunctions.Utility_DisplayArrayInTable(Fuel_SourceData.Fuel_Scope1Scope3EmissionFactorsStationaryLiquid_Data(), Table_Fuel_EFs_StationaryLiquid[[#Headers],[Fuel combusted]],0)</f>
        <v>18</v>
      </c>
      <c r="L65" s="17"/>
    </row>
    <row r="66" spans="1:13" ht="20.100000000000001" customHeight="1" x14ac:dyDescent="0.25">
      <c r="A66"/>
      <c r="D66" s="26" t="str" cm="1">
        <f t="array" ref="D66">Common_InputFunctions.Utility_DisplayArrayInTable(Fuel_SourceData.Fuel_Scope1Scope3EmissionFactorsStationaryLiquid_Data(), Table_Fuel_EFs_StationaryLiquid[[#Headers],[Fuel combusted]],0)</f>
        <v>Solvents: mineral turpentine or white spirits</v>
      </c>
      <c r="E66" s="26" cm="1">
        <f t="array" ref="E66">Common_InputFunctions.Utility_DisplayArrayInTable(Fuel_SourceData.Fuel_Scope1Scope3EmissionFactorsStationaryLiquid_Data(), Table_Fuel_EFs_StationaryLiquid[[#Headers],[Fuel combusted]],0)</f>
        <v>34.4</v>
      </c>
      <c r="F66" s="26" t="str" cm="1">
        <f t="array" ref="F66">Common_InputFunctions.Utility_DisplayArrayInTable(Fuel_SourceData.Fuel_Scope1Scope3EmissionFactorsStationaryLiquid_Data(), Table_Fuel_EFs_StationaryLiquid[[#Headers],[Fuel combusted]],0)</f>
        <v>kL</v>
      </c>
      <c r="G66" s="26" cm="1">
        <f t="array" ref="G66">Common_InputFunctions.Utility_DisplayArrayInTable(Fuel_SourceData.Fuel_Scope1Scope3EmissionFactorsStationaryLiquid_Data(), Table_Fuel_EFs_StationaryLiquid[[#Headers],[Fuel combusted]],0)</f>
        <v>69.7</v>
      </c>
      <c r="H66" s="26" cm="1">
        <f t="array" ref="H66">Common_InputFunctions.Utility_DisplayArrayInTable(Fuel_SourceData.Fuel_Scope1Scope3EmissionFactorsStationaryLiquid_Data(), Table_Fuel_EFs_StationaryLiquid[[#Headers],[Fuel combusted]],0)</f>
        <v>0.03</v>
      </c>
      <c r="I66" s="26" cm="1">
        <f t="array" ref="I66">Common_InputFunctions.Utility_DisplayArrayInTable(Fuel_SourceData.Fuel_Scope1Scope3EmissionFactorsStationaryLiquid_Data(), Table_Fuel_EFs_StationaryLiquid[[#Headers],[Fuel combusted]],0)</f>
        <v>0.2</v>
      </c>
      <c r="J66" s="26" cm="1">
        <f t="array" ref="J66">Common_InputFunctions.Utility_DisplayArrayInTable(Fuel_SourceData.Fuel_Scope1Scope3EmissionFactorsStationaryLiquid_Data(), Table_Fuel_EFs_StationaryLiquid[[#Headers],[Fuel combusted]],0)</f>
        <v>69.930000000000007</v>
      </c>
      <c r="K66" s="26" cm="1">
        <f t="array" ref="K66">Common_InputFunctions.Utility_DisplayArrayInTable(Fuel_SourceData.Fuel_Scope1Scope3EmissionFactorsStationaryLiquid_Data(), Table_Fuel_EFs_StationaryLiquid[[#Headers],[Fuel combusted]],0)</f>
        <v>18</v>
      </c>
      <c r="L66" s="17"/>
    </row>
    <row r="67" spans="1:13" ht="20.100000000000001" customHeight="1" x14ac:dyDescent="0.25">
      <c r="A67"/>
      <c r="D67" s="26" t="str" cm="1">
        <f t="array" ref="D67">Common_InputFunctions.Utility_DisplayArrayInTable(Fuel_SourceData.Fuel_Scope1Scope3EmissionFactorsStationaryLiquid_Data(), Table_Fuel_EFs_StationaryLiquid[[#Headers],[Fuel combusted]],0)</f>
        <v>Liquefied petroleum gas (LPG)</v>
      </c>
      <c r="E67" s="26" cm="1">
        <f t="array" ref="E67">Common_InputFunctions.Utility_DisplayArrayInTable(Fuel_SourceData.Fuel_Scope1Scope3EmissionFactorsStationaryLiquid_Data(), Table_Fuel_EFs_StationaryLiquid[[#Headers],[Fuel combusted]],0)</f>
        <v>25.7</v>
      </c>
      <c r="F67" s="26" t="str" cm="1">
        <f t="array" ref="F67">Common_InputFunctions.Utility_DisplayArrayInTable(Fuel_SourceData.Fuel_Scope1Scope3EmissionFactorsStationaryLiquid_Data(), Table_Fuel_EFs_StationaryLiquid[[#Headers],[Fuel combusted]],0)</f>
        <v>kL</v>
      </c>
      <c r="G67" s="26" cm="1">
        <f t="array" ref="G67">Common_InputFunctions.Utility_DisplayArrayInTable(Fuel_SourceData.Fuel_Scope1Scope3EmissionFactorsStationaryLiquid_Data(), Table_Fuel_EFs_StationaryLiquid[[#Headers],[Fuel combusted]],0)</f>
        <v>60.2</v>
      </c>
      <c r="H67" s="26" cm="1">
        <f t="array" ref="H67">Common_InputFunctions.Utility_DisplayArrayInTable(Fuel_SourceData.Fuel_Scope1Scope3EmissionFactorsStationaryLiquid_Data(), Table_Fuel_EFs_StationaryLiquid[[#Headers],[Fuel combusted]],0)</f>
        <v>0.2</v>
      </c>
      <c r="I67" s="26" cm="1">
        <f t="array" ref="I67">Common_InputFunctions.Utility_DisplayArrayInTable(Fuel_SourceData.Fuel_Scope1Scope3EmissionFactorsStationaryLiquid_Data(), Table_Fuel_EFs_StationaryLiquid[[#Headers],[Fuel combusted]],0)</f>
        <v>0.2</v>
      </c>
      <c r="J67" s="26" cm="1">
        <f t="array" ref="J67">Common_InputFunctions.Utility_DisplayArrayInTable(Fuel_SourceData.Fuel_Scope1Scope3EmissionFactorsStationaryLiquid_Data(), Table_Fuel_EFs_StationaryLiquid[[#Headers],[Fuel combusted]],0)</f>
        <v>60.6</v>
      </c>
      <c r="K67" s="26" cm="1">
        <f t="array" ref="K67">Common_InputFunctions.Utility_DisplayArrayInTable(Fuel_SourceData.Fuel_Scope1Scope3EmissionFactorsStationaryLiquid_Data(), Table_Fuel_EFs_StationaryLiquid[[#Headers],[Fuel combusted]],0)</f>
        <v>20.2</v>
      </c>
      <c r="L67" s="17"/>
    </row>
    <row r="68" spans="1:13" ht="20.100000000000001" customHeight="1" x14ac:dyDescent="0.25">
      <c r="A68"/>
      <c r="D68" s="26" t="str" cm="1">
        <f t="array" ref="D68">Common_InputFunctions.Utility_DisplayArrayInTable(Fuel_SourceData.Fuel_Scope1Scope3EmissionFactorsStationaryLiquid_Data(), Table_Fuel_EFs_StationaryLiquid[[#Headers],[Fuel combusted]],0)</f>
        <v>Naphtha</v>
      </c>
      <c r="E68" s="26" cm="1">
        <f t="array" ref="E68">Common_InputFunctions.Utility_DisplayArrayInTable(Fuel_SourceData.Fuel_Scope1Scope3EmissionFactorsStationaryLiquid_Data(), Table_Fuel_EFs_StationaryLiquid[[#Headers],[Fuel combusted]],0)</f>
        <v>31.4</v>
      </c>
      <c r="F68" s="26" t="str" cm="1">
        <f t="array" ref="F68">Common_InputFunctions.Utility_DisplayArrayInTable(Fuel_SourceData.Fuel_Scope1Scope3EmissionFactorsStationaryLiquid_Data(), Table_Fuel_EFs_StationaryLiquid[[#Headers],[Fuel combusted]],0)</f>
        <v>kL</v>
      </c>
      <c r="G68" s="26" cm="1">
        <f t="array" ref="G68">Common_InputFunctions.Utility_DisplayArrayInTable(Fuel_SourceData.Fuel_Scope1Scope3EmissionFactorsStationaryLiquid_Data(), Table_Fuel_EFs_StationaryLiquid[[#Headers],[Fuel combusted]],0)</f>
        <v>69.8</v>
      </c>
      <c r="H68" s="26" cm="1">
        <f t="array" ref="H68">Common_InputFunctions.Utility_DisplayArrayInTable(Fuel_SourceData.Fuel_Scope1Scope3EmissionFactorsStationaryLiquid_Data(), Table_Fuel_EFs_StationaryLiquid[[#Headers],[Fuel combusted]],0)</f>
        <v>0.01</v>
      </c>
      <c r="I68" s="26" cm="1">
        <f t="array" ref="I68">Common_InputFunctions.Utility_DisplayArrayInTable(Fuel_SourceData.Fuel_Scope1Scope3EmissionFactorsStationaryLiquid_Data(), Table_Fuel_EFs_StationaryLiquid[[#Headers],[Fuel combusted]],0)</f>
        <v>0.01</v>
      </c>
      <c r="J68" s="26" cm="1">
        <f t="array" ref="J68">Common_InputFunctions.Utility_DisplayArrayInTable(Fuel_SourceData.Fuel_Scope1Scope3EmissionFactorsStationaryLiquid_Data(), Table_Fuel_EFs_StationaryLiquid[[#Headers],[Fuel combusted]],0)</f>
        <v>69.819999999999993</v>
      </c>
      <c r="K68" s="26" cm="1">
        <f t="array" ref="K68">Common_InputFunctions.Utility_DisplayArrayInTable(Fuel_SourceData.Fuel_Scope1Scope3EmissionFactorsStationaryLiquid_Data(), Table_Fuel_EFs_StationaryLiquid[[#Headers],[Fuel combusted]],0)</f>
        <v>18</v>
      </c>
      <c r="L68" s="17"/>
    </row>
    <row r="69" spans="1:13" ht="20.100000000000001" customHeight="1" x14ac:dyDescent="0.25">
      <c r="A69"/>
      <c r="D69" s="26" t="str" cm="1">
        <f t="array" ref="D69">Common_InputFunctions.Utility_DisplayArrayInTable(Fuel_SourceData.Fuel_Scope1Scope3EmissionFactorsStationaryLiquid_Data(), Table_Fuel_EFs_StationaryLiquid[[#Headers],[Fuel combusted]],0)</f>
        <v>Petroleum coke</v>
      </c>
      <c r="E69" s="26" cm="1">
        <f t="array" ref="E69">Common_InputFunctions.Utility_DisplayArrayInTable(Fuel_SourceData.Fuel_Scope1Scope3EmissionFactorsStationaryLiquid_Data(), Table_Fuel_EFs_StationaryLiquid[[#Headers],[Fuel combusted]],0)</f>
        <v>34.200000000000003</v>
      </c>
      <c r="F69" s="26" t="str" cm="1">
        <f t="array" ref="F69">Common_InputFunctions.Utility_DisplayArrayInTable(Fuel_SourceData.Fuel_Scope1Scope3EmissionFactorsStationaryLiquid_Data(), Table_Fuel_EFs_StationaryLiquid[[#Headers],[Fuel combusted]],0)</f>
        <v>t</v>
      </c>
      <c r="G69" s="26" cm="1">
        <f t="array" ref="G69">Common_InputFunctions.Utility_DisplayArrayInTable(Fuel_SourceData.Fuel_Scope1Scope3EmissionFactorsStationaryLiquid_Data(), Table_Fuel_EFs_StationaryLiquid[[#Headers],[Fuel combusted]],0)</f>
        <v>92.6</v>
      </c>
      <c r="H69" s="26" cm="1">
        <f t="array" ref="H69">Common_InputFunctions.Utility_DisplayArrayInTable(Fuel_SourceData.Fuel_Scope1Scope3EmissionFactorsStationaryLiquid_Data(), Table_Fuel_EFs_StationaryLiquid[[#Headers],[Fuel combusted]],0)</f>
        <v>0.08</v>
      </c>
      <c r="I69" s="26" cm="1">
        <f t="array" ref="I69">Common_InputFunctions.Utility_DisplayArrayInTable(Fuel_SourceData.Fuel_Scope1Scope3EmissionFactorsStationaryLiquid_Data(), Table_Fuel_EFs_StationaryLiquid[[#Headers],[Fuel combusted]],0)</f>
        <v>0.2</v>
      </c>
      <c r="J69" s="26" cm="1">
        <f t="array" ref="J69">Common_InputFunctions.Utility_DisplayArrayInTable(Fuel_SourceData.Fuel_Scope1Scope3EmissionFactorsStationaryLiquid_Data(), Table_Fuel_EFs_StationaryLiquid[[#Headers],[Fuel combusted]],0)</f>
        <v>92.88</v>
      </c>
      <c r="K69" s="26" cm="1">
        <f t="array" ref="K69">Common_InputFunctions.Utility_DisplayArrayInTable(Fuel_SourceData.Fuel_Scope1Scope3EmissionFactorsStationaryLiquid_Data(), Table_Fuel_EFs_StationaryLiquid[[#Headers],[Fuel combusted]],0)</f>
        <v>18</v>
      </c>
      <c r="L69" s="17"/>
    </row>
    <row r="70" spans="1:13" ht="20.100000000000001" customHeight="1" x14ac:dyDescent="0.25">
      <c r="A70"/>
      <c r="D70" s="26" t="str" cm="1">
        <f t="array" ref="D70">Common_InputFunctions.Utility_DisplayArrayInTable(Fuel_SourceData.Fuel_Scope1Scope3EmissionFactorsStationaryLiquid_Data(), Table_Fuel_EFs_StationaryLiquid[[#Headers],[Fuel combusted]],0)</f>
        <v>Refinery gas and liquids</v>
      </c>
      <c r="E70" s="26" cm="1">
        <f t="array" ref="E70">Common_InputFunctions.Utility_DisplayArrayInTable(Fuel_SourceData.Fuel_Scope1Scope3EmissionFactorsStationaryLiquid_Data(), Table_Fuel_EFs_StationaryLiquid[[#Headers],[Fuel combusted]],0)</f>
        <v>42.9</v>
      </c>
      <c r="F70" s="26" t="str" cm="1">
        <f t="array" ref="F70">Common_InputFunctions.Utility_DisplayArrayInTable(Fuel_SourceData.Fuel_Scope1Scope3EmissionFactorsStationaryLiquid_Data(), Table_Fuel_EFs_StationaryLiquid[[#Headers],[Fuel combusted]],0)</f>
        <v>t</v>
      </c>
      <c r="G70" s="26" cm="1">
        <f t="array" ref="G70">Common_InputFunctions.Utility_DisplayArrayInTable(Fuel_SourceData.Fuel_Scope1Scope3EmissionFactorsStationaryLiquid_Data(), Table_Fuel_EFs_StationaryLiquid[[#Headers],[Fuel combusted]],0)</f>
        <v>54.7</v>
      </c>
      <c r="H70" s="26" cm="1">
        <f t="array" ref="H70">Common_InputFunctions.Utility_DisplayArrayInTable(Fuel_SourceData.Fuel_Scope1Scope3EmissionFactorsStationaryLiquid_Data(), Table_Fuel_EFs_StationaryLiquid[[#Headers],[Fuel combusted]],0)</f>
        <v>0.03</v>
      </c>
      <c r="I70" s="26" cm="1">
        <f t="array" ref="I70">Common_InputFunctions.Utility_DisplayArrayInTable(Fuel_SourceData.Fuel_Scope1Scope3EmissionFactorsStationaryLiquid_Data(), Table_Fuel_EFs_StationaryLiquid[[#Headers],[Fuel combusted]],0)</f>
        <v>0.03</v>
      </c>
      <c r="J70" s="26" cm="1">
        <f t="array" ref="J70">Common_InputFunctions.Utility_DisplayArrayInTable(Fuel_SourceData.Fuel_Scope1Scope3EmissionFactorsStationaryLiquid_Data(), Table_Fuel_EFs_StationaryLiquid[[#Headers],[Fuel combusted]],0)</f>
        <v>54.76</v>
      </c>
      <c r="K70" s="26" cm="1">
        <f t="array" ref="K70">Common_InputFunctions.Utility_DisplayArrayInTable(Fuel_SourceData.Fuel_Scope1Scope3EmissionFactorsStationaryLiquid_Data(), Table_Fuel_EFs_StationaryLiquid[[#Headers],[Fuel combusted]],0)</f>
        <v>18</v>
      </c>
      <c r="L70" s="17"/>
    </row>
    <row r="71" spans="1:13" ht="20.100000000000001" customHeight="1" x14ac:dyDescent="0.25">
      <c r="A71"/>
      <c r="D71" s="26" t="str" cm="1">
        <f t="array" ref="D71">Common_InputFunctions.Utility_DisplayArrayInTable(Fuel_SourceData.Fuel_Scope1Scope3EmissionFactorsStationaryLiquid_Data(), Table_Fuel_EFs_StationaryLiquid[[#Headers],[Fuel combusted]],0)</f>
        <v>Refinery coke</v>
      </c>
      <c r="E71" s="26" cm="1">
        <f t="array" ref="E71">Common_InputFunctions.Utility_DisplayArrayInTable(Fuel_SourceData.Fuel_Scope1Scope3EmissionFactorsStationaryLiquid_Data(), Table_Fuel_EFs_StationaryLiquid[[#Headers],[Fuel combusted]],0)</f>
        <v>34.200000000000003</v>
      </c>
      <c r="F71" s="26" t="str" cm="1">
        <f t="array" ref="F71">Common_InputFunctions.Utility_DisplayArrayInTable(Fuel_SourceData.Fuel_Scope1Scope3EmissionFactorsStationaryLiquid_Data(), Table_Fuel_EFs_StationaryLiquid[[#Headers],[Fuel combusted]],0)</f>
        <v>t</v>
      </c>
      <c r="G71" s="26" cm="1">
        <f t="array" ref="G71">Common_InputFunctions.Utility_DisplayArrayInTable(Fuel_SourceData.Fuel_Scope1Scope3EmissionFactorsStationaryLiquid_Data(), Table_Fuel_EFs_StationaryLiquid[[#Headers],[Fuel combusted]],0)</f>
        <v>92.6</v>
      </c>
      <c r="H71" s="26" cm="1">
        <f t="array" ref="H71">Common_InputFunctions.Utility_DisplayArrayInTable(Fuel_SourceData.Fuel_Scope1Scope3EmissionFactorsStationaryLiquid_Data(), Table_Fuel_EFs_StationaryLiquid[[#Headers],[Fuel combusted]],0)</f>
        <v>0.08</v>
      </c>
      <c r="I71" s="26" cm="1">
        <f t="array" ref="I71">Common_InputFunctions.Utility_DisplayArrayInTable(Fuel_SourceData.Fuel_Scope1Scope3EmissionFactorsStationaryLiquid_Data(), Table_Fuel_EFs_StationaryLiquid[[#Headers],[Fuel combusted]],0)</f>
        <v>0.2</v>
      </c>
      <c r="J71" s="26" cm="1">
        <f t="array" ref="J71">Common_InputFunctions.Utility_DisplayArrayInTable(Fuel_SourceData.Fuel_Scope1Scope3EmissionFactorsStationaryLiquid_Data(), Table_Fuel_EFs_StationaryLiquid[[#Headers],[Fuel combusted]],0)</f>
        <v>92.88</v>
      </c>
      <c r="K71" s="26" cm="1">
        <f t="array" ref="K71">Common_InputFunctions.Utility_DisplayArrayInTable(Fuel_SourceData.Fuel_Scope1Scope3EmissionFactorsStationaryLiquid_Data(), Table_Fuel_EFs_StationaryLiquid[[#Headers],[Fuel combusted]],0)</f>
        <v>18</v>
      </c>
      <c r="L71" s="17"/>
    </row>
    <row r="72" spans="1:13" ht="20.100000000000001" customHeight="1" x14ac:dyDescent="0.25">
      <c r="A72"/>
      <c r="D72" s="26" t="str" cm="1">
        <f t="array" ref="D72">Common_InputFunctions.Utility_DisplayArrayInTable(Fuel_SourceData.Fuel_Scope1Scope3EmissionFactorsStationaryLiquid_Data(), Table_Fuel_EFs_StationaryLiquid[[#Headers],[Fuel combusted]],0)</f>
        <v>Petroleum based products other than mentioned in the items above</v>
      </c>
      <c r="E72" s="26" cm="1">
        <f t="array" ref="E72">Common_InputFunctions.Utility_DisplayArrayInTable(Fuel_SourceData.Fuel_Scope1Scope3EmissionFactorsStationaryLiquid_Data(), Table_Fuel_EFs_StationaryLiquid[[#Headers],[Fuel combusted]],0)</f>
        <v>34.4</v>
      </c>
      <c r="F72" s="26" t="str" cm="1">
        <f t="array" ref="F72">Common_InputFunctions.Utility_DisplayArrayInTable(Fuel_SourceData.Fuel_Scope1Scope3EmissionFactorsStationaryLiquid_Data(), Table_Fuel_EFs_StationaryLiquid[[#Headers],[Fuel combusted]],0)</f>
        <v>kL</v>
      </c>
      <c r="G72" s="26" cm="1">
        <f t="array" ref="G72">Common_InputFunctions.Utility_DisplayArrayInTable(Fuel_SourceData.Fuel_Scope1Scope3EmissionFactorsStationaryLiquid_Data(), Table_Fuel_EFs_StationaryLiquid[[#Headers],[Fuel combusted]],0)</f>
        <v>69.8</v>
      </c>
      <c r="H72" s="26" cm="1">
        <f t="array" ref="H72">Common_InputFunctions.Utility_DisplayArrayInTable(Fuel_SourceData.Fuel_Scope1Scope3EmissionFactorsStationaryLiquid_Data(), Table_Fuel_EFs_StationaryLiquid[[#Headers],[Fuel combusted]],0)</f>
        <v>0.02</v>
      </c>
      <c r="I72" s="26" cm="1">
        <f t="array" ref="I72">Common_InputFunctions.Utility_DisplayArrayInTable(Fuel_SourceData.Fuel_Scope1Scope3EmissionFactorsStationaryLiquid_Data(), Table_Fuel_EFs_StationaryLiquid[[#Headers],[Fuel combusted]],0)</f>
        <v>0.1</v>
      </c>
      <c r="J72" s="26" cm="1">
        <f t="array" ref="J72">Common_InputFunctions.Utility_DisplayArrayInTable(Fuel_SourceData.Fuel_Scope1Scope3EmissionFactorsStationaryLiquid_Data(), Table_Fuel_EFs_StationaryLiquid[[#Headers],[Fuel combusted]],0)</f>
        <v>69.92</v>
      </c>
      <c r="K72" s="26" cm="1">
        <f t="array" ref="K72">Common_InputFunctions.Utility_DisplayArrayInTable(Fuel_SourceData.Fuel_Scope1Scope3EmissionFactorsStationaryLiquid_Data(), Table_Fuel_EFs_StationaryLiquid[[#Headers],[Fuel combusted]],0)</f>
        <v>18</v>
      </c>
      <c r="L72" s="17"/>
    </row>
    <row r="73" spans="1:13" ht="20.100000000000001" customHeight="1" x14ac:dyDescent="0.25">
      <c r="A73"/>
      <c r="D73" s="26" t="str" cm="1">
        <f t="array" ref="D73">Common_InputFunctions.Utility_DisplayArrayInTable(Fuel_SourceData.Fuel_Scope1Scope3EmissionFactorsStationaryLiquid_Data(), Table_Fuel_EFs_StationaryLiquid[[#Headers],[Fuel combusted]],0)</f>
        <v>Biodiesel</v>
      </c>
      <c r="E73" s="26" cm="1">
        <f t="array" ref="E73">Common_InputFunctions.Utility_DisplayArrayInTable(Fuel_SourceData.Fuel_Scope1Scope3EmissionFactorsStationaryLiquid_Data(), Table_Fuel_EFs_StationaryLiquid[[#Headers],[Fuel combusted]],0)</f>
        <v>34.6</v>
      </c>
      <c r="F73" s="26" t="str" cm="1">
        <f t="array" ref="F73">Common_InputFunctions.Utility_DisplayArrayInTable(Fuel_SourceData.Fuel_Scope1Scope3EmissionFactorsStationaryLiquid_Data(), Table_Fuel_EFs_StationaryLiquid[[#Headers],[Fuel combusted]],0)</f>
        <v>kL</v>
      </c>
      <c r="G73" s="26" cm="1">
        <f t="array" ref="G73">Common_InputFunctions.Utility_DisplayArrayInTable(Fuel_SourceData.Fuel_Scope1Scope3EmissionFactorsStationaryLiquid_Data(), Table_Fuel_EFs_StationaryLiquid[[#Headers],[Fuel combusted]],0)</f>
        <v>0</v>
      </c>
      <c r="H73" s="26" cm="1">
        <f t="array" ref="H73">Common_InputFunctions.Utility_DisplayArrayInTable(Fuel_SourceData.Fuel_Scope1Scope3EmissionFactorsStationaryLiquid_Data(), Table_Fuel_EFs_StationaryLiquid[[#Headers],[Fuel combusted]],0)</f>
        <v>0.08</v>
      </c>
      <c r="I73" s="26" cm="1">
        <f t="array" ref="I73">Common_InputFunctions.Utility_DisplayArrayInTable(Fuel_SourceData.Fuel_Scope1Scope3EmissionFactorsStationaryLiquid_Data(), Table_Fuel_EFs_StationaryLiquid[[#Headers],[Fuel combusted]],0)</f>
        <v>0.2</v>
      </c>
      <c r="J73" s="26" cm="1">
        <f t="array" ref="J73">Common_InputFunctions.Utility_DisplayArrayInTable(Fuel_SourceData.Fuel_Scope1Scope3EmissionFactorsStationaryLiquid_Data(), Table_Fuel_EFs_StationaryLiquid[[#Headers],[Fuel combusted]],0)</f>
        <v>0.28000000000000003</v>
      </c>
      <c r="K73" s="26" t="str" cm="1">
        <f t="array" ref="K73">Common_InputFunctions.Utility_DisplayArrayInTable(Fuel_SourceData.Fuel_Scope1Scope3EmissionFactorsStationaryLiquid_Data(), Table_Fuel_EFs_StationaryLiquid[[#Headers],[Fuel combusted]],0)</f>
        <v>NE</v>
      </c>
      <c r="L73" s="17"/>
    </row>
    <row r="74" spans="1:13" ht="20.100000000000001" customHeight="1" x14ac:dyDescent="0.25">
      <c r="A74"/>
      <c r="D74" s="26" t="str" cm="1">
        <f t="array" ref="D74">Common_InputFunctions.Utility_DisplayArrayInTable(Fuel_SourceData.Fuel_Scope1Scope3EmissionFactorsStationaryLiquid_Data(), Table_Fuel_EFs_StationaryLiquid[[#Headers],[Fuel combusted]],0)</f>
        <v>Ethanol for use as a fuel in an internal combustion engine</v>
      </c>
      <c r="E74" s="26" cm="1">
        <f t="array" ref="E74">Common_InputFunctions.Utility_DisplayArrayInTable(Fuel_SourceData.Fuel_Scope1Scope3EmissionFactorsStationaryLiquid_Data(), Table_Fuel_EFs_StationaryLiquid[[#Headers],[Fuel combusted]],0)</f>
        <v>23.4</v>
      </c>
      <c r="F74" s="26" t="str" cm="1">
        <f t="array" ref="F74">Common_InputFunctions.Utility_DisplayArrayInTable(Fuel_SourceData.Fuel_Scope1Scope3EmissionFactorsStationaryLiquid_Data(), Table_Fuel_EFs_StationaryLiquid[[#Headers],[Fuel combusted]],0)</f>
        <v>kL</v>
      </c>
      <c r="G74" s="26" cm="1">
        <f t="array" ref="G74">Common_InputFunctions.Utility_DisplayArrayInTable(Fuel_SourceData.Fuel_Scope1Scope3EmissionFactorsStationaryLiquid_Data(), Table_Fuel_EFs_StationaryLiquid[[#Headers],[Fuel combusted]],0)</f>
        <v>0</v>
      </c>
      <c r="H74" s="26" cm="1">
        <f t="array" ref="H74">Common_InputFunctions.Utility_DisplayArrayInTable(Fuel_SourceData.Fuel_Scope1Scope3EmissionFactorsStationaryLiquid_Data(), Table_Fuel_EFs_StationaryLiquid[[#Headers],[Fuel combusted]],0)</f>
        <v>0.08</v>
      </c>
      <c r="I74" s="26" cm="1">
        <f t="array" ref="I74">Common_InputFunctions.Utility_DisplayArrayInTable(Fuel_SourceData.Fuel_Scope1Scope3EmissionFactorsStationaryLiquid_Data(), Table_Fuel_EFs_StationaryLiquid[[#Headers],[Fuel combusted]],0)</f>
        <v>0.2</v>
      </c>
      <c r="J74" s="26" cm="1">
        <f t="array" ref="J74">Common_InputFunctions.Utility_DisplayArrayInTable(Fuel_SourceData.Fuel_Scope1Scope3EmissionFactorsStationaryLiquid_Data(), Table_Fuel_EFs_StationaryLiquid[[#Headers],[Fuel combusted]],0)</f>
        <v>0.28000000000000003</v>
      </c>
      <c r="K74" s="26" t="str" cm="1">
        <f t="array" ref="K74">Common_InputFunctions.Utility_DisplayArrayInTable(Fuel_SourceData.Fuel_Scope1Scope3EmissionFactorsStationaryLiquid_Data(), Table_Fuel_EFs_StationaryLiquid[[#Headers],[Fuel combusted]],0)</f>
        <v>NE</v>
      </c>
      <c r="L74" s="17"/>
    </row>
    <row r="75" spans="1:13" ht="20.100000000000001" customHeight="1" x14ac:dyDescent="0.25">
      <c r="A75"/>
      <c r="D75" s="26" t="str" cm="1">
        <f t="array" ref="D75">Common_InputFunctions.Utility_DisplayArrayInTable(Fuel_SourceData.Fuel_Scope1Scope3EmissionFactorsStationaryLiquid_Data(), Table_Fuel_EFs_StationaryLiquid[[#Headers],[Fuel combusted]],0)</f>
        <v>Biofuels other than those mentioned in the items above and below</v>
      </c>
      <c r="E75" s="26" cm="1">
        <f t="array" ref="E75">Common_InputFunctions.Utility_DisplayArrayInTable(Fuel_SourceData.Fuel_Scope1Scope3EmissionFactorsStationaryLiquid_Data(), Table_Fuel_EFs_StationaryLiquid[[#Headers],[Fuel combusted]],0)</f>
        <v>23.4</v>
      </c>
      <c r="F75" s="26" t="str" cm="1">
        <f t="array" ref="F75">Common_InputFunctions.Utility_DisplayArrayInTable(Fuel_SourceData.Fuel_Scope1Scope3EmissionFactorsStationaryLiquid_Data(), Table_Fuel_EFs_StationaryLiquid[[#Headers],[Fuel combusted]],0)</f>
        <v>kL</v>
      </c>
      <c r="G75" s="26" cm="1">
        <f t="array" ref="G75">Common_InputFunctions.Utility_DisplayArrayInTable(Fuel_SourceData.Fuel_Scope1Scope3EmissionFactorsStationaryLiquid_Data(), Table_Fuel_EFs_StationaryLiquid[[#Headers],[Fuel combusted]],0)</f>
        <v>0</v>
      </c>
      <c r="H75" s="26" cm="1">
        <f t="array" ref="H75">Common_InputFunctions.Utility_DisplayArrayInTable(Fuel_SourceData.Fuel_Scope1Scope3EmissionFactorsStationaryLiquid_Data(), Table_Fuel_EFs_StationaryLiquid[[#Headers],[Fuel combusted]],0)</f>
        <v>0.08</v>
      </c>
      <c r="I75" s="26" cm="1">
        <f t="array" ref="I75">Common_InputFunctions.Utility_DisplayArrayInTable(Fuel_SourceData.Fuel_Scope1Scope3EmissionFactorsStationaryLiquid_Data(), Table_Fuel_EFs_StationaryLiquid[[#Headers],[Fuel combusted]],0)</f>
        <v>0.2</v>
      </c>
      <c r="J75" s="26" cm="1">
        <f t="array" ref="J75">Common_InputFunctions.Utility_DisplayArrayInTable(Fuel_SourceData.Fuel_Scope1Scope3EmissionFactorsStationaryLiquid_Data(), Table_Fuel_EFs_StationaryLiquid[[#Headers],[Fuel combusted]],0)</f>
        <v>0.28000000000000003</v>
      </c>
      <c r="K75" s="26" t="str" cm="1">
        <f t="array" ref="K75">Common_InputFunctions.Utility_DisplayArrayInTable(Fuel_SourceData.Fuel_Scope1Scope3EmissionFactorsStationaryLiquid_Data(), Table_Fuel_EFs_StationaryLiquid[[#Headers],[Fuel combusted]],0)</f>
        <v>NE</v>
      </c>
      <c r="L75" s="17"/>
    </row>
    <row r="76" spans="1:13" ht="20.100000000000001" customHeight="1" x14ac:dyDescent="0.25">
      <c r="A76"/>
      <c r="D76" s="26" t="str" cm="1">
        <f t="array" ref="D76">Common_InputFunctions.Utility_DisplayArrayInTable(Fuel_SourceData.Fuel_Scope1Scope3EmissionFactorsStationaryLiquid_Data(), Table_Fuel_EFs_StationaryLiquid[[#Headers],[Fuel combusted]],0)</f>
        <v>Renewable aviation kerosene</v>
      </c>
      <c r="E76" s="26" cm="1">
        <f t="array" ref="E76">Common_InputFunctions.Utility_DisplayArrayInTable(Fuel_SourceData.Fuel_Scope1Scope3EmissionFactorsStationaryLiquid_Data(), Table_Fuel_EFs_StationaryLiquid[[#Headers],[Fuel combusted]],0)</f>
        <v>36.799999999999997</v>
      </c>
      <c r="F76" s="26" t="str" cm="1">
        <f t="array" ref="F76">Common_InputFunctions.Utility_DisplayArrayInTable(Fuel_SourceData.Fuel_Scope1Scope3EmissionFactorsStationaryLiquid_Data(), Table_Fuel_EFs_StationaryLiquid[[#Headers],[Fuel combusted]],0)</f>
        <v>kL</v>
      </c>
      <c r="G76" s="26" cm="1">
        <f t="array" ref="G76">Common_InputFunctions.Utility_DisplayArrayInTable(Fuel_SourceData.Fuel_Scope1Scope3EmissionFactorsStationaryLiquid_Data(), Table_Fuel_EFs_StationaryLiquid[[#Headers],[Fuel combusted]],0)</f>
        <v>0</v>
      </c>
      <c r="H76" s="26" cm="1">
        <f t="array" ref="H76">Common_InputFunctions.Utility_DisplayArrayInTable(Fuel_SourceData.Fuel_Scope1Scope3EmissionFactorsStationaryLiquid_Data(), Table_Fuel_EFs_StationaryLiquid[[#Headers],[Fuel combusted]],0)</f>
        <v>0.02</v>
      </c>
      <c r="I76" s="26" cm="1">
        <f t="array" ref="I76">Common_InputFunctions.Utility_DisplayArrayInTable(Fuel_SourceData.Fuel_Scope1Scope3EmissionFactorsStationaryLiquid_Data(), Table_Fuel_EFs_StationaryLiquid[[#Headers],[Fuel combusted]],0)</f>
        <v>0.2</v>
      </c>
      <c r="J76" s="26" cm="1">
        <f t="array" ref="J76">Common_InputFunctions.Utility_DisplayArrayInTable(Fuel_SourceData.Fuel_Scope1Scope3EmissionFactorsStationaryLiquid_Data(), Table_Fuel_EFs_StationaryLiquid[[#Headers],[Fuel combusted]],0)</f>
        <v>0.22</v>
      </c>
      <c r="K76" s="26" t="str" cm="1">
        <f t="array" ref="K76">Common_InputFunctions.Utility_DisplayArrayInTable(Fuel_SourceData.Fuel_Scope1Scope3EmissionFactorsStationaryLiquid_Data(), Table_Fuel_EFs_StationaryLiquid[[#Headers],[Fuel combusted]],0)</f>
        <v>NE</v>
      </c>
      <c r="L76" s="17"/>
    </row>
    <row r="77" spans="1:13" ht="20.100000000000001" customHeight="1" x14ac:dyDescent="0.25">
      <c r="A77"/>
      <c r="D77" s="26" t="str" cm="1">
        <f t="array" ref="D77">Common_InputFunctions.Utility_DisplayArrayInTable(Fuel_SourceData.Fuel_Scope1Scope3EmissionFactorsStationaryLiquid_Data(), Table_Fuel_EFs_StationaryLiquid[[#Headers],[Fuel combusted]],0)</f>
        <v>Renewable diesel</v>
      </c>
      <c r="E77" s="26" cm="1">
        <f t="array" ref="E77">Common_InputFunctions.Utility_DisplayArrayInTable(Fuel_SourceData.Fuel_Scope1Scope3EmissionFactorsStationaryLiquid_Data(), Table_Fuel_EFs_StationaryLiquid[[#Headers],[Fuel combusted]],0)</f>
        <v>38.6</v>
      </c>
      <c r="F77" s="26" t="str" cm="1">
        <f t="array" ref="F77">Common_InputFunctions.Utility_DisplayArrayInTable(Fuel_SourceData.Fuel_Scope1Scope3EmissionFactorsStationaryLiquid_Data(), Table_Fuel_EFs_StationaryLiquid[[#Headers],[Fuel combusted]],0)</f>
        <v>kL</v>
      </c>
      <c r="G77" s="26" cm="1">
        <f t="array" ref="G77">Common_InputFunctions.Utility_DisplayArrayInTable(Fuel_SourceData.Fuel_Scope1Scope3EmissionFactorsStationaryLiquid_Data(), Table_Fuel_EFs_StationaryLiquid[[#Headers],[Fuel combusted]],0)</f>
        <v>0</v>
      </c>
      <c r="H77" s="26" cm="1">
        <f t="array" ref="H77">Common_InputFunctions.Utility_DisplayArrayInTable(Fuel_SourceData.Fuel_Scope1Scope3EmissionFactorsStationaryLiquid_Data(), Table_Fuel_EFs_StationaryLiquid[[#Headers],[Fuel combusted]],0)</f>
        <v>0.1</v>
      </c>
      <c r="I77" s="26" cm="1">
        <f t="array" ref="I77">Common_InputFunctions.Utility_DisplayArrayInTable(Fuel_SourceData.Fuel_Scope1Scope3EmissionFactorsStationaryLiquid_Data(), Table_Fuel_EFs_StationaryLiquid[[#Headers],[Fuel combusted]],0)</f>
        <v>0.2</v>
      </c>
      <c r="J77" s="26" cm="1">
        <f t="array" ref="J77">Common_InputFunctions.Utility_DisplayArrayInTable(Fuel_SourceData.Fuel_Scope1Scope3EmissionFactorsStationaryLiquid_Data(), Table_Fuel_EFs_StationaryLiquid[[#Headers],[Fuel combusted]],0)</f>
        <v>0.3</v>
      </c>
      <c r="K77" s="26" t="str" cm="1">
        <f t="array" ref="K77">Common_InputFunctions.Utility_DisplayArrayInTable(Fuel_SourceData.Fuel_Scope1Scope3EmissionFactorsStationaryLiquid_Data(), Table_Fuel_EFs_StationaryLiquid[[#Headers],[Fuel combusted]],0)</f>
        <v>NE</v>
      </c>
      <c r="L77" s="17"/>
    </row>
    <row r="78" spans="1:13" ht="20.100000000000001" customHeight="1" x14ac:dyDescent="0.25">
      <c r="A78"/>
      <c r="D78" s="17"/>
      <c r="E78" s="17"/>
      <c r="F78" s="17"/>
      <c r="G78" s="17"/>
      <c r="H78" s="17"/>
      <c r="I78" s="17"/>
      <c r="J78" s="17"/>
      <c r="K78" s="17"/>
      <c r="L78" s="17"/>
    </row>
    <row r="79" spans="1:13" ht="20.100000000000001" customHeight="1" x14ac:dyDescent="0.25">
      <c r="A79"/>
      <c r="D79" s="17"/>
      <c r="E79" s="17"/>
      <c r="F79" s="17"/>
      <c r="G79" s="17"/>
      <c r="H79" s="17"/>
      <c r="I79" s="17"/>
      <c r="J79" s="17"/>
      <c r="K79" s="17"/>
      <c r="L79" s="17"/>
      <c r="M79" s="17"/>
    </row>
    <row r="80" spans="1:13" ht="20.100000000000001" customHeight="1" x14ac:dyDescent="0.25">
      <c r="A80"/>
      <c r="D80" s="17"/>
      <c r="E80" s="17"/>
      <c r="F80" s="17"/>
      <c r="G80" s="17"/>
      <c r="H80" s="17"/>
      <c r="I80" s="17"/>
      <c r="J80" s="17"/>
      <c r="K80" s="17"/>
      <c r="L80" s="17"/>
      <c r="M80" s="17"/>
    </row>
    <row r="81" spans="1:12" ht="20.100000000000001" customHeight="1" x14ac:dyDescent="0.25">
      <c r="A81"/>
      <c r="D81" s="9" t="str" cm="1">
        <f t="array" ref="D81">Fuel_SourceData.Fuel_Scope1EmissionFactorsStationaryGaseous_Title()</f>
        <v>Fuel scope 1 emission factors - Stationary gaseous fuels</v>
      </c>
      <c r="E81" s="17"/>
      <c r="F81" s="17"/>
      <c r="G81" s="17"/>
      <c r="H81" s="17"/>
      <c r="I81" s="17"/>
      <c r="J81" s="17"/>
      <c r="K81" s="17"/>
      <c r="L81" s="17"/>
    </row>
    <row r="82" spans="1:12" ht="20.100000000000001" customHeight="1" x14ac:dyDescent="0.25">
      <c r="A82"/>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1:12" ht="20.100000000000001" customHeight="1" x14ac:dyDescent="0.25">
      <c r="A83"/>
      <c r="D83" s="11" t="str" cm="1">
        <f t="array" ref="D83">Fuel_SourceData.Fuel_Scope1EmissionFactorsStationaryGaseous_Source()</f>
        <v>Australian National Greenhouse Accounts Factors 2025 - Table 5</v>
      </c>
      <c r="E83" s="17"/>
      <c r="F83" s="17"/>
      <c r="G83" s="17"/>
      <c r="H83" s="17"/>
      <c r="I83" s="17"/>
      <c r="J83" s="17"/>
      <c r="K83" s="17"/>
      <c r="L83" s="17"/>
    </row>
    <row r="84" spans="1:12" ht="20.100000000000001" customHeight="1" x14ac:dyDescent="0.25">
      <c r="A84"/>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1:12" ht="20.100000000000001" customHeight="1" x14ac:dyDescent="0.25">
      <c r="A85"/>
      <c r="D85" s="17"/>
      <c r="E85" s="17"/>
      <c r="F85" s="17"/>
      <c r="G85" s="17"/>
      <c r="H85" s="17"/>
      <c r="I85" s="17"/>
      <c r="J85" s="17"/>
      <c r="K85" s="17"/>
      <c r="L85" s="17"/>
    </row>
    <row r="86" spans="1:12" ht="20.100000000000001" customHeight="1" x14ac:dyDescent="0.25">
      <c r="A86"/>
      <c r="D86" s="25" t="s">
        <v>69</v>
      </c>
      <c r="E86" s="20" t="s">
        <v>70</v>
      </c>
      <c r="F86" s="25" t="s">
        <v>71</v>
      </c>
      <c r="G86" s="20" t="s">
        <v>72</v>
      </c>
      <c r="H86" s="20" t="s">
        <v>73</v>
      </c>
      <c r="I86" s="20" t="s">
        <v>74</v>
      </c>
      <c r="J86" s="20" t="s">
        <v>75</v>
      </c>
      <c r="K86" s="17"/>
      <c r="L86" s="17"/>
    </row>
    <row r="87" spans="1:12" ht="20.100000000000001" customHeight="1" x14ac:dyDescent="0.25">
      <c r="A87"/>
      <c r="D87" s="26" t="str" cm="1">
        <f t="array" ref="D87">Common_InputFunctions.Utility_DisplayArrayInTable(Fuel_SourceData.Fuel_Scope1EmissionFactorsStationaryGaseous_Data(), Table_Fuel_EFs_StationaryGaseous[[#Headers],[Fuel combusted]],0)</f>
        <v>Natural gas distributed in a pipeline</v>
      </c>
      <c r="E87" s="26" cm="1">
        <f t="array" ref="E87">Common_InputFunctions.Utility_DisplayArrayInTable(Fuel_SourceData.Fuel_Scope1EmissionFactorsStationaryGaseous_Data(), Table_Fuel_EFs_StationaryGaseous[[#Headers],[Fuel combusted]],0)</f>
        <v>3.9300000000000002E-2</v>
      </c>
      <c r="F87" s="26" t="str" cm="1">
        <f t="array" ref="F87">Common_InputFunctions.Utility_DisplayArrayInTable(Fuel_SourceData.Fuel_Scope1EmissionFactorsStationaryGaseous_Data(), Table_Fuel_EFs_StationaryGaseous[[#Headers],[Fuel combusted]],0)</f>
        <v>m3</v>
      </c>
      <c r="G87" s="26" cm="1">
        <f t="array" ref="G87">Common_InputFunctions.Utility_DisplayArrayInTable(Fuel_SourceData.Fuel_Scope1EmissionFactorsStationaryGaseous_Data(), Table_Fuel_EFs_StationaryGaseous[[#Headers],[Fuel combusted]],0)</f>
        <v>51.4</v>
      </c>
      <c r="H87" s="26" cm="1">
        <f t="array" ref="H87">Common_InputFunctions.Utility_DisplayArrayInTable(Fuel_SourceData.Fuel_Scope1EmissionFactorsStationaryGaseous_Data(), Table_Fuel_EFs_StationaryGaseous[[#Headers],[Fuel combusted]],0)</f>
        <v>0.1</v>
      </c>
      <c r="I87" s="26" cm="1">
        <f t="array" ref="I87">Common_InputFunctions.Utility_DisplayArrayInTable(Fuel_SourceData.Fuel_Scope1EmissionFactorsStationaryGaseous_Data(), Table_Fuel_EFs_StationaryGaseous[[#Headers],[Fuel combusted]],0)</f>
        <v>0.03</v>
      </c>
      <c r="J87" s="26" cm="1">
        <f t="array" ref="J87">Common_InputFunctions.Utility_DisplayArrayInTable(Fuel_SourceData.Fuel_Scope1EmissionFactorsStationaryGaseous_Data(), Table_Fuel_EFs_StationaryGaseous[[#Headers],[Fuel combusted]],0)</f>
        <v>51.53</v>
      </c>
      <c r="K87" s="17"/>
      <c r="L87" s="17"/>
    </row>
    <row r="88" spans="1:12" ht="20.100000000000001" customHeight="1" x14ac:dyDescent="0.25">
      <c r="A88"/>
      <c r="D88" s="26" t="str" cm="1">
        <f t="array" ref="D88">Common_InputFunctions.Utility_DisplayArrayInTable(Fuel_SourceData.Fuel_Scope1EmissionFactorsStationaryGaseous_Data(), Table_Fuel_EFs_StationaryGaseous[[#Headers],[Fuel combusted]],0)</f>
        <v>Coal seam methane that is captured for combustion</v>
      </c>
      <c r="E88" s="26" cm="1">
        <f t="array" ref="E88">Common_InputFunctions.Utility_DisplayArrayInTable(Fuel_SourceData.Fuel_Scope1EmissionFactorsStationaryGaseous_Data(), Table_Fuel_EFs_StationaryGaseous[[#Headers],[Fuel combusted]],0)</f>
        <v>3.7699999999999997E-2</v>
      </c>
      <c r="F88" s="26" t="str" cm="1">
        <f t="array" ref="F88">Common_InputFunctions.Utility_DisplayArrayInTable(Fuel_SourceData.Fuel_Scope1EmissionFactorsStationaryGaseous_Data(), Table_Fuel_EFs_StationaryGaseous[[#Headers],[Fuel combusted]],0)</f>
        <v>m3</v>
      </c>
      <c r="G88" s="26" cm="1">
        <f t="array" ref="G88">Common_InputFunctions.Utility_DisplayArrayInTable(Fuel_SourceData.Fuel_Scope1EmissionFactorsStationaryGaseous_Data(), Table_Fuel_EFs_StationaryGaseous[[#Headers],[Fuel combusted]],0)</f>
        <v>51.4</v>
      </c>
      <c r="H88" s="26" cm="1">
        <f t="array" ref="H88">Common_InputFunctions.Utility_DisplayArrayInTable(Fuel_SourceData.Fuel_Scope1EmissionFactorsStationaryGaseous_Data(), Table_Fuel_EFs_StationaryGaseous[[#Headers],[Fuel combusted]],0)</f>
        <v>0.2</v>
      </c>
      <c r="I88" s="26" cm="1">
        <f t="array" ref="I88">Common_InputFunctions.Utility_DisplayArrayInTable(Fuel_SourceData.Fuel_Scope1EmissionFactorsStationaryGaseous_Data(), Table_Fuel_EFs_StationaryGaseous[[#Headers],[Fuel combusted]],0)</f>
        <v>0.03</v>
      </c>
      <c r="J88" s="26" cm="1">
        <f t="array" ref="J88">Common_InputFunctions.Utility_DisplayArrayInTable(Fuel_SourceData.Fuel_Scope1EmissionFactorsStationaryGaseous_Data(), Table_Fuel_EFs_StationaryGaseous[[#Headers],[Fuel combusted]],0)</f>
        <v>51.63</v>
      </c>
      <c r="K88" s="17"/>
      <c r="L88" s="17"/>
    </row>
    <row r="89" spans="1:12" ht="20.100000000000001" customHeight="1" x14ac:dyDescent="0.25">
      <c r="A89"/>
      <c r="D89" s="26" t="str" cm="1">
        <f t="array" ref="D89">Common_InputFunctions.Utility_DisplayArrayInTable(Fuel_SourceData.Fuel_Scope1EmissionFactorsStationaryGaseous_Data(), Table_Fuel_EFs_StationaryGaseous[[#Headers],[Fuel combusted]],0)</f>
        <v>Coal mine waste gas that is captured for combustion</v>
      </c>
      <c r="E89" s="26" cm="1">
        <f t="array" ref="E89">Common_InputFunctions.Utility_DisplayArrayInTable(Fuel_SourceData.Fuel_Scope1EmissionFactorsStationaryGaseous_Data(), Table_Fuel_EFs_StationaryGaseous[[#Headers],[Fuel combusted]],0)</f>
        <v>3.7699999999999997E-2</v>
      </c>
      <c r="F89" s="26" t="str" cm="1">
        <f t="array" ref="F89">Common_InputFunctions.Utility_DisplayArrayInTable(Fuel_SourceData.Fuel_Scope1EmissionFactorsStationaryGaseous_Data(), Table_Fuel_EFs_StationaryGaseous[[#Headers],[Fuel combusted]],0)</f>
        <v>m3</v>
      </c>
      <c r="G89" s="26" cm="1">
        <f t="array" ref="G89">Common_InputFunctions.Utility_DisplayArrayInTable(Fuel_SourceData.Fuel_Scope1EmissionFactorsStationaryGaseous_Data(), Table_Fuel_EFs_StationaryGaseous[[#Headers],[Fuel combusted]],0)</f>
        <v>51.9</v>
      </c>
      <c r="H89" s="26" cm="1">
        <f t="array" ref="H89">Common_InputFunctions.Utility_DisplayArrayInTable(Fuel_SourceData.Fuel_Scope1EmissionFactorsStationaryGaseous_Data(), Table_Fuel_EFs_StationaryGaseous[[#Headers],[Fuel combusted]],0)</f>
        <v>4.5999999999999996</v>
      </c>
      <c r="I89" s="26" cm="1">
        <f t="array" ref="I89">Common_InputFunctions.Utility_DisplayArrayInTable(Fuel_SourceData.Fuel_Scope1EmissionFactorsStationaryGaseous_Data(), Table_Fuel_EFs_StationaryGaseous[[#Headers],[Fuel combusted]],0)</f>
        <v>0.3</v>
      </c>
      <c r="J89" s="26" cm="1">
        <f t="array" ref="J89">Common_InputFunctions.Utility_DisplayArrayInTable(Fuel_SourceData.Fuel_Scope1EmissionFactorsStationaryGaseous_Data(), Table_Fuel_EFs_StationaryGaseous[[#Headers],[Fuel combusted]],0)</f>
        <v>56.8</v>
      </c>
      <c r="K89" s="17"/>
      <c r="L89" s="17"/>
    </row>
    <row r="90" spans="1:12" ht="20.100000000000001" customHeight="1" x14ac:dyDescent="0.25">
      <c r="A90"/>
      <c r="D90" s="26" t="str" cm="1">
        <f t="array" ref="D90">Common_InputFunctions.Utility_DisplayArrayInTable(Fuel_SourceData.Fuel_Scope1EmissionFactorsStationaryGaseous_Data(), Table_Fuel_EFs_StationaryGaseous[[#Headers],[Fuel combusted]],0)</f>
        <v>Compressed natural gas(reverting to standard conditions)</v>
      </c>
      <c r="E90" s="26" cm="1">
        <f t="array" ref="E90">Common_InputFunctions.Utility_DisplayArrayInTable(Fuel_SourceData.Fuel_Scope1EmissionFactorsStationaryGaseous_Data(), Table_Fuel_EFs_StationaryGaseous[[#Headers],[Fuel combusted]],0)</f>
        <v>3.9300000000000002E-2</v>
      </c>
      <c r="F90" s="26" t="str" cm="1">
        <f t="array" ref="F90">Common_InputFunctions.Utility_DisplayArrayInTable(Fuel_SourceData.Fuel_Scope1EmissionFactorsStationaryGaseous_Data(), Table_Fuel_EFs_StationaryGaseous[[#Headers],[Fuel combusted]],0)</f>
        <v>m3</v>
      </c>
      <c r="G90" s="26" cm="1">
        <f t="array" ref="G90">Common_InputFunctions.Utility_DisplayArrayInTable(Fuel_SourceData.Fuel_Scope1EmissionFactorsStationaryGaseous_Data(), Table_Fuel_EFs_StationaryGaseous[[#Headers],[Fuel combusted]],0)</f>
        <v>51.4</v>
      </c>
      <c r="H90" s="26" cm="1">
        <f t="array" ref="H90">Common_InputFunctions.Utility_DisplayArrayInTable(Fuel_SourceData.Fuel_Scope1EmissionFactorsStationaryGaseous_Data(), Table_Fuel_EFs_StationaryGaseous[[#Headers],[Fuel combusted]],0)</f>
        <v>0.1</v>
      </c>
      <c r="I90" s="26" cm="1">
        <f t="array" ref="I90">Common_InputFunctions.Utility_DisplayArrayInTable(Fuel_SourceData.Fuel_Scope1EmissionFactorsStationaryGaseous_Data(), Table_Fuel_EFs_StationaryGaseous[[#Headers],[Fuel combusted]],0)</f>
        <v>0.03</v>
      </c>
      <c r="J90" s="26" cm="1">
        <f t="array" ref="J90">Common_InputFunctions.Utility_DisplayArrayInTable(Fuel_SourceData.Fuel_Scope1EmissionFactorsStationaryGaseous_Data(), Table_Fuel_EFs_StationaryGaseous[[#Headers],[Fuel combusted]],0)</f>
        <v>51.53</v>
      </c>
      <c r="K90" s="17"/>
      <c r="L90" s="17"/>
    </row>
    <row r="91" spans="1:12" ht="20.100000000000001" customHeight="1" x14ac:dyDescent="0.25">
      <c r="A91"/>
      <c r="D91" s="26" t="str" cm="1">
        <f t="array" ref="D91">Common_InputFunctions.Utility_DisplayArrayInTable(Fuel_SourceData.Fuel_Scope1EmissionFactorsStationaryGaseous_Data(), Table_Fuel_EFs_StationaryGaseous[[#Headers],[Fuel combusted]],0)</f>
        <v>Unprocessed natural gas</v>
      </c>
      <c r="E91" s="26" cm="1">
        <f t="array" ref="E91">Common_InputFunctions.Utility_DisplayArrayInTable(Fuel_SourceData.Fuel_Scope1EmissionFactorsStationaryGaseous_Data(), Table_Fuel_EFs_StationaryGaseous[[#Headers],[Fuel combusted]],0)</f>
        <v>3.9300000000000002E-2</v>
      </c>
      <c r="F91" s="26" t="str" cm="1">
        <f t="array" ref="F91">Common_InputFunctions.Utility_DisplayArrayInTable(Fuel_SourceData.Fuel_Scope1EmissionFactorsStationaryGaseous_Data(), Table_Fuel_EFs_StationaryGaseous[[#Headers],[Fuel combusted]],0)</f>
        <v>m3</v>
      </c>
      <c r="G91" s="26" cm="1">
        <f t="array" ref="G91">Common_InputFunctions.Utility_DisplayArrayInTable(Fuel_SourceData.Fuel_Scope1EmissionFactorsStationaryGaseous_Data(), Table_Fuel_EFs_StationaryGaseous[[#Headers],[Fuel combusted]],0)</f>
        <v>51.4</v>
      </c>
      <c r="H91" s="26" cm="1">
        <f t="array" ref="H91">Common_InputFunctions.Utility_DisplayArrayInTable(Fuel_SourceData.Fuel_Scope1EmissionFactorsStationaryGaseous_Data(), Table_Fuel_EFs_StationaryGaseous[[#Headers],[Fuel combusted]],0)</f>
        <v>0.1</v>
      </c>
      <c r="I91" s="26" cm="1">
        <f t="array" ref="I91">Common_InputFunctions.Utility_DisplayArrayInTable(Fuel_SourceData.Fuel_Scope1EmissionFactorsStationaryGaseous_Data(), Table_Fuel_EFs_StationaryGaseous[[#Headers],[Fuel combusted]],0)</f>
        <v>0.03</v>
      </c>
      <c r="J91" s="26" cm="1">
        <f t="array" ref="J91">Common_InputFunctions.Utility_DisplayArrayInTable(Fuel_SourceData.Fuel_Scope1EmissionFactorsStationaryGaseous_Data(), Table_Fuel_EFs_StationaryGaseous[[#Headers],[Fuel combusted]],0)</f>
        <v>51.53</v>
      </c>
      <c r="K91" s="17"/>
      <c r="L91" s="17"/>
    </row>
    <row r="92" spans="1:12" ht="20.100000000000001" customHeight="1" x14ac:dyDescent="0.25">
      <c r="A92"/>
      <c r="D92" s="26" t="str" cm="1">
        <f t="array" ref="D92">Common_InputFunctions.Utility_DisplayArrayInTable(Fuel_SourceData.Fuel_Scope1EmissionFactorsStationaryGaseous_Data(), Table_Fuel_EFs_StationaryGaseous[[#Headers],[Fuel combusted]],0)</f>
        <v>Ethane</v>
      </c>
      <c r="E92" s="26" cm="1">
        <f t="array" ref="E92">Common_InputFunctions.Utility_DisplayArrayInTable(Fuel_SourceData.Fuel_Scope1EmissionFactorsStationaryGaseous_Data(), Table_Fuel_EFs_StationaryGaseous[[#Headers],[Fuel combusted]],0)</f>
        <v>6.2899999999999998E-2</v>
      </c>
      <c r="F92" s="26" t="str" cm="1">
        <f t="array" ref="F92">Common_InputFunctions.Utility_DisplayArrayInTable(Fuel_SourceData.Fuel_Scope1EmissionFactorsStationaryGaseous_Data(), Table_Fuel_EFs_StationaryGaseous[[#Headers],[Fuel combusted]],0)</f>
        <v>m3</v>
      </c>
      <c r="G92" s="26" cm="1">
        <f t="array" ref="G92">Common_InputFunctions.Utility_DisplayArrayInTable(Fuel_SourceData.Fuel_Scope1EmissionFactorsStationaryGaseous_Data(), Table_Fuel_EFs_StationaryGaseous[[#Headers],[Fuel combusted]],0)</f>
        <v>56.5</v>
      </c>
      <c r="H92" s="26" cm="1">
        <f t="array" ref="H92">Common_InputFunctions.Utility_DisplayArrayInTable(Fuel_SourceData.Fuel_Scope1EmissionFactorsStationaryGaseous_Data(), Table_Fuel_EFs_StationaryGaseous[[#Headers],[Fuel combusted]],0)</f>
        <v>0.03</v>
      </c>
      <c r="I92" s="26" cm="1">
        <f t="array" ref="I92">Common_InputFunctions.Utility_DisplayArrayInTable(Fuel_SourceData.Fuel_Scope1EmissionFactorsStationaryGaseous_Data(), Table_Fuel_EFs_StationaryGaseous[[#Headers],[Fuel combusted]],0)</f>
        <v>0.03</v>
      </c>
      <c r="J92" s="26" cm="1">
        <f t="array" ref="J92">Common_InputFunctions.Utility_DisplayArrayInTable(Fuel_SourceData.Fuel_Scope1EmissionFactorsStationaryGaseous_Data(), Table_Fuel_EFs_StationaryGaseous[[#Headers],[Fuel combusted]],0)</f>
        <v>56.56</v>
      </c>
      <c r="K92" s="17"/>
      <c r="L92" s="17"/>
    </row>
    <row r="93" spans="1:12" ht="20.100000000000001" customHeight="1" x14ac:dyDescent="0.25">
      <c r="A93"/>
      <c r="D93" s="26" t="str" cm="1">
        <f t="array" ref="D93">Common_InputFunctions.Utility_DisplayArrayInTable(Fuel_SourceData.Fuel_Scope1EmissionFactorsStationaryGaseous_Data(), Table_Fuel_EFs_StationaryGaseous[[#Headers],[Fuel combusted]],0)</f>
        <v>Coke oven gas</v>
      </c>
      <c r="E93" s="26" cm="1">
        <f t="array" ref="E93">Common_InputFunctions.Utility_DisplayArrayInTable(Fuel_SourceData.Fuel_Scope1EmissionFactorsStationaryGaseous_Data(), Table_Fuel_EFs_StationaryGaseous[[#Headers],[Fuel combusted]],0)</f>
        <v>1.8100000000000002E-2</v>
      </c>
      <c r="F93" s="26" t="str" cm="1">
        <f t="array" ref="F93">Common_InputFunctions.Utility_DisplayArrayInTable(Fuel_SourceData.Fuel_Scope1EmissionFactorsStationaryGaseous_Data(), Table_Fuel_EFs_StationaryGaseous[[#Headers],[Fuel combusted]],0)</f>
        <v>m3</v>
      </c>
      <c r="G93" s="26" cm="1">
        <f t="array" ref="G93">Common_InputFunctions.Utility_DisplayArrayInTable(Fuel_SourceData.Fuel_Scope1EmissionFactorsStationaryGaseous_Data(), Table_Fuel_EFs_StationaryGaseous[[#Headers],[Fuel combusted]],0)</f>
        <v>37</v>
      </c>
      <c r="H93" s="26" cm="1">
        <f t="array" ref="H93">Common_InputFunctions.Utility_DisplayArrayInTable(Fuel_SourceData.Fuel_Scope1EmissionFactorsStationaryGaseous_Data(), Table_Fuel_EFs_StationaryGaseous[[#Headers],[Fuel combusted]],0)</f>
        <v>0.03</v>
      </c>
      <c r="I93" s="26" cm="1">
        <f t="array" ref="I93">Common_InputFunctions.Utility_DisplayArrayInTable(Fuel_SourceData.Fuel_Scope1EmissionFactorsStationaryGaseous_Data(), Table_Fuel_EFs_StationaryGaseous[[#Headers],[Fuel combusted]],0)</f>
        <v>0.05</v>
      </c>
      <c r="J93" s="26" cm="1">
        <f t="array" ref="J93">Common_InputFunctions.Utility_DisplayArrayInTable(Fuel_SourceData.Fuel_Scope1EmissionFactorsStationaryGaseous_Data(), Table_Fuel_EFs_StationaryGaseous[[#Headers],[Fuel combusted]],0)</f>
        <v>37.08</v>
      </c>
      <c r="K93" s="17"/>
      <c r="L93" s="17"/>
    </row>
    <row r="94" spans="1:12" ht="20.100000000000001" customHeight="1" x14ac:dyDescent="0.25">
      <c r="A94"/>
      <c r="D94" s="26" t="str" cm="1">
        <f t="array" ref="D94">Common_InputFunctions.Utility_DisplayArrayInTable(Fuel_SourceData.Fuel_Scope1EmissionFactorsStationaryGaseous_Data(), Table_Fuel_EFs_StationaryGaseous[[#Headers],[Fuel combusted]],0)</f>
        <v>Blast furnace gas</v>
      </c>
      <c r="E94" s="26" cm="1">
        <f t="array" ref="E94">Common_InputFunctions.Utility_DisplayArrayInTable(Fuel_SourceData.Fuel_Scope1EmissionFactorsStationaryGaseous_Data(), Table_Fuel_EFs_StationaryGaseous[[#Headers],[Fuel combusted]],0)</f>
        <v>4.0000000000000001E-3</v>
      </c>
      <c r="F94" s="26" t="str" cm="1">
        <f t="array" ref="F94">Common_InputFunctions.Utility_DisplayArrayInTable(Fuel_SourceData.Fuel_Scope1EmissionFactorsStationaryGaseous_Data(), Table_Fuel_EFs_StationaryGaseous[[#Headers],[Fuel combusted]],0)</f>
        <v>m3</v>
      </c>
      <c r="G94" s="26" cm="1">
        <f t="array" ref="G94">Common_InputFunctions.Utility_DisplayArrayInTable(Fuel_SourceData.Fuel_Scope1EmissionFactorsStationaryGaseous_Data(), Table_Fuel_EFs_StationaryGaseous[[#Headers],[Fuel combusted]],0)</f>
        <v>234</v>
      </c>
      <c r="H94" s="26" cm="1">
        <f t="array" ref="H94">Common_InputFunctions.Utility_DisplayArrayInTable(Fuel_SourceData.Fuel_Scope1EmissionFactorsStationaryGaseous_Data(), Table_Fuel_EFs_StationaryGaseous[[#Headers],[Fuel combusted]],0)</f>
        <v>0.03</v>
      </c>
      <c r="I94" s="26" cm="1">
        <f t="array" ref="I94">Common_InputFunctions.Utility_DisplayArrayInTable(Fuel_SourceData.Fuel_Scope1EmissionFactorsStationaryGaseous_Data(), Table_Fuel_EFs_StationaryGaseous[[#Headers],[Fuel combusted]],0)</f>
        <v>0.02</v>
      </c>
      <c r="J94" s="26" cm="1">
        <f t="array" ref="J94">Common_InputFunctions.Utility_DisplayArrayInTable(Fuel_SourceData.Fuel_Scope1EmissionFactorsStationaryGaseous_Data(), Table_Fuel_EFs_StationaryGaseous[[#Headers],[Fuel combusted]],0)</f>
        <v>234.05</v>
      </c>
      <c r="K94" s="17"/>
      <c r="L94" s="17"/>
    </row>
    <row r="95" spans="1:12" ht="20.100000000000001" customHeight="1" x14ac:dyDescent="0.25">
      <c r="A95"/>
      <c r="D95" s="26" t="str" cm="1">
        <f t="array" ref="D95">Common_InputFunctions.Utility_DisplayArrayInTable(Fuel_SourceData.Fuel_Scope1EmissionFactorsStationaryGaseous_Data(), Table_Fuel_EFs_StationaryGaseous[[#Headers],[Fuel combusted]],0)</f>
        <v>Town gas</v>
      </c>
      <c r="E95" s="26" cm="1">
        <f t="array" ref="E95">Common_InputFunctions.Utility_DisplayArrayInTable(Fuel_SourceData.Fuel_Scope1EmissionFactorsStationaryGaseous_Data(), Table_Fuel_EFs_StationaryGaseous[[#Headers],[Fuel combusted]],0)</f>
        <v>3.9E-2</v>
      </c>
      <c r="F95" s="26" t="str" cm="1">
        <f t="array" ref="F95">Common_InputFunctions.Utility_DisplayArrayInTable(Fuel_SourceData.Fuel_Scope1EmissionFactorsStationaryGaseous_Data(), Table_Fuel_EFs_StationaryGaseous[[#Headers],[Fuel combusted]],0)</f>
        <v>m3</v>
      </c>
      <c r="G95" s="26" cm="1">
        <f t="array" ref="G95">Common_InputFunctions.Utility_DisplayArrayInTable(Fuel_SourceData.Fuel_Scope1EmissionFactorsStationaryGaseous_Data(), Table_Fuel_EFs_StationaryGaseous[[#Headers],[Fuel combusted]],0)</f>
        <v>60.2</v>
      </c>
      <c r="H95" s="26" cm="1">
        <f t="array" ref="H95">Common_InputFunctions.Utility_DisplayArrayInTable(Fuel_SourceData.Fuel_Scope1EmissionFactorsStationaryGaseous_Data(), Table_Fuel_EFs_StationaryGaseous[[#Headers],[Fuel combusted]],0)</f>
        <v>0.04</v>
      </c>
      <c r="I95" s="26" cm="1">
        <f t="array" ref="I95">Common_InputFunctions.Utility_DisplayArrayInTable(Fuel_SourceData.Fuel_Scope1EmissionFactorsStationaryGaseous_Data(), Table_Fuel_EFs_StationaryGaseous[[#Headers],[Fuel combusted]],0)</f>
        <v>0.03</v>
      </c>
      <c r="J95" s="26" cm="1">
        <f t="array" ref="J95">Common_InputFunctions.Utility_DisplayArrayInTable(Fuel_SourceData.Fuel_Scope1EmissionFactorsStationaryGaseous_Data(), Table_Fuel_EFs_StationaryGaseous[[#Headers],[Fuel combusted]],0)</f>
        <v>60.27</v>
      </c>
      <c r="K95" s="17"/>
      <c r="L95" s="17"/>
    </row>
    <row r="96" spans="1:12" ht="20.100000000000001" customHeight="1" x14ac:dyDescent="0.25">
      <c r="A96"/>
      <c r="D96" s="26" t="str" cm="1">
        <f t="array" ref="D96">Common_InputFunctions.Utility_DisplayArrayInTable(Fuel_SourceData.Fuel_Scope1EmissionFactorsStationaryGaseous_Data(), Table_Fuel_EFs_StationaryGaseous[[#Headers],[Fuel combusted]],0)</f>
        <v>Liquefied natural gas</v>
      </c>
      <c r="E96" s="26" cm="1">
        <f t="array" ref="E96">Common_InputFunctions.Utility_DisplayArrayInTable(Fuel_SourceData.Fuel_Scope1EmissionFactorsStationaryGaseous_Data(), Table_Fuel_EFs_StationaryGaseous[[#Headers],[Fuel combusted]],0)</f>
        <v>25.3</v>
      </c>
      <c r="F96" s="26" t="str" cm="1">
        <f t="array" ref="F96">Common_InputFunctions.Utility_DisplayArrayInTable(Fuel_SourceData.Fuel_Scope1EmissionFactorsStationaryGaseous_Data(), Table_Fuel_EFs_StationaryGaseous[[#Headers],[Fuel combusted]],0)</f>
        <v>kL</v>
      </c>
      <c r="G96" s="26" cm="1">
        <f t="array" ref="G96">Common_InputFunctions.Utility_DisplayArrayInTable(Fuel_SourceData.Fuel_Scope1EmissionFactorsStationaryGaseous_Data(), Table_Fuel_EFs_StationaryGaseous[[#Headers],[Fuel combusted]],0)</f>
        <v>51.4</v>
      </c>
      <c r="H96" s="26" cm="1">
        <f t="array" ref="H96">Common_InputFunctions.Utility_DisplayArrayInTable(Fuel_SourceData.Fuel_Scope1EmissionFactorsStationaryGaseous_Data(), Table_Fuel_EFs_StationaryGaseous[[#Headers],[Fuel combusted]],0)</f>
        <v>0.1</v>
      </c>
      <c r="I96" s="26" cm="1">
        <f t="array" ref="I96">Common_InputFunctions.Utility_DisplayArrayInTable(Fuel_SourceData.Fuel_Scope1EmissionFactorsStationaryGaseous_Data(), Table_Fuel_EFs_StationaryGaseous[[#Headers],[Fuel combusted]],0)</f>
        <v>0.03</v>
      </c>
      <c r="J96" s="26" cm="1">
        <f t="array" ref="J96">Common_InputFunctions.Utility_DisplayArrayInTable(Fuel_SourceData.Fuel_Scope1EmissionFactorsStationaryGaseous_Data(), Table_Fuel_EFs_StationaryGaseous[[#Headers],[Fuel combusted]],0)</f>
        <v>51.53</v>
      </c>
      <c r="K96" s="17"/>
      <c r="L96" s="17"/>
    </row>
    <row r="97" spans="1:13" ht="20.100000000000001" customHeight="1" x14ac:dyDescent="0.25">
      <c r="A97"/>
      <c r="D97" s="26" t="str" cm="1">
        <f t="array" ref="D97">Common_InputFunctions.Utility_DisplayArrayInTable(Fuel_SourceData.Fuel_Scope1EmissionFactorsStationaryGaseous_Data(), Table_Fuel_EFs_StationaryGaseous[[#Headers],[Fuel combusted]],0)</f>
        <v>Gaseous fossil fuels other than those mentioned in the items above</v>
      </c>
      <c r="E97" s="26" cm="1">
        <f t="array" ref="E97">Common_InputFunctions.Utility_DisplayArrayInTable(Fuel_SourceData.Fuel_Scope1EmissionFactorsStationaryGaseous_Data(), Table_Fuel_EFs_StationaryGaseous[[#Headers],[Fuel combusted]],0)</f>
        <v>3.9E-2</v>
      </c>
      <c r="F97" s="26" t="str" cm="1">
        <f t="array" ref="F97">Common_InputFunctions.Utility_DisplayArrayInTable(Fuel_SourceData.Fuel_Scope1EmissionFactorsStationaryGaseous_Data(), Table_Fuel_EFs_StationaryGaseous[[#Headers],[Fuel combusted]],0)</f>
        <v>m3</v>
      </c>
      <c r="G97" s="26" cm="1">
        <f t="array" ref="G97">Common_InputFunctions.Utility_DisplayArrayInTable(Fuel_SourceData.Fuel_Scope1EmissionFactorsStationaryGaseous_Data(), Table_Fuel_EFs_StationaryGaseous[[#Headers],[Fuel combusted]],0)</f>
        <v>51.4</v>
      </c>
      <c r="H97" s="26" cm="1">
        <f t="array" ref="H97">Common_InputFunctions.Utility_DisplayArrayInTable(Fuel_SourceData.Fuel_Scope1EmissionFactorsStationaryGaseous_Data(), Table_Fuel_EFs_StationaryGaseous[[#Headers],[Fuel combusted]],0)</f>
        <v>0.1</v>
      </c>
      <c r="I97" s="26" cm="1">
        <f t="array" ref="I97">Common_InputFunctions.Utility_DisplayArrayInTable(Fuel_SourceData.Fuel_Scope1EmissionFactorsStationaryGaseous_Data(), Table_Fuel_EFs_StationaryGaseous[[#Headers],[Fuel combusted]],0)</f>
        <v>0.03</v>
      </c>
      <c r="J97" s="26" cm="1">
        <f t="array" ref="J97">Common_InputFunctions.Utility_DisplayArrayInTable(Fuel_SourceData.Fuel_Scope1EmissionFactorsStationaryGaseous_Data(), Table_Fuel_EFs_StationaryGaseous[[#Headers],[Fuel combusted]],0)</f>
        <v>51.53</v>
      </c>
      <c r="K97" s="17"/>
      <c r="L97" s="17"/>
    </row>
    <row r="98" spans="1:13" ht="20.100000000000001" customHeight="1" x14ac:dyDescent="0.25">
      <c r="A98"/>
      <c r="D98" s="26" t="str" cm="1">
        <f t="array" ref="D98">Common_InputFunctions.Utility_DisplayArrayInTable(Fuel_SourceData.Fuel_Scope1EmissionFactorsStationaryGaseous_Data(), Table_Fuel_EFs_StationaryGaseous[[#Headers],[Fuel combusted]],0)</f>
        <v>Landfill biogas that is captured for combustion (methane only)</v>
      </c>
      <c r="E98" s="26" cm="1">
        <f t="array" ref="E98">Common_InputFunctions.Utility_DisplayArrayInTable(Fuel_SourceData.Fuel_Scope1EmissionFactorsStationaryGaseous_Data(), Table_Fuel_EFs_StationaryGaseous[[#Headers],[Fuel combusted]],0)</f>
        <v>3.7699999999999997E-2</v>
      </c>
      <c r="F98" s="26" t="str" cm="1">
        <f t="array" ref="F98">Common_InputFunctions.Utility_DisplayArrayInTable(Fuel_SourceData.Fuel_Scope1EmissionFactorsStationaryGaseous_Data(), Table_Fuel_EFs_StationaryGaseous[[#Headers],[Fuel combusted]],0)</f>
        <v>m3</v>
      </c>
      <c r="G98" s="26" cm="1">
        <f t="array" ref="G98">Common_InputFunctions.Utility_DisplayArrayInTable(Fuel_SourceData.Fuel_Scope1EmissionFactorsStationaryGaseous_Data(), Table_Fuel_EFs_StationaryGaseous[[#Headers],[Fuel combusted]],0)</f>
        <v>0</v>
      </c>
      <c r="H98" s="26" cm="1">
        <f t="array" ref="H98">Common_InputFunctions.Utility_DisplayArrayInTable(Fuel_SourceData.Fuel_Scope1EmissionFactorsStationaryGaseous_Data(), Table_Fuel_EFs_StationaryGaseous[[#Headers],[Fuel combusted]],0)</f>
        <v>6.4</v>
      </c>
      <c r="I98" s="26" cm="1">
        <f t="array" ref="I98">Common_InputFunctions.Utility_DisplayArrayInTable(Fuel_SourceData.Fuel_Scope1EmissionFactorsStationaryGaseous_Data(), Table_Fuel_EFs_StationaryGaseous[[#Headers],[Fuel combusted]],0)</f>
        <v>0.03</v>
      </c>
      <c r="J98" s="26" cm="1">
        <f t="array" ref="J98">Common_InputFunctions.Utility_DisplayArrayInTable(Fuel_SourceData.Fuel_Scope1EmissionFactorsStationaryGaseous_Data(), Table_Fuel_EFs_StationaryGaseous[[#Headers],[Fuel combusted]],0)</f>
        <v>6.43</v>
      </c>
      <c r="K98" s="17"/>
      <c r="L98" s="17"/>
    </row>
    <row r="99" spans="1:13" ht="20.100000000000001" customHeight="1" x14ac:dyDescent="0.25">
      <c r="A99"/>
      <c r="D99" s="26" t="str" cm="1">
        <f t="array" ref="D99">Common_InputFunctions.Utility_DisplayArrayInTable(Fuel_SourceData.Fuel_Scope1EmissionFactorsStationaryGaseous_Data(), Table_Fuel_EFs_StationaryGaseous[[#Headers],[Fuel combusted]],0)</f>
        <v>Sludge biogas that is captured for combustion (methane only)</v>
      </c>
      <c r="E99" s="26" cm="1">
        <f t="array" ref="E99">Common_InputFunctions.Utility_DisplayArrayInTable(Fuel_SourceData.Fuel_Scope1EmissionFactorsStationaryGaseous_Data(), Table_Fuel_EFs_StationaryGaseous[[#Headers],[Fuel combusted]],0)</f>
        <v>3.7699999999999997E-2</v>
      </c>
      <c r="F99" s="26" t="str" cm="1">
        <f t="array" ref="F99">Common_InputFunctions.Utility_DisplayArrayInTable(Fuel_SourceData.Fuel_Scope1EmissionFactorsStationaryGaseous_Data(), Table_Fuel_EFs_StationaryGaseous[[#Headers],[Fuel combusted]],0)</f>
        <v>m3</v>
      </c>
      <c r="G99" s="26" cm="1">
        <f t="array" ref="G99">Common_InputFunctions.Utility_DisplayArrayInTable(Fuel_SourceData.Fuel_Scope1EmissionFactorsStationaryGaseous_Data(), Table_Fuel_EFs_StationaryGaseous[[#Headers],[Fuel combusted]],0)</f>
        <v>0</v>
      </c>
      <c r="H99" s="26" cm="1">
        <f t="array" ref="H99">Common_InputFunctions.Utility_DisplayArrayInTable(Fuel_SourceData.Fuel_Scope1EmissionFactorsStationaryGaseous_Data(), Table_Fuel_EFs_StationaryGaseous[[#Headers],[Fuel combusted]],0)</f>
        <v>6.4</v>
      </c>
      <c r="I99" s="26" cm="1">
        <f t="array" ref="I99">Common_InputFunctions.Utility_DisplayArrayInTable(Fuel_SourceData.Fuel_Scope1EmissionFactorsStationaryGaseous_Data(), Table_Fuel_EFs_StationaryGaseous[[#Headers],[Fuel combusted]],0)</f>
        <v>0.03</v>
      </c>
      <c r="J99" s="26" cm="1">
        <f t="array" ref="J99">Common_InputFunctions.Utility_DisplayArrayInTable(Fuel_SourceData.Fuel_Scope1EmissionFactorsStationaryGaseous_Data(), Table_Fuel_EFs_StationaryGaseous[[#Headers],[Fuel combusted]],0)</f>
        <v>6.43</v>
      </c>
      <c r="K99" s="17"/>
      <c r="L99" s="17"/>
    </row>
    <row r="100" spans="1:13" ht="20.100000000000001" customHeight="1" x14ac:dyDescent="0.25">
      <c r="A100"/>
      <c r="D100" s="26"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6" cm="1">
        <f t="array" ref="E100">Common_InputFunctions.Utility_DisplayArrayInTable(Fuel_SourceData.Fuel_Scope1EmissionFactorsStationaryGaseous_Data(), Table_Fuel_EFs_StationaryGaseous[[#Headers],[Fuel combusted]],0)</f>
        <v>3.6999999999999998E-2</v>
      </c>
      <c r="F100" s="26" t="str" cm="1">
        <f t="array" ref="F100">Common_InputFunctions.Utility_DisplayArrayInTable(Fuel_SourceData.Fuel_Scope1EmissionFactorsStationaryGaseous_Data(), Table_Fuel_EFs_StationaryGaseous[[#Headers],[Fuel combusted]],0)</f>
        <v>m3</v>
      </c>
      <c r="G100" s="26" cm="1">
        <f t="array" ref="G100">Common_InputFunctions.Utility_DisplayArrayInTable(Fuel_SourceData.Fuel_Scope1EmissionFactorsStationaryGaseous_Data(), Table_Fuel_EFs_StationaryGaseous[[#Headers],[Fuel combusted]],0)</f>
        <v>0</v>
      </c>
      <c r="H100" s="26" cm="1">
        <f t="array" ref="H100">Common_InputFunctions.Utility_DisplayArrayInTable(Fuel_SourceData.Fuel_Scope1EmissionFactorsStationaryGaseous_Data(), Table_Fuel_EFs_StationaryGaseous[[#Headers],[Fuel combusted]],0)</f>
        <v>6.4</v>
      </c>
      <c r="I100" s="26" cm="1">
        <f t="array" ref="I100">Common_InputFunctions.Utility_DisplayArrayInTable(Fuel_SourceData.Fuel_Scope1EmissionFactorsStationaryGaseous_Data(), Table_Fuel_EFs_StationaryGaseous[[#Headers],[Fuel combusted]],0)</f>
        <v>0.03</v>
      </c>
      <c r="J100" s="26" cm="1">
        <f t="array" ref="J100">Common_InputFunctions.Utility_DisplayArrayInTable(Fuel_SourceData.Fuel_Scope1EmissionFactorsStationaryGaseous_Data(), Table_Fuel_EFs_StationaryGaseous[[#Headers],[Fuel combusted]],0)</f>
        <v>6.43</v>
      </c>
      <c r="K100" s="17"/>
      <c r="L100" s="17"/>
    </row>
    <row r="101" spans="1:13" ht="20.100000000000001" customHeight="1" x14ac:dyDescent="0.25">
      <c r="A101"/>
      <c r="D101" s="26" t="str" cm="1">
        <f t="array" ref="D101">Common_InputFunctions.Utility_DisplayArrayInTable(Fuel_SourceData.Fuel_Scope1EmissionFactorsStationaryGaseous_Data(), Table_Fuel_EFs_StationaryGaseous[[#Headers],[Fuel combusted]],0)</f>
        <v>Biomethane</v>
      </c>
      <c r="E101" s="26" cm="1">
        <f t="array" ref="E101">Common_InputFunctions.Utility_DisplayArrayInTable(Fuel_SourceData.Fuel_Scope1EmissionFactorsStationaryGaseous_Data(), Table_Fuel_EFs_StationaryGaseous[[#Headers],[Fuel combusted]],0)</f>
        <v>3.9300000000000002E-2</v>
      </c>
      <c r="F101" s="26" t="str" cm="1">
        <f t="array" ref="F101">Common_InputFunctions.Utility_DisplayArrayInTable(Fuel_SourceData.Fuel_Scope1EmissionFactorsStationaryGaseous_Data(), Table_Fuel_EFs_StationaryGaseous[[#Headers],[Fuel combusted]],0)</f>
        <v>m3</v>
      </c>
      <c r="G101" s="26" cm="1">
        <f t="array" ref="G101">Common_InputFunctions.Utility_DisplayArrayInTable(Fuel_SourceData.Fuel_Scope1EmissionFactorsStationaryGaseous_Data(), Table_Fuel_EFs_StationaryGaseous[[#Headers],[Fuel combusted]],0)</f>
        <v>0</v>
      </c>
      <c r="H101" s="26" cm="1">
        <f t="array" ref="H101">Common_InputFunctions.Utility_DisplayArrayInTable(Fuel_SourceData.Fuel_Scope1EmissionFactorsStationaryGaseous_Data(), Table_Fuel_EFs_StationaryGaseous[[#Headers],[Fuel combusted]],0)</f>
        <v>0.1</v>
      </c>
      <c r="I101" s="26" cm="1">
        <f t="array" ref="I101">Common_InputFunctions.Utility_DisplayArrayInTable(Fuel_SourceData.Fuel_Scope1EmissionFactorsStationaryGaseous_Data(), Table_Fuel_EFs_StationaryGaseous[[#Headers],[Fuel combusted]],0)</f>
        <v>0.03</v>
      </c>
      <c r="J101" s="26" cm="1">
        <f t="array" ref="J101">Common_InputFunctions.Utility_DisplayArrayInTable(Fuel_SourceData.Fuel_Scope1EmissionFactorsStationaryGaseous_Data(), Table_Fuel_EFs_StationaryGaseous[[#Headers],[Fuel combusted]],0)</f>
        <v>0.13</v>
      </c>
      <c r="K101" s="17"/>
      <c r="L101" s="17"/>
    </row>
    <row r="102" spans="1:13" ht="20.100000000000001" customHeight="1" x14ac:dyDescent="0.25">
      <c r="A102"/>
      <c r="D102" s="26" t="str" cm="1">
        <f t="array" ref="D102">Common_InputFunctions.Utility_DisplayArrayInTable(Fuel_SourceData.Fuel_Scope1EmissionFactorsStationaryGaseous_Data(), Table_Fuel_EFs_StationaryGaseous[[#Headers],[Fuel combusted]],0)</f>
        <v>Hydrogen</v>
      </c>
      <c r="E102" s="26" cm="1">
        <f t="array" ref="E102">Common_InputFunctions.Utility_DisplayArrayInTable(Fuel_SourceData.Fuel_Scope1EmissionFactorsStationaryGaseous_Data(), Table_Fuel_EFs_StationaryGaseous[[#Headers],[Fuel combusted]],0)</f>
        <v>1.2200000000000001E-2</v>
      </c>
      <c r="F102" s="26" t="str" cm="1">
        <f t="array" ref="F102">Common_InputFunctions.Utility_DisplayArrayInTable(Fuel_SourceData.Fuel_Scope1EmissionFactorsStationaryGaseous_Data(), Table_Fuel_EFs_StationaryGaseous[[#Headers],[Fuel combusted]],0)</f>
        <v>m3</v>
      </c>
      <c r="G102" s="26" cm="1">
        <f t="array" ref="G102">Common_InputFunctions.Utility_DisplayArrayInTable(Fuel_SourceData.Fuel_Scope1EmissionFactorsStationaryGaseous_Data(), Table_Fuel_EFs_StationaryGaseous[[#Headers],[Fuel combusted]],0)</f>
        <v>0</v>
      </c>
      <c r="H102" s="26" cm="1">
        <f t="array" ref="H102">Common_InputFunctions.Utility_DisplayArrayInTable(Fuel_SourceData.Fuel_Scope1EmissionFactorsStationaryGaseous_Data(), Table_Fuel_EFs_StationaryGaseous[[#Headers],[Fuel combusted]],0)</f>
        <v>0</v>
      </c>
      <c r="I102" s="26" cm="1">
        <f t="array" ref="I102">Common_InputFunctions.Utility_DisplayArrayInTable(Fuel_SourceData.Fuel_Scope1EmissionFactorsStationaryGaseous_Data(), Table_Fuel_EFs_StationaryGaseous[[#Headers],[Fuel combusted]],0)</f>
        <v>0.5</v>
      </c>
      <c r="J102" s="26" cm="1">
        <f t="array" ref="J102">Common_InputFunctions.Utility_DisplayArrayInTable(Fuel_SourceData.Fuel_Scope1EmissionFactorsStationaryGaseous_Data(), Table_Fuel_EFs_StationaryGaseous[[#Headers],[Fuel combusted]],0)</f>
        <v>0.5</v>
      </c>
      <c r="K102" s="17"/>
      <c r="L102" s="17"/>
    </row>
    <row r="103" spans="1:13" ht="20.100000000000001" customHeight="1" x14ac:dyDescent="0.25">
      <c r="A103"/>
      <c r="D103" s="26" t="str" cm="1">
        <f t="array" ref="D103">Common_InputFunctions.Utility_DisplayArrayInTable(Fuel_SourceData.Fuel_Scope1EmissionFactorsStationaryGaseous_Data(), Table_Fuel_EFs_StationaryGaseous[[#Headers],[Fuel combusted]],0)</f>
        <v>Natural gas distributed in a pipeline - Gigajoules</v>
      </c>
      <c r="E103" s="26" cm="1">
        <f t="array" ref="E103">Common_InputFunctions.Utility_DisplayArrayInTable(Fuel_SourceData.Fuel_Scope1EmissionFactorsStationaryGaseous_Data(), Table_Fuel_EFs_StationaryGaseous[[#Headers],[Fuel combusted]],0)</f>
        <v>1</v>
      </c>
      <c r="F103" s="26" t="str" cm="1">
        <f t="array" ref="F103">Common_InputFunctions.Utility_DisplayArrayInTable(Fuel_SourceData.Fuel_Scope1EmissionFactorsStationaryGaseous_Data(), Table_Fuel_EFs_StationaryGaseous[[#Headers],[Fuel combusted]],0)</f>
        <v>GJ</v>
      </c>
      <c r="G103" s="26" cm="1">
        <f t="array" ref="G103">Common_InputFunctions.Utility_DisplayArrayInTable(Fuel_SourceData.Fuel_Scope1EmissionFactorsStationaryGaseous_Data(), Table_Fuel_EFs_StationaryGaseous[[#Headers],[Fuel combusted]],0)</f>
        <v>51.4</v>
      </c>
      <c r="H103" s="26" cm="1">
        <f t="array" ref="H103">Common_InputFunctions.Utility_DisplayArrayInTable(Fuel_SourceData.Fuel_Scope1EmissionFactorsStationaryGaseous_Data(), Table_Fuel_EFs_StationaryGaseous[[#Headers],[Fuel combusted]],0)</f>
        <v>0.1</v>
      </c>
      <c r="I103" s="26" cm="1">
        <f t="array" ref="I103">Common_InputFunctions.Utility_DisplayArrayInTable(Fuel_SourceData.Fuel_Scope1EmissionFactorsStationaryGaseous_Data(), Table_Fuel_EFs_StationaryGaseous[[#Headers],[Fuel combusted]],0)</f>
        <v>0.03</v>
      </c>
      <c r="J103" s="26" cm="1">
        <f t="array" ref="J103">Common_InputFunctions.Utility_DisplayArrayInTable(Fuel_SourceData.Fuel_Scope1EmissionFactorsStationaryGaseous_Data(), Table_Fuel_EFs_StationaryGaseous[[#Headers],[Fuel combusted]],0)</f>
        <v>51.53</v>
      </c>
      <c r="K103" s="17"/>
      <c r="L103" s="17"/>
    </row>
    <row r="104" spans="1:13" ht="20.100000000000001" customHeight="1" x14ac:dyDescent="0.25">
      <c r="A104"/>
      <c r="D104" s="26" t="str" cm="1">
        <f t="array" ref="D104">Common_InputFunctions.Utility_DisplayArrayInTable(Fuel_SourceData.Fuel_Scope1EmissionFactorsStationaryGaseous_Data(), Table_Fuel_EFs_StationaryGaseous[[#Headers],[Fuel combusted]],0)</f>
        <v>Town gas - Gigajoules</v>
      </c>
      <c r="E104" s="26" cm="1">
        <f t="array" ref="E104">Common_InputFunctions.Utility_DisplayArrayInTable(Fuel_SourceData.Fuel_Scope1EmissionFactorsStationaryGaseous_Data(), Table_Fuel_EFs_StationaryGaseous[[#Headers],[Fuel combusted]],0)</f>
        <v>1</v>
      </c>
      <c r="F104" s="26" t="str" cm="1">
        <f t="array" ref="F104">Common_InputFunctions.Utility_DisplayArrayInTable(Fuel_SourceData.Fuel_Scope1EmissionFactorsStationaryGaseous_Data(), Table_Fuel_EFs_StationaryGaseous[[#Headers],[Fuel combusted]],0)</f>
        <v>GJ</v>
      </c>
      <c r="G104" s="26" cm="1">
        <f t="array" ref="G104">Common_InputFunctions.Utility_DisplayArrayInTable(Fuel_SourceData.Fuel_Scope1EmissionFactorsStationaryGaseous_Data(), Table_Fuel_EFs_StationaryGaseous[[#Headers],[Fuel combusted]],0)</f>
        <v>60.2</v>
      </c>
      <c r="H104" s="26" cm="1">
        <f t="array" ref="H104">Common_InputFunctions.Utility_DisplayArrayInTable(Fuel_SourceData.Fuel_Scope1EmissionFactorsStationaryGaseous_Data(), Table_Fuel_EFs_StationaryGaseous[[#Headers],[Fuel combusted]],0)</f>
        <v>0.04</v>
      </c>
      <c r="I104" s="26" cm="1">
        <f t="array" ref="I104">Common_InputFunctions.Utility_DisplayArrayInTable(Fuel_SourceData.Fuel_Scope1EmissionFactorsStationaryGaseous_Data(), Table_Fuel_EFs_StationaryGaseous[[#Headers],[Fuel combusted]],0)</f>
        <v>0.03</v>
      </c>
      <c r="J104" s="26" cm="1">
        <f t="array" ref="J104">Common_InputFunctions.Utility_DisplayArrayInTable(Fuel_SourceData.Fuel_Scope1EmissionFactorsStationaryGaseous_Data(), Table_Fuel_EFs_StationaryGaseous[[#Headers],[Fuel combusted]],0)</f>
        <v>60.27</v>
      </c>
      <c r="K104" s="17"/>
      <c r="L104" s="17"/>
    </row>
    <row r="105" spans="1:13" ht="20.100000000000001" customHeight="1" x14ac:dyDescent="0.25">
      <c r="A105"/>
      <c r="D105" s="17"/>
      <c r="E105" s="17"/>
      <c r="F105" s="17"/>
      <c r="G105" s="17"/>
      <c r="H105" s="17"/>
      <c r="I105" s="17"/>
      <c r="J105" s="17"/>
      <c r="K105" s="17"/>
      <c r="L105" s="17"/>
      <c r="M105" s="17"/>
    </row>
    <row r="106" spans="1:13" ht="20.100000000000001" customHeight="1" x14ac:dyDescent="0.25">
      <c r="A106"/>
      <c r="D106" s="17"/>
      <c r="E106" s="17"/>
      <c r="F106" s="17"/>
      <c r="G106" s="17"/>
      <c r="H106" s="17"/>
      <c r="I106" s="17"/>
      <c r="J106" s="17"/>
      <c r="K106" s="17"/>
      <c r="L106" s="17"/>
      <c r="M106" s="17"/>
    </row>
    <row r="107" spans="1:13" ht="20.100000000000001" customHeight="1" x14ac:dyDescent="0.25">
      <c r="A107"/>
      <c r="D107" s="9" t="str" cm="1">
        <f t="array" ref="D107">Fuel_SourceData.Fuel_Scope3EmissionFactorsStationaryGaseous_Title()</f>
        <v>Fuel scope 3 emission factors - Stationary gaseous fuels</v>
      </c>
      <c r="E107" s="17"/>
      <c r="F107" s="17"/>
      <c r="G107" s="17"/>
      <c r="H107" s="17"/>
      <c r="I107" s="17"/>
      <c r="J107" s="17"/>
      <c r="K107" s="17"/>
      <c r="L107" s="17"/>
    </row>
    <row r="108" spans="1:13" ht="20.100000000000001" customHeight="1" x14ac:dyDescent="0.25">
      <c r="A108"/>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1:13" ht="20.100000000000001" customHeight="1" x14ac:dyDescent="0.25">
      <c r="A109"/>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1:13" ht="20.100000000000001" customHeight="1" x14ac:dyDescent="0.25">
      <c r="A110"/>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1:13" ht="20.100000000000001" customHeight="1" x14ac:dyDescent="0.25">
      <c r="A111"/>
      <c r="D111" s="17"/>
      <c r="E111" s="17"/>
      <c r="F111" s="17"/>
      <c r="G111" s="17"/>
      <c r="H111" s="17"/>
      <c r="I111" s="17"/>
      <c r="J111" s="17"/>
      <c r="K111" s="17"/>
      <c r="L111" s="17"/>
    </row>
    <row r="112" spans="1:13" ht="20.100000000000001" customHeight="1" x14ac:dyDescent="0.25">
      <c r="A112"/>
      <c r="D112" s="25" t="s">
        <v>86</v>
      </c>
      <c r="E112" s="20" t="s">
        <v>711</v>
      </c>
      <c r="F112" s="20" t="s">
        <v>712</v>
      </c>
      <c r="G112" s="17"/>
      <c r="H112" s="27" t="s">
        <v>87</v>
      </c>
      <c r="I112" s="17"/>
      <c r="J112" s="17"/>
      <c r="K112" s="17"/>
      <c r="L112" s="17"/>
    </row>
    <row r="113" spans="1:13" ht="20.100000000000001" customHeight="1" x14ac:dyDescent="0.25">
      <c r="A113"/>
      <c r="D113" s="28" t="str" cm="1">
        <f t="array" ref="D113">Common_InputFunctions.Utility_DisplayArrayInTable(Fuel_SourceData.Fuel_Scope3EmissionFactorsStationaryGaseous_Data(), Table_Fuel_EFs_StationaryGaseous34[[#Headers],[State or territory]],0)</f>
        <v>New South Wales</v>
      </c>
      <c r="E113" s="28" cm="1">
        <f t="array" ref="E113">Common_InputFunctions.Utility_DisplayArrayInTable(Fuel_SourceData.Fuel_Scope3EmissionFactorsStationaryGaseous_Data(), Table_Fuel_EFs_StationaryGaseous34[[#Headers],[State or territory]],0)</f>
        <v>13.1</v>
      </c>
      <c r="F113" s="28" cm="1">
        <f t="array" ref="F113">Common_InputFunctions.Utility_DisplayArrayInTable(Fuel_SourceData.Fuel_Scope3EmissionFactorsStationaryGaseous_Data(), Table_Fuel_EFs_StationaryGaseous34[[#Headers],[State or territory]],0)</f>
        <v>14</v>
      </c>
      <c r="G113" s="29"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1:13" ht="20.100000000000001" customHeight="1" x14ac:dyDescent="0.25">
      <c r="A114"/>
      <c r="D114" s="28" t="str" cm="1">
        <f t="array" ref="D114">Common_InputFunctions.Utility_DisplayArrayInTable(Fuel_SourceData.Fuel_Scope3EmissionFactorsStationaryGaseous_Data(), Table_Fuel_EFs_StationaryGaseous34[[#Headers],[State or territory]],0)</f>
        <v>ACT</v>
      </c>
      <c r="E114" s="28" cm="1">
        <f t="array" ref="E114">Common_InputFunctions.Utility_DisplayArrayInTable(Fuel_SourceData.Fuel_Scope3EmissionFactorsStationaryGaseous_Data(), Table_Fuel_EFs_StationaryGaseous34[[#Headers],[State or territory]],0)</f>
        <v>13.1</v>
      </c>
      <c r="F114" s="28" cm="1">
        <f t="array" ref="F114">Common_InputFunctions.Utility_DisplayArrayInTable(Fuel_SourceData.Fuel_Scope3EmissionFactorsStationaryGaseous_Data(), Table_Fuel_EFs_StationaryGaseous34[[#Headers],[State or territory]],0)</f>
        <v>14</v>
      </c>
      <c r="G114" s="29" t="str">
        <v/>
      </c>
      <c r="H114" s="8" t="str">
        <v>Gas reaches end users either from the metro distribution networks or direct from the high - pressure distribution pipelines.</v>
      </c>
      <c r="I114" s="17"/>
      <c r="J114" s="17"/>
      <c r="K114" s="17"/>
      <c r="L114" s="17"/>
    </row>
    <row r="115" spans="1:13" ht="20.100000000000001" customHeight="1" x14ac:dyDescent="0.25">
      <c r="A115"/>
      <c r="D115" s="28" t="str" cm="1">
        <f t="array" ref="D115">Common_InputFunctions.Utility_DisplayArrayInTable(Fuel_SourceData.Fuel_Scope3EmissionFactorsStationaryGaseous_Data(), Table_Fuel_EFs_StationaryGaseous34[[#Headers],[State or territory]],0)</f>
        <v>Victoria</v>
      </c>
      <c r="E115" s="28" cm="1">
        <f t="array" ref="E115">Common_InputFunctions.Utility_DisplayArrayInTable(Fuel_SourceData.Fuel_Scope3EmissionFactorsStationaryGaseous_Data(), Table_Fuel_EFs_StationaryGaseous34[[#Headers],[State or territory]],0)</f>
        <v>4</v>
      </c>
      <c r="F115" s="28" cm="1">
        <f t="array" ref="F115">Common_InputFunctions.Utility_DisplayArrayInTable(Fuel_SourceData.Fuel_Scope3EmissionFactorsStationaryGaseous_Data(), Table_Fuel_EFs_StationaryGaseous34[[#Headers],[State or territory]],0)</f>
        <v>4</v>
      </c>
      <c r="G115" s="29" t="str">
        <v/>
      </c>
      <c r="H115" s="8" t="str">
        <v>Households and commercial users tend to be served by the former, and electricity generators and large industrial plants from the latter.</v>
      </c>
      <c r="I115" s="17"/>
      <c r="J115" s="17"/>
      <c r="K115" s="17"/>
      <c r="L115" s="17"/>
    </row>
    <row r="116" spans="1:13" ht="20.100000000000001" customHeight="1" x14ac:dyDescent="0.25">
      <c r="A116"/>
      <c r="D116" s="28" t="str" cm="1">
        <f t="array" ref="D116">Common_InputFunctions.Utility_DisplayArrayInTable(Fuel_SourceData.Fuel_Scope3EmissionFactorsStationaryGaseous_Data(), Table_Fuel_EFs_StationaryGaseous34[[#Headers],[State or territory]],0)</f>
        <v>Queensland</v>
      </c>
      <c r="E116" s="28" cm="1">
        <f t="array" ref="E116">Common_InputFunctions.Utility_DisplayArrayInTable(Fuel_SourceData.Fuel_Scope3EmissionFactorsStationaryGaseous_Data(), Table_Fuel_EFs_StationaryGaseous34[[#Headers],[State or territory]],0)</f>
        <v>8.8000000000000007</v>
      </c>
      <c r="F116" s="28" cm="1">
        <f t="array" ref="F116">Common_InputFunctions.Utility_DisplayArrayInTable(Fuel_SourceData.Fuel_Scope3EmissionFactorsStationaryGaseous_Data(), Table_Fuel_EFs_StationaryGaseous34[[#Headers],[State or territory]],0)</f>
        <v>7.9</v>
      </c>
      <c r="G116" s="29" t="str">
        <v>-</v>
      </c>
      <c r="H116" s="8" t="str">
        <v>Metro is defined as located on or east of the dividing range in NSW, including Canberra and Queanbeyan, Melbourne, Brisbane, Adelaide or Perth.</v>
      </c>
      <c r="I116" s="17"/>
      <c r="J116" s="17"/>
      <c r="K116" s="17"/>
      <c r="L116" s="17"/>
    </row>
    <row r="117" spans="1:13" ht="20.100000000000001" customHeight="1" x14ac:dyDescent="0.25">
      <c r="A117"/>
      <c r="D117" s="28" t="str" cm="1">
        <f t="array" ref="D117">Common_InputFunctions.Utility_DisplayArrayInTable(Fuel_SourceData.Fuel_Scope3EmissionFactorsStationaryGaseous_Data(), Table_Fuel_EFs_StationaryGaseous34[[#Headers],[State or territory]],0)</f>
        <v>South Australia</v>
      </c>
      <c r="E117" s="28" cm="1">
        <f t="array" ref="E117">Common_InputFunctions.Utility_DisplayArrayInTable(Fuel_SourceData.Fuel_Scope3EmissionFactorsStationaryGaseous_Data(), Table_Fuel_EFs_StationaryGaseous34[[#Headers],[State or territory]],0)</f>
        <v>10.7</v>
      </c>
      <c r="F117" s="28" cm="1">
        <f t="array" ref="F117">Common_InputFunctions.Utility_DisplayArrayInTable(Fuel_SourceData.Fuel_Scope3EmissionFactorsStationaryGaseous_Data(), Table_Fuel_EFs_StationaryGaseous34[[#Headers],[State or territory]],0)</f>
        <v>10.6</v>
      </c>
      <c r="G117" s="29" t="str">
        <v/>
      </c>
      <c r="H117" s="8" t="str">
        <v>Otherwise, the non - metro factor should be used.</v>
      </c>
      <c r="I117" s="17"/>
      <c r="J117" s="17"/>
      <c r="K117" s="17"/>
      <c r="L117" s="17"/>
    </row>
    <row r="118" spans="1:13" ht="20.100000000000001" customHeight="1" x14ac:dyDescent="0.25">
      <c r="A118"/>
      <c r="D118" s="28" t="str" cm="1">
        <f t="array" ref="D118">Common_InputFunctions.Utility_DisplayArrayInTable(Fuel_SourceData.Fuel_Scope3EmissionFactorsStationaryGaseous_Data(), Table_Fuel_EFs_StationaryGaseous34[[#Headers],[State or territory]],0)</f>
        <v>Western Australia</v>
      </c>
      <c r="E118" s="28" cm="1">
        <f t="array" ref="E118">Common_InputFunctions.Utility_DisplayArrayInTable(Fuel_SourceData.Fuel_Scope3EmissionFactorsStationaryGaseous_Data(), Table_Fuel_EFs_StationaryGaseous34[[#Headers],[State or territory]],0)</f>
        <v>4.0999999999999996</v>
      </c>
      <c r="F118" s="28" cm="1">
        <f t="array" ref="F118">Common_InputFunctions.Utility_DisplayArrayInTable(Fuel_SourceData.Fuel_Scope3EmissionFactorsStationaryGaseous_Data(), Table_Fuel_EFs_StationaryGaseous34[[#Headers],[State or territory]],0)</f>
        <v>4</v>
      </c>
      <c r="G118" s="29" t="str">
        <v>-</v>
      </c>
      <c r="H118" s="8" t="str">
        <v>Factors are calculated for all natural gas distributed in a pipeline which may include coal seam methane.</v>
      </c>
      <c r="I118" s="17"/>
      <c r="J118" s="17"/>
      <c r="K118" s="17"/>
      <c r="L118" s="17"/>
    </row>
    <row r="119" spans="1:13" ht="20.100000000000001" customHeight="1" x14ac:dyDescent="0.25">
      <c r="A119"/>
      <c r="D119" s="28" t="str" cm="1">
        <f t="array" ref="D119">Common_InputFunctions.Utility_DisplayArrayInTable(Fuel_SourceData.Fuel_Scope3EmissionFactorsStationaryGaseous_Data(), Table_Fuel_EFs_StationaryGaseous34[[#Headers],[State or territory]],0)</f>
        <v>Tasmania</v>
      </c>
      <c r="E119" s="28" cm="1">
        <f t="array" ref="E119">Common_InputFunctions.Utility_DisplayArrayInTable(Fuel_SourceData.Fuel_Scope3EmissionFactorsStationaryGaseous_Data(), Table_Fuel_EFs_StationaryGaseous34[[#Headers],[State or territory]],0)</f>
        <v>4</v>
      </c>
      <c r="F119" s="28" cm="1">
        <f t="array" ref="F119">Common_InputFunctions.Utility_DisplayArrayInTable(Fuel_SourceData.Fuel_Scope3EmissionFactorsStationaryGaseous_Data(), Table_Fuel_EFs_StationaryGaseous34[[#Headers],[State or territory]],0)</f>
        <v>4</v>
      </c>
      <c r="G119" s="29" t="str">
        <v>-</v>
      </c>
      <c r="H119" s="8" t="str">
        <v>Table 6 is not applicable to ethane. See Table 7 Indirect (Scope 3) emissions from the consumption of ethane.</v>
      </c>
      <c r="I119" s="17"/>
      <c r="J119" s="17"/>
      <c r="K119" s="17"/>
      <c r="L119" s="17"/>
    </row>
    <row r="120" spans="1:13" ht="20.100000000000001" customHeight="1" x14ac:dyDescent="0.25">
      <c r="A120"/>
      <c r="D120" s="28" t="str" cm="1">
        <f t="array" ref="D120">Common_InputFunctions.Utility_DisplayArrayInTable(Fuel_SourceData.Fuel_Scope3EmissionFactorsStationaryGaseous_Data(), Table_Fuel_EFs_StationaryGaseous34[[#Headers],[State or territory]],0)</f>
        <v>Northern Territory</v>
      </c>
      <c r="E120" s="28" cm="1">
        <f t="array" ref="E120">Common_InputFunctions.Utility_DisplayArrayInTable(Fuel_SourceData.Fuel_Scope3EmissionFactorsStationaryGaseous_Data(), Table_Fuel_EFs_StationaryGaseous34[[#Headers],[State or territory]],0)</f>
        <v>4.0999999999999996</v>
      </c>
      <c r="F120" s="28" cm="1">
        <f t="array" ref="F120">Common_InputFunctions.Utility_DisplayArrayInTable(Fuel_SourceData.Fuel_Scope3EmissionFactorsStationaryGaseous_Data(), Table_Fuel_EFs_StationaryGaseous34[[#Headers],[State or territory]],0)</f>
        <v>4</v>
      </c>
      <c r="G120" s="29" t="str">
        <v>-</v>
      </c>
      <c r="H120" s="8" t="str">
        <v>C = Confidential. Scope 3 emission factors for Tasmania and the Northern Territory are not available due to confidentiality constraints that arise</v>
      </c>
      <c r="I120" s="17"/>
      <c r="J120" s="17"/>
      <c r="K120" s="17"/>
      <c r="L120" s="17"/>
    </row>
    <row r="121" spans="1:13" ht="20.100000000000001" customHeight="1" x14ac:dyDescent="0.25">
      <c r="A121"/>
      <c r="D121" s="14"/>
      <c r="E121" s="14"/>
      <c r="F121" s="14"/>
      <c r="G121" s="29" t="str">
        <v/>
      </c>
      <c r="H121" s="8" t="str">
        <v>from the use of a limited number of NGER data inputs. It is suggested that for Tasmania the use of the Victorian emission factors is appropriate,</v>
      </c>
      <c r="I121" s="17"/>
      <c r="J121" s="17"/>
      <c r="K121" s="17"/>
      <c r="L121" s="17"/>
    </row>
    <row r="122" spans="1:13" ht="20.100000000000001" customHeight="1" x14ac:dyDescent="0.25">
      <c r="A122"/>
      <c r="D122" s="17"/>
      <c r="F122" s="30"/>
      <c r="G122" s="29" t="str">
        <v/>
      </c>
      <c r="H122" s="8" t="str">
        <v>while for Northern Territory the use of the Western Australian emission factors is appropriate.</v>
      </c>
      <c r="I122" s="17"/>
      <c r="J122" s="17"/>
      <c r="K122" s="17"/>
      <c r="L122" s="17"/>
    </row>
    <row r="123" spans="1:13" ht="20.100000000000001" customHeight="1" x14ac:dyDescent="0.25">
      <c r="A123"/>
      <c r="D123" s="31"/>
      <c r="F123" s="30"/>
      <c r="G123" s="29" t="str">
        <v>-</v>
      </c>
      <c r="H123" s="8" t="str">
        <v>Scope 3 emission factors do not include fugitive emission leakage from low pressure natural gas distribution pipeline networks while those from high pressure</v>
      </c>
      <c r="I123" s="17"/>
      <c r="J123" s="17"/>
      <c r="K123" s="17"/>
      <c r="L123" s="17"/>
    </row>
    <row r="124" spans="1:13" ht="20.100000000000001" customHeight="1" x14ac:dyDescent="0.25">
      <c r="A124"/>
      <c r="D124" s="31"/>
      <c r="F124" s="30"/>
      <c r="G124" s="17" t="str">
        <v/>
      </c>
      <c r="H124" s="8" t="str">
        <v>gas networks are considered negligible.</v>
      </c>
      <c r="I124" s="17"/>
      <c r="J124" s="17"/>
      <c r="K124" s="17"/>
      <c r="L124" s="17"/>
    </row>
    <row r="125" spans="1:13" ht="20.100000000000001" customHeight="1" x14ac:dyDescent="0.25">
      <c r="A125"/>
      <c r="D125" s="31"/>
      <c r="F125" s="30"/>
      <c r="G125" s="17"/>
      <c r="H125" s="17"/>
      <c r="I125" s="17"/>
      <c r="J125" s="17"/>
      <c r="K125" s="17"/>
      <c r="L125" s="17"/>
    </row>
    <row r="126" spans="1:13" ht="20.100000000000001" customHeight="1" x14ac:dyDescent="0.25">
      <c r="A126"/>
      <c r="D126" s="17"/>
      <c r="E126" s="17"/>
      <c r="F126" s="17"/>
      <c r="G126" s="17"/>
      <c r="H126" s="17"/>
      <c r="I126" s="17"/>
      <c r="J126" s="17"/>
      <c r="K126" s="17"/>
      <c r="L126" s="17"/>
      <c r="M126" s="17"/>
    </row>
    <row r="127" spans="1:13" ht="20.100000000000001" customHeight="1" x14ac:dyDescent="0.25">
      <c r="A127"/>
      <c r="D127" s="17"/>
      <c r="E127" s="17"/>
      <c r="F127" s="17"/>
      <c r="G127" s="17"/>
      <c r="H127" s="17"/>
      <c r="I127" s="17"/>
      <c r="J127" s="17"/>
      <c r="K127" s="17"/>
      <c r="L127" s="17"/>
      <c r="M127" s="17"/>
    </row>
    <row r="128" spans="1:13" ht="20.100000000000001" customHeight="1" x14ac:dyDescent="0.25">
      <c r="A128"/>
      <c r="D128" s="17"/>
      <c r="E128" s="17"/>
      <c r="F128" s="17"/>
      <c r="G128" s="17"/>
      <c r="H128" s="17"/>
      <c r="I128" s="17"/>
      <c r="J128" s="17"/>
      <c r="K128" s="17"/>
      <c r="L128" s="17"/>
      <c r="M128" s="17"/>
    </row>
    <row r="129" spans="1:33" ht="20.100000000000001" customHeight="1" x14ac:dyDescent="0.25">
      <c r="A129"/>
      <c r="D129" s="32"/>
      <c r="E129" s="17"/>
      <c r="F129" s="17"/>
      <c r="G129" s="17"/>
      <c r="H129" s="17"/>
      <c r="I129" s="17"/>
      <c r="J129" s="17"/>
      <c r="K129" s="17"/>
      <c r="L129" s="17"/>
    </row>
    <row r="130" spans="1:33" ht="20.100000000000001" customHeight="1" x14ac:dyDescent="0.25">
      <c r="A130"/>
      <c r="D130" s="33" t="s">
        <v>88</v>
      </c>
      <c r="E130" s="33" t="s">
        <v>89</v>
      </c>
      <c r="F130" s="33" t="s">
        <v>90</v>
      </c>
      <c r="G130" s="33" t="s">
        <v>91</v>
      </c>
      <c r="H130" s="33" t="s">
        <v>92</v>
      </c>
      <c r="I130" s="33" t="s">
        <v>93</v>
      </c>
      <c r="J130" s="33" t="s">
        <v>94</v>
      </c>
      <c r="K130" s="17"/>
      <c r="L130" s="17"/>
      <c r="M130" s="17"/>
      <c r="AG130" s="8"/>
    </row>
    <row r="131" spans="1:33" ht="20.100000000000001" customHeight="1" x14ac:dyDescent="0.25">
      <c r="A131"/>
      <c r="D131" s="34" t="str">
        <f>$D$143</f>
        <v>Petrol</v>
      </c>
      <c r="E131" s="34" t="str">
        <f>$D$143</f>
        <v>Petrol</v>
      </c>
      <c r="F131" s="34" t="str">
        <f>$D$150</f>
        <v>Avgas</v>
      </c>
      <c r="G131" s="34" t="str">
        <f>$D$143</f>
        <v>Petrol</v>
      </c>
      <c r="H131" s="34" t="str">
        <f>$D$144</f>
        <v>Diesel</v>
      </c>
      <c r="I131" s="34" t="str">
        <f>$D$143</f>
        <v>Petrol</v>
      </c>
      <c r="J131" s="34" t="str">
        <f>$D$143</f>
        <v>Petrol</v>
      </c>
      <c r="K131" s="17"/>
      <c r="L131" s="17"/>
      <c r="M131" s="17"/>
      <c r="AG131" s="8"/>
    </row>
    <row r="132" spans="1:33" ht="20.100000000000001" customHeight="1" x14ac:dyDescent="0.25">
      <c r="A132"/>
      <c r="D132" s="34" t="str">
        <f>$D$144</f>
        <v>Diesel</v>
      </c>
      <c r="E132" s="34" t="str">
        <f>$D$144</f>
        <v>Diesel</v>
      </c>
      <c r="F132" s="34" t="str">
        <f>$D$151</f>
        <v>Jet A1, Jet B</v>
      </c>
      <c r="G132" s="34" t="str">
        <f>$D$144</f>
        <v>Diesel</v>
      </c>
      <c r="H132" s="34"/>
      <c r="I132" s="34" t="str">
        <f>$D$144</f>
        <v>Diesel</v>
      </c>
      <c r="J132" s="34" t="str">
        <f>$D$144</f>
        <v>Diesel</v>
      </c>
      <c r="K132" s="17"/>
      <c r="L132" s="17"/>
      <c r="M132" s="17"/>
      <c r="AG132" s="8"/>
    </row>
    <row r="133" spans="1:33" ht="20.100000000000001" customHeight="1" x14ac:dyDescent="0.25">
      <c r="A133"/>
      <c r="D133" s="34" t="str">
        <f>$D$145</f>
        <v>Liquefied petroleum gas (LPG)</v>
      </c>
      <c r="E133" s="34" t="str">
        <f>$D$145</f>
        <v>Liquefied petroleum gas (LPG)</v>
      </c>
      <c r="F133" s="34" t="str">
        <f>$D$152</f>
        <v>Renewable aviation kerosene</v>
      </c>
      <c r="G133" s="34" t="str">
        <f>$D$145</f>
        <v>Liquefied petroleum gas (LPG)</v>
      </c>
      <c r="H133" s="34"/>
      <c r="I133" s="34" t="s">
        <v>95</v>
      </c>
      <c r="J133" s="34" t="str">
        <f>$D$145</f>
        <v>Liquefied petroleum gas (LPG)</v>
      </c>
      <c r="K133" s="17"/>
      <c r="L133" s="17"/>
      <c r="M133" s="17"/>
      <c r="AG133" s="8"/>
    </row>
    <row r="134" spans="1:33" ht="20.100000000000001" customHeight="1" x14ac:dyDescent="0.25">
      <c r="A134"/>
      <c r="D134" s="34" t="str">
        <f>$D$146</f>
        <v>Biodiesel</v>
      </c>
      <c r="E134" s="34" t="str">
        <f>$D$146</f>
        <v>Biodiesel</v>
      </c>
      <c r="F134" s="33"/>
      <c r="G134" s="34" t="str">
        <f>$D$160</f>
        <v>Fuel oil</v>
      </c>
      <c r="H134" s="34"/>
      <c r="I134" s="34"/>
      <c r="J134" s="34" t="str">
        <f>$D$146</f>
        <v>Biodiesel</v>
      </c>
      <c r="K134" s="17"/>
      <c r="L134" s="17"/>
      <c r="M134" s="17"/>
      <c r="AG134" s="8"/>
    </row>
    <row r="135" spans="1:33" ht="20.100000000000001" customHeight="1" x14ac:dyDescent="0.25">
      <c r="A135"/>
      <c r="D135" s="34" t="str">
        <f>$D$147</f>
        <v>Ethanol</v>
      </c>
      <c r="E135" s="34" t="str">
        <f>$D$147</f>
        <v>Ethanol</v>
      </c>
      <c r="F135" s="33"/>
      <c r="G135" s="34" t="str">
        <f>$D$147</f>
        <v>Ethanol</v>
      </c>
      <c r="H135" s="34"/>
      <c r="I135" s="34"/>
      <c r="J135" s="34" t="str">
        <f>$D$147</f>
        <v>Ethanol</v>
      </c>
      <c r="K135" s="17"/>
      <c r="L135" s="17"/>
      <c r="M135" s="17"/>
      <c r="AG135" s="8"/>
    </row>
    <row r="136" spans="1:33" ht="20.100000000000001" customHeight="1" x14ac:dyDescent="0.25">
      <c r="A136"/>
      <c r="D136" s="34" t="str">
        <f>$D$148</f>
        <v>Other biofuels</v>
      </c>
      <c r="E136" s="34" t="str">
        <f>$D$148</f>
        <v>Other biofuels</v>
      </c>
      <c r="F136" s="33"/>
      <c r="G136" s="34" t="str">
        <f>$D$146</f>
        <v>Biodiesel</v>
      </c>
      <c r="H136" s="34"/>
      <c r="I136" s="34"/>
      <c r="J136" s="34" t="str">
        <f>$D$148</f>
        <v>Other biofuels</v>
      </c>
      <c r="K136" s="17"/>
      <c r="L136" s="17"/>
      <c r="M136" s="17"/>
      <c r="AG136" s="8"/>
    </row>
    <row r="137" spans="1:33" ht="20.100000000000001" customHeight="1" x14ac:dyDescent="0.25">
      <c r="A137"/>
      <c r="D137" s="34" t="str">
        <f>$D$149</f>
        <v>Renewable diesel</v>
      </c>
      <c r="E137" s="34" t="str">
        <f>$D$149</f>
        <v>Renewable diesel</v>
      </c>
      <c r="F137" s="33"/>
      <c r="G137" s="34" t="str">
        <f>$D$149</f>
        <v>Renewable diesel</v>
      </c>
      <c r="H137" s="34"/>
      <c r="I137" s="34"/>
      <c r="J137" s="34" t="str">
        <f>$D$149</f>
        <v>Renewable diesel</v>
      </c>
      <c r="K137" s="17"/>
      <c r="L137" s="17"/>
      <c r="M137" s="17"/>
      <c r="AG137" s="8"/>
    </row>
    <row r="138" spans="1:33" ht="20.100000000000001" customHeight="1" x14ac:dyDescent="0.25">
      <c r="A138"/>
      <c r="D138" s="33"/>
      <c r="E138" s="35" t="str">
        <f>$D$161</f>
        <v>Natural gas (via pipeline) in GJ</v>
      </c>
      <c r="F138" s="35"/>
      <c r="G138" s="34" t="str">
        <f>$D$148</f>
        <v>Other biofuels</v>
      </c>
      <c r="H138" s="34"/>
      <c r="I138" s="34"/>
      <c r="J138" s="35" t="str">
        <f>$D$161</f>
        <v>Natural gas (via pipeline) in GJ</v>
      </c>
      <c r="K138" s="17"/>
      <c r="L138" s="17"/>
      <c r="M138" s="17"/>
      <c r="AG138" s="8"/>
    </row>
    <row r="139" spans="1:33" ht="20.100000000000001" customHeight="1" x14ac:dyDescent="0.25">
      <c r="A139"/>
      <c r="D139" s="35"/>
      <c r="E139" s="35" t="str">
        <f>$D$162</f>
        <v>Town gas in GJ</v>
      </c>
      <c r="F139" s="35"/>
      <c r="G139" s="35"/>
      <c r="H139" s="35"/>
      <c r="I139" s="35"/>
      <c r="J139" s="35" t="str">
        <f>$D$162</f>
        <v>Town gas in GJ</v>
      </c>
      <c r="K139" s="17"/>
      <c r="L139" s="17"/>
      <c r="M139" s="17"/>
      <c r="AG139" s="8"/>
    </row>
    <row r="140" spans="1:33" ht="20.100000000000001" customHeight="1" x14ac:dyDescent="0.25">
      <c r="A140"/>
      <c r="D140" s="17"/>
      <c r="E140" s="17"/>
      <c r="F140" s="17"/>
      <c r="G140" s="17"/>
      <c r="H140" s="17"/>
      <c r="I140" s="17"/>
      <c r="J140" s="17"/>
      <c r="K140" s="17"/>
      <c r="L140" s="17"/>
    </row>
    <row r="141" spans="1:33" ht="20.100000000000001" customHeight="1" x14ac:dyDescent="0.25">
      <c r="A141"/>
      <c r="D141" s="17"/>
      <c r="E141" s="17"/>
      <c r="F141" s="17"/>
      <c r="G141" s="17"/>
      <c r="H141" s="17"/>
      <c r="I141" s="17"/>
      <c r="J141" s="17"/>
      <c r="K141" s="17"/>
      <c r="L141" s="17"/>
    </row>
    <row r="142" spans="1:33" ht="20.100000000000001" customHeight="1" x14ac:dyDescent="0.25">
      <c r="A142"/>
      <c r="D142" s="3" t="s">
        <v>96</v>
      </c>
      <c r="E142" s="3" t="s">
        <v>97</v>
      </c>
      <c r="F142" s="17"/>
      <c r="G142" s="17"/>
      <c r="H142" s="17"/>
      <c r="I142" s="17"/>
      <c r="J142" s="17"/>
      <c r="K142" s="17"/>
      <c r="L142" s="17"/>
    </row>
    <row r="143" spans="1:33" ht="20.100000000000001" customHeight="1" x14ac:dyDescent="0.25">
      <c r="A143"/>
      <c r="D143" s="34" t="s">
        <v>98</v>
      </c>
      <c r="E143" s="3" t="s">
        <v>99</v>
      </c>
      <c r="F143" s="17"/>
      <c r="G143" s="17"/>
      <c r="H143" s="17"/>
      <c r="I143" s="17"/>
      <c r="J143" s="17"/>
      <c r="K143" s="17"/>
      <c r="L143" s="17"/>
    </row>
    <row r="144" spans="1:33" ht="20.100000000000001" customHeight="1" x14ac:dyDescent="0.25">
      <c r="A144"/>
      <c r="D144" s="34" t="s">
        <v>100</v>
      </c>
      <c r="E144" s="3" t="s">
        <v>99</v>
      </c>
      <c r="F144" s="17"/>
      <c r="G144" s="17"/>
      <c r="H144" s="17"/>
      <c r="I144" s="17"/>
      <c r="J144" s="17"/>
      <c r="K144" s="17"/>
      <c r="L144" s="17"/>
    </row>
    <row r="145" spans="1:12" ht="20.100000000000001" customHeight="1" x14ac:dyDescent="0.25">
      <c r="A145"/>
      <c r="D145" s="34" t="s">
        <v>101</v>
      </c>
      <c r="E145" s="3" t="s">
        <v>99</v>
      </c>
      <c r="F145" s="17"/>
      <c r="G145" s="17"/>
      <c r="H145" s="17"/>
      <c r="I145" s="17"/>
      <c r="J145" s="17"/>
      <c r="K145" s="17"/>
      <c r="L145" s="17"/>
    </row>
    <row r="146" spans="1:12" ht="20.100000000000001" customHeight="1" x14ac:dyDescent="0.25">
      <c r="A146"/>
      <c r="D146" s="34" t="s">
        <v>102</v>
      </c>
      <c r="E146" s="3" t="s">
        <v>99</v>
      </c>
      <c r="F146" s="17"/>
      <c r="G146" s="17"/>
      <c r="H146" s="17"/>
      <c r="I146" s="17"/>
      <c r="J146" s="17"/>
      <c r="K146" s="17"/>
      <c r="L146" s="17"/>
    </row>
    <row r="147" spans="1:12" ht="20.100000000000001" customHeight="1" x14ac:dyDescent="0.25">
      <c r="A147"/>
      <c r="D147" s="34" t="s">
        <v>103</v>
      </c>
      <c r="E147" s="3" t="s">
        <v>99</v>
      </c>
      <c r="F147" s="17"/>
      <c r="G147" s="17"/>
      <c r="H147" s="17"/>
      <c r="I147" s="17"/>
      <c r="J147" s="17"/>
      <c r="K147" s="17"/>
      <c r="L147" s="17"/>
    </row>
    <row r="148" spans="1:12" ht="20.100000000000001" customHeight="1" x14ac:dyDescent="0.25">
      <c r="A148"/>
      <c r="D148" s="34" t="s">
        <v>104</v>
      </c>
      <c r="E148" s="3" t="s">
        <v>99</v>
      </c>
      <c r="F148" s="17"/>
      <c r="G148" s="17"/>
      <c r="H148" s="17"/>
      <c r="I148" s="17"/>
      <c r="J148" s="17"/>
      <c r="K148" s="17"/>
      <c r="L148" s="17"/>
    </row>
    <row r="149" spans="1:12" ht="20.100000000000001" customHeight="1" x14ac:dyDescent="0.25">
      <c r="A149"/>
      <c r="D149" s="34" t="s">
        <v>105</v>
      </c>
      <c r="E149" s="3" t="s">
        <v>99</v>
      </c>
      <c r="F149" s="17"/>
      <c r="G149" s="17"/>
      <c r="H149" s="17"/>
      <c r="I149" s="17"/>
      <c r="J149" s="17"/>
      <c r="K149" s="17"/>
      <c r="L149" s="17"/>
    </row>
    <row r="150" spans="1:12" ht="20.100000000000001" customHeight="1" x14ac:dyDescent="0.25">
      <c r="A150"/>
      <c r="D150" s="34" t="s">
        <v>106</v>
      </c>
      <c r="E150" s="3" t="s">
        <v>99</v>
      </c>
      <c r="F150" s="17"/>
      <c r="G150" s="17"/>
      <c r="H150" s="17"/>
      <c r="I150" s="17"/>
      <c r="J150" s="17"/>
      <c r="K150" s="17"/>
      <c r="L150" s="17"/>
    </row>
    <row r="151" spans="1:12" ht="20.100000000000001" customHeight="1" x14ac:dyDescent="0.25">
      <c r="A151"/>
      <c r="D151" s="34" t="s">
        <v>107</v>
      </c>
      <c r="E151" s="3" t="s">
        <v>99</v>
      </c>
      <c r="F151" s="17"/>
      <c r="G151" s="17"/>
      <c r="H151" s="17"/>
      <c r="I151" s="17"/>
      <c r="J151" s="17"/>
      <c r="K151" s="17"/>
      <c r="L151" s="17"/>
    </row>
    <row r="152" spans="1:12" ht="20.100000000000001" customHeight="1" x14ac:dyDescent="0.25">
      <c r="A152"/>
      <c r="D152" s="36" t="s">
        <v>108</v>
      </c>
      <c r="E152" s="14" t="s">
        <v>99</v>
      </c>
      <c r="F152" s="17"/>
      <c r="G152" s="17"/>
      <c r="H152" s="17"/>
      <c r="I152" s="17"/>
      <c r="J152" s="17"/>
      <c r="K152" s="17"/>
      <c r="L152" s="17"/>
    </row>
    <row r="153" spans="1:12" ht="20.100000000000001" customHeight="1" x14ac:dyDescent="0.25">
      <c r="A153"/>
      <c r="D153" s="36" t="s">
        <v>109</v>
      </c>
      <c r="E153" s="14" t="s">
        <v>99</v>
      </c>
      <c r="F153" s="17"/>
      <c r="G153" s="17"/>
      <c r="H153" s="17"/>
      <c r="I153" s="17"/>
      <c r="J153" s="17"/>
      <c r="K153" s="17"/>
      <c r="L153" s="17"/>
    </row>
    <row r="154" spans="1:12" ht="20.100000000000001" customHeight="1" x14ac:dyDescent="0.25">
      <c r="A154"/>
      <c r="D154" s="36" t="s">
        <v>110</v>
      </c>
      <c r="E154" s="14" t="s">
        <v>99</v>
      </c>
      <c r="F154" s="17"/>
      <c r="G154" s="17"/>
      <c r="H154" s="17"/>
      <c r="I154" s="17"/>
      <c r="J154" s="17"/>
      <c r="K154" s="17"/>
      <c r="L154" s="17"/>
    </row>
    <row r="155" spans="1:12" ht="20.100000000000001" customHeight="1" x14ac:dyDescent="0.25">
      <c r="A155"/>
      <c r="D155" s="36" t="s">
        <v>111</v>
      </c>
      <c r="E155" s="14" t="s">
        <v>99</v>
      </c>
      <c r="F155" s="17"/>
      <c r="G155" s="17"/>
      <c r="H155" s="17"/>
      <c r="I155" s="17"/>
      <c r="J155" s="17"/>
      <c r="K155" s="17"/>
      <c r="L155" s="17"/>
    </row>
    <row r="156" spans="1:12" ht="20.100000000000001" customHeight="1" x14ac:dyDescent="0.25">
      <c r="A156"/>
      <c r="D156" s="36" t="s">
        <v>112</v>
      </c>
      <c r="E156" s="14" t="s">
        <v>99</v>
      </c>
      <c r="F156" s="17"/>
      <c r="G156" s="17"/>
      <c r="H156" s="17"/>
      <c r="I156" s="17"/>
      <c r="J156" s="17"/>
      <c r="K156" s="17"/>
      <c r="L156" s="17"/>
    </row>
    <row r="157" spans="1:12" ht="20.100000000000001" customHeight="1" x14ac:dyDescent="0.25">
      <c r="A157"/>
      <c r="D157" s="36" t="s">
        <v>113</v>
      </c>
      <c r="E157" s="14" t="s">
        <v>99</v>
      </c>
      <c r="F157" s="17"/>
      <c r="G157" s="17"/>
      <c r="H157" s="17"/>
      <c r="I157" s="17"/>
      <c r="J157" s="17"/>
      <c r="K157" s="17"/>
      <c r="L157" s="17"/>
    </row>
    <row r="158" spans="1:12" ht="20.100000000000001" customHeight="1" x14ac:dyDescent="0.25">
      <c r="A158"/>
      <c r="D158" s="36" t="s">
        <v>114</v>
      </c>
      <c r="E158" s="14" t="s">
        <v>99</v>
      </c>
      <c r="F158" s="17"/>
      <c r="G158" s="17"/>
      <c r="H158" s="17"/>
      <c r="I158" s="17"/>
      <c r="J158" s="17"/>
      <c r="K158" s="17"/>
      <c r="L158" s="17"/>
    </row>
    <row r="159" spans="1:12" ht="20.100000000000001" customHeight="1" x14ac:dyDescent="0.25">
      <c r="A159"/>
      <c r="D159" s="36" t="s">
        <v>115</v>
      </c>
      <c r="E159" s="14" t="s">
        <v>99</v>
      </c>
      <c r="F159" s="17"/>
      <c r="G159" s="17"/>
      <c r="H159" s="17"/>
      <c r="I159" s="17"/>
      <c r="J159" s="17"/>
      <c r="K159" s="17"/>
      <c r="L159" s="17"/>
    </row>
    <row r="160" spans="1:12" ht="20.100000000000001" customHeight="1" x14ac:dyDescent="0.25">
      <c r="A160"/>
      <c r="D160" s="36" t="s">
        <v>95</v>
      </c>
      <c r="E160" s="14" t="s">
        <v>99</v>
      </c>
      <c r="F160" s="17"/>
      <c r="G160" s="17"/>
      <c r="H160" s="17"/>
      <c r="I160" s="17"/>
      <c r="J160" s="17"/>
      <c r="K160" s="17"/>
      <c r="L160" s="17"/>
    </row>
    <row r="161" spans="4:12" ht="20.100000000000001" customHeight="1" x14ac:dyDescent="0.25">
      <c r="D161" s="35" t="s">
        <v>116</v>
      </c>
      <c r="E161" s="17" t="s">
        <v>117</v>
      </c>
      <c r="F161" s="17"/>
      <c r="G161" s="17"/>
      <c r="H161" s="17"/>
      <c r="I161" s="17"/>
      <c r="J161" s="17"/>
      <c r="K161" s="17"/>
      <c r="L161" s="17"/>
    </row>
    <row r="162" spans="4:12" ht="20.100000000000001" customHeight="1" x14ac:dyDescent="0.25">
      <c r="D162" s="17" t="s">
        <v>118</v>
      </c>
      <c r="E162" s="17" t="s">
        <v>117</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617C-8179-4C1C-9FC0-03E5CE198472}">
  <sheetPr>
    <tabColor theme="2" tint="-0.499984740745262"/>
  </sheetPr>
  <dimension ref="A1:W452"/>
  <sheetViews>
    <sheetView showGridLines="0" topLeftCell="A10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574</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tr" cm="1">
        <f t="array" ref="D5">SourceData_Poultry.SourceData_Poultry_DietProperties_Title()</f>
        <v>Poultry - Diet properties</v>
      </c>
      <c r="M5" s="8"/>
    </row>
    <row r="6" spans="1:21" ht="20.100000000000001" customHeight="1" x14ac:dyDescent="0.25">
      <c r="A6"/>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575</v>
      </c>
      <c r="E8" s="10" t="s">
        <v>576</v>
      </c>
      <c r="F8" s="10" t="s">
        <v>577</v>
      </c>
      <c r="G8" s="10" t="s">
        <v>578</v>
      </c>
      <c r="H8" s="10" t="s">
        <v>579</v>
      </c>
      <c r="M8" s="8"/>
    </row>
    <row r="9" spans="1:21" ht="20.100000000000001" customHeight="1" x14ac:dyDescent="0.25">
      <c r="A9" s="16" t="str">
        <f>HYPERLINK("#'Input - Fuel'!A1", "Fuel")</f>
        <v>Fuel</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t="str">
        <f>HYPERLINK("#'Input - Fertiliser'!A1", "Fertiliser")</f>
        <v>Fertiliser</v>
      </c>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16" t="str">
        <f>HYPERLINK("#'Input - Farm Inputs'!A1", "Farm Inputs")</f>
        <v>Farm Inputs</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HYPERLINK("#'Input - Livestock purchases'!A1", "Livestock purchases")</f>
        <v>Livestock purchases</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HYPERLINK("#'Input - Freight'!A1", "Freight")</f>
        <v>Freight</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HYPERLINK("#'Input - Solid waste'!A1", "Solid waste")</f>
        <v>Solid waste</v>
      </c>
      <c r="M14" s="8"/>
    </row>
    <row r="15" spans="1:21" ht="20.100000000000001" customHeight="1" x14ac:dyDescent="0.25">
      <c r="A15" s="16" t="str">
        <f>HYPERLINK("#'Input - Manure sent off-site'!A1", "Manure sent off-site")</f>
        <v>Manure sent off-site</v>
      </c>
      <c r="M15" s="8"/>
    </row>
    <row r="16" spans="1:21" ht="20.100000000000001" customHeight="1" x14ac:dyDescent="0.25">
      <c r="A16" s="16" t="str">
        <f>HYPERLINK("#'Input - Electricity'!A1", "Electricity")</f>
        <v>Electricity</v>
      </c>
      <c r="M16" s="8"/>
    </row>
    <row r="17" spans="1:13" ht="20.100000000000001" customHeight="1" x14ac:dyDescent="0.25">
      <c r="A17"/>
      <c r="D17" s="9" t="str" cm="1">
        <f t="array" ref="D17">SourceData_Poultry.SourceData_Poultry_MethaneEmissionsPotential_Title()</f>
        <v>Poultry - Methane emissions potential per class</v>
      </c>
      <c r="M17" s="8"/>
    </row>
    <row r="18" spans="1:13" ht="20.100000000000001" customHeight="1" x14ac:dyDescent="0.25">
      <c r="A18"/>
      <c r="D18" s="11" t="str" cm="1">
        <f t="array" ref="D18">SourceData_Poultry.SourceData_Poultry_MethaneEmissionsPotential_Source()</f>
        <v>VEERG 2026: 4.6.2.3 CONSTANT: Poultry - Methane emissions potential per class</v>
      </c>
      <c r="M18" s="8"/>
    </row>
    <row r="19" spans="1:13" ht="20.100000000000001" customHeight="1" x14ac:dyDescent="0.25">
      <c r="A19" s="21" t="s">
        <v>77</v>
      </c>
      <c r="D19" s="10" t="s">
        <v>580</v>
      </c>
      <c r="E19" s="10" t="s">
        <v>581</v>
      </c>
      <c r="M19" s="8"/>
    </row>
    <row r="20" spans="1:13" ht="20.100000000000001" customHeight="1" x14ac:dyDescent="0.25">
      <c r="A20" s="16" t="str">
        <f>HYPERLINK("#'15 Scope 3'!A1", "15 Scope 3")</f>
        <v>15 Scope 3</v>
      </c>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16" t="str">
        <f>HYPERLINK("#'10.1.1-2 Solid waste treatment'!A1", "10.1.1-2 Solid waste treatment")</f>
        <v>10.1.1-2 Solid waste treatment</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16" t="str">
        <f>HYPERLINK("#'Calcs - Manure sent off-site'!A1", "Calcs - Manure sent off-site")</f>
        <v>Calcs - Manure sent off-site</v>
      </c>
      <c r="M22" s="8"/>
    </row>
    <row r="23" spans="1:13" ht="20.100000000000001" customHeight="1" x14ac:dyDescent="0.25">
      <c r="A23" s="16" t="str">
        <f>HYPERLINK("#'8.1.1.1-2 Transport fuel'!A1", "8.1.1.1-2 Transport fuel")</f>
        <v>8.1.1.1-2 Transport fuel</v>
      </c>
      <c r="M23" s="8"/>
    </row>
    <row r="24" spans="1:13" ht="20.100000000000001" customHeight="1" x14ac:dyDescent="0.25">
      <c r="A24" s="16" t="str">
        <f>HYPERLINK("#'8.2.1.1-2 Stationary fuel'!A1", "8.2.1.1-2 Stationary fuel")</f>
        <v>8.2.1.1-2 Stationary fuel</v>
      </c>
      <c r="M24" s="8"/>
    </row>
    <row r="25" spans="1:13" ht="20.100000000000001" customHeight="1" x14ac:dyDescent="0.25">
      <c r="A25"/>
      <c r="M25" s="8"/>
    </row>
    <row r="26" spans="1:13" ht="20.100000000000001" customHeight="1" x14ac:dyDescent="0.25">
      <c r="A26"/>
      <c r="D26" s="9" t="s">
        <v>582</v>
      </c>
      <c r="G26" s="9" t="s">
        <v>583</v>
      </c>
      <c r="J26" s="9" t="s">
        <v>584</v>
      </c>
      <c r="M26" s="8"/>
    </row>
    <row r="27" spans="1:13" ht="20.100000000000001" customHeight="1" x14ac:dyDescent="0.25">
      <c r="A27" s="222" t="s">
        <v>78</v>
      </c>
      <c r="M27" s="8"/>
    </row>
    <row r="28" spans="1:13" ht="20.100000000000001" customHeight="1" x14ac:dyDescent="0.25">
      <c r="A28" s="16" t="str">
        <f>HYPERLINK("#'Constants - Scope 3'!A1", "Constants - Scope 3")</f>
        <v>Constants - Scope 3</v>
      </c>
      <c r="D28" s="159" t="s">
        <v>525</v>
      </c>
      <c r="E28" s="10" t="s">
        <v>330</v>
      </c>
      <c r="G28" s="159" t="s">
        <v>525</v>
      </c>
      <c r="H28" s="10" t="s">
        <v>330</v>
      </c>
      <c r="J28" s="159" t="s">
        <v>525</v>
      </c>
      <c r="K28" s="10" t="s">
        <v>330</v>
      </c>
      <c r="M28" s="8"/>
    </row>
    <row r="29" spans="1:13" ht="20.100000000000001" customHeight="1" x14ac:dyDescent="0.25">
      <c r="A29" s="16" t="str">
        <f>HYPERLINK("#'Constants - Solid Waste'!A1", "Constants - Solid Waste")</f>
        <v>Constants - Solid Waste</v>
      </c>
      <c r="D29" s="10" t="s">
        <v>58</v>
      </c>
      <c r="E29" s="10" t="s">
        <v>585</v>
      </c>
      <c r="G29" s="10" t="s">
        <v>58</v>
      </c>
      <c r="H29" s="10" t="s">
        <v>585</v>
      </c>
      <c r="J29" s="10" t="s">
        <v>55</v>
      </c>
      <c r="K29" s="10" t="s">
        <v>586</v>
      </c>
      <c r="M29" s="8"/>
    </row>
    <row r="30" spans="1:13" ht="20.100000000000001" customHeight="1" x14ac:dyDescent="0.25">
      <c r="A30" s="16" t="str">
        <f>HYPERLINK("#'Constants - Fuel'!A1", "Constants - Fuel")</f>
        <v>Constants - Fuel</v>
      </c>
      <c r="D30" s="10" t="s">
        <v>587</v>
      </c>
      <c r="E30" s="10" t="s">
        <v>588</v>
      </c>
      <c r="G30" s="10" t="s">
        <v>587</v>
      </c>
      <c r="H30" s="10" t="s">
        <v>588</v>
      </c>
      <c r="J30" s="10" t="s">
        <v>54</v>
      </c>
      <c r="K30" s="10" t="s">
        <v>589</v>
      </c>
      <c r="M30" s="8"/>
    </row>
    <row r="31" spans="1:13" ht="20.100000000000001" customHeight="1" x14ac:dyDescent="0.25">
      <c r="A31" s="23" t="str">
        <f>HYPERLINK("#'Constants - Poultry'!A1", "Constants - Poultry")</f>
        <v>Constants - Poultry</v>
      </c>
      <c r="D31" s="10" t="s">
        <v>590</v>
      </c>
      <c r="E31" s="10" t="s">
        <v>591</v>
      </c>
      <c r="G31" s="10" t="s">
        <v>590</v>
      </c>
      <c r="H31" s="10" t="s">
        <v>591</v>
      </c>
      <c r="J31" s="8" t="s">
        <v>51</v>
      </c>
      <c r="K31" s="8" t="s">
        <v>592</v>
      </c>
      <c r="M31" s="8"/>
    </row>
    <row r="32" spans="1:13" ht="20.100000000000001" customHeight="1" x14ac:dyDescent="0.25">
      <c r="A32" s="16" t="str">
        <f>HYPERLINK("#'Constants - Swine'!A1", "Constants - Swine")</f>
        <v>Constants - Swine</v>
      </c>
      <c r="D32" s="10" t="s">
        <v>62</v>
      </c>
      <c r="E32" s="10" t="s">
        <v>593</v>
      </c>
      <c r="G32" s="10" t="s">
        <v>62</v>
      </c>
      <c r="H32" s="10" t="s">
        <v>593</v>
      </c>
      <c r="J32" s="10" t="s">
        <v>60</v>
      </c>
      <c r="K32" s="10" t="s">
        <v>594</v>
      </c>
      <c r="M32" s="8"/>
    </row>
    <row r="33" spans="1:13" ht="20.100000000000001" customHeight="1" x14ac:dyDescent="0.25">
      <c r="A33" s="16" t="str">
        <f>HYPERLINK("#'Constants - Dairy'!A1", "Constants - Dairy")</f>
        <v>Constants - Dairy</v>
      </c>
      <c r="D33" s="10" t="s">
        <v>55</v>
      </c>
      <c r="E33" s="10" t="s">
        <v>586</v>
      </c>
      <c r="G33" s="8" t="s">
        <v>595</v>
      </c>
      <c r="H33" s="10" t="s">
        <v>595</v>
      </c>
      <c r="J33" s="10" t="s">
        <v>61</v>
      </c>
      <c r="K33" s="10" t="s">
        <v>596</v>
      </c>
      <c r="M33" s="8"/>
    </row>
    <row r="34" spans="1:13" ht="20.100000000000001" customHeight="1" x14ac:dyDescent="0.25">
      <c r="A34" s="16" t="str">
        <f>HYPERLINK("#'Constants - Pasture Beef'!A1", "Constants - Pasture Beef")</f>
        <v>Constants - Pasture Beef</v>
      </c>
      <c r="D34" s="10" t="s">
        <v>54</v>
      </c>
      <c r="E34" s="10" t="s">
        <v>589</v>
      </c>
      <c r="J34" s="8" t="s">
        <v>595</v>
      </c>
      <c r="K34" s="10" t="s">
        <v>595</v>
      </c>
      <c r="M34" s="8"/>
    </row>
    <row r="35" spans="1:13" ht="20.100000000000001" customHeight="1" x14ac:dyDescent="0.25">
      <c r="A35" s="16" t="str">
        <f>HYPERLINK("#'Constants - Common Livestock'!A1", "Constants - Common Livestock")</f>
        <v>Constants - Common Livestock</v>
      </c>
      <c r="D35" s="8" t="s">
        <v>51</v>
      </c>
      <c r="E35" s="8" t="s">
        <v>592</v>
      </c>
      <c r="M35" s="8"/>
    </row>
    <row r="36" spans="1:13" ht="20.100000000000001" customHeight="1" x14ac:dyDescent="0.25">
      <c r="A36" s="16" t="str">
        <f>HYPERLINK("#'Constants - Fertiliser'!A1", "Constants - Fertiliser")</f>
        <v>Constants - Fertiliser</v>
      </c>
      <c r="D36" s="10" t="s">
        <v>60</v>
      </c>
      <c r="E36" s="10" t="s">
        <v>594</v>
      </c>
      <c r="M36" s="8"/>
    </row>
    <row r="37" spans="1:13" ht="20.100000000000001" customHeight="1" x14ac:dyDescent="0.25">
      <c r="A37" s="16" t="str">
        <f>HYPERLINK("#'Constants - Electricity'!A1", "Constants - Electricity")</f>
        <v>Constants - Electricity</v>
      </c>
      <c r="D37" s="10" t="s">
        <v>61</v>
      </c>
      <c r="E37" s="10" t="s">
        <v>596</v>
      </c>
      <c r="M37" s="8"/>
    </row>
    <row r="38" spans="1:13" ht="20.100000000000001" customHeight="1" x14ac:dyDescent="0.25">
      <c r="A38" s="16" t="str">
        <f>HYPERLINK("#'Constants - Common'!A1", "Constants - Common")</f>
        <v>Constants - Common</v>
      </c>
      <c r="D38" s="8" t="s">
        <v>595</v>
      </c>
      <c r="E38" s="10" t="s">
        <v>595</v>
      </c>
      <c r="M38" s="8"/>
    </row>
    <row r="39" spans="1:13" ht="20.100000000000001" customHeight="1" x14ac:dyDescent="0.25">
      <c r="A39"/>
      <c r="M39" s="8"/>
    </row>
    <row r="40" spans="1:13" ht="20.100000000000001" customHeight="1" x14ac:dyDescent="0.25">
      <c r="A40"/>
      <c r="M40" s="8"/>
    </row>
    <row r="41" spans="1:13" ht="20.100000000000001" customHeight="1" x14ac:dyDescent="0.25">
      <c r="A41"/>
      <c r="M41" s="8"/>
    </row>
    <row r="42" spans="1:13" ht="20.100000000000001" customHeight="1" x14ac:dyDescent="0.25">
      <c r="A42"/>
      <c r="D42" s="9" t="s">
        <v>597</v>
      </c>
      <c r="M42" s="8"/>
    </row>
    <row r="43" spans="1:13" ht="20.100000000000001" customHeight="1" x14ac:dyDescent="0.25">
      <c r="A43"/>
      <c r="M43" s="8"/>
    </row>
    <row r="44" spans="1:13" ht="20.100000000000001" customHeight="1" x14ac:dyDescent="0.25">
      <c r="A44"/>
      <c r="D44" s="10" t="s">
        <v>145</v>
      </c>
      <c r="M44" s="8"/>
    </row>
    <row r="45" spans="1:13" ht="20.100000000000001" customHeight="1" x14ac:dyDescent="0.25">
      <c r="A45"/>
      <c r="D45" s="10" t="str" cm="1">
        <f t="array" ref="D45">Common_InputFunctions.Utility_DisplayArrayInTable(SourceData_Poultry.SourceData_Poultry_ProductionSystems_Data(), Table_SourceData_Poultry_ProductionSystems[[#Headers],[Production system]], 0)</f>
        <v>Free range</v>
      </c>
      <c r="M45" s="8"/>
    </row>
    <row r="46" spans="1:13" ht="20.100000000000001" customHeight="1" x14ac:dyDescent="0.25">
      <c r="A46"/>
      <c r="D46" s="8" t="str" cm="1">
        <f t="array" ref="D46">Common_InputFunctions.Utility_DisplayArrayInTable(SourceData_Poultry.SourceData_Poultry_ProductionSystems_Data(), Table_SourceData_Poultry_ProductionSystems[[#Headers],[Production system]], 0)</f>
        <v>Barn</v>
      </c>
      <c r="M46" s="8"/>
    </row>
    <row r="47" spans="1:13" ht="20.100000000000001" customHeight="1" x14ac:dyDescent="0.25">
      <c r="A47"/>
      <c r="D47" s="8" t="str" cm="1">
        <f t="array" ref="D47">Common_InputFunctions.Utility_DisplayArrayInTable(SourceData_Poultry.SourceData_Poultry_ProductionSystems_Data(), Table_SourceData_Poultry_ProductionSystems[[#Headers],[Production system]], 0)</f>
        <v>Cage</v>
      </c>
      <c r="M47" s="8"/>
    </row>
    <row r="48" spans="1:13" ht="20.100000000000001" customHeight="1" x14ac:dyDescent="0.25">
      <c r="A48"/>
      <c r="M48" s="8"/>
    </row>
    <row r="49" spans="1:14" ht="20.100000000000001" customHeight="1" x14ac:dyDescent="0.25">
      <c r="A49"/>
      <c r="M49" s="8"/>
    </row>
    <row r="50" spans="1:14" ht="20.100000000000001" customHeight="1" x14ac:dyDescent="0.25">
      <c r="A50"/>
      <c r="M50" s="8"/>
    </row>
    <row r="51" spans="1:14" ht="20.100000000000001" customHeight="1" x14ac:dyDescent="0.25">
      <c r="A51"/>
      <c r="D51" s="9" t="str" cm="1">
        <f t="array" ref="D51">SourceData_Poultry.SourceData_Poultry_MCF_Title()</f>
        <v>Poultry - MCFs</v>
      </c>
      <c r="M51" s="8"/>
    </row>
    <row r="52" spans="1:14" ht="20.100000000000001" customHeight="1" x14ac:dyDescent="0.25">
      <c r="A52"/>
      <c r="D52" s="11" t="str" cm="1">
        <f t="array" ref="D52">SourceData_Poultry.SourceData_Poultry_MCF_Source()</f>
        <v>VEERG 2026: Table A.1.7.4: Poultry - MCFs</v>
      </c>
      <c r="M52" s="8"/>
    </row>
    <row r="53" spans="1:14" ht="20.100000000000001" customHeight="1" x14ac:dyDescent="0.25">
      <c r="A53"/>
      <c r="D53" s="12" t="str" cm="1">
        <f t="array" ref="D53:D57">SourceData_Poultry.SourceData_Poultry_MCF_Variation()</f>
        <v>VARIATION ON SOURCE:</v>
      </c>
      <c r="M53" s="8"/>
    </row>
    <row r="54" spans="1:14" ht="20.100000000000001" customHeight="1" x14ac:dyDescent="0.25">
      <c r="A54"/>
      <c r="D54" s="12" t="str">
        <v>Split NSW and ACT into separate states. Split QLD and NT into separate states.</v>
      </c>
      <c r="M54" s="8"/>
    </row>
    <row r="55" spans="1:14" ht="20.100000000000001" customHeight="1" x14ac:dyDescent="0.25">
      <c r="A55"/>
      <c r="D55" s="12" t="str">
        <v>Included values for each state when 'All states' value is given.</v>
      </c>
      <c r="M55" s="8"/>
    </row>
    <row r="56" spans="1:14" ht="20.100000000000001" customHeight="1" x14ac:dyDescent="0.25">
      <c r="A56"/>
      <c r="D56" s="12" t="str">
        <v>Added 'NIR definition' column with MMS names that match NIR definitions.</v>
      </c>
      <c r="M56" s="8"/>
    </row>
    <row r="57" spans="1:14" ht="20.100000000000001" customHeight="1" x14ac:dyDescent="0.25">
      <c r="A57"/>
      <c r="D57" s="12" t="str">
        <v>Duplicated 'Poultry manure without litter' row for NIR MMS 'Belt manure removal' and 'Manure stored in house'</v>
      </c>
      <c r="M57" s="8"/>
    </row>
    <row r="58" spans="1:14" ht="20.100000000000001" customHeight="1" x14ac:dyDescent="0.25">
      <c r="A58"/>
      <c r="M58" s="8"/>
    </row>
    <row r="59" spans="1:14" ht="20.100000000000001" customHeight="1" x14ac:dyDescent="0.25">
      <c r="A59"/>
      <c r="D59" s="10" t="s">
        <v>533</v>
      </c>
      <c r="E59" s="10" t="s">
        <v>598</v>
      </c>
      <c r="F59" s="10" t="s">
        <v>337</v>
      </c>
      <c r="G59" s="10" t="s">
        <v>313</v>
      </c>
      <c r="H59" s="10" t="s">
        <v>338</v>
      </c>
      <c r="I59" s="10" t="s">
        <v>435</v>
      </c>
      <c r="J59" s="10" t="s">
        <v>343</v>
      </c>
      <c r="K59" s="10" t="s">
        <v>394</v>
      </c>
      <c r="L59" s="10" t="s">
        <v>344</v>
      </c>
      <c r="M59" s="10" t="s">
        <v>391</v>
      </c>
      <c r="N59" s="10" t="s">
        <v>550</v>
      </c>
    </row>
    <row r="60" spans="1:14" ht="20.100000000000001" customHeight="1" x14ac:dyDescent="0.25">
      <c r="A60"/>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1:14" ht="20.100000000000001" customHeight="1" x14ac:dyDescent="0.25">
      <c r="A61"/>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1:14" ht="20.100000000000001" customHeight="1" x14ac:dyDescent="0.25">
      <c r="A62"/>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1:14" ht="20.100000000000001" customHeight="1" x14ac:dyDescent="0.25">
      <c r="A63"/>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1:14" ht="20.100000000000001" customHeight="1" x14ac:dyDescent="0.25">
      <c r="A64"/>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1:22" ht="20.100000000000001" customHeight="1" x14ac:dyDescent="0.25">
      <c r="A6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1:22" ht="20.100000000000001" customHeight="1" x14ac:dyDescent="0.25">
      <c r="A66"/>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1:22" ht="20.100000000000001" customHeight="1" x14ac:dyDescent="0.25">
      <c r="A67"/>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1:22" ht="20.100000000000001" customHeight="1" x14ac:dyDescent="0.25">
      <c r="A68"/>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1:22" ht="20.100000000000001" customHeight="1" x14ac:dyDescent="0.25">
      <c r="A69"/>
      <c r="M69" s="8"/>
    </row>
    <row r="70" spans="1:22" ht="20.100000000000001" customHeight="1" x14ac:dyDescent="0.25">
      <c r="A70"/>
      <c r="M70" s="8"/>
    </row>
    <row r="71" spans="1:22" ht="20.100000000000001" customHeight="1" x14ac:dyDescent="0.25">
      <c r="A71"/>
      <c r="M71" s="8"/>
      <c r="V71" s="8"/>
    </row>
    <row r="72" spans="1:22" ht="20.100000000000001" customHeight="1" x14ac:dyDescent="0.25">
      <c r="A72"/>
      <c r="D72" s="9" t="str" cm="1">
        <f t="array" ref="D72">SourceData_Poultry.SourceData_Poultry_VSL_Title()</f>
        <v>Poultry - Fraction of volatile solids lost in the primary MMS</v>
      </c>
      <c r="M72" s="8"/>
      <c r="V72" s="8"/>
    </row>
    <row r="73" spans="1:22" ht="20.100000000000001" customHeight="1" x14ac:dyDescent="0.25">
      <c r="A73"/>
      <c r="D73" s="11" t="str" cm="1">
        <f t="array" ref="D73">SourceData_Poultry.SourceData_Poultry_VSL_Source()</f>
        <v>VEERG 2026: 4.6.2.3 CONSTANT</v>
      </c>
      <c r="M73" s="8"/>
      <c r="V73" s="8"/>
    </row>
    <row r="74" spans="1:22" ht="20.100000000000001" customHeight="1" x14ac:dyDescent="0.25">
      <c r="A74"/>
      <c r="D74" s="12" t="str" cm="1">
        <f t="array" ref="D74">SourceData_Poultry.SourceData_Poultry_VSL_Variation()</f>
        <v>VARIATION ON SOURCE: Table generated from line items. Added 'NIR definition column'.</v>
      </c>
      <c r="M74" s="8"/>
      <c r="V74" s="8"/>
    </row>
    <row r="75" spans="1:22" ht="20.100000000000001" customHeight="1" x14ac:dyDescent="0.25">
      <c r="A75"/>
      <c r="D75" s="10" t="s">
        <v>525</v>
      </c>
      <c r="E75" s="10" t="s">
        <v>556</v>
      </c>
      <c r="F75" s="10" t="s">
        <v>550</v>
      </c>
      <c r="M75" s="8"/>
      <c r="V75" s="8"/>
    </row>
    <row r="76" spans="1:22" ht="20.100000000000001" customHeight="1" x14ac:dyDescent="0.25">
      <c r="A76"/>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1:22" ht="20.100000000000001" customHeight="1" x14ac:dyDescent="0.25">
      <c r="A77"/>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1:22" ht="20.100000000000001" customHeight="1" x14ac:dyDescent="0.25">
      <c r="A78"/>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1:22" ht="20.100000000000001" customHeight="1" x14ac:dyDescent="0.25">
      <c r="A79"/>
      <c r="M79" s="8"/>
      <c r="V79" s="8"/>
    </row>
    <row r="80" spans="1:22" ht="20.100000000000001" customHeight="1" x14ac:dyDescent="0.25">
      <c r="A80"/>
      <c r="M80" s="8"/>
      <c r="V80" s="8"/>
    </row>
    <row r="81" spans="1:23" ht="20.100000000000001" customHeight="1" x14ac:dyDescent="0.25">
      <c r="A81"/>
      <c r="D81" s="9" t="str" cm="1">
        <f t="array" ref="D81">SourceData_Poultry.SourceData_Poultry_FracGASMmT_Title()</f>
        <v>Poultry - Fraction of N volatilised by MMS ((kg NH3-N + NOx-N)/kgN) (FracGASMmT)</v>
      </c>
      <c r="M81" s="8"/>
      <c r="V81" s="8"/>
    </row>
    <row r="82" spans="1:23" ht="20.100000000000001" customHeight="1" x14ac:dyDescent="0.25">
      <c r="A82"/>
      <c r="D82" s="11" t="str" cm="1">
        <f t="array" ref="D82">SourceData_Poultry.SourceData_Poultry_FracGASMmT_Source()</f>
        <v>VEERG 2026: Table A.1.7.2</v>
      </c>
      <c r="M82" s="8"/>
      <c r="V82" s="8"/>
    </row>
    <row r="83" spans="1:23" ht="20.100000000000001" customHeight="1" x14ac:dyDescent="0.25">
      <c r="A83"/>
      <c r="D83" s="12" t="str" cm="1">
        <f t="array" ref="D83">SourceData_Poultry.SourceData_Poultry_FracGASMmT_Variation()</f>
        <v>VARIATION ON SOURCE: Added 'NIR definition column'.</v>
      </c>
      <c r="M83" s="8"/>
    </row>
    <row r="84" spans="1:23" ht="20.100000000000001" customHeight="1" x14ac:dyDescent="0.25">
      <c r="A84"/>
      <c r="D84" s="10" t="s">
        <v>562</v>
      </c>
      <c r="E84" s="10" t="s">
        <v>563</v>
      </c>
      <c r="F84" s="10" t="s">
        <v>534</v>
      </c>
      <c r="M84" s="8"/>
    </row>
    <row r="85" spans="1:23" ht="20.100000000000001" customHeight="1" x14ac:dyDescent="0.25">
      <c r="A8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1:23" ht="20.100000000000001" customHeight="1" x14ac:dyDescent="0.25">
      <c r="A86"/>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1:23" ht="20.100000000000001" customHeight="1" x14ac:dyDescent="0.25">
      <c r="A87"/>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1:23" ht="20.100000000000001" customHeight="1" x14ac:dyDescent="0.25">
      <c r="A88"/>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1:23" ht="20.100000000000001" customHeight="1" x14ac:dyDescent="0.25">
      <c r="A89"/>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1:23" ht="20.100000000000001" customHeight="1" x14ac:dyDescent="0.25">
      <c r="A90"/>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1:23" ht="20.100000000000001" customHeight="1" x14ac:dyDescent="0.25">
      <c r="A91"/>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1:23" ht="20.100000000000001" customHeight="1" x14ac:dyDescent="0.25">
      <c r="A92"/>
      <c r="M92" s="8"/>
      <c r="V92" s="8"/>
    </row>
    <row r="93" spans="1:23" ht="20.100000000000001" customHeight="1" x14ac:dyDescent="0.25">
      <c r="A93"/>
      <c r="M93" s="8"/>
      <c r="V93" s="8"/>
    </row>
    <row r="94" spans="1:23" ht="20.100000000000001" customHeight="1" x14ac:dyDescent="0.25">
      <c r="A94"/>
      <c r="D94" s="9" t="str" cm="1">
        <f t="array" ref="D94">SourceData_Poultry.SourceData_Poultry_EFmT_Title()</f>
        <v>Poultry - Nitrous oxide EFs by MMS (kgN2O-N/kgN) (EFmT)</v>
      </c>
      <c r="M94" s="8"/>
    </row>
    <row r="95" spans="1:23" ht="20.100000000000001" customHeight="1" x14ac:dyDescent="0.25">
      <c r="A95"/>
      <c r="D95" s="11" t="str" cm="1">
        <f t="array" ref="D95">SourceData_Poultry.SourceData_Poultry_EFmT_Source()</f>
        <v>VEERG 2026: Table A.1.7.3</v>
      </c>
      <c r="M95" s="8"/>
    </row>
    <row r="96" spans="1:23" ht="20.100000000000001" customHeight="1" x14ac:dyDescent="0.25">
      <c r="A96"/>
      <c r="D96" s="12" t="str" cm="1">
        <f t="array" ref="D96">SourceData_Poultry.SourceData_Poultry_EFmT_Variation()</f>
        <v>VARIATION ON SOURCE: Added 'NIR definition column'. Duplicated 'Poultry manure without litter' row for NIR MMS 'Belt manure removal' and 'Manure stored in house'.</v>
      </c>
      <c r="M96" s="8"/>
    </row>
    <row r="97" spans="1:13" ht="20.100000000000001" customHeight="1" x14ac:dyDescent="0.25">
      <c r="A97"/>
      <c r="D97" s="10" t="s">
        <v>562</v>
      </c>
      <c r="E97" s="10" t="s">
        <v>564</v>
      </c>
      <c r="F97" s="10" t="s">
        <v>534</v>
      </c>
      <c r="M97" s="8"/>
    </row>
    <row r="98" spans="1:13" ht="20.100000000000001" customHeight="1" x14ac:dyDescent="0.25">
      <c r="A98"/>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1:13" ht="20.100000000000001" customHeight="1" x14ac:dyDescent="0.25">
      <c r="A99"/>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1:13" ht="20.100000000000001" customHeight="1" x14ac:dyDescent="0.25">
      <c r="A100"/>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1:13" ht="20.100000000000001" customHeight="1" x14ac:dyDescent="0.25">
      <c r="A101"/>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1:13" ht="20.100000000000001" customHeight="1" x14ac:dyDescent="0.25">
      <c r="A102"/>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1:13" ht="20.100000000000001" customHeight="1" x14ac:dyDescent="0.25">
      <c r="A103"/>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1:13" ht="20.100000000000001" customHeight="1" x14ac:dyDescent="0.25">
      <c r="A104"/>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1:13" ht="20.100000000000001" customHeight="1" x14ac:dyDescent="0.25">
      <c r="A10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SourceData_Poultry.SourceData_Poultry_FractionOfNitrogenLostThroughLeachingAndRunoff_Title()</f>
        <v>Fraction of N that is lost through leaching and runoff</v>
      </c>
      <c r="M108" s="8"/>
    </row>
    <row r="109" spans="1:13" ht="20.100000000000001" customHeight="1" x14ac:dyDescent="0.25">
      <c r="A109"/>
      <c r="D109" s="11" t="str" cm="1">
        <f t="array" ref="D109">SourceData_Poultry.SourceData_Poultry_FractionOfNitrogenLostThroughLeachingAndRunoff_Source()</f>
        <v>VEERG 2026: 4.6.2.3 CONSTANTS</v>
      </c>
      <c r="M109" s="8"/>
    </row>
    <row r="110" spans="1:13" ht="20.100000000000001" customHeight="1" x14ac:dyDescent="0.25">
      <c r="A110"/>
      <c r="D110" s="27"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1:13" ht="20.100000000000001" customHeight="1" x14ac:dyDescent="0.25">
      <c r="A111"/>
      <c r="M111" s="8"/>
    </row>
    <row r="112" spans="1:13" ht="20.100000000000001" customHeight="1" x14ac:dyDescent="0.25">
      <c r="A112"/>
      <c r="D112" s="9" t="str" cm="1">
        <f t="array" ref="D112">SourceData_Poultry.SourceData_Poultry_FracGAMSSoil_Title()</f>
        <v>Fraction of nitrogen volatilised from urine and faeces deposited on pasture</v>
      </c>
      <c r="M112" s="8"/>
    </row>
    <row r="113" spans="1:22" ht="20.100000000000001" customHeight="1" x14ac:dyDescent="0.25">
      <c r="A113"/>
      <c r="D113" s="11" t="str" cm="1">
        <f t="array" ref="D113">SourceData_Poultry.SourceData_Poultry_FracGAMSSoil_Source()</f>
        <v>VEERG 2026: 4.6.2.3 CONSTANTS</v>
      </c>
      <c r="M113" s="8"/>
    </row>
    <row r="114" spans="1:22" ht="20.100000000000001" customHeight="1" x14ac:dyDescent="0.25">
      <c r="A114"/>
      <c r="D114" s="12" t="str" cm="1">
        <f t="array" ref="D114">SourceData_Poultry.SourceData_Poultry_FracGAMSSoil_Variation()</f>
        <v>VARIATION ON SOURCE: This constant is not documented in the draft, used the same value of 0.21 as all other livestock.</v>
      </c>
      <c r="M114" s="8"/>
    </row>
    <row r="115" spans="1:22" ht="20.100000000000001" customHeight="1" x14ac:dyDescent="0.25">
      <c r="A115"/>
      <c r="D115" s="27"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1:22" ht="20.100000000000001" customHeight="1" x14ac:dyDescent="0.25">
      <c r="A116"/>
      <c r="M116" s="8"/>
      <c r="V116" s="8"/>
    </row>
    <row r="117" spans="1:22" ht="20.100000000000001" customHeight="1" x14ac:dyDescent="0.25">
      <c r="A117"/>
      <c r="D117" s="9" t="str" cm="1">
        <f t="array" ref="D117">SourceData_Poultry.SourceData_Poultry_Liveweights_Title()</f>
        <v>Poultry - Liveweights (Wco) (kg)</v>
      </c>
      <c r="M117" s="8"/>
      <c r="V117" s="8"/>
    </row>
    <row r="118" spans="1:22" ht="20.100000000000001" customHeight="1" x14ac:dyDescent="0.25">
      <c r="A118"/>
      <c r="D118" s="11" t="str" cm="1">
        <f t="array" ref="D118">SourceData_Poultry.SourceData_Poultry_Liveweights_Source()</f>
        <v>VEERG 2026: Table A.1.7.5</v>
      </c>
      <c r="M118" s="8"/>
    </row>
    <row r="119" spans="1:22" ht="20.100000000000001" customHeight="1" x14ac:dyDescent="0.25">
      <c r="A119"/>
      <c r="D119" s="10" t="s">
        <v>599</v>
      </c>
      <c r="E119" s="10" t="s">
        <v>566</v>
      </c>
      <c r="M119" s="8"/>
    </row>
    <row r="120" spans="1:22" ht="20.100000000000001" customHeight="1" x14ac:dyDescent="0.25">
      <c r="A120"/>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1:22" ht="20.100000000000001" customHeight="1" x14ac:dyDescent="0.25">
      <c r="A121"/>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1:22" ht="20.100000000000001" customHeight="1" x14ac:dyDescent="0.25">
      <c r="A122"/>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1:22" ht="20.100000000000001" customHeight="1" x14ac:dyDescent="0.25">
      <c r="A123"/>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1:22" ht="20.100000000000001" customHeight="1" x14ac:dyDescent="0.25">
      <c r="A124"/>
      <c r="M124" s="8"/>
    </row>
    <row r="125" spans="1:22" ht="20.100000000000001" customHeight="1" x14ac:dyDescent="0.25">
      <c r="A125"/>
      <c r="M125" s="8"/>
      <c r="V125" s="8"/>
    </row>
    <row r="126" spans="1:22" ht="20.100000000000001" customHeight="1" x14ac:dyDescent="0.25">
      <c r="A126"/>
      <c r="M126" s="8"/>
      <c r="V126" s="8"/>
    </row>
    <row r="127" spans="1:22" ht="20.100000000000001" customHeight="1" x14ac:dyDescent="0.25">
      <c r="A127"/>
      <c r="M127" s="8"/>
      <c r="V127" s="8"/>
    </row>
    <row r="128" spans="1:22" ht="20.100000000000001" customHeight="1" x14ac:dyDescent="0.25">
      <c r="A128"/>
      <c r="M128" s="8"/>
      <c r="V128" s="8"/>
    </row>
    <row r="129" spans="1:22" ht="20.100000000000001" customHeight="1" x14ac:dyDescent="0.25">
      <c r="A129"/>
      <c r="M129" s="8"/>
      <c r="V129" s="8"/>
    </row>
    <row r="130" spans="1:22" ht="20.100000000000001" customHeight="1" x14ac:dyDescent="0.25">
      <c r="A130"/>
      <c r="M130" s="8"/>
      <c r="V130" s="8"/>
    </row>
    <row r="131" spans="1:22" ht="20.100000000000001" customHeight="1" x14ac:dyDescent="0.25">
      <c r="A131"/>
      <c r="M131" s="8"/>
    </row>
    <row r="132" spans="1:22" ht="20.100000000000001" customHeight="1" x14ac:dyDescent="0.25">
      <c r="A132"/>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C222-496E-45C5-BEA4-AE3CDAFBCDBA}">
  <sheetPr>
    <tabColor theme="2" tint="-0.499984740745262"/>
  </sheetPr>
  <dimension ref="A1:W452"/>
  <sheetViews>
    <sheetView showGridLines="0" topLeftCell="A104" zoomScaleNormal="100" workbookViewId="0">
      <selection activeCell="D120" sqref="D120:F132"/>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546</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M5" s="8"/>
    </row>
    <row r="6" spans="1:21" ht="20.100000000000001" customHeight="1" x14ac:dyDescent="0.25">
      <c r="A6"/>
      <c r="D6" s="9" t="s">
        <v>547</v>
      </c>
      <c r="G6" s="9" t="s">
        <v>143</v>
      </c>
      <c r="M6" s="8"/>
    </row>
    <row r="7" spans="1:21" ht="20.100000000000001" customHeight="1" x14ac:dyDescent="0.25">
      <c r="A7" s="19" t="s">
        <v>67</v>
      </c>
      <c r="M7" s="8"/>
    </row>
    <row r="8" spans="1:21" ht="20.100000000000001" customHeight="1" x14ac:dyDescent="0.25">
      <c r="A8" s="16" t="str">
        <f>HYPERLINK("#'Input - Site'!A1", "Site")</f>
        <v>Site</v>
      </c>
      <c r="D8" s="10" t="s">
        <v>145</v>
      </c>
      <c r="G8" s="10" t="s">
        <v>43</v>
      </c>
      <c r="M8" s="8"/>
    </row>
    <row r="9" spans="1:21" ht="20.100000000000001" customHeight="1" x14ac:dyDescent="0.25">
      <c r="A9" s="16" t="str">
        <f>HYPERLINK("#'Input - Fuel'!A1", "Fuel")</f>
        <v>Fuel</v>
      </c>
      <c r="D9" s="10" t="s">
        <v>147</v>
      </c>
      <c r="G9" s="10" t="s">
        <v>148</v>
      </c>
      <c r="M9" s="8"/>
    </row>
    <row r="10" spans="1:21" ht="20.100000000000001" customHeight="1" x14ac:dyDescent="0.25">
      <c r="A10" s="16" t="str">
        <f>HYPERLINK("#'Input - Fertiliser'!A1", "Fertiliser")</f>
        <v>Fertiliser</v>
      </c>
      <c r="D10" s="8" t="s">
        <v>150</v>
      </c>
      <c r="G10" s="10" t="s">
        <v>152</v>
      </c>
      <c r="M10" s="8"/>
    </row>
    <row r="11" spans="1:21" ht="20.100000000000001" customHeight="1" x14ac:dyDescent="0.25">
      <c r="A11" s="16" t="str">
        <f>HYPERLINK("#'Input - Farm Inputs'!A1", "Farm Inputs")</f>
        <v>Farm Inputs</v>
      </c>
      <c r="G11" s="8" t="s">
        <v>155</v>
      </c>
      <c r="M11" s="8"/>
    </row>
    <row r="12" spans="1:21" ht="20.100000000000001" customHeight="1" x14ac:dyDescent="0.25">
      <c r="A12" s="16" t="str">
        <f>HYPERLINK("#'Input - Livestock purchases'!A1", "Livestock purchases")</f>
        <v>Livestock purchases</v>
      </c>
      <c r="G12" s="8" t="s">
        <v>158</v>
      </c>
      <c r="M12" s="8"/>
    </row>
    <row r="13" spans="1:21" ht="20.100000000000001" customHeight="1" x14ac:dyDescent="0.25">
      <c r="A13" s="16" t="str">
        <f>HYPERLINK("#'Input - Freight'!A1", "Freight")</f>
        <v>Freight</v>
      </c>
      <c r="G13" s="8" t="s">
        <v>160</v>
      </c>
      <c r="M13" s="8"/>
    </row>
    <row r="14" spans="1:21" ht="20.100000000000001" customHeight="1" x14ac:dyDescent="0.25">
      <c r="A14" s="16" t="str">
        <f>HYPERLINK("#'Input - Solid waste'!A1", "Solid waste")</f>
        <v>Solid waste</v>
      </c>
      <c r="D14" s="9" t="str" cm="1">
        <f t="array" ref="D14">SourceData_Swine.SourceData_Swine_FracLEACH_DrylotMMS_Title()</f>
        <v>Fraction of nitrogen lost through leaching and runoff for drylot MMS</v>
      </c>
      <c r="M14" s="8"/>
    </row>
    <row r="15" spans="1:21" ht="20.100000000000001" customHeight="1" x14ac:dyDescent="0.25">
      <c r="A15" s="16" t="str">
        <f>HYPERLINK("#'Input - Manure sent off-site'!A1", "Manure sent off-site")</f>
        <v>Manure sent off-site</v>
      </c>
      <c r="D15" s="11" t="str" cm="1">
        <f t="array" ref="D15">SourceData_Swine.SourceData_Swine_FracLEACH_DrylotMMS_Source()</f>
        <v>VEERG 2026: 4.5.2.3 CONSTANT</v>
      </c>
      <c r="M15" s="8"/>
    </row>
    <row r="16" spans="1:21" ht="20.100000000000001" customHeight="1" x14ac:dyDescent="0.25">
      <c r="A16" s="16" t="str">
        <f>HYPERLINK("#'Input - Electricity'!A1", "Electricity")</f>
        <v>Electricity</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c r="D17" s="27"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c r="M18" s="8"/>
    </row>
    <row r="19" spans="1:13" ht="20.100000000000001" customHeight="1" x14ac:dyDescent="0.25">
      <c r="A19" s="21" t="s">
        <v>77</v>
      </c>
      <c r="D19" s="9" t="str" cm="1">
        <f t="array" ref="D19">SourceData_Swine.SourceData_Swine_MethaneVolatileSolidsEmissionsPotential_Title()</f>
        <v>Emissions potential of methane per kilogram of volatile solids</v>
      </c>
      <c r="M19" s="8"/>
    </row>
    <row r="20" spans="1:13" ht="20.100000000000001" customHeight="1" x14ac:dyDescent="0.25">
      <c r="A20" s="16" t="str">
        <f>HYPERLINK("#'15 Scope 3'!A1", "15 Scope 3")</f>
        <v>15 Scope 3</v>
      </c>
      <c r="D20" s="11" t="str" cm="1">
        <f t="array" ref="D20">SourceData_Swine.SourceData_Swine_MethaneVolatileSolidsEmissionsPotential_Source()</f>
        <v>IPCC (2019), Chapter 10 [4]</v>
      </c>
      <c r="M20" s="8"/>
    </row>
    <row r="21" spans="1:13" ht="20.100000000000001" customHeight="1" x14ac:dyDescent="0.25">
      <c r="A21" s="16" t="str">
        <f>HYPERLINK("#'10.1.1-2 Solid waste treatment'!A1", "10.1.1-2 Solid waste treatment")</f>
        <v>10.1.1-2 Solid waste treatment</v>
      </c>
      <c r="D21" s="27"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A22" s="16" t="str">
        <f>HYPERLINK("#'Calcs - Manure sent off-site'!A1", "Calcs - Manure sent off-site")</f>
        <v>Calcs - Manure sent off-site</v>
      </c>
      <c r="M22" s="8"/>
    </row>
    <row r="23" spans="1:13" ht="20.100000000000001" customHeight="1" x14ac:dyDescent="0.25">
      <c r="A23" s="16" t="str">
        <f>HYPERLINK("#'8.1.1.1-2 Transport fuel'!A1", "8.1.1.1-2 Transport fuel")</f>
        <v>8.1.1.1-2 Transport fuel</v>
      </c>
      <c r="M23" s="8"/>
    </row>
    <row r="24" spans="1:13" ht="20.100000000000001" customHeight="1" x14ac:dyDescent="0.25">
      <c r="A24" s="16" t="str">
        <f>HYPERLINK("#'8.2.1.1-2 Stationary fuel'!A1", "8.2.1.1-2 Stationary fuel")</f>
        <v>8.2.1.1-2 Stationary fuel</v>
      </c>
      <c r="D24" s="9" t="str" cm="1">
        <f t="array" ref="D24">SourceData_Swine.SourceData_Swine_MMS_MCFs_Title()</f>
        <v>Methane conversion factor for temperature zone and manure management system.</v>
      </c>
      <c r="H24" s="157" t="s">
        <v>548</v>
      </c>
      <c r="M24" s="8"/>
    </row>
    <row r="25" spans="1:13" ht="20.100000000000001" customHeight="1" x14ac:dyDescent="0.25">
      <c r="A25"/>
      <c r="D25" s="11" t="str" cm="1">
        <f t="array" ref="D25">SourceData_Swine.SourceData_Swine_MMS_MCFs_Source()</f>
        <v>VEERG 2026: Table A.1.6.4: Swine - MCFs (MCFim)</v>
      </c>
      <c r="H25" s="157" t="s">
        <v>549</v>
      </c>
      <c r="M25" s="8"/>
    </row>
    <row r="26" spans="1:13" ht="20.100000000000001" customHeight="1" x14ac:dyDescent="0.25">
      <c r="A26"/>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A27" s="222" t="s">
        <v>78</v>
      </c>
      <c r="M27" s="8"/>
    </row>
    <row r="28" spans="1:13" ht="20.100000000000001" customHeight="1" x14ac:dyDescent="0.25">
      <c r="A28" s="16" t="str">
        <f>HYPERLINK("#'Constants - Scope 3'!A1", "Constants - Scope 3")</f>
        <v>Constants - Scope 3</v>
      </c>
      <c r="D28" s="10" t="s">
        <v>525</v>
      </c>
      <c r="E28" s="10" t="s">
        <v>337</v>
      </c>
      <c r="F28" s="10" t="s">
        <v>313</v>
      </c>
      <c r="G28" s="10" t="s">
        <v>338</v>
      </c>
      <c r="H28" s="10" t="s">
        <v>435</v>
      </c>
      <c r="I28" s="10" t="s">
        <v>394</v>
      </c>
      <c r="J28" s="10" t="s">
        <v>391</v>
      </c>
      <c r="K28" s="10" t="s">
        <v>343</v>
      </c>
      <c r="L28" s="10" t="s">
        <v>344</v>
      </c>
      <c r="M28" s="10" t="s">
        <v>550</v>
      </c>
    </row>
    <row r="29" spans="1:13" ht="20.100000000000001" customHeight="1" x14ac:dyDescent="0.25">
      <c r="A29" s="16" t="str">
        <f>HYPERLINK("#'Constants - Solid Waste'!A1", "Constants - Solid Waste")</f>
        <v>Constants - Solid Waste</v>
      </c>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A30" s="16" t="str">
        <f>HYPERLINK("#'Constants - Fuel'!A1", "Constants - Fuel")</f>
        <v>Constants - Fuel</v>
      </c>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A31" s="16" t="str">
        <f>HYPERLINK("#'Constants - Poultry'!A1", "Constants - Poultry")</f>
        <v>Constants - Poultry</v>
      </c>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A32" s="23" t="str">
        <f>HYPERLINK("#'Constants - Swine'!A1", "Constants - Swine")</f>
        <v>Constants - Swine</v>
      </c>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1:13" ht="20.100000000000001" customHeight="1" x14ac:dyDescent="0.25">
      <c r="A33" s="16" t="str">
        <f>HYPERLINK("#'Constants - Dairy'!A1", "Constants - Dairy")</f>
        <v>Constants - Dairy</v>
      </c>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1:13" ht="20.100000000000001" customHeight="1" x14ac:dyDescent="0.25">
      <c r="A34" s="16" t="str">
        <f>HYPERLINK("#'Constants - Pasture Beef'!A1", "Constants - Pasture Beef")</f>
        <v>Constants - Pasture Beef</v>
      </c>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1:13" ht="20.100000000000001" customHeight="1" x14ac:dyDescent="0.25">
      <c r="A35" s="16" t="str">
        <f>HYPERLINK("#'Constants - Common Livestock'!A1", "Constants - Common Livestock")</f>
        <v>Constants - Common Livestock</v>
      </c>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1:13" ht="20.100000000000001" customHeight="1" x14ac:dyDescent="0.25">
      <c r="A36" s="16" t="str">
        <f>HYPERLINK("#'Constants - Fertiliser'!A1", "Constants - Fertiliser")</f>
        <v>Constants - Fertiliser</v>
      </c>
      <c r="M36" s="8"/>
    </row>
    <row r="37" spans="1:13" ht="20.100000000000001" customHeight="1" x14ac:dyDescent="0.25">
      <c r="A37" s="16" t="str">
        <f>HYPERLINK("#'Constants - Electricity'!A1", "Constants - Electricity")</f>
        <v>Constants - Electricity</v>
      </c>
      <c r="M37" s="8"/>
    </row>
    <row r="38" spans="1:13" ht="20.100000000000001" customHeight="1" x14ac:dyDescent="0.25">
      <c r="A38" s="16" t="str">
        <f>HYPERLINK("#'Constants - Common'!A1", "Constants - Common")</f>
        <v>Constants - Common</v>
      </c>
      <c r="D38" s="9" t="s">
        <v>551</v>
      </c>
      <c r="G38" s="9" t="s">
        <v>552</v>
      </c>
      <c r="K38" s="9" t="s">
        <v>553</v>
      </c>
      <c r="M38" s="8"/>
    </row>
    <row r="39" spans="1:13" ht="20.100000000000001" customHeight="1" x14ac:dyDescent="0.25">
      <c r="A39"/>
      <c r="M39" s="8"/>
    </row>
    <row r="40" spans="1:13" ht="20.100000000000001" customHeight="1" x14ac:dyDescent="0.25">
      <c r="A40"/>
      <c r="D40" s="159" t="s">
        <v>525</v>
      </c>
      <c r="E40" s="10" t="s">
        <v>330</v>
      </c>
      <c r="G40" s="159" t="s">
        <v>525</v>
      </c>
      <c r="H40" s="10" t="s">
        <v>330</v>
      </c>
      <c r="K40" s="159" t="s">
        <v>525</v>
      </c>
      <c r="L40" s="10" t="s">
        <v>330</v>
      </c>
      <c r="M40" s="8"/>
    </row>
    <row r="41" spans="1:13" ht="20.100000000000001" customHeight="1" x14ac:dyDescent="0.25">
      <c r="A41"/>
      <c r="D41" s="10" t="str">
        <f>'Constants - Common Livestock'!$E$7</f>
        <v>Anaerobic lagoon</v>
      </c>
      <c r="E41" s="10" t="str">
        <f>'Constants - Common Livestock'!$F$7</f>
        <v>Anaerobic lagoon (m=1)</v>
      </c>
      <c r="G41" s="10" t="str">
        <f>'Constants - Common Livestock'!$E$7</f>
        <v>Anaerobic lagoon</v>
      </c>
      <c r="H41" s="10" t="str">
        <f>'Constants - Common Livestock'!$F$7</f>
        <v>Anaerobic lagoon (m=1)</v>
      </c>
      <c r="K41" s="10" t="str">
        <f>'Constants - Common Livestock'!$E$7</f>
        <v>Anaerobic lagoon</v>
      </c>
      <c r="L41" s="10" t="str">
        <f>'Constants - Common Livestock'!$F$7</f>
        <v>Anaerobic lagoon (m=1)</v>
      </c>
      <c r="M41" s="8"/>
    </row>
    <row r="42" spans="1:13" ht="20.100000000000001" customHeight="1" x14ac:dyDescent="0.25">
      <c r="A42"/>
      <c r="D42" s="10" t="str">
        <f>'Constants - Common Livestock'!$E$12</f>
        <v>Solid storage</v>
      </c>
      <c r="E42" s="10" t="str">
        <f>'Constants - Common Livestock'!$F$12</f>
        <v>Solid storage (m=4)</v>
      </c>
      <c r="G42" s="10" t="str">
        <f>'Constants - Common Livestock'!$E$13</f>
        <v>Drylot (feed pad)</v>
      </c>
      <c r="H42" s="10" t="str">
        <f>'Constants - Common Livestock'!$F$13</f>
        <v>Drylot (feed pad) (m=5)</v>
      </c>
      <c r="K42" s="10" t="str">
        <f>'Constants - Common Livestock'!$E$12</f>
        <v>Solid storage</v>
      </c>
      <c r="L42" s="10" t="str">
        <f>'Constants - Common Livestock'!$F$12</f>
        <v>Solid storage (m=4)</v>
      </c>
      <c r="M42" s="8"/>
    </row>
    <row r="43" spans="1:13" ht="20.100000000000001" customHeight="1" x14ac:dyDescent="0.25">
      <c r="A43"/>
      <c r="D43" s="10" t="str">
        <f>'Constants - Common Livestock'!$E$13</f>
        <v>Drylot (feed pad)</v>
      </c>
      <c r="E43" s="10" t="str">
        <f>'Constants - Common Livestock'!$F$13</f>
        <v>Drylot (feed pad) (m=5)</v>
      </c>
      <c r="G43" s="10" t="str">
        <f>'Constants - Common Livestock'!$E$15</f>
        <v>Digester / covered lagoons</v>
      </c>
      <c r="H43" s="10" t="str">
        <f>'Constants - Common Livestock'!$F$15</f>
        <v>Digester / covered lagoons (m=7)</v>
      </c>
      <c r="K43" s="10" t="str">
        <f>'Constants - Common Livestock'!$E$13</f>
        <v>Drylot (feed pad)</v>
      </c>
      <c r="L43" s="10" t="str">
        <f>'Constants - Common Livestock'!$F$13</f>
        <v>Drylot (feed pad) (m=5)</v>
      </c>
      <c r="M43" s="8"/>
    </row>
    <row r="44" spans="1:13" ht="20.100000000000001" customHeight="1" x14ac:dyDescent="0.25">
      <c r="A44"/>
      <c r="D44" s="10" t="str">
        <f>'Constants - Common Livestock'!$E$15</f>
        <v>Digester / covered lagoons</v>
      </c>
      <c r="E44" s="10" t="str">
        <f>'Constants - Common Livestock'!$F$15</f>
        <v>Digester / covered lagoons (m=7)</v>
      </c>
      <c r="G44" s="10" t="str">
        <f>'Constants - Common Livestock'!$E$16</f>
        <v>Deep litter</v>
      </c>
      <c r="H44" s="10" t="str">
        <f>'Constants - Common Livestock'!$F$16</f>
        <v>Deep litter (m=8)</v>
      </c>
      <c r="K44" s="10" t="str">
        <f>'Constants - Common Livestock'!$E$15</f>
        <v>Digester / covered lagoons</v>
      </c>
      <c r="L44" s="10" t="str">
        <f>'Constants - Common Livestock'!$F$15</f>
        <v>Digester / covered lagoons (m=7)</v>
      </c>
      <c r="M44" s="8"/>
    </row>
    <row r="45" spans="1:13" ht="20.100000000000001" customHeight="1" x14ac:dyDescent="0.25">
      <c r="A45"/>
      <c r="D45" s="10" t="str">
        <f>'Constants - Common Livestock'!$E$16</f>
        <v>Deep litter</v>
      </c>
      <c r="E45" s="10" t="str">
        <f>'Constants - Common Livestock'!$F$16</f>
        <v>Deep litter (m=8)</v>
      </c>
      <c r="G45" s="10" t="str">
        <f>'Constants - Common Livestock'!$E$17</f>
        <v>Pit storage</v>
      </c>
      <c r="H45" s="10" t="str">
        <f>'Constants - Common Livestock'!$F$17</f>
        <v>Pit storage (m=9)</v>
      </c>
      <c r="K45" s="10" t="str">
        <f>'Constants - Common Livestock'!$E$16</f>
        <v>Deep litter</v>
      </c>
      <c r="L45" s="10" t="str">
        <f>'Constants - Common Livestock'!$F$16</f>
        <v>Deep litter (m=8)</v>
      </c>
      <c r="M45" s="8"/>
    </row>
    <row r="46" spans="1:13" ht="20.100000000000001" customHeight="1" x14ac:dyDescent="0.25">
      <c r="A46"/>
      <c r="D46" s="10" t="str">
        <f>'Constants - Common Livestock'!$E$17</f>
        <v>Pit storage</v>
      </c>
      <c r="E46" s="10" t="str">
        <f>'Constants - Common Livestock'!$F$17</f>
        <v>Pit storage (m=9)</v>
      </c>
      <c r="K46" s="10" t="str">
        <f>'Constants - Common Livestock'!$E$17</f>
        <v>Pit storage</v>
      </c>
      <c r="L46" s="10" t="str">
        <f>'Constants - Common Livestock'!$F$17</f>
        <v>Pit storage (m=9)</v>
      </c>
      <c r="M46" s="8"/>
    </row>
    <row r="47" spans="1:13" ht="20.100000000000001" customHeight="1" x14ac:dyDescent="0.25">
      <c r="A47"/>
      <c r="D47" s="10" t="str">
        <f>'Constants - Common Livestock'!$E$23</f>
        <v>Direct application</v>
      </c>
      <c r="E47" s="10" t="str">
        <f>'Constants - Common Livestock'!$F$23</f>
        <v>Direct application (m=13)</v>
      </c>
      <c r="M47" s="8"/>
    </row>
    <row r="48" spans="1:13" ht="20.100000000000001" customHeight="1" x14ac:dyDescent="0.25">
      <c r="A48"/>
      <c r="M48" s="8"/>
    </row>
    <row r="49" spans="1:13" ht="20.100000000000001" customHeight="1" x14ac:dyDescent="0.25">
      <c r="A49"/>
      <c r="M49" s="8"/>
    </row>
    <row r="50" spans="1:13" ht="20.100000000000001" customHeight="1" x14ac:dyDescent="0.25">
      <c r="A50"/>
      <c r="M50" s="8"/>
    </row>
    <row r="51" spans="1:13" ht="20.100000000000001" customHeight="1" x14ac:dyDescent="0.25">
      <c r="A51"/>
      <c r="D51" s="9" t="s">
        <v>554</v>
      </c>
      <c r="G51" s="9" t="s">
        <v>555</v>
      </c>
      <c r="M51" s="8"/>
    </row>
    <row r="52" spans="1:13" ht="20.100000000000001" customHeight="1" x14ac:dyDescent="0.25">
      <c r="A52"/>
      <c r="M52" s="8"/>
    </row>
    <row r="53" spans="1:13" ht="20.100000000000001" customHeight="1" x14ac:dyDescent="0.25">
      <c r="A53"/>
      <c r="D53" s="159" t="s">
        <v>525</v>
      </c>
      <c r="E53" s="10" t="s">
        <v>556</v>
      </c>
      <c r="G53" s="10" t="s">
        <v>145</v>
      </c>
      <c r="M53" s="8"/>
    </row>
    <row r="54" spans="1:13" ht="20.100000000000001" customHeight="1" x14ac:dyDescent="0.25">
      <c r="A54"/>
      <c r="D54" s="10" t="str">
        <f>'Constants - Common Livestock'!$E$7</f>
        <v>Anaerobic lagoon</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A55"/>
      <c r="D55" s="10" t="str">
        <f>'Constants - Common Livestock'!$E$12</f>
        <v>Solid storage</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A56"/>
      <c r="D56" s="10" t="str">
        <f>'Constants - Common Livestock'!$E$13</f>
        <v>Drylot (feed pad)</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A57"/>
      <c r="D57" s="10" t="str">
        <f>'Constants - Common Livestock'!$E$15</f>
        <v>Digester / covered lagoons</v>
      </c>
      <c r="E57" s="10">
        <v>0.75</v>
      </c>
      <c r="M57" s="8"/>
    </row>
    <row r="58" spans="1:13" ht="20.100000000000001" customHeight="1" x14ac:dyDescent="0.25">
      <c r="A58"/>
      <c r="D58" s="10" t="str">
        <f>'Constants - Common Livestock'!$E$16</f>
        <v>Deep litter</v>
      </c>
      <c r="E58" s="10">
        <v>0.05</v>
      </c>
      <c r="M58" s="8"/>
    </row>
    <row r="59" spans="1:13" ht="20.100000000000001" customHeight="1" x14ac:dyDescent="0.25">
      <c r="A59"/>
      <c r="D59" s="10" t="str">
        <f>'Constants - Common Livestock'!$E$17</f>
        <v>Pit storage</v>
      </c>
      <c r="E59" s="10">
        <v>0</v>
      </c>
      <c r="M59" s="8"/>
    </row>
    <row r="60" spans="1:13" ht="20.100000000000001" customHeight="1" x14ac:dyDescent="0.25">
      <c r="A60"/>
      <c r="D60" s="10" t="str">
        <f>'Constants - Common Livestock'!$E$23</f>
        <v>Direct application</v>
      </c>
      <c r="E60" s="10">
        <v>0</v>
      </c>
      <c r="M60" s="8"/>
    </row>
    <row r="61" spans="1:13" ht="20.100000000000001" customHeight="1" x14ac:dyDescent="0.25">
      <c r="A61"/>
      <c r="M61" s="8"/>
    </row>
    <row r="62" spans="1:13" ht="20.100000000000001" customHeight="1" x14ac:dyDescent="0.25">
      <c r="A62"/>
      <c r="M62" s="8"/>
    </row>
    <row r="63" spans="1:13" ht="20.100000000000001" customHeight="1" x14ac:dyDescent="0.25">
      <c r="A63"/>
      <c r="D63" s="9" t="str" cm="1">
        <f t="array" ref="D63">SourceData_Swine.SourceData_Swine_VolatileSolids_Title()</f>
        <v>Swine - Volatile solids (VSj) - 2020 to 2024</v>
      </c>
      <c r="M63" s="8"/>
    </row>
    <row r="64" spans="1:13" ht="20.100000000000001" customHeight="1" x14ac:dyDescent="0.25">
      <c r="A64"/>
      <c r="D64" s="11" t="str" cm="1">
        <f t="array" ref="D64">SourceData_Swine.SourceData_Swine_VolatileSolids_Source()</f>
        <v>VEERG 2026: Table A.1.6.1: Swine - Intake and manure characteristics derived from PigBal</v>
      </c>
      <c r="M64" s="8"/>
    </row>
    <row r="65" spans="1:22" ht="20.100000000000001" customHeight="1" x14ac:dyDescent="0.25">
      <c r="A65"/>
      <c r="D65" s="12" t="str" cm="1">
        <f t="array" ref="D65">SourceData_Swine.SourceData_Swine_VolatileSolids_Variation()</f>
        <v>VARIATION ON SOURCE DATA: Only uses data for 2020-2024. Use 'Slaughter pigs' data for 'Other j=4' class.</v>
      </c>
      <c r="M65" s="8"/>
    </row>
    <row r="66" spans="1:22" ht="20.100000000000001" customHeight="1" x14ac:dyDescent="0.25">
      <c r="A66"/>
      <c r="M66" s="8"/>
    </row>
    <row r="67" spans="1:22" ht="20.100000000000001" customHeight="1" x14ac:dyDescent="0.25">
      <c r="A67"/>
      <c r="D67" s="10" t="s">
        <v>323</v>
      </c>
      <c r="E67" s="10" t="s">
        <v>557</v>
      </c>
      <c r="M67" s="8"/>
    </row>
    <row r="68" spans="1:22" ht="20.100000000000001" customHeight="1" x14ac:dyDescent="0.25">
      <c r="A68"/>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1:22" ht="20.100000000000001" customHeight="1" x14ac:dyDescent="0.25">
      <c r="A69"/>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1:22" ht="20.100000000000001" customHeight="1" x14ac:dyDescent="0.25">
      <c r="A70"/>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1:22" ht="20.100000000000001" customHeight="1" x14ac:dyDescent="0.25">
      <c r="A71"/>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1:22" ht="20.100000000000001" customHeight="1" x14ac:dyDescent="0.25">
      <c r="A72"/>
      <c r="M72" s="8"/>
      <c r="V72" s="8"/>
    </row>
    <row r="73" spans="1:22" ht="20.100000000000001" customHeight="1" x14ac:dyDescent="0.25">
      <c r="A73"/>
      <c r="M73" s="8"/>
      <c r="V73" s="8"/>
    </row>
    <row r="74" spans="1:22" ht="20.100000000000001" customHeight="1" x14ac:dyDescent="0.25">
      <c r="A74"/>
      <c r="D74" s="9" t="str" cm="1">
        <f t="array" ref="D74">SourceData_Swine.SourceData_Swine_FeedIntake_Title()</f>
        <v>Swine - Feed intake - ingested as fed  (Ij) - 2020 to 2024</v>
      </c>
      <c r="M74" s="8"/>
      <c r="V74" s="8"/>
    </row>
    <row r="75" spans="1:22" ht="20.100000000000001" customHeight="1" x14ac:dyDescent="0.25">
      <c r="A75"/>
      <c r="D75" s="11" t="str" cm="1">
        <f t="array" ref="D75">SourceData_Swine.SourceData_Swine_FeedIntake_Source()</f>
        <v>VEERG 2026: Table A.1.6.1: Swine - Intake and manure characteristics derived from PigBal</v>
      </c>
      <c r="M75" s="8"/>
      <c r="V75" s="8"/>
    </row>
    <row r="76" spans="1:22" ht="20.100000000000001" customHeight="1" x14ac:dyDescent="0.25">
      <c r="A76"/>
      <c r="D76" s="12" t="str" cm="1">
        <f t="array" ref="D76">SourceData_Swine.SourceData_Swine_FeedIntake_Variation()</f>
        <v>VARIATION ON SOURCE DATA: Only uses data for 2020-2024. Use 'Slaughter pigs' data for 'Other j=4' class.</v>
      </c>
      <c r="M76" s="8"/>
      <c r="V76" s="8"/>
    </row>
    <row r="77" spans="1:22" ht="20.100000000000001" customHeight="1" x14ac:dyDescent="0.25">
      <c r="A77"/>
      <c r="M77" s="8"/>
      <c r="V77" s="8"/>
    </row>
    <row r="78" spans="1:22" ht="20.100000000000001" customHeight="1" x14ac:dyDescent="0.25">
      <c r="A78"/>
      <c r="D78" s="10" t="s">
        <v>323</v>
      </c>
      <c r="E78" s="10" t="s">
        <v>558</v>
      </c>
      <c r="M78" s="8"/>
      <c r="V78" s="8"/>
    </row>
    <row r="79" spans="1:22" ht="20.100000000000001" customHeight="1" x14ac:dyDescent="0.25">
      <c r="A79"/>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1:22" ht="20.100000000000001" customHeight="1" x14ac:dyDescent="0.25">
      <c r="A80"/>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1:23" ht="20.100000000000001" customHeight="1" x14ac:dyDescent="0.25">
      <c r="A81"/>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1:23" ht="20.100000000000001" customHeight="1" x14ac:dyDescent="0.25">
      <c r="A82"/>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1:23" ht="20.100000000000001" customHeight="1" x14ac:dyDescent="0.25">
      <c r="A83"/>
      <c r="M83" s="8"/>
    </row>
    <row r="84" spans="1:23" ht="20.100000000000001" customHeight="1" x14ac:dyDescent="0.25">
      <c r="A84"/>
      <c r="M84" s="8"/>
    </row>
    <row r="85" spans="1:23" ht="20.100000000000001" customHeight="1" x14ac:dyDescent="0.25">
      <c r="A85"/>
      <c r="D85" s="9" t="str" cm="1">
        <f t="array" ref="D85">SourceData_Swine.SourceData_Swine_NitrogenInWaste_Title()</f>
        <v>Swine - Nitrogen in waste (NWj) - 2020 to 2024</v>
      </c>
      <c r="M85" s="8"/>
      <c r="V85" s="8"/>
    </row>
    <row r="86" spans="1:23" ht="20.100000000000001" customHeight="1" x14ac:dyDescent="0.25">
      <c r="A86"/>
      <c r="D86" s="11" t="str" cm="1">
        <f t="array" ref="D86">SourceData_Swine.SourceData_Swine_NitrogenInWaste_Source()</f>
        <v>VEERG 2026: Table A.1.6.1: Swine - Intake and manure characteristics derived from PigBal</v>
      </c>
      <c r="M86" s="8"/>
      <c r="V86" s="8"/>
    </row>
    <row r="87" spans="1:23" ht="20.100000000000001" customHeight="1" x14ac:dyDescent="0.25">
      <c r="A87"/>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1:23" ht="20.100000000000001" customHeight="1" x14ac:dyDescent="0.25">
      <c r="A88"/>
      <c r="M88" s="8"/>
      <c r="V88" s="8"/>
    </row>
    <row r="89" spans="1:23" ht="20.100000000000001" customHeight="1" x14ac:dyDescent="0.25">
      <c r="A89"/>
      <c r="D89" s="10" t="s">
        <v>323</v>
      </c>
      <c r="E89" s="10" t="s">
        <v>559</v>
      </c>
      <c r="F89" s="10" t="s">
        <v>560</v>
      </c>
      <c r="G89" s="10" t="s">
        <v>561</v>
      </c>
      <c r="M89" s="8"/>
      <c r="V89" s="8"/>
      <c r="W89" s="8"/>
    </row>
    <row r="90" spans="1:23" ht="20.100000000000001" customHeight="1" x14ac:dyDescent="0.25">
      <c r="A90"/>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1:23" ht="20.100000000000001" customHeight="1" x14ac:dyDescent="0.25">
      <c r="A91"/>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1:23" ht="20.100000000000001" customHeight="1" x14ac:dyDescent="0.25">
      <c r="A92"/>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1:23" ht="20.100000000000001" customHeight="1" x14ac:dyDescent="0.25">
      <c r="A93"/>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1:23" ht="20.100000000000001" customHeight="1" x14ac:dyDescent="0.25">
      <c r="A94"/>
      <c r="M94" s="8"/>
    </row>
    <row r="95" spans="1:23" ht="20.100000000000001" customHeight="1" x14ac:dyDescent="0.25">
      <c r="A95"/>
      <c r="M95" s="8"/>
    </row>
    <row r="96" spans="1:23" ht="20.100000000000001" customHeight="1" x14ac:dyDescent="0.25">
      <c r="A96"/>
      <c r="D96" s="9" t="str" cm="1">
        <f t="array" ref="D96">SourceData_Swine.SourceData_Swine_FractionNVolatilised_Title()</f>
        <v>Swine - Fraction of nitrogen volatilised (FracGASMmT)</v>
      </c>
      <c r="M96" s="8"/>
    </row>
    <row r="97" spans="1:13" ht="20.100000000000001" customHeight="1" x14ac:dyDescent="0.25">
      <c r="A97"/>
      <c r="D97" s="11" t="str" cm="1">
        <f t="array" ref="D97">SourceData_Swine.SourceData_Swine_FractionNVolatilised_Source()</f>
        <v>VEERG 2026: Table A.1.6.2: Swine - Fraction of N volatilised by MMS ((kg NH3-N + NOx-N)/kgN) (FracGASMmT)</v>
      </c>
      <c r="M97" s="8"/>
    </row>
    <row r="98" spans="1:13" ht="20.100000000000001" customHeight="1" x14ac:dyDescent="0.25">
      <c r="A98"/>
      <c r="D98" s="12" t="str" cm="1">
        <f t="array" ref="D98">SourceData_Swine.SourceData_Swine_FractionNVolatilised_Variation()</f>
        <v>VARIATION ON SOURCE DATA: Added 'NIR reference column to aid lookup.</v>
      </c>
      <c r="M98" s="8"/>
    </row>
    <row r="99" spans="1:13" ht="20.100000000000001" customHeight="1" x14ac:dyDescent="0.25">
      <c r="A99"/>
      <c r="D99" s="10" t="s">
        <v>562</v>
      </c>
      <c r="E99" s="10" t="s">
        <v>563</v>
      </c>
      <c r="F99" s="10" t="s">
        <v>534</v>
      </c>
      <c r="M99" s="8"/>
    </row>
    <row r="100" spans="1:13" ht="20.100000000000001" customHeight="1" x14ac:dyDescent="0.25">
      <c r="A100"/>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1:13" ht="20.100000000000001" customHeight="1" x14ac:dyDescent="0.25">
      <c r="A101"/>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1:13" ht="20.100000000000001" customHeight="1" x14ac:dyDescent="0.25">
      <c r="A102"/>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1:13" ht="20.100000000000001" customHeight="1" x14ac:dyDescent="0.25">
      <c r="A103"/>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1:13" ht="20.100000000000001" customHeight="1" x14ac:dyDescent="0.25">
      <c r="A104"/>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1:13" ht="20.100000000000001" customHeight="1" x14ac:dyDescent="0.25">
      <c r="A10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SourceData_Swine.SourceData_Swine_NitrousOxideEFs_Title()</f>
        <v>Swine - Nitrous oxide EFs by MMS (EFmT)</v>
      </c>
      <c r="M108" s="8"/>
    </row>
    <row r="109" spans="1:13" ht="20.100000000000001" customHeight="1" x14ac:dyDescent="0.25">
      <c r="A109"/>
      <c r="D109" s="11" t="str" cm="1">
        <f t="array" ref="D109">SourceData_Swine.SourceData_Swine_NitrousOxideEFs_Source()</f>
        <v>VEERG 2026: Table A.1.6.3: Swine - Nitrous oxide EFs by MMS (kgN2O-N/kgN) (EFmT)</v>
      </c>
      <c r="M109" s="8"/>
    </row>
    <row r="110" spans="1:13" ht="20.100000000000001" customHeight="1" x14ac:dyDescent="0.25">
      <c r="A110"/>
      <c r="D110" s="12" t="str" cm="1">
        <f t="array" ref="D110">SourceData_Swine.SourceData_Swine_NitrousOxideEFs_Variation()</f>
        <v>VARIATION ON SOURCE DATA: Added 'NIR reference column to aid lookup.</v>
      </c>
      <c r="M110" s="8"/>
    </row>
    <row r="111" spans="1:13" ht="20.100000000000001" customHeight="1" x14ac:dyDescent="0.25">
      <c r="A111"/>
      <c r="D111" s="10" t="s">
        <v>562</v>
      </c>
      <c r="E111" s="10" t="s">
        <v>564</v>
      </c>
      <c r="F111" s="10" t="s">
        <v>534</v>
      </c>
      <c r="M111" s="8"/>
    </row>
    <row r="112" spans="1:13" ht="20.100000000000001" customHeight="1" x14ac:dyDescent="0.25">
      <c r="A112"/>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A113"/>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A114"/>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A11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A116"/>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A118"/>
      <c r="M118" s="8"/>
    </row>
    <row r="119" spans="1:22" ht="20.100000000000001" customHeight="1" x14ac:dyDescent="0.25">
      <c r="A119"/>
      <c r="M119" s="8"/>
    </row>
    <row r="120" spans="1:22" ht="20.100000000000001" customHeight="1" x14ac:dyDescent="0.25">
      <c r="A120"/>
      <c r="D120" s="9" t="str" cm="1">
        <f t="array" ref="D120">SourceData_Swine.SourceData_Swine_MegajoulesPerKilogramMethane_Title()</f>
        <v>Megajoules per kilogram of methane</v>
      </c>
      <c r="M120" s="8"/>
    </row>
    <row r="121" spans="1:22" ht="20.100000000000001" customHeight="1" x14ac:dyDescent="0.25">
      <c r="A121"/>
      <c r="D121" s="11" t="str" cm="1">
        <f t="array" ref="D121">SourceData_Swine.SourceData_Swine_MegajoulesPerKilogramMethane_Source()</f>
        <v>VEERG 2026: 3.5.2.3 CONSTANT</v>
      </c>
      <c r="M121" s="8"/>
    </row>
    <row r="122" spans="1:22" ht="20.100000000000001" customHeight="1" x14ac:dyDescent="0.25">
      <c r="A122"/>
      <c r="D122" s="27"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100000000000001" customHeight="1" x14ac:dyDescent="0.25">
      <c r="A123"/>
      <c r="M123" s="8"/>
    </row>
    <row r="124" spans="1:22" ht="20.100000000000001" customHeight="1" x14ac:dyDescent="0.25">
      <c r="A124"/>
      <c r="M124" s="8"/>
    </row>
    <row r="125" spans="1:22" ht="20.100000000000001" customHeight="1" x14ac:dyDescent="0.25">
      <c r="A125"/>
      <c r="D125" s="9" t="str" cm="1">
        <f t="array" ref="D125">SourceData_Swine.SourceData_Swine_AverageLiveweight_Title()</f>
        <v>Swine - Average liveweight (inventory defaults) (kg) (Wco)</v>
      </c>
      <c r="M125" s="8"/>
      <c r="V125" s="8"/>
    </row>
    <row r="126" spans="1:22" ht="20.100000000000001" customHeight="1" x14ac:dyDescent="0.25">
      <c r="A126"/>
      <c r="D126" s="11" t="str" cm="1">
        <f t="array" ref="D126">SourceData_Swine.SourceData_Swine_AverageLiveweight_Source()</f>
        <v>VEERG 2026: Table A.1.6.5: Swine - Average liveweight (inventory defaults) (kg) (Wco)</v>
      </c>
      <c r="M126" s="8"/>
      <c r="V126" s="8"/>
    </row>
    <row r="127" spans="1:22" ht="20.100000000000001" customHeight="1" x14ac:dyDescent="0.25">
      <c r="A127"/>
      <c r="D127" s="10" t="s">
        <v>565</v>
      </c>
      <c r="E127" s="10" t="s">
        <v>566</v>
      </c>
      <c r="M127" s="8"/>
      <c r="V127" s="8"/>
    </row>
    <row r="128" spans="1:22" ht="20.100000000000001" customHeight="1" x14ac:dyDescent="0.25">
      <c r="A128"/>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1:22" ht="20.100000000000001" customHeight="1" x14ac:dyDescent="0.25">
      <c r="A129"/>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1:22" ht="20.100000000000001" customHeight="1" x14ac:dyDescent="0.25">
      <c r="A130"/>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1:22" ht="20.100000000000001" customHeight="1" x14ac:dyDescent="0.25">
      <c r="A131"/>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1:22" ht="20.100000000000001" customHeight="1" x14ac:dyDescent="0.25">
      <c r="A132"/>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B57-D4AF-4908-B45A-5D76CF4E3016}">
  <sheetPr>
    <tabColor theme="2" tint="-0.499984740745262"/>
  </sheetPr>
  <dimension ref="A1:V288"/>
  <sheetViews>
    <sheetView showGridLines="0" topLeftCell="A13"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522</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523</v>
      </c>
      <c r="G5" s="9" t="s">
        <v>524</v>
      </c>
      <c r="J5" s="9" t="s">
        <v>143</v>
      </c>
      <c r="M5" s="8"/>
    </row>
    <row r="6" spans="1:21" ht="20.100000000000001" customHeight="1" x14ac:dyDescent="0.25">
      <c r="A6"/>
      <c r="M6" s="8"/>
    </row>
    <row r="7" spans="1:21" ht="20.100000000000001" customHeight="1" x14ac:dyDescent="0.25">
      <c r="A7" s="19" t="s">
        <v>67</v>
      </c>
      <c r="D7" s="159" t="s">
        <v>525</v>
      </c>
      <c r="E7" s="10" t="s">
        <v>330</v>
      </c>
      <c r="G7" s="10" t="s">
        <v>145</v>
      </c>
      <c r="J7" s="10" t="s">
        <v>43</v>
      </c>
      <c r="M7" s="8"/>
    </row>
    <row r="8" spans="1:21" ht="20.100000000000001" customHeight="1" x14ac:dyDescent="0.25">
      <c r="A8" s="16" t="str">
        <f>HYPERLINK("#'Input - Site'!A1", "Site")</f>
        <v>Site</v>
      </c>
      <c r="D8" s="10" t="str">
        <f>'Constants - Common Livestock'!E7</f>
        <v>Anaerobic lagoon</v>
      </c>
      <c r="E8" s="10" t="str">
        <f>'Constants - Common Livestock'!F7</f>
        <v>Anaerobic lagoon (m=1)</v>
      </c>
      <c r="G8" s="10" t="str">
        <f>'Constants - Common'!$F$187</f>
        <v>Pasture</v>
      </c>
      <c r="J8" s="10" t="s">
        <v>148</v>
      </c>
      <c r="M8" s="8"/>
    </row>
    <row r="9" spans="1:21" ht="20.100000000000001" customHeight="1" x14ac:dyDescent="0.25">
      <c r="A9" s="16" t="str">
        <f>HYPERLINK("#'Input - Fuel'!A1", "Fuel")</f>
        <v>Fuel</v>
      </c>
      <c r="D9" s="10" t="str">
        <f>'Constants - Common Livestock'!E10</f>
        <v>Sump and dispersal system</v>
      </c>
      <c r="E9" s="10" t="str">
        <f>'Constants - Common Livestock'!F10</f>
        <v>Sump and dispersal system (m=3a)</v>
      </c>
      <c r="G9" s="8" t="str">
        <f>'Constants - Common'!$F$188</f>
        <v>Crop</v>
      </c>
      <c r="J9" s="10" t="s">
        <v>152</v>
      </c>
      <c r="M9" s="8"/>
    </row>
    <row r="10" spans="1:21" ht="20.100000000000001" customHeight="1" x14ac:dyDescent="0.25">
      <c r="A10" s="16" t="str">
        <f>HYPERLINK("#'Input - Fertiliser'!A1", "Fertiliser")</f>
        <v>Fertiliser</v>
      </c>
      <c r="D10" s="10" t="str">
        <f>'Constants - Common Livestock'!E11</f>
        <v>Drains to paddock</v>
      </c>
      <c r="E10" s="10" t="str">
        <f>'Constants - Common Livestock'!F11</f>
        <v>Drains to paddock (m=3b)</v>
      </c>
      <c r="J10" s="8" t="s">
        <v>155</v>
      </c>
      <c r="M10" s="8"/>
    </row>
    <row r="11" spans="1:21" ht="20.100000000000001" customHeight="1" x14ac:dyDescent="0.25">
      <c r="A11" s="16" t="str">
        <f>HYPERLINK("#'Input - Farm Inputs'!A1", "Farm Inputs")</f>
        <v>Farm Inputs</v>
      </c>
      <c r="D11" s="10" t="str">
        <f>'Constants - Common Livestock'!E12</f>
        <v>Solid storage</v>
      </c>
      <c r="E11" s="10" t="str">
        <f>'Constants - Common Livestock'!F12</f>
        <v>Solid storage (m=4)</v>
      </c>
      <c r="J11" s="8" t="s">
        <v>158</v>
      </c>
      <c r="M11" s="8"/>
    </row>
    <row r="12" spans="1:21" ht="20.100000000000001" customHeight="1" x14ac:dyDescent="0.25">
      <c r="A12" s="16" t="str">
        <f>HYPERLINK("#'Input - Livestock purchases'!A1", "Livestock purchases")</f>
        <v>Livestock purchases</v>
      </c>
      <c r="J12" s="8" t="s">
        <v>160</v>
      </c>
      <c r="M12" s="8"/>
    </row>
    <row r="13" spans="1:21" ht="20.100000000000001" customHeight="1" x14ac:dyDescent="0.25">
      <c r="A13" s="16" t="str">
        <f>HYPERLINK("#'Input - Freight'!A1", "Freight")</f>
        <v>Freight</v>
      </c>
      <c r="M13" s="8"/>
    </row>
    <row r="14" spans="1:21" ht="20.100000000000001" customHeight="1" x14ac:dyDescent="0.25">
      <c r="A14" s="16" t="str">
        <f>HYPERLINK("#'Input - Solid waste'!A1", "Solid waste")</f>
        <v>Solid waste</v>
      </c>
      <c r="M14" s="8"/>
    </row>
    <row r="15" spans="1:21" ht="20.100000000000001" customHeight="1" x14ac:dyDescent="0.25">
      <c r="A15" s="16" t="str">
        <f>HYPERLINK("#'Input - Manure sent off-site'!A1", "Manure sent off-site")</f>
        <v>Manure sent off-site</v>
      </c>
      <c r="M15" s="8"/>
    </row>
    <row r="16" spans="1:21" ht="20.100000000000001" customHeight="1" x14ac:dyDescent="0.25">
      <c r="A16" s="16" t="str">
        <f>HYPERLINK("#'Input - Electricity'!A1", "Electricity")</f>
        <v>Electricity</v>
      </c>
      <c r="D16" s="9" t="str" cm="1">
        <f t="array" ref="D16">SourceData_Dairy.SourceData_Dairy_LiveweightCowsAndHeifers_Title()</f>
        <v>Table A.1.3.1: Dairy cattle - Liveweight (kg) - Cows and Heifers (Wj)</v>
      </c>
      <c r="M16" s="8"/>
    </row>
    <row r="17" spans="1:13" ht="20.100000000000001" customHeight="1" x14ac:dyDescent="0.25">
      <c r="A17"/>
      <c r="D17" s="11" t="str" cm="1">
        <f t="array" ref="D17">SourceData_Dairy.SourceData_Dairy_LiveweightCowsAndHeifers_Source()</f>
        <v>VEERG 2026: Table A.1.3.1</v>
      </c>
      <c r="M17" s="8"/>
    </row>
    <row r="18" spans="1:13" ht="20.100000000000001" customHeight="1" x14ac:dyDescent="0.25">
      <c r="A18"/>
      <c r="D18" s="8" t="str" cm="1">
        <f t="array" ref="D18">SourceData_Dairy.SourceData_Dairy_LiveweightCowsAndHeifers_Variable()</f>
        <v>Wj</v>
      </c>
      <c r="M18" s="8"/>
    </row>
    <row r="19" spans="1:13" ht="20.100000000000001" customHeight="1" x14ac:dyDescent="0.25">
      <c r="A19" s="21" t="s">
        <v>77</v>
      </c>
      <c r="D19" s="13" t="str" cm="1">
        <f t="array" ref="D19">SourceData_Dairy.SourceData_Dairy_LiveweightCowsAndHeifers_Unit()</f>
        <v>kg</v>
      </c>
      <c r="M19" s="8"/>
    </row>
    <row r="20" spans="1:13" ht="20.100000000000001" customHeight="1" x14ac:dyDescent="0.25">
      <c r="A20" s="16" t="str">
        <f>HYPERLINK("#'15 Scope 3'!A1", "15 Scope 3")</f>
        <v>15 Scope 3</v>
      </c>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A21" s="16" t="str">
        <f>HYPERLINK("#'10.1.1-2 Solid waste treatment'!A1", "10.1.1-2 Solid waste treatment")</f>
        <v>10.1.1-2 Solid waste treatment</v>
      </c>
      <c r="D21" s="10" t="s">
        <v>504</v>
      </c>
      <c r="E21" s="10" t="s">
        <v>517</v>
      </c>
      <c r="F21" s="10" t="s">
        <v>526</v>
      </c>
      <c r="G21" s="10" t="s">
        <v>518</v>
      </c>
      <c r="M21" s="8"/>
    </row>
    <row r="22" spans="1:13" ht="20.100000000000001" customHeight="1" x14ac:dyDescent="0.25">
      <c r="A22" s="16" t="str">
        <f>HYPERLINK("#'Calcs - Manure sent off-site'!A1", "Calcs - Manure sent off-site")</f>
        <v>Calcs - Manure sent off-site</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A23" s="16" t="str">
        <f>HYPERLINK("#'8.1.1.1-2 Transport fuel'!A1", "8.1.1.1-2 Transport fuel")</f>
        <v>8.1.1.1-2 Transport fuel</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A24" s="16" t="str">
        <f>HYPERLINK("#'8.2.1.1-2 Stationary fuel'!A1", "8.2.1.1-2 Stationary fuel")</f>
        <v>8.2.1.1-2 Stationary fuel</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A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A26"/>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A27" s="222" t="s">
        <v>78</v>
      </c>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A28" s="16" t="str">
        <f>HYPERLINK("#'Constants - Scope 3'!A1", "Constants - Scope 3")</f>
        <v>Constants - Scope 3</v>
      </c>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A29" s="16" t="str">
        <f>HYPERLINK("#'Constants - Solid Waste'!A1", "Constants - Solid Waste")</f>
        <v>Constants - Solid Waste</v>
      </c>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A30" s="16" t="str">
        <f>HYPERLINK("#'Constants - Fuel'!A1", "Constants - Fuel")</f>
        <v>Constants - Fuel</v>
      </c>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A31" s="16" t="str">
        <f>HYPERLINK("#'Constants - Poultry'!A1", "Constants - Poultry")</f>
        <v>Constants - Poultry</v>
      </c>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A32" s="16" t="str">
        <f>HYPERLINK("#'Constants - Swine'!A1", "Constants - Swine")</f>
        <v>Constants - Swine</v>
      </c>
      <c r="M32" s="8"/>
    </row>
    <row r="33" spans="1:13" ht="20.100000000000001" customHeight="1" x14ac:dyDescent="0.25">
      <c r="A33" s="23" t="str">
        <f>HYPERLINK("#'Constants - Dairy'!A1", "Constants - Dairy")</f>
        <v>Constants - Dairy</v>
      </c>
      <c r="M33" s="8"/>
    </row>
    <row r="34" spans="1:13" ht="20.100000000000001" customHeight="1" x14ac:dyDescent="0.25">
      <c r="A34" s="16" t="str">
        <f>HYPERLINK("#'Constants - Pasture Beef'!A1", "Constants - Pasture Beef")</f>
        <v>Constants - Pasture Beef</v>
      </c>
      <c r="D34" s="9" t="str" cm="1">
        <f t="array" ref="D34">SourceData_Dairy.SourceData_Dairy_LiveweightBulls_Title()</f>
        <v>Table A.1.3.2: Dairy cattle - Liveweight (kg) - Bulls (Wj)</v>
      </c>
      <c r="M34" s="8"/>
    </row>
    <row r="35" spans="1:13" ht="20.100000000000001" customHeight="1" x14ac:dyDescent="0.25">
      <c r="A35" s="16" t="str">
        <f>HYPERLINK("#'Constants - Common Livestock'!A1", "Constants - Common Livestock")</f>
        <v>Constants - Common Livestock</v>
      </c>
      <c r="D35" s="11" t="str" cm="1">
        <f t="array" ref="D35">SourceData_Dairy.SourceData_Dairy_LiveweightBulls_Source()</f>
        <v>VEERG 2026: Table A.1.3.2</v>
      </c>
      <c r="M35" s="8"/>
    </row>
    <row r="36" spans="1:13" ht="20.100000000000001" customHeight="1" x14ac:dyDescent="0.25">
      <c r="A36" s="16" t="str">
        <f>HYPERLINK("#'Constants - Fertiliser'!A1", "Constants - Fertiliser")</f>
        <v>Constants - Fertiliser</v>
      </c>
      <c r="D36" s="8" t="str" cm="1">
        <f t="array" ref="D36">SourceData_Dairy.SourceData_Dairy_LiveweightBulls_Variable()</f>
        <v>Wj</v>
      </c>
      <c r="M36" s="8"/>
    </row>
    <row r="37" spans="1:13" ht="20.100000000000001" customHeight="1" x14ac:dyDescent="0.25">
      <c r="A37" s="16" t="str">
        <f>HYPERLINK("#'Constants - Electricity'!A1", "Constants - Electricity")</f>
        <v>Constants - Electricity</v>
      </c>
      <c r="D37" s="13" t="str" cm="1">
        <f t="array" ref="D37">SourceData_Dairy.SourceData_Dairy_LiveweightBulls_Unit()</f>
        <v>kg</v>
      </c>
      <c r="M37" s="8"/>
    </row>
    <row r="38" spans="1:13" ht="20.100000000000001" customHeight="1" x14ac:dyDescent="0.25">
      <c r="A38" s="16" t="str">
        <f>HYPERLINK("#'Constants - Common'!A1", "Constants - Common")</f>
        <v>Constants - Common</v>
      </c>
      <c r="D38" s="10" t="s">
        <v>504</v>
      </c>
      <c r="E38" s="10" t="s">
        <v>527</v>
      </c>
      <c r="F38" s="10" t="s">
        <v>528</v>
      </c>
      <c r="M38" s="8"/>
    </row>
    <row r="39" spans="1:13" ht="20.100000000000001" customHeight="1" x14ac:dyDescent="0.25">
      <c r="A39"/>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1:13" ht="20.100000000000001" customHeight="1" x14ac:dyDescent="0.25">
      <c r="A40"/>
      <c r="M40" s="8"/>
    </row>
    <row r="41" spans="1:13" ht="20.100000000000001" customHeight="1" x14ac:dyDescent="0.25">
      <c r="A41"/>
      <c r="M41" s="8"/>
    </row>
    <row r="42" spans="1:13" ht="20.100000000000001" customHeight="1" x14ac:dyDescent="0.25">
      <c r="A42"/>
      <c r="D42" s="9" t="str" cm="1">
        <f t="array" ref="D42">SourceData_Dairy.SourceData_Dairy_LiveweightGain_Title()</f>
        <v>Table A.1.3.3: Dairy cattle - Liveweight gain (kg) (LWGj)</v>
      </c>
      <c r="M42" s="8"/>
    </row>
    <row r="43" spans="1:13" ht="20.100000000000001" customHeight="1" x14ac:dyDescent="0.25">
      <c r="A43"/>
      <c r="D43" s="11" t="str" cm="1">
        <f t="array" ref="D43">SourceData_Dairy.SourceData_Dairy_LiveweightGain_Source()</f>
        <v>VEERG 2026: Table A.1.3.3</v>
      </c>
      <c r="M43" s="8"/>
    </row>
    <row r="44" spans="1:13" ht="20.100000000000001" customHeight="1" x14ac:dyDescent="0.25">
      <c r="A44"/>
      <c r="D44" s="8" t="str" cm="1">
        <f t="array" ref="D44">SourceData_Dairy.SourceData_Dairy_LiveweightGain_Variable()</f>
        <v>LWGj</v>
      </c>
      <c r="M44" s="8"/>
    </row>
    <row r="45" spans="1:13" ht="20.100000000000001" customHeight="1" x14ac:dyDescent="0.25">
      <c r="A45"/>
      <c r="D45" s="13" t="str" cm="1">
        <f t="array" ref="D45">SourceData_Dairy.SourceData_Dairy_LiveweightGain_Unit()</f>
        <v>kg</v>
      </c>
      <c r="M45" s="8"/>
    </row>
    <row r="46" spans="1:13" ht="20.100000000000001" customHeight="1" x14ac:dyDescent="0.25">
      <c r="A46"/>
      <c r="D46" s="10" t="s">
        <v>517</v>
      </c>
      <c r="E46" s="10" t="s">
        <v>526</v>
      </c>
      <c r="F46" s="10" t="s">
        <v>518</v>
      </c>
      <c r="G46" s="10" t="s">
        <v>527</v>
      </c>
      <c r="H46" s="10" t="s">
        <v>528</v>
      </c>
      <c r="M46" s="8"/>
    </row>
    <row r="47" spans="1:13" ht="20.100000000000001" customHeight="1" x14ac:dyDescent="0.25">
      <c r="A47"/>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1:13" ht="20.100000000000001" customHeight="1" x14ac:dyDescent="0.25">
      <c r="A48"/>
      <c r="M48" s="8"/>
    </row>
    <row r="49" spans="1:13" ht="20.100000000000001" customHeight="1" x14ac:dyDescent="0.25">
      <c r="A49"/>
      <c r="M49" s="8"/>
    </row>
    <row r="50" spans="1:13" ht="20.100000000000001" customHeight="1" x14ac:dyDescent="0.25">
      <c r="A50"/>
      <c r="D50" s="9" t="str" cm="1">
        <f t="array" ref="D50">SourceData_Dairy.SourceData_Dairy_ReferenceWeights_Title()</f>
        <v>Table A.1.3.4: Dairy cattle - Reference weights (kg) (WRj)</v>
      </c>
      <c r="M50" s="8"/>
    </row>
    <row r="51" spans="1:13" ht="20.100000000000001" customHeight="1" x14ac:dyDescent="0.25">
      <c r="A51"/>
      <c r="D51" s="11" t="str" cm="1">
        <f t="array" ref="D51">SourceData_Dairy.SourceData_Dairy_ReferenceWeights_Source()</f>
        <v>VEERG 2026: Table A.1.3.4</v>
      </c>
      <c r="M51" s="8"/>
    </row>
    <row r="52" spans="1:13" ht="20.100000000000001" customHeight="1" x14ac:dyDescent="0.25">
      <c r="A52"/>
      <c r="D52" s="8" t="str" cm="1">
        <f t="array" ref="D52">SourceData_Dairy.SourceData_Dairy_ReferenceWeights_Variable()</f>
        <v>WRj</v>
      </c>
      <c r="M52" s="8"/>
    </row>
    <row r="53" spans="1:13" ht="20.100000000000001" customHeight="1" x14ac:dyDescent="0.25">
      <c r="A53"/>
      <c r="D53" s="13" t="str" cm="1">
        <f t="array" ref="D53">SourceData_Dairy.SourceData_Dairy_ReferenceWeights_Unit()</f>
        <v>kg</v>
      </c>
      <c r="M53" s="8"/>
    </row>
    <row r="54" spans="1:13" ht="20.100000000000001" customHeight="1" x14ac:dyDescent="0.25">
      <c r="A54"/>
      <c r="D54" s="160" t="s">
        <v>517</v>
      </c>
      <c r="E54" s="160" t="s">
        <v>526</v>
      </c>
      <c r="F54" s="160" t="s">
        <v>518</v>
      </c>
      <c r="G54" s="160" t="s">
        <v>527</v>
      </c>
      <c r="H54" s="160" t="s">
        <v>528</v>
      </c>
      <c r="M54" s="8"/>
    </row>
    <row r="55" spans="1:13" ht="20.100000000000001" customHeight="1" x14ac:dyDescent="0.25">
      <c r="A55"/>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A56"/>
      <c r="M56" s="8"/>
    </row>
    <row r="57" spans="1:13" ht="20.100000000000001" customHeight="1" x14ac:dyDescent="0.25">
      <c r="A57"/>
      <c r="M57" s="8"/>
    </row>
    <row r="58" spans="1:13" ht="20.100000000000001" customHeight="1" x14ac:dyDescent="0.25">
      <c r="A58"/>
      <c r="D58" s="9" t="str" cm="1">
        <f t="array" ref="D58">SourceData_Dairy.SourceData_Dairy_PreWeanedCalves_Title()</f>
        <v>Table A.1.3.5: Dairy cattle - Data for pre - weaned calves</v>
      </c>
      <c r="M58" s="8"/>
    </row>
    <row r="59" spans="1:13" ht="20.100000000000001" customHeight="1" x14ac:dyDescent="0.25">
      <c r="A59"/>
      <c r="D59" s="11" t="str" cm="1">
        <f t="array" ref="D59">SourceData_Dairy.SourceData_Dairy_PreWeanedCalves_Source()</f>
        <v>VEERG 2026: Table A.1.3.5</v>
      </c>
      <c r="M59" s="8"/>
    </row>
    <row r="60" spans="1:13" ht="20.100000000000001" customHeight="1" x14ac:dyDescent="0.25">
      <c r="A60"/>
      <c r="D60" s="8" t="str" cm="1">
        <f t="array" ref="D60">SourceData_Dairy.SourceData_Dairy_PreWeanedCalves_Variable()</f>
        <v>VSj=3,5; NPWj=3,5</v>
      </c>
      <c r="M60" s="8"/>
    </row>
    <row r="61" spans="1:13" ht="20.100000000000001" customHeight="1" x14ac:dyDescent="0.25">
      <c r="A61"/>
      <c r="D61" s="13" t="str" cm="1">
        <f t="array" ref="D61">SourceData_Dairy.SourceData_Dairy_PreWeanedCalves_Unit()</f>
        <v>kg/day</v>
      </c>
      <c r="M61" s="8"/>
    </row>
    <row r="62" spans="1:13" ht="20.100000000000001" customHeight="1" x14ac:dyDescent="0.25">
      <c r="A62"/>
      <c r="D62" s="10" t="s">
        <v>529</v>
      </c>
      <c r="E62" s="10" t="s">
        <v>530</v>
      </c>
      <c r="F62" s="10" t="s">
        <v>531</v>
      </c>
      <c r="G62" s="10" t="s">
        <v>532</v>
      </c>
      <c r="M62" s="8"/>
    </row>
    <row r="63" spans="1:13" ht="20.100000000000001" customHeight="1" x14ac:dyDescent="0.25">
      <c r="A63"/>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A64"/>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A65"/>
      <c r="M65" s="8"/>
    </row>
    <row r="66" spans="1:22" ht="20.100000000000001" customHeight="1" x14ac:dyDescent="0.25">
      <c r="A66"/>
      <c r="M66" s="8"/>
    </row>
    <row r="67" spans="1:22" ht="20.100000000000001" customHeight="1" x14ac:dyDescent="0.25">
      <c r="A67"/>
      <c r="D67" s="9" t="str" cm="1">
        <f t="array" ref="D67">SourceData_Dairy.SourceData_Dairy_MCF_Title()</f>
        <v>Table A.1.3.6: Dairy cattle - Dairy cattle - MCFs (fraction) (MCFjm)</v>
      </c>
      <c r="M67" s="8"/>
    </row>
    <row r="68" spans="1:22" ht="20.100000000000001" customHeight="1" x14ac:dyDescent="0.25">
      <c r="A68"/>
      <c r="D68" s="11" t="str" cm="1">
        <f t="array" ref="D68">SourceData_Dairy.SourceData_Dairy_MCF_Source()</f>
        <v>VEERG 2026: Table A.1.3.6</v>
      </c>
      <c r="M68" s="8"/>
    </row>
    <row r="69" spans="1:22" ht="20.100000000000001" customHeight="1" x14ac:dyDescent="0.25">
      <c r="A69"/>
      <c r="D69" s="8" t="str" cm="1">
        <f t="array" ref="D69">SourceData_Dairy.SourceData_Dairy_MCF_Variable()</f>
        <v>MCFjm</v>
      </c>
      <c r="M69" s="8"/>
    </row>
    <row r="70" spans="1:22" ht="20.100000000000001" customHeight="1" x14ac:dyDescent="0.25">
      <c r="A70"/>
      <c r="D70" s="13" t="str" cm="1">
        <f t="array" ref="D70">SourceData_Dairy.SourceData_Dairy_MCF_Unit()</f>
        <v>fraction</v>
      </c>
      <c r="M70" s="8"/>
    </row>
    <row r="71" spans="1:22" ht="20.100000000000001" customHeight="1" x14ac:dyDescent="0.25">
      <c r="A71"/>
      <c r="D71" s="12" t="str" cm="1">
        <f t="array" ref="D71">SourceData_Dairy.SourceData_Dairy_MCF_Variation()</f>
        <v>VARIATION OF SOURCE: Added 'NIR reference' column to aid lookup</v>
      </c>
      <c r="M71" s="8"/>
      <c r="V71" s="8"/>
    </row>
    <row r="72" spans="1:22" ht="20.100000000000001" customHeight="1" x14ac:dyDescent="0.25">
      <c r="A72"/>
      <c r="D72" s="10" t="s">
        <v>533</v>
      </c>
      <c r="E72" s="10" t="s">
        <v>313</v>
      </c>
      <c r="F72" s="10" t="s">
        <v>337</v>
      </c>
      <c r="G72" s="10" t="s">
        <v>435</v>
      </c>
      <c r="H72" s="10" t="s">
        <v>338</v>
      </c>
      <c r="I72" s="10" t="s">
        <v>394</v>
      </c>
      <c r="J72" s="10" t="s">
        <v>391</v>
      </c>
      <c r="K72" s="10" t="s">
        <v>343</v>
      </c>
      <c r="L72" s="10" t="s">
        <v>344</v>
      </c>
      <c r="M72" s="10" t="s">
        <v>534</v>
      </c>
      <c r="V72" s="8"/>
    </row>
    <row r="73" spans="1:22" ht="20.100000000000001" customHeight="1" x14ac:dyDescent="0.25">
      <c r="A73"/>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A74"/>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A7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A76"/>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A77"/>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A78"/>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c r="M79" s="8"/>
    </row>
    <row r="80" spans="1:22" ht="20.100000000000001" customHeight="1" x14ac:dyDescent="0.25">
      <c r="A80"/>
      <c r="M80" s="8"/>
    </row>
    <row r="81" spans="1:22" ht="20.100000000000001" customHeight="1" x14ac:dyDescent="0.25">
      <c r="A81"/>
      <c r="D81" s="9" t="str" cm="1">
        <f t="array" ref="D81">SourceData_Dairy.SourceData_Dairy_NitrousOxideEFsAndFracGASM_Title()</f>
        <v>Table A.1.3.7: Dairy cattle - Nitrous oxide EFs and fraction of N volatilised by MMS</v>
      </c>
      <c r="M81" s="8"/>
    </row>
    <row r="82" spans="1:22" ht="20.100000000000001" customHeight="1" x14ac:dyDescent="0.25">
      <c r="A82"/>
      <c r="D82" s="11" t="str" cm="1">
        <f t="array" ref="D82">SourceData_Dairy.SourceData_Dairy_NitrousOxideEFsAndFracGASM_Source()</f>
        <v>VEERG 2026: Table A.1.3.7</v>
      </c>
      <c r="M82" s="8"/>
    </row>
    <row r="83" spans="1:22" ht="20.100000000000001" customHeight="1" x14ac:dyDescent="0.25">
      <c r="A83"/>
      <c r="D83" s="8" t="str" cm="1">
        <f t="array" ref="D83">SourceData_Dairy.SourceData_Dairy_NitrousOxideEFsAndFracGASM_Variable()</f>
        <v>EFm; FracGASMm</v>
      </c>
      <c r="M83" s="8"/>
    </row>
    <row r="84" spans="1:22" ht="20.100000000000001" customHeight="1" x14ac:dyDescent="0.25">
      <c r="A84"/>
      <c r="D84" s="13" t="str" cm="1">
        <f t="array" ref="D84">SourceData_Dairy.SourceData_Dairy_NitrousOxideEFsAndFracGASM_Unit()</f>
        <v>kg N2O-N/kg N excreted</v>
      </c>
      <c r="M84" s="8"/>
    </row>
    <row r="85" spans="1:22" ht="20.100000000000001" customHeight="1" x14ac:dyDescent="0.25">
      <c r="A85"/>
      <c r="D85" s="12" t="str" cm="1">
        <f t="array" ref="D85">SourceData_Dairy.SourceData_Dairy_NitrousOxideEFsAndFracGASM_Variation()</f>
        <v>VARIATION OF SOURCE: Added 'NIR reference' column to aid lookup</v>
      </c>
      <c r="M85" s="8"/>
      <c r="V85" s="8"/>
    </row>
    <row r="86" spans="1:22" ht="20.100000000000001" customHeight="1" x14ac:dyDescent="0.25">
      <c r="A86"/>
      <c r="D86" s="10" t="s">
        <v>533</v>
      </c>
      <c r="E86" s="10" t="s">
        <v>535</v>
      </c>
      <c r="F86" s="10" t="s">
        <v>536</v>
      </c>
      <c r="G86" s="10" t="s">
        <v>534</v>
      </c>
      <c r="M86" s="8"/>
      <c r="V86" s="8"/>
    </row>
    <row r="87" spans="1:22" ht="20.100000000000001" customHeight="1" x14ac:dyDescent="0.25">
      <c r="A87"/>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1:22" ht="20.100000000000001" customHeight="1" x14ac:dyDescent="0.25">
      <c r="A88"/>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1:22" ht="20.100000000000001" customHeight="1" x14ac:dyDescent="0.25">
      <c r="A89"/>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1:22" ht="20.100000000000001" customHeight="1" x14ac:dyDescent="0.25">
      <c r="A90"/>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1:22" ht="20.100000000000001" customHeight="1" x14ac:dyDescent="0.25">
      <c r="A91"/>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1:22" ht="20.100000000000001" customHeight="1" x14ac:dyDescent="0.25">
      <c r="A92"/>
      <c r="M92" s="8"/>
    </row>
    <row r="93" spans="1:22" ht="20.100000000000001" customHeight="1" x14ac:dyDescent="0.25">
      <c r="A93"/>
      <c r="M93" s="8"/>
    </row>
    <row r="94" spans="1:22" ht="20.100000000000001" customHeight="1" x14ac:dyDescent="0.25">
      <c r="A94"/>
      <c r="D94" s="9" t="str" cm="1">
        <f t="array" ref="D94">SourceData_Dairy.SourceData_Dairy_MethaneProductionPreWeanedCalves_Title()</f>
        <v>Table A.1.3.8: Dairy cattle - Methane production for pre-weaned heifer and bull calves (kg CH4/head/day) (MPWENTERIC,j=3,5)</v>
      </c>
      <c r="M94" s="8"/>
    </row>
    <row r="95" spans="1:22" ht="20.100000000000001" customHeight="1" x14ac:dyDescent="0.25">
      <c r="A95"/>
      <c r="D95" s="11" t="str" cm="1">
        <f t="array" ref="D95">SourceData_Dairy.SourceData_Dairy_MethaneProductionPreWeanedCalves_Source()</f>
        <v>VEERG 2026: Table A.1.3.8</v>
      </c>
      <c r="M95" s="8"/>
    </row>
    <row r="96" spans="1:22" ht="20.100000000000001" customHeight="1" x14ac:dyDescent="0.25">
      <c r="A96"/>
      <c r="D96" s="8" t="str" cm="1">
        <f t="array" ref="D96">SourceData_Dairy.SourceData_Dairy_MethaneProductionPreWeanedCalves_Variable()</f>
        <v>MPWENTERIC,j=3,5</v>
      </c>
      <c r="M96" s="8"/>
    </row>
    <row r="97" spans="1:13" ht="20.100000000000001" customHeight="1" x14ac:dyDescent="0.25">
      <c r="A97"/>
      <c r="D97" s="13" t="str" cm="1">
        <f t="array" ref="D97">SourceData_Dairy.SourceData_Dairy_MethaneProductionPreWeanedCalves_Unit()</f>
        <v>kg CH4/head/day</v>
      </c>
      <c r="M97" s="8"/>
    </row>
    <row r="98" spans="1:13" ht="20.100000000000001" customHeight="1" x14ac:dyDescent="0.25">
      <c r="A98"/>
      <c r="D98" s="10" t="s">
        <v>529</v>
      </c>
      <c r="E98" s="10" t="s">
        <v>537</v>
      </c>
      <c r="M98" s="8"/>
    </row>
    <row r="99" spans="1:13" ht="20.100000000000001" customHeight="1" x14ac:dyDescent="0.25">
      <c r="A99"/>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A100"/>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A101"/>
      <c r="M101" s="8"/>
    </row>
    <row r="102" spans="1:13" ht="20.100000000000001" customHeight="1" x14ac:dyDescent="0.25">
      <c r="A102"/>
      <c r="M102" s="8"/>
    </row>
    <row r="103" spans="1:13" ht="20.100000000000001" customHeight="1" x14ac:dyDescent="0.25">
      <c r="A103"/>
      <c r="D103" s="9" t="str" cm="1">
        <f t="array" ref="D103">SourceData_Dairy.SourceData_Dairy_IncreasedMetabolicRateMilk_Title()</f>
        <v>Table A.1.3.9: Dairy cattle - Increased metabolic rate when producing milk (MRj)</v>
      </c>
      <c r="M103" s="8"/>
    </row>
    <row r="104" spans="1:13" ht="20.100000000000001" customHeight="1" x14ac:dyDescent="0.25">
      <c r="A104"/>
      <c r="D104" s="11" t="str" cm="1">
        <f t="array" ref="D104">SourceData_Dairy.SourceData_Dairy_IncreasedMetabolicRateMilk_Source()</f>
        <v>VEERG 2026: Table A.1.3.9</v>
      </c>
      <c r="M104" s="8"/>
    </row>
    <row r="105" spans="1:13" ht="20.100000000000001" customHeight="1" x14ac:dyDescent="0.25">
      <c r="A105"/>
      <c r="D105" s="8" t="str" cm="1">
        <f t="array" ref="D105">SourceData_Dairy.SourceData_Dairy_IncreasedMetabolicRateMilk_Variable()</f>
        <v>MRj</v>
      </c>
      <c r="M105" s="8"/>
    </row>
    <row r="106" spans="1:13" ht="20.100000000000001" customHeight="1" x14ac:dyDescent="0.25">
      <c r="A106"/>
      <c r="D106" s="13" t="str" cm="1">
        <f t="array" ref="D106">SourceData_Dairy.SourceData_Dairy_IncreasedMetabolicRateMilk_Unit()</f>
        <v/>
      </c>
      <c r="M106" s="8"/>
    </row>
    <row r="107" spans="1:13" ht="20.100000000000001" customHeight="1" x14ac:dyDescent="0.25">
      <c r="A107"/>
      <c r="D107" s="10" t="s">
        <v>529</v>
      </c>
      <c r="E107" s="10" t="s">
        <v>538</v>
      </c>
      <c r="M107" s="8"/>
    </row>
    <row r="108" spans="1:13" ht="20.100000000000001" customHeight="1" x14ac:dyDescent="0.25">
      <c r="A108"/>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A109"/>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A110"/>
      <c r="M110" s="8"/>
    </row>
    <row r="111" spans="1:13" ht="20.100000000000001" customHeight="1" x14ac:dyDescent="0.25">
      <c r="A111"/>
      <c r="M111" s="8"/>
    </row>
    <row r="112" spans="1:13" ht="20.100000000000001" customHeight="1" x14ac:dyDescent="0.25">
      <c r="A112"/>
      <c r="D112" s="9" t="str" cm="1">
        <f t="array" ref="D112">SourceData_Dairy.SourceData_Dairy_FractionVolatileSolidsVoidedMMS_Title()</f>
        <v>Table A.1.3.10: Dairy cattle - Fraction of volatile solids voided to each manure management system (fraction) (MMSjm)</v>
      </c>
      <c r="M112" s="8"/>
    </row>
    <row r="113" spans="1:22" ht="20.100000000000001" customHeight="1" x14ac:dyDescent="0.25">
      <c r="A113"/>
      <c r="D113" s="11" t="str" cm="1">
        <f t="array" ref="D113">SourceData_Dairy.SourceData_Dairy_FractionVolatileSolidsVoidedMMS_Source()</f>
        <v>VEERG 2026: Table A.1.3.10</v>
      </c>
      <c r="M113" s="8"/>
    </row>
    <row r="114" spans="1:22" ht="20.100000000000001" customHeight="1" x14ac:dyDescent="0.25">
      <c r="A114"/>
      <c r="D114" s="8" t="str" cm="1">
        <f t="array" ref="D114">SourceData_Dairy.SourceData_Dairy_FractionVolatileSolidsVoidedMMS_Variable()</f>
        <v>MMSjm</v>
      </c>
      <c r="M114" s="8"/>
    </row>
    <row r="115" spans="1:22" ht="20.100000000000001" customHeight="1" x14ac:dyDescent="0.25">
      <c r="A115"/>
      <c r="D115" s="13" t="str" cm="1">
        <f t="array" ref="D115">SourceData_Dairy.SourceData_Dairy_FractionVolatileSolidsVoidedMMS_Unit()</f>
        <v>fraction</v>
      </c>
      <c r="M115" s="8"/>
      <c r="V115" s="8"/>
    </row>
    <row r="116" spans="1:22" ht="20.100000000000001" customHeight="1" x14ac:dyDescent="0.25">
      <c r="A116"/>
      <c r="D116" s="10" t="s">
        <v>539</v>
      </c>
      <c r="E116" s="10" t="s">
        <v>147</v>
      </c>
      <c r="F116" s="10" t="s">
        <v>540</v>
      </c>
      <c r="G116" s="10" t="s">
        <v>541</v>
      </c>
      <c r="M116" s="8"/>
      <c r="V116" s="8"/>
    </row>
    <row r="117" spans="1:22" ht="20.100000000000001" customHeight="1" x14ac:dyDescent="0.25">
      <c r="A117"/>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1:22" ht="20.100000000000001" customHeight="1" x14ac:dyDescent="0.25">
      <c r="A118"/>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1:22" ht="20.100000000000001" customHeight="1" x14ac:dyDescent="0.25">
      <c r="A119"/>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1:22" ht="20.100000000000001" customHeight="1" x14ac:dyDescent="0.25">
      <c r="A120"/>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1:22" ht="20.100000000000001" customHeight="1" x14ac:dyDescent="0.25">
      <c r="A121"/>
      <c r="M121" s="8"/>
    </row>
    <row r="122" spans="1:22" ht="20.100000000000001" customHeight="1" x14ac:dyDescent="0.25">
      <c r="A122"/>
      <c r="M122" s="8"/>
    </row>
    <row r="123" spans="1:22" ht="20.100000000000001" customHeight="1" x14ac:dyDescent="0.25">
      <c r="A123"/>
      <c r="D123" s="9" t="str" cm="1">
        <f t="array" ref="D123">SourceData_Dairy.SourceData_Dairy_EFNitrousOxidePerMMS_Title()</f>
        <v>Table A.1.3.11: Dairy cattle - EF for nitrous oxide per MMS (kg N2O-N/kg N) (EFm)</v>
      </c>
      <c r="M123" s="8"/>
    </row>
    <row r="124" spans="1:22" ht="20.100000000000001" customHeight="1" x14ac:dyDescent="0.25">
      <c r="A124"/>
      <c r="D124" s="11" t="str" cm="1">
        <f t="array" ref="D124">SourceData_Dairy.SourceData_Dairy_EFNitrousOxidePerMMS_Source()</f>
        <v>VEERG 2026: Table A.1.3.11</v>
      </c>
      <c r="M124" s="8"/>
    </row>
    <row r="125" spans="1:22" ht="20.100000000000001" customHeight="1" x14ac:dyDescent="0.25">
      <c r="A125"/>
      <c r="D125" s="8" t="str" cm="1">
        <f t="array" ref="D125">SourceData_Dairy.SourceData_Dairy_EFNitrousOxidePerMMS_Variable()</f>
        <v>EFm</v>
      </c>
      <c r="M125" s="8"/>
      <c r="V125" s="8"/>
    </row>
    <row r="126" spans="1:22" ht="20.100000000000001" customHeight="1" x14ac:dyDescent="0.25">
      <c r="A126"/>
      <c r="D126" s="13" t="str" cm="1">
        <f t="array" ref="D126">SourceData_Dairy.SourceData_Dairy_EFNitrousOxidePerMMS_Unit()</f>
        <v>kg N2O-N/kg N</v>
      </c>
      <c r="M126" s="8"/>
      <c r="V126" s="8"/>
    </row>
    <row r="127" spans="1:22" ht="20.100000000000001" customHeight="1" x14ac:dyDescent="0.25">
      <c r="A127"/>
      <c r="D127" s="12" t="str" cm="1">
        <f t="array" ref="D127">SourceData_Dairy.SourceData_Dairy_EFNitrousOxidePerMMS_Variation()</f>
        <v>VARIATION OF SOURCE: Added 'NIR reference' column to aid lookup</v>
      </c>
      <c r="M127" s="8"/>
      <c r="V127" s="8"/>
    </row>
    <row r="128" spans="1:22" ht="20.100000000000001" customHeight="1" x14ac:dyDescent="0.25">
      <c r="A128"/>
      <c r="D128" s="10" t="s">
        <v>533</v>
      </c>
      <c r="E128" s="10" t="s">
        <v>535</v>
      </c>
      <c r="F128" s="10" t="s">
        <v>534</v>
      </c>
      <c r="G128" s="157" t="s">
        <v>542</v>
      </c>
      <c r="M128" s="8"/>
      <c r="N128" s="14"/>
      <c r="V128" s="8"/>
    </row>
    <row r="129" spans="1:22" ht="20.100000000000001" customHeight="1" x14ac:dyDescent="0.25">
      <c r="A129"/>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A130"/>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A131"/>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A132"/>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A133"/>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A134"/>
      <c r="M134" s="14"/>
    </row>
    <row r="135" spans="1:22" ht="20.100000000000001" customHeight="1" x14ac:dyDescent="0.25">
      <c r="A135"/>
      <c r="M135" s="14"/>
    </row>
    <row r="136" spans="1:22" ht="20.100000000000001" customHeight="1" x14ac:dyDescent="0.25">
      <c r="A136"/>
      <c r="D136" s="9" t="str" cm="1">
        <f t="array" ref="D136">SourceData_Dairy.SourceData_Dairy_DurationOfStay_Title()</f>
        <v>Duration of stay for each dairy cattle input class</v>
      </c>
      <c r="M136" s="14"/>
    </row>
    <row r="137" spans="1:22" ht="20.100000000000001" customHeight="1" x14ac:dyDescent="0.25">
      <c r="A137"/>
      <c r="D137" s="11" t="str" cm="1">
        <f t="array" ref="D137">SourceData_Dairy.SourceData_Dairy_DurationOfStay_Source()</f>
        <v>VEERG 2026: 4.3.2.2	DATA (METHOD 1 AND 2 OPTIONS)</v>
      </c>
      <c r="M137" s="14"/>
    </row>
    <row r="138" spans="1:22" ht="20.100000000000001" customHeight="1" x14ac:dyDescent="0.25">
      <c r="A138"/>
      <c r="D138" s="8" t="str" cm="1">
        <f t="array" ref="D138">SourceData_Dairy.SourceData_Dairy_DurationOfStay_Variable()</f>
        <v>D</v>
      </c>
      <c r="M138" s="14"/>
    </row>
    <row r="139" spans="1:22" ht="20.100000000000001" customHeight="1" x14ac:dyDescent="0.25">
      <c r="A139"/>
      <c r="D139" s="13" t="str" cm="1">
        <f t="array" ref="D139">SourceData_Dairy.SourceData_Dairy_DurationOfStay_Unit()</f>
        <v>days</v>
      </c>
      <c r="M139" s="14"/>
    </row>
    <row r="140" spans="1:22" ht="20.100000000000001" customHeight="1" x14ac:dyDescent="0.25">
      <c r="A140"/>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A141"/>
      <c r="D141" s="10" t="s">
        <v>529</v>
      </c>
      <c r="E141" s="10" t="s">
        <v>543</v>
      </c>
      <c r="F141" s="10" t="s">
        <v>544</v>
      </c>
      <c r="M141" s="14"/>
    </row>
    <row r="142" spans="1:22" ht="20.100000000000001" customHeight="1" x14ac:dyDescent="0.25">
      <c r="A142"/>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A143"/>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A144"/>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1:13" ht="20.100000000000001" customHeight="1" x14ac:dyDescent="0.25">
      <c r="A14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1:13" ht="20.100000000000001" customHeight="1" x14ac:dyDescent="0.25">
      <c r="A146"/>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1:13" ht="20.100000000000001" customHeight="1" x14ac:dyDescent="0.25">
      <c r="A147"/>
      <c r="M147" s="14"/>
    </row>
    <row r="148" spans="1:13" ht="20.100000000000001" customHeight="1" x14ac:dyDescent="0.25">
      <c r="A148"/>
      <c r="M148" s="14"/>
    </row>
    <row r="149" spans="1:13" ht="20.100000000000001" customHeight="1" x14ac:dyDescent="0.25">
      <c r="A149"/>
      <c r="D149" s="9" t="str" cm="1">
        <f t="array" ref="D149">SourceData_Dairy.SourceData_Dairy_CrudeProtein_Title()</f>
        <v>Crude protein content of feed intake</v>
      </c>
      <c r="M149" s="14"/>
    </row>
    <row r="150" spans="1:13" ht="20.100000000000001" customHeight="1" x14ac:dyDescent="0.25">
      <c r="A150"/>
      <c r="D150" s="11" t="str" cm="1">
        <f t="array" ref="D150">SourceData_Dairy.SourceData_Dairy_CrudeProtein_Source()</f>
        <v>VEERG 2026: 4.3.2.2	DATA (METHOD 1 AND 2 OPTIONS)</v>
      </c>
      <c r="M150" s="14"/>
    </row>
    <row r="151" spans="1:13" ht="20.100000000000001" customHeight="1" x14ac:dyDescent="0.25">
      <c r="A151"/>
      <c r="D151" s="8" t="str" cm="1">
        <f t="array" ref="D151">SourceData_Dairy.SourceData_Dairy_CrudeProtein_Variable()</f>
        <v>CP</v>
      </c>
      <c r="M151" s="14"/>
    </row>
    <row r="152" spans="1:13" ht="20.100000000000001" customHeight="1" x14ac:dyDescent="0.25">
      <c r="A152"/>
      <c r="D152" s="13" t="str" cm="1">
        <f t="array" ref="D152">SourceData_Dairy.SourceData_Dairy_CrudeProtein_Unit()</f>
        <v>fraction</v>
      </c>
      <c r="M152" s="14"/>
    </row>
    <row r="153" spans="1:13" ht="20.100000000000001" customHeight="1" x14ac:dyDescent="0.25">
      <c r="A153"/>
      <c r="D153" s="27" cm="1">
        <f t="array" ref="D153">SourceData_Dairy.SourceData_Dairy_CrudeProtein_Data()</f>
        <v>0.2</v>
      </c>
      <c r="M153" s="14"/>
    </row>
    <row r="154" spans="1:13" ht="20.100000000000001" customHeight="1" x14ac:dyDescent="0.25">
      <c r="A154"/>
      <c r="M154" s="14"/>
    </row>
    <row r="155" spans="1:13" ht="20.100000000000001" customHeight="1" x14ac:dyDescent="0.25">
      <c r="A155"/>
      <c r="M155" s="14"/>
    </row>
    <row r="156" spans="1:13" ht="20.100000000000001" customHeight="1" x14ac:dyDescent="0.25">
      <c r="A156"/>
      <c r="D156" s="9" t="str" cm="1">
        <f t="array" ref="D156">SourceData_Dairy.SourceData_Dairy_DryMatterDigestibility_Title()</f>
        <v>Dry matter digestibility</v>
      </c>
      <c r="M156" s="14"/>
    </row>
    <row r="157" spans="1:13" ht="20.100000000000001" customHeight="1" x14ac:dyDescent="0.25">
      <c r="A157"/>
      <c r="D157" s="11" t="str" cm="1">
        <f t="array" ref="D157">SourceData_Dairy.SourceData_Dairy_DryMatterDigestibility_Source()</f>
        <v>VEERG 2026: 3.3.2.2	DATA (METHOD 1 AND 2 OPTIONS)</v>
      </c>
      <c r="M157" s="14"/>
    </row>
    <row r="158" spans="1:13" ht="20.100000000000001" customHeight="1" x14ac:dyDescent="0.25">
      <c r="A158"/>
      <c r="D158" s="8" t="str" cm="1">
        <f t="array" ref="D158">SourceData_Dairy.SourceData_Dairy_DryMatterDigestibility_Variable()</f>
        <v>DMD</v>
      </c>
      <c r="M158" s="14"/>
    </row>
    <row r="159" spans="1:13" ht="20.100000000000001" customHeight="1" x14ac:dyDescent="0.25">
      <c r="A159"/>
      <c r="D159" s="13" t="str" cm="1">
        <f t="array" ref="D159">SourceData_Dairy.SourceData_Dairy_DryMatterDigestibility_Unit()</f>
        <v>fraction</v>
      </c>
      <c r="M159" s="14"/>
    </row>
    <row r="160" spans="1:13" ht="20.100000000000001" customHeight="1" x14ac:dyDescent="0.25">
      <c r="A160"/>
      <c r="D160" s="27"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7"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3" t="str">
        <f>HYPERLINK("#A1", "▲ Back to top")</f>
        <v>▲ Back to top</v>
      </c>
      <c r="D174" s="27"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7"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7"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7"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7"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7"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SourceData_Dairy.SourceData_Dairy_FracGASMSoil_Title()</f>
        <v>Fraction of nitrogen volatilized from urine and faeces deposited on pasture</v>
      </c>
      <c r="M211" s="14"/>
    </row>
    <row r="212" spans="1:13" x14ac:dyDescent="0.25">
      <c r="D212" s="11" t="str" cm="1">
        <f t="array" ref="D212">SourceData_Dairy.SourceData_Dairy_FracGASMSoil_Source()</f>
        <v>VEERG 2026: 4.3.2.3 CONSTANTS</v>
      </c>
      <c r="M212" s="14"/>
    </row>
    <row r="213" spans="1:13" x14ac:dyDescent="0.25">
      <c r="D213" s="8" t="str" cm="1">
        <f t="array" ref="D213">SourceData_Dairy.SourceData_Dairy_FracGASMSoil_Variable()</f>
        <v>FracGASMsoil</v>
      </c>
      <c r="M213" s="14"/>
    </row>
    <row r="214" spans="1:13" x14ac:dyDescent="0.25">
      <c r="D214" s="13" t="str" cm="1">
        <f t="array" ref="D214">SourceData_Dairy.SourceData_Dairy_FracGASMSoil_Unit()</f>
        <v>(kg NH3-N + NOx-N)/kg N</v>
      </c>
      <c r="M214" s="14"/>
    </row>
    <row r="215" spans="1:13" x14ac:dyDescent="0.25">
      <c r="A215" s="53" t="str">
        <f>HYPERLINK("#A1", "▲ Back to top")</f>
        <v>▲ Back to top</v>
      </c>
      <c r="D215" s="27" cm="1">
        <f t="array" ref="D215">SourceData_Dairy.SourceData_Dairy_FracGASMSoil_Data()</f>
        <v>0.21</v>
      </c>
      <c r="M215" s="14"/>
    </row>
    <row r="216" spans="1:13" x14ac:dyDescent="0.25">
      <c r="M216" s="14"/>
    </row>
    <row r="217" spans="1:13" ht="23.25" x14ac:dyDescent="0.25">
      <c r="D217" s="9" t="str" cm="1">
        <f t="array" ref="D217">SourceData_Dairy.SourceData_Dairy_FatContentInMilk_Title()</f>
        <v>Fat content in fat and protein corrected milk</v>
      </c>
      <c r="M217" s="14"/>
    </row>
    <row r="218" spans="1:13" x14ac:dyDescent="0.25">
      <c r="D218" s="11" t="str" cm="1">
        <f t="array" ref="D218">SourceData_Dairy.SourceData_Dairy_FatContentInMilk_Source()</f>
        <v>VEERG 2026: 3.3.2.2 DATA (METHOD 1 AND 2 OPTIONS)</v>
      </c>
      <c r="M218" s="14"/>
    </row>
    <row r="219" spans="1:13" x14ac:dyDescent="0.25">
      <c r="D219" s="8" t="str" cm="1">
        <f t="array" ref="D219">SourceData_Dairy.SourceData_Dairy_FatContentInMilk_Variable()</f>
        <v>FC_j</v>
      </c>
      <c r="M219" s="14"/>
    </row>
    <row r="220" spans="1:13" x14ac:dyDescent="0.25">
      <c r="D220" s="13" t="str" cm="1">
        <f t="array" ref="D220">SourceData_Dairy.SourceData_Dairy_FatContentInMilk_Unit()</f>
        <v>percent</v>
      </c>
      <c r="M220" s="14"/>
    </row>
    <row r="221" spans="1:13" x14ac:dyDescent="0.25">
      <c r="D221" s="27" cm="1">
        <f t="array" ref="D221">SourceData_Dairy.SourceData_Dairy_FatContentInMilk_Data()</f>
        <v>4</v>
      </c>
      <c r="M221" s="14"/>
    </row>
    <row r="222" spans="1:13" x14ac:dyDescent="0.25">
      <c r="M222" s="14"/>
    </row>
    <row r="223" spans="1:13" ht="23.25" x14ac:dyDescent="0.25">
      <c r="D223" s="9" t="str" cm="1">
        <f t="array" ref="D223">SourceData_Dairy.SourceData_Dairy_ProteinContentInMilk_Title()</f>
        <v>Protein content in fat and protein corrected milk</v>
      </c>
      <c r="M223" s="14"/>
    </row>
    <row r="224" spans="1:13" x14ac:dyDescent="0.25">
      <c r="D224" s="11" t="str" cm="1">
        <f t="array" ref="D224">SourceData_Dairy.SourceData_Dairy_ProteinContentInMilk_Source()</f>
        <v>VEERG 2026: 3.3.2.2 DATA (METHOD 1 AND 2 OPTIONS)</v>
      </c>
      <c r="M224" s="14"/>
    </row>
    <row r="225" spans="4:13" x14ac:dyDescent="0.25">
      <c r="D225" s="8" t="str" cm="1">
        <f t="array" ref="D225">SourceData_Dairy.SourceData_Dairy_ProteinContentInMilk_Variable()</f>
        <v>PC_j</v>
      </c>
      <c r="M225" s="14"/>
    </row>
    <row r="226" spans="4:13" x14ac:dyDescent="0.25">
      <c r="D226" s="13" t="str" cm="1">
        <f t="array" ref="D226">SourceData_Dairy.SourceData_Dairy_ProteinContentInMilk_Unit()</f>
        <v>percent</v>
      </c>
      <c r="M226" s="14"/>
    </row>
    <row r="227" spans="4:13" x14ac:dyDescent="0.25">
      <c r="D227" s="27" cm="1">
        <f t="array" ref="D227">SourceData_Dairy.SourceData_Dairy_ProteinContentInMilk_Data()</f>
        <v>3.3</v>
      </c>
      <c r="M227" s="14"/>
    </row>
    <row r="228" spans="4:13" x14ac:dyDescent="0.25">
      <c r="M228" s="14"/>
    </row>
    <row r="229" spans="4:13" x14ac:dyDescent="0.25">
      <c r="M229" s="14"/>
    </row>
    <row r="230" spans="4:13" x14ac:dyDescent="0.25">
      <c r="M230" s="14"/>
    </row>
    <row r="231" spans="4:13" x14ac:dyDescent="0.25">
      <c r="M231" s="14"/>
    </row>
    <row r="232" spans="4:13" x14ac:dyDescent="0.25">
      <c r="M232" s="14"/>
    </row>
    <row r="233" spans="4:13" x14ac:dyDescent="0.25">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5B4-F9DC-4211-871F-BDB144CC7191}">
  <sheetPr>
    <tabColor theme="2" tint="-0.499984740745262"/>
  </sheetPr>
  <dimension ref="A1:V454"/>
  <sheetViews>
    <sheetView showGridLines="0" topLeftCell="F1"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446</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447</v>
      </c>
      <c r="G5" s="9" t="s">
        <v>143</v>
      </c>
      <c r="M5" s="8" t="s">
        <v>448</v>
      </c>
      <c r="O5" s="8" t="s">
        <v>449</v>
      </c>
      <c r="Q5" s="8" t="s">
        <v>450</v>
      </c>
      <c r="S5" s="8" t="s">
        <v>451</v>
      </c>
    </row>
    <row r="6" spans="1:21" ht="20.100000000000001" customHeight="1" x14ac:dyDescent="0.25">
      <c r="A6"/>
      <c r="M6" s="8"/>
    </row>
    <row r="7" spans="1:21" ht="20.100000000000001" customHeight="1" x14ac:dyDescent="0.25">
      <c r="A7" s="19" t="s">
        <v>67</v>
      </c>
      <c r="D7" s="10" t="s">
        <v>145</v>
      </c>
      <c r="G7" s="10" t="s">
        <v>43</v>
      </c>
      <c r="M7" s="3" t="s">
        <v>387</v>
      </c>
      <c r="O7" s="10" t="s">
        <v>387</v>
      </c>
      <c r="Q7" s="10" t="s">
        <v>387</v>
      </c>
      <c r="S7" s="10" t="s">
        <v>387</v>
      </c>
    </row>
    <row r="8" spans="1:21" ht="20.100000000000001" customHeight="1" x14ac:dyDescent="0.25">
      <c r="A8" s="16" t="str">
        <f>HYPERLINK("#'Input - Site'!A1", "Site")</f>
        <v>Site</v>
      </c>
      <c r="D8" s="10" t="str">
        <f>'Constants - Common'!$F$187</f>
        <v>Pasture</v>
      </c>
      <c r="G8" s="10" t="s">
        <v>148</v>
      </c>
      <c r="M8" s="10" t="s">
        <v>452</v>
      </c>
      <c r="O8" s="10" t="s">
        <v>453</v>
      </c>
      <c r="Q8" s="10" t="s">
        <v>454</v>
      </c>
      <c r="S8" s="10" t="s">
        <v>434</v>
      </c>
    </row>
    <row r="9" spans="1:21" ht="20.100000000000001" customHeight="1" x14ac:dyDescent="0.25">
      <c r="A9" s="16" t="str">
        <f>HYPERLINK("#'Input - Fuel'!A1", "Fuel")</f>
        <v>Fuel</v>
      </c>
      <c r="D9" s="8" t="str">
        <f>'Constants - Common'!$F$188</f>
        <v>Crop</v>
      </c>
      <c r="G9" s="10" t="s">
        <v>152</v>
      </c>
      <c r="M9" s="10" t="s">
        <v>455</v>
      </c>
      <c r="O9" s="10" t="s">
        <v>456</v>
      </c>
      <c r="Q9" s="10" t="s">
        <v>457</v>
      </c>
    </row>
    <row r="10" spans="1:21" ht="20.100000000000001" customHeight="1" x14ac:dyDescent="0.25">
      <c r="A10" s="16" t="str">
        <f>HYPERLINK("#'Input - Fertiliser'!A1", "Fertiliser")</f>
        <v>Fertiliser</v>
      </c>
      <c r="G10" s="8" t="s">
        <v>155</v>
      </c>
      <c r="M10" s="10" t="s">
        <v>458</v>
      </c>
      <c r="O10" s="10" t="s">
        <v>459</v>
      </c>
      <c r="Q10" s="10" t="s">
        <v>460</v>
      </c>
      <c r="S10" s="8" t="s">
        <v>461</v>
      </c>
    </row>
    <row r="11" spans="1:21" ht="20.100000000000001" customHeight="1" x14ac:dyDescent="0.25">
      <c r="A11" s="16" t="str">
        <f>HYPERLINK("#'Input - Farm Inputs'!A1", "Farm Inputs")</f>
        <v>Farm Inputs</v>
      </c>
      <c r="G11" s="8" t="s">
        <v>158</v>
      </c>
      <c r="M11" s="8"/>
      <c r="Q11" s="10" t="s">
        <v>462</v>
      </c>
    </row>
    <row r="12" spans="1:21" ht="20.100000000000001" customHeight="1" x14ac:dyDescent="0.25">
      <c r="A12" s="16" t="str">
        <f>HYPERLINK("#'Input - Livestock purchases'!A1", "Livestock purchases")</f>
        <v>Livestock purchases</v>
      </c>
      <c r="G12" s="8" t="s">
        <v>160</v>
      </c>
      <c r="M12" s="8"/>
      <c r="S12" s="10" t="s">
        <v>387</v>
      </c>
    </row>
    <row r="13" spans="1:21" ht="20.100000000000001" customHeight="1" x14ac:dyDescent="0.25">
      <c r="A13" s="16" t="str">
        <f>HYPERLINK("#'Input - Freight'!A1", "Freight")</f>
        <v>Freight</v>
      </c>
      <c r="M13" s="8"/>
      <c r="S13" s="10" t="s">
        <v>434</v>
      </c>
    </row>
    <row r="14" spans="1:21" ht="20.100000000000001" customHeight="1" x14ac:dyDescent="0.25">
      <c r="A14" s="16" t="str">
        <f>HYPERLINK("#'Input - Solid waste'!A1", "Solid waste")</f>
        <v>Solid waste</v>
      </c>
      <c r="D14" s="9" t="str" cm="1">
        <f t="array" ref="D14">SourceData_PastureBeef.SourceData_PastureBeef_Liveweight_Title()</f>
        <v>Beef pasture cattle - Liveweight (kg) (Wjkl)</v>
      </c>
      <c r="M14" s="8"/>
    </row>
    <row r="15" spans="1:21" ht="20.100000000000001" customHeight="1" x14ac:dyDescent="0.25">
      <c r="A15" s="16" t="str">
        <f>HYPERLINK("#'Input - Manure sent off-site'!A1", "Manure sent off-site")</f>
        <v>Manure sent off-site</v>
      </c>
      <c r="D15" s="11" t="str" cm="1">
        <f t="array" ref="D15">SourceData_PastureBeef.SourceData_PastureBeef_Liveweight_Source()</f>
        <v>VEERG 2026: Table A.1.2.1</v>
      </c>
      <c r="M15" s="8"/>
      <c r="S15" s="8" t="s">
        <v>463</v>
      </c>
    </row>
    <row r="16" spans="1:21" ht="20.100000000000001" customHeight="1" x14ac:dyDescent="0.25">
      <c r="A16" s="16" t="str">
        <f>HYPERLINK("#'Input - Electricity'!A1", "Electricity")</f>
        <v>Electricity</v>
      </c>
      <c r="D16" s="8" t="str" cm="1">
        <f t="array" ref="D16">SourceData_PastureBeef.SourceData_PastureBeef_Liveweight_Variable()</f>
        <v>Wjkl</v>
      </c>
      <c r="M16" s="8"/>
    </row>
    <row r="17" spans="1:19" ht="20.100000000000001" customHeight="1" x14ac:dyDescent="0.25">
      <c r="A17"/>
      <c r="D17" s="13" t="str" cm="1">
        <f t="array" ref="D17">SourceData_PastureBeef.SourceData_PastureBeef_Liveweight_Unit()</f>
        <v>kg</v>
      </c>
      <c r="M17" s="8"/>
      <c r="O17" s="8" t="s">
        <v>515</v>
      </c>
      <c r="S17" s="10" t="s">
        <v>387</v>
      </c>
    </row>
    <row r="18" spans="1:19" ht="20.100000000000001" customHeight="1" x14ac:dyDescent="0.25">
      <c r="A18"/>
      <c r="D18" s="10" t="s">
        <v>278</v>
      </c>
      <c r="E18" s="10" t="s">
        <v>387</v>
      </c>
      <c r="F18" s="10" t="s">
        <v>47</v>
      </c>
      <c r="G18" s="10" t="s">
        <v>464</v>
      </c>
      <c r="H18" s="10" t="s">
        <v>465</v>
      </c>
      <c r="I18" s="10" t="s">
        <v>466</v>
      </c>
      <c r="J18" s="10" t="s">
        <v>467</v>
      </c>
      <c r="K18" s="10" t="s">
        <v>468</v>
      </c>
      <c r="L18" s="10" t="s">
        <v>469</v>
      </c>
      <c r="M18" s="10" t="s">
        <v>470</v>
      </c>
      <c r="O18" s="10" t="s">
        <v>285</v>
      </c>
      <c r="S18" s="10" t="s">
        <v>434</v>
      </c>
    </row>
    <row r="19" spans="1:19" ht="20.100000000000001" customHeight="1" x14ac:dyDescent="0.25">
      <c r="A19" s="21" t="s">
        <v>77</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10" t="str">
        <f>Table_SourceData_PastureBeef_LiveweightAllStates[[#Headers],[Bulls &lt; 1 year]]</f>
        <v>Bulls &lt; 1 year</v>
      </c>
    </row>
    <row r="20" spans="1:19" ht="20.100000000000001" customHeight="1" x14ac:dyDescent="0.25">
      <c r="A20" s="16" t="str">
        <f>HYPERLINK("#'15 Scope 3'!A1", "15 Scope 3")</f>
        <v>15 Scope 3</v>
      </c>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10" t="str">
        <f>Table_SourceData_PastureBeef_LiveweightAllStates[[#Headers],[Bulls &gt; 1 year]]</f>
        <v>Bulls &gt; 1 year</v>
      </c>
      <c r="S20" s="8" t="s">
        <v>471</v>
      </c>
    </row>
    <row r="21" spans="1:19" ht="20.100000000000001" customHeight="1" x14ac:dyDescent="0.25">
      <c r="A21" s="16" t="str">
        <f>HYPERLINK("#'10.1.1-2 Solid waste treatment'!A1", "10.1.1-2 Solid waste treatment")</f>
        <v>10.1.1-2 Solid waste treatment</v>
      </c>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10" t="str">
        <f>Table_SourceData_PastureBeef_LiveweightAllStates[[#Headers],[Cows &lt; 1 year]]</f>
        <v>Cows &lt; 1 year</v>
      </c>
    </row>
    <row r="22" spans="1:19" ht="20.100000000000001" customHeight="1" x14ac:dyDescent="0.25">
      <c r="A22" s="16" t="str">
        <f>HYPERLINK("#'Calcs - Manure sent off-site'!A1", "Calcs - Manure sent off-site")</f>
        <v>Calcs - Manure sent off-site</v>
      </c>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10" t="str">
        <f>Table_SourceData_PastureBeef_LiveweightAllStates[[#Headers],[Cows 1-2 years]]</f>
        <v>Cows 1-2 years</v>
      </c>
      <c r="S22" s="10" t="s">
        <v>387</v>
      </c>
    </row>
    <row r="23" spans="1:19" ht="20.100000000000001" customHeight="1" x14ac:dyDescent="0.25">
      <c r="A23" s="16" t="str">
        <f>HYPERLINK("#'8.1.1.1-2 Transport fuel'!A1", "8.1.1.1-2 Transport fuel")</f>
        <v>8.1.1.1-2 Transport fuel</v>
      </c>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10" t="str">
        <f>Table_SourceData_PastureBeef_LiveweightAllStates[[#Headers],[Cows 2-3 years]]</f>
        <v>Cows 2-3 years</v>
      </c>
      <c r="S23" s="10" t="s">
        <v>434</v>
      </c>
    </row>
    <row r="24" spans="1:19" ht="20.100000000000001" customHeight="1" x14ac:dyDescent="0.25">
      <c r="A24" s="16" t="str">
        <f>HYPERLINK("#'8.2.1.1-2 Stationary fuel'!A1", "8.2.1.1-2 Stationary fuel")</f>
        <v>8.2.1.1-2 Stationary fuel</v>
      </c>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10" t="str">
        <f>Table_SourceData_PastureBeef_LiveweightAllStates[[#Headers],[Cows &gt; 3 years]]</f>
        <v>Cows &gt; 3 years</v>
      </c>
    </row>
    <row r="25" spans="1:19" ht="20.100000000000001" customHeight="1" x14ac:dyDescent="0.25">
      <c r="A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10" t="str">
        <f>Table_SourceData_PastureBeef_LiveweightAllStates[[#Headers],[Steers &lt; 1 year]]</f>
        <v>Steers &lt; 1 year</v>
      </c>
      <c r="S25" s="8" t="s">
        <v>472</v>
      </c>
    </row>
    <row r="26" spans="1:19" ht="20.100000000000001" customHeight="1" x14ac:dyDescent="0.25">
      <c r="A26"/>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10" t="str">
        <f>Table_SourceData_PastureBeef_LiveweightAllStates[[#Headers],[Steers 1-2 years]]</f>
        <v>Steers 1-2 years</v>
      </c>
    </row>
    <row r="27" spans="1:19" ht="20.100000000000001" customHeight="1" x14ac:dyDescent="0.25">
      <c r="A27" s="222" t="s">
        <v>78</v>
      </c>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10" t="str">
        <f>Table_SourceData_PastureBeef_LiveweightAllStates[[#Headers],[Steers 2-3 years]]</f>
        <v>Steers 2-3 years</v>
      </c>
      <c r="S27" s="10" t="s">
        <v>387</v>
      </c>
    </row>
    <row r="28" spans="1:19" ht="20.100000000000001" customHeight="1" x14ac:dyDescent="0.25">
      <c r="A28" s="16" t="str">
        <f>HYPERLINK("#'Constants - Scope 3'!A1", "Constants - Scope 3")</f>
        <v>Constants - Scope 3</v>
      </c>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10" t="str">
        <f>Table_SourceData_PastureBeef_LiveweightAllStates[[#Headers],[Steers &gt;3 years]]</f>
        <v>Steers &gt;3 years</v>
      </c>
      <c r="S28" s="10" t="s">
        <v>434</v>
      </c>
    </row>
    <row r="29" spans="1:19" ht="20.100000000000001" customHeight="1" x14ac:dyDescent="0.25">
      <c r="A29" s="16" t="str">
        <f>HYPERLINK("#'Constants - Solid Waste'!A1", "Constants - Solid Waste")</f>
        <v>Constants - Solid Waste</v>
      </c>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A30" s="16" t="str">
        <f>HYPERLINK("#'Constants - Fuel'!A1", "Constants - Fuel")</f>
        <v>Constants - Fuel</v>
      </c>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A31" s="16" t="str">
        <f>HYPERLINK("#'Constants - Poultry'!A1", "Constants - Poultry")</f>
        <v>Constants - Poultry</v>
      </c>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row>
    <row r="32" spans="1:19" ht="20.100000000000001" customHeight="1" x14ac:dyDescent="0.25">
      <c r="A32" s="16" t="str">
        <f>HYPERLINK("#'Constants - Swine'!A1", "Constants - Swine")</f>
        <v>Constants - Swine</v>
      </c>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row>
    <row r="33" spans="1:13" ht="20.100000000000001" customHeight="1" x14ac:dyDescent="0.25">
      <c r="A33" s="16" t="str">
        <f>HYPERLINK("#'Constants - Dairy'!A1", "Constants - Dairy")</f>
        <v>Constants - Dairy</v>
      </c>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row>
    <row r="34" spans="1:13" ht="20.100000000000001" customHeight="1" x14ac:dyDescent="0.25">
      <c r="A34" s="23" t="str">
        <f>HYPERLINK("#'Constants - Pasture Beef'!A1", "Constants - Pasture Beef")</f>
        <v>Constants - Pasture Beef</v>
      </c>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row>
    <row r="35" spans="1:13" ht="20.100000000000001" customHeight="1" x14ac:dyDescent="0.25">
      <c r="A35" s="16" t="str">
        <f>HYPERLINK("#'Constants - Common Livestock'!A1", "Constants - Common Livestock")</f>
        <v>Constants - Common Livestock</v>
      </c>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row>
    <row r="36" spans="1:13" ht="20.100000000000001" customHeight="1" x14ac:dyDescent="0.25">
      <c r="A36" s="16" t="str">
        <f>HYPERLINK("#'Constants - Fertiliser'!A1", "Constants - Fertiliser")</f>
        <v>Constants - Fertiliser</v>
      </c>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row>
    <row r="37" spans="1:13" ht="20.100000000000001" customHeight="1" x14ac:dyDescent="0.25">
      <c r="A37" s="16" t="str">
        <f>HYPERLINK("#'Constants - Electricity'!A1", "Constants - Electricity")</f>
        <v>Constants - Electricity</v>
      </c>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row>
    <row r="38" spans="1:13" ht="20.100000000000001" customHeight="1" x14ac:dyDescent="0.25">
      <c r="A38" s="16" t="str">
        <f>HYPERLINK("#'Constants - Common'!A1", "Constants - Common")</f>
        <v>Constants - Common</v>
      </c>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row>
    <row r="39" spans="1:13" ht="20.100000000000001" customHeight="1" x14ac:dyDescent="0.25">
      <c r="A39"/>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row>
    <row r="40" spans="1:13" ht="20.100000000000001" customHeight="1" x14ac:dyDescent="0.25">
      <c r="A40"/>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row>
    <row r="41" spans="1:13" ht="20.100000000000001" customHeight="1" x14ac:dyDescent="0.25">
      <c r="A41"/>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row>
    <row r="42" spans="1:13" ht="20.100000000000001" customHeight="1" x14ac:dyDescent="0.25">
      <c r="A42"/>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row>
    <row r="43" spans="1:13" ht="20.100000000000001" customHeight="1" x14ac:dyDescent="0.25">
      <c r="A43"/>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row>
    <row r="44" spans="1:13" ht="20.100000000000001" customHeight="1" x14ac:dyDescent="0.25">
      <c r="A44"/>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row>
    <row r="45" spans="1:13" ht="20.100000000000001" customHeight="1" x14ac:dyDescent="0.25">
      <c r="A4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row>
    <row r="46" spans="1:13" ht="20.100000000000001" customHeight="1" x14ac:dyDescent="0.25">
      <c r="A46"/>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row>
    <row r="47" spans="1:13" ht="20.100000000000001" customHeight="1" x14ac:dyDescent="0.25">
      <c r="A47"/>
      <c r="M47" s="8"/>
    </row>
    <row r="48" spans="1:13" ht="20.100000000000001" customHeight="1" x14ac:dyDescent="0.25">
      <c r="A48"/>
      <c r="M48" s="8"/>
    </row>
    <row r="49" spans="1:16" ht="20.100000000000001" customHeight="1" x14ac:dyDescent="0.25">
      <c r="A49"/>
      <c r="D49" s="9" t="str" cm="1">
        <f t="array" ref="D49">SourceData_PastureBeef.SourceData_PastureBeef_LiveweightNTQLD_Title()</f>
        <v>Beef pasture cattle - Liveweight (kg) (Wjkl) for NT and QLD</v>
      </c>
      <c r="M49" s="8"/>
    </row>
    <row r="50" spans="1:16" ht="20.100000000000001" customHeight="1" x14ac:dyDescent="0.25">
      <c r="A50"/>
      <c r="D50" s="11" t="str" cm="1">
        <f t="array" ref="D50">SourceData_PastureBeef.SourceData_PastureBeef_LiveweightNTQLD_Source()</f>
        <v>VEERG 2026: Table A.1.2.2</v>
      </c>
      <c r="M50" s="8"/>
    </row>
    <row r="51" spans="1:16" ht="20.100000000000001" customHeight="1" x14ac:dyDescent="0.25">
      <c r="A51"/>
      <c r="D51" s="8" t="str" cm="1">
        <f t="array" ref="D51">SourceData_PastureBeef.SourceData_PastureBeef_LiveweightNTQLD_Variable()</f>
        <v>Wjkl</v>
      </c>
      <c r="M51" s="8"/>
    </row>
    <row r="52" spans="1:16" ht="20.100000000000001" customHeight="1" x14ac:dyDescent="0.25">
      <c r="A52"/>
      <c r="D52" s="13" t="str" cm="1">
        <f t="array" ref="D52">SourceData_PastureBeef.SourceData_PastureBeef_LiveweightNTQLD_Unit()</f>
        <v>kg</v>
      </c>
      <c r="M52" s="8"/>
    </row>
    <row r="53" spans="1:16" ht="20.100000000000001" customHeight="1" x14ac:dyDescent="0.25">
      <c r="A53"/>
      <c r="D53" s="10" t="s">
        <v>278</v>
      </c>
      <c r="E53" s="10" t="s">
        <v>387</v>
      </c>
      <c r="F53" s="10" t="s">
        <v>47</v>
      </c>
      <c r="G53" s="10" t="s">
        <v>473</v>
      </c>
      <c r="H53" s="10" t="s">
        <v>474</v>
      </c>
      <c r="I53" s="10" t="s">
        <v>475</v>
      </c>
      <c r="J53" s="10" t="s">
        <v>476</v>
      </c>
      <c r="K53" s="10" t="s">
        <v>477</v>
      </c>
      <c r="L53" s="10" t="s">
        <v>478</v>
      </c>
      <c r="M53" s="10" t="s">
        <v>479</v>
      </c>
      <c r="N53" s="10" t="s">
        <v>480</v>
      </c>
      <c r="O53" s="10" t="s">
        <v>481</v>
      </c>
      <c r="P53" s="10" t="s">
        <v>482</v>
      </c>
    </row>
    <row r="54" spans="1:16" ht="20.100000000000001" customHeight="1" x14ac:dyDescent="0.25">
      <c r="A54"/>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1:16" ht="20.100000000000001" customHeight="1" x14ac:dyDescent="0.25">
      <c r="A5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1:16" ht="20.100000000000001" customHeight="1" x14ac:dyDescent="0.25">
      <c r="A56"/>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1:16" ht="20.100000000000001" customHeight="1" x14ac:dyDescent="0.25">
      <c r="A57"/>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1:16" ht="20.100000000000001" customHeight="1" x14ac:dyDescent="0.25">
      <c r="A58"/>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1:16" ht="20.100000000000001" customHeight="1" x14ac:dyDescent="0.25">
      <c r="A59"/>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1:16" ht="20.100000000000001" customHeight="1" x14ac:dyDescent="0.25">
      <c r="A60"/>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1:16" ht="20.100000000000001" customHeight="1" x14ac:dyDescent="0.25">
      <c r="A61"/>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1:16" ht="20.100000000000001" customHeight="1" x14ac:dyDescent="0.25">
      <c r="A62"/>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1:16" ht="20.100000000000001" customHeight="1" x14ac:dyDescent="0.25">
      <c r="A63"/>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1:16" ht="20.100000000000001" customHeight="1" x14ac:dyDescent="0.25">
      <c r="A64"/>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1:22" ht="20.100000000000001" customHeight="1" x14ac:dyDescent="0.25">
      <c r="A6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1:22" ht="20.100000000000001" customHeight="1" x14ac:dyDescent="0.25">
      <c r="A66"/>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1:22" ht="20.100000000000001" customHeight="1" x14ac:dyDescent="0.25">
      <c r="A67"/>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1:22" ht="20.100000000000001" customHeight="1" x14ac:dyDescent="0.25">
      <c r="A68"/>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1:22" ht="20.100000000000001" customHeight="1" x14ac:dyDescent="0.25">
      <c r="A69"/>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1:22" ht="20.100000000000001" customHeight="1" x14ac:dyDescent="0.25">
      <c r="A70"/>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1:22" ht="20.100000000000001" customHeight="1" x14ac:dyDescent="0.25">
      <c r="A71"/>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1:22" ht="20.100000000000001" customHeight="1" x14ac:dyDescent="0.25">
      <c r="A72"/>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1:22" ht="20.100000000000001" customHeight="1" x14ac:dyDescent="0.25">
      <c r="A73"/>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1:22" ht="20.100000000000001" customHeight="1" x14ac:dyDescent="0.25">
      <c r="A74"/>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1:22" ht="20.100000000000001" customHeight="1" x14ac:dyDescent="0.25">
      <c r="A7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1:22" ht="20.100000000000001" customHeight="1" x14ac:dyDescent="0.25">
      <c r="A76"/>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1:22" ht="20.100000000000001" customHeight="1" x14ac:dyDescent="0.25">
      <c r="A77"/>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1:22" ht="20.100000000000001" customHeight="1" x14ac:dyDescent="0.25">
      <c r="A78"/>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1:22" ht="20.100000000000001" customHeight="1" x14ac:dyDescent="0.25">
      <c r="A79"/>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1:22" ht="20.100000000000001" customHeight="1" x14ac:dyDescent="0.25">
      <c r="A80"/>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1:22" ht="20.100000000000001" customHeight="1" x14ac:dyDescent="0.25">
      <c r="A81"/>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1:22" ht="20.100000000000001" customHeight="1" x14ac:dyDescent="0.25">
      <c r="A82"/>
      <c r="M82" s="8"/>
    </row>
    <row r="83" spans="1:22" ht="20.100000000000001" customHeight="1" x14ac:dyDescent="0.25">
      <c r="A83"/>
      <c r="M83" s="8"/>
    </row>
    <row r="84" spans="1:22" ht="20.100000000000001" customHeight="1" x14ac:dyDescent="0.25">
      <c r="A84"/>
      <c r="D84" s="9" t="s">
        <v>483</v>
      </c>
      <c r="M84" s="8"/>
    </row>
    <row r="85" spans="1:22" ht="20.100000000000001" customHeight="1" x14ac:dyDescent="0.25">
      <c r="A85"/>
      <c r="D85" s="10" t="s">
        <v>278</v>
      </c>
      <c r="E85" s="10" t="s">
        <v>387</v>
      </c>
      <c r="F85" s="10" t="s">
        <v>47</v>
      </c>
      <c r="G85" s="156" t="s">
        <v>484</v>
      </c>
      <c r="H85" s="156" t="s">
        <v>485</v>
      </c>
      <c r="I85" s="156" t="s">
        <v>486</v>
      </c>
      <c r="J85" s="156" t="s">
        <v>487</v>
      </c>
      <c r="K85" s="156" t="s">
        <v>488</v>
      </c>
      <c r="L85" s="156" t="s">
        <v>489</v>
      </c>
      <c r="M85" s="156" t="s">
        <v>490</v>
      </c>
      <c r="N85" s="156" t="s">
        <v>491</v>
      </c>
      <c r="O85" s="156" t="s">
        <v>492</v>
      </c>
      <c r="P85" s="156" t="s">
        <v>493</v>
      </c>
      <c r="V85" s="8"/>
    </row>
    <row r="86" spans="1:22" ht="20.100000000000001" customHeight="1" x14ac:dyDescent="0.25">
      <c r="A86"/>
      <c r="D86" s="10" t="s">
        <v>313</v>
      </c>
      <c r="E86" s="10" t="s">
        <v>434</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1:22" ht="20.100000000000001" customHeight="1" x14ac:dyDescent="0.25">
      <c r="A87"/>
      <c r="D87" s="10" t="s">
        <v>313</v>
      </c>
      <c r="E87" s="10" t="s">
        <v>434</v>
      </c>
      <c r="F87" s="10" t="s">
        <v>494</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1:22" ht="20.100000000000001" customHeight="1" x14ac:dyDescent="0.25">
      <c r="A88"/>
      <c r="D88" s="10" t="s">
        <v>313</v>
      </c>
      <c r="E88" s="10" t="s">
        <v>434</v>
      </c>
      <c r="F88" s="10" t="s">
        <v>495</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1:22" ht="20.100000000000001" customHeight="1" x14ac:dyDescent="0.25">
      <c r="A89"/>
      <c r="D89" s="10" t="s">
        <v>313</v>
      </c>
      <c r="E89" s="10" t="s">
        <v>434</v>
      </c>
      <c r="F89" s="10" t="s">
        <v>496</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1:22" ht="20.100000000000001" customHeight="1" x14ac:dyDescent="0.25">
      <c r="A90"/>
      <c r="D90" s="10" t="s">
        <v>337</v>
      </c>
      <c r="E90" s="10" t="s">
        <v>434</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1:22" ht="20.100000000000001" customHeight="1" x14ac:dyDescent="0.25">
      <c r="A91"/>
      <c r="D91" s="10" t="s">
        <v>337</v>
      </c>
      <c r="E91" s="10" t="s">
        <v>434</v>
      </c>
      <c r="F91" s="10" t="s">
        <v>494</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1:22" ht="20.100000000000001" customHeight="1" x14ac:dyDescent="0.25">
      <c r="A92"/>
      <c r="D92" s="10" t="s">
        <v>337</v>
      </c>
      <c r="E92" s="10" t="s">
        <v>434</v>
      </c>
      <c r="F92" s="10" t="s">
        <v>495</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1:22" ht="20.100000000000001" customHeight="1" x14ac:dyDescent="0.25">
      <c r="A93"/>
      <c r="D93" s="10" t="s">
        <v>337</v>
      </c>
      <c r="E93" s="10" t="s">
        <v>434</v>
      </c>
      <c r="F93" s="10" t="s">
        <v>496</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1:22" ht="20.100000000000001" customHeight="1" x14ac:dyDescent="0.25">
      <c r="A94"/>
      <c r="D94" s="10" t="s">
        <v>394</v>
      </c>
      <c r="E94" s="10" t="s">
        <v>434</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1:22" ht="20.100000000000001" customHeight="1" x14ac:dyDescent="0.25">
      <c r="A95"/>
      <c r="D95" s="10" t="s">
        <v>394</v>
      </c>
      <c r="E95" s="10" t="s">
        <v>434</v>
      </c>
      <c r="F95" s="10" t="s">
        <v>494</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1:22" ht="20.100000000000001" customHeight="1" x14ac:dyDescent="0.25">
      <c r="A96"/>
      <c r="D96" s="10" t="s">
        <v>394</v>
      </c>
      <c r="E96" s="10" t="s">
        <v>434</v>
      </c>
      <c r="F96" s="10" t="s">
        <v>495</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1:16" ht="20.100000000000001" customHeight="1" x14ac:dyDescent="0.25">
      <c r="A97"/>
      <c r="D97" s="10" t="s">
        <v>394</v>
      </c>
      <c r="E97" s="10" t="s">
        <v>434</v>
      </c>
      <c r="F97" s="10" t="s">
        <v>496</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1:16" ht="20.100000000000001" customHeight="1" x14ac:dyDescent="0.25">
      <c r="A98"/>
      <c r="D98" s="10" t="s">
        <v>391</v>
      </c>
      <c r="E98" s="10" t="s">
        <v>434</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1:16" ht="20.100000000000001" customHeight="1" x14ac:dyDescent="0.25">
      <c r="A99"/>
      <c r="D99" s="10" t="s">
        <v>391</v>
      </c>
      <c r="E99" s="10" t="s">
        <v>434</v>
      </c>
      <c r="F99" s="10" t="s">
        <v>494</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1:16" ht="20.100000000000001" customHeight="1" x14ac:dyDescent="0.25">
      <c r="A100"/>
      <c r="D100" s="10" t="s">
        <v>391</v>
      </c>
      <c r="E100" s="10" t="s">
        <v>434</v>
      </c>
      <c r="F100" s="10" t="s">
        <v>495</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1:16" ht="20.100000000000001" customHeight="1" x14ac:dyDescent="0.25">
      <c r="A101"/>
      <c r="D101" s="10" t="s">
        <v>391</v>
      </c>
      <c r="E101" s="10" t="s">
        <v>434</v>
      </c>
      <c r="F101" s="10" t="s">
        <v>496</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1:16" ht="20.100000000000001" customHeight="1" x14ac:dyDescent="0.25">
      <c r="A102"/>
      <c r="D102" s="10" t="s">
        <v>343</v>
      </c>
      <c r="E102" s="10" t="s">
        <v>434</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1:16" ht="20.100000000000001" customHeight="1" x14ac:dyDescent="0.25">
      <c r="A103"/>
      <c r="D103" s="10" t="s">
        <v>343</v>
      </c>
      <c r="E103" s="10" t="s">
        <v>434</v>
      </c>
      <c r="F103" s="10" t="s">
        <v>494</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1:16" ht="20.100000000000001" customHeight="1" x14ac:dyDescent="0.25">
      <c r="A104"/>
      <c r="D104" s="10" t="s">
        <v>343</v>
      </c>
      <c r="E104" s="10" t="s">
        <v>434</v>
      </c>
      <c r="F104" s="10" t="s">
        <v>495</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1:16" ht="20.100000000000001" customHeight="1" x14ac:dyDescent="0.25">
      <c r="A105"/>
      <c r="D105" s="10" t="s">
        <v>343</v>
      </c>
      <c r="E105" s="10" t="s">
        <v>434</v>
      </c>
      <c r="F105" s="10" t="s">
        <v>496</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1:16" ht="20.100000000000001" customHeight="1" x14ac:dyDescent="0.25">
      <c r="A106"/>
      <c r="D106" s="10" t="s">
        <v>344</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1:16" ht="20.100000000000001" customHeight="1" x14ac:dyDescent="0.25">
      <c r="A107"/>
      <c r="D107" s="10" t="s">
        <v>344</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1:16" ht="20.100000000000001" customHeight="1" x14ac:dyDescent="0.25">
      <c r="A108"/>
      <c r="D108" s="10" t="s">
        <v>344</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1:16" ht="20.100000000000001" customHeight="1" x14ac:dyDescent="0.25">
      <c r="A109"/>
      <c r="D109" s="10" t="s">
        <v>344</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1:16" ht="20.100000000000001" customHeight="1" x14ac:dyDescent="0.25">
      <c r="A110"/>
      <c r="D110" s="10" t="s">
        <v>344</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1:16" ht="20.100000000000001" customHeight="1" x14ac:dyDescent="0.25">
      <c r="A111"/>
      <c r="D111" s="10" t="s">
        <v>344</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1:16" ht="20.100000000000001" customHeight="1" x14ac:dyDescent="0.25">
      <c r="A112"/>
      <c r="D112" s="10" t="s">
        <v>344</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1:22" ht="20.100000000000001" customHeight="1" x14ac:dyDescent="0.25">
      <c r="A113"/>
      <c r="D113" s="10" t="s">
        <v>344</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1:22" ht="20.100000000000001" customHeight="1" x14ac:dyDescent="0.25">
      <c r="A114"/>
      <c r="D114" s="10" t="s">
        <v>344</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1:22" ht="20.100000000000001" customHeight="1" x14ac:dyDescent="0.25">
      <c r="A115"/>
      <c r="D115" s="10" t="s">
        <v>344</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1:22" ht="20.100000000000001" customHeight="1" x14ac:dyDescent="0.25">
      <c r="A116"/>
      <c r="D116" s="10" t="s">
        <v>344</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1:22" ht="20.100000000000001" customHeight="1" x14ac:dyDescent="0.25">
      <c r="A117"/>
      <c r="D117" s="10" t="s">
        <v>344</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1:22" ht="20.100000000000001" customHeight="1" x14ac:dyDescent="0.25">
      <c r="A118"/>
      <c r="D118" s="10" t="s">
        <v>435</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1:22" ht="20.100000000000001" customHeight="1" x14ac:dyDescent="0.25">
      <c r="A119"/>
      <c r="D119" s="10" t="s">
        <v>435</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1:22" ht="20.100000000000001" customHeight="1" x14ac:dyDescent="0.25">
      <c r="A120"/>
      <c r="D120" s="10" t="s">
        <v>435</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1:22" ht="20.100000000000001" customHeight="1" x14ac:dyDescent="0.25">
      <c r="A121"/>
      <c r="D121" s="10" t="s">
        <v>435</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1:22" ht="20.100000000000001" customHeight="1" x14ac:dyDescent="0.25">
      <c r="A122"/>
      <c r="D122" s="10" t="s">
        <v>435</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1:22" ht="20.100000000000001" customHeight="1" x14ac:dyDescent="0.25">
      <c r="A123"/>
      <c r="D123" s="10" t="s">
        <v>435</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1:22" ht="20.100000000000001" customHeight="1" x14ac:dyDescent="0.25">
      <c r="A124"/>
      <c r="D124" s="10" t="s">
        <v>435</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1:22" ht="20.100000000000001" customHeight="1" x14ac:dyDescent="0.25">
      <c r="A125"/>
      <c r="D125" s="10" t="s">
        <v>435</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1:22" ht="20.100000000000001" customHeight="1" x14ac:dyDescent="0.25">
      <c r="A126"/>
      <c r="D126" s="10" t="s">
        <v>435</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1:22" ht="20.100000000000001" customHeight="1" x14ac:dyDescent="0.25">
      <c r="A127"/>
      <c r="D127" s="10" t="s">
        <v>435</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1:22" ht="20.100000000000001" customHeight="1" x14ac:dyDescent="0.25">
      <c r="A128"/>
      <c r="D128" s="10" t="s">
        <v>435</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1:22" ht="20.100000000000001" customHeight="1" x14ac:dyDescent="0.25">
      <c r="A129"/>
      <c r="D129" s="10" t="s">
        <v>435</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1:22" ht="20.100000000000001" customHeight="1" x14ac:dyDescent="0.25">
      <c r="A130"/>
      <c r="D130" s="10" t="s">
        <v>338</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1:22" ht="20.100000000000001" customHeight="1" x14ac:dyDescent="0.25">
      <c r="A131"/>
      <c r="D131" s="10" t="s">
        <v>338</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1:22" ht="20.100000000000001" customHeight="1" x14ac:dyDescent="0.25">
      <c r="A132"/>
      <c r="D132" s="10" t="s">
        <v>338</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1:22" ht="20.100000000000001" customHeight="1" x14ac:dyDescent="0.25">
      <c r="A133"/>
      <c r="D133" s="10" t="s">
        <v>338</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1:22" ht="20.100000000000001" customHeight="1" x14ac:dyDescent="0.25">
      <c r="A134"/>
      <c r="D134" s="10" t="s">
        <v>338</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1:22" ht="20.100000000000001" customHeight="1" x14ac:dyDescent="0.25">
      <c r="A135"/>
      <c r="D135" s="10" t="s">
        <v>338</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1:22" ht="20.100000000000001" customHeight="1" x14ac:dyDescent="0.25">
      <c r="A136"/>
      <c r="D136" s="10" t="s">
        <v>338</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1:22" ht="20.100000000000001" customHeight="1" x14ac:dyDescent="0.25">
      <c r="A137"/>
      <c r="D137" s="10" t="s">
        <v>338</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1:22" ht="20.100000000000001" customHeight="1" x14ac:dyDescent="0.25">
      <c r="A138"/>
      <c r="D138" s="10" t="s">
        <v>338</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1:22" ht="20.100000000000001" customHeight="1" x14ac:dyDescent="0.25">
      <c r="A139"/>
      <c r="D139" s="10" t="s">
        <v>338</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1:22" ht="20.100000000000001" customHeight="1" x14ac:dyDescent="0.25">
      <c r="A140"/>
      <c r="D140" s="10" t="s">
        <v>338</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1:22" ht="20.100000000000001" customHeight="1" x14ac:dyDescent="0.25">
      <c r="A141"/>
      <c r="D141" s="10" t="s">
        <v>338</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1:22" ht="20.100000000000001" customHeight="1" x14ac:dyDescent="0.25">
      <c r="A142"/>
      <c r="D142" s="10" t="s">
        <v>338</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1:22" ht="20.100000000000001" customHeight="1" x14ac:dyDescent="0.25">
      <c r="A143"/>
      <c r="D143" s="10" t="s">
        <v>338</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1:22" ht="20.100000000000001" customHeight="1" x14ac:dyDescent="0.25">
      <c r="A144"/>
      <c r="D144" s="10" t="s">
        <v>338</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1:16" ht="20.100000000000001" customHeight="1" x14ac:dyDescent="0.25">
      <c r="A145"/>
      <c r="D145" s="10" t="s">
        <v>338</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1:16" ht="20.100000000000001" customHeight="1" x14ac:dyDescent="0.25">
      <c r="A146"/>
      <c r="D146" s="8" t="s">
        <v>336</v>
      </c>
      <c r="E146" s="8" t="s">
        <v>434</v>
      </c>
      <c r="F146" s="8" t="str">
        <f>F142</f>
        <v>Spring</v>
      </c>
      <c r="G146" s="8">
        <f t="shared" ref="G146:P146"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1:16" ht="20.100000000000001" customHeight="1" x14ac:dyDescent="0.25">
      <c r="A147"/>
      <c r="D147" s="8" t="s">
        <v>336</v>
      </c>
      <c r="E147" s="8" t="s">
        <v>434</v>
      </c>
      <c r="F147" s="8" t="str">
        <f>F143</f>
        <v>Summer</v>
      </c>
      <c r="G147" s="8">
        <f t="shared" ref="G147:P147" si="31">AVERAGE(G87,G91,G95,G99,G103,G107,G111,G115,G119,G123,G127,G131,G135,G139,G143)</f>
        <v>193</v>
      </c>
      <c r="H147" s="8">
        <f t="shared" si="31"/>
        <v>660.33333333333337</v>
      </c>
      <c r="I147" s="8">
        <f t="shared" si="31"/>
        <v>156.33333333333334</v>
      </c>
      <c r="J147" s="8">
        <f t="shared" si="31"/>
        <v>309.73333333333335</v>
      </c>
      <c r="K147" s="8">
        <f t="shared" si="31"/>
        <v>417.4</v>
      </c>
      <c r="L147" s="8">
        <f t="shared" si="31"/>
        <v>458.53333333333336</v>
      </c>
      <c r="M147" s="8">
        <f t="shared" si="31"/>
        <v>162</v>
      </c>
      <c r="N147" s="8">
        <f t="shared" si="31"/>
        <v>353.46666666666664</v>
      </c>
      <c r="O147" s="8">
        <f t="shared" si="31"/>
        <v>428.42857142857144</v>
      </c>
      <c r="P147" s="8">
        <f t="shared" si="31"/>
        <v>472.61538461538464</v>
      </c>
    </row>
    <row r="148" spans="1:16" ht="20.100000000000001" customHeight="1" x14ac:dyDescent="0.25">
      <c r="A148"/>
      <c r="D148" s="8" t="s">
        <v>336</v>
      </c>
      <c r="E148" s="8" t="s">
        <v>434</v>
      </c>
      <c r="F148" s="8" t="str">
        <f>F144</f>
        <v>Autumn</v>
      </c>
      <c r="G148" s="8">
        <f t="shared" ref="G148:P148" si="32">AVERAGE(G88,G92,G96,G100,G104,G108,G112,G116,G120,G124,G128,G132,G136,G140,G144)</f>
        <v>170.66666666666666</v>
      </c>
      <c r="H148" s="8">
        <f t="shared" si="32"/>
        <v>654.26666666666665</v>
      </c>
      <c r="I148" s="8">
        <f t="shared" si="32"/>
        <v>161.53333333333333</v>
      </c>
      <c r="J148" s="8">
        <f t="shared" si="32"/>
        <v>307.93333333333334</v>
      </c>
      <c r="K148" s="8">
        <f t="shared" si="32"/>
        <v>419.66666666666669</v>
      </c>
      <c r="L148" s="8">
        <f t="shared" si="32"/>
        <v>454.06666666666666</v>
      </c>
      <c r="M148" s="8">
        <f t="shared" si="32"/>
        <v>169.86666666666667</v>
      </c>
      <c r="N148" s="8">
        <f t="shared" si="32"/>
        <v>363.13333333333333</v>
      </c>
      <c r="O148" s="8">
        <f t="shared" si="32"/>
        <v>430.14285714285717</v>
      </c>
      <c r="P148" s="8">
        <f t="shared" si="32"/>
        <v>479.69230769230768</v>
      </c>
    </row>
    <row r="149" spans="1:16" ht="20.100000000000001" customHeight="1" x14ac:dyDescent="0.25">
      <c r="A149"/>
      <c r="D149" s="8" t="s">
        <v>336</v>
      </c>
      <c r="E149" s="8" t="s">
        <v>434</v>
      </c>
      <c r="F149" s="8" t="str">
        <f>F145</f>
        <v>Winter</v>
      </c>
      <c r="G149" s="8">
        <f t="shared" ref="G149:P149" si="33">AVERAGE(G89,G93,G97,G101,G105,G109,G113,G117,G121,G125,G129,G133,G137,G141,G145)</f>
        <v>214.53333333333333</v>
      </c>
      <c r="H149" s="8">
        <f t="shared" si="33"/>
        <v>650.5333333333333</v>
      </c>
      <c r="I149" s="8">
        <f t="shared" si="33"/>
        <v>196.53333333333333</v>
      </c>
      <c r="J149" s="8">
        <f t="shared" si="33"/>
        <v>333.6</v>
      </c>
      <c r="K149" s="8">
        <f t="shared" si="33"/>
        <v>427.4</v>
      </c>
      <c r="L149" s="8">
        <f t="shared" si="33"/>
        <v>453.33333333333331</v>
      </c>
      <c r="M149" s="8">
        <f t="shared" si="33"/>
        <v>207.26666666666668</v>
      </c>
      <c r="N149" s="8">
        <f t="shared" si="33"/>
        <v>381.93333333333334</v>
      </c>
      <c r="O149" s="8">
        <f t="shared" si="33"/>
        <v>438.28571428571428</v>
      </c>
      <c r="P149" s="8">
        <f t="shared" si="33"/>
        <v>479.38461538461536</v>
      </c>
    </row>
    <row r="150" spans="1:16" ht="20.100000000000001" customHeight="1" x14ac:dyDescent="0.25">
      <c r="A150"/>
      <c r="D150" s="9" t="str" cm="1">
        <f t="array" ref="D150">SourceData_PastureBeef.SourceData_PastureBeef_LiveweightGain_Title()</f>
        <v>Beef pasture cattle - Liveweight gain (kg) (LWGjkl)</v>
      </c>
      <c r="M150" s="8"/>
    </row>
    <row r="151" spans="1:16" ht="20.100000000000001" customHeight="1" x14ac:dyDescent="0.25">
      <c r="A151"/>
      <c r="D151" s="11" t="str" cm="1">
        <f t="array" ref="D151">SourceData_PastureBeef.SourceData_PastureBeef_LiveweightGain_Source()</f>
        <v>VEERG 2026: Table A.1.2.3</v>
      </c>
      <c r="M151" s="8"/>
    </row>
    <row r="152" spans="1:16" ht="20.100000000000001" customHeight="1" x14ac:dyDescent="0.25">
      <c r="A152"/>
      <c r="D152" s="8" t="str" cm="1">
        <f t="array" ref="D152">SourceData_PastureBeef.SourceData_PastureBeef_LiveweightGain_Variable()</f>
        <v>LWGjkl</v>
      </c>
      <c r="M152" s="8"/>
    </row>
    <row r="153" spans="1:16" ht="20.100000000000001" customHeight="1" x14ac:dyDescent="0.25">
      <c r="A153"/>
      <c r="D153" s="13" t="str" cm="1">
        <f t="array" ref="D153">SourceData_PastureBeef.SourceData_PastureBeef_LiveweightGain_Unit()</f>
        <v>kg</v>
      </c>
      <c r="M153" s="8"/>
    </row>
    <row r="154" spans="1:16" ht="20.100000000000001" customHeight="1" x14ac:dyDescent="0.25">
      <c r="A154"/>
      <c r="D154" s="10" t="s">
        <v>278</v>
      </c>
      <c r="E154" s="10" t="s">
        <v>387</v>
      </c>
      <c r="F154" s="10" t="s">
        <v>47</v>
      </c>
      <c r="G154" s="10" t="s">
        <v>473</v>
      </c>
      <c r="H154" s="10" t="s">
        <v>474</v>
      </c>
      <c r="I154" s="10" t="s">
        <v>497</v>
      </c>
      <c r="J154" s="10" t="s">
        <v>467</v>
      </c>
      <c r="K154" s="10" t="s">
        <v>498</v>
      </c>
      <c r="L154" s="10" t="s">
        <v>479</v>
      </c>
      <c r="M154" s="10" t="s">
        <v>499</v>
      </c>
    </row>
    <row r="155" spans="1:16" ht="20.100000000000001" customHeight="1" x14ac:dyDescent="0.25">
      <c r="A15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1:16" ht="20.100000000000001" customHeight="1" x14ac:dyDescent="0.25">
      <c r="A156"/>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1:16" ht="20.100000000000001" customHeight="1" x14ac:dyDescent="0.25">
      <c r="A157"/>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1:16" ht="20.100000000000001" customHeight="1" x14ac:dyDescent="0.25">
      <c r="A158"/>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1:16" ht="20.100000000000001" customHeight="1" x14ac:dyDescent="0.25">
      <c r="A159"/>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1:16" ht="20.100000000000001" customHeight="1" x14ac:dyDescent="0.25">
      <c r="A160"/>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278</v>
      </c>
      <c r="E189" s="10" t="s">
        <v>387</v>
      </c>
      <c r="F189" s="10" t="s">
        <v>47</v>
      </c>
      <c r="G189" s="10" t="s">
        <v>473</v>
      </c>
      <c r="H189" s="10" t="s">
        <v>474</v>
      </c>
      <c r="I189" s="10" t="s">
        <v>497</v>
      </c>
      <c r="J189" s="10" t="s">
        <v>467</v>
      </c>
      <c r="K189" s="10" t="s">
        <v>500</v>
      </c>
      <c r="L189" s="10" t="s">
        <v>501</v>
      </c>
      <c r="M189" s="10" t="s">
        <v>479</v>
      </c>
      <c r="N189" s="10" t="s">
        <v>480</v>
      </c>
      <c r="O189" s="10" t="s">
        <v>481</v>
      </c>
      <c r="P189" s="10" t="s">
        <v>482</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483</v>
      </c>
      <c r="M220" s="8"/>
    </row>
    <row r="221" spans="4:16" x14ac:dyDescent="0.25">
      <c r="M221" s="8"/>
    </row>
    <row r="222" spans="4:16" x14ac:dyDescent="0.25">
      <c r="D222" s="10" t="s">
        <v>278</v>
      </c>
      <c r="E222" s="10" t="s">
        <v>387</v>
      </c>
      <c r="F222" s="10" t="s">
        <v>47</v>
      </c>
      <c r="G222" s="156" t="s">
        <v>484</v>
      </c>
      <c r="H222" s="156" t="s">
        <v>485</v>
      </c>
      <c r="I222" s="156" t="s">
        <v>486</v>
      </c>
      <c r="J222" s="156" t="s">
        <v>487</v>
      </c>
      <c r="K222" s="156" t="s">
        <v>488</v>
      </c>
      <c r="L222" s="156" t="s">
        <v>489</v>
      </c>
      <c r="M222" s="156" t="s">
        <v>490</v>
      </c>
      <c r="N222" s="156" t="s">
        <v>491</v>
      </c>
      <c r="O222" s="156" t="s">
        <v>492</v>
      </c>
      <c r="P222" s="156" t="s">
        <v>493</v>
      </c>
    </row>
    <row r="223" spans="4:16" x14ac:dyDescent="0.25">
      <c r="D223" s="10" t="s">
        <v>313</v>
      </c>
      <c r="E223" s="10" t="s">
        <v>434</v>
      </c>
      <c r="F223" s="10" t="str">
        <f>F155</f>
        <v>Spring</v>
      </c>
      <c r="G223" s="10">
        <f>G155</f>
        <v>0.5</v>
      </c>
      <c r="H223" s="10">
        <f t="shared" ref="H223:J223" si="34">H155</f>
        <v>0.2</v>
      </c>
      <c r="I223" s="10">
        <f t="shared" si="34"/>
        <v>0.5</v>
      </c>
      <c r="J223" s="10">
        <f t="shared" si="34"/>
        <v>0.4</v>
      </c>
      <c r="K223" s="10">
        <f>K155</f>
        <v>0.3</v>
      </c>
      <c r="L223" s="10">
        <f>K155</f>
        <v>0.3</v>
      </c>
      <c r="M223" s="10">
        <f>L155</f>
        <v>0.5</v>
      </c>
      <c r="N223" s="10">
        <f>M155</f>
        <v>0.4</v>
      </c>
      <c r="O223" s="10">
        <f>M155</f>
        <v>0.4</v>
      </c>
      <c r="P223" s="10">
        <f>M155</f>
        <v>0.4</v>
      </c>
    </row>
    <row r="224" spans="4:16" x14ac:dyDescent="0.25">
      <c r="D224" s="10" t="s">
        <v>313</v>
      </c>
      <c r="E224" s="10" t="s">
        <v>434</v>
      </c>
      <c r="F224" s="10" t="str">
        <f t="shared" ref="F224:K226" si="35">F156</f>
        <v>Summer</v>
      </c>
      <c r="G224" s="10">
        <f t="shared" si="35"/>
        <v>1</v>
      </c>
      <c r="H224" s="10">
        <f t="shared" si="35"/>
        <v>0.4</v>
      </c>
      <c r="I224" s="10">
        <f t="shared" si="35"/>
        <v>0.9</v>
      </c>
      <c r="J224" s="10">
        <f t="shared" si="35"/>
        <v>0.7</v>
      </c>
      <c r="K224" s="10">
        <f t="shared" si="35"/>
        <v>0.3</v>
      </c>
      <c r="L224" s="10">
        <f t="shared" ref="L224:N226" si="36">K156</f>
        <v>0.3</v>
      </c>
      <c r="M224" s="10">
        <f t="shared" si="36"/>
        <v>0.9</v>
      </c>
      <c r="N224" s="10">
        <f t="shared" si="36"/>
        <v>0.4</v>
      </c>
      <c r="O224" s="10">
        <f t="shared" ref="O224:O226" si="37">M156</f>
        <v>0.4</v>
      </c>
      <c r="P224" s="10">
        <f t="shared" ref="P224:P226" si="38">M156</f>
        <v>0.4</v>
      </c>
    </row>
    <row r="225" spans="4:16" x14ac:dyDescent="0.25">
      <c r="D225" s="10" t="s">
        <v>313</v>
      </c>
      <c r="E225" s="10" t="s">
        <v>434</v>
      </c>
      <c r="F225" s="10" t="str">
        <f t="shared" si="35"/>
        <v>Autumn</v>
      </c>
      <c r="G225" s="10">
        <f t="shared" si="35"/>
        <v>0.8</v>
      </c>
      <c r="H225" s="10">
        <f t="shared" si="35"/>
        <v>0.3</v>
      </c>
      <c r="I225" s="10">
        <f t="shared" si="35"/>
        <v>0.7</v>
      </c>
      <c r="J225" s="10">
        <f t="shared" si="35"/>
        <v>0.3</v>
      </c>
      <c r="K225" s="10">
        <f t="shared" si="35"/>
        <v>0.2</v>
      </c>
      <c r="L225" s="10">
        <f t="shared" si="36"/>
        <v>0.2</v>
      </c>
      <c r="M225" s="10">
        <f t="shared" si="36"/>
        <v>0.7</v>
      </c>
      <c r="N225" s="10">
        <f t="shared" si="36"/>
        <v>0.3</v>
      </c>
      <c r="O225" s="10">
        <f t="shared" si="37"/>
        <v>0.3</v>
      </c>
      <c r="P225" s="10">
        <f t="shared" si="38"/>
        <v>0.3</v>
      </c>
    </row>
    <row r="226" spans="4:16" x14ac:dyDescent="0.25">
      <c r="D226" s="10" t="s">
        <v>313</v>
      </c>
      <c r="E226" s="10" t="s">
        <v>434</v>
      </c>
      <c r="F226" s="10" t="str">
        <f t="shared" si="35"/>
        <v>Winter</v>
      </c>
      <c r="G226" s="10">
        <f t="shared" si="35"/>
        <v>0.4</v>
      </c>
      <c r="H226" s="10">
        <f t="shared" si="35"/>
        <v>0.1</v>
      </c>
      <c r="I226" s="10">
        <f t="shared" si="35"/>
        <v>0.4</v>
      </c>
      <c r="J226" s="10">
        <f t="shared" si="35"/>
        <v>0.2</v>
      </c>
      <c r="K226" s="10">
        <f t="shared" si="35"/>
        <v>0.1</v>
      </c>
      <c r="L226" s="10">
        <f t="shared" si="36"/>
        <v>0.1</v>
      </c>
      <c r="M226" s="10">
        <f t="shared" si="36"/>
        <v>0.4</v>
      </c>
      <c r="N226" s="10">
        <f t="shared" si="36"/>
        <v>0.1</v>
      </c>
      <c r="O226" s="10">
        <f t="shared" si="37"/>
        <v>0.1</v>
      </c>
      <c r="P226" s="10">
        <f t="shared" si="38"/>
        <v>0.1</v>
      </c>
    </row>
    <row r="227" spans="4:16" x14ac:dyDescent="0.25">
      <c r="D227" s="10" t="s">
        <v>337</v>
      </c>
      <c r="E227" s="10" t="s">
        <v>434</v>
      </c>
      <c r="F227" s="10" t="str">
        <f>F155</f>
        <v>Spring</v>
      </c>
      <c r="G227" s="10">
        <f>G155</f>
        <v>0.5</v>
      </c>
      <c r="H227" s="10">
        <f t="shared" ref="H227:J227" si="39">H155</f>
        <v>0.2</v>
      </c>
      <c r="I227" s="10">
        <f t="shared" si="39"/>
        <v>0.5</v>
      </c>
      <c r="J227" s="10">
        <f t="shared" si="39"/>
        <v>0.4</v>
      </c>
      <c r="K227" s="10">
        <f>K155</f>
        <v>0.3</v>
      </c>
      <c r="L227" s="10">
        <f>K155</f>
        <v>0.3</v>
      </c>
      <c r="M227" s="10">
        <f t="shared" ref="M227" si="40">L155</f>
        <v>0.5</v>
      </c>
      <c r="N227" s="10">
        <f>M155</f>
        <v>0.4</v>
      </c>
      <c r="O227" s="10">
        <f>M155</f>
        <v>0.4</v>
      </c>
      <c r="P227" s="10">
        <f>M155</f>
        <v>0.4</v>
      </c>
    </row>
    <row r="228" spans="4:16" x14ac:dyDescent="0.25">
      <c r="D228" s="10" t="s">
        <v>337</v>
      </c>
      <c r="E228" s="10" t="s">
        <v>434</v>
      </c>
      <c r="F228" s="10" t="str">
        <f t="shared" ref="F228:K231" si="41">F156</f>
        <v>Summer</v>
      </c>
      <c r="G228" s="10">
        <f t="shared" si="41"/>
        <v>1</v>
      </c>
      <c r="H228" s="10">
        <f t="shared" si="41"/>
        <v>0.4</v>
      </c>
      <c r="I228" s="10">
        <f t="shared" si="41"/>
        <v>0.9</v>
      </c>
      <c r="J228" s="10">
        <f t="shared" si="41"/>
        <v>0.7</v>
      </c>
      <c r="K228" s="10">
        <f t="shared" si="41"/>
        <v>0.3</v>
      </c>
      <c r="L228" s="10">
        <f t="shared" ref="L228:N231" si="42">K156</f>
        <v>0.3</v>
      </c>
      <c r="M228" s="10">
        <f t="shared" si="42"/>
        <v>0.9</v>
      </c>
      <c r="N228" s="10">
        <f t="shared" si="42"/>
        <v>0.4</v>
      </c>
      <c r="O228" s="10">
        <f t="shared" ref="O228:O230" si="43">M156</f>
        <v>0.4</v>
      </c>
      <c r="P228" s="10">
        <f t="shared" ref="P228:P230" si="44">M156</f>
        <v>0.4</v>
      </c>
    </row>
    <row r="229" spans="4:16" x14ac:dyDescent="0.25">
      <c r="D229" s="10" t="s">
        <v>337</v>
      </c>
      <c r="E229" s="10" t="s">
        <v>434</v>
      </c>
      <c r="F229" s="10" t="str">
        <f t="shared" si="41"/>
        <v>Autumn</v>
      </c>
      <c r="G229" s="10">
        <f t="shared" si="41"/>
        <v>0.8</v>
      </c>
      <c r="H229" s="10">
        <f t="shared" si="41"/>
        <v>0.3</v>
      </c>
      <c r="I229" s="10">
        <f t="shared" si="41"/>
        <v>0.7</v>
      </c>
      <c r="J229" s="10">
        <f t="shared" si="41"/>
        <v>0.3</v>
      </c>
      <c r="K229" s="10">
        <f t="shared" si="41"/>
        <v>0.2</v>
      </c>
      <c r="L229" s="10">
        <f t="shared" si="42"/>
        <v>0.2</v>
      </c>
      <c r="M229" s="10">
        <f t="shared" si="42"/>
        <v>0.7</v>
      </c>
      <c r="N229" s="10">
        <f t="shared" si="42"/>
        <v>0.3</v>
      </c>
      <c r="O229" s="10">
        <f t="shared" si="43"/>
        <v>0.3</v>
      </c>
      <c r="P229" s="10">
        <f t="shared" si="44"/>
        <v>0.3</v>
      </c>
    </row>
    <row r="230" spans="4:16" x14ac:dyDescent="0.25">
      <c r="D230" s="10" t="s">
        <v>337</v>
      </c>
      <c r="E230" s="10" t="s">
        <v>434</v>
      </c>
      <c r="F230" s="10" t="str">
        <f t="shared" si="41"/>
        <v>Winter</v>
      </c>
      <c r="G230" s="10">
        <f t="shared" si="41"/>
        <v>0.4</v>
      </c>
      <c r="H230" s="10">
        <f t="shared" si="41"/>
        <v>0.1</v>
      </c>
      <c r="I230" s="10">
        <f t="shared" si="41"/>
        <v>0.4</v>
      </c>
      <c r="J230" s="10">
        <f t="shared" si="41"/>
        <v>0.2</v>
      </c>
      <c r="K230" s="10">
        <f t="shared" si="41"/>
        <v>0.1</v>
      </c>
      <c r="L230" s="10">
        <f t="shared" si="42"/>
        <v>0.1</v>
      </c>
      <c r="M230" s="10">
        <f t="shared" si="42"/>
        <v>0.4</v>
      </c>
      <c r="N230" s="10">
        <f t="shared" si="42"/>
        <v>0.1</v>
      </c>
      <c r="O230" s="10">
        <f t="shared" si="43"/>
        <v>0.1</v>
      </c>
      <c r="P230" s="10">
        <f t="shared" si="44"/>
        <v>0.1</v>
      </c>
    </row>
    <row r="231" spans="4:16" x14ac:dyDescent="0.25">
      <c r="D231" s="10" t="s">
        <v>394</v>
      </c>
      <c r="E231" s="10" t="s">
        <v>434</v>
      </c>
      <c r="F231" s="10" t="str">
        <f>F159</f>
        <v>Spring</v>
      </c>
      <c r="G231" s="10">
        <f>G159</f>
        <v>0.99</v>
      </c>
      <c r="H231" s="10">
        <f t="shared" si="41"/>
        <v>1.1000000000000001</v>
      </c>
      <c r="I231" s="10">
        <f t="shared" si="41"/>
        <v>0.88</v>
      </c>
      <c r="J231" s="10">
        <f t="shared" si="41"/>
        <v>0.55000000000000004</v>
      </c>
      <c r="K231" s="10">
        <f>K159</f>
        <v>0.55000000000000004</v>
      </c>
      <c r="L231" s="10">
        <f>K159</f>
        <v>0.55000000000000004</v>
      </c>
      <c r="M231" s="10">
        <f t="shared" si="42"/>
        <v>0.88</v>
      </c>
      <c r="N231" s="10">
        <f>M159</f>
        <v>0.22</v>
      </c>
      <c r="O231" s="10">
        <f>M159</f>
        <v>0.22</v>
      </c>
      <c r="P231" s="10">
        <f>M159</f>
        <v>0.22</v>
      </c>
    </row>
    <row r="232" spans="4:16" x14ac:dyDescent="0.25">
      <c r="D232" s="10" t="s">
        <v>394</v>
      </c>
      <c r="E232" s="10" t="s">
        <v>434</v>
      </c>
      <c r="F232" s="10" t="str">
        <f t="shared" ref="F232:K247" si="45">F160</f>
        <v>Summer</v>
      </c>
      <c r="G232" s="10">
        <f t="shared" si="45"/>
        <v>0.77</v>
      </c>
      <c r="H232" s="10">
        <f t="shared" si="45"/>
        <v>0</v>
      </c>
      <c r="I232" s="10">
        <f t="shared" si="45"/>
        <v>0.66</v>
      </c>
      <c r="J232" s="10">
        <f t="shared" si="45"/>
        <v>0.22</v>
      </c>
      <c r="K232" s="10">
        <f t="shared" si="45"/>
        <v>0</v>
      </c>
      <c r="L232" s="10">
        <f t="shared" ref="L232:N247" si="46">K160</f>
        <v>0</v>
      </c>
      <c r="M232" s="10">
        <f t="shared" si="46"/>
        <v>0.66</v>
      </c>
      <c r="N232" s="10">
        <f t="shared" si="46"/>
        <v>0</v>
      </c>
      <c r="O232" s="10">
        <f t="shared" ref="O232:O254" si="47">M160</f>
        <v>0</v>
      </c>
      <c r="P232" s="10">
        <f t="shared" ref="P232:P254" si="48">M160</f>
        <v>0</v>
      </c>
    </row>
    <row r="233" spans="4:16" x14ac:dyDescent="0.25">
      <c r="D233" s="10" t="s">
        <v>394</v>
      </c>
      <c r="E233" s="10" t="s">
        <v>434</v>
      </c>
      <c r="F233" s="10" t="str">
        <f t="shared" si="45"/>
        <v>Autumn</v>
      </c>
      <c r="G233" s="10">
        <f t="shared" si="45"/>
        <v>0.9</v>
      </c>
      <c r="H233" s="10">
        <f t="shared" si="45"/>
        <v>-1.1000000000000001</v>
      </c>
      <c r="I233" s="10">
        <f t="shared" si="45"/>
        <v>0.7</v>
      </c>
      <c r="J233" s="10">
        <f t="shared" si="45"/>
        <v>0.22</v>
      </c>
      <c r="K233" s="10">
        <f t="shared" si="45"/>
        <v>-0.55000000000000004</v>
      </c>
      <c r="L233" s="10">
        <f t="shared" si="46"/>
        <v>-0.55000000000000004</v>
      </c>
      <c r="M233" s="10">
        <f t="shared" si="46"/>
        <v>0.8</v>
      </c>
      <c r="N233" s="10">
        <f t="shared" si="46"/>
        <v>-0.22</v>
      </c>
      <c r="O233" s="10">
        <f t="shared" si="47"/>
        <v>-0.22</v>
      </c>
      <c r="P233" s="10">
        <f t="shared" si="48"/>
        <v>-0.22</v>
      </c>
    </row>
    <row r="234" spans="4:16" x14ac:dyDescent="0.25">
      <c r="D234" s="10" t="s">
        <v>394</v>
      </c>
      <c r="E234" s="10" t="s">
        <v>434</v>
      </c>
      <c r="F234" s="10" t="str">
        <f t="shared" si="45"/>
        <v>Winter</v>
      </c>
      <c r="G234" s="10">
        <f t="shared" si="45"/>
        <v>0.88</v>
      </c>
      <c r="H234" s="10">
        <f t="shared" si="45"/>
        <v>0</v>
      </c>
      <c r="I234" s="10">
        <f t="shared" si="45"/>
        <v>0.77</v>
      </c>
      <c r="J234" s="10">
        <f t="shared" si="45"/>
        <v>0.55000000000000004</v>
      </c>
      <c r="K234" s="10">
        <f t="shared" si="45"/>
        <v>0</v>
      </c>
      <c r="L234" s="10">
        <f t="shared" si="46"/>
        <v>0</v>
      </c>
      <c r="M234" s="10">
        <f t="shared" si="46"/>
        <v>0.82</v>
      </c>
      <c r="N234" s="10">
        <f t="shared" si="46"/>
        <v>0</v>
      </c>
      <c r="O234" s="10">
        <f t="shared" si="47"/>
        <v>0</v>
      </c>
      <c r="P234" s="10">
        <f t="shared" si="48"/>
        <v>0</v>
      </c>
    </row>
    <row r="235" spans="4:16" x14ac:dyDescent="0.25">
      <c r="D235" s="10" t="s">
        <v>391</v>
      </c>
      <c r="E235" s="10" t="s">
        <v>434</v>
      </c>
      <c r="F235" s="10" t="str">
        <f t="shared" si="45"/>
        <v>Spring</v>
      </c>
      <c r="G235" s="10">
        <f t="shared" si="45"/>
        <v>1</v>
      </c>
      <c r="H235" s="10">
        <f t="shared" si="45"/>
        <v>0.5</v>
      </c>
      <c r="I235" s="10">
        <f t="shared" si="45"/>
        <v>1</v>
      </c>
      <c r="J235" s="10">
        <f t="shared" si="45"/>
        <v>1</v>
      </c>
      <c r="K235" s="10">
        <f t="shared" si="45"/>
        <v>-0.44</v>
      </c>
      <c r="L235" s="10">
        <f t="shared" si="46"/>
        <v>-0.44</v>
      </c>
      <c r="M235" s="10">
        <f t="shared" si="46"/>
        <v>1</v>
      </c>
      <c r="N235" s="10">
        <f t="shared" si="46"/>
        <v>0.5</v>
      </c>
      <c r="O235" s="10">
        <f t="shared" si="47"/>
        <v>0.5</v>
      </c>
      <c r="P235" s="10">
        <f t="shared" si="48"/>
        <v>0.5</v>
      </c>
    </row>
    <row r="236" spans="4:16" x14ac:dyDescent="0.25">
      <c r="D236" s="10" t="s">
        <v>391</v>
      </c>
      <c r="E236" s="10" t="s">
        <v>434</v>
      </c>
      <c r="F236" s="10" t="str">
        <f t="shared" si="45"/>
        <v>Summer</v>
      </c>
      <c r="G236" s="10">
        <f t="shared" si="45"/>
        <v>0.82</v>
      </c>
      <c r="H236" s="10">
        <f t="shared" si="45"/>
        <v>0.55000000000000004</v>
      </c>
      <c r="I236" s="10">
        <f t="shared" si="45"/>
        <v>0.71</v>
      </c>
      <c r="J236" s="10">
        <f t="shared" si="45"/>
        <v>0.55000000000000004</v>
      </c>
      <c r="K236" s="10">
        <f t="shared" si="45"/>
        <v>0.99</v>
      </c>
      <c r="L236" s="10">
        <f t="shared" si="46"/>
        <v>0.99</v>
      </c>
      <c r="M236" s="10">
        <f t="shared" si="46"/>
        <v>0.77</v>
      </c>
      <c r="N236" s="10">
        <f t="shared" si="46"/>
        <v>0.5</v>
      </c>
      <c r="O236" s="10">
        <f t="shared" si="47"/>
        <v>0.5</v>
      </c>
      <c r="P236" s="10">
        <f t="shared" si="48"/>
        <v>0.5</v>
      </c>
    </row>
    <row r="237" spans="4:16" x14ac:dyDescent="0.25">
      <c r="D237" s="10" t="s">
        <v>391</v>
      </c>
      <c r="E237" s="10" t="s">
        <v>434</v>
      </c>
      <c r="F237" s="10" t="str">
        <f t="shared" si="45"/>
        <v>Autumn</v>
      </c>
      <c r="G237" s="10">
        <f t="shared" si="45"/>
        <v>0.77</v>
      </c>
      <c r="H237" s="10">
        <f t="shared" si="45"/>
        <v>0.5</v>
      </c>
      <c r="I237" s="10">
        <f t="shared" si="45"/>
        <v>0.55000000000000004</v>
      </c>
      <c r="J237" s="10">
        <f t="shared" si="45"/>
        <v>0.11</v>
      </c>
      <c r="K237" s="10">
        <f t="shared" si="45"/>
        <v>-0.33</v>
      </c>
      <c r="L237" s="10">
        <f t="shared" si="46"/>
        <v>-0.33</v>
      </c>
      <c r="M237" s="10">
        <f t="shared" si="46"/>
        <v>0.6</v>
      </c>
      <c r="N237" s="10">
        <f t="shared" si="46"/>
        <v>0.33</v>
      </c>
      <c r="O237" s="10">
        <f t="shared" si="47"/>
        <v>0.33</v>
      </c>
      <c r="P237" s="10">
        <f t="shared" si="48"/>
        <v>0.33</v>
      </c>
    </row>
    <row r="238" spans="4:16" x14ac:dyDescent="0.25">
      <c r="D238" s="10" t="s">
        <v>391</v>
      </c>
      <c r="E238" s="10" t="s">
        <v>434</v>
      </c>
      <c r="F238" s="10" t="str">
        <f t="shared" si="45"/>
        <v>Winter</v>
      </c>
      <c r="G238" s="10">
        <f t="shared" si="45"/>
        <v>0.11</v>
      </c>
      <c r="H238" s="10">
        <f t="shared" si="45"/>
        <v>-0.27</v>
      </c>
      <c r="I238" s="10">
        <f t="shared" si="45"/>
        <v>0.11</v>
      </c>
      <c r="J238" s="10">
        <f t="shared" si="45"/>
        <v>0.22</v>
      </c>
      <c r="K238" s="10">
        <f t="shared" si="45"/>
        <v>-0.44</v>
      </c>
      <c r="L238" s="10">
        <f t="shared" si="46"/>
        <v>-0.44</v>
      </c>
      <c r="M238" s="10">
        <f t="shared" si="46"/>
        <v>0.16</v>
      </c>
      <c r="N238" s="10">
        <f t="shared" si="46"/>
        <v>-0.22</v>
      </c>
      <c r="O238" s="10">
        <f t="shared" si="47"/>
        <v>-0.22</v>
      </c>
      <c r="P238" s="10">
        <f t="shared" si="48"/>
        <v>-0.22</v>
      </c>
    </row>
    <row r="239" spans="4:16" x14ac:dyDescent="0.25">
      <c r="D239" s="10" t="s">
        <v>343</v>
      </c>
      <c r="E239" s="10" t="s">
        <v>434</v>
      </c>
      <c r="F239" s="10" t="str">
        <f t="shared" si="45"/>
        <v>Spring</v>
      </c>
      <c r="G239" s="10">
        <f t="shared" si="45"/>
        <v>1.1000000000000001</v>
      </c>
      <c r="H239" s="10">
        <f t="shared" si="45"/>
        <v>1.1000000000000001</v>
      </c>
      <c r="I239" s="10">
        <f t="shared" si="45"/>
        <v>1.1000000000000001</v>
      </c>
      <c r="J239" s="10">
        <f t="shared" si="45"/>
        <v>0.99</v>
      </c>
      <c r="K239" s="10">
        <f t="shared" si="45"/>
        <v>0.99</v>
      </c>
      <c r="L239" s="10">
        <f t="shared" si="46"/>
        <v>0.99</v>
      </c>
      <c r="M239" s="10">
        <f t="shared" si="46"/>
        <v>1.1000000000000001</v>
      </c>
      <c r="N239" s="10">
        <f t="shared" si="46"/>
        <v>0.77</v>
      </c>
      <c r="O239" s="10">
        <f t="shared" si="47"/>
        <v>0.77</v>
      </c>
      <c r="P239" s="10">
        <f t="shared" si="48"/>
        <v>0.77</v>
      </c>
    </row>
    <row r="240" spans="4:16" x14ac:dyDescent="0.25">
      <c r="D240" s="10" t="s">
        <v>343</v>
      </c>
      <c r="E240" s="10" t="s">
        <v>434</v>
      </c>
      <c r="F240" s="10" t="str">
        <f t="shared" si="45"/>
        <v>Summer</v>
      </c>
      <c r="G240" s="10">
        <f t="shared" si="45"/>
        <v>0.33</v>
      </c>
      <c r="H240" s="10">
        <f t="shared" si="45"/>
        <v>0.33</v>
      </c>
      <c r="I240" s="10">
        <f t="shared" si="45"/>
        <v>0.22</v>
      </c>
      <c r="J240" s="10">
        <f t="shared" si="45"/>
        <v>0.33</v>
      </c>
      <c r="K240" s="10">
        <f t="shared" si="45"/>
        <v>-0.1</v>
      </c>
      <c r="L240" s="10">
        <f t="shared" si="46"/>
        <v>-0.1</v>
      </c>
      <c r="M240" s="10">
        <f t="shared" si="46"/>
        <v>0.33</v>
      </c>
      <c r="N240" s="10">
        <f t="shared" si="46"/>
        <v>0.11</v>
      </c>
      <c r="O240" s="10">
        <f t="shared" si="47"/>
        <v>0.11</v>
      </c>
      <c r="P240" s="10">
        <f t="shared" si="48"/>
        <v>0.11</v>
      </c>
    </row>
    <row r="241" spans="4:16" x14ac:dyDescent="0.25">
      <c r="D241" s="10" t="s">
        <v>343</v>
      </c>
      <c r="E241" s="10" t="s">
        <v>434</v>
      </c>
      <c r="F241" s="10" t="str">
        <f t="shared" si="45"/>
        <v>Autumn</v>
      </c>
      <c r="G241" s="10">
        <f t="shared" si="45"/>
        <v>0.5</v>
      </c>
      <c r="H241" s="10">
        <f t="shared" si="45"/>
        <v>0.2</v>
      </c>
      <c r="I241" s="10">
        <f t="shared" si="45"/>
        <v>0.55000000000000004</v>
      </c>
      <c r="J241" s="10">
        <f t="shared" si="45"/>
        <v>0.44</v>
      </c>
      <c r="K241" s="10">
        <f t="shared" si="45"/>
        <v>0.2</v>
      </c>
      <c r="L241" s="10">
        <f t="shared" si="46"/>
        <v>0.2</v>
      </c>
      <c r="M241" s="10">
        <f t="shared" si="46"/>
        <v>0.55000000000000004</v>
      </c>
      <c r="N241" s="10">
        <f t="shared" si="46"/>
        <v>0.2</v>
      </c>
      <c r="O241" s="10">
        <f t="shared" si="47"/>
        <v>0.2</v>
      </c>
      <c r="P241" s="10">
        <f t="shared" si="48"/>
        <v>0.2</v>
      </c>
    </row>
    <row r="242" spans="4:16" x14ac:dyDescent="0.25">
      <c r="D242" s="10" t="s">
        <v>343</v>
      </c>
      <c r="E242" s="10" t="s">
        <v>434</v>
      </c>
      <c r="F242" s="10" t="str">
        <f t="shared" si="45"/>
        <v>Winter</v>
      </c>
      <c r="G242" s="10">
        <f t="shared" si="45"/>
        <v>0.55000000000000004</v>
      </c>
      <c r="H242" s="10">
        <f t="shared" si="45"/>
        <v>0.22</v>
      </c>
      <c r="I242" s="10">
        <f t="shared" si="45"/>
        <v>0.49</v>
      </c>
      <c r="J242" s="10">
        <f t="shared" si="45"/>
        <v>0.22</v>
      </c>
      <c r="K242" s="10">
        <f t="shared" si="45"/>
        <v>0.22</v>
      </c>
      <c r="L242" s="10">
        <f t="shared" si="46"/>
        <v>0.22</v>
      </c>
      <c r="M242" s="10">
        <f t="shared" si="46"/>
        <v>0.49</v>
      </c>
      <c r="N242" s="10">
        <f t="shared" si="46"/>
        <v>0.33</v>
      </c>
      <c r="O242" s="10">
        <f t="shared" si="47"/>
        <v>0.33</v>
      </c>
      <c r="P242" s="10">
        <f t="shared" si="48"/>
        <v>0.33</v>
      </c>
    </row>
    <row r="243" spans="4:16" x14ac:dyDescent="0.25">
      <c r="D243" s="10" t="s">
        <v>344</v>
      </c>
      <c r="E243" s="10" t="str">
        <f>E171</f>
        <v>South West</v>
      </c>
      <c r="F243" s="10" t="str">
        <f t="shared" si="45"/>
        <v>Spring</v>
      </c>
      <c r="G243" s="10">
        <f t="shared" si="45"/>
        <v>1.64</v>
      </c>
      <c r="H243" s="10">
        <f t="shared" si="45"/>
        <v>1.1000000000000001</v>
      </c>
      <c r="I243" s="10">
        <f t="shared" si="45"/>
        <v>1.21</v>
      </c>
      <c r="J243" s="10">
        <f t="shared" si="45"/>
        <v>0.99</v>
      </c>
      <c r="K243" s="10">
        <f t="shared" si="45"/>
        <v>0.66</v>
      </c>
      <c r="L243" s="10">
        <f t="shared" si="46"/>
        <v>0.66</v>
      </c>
      <c r="M243" s="10">
        <f t="shared" si="46"/>
        <v>1.42</v>
      </c>
      <c r="N243" s="10">
        <f t="shared" si="46"/>
        <v>1.1000000000000001</v>
      </c>
      <c r="O243" s="10">
        <f t="shared" si="47"/>
        <v>1.1000000000000001</v>
      </c>
      <c r="P243" s="10">
        <f t="shared" si="48"/>
        <v>1.1000000000000001</v>
      </c>
    </row>
    <row r="244" spans="4:16" x14ac:dyDescent="0.25">
      <c r="D244" s="10" t="s">
        <v>344</v>
      </c>
      <c r="E244" s="10" t="str">
        <f t="shared" ref="E244:K254" si="49">E172</f>
        <v>South West</v>
      </c>
      <c r="F244" s="10" t="str">
        <f t="shared" si="45"/>
        <v>Summer</v>
      </c>
      <c r="G244" s="10">
        <f t="shared" si="45"/>
        <v>0.44</v>
      </c>
      <c r="H244" s="10">
        <f t="shared" si="45"/>
        <v>-0.22</v>
      </c>
      <c r="I244" s="10">
        <f t="shared" si="45"/>
        <v>0.44</v>
      </c>
      <c r="J244" s="10">
        <f t="shared" si="45"/>
        <v>0.33</v>
      </c>
      <c r="K244" s="10">
        <f t="shared" si="45"/>
        <v>-0.22</v>
      </c>
      <c r="L244" s="10">
        <f t="shared" si="46"/>
        <v>-0.22</v>
      </c>
      <c r="M244" s="10">
        <f t="shared" si="46"/>
        <v>0.44</v>
      </c>
      <c r="N244" s="10">
        <f t="shared" si="46"/>
        <v>-0.11</v>
      </c>
      <c r="O244" s="10">
        <f t="shared" si="47"/>
        <v>-0.11</v>
      </c>
      <c r="P244" s="10">
        <f t="shared" si="48"/>
        <v>-0.11</v>
      </c>
    </row>
    <row r="245" spans="4:16" x14ac:dyDescent="0.25">
      <c r="D245" s="10" t="s">
        <v>344</v>
      </c>
      <c r="E245" s="10" t="str">
        <f t="shared" si="49"/>
        <v>South West</v>
      </c>
      <c r="F245" s="10" t="str">
        <f t="shared" si="45"/>
        <v>Autumn</v>
      </c>
      <c r="G245" s="10">
        <f t="shared" si="45"/>
        <v>0.6</v>
      </c>
      <c r="H245" s="10">
        <f t="shared" si="45"/>
        <v>0</v>
      </c>
      <c r="I245" s="10">
        <f t="shared" si="45"/>
        <v>0.6</v>
      </c>
      <c r="J245" s="10">
        <f t="shared" si="45"/>
        <v>0.22</v>
      </c>
      <c r="K245" s="10">
        <f t="shared" si="45"/>
        <v>-0.55000000000000004</v>
      </c>
      <c r="L245" s="10">
        <f t="shared" si="46"/>
        <v>-0.55000000000000004</v>
      </c>
      <c r="M245" s="10">
        <f t="shared" si="46"/>
        <v>0.6</v>
      </c>
      <c r="N245" s="10">
        <f t="shared" si="46"/>
        <v>0</v>
      </c>
      <c r="O245" s="10">
        <f t="shared" si="47"/>
        <v>0</v>
      </c>
      <c r="P245" s="10">
        <f t="shared" si="48"/>
        <v>0</v>
      </c>
    </row>
    <row r="246" spans="4:16" x14ac:dyDescent="0.25">
      <c r="D246" s="10" t="s">
        <v>344</v>
      </c>
      <c r="E246" s="10" t="str">
        <f t="shared" si="49"/>
        <v>South West</v>
      </c>
      <c r="F246" s="10" t="str">
        <f t="shared" si="45"/>
        <v>Winter</v>
      </c>
      <c r="G246" s="10">
        <f t="shared" si="45"/>
        <v>0.99</v>
      </c>
      <c r="H246" s="10">
        <f t="shared" si="45"/>
        <v>0.22</v>
      </c>
      <c r="I246" s="10">
        <f t="shared" si="45"/>
        <v>0.77</v>
      </c>
      <c r="J246" s="10">
        <f t="shared" si="45"/>
        <v>0.11</v>
      </c>
      <c r="K246" s="10">
        <f t="shared" si="45"/>
        <v>0.11</v>
      </c>
      <c r="L246" s="10">
        <f t="shared" si="46"/>
        <v>0.11</v>
      </c>
      <c r="M246" s="10">
        <f t="shared" si="46"/>
        <v>0.77</v>
      </c>
      <c r="N246" s="10">
        <f t="shared" si="46"/>
        <v>0.44</v>
      </c>
      <c r="O246" s="10">
        <f t="shared" si="47"/>
        <v>0.44</v>
      </c>
      <c r="P246" s="10">
        <f t="shared" si="48"/>
        <v>0.44</v>
      </c>
    </row>
    <row r="247" spans="4:16" x14ac:dyDescent="0.25">
      <c r="D247" s="10" t="s">
        <v>344</v>
      </c>
      <c r="E247" s="10" t="str">
        <f t="shared" si="49"/>
        <v>Pilbara</v>
      </c>
      <c r="F247" s="10" t="str">
        <f t="shared" si="45"/>
        <v>Spring</v>
      </c>
      <c r="G247" s="10">
        <f t="shared" si="45"/>
        <v>0.7</v>
      </c>
      <c r="H247" s="10">
        <f t="shared" si="45"/>
        <v>-0.55000000000000004</v>
      </c>
      <c r="I247" s="10">
        <f t="shared" si="45"/>
        <v>0.7</v>
      </c>
      <c r="J247" s="10">
        <f t="shared" si="45"/>
        <v>0.22</v>
      </c>
      <c r="K247" s="10">
        <f t="shared" si="45"/>
        <v>-0.22</v>
      </c>
      <c r="L247" s="10">
        <f t="shared" si="46"/>
        <v>-0.22</v>
      </c>
      <c r="M247" s="10">
        <f t="shared" si="46"/>
        <v>0.7</v>
      </c>
      <c r="N247" s="10">
        <f t="shared" si="46"/>
        <v>-0.22</v>
      </c>
      <c r="O247" s="10">
        <f t="shared" si="47"/>
        <v>-0.22</v>
      </c>
      <c r="P247" s="10">
        <f t="shared" si="48"/>
        <v>-0.22</v>
      </c>
    </row>
    <row r="248" spans="4:16" x14ac:dyDescent="0.25">
      <c r="D248" s="10" t="s">
        <v>344</v>
      </c>
      <c r="E248" s="10" t="str">
        <f t="shared" si="49"/>
        <v>Pilbara</v>
      </c>
      <c r="F248" s="10" t="str">
        <f t="shared" si="49"/>
        <v>Summer</v>
      </c>
      <c r="G248" s="10">
        <f t="shared" si="49"/>
        <v>0.77</v>
      </c>
      <c r="H248" s="10">
        <f t="shared" si="49"/>
        <v>0.55000000000000004</v>
      </c>
      <c r="I248" s="10">
        <f t="shared" si="49"/>
        <v>0.77</v>
      </c>
      <c r="J248" s="10">
        <f t="shared" si="49"/>
        <v>0.66</v>
      </c>
      <c r="K248" s="10">
        <f t="shared" si="49"/>
        <v>0.55000000000000004</v>
      </c>
      <c r="L248" s="10">
        <f t="shared" ref="L248:N254" si="50">K176</f>
        <v>0.55000000000000004</v>
      </c>
      <c r="M248" s="10">
        <f t="shared" si="50"/>
        <v>0.77</v>
      </c>
      <c r="N248" s="10">
        <f t="shared" si="50"/>
        <v>0.33</v>
      </c>
      <c r="O248" s="10">
        <f t="shared" si="47"/>
        <v>0.33</v>
      </c>
      <c r="P248" s="10">
        <f t="shared" si="48"/>
        <v>0.33</v>
      </c>
    </row>
    <row r="249" spans="4:16" x14ac:dyDescent="0.25">
      <c r="D249" s="10" t="s">
        <v>344</v>
      </c>
      <c r="E249" s="10" t="str">
        <f t="shared" si="49"/>
        <v>Pilbara</v>
      </c>
      <c r="F249" s="10" t="str">
        <f t="shared" si="49"/>
        <v>Autumn</v>
      </c>
      <c r="G249" s="10">
        <f t="shared" si="49"/>
        <v>0.88</v>
      </c>
      <c r="H249" s="10">
        <f t="shared" si="49"/>
        <v>0.55000000000000004</v>
      </c>
      <c r="I249" s="10">
        <f t="shared" si="49"/>
        <v>0.88</v>
      </c>
      <c r="J249" s="10">
        <f t="shared" si="49"/>
        <v>0.22</v>
      </c>
      <c r="K249" s="10">
        <f t="shared" si="49"/>
        <v>0.22</v>
      </c>
      <c r="L249" s="10">
        <f t="shared" si="50"/>
        <v>0.22</v>
      </c>
      <c r="M249" s="10">
        <f t="shared" si="50"/>
        <v>0.88</v>
      </c>
      <c r="N249" s="10">
        <f t="shared" si="50"/>
        <v>0.22</v>
      </c>
      <c r="O249" s="10">
        <f t="shared" si="47"/>
        <v>0.22</v>
      </c>
      <c r="P249" s="10">
        <f t="shared" si="48"/>
        <v>0.22</v>
      </c>
    </row>
    <row r="250" spans="4:16" x14ac:dyDescent="0.25">
      <c r="D250" s="10" t="s">
        <v>344</v>
      </c>
      <c r="E250" s="10" t="str">
        <f t="shared" si="49"/>
        <v>Pilbara</v>
      </c>
      <c r="F250" s="10" t="str">
        <f t="shared" si="49"/>
        <v>Winter</v>
      </c>
      <c r="G250" s="10">
        <f t="shared" si="49"/>
        <v>0.22</v>
      </c>
      <c r="H250" s="10">
        <f t="shared" si="49"/>
        <v>-0.55000000000000004</v>
      </c>
      <c r="I250" s="10">
        <f t="shared" si="49"/>
        <v>0.22</v>
      </c>
      <c r="J250" s="10">
        <f t="shared" si="49"/>
        <v>0.11</v>
      </c>
      <c r="K250" s="10">
        <f t="shared" si="49"/>
        <v>-0.22</v>
      </c>
      <c r="L250" s="10">
        <f t="shared" si="50"/>
        <v>-0.22</v>
      </c>
      <c r="M250" s="10">
        <f t="shared" si="50"/>
        <v>0.22</v>
      </c>
      <c r="N250" s="10">
        <f t="shared" si="50"/>
        <v>-0.33</v>
      </c>
      <c r="O250" s="10">
        <f t="shared" si="47"/>
        <v>-0.33</v>
      </c>
      <c r="P250" s="10">
        <f t="shared" si="48"/>
        <v>-0.33</v>
      </c>
    </row>
    <row r="251" spans="4:16" x14ac:dyDescent="0.25">
      <c r="D251" s="10" t="s">
        <v>344</v>
      </c>
      <c r="E251" s="10" t="str">
        <f t="shared" si="49"/>
        <v>Kimberley</v>
      </c>
      <c r="F251" s="10" t="str">
        <f t="shared" si="49"/>
        <v>Spring</v>
      </c>
      <c r="G251" s="10">
        <f t="shared" si="49"/>
        <v>0.22</v>
      </c>
      <c r="H251" s="10">
        <f t="shared" si="49"/>
        <v>-0.55000000000000004</v>
      </c>
      <c r="I251" s="10">
        <f t="shared" si="49"/>
        <v>0.33</v>
      </c>
      <c r="J251" s="10">
        <f t="shared" si="49"/>
        <v>0.22</v>
      </c>
      <c r="K251" s="10">
        <f t="shared" si="49"/>
        <v>-0.33</v>
      </c>
      <c r="L251" s="10">
        <f t="shared" si="50"/>
        <v>-0.33</v>
      </c>
      <c r="M251" s="10">
        <f t="shared" si="50"/>
        <v>0.22</v>
      </c>
      <c r="N251" s="10">
        <f t="shared" si="50"/>
        <v>-0.55000000000000004</v>
      </c>
      <c r="O251" s="10">
        <f t="shared" si="47"/>
        <v>-0.55000000000000004</v>
      </c>
      <c r="P251" s="10">
        <f t="shared" si="48"/>
        <v>-0.55000000000000004</v>
      </c>
    </row>
    <row r="252" spans="4:16" x14ac:dyDescent="0.25">
      <c r="D252" s="10" t="s">
        <v>344</v>
      </c>
      <c r="E252" s="10" t="str">
        <f t="shared" si="49"/>
        <v>Kimberley</v>
      </c>
      <c r="F252" s="10" t="str">
        <f t="shared" si="49"/>
        <v>Summer</v>
      </c>
      <c r="G252" s="10">
        <f t="shared" si="49"/>
        <v>0.8</v>
      </c>
      <c r="H252" s="10">
        <f t="shared" si="49"/>
        <v>0.55000000000000004</v>
      </c>
      <c r="I252" s="10">
        <f t="shared" si="49"/>
        <v>0.7</v>
      </c>
      <c r="J252" s="10">
        <f t="shared" si="49"/>
        <v>0.44</v>
      </c>
      <c r="K252" s="10">
        <f t="shared" si="49"/>
        <v>0.66</v>
      </c>
      <c r="L252" s="10">
        <f t="shared" si="50"/>
        <v>0.66</v>
      </c>
      <c r="M252" s="10">
        <f t="shared" si="50"/>
        <v>0.8</v>
      </c>
      <c r="N252" s="10">
        <f t="shared" si="50"/>
        <v>0.55000000000000004</v>
      </c>
      <c r="O252" s="10">
        <f t="shared" si="47"/>
        <v>0.55000000000000004</v>
      </c>
      <c r="P252" s="10">
        <f t="shared" si="48"/>
        <v>0.55000000000000004</v>
      </c>
    </row>
    <row r="253" spans="4:16" x14ac:dyDescent="0.25">
      <c r="D253" s="10" t="s">
        <v>344</v>
      </c>
      <c r="E253" s="10" t="str">
        <f t="shared" si="49"/>
        <v>Kimberley</v>
      </c>
      <c r="F253" s="10" t="str">
        <f t="shared" si="49"/>
        <v>Autumn</v>
      </c>
      <c r="G253" s="10">
        <f t="shared" si="49"/>
        <v>0.66</v>
      </c>
      <c r="H253" s="10">
        <f t="shared" si="49"/>
        <v>0.55000000000000004</v>
      </c>
      <c r="I253" s="10">
        <f t="shared" si="49"/>
        <v>0.55000000000000004</v>
      </c>
      <c r="J253" s="10">
        <f t="shared" si="49"/>
        <v>0.55000000000000004</v>
      </c>
      <c r="K253" s="10">
        <f t="shared" si="49"/>
        <v>0.11</v>
      </c>
      <c r="L253" s="10">
        <f t="shared" si="50"/>
        <v>0.11</v>
      </c>
      <c r="M253" s="10">
        <f t="shared" si="50"/>
        <v>0.66</v>
      </c>
      <c r="N253" s="10">
        <f t="shared" si="50"/>
        <v>0.55000000000000004</v>
      </c>
      <c r="O253" s="10">
        <f t="shared" si="47"/>
        <v>0.55000000000000004</v>
      </c>
      <c r="P253" s="10">
        <f t="shared" si="48"/>
        <v>0.55000000000000004</v>
      </c>
    </row>
    <row r="254" spans="4:16" x14ac:dyDescent="0.25">
      <c r="D254" s="10" t="s">
        <v>344</v>
      </c>
      <c r="E254" s="10" t="str">
        <f t="shared" si="49"/>
        <v>Kimberley</v>
      </c>
      <c r="F254" s="10" t="str">
        <f t="shared" si="49"/>
        <v>Winter</v>
      </c>
      <c r="G254" s="10">
        <f t="shared" si="49"/>
        <v>0.33</v>
      </c>
      <c r="H254" s="10">
        <f t="shared" si="49"/>
        <v>-0.55000000000000004</v>
      </c>
      <c r="I254" s="10">
        <f t="shared" si="49"/>
        <v>0.11</v>
      </c>
      <c r="J254" s="10">
        <f t="shared" si="49"/>
        <v>0.11</v>
      </c>
      <c r="K254" s="10">
        <f t="shared" si="49"/>
        <v>-0.44</v>
      </c>
      <c r="L254" s="10">
        <f t="shared" si="50"/>
        <v>-0.44</v>
      </c>
      <c r="M254" s="10">
        <f t="shared" si="50"/>
        <v>0.33</v>
      </c>
      <c r="N254" s="10">
        <f t="shared" si="50"/>
        <v>-0.55000000000000004</v>
      </c>
      <c r="O254" s="10">
        <f t="shared" si="47"/>
        <v>-0.55000000000000004</v>
      </c>
      <c r="P254" s="10">
        <f t="shared" si="48"/>
        <v>-0.55000000000000004</v>
      </c>
    </row>
    <row r="255" spans="4:16" x14ac:dyDescent="0.25">
      <c r="D255" s="10" t="s">
        <v>435</v>
      </c>
      <c r="E255" s="10" t="str">
        <f>E190</f>
        <v>Alice Springs</v>
      </c>
      <c r="F255" s="10" t="str">
        <f>F190</f>
        <v>Spring</v>
      </c>
      <c r="G255" s="10">
        <f>G190</f>
        <v>0.22</v>
      </c>
      <c r="H255" s="10">
        <f t="shared" ref="H255:P255" si="51">H190</f>
        <v>-0.23</v>
      </c>
      <c r="I255" s="10">
        <f t="shared" si="51"/>
        <v>0.25</v>
      </c>
      <c r="J255" s="10">
        <f t="shared" si="51"/>
        <v>0.17</v>
      </c>
      <c r="K255" s="10">
        <f t="shared" si="51"/>
        <v>0.18</v>
      </c>
      <c r="L255" s="10">
        <f t="shared" si="51"/>
        <v>-0.28000000000000003</v>
      </c>
      <c r="M255" s="10">
        <f t="shared" si="51"/>
        <v>0.32</v>
      </c>
      <c r="N255" s="10">
        <f t="shared" si="51"/>
        <v>0.24</v>
      </c>
      <c r="O255" s="10">
        <f t="shared" si="51"/>
        <v>0.25</v>
      </c>
      <c r="P255" s="10">
        <f t="shared" si="51"/>
        <v>-0.05</v>
      </c>
    </row>
    <row r="256" spans="4:16" x14ac:dyDescent="0.25">
      <c r="D256" s="10" t="s">
        <v>435</v>
      </c>
      <c r="E256" s="10" t="str">
        <f t="shared" ref="E256:P271" si="52">E191</f>
        <v>Alice Springs</v>
      </c>
      <c r="F256" s="10" t="str">
        <f t="shared" si="52"/>
        <v>Summer</v>
      </c>
      <c r="G256" s="10">
        <f t="shared" si="52"/>
        <v>0.66</v>
      </c>
      <c r="H256" s="10">
        <f t="shared" si="52"/>
        <v>0.2</v>
      </c>
      <c r="I256" s="10">
        <f t="shared" si="52"/>
        <v>0.62</v>
      </c>
      <c r="J256" s="10">
        <f t="shared" si="52"/>
        <v>0.54</v>
      </c>
      <c r="K256" s="10">
        <f t="shared" si="52"/>
        <v>0.38</v>
      </c>
      <c r="L256" s="10">
        <f t="shared" si="52"/>
        <v>0.27</v>
      </c>
      <c r="M256" s="10">
        <f t="shared" si="52"/>
        <v>0.75</v>
      </c>
      <c r="N256" s="10">
        <f t="shared" si="52"/>
        <v>0.64</v>
      </c>
      <c r="O256" s="10">
        <f t="shared" si="52"/>
        <v>0.55000000000000004</v>
      </c>
      <c r="P256" s="10">
        <f t="shared" si="52"/>
        <v>0.48</v>
      </c>
    </row>
    <row r="257" spans="4:16" x14ac:dyDescent="0.25">
      <c r="D257" s="10" t="s">
        <v>435</v>
      </c>
      <c r="E257" s="10" t="str">
        <f t="shared" si="52"/>
        <v>Alice Springs</v>
      </c>
      <c r="F257" s="10" t="str">
        <f t="shared" si="52"/>
        <v>Autumn</v>
      </c>
      <c r="G257" s="10">
        <f t="shared" si="52"/>
        <v>0.49</v>
      </c>
      <c r="H257" s="10">
        <f t="shared" si="52"/>
        <v>0.13</v>
      </c>
      <c r="I257" s="10">
        <f t="shared" si="52"/>
        <v>0.54</v>
      </c>
      <c r="J257" s="10">
        <f t="shared" si="52"/>
        <v>0.45</v>
      </c>
      <c r="K257" s="10">
        <f t="shared" si="52"/>
        <v>0.35</v>
      </c>
      <c r="L257" s="10">
        <f t="shared" si="52"/>
        <v>0.15</v>
      </c>
      <c r="M257" s="10">
        <f t="shared" si="52"/>
        <v>0.63</v>
      </c>
      <c r="N257" s="10">
        <f t="shared" si="52"/>
        <v>0.54</v>
      </c>
      <c r="O257" s="10">
        <f t="shared" si="52"/>
        <v>0.42</v>
      </c>
      <c r="P257" s="10">
        <f t="shared" si="52"/>
        <v>0.26</v>
      </c>
    </row>
    <row r="258" spans="4:16" x14ac:dyDescent="0.25">
      <c r="D258" s="10" t="s">
        <v>435</v>
      </c>
      <c r="E258" s="10" t="str">
        <f t="shared" si="52"/>
        <v>Alice Springs</v>
      </c>
      <c r="F258" s="10" t="str">
        <f t="shared" si="52"/>
        <v>Winter</v>
      </c>
      <c r="G258" s="10">
        <f t="shared" si="52"/>
        <v>0.27</v>
      </c>
      <c r="H258" s="10">
        <f t="shared" si="52"/>
        <v>-0.8</v>
      </c>
      <c r="I258" s="10">
        <f t="shared" si="52"/>
        <v>0.22</v>
      </c>
      <c r="J258" s="10">
        <f t="shared" si="52"/>
        <v>0.09</v>
      </c>
      <c r="K258" s="10">
        <f t="shared" si="52"/>
        <v>0.12</v>
      </c>
      <c r="L258" s="10">
        <f t="shared" si="52"/>
        <v>0.02</v>
      </c>
      <c r="M258" s="10">
        <f t="shared" si="52"/>
        <v>0.25</v>
      </c>
      <c r="N258" s="10">
        <f t="shared" si="52"/>
        <v>0.18</v>
      </c>
      <c r="O258" s="10">
        <f t="shared" si="52"/>
        <v>0.12</v>
      </c>
      <c r="P258" s="10">
        <f t="shared" si="52"/>
        <v>0.03</v>
      </c>
    </row>
    <row r="259" spans="4:16" x14ac:dyDescent="0.25">
      <c r="D259" s="10" t="s">
        <v>435</v>
      </c>
      <c r="E259" s="10" t="str">
        <f t="shared" si="52"/>
        <v>Barkly</v>
      </c>
      <c r="F259" s="10" t="str">
        <f t="shared" si="52"/>
        <v>Spring</v>
      </c>
      <c r="G259" s="10">
        <f t="shared" si="52"/>
        <v>0.22</v>
      </c>
      <c r="H259" s="10">
        <f t="shared" si="52"/>
        <v>-0.44</v>
      </c>
      <c r="I259" s="10">
        <f t="shared" si="52"/>
        <v>0.2</v>
      </c>
      <c r="J259" s="10">
        <f t="shared" si="52"/>
        <v>0.21</v>
      </c>
      <c r="K259" s="10">
        <f t="shared" si="52"/>
        <v>0.18</v>
      </c>
      <c r="L259" s="10">
        <f t="shared" si="52"/>
        <v>0.01</v>
      </c>
      <c r="M259" s="10">
        <f t="shared" si="52"/>
        <v>0.12</v>
      </c>
      <c r="N259" s="10">
        <f t="shared" si="52"/>
        <v>0.09</v>
      </c>
      <c r="O259" s="10" t="str">
        <f t="shared" si="52"/>
        <v>NO</v>
      </c>
      <c r="P259" s="10" t="str">
        <f t="shared" si="52"/>
        <v>NO</v>
      </c>
    </row>
    <row r="260" spans="4:16" x14ac:dyDescent="0.25">
      <c r="D260" s="10" t="s">
        <v>435</v>
      </c>
      <c r="E260" s="10" t="str">
        <f t="shared" si="52"/>
        <v>Barkly</v>
      </c>
      <c r="F260" s="10" t="str">
        <f t="shared" si="52"/>
        <v>Summer</v>
      </c>
      <c r="G260" s="10">
        <f t="shared" si="52"/>
        <v>0.66</v>
      </c>
      <c r="H260" s="10">
        <f t="shared" si="52"/>
        <v>0.22</v>
      </c>
      <c r="I260" s="10">
        <f t="shared" si="52"/>
        <v>0.68</v>
      </c>
      <c r="J260" s="10">
        <f t="shared" si="52"/>
        <v>0.22</v>
      </c>
      <c r="K260" s="10">
        <f t="shared" si="52"/>
        <v>0.24</v>
      </c>
      <c r="L260" s="10">
        <f t="shared" si="52"/>
        <v>0.25</v>
      </c>
      <c r="M260" s="10">
        <f t="shared" si="52"/>
        <v>0.64</v>
      </c>
      <c r="N260" s="10">
        <f t="shared" si="52"/>
        <v>0.37</v>
      </c>
      <c r="O260" s="10" t="str">
        <f t="shared" si="52"/>
        <v>NO</v>
      </c>
      <c r="P260" s="10" t="str">
        <f t="shared" si="52"/>
        <v>NO</v>
      </c>
    </row>
    <row r="261" spans="4:16" x14ac:dyDescent="0.25">
      <c r="D261" s="10" t="s">
        <v>435</v>
      </c>
      <c r="E261" s="10" t="str">
        <f t="shared" si="52"/>
        <v>Barkly</v>
      </c>
      <c r="F261" s="10" t="str">
        <f t="shared" si="52"/>
        <v>Autumn</v>
      </c>
      <c r="G261" s="10">
        <f t="shared" si="52"/>
        <v>0.49</v>
      </c>
      <c r="H261" s="10">
        <f t="shared" si="52"/>
        <v>0.05</v>
      </c>
      <c r="I261" s="10">
        <f t="shared" si="52"/>
        <v>0.64</v>
      </c>
      <c r="J261" s="10">
        <f t="shared" si="52"/>
        <v>0.25</v>
      </c>
      <c r="K261" s="10">
        <f t="shared" si="52"/>
        <v>0.28999999999999998</v>
      </c>
      <c r="L261" s="10">
        <f t="shared" si="52"/>
        <v>0.12</v>
      </c>
      <c r="M261" s="10">
        <f t="shared" si="52"/>
        <v>0.56999999999999995</v>
      </c>
      <c r="N261" s="10">
        <f t="shared" si="52"/>
        <v>0.49</v>
      </c>
      <c r="O261" s="10" t="str">
        <f t="shared" si="52"/>
        <v>NO</v>
      </c>
      <c r="P261" s="10" t="str">
        <f t="shared" si="52"/>
        <v>NO</v>
      </c>
    </row>
    <row r="262" spans="4:16" x14ac:dyDescent="0.25">
      <c r="D262" s="10" t="s">
        <v>435</v>
      </c>
      <c r="E262" s="10" t="str">
        <f t="shared" si="52"/>
        <v>Barkly</v>
      </c>
      <c r="F262" s="10" t="str">
        <f t="shared" si="52"/>
        <v>Winter</v>
      </c>
      <c r="G262" s="10">
        <f t="shared" si="52"/>
        <v>0.27</v>
      </c>
      <c r="H262" s="10">
        <f t="shared" si="52"/>
        <v>-0.27</v>
      </c>
      <c r="I262" s="10">
        <f t="shared" si="52"/>
        <v>0.31</v>
      </c>
      <c r="J262" s="10">
        <f t="shared" si="52"/>
        <v>0.28999999999999998</v>
      </c>
      <c r="K262" s="10">
        <f t="shared" si="52"/>
        <v>0.19</v>
      </c>
      <c r="L262" s="10">
        <f t="shared" si="52"/>
        <v>0.04</v>
      </c>
      <c r="M262" s="10">
        <f t="shared" si="52"/>
        <v>0.26</v>
      </c>
      <c r="N262" s="10">
        <f t="shared" si="52"/>
        <v>0.28000000000000003</v>
      </c>
      <c r="O262" s="10" t="str">
        <f t="shared" si="52"/>
        <v>NO</v>
      </c>
      <c r="P262" s="10" t="str">
        <f t="shared" si="52"/>
        <v>NO</v>
      </c>
    </row>
    <row r="263" spans="4:16" x14ac:dyDescent="0.25">
      <c r="D263" s="10" t="s">
        <v>435</v>
      </c>
      <c r="E263" s="10" t="str">
        <f t="shared" si="52"/>
        <v>Northern</v>
      </c>
      <c r="F263" s="10" t="str">
        <f t="shared" si="52"/>
        <v>Spring</v>
      </c>
      <c r="G263" s="10">
        <f t="shared" si="52"/>
        <v>0.22</v>
      </c>
      <c r="H263" s="10">
        <f t="shared" si="52"/>
        <v>-0.44</v>
      </c>
      <c r="I263" s="10">
        <f t="shared" si="52"/>
        <v>0</v>
      </c>
      <c r="J263" s="10">
        <f t="shared" si="52"/>
        <v>0.15</v>
      </c>
      <c r="K263" s="10">
        <f t="shared" si="52"/>
        <v>0.08</v>
      </c>
      <c r="L263" s="10">
        <f t="shared" si="52"/>
        <v>0.17</v>
      </c>
      <c r="M263" s="10">
        <f t="shared" si="52"/>
        <v>0.06</v>
      </c>
      <c r="N263" s="10">
        <f t="shared" si="52"/>
        <v>0.02</v>
      </c>
      <c r="O263" s="10">
        <f t="shared" si="52"/>
        <v>-0.14000000000000001</v>
      </c>
      <c r="P263" s="10" t="str">
        <f t="shared" si="52"/>
        <v>NO</v>
      </c>
    </row>
    <row r="264" spans="4:16" x14ac:dyDescent="0.25">
      <c r="D264" s="10" t="s">
        <v>435</v>
      </c>
      <c r="E264" s="10" t="str">
        <f t="shared" si="52"/>
        <v>Northern</v>
      </c>
      <c r="F264" s="10" t="str">
        <f t="shared" si="52"/>
        <v>Summer</v>
      </c>
      <c r="G264" s="10">
        <f t="shared" si="52"/>
        <v>0.66</v>
      </c>
      <c r="H264" s="10">
        <f t="shared" si="52"/>
        <v>0.22</v>
      </c>
      <c r="I264" s="10">
        <f t="shared" si="52"/>
        <v>0.79</v>
      </c>
      <c r="J264" s="10">
        <f t="shared" si="52"/>
        <v>0.4</v>
      </c>
      <c r="K264" s="10">
        <f t="shared" si="52"/>
        <v>0.38</v>
      </c>
      <c r="L264" s="10">
        <f t="shared" si="52"/>
        <v>0.27</v>
      </c>
      <c r="M264" s="10">
        <f t="shared" si="52"/>
        <v>0.8</v>
      </c>
      <c r="N264" s="10">
        <f t="shared" si="52"/>
        <v>0.16</v>
      </c>
      <c r="O264" s="10">
        <f t="shared" si="52"/>
        <v>0.3</v>
      </c>
      <c r="P264" s="10" t="str">
        <f t="shared" si="52"/>
        <v>NO</v>
      </c>
    </row>
    <row r="265" spans="4:16" x14ac:dyDescent="0.25">
      <c r="D265" s="10" t="s">
        <v>435</v>
      </c>
      <c r="E265" s="10" t="str">
        <f t="shared" si="52"/>
        <v>Northern</v>
      </c>
      <c r="F265" s="10" t="str">
        <f t="shared" si="52"/>
        <v>Autumn</v>
      </c>
      <c r="G265" s="10">
        <f t="shared" si="52"/>
        <v>0.49</v>
      </c>
      <c r="H265" s="10">
        <f t="shared" si="52"/>
        <v>0.05</v>
      </c>
      <c r="I265" s="10">
        <f t="shared" si="52"/>
        <v>0.55000000000000004</v>
      </c>
      <c r="J265" s="10">
        <f t="shared" si="52"/>
        <v>0.38</v>
      </c>
      <c r="K265" s="10">
        <f t="shared" si="52"/>
        <v>0.36</v>
      </c>
      <c r="L265" s="10">
        <f t="shared" si="52"/>
        <v>0.06</v>
      </c>
      <c r="M265" s="10">
        <f t="shared" si="52"/>
        <v>0.57999999999999996</v>
      </c>
      <c r="N265" s="10">
        <f t="shared" si="52"/>
        <v>0.23</v>
      </c>
      <c r="O265" s="10">
        <f t="shared" si="52"/>
        <v>0.4</v>
      </c>
      <c r="P265" s="10" t="str">
        <f t="shared" si="52"/>
        <v>NO</v>
      </c>
    </row>
    <row r="266" spans="4:16" x14ac:dyDescent="0.25">
      <c r="D266" s="10" t="s">
        <v>435</v>
      </c>
      <c r="E266" s="10" t="str">
        <f t="shared" si="52"/>
        <v>Northern</v>
      </c>
      <c r="F266" s="10" t="str">
        <f t="shared" si="52"/>
        <v>Winter</v>
      </c>
      <c r="G266" s="10">
        <f t="shared" si="52"/>
        <v>0.27</v>
      </c>
      <c r="H266" s="10">
        <f t="shared" si="52"/>
        <v>-0.27</v>
      </c>
      <c r="I266" s="10">
        <f t="shared" si="52"/>
        <v>0.02</v>
      </c>
      <c r="J266" s="10">
        <f t="shared" si="52"/>
        <v>0.09</v>
      </c>
      <c r="K266" s="10">
        <f t="shared" si="52"/>
        <v>0.16</v>
      </c>
      <c r="L266" s="10">
        <f t="shared" si="52"/>
        <v>-0.04</v>
      </c>
      <c r="M266" s="10">
        <f t="shared" si="52"/>
        <v>0.21</v>
      </c>
      <c r="N266" s="10">
        <f t="shared" si="52"/>
        <v>0.03</v>
      </c>
      <c r="O266" s="10">
        <f t="shared" si="52"/>
        <v>0.11</v>
      </c>
      <c r="P266" s="10" t="str">
        <f t="shared" si="52"/>
        <v>NO</v>
      </c>
    </row>
    <row r="267" spans="4:16" x14ac:dyDescent="0.25">
      <c r="D267" s="10" t="s">
        <v>338</v>
      </c>
      <c r="E267" s="10" t="str">
        <f t="shared" si="52"/>
        <v>High</v>
      </c>
      <c r="F267" s="10" t="str">
        <f t="shared" si="52"/>
        <v>Spring</v>
      </c>
      <c r="G267" s="10">
        <f t="shared" si="52"/>
        <v>0.27</v>
      </c>
      <c r="H267" s="10">
        <f t="shared" si="52"/>
        <v>-0.19</v>
      </c>
      <c r="I267" s="10">
        <f t="shared" si="52"/>
        <v>0.38</v>
      </c>
      <c r="J267" s="10">
        <f t="shared" si="52"/>
        <v>0.25</v>
      </c>
      <c r="K267" s="10">
        <f t="shared" si="52"/>
        <v>7.0000000000000007E-2</v>
      </c>
      <c r="L267" s="10">
        <f t="shared" si="52"/>
        <v>0.05</v>
      </c>
      <c r="M267" s="10">
        <f t="shared" si="52"/>
        <v>0.52</v>
      </c>
      <c r="N267" s="10">
        <f t="shared" si="52"/>
        <v>0.55000000000000004</v>
      </c>
      <c r="O267" s="10">
        <f t="shared" si="52"/>
        <v>0.19</v>
      </c>
      <c r="P267" s="10">
        <f t="shared" si="52"/>
        <v>0.6</v>
      </c>
    </row>
    <row r="268" spans="4:16" x14ac:dyDescent="0.25">
      <c r="D268" s="10" t="s">
        <v>338</v>
      </c>
      <c r="E268" s="10" t="str">
        <f t="shared" si="52"/>
        <v>High</v>
      </c>
      <c r="F268" s="10" t="str">
        <f t="shared" si="52"/>
        <v>Summer</v>
      </c>
      <c r="G268" s="10">
        <f t="shared" si="52"/>
        <v>0.16</v>
      </c>
      <c r="H268" s="10">
        <f t="shared" si="52"/>
        <v>0.16</v>
      </c>
      <c r="I268" s="10">
        <f t="shared" si="52"/>
        <v>0.8</v>
      </c>
      <c r="J268" s="10">
        <f t="shared" si="52"/>
        <v>0.56999999999999995</v>
      </c>
      <c r="K268" s="10">
        <f t="shared" si="52"/>
        <v>0.76</v>
      </c>
      <c r="L268" s="10">
        <f t="shared" si="52"/>
        <v>0.49</v>
      </c>
      <c r="M268" s="10">
        <f t="shared" si="52"/>
        <v>0.84</v>
      </c>
      <c r="N268" s="10">
        <f t="shared" si="52"/>
        <v>0.51</v>
      </c>
      <c r="O268" s="10">
        <f t="shared" si="52"/>
        <v>0.36</v>
      </c>
      <c r="P268" s="10">
        <f t="shared" si="52"/>
        <v>0.17</v>
      </c>
    </row>
    <row r="269" spans="4:16" x14ac:dyDescent="0.25">
      <c r="D269" s="10" t="s">
        <v>338</v>
      </c>
      <c r="E269" s="10" t="str">
        <f t="shared" si="52"/>
        <v>High</v>
      </c>
      <c r="F269" s="10" t="str">
        <f t="shared" si="52"/>
        <v>Autumn</v>
      </c>
      <c r="G269" s="10">
        <f t="shared" si="52"/>
        <v>0.45</v>
      </c>
      <c r="H269" s="10">
        <f t="shared" si="52"/>
        <v>0.1</v>
      </c>
      <c r="I269" s="10">
        <f t="shared" si="52"/>
        <v>0.49</v>
      </c>
      <c r="J269" s="10">
        <f t="shared" si="52"/>
        <v>0.41</v>
      </c>
      <c r="K269" s="10">
        <f t="shared" si="52"/>
        <v>0.4</v>
      </c>
      <c r="L269" s="10">
        <f t="shared" si="52"/>
        <v>0.17</v>
      </c>
      <c r="M269" s="10">
        <f t="shared" si="52"/>
        <v>0.54</v>
      </c>
      <c r="N269" s="10">
        <f t="shared" si="52"/>
        <v>0.64</v>
      </c>
      <c r="O269" s="10">
        <f t="shared" si="52"/>
        <v>-0.05</v>
      </c>
      <c r="P269" s="10">
        <f t="shared" si="52"/>
        <v>0.32</v>
      </c>
    </row>
    <row r="270" spans="4:16" x14ac:dyDescent="0.25">
      <c r="D270" s="10" t="s">
        <v>338</v>
      </c>
      <c r="E270" s="10" t="str">
        <f t="shared" si="52"/>
        <v>High</v>
      </c>
      <c r="F270" s="10" t="str">
        <f t="shared" si="52"/>
        <v>Winter</v>
      </c>
      <c r="G270" s="10">
        <f t="shared" si="52"/>
        <v>0.51</v>
      </c>
      <c r="H270" s="10">
        <f t="shared" si="52"/>
        <v>-7.0000000000000007E-2</v>
      </c>
      <c r="I270" s="10">
        <f t="shared" si="52"/>
        <v>0.13</v>
      </c>
      <c r="J270" s="10">
        <f t="shared" si="52"/>
        <v>-0.09</v>
      </c>
      <c r="K270" s="10">
        <f t="shared" si="52"/>
        <v>-0.13</v>
      </c>
      <c r="L270" s="10">
        <f t="shared" si="52"/>
        <v>7.0000000000000007E-2</v>
      </c>
      <c r="M270" s="10">
        <f t="shared" si="52"/>
        <v>0.25</v>
      </c>
      <c r="N270" s="10">
        <f t="shared" si="52"/>
        <v>0.71</v>
      </c>
      <c r="O270" s="10">
        <f t="shared" si="52"/>
        <v>0.17</v>
      </c>
      <c r="P270" s="10">
        <f t="shared" si="52"/>
        <v>0.43</v>
      </c>
    </row>
    <row r="271" spans="4:16" x14ac:dyDescent="0.25">
      <c r="D271" s="10" t="s">
        <v>338</v>
      </c>
      <c r="E271" s="10" t="str">
        <f t="shared" si="52"/>
        <v>Moderate/High</v>
      </c>
      <c r="F271" s="10" t="str">
        <f t="shared" si="52"/>
        <v>Spring</v>
      </c>
      <c r="G271" s="10">
        <f t="shared" si="52"/>
        <v>-0.12</v>
      </c>
      <c r="H271" s="10">
        <f t="shared" si="52"/>
        <v>-0.19</v>
      </c>
      <c r="I271" s="10">
        <f t="shared" si="52"/>
        <v>0.41</v>
      </c>
      <c r="J271" s="10">
        <f t="shared" si="52"/>
        <v>0.09</v>
      </c>
      <c r="K271" s="10">
        <f t="shared" si="52"/>
        <v>0.41</v>
      </c>
      <c r="L271" s="10">
        <f t="shared" si="52"/>
        <v>-0.19</v>
      </c>
      <c r="M271" s="10">
        <f t="shared" si="52"/>
        <v>7.0000000000000007E-2</v>
      </c>
      <c r="N271" s="10">
        <f t="shared" si="52"/>
        <v>1.07</v>
      </c>
      <c r="O271" s="10">
        <f t="shared" si="52"/>
        <v>-0.08</v>
      </c>
      <c r="P271" s="10">
        <f t="shared" si="52"/>
        <v>0</v>
      </c>
    </row>
    <row r="272" spans="4:16" x14ac:dyDescent="0.25">
      <c r="D272" s="10" t="s">
        <v>338</v>
      </c>
      <c r="E272" s="10" t="str">
        <f t="shared" ref="E272:P282" si="53">E207</f>
        <v>Moderate/High</v>
      </c>
      <c r="F272" s="10" t="str">
        <f t="shared" si="53"/>
        <v>Summer</v>
      </c>
      <c r="G272" s="10">
        <f t="shared" si="53"/>
        <v>0.65</v>
      </c>
      <c r="H272" s="10">
        <f t="shared" si="53"/>
        <v>0.19</v>
      </c>
      <c r="I272" s="10">
        <f t="shared" si="53"/>
        <v>0.65</v>
      </c>
      <c r="J272" s="10">
        <f t="shared" si="53"/>
        <v>0.51</v>
      </c>
      <c r="K272" s="10">
        <f t="shared" si="53"/>
        <v>0.18</v>
      </c>
      <c r="L272" s="10">
        <f t="shared" si="53"/>
        <v>0.63</v>
      </c>
      <c r="M272" s="10">
        <f t="shared" si="53"/>
        <v>1.3</v>
      </c>
      <c r="N272" s="10">
        <f t="shared" si="53"/>
        <v>0.48</v>
      </c>
      <c r="O272" s="10">
        <f t="shared" si="53"/>
        <v>1.1200000000000001</v>
      </c>
      <c r="P272" s="10">
        <f t="shared" si="53"/>
        <v>0.38</v>
      </c>
    </row>
    <row r="273" spans="4:16" x14ac:dyDescent="0.25">
      <c r="D273" s="10" t="s">
        <v>338</v>
      </c>
      <c r="E273" s="10" t="str">
        <f t="shared" si="53"/>
        <v>Moderate/High</v>
      </c>
      <c r="F273" s="10" t="str">
        <f t="shared" si="53"/>
        <v>Autumn</v>
      </c>
      <c r="G273" s="10">
        <f t="shared" si="53"/>
        <v>0.7</v>
      </c>
      <c r="H273" s="10">
        <f t="shared" si="53"/>
        <v>0.13</v>
      </c>
      <c r="I273" s="10">
        <f t="shared" si="53"/>
        <v>0.52</v>
      </c>
      <c r="J273" s="10">
        <f t="shared" si="53"/>
        <v>0.34</v>
      </c>
      <c r="K273" s="10">
        <f t="shared" si="53"/>
        <v>0.02</v>
      </c>
      <c r="L273" s="10">
        <f t="shared" si="53"/>
        <v>0.04</v>
      </c>
      <c r="M273" s="10">
        <f t="shared" si="53"/>
        <v>0.77</v>
      </c>
      <c r="N273" s="10">
        <f t="shared" si="53"/>
        <v>0.42</v>
      </c>
      <c r="O273" s="10">
        <f t="shared" si="53"/>
        <v>0.12</v>
      </c>
      <c r="P273" s="10">
        <f t="shared" si="53"/>
        <v>0.74</v>
      </c>
    </row>
    <row r="274" spans="4:16" x14ac:dyDescent="0.25">
      <c r="D274" s="10" t="s">
        <v>338</v>
      </c>
      <c r="E274" s="10" t="str">
        <f t="shared" si="53"/>
        <v>Moderate/High</v>
      </c>
      <c r="F274" s="10" t="str">
        <f t="shared" si="53"/>
        <v>Winter</v>
      </c>
      <c r="G274" s="10">
        <f t="shared" si="53"/>
        <v>0.32</v>
      </c>
      <c r="H274" s="10">
        <f t="shared" si="53"/>
        <v>-0.06</v>
      </c>
      <c r="I274" s="10">
        <f t="shared" si="53"/>
        <v>0.25</v>
      </c>
      <c r="J274" s="10">
        <f t="shared" si="53"/>
        <v>0.19</v>
      </c>
      <c r="K274" s="10">
        <f t="shared" si="53"/>
        <v>-0.1</v>
      </c>
      <c r="L274" s="10">
        <f t="shared" si="53"/>
        <v>-0.02</v>
      </c>
      <c r="M274" s="10">
        <f t="shared" si="53"/>
        <v>0.02</v>
      </c>
      <c r="N274" s="10">
        <f t="shared" si="53"/>
        <v>0.23</v>
      </c>
      <c r="O274" s="10">
        <f t="shared" si="53"/>
        <v>-0.13</v>
      </c>
      <c r="P274" s="10">
        <f t="shared" si="53"/>
        <v>0</v>
      </c>
    </row>
    <row r="275" spans="4:16" x14ac:dyDescent="0.25">
      <c r="D275" s="10" t="s">
        <v>338</v>
      </c>
      <c r="E275" s="10" t="str">
        <f t="shared" si="53"/>
        <v>Moderate/Low</v>
      </c>
      <c r="F275" s="10" t="str">
        <f t="shared" si="53"/>
        <v>Spring</v>
      </c>
      <c r="G275" s="10">
        <f t="shared" si="53"/>
        <v>0.62</v>
      </c>
      <c r="H275" s="10">
        <f t="shared" si="53"/>
        <v>-0.19</v>
      </c>
      <c r="I275" s="10">
        <f t="shared" si="53"/>
        <v>0.37</v>
      </c>
      <c r="J275" s="10">
        <f t="shared" si="53"/>
        <v>0.41</v>
      </c>
      <c r="K275" s="10">
        <f t="shared" si="53"/>
        <v>0.06</v>
      </c>
      <c r="L275" s="10">
        <f t="shared" si="53"/>
        <v>-0.02</v>
      </c>
      <c r="M275" s="10">
        <f t="shared" si="53"/>
        <v>0.47</v>
      </c>
      <c r="N275" s="10">
        <f t="shared" si="53"/>
        <v>0.44</v>
      </c>
      <c r="O275" s="10">
        <f t="shared" si="53"/>
        <v>0.3</v>
      </c>
      <c r="P275" s="10">
        <f t="shared" si="53"/>
        <v>0.13</v>
      </c>
    </row>
    <row r="276" spans="4:16" x14ac:dyDescent="0.25">
      <c r="D276" s="10" t="s">
        <v>338</v>
      </c>
      <c r="E276" s="10" t="str">
        <f t="shared" si="53"/>
        <v>Moderate/Low</v>
      </c>
      <c r="F276" s="10" t="str">
        <f t="shared" si="53"/>
        <v>Summer</v>
      </c>
      <c r="G276" s="10">
        <f t="shared" si="53"/>
        <v>0.05</v>
      </c>
      <c r="H276" s="10">
        <f t="shared" si="53"/>
        <v>0.19</v>
      </c>
      <c r="I276" s="10">
        <f t="shared" si="53"/>
        <v>0.31</v>
      </c>
      <c r="J276" s="10">
        <f t="shared" si="53"/>
        <v>0.54</v>
      </c>
      <c r="K276" s="10">
        <f t="shared" si="53"/>
        <v>0.53</v>
      </c>
      <c r="L276" s="10">
        <f t="shared" si="53"/>
        <v>0.15</v>
      </c>
      <c r="M276" s="10">
        <f t="shared" si="53"/>
        <v>0.28000000000000003</v>
      </c>
      <c r="N276" s="10">
        <f t="shared" si="53"/>
        <v>0.56999999999999995</v>
      </c>
      <c r="O276" s="10">
        <f t="shared" si="53"/>
        <v>0.42</v>
      </c>
      <c r="P276" s="10">
        <f t="shared" si="53"/>
        <v>0.4</v>
      </c>
    </row>
    <row r="277" spans="4:16" x14ac:dyDescent="0.25">
      <c r="D277" s="10" t="s">
        <v>338</v>
      </c>
      <c r="E277" s="10" t="str">
        <f t="shared" si="53"/>
        <v>Moderate/Low</v>
      </c>
      <c r="F277" s="10" t="str">
        <f t="shared" si="53"/>
        <v>Autumn</v>
      </c>
      <c r="G277" s="10">
        <f t="shared" si="53"/>
        <v>0.33</v>
      </c>
      <c r="H277" s="10">
        <f t="shared" si="53"/>
        <v>0.13</v>
      </c>
      <c r="I277" s="10">
        <f t="shared" si="53"/>
        <v>0.39</v>
      </c>
      <c r="J277" s="10">
        <f t="shared" si="53"/>
        <v>0.36</v>
      </c>
      <c r="K277" s="10">
        <f t="shared" si="53"/>
        <v>0.26</v>
      </c>
      <c r="L277" s="10">
        <f t="shared" si="53"/>
        <v>0.11</v>
      </c>
      <c r="M277" s="10">
        <f t="shared" si="53"/>
        <v>0.4</v>
      </c>
      <c r="N277" s="10">
        <f t="shared" si="53"/>
        <v>0.44</v>
      </c>
      <c r="O277" s="10">
        <f t="shared" si="53"/>
        <v>0.37</v>
      </c>
      <c r="P277" s="10">
        <f t="shared" si="53"/>
        <v>-0.01</v>
      </c>
    </row>
    <row r="278" spans="4:16" x14ac:dyDescent="0.25">
      <c r="D278" s="10" t="s">
        <v>338</v>
      </c>
      <c r="E278" s="10" t="str">
        <f t="shared" si="53"/>
        <v>Moderate/Low</v>
      </c>
      <c r="F278" s="10" t="str">
        <f t="shared" si="53"/>
        <v>Winter</v>
      </c>
      <c r="G278" s="10">
        <f t="shared" si="53"/>
        <v>0.61</v>
      </c>
      <c r="H278" s="10">
        <f t="shared" si="53"/>
        <v>-0.06</v>
      </c>
      <c r="I278" s="10">
        <f t="shared" si="53"/>
        <v>0.21</v>
      </c>
      <c r="J278" s="10">
        <f t="shared" si="53"/>
        <v>0.18</v>
      </c>
      <c r="K278" s="10">
        <f t="shared" si="53"/>
        <v>0.12</v>
      </c>
      <c r="L278" s="10">
        <f t="shared" si="53"/>
        <v>0.06</v>
      </c>
      <c r="M278" s="10">
        <f t="shared" si="53"/>
        <v>0.28999999999999998</v>
      </c>
      <c r="N278" s="10">
        <f t="shared" si="53"/>
        <v>0.41</v>
      </c>
      <c r="O278" s="10">
        <f t="shared" si="53"/>
        <v>0.41</v>
      </c>
      <c r="P278" s="10">
        <f t="shared" si="53"/>
        <v>-0.15</v>
      </c>
    </row>
    <row r="279" spans="4:16" x14ac:dyDescent="0.25">
      <c r="D279" s="10" t="s">
        <v>338</v>
      </c>
      <c r="E279" s="10" t="str">
        <f t="shared" si="53"/>
        <v>Low</v>
      </c>
      <c r="F279" s="10" t="str">
        <f t="shared" si="53"/>
        <v>Spring</v>
      </c>
      <c r="G279" s="10">
        <f t="shared" si="53"/>
        <v>-0.2</v>
      </c>
      <c r="H279" s="10">
        <f t="shared" si="53"/>
        <v>0.02</v>
      </c>
      <c r="I279" s="10">
        <f t="shared" si="53"/>
        <v>0.24</v>
      </c>
      <c r="J279" s="10">
        <f t="shared" si="53"/>
        <v>0.3</v>
      </c>
      <c r="K279" s="10">
        <f t="shared" si="53"/>
        <v>0.23</v>
      </c>
      <c r="L279" s="10">
        <f t="shared" si="53"/>
        <v>-0.05</v>
      </c>
      <c r="M279" s="10">
        <f t="shared" si="53"/>
        <v>0.34</v>
      </c>
      <c r="N279" s="10">
        <f t="shared" si="53"/>
        <v>0.3</v>
      </c>
      <c r="O279" s="10">
        <f t="shared" si="53"/>
        <v>0.56999999999999995</v>
      </c>
      <c r="P279" s="10">
        <f t="shared" si="53"/>
        <v>0.52</v>
      </c>
    </row>
    <row r="280" spans="4:16" x14ac:dyDescent="0.25">
      <c r="D280" s="10" t="s">
        <v>338</v>
      </c>
      <c r="E280" s="10" t="str">
        <f t="shared" si="53"/>
        <v>Low</v>
      </c>
      <c r="F280" s="10" t="str">
        <f t="shared" si="53"/>
        <v>Summer</v>
      </c>
      <c r="G280" s="10">
        <f t="shared" si="53"/>
        <v>0.62</v>
      </c>
      <c r="H280" s="10">
        <f t="shared" si="53"/>
        <v>0.21</v>
      </c>
      <c r="I280" s="10">
        <f t="shared" si="53"/>
        <v>0.25</v>
      </c>
      <c r="J280" s="10">
        <f t="shared" si="53"/>
        <v>0.32</v>
      </c>
      <c r="K280" s="10">
        <f t="shared" si="53"/>
        <v>0.47</v>
      </c>
      <c r="L280" s="10">
        <f t="shared" si="53"/>
        <v>0.31</v>
      </c>
      <c r="M280" s="10">
        <f t="shared" si="53"/>
        <v>0.14000000000000001</v>
      </c>
      <c r="N280" s="10">
        <f t="shared" si="53"/>
        <v>0.4</v>
      </c>
      <c r="O280" s="10">
        <f t="shared" si="53"/>
        <v>0.26</v>
      </c>
      <c r="P280" s="10">
        <f t="shared" si="53"/>
        <v>0.43</v>
      </c>
    </row>
    <row r="281" spans="4:16" x14ac:dyDescent="0.25">
      <c r="D281" s="10" t="s">
        <v>338</v>
      </c>
      <c r="E281" s="10" t="str">
        <f t="shared" si="53"/>
        <v>Low</v>
      </c>
      <c r="F281" s="10" t="str">
        <f t="shared" si="53"/>
        <v>Autumn</v>
      </c>
      <c r="G281" s="10">
        <f t="shared" si="53"/>
        <v>0.4</v>
      </c>
      <c r="H281" s="10">
        <f t="shared" si="53"/>
        <v>0.13</v>
      </c>
      <c r="I281" s="10">
        <f t="shared" si="53"/>
        <v>0.12</v>
      </c>
      <c r="J281" s="10">
        <f t="shared" si="53"/>
        <v>0.27</v>
      </c>
      <c r="K281" s="10">
        <f t="shared" si="53"/>
        <v>0.3</v>
      </c>
      <c r="L281" s="10">
        <f t="shared" si="53"/>
        <v>0.08</v>
      </c>
      <c r="M281" s="10">
        <f t="shared" si="53"/>
        <v>0.13</v>
      </c>
      <c r="N281" s="10">
        <f t="shared" si="53"/>
        <v>0.24</v>
      </c>
      <c r="O281" s="10">
        <f t="shared" si="53"/>
        <v>0.15</v>
      </c>
      <c r="P281" s="10">
        <f t="shared" si="53"/>
        <v>0.21</v>
      </c>
    </row>
    <row r="282" spans="4:16" x14ac:dyDescent="0.25">
      <c r="D282" s="10" t="s">
        <v>338</v>
      </c>
      <c r="E282" s="10" t="str">
        <f t="shared" si="53"/>
        <v>Low</v>
      </c>
      <c r="F282" s="10" t="str">
        <f t="shared" si="53"/>
        <v>Winter</v>
      </c>
      <c r="G282" s="10">
        <f t="shared" si="53"/>
        <v>0.08</v>
      </c>
      <c r="H282" s="10">
        <f t="shared" si="53"/>
        <v>0.04</v>
      </c>
      <c r="I282" s="10">
        <f t="shared" si="53"/>
        <v>0.06</v>
      </c>
      <c r="J282" s="10">
        <f t="shared" si="53"/>
        <v>0.18</v>
      </c>
      <c r="K282" s="10">
        <f t="shared" si="53"/>
        <v>0.11</v>
      </c>
      <c r="L282" s="10">
        <f t="shared" si="53"/>
        <v>-7.0000000000000007E-2</v>
      </c>
      <c r="M282" s="10">
        <f t="shared" si="53"/>
        <v>0.13</v>
      </c>
      <c r="N282" s="10">
        <f t="shared" si="53"/>
        <v>0.16</v>
      </c>
      <c r="O282" s="10">
        <f t="shared" si="53"/>
        <v>0.4</v>
      </c>
      <c r="P282" s="10">
        <f t="shared" si="53"/>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278</v>
      </c>
      <c r="E290" s="10" t="s">
        <v>387</v>
      </c>
      <c r="F290" s="10" t="s">
        <v>502</v>
      </c>
      <c r="G290" s="10" t="s">
        <v>494</v>
      </c>
      <c r="H290" s="10" t="s">
        <v>495</v>
      </c>
      <c r="I290" s="10" t="s">
        <v>496</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278</v>
      </c>
      <c r="E313" s="10" t="s">
        <v>387</v>
      </c>
      <c r="F313" s="10" t="s">
        <v>502</v>
      </c>
      <c r="G313" s="10" t="s">
        <v>494</v>
      </c>
      <c r="H313" s="10" t="s">
        <v>495</v>
      </c>
      <c r="I313" s="10" t="s">
        <v>496</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503</v>
      </c>
      <c r="M333" s="8"/>
    </row>
    <row r="334" spans="4:13" x14ac:dyDescent="0.25">
      <c r="D334" s="10" t="s">
        <v>504</v>
      </c>
      <c r="E334" s="10" t="s">
        <v>47</v>
      </c>
      <c r="F334" s="10" t="s">
        <v>505</v>
      </c>
      <c r="G334" s="10" t="s">
        <v>506</v>
      </c>
      <c r="I334" s="10" t="s">
        <v>504</v>
      </c>
      <c r="J334" s="10" t="s">
        <v>47</v>
      </c>
      <c r="K334" s="10" t="s">
        <v>505</v>
      </c>
      <c r="L334" s="10" t="s">
        <v>506</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507</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508</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507</v>
      </c>
      <c r="K337" s="10">
        <f>F340</f>
        <v>1.3</v>
      </c>
      <c r="L337" s="10">
        <f t="shared" ref="L337:L338" si="54">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508</v>
      </c>
      <c r="K338" s="10">
        <f t="shared" ref="K338" si="55">F341</f>
        <v>1.1000000000000001</v>
      </c>
      <c r="L338" s="10">
        <f t="shared" si="54"/>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278</v>
      </c>
      <c r="E350" s="10" t="s">
        <v>509</v>
      </c>
      <c r="F350" s="10" t="s">
        <v>510</v>
      </c>
      <c r="G350" s="10" t="s">
        <v>475</v>
      </c>
      <c r="H350" s="10" t="s">
        <v>476</v>
      </c>
      <c r="I350" s="10" t="s">
        <v>511</v>
      </c>
      <c r="J350" s="10" t="s">
        <v>479</v>
      </c>
      <c r="K350" s="10" t="s">
        <v>499</v>
      </c>
      <c r="L350" s="10" t="s">
        <v>512</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278</v>
      </c>
      <c r="E361" s="156" t="s">
        <v>484</v>
      </c>
      <c r="F361" s="156" t="s">
        <v>485</v>
      </c>
      <c r="G361" s="156" t="s">
        <v>486</v>
      </c>
      <c r="H361" s="156" t="s">
        <v>487</v>
      </c>
      <c r="I361" s="156" t="s">
        <v>488</v>
      </c>
      <c r="J361" s="156" t="s">
        <v>489</v>
      </c>
      <c r="K361" s="156" t="s">
        <v>490</v>
      </c>
      <c r="L361" s="156" t="s">
        <v>491</v>
      </c>
      <c r="M361" s="156" t="s">
        <v>492</v>
      </c>
      <c r="N361" s="156" t="s">
        <v>493</v>
      </c>
      <c r="O361" s="10" t="s">
        <v>512</v>
      </c>
    </row>
    <row r="362" spans="4:15" x14ac:dyDescent="0.25">
      <c r="D362" s="10" t="str">
        <f>D351</f>
        <v>ACT</v>
      </c>
      <c r="E362" s="10">
        <f t="shared" ref="E362:H362" si="56">E351</f>
        <v>700</v>
      </c>
      <c r="F362" s="10">
        <f t="shared" si="56"/>
        <v>700</v>
      </c>
      <c r="G362" s="10">
        <f t="shared" si="56"/>
        <v>500</v>
      </c>
      <c r="H362" s="10">
        <f t="shared" si="56"/>
        <v>500</v>
      </c>
      <c r="I362" s="10">
        <f>I351</f>
        <v>500</v>
      </c>
      <c r="J362" s="10">
        <f>I351</f>
        <v>500</v>
      </c>
      <c r="K362" s="10">
        <f t="shared" ref="K362" si="57">J351</f>
        <v>600</v>
      </c>
      <c r="L362" s="10">
        <f>K351</f>
        <v>600</v>
      </c>
      <c r="M362" s="10">
        <f>K351</f>
        <v>600</v>
      </c>
      <c r="N362" s="10">
        <f>K351</f>
        <v>600</v>
      </c>
      <c r="O362" s="10" t="str">
        <f>L351</f>
        <v>ACT</v>
      </c>
    </row>
    <row r="363" spans="4:15" x14ac:dyDescent="0.25">
      <c r="D363" s="10" t="str">
        <f t="shared" ref="D363:I369" si="58">D352</f>
        <v>NSW</v>
      </c>
      <c r="E363" s="10">
        <f t="shared" si="58"/>
        <v>700</v>
      </c>
      <c r="F363" s="10">
        <f t="shared" si="58"/>
        <v>700</v>
      </c>
      <c r="G363" s="10">
        <f t="shared" si="58"/>
        <v>500</v>
      </c>
      <c r="H363" s="10">
        <f t="shared" si="58"/>
        <v>500</v>
      </c>
      <c r="I363" s="10">
        <f t="shared" si="58"/>
        <v>500</v>
      </c>
      <c r="J363" s="10">
        <f t="shared" ref="J363:L369" si="59">I352</f>
        <v>500</v>
      </c>
      <c r="K363" s="10">
        <f t="shared" si="59"/>
        <v>600</v>
      </c>
      <c r="L363" s="10">
        <f t="shared" si="59"/>
        <v>600</v>
      </c>
      <c r="M363" s="10">
        <f t="shared" ref="M363:M369" si="60">K352</f>
        <v>600</v>
      </c>
      <c r="N363" s="10">
        <f t="shared" ref="N363:O369" si="61">K352</f>
        <v>600</v>
      </c>
      <c r="O363" s="10" t="str">
        <f t="shared" si="61"/>
        <v>NSW</v>
      </c>
    </row>
    <row r="364" spans="4:15" x14ac:dyDescent="0.25">
      <c r="D364" s="10" t="str">
        <f t="shared" si="58"/>
        <v>Northern Territory</v>
      </c>
      <c r="E364" s="10">
        <f t="shared" si="58"/>
        <v>770</v>
      </c>
      <c r="F364" s="10">
        <f t="shared" si="58"/>
        <v>770</v>
      </c>
      <c r="G364" s="10">
        <f t="shared" si="58"/>
        <v>550</v>
      </c>
      <c r="H364" s="10">
        <f t="shared" si="58"/>
        <v>550</v>
      </c>
      <c r="I364" s="10">
        <f t="shared" si="58"/>
        <v>550</v>
      </c>
      <c r="J364" s="10">
        <f t="shared" si="59"/>
        <v>550</v>
      </c>
      <c r="K364" s="10">
        <f t="shared" si="59"/>
        <v>660</v>
      </c>
      <c r="L364" s="10">
        <f t="shared" si="59"/>
        <v>660</v>
      </c>
      <c r="M364" s="10">
        <f t="shared" si="60"/>
        <v>660</v>
      </c>
      <c r="N364" s="10">
        <f t="shared" si="61"/>
        <v>660</v>
      </c>
      <c r="O364" s="10" t="str">
        <f t="shared" si="61"/>
        <v>NT</v>
      </c>
    </row>
    <row r="365" spans="4:15" x14ac:dyDescent="0.25">
      <c r="D365" s="10" t="str">
        <f t="shared" si="58"/>
        <v>Queensland</v>
      </c>
      <c r="E365" s="10">
        <f t="shared" si="58"/>
        <v>770</v>
      </c>
      <c r="F365" s="10">
        <f t="shared" si="58"/>
        <v>770</v>
      </c>
      <c r="G365" s="10">
        <f t="shared" si="58"/>
        <v>550</v>
      </c>
      <c r="H365" s="10">
        <f t="shared" si="58"/>
        <v>550</v>
      </c>
      <c r="I365" s="10">
        <f t="shared" si="58"/>
        <v>550</v>
      </c>
      <c r="J365" s="10">
        <f t="shared" si="59"/>
        <v>550</v>
      </c>
      <c r="K365" s="10">
        <f t="shared" si="59"/>
        <v>660</v>
      </c>
      <c r="L365" s="10">
        <f t="shared" si="59"/>
        <v>660</v>
      </c>
      <c r="M365" s="10">
        <f t="shared" si="60"/>
        <v>660</v>
      </c>
      <c r="N365" s="10">
        <f t="shared" si="61"/>
        <v>660</v>
      </c>
      <c r="O365" s="10" t="str">
        <f t="shared" si="61"/>
        <v>QLD</v>
      </c>
    </row>
    <row r="366" spans="4:15" x14ac:dyDescent="0.25">
      <c r="D366" s="10" t="str">
        <f t="shared" si="58"/>
        <v>South Australia</v>
      </c>
      <c r="E366" s="10">
        <f t="shared" si="58"/>
        <v>770</v>
      </c>
      <c r="F366" s="10">
        <f t="shared" si="58"/>
        <v>770</v>
      </c>
      <c r="G366" s="10">
        <f t="shared" si="58"/>
        <v>550</v>
      </c>
      <c r="H366" s="10">
        <f t="shared" si="58"/>
        <v>550</v>
      </c>
      <c r="I366" s="10">
        <f t="shared" si="58"/>
        <v>550</v>
      </c>
      <c r="J366" s="10">
        <f t="shared" si="59"/>
        <v>550</v>
      </c>
      <c r="K366" s="10">
        <f t="shared" si="59"/>
        <v>660</v>
      </c>
      <c r="L366" s="10">
        <f t="shared" si="59"/>
        <v>660</v>
      </c>
      <c r="M366" s="10">
        <f t="shared" si="60"/>
        <v>660</v>
      </c>
      <c r="N366" s="10">
        <f t="shared" si="61"/>
        <v>660</v>
      </c>
      <c r="O366" s="10" t="str">
        <f t="shared" si="61"/>
        <v>SA</v>
      </c>
    </row>
    <row r="367" spans="4:15" x14ac:dyDescent="0.25">
      <c r="D367" s="10" t="str">
        <f t="shared" si="58"/>
        <v>Tasmania</v>
      </c>
      <c r="E367" s="10">
        <f t="shared" si="58"/>
        <v>770</v>
      </c>
      <c r="F367" s="10">
        <f t="shared" si="58"/>
        <v>770</v>
      </c>
      <c r="G367" s="10">
        <f t="shared" si="58"/>
        <v>550</v>
      </c>
      <c r="H367" s="10">
        <f t="shared" si="58"/>
        <v>550</v>
      </c>
      <c r="I367" s="10">
        <f t="shared" si="58"/>
        <v>550</v>
      </c>
      <c r="J367" s="10">
        <f t="shared" si="59"/>
        <v>550</v>
      </c>
      <c r="K367" s="10">
        <f t="shared" si="59"/>
        <v>660</v>
      </c>
      <c r="L367" s="10">
        <f t="shared" si="59"/>
        <v>660</v>
      </c>
      <c r="M367" s="10">
        <f t="shared" si="60"/>
        <v>660</v>
      </c>
      <c r="N367" s="10">
        <f t="shared" si="61"/>
        <v>660</v>
      </c>
      <c r="O367" s="10" t="str">
        <f t="shared" si="61"/>
        <v>TAS</v>
      </c>
    </row>
    <row r="368" spans="4:15" x14ac:dyDescent="0.25">
      <c r="D368" s="10" t="str">
        <f t="shared" si="58"/>
        <v>Victoria</v>
      </c>
      <c r="E368" s="10">
        <f t="shared" si="58"/>
        <v>770</v>
      </c>
      <c r="F368" s="10">
        <f t="shared" si="58"/>
        <v>770</v>
      </c>
      <c r="G368" s="10">
        <f t="shared" si="58"/>
        <v>550</v>
      </c>
      <c r="H368" s="10">
        <f t="shared" si="58"/>
        <v>550</v>
      </c>
      <c r="I368" s="10">
        <f t="shared" si="58"/>
        <v>550</v>
      </c>
      <c r="J368" s="10">
        <f t="shared" si="59"/>
        <v>550</v>
      </c>
      <c r="K368" s="10">
        <f t="shared" si="59"/>
        <v>660</v>
      </c>
      <c r="L368" s="10">
        <f t="shared" si="59"/>
        <v>660</v>
      </c>
      <c r="M368" s="10">
        <f t="shared" si="60"/>
        <v>660</v>
      </c>
      <c r="N368" s="10">
        <f t="shared" si="61"/>
        <v>660</v>
      </c>
      <c r="O368" s="10" t="str">
        <f t="shared" si="61"/>
        <v>VIC</v>
      </c>
    </row>
    <row r="369" spans="4:15" x14ac:dyDescent="0.25">
      <c r="D369" s="10" t="str">
        <f t="shared" si="58"/>
        <v>Western Australia</v>
      </c>
      <c r="E369" s="10">
        <f t="shared" si="58"/>
        <v>770</v>
      </c>
      <c r="F369" s="10">
        <f t="shared" si="58"/>
        <v>770</v>
      </c>
      <c r="G369" s="10">
        <f t="shared" si="58"/>
        <v>550</v>
      </c>
      <c r="H369" s="10">
        <f t="shared" si="58"/>
        <v>550</v>
      </c>
      <c r="I369" s="10">
        <f t="shared" si="58"/>
        <v>550</v>
      </c>
      <c r="J369" s="10">
        <f t="shared" si="59"/>
        <v>550</v>
      </c>
      <c r="K369" s="10">
        <f t="shared" si="59"/>
        <v>660</v>
      </c>
      <c r="L369" s="10">
        <f t="shared" si="59"/>
        <v>660</v>
      </c>
      <c r="M369" s="10">
        <f t="shared" si="60"/>
        <v>660</v>
      </c>
      <c r="N369" s="10">
        <f t="shared" si="61"/>
        <v>660</v>
      </c>
      <c r="O369" s="10" t="str">
        <f t="shared" si="61"/>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57" t="s">
        <v>513</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278</v>
      </c>
      <c r="E377" s="10" t="s">
        <v>387</v>
      </c>
      <c r="F377" s="10" t="s">
        <v>62</v>
      </c>
      <c r="G377" s="10" t="s">
        <v>514</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278</v>
      </c>
      <c r="E400" s="10" t="s">
        <v>387</v>
      </c>
      <c r="F400" s="10" t="s">
        <v>62</v>
      </c>
      <c r="G400" s="10" t="s">
        <v>514</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7"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7"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7"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7" cm="1">
        <f t="array" ref="D440">SourceData_PastureBeef.SourceData_PastureBeef_FracLEACH_Data()</f>
        <v>0.24</v>
      </c>
      <c r="M440" s="8"/>
    </row>
    <row r="441" spans="4:13" x14ac:dyDescent="0.25">
      <c r="M441" s="8"/>
    </row>
    <row r="442" spans="4:13" x14ac:dyDescent="0.25">
      <c r="M442" s="8"/>
    </row>
    <row r="443" spans="4:13" x14ac:dyDescent="0.25">
      <c r="M443" s="8"/>
    </row>
    <row r="444" spans="4:13" x14ac:dyDescent="0.25">
      <c r="M444" s="8"/>
    </row>
    <row r="445" spans="4:13" x14ac:dyDescent="0.25">
      <c r="M445" s="8"/>
    </row>
    <row r="446" spans="4:13" x14ac:dyDescent="0.25">
      <c r="M446" s="8"/>
    </row>
    <row r="447" spans="4:13" x14ac:dyDescent="0.25">
      <c r="M447" s="8"/>
    </row>
    <row r="448" spans="4:13" x14ac:dyDescent="0.25">
      <c r="M448" s="8"/>
    </row>
    <row r="449" spans="13:13" x14ac:dyDescent="0.25">
      <c r="M449" s="8"/>
    </row>
    <row r="450" spans="13:13" x14ac:dyDescent="0.25">
      <c r="M450" s="8"/>
    </row>
    <row r="451" spans="13:13" x14ac:dyDescent="0.25">
      <c r="M451" s="8"/>
    </row>
    <row r="452" spans="13:13" x14ac:dyDescent="0.25">
      <c r="M452" s="8"/>
    </row>
    <row r="453" spans="13:13" x14ac:dyDescent="0.25">
      <c r="M453" s="8"/>
    </row>
    <row r="454" spans="13:13" x14ac:dyDescent="0.25">
      <c r="M454" s="8"/>
    </row>
  </sheetData>
  <pageMargins left="0.7" right="0.7" top="0.75" bottom="0.75" header="0.3" footer="0.3"/>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sheetPr>
    <tabColor theme="2" tint="-0.499984740745262"/>
  </sheetPr>
  <dimension ref="A1:Q202"/>
  <sheetViews>
    <sheetView showGridLines="0" topLeftCell="A14"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ht="30" customHeight="1" x14ac:dyDescent="0.35">
      <c r="A1" s="37" t="e" vm="1">
        <v>#VALUE!</v>
      </c>
      <c r="C1" s="1"/>
      <c r="D1" s="1"/>
      <c r="E1" s="1"/>
      <c r="F1" s="1"/>
      <c r="G1" s="1"/>
      <c r="H1" s="1"/>
      <c r="I1" s="1"/>
      <c r="J1" s="1"/>
      <c r="K1" s="1"/>
    </row>
    <row r="2" spans="1:11" ht="20.100000000000001" customHeight="1" x14ac:dyDescent="0.25">
      <c r="C2" s="5"/>
      <c r="D2" s="5"/>
      <c r="E2" s="5"/>
      <c r="F2" s="5"/>
      <c r="G2" s="5"/>
      <c r="H2" s="5"/>
      <c r="I2" s="5"/>
      <c r="J2" s="5"/>
      <c r="K2" s="5"/>
    </row>
    <row r="3" spans="1:11" ht="20.100000000000001" customHeight="1" x14ac:dyDescent="0.25">
      <c r="A3" s="16" t="str">
        <f>HYPERLINK("#'Overview'!A1", "Overview")</f>
        <v>Overview</v>
      </c>
    </row>
    <row r="4" spans="1:11" ht="20.100000000000001" customHeight="1" x14ac:dyDescent="0.25">
      <c r="A4" s="16" t="str">
        <f>HYPERLINK("#'Results'!A1", "Results")</f>
        <v>Results</v>
      </c>
      <c r="D4" s="9" t="str" cm="1">
        <f t="array" ref="D4">CommonLivestock_SourceData.SourceData_Livestock_Common_SymbolsMMS_Title()</f>
        <v>Table 5.12 Additional symbols used in algorithms for manure related emissions</v>
      </c>
    </row>
    <row r="5" spans="1:11" ht="20.100000000000001" customHeight="1" x14ac:dyDescent="0.25">
      <c r="D5" s="11" t="str" cm="1">
        <f t="array" ref="D5">CommonLivestock_SourceData.SourceData_Livestock_Common_SymbolsMMS_Source()</f>
        <v>National Inventory Report 2023 Volume 1: Table 5.12</v>
      </c>
    </row>
    <row r="6" spans="1:11" ht="20.100000000000001" customHeight="1" x14ac:dyDescent="0.25">
      <c r="D6" s="10" t="s">
        <v>328</v>
      </c>
      <c r="E6" s="10" t="s">
        <v>329</v>
      </c>
      <c r="F6" s="10" t="s">
        <v>330</v>
      </c>
    </row>
    <row r="7" spans="1:11" ht="20.100000000000001" customHeight="1" x14ac:dyDescent="0.25">
      <c r="A7" s="19" t="s">
        <v>67</v>
      </c>
      <c r="D7" s="10" t="str" cm="1">
        <f t="array" ref="D7">Common_InputFunctions.Utility_DisplayArrayInTable(CommonLivestock_SourceData.SourceData_Livestock_Common_SymbolsMMS_Data(), Table_Data_MMSSymbols[[#Headers],[Symbol]], 0)</f>
        <v>1</v>
      </c>
      <c r="E7" s="10" t="str" cm="1">
        <f t="array" ref="E7">Common_InputFunctions.Utility_DisplayArrayInTable(CommonLivestock_SourceData.SourceData_Livestock_Common_SymbolsMMS_Data(), Table_Data_MMSSymbols[[#Headers],[Symbol]], 0)</f>
        <v>Anaerobic lagoon</v>
      </c>
      <c r="F7" s="10" t="str" cm="1">
        <f t="array" ref="F7">Common_InputFunctions.Utility_DisplayArrayInTable(CommonLivestock_SourceData.SourceData_Livestock_Common_SymbolsMMS_Data(), Table_Data_MMSSymbols[[#Headers],[Symbol]], 0)</f>
        <v>Anaerobic lagoon (m=1)</v>
      </c>
    </row>
    <row r="8" spans="1:11" ht="20.100000000000001" customHeight="1" x14ac:dyDescent="0.25">
      <c r="A8" s="16" t="str">
        <f>HYPERLINK("#'Input - Site'!A1", "Site")</f>
        <v>Site</v>
      </c>
      <c r="D8" s="10" t="str" cm="1">
        <f t="array" ref="D8">Common_InputFunctions.Utility_DisplayArrayInTable(CommonLivestock_SourceData.SourceData_Livestock_Common_SymbolsMMS_Data(), Table_Data_MMSSymbols[[#Headers],[Symbol]], 0)</f>
        <v>2</v>
      </c>
      <c r="E8" s="10" t="str" cm="1">
        <f t="array" ref="E8">Common_InputFunctions.Utility_DisplayArrayInTable(CommonLivestock_SourceData.SourceData_Livestock_Common_SymbolsMMS_Data(), Table_Data_MMSSymbols[[#Headers],[Symbol]], 0)</f>
        <v>Liquid systems</v>
      </c>
      <c r="F8" s="10" t="str" cm="1">
        <f t="array" ref="F8">Common_InputFunctions.Utility_DisplayArrayInTable(CommonLivestock_SourceData.SourceData_Livestock_Common_SymbolsMMS_Data(), Table_Data_MMSSymbols[[#Headers],[Symbol]], 0)</f>
        <v>Liquid systems (m=2)</v>
      </c>
    </row>
    <row r="9" spans="1:11" ht="20.100000000000001" customHeight="1" x14ac:dyDescent="0.25">
      <c r="A9" s="16" t="str">
        <f>HYPERLINK("#'Input - Fuel'!A1", "Fuel")</f>
        <v>Fuel</v>
      </c>
      <c r="D9" s="10" t="str" cm="1">
        <f t="array" ref="D9">Common_InputFunctions.Utility_DisplayArrayInTable(CommonLivestock_SourceData.SourceData_Livestock_Common_SymbolsMMS_Data(), Table_Data_MMSSymbols[[#Headers],[Symbol]], 0)</f>
        <v>3</v>
      </c>
      <c r="E9" s="10" t="str" cm="1">
        <f t="array" ref="E9">Common_InputFunctions.Utility_DisplayArrayInTable(CommonLivestock_SourceData.SourceData_Livestock_Common_SymbolsMMS_Data(), Table_Data_MMSSymbols[[#Headers],[Symbol]], 0)</f>
        <v>Daily spread</v>
      </c>
      <c r="F9" s="10" t="str" cm="1">
        <f t="array" ref="F9">Common_InputFunctions.Utility_DisplayArrayInTable(CommonLivestock_SourceData.SourceData_Livestock_Common_SymbolsMMS_Data(), Table_Data_MMSSymbols[[#Headers],[Symbol]], 0)</f>
        <v>Daily spread (m=3)</v>
      </c>
    </row>
    <row r="10" spans="1:11" ht="20.100000000000001" customHeight="1" x14ac:dyDescent="0.25">
      <c r="A10" s="16" t="str">
        <f>HYPERLINK("#'Input - Fertiliser'!A1", "Fertiliser")</f>
        <v>Fertiliser</v>
      </c>
      <c r="D10" s="10" t="str" cm="1">
        <f t="array" ref="D10">Common_InputFunctions.Utility_DisplayArrayInTable(CommonLivestock_SourceData.SourceData_Livestock_Common_SymbolsMMS_Data(), Table_Data_MMSSymbols[[#Headers],[Symbol]], 0)</f>
        <v>3a</v>
      </c>
      <c r="E10" s="10" t="str" cm="1">
        <f t="array" ref="E10">Common_InputFunctions.Utility_DisplayArrayInTable(CommonLivestock_SourceData.SourceData_Livestock_Common_SymbolsMMS_Data(), Table_Data_MMSSymbols[[#Headers],[Symbol]], 0)</f>
        <v>Sump and dispersal system</v>
      </c>
      <c r="F10" s="10" t="str" cm="1">
        <f t="array" ref="F10">Common_InputFunctions.Utility_DisplayArrayInTable(CommonLivestock_SourceData.SourceData_Livestock_Common_SymbolsMMS_Data(), Table_Data_MMSSymbols[[#Headers],[Symbol]], 0)</f>
        <v>Sump and dispersal system (m=3a)</v>
      </c>
    </row>
    <row r="11" spans="1:11" ht="20.100000000000001" customHeight="1" x14ac:dyDescent="0.25">
      <c r="A11" s="16" t="str">
        <f>HYPERLINK("#'Input - Farm Inputs'!A1", "Farm Inputs")</f>
        <v>Farm Inputs</v>
      </c>
      <c r="D11" s="10" t="str" cm="1">
        <f t="array" ref="D11">Common_InputFunctions.Utility_DisplayArrayInTable(CommonLivestock_SourceData.SourceData_Livestock_Common_SymbolsMMS_Data(), Table_Data_MMSSymbols[[#Headers],[Symbol]], 0)</f>
        <v>3b</v>
      </c>
      <c r="E11" s="10" t="str" cm="1">
        <f t="array" ref="E11">Common_InputFunctions.Utility_DisplayArrayInTable(CommonLivestock_SourceData.SourceData_Livestock_Common_SymbolsMMS_Data(), Table_Data_MMSSymbols[[#Headers],[Symbol]], 0)</f>
        <v>Drains to paddock</v>
      </c>
      <c r="F11" s="10" t="str" cm="1">
        <f t="array" ref="F11">Common_InputFunctions.Utility_DisplayArrayInTable(CommonLivestock_SourceData.SourceData_Livestock_Common_SymbolsMMS_Data(), Table_Data_MMSSymbols[[#Headers],[Symbol]], 0)</f>
        <v>Drains to paddock (m=3b)</v>
      </c>
    </row>
    <row r="12" spans="1:11" ht="20.100000000000001" customHeight="1" x14ac:dyDescent="0.25">
      <c r="A12" s="16" t="str">
        <f>HYPERLINK("#'Input - Livestock purchases'!A1", "Livestock purchases")</f>
        <v>Livestock purchases</v>
      </c>
      <c r="D12" s="10" t="str" cm="1">
        <f t="array" ref="D12">Common_InputFunctions.Utility_DisplayArrayInTable(CommonLivestock_SourceData.SourceData_Livestock_Common_SymbolsMMS_Data(), Table_Data_MMSSymbols[[#Headers],[Symbol]], 0)</f>
        <v>4</v>
      </c>
      <c r="E12" s="10" t="str" cm="1">
        <f t="array" ref="E12">Common_InputFunctions.Utility_DisplayArrayInTable(CommonLivestock_SourceData.SourceData_Livestock_Common_SymbolsMMS_Data(), Table_Data_MMSSymbols[[#Headers],[Symbol]], 0)</f>
        <v>Solid storage</v>
      </c>
      <c r="F12" s="10" t="str" cm="1">
        <f t="array" ref="F12">Common_InputFunctions.Utility_DisplayArrayInTable(CommonLivestock_SourceData.SourceData_Livestock_Common_SymbolsMMS_Data(), Table_Data_MMSSymbols[[#Headers],[Symbol]], 0)</f>
        <v>Solid storage (m=4)</v>
      </c>
    </row>
    <row r="13" spans="1:11" ht="20.100000000000001" customHeight="1" x14ac:dyDescent="0.25">
      <c r="A13" s="16" t="str">
        <f>HYPERLINK("#'Input - Freight'!A1", "Freight")</f>
        <v>Freight</v>
      </c>
      <c r="D13" s="10" t="str" cm="1">
        <f t="array" ref="D13">Common_InputFunctions.Utility_DisplayArrayInTable(CommonLivestock_SourceData.SourceData_Livestock_Common_SymbolsMMS_Data(), Table_Data_MMSSymbols[[#Headers],[Symbol]], 0)</f>
        <v>5</v>
      </c>
      <c r="E13" s="10" t="str" cm="1">
        <f t="array" ref="E13">Common_InputFunctions.Utility_DisplayArrayInTable(CommonLivestock_SourceData.SourceData_Livestock_Common_SymbolsMMS_Data(), Table_Data_MMSSymbols[[#Headers],[Symbol]], 0)</f>
        <v>Drylot (feed pad)</v>
      </c>
      <c r="F13" s="10" t="str" cm="1">
        <f t="array" ref="F13">Common_InputFunctions.Utility_DisplayArrayInTable(CommonLivestock_SourceData.SourceData_Livestock_Common_SymbolsMMS_Data(), Table_Data_MMSSymbols[[#Headers],[Symbol]], 0)</f>
        <v>Drylot (feed pad) (m=5)</v>
      </c>
    </row>
    <row r="14" spans="1:11" ht="20.100000000000001" customHeight="1" x14ac:dyDescent="0.25">
      <c r="A14" s="16" t="str">
        <f>HYPERLINK("#'Input - Solid waste'!A1", "Solid waste")</f>
        <v>Solid waste</v>
      </c>
      <c r="D14" s="10" t="str" cm="1">
        <f t="array" ref="D14">Common_InputFunctions.Utility_DisplayArrayInTable(CommonLivestock_SourceData.SourceData_Livestock_Common_SymbolsMMS_Data(), Table_Data_MMSSymbols[[#Headers],[Symbol]], 0)</f>
        <v>6</v>
      </c>
      <c r="E14" s="10" t="str" cm="1">
        <f t="array" ref="E14">Common_InputFunctions.Utility_DisplayArrayInTable(CommonLivestock_SourceData.SourceData_Livestock_Common_SymbolsMMS_Data(), Table_Data_MMSSymbols[[#Headers],[Symbol]], 0)</f>
        <v>Composting (passive windrow)</v>
      </c>
      <c r="F14" s="10" t="str" cm="1">
        <f t="array" ref="F14">Common_InputFunctions.Utility_DisplayArrayInTable(CommonLivestock_SourceData.SourceData_Livestock_Common_SymbolsMMS_Data(), Table_Data_MMSSymbols[[#Headers],[Symbol]], 0)</f>
        <v>Composting (passive windrow) (m=6)</v>
      </c>
    </row>
    <row r="15" spans="1:11" ht="20.100000000000001" customHeight="1" x14ac:dyDescent="0.25">
      <c r="A15" s="16" t="str">
        <f>HYPERLINK("#'Input - Manure sent off-site'!A1", "Manure sent off-site")</f>
        <v>Manure sent off-site</v>
      </c>
      <c r="D15" s="10" t="str" cm="1">
        <f t="array" ref="D15">Common_InputFunctions.Utility_DisplayArrayInTable(CommonLivestock_SourceData.SourceData_Livestock_Common_SymbolsMMS_Data(), Table_Data_MMSSymbols[[#Headers],[Symbol]], 0)</f>
        <v>7</v>
      </c>
      <c r="E15" s="10" t="str" cm="1">
        <f t="array" ref="E15">Common_InputFunctions.Utility_DisplayArrayInTable(CommonLivestock_SourceData.SourceData_Livestock_Common_SymbolsMMS_Data(), Table_Data_MMSSymbols[[#Headers],[Symbol]], 0)</f>
        <v>Digester / covered lagoons</v>
      </c>
      <c r="F15" s="10" t="str" cm="1">
        <f t="array" ref="F15">Common_InputFunctions.Utility_DisplayArrayInTable(CommonLivestock_SourceData.SourceData_Livestock_Common_SymbolsMMS_Data(), Table_Data_MMSSymbols[[#Headers],[Symbol]], 0)</f>
        <v>Digester / covered lagoons (m=7)</v>
      </c>
    </row>
    <row r="16" spans="1:11" ht="20.100000000000001" customHeight="1" x14ac:dyDescent="0.25">
      <c r="A16" s="16" t="str">
        <f>HYPERLINK("#'Input - Electricity'!A1", "Electricity")</f>
        <v>Electricity</v>
      </c>
      <c r="D16" s="10" t="str" cm="1">
        <f t="array" ref="D16">Common_InputFunctions.Utility_DisplayArrayInTable(CommonLivestock_SourceData.SourceData_Livestock_Common_SymbolsMMS_Data(), Table_Data_MMSSymbols[[#Headers],[Symbol]], 0)</f>
        <v>8</v>
      </c>
      <c r="E16" s="10" t="str" cm="1">
        <f t="array" ref="E16">Common_InputFunctions.Utility_DisplayArrayInTable(CommonLivestock_SourceData.SourceData_Livestock_Common_SymbolsMMS_Data(), Table_Data_MMSSymbols[[#Headers],[Symbol]], 0)</f>
        <v>Deep litter</v>
      </c>
      <c r="F16" s="10" t="str" cm="1">
        <f t="array" ref="F16">Common_InputFunctions.Utility_DisplayArrayInTable(CommonLivestock_SourceData.SourceData_Livestock_Common_SymbolsMMS_Data(), Table_Data_MMSSymbols[[#Headers],[Symbol]], 0)</f>
        <v>Deep litter (m=8)</v>
      </c>
    </row>
    <row r="17" spans="1:6" ht="20.100000000000001" customHeight="1" x14ac:dyDescent="0.25">
      <c r="D17" s="10" t="str" cm="1">
        <f t="array" ref="D17">Common_InputFunctions.Utility_DisplayArrayInTable(CommonLivestock_SourceData.SourceData_Livestock_Common_SymbolsMMS_Data(), Table_Data_MMSSymbols[[#Headers],[Symbol]], 0)</f>
        <v>9</v>
      </c>
      <c r="E17" s="10" t="str" cm="1">
        <f t="array" ref="E17">Common_InputFunctions.Utility_DisplayArrayInTable(CommonLivestock_SourceData.SourceData_Livestock_Common_SymbolsMMS_Data(), Table_Data_MMSSymbols[[#Headers],[Symbol]], 0)</f>
        <v>Pit storage</v>
      </c>
      <c r="F17" s="10" t="str" cm="1">
        <f t="array" ref="F17">Common_InputFunctions.Utility_DisplayArrayInTable(CommonLivestock_SourceData.SourceData_Livestock_Common_SymbolsMMS_Data(), Table_Data_MMSSymbols[[#Headers],[Symbol]], 0)</f>
        <v>Pit storage (m=9)</v>
      </c>
    </row>
    <row r="18" spans="1:6" ht="20.100000000000001" customHeight="1" x14ac:dyDescent="0.25">
      <c r="D18" s="10" t="str" cm="1">
        <f t="array" ref="D18">Common_InputFunctions.Utility_DisplayArrayInTable(CommonLivestock_SourceData.SourceData_Livestock_Common_SymbolsMMS_Data(), Table_Data_MMSSymbols[[#Headers],[Symbol]], 0)</f>
        <v>10</v>
      </c>
      <c r="E18" s="10" t="str" cm="1">
        <f t="array" ref="E18">Common_InputFunctions.Utility_DisplayArrayInTable(CommonLivestock_SourceData.SourceData_Livestock_Common_SymbolsMMS_Data(), Table_Data_MMSSymbols[[#Headers],[Symbol]], 0)</f>
        <v>Poultry manure with bedding</v>
      </c>
      <c r="F18" s="10" t="str" cm="1">
        <f t="array" ref="F18">Common_InputFunctions.Utility_DisplayArrayInTable(CommonLivestock_SourceData.SourceData_Livestock_Common_SymbolsMMS_Data(), Table_Data_MMSSymbols[[#Headers],[Symbol]], 0)</f>
        <v>Poultry manure with bedding (m=10)</v>
      </c>
    </row>
    <row r="19" spans="1:6" ht="20.100000000000001" customHeight="1" x14ac:dyDescent="0.25">
      <c r="A19" s="21" t="s">
        <v>77</v>
      </c>
      <c r="D19" s="10" t="str" cm="1">
        <f t="array" ref="D19">Common_InputFunctions.Utility_DisplayArrayInTable(CommonLivestock_SourceData.SourceData_Livestock_Common_SymbolsMMS_Data(), Table_Data_MMSSymbols[[#Headers],[Symbol]], 0)</f>
        <v>11</v>
      </c>
      <c r="E19" s="10" t="str" cm="1">
        <f t="array" ref="E19">Common_InputFunctions.Utility_DisplayArrayInTable(CommonLivestock_SourceData.SourceData_Livestock_Common_SymbolsMMS_Data(), Table_Data_MMSSymbols[[#Headers],[Symbol]], 0)</f>
        <v>Poultry manure without bedding</v>
      </c>
      <c r="F19" s="10" t="str" cm="1">
        <f t="array" ref="F19">Common_InputFunctions.Utility_DisplayArrayInTable(CommonLivestock_SourceData.SourceData_Livestock_Common_SymbolsMMS_Data(), Table_Data_MMSSymbols[[#Headers],[Symbol]], 0)</f>
        <v>Poultry manure without bedding (m=11)</v>
      </c>
    </row>
    <row r="20" spans="1:6" ht="20.100000000000001" customHeight="1" x14ac:dyDescent="0.25">
      <c r="A20" s="16" t="str">
        <f>HYPERLINK("#'15 Scope 3'!A1", "15 Scope 3")</f>
        <v>15 Scope 3</v>
      </c>
      <c r="D20" s="10" t="str" cm="1">
        <f t="array" ref="D20">Common_InputFunctions.Utility_DisplayArrayInTable(CommonLivestock_SourceData.SourceData_Livestock_Common_SymbolsMMS_Data(), Table_Data_MMSSymbols[[#Headers],[Symbol]], 0)</f>
        <v>11a</v>
      </c>
      <c r="E20" s="10" t="str" cm="1">
        <f t="array" ref="E20">Common_InputFunctions.Utility_DisplayArrayInTable(CommonLivestock_SourceData.SourceData_Livestock_Common_SymbolsMMS_Data(), Table_Data_MMSSymbols[[#Headers],[Symbol]], 0)</f>
        <v>Belt manure removal</v>
      </c>
      <c r="F20" s="10" t="str" cm="1">
        <f t="array" ref="F20">Common_InputFunctions.Utility_DisplayArrayInTable(CommonLivestock_SourceData.SourceData_Livestock_Common_SymbolsMMS_Data(), Table_Data_MMSSymbols[[#Headers],[Symbol]], 0)</f>
        <v>Belt manure removal (m=11a)</v>
      </c>
    </row>
    <row r="21" spans="1:6" ht="20.100000000000001" customHeight="1" x14ac:dyDescent="0.25">
      <c r="A21" s="16" t="str">
        <f>HYPERLINK("#'10.1.1-2 Solid waste treatment'!A1", "10.1.1-2 Solid waste treatment")</f>
        <v>10.1.1-2 Solid waste treatment</v>
      </c>
      <c r="D21" s="10" t="str" cm="1">
        <f t="array" ref="D21">Common_InputFunctions.Utility_DisplayArrayInTable(CommonLivestock_SourceData.SourceData_Livestock_Common_SymbolsMMS_Data(), Table_Data_MMSSymbols[[#Headers],[Symbol]], 0)</f>
        <v>11b</v>
      </c>
      <c r="E21" s="10" t="str" cm="1">
        <f t="array" ref="E21">Common_InputFunctions.Utility_DisplayArrayInTable(CommonLivestock_SourceData.SourceData_Livestock_Common_SymbolsMMS_Data(), Table_Data_MMSSymbols[[#Headers],[Symbol]], 0)</f>
        <v>Manure stored in house</v>
      </c>
      <c r="F21" s="10" t="str" cm="1">
        <f t="array" ref="F21">Common_InputFunctions.Utility_DisplayArrayInTable(CommonLivestock_SourceData.SourceData_Livestock_Common_SymbolsMMS_Data(), Table_Data_MMSSymbols[[#Headers],[Symbol]], 0)</f>
        <v>Manure stored in house (m=11b)</v>
      </c>
    </row>
    <row r="22" spans="1:6" ht="20.100000000000001" customHeight="1" x14ac:dyDescent="0.25">
      <c r="A22" s="16" t="str">
        <f>HYPERLINK("#'Calcs - Manure sent off-site'!A1", "Calcs - Manure sent off-site")</f>
        <v>Calcs - Manure sent off-site</v>
      </c>
      <c r="D22" s="10" t="str" cm="1">
        <f t="array" ref="D22">Common_InputFunctions.Utility_DisplayArrayInTable(CommonLivestock_SourceData.SourceData_Livestock_Common_SymbolsMMS_Data(), Table_Data_MMSSymbols[[#Headers],[Symbol]], 0)</f>
        <v>12</v>
      </c>
      <c r="E22" s="10" t="str" cm="1">
        <f t="array" ref="E22">Common_InputFunctions.Utility_DisplayArrayInTable(CommonLivestock_SourceData.SourceData_Livestock_Common_SymbolsMMS_Data(), Table_Data_MMSSymbols[[#Headers],[Symbol]], 0)</f>
        <v>Direct processing</v>
      </c>
      <c r="F22" s="10" t="str" cm="1">
        <f t="array" ref="F22">Common_InputFunctions.Utility_DisplayArrayInTable(CommonLivestock_SourceData.SourceData_Livestock_Common_SymbolsMMS_Data(), Table_Data_MMSSymbols[[#Headers],[Symbol]], 0)</f>
        <v>Direct processing (m=12)</v>
      </c>
    </row>
    <row r="23" spans="1:6" ht="20.100000000000001" customHeight="1" x14ac:dyDescent="0.25">
      <c r="A23" s="16" t="str">
        <f>HYPERLINK("#'8.1.1.1-2 Transport fuel'!A1", "8.1.1.1-2 Transport fuel")</f>
        <v>8.1.1.1-2 Transport fuel</v>
      </c>
      <c r="D23" s="10" t="str" cm="1">
        <f t="array" ref="D23">Common_InputFunctions.Utility_DisplayArrayInTable(CommonLivestock_SourceData.SourceData_Livestock_Common_SymbolsMMS_Data(), Table_Data_MMSSymbols[[#Headers],[Symbol]], 0)</f>
        <v>13</v>
      </c>
      <c r="E23" s="10" t="str" cm="1">
        <f t="array" ref="E23">Common_InputFunctions.Utility_DisplayArrayInTable(CommonLivestock_SourceData.SourceData_Livestock_Common_SymbolsMMS_Data(), Table_Data_MMSSymbols[[#Headers],[Symbol]], 0)</f>
        <v>Direct application</v>
      </c>
      <c r="F23" s="10" t="str" cm="1">
        <f t="array" ref="F23">Common_InputFunctions.Utility_DisplayArrayInTable(CommonLivestock_SourceData.SourceData_Livestock_Common_SymbolsMMS_Data(), Table_Data_MMSSymbols[[#Headers],[Symbol]], 0)</f>
        <v>Direct application (m=13)</v>
      </c>
    </row>
    <row r="24" spans="1:6" ht="20.100000000000001" customHeight="1" x14ac:dyDescent="0.25">
      <c r="A24" s="16" t="str">
        <f>HYPERLINK("#'8.2.1.1-2 Stationary fuel'!A1", "8.2.1.1-2 Stationary fuel")</f>
        <v>8.2.1.1-2 Stationary fuel</v>
      </c>
      <c r="D24" s="10" t="str" cm="1">
        <f t="array" ref="D24">Common_InputFunctions.Utility_DisplayArrayInTable(CommonLivestock_SourceData.SourceData_Livestock_Common_SymbolsMMS_Data(), Table_Data_MMSSymbols[[#Headers],[Symbol]], 0)</f>
        <v>14</v>
      </c>
      <c r="E24" s="10" t="str" cm="1">
        <f t="array" ref="E24">Common_InputFunctions.Utility_DisplayArrayInTable(CommonLivestock_SourceData.SourceData_Livestock_Common_SymbolsMMS_Data(), Table_Data_MMSSymbols[[#Headers],[Symbol]], 0)</f>
        <v>Pasture range and paddock</v>
      </c>
      <c r="F24" s="10" t="str" cm="1">
        <f t="array" ref="F24">Common_InputFunctions.Utility_DisplayArrayInTable(CommonLivestock_SourceData.SourceData_Livestock_Common_SymbolsMMS_Data(), Table_Data_MMSSymbols[[#Headers],[Symbol]], 0)</f>
        <v>Pasture range and paddock (m=14)</v>
      </c>
    </row>
    <row r="25" spans="1:6" ht="20.100000000000001" customHeight="1" x14ac:dyDescent="0.25"/>
    <row r="26" spans="1:6" ht="20.100000000000001" customHeight="1" x14ac:dyDescent="0.25">
      <c r="D26" s="9" t="str" cm="1">
        <f t="array" ref="D26">CommonLivestock_SourceData.SourceData_Livestock_Product_BeefCattle_Title()</f>
        <v>Beef cattle products for scope 3</v>
      </c>
    </row>
    <row r="27" spans="1:6" ht="20.100000000000001" customHeight="1" x14ac:dyDescent="0.25">
      <c r="A27" s="222" t="s">
        <v>78</v>
      </c>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1:6" ht="20.100000000000001" customHeight="1" x14ac:dyDescent="0.25">
      <c r="A28" s="16" t="str">
        <f>HYPERLINK("#'Constants - Scope 3'!A1", "Constants - Scope 3")</f>
        <v>Constants - Scope 3</v>
      </c>
      <c r="D28" s="10" t="s">
        <v>216</v>
      </c>
      <c r="E28" s="10" t="s">
        <v>331</v>
      </c>
      <c r="F28" s="8" t="s">
        <v>332</v>
      </c>
    </row>
    <row r="29" spans="1:6" ht="20.100000000000001" customHeight="1" x14ac:dyDescent="0.25">
      <c r="A29" s="16" t="str">
        <f>HYPERLINK("#'Constants - Solid Waste'!A1", "Constants - Solid Waste")</f>
        <v>Constants - Solid Waste</v>
      </c>
      <c r="D29" s="10" t="str" cm="1">
        <f t="array" ref="D29">Common_InputFunctions.Utility_DisplayArrayInTable(CommonLivestock_SourceData.SourceData_Livestock_Product_BeefCattle_Data(),Table_SourceData_LivestockProduct_Beefcattle[[#Headers],[Product]],0)</f>
        <v>Cattle, for manufacturing beef</v>
      </c>
      <c r="E29" s="10" t="str" cm="1">
        <f t="array" ref="E29">Common_InputFunctions.Utility_DisplayArrayInTable(CommonLivestock_SourceData.SourceData_Livestock_Product_BeefCattle_Data(),Table_SourceData_LivestockProduct_Beefcattle[[#Headers],[Product]],0)</f>
        <v>Australia</v>
      </c>
    </row>
    <row r="30" spans="1:6" ht="20.100000000000001" customHeight="1" x14ac:dyDescent="0.25">
      <c r="A30" s="16" t="str">
        <f>HYPERLINK("#'Constants - Fuel'!A1", "Constants - Fuel")</f>
        <v>Constants - Fuel</v>
      </c>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1:6" ht="20.100000000000001" customHeight="1" x14ac:dyDescent="0.25">
      <c r="A31" s="16" t="str">
        <f>HYPERLINK("#'Constants - Poultry'!A1", "Constants - Poultry")</f>
        <v>Constants - Poultry</v>
      </c>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1:6" ht="20.100000000000001" customHeight="1" x14ac:dyDescent="0.25">
      <c r="A32" s="16" t="str">
        <f>HYPERLINK("#'Constants - Swine'!A1", "Constants - Swine")</f>
        <v>Constants - Swine</v>
      </c>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1:6" ht="20.100000000000001" customHeight="1" x14ac:dyDescent="0.25">
      <c r="A33" s="16" t="str">
        <f>HYPERLINK("#'Constants - Dairy'!A1", "Constants - Dairy")</f>
        <v>Constants - Dairy</v>
      </c>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1:6" ht="20.100000000000001" customHeight="1" x14ac:dyDescent="0.25">
      <c r="A34" s="16" t="str">
        <f>HYPERLINK("#'Constants - Pasture Beef'!A1", "Constants - Pasture Beef")</f>
        <v>Constants - Pasture Beef</v>
      </c>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1:6" ht="20.100000000000001" customHeight="1" x14ac:dyDescent="0.25">
      <c r="A35" s="23" t="str">
        <f>HYPERLINK("#'Constants - Common Livestock'!A1", "Constants - Common Livestock")</f>
        <v>Constants - Common Livestock</v>
      </c>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1:6" ht="20.100000000000001" customHeight="1" x14ac:dyDescent="0.25">
      <c r="A36" s="16" t="str">
        <f>HYPERLINK("#'Constants - Fertiliser'!A1", "Constants - Fertiliser")</f>
        <v>Constants - Fertiliser</v>
      </c>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1:6" ht="20.100000000000001" customHeight="1" x14ac:dyDescent="0.25">
      <c r="A37" s="16" t="str">
        <f>HYPERLINK("#'Constants - Electricity'!A1", "Constants - Electricity")</f>
        <v>Constants - Electricity</v>
      </c>
    </row>
    <row r="38" spans="1:6" ht="20.100000000000001" customHeight="1" x14ac:dyDescent="0.25">
      <c r="A38" s="16" t="str">
        <f>HYPERLINK("#'Constants - Common'!A1", "Constants - Common")</f>
        <v>Constants - Common</v>
      </c>
      <c r="D38" s="9" t="str" cm="1">
        <f t="array" ref="D38">CommonLivestock_SourceData.SourceData_Livestock_Product_Sheep_Title()</f>
        <v>Sheep products for scope 3</v>
      </c>
    </row>
    <row r="39" spans="1: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1:6" ht="20.100000000000001" customHeight="1" x14ac:dyDescent="0.25">
      <c r="D40" s="10" t="s">
        <v>216</v>
      </c>
      <c r="E40" s="10" t="s">
        <v>331</v>
      </c>
      <c r="F40" s="8" t="s">
        <v>333</v>
      </c>
    </row>
    <row r="41" spans="1:6" ht="20.100000000000001" customHeight="1" x14ac:dyDescent="0.25">
      <c r="D41" s="10" t="str" cm="1">
        <f t="array" ref="D41">Common_InputFunctions.Utility_DisplayArrayInTable(CommonLivestock_SourceData.SourceData_Livestock_Product_Sheep_Data(),Table_SourceData_LivestockProduct_Sheep[[#Headers],[Product]],0)</f>
        <v>Sheep, for mutton</v>
      </c>
      <c r="E41" s="10" t="str" cm="1">
        <f t="array" ref="E41">Common_InputFunctions.Utility_DisplayArrayInTable(CommonLivestock_SourceData.SourceData_Livestock_Product_Sheep_Data(),Table_SourceData_LivestockProduct_Sheep[[#Headers],[Product]],0)</f>
        <v>Australia</v>
      </c>
    </row>
    <row r="42" spans="1:6" ht="20.100000000000001" customHeight="1" x14ac:dyDescent="0.25">
      <c r="D42" s="10" t="str" cm="1">
        <f t="array" ref="D42">Common_InputFunctions.Utility_DisplayArrayInTable(CommonLivestock_SourceData.SourceData_Livestock_Product_Sheep_Data(),Table_SourceData_LivestockProduct_Sheep[[#Headers],[Product]],0)</f>
        <v>Sheep, for prime lamb</v>
      </c>
      <c r="E42" s="10" t="str" cm="1">
        <f t="array" ref="E42">Common_InputFunctions.Utility_DisplayArrayInTable(CommonLivestock_SourceData.SourceData_Livestock_Product_Sheep_Data(),Table_SourceData_LivestockProduct_Sheep[[#Headers],[Product]],0)</f>
        <v>NSW</v>
      </c>
    </row>
    <row r="43" spans="1:6" ht="20.100000000000001" customHeight="1" x14ac:dyDescent="0.25">
      <c r="D43" s="10" t="str" cm="1">
        <f t="array" ref="D43">Common_InputFunctions.Utility_DisplayArrayInTable(CommonLivestock_SourceData.SourceData_Livestock_Product_Sheep_Data(),Table_SourceData_LivestockProduct_Sheep[[#Headers],[Product]],0)</f>
        <v/>
      </c>
      <c r="E43" s="10" t="str" cm="1">
        <f t="array" ref="E43">Common_InputFunctions.Utility_DisplayArrayInTable(CommonLivestock_SourceData.SourceData_Livestock_Product_Sheep_Data(),Table_SourceData_LivestockProduct_Sheep[[#Headers],[Product]],0)</f>
        <v>QLD</v>
      </c>
    </row>
    <row r="44" spans="1:6" ht="20.100000000000001" customHeight="1" x14ac:dyDescent="0.25">
      <c r="D44" s="10" t="str" cm="1">
        <f t="array" ref="D44">Common_InputFunctions.Utility_DisplayArrayInTable(CommonLivestock_SourceData.SourceData_Livestock_Product_Sheep_Data(),Table_SourceData_LivestockProduct_Sheep[[#Headers],[Product]],0)</f>
        <v/>
      </c>
      <c r="E44" s="10" t="str" cm="1">
        <f t="array" ref="E44">Common_InputFunctions.Utility_DisplayArrayInTable(CommonLivestock_SourceData.SourceData_Livestock_Product_Sheep_Data(),Table_SourceData_LivestockProduct_Sheep[[#Headers],[Product]],0)</f>
        <v>SA</v>
      </c>
    </row>
    <row r="45" spans="1:6" ht="20.100000000000001" customHeight="1" x14ac:dyDescent="0.25">
      <c r="D45" s="10" t="str" cm="1">
        <f t="array" ref="D45">Common_InputFunctions.Utility_DisplayArrayInTable(CommonLivestock_SourceData.SourceData_Livestock_Product_Sheep_Data(),Table_SourceData_LivestockProduct_Sheep[[#Headers],[Product]],0)</f>
        <v/>
      </c>
      <c r="E45" s="10" t="str" cm="1">
        <f t="array" ref="E45">Common_InputFunctions.Utility_DisplayArrayInTable(CommonLivestock_SourceData.SourceData_Livestock_Product_Sheep_Data(),Table_SourceData_LivestockProduct_Sheep[[#Headers],[Product]],0)</f>
        <v>TAS</v>
      </c>
    </row>
    <row r="46" spans="1: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VIC</v>
      </c>
    </row>
    <row r="47" spans="1: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WA</v>
      </c>
    </row>
    <row r="48" spans="1: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10" t="s">
        <v>216</v>
      </c>
      <c r="E51" s="10" t="s">
        <v>331</v>
      </c>
      <c r="F51" s="8" t="s">
        <v>339</v>
      </c>
    </row>
    <row r="52" spans="4:6" ht="20.100000000000001" customHeight="1" x14ac:dyDescent="0.25">
      <c r="D52" s="10" t="str" cm="1">
        <f t="array" ref="D52">Common_InputFunctions.Utility_DisplayArrayInTable(CommonLivestock_SourceData.SourceData_Livestock_Product_Chickens_Data(),Table_SourceData_LivestockProduct_Chickens[[#Headers],[Product]],0)</f>
        <v>Chickens</v>
      </c>
      <c r="E52" s="10"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10" t="s">
        <v>216</v>
      </c>
      <c r="E56" s="10" t="s">
        <v>331</v>
      </c>
      <c r="F56" s="8" t="s">
        <v>340</v>
      </c>
    </row>
    <row r="57" spans="4:6" ht="20.100000000000001" customHeight="1" x14ac:dyDescent="0.25">
      <c r="D57" s="10" t="str" cm="1">
        <f t="array" ref="D57">Common_InputFunctions.Utility_DisplayArrayInTable(CommonLivestock_SourceData.SourceData_Livestock_Product_Dairycattle_Data(),Table_SourceData_LivestockProduct_Dairycattle[[#Headers],[Product]],0)</f>
        <v>Dairy cows</v>
      </c>
      <c r="E57" s="10"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10" t="s">
        <v>216</v>
      </c>
      <c r="E61" s="10" t="s">
        <v>331</v>
      </c>
      <c r="F61" s="8" t="s">
        <v>341</v>
      </c>
    </row>
    <row r="62" spans="4:6" ht="20.100000000000001" customHeight="1" x14ac:dyDescent="0.25">
      <c r="D62" s="10" t="str" cm="1">
        <f t="array" ref="D62">Common_InputFunctions.Utility_DisplayArrayInTable(CommonLivestock_SourceData.SourceData_Livestock_Product_Pigs_Data(),Table_SourceData_LivestockProduct_Pigs[[#Headers],[Product]],0)</f>
        <v>Pigs</v>
      </c>
      <c r="E62" s="10"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spans="12:17" ht="20.100000000000001" customHeight="1" x14ac:dyDescent="0.25">
      <c r="L65" s="8"/>
      <c r="M65" s="8"/>
      <c r="N65" s="8"/>
      <c r="O65" s="8"/>
      <c r="P65" s="8"/>
      <c r="Q65" s="8"/>
    </row>
    <row r="66" spans="12:17" ht="20.100000000000001" customHeight="1" x14ac:dyDescent="0.25">
      <c r="L66" s="8"/>
      <c r="M66" s="8"/>
      <c r="N66" s="8"/>
      <c r="O66" s="8"/>
      <c r="P66" s="8"/>
      <c r="Q66" s="8"/>
    </row>
    <row r="67" spans="12:17" ht="20.100000000000001" customHeight="1" x14ac:dyDescent="0.25">
      <c r="L67" s="8"/>
      <c r="M67" s="8"/>
      <c r="N67" s="8"/>
      <c r="O67" s="8"/>
      <c r="P67" s="8"/>
      <c r="Q67" s="8"/>
    </row>
    <row r="68" spans="12:17" ht="20.100000000000001" customHeight="1" x14ac:dyDescent="0.25">
      <c r="L68" s="8"/>
      <c r="M68" s="8"/>
      <c r="N68" s="8"/>
      <c r="O68" s="8"/>
      <c r="P68" s="8"/>
      <c r="Q68" s="8"/>
    </row>
    <row r="69" spans="12:17" ht="20.100000000000001" customHeight="1" x14ac:dyDescent="0.25">
      <c r="L69" s="8"/>
      <c r="M69" s="8"/>
      <c r="N69" s="8"/>
      <c r="O69" s="8"/>
      <c r="P69" s="8"/>
      <c r="Q69" s="8"/>
    </row>
    <row r="70" spans="12:17" ht="20.100000000000001" customHeight="1" x14ac:dyDescent="0.25">
      <c r="L70" s="8"/>
      <c r="M70" s="8"/>
      <c r="N70" s="8"/>
      <c r="O70" s="8"/>
      <c r="P70" s="8"/>
      <c r="Q70" s="8"/>
    </row>
    <row r="71" spans="12:17" ht="20.100000000000001" customHeight="1" x14ac:dyDescent="0.25">
      <c r="L71" s="8"/>
      <c r="M71" s="8"/>
      <c r="N71" s="8"/>
      <c r="O71" s="8"/>
      <c r="P71" s="8"/>
      <c r="Q71" s="8"/>
    </row>
    <row r="72" spans="12:17" ht="20.100000000000001" customHeight="1" x14ac:dyDescent="0.25">
      <c r="L72" s="8"/>
      <c r="M72" s="8"/>
      <c r="N72" s="8"/>
      <c r="O72" s="8"/>
      <c r="P72" s="8"/>
      <c r="Q72" s="8"/>
    </row>
    <row r="73" spans="12:17" ht="20.100000000000001" customHeight="1" x14ac:dyDescent="0.25">
      <c r="L73" s="8"/>
      <c r="M73" s="8"/>
      <c r="N73" s="8"/>
      <c r="O73" s="8"/>
      <c r="P73" s="8"/>
      <c r="Q73" s="8"/>
    </row>
    <row r="74" spans="12:17" ht="20.100000000000001" customHeight="1" x14ac:dyDescent="0.25">
      <c r="L74" s="8"/>
      <c r="M74" s="8"/>
      <c r="N74" s="8"/>
      <c r="O74" s="8"/>
      <c r="P74" s="8"/>
      <c r="Q74" s="8"/>
    </row>
    <row r="75" spans="12:17" x14ac:dyDescent="0.25">
      <c r="L75" s="8"/>
      <c r="M75" s="8"/>
      <c r="N75" s="8"/>
      <c r="O75" s="8"/>
      <c r="P75" s="8"/>
      <c r="Q75" s="8"/>
    </row>
    <row r="76" spans="12:17" x14ac:dyDescent="0.25">
      <c r="L76" s="8"/>
      <c r="M76" s="8"/>
      <c r="N76" s="8"/>
      <c r="O76" s="8"/>
      <c r="P76" s="8"/>
      <c r="Q76" s="8"/>
    </row>
    <row r="77" spans="12:17" x14ac:dyDescent="0.25">
      <c r="L77" s="8"/>
      <c r="M77" s="8"/>
      <c r="N77" s="8"/>
      <c r="O77" s="8"/>
      <c r="P77" s="8"/>
      <c r="Q77" s="8"/>
    </row>
    <row r="78" spans="12:17" x14ac:dyDescent="0.25">
      <c r="L78" s="8"/>
      <c r="M78" s="8"/>
      <c r="N78" s="8"/>
      <c r="O78" s="8"/>
      <c r="P78" s="8"/>
      <c r="Q78" s="8"/>
    </row>
    <row r="79" spans="12:17" x14ac:dyDescent="0.25">
      <c r="L79" s="8"/>
      <c r="M79" s="8"/>
      <c r="N79" s="8"/>
      <c r="O79" s="8"/>
      <c r="P79" s="8"/>
      <c r="Q79" s="8"/>
    </row>
    <row r="80" spans="12:17" x14ac:dyDescent="0.25">
      <c r="L80" s="8"/>
      <c r="M80" s="8"/>
      <c r="N80" s="8"/>
      <c r="O80" s="8"/>
      <c r="P80" s="8"/>
      <c r="Q80" s="8"/>
    </row>
    <row r="81" spans="12:17" x14ac:dyDescent="0.25">
      <c r="L81" s="8"/>
      <c r="M81" s="8"/>
      <c r="N81" s="8"/>
      <c r="O81" s="8"/>
      <c r="P81" s="8"/>
      <c r="Q81" s="8"/>
    </row>
    <row r="82" spans="12:17" x14ac:dyDescent="0.25">
      <c r="L82" s="8"/>
      <c r="M82" s="8"/>
      <c r="N82" s="8"/>
      <c r="O82" s="8"/>
      <c r="P82" s="8"/>
      <c r="Q82" s="8"/>
    </row>
    <row r="83" spans="12:17" x14ac:dyDescent="0.25">
      <c r="L83" s="8"/>
      <c r="M83" s="8"/>
      <c r="N83" s="8"/>
      <c r="O83" s="8"/>
      <c r="P83" s="8"/>
      <c r="Q83" s="8"/>
    </row>
    <row r="84" spans="12:17" x14ac:dyDescent="0.25">
      <c r="L84" s="8"/>
      <c r="M84" s="8"/>
      <c r="N84" s="8"/>
      <c r="O84" s="8"/>
      <c r="P84" s="8"/>
      <c r="Q84" s="8"/>
    </row>
    <row r="85" spans="12:17" x14ac:dyDescent="0.25">
      <c r="L85" s="8"/>
      <c r="M85" s="8"/>
      <c r="N85" s="8"/>
      <c r="O85" s="8"/>
      <c r="P85" s="8"/>
      <c r="Q85" s="8"/>
    </row>
    <row r="86" spans="12:17" x14ac:dyDescent="0.25">
      <c r="L86" s="8"/>
      <c r="M86" s="8"/>
      <c r="N86" s="8"/>
      <c r="O86" s="8"/>
      <c r="P86" s="8"/>
      <c r="Q86" s="8"/>
    </row>
    <row r="87" spans="12:17" x14ac:dyDescent="0.25">
      <c r="L87" s="8"/>
      <c r="M87" s="8"/>
      <c r="N87" s="8"/>
      <c r="O87" s="8"/>
      <c r="P87" s="8"/>
      <c r="Q87" s="8"/>
    </row>
    <row r="88" spans="12:17" x14ac:dyDescent="0.25">
      <c r="L88" s="8"/>
      <c r="M88" s="8"/>
      <c r="N88" s="8"/>
      <c r="O88" s="8"/>
      <c r="P88" s="8"/>
      <c r="Q88" s="8"/>
    </row>
    <row r="89" spans="12:17" x14ac:dyDescent="0.25">
      <c r="L89" s="8"/>
      <c r="M89" s="8"/>
      <c r="N89" s="8"/>
      <c r="O89" s="8"/>
      <c r="P89" s="8"/>
      <c r="Q89" s="8"/>
    </row>
    <row r="90" spans="12:17" x14ac:dyDescent="0.25">
      <c r="L90" s="8"/>
      <c r="M90" s="8"/>
      <c r="N90" s="8"/>
      <c r="O90" s="8"/>
      <c r="P90" s="8"/>
      <c r="Q90" s="8"/>
    </row>
    <row r="91" spans="12:17" x14ac:dyDescent="0.25">
      <c r="L91" s="8"/>
      <c r="M91" s="8"/>
      <c r="N91" s="8"/>
      <c r="O91" s="8"/>
      <c r="P91" s="8"/>
      <c r="Q91" s="8"/>
    </row>
    <row r="92" spans="12:17" x14ac:dyDescent="0.25">
      <c r="L92" s="8"/>
      <c r="M92" s="8"/>
      <c r="N92" s="8"/>
      <c r="O92" s="8"/>
      <c r="P92" s="8"/>
      <c r="Q92" s="8"/>
    </row>
    <row r="93" spans="12:17" x14ac:dyDescent="0.25">
      <c r="L93" s="8"/>
      <c r="M93" s="8"/>
      <c r="N93" s="8"/>
      <c r="O93" s="8"/>
      <c r="P93" s="8"/>
      <c r="Q93" s="8"/>
    </row>
    <row r="94" spans="12:17" x14ac:dyDescent="0.25">
      <c r="L94" s="8"/>
      <c r="M94" s="8"/>
      <c r="N94" s="8"/>
      <c r="O94" s="8"/>
      <c r="P94" s="8"/>
      <c r="Q94" s="8"/>
    </row>
    <row r="95" spans="12:17" x14ac:dyDescent="0.25">
      <c r="L95" s="8"/>
      <c r="M95" s="8"/>
      <c r="N95" s="8"/>
      <c r="O95" s="8"/>
      <c r="P95" s="8"/>
      <c r="Q95" s="8"/>
    </row>
    <row r="96" spans="12:17" x14ac:dyDescent="0.25">
      <c r="L96" s="8"/>
      <c r="M96" s="8"/>
      <c r="N96" s="8"/>
      <c r="O96" s="8"/>
      <c r="P96" s="8"/>
      <c r="Q96" s="8"/>
    </row>
    <row r="97" spans="12:17" x14ac:dyDescent="0.25">
      <c r="L97" s="8"/>
      <c r="M97" s="8"/>
      <c r="N97" s="8"/>
      <c r="O97" s="8"/>
      <c r="P97" s="8"/>
      <c r="Q97" s="8"/>
    </row>
    <row r="98" spans="12:17" x14ac:dyDescent="0.25">
      <c r="L98" s="8"/>
      <c r="M98" s="8"/>
      <c r="N98" s="8"/>
      <c r="O98" s="8"/>
      <c r="P98" s="8"/>
      <c r="Q98" s="8"/>
    </row>
    <row r="99" spans="12:17" x14ac:dyDescent="0.25">
      <c r="L99" s="8"/>
      <c r="M99" s="8"/>
      <c r="N99" s="8"/>
      <c r="O99" s="8"/>
      <c r="P99" s="8"/>
      <c r="Q99" s="8"/>
    </row>
    <row r="100" spans="12:17" x14ac:dyDescent="0.25">
      <c r="L100" s="8"/>
      <c r="M100" s="8"/>
      <c r="N100" s="8"/>
      <c r="O100" s="8"/>
      <c r="P100" s="8"/>
      <c r="Q100" s="8"/>
    </row>
    <row r="101" spans="12:17" x14ac:dyDescent="0.25">
      <c r="L101" s="8"/>
      <c r="M101" s="8"/>
      <c r="N101" s="8"/>
      <c r="O101" s="8"/>
      <c r="P101" s="8"/>
      <c r="Q101" s="8"/>
    </row>
    <row r="102" spans="12:17" x14ac:dyDescent="0.25">
      <c r="L102" s="8"/>
      <c r="M102" s="8"/>
      <c r="N102" s="8"/>
      <c r="O102" s="8"/>
      <c r="P102" s="8"/>
      <c r="Q102" s="8"/>
    </row>
    <row r="103" spans="12:17" x14ac:dyDescent="0.25">
      <c r="L103" s="8"/>
      <c r="M103" s="8"/>
      <c r="N103" s="8"/>
      <c r="O103" s="8"/>
      <c r="P103" s="8"/>
      <c r="Q103" s="8"/>
    </row>
    <row r="104" spans="12:17" x14ac:dyDescent="0.25">
      <c r="L104" s="8"/>
      <c r="M104" s="8"/>
      <c r="N104" s="8"/>
      <c r="O104" s="8"/>
      <c r="P104" s="8"/>
      <c r="Q104" s="8"/>
    </row>
    <row r="105" spans="12:17" x14ac:dyDescent="0.25">
      <c r="L105" s="8"/>
      <c r="M105" s="8"/>
      <c r="N105" s="8"/>
      <c r="O105" s="8"/>
      <c r="P105" s="8"/>
      <c r="Q105" s="8"/>
    </row>
    <row r="106" spans="12:17" x14ac:dyDescent="0.25">
      <c r="L106" s="8"/>
      <c r="M106" s="8"/>
      <c r="N106" s="8"/>
      <c r="O106" s="8"/>
      <c r="P106" s="8"/>
      <c r="Q106" s="8"/>
    </row>
    <row r="107" spans="12:17" x14ac:dyDescent="0.25">
      <c r="L107" s="8"/>
      <c r="M107" s="8"/>
      <c r="N107" s="8"/>
      <c r="O107" s="8"/>
      <c r="P107" s="8"/>
      <c r="Q107" s="8"/>
    </row>
    <row r="108" spans="12:17" x14ac:dyDescent="0.25">
      <c r="L108" s="8"/>
      <c r="M108" s="8"/>
      <c r="N108" s="8"/>
      <c r="O108" s="8"/>
      <c r="P108" s="8"/>
      <c r="Q108" s="8"/>
    </row>
    <row r="109" spans="12:17" x14ac:dyDescent="0.25">
      <c r="L109" s="8"/>
      <c r="M109" s="8"/>
      <c r="N109" s="8"/>
      <c r="O109" s="8"/>
      <c r="P109" s="8"/>
      <c r="Q109" s="8"/>
    </row>
    <row r="110" spans="12:17" x14ac:dyDescent="0.25">
      <c r="L110" s="8"/>
      <c r="M110" s="8"/>
      <c r="N110" s="8"/>
      <c r="O110" s="8"/>
      <c r="P110" s="8"/>
      <c r="Q110" s="8"/>
    </row>
    <row r="111" spans="12:17" x14ac:dyDescent="0.25">
      <c r="L111" s="8"/>
      <c r="M111" s="8"/>
      <c r="N111" s="8"/>
      <c r="O111" s="8"/>
      <c r="P111" s="8"/>
      <c r="Q111" s="8"/>
    </row>
    <row r="112" spans="12:17" x14ac:dyDescent="0.25">
      <c r="L112" s="8"/>
      <c r="M112" s="8"/>
      <c r="N112" s="8"/>
      <c r="O112" s="8"/>
      <c r="P112" s="8"/>
      <c r="Q112" s="8"/>
    </row>
    <row r="113" spans="12:17" x14ac:dyDescent="0.25">
      <c r="L113" s="8"/>
      <c r="M113" s="8"/>
      <c r="N113" s="8"/>
      <c r="O113" s="8"/>
      <c r="P113" s="8"/>
      <c r="Q113" s="8"/>
    </row>
    <row r="114" spans="12:17" x14ac:dyDescent="0.25">
      <c r="L114" s="8"/>
      <c r="M114" s="8"/>
      <c r="N114" s="8"/>
      <c r="O114" s="8"/>
      <c r="P114" s="8"/>
      <c r="Q114" s="8"/>
    </row>
    <row r="115" spans="12:17" x14ac:dyDescent="0.25">
      <c r="L115" s="8"/>
      <c r="M115" s="8"/>
      <c r="N115" s="8"/>
      <c r="O115" s="8"/>
      <c r="P115" s="8"/>
      <c r="Q115" s="8"/>
    </row>
    <row r="116" spans="12:17" x14ac:dyDescent="0.25">
      <c r="L116" s="8"/>
      <c r="M116" s="8"/>
      <c r="N116" s="8"/>
      <c r="O116" s="8"/>
      <c r="P116" s="8"/>
      <c r="Q116" s="8"/>
    </row>
    <row r="117" spans="12:17" x14ac:dyDescent="0.25">
      <c r="L117" s="8"/>
      <c r="M117" s="8"/>
      <c r="N117" s="8"/>
      <c r="O117" s="8"/>
      <c r="P117" s="8"/>
      <c r="Q117" s="8"/>
    </row>
    <row r="118" spans="12:17" x14ac:dyDescent="0.25">
      <c r="L118" s="8"/>
      <c r="M118" s="8"/>
      <c r="N118" s="8"/>
      <c r="O118" s="8"/>
      <c r="P118" s="8"/>
      <c r="Q118" s="8"/>
    </row>
    <row r="119" spans="12:17" x14ac:dyDescent="0.25">
      <c r="L119" s="8"/>
      <c r="M119" s="8"/>
      <c r="N119" s="8"/>
      <c r="O119" s="8"/>
      <c r="P119" s="8"/>
      <c r="Q119" s="8"/>
    </row>
    <row r="120" spans="12:17" x14ac:dyDescent="0.25">
      <c r="L120" s="8"/>
      <c r="M120" s="8"/>
      <c r="N120" s="8"/>
      <c r="O120" s="8"/>
      <c r="P120" s="8"/>
      <c r="Q120" s="8"/>
    </row>
    <row r="121" spans="12:17" x14ac:dyDescent="0.25">
      <c r="L121" s="8"/>
      <c r="M121" s="8"/>
      <c r="N121" s="8"/>
      <c r="O121" s="8"/>
      <c r="P121" s="8"/>
      <c r="Q121" s="8"/>
    </row>
    <row r="122" spans="12:17" x14ac:dyDescent="0.25">
      <c r="L122" s="8"/>
      <c r="M122" s="8"/>
      <c r="N122" s="8"/>
      <c r="O122" s="8"/>
      <c r="P122" s="8"/>
      <c r="Q122" s="8"/>
    </row>
    <row r="123" spans="12:17" x14ac:dyDescent="0.25">
      <c r="L123" s="8"/>
      <c r="M123" s="8"/>
      <c r="N123" s="8"/>
      <c r="O123" s="8"/>
      <c r="P123" s="8"/>
      <c r="Q123" s="8"/>
    </row>
    <row r="124" spans="12:17" x14ac:dyDescent="0.25">
      <c r="L124" s="8"/>
      <c r="M124" s="8"/>
      <c r="N124" s="8"/>
      <c r="O124" s="8"/>
      <c r="P124" s="8"/>
      <c r="Q124" s="8"/>
    </row>
    <row r="125" spans="12:17" x14ac:dyDescent="0.25">
      <c r="L125" s="8"/>
      <c r="M125" s="8"/>
      <c r="N125" s="8"/>
      <c r="O125" s="8"/>
      <c r="P125" s="8"/>
      <c r="Q125" s="8"/>
    </row>
    <row r="126" spans="12:17" x14ac:dyDescent="0.25">
      <c r="L126" s="8"/>
      <c r="M126" s="8"/>
      <c r="N126" s="8"/>
      <c r="O126" s="8"/>
      <c r="P126" s="8"/>
      <c r="Q126" s="8"/>
    </row>
    <row r="127" spans="12:17" x14ac:dyDescent="0.25">
      <c r="L127" s="8"/>
      <c r="M127" s="8"/>
      <c r="N127" s="8"/>
      <c r="O127" s="8"/>
      <c r="P127" s="8"/>
      <c r="Q127" s="8"/>
    </row>
    <row r="128" spans="12:17" x14ac:dyDescent="0.25">
      <c r="L128" s="8"/>
      <c r="M128" s="8"/>
      <c r="N128" s="8"/>
      <c r="O128" s="8"/>
      <c r="P128" s="8"/>
      <c r="Q128" s="8"/>
    </row>
    <row r="129" spans="12:17" x14ac:dyDescent="0.25">
      <c r="L129" s="8"/>
      <c r="M129" s="8"/>
      <c r="N129" s="8"/>
      <c r="O129" s="8"/>
      <c r="P129" s="8"/>
      <c r="Q129" s="8"/>
    </row>
    <row r="130" spans="12:17" x14ac:dyDescent="0.25">
      <c r="L130" s="8"/>
      <c r="M130" s="8"/>
      <c r="N130" s="8"/>
      <c r="O130" s="8"/>
      <c r="P130" s="8"/>
      <c r="Q130" s="8"/>
    </row>
    <row r="131" spans="12:17" x14ac:dyDescent="0.25">
      <c r="L131" s="8"/>
      <c r="M131" s="8"/>
      <c r="N131" s="8"/>
      <c r="O131" s="8"/>
      <c r="P131" s="8"/>
      <c r="Q131" s="8"/>
    </row>
    <row r="132" spans="12:17" x14ac:dyDescent="0.25">
      <c r="L132" s="8"/>
      <c r="M132" s="8"/>
      <c r="N132" s="8"/>
      <c r="O132" s="8"/>
      <c r="P132" s="8"/>
      <c r="Q132" s="8"/>
    </row>
    <row r="133" spans="12:17" x14ac:dyDescent="0.25">
      <c r="L133" s="8"/>
      <c r="M133" s="8"/>
      <c r="N133" s="8"/>
      <c r="O133" s="8"/>
      <c r="P133" s="8"/>
      <c r="Q133" s="8"/>
    </row>
    <row r="134" spans="12:17" x14ac:dyDescent="0.25">
      <c r="L134" s="8"/>
      <c r="M134" s="8"/>
      <c r="N134" s="8"/>
      <c r="O134" s="8"/>
      <c r="P134" s="8"/>
      <c r="Q134" s="8"/>
    </row>
    <row r="135" spans="12:17" x14ac:dyDescent="0.25">
      <c r="L135" s="8"/>
      <c r="M135" s="8"/>
      <c r="N135" s="8"/>
      <c r="O135" s="8"/>
      <c r="P135" s="8"/>
      <c r="Q135" s="8"/>
    </row>
    <row r="136" spans="12:17" x14ac:dyDescent="0.25">
      <c r="L136" s="8"/>
      <c r="M136" s="8"/>
      <c r="N136" s="8"/>
      <c r="O136" s="8"/>
      <c r="P136" s="8"/>
      <c r="Q136" s="8"/>
    </row>
    <row r="137" spans="12:17" x14ac:dyDescent="0.25">
      <c r="L137" s="8"/>
      <c r="M137" s="8"/>
      <c r="N137" s="8"/>
      <c r="O137" s="8"/>
      <c r="P137" s="8"/>
      <c r="Q137" s="8"/>
    </row>
    <row r="138" spans="12:17" x14ac:dyDescent="0.25">
      <c r="L138" s="8"/>
      <c r="M138" s="8"/>
      <c r="N138" s="8"/>
      <c r="O138" s="8"/>
      <c r="P138" s="8"/>
      <c r="Q138" s="8"/>
    </row>
    <row r="139" spans="12:17" x14ac:dyDescent="0.25">
      <c r="L139" s="8"/>
      <c r="M139" s="8"/>
      <c r="N139" s="8"/>
      <c r="O139" s="8"/>
      <c r="P139" s="8"/>
      <c r="Q139" s="8"/>
    </row>
    <row r="140" spans="12:17" x14ac:dyDescent="0.25">
      <c r="L140" s="8"/>
      <c r="M140" s="8"/>
      <c r="N140" s="8"/>
      <c r="O140" s="8"/>
      <c r="P140" s="8"/>
      <c r="Q140" s="8"/>
    </row>
    <row r="141" spans="12:17" x14ac:dyDescent="0.25">
      <c r="L141" s="8"/>
      <c r="M141" s="8"/>
      <c r="N141" s="8"/>
      <c r="O141" s="8"/>
      <c r="P141" s="8"/>
      <c r="Q141" s="8"/>
    </row>
    <row r="142" spans="12:17" x14ac:dyDescent="0.25">
      <c r="L142" s="8"/>
      <c r="M142" s="8"/>
      <c r="N142" s="8"/>
      <c r="O142" s="8"/>
      <c r="P142" s="8"/>
      <c r="Q142" s="8"/>
    </row>
    <row r="143" spans="12:17" x14ac:dyDescent="0.25">
      <c r="L143" s="8"/>
      <c r="M143" s="8"/>
      <c r="N143" s="8"/>
      <c r="O143" s="8"/>
      <c r="P143" s="8"/>
      <c r="Q143" s="8"/>
    </row>
    <row r="144" spans="12:17" x14ac:dyDescent="0.25">
      <c r="L144" s="8"/>
      <c r="M144" s="8"/>
      <c r="N144" s="8"/>
      <c r="O144" s="8"/>
      <c r="P144" s="8"/>
      <c r="Q144" s="8"/>
    </row>
    <row r="145" spans="12:17" x14ac:dyDescent="0.25">
      <c r="L145" s="8"/>
      <c r="M145" s="8"/>
      <c r="N145" s="8"/>
      <c r="O145" s="8"/>
      <c r="P145" s="8"/>
      <c r="Q145" s="8"/>
    </row>
    <row r="146" spans="12:17" x14ac:dyDescent="0.25">
      <c r="L146" s="8"/>
      <c r="M146" s="8"/>
      <c r="N146" s="8"/>
      <c r="O146" s="8"/>
      <c r="P146" s="8"/>
      <c r="Q146" s="8"/>
    </row>
    <row r="147" spans="12:17" x14ac:dyDescent="0.25">
      <c r="L147" s="8"/>
      <c r="M147" s="8"/>
      <c r="N147" s="8"/>
      <c r="O147" s="8"/>
      <c r="P147" s="8"/>
      <c r="Q147" s="8"/>
    </row>
    <row r="148" spans="12:17" x14ac:dyDescent="0.25">
      <c r="L148" s="8"/>
      <c r="M148" s="8"/>
      <c r="N148" s="8"/>
      <c r="O148" s="8"/>
      <c r="P148" s="8"/>
      <c r="Q148" s="8"/>
    </row>
    <row r="149" spans="12:17" x14ac:dyDescent="0.25">
      <c r="L149" s="8"/>
      <c r="M149" s="8"/>
      <c r="N149" s="8"/>
      <c r="O149" s="8"/>
      <c r="P149" s="8"/>
      <c r="Q149" s="8"/>
    </row>
    <row r="150" spans="12:17" x14ac:dyDescent="0.25">
      <c r="L150" s="8"/>
      <c r="M150" s="8"/>
      <c r="N150" s="8"/>
      <c r="O150" s="8"/>
      <c r="P150" s="8"/>
      <c r="Q150" s="8"/>
    </row>
    <row r="151" spans="12:17" x14ac:dyDescent="0.25">
      <c r="L151" s="8"/>
      <c r="M151" s="8"/>
      <c r="N151" s="8"/>
      <c r="O151" s="8"/>
      <c r="P151" s="8"/>
      <c r="Q151" s="8"/>
    </row>
    <row r="152" spans="12:17" x14ac:dyDescent="0.25">
      <c r="L152" s="8"/>
      <c r="M152" s="8"/>
      <c r="N152" s="8"/>
      <c r="O152" s="8"/>
      <c r="P152" s="8"/>
      <c r="Q152" s="8"/>
    </row>
    <row r="153" spans="12:17" x14ac:dyDescent="0.25">
      <c r="L153" s="8"/>
      <c r="M153" s="8"/>
      <c r="N153" s="8"/>
      <c r="O153" s="8"/>
      <c r="P153" s="8"/>
      <c r="Q153" s="8"/>
    </row>
    <row r="154" spans="12:17" x14ac:dyDescent="0.25">
      <c r="L154" s="8"/>
      <c r="M154" s="8"/>
      <c r="N154" s="8"/>
      <c r="O154" s="8"/>
      <c r="P154" s="8"/>
      <c r="Q154" s="8"/>
    </row>
    <row r="155" spans="12:17" x14ac:dyDescent="0.25">
      <c r="L155" s="8"/>
      <c r="M155" s="8"/>
      <c r="N155" s="8"/>
      <c r="O155" s="8"/>
      <c r="P155" s="8"/>
      <c r="Q155" s="8"/>
    </row>
    <row r="156" spans="12:17" x14ac:dyDescent="0.25">
      <c r="L156" s="8"/>
      <c r="M156" s="8"/>
      <c r="N156" s="8"/>
      <c r="O156" s="8"/>
      <c r="P156" s="8"/>
      <c r="Q156" s="8"/>
    </row>
    <row r="157" spans="12:17" x14ac:dyDescent="0.25">
      <c r="L157" s="8"/>
      <c r="M157" s="8"/>
      <c r="N157" s="8"/>
      <c r="O157" s="8"/>
      <c r="P157" s="8"/>
      <c r="Q157" s="8"/>
    </row>
    <row r="158" spans="12:17" x14ac:dyDescent="0.25">
      <c r="L158" s="8"/>
      <c r="M158" s="8"/>
      <c r="N158" s="8"/>
      <c r="O158" s="8"/>
      <c r="P158" s="8"/>
      <c r="Q158" s="8"/>
    </row>
    <row r="159" spans="12:17" x14ac:dyDescent="0.25">
      <c r="L159" s="8"/>
      <c r="M159" s="8"/>
      <c r="N159" s="8"/>
      <c r="O159" s="8"/>
      <c r="P159" s="8"/>
      <c r="Q159" s="8"/>
    </row>
    <row r="160" spans="12:17" x14ac:dyDescent="0.25">
      <c r="L160" s="8"/>
      <c r="M160" s="8"/>
      <c r="N160" s="8"/>
      <c r="O160" s="8"/>
      <c r="P160" s="8"/>
      <c r="Q160" s="8"/>
    </row>
    <row r="161" spans="12:17" x14ac:dyDescent="0.25">
      <c r="L161" s="8"/>
      <c r="M161" s="8"/>
      <c r="N161" s="8"/>
      <c r="O161" s="8"/>
      <c r="P161" s="8"/>
      <c r="Q161" s="8"/>
    </row>
    <row r="162" spans="12:17" x14ac:dyDescent="0.25">
      <c r="L162" s="8"/>
      <c r="M162" s="8"/>
      <c r="N162" s="8"/>
      <c r="O162" s="8"/>
      <c r="P162" s="8"/>
      <c r="Q162" s="8"/>
    </row>
    <row r="163" spans="12:17" x14ac:dyDescent="0.25">
      <c r="L163" s="8"/>
      <c r="M163" s="8"/>
      <c r="N163" s="8"/>
      <c r="O163" s="8"/>
      <c r="P163" s="8"/>
      <c r="Q163" s="8"/>
    </row>
    <row r="164" spans="12:17" x14ac:dyDescent="0.25">
      <c r="L164" s="8"/>
      <c r="M164" s="8"/>
      <c r="N164" s="8"/>
      <c r="O164" s="8"/>
      <c r="P164" s="8"/>
      <c r="Q164" s="8"/>
    </row>
    <row r="165" spans="12:17" x14ac:dyDescent="0.25">
      <c r="L165" s="8"/>
      <c r="M165" s="8"/>
      <c r="N165" s="8"/>
      <c r="O165" s="8"/>
      <c r="P165" s="8"/>
      <c r="Q165" s="8"/>
    </row>
    <row r="166" spans="12:17" x14ac:dyDescent="0.25">
      <c r="L166" s="8"/>
      <c r="M166" s="8"/>
      <c r="N166" s="8"/>
      <c r="O166" s="8"/>
      <c r="P166" s="8"/>
      <c r="Q166" s="8"/>
    </row>
    <row r="167" spans="12:17" x14ac:dyDescent="0.25">
      <c r="L167" s="8"/>
      <c r="M167" s="8"/>
      <c r="N167" s="8"/>
      <c r="O167" s="8"/>
      <c r="P167" s="8"/>
      <c r="Q167" s="8"/>
    </row>
    <row r="168" spans="12:17" x14ac:dyDescent="0.25">
      <c r="L168" s="8"/>
      <c r="M168" s="8"/>
      <c r="N168" s="8"/>
      <c r="O168" s="8"/>
      <c r="P168" s="8"/>
      <c r="Q168" s="8"/>
    </row>
    <row r="169" spans="12:17" x14ac:dyDescent="0.25">
      <c r="L169" s="8"/>
      <c r="M169" s="8"/>
      <c r="N169" s="8"/>
      <c r="O169" s="8"/>
      <c r="P169" s="8"/>
      <c r="Q169" s="8"/>
    </row>
    <row r="170" spans="12:17" x14ac:dyDescent="0.25">
      <c r="L170" s="8"/>
      <c r="M170" s="8"/>
      <c r="N170" s="8"/>
      <c r="O170" s="8"/>
      <c r="P170" s="8"/>
      <c r="Q170" s="8"/>
    </row>
    <row r="171" spans="12:17" x14ac:dyDescent="0.25">
      <c r="L171" s="8"/>
      <c r="M171" s="8"/>
      <c r="N171" s="8"/>
      <c r="O171" s="8"/>
      <c r="P171" s="8"/>
      <c r="Q171" s="8"/>
    </row>
    <row r="172" spans="12:17" x14ac:dyDescent="0.25">
      <c r="L172" s="8"/>
      <c r="M172" s="8"/>
      <c r="N172" s="8"/>
      <c r="O172" s="8"/>
      <c r="P172" s="8"/>
      <c r="Q172" s="8"/>
    </row>
    <row r="173" spans="12:17" x14ac:dyDescent="0.25">
      <c r="L173" s="8"/>
      <c r="M173" s="8"/>
      <c r="N173" s="8"/>
      <c r="O173" s="8"/>
      <c r="P173" s="8"/>
      <c r="Q173" s="8"/>
    </row>
    <row r="174" spans="12:17" x14ac:dyDescent="0.25">
      <c r="L174" s="8"/>
      <c r="M174" s="8"/>
      <c r="N174" s="8"/>
      <c r="O174" s="8"/>
      <c r="P174" s="8"/>
      <c r="Q174" s="8"/>
    </row>
    <row r="175" spans="12:17" x14ac:dyDescent="0.25">
      <c r="L175" s="8"/>
      <c r="M175" s="8"/>
      <c r="N175" s="8"/>
      <c r="O175" s="8"/>
      <c r="P175" s="8"/>
      <c r="Q175" s="8"/>
    </row>
    <row r="176" spans="12:17" x14ac:dyDescent="0.25">
      <c r="L176" s="8"/>
      <c r="M176" s="8"/>
      <c r="N176" s="8"/>
      <c r="O176" s="8"/>
      <c r="P176" s="8"/>
      <c r="Q176" s="8"/>
    </row>
    <row r="177" spans="12:17" x14ac:dyDescent="0.25">
      <c r="L177" s="8"/>
      <c r="M177" s="8"/>
      <c r="N177" s="8"/>
      <c r="O177" s="8"/>
      <c r="P177" s="8"/>
      <c r="Q177" s="8"/>
    </row>
    <row r="178" spans="12:17" x14ac:dyDescent="0.25">
      <c r="L178" s="8"/>
      <c r="M178" s="8"/>
      <c r="N178" s="8"/>
      <c r="O178" s="8"/>
      <c r="P178" s="8"/>
      <c r="Q178" s="8"/>
    </row>
    <row r="179" spans="12:17" x14ac:dyDescent="0.25">
      <c r="L179" s="8"/>
      <c r="M179" s="8"/>
      <c r="N179" s="8"/>
      <c r="O179" s="8"/>
      <c r="P179" s="8"/>
      <c r="Q179" s="8"/>
    </row>
    <row r="180" spans="12:17" x14ac:dyDescent="0.25">
      <c r="L180" s="8"/>
      <c r="M180" s="8"/>
      <c r="N180" s="8"/>
      <c r="O180" s="8"/>
      <c r="P180" s="8"/>
      <c r="Q180" s="8"/>
    </row>
    <row r="181" spans="12:17" x14ac:dyDescent="0.25">
      <c r="L181" s="8"/>
      <c r="M181" s="8"/>
      <c r="N181" s="8"/>
      <c r="O181" s="8"/>
      <c r="P181" s="8"/>
      <c r="Q181" s="8"/>
    </row>
    <row r="182" spans="12:17" x14ac:dyDescent="0.25">
      <c r="L182" s="8"/>
      <c r="M182" s="8"/>
      <c r="N182" s="8"/>
      <c r="O182" s="8"/>
      <c r="P182" s="8"/>
      <c r="Q182" s="8"/>
    </row>
    <row r="183" spans="12:17" x14ac:dyDescent="0.25">
      <c r="L183" s="8"/>
      <c r="M183" s="8"/>
      <c r="N183" s="8"/>
      <c r="O183" s="8"/>
      <c r="P183" s="8"/>
      <c r="Q183" s="8"/>
    </row>
    <row r="184" spans="12:17" x14ac:dyDescent="0.25">
      <c r="L184" s="8"/>
      <c r="M184" s="8"/>
      <c r="N184" s="8"/>
      <c r="O184" s="8"/>
      <c r="P184" s="8"/>
      <c r="Q184" s="8"/>
    </row>
    <row r="185" spans="12:17" x14ac:dyDescent="0.25">
      <c r="L185" s="8"/>
      <c r="M185" s="8"/>
      <c r="N185" s="8"/>
      <c r="O185" s="8"/>
      <c r="P185" s="8"/>
      <c r="Q185" s="8"/>
    </row>
    <row r="186" spans="12:17" x14ac:dyDescent="0.25">
      <c r="L186" s="8"/>
      <c r="M186" s="8"/>
      <c r="N186" s="8"/>
      <c r="O186" s="8"/>
      <c r="P186" s="8"/>
      <c r="Q186" s="8"/>
    </row>
    <row r="187" spans="12:17" x14ac:dyDescent="0.25">
      <c r="L187" s="8"/>
      <c r="M187" s="8"/>
      <c r="N187" s="8"/>
      <c r="O187" s="8"/>
      <c r="P187" s="8"/>
      <c r="Q187" s="8"/>
    </row>
    <row r="188" spans="12:17" x14ac:dyDescent="0.25">
      <c r="L188" s="8"/>
      <c r="M188" s="8"/>
      <c r="N188" s="8"/>
      <c r="O188" s="8"/>
      <c r="P188" s="8"/>
      <c r="Q188" s="8"/>
    </row>
    <row r="189" spans="12:17" x14ac:dyDescent="0.25">
      <c r="L189" s="8"/>
      <c r="M189" s="8"/>
      <c r="N189" s="8"/>
      <c r="O189" s="8"/>
      <c r="P189" s="8"/>
      <c r="Q189" s="8"/>
    </row>
    <row r="190" spans="12:17" x14ac:dyDescent="0.25">
      <c r="L190" s="8"/>
      <c r="M190" s="8"/>
      <c r="N190" s="8"/>
      <c r="O190" s="8"/>
      <c r="P190" s="8"/>
      <c r="Q190" s="8"/>
    </row>
    <row r="191" spans="12:17" x14ac:dyDescent="0.25">
      <c r="L191" s="8"/>
      <c r="M191" s="8"/>
      <c r="N191" s="8"/>
      <c r="O191" s="8"/>
      <c r="P191" s="8"/>
      <c r="Q191" s="8"/>
    </row>
    <row r="192" spans="12:17" x14ac:dyDescent="0.25">
      <c r="L192" s="8"/>
      <c r="M192" s="8"/>
      <c r="N192" s="8"/>
      <c r="O192" s="8"/>
      <c r="P192" s="8"/>
      <c r="Q192" s="8"/>
    </row>
    <row r="193" spans="12:17" x14ac:dyDescent="0.25">
      <c r="L193" s="8"/>
      <c r="M193" s="8"/>
      <c r="N193" s="8"/>
      <c r="O193" s="8"/>
      <c r="P193" s="8"/>
      <c r="Q193" s="8"/>
    </row>
    <row r="194" spans="12:17" x14ac:dyDescent="0.25">
      <c r="L194" s="8"/>
      <c r="M194" s="8"/>
      <c r="N194" s="8"/>
      <c r="O194" s="8"/>
      <c r="P194" s="8"/>
      <c r="Q194" s="8"/>
    </row>
    <row r="195" spans="12:17" x14ac:dyDescent="0.25">
      <c r="L195" s="8"/>
      <c r="M195" s="8"/>
      <c r="N195" s="8"/>
      <c r="O195" s="8"/>
      <c r="P195" s="8"/>
      <c r="Q195" s="8"/>
    </row>
    <row r="196" spans="12:17" x14ac:dyDescent="0.25">
      <c r="L196" s="8"/>
      <c r="M196" s="8"/>
      <c r="N196" s="8"/>
      <c r="O196" s="8"/>
      <c r="P196" s="8"/>
      <c r="Q196" s="8"/>
    </row>
    <row r="197" spans="12:17" x14ac:dyDescent="0.25">
      <c r="L197" s="8"/>
      <c r="M197" s="8"/>
      <c r="N197" s="8"/>
      <c r="O197" s="8"/>
      <c r="P197" s="8"/>
      <c r="Q197" s="8"/>
    </row>
    <row r="198" spans="12:17" x14ac:dyDescent="0.25">
      <c r="L198" s="8"/>
      <c r="M198" s="8"/>
      <c r="N198" s="8"/>
      <c r="O198" s="8"/>
      <c r="P198" s="8"/>
      <c r="Q198" s="8"/>
    </row>
    <row r="199" spans="12:17" x14ac:dyDescent="0.25">
      <c r="L199" s="8"/>
      <c r="M199" s="8"/>
      <c r="N199" s="8"/>
      <c r="O199" s="8"/>
      <c r="P199" s="8"/>
      <c r="Q199" s="8"/>
    </row>
    <row r="200" spans="12:17" x14ac:dyDescent="0.25">
      <c r="L200" s="8"/>
      <c r="M200" s="8"/>
      <c r="N200" s="8"/>
      <c r="O200" s="8"/>
      <c r="P200" s="8"/>
      <c r="Q200" s="8"/>
    </row>
    <row r="201" spans="12:17" x14ac:dyDescent="0.25">
      <c r="L201" s="8"/>
      <c r="M201" s="8"/>
      <c r="N201" s="8"/>
      <c r="O201" s="8"/>
      <c r="P201" s="8"/>
      <c r="Q201" s="8"/>
    </row>
    <row r="202" spans="12:17" x14ac:dyDescent="0.25">
      <c r="L202" s="8"/>
      <c r="M202" s="8"/>
      <c r="N202" s="8"/>
      <c r="O202" s="8"/>
      <c r="P202" s="8"/>
      <c r="Q202" s="8"/>
    </row>
  </sheetData>
  <phoneticPr fontId="53" type="noConversion"/>
  <pageMargins left="0.7" right="0.7" top="0.75" bottom="0.75" header="0.3" footer="0.3"/>
  <tableParts count="6">
    <tablePart r:id="rId1"/>
    <tablePart r:id="rId2"/>
    <tablePart r:id="rId3"/>
    <tablePart r:id="rId4"/>
    <tablePart r:id="rId5"/>
    <tablePart r:id="rId6"/>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sheetPr>
    <tabColor theme="2" tint="-0.499984740745262"/>
  </sheetPr>
  <dimension ref="A1:AI165"/>
  <sheetViews>
    <sheetView showGridLines="0" zoomScaleNormal="100" workbookViewId="0">
      <selection activeCell="O1" sqref="O1:Q1048576"/>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37" t="e" vm="1">
        <v>#VALUE!</v>
      </c>
      <c r="C1" s="1" t="s">
        <v>134</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Fertiliser_SourceData.Fertiliser_ChemicalCompoundElements_Title()</f>
        <v>Common inorganic fertilisers</v>
      </c>
      <c r="E5" s="17"/>
      <c r="F5" s="17"/>
      <c r="G5" s="17"/>
      <c r="H5" s="17"/>
      <c r="I5" s="17"/>
      <c r="J5" s="17"/>
    </row>
    <row r="6" spans="1:35" ht="20.100000000000001" customHeight="1" x14ac:dyDescent="0.25">
      <c r="A6"/>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Fuel'!A1", "Fuel")</f>
        <v>Fuel</v>
      </c>
      <c r="D9" s="12" t="str">
        <v>Added extra fertiliser types and generic chemical compounds to allow for custom NPKS blends</v>
      </c>
    </row>
    <row r="10" spans="1:35" ht="20.100000000000001" customHeight="1" x14ac:dyDescent="0.25">
      <c r="A10" s="16" t="str">
        <f>HYPERLINK("#'Input - Fertiliser'!A1", "Fertiliser")</f>
        <v>Fertiliser</v>
      </c>
      <c r="D10" s="12" t="str">
        <v>Added extra 'Scope 3 definition' column to allow mapping with scope 3 data</v>
      </c>
    </row>
    <row r="11" spans="1:35" ht="20.100000000000001" customHeight="1" x14ac:dyDescent="0.25">
      <c r="A11" s="16" t="str">
        <f>HYPERLINK("#'Input - Farm Inputs'!A1", "Farm Inputs")</f>
        <v>Farm Inputs</v>
      </c>
      <c r="D11" s="12" t="str">
        <v>Added 'Source' column</v>
      </c>
    </row>
    <row r="12" spans="1:35" ht="20.100000000000001" customHeight="1" x14ac:dyDescent="0.25">
      <c r="A12" s="16" t="str">
        <f>HYPERLINK("#'Input - Livestock purchases'!A1", "Livestock purchases")</f>
        <v>Livestock purchases</v>
      </c>
      <c r="D12" s="12" t="str">
        <v>Combined data from Table A.2.2.3 and Table A.2.2.4 into one table to aid lookup.</v>
      </c>
    </row>
    <row r="13" spans="1:35" ht="20.100000000000001" customHeight="1" x14ac:dyDescent="0.25">
      <c r="A13" s="16" t="str">
        <f>HYPERLINK("#'Input - Freight'!A1", "Freight")</f>
        <v>Freight</v>
      </c>
      <c r="D13" s="12" t="str">
        <v>Excluded 'References' column</v>
      </c>
    </row>
    <row r="14" spans="1:35" ht="20.100000000000001" customHeight="1" x14ac:dyDescent="0.25">
      <c r="A14" s="16" t="str">
        <f>HYPERLINK("#'Input - Solid waste'!A1", "Solid waste")</f>
        <v>Solid waste</v>
      </c>
      <c r="D14" s="12" t="str">
        <v>Excluded 'Ammonium sulfate' as it is a duplicate of 'Sulphate of ammonia (SOA)'</v>
      </c>
    </row>
    <row r="15" spans="1:35" ht="20.100000000000001" customHeight="1" x14ac:dyDescent="0.25">
      <c r="A15" s="16" t="str">
        <f>HYPERLINK("#'Input - Manure sent off-site'!A1", "Manure sent off-site")</f>
        <v>Manure sent off-site</v>
      </c>
      <c r="D15" s="12" t="str">
        <v>Excluded 'Calcium nitrate' as no scope 3 value available.</v>
      </c>
    </row>
    <row r="16" spans="1:35" ht="20.100000000000001" customHeight="1" x14ac:dyDescent="0.25">
      <c r="A16" s="16" t="str">
        <f>HYPERLINK("#'Input - Electricity'!A1", "Electricity")</f>
        <v>Electricity</v>
      </c>
      <c r="D16" s="12" t="str">
        <v>Set 'Nitrogen - Generic' basis as 'Urea-based fertilisers, as urea is the most commonly used form of nitrogen in Australian fertilisers</v>
      </c>
    </row>
    <row r="17" spans="1:22" ht="20.100000000000001" customHeight="1" x14ac:dyDescent="0.25">
      <c r="A17"/>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A18"/>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1" t="s">
        <v>77</v>
      </c>
      <c r="D19" s="3" t="s">
        <v>135</v>
      </c>
      <c r="E19" s="3" t="s">
        <v>136</v>
      </c>
      <c r="F19" s="3" t="s">
        <v>137</v>
      </c>
      <c r="G19" s="3" t="s">
        <v>138</v>
      </c>
      <c r="H19" s="3" t="s">
        <v>139</v>
      </c>
      <c r="I19" s="3" t="s">
        <v>140</v>
      </c>
      <c r="K19" s="10" t="s">
        <v>135</v>
      </c>
      <c r="L19" s="10" t="s">
        <v>136</v>
      </c>
      <c r="Q19" s="10" t="s">
        <v>135</v>
      </c>
      <c r="R19" s="10" t="s">
        <v>136</v>
      </c>
      <c r="V19" s="10" t="s">
        <v>140</v>
      </c>
    </row>
    <row r="20" spans="1:22" ht="20.100000000000001" customHeight="1" x14ac:dyDescent="0.25">
      <c r="A20" s="16" t="str">
        <f>HYPERLINK("#'15 Scope 3'!A1", "15 Scope 3")</f>
        <v>15 Scope 3</v>
      </c>
      <c r="D20" s="62" t="str" cm="1">
        <f t="array" ref="D20">Common_InputFunctions.Utility_DisplayArrayInTable(Fertiliser_SourceData.Fertiliser_ChemicalCompoundElements_Data(),Table_Fertiliser_ChemicalCompounds[[#Headers],[Fertiliser type f]], 0)</f>
        <v>Monoammonium phosphate (MAP)</v>
      </c>
      <c r="E20" s="62" cm="1">
        <f t="array" ref="E20">Common_InputFunctions.Utility_DisplayArrayInTable(Fertiliser_SourceData.Fertiliser_ChemicalCompoundElements_Data(),Table_Fertiliser_ChemicalCompounds[[#Headers],[Fertiliser type f]], 0)</f>
        <v>0.1</v>
      </c>
      <c r="F20" s="62" cm="1">
        <f t="array" ref="F20">Common_InputFunctions.Utility_DisplayArrayInTable(Fertiliser_SourceData.Fertiliser_ChemicalCompoundElements_Data(),Table_Fertiliser_ChemicalCompounds[[#Headers],[Fertiliser type f]], 0)</f>
        <v>0</v>
      </c>
      <c r="G20" s="62" t="str" cm="1">
        <f t="array" ref="G20">Common_InputFunctions.Utility_DisplayArrayInTable(Fertiliser_SourceData.Fertiliser_ChemicalCompoundElements_Data(),Table_Fertiliser_ChemicalCompounds[[#Headers],[Fertiliser type f]], 0)</f>
        <v>Ammonium-based fertilisers</v>
      </c>
      <c r="H20" s="62" t="str" cm="1">
        <f t="array" ref="H20">Common_InputFunctions.Utility_DisplayArrayInTable(Fertiliser_SourceData.Fertiliser_ChemicalCompoundElements_Data(),Table_Fertiliser_ChemicalCompounds[[#Headers],[Fertiliser type f]], 0)</f>
        <v>Monoammonium phosphate (MAP)</v>
      </c>
      <c r="I20" s="62"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HYPERLINK("#'10.1.1-2 Solid waste treatment'!A1", "10.1.1-2 Solid waste treatment")</f>
        <v>10.1.1-2 Solid waste treatment</v>
      </c>
      <c r="D21" s="62" t="str" cm="1">
        <f t="array" ref="D21">Common_InputFunctions.Utility_DisplayArrayInTable(Fertiliser_SourceData.Fertiliser_ChemicalCompoundElements_Data(),Table_Fertiliser_ChemicalCompounds[[#Headers],[Fertiliser type f]], 0)</f>
        <v>Diammonium phosphate (DAP)</v>
      </c>
      <c r="E21" s="62" cm="1">
        <f t="array" ref="E21">Common_InputFunctions.Utility_DisplayArrayInTable(Fertiliser_SourceData.Fertiliser_ChemicalCompoundElements_Data(),Table_Fertiliser_ChemicalCompounds[[#Headers],[Fertiliser type f]], 0)</f>
        <v>0.18</v>
      </c>
      <c r="F21" s="62" cm="1">
        <f t="array" ref="F21">Common_InputFunctions.Utility_DisplayArrayInTable(Fertiliser_SourceData.Fertiliser_ChemicalCompoundElements_Data(),Table_Fertiliser_ChemicalCompounds[[#Headers],[Fertiliser type f]], 0)</f>
        <v>0</v>
      </c>
      <c r="G21" s="62" t="str" cm="1">
        <f t="array" ref="G21">Common_InputFunctions.Utility_DisplayArrayInTable(Fertiliser_SourceData.Fertiliser_ChemicalCompoundElements_Data(),Table_Fertiliser_ChemicalCompounds[[#Headers],[Fertiliser type f]], 0)</f>
        <v>Ammonium-based fertilisers</v>
      </c>
      <c r="H21" s="62" t="str" cm="1">
        <f t="array" ref="H21">Common_InputFunctions.Utility_DisplayArrayInTable(Fertiliser_SourceData.Fertiliser_ChemicalCompoundElements_Data(),Table_Fertiliser_ChemicalCompounds[[#Headers],[Fertiliser type f]], 0)</f>
        <v>Diammonium phosphate (DAP)</v>
      </c>
      <c r="I21" s="62"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6" t="str">
        <f>HYPERLINK("#'Calcs - Manure sent off-site'!A1", "Calcs - Manure sent off-site")</f>
        <v>Calcs - Manure sent off-site</v>
      </c>
      <c r="D22" s="62" t="str" cm="1">
        <f t="array" ref="D22">Common_InputFunctions.Utility_DisplayArrayInTable(Fertiliser_SourceData.Fertiliser_ChemicalCompoundElements_Data(),Table_Fertiliser_ChemicalCompounds[[#Headers],[Fertiliser type f]], 0)</f>
        <v>Urea</v>
      </c>
      <c r="E22" s="62" cm="1">
        <f t="array" ref="E22">Common_InputFunctions.Utility_DisplayArrayInTable(Fertiliser_SourceData.Fertiliser_ChemicalCompoundElements_Data(),Table_Fertiliser_ChemicalCompounds[[#Headers],[Fertiliser type f]], 0)</f>
        <v>0.46</v>
      </c>
      <c r="F22" s="62" cm="1">
        <f t="array" ref="F22">Common_InputFunctions.Utility_DisplayArrayInTable(Fertiliser_SourceData.Fertiliser_ChemicalCompoundElements_Data(),Table_Fertiliser_ChemicalCompounds[[#Headers],[Fertiliser type f]], 0)</f>
        <v>1</v>
      </c>
      <c r="G22" s="62" t="str" cm="1">
        <f t="array" ref="G22">Common_InputFunctions.Utility_DisplayArrayInTable(Fertiliser_SourceData.Fertiliser_ChemicalCompoundElements_Data(),Table_Fertiliser_ChemicalCompounds[[#Headers],[Fertiliser type f]], 0)</f>
        <v>Urea-based fertilisers</v>
      </c>
      <c r="H22" s="62" t="str" cm="1">
        <f t="array" ref="H22">Common_InputFunctions.Utility_DisplayArrayInTable(Fertiliser_SourceData.Fertiliser_ChemicalCompoundElements_Data(),Table_Fertiliser_ChemicalCompounds[[#Headers],[Fertiliser type f]], 0)</f>
        <v>Urea</v>
      </c>
      <c r="I22" s="62"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t="str">
        <f>HYPERLINK("#'8.1.1.1-2 Transport fuel'!A1", "8.1.1.1-2 Transport fuel")</f>
        <v>8.1.1.1-2 Transport fuel</v>
      </c>
      <c r="D23" s="62" t="str" cm="1">
        <f t="array" ref="D23">Common_InputFunctions.Utility_DisplayArrayInTable(Fertiliser_SourceData.Fertiliser_ChemicalCompoundElements_Data(),Table_Fertiliser_ChemicalCompounds[[#Headers],[Fertiliser type f]], 0)</f>
        <v>Sulphate of ammonia (SOA)</v>
      </c>
      <c r="E23" s="62" cm="1">
        <f t="array" ref="E23">Common_InputFunctions.Utility_DisplayArrayInTable(Fertiliser_SourceData.Fertiliser_ChemicalCompoundElements_Data(),Table_Fertiliser_ChemicalCompounds[[#Headers],[Fertiliser type f]], 0)</f>
        <v>0.21</v>
      </c>
      <c r="F23" s="62" cm="1">
        <f t="array" ref="F23">Common_InputFunctions.Utility_DisplayArrayInTable(Fertiliser_SourceData.Fertiliser_ChemicalCompoundElements_Data(),Table_Fertiliser_ChemicalCompounds[[#Headers],[Fertiliser type f]], 0)</f>
        <v>0</v>
      </c>
      <c r="G23" s="62" t="str" cm="1">
        <f t="array" ref="G23">Common_InputFunctions.Utility_DisplayArrayInTable(Fertiliser_SourceData.Fertiliser_ChemicalCompoundElements_Data(),Table_Fertiliser_ChemicalCompounds[[#Headers],[Fertiliser type f]], 0)</f>
        <v>Ammonium-based fertilisers</v>
      </c>
      <c r="H23" s="62" t="str" cm="1">
        <f t="array" ref="H23">Common_InputFunctions.Utility_DisplayArrayInTable(Fertiliser_SourceData.Fertiliser_ChemicalCompoundElements_Data(),Table_Fertiliser_ChemicalCompounds[[#Headers],[Fertiliser type f]], 0)</f>
        <v>Sulphate of ammonia (SOA)</v>
      </c>
      <c r="I23" s="62"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6" t="str">
        <f>HYPERLINK("#'8.2.1.1-2 Stationary fuel'!A1", "8.2.1.1-2 Stationary fuel")</f>
        <v>8.2.1.1-2 Stationary fuel</v>
      </c>
      <c r="D24" s="62" t="str" cm="1">
        <f t="array" ref="D24">Common_InputFunctions.Utility_DisplayArrayInTable(Fertiliser_SourceData.Fertiliser_ChemicalCompoundElements_Data(),Table_Fertiliser_ChemicalCompounds[[#Headers],[Fertiliser type f]], 0)</f>
        <v>Urea-ammonium nitrate (UAN)</v>
      </c>
      <c r="E24" s="62" cm="1">
        <f t="array" ref="E24">Common_InputFunctions.Utility_DisplayArrayInTable(Fertiliser_SourceData.Fertiliser_ChemicalCompoundElements_Data(),Table_Fertiliser_ChemicalCompounds[[#Headers],[Fertiliser type f]], 0)</f>
        <v>0.32</v>
      </c>
      <c r="F24" s="62" cm="1">
        <f t="array" ref="F24">Common_InputFunctions.Utility_DisplayArrayInTable(Fertiliser_SourceData.Fertiliser_ChemicalCompoundElements_Data(),Table_Fertiliser_ChemicalCompounds[[#Headers],[Fertiliser type f]], 0)</f>
        <v>0.35</v>
      </c>
      <c r="G24" s="62" t="str" cm="1">
        <f t="array" ref="G24">Common_InputFunctions.Utility_DisplayArrayInTable(Fertiliser_SourceData.Fertiliser_ChemicalCompoundElements_Data(),Table_Fertiliser_ChemicalCompounds[[#Headers],[Fertiliser type f]], 0)</f>
        <v>Urea-based fertilisers</v>
      </c>
      <c r="H24" s="62" t="str" cm="1">
        <f t="array" ref="H24">Common_InputFunctions.Utility_DisplayArrayInTable(Fertiliser_SourceData.Fertiliser_ChemicalCompoundElements_Data(),Table_Fertiliser_ChemicalCompounds[[#Headers],[Fertiliser type f]], 0)</f>
        <v>Urea-ammonium nitrate (UAN)</v>
      </c>
      <c r="I24" s="62"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A25"/>
      <c r="D25" s="62" t="str" cm="1">
        <f t="array" ref="D25">Common_InputFunctions.Utility_DisplayArrayInTable(Fertiliser_SourceData.Fertiliser_ChemicalCompoundElements_Data(),Table_Fertiliser_ChemicalCompounds[[#Headers],[Fertiliser type f]], 0)</f>
        <v>Ammonium nitrate (AN)</v>
      </c>
      <c r="E25" s="62" cm="1">
        <f t="array" ref="E25">Common_InputFunctions.Utility_DisplayArrayInTable(Fertiliser_SourceData.Fertiliser_ChemicalCompoundElements_Data(),Table_Fertiliser_ChemicalCompounds[[#Headers],[Fertiliser type f]], 0)</f>
        <v>0.33700000000000002</v>
      </c>
      <c r="F25" s="62" cm="1">
        <f t="array" ref="F25">Common_InputFunctions.Utility_DisplayArrayInTable(Fertiliser_SourceData.Fertiliser_ChemicalCompoundElements_Data(),Table_Fertiliser_ChemicalCompounds[[#Headers],[Fertiliser type f]], 0)</f>
        <v>0</v>
      </c>
      <c r="G25" s="62" t="str" cm="1">
        <f t="array" ref="G25">Common_InputFunctions.Utility_DisplayArrayInTable(Fertiliser_SourceData.Fertiliser_ChemicalCompoundElements_Data(),Table_Fertiliser_ChemicalCompounds[[#Headers],[Fertiliser type f]], 0)</f>
        <v>Ammonium-nitrate based fertilisers</v>
      </c>
      <c r="H25" s="62" t="str" cm="1">
        <f t="array" ref="H25">Common_InputFunctions.Utility_DisplayArrayInTable(Fertiliser_SourceData.Fertiliser_ChemicalCompoundElements_Data(),Table_Fertiliser_ChemicalCompounds[[#Headers],[Fertiliser type f]], 0)</f>
        <v>Ammonium nitrate (AN)</v>
      </c>
      <c r="I25" s="62"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A26"/>
      <c r="D26" s="62" t="str" cm="1">
        <f t="array" ref="D26">Common_InputFunctions.Utility_DisplayArrayInTable(Fertiliser_SourceData.Fertiliser_ChemicalCompoundElements_Data(),Table_Fertiliser_ChemicalCompounds[[#Headers],[Fertiliser type f]], 0)</f>
        <v>Calcium ammonium nitrate (CAN)</v>
      </c>
      <c r="E26" s="62" cm="1">
        <f t="array" ref="E26">Common_InputFunctions.Utility_DisplayArrayInTable(Fertiliser_SourceData.Fertiliser_ChemicalCompoundElements_Data(),Table_Fertiliser_ChemicalCompounds[[#Headers],[Fertiliser type f]], 0)</f>
        <v>0.27</v>
      </c>
      <c r="F26" s="62" cm="1">
        <f t="array" ref="F26">Common_InputFunctions.Utility_DisplayArrayInTable(Fertiliser_SourceData.Fertiliser_ChemicalCompoundElements_Data(),Table_Fertiliser_ChemicalCompounds[[#Headers],[Fertiliser type f]], 0)</f>
        <v>0</v>
      </c>
      <c r="G26" s="62" t="str" cm="1">
        <f t="array" ref="G26">Common_InputFunctions.Utility_DisplayArrayInTable(Fertiliser_SourceData.Fertiliser_ChemicalCompoundElements_Data(),Table_Fertiliser_ChemicalCompounds[[#Headers],[Fertiliser type f]], 0)</f>
        <v>Ammonium-nitrate based fertilisers</v>
      </c>
      <c r="H26" s="62" t="str" cm="1">
        <f t="array" ref="H26">Common_InputFunctions.Utility_DisplayArrayInTable(Fertiliser_SourceData.Fertiliser_ChemicalCompoundElements_Data(),Table_Fertiliser_ChemicalCompounds[[#Headers],[Fertiliser type f]], 0)</f>
        <v>Calcium ammonium nitrate (CAN)</v>
      </c>
      <c r="I26" s="62"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A27" s="222" t="s">
        <v>78</v>
      </c>
      <c r="D27" s="62" t="str" cm="1">
        <f t="array" ref="D27">Common_InputFunctions.Utility_DisplayArrayInTable(Fertiliser_SourceData.Fertiliser_ChemicalCompoundElements_Data(),Table_Fertiliser_ChemicalCompounds[[#Headers],[Fertiliser type f]], 0)</f>
        <v>Nitrogen - Ammoniacal</v>
      </c>
      <c r="E27" s="62" cm="1">
        <f t="array" ref="E27">Common_InputFunctions.Utility_DisplayArrayInTable(Fertiliser_SourceData.Fertiliser_ChemicalCompoundElements_Data(),Table_Fertiliser_ChemicalCompounds[[#Headers],[Fertiliser type f]], 0)</f>
        <v>1</v>
      </c>
      <c r="F27" s="62" cm="1">
        <f t="array" ref="F27">Common_InputFunctions.Utility_DisplayArrayInTable(Fertiliser_SourceData.Fertiliser_ChemicalCompoundElements_Data(),Table_Fertiliser_ChemicalCompounds[[#Headers],[Fertiliser type f]], 0)</f>
        <v>0</v>
      </c>
      <c r="G27" s="62" t="str" cm="1">
        <f t="array" ref="G27">Common_InputFunctions.Utility_DisplayArrayInTable(Fertiliser_SourceData.Fertiliser_ChemicalCompoundElements_Data(),Table_Fertiliser_ChemicalCompounds[[#Headers],[Fertiliser type f]], 0)</f>
        <v>Ammonium-based fertilisers</v>
      </c>
      <c r="H27" s="62" t="str" cm="1">
        <f t="array" ref="H27">Common_InputFunctions.Utility_DisplayArrayInTable(Fertiliser_SourceData.Fertiliser_ChemicalCompoundElements_Data(),Table_Fertiliser_ChemicalCompounds[[#Headers],[Fertiliser type f]], 0)</f>
        <v>Nitrogen - Ammoniacal</v>
      </c>
      <c r="I27" s="62"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A28" s="16" t="str">
        <f>HYPERLINK("#'Constants - Scope 3'!A1", "Constants - Scope 3")</f>
        <v>Constants - Scope 3</v>
      </c>
      <c r="D28" s="62" t="str" cm="1">
        <f t="array" ref="D28">Common_InputFunctions.Utility_DisplayArrayInTable(Fertiliser_SourceData.Fertiliser_ChemicalCompoundElements_Data(),Table_Fertiliser_ChemicalCompounds[[#Headers],[Fertiliser type f]], 0)</f>
        <v>Nitrogen - Nitrate</v>
      </c>
      <c r="E28" s="62" cm="1">
        <f t="array" ref="E28">Common_InputFunctions.Utility_DisplayArrayInTable(Fertiliser_SourceData.Fertiliser_ChemicalCompoundElements_Data(),Table_Fertiliser_ChemicalCompounds[[#Headers],[Fertiliser type f]], 0)</f>
        <v>1</v>
      </c>
      <c r="F28" s="62" cm="1">
        <f t="array" ref="F28">Common_InputFunctions.Utility_DisplayArrayInTable(Fertiliser_SourceData.Fertiliser_ChemicalCompoundElements_Data(),Table_Fertiliser_ChemicalCompounds[[#Headers],[Fertiliser type f]], 0)</f>
        <v>0</v>
      </c>
      <c r="G28" s="62" t="str" cm="1">
        <f t="array" ref="G28">Common_InputFunctions.Utility_DisplayArrayInTable(Fertiliser_SourceData.Fertiliser_ChemicalCompoundElements_Data(),Table_Fertiliser_ChemicalCompounds[[#Headers],[Fertiliser type f]], 0)</f>
        <v>Nitrate-based fertilisers</v>
      </c>
      <c r="H28" s="62" t="str" cm="1">
        <f t="array" ref="H28">Common_InputFunctions.Utility_DisplayArrayInTable(Fertiliser_SourceData.Fertiliser_ChemicalCompoundElements_Data(),Table_Fertiliser_ChemicalCompounds[[#Headers],[Fertiliser type f]], 0)</f>
        <v>Nitrogen from Nitrate</v>
      </c>
      <c r="I28" s="62"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A29" s="16" t="str">
        <f>HYPERLINK("#'Constants - Solid Waste'!A1", "Constants - Solid Waste")</f>
        <v>Constants - Solid Waste</v>
      </c>
      <c r="D29" s="62" t="str" cm="1">
        <f t="array" ref="D29">Common_InputFunctions.Utility_DisplayArrayInTable(Fertiliser_SourceData.Fertiliser_ChemicalCompoundElements_Data(),Table_Fertiliser_ChemicalCompounds[[#Headers],[Fertiliser type f]], 0)</f>
        <v>Nitrogen - Generic</v>
      </c>
      <c r="E29" s="62" cm="1">
        <f t="array" ref="E29">Common_InputFunctions.Utility_DisplayArrayInTable(Fertiliser_SourceData.Fertiliser_ChemicalCompoundElements_Data(),Table_Fertiliser_ChemicalCompounds[[#Headers],[Fertiliser type f]], 0)</f>
        <v>1</v>
      </c>
      <c r="F29" s="62" cm="1">
        <f t="array" ref="F29">Common_InputFunctions.Utility_DisplayArrayInTable(Fertiliser_SourceData.Fertiliser_ChemicalCompoundElements_Data(),Table_Fertiliser_ChemicalCompounds[[#Headers],[Fertiliser type f]], 0)</f>
        <v>0</v>
      </c>
      <c r="G29" s="62" t="str" cm="1">
        <f t="array" ref="G29">Common_InputFunctions.Utility_DisplayArrayInTable(Fertiliser_SourceData.Fertiliser_ChemicalCompoundElements_Data(),Table_Fertiliser_ChemicalCompounds[[#Headers],[Fertiliser type f]], 0)</f>
        <v>Urea-based fertilisers</v>
      </c>
      <c r="H29" s="62" t="str" cm="1">
        <f t="array" ref="H29">Common_InputFunctions.Utility_DisplayArrayInTable(Fertiliser_SourceData.Fertiliser_ChemicalCompoundElements_Data(),Table_Fertiliser_ChemicalCompounds[[#Headers],[Fertiliser type f]], 0)</f>
        <v>Nitrogen from fertiliser</v>
      </c>
      <c r="I29" s="62"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16" t="str">
        <f>HYPERLINK("#'Constants - Fuel'!A1", "Constants - Fuel")</f>
        <v>Constants - Fuel</v>
      </c>
      <c r="D30" s="62" t="str" cm="1">
        <f t="array" ref="D30">Common_InputFunctions.Utility_DisplayArrayInTable(Fertiliser_SourceData.Fertiliser_ChemicalCompoundElements_Data(),Table_Fertiliser_ChemicalCompounds[[#Headers],[Fertiliser type f]], 0)</f>
        <v>Phosphorus - Generic</v>
      </c>
      <c r="E30" s="62" cm="1">
        <f t="array" ref="E30">Common_InputFunctions.Utility_DisplayArrayInTable(Fertiliser_SourceData.Fertiliser_ChemicalCompoundElements_Data(),Table_Fertiliser_ChemicalCompounds[[#Headers],[Fertiliser type f]], 0)</f>
        <v>0</v>
      </c>
      <c r="F30" s="62" cm="1">
        <f t="array" ref="F30">Common_InputFunctions.Utility_DisplayArrayInTable(Fertiliser_SourceData.Fertiliser_ChemicalCompoundElements_Data(),Table_Fertiliser_ChemicalCompounds[[#Headers],[Fertiliser type f]], 0)</f>
        <v>0</v>
      </c>
      <c r="G30" s="62" t="str" cm="1">
        <f t="array" ref="G30">Common_InputFunctions.Utility_DisplayArrayInTable(Fertiliser_SourceData.Fertiliser_ChemicalCompoundElements_Data(),Table_Fertiliser_ChemicalCompounds[[#Headers],[Fertiliser type f]], 0)</f>
        <v>Other fertilisers</v>
      </c>
      <c r="H30" s="62" t="str" cm="1">
        <f t="array" ref="H30">Common_InputFunctions.Utility_DisplayArrayInTable(Fertiliser_SourceData.Fertiliser_ChemicalCompoundElements_Data(),Table_Fertiliser_ChemicalCompounds[[#Headers],[Fertiliser type f]], 0)</f>
        <v>Phosphorus from fertiliser</v>
      </c>
      <c r="I30" s="62"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16" t="str">
        <f>HYPERLINK("#'Constants - Poultry'!A1", "Constants - Poultry")</f>
        <v>Constants - Poultry</v>
      </c>
      <c r="D31" s="62" t="str" cm="1">
        <f t="array" ref="D31">Common_InputFunctions.Utility_DisplayArrayInTable(Fertiliser_SourceData.Fertiliser_ChemicalCompoundElements_Data(),Table_Fertiliser_ChemicalCompounds[[#Headers],[Fertiliser type f]], 0)</f>
        <v>Potassium - Generic</v>
      </c>
      <c r="E31" s="62" cm="1">
        <f t="array" ref="E31">Common_InputFunctions.Utility_DisplayArrayInTable(Fertiliser_SourceData.Fertiliser_ChemicalCompoundElements_Data(),Table_Fertiliser_ChemicalCompounds[[#Headers],[Fertiliser type f]], 0)</f>
        <v>0</v>
      </c>
      <c r="F31" s="62" cm="1">
        <f t="array" ref="F31">Common_InputFunctions.Utility_DisplayArrayInTable(Fertiliser_SourceData.Fertiliser_ChemicalCompoundElements_Data(),Table_Fertiliser_ChemicalCompounds[[#Headers],[Fertiliser type f]], 0)</f>
        <v>0</v>
      </c>
      <c r="G31" s="62" t="str" cm="1">
        <f t="array" ref="G31">Common_InputFunctions.Utility_DisplayArrayInTable(Fertiliser_SourceData.Fertiliser_ChemicalCompoundElements_Data(),Table_Fertiliser_ChemicalCompounds[[#Headers],[Fertiliser type f]], 0)</f>
        <v>Other fertilisers</v>
      </c>
      <c r="H31" s="62" t="str" cm="1">
        <f t="array" ref="H31">Common_InputFunctions.Utility_DisplayArrayInTable(Fertiliser_SourceData.Fertiliser_ChemicalCompoundElements_Data(),Table_Fertiliser_ChemicalCompounds[[#Headers],[Fertiliser type f]], 0)</f>
        <v>Potassium from fertiliser</v>
      </c>
      <c r="I31" s="62"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16" t="str">
        <f>HYPERLINK("#'Constants - Swine'!A1", "Constants - Swine")</f>
        <v>Constants - Swine</v>
      </c>
      <c r="D32" s="62" t="str" cm="1">
        <f t="array" ref="D32">Common_InputFunctions.Utility_DisplayArrayInTable(Fertiliser_SourceData.Fertiliser_ChemicalCompoundElements_Data(),Table_Fertiliser_ChemicalCompounds[[#Headers],[Fertiliser type f]], 0)</f>
        <v>Sulfur - Generic</v>
      </c>
      <c r="E32" s="62" cm="1">
        <f t="array" ref="E32">Common_InputFunctions.Utility_DisplayArrayInTable(Fertiliser_SourceData.Fertiliser_ChemicalCompoundElements_Data(),Table_Fertiliser_ChemicalCompounds[[#Headers],[Fertiliser type f]], 0)</f>
        <v>0</v>
      </c>
      <c r="F32" s="62" cm="1">
        <f t="array" ref="F32">Common_InputFunctions.Utility_DisplayArrayInTable(Fertiliser_SourceData.Fertiliser_ChemicalCompoundElements_Data(),Table_Fertiliser_ChemicalCompounds[[#Headers],[Fertiliser type f]], 0)</f>
        <v>0</v>
      </c>
      <c r="G32" s="62" t="str" cm="1">
        <f t="array" ref="G32">Common_InputFunctions.Utility_DisplayArrayInTable(Fertiliser_SourceData.Fertiliser_ChemicalCompoundElements_Data(),Table_Fertiliser_ChemicalCompounds[[#Headers],[Fertiliser type f]], 0)</f>
        <v>Other fertilisers</v>
      </c>
      <c r="H32" s="62" t="str" cm="1">
        <f t="array" ref="H32">Common_InputFunctions.Utility_DisplayArrayInTable(Fertiliser_SourceData.Fertiliser_ChemicalCompoundElements_Data(),Table_Fertiliser_ChemicalCompounds[[#Headers],[Fertiliser type f]], 0)</f>
        <v>Sulfur from fertiliser</v>
      </c>
      <c r="I32" s="62"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16" t="str">
        <f>HYPERLINK("#'Constants - Dairy'!A1", "Constants - Dairy")</f>
        <v>Constants - Dairy</v>
      </c>
      <c r="D33" s="62" t="str" cm="1">
        <f t="array" ref="D33">Common_InputFunctions.Utility_DisplayArrayInTable(Fertiliser_SourceData.Fertiliser_ChemicalCompoundElements_Data(),Table_Fertiliser_ChemicalCompounds[[#Headers],[Fertiliser type f]], 0)</f>
        <v>Zinc - Generic</v>
      </c>
      <c r="E33" s="62" cm="1">
        <f t="array" ref="E33">Common_InputFunctions.Utility_DisplayArrayInTable(Fertiliser_SourceData.Fertiliser_ChemicalCompoundElements_Data(),Table_Fertiliser_ChemicalCompounds[[#Headers],[Fertiliser type f]], 0)</f>
        <v>0</v>
      </c>
      <c r="F33" s="62" cm="1">
        <f t="array" ref="F33">Common_InputFunctions.Utility_DisplayArrayInTable(Fertiliser_SourceData.Fertiliser_ChemicalCompoundElements_Data(),Table_Fertiliser_ChemicalCompounds[[#Headers],[Fertiliser type f]], 0)</f>
        <v>0</v>
      </c>
      <c r="G33" s="62" t="str" cm="1">
        <f t="array" ref="G33">Common_InputFunctions.Utility_DisplayArrayInTable(Fertiliser_SourceData.Fertiliser_ChemicalCompoundElements_Data(),Table_Fertiliser_ChemicalCompounds[[#Headers],[Fertiliser type f]], 0)</f>
        <v>Other fertilisers</v>
      </c>
      <c r="H33" s="62" t="str" cm="1">
        <f t="array" ref="H33">Common_InputFunctions.Utility_DisplayArrayInTable(Fertiliser_SourceData.Fertiliser_ChemicalCompoundElements_Data(),Table_Fertiliser_ChemicalCompounds[[#Headers],[Fertiliser type f]], 0)</f>
        <v>Zinc from fertiliser</v>
      </c>
      <c r="I33" s="62"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16" t="str">
        <f>HYPERLINK("#'Constants - Pasture Beef'!A1", "Constants - Pasture Beef")</f>
        <v>Constants - Pasture Beef</v>
      </c>
      <c r="D34" s="62" t="str" cm="1">
        <f t="array" ref="D34">Common_InputFunctions.Utility_DisplayArrayInTable(Fertiliser_SourceData.Fertiliser_ChemicalCompoundElements_Data(),Table_Fertiliser_ChemicalCompounds[[#Headers],[Fertiliser type f]], 0)</f>
        <v>Muriate of potash (MOP)</v>
      </c>
      <c r="E34" s="62" cm="1">
        <f t="array" ref="E34">Common_InputFunctions.Utility_DisplayArrayInTable(Fertiliser_SourceData.Fertiliser_ChemicalCompoundElements_Data(),Table_Fertiliser_ChemicalCompounds[[#Headers],[Fertiliser type f]], 0)</f>
        <v>0</v>
      </c>
      <c r="F34" s="62" cm="1">
        <f t="array" ref="F34">Common_InputFunctions.Utility_DisplayArrayInTable(Fertiliser_SourceData.Fertiliser_ChemicalCompoundElements_Data(),Table_Fertiliser_ChemicalCompounds[[#Headers],[Fertiliser type f]], 0)</f>
        <v>0</v>
      </c>
      <c r="G34" s="62" t="str" cm="1">
        <f t="array" ref="G34">Common_InputFunctions.Utility_DisplayArrayInTable(Fertiliser_SourceData.Fertiliser_ChemicalCompoundElements_Data(),Table_Fertiliser_ChemicalCompounds[[#Headers],[Fertiliser type f]], 0)</f>
        <v>Other fertilisers</v>
      </c>
      <c r="H34" s="62" t="str" cm="1">
        <f t="array" ref="H34">Common_InputFunctions.Utility_DisplayArrayInTable(Fertiliser_SourceData.Fertiliser_ChemicalCompoundElements_Data(),Table_Fertiliser_ChemicalCompounds[[#Headers],[Fertiliser type f]], 0)</f>
        <v>Muriate of potash (MOP)</v>
      </c>
      <c r="I34" s="62"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16" t="str">
        <f>HYPERLINK("#'Constants - Common Livestock'!A1", "Constants - Common Livestock")</f>
        <v>Constants - Common Livestock</v>
      </c>
      <c r="D35" s="62" t="str" cm="1">
        <f t="array" ref="D35">Common_InputFunctions.Utility_DisplayArrayInTable(Fertiliser_SourceData.Fertiliser_ChemicalCompoundElements_Data(),Table_Fertiliser_ChemicalCompounds[[#Headers],[Fertiliser type f]], 0)</f>
        <v>Double superphosphate</v>
      </c>
      <c r="E35" s="62" cm="1">
        <f t="array" ref="E35">Common_InputFunctions.Utility_DisplayArrayInTable(Fertiliser_SourceData.Fertiliser_ChemicalCompoundElements_Data(),Table_Fertiliser_ChemicalCompounds[[#Headers],[Fertiliser type f]], 0)</f>
        <v>0</v>
      </c>
      <c r="F35" s="62" cm="1">
        <f t="array" ref="F35">Common_InputFunctions.Utility_DisplayArrayInTable(Fertiliser_SourceData.Fertiliser_ChemicalCompoundElements_Data(),Table_Fertiliser_ChemicalCompounds[[#Headers],[Fertiliser type f]], 0)</f>
        <v>0</v>
      </c>
      <c r="G35" s="62" t="str" cm="1">
        <f t="array" ref="G35">Common_InputFunctions.Utility_DisplayArrayInTable(Fertiliser_SourceData.Fertiliser_ChemicalCompoundElements_Data(),Table_Fertiliser_ChemicalCompounds[[#Headers],[Fertiliser type f]], 0)</f>
        <v>Other fertilisers</v>
      </c>
      <c r="H35" s="62" t="str" cm="1">
        <f t="array" ref="H35">Common_InputFunctions.Utility_DisplayArrayInTable(Fertiliser_SourceData.Fertiliser_ChemicalCompoundElements_Data(),Table_Fertiliser_ChemicalCompounds[[#Headers],[Fertiliser type f]], 0)</f>
        <v>Double superphosphate</v>
      </c>
      <c r="I35" s="62"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23" t="str">
        <f>HYPERLINK("#'Constants - Fertiliser'!A1", "Constants - Fertiliser")</f>
        <v>Constants - Fertiliser</v>
      </c>
      <c r="D36" s="62" t="str" cm="1">
        <f t="array" ref="D36">Common_InputFunctions.Utility_DisplayArrayInTable(Fertiliser_SourceData.Fertiliser_ChemicalCompoundElements_Data(),Table_Fertiliser_ChemicalCompounds[[#Headers],[Fertiliser type f]], 0)</f>
        <v>Single superphosphate (SSP)</v>
      </c>
      <c r="E36" s="62" cm="1">
        <f t="array" ref="E36">Common_InputFunctions.Utility_DisplayArrayInTable(Fertiliser_SourceData.Fertiliser_ChemicalCompoundElements_Data(),Table_Fertiliser_ChemicalCompounds[[#Headers],[Fertiliser type f]], 0)</f>
        <v>0</v>
      </c>
      <c r="F36" s="62" cm="1">
        <f t="array" ref="F36">Common_InputFunctions.Utility_DisplayArrayInTable(Fertiliser_SourceData.Fertiliser_ChemicalCompoundElements_Data(),Table_Fertiliser_ChemicalCompounds[[#Headers],[Fertiliser type f]], 0)</f>
        <v>0</v>
      </c>
      <c r="G36" s="62" t="str" cm="1">
        <f t="array" ref="G36">Common_InputFunctions.Utility_DisplayArrayInTable(Fertiliser_SourceData.Fertiliser_ChemicalCompoundElements_Data(),Table_Fertiliser_ChemicalCompounds[[#Headers],[Fertiliser type f]], 0)</f>
        <v>Other fertilisers</v>
      </c>
      <c r="H36" s="62" t="str" cm="1">
        <f t="array" ref="H36">Common_InputFunctions.Utility_DisplayArrayInTable(Fertiliser_SourceData.Fertiliser_ChemicalCompoundElements_Data(),Table_Fertiliser_ChemicalCompounds[[#Headers],[Fertiliser type f]], 0)</f>
        <v>Single superphosphate (SSP)</v>
      </c>
      <c r="I36" s="62"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16" t="str">
        <f>HYPERLINK("#'Constants - Electricity'!A1", "Constants - Electricity")</f>
        <v>Constants - Electricity</v>
      </c>
      <c r="D37" s="62" t="str" cm="1">
        <f t="array" ref="D37">Common_InputFunctions.Utility_DisplayArrayInTable(Fertiliser_SourceData.Fertiliser_ChemicalCompoundElements_Data(),Table_Fertiliser_ChemicalCompounds[[#Headers],[Fertiliser type f]], 0)</f>
        <v>Ammonia</v>
      </c>
      <c r="E37" s="62" cm="1">
        <f t="array" ref="E37">Common_InputFunctions.Utility_DisplayArrayInTable(Fertiliser_SourceData.Fertiliser_ChemicalCompoundElements_Data(),Table_Fertiliser_ChemicalCompounds[[#Headers],[Fertiliser type f]], 0)</f>
        <v>0.82350000000000001</v>
      </c>
      <c r="F37" s="62" cm="1">
        <f t="array" ref="F37">Common_InputFunctions.Utility_DisplayArrayInTable(Fertiliser_SourceData.Fertiliser_ChemicalCompoundElements_Data(),Table_Fertiliser_ChemicalCompounds[[#Headers],[Fertiliser type f]], 0)</f>
        <v>0</v>
      </c>
      <c r="G37" s="62" t="str" cm="1">
        <f t="array" ref="G37">Common_InputFunctions.Utility_DisplayArrayInTable(Fertiliser_SourceData.Fertiliser_ChemicalCompoundElements_Data(),Table_Fertiliser_ChemicalCompounds[[#Headers],[Fertiliser type f]], 0)</f>
        <v>Ammonium-based fertilisers</v>
      </c>
      <c r="H37" s="62" t="str" cm="1">
        <f t="array" ref="H37">Common_InputFunctions.Utility_DisplayArrayInTable(Fertiliser_SourceData.Fertiliser_ChemicalCompoundElements_Data(),Table_Fertiliser_ChemicalCompounds[[#Headers],[Fertiliser type f]], 0)</f>
        <v>Ammonia</v>
      </c>
      <c r="I37" s="62"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16" t="str">
        <f>HYPERLINK("#'Constants - Common'!A1", "Constants - Common")</f>
        <v>Constants - Common</v>
      </c>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row>
    <row r="40" spans="1:10" ht="20.100000000000001" customHeight="1" x14ac:dyDescent="0.25">
      <c r="A40"/>
      <c r="D40" s="9" t="s">
        <v>141</v>
      </c>
      <c r="F40" s="9" t="s">
        <v>142</v>
      </c>
      <c r="H40" s="9" t="s">
        <v>143</v>
      </c>
      <c r="J40" s="9" t="s">
        <v>144</v>
      </c>
    </row>
    <row r="41" spans="1:10" ht="20.100000000000001" customHeight="1" x14ac:dyDescent="0.25">
      <c r="A41"/>
      <c r="D41" s="10" t="s">
        <v>145</v>
      </c>
      <c r="F41" s="10" t="s">
        <v>145</v>
      </c>
      <c r="H41" s="10" t="s">
        <v>43</v>
      </c>
      <c r="J41" s="10" t="s">
        <v>146</v>
      </c>
    </row>
    <row r="42" spans="1:10" ht="20.100000000000001" customHeight="1" x14ac:dyDescent="0.25">
      <c r="A42"/>
      <c r="D42" s="10" t="s">
        <v>147</v>
      </c>
      <c r="F42" s="10" t="s">
        <v>147</v>
      </c>
      <c r="H42" s="10" t="s">
        <v>148</v>
      </c>
      <c r="J42" s="10" t="s">
        <v>149</v>
      </c>
    </row>
    <row r="43" spans="1:10" ht="20.100000000000001" customHeight="1" x14ac:dyDescent="0.25">
      <c r="A43"/>
      <c r="D43" s="8" t="s">
        <v>150</v>
      </c>
      <c r="F43" s="8" t="s">
        <v>151</v>
      </c>
      <c r="H43" s="10" t="s">
        <v>152</v>
      </c>
      <c r="J43" s="8" t="s">
        <v>153</v>
      </c>
    </row>
    <row r="44" spans="1:10" ht="20.100000000000001" customHeight="1" x14ac:dyDescent="0.25">
      <c r="A44"/>
      <c r="F44" s="8" t="s">
        <v>154</v>
      </c>
      <c r="H44" s="8" t="s">
        <v>155</v>
      </c>
      <c r="J44" s="8" t="s">
        <v>156</v>
      </c>
    </row>
    <row r="45" spans="1:10" ht="20.100000000000001" customHeight="1" x14ac:dyDescent="0.25">
      <c r="A45"/>
      <c r="F45" s="8" t="s">
        <v>157</v>
      </c>
      <c r="H45" s="8" t="s">
        <v>158</v>
      </c>
      <c r="J45" s="8" t="s">
        <v>159</v>
      </c>
    </row>
    <row r="46" spans="1:10" ht="20.100000000000001" customHeight="1" x14ac:dyDescent="0.25">
      <c r="A46"/>
      <c r="H46" s="8" t="s">
        <v>160</v>
      </c>
      <c r="J46" s="8" t="s">
        <v>161</v>
      </c>
    </row>
    <row r="47" spans="1:10" ht="20.100000000000001" customHeight="1" x14ac:dyDescent="0.25">
      <c r="A47"/>
    </row>
    <row r="48" spans="1:10" ht="20.100000000000001" customHeight="1" x14ac:dyDescent="0.25">
      <c r="A48"/>
      <c r="D48" s="9" t="str" cm="1">
        <f t="array" ref="D48">Fertiliser_SourceData.Fertiliser_FracGASF_Title()</f>
        <v>Fraction of inorganic fertiliser that volatilises as NH3 and NOx</v>
      </c>
      <c r="G48" s="17"/>
    </row>
    <row r="49" spans="1:8" ht="20.100000000000001" customHeight="1" x14ac:dyDescent="0.25">
      <c r="A49"/>
      <c r="D49" s="11" t="str" cm="1">
        <f t="array" ref="D49">Fertiliser_SourceData.Fertiliser_FracGASF_Source()</f>
        <v>Table A.2.2.6: Fraction of inorganic fertiliser f that volatilises as NH3 and NOx ((kg NH3-N + NOx-N)/kg N) (FracGASFf)</v>
      </c>
      <c r="G49" s="17"/>
    </row>
    <row r="50" spans="1:8" ht="20.100000000000001" customHeight="1" x14ac:dyDescent="0.25">
      <c r="A50"/>
      <c r="D50" s="10" t="s">
        <v>135</v>
      </c>
      <c r="E50" s="10" t="s">
        <v>162</v>
      </c>
      <c r="G50" s="17"/>
    </row>
    <row r="51" spans="1:8" ht="20.100000000000001" customHeight="1" x14ac:dyDescent="0.25">
      <c r="A51"/>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1:8" ht="20.100000000000001" customHeight="1" x14ac:dyDescent="0.25">
      <c r="A52"/>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1:8" ht="20.100000000000001" customHeight="1" x14ac:dyDescent="0.25">
      <c r="A53"/>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1:8" ht="20.100000000000001" customHeight="1" x14ac:dyDescent="0.25">
      <c r="A54"/>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1:8" ht="20.100000000000001" customHeight="1" x14ac:dyDescent="0.25">
      <c r="A5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1:8" ht="20.100000000000001" customHeight="1" x14ac:dyDescent="0.25">
      <c r="A56"/>
    </row>
    <row r="57" spans="1:8" ht="20.100000000000001" customHeight="1" x14ac:dyDescent="0.25">
      <c r="A57"/>
    </row>
    <row r="58" spans="1:8" ht="20.100000000000001" customHeight="1" x14ac:dyDescent="0.25">
      <c r="A58"/>
      <c r="D58" s="9" t="str" cm="1">
        <f t="array" ref="D58">Fertiliser_SourceData.Fertiliser_EFUreaCO2_Title()</f>
        <v>Emission factor for carbon emissions from urea application</v>
      </c>
    </row>
    <row r="59" spans="1:8" ht="20.100000000000001" customHeight="1" x14ac:dyDescent="0.25">
      <c r="A59"/>
      <c r="D59" s="11" t="str" cm="1">
        <f t="array" ref="D59">Fertiliser_SourceData.Fertiliser_EFUreaCO2_Source()</f>
        <v>VEERG 2026: 5.1.2.2 Constant Parameters</v>
      </c>
    </row>
    <row r="60" spans="1:8" ht="20.100000000000001" customHeight="1" x14ac:dyDescent="0.25">
      <c r="A60"/>
      <c r="D60" s="27"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1:8" ht="20.100000000000001" customHeight="1" x14ac:dyDescent="0.25">
      <c r="A61"/>
    </row>
    <row r="62" spans="1:8" ht="20.100000000000001" customHeight="1" x14ac:dyDescent="0.25">
      <c r="A62"/>
    </row>
    <row r="63" spans="1:8" ht="20.100000000000001" customHeight="1" x14ac:dyDescent="0.25">
      <c r="A63"/>
      <c r="D63" s="9" t="str" cm="1">
        <f t="array" ref="D63">Fertiliser_SourceData.Fertiliser_LimeDolomiteGypsumConstants_Title()</f>
        <v>Constants for lime, dolomite and gypsum</v>
      </c>
    </row>
    <row r="64" spans="1:8" ht="20.100000000000001" customHeight="1" x14ac:dyDescent="0.25">
      <c r="A64"/>
      <c r="D64" s="11" t="str" cm="1">
        <f t="array" ref="D64">Fertiliser_SourceData.Fertiliser_LimeDolomiteGypsumConstants_Source()</f>
        <v>VEERG 2026: 5.3.2.3 Constant Parameters</v>
      </c>
    </row>
    <row r="65" spans="1:6" ht="20.100000000000001" customHeight="1" x14ac:dyDescent="0.25">
      <c r="A65"/>
      <c r="D65" s="10" t="s">
        <v>163</v>
      </c>
      <c r="E65" s="10" t="s">
        <v>164</v>
      </c>
      <c r="F65" s="10" t="s">
        <v>165</v>
      </c>
    </row>
    <row r="66" spans="1:6" ht="20.100000000000001" customHeight="1" x14ac:dyDescent="0.25">
      <c r="A66"/>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A67"/>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A68"/>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1:6" ht="20.100000000000001" customHeight="1" x14ac:dyDescent="0.25">
      <c r="A69"/>
    </row>
    <row r="70" spans="1:6" ht="20.100000000000001" customHeight="1" x14ac:dyDescent="0.25">
      <c r="A70"/>
    </row>
    <row r="71" spans="1:6" ht="20.100000000000001" customHeight="1" x14ac:dyDescent="0.25">
      <c r="A71"/>
      <c r="D71" s="9" t="str" cm="1">
        <f t="array" ref="D71">Fertiliser_SourceData.Fertiliser_FracGASMSoil_Title()</f>
        <v>Fraction of organic fertiliser that volatilises as NH3 and NOx</v>
      </c>
    </row>
    <row r="72" spans="1:6" ht="20.100000000000001" customHeight="1" x14ac:dyDescent="0.25">
      <c r="A72"/>
      <c r="D72" s="11" t="str" cm="1">
        <f t="array" ref="D72">Fertiliser_SourceData.Fertiliser_FracGASMSoil_Source()</f>
        <v>VEERG 2026: 5.4.2.3 Constant Parameters</v>
      </c>
    </row>
    <row r="73" spans="1:6" ht="20.100000000000001" customHeight="1" x14ac:dyDescent="0.25">
      <c r="A73"/>
      <c r="D73" s="27"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1:6" ht="20.100000000000001" customHeight="1" x14ac:dyDescent="0.25">
      <c r="A74"/>
    </row>
    <row r="75" spans="1:6" ht="20.100000000000001" customHeight="1" x14ac:dyDescent="0.25">
      <c r="A75"/>
    </row>
    <row r="76" spans="1:6" ht="20.100000000000001" customHeight="1" x14ac:dyDescent="0.25">
      <c r="A76"/>
      <c r="D76" s="9" t="str" cm="1">
        <f t="array" ref="D76">Fertiliser_SourceData.Fertiliser_FracLEACH_Title()</f>
        <v>Fraction of nitrogen that is lost through leaching and runoff</v>
      </c>
    </row>
    <row r="77" spans="1:6" ht="20.100000000000001" customHeight="1" x14ac:dyDescent="0.25">
      <c r="A77"/>
      <c r="D77" s="11" t="str" cm="1">
        <f t="array" ref="D77">Fertiliser_SourceData.Fertiliser_FracLEACH_Source()</f>
        <v>VEERG 2026: 5.5.2.3 Constant Parameters</v>
      </c>
    </row>
    <row r="78" spans="1:6" ht="20.100000000000001" customHeight="1" x14ac:dyDescent="0.25">
      <c r="A78"/>
      <c r="D78" s="27"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1:6" ht="20.100000000000001" customHeight="1" x14ac:dyDescent="0.25">
      <c r="A79"/>
    </row>
    <row r="80" spans="1:6" ht="20.100000000000001" customHeight="1" x14ac:dyDescent="0.25">
      <c r="A80"/>
    </row>
    <row r="81" spans="1:31" ht="20.100000000000001" customHeight="1" x14ac:dyDescent="0.25">
      <c r="A81"/>
      <c r="D81" s="9" t="str" cm="1">
        <f t="array" ref="D81">Fertiliser_SourceData.Fertiliser_EFLeach_Title()</f>
        <v>Emission factor for nitrogen leaching and runoff</v>
      </c>
    </row>
    <row r="82" spans="1:31" ht="20.100000000000001" customHeight="1" x14ac:dyDescent="0.25">
      <c r="A82"/>
      <c r="D82" s="11" t="str" cm="1">
        <f t="array" ref="D82">Fertiliser_SourceData.Fertiliser_EFLeach_Source()</f>
        <v>VEERG 2026: 5.5.2.3 Constant Parameters</v>
      </c>
    </row>
    <row r="83" spans="1:31" ht="20.100000000000001" customHeight="1" x14ac:dyDescent="0.25">
      <c r="A83"/>
      <c r="D83" s="27"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1:31" ht="20.100000000000001" customHeight="1" x14ac:dyDescent="0.25">
      <c r="A84"/>
    </row>
    <row r="85" spans="1:31" ht="20.100000000000001" customHeight="1" x14ac:dyDescent="0.25">
      <c r="A85"/>
    </row>
    <row r="86" spans="1:31" ht="20.100000000000001" customHeight="1" x14ac:dyDescent="0.25">
      <c r="A86"/>
    </row>
    <row r="87" spans="1:31" ht="20.100000000000001" customHeight="1" x14ac:dyDescent="0.25">
      <c r="A87"/>
      <c r="D87" s="9" t="s">
        <v>166</v>
      </c>
      <c r="E87" s="17"/>
      <c r="F87" s="17"/>
      <c r="G87" s="17"/>
      <c r="H87" s="17"/>
      <c r="I87" s="17"/>
      <c r="J87" s="17"/>
      <c r="K87" s="17"/>
      <c r="L87" s="17"/>
      <c r="N87" s="17"/>
      <c r="O87" s="17"/>
      <c r="P87" s="17"/>
      <c r="Q87" s="17"/>
      <c r="R87" s="17"/>
      <c r="S87" s="17"/>
      <c r="T87" s="17"/>
      <c r="U87" s="17"/>
    </row>
    <row r="88" spans="1:31" ht="20.100000000000001" customHeight="1" x14ac:dyDescent="0.25">
      <c r="A88"/>
      <c r="D88" s="17"/>
    </row>
    <row r="89" spans="1:31" ht="20.100000000000001" customHeight="1" x14ac:dyDescent="0.25">
      <c r="A89"/>
      <c r="D89" s="63" t="s">
        <v>167</v>
      </c>
      <c r="E89" s="10" t="s">
        <v>168</v>
      </c>
      <c r="F89" s="10" t="s">
        <v>169</v>
      </c>
      <c r="G89" s="64" t="s">
        <v>170</v>
      </c>
      <c r="H89" s="64" t="s">
        <v>97</v>
      </c>
      <c r="I89" s="64" t="s">
        <v>171</v>
      </c>
      <c r="J89" s="64" t="s">
        <v>172</v>
      </c>
      <c r="K89" s="64" t="s">
        <v>173</v>
      </c>
      <c r="L89" s="64" t="s">
        <v>174</v>
      </c>
      <c r="M89" s="64" t="s">
        <v>175</v>
      </c>
      <c r="N89" s="64" t="s">
        <v>176</v>
      </c>
      <c r="O89" s="10" t="s">
        <v>177</v>
      </c>
      <c r="P89" s="10" t="s">
        <v>178</v>
      </c>
      <c r="Q89" s="10" t="s">
        <v>179</v>
      </c>
      <c r="R89" s="64" t="s">
        <v>180</v>
      </c>
      <c r="S89" s="64" t="s">
        <v>181</v>
      </c>
      <c r="T89" s="10" t="s">
        <v>182</v>
      </c>
      <c r="U89" s="64" t="s">
        <v>183</v>
      </c>
      <c r="V89" s="64" t="s">
        <v>184</v>
      </c>
      <c r="W89" s="64" t="s">
        <v>185</v>
      </c>
      <c r="X89" s="64" t="s">
        <v>186</v>
      </c>
      <c r="Y89" s="64" t="s">
        <v>187</v>
      </c>
      <c r="Z89" s="10" t="s">
        <v>188</v>
      </c>
      <c r="AA89" s="10" t="s">
        <v>189</v>
      </c>
      <c r="AB89" s="10" t="s">
        <v>190</v>
      </c>
      <c r="AC89" s="10" t="s">
        <v>191</v>
      </c>
      <c r="AD89" s="10" t="s">
        <v>192</v>
      </c>
      <c r="AE89" s="10" t="s">
        <v>193</v>
      </c>
    </row>
    <row r="90" spans="1:31" ht="20.100000000000001" customHeight="1" x14ac:dyDescent="0.25">
      <c r="A90"/>
      <c r="D90" s="62" t="str" cm="1">
        <f t="array" ref="D90">Common_InputFunctions.Utility_DisplayArrayInTable(Fertiliser_SourceData.Fertiliser_Products_Data1(),FertiliserProducts[[#Headers],[Include or Exclude]], -1)</f>
        <v>Include</v>
      </c>
      <c r="E90" s="62" t="str" cm="1">
        <f t="array" ref="E90">Common_InputFunctions.Utility_DisplayArrayInTable(Fertiliser_SourceData.Fertiliser_Products_Data1(),FertiliserProducts[[#Headers],[Include or Exclude]], 0)</f>
        <v/>
      </c>
      <c r="F90" s="62" t="str" cm="1">
        <f t="array" ref="F90">Common_InputFunctions.Utility_DisplayArrayInTable(Fertiliser_SourceData.Fertiliser_Products_Data1(),FertiliserProducts[[#Headers],[Include or Exclude]], 0)</f>
        <v>Campbells fertilisers Australia</v>
      </c>
      <c r="G90" s="62" t="str" cm="1">
        <f t="array" ref="G90">Common_InputFunctions.Utility_DisplayArrayInTable(Fertiliser_SourceData.Fertiliser_Products_Data1(),FertiliserProducts[[#Headers],[Include or Exclude]], 0)</f>
        <v>Aqua Finish</v>
      </c>
      <c r="H90" s="62" t="str" cm="1">
        <f t="array" ref="H90">Common_InputFunctions.Utility_DisplayArrayInTable(Fertiliser_SourceData.Fertiliser_Products_Data1(),FertiliserProducts[[#Headers],[Include or Exclude]], 0)</f>
        <v>Aqua Finish - Campbells Fertilisers Australasia</v>
      </c>
      <c r="I90" s="62" t="str" cm="1">
        <f t="array" ref="I90">Common_InputFunctions.Utility_DisplayArrayInTable(Fertiliser_SourceData.Fertiliser_Products_Data1(),FertiliserProducts[[#Headers],[Include or Exclude]], 0)</f>
        <v>Website</v>
      </c>
      <c r="J90" s="62" t="str" cm="1">
        <f t="array" ref="J90">Common_InputFunctions.Utility_DisplayArrayInTable(Fertiliser_SourceData.Fertiliser_Products_Data1(),FertiliserProducts[[#Headers],[Include or Exclude]], 0)</f>
        <v/>
      </c>
      <c r="K90" s="62" t="str" cm="1">
        <f t="array" ref="K90">Common_InputFunctions.Utility_DisplayArrayInTable(Fertiliser_SourceData.Fertiliser_Products_Data1(),FertiliserProducts[[#Headers],[Include or Exclude]], 0)</f>
        <v>L</v>
      </c>
      <c r="L90" s="62" cm="1">
        <f t="array" ref="L90">Common_InputFunctions.Utility_DisplayArrayInTable(Fertiliser_SourceData.Fertiliser_Products_Data1(),FertiliserProducts[[#Headers],[Include or Exclude]], 0)</f>
        <v>1.26</v>
      </c>
      <c r="M90" s="10" t="str" cm="1">
        <f t="array" ref="M90">Common_InputFunctions.Utility_DisplayArrayInTable(Fertiliser_SourceData.Fertiliser_Products_Data1(),FertiliserProducts[[#Headers],[Include or Exclude]], 0)</f>
        <v/>
      </c>
      <c r="N90" s="62" t="str" cm="1">
        <f t="array" ref="N90">Common_InputFunctions.Utility_DisplayArrayInTable(Fertiliser_SourceData.Fertiliser_Products_Data1(),FertiliserProducts[[#Headers],[Include or Exclude]], 0)</f>
        <v/>
      </c>
      <c r="O90" s="62" t="str" cm="1">
        <f t="array" ref="O90">Common_InputFunctions.Utility_DisplayArrayInTable(Fertiliser_SourceData.Fertiliser_Products_Data1(),FertiliserProducts[[#Headers],[Include or Exclude]], 0)</f>
        <v>Potassium - Generic</v>
      </c>
      <c r="P90" s="62" cm="1">
        <f t="array" ref="P90">Common_InputFunctions.Utility_DisplayArrayInTable(Fertiliser_SourceData.Fertiliser_Products_Data1(),FertiliserProducts[[#Headers],[Include or Exclude]], 0)</f>
        <v>0.22500000000000001</v>
      </c>
      <c r="Q90" s="62" t="str" cm="1">
        <f t="array" ref="Q90">Common_InputFunctions.Utility_DisplayArrayInTable(Fertiliser_SourceData.Fertiliser_Products_Data1(),FertiliserProducts[[#Headers],[Include or Exclude]], 0)</f>
        <v>Phosphorus - Generic</v>
      </c>
      <c r="R90" s="62" cm="1">
        <f t="array" ref="R90">Common_InputFunctions.Utility_DisplayArrayInTable(Fertiliser_SourceData.Fertiliser_Products_Data1(),FertiliserProducts[[#Headers],[Include or Exclude]], 0)</f>
        <v>0.04</v>
      </c>
      <c r="S90" s="62" t="str" cm="1">
        <f t="array" ref="S90">Common_InputFunctions.Utility_DisplayArrayInTable(Fertiliser_SourceData.Fertiliser_Products_Data1(),FertiliserProducts[[#Headers],[Include or Exclude]], 0)</f>
        <v>Nitrogen - Generic</v>
      </c>
      <c r="T90" s="62" cm="1">
        <f t="array" ref="T90">Common_InputFunctions.Utility_DisplayArrayInTable(Fertiliser_SourceData.Fertiliser_Products_Data1(),FertiliserProducts[[#Headers],[Include or Exclude]], 0)</f>
        <v>2.5999999999999999E-2</v>
      </c>
      <c r="U90" s="62"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1:31" ht="20.100000000000001" customHeight="1" x14ac:dyDescent="0.25">
      <c r="A91"/>
      <c r="D91" s="62" t="str" cm="1">
        <f t="array" ref="D91">Common_InputFunctions.Utility_DisplayArrayInTable(Fertiliser_SourceData.Fertiliser_Products_Data1(),FertiliserProducts[[#Headers],[Include or Exclude]], 0)</f>
        <v>Include</v>
      </c>
      <c r="E91" s="62" t="str" cm="1">
        <f t="array" ref="E91">Common_InputFunctions.Utility_DisplayArrayInTable(Fertiliser_SourceData.Fertiliser_Products_Data1(),FertiliserProducts[[#Headers],[Include or Exclude]], 0)</f>
        <v/>
      </c>
      <c r="F91" s="62" t="str" cm="1">
        <f t="array" ref="F91">Common_InputFunctions.Utility_DisplayArrayInTable(Fertiliser_SourceData.Fertiliser_Products_Data1(),FertiliserProducts[[#Headers],[Include or Exclude]], 0)</f>
        <v>Campbells fertilisers Australia</v>
      </c>
      <c r="G91" s="62" t="str" cm="1">
        <f t="array" ref="G91">Common_InputFunctions.Utility_DisplayArrayInTable(Fertiliser_SourceData.Fertiliser_Products_Data1(),FertiliserProducts[[#Headers],[Include or Exclude]], 0)</f>
        <v>Aqua Grow</v>
      </c>
      <c r="H91" s="62" t="str" cm="1">
        <f t="array" ref="H91">Common_InputFunctions.Utility_DisplayArrayInTable(Fertiliser_SourceData.Fertiliser_Products_Data1(),FertiliserProducts[[#Headers],[Include or Exclude]], 0)</f>
        <v>Aqua Grow - Campbells Fertilisers Australasia</v>
      </c>
      <c r="I91" s="62" t="str" cm="1">
        <f t="array" ref="I91">Common_InputFunctions.Utility_DisplayArrayInTable(Fertiliser_SourceData.Fertiliser_Products_Data1(),FertiliserProducts[[#Headers],[Include or Exclude]], 0)</f>
        <v>Website</v>
      </c>
      <c r="J91" s="62" t="str" cm="1">
        <f t="array" ref="J91">Common_InputFunctions.Utility_DisplayArrayInTable(Fertiliser_SourceData.Fertiliser_Products_Data1(),FertiliserProducts[[#Headers],[Include or Exclude]], 0)</f>
        <v/>
      </c>
      <c r="K91" s="62" t="str" cm="1">
        <f t="array" ref="K91">Common_InputFunctions.Utility_DisplayArrayInTable(Fertiliser_SourceData.Fertiliser_Products_Data1(),FertiliserProducts[[#Headers],[Include or Exclude]], 0)</f>
        <v>L</v>
      </c>
      <c r="L91" s="62" cm="1">
        <f t="array" ref="L91">Common_InputFunctions.Utility_DisplayArrayInTable(Fertiliser_SourceData.Fertiliser_Products_Data1(),FertiliserProducts[[#Headers],[Include or Exclude]], 0)</f>
        <v>1.26</v>
      </c>
      <c r="M91" s="10" t="str" cm="1">
        <f t="array" ref="M91">Common_InputFunctions.Utility_DisplayArrayInTable(Fertiliser_SourceData.Fertiliser_Products_Data1(),FertiliserProducts[[#Headers],[Include or Exclude]], 0)</f>
        <v/>
      </c>
      <c r="N91" s="62" t="str" cm="1">
        <f t="array" ref="N91">Common_InputFunctions.Utility_DisplayArrayInTable(Fertiliser_SourceData.Fertiliser_Products_Data1(),FertiliserProducts[[#Headers],[Include or Exclude]], 0)</f>
        <v/>
      </c>
      <c r="O91" s="62" t="str" cm="1">
        <f t="array" ref="O91">Common_InputFunctions.Utility_DisplayArrayInTable(Fertiliser_SourceData.Fertiliser_Products_Data1(),FertiliserProducts[[#Headers],[Include or Exclude]], 0)</f>
        <v>Potassium - Generic</v>
      </c>
      <c r="P91" s="62" cm="1">
        <f t="array" ref="P91">Common_InputFunctions.Utility_DisplayArrayInTable(Fertiliser_SourceData.Fertiliser_Products_Data1(),FertiliserProducts[[#Headers],[Include or Exclude]], 0)</f>
        <v>0.105</v>
      </c>
      <c r="Q91" s="62" t="str" cm="1">
        <f t="array" ref="Q91">Common_InputFunctions.Utility_DisplayArrayInTable(Fertiliser_SourceData.Fertiliser_Products_Data1(),FertiliserProducts[[#Headers],[Include or Exclude]], 0)</f>
        <v>Nitrogen - Generic</v>
      </c>
      <c r="R91" s="62" cm="1">
        <f t="array" ref="R91">Common_InputFunctions.Utility_DisplayArrayInTable(Fertiliser_SourceData.Fertiliser_Products_Data1(),FertiliserProducts[[#Headers],[Include or Exclude]], 0)</f>
        <v>9.6000000000000002E-2</v>
      </c>
      <c r="S91" s="62" t="str" cm="1">
        <f t="array" ref="S91">Common_InputFunctions.Utility_DisplayArrayInTable(Fertiliser_SourceData.Fertiliser_Products_Data1(),FertiliserProducts[[#Headers],[Include or Exclude]], 0)</f>
        <v>Phosphorus - Generic</v>
      </c>
      <c r="T91" s="62" cm="1">
        <f t="array" ref="T91">Common_InputFunctions.Utility_DisplayArrayInTable(Fertiliser_SourceData.Fertiliser_Products_Data1(),FertiliserProducts[[#Headers],[Include or Exclude]], 0)</f>
        <v>0.05</v>
      </c>
      <c r="U91" s="62"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1:31" ht="20.100000000000001" customHeight="1" x14ac:dyDescent="0.25">
      <c r="A92"/>
      <c r="D92" s="62" t="str" cm="1">
        <f t="array" ref="D92">Common_InputFunctions.Utility_DisplayArrayInTable(Fertiliser_SourceData.Fertiliser_Products_Data1(),FertiliserProducts[[#Headers],[Include or Exclude]], 0)</f>
        <v>Include</v>
      </c>
      <c r="E92" s="62" t="str" cm="1">
        <f t="array" ref="E92">Common_InputFunctions.Utility_DisplayArrayInTable(Fertiliser_SourceData.Fertiliser_Products_Data1(),FertiliserProducts[[#Headers],[Include or Exclude]], 0)</f>
        <v/>
      </c>
      <c r="F92" s="62" t="str" cm="1">
        <f t="array" ref="F92">Common_InputFunctions.Utility_DisplayArrayInTable(Fertiliser_SourceData.Fertiliser_Products_Data1(),FertiliserProducts[[#Headers],[Include or Exclude]], 0)</f>
        <v>Campbells fertilisers Australia</v>
      </c>
      <c r="G92" s="62" t="str" cm="1">
        <f t="array" ref="G92">Common_InputFunctions.Utility_DisplayArrayInTable(Fertiliser_SourceData.Fertiliser_Products_Data1(),FertiliserProducts[[#Headers],[Include or Exclude]], 0)</f>
        <v>Aqua Nitro AN</v>
      </c>
      <c r="H92" s="62" t="str" cm="1">
        <f t="array" ref="H92">Common_InputFunctions.Utility_DisplayArrayInTable(Fertiliser_SourceData.Fertiliser_Products_Data1(),FertiliserProducts[[#Headers],[Include or Exclude]], 0)</f>
        <v>Aqua Nitro AN - Campbells Fertilisers Australasia</v>
      </c>
      <c r="I92" s="62" t="str" cm="1">
        <f t="array" ref="I92">Common_InputFunctions.Utility_DisplayArrayInTable(Fertiliser_SourceData.Fertiliser_Products_Data1(),FertiliserProducts[[#Headers],[Include or Exclude]], 0)</f>
        <v>Website. Brochure</v>
      </c>
      <c r="J92" s="62" t="str" cm="1">
        <f t="array" ref="J92">Common_InputFunctions.Utility_DisplayArrayInTable(Fertiliser_SourceData.Fertiliser_Products_Data1(),FertiliserProducts[[#Headers],[Include or Exclude]], 0)</f>
        <v/>
      </c>
      <c r="K92" s="62" t="str" cm="1">
        <f t="array" ref="K92">Common_InputFunctions.Utility_DisplayArrayInTable(Fertiliser_SourceData.Fertiliser_Products_Data1(),FertiliserProducts[[#Headers],[Include or Exclude]], 0)</f>
        <v>L</v>
      </c>
      <c r="L92" s="62" cm="1">
        <f t="array" ref="L92">Common_InputFunctions.Utility_DisplayArrayInTable(Fertiliser_SourceData.Fertiliser_Products_Data1(),FertiliserProducts[[#Headers],[Include or Exclude]], 0)</f>
        <v>1.24</v>
      </c>
      <c r="M92" s="10" t="str" cm="1">
        <f t="array" ref="M92">Common_InputFunctions.Utility_DisplayArrayInTable(Fertiliser_SourceData.Fertiliser_Products_Data1(),FertiliserProducts[[#Headers],[Include or Exclude]], 0)</f>
        <v/>
      </c>
      <c r="N92" s="62" t="str" cm="1">
        <f t="array" ref="N92">Common_InputFunctions.Utility_DisplayArrayInTable(Fertiliser_SourceData.Fertiliser_Products_Data1(),FertiliserProducts[[#Headers],[Include or Exclude]], 0)</f>
        <v/>
      </c>
      <c r="O92" s="62" t="str" cm="1">
        <f t="array" ref="O92">Common_InputFunctions.Utility_DisplayArrayInTable(Fertiliser_SourceData.Fertiliser_Products_Data1(),FertiliserProducts[[#Headers],[Include or Exclude]], 0)</f>
        <v>Nitrogen - Ammoniacal</v>
      </c>
      <c r="P92" s="62" cm="1">
        <f t="array" ref="P92">Common_InputFunctions.Utility_DisplayArrayInTable(Fertiliser_SourceData.Fertiliser_Products_Data1(),FertiliserProducts[[#Headers],[Include or Exclude]], 0)</f>
        <v>0.223</v>
      </c>
      <c r="Q92" s="62" t="str" cm="1">
        <f t="array" ref="Q92">Common_InputFunctions.Utility_DisplayArrayInTable(Fertiliser_SourceData.Fertiliser_Products_Data1(),FertiliserProducts[[#Headers],[Include or Exclude]], 0)</f>
        <v/>
      </c>
      <c r="R92" s="62" t="str" cm="1">
        <f t="array" ref="R92">Common_InputFunctions.Utility_DisplayArrayInTable(Fertiliser_SourceData.Fertiliser_Products_Data1(),FertiliserProducts[[#Headers],[Include or Exclude]], 0)</f>
        <v/>
      </c>
      <c r="S92" s="62" t="str" cm="1">
        <f t="array" ref="S92">Common_InputFunctions.Utility_DisplayArrayInTable(Fertiliser_SourceData.Fertiliser_Products_Data1(),FertiliserProducts[[#Headers],[Include or Exclude]], 0)</f>
        <v/>
      </c>
      <c r="T92" s="62" t="str" cm="1">
        <f t="array" ref="T92">Common_InputFunctions.Utility_DisplayArrayInTable(Fertiliser_SourceData.Fertiliser_Products_Data1(),FertiliserProducts[[#Headers],[Include or Exclude]], 0)</f>
        <v/>
      </c>
      <c r="U92" s="62"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1:31" ht="20.100000000000001" customHeight="1" x14ac:dyDescent="0.25">
      <c r="A93"/>
      <c r="D93" s="62" t="str" cm="1">
        <f t="array" ref="D93">Common_InputFunctions.Utility_DisplayArrayInTable(Fertiliser_SourceData.Fertiliser_Products_Data1(),FertiliserProducts[[#Headers],[Include or Exclude]], 0)</f>
        <v>Include</v>
      </c>
      <c r="E93" s="62" t="str" cm="1">
        <f t="array" ref="E93">Common_InputFunctions.Utility_DisplayArrayInTable(Fertiliser_SourceData.Fertiliser_Products_Data1(),FertiliserProducts[[#Headers],[Include or Exclude]], 0)</f>
        <v>Use Lime EF for calcium</v>
      </c>
      <c r="F93" s="62" t="str" cm="1">
        <f t="array" ref="F93">Common_InputFunctions.Utility_DisplayArrayInTable(Fertiliser_SourceData.Fertiliser_Products_Data1(),FertiliserProducts[[#Headers],[Include or Exclude]], 0)</f>
        <v>Campbells fertilisers Australia</v>
      </c>
      <c r="G93" s="62" t="str" cm="1">
        <f t="array" ref="G93">Common_InputFunctions.Utility_DisplayArrayInTable(Fertiliser_SourceData.Fertiliser_Products_Data1(),FertiliserProducts[[#Headers],[Include or Exclude]], 0)</f>
        <v>Aqua NitroCal</v>
      </c>
      <c r="H93" s="62" t="str" cm="1">
        <f t="array" ref="H93">Common_InputFunctions.Utility_DisplayArrayInTable(Fertiliser_SourceData.Fertiliser_Products_Data1(),FertiliserProducts[[#Headers],[Include or Exclude]], 0)</f>
        <v>Aqua NitroCal - Campbells Fertilisers Australasia</v>
      </c>
      <c r="I93" s="62" t="str" cm="1">
        <f t="array" ref="I93">Common_InputFunctions.Utility_DisplayArrayInTable(Fertiliser_SourceData.Fertiliser_Products_Data1(),FertiliserProducts[[#Headers],[Include or Exclude]], 0)</f>
        <v>Website SDS</v>
      </c>
      <c r="J93" s="62" t="str" cm="1">
        <f t="array" ref="J93">Common_InputFunctions.Utility_DisplayArrayInTable(Fertiliser_SourceData.Fertiliser_Products_Data1(),FertiliserProducts[[#Headers],[Include or Exclude]], 0)</f>
        <v/>
      </c>
      <c r="K93" s="62" t="str" cm="1">
        <f t="array" ref="K93">Common_InputFunctions.Utility_DisplayArrayInTable(Fertiliser_SourceData.Fertiliser_Products_Data1(),FertiliserProducts[[#Headers],[Include or Exclude]], 0)</f>
        <v>L</v>
      </c>
      <c r="L93" s="62" cm="1">
        <f t="array" ref="L93">Common_InputFunctions.Utility_DisplayArrayInTable(Fertiliser_SourceData.Fertiliser_Products_Data1(),FertiliserProducts[[#Headers],[Include or Exclude]], 0)</f>
        <v>1.5</v>
      </c>
      <c r="M93" s="10" t="str" cm="1">
        <f t="array" ref="M93">Common_InputFunctions.Utility_DisplayArrayInTable(Fertiliser_SourceData.Fertiliser_Products_Data1(),FertiliserProducts[[#Headers],[Include or Exclude]], 0)</f>
        <v/>
      </c>
      <c r="N93" s="62" t="str" cm="1">
        <f t="array" ref="N93">Common_InputFunctions.Utility_DisplayArrayInTable(Fertiliser_SourceData.Fertiliser_Products_Data1(),FertiliserProducts[[#Headers],[Include or Exclude]], 0)</f>
        <v/>
      </c>
      <c r="O93" s="62" t="str" cm="1">
        <f t="array" ref="O93">Common_InputFunctions.Utility_DisplayArrayInTable(Fertiliser_SourceData.Fertiliser_Products_Data1(),FertiliserProducts[[#Headers],[Include or Exclude]], 0)</f>
        <v>Calcium - Generic</v>
      </c>
      <c r="P93" s="62" cm="1">
        <f t="array" ref="P93">Common_InputFunctions.Utility_DisplayArrayInTable(Fertiliser_SourceData.Fertiliser_Products_Data1(),FertiliserProducts[[#Headers],[Include or Exclude]], 0)</f>
        <v>0.16200000000000001</v>
      </c>
      <c r="Q93" s="62" t="str" cm="1">
        <f t="array" ref="Q93">Common_InputFunctions.Utility_DisplayArrayInTable(Fertiliser_SourceData.Fertiliser_Products_Data1(),FertiliserProducts[[#Headers],[Include or Exclude]], 0)</f>
        <v>Nitrogen - Nitrate</v>
      </c>
      <c r="R93" s="62" cm="1">
        <f t="array" ref="R93">Common_InputFunctions.Utility_DisplayArrayInTable(Fertiliser_SourceData.Fertiliser_Products_Data1(),FertiliserProducts[[#Headers],[Include or Exclude]], 0)</f>
        <v>0.13200000000000001</v>
      </c>
      <c r="S93" s="62" t="str" cm="1">
        <f t="array" ref="S93">Common_InputFunctions.Utility_DisplayArrayInTable(Fertiliser_SourceData.Fertiliser_Products_Data1(),FertiliserProducts[[#Headers],[Include or Exclude]], 0)</f>
        <v/>
      </c>
      <c r="T93" s="62" t="str" cm="1">
        <f t="array" ref="T93">Common_InputFunctions.Utility_DisplayArrayInTable(Fertiliser_SourceData.Fertiliser_Products_Data1(),FertiliserProducts[[#Headers],[Include or Exclude]], 0)</f>
        <v/>
      </c>
      <c r="U93" s="62"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1:31" ht="20.100000000000001" customHeight="1" x14ac:dyDescent="0.25">
      <c r="A94"/>
      <c r="D94" s="62" t="str" cm="1">
        <f t="array" ref="D94">Common_InputFunctions.Utility_DisplayArrayInTable(Fertiliser_SourceData.Fertiliser_Products_Data1(),FertiliserProducts[[#Headers],[Include or Exclude]], 0)</f>
        <v>Include</v>
      </c>
      <c r="E94" s="62" t="str" cm="1">
        <f t="array" ref="E94">Common_InputFunctions.Utility_DisplayArrayInTable(Fertiliser_SourceData.Fertiliser_Products_Data1(),FertiliserProducts[[#Headers],[Include or Exclude]], 0)</f>
        <v>Use Lime EF for calcium</v>
      </c>
      <c r="F94" s="62" t="str" cm="1">
        <f t="array" ref="F94">Common_InputFunctions.Utility_DisplayArrayInTable(Fertiliser_SourceData.Fertiliser_Products_Data1(),FertiliserProducts[[#Headers],[Include or Exclude]], 0)</f>
        <v>Campbells fertilisers Australia</v>
      </c>
      <c r="G94" s="62" t="str" cm="1">
        <f t="array" ref="G94">Common_InputFunctions.Utility_DisplayArrayInTable(Fertiliser_SourceData.Fertiliser_Products_Data1(),FertiliserProducts[[#Headers],[Include or Exclude]], 0)</f>
        <v>Aqua NitroCal (VI)</v>
      </c>
      <c r="H94" s="62" t="str" cm="1">
        <f t="array" ref="H94">Common_InputFunctions.Utility_DisplayArrayInTable(Fertiliser_SourceData.Fertiliser_Products_Data1(),FertiliserProducts[[#Headers],[Include or Exclude]], 0)</f>
        <v>Aqua NitroCal (VI) - Campbells Fertilisers Australasia</v>
      </c>
      <c r="I94" s="62" t="str" cm="1">
        <f t="array" ref="I94">Common_InputFunctions.Utility_DisplayArrayInTable(Fertiliser_SourceData.Fertiliser_Products_Data1(),FertiliserProducts[[#Headers],[Include or Exclude]], 0)</f>
        <v>Website SDS</v>
      </c>
      <c r="J94" s="62" t="str" cm="1">
        <f t="array" ref="J94">Common_InputFunctions.Utility_DisplayArrayInTable(Fertiliser_SourceData.Fertiliser_Products_Data1(),FertiliserProducts[[#Headers],[Include or Exclude]], 0)</f>
        <v/>
      </c>
      <c r="K94" s="62" t="str" cm="1">
        <f t="array" ref="K94">Common_InputFunctions.Utility_DisplayArrayInTable(Fertiliser_SourceData.Fertiliser_Products_Data1(),FertiliserProducts[[#Headers],[Include or Exclude]], 0)</f>
        <v>L</v>
      </c>
      <c r="L94" s="62" cm="1">
        <f t="array" ref="L94">Common_InputFunctions.Utility_DisplayArrayInTable(Fertiliser_SourceData.Fertiliser_Products_Data1(),FertiliserProducts[[#Headers],[Include or Exclude]], 0)</f>
        <v>1.5</v>
      </c>
      <c r="M94" s="10" t="str" cm="1">
        <f t="array" ref="M94">Common_InputFunctions.Utility_DisplayArrayInTable(Fertiliser_SourceData.Fertiliser_Products_Data1(),FertiliserProducts[[#Headers],[Include or Exclude]], 0)</f>
        <v/>
      </c>
      <c r="N94" s="62" t="str" cm="1">
        <f t="array" ref="N94">Common_InputFunctions.Utility_DisplayArrayInTable(Fertiliser_SourceData.Fertiliser_Products_Data1(),FertiliserProducts[[#Headers],[Include or Exclude]], 0)</f>
        <v/>
      </c>
      <c r="O94" s="62" t="str" cm="1">
        <f t="array" ref="O94">Common_InputFunctions.Utility_DisplayArrayInTable(Fertiliser_SourceData.Fertiliser_Products_Data1(),FertiliserProducts[[#Headers],[Include or Exclude]], 0)</f>
        <v>Calcium - Generic</v>
      </c>
      <c r="P94" s="62" cm="1">
        <f t="array" ref="P94">Common_InputFunctions.Utility_DisplayArrayInTable(Fertiliser_SourceData.Fertiliser_Products_Data1(),FertiliserProducts[[#Headers],[Include or Exclude]], 0)</f>
        <v>0.187</v>
      </c>
      <c r="Q94" s="62" t="str" cm="1">
        <f t="array" ref="Q94">Common_InputFunctions.Utility_DisplayArrayInTable(Fertiliser_SourceData.Fertiliser_Products_Data1(),FertiliserProducts[[#Headers],[Include or Exclude]], 0)</f>
        <v>Nitrogen - Nitrate</v>
      </c>
      <c r="R94" s="62" cm="1">
        <f t="array" ref="R94">Common_InputFunctions.Utility_DisplayArrayInTable(Fertiliser_SourceData.Fertiliser_Products_Data1(),FertiliserProducts[[#Headers],[Include or Exclude]], 0)</f>
        <v>0.13200000000000001</v>
      </c>
      <c r="S94" s="62" t="str" cm="1">
        <f t="array" ref="S94">Common_InputFunctions.Utility_DisplayArrayInTable(Fertiliser_SourceData.Fertiliser_Products_Data1(),FertiliserProducts[[#Headers],[Include or Exclude]], 0)</f>
        <v/>
      </c>
      <c r="T94" s="62" t="str" cm="1">
        <f t="array" ref="T94">Common_InputFunctions.Utility_DisplayArrayInTable(Fertiliser_SourceData.Fertiliser_Products_Data1(),FertiliserProducts[[#Headers],[Include or Exclude]], 0)</f>
        <v/>
      </c>
      <c r="U94" s="62"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1:31" ht="20.100000000000001" customHeight="1" x14ac:dyDescent="0.25">
      <c r="A95"/>
      <c r="D95" s="62" t="str" cm="1">
        <f t="array" ref="D95">Common_InputFunctions.Utility_DisplayArrayInTable(Fertiliser_SourceData.Fertiliser_Products_Data1(),FertiliserProducts[[#Headers],[Include or Exclude]], 0)</f>
        <v>Include</v>
      </c>
      <c r="E95" s="62" t="str" cm="1">
        <f t="array" ref="E95">Common_InputFunctions.Utility_DisplayArrayInTable(Fertiliser_SourceData.Fertiliser_Products_Data1(),FertiliserProducts[[#Headers],[Include or Exclude]], 0)</f>
        <v>Use Lime EF for calcium</v>
      </c>
      <c r="F95" s="62" t="str" cm="1">
        <f t="array" ref="F95">Common_InputFunctions.Utility_DisplayArrayInTable(Fertiliser_SourceData.Fertiliser_Products_Data1(),FertiliserProducts[[#Headers],[Include or Exclude]], 0)</f>
        <v>Campbells fertilisers Australia</v>
      </c>
      <c r="G95" s="62" t="str" cm="1">
        <f t="array" ref="G95">Common_InputFunctions.Utility_DisplayArrayInTable(Fertiliser_SourceData.Fertiliser_Products_Data1(),FertiliserProducts[[#Headers],[Include or Exclude]], 0)</f>
        <v>Aqua NitroCal Ultimate</v>
      </c>
      <c r="H95" s="62" t="str" cm="1">
        <f t="array" ref="H95">Common_InputFunctions.Utility_DisplayArrayInTable(Fertiliser_SourceData.Fertiliser_Products_Data1(),FertiliserProducts[[#Headers],[Include or Exclude]], 0)</f>
        <v>Aqua NitroCal Ultimate - Campbells Fertilisers Australasia</v>
      </c>
      <c r="I95" s="62" t="str" cm="1">
        <f t="array" ref="I95">Common_InputFunctions.Utility_DisplayArrayInTable(Fertiliser_SourceData.Fertiliser_Products_Data1(),FertiliserProducts[[#Headers],[Include or Exclude]], 0)</f>
        <v>Website SDS</v>
      </c>
      <c r="J95" s="62" t="str" cm="1">
        <f t="array" ref="J95">Common_InputFunctions.Utility_DisplayArrayInTable(Fertiliser_SourceData.Fertiliser_Products_Data1(),FertiliserProducts[[#Headers],[Include or Exclude]], 0)</f>
        <v/>
      </c>
      <c r="K95" s="62" t="str" cm="1">
        <f t="array" ref="K95">Common_InputFunctions.Utility_DisplayArrayInTable(Fertiliser_SourceData.Fertiliser_Products_Data1(),FertiliserProducts[[#Headers],[Include or Exclude]], 0)</f>
        <v>L</v>
      </c>
      <c r="L95" s="62" cm="1">
        <f t="array" ref="L95">Common_InputFunctions.Utility_DisplayArrayInTable(Fertiliser_SourceData.Fertiliser_Products_Data1(),FertiliserProducts[[#Headers],[Include or Exclude]], 0)</f>
        <v>1.5</v>
      </c>
      <c r="M95" s="10" t="str" cm="1">
        <f t="array" ref="M95">Common_InputFunctions.Utility_DisplayArrayInTable(Fertiliser_SourceData.Fertiliser_Products_Data1(),FertiliserProducts[[#Headers],[Include or Exclude]], 0)</f>
        <v/>
      </c>
      <c r="N95" s="62" t="str" cm="1">
        <f t="array" ref="N95">Common_InputFunctions.Utility_DisplayArrayInTable(Fertiliser_SourceData.Fertiliser_Products_Data1(),FertiliserProducts[[#Headers],[Include or Exclude]], 0)</f>
        <v/>
      </c>
      <c r="O95" s="62" t="str" cm="1">
        <f t="array" ref="O95">Common_InputFunctions.Utility_DisplayArrayInTable(Fertiliser_SourceData.Fertiliser_Products_Data1(),FertiliserProducts[[#Headers],[Include or Exclude]], 0)</f>
        <v>Calcium - Generic</v>
      </c>
      <c r="P95" s="62" cm="1">
        <f t="array" ref="P95">Common_InputFunctions.Utility_DisplayArrayInTable(Fertiliser_SourceData.Fertiliser_Products_Data1(),FertiliserProducts[[#Headers],[Include or Exclude]], 0)</f>
        <v>0.183</v>
      </c>
      <c r="Q95" s="62" t="str" cm="1">
        <f t="array" ref="Q95">Common_InputFunctions.Utility_DisplayArrayInTable(Fertiliser_SourceData.Fertiliser_Products_Data1(),FertiliserProducts[[#Headers],[Include or Exclude]], 0)</f>
        <v>Nitrogen  - Nitrate</v>
      </c>
      <c r="R95" s="62" cm="1">
        <f t="array" ref="R95">Common_InputFunctions.Utility_DisplayArrayInTable(Fertiliser_SourceData.Fertiliser_Products_Data1(),FertiliserProducts[[#Headers],[Include or Exclude]], 0)</f>
        <v>0.13200000000000001</v>
      </c>
      <c r="S95" s="62" t="str" cm="1">
        <f t="array" ref="S95">Common_InputFunctions.Utility_DisplayArrayInTable(Fertiliser_SourceData.Fertiliser_Products_Data1(),FertiliserProducts[[#Headers],[Include or Exclude]], 0)</f>
        <v/>
      </c>
      <c r="T95" s="62" t="str" cm="1">
        <f t="array" ref="T95">Common_InputFunctions.Utility_DisplayArrayInTable(Fertiliser_SourceData.Fertiliser_Products_Data1(),FertiliserProducts[[#Headers],[Include or Exclude]], 0)</f>
        <v/>
      </c>
      <c r="U95" s="62"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1:31" ht="20.100000000000001" customHeight="1" x14ac:dyDescent="0.25">
      <c r="A96"/>
      <c r="D96" s="62" t="str" cm="1">
        <f t="array" ref="D96">Common_InputFunctions.Utility_DisplayArrayInTable(Fertiliser_SourceData.Fertiliser_Products_Data1(),FertiliserProducts[[#Headers],[Include or Exclude]], 0)</f>
        <v>Include</v>
      </c>
      <c r="E96" s="62" t="str" cm="1">
        <f t="array" ref="E96">Common_InputFunctions.Utility_DisplayArrayInTable(Fertiliser_SourceData.Fertiliser_Products_Data1(),FertiliserProducts[[#Headers],[Include or Exclude]], 0)</f>
        <v/>
      </c>
      <c r="F96" s="62" t="str" cm="1">
        <f t="array" ref="F96">Common_InputFunctions.Utility_DisplayArrayInTable(Fertiliser_SourceData.Fertiliser_Products_Data1(),FertiliserProducts[[#Headers],[Include or Exclude]], 0)</f>
        <v>Campbells fertilisers Australia</v>
      </c>
      <c r="G96" s="62" t="str" cm="1">
        <f t="array" ref="G96">Common_InputFunctions.Utility_DisplayArrayInTable(Fertiliser_SourceData.Fertiliser_Products_Data1(),FertiliserProducts[[#Headers],[Include or Exclude]], 0)</f>
        <v>Aqua Start</v>
      </c>
      <c r="H96" s="62" t="str" cm="1">
        <f t="array" ref="H96">Common_InputFunctions.Utility_DisplayArrayInTable(Fertiliser_SourceData.Fertiliser_Products_Data1(),FertiliserProducts[[#Headers],[Include or Exclude]], 0)</f>
        <v>Aqua Start - Campbells Fertilisers Australasia</v>
      </c>
      <c r="I96" s="62" t="str" cm="1">
        <f t="array" ref="I96">Common_InputFunctions.Utility_DisplayArrayInTable(Fertiliser_SourceData.Fertiliser_Products_Data1(),FertiliserProducts[[#Headers],[Include or Exclude]], 0)</f>
        <v>Website SDS</v>
      </c>
      <c r="J96" s="62" t="str" cm="1">
        <f t="array" ref="J96">Common_InputFunctions.Utility_DisplayArrayInTable(Fertiliser_SourceData.Fertiliser_Products_Data1(),FertiliserProducts[[#Headers],[Include or Exclude]], 0)</f>
        <v/>
      </c>
      <c r="K96" s="62" t="str" cm="1">
        <f t="array" ref="K96">Common_InputFunctions.Utility_DisplayArrayInTable(Fertiliser_SourceData.Fertiliser_Products_Data1(),FertiliserProducts[[#Headers],[Include or Exclude]], 0)</f>
        <v>L</v>
      </c>
      <c r="L96" s="62" cm="1">
        <f t="array" ref="L96">Common_InputFunctions.Utility_DisplayArrayInTable(Fertiliser_SourceData.Fertiliser_Products_Data1(),FertiliserProducts[[#Headers],[Include or Exclude]], 0)</f>
        <v>1.25</v>
      </c>
      <c r="M96" s="10" t="str" cm="1">
        <f t="array" ref="M96">Common_InputFunctions.Utility_DisplayArrayInTable(Fertiliser_SourceData.Fertiliser_Products_Data1(),FertiliserProducts[[#Headers],[Include or Exclude]], 0)</f>
        <v/>
      </c>
      <c r="N96" s="62" t="str" cm="1">
        <f t="array" ref="N96">Common_InputFunctions.Utility_DisplayArrayInTable(Fertiliser_SourceData.Fertiliser_Products_Data1(),FertiliserProducts[[#Headers],[Include or Exclude]], 0)</f>
        <v/>
      </c>
      <c r="O96" s="62" t="str" cm="1">
        <f t="array" ref="O96">Common_InputFunctions.Utility_DisplayArrayInTable(Fertiliser_SourceData.Fertiliser_Products_Data1(),FertiliserProducts[[#Headers],[Include or Exclude]], 0)</f>
        <v>Nitrogen - Generic</v>
      </c>
      <c r="P96" s="62" cm="1">
        <f t="array" ref="P96">Common_InputFunctions.Utility_DisplayArrayInTable(Fertiliser_SourceData.Fertiliser_Products_Data1(),FertiliserProducts[[#Headers],[Include or Exclude]], 0)</f>
        <v>0.10299999999999999</v>
      </c>
      <c r="Q96" s="62" t="str" cm="1">
        <f t="array" ref="Q96">Common_InputFunctions.Utility_DisplayArrayInTable(Fertiliser_SourceData.Fertiliser_Products_Data1(),FertiliserProducts[[#Headers],[Include or Exclude]], 0)</f>
        <v>Phosphorus - Generic</v>
      </c>
      <c r="R96" s="62" cm="1">
        <f t="array" ref="R96">Common_InputFunctions.Utility_DisplayArrayInTable(Fertiliser_SourceData.Fertiliser_Products_Data1(),FertiliserProducts[[#Headers],[Include or Exclude]], 0)</f>
        <v>0.1</v>
      </c>
      <c r="S96" s="62" t="str" cm="1">
        <f t="array" ref="S96">Common_InputFunctions.Utility_DisplayArrayInTable(Fertiliser_SourceData.Fertiliser_Products_Data1(),FertiliserProducts[[#Headers],[Include or Exclude]], 0)</f>
        <v>Potassium - Generic</v>
      </c>
      <c r="T96" s="62" cm="1">
        <f t="array" ref="T96">Common_InputFunctions.Utility_DisplayArrayInTable(Fertiliser_SourceData.Fertiliser_Products_Data1(),FertiliserProducts[[#Headers],[Include or Exclude]], 0)</f>
        <v>3.4000000000000002E-2</v>
      </c>
      <c r="U96" s="62"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1:31" ht="20.100000000000001" customHeight="1" x14ac:dyDescent="0.25">
      <c r="A97"/>
      <c r="D97" s="62" t="str" cm="1">
        <f t="array" ref="D97">Common_InputFunctions.Utility_DisplayArrayInTable(Fertiliser_SourceData.Fertiliser_Products_Data1(),FertiliserProducts[[#Headers],[Include or Exclude]], 0)</f>
        <v>Include</v>
      </c>
      <c r="E97" s="62" t="str" cm="1">
        <f t="array" ref="E97">Common_InputFunctions.Utility_DisplayArrayInTable(Fertiliser_SourceData.Fertiliser_Products_Data1(),FertiliserProducts[[#Headers],[Include or Exclude]], 0)</f>
        <v/>
      </c>
      <c r="F97" s="62" t="str" cm="1">
        <f t="array" ref="F97">Common_InputFunctions.Utility_DisplayArrayInTable(Fertiliser_SourceData.Fertiliser_Products_Data1(),FertiliserProducts[[#Headers],[Include or Exclude]], 0)</f>
        <v>Campbells fertilisers Australia</v>
      </c>
      <c r="G97" s="62" t="str" cm="1">
        <f t="array" ref="G97">Common_InputFunctions.Utility_DisplayArrayInTable(Fertiliser_SourceData.Fertiliser_Products_Data1(),FertiliserProducts[[#Headers],[Include or Exclude]], 0)</f>
        <v>Aqua Thio-Complete</v>
      </c>
      <c r="H97" s="62" t="str" cm="1">
        <f t="array" ref="H97">Common_InputFunctions.Utility_DisplayArrayInTable(Fertiliser_SourceData.Fertiliser_Products_Data1(),FertiliserProducts[[#Headers],[Include or Exclude]], 0)</f>
        <v>Aqua Thio-Complete - Campbells Fertilisers Australasia</v>
      </c>
      <c r="I97" s="62" t="str" cm="1">
        <f t="array" ref="I97">Common_InputFunctions.Utility_DisplayArrayInTable(Fertiliser_SourceData.Fertiliser_Products_Data1(),FertiliserProducts[[#Headers],[Include or Exclude]], 0)</f>
        <v>Website SDS</v>
      </c>
      <c r="J97" s="62" t="str" cm="1">
        <f t="array" ref="J97">Common_InputFunctions.Utility_DisplayArrayInTable(Fertiliser_SourceData.Fertiliser_Products_Data1(),FertiliserProducts[[#Headers],[Include or Exclude]], 0)</f>
        <v/>
      </c>
      <c r="K97" s="62" t="str" cm="1">
        <f t="array" ref="K97">Common_InputFunctions.Utility_DisplayArrayInTable(Fertiliser_SourceData.Fertiliser_Products_Data1(),FertiliserProducts[[#Headers],[Include or Exclude]], 0)</f>
        <v>L</v>
      </c>
      <c r="L97" s="62" cm="1">
        <f t="array" ref="L97">Common_InputFunctions.Utility_DisplayArrayInTable(Fertiliser_SourceData.Fertiliser_Products_Data1(),FertiliserProducts[[#Headers],[Include or Exclude]], 0)</f>
        <v>1.43</v>
      </c>
      <c r="M97" s="10" t="str" cm="1">
        <f t="array" ref="M97">Common_InputFunctions.Utility_DisplayArrayInTable(Fertiliser_SourceData.Fertiliser_Products_Data1(),FertiliserProducts[[#Headers],[Include or Exclude]], 0)</f>
        <v/>
      </c>
      <c r="N97" s="62" t="str" cm="1">
        <f t="array" ref="N97">Common_InputFunctions.Utility_DisplayArrayInTable(Fertiliser_SourceData.Fertiliser_Products_Data1(),FertiliserProducts[[#Headers],[Include or Exclude]], 0)</f>
        <v/>
      </c>
      <c r="O97" s="62" t="str" cm="1">
        <f t="array" ref="O97">Common_InputFunctions.Utility_DisplayArrayInTable(Fertiliser_SourceData.Fertiliser_Products_Data1(),FertiliserProducts[[#Headers],[Include or Exclude]], 0)</f>
        <v>Potassium - Generic</v>
      </c>
      <c r="P97" s="62" cm="1">
        <f t="array" ref="P97">Common_InputFunctions.Utility_DisplayArrayInTable(Fertiliser_SourceData.Fertiliser_Products_Data1(),FertiliserProducts[[#Headers],[Include or Exclude]], 0)</f>
        <v>0.22500000000000001</v>
      </c>
      <c r="Q97" s="62" t="str" cm="1">
        <f t="array" ref="Q97">Common_InputFunctions.Utility_DisplayArrayInTable(Fertiliser_SourceData.Fertiliser_Products_Data1(),FertiliserProducts[[#Headers],[Include or Exclude]], 0)</f>
        <v>Phosphorus - Generic</v>
      </c>
      <c r="R97" s="62" cm="1">
        <f t="array" ref="R97">Common_InputFunctions.Utility_DisplayArrayInTable(Fertiliser_SourceData.Fertiliser_Products_Data1(),FertiliserProducts[[#Headers],[Include or Exclude]], 0)</f>
        <v>3.7999999999999999E-2</v>
      </c>
      <c r="S97" s="62" t="str" cm="1">
        <f t="array" ref="S97">Common_InputFunctions.Utility_DisplayArrayInTable(Fertiliser_SourceData.Fertiliser_Products_Data1(),FertiliserProducts[[#Headers],[Include or Exclude]], 0)</f>
        <v>Nitrogen - Generic</v>
      </c>
      <c r="T97" s="62" cm="1">
        <f t="array" ref="T97">Common_InputFunctions.Utility_DisplayArrayInTable(Fertiliser_SourceData.Fertiliser_Products_Data1(),FertiliserProducts[[#Headers],[Include or Exclude]], 0)</f>
        <v>2.5000000000000001E-2</v>
      </c>
      <c r="U97" s="62" t="str" cm="1">
        <f t="array" ref="U97">Common_InputFunctions.Utility_DisplayArrayInTable(Fertiliser_SourceData.Fertiliser_Products_Data1(),FertiliserProducts[[#Headers],[Include or Exclude]], 0)</f>
        <v/>
      </c>
      <c r="V97" s="10" t="str" cm="1">
        <f t="array" ref="V97">Common_InputFunctions.Utility_DisplayArrayInTable(Fertiliser_SourceData.Fertiliser_Products_Data1(),FertiliserProducts[[#Headers],[Include or Exclude]], 0)</f>
        <v/>
      </c>
      <c r="W97" s="10" t="str" cm="1">
        <f t="array" ref="W97">Common_InputFunctions.Utility_DisplayArrayInTable(Fertiliser_SourceData.Fertiliser_Products_Data1(),FertiliserProducts[[#Headers],[Include or Exclude]], 0)</f>
        <v/>
      </c>
      <c r="X97" s="10" t="str" cm="1">
        <f t="array" ref="X97">Common_InputFunctions.Utility_DisplayArrayInTable(Fertiliser_SourceData.Fertiliser_Products_Data1(),FertiliserProducts[[#Headers],[Include or Exclude]], 0)</f>
        <v/>
      </c>
      <c r="Y97" s="10" t="str" cm="1">
        <f t="array" ref="Y97">Common_InputFunctions.Utility_DisplayArrayInTable(Fertiliser_SourceData.Fertiliser_Products_Data1(),FertiliserProducts[[#Headers],[Include or Exclude]], 0)</f>
        <v/>
      </c>
      <c r="Z97" s="10" t="str" cm="1">
        <f t="array" ref="Z97">Common_InputFunctions.Utility_DisplayArrayInTable(Fertiliser_SourceData.Fertiliser_Products_Data1(),FertiliserProducts[[#Headers],[Include or Exclude]], 0)</f>
        <v/>
      </c>
      <c r="AA97" s="10" t="str" cm="1">
        <f t="array" ref="AA97">Common_InputFunctions.Utility_DisplayArrayInTable(Fertiliser_SourceData.Fertiliser_Products_Data1(),FertiliserProducts[[#Headers],[Include or Exclude]], 0)</f>
        <v/>
      </c>
      <c r="AB97" s="10" t="str" cm="1">
        <f t="array" ref="AB97">Common_InputFunctions.Utility_DisplayArrayInTable(Fertiliser_SourceData.Fertiliser_Products_Data1(),FertiliserProducts[[#Headers],[Include or Exclude]], 0)</f>
        <v/>
      </c>
      <c r="AC97" s="10" t="str" cm="1">
        <f t="array" ref="AC97">Common_InputFunctions.Utility_DisplayArrayInTable(Fertiliser_SourceData.Fertiliser_Products_Data1(),FertiliserProducts[[#Headers],[Include or Exclude]], 0)</f>
        <v/>
      </c>
      <c r="AD97" s="10" t="str" cm="1">
        <f t="array" ref="AD97">Common_InputFunctions.Utility_DisplayArrayInTable(Fertiliser_SourceData.Fertiliser_Products_Data1(),FertiliserProducts[[#Headers],[Include or Exclude]], 0)</f>
        <v/>
      </c>
      <c r="AE97" s="10" t="str" cm="1">
        <f t="array" ref="AE97">Common_InputFunctions.Utility_DisplayArrayInTable(Fertiliser_SourceData.Fertiliser_Products_Data1(),FertiliserProducts[[#Headers],[Include or Exclude]], 0)</f>
        <v/>
      </c>
    </row>
    <row r="98" spans="1:31" ht="20.100000000000001" customHeight="1" x14ac:dyDescent="0.25">
      <c r="A98"/>
      <c r="D98" s="62" t="str" cm="1">
        <f t="array" ref="D98">Common_InputFunctions.Utility_DisplayArrayInTable(Fertiliser_SourceData.Fertiliser_Products_Data1(),FertiliserProducts[[#Headers],[Include or Exclude]], 0)</f>
        <v>Include</v>
      </c>
      <c r="E98" s="62" t="str" cm="1">
        <f t="array" ref="E98">Common_InputFunctions.Utility_DisplayArrayInTable(Fertiliser_SourceData.Fertiliser_Products_Data1(),FertiliserProducts[[#Headers],[Include or Exclude]], 0)</f>
        <v/>
      </c>
      <c r="F98" s="62" t="str" cm="1">
        <f t="array" ref="F98">Common_InputFunctions.Utility_DisplayArrayInTable(Fertiliser_SourceData.Fertiliser_Products_Data1(),FertiliserProducts[[#Headers],[Include or Exclude]], 0)</f>
        <v>Campbells fertilisers Australia</v>
      </c>
      <c r="G98" s="62" t="str" cm="1">
        <f t="array" ref="G98">Common_InputFunctions.Utility_DisplayArrayInTable(Fertiliser_SourceData.Fertiliser_Products_Data1(),FertiliserProducts[[#Headers],[Include or Exclude]], 0)</f>
        <v>Aqua Thio-Emerge</v>
      </c>
      <c r="H98" s="62" t="str" cm="1">
        <f t="array" ref="H98">Common_InputFunctions.Utility_DisplayArrayInTable(Fertiliser_SourceData.Fertiliser_Products_Data1(),FertiliserProducts[[#Headers],[Include or Exclude]], 0)</f>
        <v>Aqua Thio-Emerge - Campbells Fertilisers Australasia</v>
      </c>
      <c r="I98" s="62" t="str" cm="1">
        <f t="array" ref="I98">Common_InputFunctions.Utility_DisplayArrayInTable(Fertiliser_SourceData.Fertiliser_Products_Data1(),FertiliserProducts[[#Headers],[Include or Exclude]], 0)</f>
        <v>Website SDS</v>
      </c>
      <c r="J98" s="62" t="str" cm="1">
        <f t="array" ref="J98">Common_InputFunctions.Utility_DisplayArrayInTable(Fertiliser_SourceData.Fertiliser_Products_Data1(),FertiliserProducts[[#Headers],[Include or Exclude]], 0)</f>
        <v/>
      </c>
      <c r="K98" s="62" t="str" cm="1">
        <f t="array" ref="K98">Common_InputFunctions.Utility_DisplayArrayInTable(Fertiliser_SourceData.Fertiliser_Products_Data1(),FertiliserProducts[[#Headers],[Include or Exclude]], 0)</f>
        <v>L</v>
      </c>
      <c r="L98" s="62" cm="1">
        <f t="array" ref="L98">Common_InputFunctions.Utility_DisplayArrayInTable(Fertiliser_SourceData.Fertiliser_Products_Data1(),FertiliserProducts[[#Headers],[Include or Exclude]], 0)</f>
        <v>1.29</v>
      </c>
      <c r="M98" s="10" t="str" cm="1">
        <f t="array" ref="M98">Common_InputFunctions.Utility_DisplayArrayInTable(Fertiliser_SourceData.Fertiliser_Products_Data1(),FertiliserProducts[[#Headers],[Include or Exclude]], 0)</f>
        <v/>
      </c>
      <c r="N98" s="62" t="str" cm="1">
        <f t="array" ref="N98">Common_InputFunctions.Utility_DisplayArrayInTable(Fertiliser_SourceData.Fertiliser_Products_Data1(),FertiliserProducts[[#Headers],[Include or Exclude]], 0)</f>
        <v/>
      </c>
      <c r="O98" s="62" t="str" cm="1">
        <f t="array" ref="O98">Common_InputFunctions.Utility_DisplayArrayInTable(Fertiliser_SourceData.Fertiliser_Products_Data1(),FertiliserProducts[[#Headers],[Include or Exclude]], 0)</f>
        <v>Nitrogen - Generic</v>
      </c>
      <c r="P98" s="62" cm="1">
        <f t="array" ref="P98">Common_InputFunctions.Utility_DisplayArrayInTable(Fertiliser_SourceData.Fertiliser_Products_Data1(),FertiliserProducts[[#Headers],[Include or Exclude]], 0)</f>
        <v>0.105</v>
      </c>
      <c r="Q98" s="62" t="str" cm="1">
        <f t="array" ref="Q98">Common_InputFunctions.Utility_DisplayArrayInTable(Fertiliser_SourceData.Fertiliser_Products_Data1(),FertiliserProducts[[#Headers],[Include or Exclude]], 0)</f>
        <v>Phosphorus - Generic</v>
      </c>
      <c r="R98" s="62" cm="1">
        <f t="array" ref="R98">Common_InputFunctions.Utility_DisplayArrayInTable(Fertiliser_SourceData.Fertiliser_Products_Data1(),FertiliserProducts[[#Headers],[Include or Exclude]], 0)</f>
        <v>9.4E-2</v>
      </c>
      <c r="S98" s="62" t="str" cm="1">
        <f t="array" ref="S98">Common_InputFunctions.Utility_DisplayArrayInTable(Fertiliser_SourceData.Fertiliser_Products_Data1(),FertiliserProducts[[#Headers],[Include or Exclude]], 0)</f>
        <v>Potassium - Generic</v>
      </c>
      <c r="T98" s="62" cm="1">
        <f t="array" ref="T98">Common_InputFunctions.Utility_DisplayArrayInTable(Fertiliser_SourceData.Fertiliser_Products_Data1(),FertiliserProducts[[#Headers],[Include or Exclude]], 0)</f>
        <v>0.04</v>
      </c>
      <c r="U98" s="62" t="str" cm="1">
        <f t="array" ref="U98">Common_InputFunctions.Utility_DisplayArrayInTable(Fertiliser_SourceData.Fertiliser_Products_Data1(),FertiliserProducts[[#Headers],[Include or Exclude]], 0)</f>
        <v>Sulfur - Generic</v>
      </c>
      <c r="V98" s="10" cm="1">
        <f t="array" ref="V98">Common_InputFunctions.Utility_DisplayArrayInTable(Fertiliser_SourceData.Fertiliser_Products_Data1(),FertiliserProducts[[#Headers],[Include or Exclude]], 0)</f>
        <v>0.03</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1:31" ht="20.100000000000001" customHeight="1" x14ac:dyDescent="0.25">
      <c r="A99"/>
      <c r="D99" s="62" t="str" cm="1">
        <f t="array" ref="D99">Common_InputFunctions.Utility_DisplayArrayInTable(Fertiliser_SourceData.Fertiliser_Products_Data1(),FertiliserProducts[[#Headers],[Include or Exclude]], 0)</f>
        <v>Include</v>
      </c>
      <c r="E99" s="62" t="str" cm="1">
        <f t="array" ref="E99">Common_InputFunctions.Utility_DisplayArrayInTable(Fertiliser_SourceData.Fertiliser_Products_Data1(),FertiliserProducts[[#Headers],[Include or Exclude]], 0)</f>
        <v/>
      </c>
      <c r="F99" s="62" t="str" cm="1">
        <f t="array" ref="F99">Common_InputFunctions.Utility_DisplayArrayInTable(Fertiliser_SourceData.Fertiliser_Products_Data1(),FertiliserProducts[[#Headers],[Include or Exclude]], 0)</f>
        <v>Campbells fertilisers Australia</v>
      </c>
      <c r="G99" s="62" t="str" cm="1">
        <f t="array" ref="G99">Common_InputFunctions.Utility_DisplayArrayInTable(Fertiliser_SourceData.Fertiliser_Products_Data1(),FertiliserProducts[[#Headers],[Include or Exclude]], 0)</f>
        <v>Aqua Thio-Flourish</v>
      </c>
      <c r="H99" s="62" t="str" cm="1">
        <f t="array" ref="H99">Common_InputFunctions.Utility_DisplayArrayInTable(Fertiliser_SourceData.Fertiliser_Products_Data1(),FertiliserProducts[[#Headers],[Include or Exclude]], 0)</f>
        <v>Aqua Thio-Flourish - Campbells Fertilisers Australasia</v>
      </c>
      <c r="I99" s="62" t="str" cm="1">
        <f t="array" ref="I99">Common_InputFunctions.Utility_DisplayArrayInTable(Fertiliser_SourceData.Fertiliser_Products_Data1(),FertiliserProducts[[#Headers],[Include or Exclude]], 0)</f>
        <v>Website SDS</v>
      </c>
      <c r="J99" s="62" t="str" cm="1">
        <f t="array" ref="J99">Common_InputFunctions.Utility_DisplayArrayInTable(Fertiliser_SourceData.Fertiliser_Products_Data1(),FertiliserProducts[[#Headers],[Include or Exclude]], 0)</f>
        <v/>
      </c>
      <c r="K99" s="62" t="str" cm="1">
        <f t="array" ref="K99">Common_InputFunctions.Utility_DisplayArrayInTable(Fertiliser_SourceData.Fertiliser_Products_Data1(),FertiliserProducts[[#Headers],[Include or Exclude]], 0)</f>
        <v>L</v>
      </c>
      <c r="L99" s="62" cm="1">
        <f t="array" ref="L99">Common_InputFunctions.Utility_DisplayArrayInTable(Fertiliser_SourceData.Fertiliser_Products_Data1(),FertiliserProducts[[#Headers],[Include or Exclude]], 0)</f>
        <v>1.32</v>
      </c>
      <c r="M99" s="10" t="str" cm="1">
        <f t="array" ref="M99">Common_InputFunctions.Utility_DisplayArrayInTable(Fertiliser_SourceData.Fertiliser_Products_Data1(),FertiliserProducts[[#Headers],[Include or Exclude]], 0)</f>
        <v/>
      </c>
      <c r="N99" s="62" t="str" cm="1">
        <f t="array" ref="N99">Common_InputFunctions.Utility_DisplayArrayInTable(Fertiliser_SourceData.Fertiliser_Products_Data1(),FertiliserProducts[[#Headers],[Include or Exclude]], 0)</f>
        <v/>
      </c>
      <c r="O99" s="62" t="str" cm="1">
        <f t="array" ref="O99">Common_InputFunctions.Utility_DisplayArrayInTable(Fertiliser_SourceData.Fertiliser_Products_Data1(),FertiliserProducts[[#Headers],[Include or Exclude]], 0)</f>
        <v>Potassium - Generic</v>
      </c>
      <c r="P99" s="62" cm="1">
        <f t="array" ref="P99">Common_InputFunctions.Utility_DisplayArrayInTable(Fertiliser_SourceData.Fertiliser_Products_Data1(),FertiliserProducts[[#Headers],[Include or Exclude]], 0)</f>
        <v>0.108</v>
      </c>
      <c r="Q99" s="62" t="str" cm="1">
        <f t="array" ref="Q99">Common_InputFunctions.Utility_DisplayArrayInTable(Fertiliser_SourceData.Fertiliser_Products_Data1(),FertiliserProducts[[#Headers],[Include or Exclude]], 0)</f>
        <v>Nitrogen - Generic</v>
      </c>
      <c r="R99" s="62" cm="1">
        <f t="array" ref="R99">Common_InputFunctions.Utility_DisplayArrayInTable(Fertiliser_SourceData.Fertiliser_Products_Data1(),FertiliserProducts[[#Headers],[Include or Exclude]], 0)</f>
        <v>9.5000000000000001E-2</v>
      </c>
      <c r="S99" s="62" t="str" cm="1">
        <f t="array" ref="S99">Common_InputFunctions.Utility_DisplayArrayInTable(Fertiliser_SourceData.Fertiliser_Products_Data1(),FertiliserProducts[[#Headers],[Include or Exclude]], 0)</f>
        <v>Sulfur - Generic</v>
      </c>
      <c r="T99" s="62" cm="1">
        <f t="array" ref="T99">Common_InputFunctions.Utility_DisplayArrayInTable(Fertiliser_SourceData.Fertiliser_Products_Data1(),FertiliserProducts[[#Headers],[Include or Exclude]], 0)</f>
        <v>8.1000000000000003E-2</v>
      </c>
      <c r="U99" s="62" t="str" cm="1">
        <f t="array" ref="U99">Common_InputFunctions.Utility_DisplayArrayInTable(Fertiliser_SourceData.Fertiliser_Products_Data1(),FertiliserProducts[[#Headers],[Include or Exclude]], 0)</f>
        <v>Phosphorus - Generic</v>
      </c>
      <c r="V99" s="10" cm="1">
        <f t="array" ref="V99">Common_InputFunctions.Utility_DisplayArrayInTable(Fertiliser_SourceData.Fertiliser_Products_Data1(),FertiliserProducts[[#Headers],[Include or Exclude]], 0)</f>
        <v>4.7E-2</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1:31" ht="20.100000000000001" customHeight="1" x14ac:dyDescent="0.25">
      <c r="A100"/>
      <c r="D100" s="62" t="str" cm="1">
        <f t="array" ref="D100">Common_InputFunctions.Utility_DisplayArrayInTable(Fertiliser_SourceData.Fertiliser_Products_Data1(),FertiliserProducts[[#Headers],[Include or Exclude]], 0)</f>
        <v>Exclude - Not relevant</v>
      </c>
      <c r="E100" s="62" t="str" cm="1">
        <f t="array" ref="E100">Common_InputFunctions.Utility_DisplayArrayInTable(Fertiliser_SourceData.Fertiliser_Products_Data1(),FertiliserProducts[[#Headers],[Include or Exclude]], 0)</f>
        <v/>
      </c>
      <c r="F100" s="62" t="str" cm="1">
        <f t="array" ref="F100">Common_InputFunctions.Utility_DisplayArrayInTable(Fertiliser_SourceData.Fertiliser_Products_Data1(),FertiliserProducts[[#Headers],[Include or Exclude]], 0)</f>
        <v>Campbells fertilisers Australia</v>
      </c>
      <c r="G100" s="62" t="str" cm="1">
        <f t="array" ref="G100">Common_InputFunctions.Utility_DisplayArrayInTable(Fertiliser_SourceData.Fertiliser_Products_Data1(),FertiliserProducts[[#Headers],[Include or Exclude]], 0)</f>
        <v>Asco Fol Plus</v>
      </c>
      <c r="H100" s="62" t="str" cm="1">
        <f t="array" ref="H100">Common_InputFunctions.Utility_DisplayArrayInTable(Fertiliser_SourceData.Fertiliser_Products_Data1(),FertiliserProducts[[#Headers],[Include or Exclude]], 0)</f>
        <v>Asco Fol Plus - Campbells Fertilisers Australasia</v>
      </c>
      <c r="I100" s="62" t="str" cm="1">
        <f t="array" ref="I100">Common_InputFunctions.Utility_DisplayArrayInTable(Fertiliser_SourceData.Fertiliser_Products_Data1(),FertiliserProducts[[#Headers],[Include or Exclude]], 0)</f>
        <v/>
      </c>
      <c r="J100" s="62" t="str" cm="1">
        <f t="array" ref="J100">Common_InputFunctions.Utility_DisplayArrayInTable(Fertiliser_SourceData.Fertiliser_Products_Data1(),FertiliserProducts[[#Headers],[Include or Exclude]], 0)</f>
        <v>Organic - Do not include</v>
      </c>
      <c r="K100" s="62" t="str" cm="1">
        <f t="array" ref="K100">Common_InputFunctions.Utility_DisplayArrayInTable(Fertiliser_SourceData.Fertiliser_Products_Data1(),FertiliserProducts[[#Headers],[Include or Exclude]], 0)</f>
        <v/>
      </c>
      <c r="L100" s="62" t="str" cm="1">
        <f t="array" ref="L100">Common_InputFunctions.Utility_DisplayArrayInTable(Fertiliser_SourceData.Fertiliser_Products_Data1(),FertiliserProducts[[#Headers],[Include or Exclude]], 0)</f>
        <v/>
      </c>
      <c r="M100" s="10" t="str" cm="1">
        <f t="array" ref="M100">Common_InputFunctions.Utility_DisplayArrayInTable(Fertiliser_SourceData.Fertiliser_Products_Data1(),FertiliserProducts[[#Headers],[Include or Exclude]], 0)</f>
        <v/>
      </c>
      <c r="N100" s="62" t="str" cm="1">
        <f t="array" ref="N100">Common_InputFunctions.Utility_DisplayArrayInTable(Fertiliser_SourceData.Fertiliser_Products_Data1(),FertiliserProducts[[#Headers],[Include or Exclude]], 0)</f>
        <v/>
      </c>
      <c r="O100" s="62" t="str" cm="1">
        <f t="array" ref="O100">Common_InputFunctions.Utility_DisplayArrayInTable(Fertiliser_SourceData.Fertiliser_Products_Data1(),FertiliserProducts[[#Headers],[Include or Exclude]], 0)</f>
        <v/>
      </c>
      <c r="P100" s="62" t="str" cm="1">
        <f t="array" ref="P100">Common_InputFunctions.Utility_DisplayArrayInTable(Fertiliser_SourceData.Fertiliser_Products_Data1(),FertiliserProducts[[#Headers],[Include or Exclude]], 0)</f>
        <v/>
      </c>
      <c r="Q100" s="62" t="str" cm="1">
        <f t="array" ref="Q100">Common_InputFunctions.Utility_DisplayArrayInTable(Fertiliser_SourceData.Fertiliser_Products_Data1(),FertiliserProducts[[#Headers],[Include or Exclude]], 0)</f>
        <v/>
      </c>
      <c r="R100" s="62" t="str" cm="1">
        <f t="array" ref="R100">Common_InputFunctions.Utility_DisplayArrayInTable(Fertiliser_SourceData.Fertiliser_Products_Data1(),FertiliserProducts[[#Headers],[Include or Exclude]], 0)</f>
        <v/>
      </c>
      <c r="S100" s="62" t="str" cm="1">
        <f t="array" ref="S100">Common_InputFunctions.Utility_DisplayArrayInTable(Fertiliser_SourceData.Fertiliser_Products_Data1(),FertiliserProducts[[#Headers],[Include or Exclude]], 0)</f>
        <v/>
      </c>
      <c r="T100" s="62" t="str" cm="1">
        <f t="array" ref="T100">Common_InputFunctions.Utility_DisplayArrayInTable(Fertiliser_SourceData.Fertiliser_Products_Data1(),FertiliserProducts[[#Headers],[Include or Exclude]], 0)</f>
        <v/>
      </c>
      <c r="U100" s="62"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1:31" ht="20.100000000000001" customHeight="1" x14ac:dyDescent="0.25">
      <c r="A101"/>
      <c r="D101" s="62" t="str" cm="1">
        <f t="array" ref="D101">Common_InputFunctions.Utility_DisplayArrayInTable(Fertiliser_SourceData.Fertiliser_Products_Data1(),FertiliserProducts[[#Headers],[Include or Exclude]], 0)</f>
        <v>Exclude - Not relevant</v>
      </c>
      <c r="E101" s="62" t="str" cm="1">
        <f t="array" ref="E101">Common_InputFunctions.Utility_DisplayArrayInTable(Fertiliser_SourceData.Fertiliser_Products_Data1(),FertiliserProducts[[#Headers],[Include or Exclude]], 0)</f>
        <v/>
      </c>
      <c r="F101" s="62" t="str" cm="1">
        <f t="array" ref="F101">Common_InputFunctions.Utility_DisplayArrayInTable(Fertiliser_SourceData.Fertiliser_Products_Data1(),FertiliserProducts[[#Headers],[Include or Exclude]], 0)</f>
        <v>Campbells fertilisers Australia</v>
      </c>
      <c r="G101" s="62" t="str" cm="1">
        <f t="array" ref="G101">Common_InputFunctions.Utility_DisplayArrayInTable(Fertiliser_SourceData.Fertiliser_Products_Data1(),FertiliserProducts[[#Headers],[Include or Exclude]], 0)</f>
        <v>Asco Plus</v>
      </c>
      <c r="H101" s="62" t="str" cm="1">
        <f t="array" ref="H101">Common_InputFunctions.Utility_DisplayArrayInTable(Fertiliser_SourceData.Fertiliser_Products_Data1(),FertiliserProducts[[#Headers],[Include or Exclude]], 0)</f>
        <v>Asco Plus - Campbells Fertilisers Australasia</v>
      </c>
      <c r="I101" s="62" t="str" cm="1">
        <f t="array" ref="I101">Common_InputFunctions.Utility_DisplayArrayInTable(Fertiliser_SourceData.Fertiliser_Products_Data1(),FertiliserProducts[[#Headers],[Include or Exclude]], 0)</f>
        <v/>
      </c>
      <c r="J101" s="62" t="str" cm="1">
        <f t="array" ref="J101">Common_InputFunctions.Utility_DisplayArrayInTable(Fertiliser_SourceData.Fertiliser_Products_Data1(),FertiliserProducts[[#Headers],[Include or Exclude]], 0)</f>
        <v>Organic - Do not include</v>
      </c>
      <c r="K101" s="62" t="str" cm="1">
        <f t="array" ref="K101">Common_InputFunctions.Utility_DisplayArrayInTable(Fertiliser_SourceData.Fertiliser_Products_Data1(),FertiliserProducts[[#Headers],[Include or Exclude]], 0)</f>
        <v/>
      </c>
      <c r="L101" s="62"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62" t="str" cm="1">
        <f t="array" ref="N101">Common_InputFunctions.Utility_DisplayArrayInTable(Fertiliser_SourceData.Fertiliser_Products_Data1(),FertiliserProducts[[#Headers],[Include or Exclude]], 0)</f>
        <v/>
      </c>
      <c r="O101" s="62" t="str" cm="1">
        <f t="array" ref="O101">Common_InputFunctions.Utility_DisplayArrayInTable(Fertiliser_SourceData.Fertiliser_Products_Data1(),FertiliserProducts[[#Headers],[Include or Exclude]], 0)</f>
        <v/>
      </c>
      <c r="P101" s="62" t="str" cm="1">
        <f t="array" ref="P101">Common_InputFunctions.Utility_DisplayArrayInTable(Fertiliser_SourceData.Fertiliser_Products_Data1(),FertiliserProducts[[#Headers],[Include or Exclude]], 0)</f>
        <v/>
      </c>
      <c r="Q101" s="62" t="str" cm="1">
        <f t="array" ref="Q101">Common_InputFunctions.Utility_DisplayArrayInTable(Fertiliser_SourceData.Fertiliser_Products_Data1(),FertiliserProducts[[#Headers],[Include or Exclude]], 0)</f>
        <v/>
      </c>
      <c r="R101" s="62" t="str" cm="1">
        <f t="array" ref="R101">Common_InputFunctions.Utility_DisplayArrayInTable(Fertiliser_SourceData.Fertiliser_Products_Data1(),FertiliserProducts[[#Headers],[Include or Exclude]], 0)</f>
        <v/>
      </c>
      <c r="S101" s="62" t="str" cm="1">
        <f t="array" ref="S101">Common_InputFunctions.Utility_DisplayArrayInTable(Fertiliser_SourceData.Fertiliser_Products_Data1(),FertiliserProducts[[#Headers],[Include or Exclude]], 0)</f>
        <v/>
      </c>
      <c r="T101" s="62" t="str" cm="1">
        <f t="array" ref="T101">Common_InputFunctions.Utility_DisplayArrayInTable(Fertiliser_SourceData.Fertiliser_Products_Data1(),FertiliserProducts[[#Headers],[Include or Exclude]], 0)</f>
        <v/>
      </c>
      <c r="U101" s="62"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1:31" ht="20.100000000000001" customHeight="1" x14ac:dyDescent="0.25">
      <c r="A102"/>
      <c r="D102" s="62" t="str" cm="1">
        <f t="array" ref="D102">Common_InputFunctions.Utility_DisplayArrayInTable(Fertiliser_SourceData.Fertiliser_Products_Data1(),FertiliserProducts[[#Headers],[Include or Exclude]], 0)</f>
        <v>Exclude - Not relevant</v>
      </c>
      <c r="E102" s="62" t="str" cm="1">
        <f t="array" ref="E102">Common_InputFunctions.Utility_DisplayArrayInTable(Fertiliser_SourceData.Fertiliser_Products_Data1(),FertiliserProducts[[#Headers],[Include or Exclude]], 0)</f>
        <v/>
      </c>
      <c r="F102" s="62" t="str" cm="1">
        <f t="array" ref="F102">Common_InputFunctions.Utility_DisplayArrayInTable(Fertiliser_SourceData.Fertiliser_Products_Data1(),FertiliserProducts[[#Headers],[Include or Exclude]], 0)</f>
        <v>Campbells fertilisers Australia</v>
      </c>
      <c r="G102" s="62" t="str" cm="1">
        <f t="array" ref="G102">Common_InputFunctions.Utility_DisplayArrayInTable(Fertiliser_SourceData.Fertiliser_Products_Data1(),FertiliserProducts[[#Headers],[Include or Exclude]], 0)</f>
        <v>Asco Rhizo Plus</v>
      </c>
      <c r="H102" s="62" t="str" cm="1">
        <f t="array" ref="H102">Common_InputFunctions.Utility_DisplayArrayInTable(Fertiliser_SourceData.Fertiliser_Products_Data1(),FertiliserProducts[[#Headers],[Include or Exclude]], 0)</f>
        <v>Asco Rhizo Plus - Campbells Fertilisers Australasia</v>
      </c>
      <c r="I102" s="62" t="str" cm="1">
        <f t="array" ref="I102">Common_InputFunctions.Utility_DisplayArrayInTable(Fertiliser_SourceData.Fertiliser_Products_Data1(),FertiliserProducts[[#Headers],[Include or Exclude]], 0)</f>
        <v/>
      </c>
      <c r="J102" s="62" t="str" cm="1">
        <f t="array" ref="J102">Common_InputFunctions.Utility_DisplayArrayInTable(Fertiliser_SourceData.Fertiliser_Products_Data1(),FertiliserProducts[[#Headers],[Include or Exclude]], 0)</f>
        <v>Biostimulant - Do not include</v>
      </c>
      <c r="K102" s="62" t="str" cm="1">
        <f t="array" ref="K102">Common_InputFunctions.Utility_DisplayArrayInTable(Fertiliser_SourceData.Fertiliser_Products_Data1(),FertiliserProducts[[#Headers],[Include or Exclude]], 0)</f>
        <v/>
      </c>
      <c r="L102" s="62"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62" t="str" cm="1">
        <f t="array" ref="N102">Common_InputFunctions.Utility_DisplayArrayInTable(Fertiliser_SourceData.Fertiliser_Products_Data1(),FertiliserProducts[[#Headers],[Include or Exclude]], 0)</f>
        <v/>
      </c>
      <c r="O102" s="62" t="str" cm="1">
        <f t="array" ref="O102">Common_InputFunctions.Utility_DisplayArrayInTable(Fertiliser_SourceData.Fertiliser_Products_Data1(),FertiliserProducts[[#Headers],[Include or Exclude]], 0)</f>
        <v/>
      </c>
      <c r="P102" s="62" t="str" cm="1">
        <f t="array" ref="P102">Common_InputFunctions.Utility_DisplayArrayInTable(Fertiliser_SourceData.Fertiliser_Products_Data1(),FertiliserProducts[[#Headers],[Include or Exclude]], 0)</f>
        <v/>
      </c>
      <c r="Q102" s="62" t="str" cm="1">
        <f t="array" ref="Q102">Common_InputFunctions.Utility_DisplayArrayInTable(Fertiliser_SourceData.Fertiliser_Products_Data1(),FertiliserProducts[[#Headers],[Include or Exclude]], 0)</f>
        <v/>
      </c>
      <c r="R102" s="62" t="str" cm="1">
        <f t="array" ref="R102">Common_InputFunctions.Utility_DisplayArrayInTable(Fertiliser_SourceData.Fertiliser_Products_Data1(),FertiliserProducts[[#Headers],[Include or Exclude]], 0)</f>
        <v/>
      </c>
      <c r="S102" s="62" t="str" cm="1">
        <f t="array" ref="S102">Common_InputFunctions.Utility_DisplayArrayInTable(Fertiliser_SourceData.Fertiliser_Products_Data1(),FertiliserProducts[[#Headers],[Include or Exclude]], 0)</f>
        <v/>
      </c>
      <c r="T102" s="62" t="str" cm="1">
        <f t="array" ref="T102">Common_InputFunctions.Utility_DisplayArrayInTable(Fertiliser_SourceData.Fertiliser_Products_Data1(),FertiliserProducts[[#Headers],[Include or Exclude]], 0)</f>
        <v/>
      </c>
      <c r="U102" s="62"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1:31" ht="20.100000000000001" customHeight="1" x14ac:dyDescent="0.25">
      <c r="A103"/>
      <c r="D103" s="62" t="str" cm="1">
        <f t="array" ref="D103">Common_InputFunctions.Utility_DisplayArrayInTable(Fertiliser_SourceData.Fertiliser_Products_Data1(),FertiliserProducts[[#Headers],[Include or Exclude]], 0)</f>
        <v>Exclude - Not relevant</v>
      </c>
      <c r="E103" s="62" t="str" cm="1">
        <f t="array" ref="E103">Common_InputFunctions.Utility_DisplayArrayInTable(Fertiliser_SourceData.Fertiliser_Products_Data1(),FertiliserProducts[[#Headers],[Include or Exclude]], 0)</f>
        <v/>
      </c>
      <c r="F103" s="62" t="str" cm="1">
        <f t="array" ref="F103">Common_InputFunctions.Utility_DisplayArrayInTable(Fertiliser_SourceData.Fertiliser_Products_Data1(),FertiliserProducts[[#Headers],[Include or Exclude]], 0)</f>
        <v>Campbells fertilisers Australia</v>
      </c>
      <c r="G103" s="62" t="str" cm="1">
        <f t="array" ref="G103">Common_InputFunctions.Utility_DisplayArrayInTable(Fertiliser_SourceData.Fertiliser_Products_Data1(),FertiliserProducts[[#Headers],[Include or Exclude]], 0)</f>
        <v>Benefit PZ</v>
      </c>
      <c r="H103" s="62" t="str" cm="1">
        <f t="array" ref="H103">Common_InputFunctions.Utility_DisplayArrayInTable(Fertiliser_SourceData.Fertiliser_Products_Data1(),FertiliserProducts[[#Headers],[Include or Exclude]], 0)</f>
        <v>Benefit PZ - Campbells Fertilisers Australasia</v>
      </c>
      <c r="I103" s="62" t="str" cm="1">
        <f t="array" ref="I103">Common_InputFunctions.Utility_DisplayArrayInTable(Fertiliser_SourceData.Fertiliser_Products_Data1(),FertiliserProducts[[#Headers],[Include or Exclude]], 0)</f>
        <v/>
      </c>
      <c r="J103" s="62" t="str" cm="1">
        <f t="array" ref="J103">Common_InputFunctions.Utility_DisplayArrayInTable(Fertiliser_SourceData.Fertiliser_Products_Data1(),FertiliserProducts[[#Headers],[Include or Exclude]], 0)</f>
        <v>Not fertiliser - Do not include</v>
      </c>
      <c r="K103" s="62" t="str" cm="1">
        <f t="array" ref="K103">Common_InputFunctions.Utility_DisplayArrayInTable(Fertiliser_SourceData.Fertiliser_Products_Data1(),FertiliserProducts[[#Headers],[Include or Exclude]], 0)</f>
        <v/>
      </c>
      <c r="L103" s="62"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62" t="str" cm="1">
        <f t="array" ref="N103">Common_InputFunctions.Utility_DisplayArrayInTable(Fertiliser_SourceData.Fertiliser_Products_Data1(),FertiliserProducts[[#Headers],[Include or Exclude]], 0)</f>
        <v/>
      </c>
      <c r="O103" s="62" t="str" cm="1">
        <f t="array" ref="O103">Common_InputFunctions.Utility_DisplayArrayInTable(Fertiliser_SourceData.Fertiliser_Products_Data1(),FertiliserProducts[[#Headers],[Include or Exclude]], 0)</f>
        <v/>
      </c>
      <c r="P103" s="62" t="str" cm="1">
        <f t="array" ref="P103">Common_InputFunctions.Utility_DisplayArrayInTable(Fertiliser_SourceData.Fertiliser_Products_Data1(),FertiliserProducts[[#Headers],[Include or Exclude]], 0)</f>
        <v/>
      </c>
      <c r="Q103" s="62" t="str" cm="1">
        <f t="array" ref="Q103">Common_InputFunctions.Utility_DisplayArrayInTable(Fertiliser_SourceData.Fertiliser_Products_Data1(),FertiliserProducts[[#Headers],[Include or Exclude]], 0)</f>
        <v/>
      </c>
      <c r="R103" s="62" t="str" cm="1">
        <f t="array" ref="R103">Common_InputFunctions.Utility_DisplayArrayInTable(Fertiliser_SourceData.Fertiliser_Products_Data1(),FertiliserProducts[[#Headers],[Include or Exclude]], 0)</f>
        <v/>
      </c>
      <c r="S103" s="62" t="str" cm="1">
        <f t="array" ref="S103">Common_InputFunctions.Utility_DisplayArrayInTable(Fertiliser_SourceData.Fertiliser_Products_Data1(),FertiliserProducts[[#Headers],[Include or Exclude]], 0)</f>
        <v/>
      </c>
      <c r="T103" s="62" t="str" cm="1">
        <f t="array" ref="T103">Common_InputFunctions.Utility_DisplayArrayInTable(Fertiliser_SourceData.Fertiliser_Products_Data1(),FertiliserProducts[[#Headers],[Include or Exclude]], 0)</f>
        <v/>
      </c>
      <c r="U103" s="62"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1:31" ht="20.100000000000001" customHeight="1" x14ac:dyDescent="0.25">
      <c r="A104"/>
      <c r="D104" s="62" t="str" cm="1">
        <f t="array" ref="D104">Common_InputFunctions.Utility_DisplayArrayInTable(Fertiliser_SourceData.Fertiliser_Products_Data1(),FertiliserProducts[[#Headers],[Include or Exclude]], 0)</f>
        <v>Include - Absent ingredients &lt; 2%</v>
      </c>
      <c r="E104" s="62" t="str" cm="1">
        <f t="array" ref="E104">Common_InputFunctions.Utility_DisplayArrayInTable(Fertiliser_SourceData.Fertiliser_Products_Data1(),FertiliserProducts[[#Headers],[Include or Exclude]], 0)</f>
        <v>Amount of urea calculated from urea nitrogen amount</v>
      </c>
      <c r="F104" s="62" t="str" cm="1">
        <f t="array" ref="F104">Common_InputFunctions.Utility_DisplayArrayInTable(Fertiliser_SourceData.Fertiliser_Products_Data1(),FertiliserProducts[[#Headers],[Include or Exclude]], 0)</f>
        <v>Campbells fertilisers Australia</v>
      </c>
      <c r="G104" s="62" t="str" cm="1">
        <f t="array" ref="G104">Common_InputFunctions.Utility_DisplayArrayInTable(Fertiliser_SourceData.Fertiliser_Products_Data1(),FertiliserProducts[[#Headers],[Include or Exclude]], 0)</f>
        <v>Boost-It</v>
      </c>
      <c r="H104" s="62" t="str" cm="1">
        <f t="array" ref="H104">Common_InputFunctions.Utility_DisplayArrayInTable(Fertiliser_SourceData.Fertiliser_Products_Data1(),FertiliserProducts[[#Headers],[Include or Exclude]], 0)</f>
        <v>Boost-It - Campbells Fertilisers Australasia</v>
      </c>
      <c r="I104" s="62" t="str" cm="1">
        <f t="array" ref="I104">Common_InputFunctions.Utility_DisplayArrayInTable(Fertiliser_SourceData.Fertiliser_Products_Data1(),FertiliserProducts[[#Headers],[Include or Exclude]], 0)</f>
        <v>Website SDS</v>
      </c>
      <c r="J104" s="62" t="str" cm="1">
        <f t="array" ref="J104">Common_InputFunctions.Utility_DisplayArrayInTable(Fertiliser_SourceData.Fertiliser_Products_Data1(),FertiliserProducts[[#Headers],[Include or Exclude]], 0)</f>
        <v/>
      </c>
      <c r="K104" s="62" t="str" cm="1">
        <f t="array" ref="K104">Common_InputFunctions.Utility_DisplayArrayInTable(Fertiliser_SourceData.Fertiliser_Products_Data1(),FertiliserProducts[[#Headers],[Include or Exclude]], 0)</f>
        <v>kg</v>
      </c>
      <c r="L104" s="62" cm="1">
        <f t="array" ref="L104">Common_InputFunctions.Utility_DisplayArrayInTable(Fertiliser_SourceData.Fertiliser_Products_Data1(),FertiliserProducts[[#Headers],[Include or Exclude]], 0)</f>
        <v>1</v>
      </c>
      <c r="M104" s="10" t="str" cm="1">
        <f t="array" ref="M104">Common_InputFunctions.Utility_DisplayArrayInTable(Fertiliser_SourceData.Fertiliser_Products_Data1(),FertiliserProducts[[#Headers],[Include or Exclude]], 0)</f>
        <v/>
      </c>
      <c r="N104" s="62" t="str" cm="1">
        <f t="array" ref="N104">Common_InputFunctions.Utility_DisplayArrayInTable(Fertiliser_SourceData.Fertiliser_Products_Data1(),FertiliserProducts[[#Headers],[Include or Exclude]], 0)</f>
        <v/>
      </c>
      <c r="O104" s="62" t="str" cm="1">
        <f t="array" ref="O104">Common_InputFunctions.Utility_DisplayArrayInTable(Fertiliser_SourceData.Fertiliser_Products_Data1(),FertiliserProducts[[#Headers],[Include or Exclude]], 0)</f>
        <v>Urea</v>
      </c>
      <c r="P104" s="62" cm="1">
        <f t="array" ref="P104">Common_InputFunctions.Utility_DisplayArrayInTable(Fertiliser_SourceData.Fertiliser_Products_Data1(),FertiliserProducts[[#Headers],[Include or Exclude]], 0)</f>
        <v>0.52173913000000005</v>
      </c>
      <c r="Q104" s="62" t="str" cm="1">
        <f t="array" ref="Q104">Common_InputFunctions.Utility_DisplayArrayInTable(Fertiliser_SourceData.Fertiliser_Products_Data1(),FertiliserProducts[[#Headers],[Include or Exclude]], 0)</f>
        <v>Potassium - Generic</v>
      </c>
      <c r="R104" s="62" cm="1">
        <f t="array" ref="R104">Common_InputFunctions.Utility_DisplayArrayInTable(Fertiliser_SourceData.Fertiliser_Products_Data1(),FertiliserProducts[[#Headers],[Include or Exclude]], 0)</f>
        <v>0.08</v>
      </c>
      <c r="S104" s="62" t="str" cm="1">
        <f t="array" ref="S104">Common_InputFunctions.Utility_DisplayArrayInTable(Fertiliser_SourceData.Fertiliser_Products_Data1(),FertiliserProducts[[#Headers],[Include or Exclude]], 0)</f>
        <v>Sulfur - Generic</v>
      </c>
      <c r="T104" s="62" cm="1">
        <f t="array" ref="T104">Common_InputFunctions.Utility_DisplayArrayInTable(Fertiliser_SourceData.Fertiliser_Products_Data1(),FertiliserProducts[[#Headers],[Include or Exclude]], 0)</f>
        <v>5.2999999999999999E-2</v>
      </c>
      <c r="U104" s="62" t="str" cm="1">
        <f t="array" ref="U104">Common_InputFunctions.Utility_DisplayArrayInTable(Fertiliser_SourceData.Fertiliser_Products_Data1(),FertiliserProducts[[#Headers],[Include or Exclude]], 0)</f>
        <v>Phosphorus - Generic</v>
      </c>
      <c r="V104" s="10" cm="1">
        <f t="array" ref="V104">Common_InputFunctions.Utility_DisplayArrayInTable(Fertiliser_SourceData.Fertiliser_Products_Data1(),FertiliserProducts[[#Headers],[Include or Exclude]], 0)</f>
        <v>5.1999999999999998E-2</v>
      </c>
      <c r="W104" s="10" t="str" cm="1">
        <f t="array" ref="W104">Common_InputFunctions.Utility_DisplayArrayInTable(Fertiliser_SourceData.Fertiliser_Products_Data1(),FertiliserProducts[[#Headers],[Include or Exclude]], 0)</f>
        <v>Magnesium</v>
      </c>
      <c r="X104" s="10" cm="1">
        <f t="array" ref="X104">Common_InputFunctions.Utility_DisplayArrayInTable(Fertiliser_SourceData.Fertiliser_Products_Data1(),FertiliserProducts[[#Headers],[Include or Exclude]], 0)</f>
        <v>1.2999999999999999E-2</v>
      </c>
      <c r="Y104" s="10" t="str" cm="1">
        <f t="array" ref="Y104">Common_InputFunctions.Utility_DisplayArrayInTable(Fertiliser_SourceData.Fertiliser_Products_Data1(),FertiliserProducts[[#Headers],[Include or Exclude]], 0)</f>
        <v>Zinc</v>
      </c>
      <c r="Z104" s="10" cm="1">
        <f t="array" ref="Z104">Common_InputFunctions.Utility_DisplayArrayInTable(Fertiliser_SourceData.Fertiliser_Products_Data1(),FertiliserProducts[[#Headers],[Include or Exclude]], 0)</f>
        <v>2E-3</v>
      </c>
      <c r="AA104" s="10" t="str" cm="1">
        <f t="array" ref="AA104">Common_InputFunctions.Utility_DisplayArrayInTable(Fertiliser_SourceData.Fertiliser_Products_Data1(),FertiliserProducts[[#Headers],[Include or Exclude]], 0)</f>
        <v>Manganese</v>
      </c>
      <c r="AB104" s="10" cm="1">
        <f t="array" ref="AB104">Common_InputFunctions.Utility_DisplayArrayInTable(Fertiliser_SourceData.Fertiliser_Products_Data1(),FertiliserProducts[[#Headers],[Include or Exclude]], 0)</f>
        <v>3.5000000000000001E-3</v>
      </c>
      <c r="AC104" s="10" t="str" cm="1">
        <f t="array" ref="AC104">Common_InputFunctions.Utility_DisplayArrayInTable(Fertiliser_SourceData.Fertiliser_Products_Data1(),FertiliserProducts[[#Headers],[Include or Exclude]], 0)</f>
        <v>Iron</v>
      </c>
      <c r="AD104" s="10" cm="1">
        <f t="array" ref="AD104">Common_InputFunctions.Utility_DisplayArrayInTable(Fertiliser_SourceData.Fertiliser_Products_Data1(),FertiliserProducts[[#Headers],[Include or Exclude]], 0)</f>
        <v>1.2999999999999999E-3</v>
      </c>
      <c r="AE104" s="10" t="str" cm="1">
        <f t="array" ref="AE104">Common_InputFunctions.Utility_DisplayArrayInTable(Fertiliser_SourceData.Fertiliser_Products_Data1(),FertiliserProducts[[#Headers],[Include or Exclude]], 0)</f>
        <v>Copper</v>
      </c>
    </row>
    <row r="105" spans="1:31" ht="20.100000000000001" customHeight="1" x14ac:dyDescent="0.25">
      <c r="A105"/>
      <c r="D105" s="62" t="str" cm="1">
        <f t="array" ref="D105">Common_InputFunctions.Utility_DisplayArrayInTable(Fertiliser_SourceData.Fertiliser_Products_Data1(),FertiliserProducts[[#Headers],[Include or Exclude]], 0)</f>
        <v>Exclude - Not relevant</v>
      </c>
      <c r="E105" s="62" t="str" cm="1">
        <f t="array" ref="E105">Common_InputFunctions.Utility_DisplayArrayInTable(Fertiliser_SourceData.Fertiliser_Products_Data1(),FertiliserProducts[[#Headers],[Include or Exclude]], 0)</f>
        <v/>
      </c>
      <c r="F105" s="62" t="str" cm="1">
        <f t="array" ref="F105">Common_InputFunctions.Utility_DisplayArrayInTable(Fertiliser_SourceData.Fertiliser_Products_Data1(),FertiliserProducts[[#Headers],[Include or Exclude]], 0)</f>
        <v>Campbells fertilisers Australia</v>
      </c>
      <c r="G105" s="62" t="str" cm="1">
        <f t="array" ref="G105">Common_InputFunctions.Utility_DisplayArrayInTable(Fertiliser_SourceData.Fertiliser_Products_Data1(),FertiliserProducts[[#Headers],[Include or Exclude]], 0)</f>
        <v>Boroplus</v>
      </c>
      <c r="H105" s="62" t="str" cm="1">
        <f t="array" ref="H105">Common_InputFunctions.Utility_DisplayArrayInTable(Fertiliser_SourceData.Fertiliser_Products_Data1(),FertiliserProducts[[#Headers],[Include or Exclude]], 0)</f>
        <v>Boroplus - Campbells Fertilisers Australasia</v>
      </c>
      <c r="I105" s="62" t="str" cm="1">
        <f t="array" ref="I105">Common_InputFunctions.Utility_DisplayArrayInTable(Fertiliser_SourceData.Fertiliser_Products_Data1(),FertiliserProducts[[#Headers],[Include or Exclude]], 0)</f>
        <v/>
      </c>
      <c r="J105" s="62" t="str" cm="1">
        <f t="array" ref="J105">Common_InputFunctions.Utility_DisplayArrayInTable(Fertiliser_SourceData.Fertiliser_Products_Data1(),FertiliserProducts[[#Headers],[Include or Exclude]], 0)</f>
        <v>Not fertiliser - Do not include</v>
      </c>
      <c r="K105" s="62" t="str" cm="1">
        <f t="array" ref="K105">Common_InputFunctions.Utility_DisplayArrayInTable(Fertiliser_SourceData.Fertiliser_Products_Data1(),FertiliserProducts[[#Headers],[Include or Exclude]], 0)</f>
        <v/>
      </c>
      <c r="L105" s="62"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62" t="str" cm="1">
        <f t="array" ref="N105">Common_InputFunctions.Utility_DisplayArrayInTable(Fertiliser_SourceData.Fertiliser_Products_Data1(),FertiliserProducts[[#Headers],[Include or Exclude]], 0)</f>
        <v/>
      </c>
      <c r="O105" s="62" t="str" cm="1">
        <f t="array" ref="O105">Common_InputFunctions.Utility_DisplayArrayInTable(Fertiliser_SourceData.Fertiliser_Products_Data1(),FertiliserProducts[[#Headers],[Include or Exclude]], 0)</f>
        <v/>
      </c>
      <c r="P105" s="62" t="str" cm="1">
        <f t="array" ref="P105">Common_InputFunctions.Utility_DisplayArrayInTable(Fertiliser_SourceData.Fertiliser_Products_Data1(),FertiliserProducts[[#Headers],[Include or Exclude]], 0)</f>
        <v/>
      </c>
      <c r="Q105" s="62" t="str" cm="1">
        <f t="array" ref="Q105">Common_InputFunctions.Utility_DisplayArrayInTable(Fertiliser_SourceData.Fertiliser_Products_Data1(),FertiliserProducts[[#Headers],[Include or Exclude]], 0)</f>
        <v/>
      </c>
      <c r="R105" s="62" t="str" cm="1">
        <f t="array" ref="R105">Common_InputFunctions.Utility_DisplayArrayInTable(Fertiliser_SourceData.Fertiliser_Products_Data1(),FertiliserProducts[[#Headers],[Include or Exclude]], 0)</f>
        <v/>
      </c>
      <c r="S105" s="62" t="str" cm="1">
        <f t="array" ref="S105">Common_InputFunctions.Utility_DisplayArrayInTable(Fertiliser_SourceData.Fertiliser_Products_Data1(),FertiliserProducts[[#Headers],[Include or Exclude]], 0)</f>
        <v/>
      </c>
      <c r="T105" s="62" t="str" cm="1">
        <f t="array" ref="T105">Common_InputFunctions.Utility_DisplayArrayInTable(Fertiliser_SourceData.Fertiliser_Products_Data1(),FertiliserProducts[[#Headers],[Include or Exclude]], 0)</f>
        <v/>
      </c>
      <c r="U105" s="62"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1:31" ht="20.100000000000001" customHeight="1" x14ac:dyDescent="0.25">
      <c r="A106"/>
      <c r="D106" s="62" t="str" cm="1">
        <f t="array" ref="D106">Common_InputFunctions.Utility_DisplayArrayInTable(Fertiliser_SourceData.Fertiliser_Products_Data1(),FertiliserProducts[[#Headers],[Include or Exclude]], 0)</f>
        <v>Exclude - Not relevant</v>
      </c>
      <c r="E106" s="62" t="str" cm="1">
        <f t="array" ref="E106">Common_InputFunctions.Utility_DisplayArrayInTable(Fertiliser_SourceData.Fertiliser_Products_Data1(),FertiliserProducts[[#Headers],[Include or Exclude]], 0)</f>
        <v/>
      </c>
      <c r="F106" s="62" t="str" cm="1">
        <f t="array" ref="F106">Common_InputFunctions.Utility_DisplayArrayInTable(Fertiliser_SourceData.Fertiliser_Products_Data1(),FertiliserProducts[[#Headers],[Include or Exclude]], 0)</f>
        <v>Campbells fertilisers Australia</v>
      </c>
      <c r="G106" s="62" t="str" cm="1">
        <f t="array" ref="G106">Common_InputFunctions.Utility_DisplayArrayInTable(Fertiliser_SourceData.Fertiliser_Products_Data1(),FertiliserProducts[[#Headers],[Include or Exclude]], 0)</f>
        <v>Brevisol Range</v>
      </c>
      <c r="H106" s="62" t="str" cm="1">
        <f t="array" ref="H106">Common_InputFunctions.Utility_DisplayArrayInTable(Fertiliser_SourceData.Fertiliser_Products_Data1(),FertiliserProducts[[#Headers],[Include or Exclude]], 0)</f>
        <v>BreviSol Range - Campbells Fertilisers Australasia</v>
      </c>
      <c r="I106" s="62" t="str" cm="1">
        <f t="array" ref="I106">Common_InputFunctions.Utility_DisplayArrayInTable(Fertiliser_SourceData.Fertiliser_Products_Data1(),FertiliserProducts[[#Headers],[Include or Exclude]], 0)</f>
        <v/>
      </c>
      <c r="J106" s="62" t="str" cm="1">
        <f t="array" ref="J106">Common_InputFunctions.Utility_DisplayArrayInTable(Fertiliser_SourceData.Fertiliser_Products_Data1(),FertiliserProducts[[#Headers],[Include or Exclude]], 0)</f>
        <v>Not fertiliser - Do not include</v>
      </c>
      <c r="K106" s="62" t="str" cm="1">
        <f t="array" ref="K106">Common_InputFunctions.Utility_DisplayArrayInTable(Fertiliser_SourceData.Fertiliser_Products_Data1(),FertiliserProducts[[#Headers],[Include or Exclude]], 0)</f>
        <v/>
      </c>
      <c r="L106" s="62"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62" t="str" cm="1">
        <f t="array" ref="N106">Common_InputFunctions.Utility_DisplayArrayInTable(Fertiliser_SourceData.Fertiliser_Products_Data1(),FertiliserProducts[[#Headers],[Include or Exclude]], 0)</f>
        <v/>
      </c>
      <c r="O106" s="62" t="str" cm="1">
        <f t="array" ref="O106">Common_InputFunctions.Utility_DisplayArrayInTable(Fertiliser_SourceData.Fertiliser_Products_Data1(),FertiliserProducts[[#Headers],[Include or Exclude]], 0)</f>
        <v/>
      </c>
      <c r="P106" s="62" t="str" cm="1">
        <f t="array" ref="P106">Common_InputFunctions.Utility_DisplayArrayInTable(Fertiliser_SourceData.Fertiliser_Products_Data1(),FertiliserProducts[[#Headers],[Include or Exclude]], 0)</f>
        <v/>
      </c>
      <c r="Q106" s="62" t="str" cm="1">
        <f t="array" ref="Q106">Common_InputFunctions.Utility_DisplayArrayInTable(Fertiliser_SourceData.Fertiliser_Products_Data1(),FertiliserProducts[[#Headers],[Include or Exclude]], 0)</f>
        <v/>
      </c>
      <c r="R106" s="62" t="str" cm="1">
        <f t="array" ref="R106">Common_InputFunctions.Utility_DisplayArrayInTable(Fertiliser_SourceData.Fertiliser_Products_Data1(),FertiliserProducts[[#Headers],[Include or Exclude]], 0)</f>
        <v/>
      </c>
      <c r="S106" s="62" t="str" cm="1">
        <f t="array" ref="S106">Common_InputFunctions.Utility_DisplayArrayInTable(Fertiliser_SourceData.Fertiliser_Products_Data1(),FertiliserProducts[[#Headers],[Include or Exclude]], 0)</f>
        <v/>
      </c>
      <c r="T106" s="62" t="str" cm="1">
        <f t="array" ref="T106">Common_InputFunctions.Utility_DisplayArrayInTable(Fertiliser_SourceData.Fertiliser_Products_Data1(),FertiliserProducts[[#Headers],[Include or Exclude]], 0)</f>
        <v/>
      </c>
      <c r="U106" s="62"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1:31" ht="20.100000000000001" customHeight="1" x14ac:dyDescent="0.25">
      <c r="A107"/>
      <c r="D107" s="62" t="str" cm="1">
        <f t="array" ref="D107">Common_InputFunctions.Utility_DisplayArrayInTable(Fertiliser_SourceData.Fertiliser_Products_Data1(),FertiliserProducts[[#Headers],[Include or Exclude]], 0)</f>
        <v>Exclude - Not relevant</v>
      </c>
      <c r="E107" s="62" t="str" cm="1">
        <f t="array" ref="E107">Common_InputFunctions.Utility_DisplayArrayInTable(Fertiliser_SourceData.Fertiliser_Products_Data1(),FertiliserProducts[[#Headers],[Include or Exclude]], 0)</f>
        <v/>
      </c>
      <c r="F107" s="62" t="str" cm="1">
        <f t="array" ref="F107">Common_InputFunctions.Utility_DisplayArrayInTable(Fertiliser_SourceData.Fertiliser_Products_Data1(),FertiliserProducts[[#Headers],[Include or Exclude]], 0)</f>
        <v>Campbells fertilisers Australia</v>
      </c>
      <c r="G107" s="62" t="str" cm="1">
        <f t="array" ref="G107">Common_InputFunctions.Utility_DisplayArrayInTable(Fertiliser_SourceData.Fertiliser_Products_Data1(),FertiliserProducts[[#Headers],[Include or Exclude]], 0)</f>
        <v>Brexil Line</v>
      </c>
      <c r="H107" s="62" t="str" cm="1">
        <f t="array" ref="H107">Common_InputFunctions.Utility_DisplayArrayInTable(Fertiliser_SourceData.Fertiliser_Products_Data1(),FertiliserProducts[[#Headers],[Include or Exclude]], 0)</f>
        <v>Brexil Line - Campbells Fertilisers Australasia</v>
      </c>
      <c r="I107" s="62" t="str" cm="1">
        <f t="array" ref="I107">Common_InputFunctions.Utility_DisplayArrayInTable(Fertiliser_SourceData.Fertiliser_Products_Data1(),FertiliserProducts[[#Headers],[Include or Exclude]], 0)</f>
        <v/>
      </c>
      <c r="J107" s="62" t="str" cm="1">
        <f t="array" ref="J107">Common_InputFunctions.Utility_DisplayArrayInTable(Fertiliser_SourceData.Fertiliser_Products_Data1(),FertiliserProducts[[#Headers],[Include or Exclude]], 0)</f>
        <v>Not fertiliser - Do not include</v>
      </c>
      <c r="K107" s="62" t="str" cm="1">
        <f t="array" ref="K107">Common_InputFunctions.Utility_DisplayArrayInTable(Fertiliser_SourceData.Fertiliser_Products_Data1(),FertiliserProducts[[#Headers],[Include or Exclude]], 0)</f>
        <v/>
      </c>
      <c r="L107" s="62"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62" t="str" cm="1">
        <f t="array" ref="N107">Common_InputFunctions.Utility_DisplayArrayInTable(Fertiliser_SourceData.Fertiliser_Products_Data1(),FertiliserProducts[[#Headers],[Include or Exclude]], 0)</f>
        <v/>
      </c>
      <c r="O107" s="62" t="str" cm="1">
        <f t="array" ref="O107">Common_InputFunctions.Utility_DisplayArrayInTable(Fertiliser_SourceData.Fertiliser_Products_Data1(),FertiliserProducts[[#Headers],[Include or Exclude]], 0)</f>
        <v/>
      </c>
      <c r="P107" s="62" t="str" cm="1">
        <f t="array" ref="P107">Common_InputFunctions.Utility_DisplayArrayInTable(Fertiliser_SourceData.Fertiliser_Products_Data1(),FertiliserProducts[[#Headers],[Include or Exclude]], 0)</f>
        <v/>
      </c>
      <c r="Q107" s="62" t="str" cm="1">
        <f t="array" ref="Q107">Common_InputFunctions.Utility_DisplayArrayInTable(Fertiliser_SourceData.Fertiliser_Products_Data1(),FertiliserProducts[[#Headers],[Include or Exclude]], 0)</f>
        <v/>
      </c>
      <c r="R107" s="62" t="str" cm="1">
        <f t="array" ref="R107">Common_InputFunctions.Utility_DisplayArrayInTable(Fertiliser_SourceData.Fertiliser_Products_Data1(),FertiliserProducts[[#Headers],[Include or Exclude]], 0)</f>
        <v/>
      </c>
      <c r="S107" s="62" t="str" cm="1">
        <f t="array" ref="S107">Common_InputFunctions.Utility_DisplayArrayInTable(Fertiliser_SourceData.Fertiliser_Products_Data1(),FertiliserProducts[[#Headers],[Include or Exclude]], 0)</f>
        <v/>
      </c>
      <c r="T107" s="62" t="str" cm="1">
        <f t="array" ref="T107">Common_InputFunctions.Utility_DisplayArrayInTable(Fertiliser_SourceData.Fertiliser_Products_Data1(),FertiliserProducts[[#Headers],[Include or Exclude]], 0)</f>
        <v/>
      </c>
      <c r="U107" s="62"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1:31" ht="20.100000000000001" customHeight="1" x14ac:dyDescent="0.25">
      <c r="A108"/>
      <c r="D108" s="62" t="str" cm="1">
        <f t="array" ref="D108">Common_InputFunctions.Utility_DisplayArrayInTable(Fertiliser_SourceData.Fertiliser_Products_Data1(),FertiliserProducts[[#Headers],[Include or Exclude]], 0)</f>
        <v>Include</v>
      </c>
      <c r="E108" s="62" t="str" cm="1">
        <f t="array" ref="E108">Common_InputFunctions.Utility_DisplayArrayInTable(Fertiliser_SourceData.Fertiliser_Products_Data1(),FertiliserProducts[[#Headers],[Include or Exclude]], 0)</f>
        <v/>
      </c>
      <c r="F108" s="62" t="str" cm="1">
        <f t="array" ref="F108">Common_InputFunctions.Utility_DisplayArrayInTable(Fertiliser_SourceData.Fertiliser_Products_Data1(),FertiliserProducts[[#Headers],[Include or Exclude]], 0)</f>
        <v>Campbells fertilisers Australia</v>
      </c>
      <c r="G108" s="62" t="str" cm="1">
        <f t="array" ref="G108">Common_InputFunctions.Utility_DisplayArrayInTable(Fertiliser_SourceData.Fertiliser_Products_Data1(),FertiliserProducts[[#Headers],[Include or Exclude]], 0)</f>
        <v>Bronze</v>
      </c>
      <c r="H108" s="62" t="str" cm="1">
        <f t="array" ref="H108">Common_InputFunctions.Utility_DisplayArrayInTable(Fertiliser_SourceData.Fertiliser_Products_Data1(),FertiliserProducts[[#Headers],[Include or Exclude]], 0)</f>
        <v>Bronze - Campbells Fertilisers Australasia</v>
      </c>
      <c r="I108" s="62" t="str" cm="1">
        <f t="array" ref="I108">Common_InputFunctions.Utility_DisplayArrayInTable(Fertiliser_SourceData.Fertiliser_Products_Data1(),FertiliserProducts[[#Headers],[Include or Exclude]], 0)</f>
        <v>Website</v>
      </c>
      <c r="J108" s="62" t="str" cm="1">
        <f t="array" ref="J108">Common_InputFunctions.Utility_DisplayArrayInTable(Fertiliser_SourceData.Fertiliser_Products_Data1(),FertiliserProducts[[#Headers],[Include or Exclude]], 0)</f>
        <v/>
      </c>
      <c r="K108" s="62" t="str" cm="1">
        <f t="array" ref="K108">Common_InputFunctions.Utility_DisplayArrayInTable(Fertiliser_SourceData.Fertiliser_Products_Data1(),FertiliserProducts[[#Headers],[Include or Exclude]], 0)</f>
        <v>kg</v>
      </c>
      <c r="L108" s="62"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62" t="str" cm="1">
        <f t="array" ref="N108">Common_InputFunctions.Utility_DisplayArrayInTable(Fertiliser_SourceData.Fertiliser_Products_Data1(),FertiliserProducts[[#Headers],[Include or Exclude]], 0)</f>
        <v/>
      </c>
      <c r="O108" s="62" t="str" cm="1">
        <f t="array" ref="O108">Common_InputFunctions.Utility_DisplayArrayInTable(Fertiliser_SourceData.Fertiliser_Products_Data1(),FertiliserProducts[[#Headers],[Include or Exclude]], 0)</f>
        <v>Muriate of Potash (MOP)</v>
      </c>
      <c r="P108" s="62" cm="1">
        <f t="array" ref="P108">Common_InputFunctions.Utility_DisplayArrayInTable(Fertiliser_SourceData.Fertiliser_Products_Data1(),FertiliserProducts[[#Headers],[Include or Exclude]], 0)</f>
        <v>0.23200000000000001</v>
      </c>
      <c r="Q108" s="62" t="str" cm="1">
        <f t="array" ref="Q108">Common_InputFunctions.Utility_DisplayArrayInTable(Fertiliser_SourceData.Fertiliser_Products_Data1(),FertiliserProducts[[#Headers],[Include or Exclude]], 0)</f>
        <v>Nitrogen - Generic</v>
      </c>
      <c r="R108" s="62" cm="1">
        <f t="array" ref="R108">Common_InputFunctions.Utility_DisplayArrayInTable(Fertiliser_SourceData.Fertiliser_Products_Data1(),FertiliserProducts[[#Headers],[Include or Exclude]], 0)</f>
        <v>0.17</v>
      </c>
      <c r="S108" s="62" t="str" cm="1">
        <f t="array" ref="S108">Common_InputFunctions.Utility_DisplayArrayInTable(Fertiliser_SourceData.Fertiliser_Products_Data1(),FertiliserProducts[[#Headers],[Include or Exclude]], 0)</f>
        <v>Sulfur - Generic</v>
      </c>
      <c r="T108" s="62" cm="1">
        <f t="array" ref="T108">Common_InputFunctions.Utility_DisplayArrayInTable(Fertiliser_SourceData.Fertiliser_Products_Data1(),FertiliserProducts[[#Headers],[Include or Exclude]], 0)</f>
        <v>5.0000000000000001E-3</v>
      </c>
      <c r="U108" s="62" t="str" cm="1">
        <f t="array" ref="U108">Common_InputFunctions.Utility_DisplayArrayInTable(Fertiliser_SourceData.Fertiliser_Products_Data1(),FertiliserProducts[[#Headers],[Include or Exclude]], 0)</f>
        <v>Magnesium</v>
      </c>
      <c r="V108" s="10" cm="1">
        <f t="array" ref="V108">Common_InputFunctions.Utility_DisplayArrayInTable(Fertiliser_SourceData.Fertiliser_Products_Data1(),FertiliserProducts[[#Headers],[Include or Exclude]], 0)</f>
        <v>2.3999999999999998E-3</v>
      </c>
      <c r="W108" s="10" t="str" cm="1">
        <f t="array" ref="W108">Common_InputFunctions.Utility_DisplayArrayInTable(Fertiliser_SourceData.Fertiliser_Products_Data1(),FertiliserProducts[[#Headers],[Include or Exclude]], 0)</f>
        <v>Phosphorus - Generic</v>
      </c>
      <c r="X108" s="10" cm="1">
        <f t="array" ref="X108">Common_InputFunctions.Utility_DisplayArrayInTable(Fertiliser_SourceData.Fertiliser_Products_Data1(),FertiliserProducts[[#Headers],[Include or Exclude]], 0)</f>
        <v>4.0000000000000002E-4</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1:31" ht="20.100000000000001" customHeight="1" x14ac:dyDescent="0.25">
      <c r="A109"/>
      <c r="D109" s="62" t="str" cm="1">
        <f t="array" ref="D109">Common_InputFunctions.Utility_DisplayArrayInTable(Fertiliser_SourceData.Fertiliser_Products_Data2(),FertiliserProducts[[#Headers],[Include or Exclude]], 20)</f>
        <v>Product</v>
      </c>
      <c r="E109" s="62" t="str" cm="1">
        <f t="array" ref="E109">Common_InputFunctions.Utility_DisplayArrayInTable(Fertiliser_SourceData.Fertiliser_Products_Data2(),FertiliserProducts[[#Headers],[Include or Exclude]], 20)</f>
        <v>Ingredient 1</v>
      </c>
      <c r="F109" s="62" t="str" cm="1">
        <f t="array" ref="F109">Common_InputFunctions.Utility_DisplayArrayInTable(Fertiliser_SourceData.Fertiliser_Products_Data2(),FertiliserProducts[[#Headers],[Include or Exclude]], 20)</f>
        <v>Ingredient 1 percent</v>
      </c>
      <c r="G109" s="62" t="str" cm="1">
        <f t="array" ref="G109">Common_InputFunctions.Utility_DisplayArrayInTable(Fertiliser_SourceData.Fertiliser_Products_Data2(),FertiliserProducts[[#Headers],[Include or Exclude]], 20)</f>
        <v>Ingredient 1 source</v>
      </c>
      <c r="H109" s="62" t="str" cm="1">
        <f t="array" ref="H109">Common_InputFunctions.Utility_DisplayArrayInTable(Fertiliser_SourceData.Fertiliser_Products_Data2(),FertiliserProducts[[#Headers],[Include or Exclude]], 20)</f>
        <v>Ingredient 2</v>
      </c>
      <c r="I109" s="62" t="str" cm="1">
        <f t="array" ref="I109">Common_InputFunctions.Utility_DisplayArrayInTable(Fertiliser_SourceData.Fertiliser_Products_Data2(),FertiliserProducts[[#Headers],[Include or Exclude]], 20)</f>
        <v>Ingredient 2 percent</v>
      </c>
      <c r="J109" s="62" t="str" cm="1">
        <f t="array" ref="J109">Common_InputFunctions.Utility_DisplayArrayInTable(Fertiliser_SourceData.Fertiliser_Products_Data2(),FertiliserProducts[[#Headers],[Include or Exclude]], 20)</f>
        <v>Ingredient 2 source</v>
      </c>
      <c r="K109" s="62" t="str" cm="1">
        <f t="array" ref="K109">Common_InputFunctions.Utility_DisplayArrayInTable(Fertiliser_SourceData.Fertiliser_Products_Data2(),FertiliserProducts[[#Headers],[Include or Exclude]], 20)</f>
        <v>Ingredient 3</v>
      </c>
      <c r="L109" s="62" t="str" cm="1">
        <f t="array" ref="L109">Common_InputFunctions.Utility_DisplayArrayInTable(Fertiliser_SourceData.Fertiliser_Products_Data2(),FertiliserProducts[[#Headers],[Include or Exclude]], 20)</f>
        <v>Ingredient 3 percent</v>
      </c>
      <c r="M109" s="62" t="str" cm="1">
        <f t="array" ref="M109">Common_InputFunctions.Utility_DisplayArrayInTable(Fertiliser_SourceData.Fertiliser_Products_Data2(),FertiliserProducts[[#Headers],[Include or Exclude]], 20)</f>
        <v>Ingredient 3 source</v>
      </c>
      <c r="N109" s="62" t="str" cm="1">
        <f t="array" ref="N109">Common_InputFunctions.Utility_DisplayArrayInTable(Fertiliser_SourceData.Fertiliser_Products_Data2(),FertiliserProducts[[#Headers],[Include or Exclude]], 20)</f>
        <v>Ingredient 4</v>
      </c>
      <c r="O109" s="62" t="str" cm="1">
        <f t="array" ref="O109">Common_InputFunctions.Utility_DisplayArrayInTable(Fertiliser_SourceData.Fertiliser_Products_Data2(),FertiliserProducts[[#Headers],[Include or Exclude]], 20)</f>
        <v>Ingredient 4 percent</v>
      </c>
      <c r="P109" s="62" t="str" cm="1">
        <f t="array" ref="P109">Common_InputFunctions.Utility_DisplayArrayInTable(Fertiliser_SourceData.Fertiliser_Products_Data2(),FertiliserProducts[[#Headers],[Include or Exclude]], 20)</f>
        <v>Ingredient 4 source</v>
      </c>
      <c r="Q109" s="62" t="str" cm="1">
        <f t="array" ref="Q109">Common_InputFunctions.Utility_DisplayArrayInTable(Fertiliser_SourceData.Fertiliser_Products_Data2(),FertiliserProducts[[#Headers],[Include or Exclude]], 20)</f>
        <v>Ingredient 5</v>
      </c>
      <c r="R109" s="62" t="str" cm="1">
        <f t="array" ref="R109">Common_InputFunctions.Utility_DisplayArrayInTable(Fertiliser_SourceData.Fertiliser_Products_Data2(),FertiliserProducts[[#Headers],[Include or Exclude]], 20)</f>
        <v>Ingredient 5 percent</v>
      </c>
      <c r="S109" s="62" t="str" cm="1">
        <f t="array" ref="S109">Common_InputFunctions.Utility_DisplayArrayInTable(Fertiliser_SourceData.Fertiliser_Products_Data2(),FertiliserProducts[[#Headers],[Include or Exclude]], 20)</f>
        <v>Ingredient 5 source</v>
      </c>
      <c r="T109" s="62" t="str" cm="1">
        <f t="array" ref="T109">Common_InputFunctions.Utility_DisplayArrayInTable(Fertiliser_SourceData.Fertiliser_Products_Data2(),FertiliserProducts[[#Headers],[Include or Exclude]], 20)</f>
        <v>Ingredient 6</v>
      </c>
      <c r="U109" s="62" t="str" cm="1">
        <f t="array" ref="U109">Common_InputFunctions.Utility_DisplayArrayInTable(Fertiliser_SourceData.Fertiliser_Products_Data2(),FertiliserProducts[[#Headers],[Include or Exclude]], 20)</f>
        <v>Ingredient 6 percent</v>
      </c>
      <c r="V109" s="62" t="str" cm="1">
        <f t="array" ref="V109">Common_InputFunctions.Utility_DisplayArrayInTable(Fertiliser_SourceData.Fertiliser_Products_Data2(),FertiliserProducts[[#Headers],[Include or Exclude]], 20)</f>
        <v>Ingredient 6 source</v>
      </c>
      <c r="W109" s="62" t="str" cm="1">
        <f t="array" ref="W109">Common_InputFunctions.Utility_DisplayArrayInTable(Fertiliser_SourceData.Fertiliser_Products_Data2(),FertiliserProducts[[#Headers],[Include or Exclude]], 20)</f>
        <v>Product info link</v>
      </c>
      <c r="X109" s="62" t="str" cm="1">
        <f t="array" ref="X109">Common_InputFunctions.Utility_DisplayArrayInTable(Fertiliser_SourceData.Fertiliser_Products_Data2(),FertiliserProducts[[#Headers],[Include or Exclude]], 20)</f>
        <v/>
      </c>
      <c r="Y109" s="62" t="str" cm="1">
        <f t="array" ref="Y109">Common_InputFunctions.Utility_DisplayArrayInTable(Fertiliser_SourceData.Fertiliser_Products_Data2(),FertiliserProducts[[#Headers],[Include or Exclude]], 20)</f>
        <v/>
      </c>
      <c r="Z109" s="62"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1:31" ht="20.100000000000001" customHeight="1" x14ac:dyDescent="0.25">
      <c r="A110"/>
      <c r="D110" s="62" t="str" cm="1">
        <f t="array" ref="D110">Common_InputFunctions.Utility_DisplayArrayInTable(Fertiliser_SourceData.Fertiliser_Products_Data2(),FertiliserProducts[[#Headers],[Include or Exclude]], 20)</f>
        <v>Manganese Sulphate</v>
      </c>
      <c r="E110" s="62" t="str" cm="1">
        <f t="array" ref="E110">Common_InputFunctions.Utility_DisplayArrayInTable(Fertiliser_SourceData.Fertiliser_Products_Data2(),FertiliserProducts[[#Headers],[Include or Exclude]], 20)</f>
        <v/>
      </c>
      <c r="F110" s="62" t="str" cm="1">
        <f t="array" ref="F110">Common_InputFunctions.Utility_DisplayArrayInTable(Fertiliser_SourceData.Fertiliser_Products_Data2(),FertiliserProducts[[#Headers],[Include or Exclude]], 20)</f>
        <v/>
      </c>
      <c r="G110" s="62" t="str" cm="1">
        <f t="array" ref="G110">Common_InputFunctions.Utility_DisplayArrayInTable(Fertiliser_SourceData.Fertiliser_Products_Data2(),FertiliserProducts[[#Headers],[Include or Exclude]], 20)</f>
        <v/>
      </c>
      <c r="H110" s="62" t="str" cm="1">
        <f t="array" ref="H110">Common_InputFunctions.Utility_DisplayArrayInTable(Fertiliser_SourceData.Fertiliser_Products_Data2(),FertiliserProducts[[#Headers],[Include or Exclude]], 20)</f>
        <v/>
      </c>
      <c r="I110" s="62" t="str" cm="1">
        <f t="array" ref="I110">Common_InputFunctions.Utility_DisplayArrayInTable(Fertiliser_SourceData.Fertiliser_Products_Data2(),FertiliserProducts[[#Headers],[Include or Exclude]], 20)</f>
        <v/>
      </c>
      <c r="J110" s="62" t="str" cm="1">
        <f t="array" ref="J110">Common_InputFunctions.Utility_DisplayArrayInTable(Fertiliser_SourceData.Fertiliser_Products_Data2(),FertiliserProducts[[#Headers],[Include or Exclude]], 20)</f>
        <v/>
      </c>
      <c r="K110" s="62" t="str" cm="1">
        <f t="array" ref="K110">Common_InputFunctions.Utility_DisplayArrayInTable(Fertiliser_SourceData.Fertiliser_Products_Data2(),FertiliserProducts[[#Headers],[Include or Exclude]], 20)</f>
        <v/>
      </c>
      <c r="L110" s="62" t="str" cm="1">
        <f t="array" ref="L110">Common_InputFunctions.Utility_DisplayArrayInTable(Fertiliser_SourceData.Fertiliser_Products_Data2(),FertiliserProducts[[#Headers],[Include or Exclude]], 20)</f>
        <v/>
      </c>
      <c r="M110" s="62" t="str" cm="1">
        <f t="array" ref="M110">Common_InputFunctions.Utility_DisplayArrayInTable(Fertiliser_SourceData.Fertiliser_Products_Data2(),FertiliserProducts[[#Headers],[Include or Exclude]], 20)</f>
        <v/>
      </c>
      <c r="N110" s="62" t="str" cm="1">
        <f t="array" ref="N110">Common_InputFunctions.Utility_DisplayArrayInTable(Fertiliser_SourceData.Fertiliser_Products_Data2(),FertiliserProducts[[#Headers],[Include or Exclude]], 20)</f>
        <v/>
      </c>
      <c r="O110" s="62" t="str" cm="1">
        <f t="array" ref="O110">Common_InputFunctions.Utility_DisplayArrayInTable(Fertiliser_SourceData.Fertiliser_Products_Data2(),FertiliserProducts[[#Headers],[Include or Exclude]], 20)</f>
        <v/>
      </c>
      <c r="P110" s="62" t="str" cm="1">
        <f t="array" ref="P110">Common_InputFunctions.Utility_DisplayArrayInTable(Fertiliser_SourceData.Fertiliser_Products_Data2(),FertiliserProducts[[#Headers],[Include or Exclude]], 20)</f>
        <v/>
      </c>
      <c r="Q110" s="62" t="str" cm="1">
        <f t="array" ref="Q110">Common_InputFunctions.Utility_DisplayArrayInTable(Fertiliser_SourceData.Fertiliser_Products_Data2(),FertiliserProducts[[#Headers],[Include or Exclude]], 20)</f>
        <v/>
      </c>
      <c r="R110" s="62" t="str" cm="1">
        <f t="array" ref="R110">Common_InputFunctions.Utility_DisplayArrayInTable(Fertiliser_SourceData.Fertiliser_Products_Data2(),FertiliserProducts[[#Headers],[Include or Exclude]], 20)</f>
        <v/>
      </c>
      <c r="S110" s="62" t="str" cm="1">
        <f t="array" ref="S110">Common_InputFunctions.Utility_DisplayArrayInTable(Fertiliser_SourceData.Fertiliser_Products_Data2(),FertiliserProducts[[#Headers],[Include or Exclude]], 20)</f>
        <v/>
      </c>
      <c r="T110" s="62" t="str" cm="1">
        <f t="array" ref="T110">Common_InputFunctions.Utility_DisplayArrayInTable(Fertiliser_SourceData.Fertiliser_Products_Data2(),FertiliserProducts[[#Headers],[Include or Exclude]], 20)</f>
        <v/>
      </c>
      <c r="U110" s="62" t="str" cm="1">
        <f t="array" ref="U110">Common_InputFunctions.Utility_DisplayArrayInTable(Fertiliser_SourceData.Fertiliser_Products_Data2(),FertiliserProducts[[#Headers],[Include or Exclude]], 20)</f>
        <v/>
      </c>
      <c r="V110" s="62" t="str" cm="1">
        <f t="array" ref="V110">Common_InputFunctions.Utility_DisplayArrayInTable(Fertiliser_SourceData.Fertiliser_Products_Data2(),FertiliserProducts[[#Headers],[Include or Exclude]], 20)</f>
        <v/>
      </c>
      <c r="W110" s="62" t="str" cm="1">
        <f t="array" ref="W110">Common_InputFunctions.Utility_DisplayArrayInTable(Fertiliser_SourceData.Fertiliser_Products_Data2(),FertiliserProducts[[#Headers],[Include or Exclude]], 20)</f>
        <v>Incitec Pivot Fertilisers</v>
      </c>
      <c r="X110" s="62" t="str" cm="1">
        <f t="array" ref="X110">Common_InputFunctions.Utility_DisplayArrayInTable(Fertiliser_SourceData.Fertiliser_Products_Data2(),FertiliserProducts[[#Headers],[Include or Exclude]], 20)</f>
        <v/>
      </c>
      <c r="Y110" s="62" t="str" cm="1">
        <f t="array" ref="Y110">Common_InputFunctions.Utility_DisplayArrayInTable(Fertiliser_SourceData.Fertiliser_Products_Data2(),FertiliserProducts[[#Headers],[Include or Exclude]], 20)</f>
        <v/>
      </c>
      <c r="Z110" s="62"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1:31" ht="20.100000000000001" customHeight="1" x14ac:dyDescent="0.25">
      <c r="A111"/>
      <c r="D111" s="62" t="str" cm="1">
        <f t="array" ref="D111">Common_InputFunctions.Utility_DisplayArrayInTable(Fertiliser_SourceData.Fertiliser_Products_Data2(),FertiliserProducts[[#Headers],[Include or Exclude]], 20)</f>
        <v>MAP</v>
      </c>
      <c r="E111" s="62" t="str" cm="1">
        <f t="array" ref="E111">Common_InputFunctions.Utility_DisplayArrayInTable(Fertiliser_SourceData.Fertiliser_Products_Data2(),FertiliserProducts[[#Headers],[Include or Exclude]], 20)</f>
        <v/>
      </c>
      <c r="F111" s="62" t="str" cm="1">
        <f t="array" ref="F111">Common_InputFunctions.Utility_DisplayArrayInTable(Fertiliser_SourceData.Fertiliser_Products_Data2(),FertiliserProducts[[#Headers],[Include or Exclude]], 20)</f>
        <v/>
      </c>
      <c r="G111" s="62" t="str" cm="1">
        <f t="array" ref="G111">Common_InputFunctions.Utility_DisplayArrayInTable(Fertiliser_SourceData.Fertiliser_Products_Data2(),FertiliserProducts[[#Headers],[Include or Exclude]], 20)</f>
        <v/>
      </c>
      <c r="H111" s="62" t="str" cm="1">
        <f t="array" ref="H111">Common_InputFunctions.Utility_DisplayArrayInTable(Fertiliser_SourceData.Fertiliser_Products_Data2(),FertiliserProducts[[#Headers],[Include or Exclude]], 20)</f>
        <v/>
      </c>
      <c r="I111" s="62" t="str" cm="1">
        <f t="array" ref="I111">Common_InputFunctions.Utility_DisplayArrayInTable(Fertiliser_SourceData.Fertiliser_Products_Data2(),FertiliserProducts[[#Headers],[Include or Exclude]], 20)</f>
        <v/>
      </c>
      <c r="J111" s="62" t="str" cm="1">
        <f t="array" ref="J111">Common_InputFunctions.Utility_DisplayArrayInTable(Fertiliser_SourceData.Fertiliser_Products_Data2(),FertiliserProducts[[#Headers],[Include or Exclude]], 20)</f>
        <v/>
      </c>
      <c r="K111" s="62" t="str" cm="1">
        <f t="array" ref="K111">Common_InputFunctions.Utility_DisplayArrayInTable(Fertiliser_SourceData.Fertiliser_Products_Data2(),FertiliserProducts[[#Headers],[Include or Exclude]], 20)</f>
        <v/>
      </c>
      <c r="L111" s="62" t="str" cm="1">
        <f t="array" ref="L111">Common_InputFunctions.Utility_DisplayArrayInTable(Fertiliser_SourceData.Fertiliser_Products_Data2(),FertiliserProducts[[#Headers],[Include or Exclude]], 20)</f>
        <v/>
      </c>
      <c r="M111" s="62" t="str" cm="1">
        <f t="array" ref="M111">Common_InputFunctions.Utility_DisplayArrayInTable(Fertiliser_SourceData.Fertiliser_Products_Data2(),FertiliserProducts[[#Headers],[Include or Exclude]], 20)</f>
        <v/>
      </c>
      <c r="N111" s="62" t="str" cm="1">
        <f t="array" ref="N111">Common_InputFunctions.Utility_DisplayArrayInTable(Fertiliser_SourceData.Fertiliser_Products_Data2(),FertiliserProducts[[#Headers],[Include or Exclude]], 20)</f>
        <v/>
      </c>
      <c r="O111" s="62" t="str" cm="1">
        <f t="array" ref="O111">Common_InputFunctions.Utility_DisplayArrayInTable(Fertiliser_SourceData.Fertiliser_Products_Data2(),FertiliserProducts[[#Headers],[Include or Exclude]], 20)</f>
        <v/>
      </c>
      <c r="P111" s="62" t="str" cm="1">
        <f t="array" ref="P111">Common_InputFunctions.Utility_DisplayArrayInTable(Fertiliser_SourceData.Fertiliser_Products_Data2(),FertiliserProducts[[#Headers],[Include or Exclude]], 20)</f>
        <v/>
      </c>
      <c r="Q111" s="62" t="str" cm="1">
        <f t="array" ref="Q111">Common_InputFunctions.Utility_DisplayArrayInTable(Fertiliser_SourceData.Fertiliser_Products_Data2(),FertiliserProducts[[#Headers],[Include or Exclude]], 20)</f>
        <v/>
      </c>
      <c r="R111" s="62" t="str" cm="1">
        <f t="array" ref="R111">Common_InputFunctions.Utility_DisplayArrayInTable(Fertiliser_SourceData.Fertiliser_Products_Data2(),FertiliserProducts[[#Headers],[Include or Exclude]], 20)</f>
        <v/>
      </c>
      <c r="S111" s="62" t="str" cm="1">
        <f t="array" ref="S111">Common_InputFunctions.Utility_DisplayArrayInTable(Fertiliser_SourceData.Fertiliser_Products_Data2(),FertiliserProducts[[#Headers],[Include or Exclude]], 20)</f>
        <v/>
      </c>
      <c r="T111" s="62" t="str" cm="1">
        <f t="array" ref="T111">Common_InputFunctions.Utility_DisplayArrayInTable(Fertiliser_SourceData.Fertiliser_Products_Data2(),FertiliserProducts[[#Headers],[Include or Exclude]], 20)</f>
        <v/>
      </c>
      <c r="U111" s="62" t="str" cm="1">
        <f t="array" ref="U111">Common_InputFunctions.Utility_DisplayArrayInTable(Fertiliser_SourceData.Fertiliser_Products_Data2(),FertiliserProducts[[#Headers],[Include or Exclude]], 20)</f>
        <v/>
      </c>
      <c r="V111" s="62" t="str" cm="1">
        <f t="array" ref="V111">Common_InputFunctions.Utility_DisplayArrayInTable(Fertiliser_SourceData.Fertiliser_Products_Data2(),FertiliserProducts[[#Headers],[Include or Exclude]], 20)</f>
        <v/>
      </c>
      <c r="W111" s="62" t="str" cm="1">
        <f t="array" ref="W111">Common_InputFunctions.Utility_DisplayArrayInTable(Fertiliser_SourceData.Fertiliser_Products_Data2(),FertiliserProducts[[#Headers],[Include or Exclude]], 20)</f>
        <v>Incitec Pivot Fertilisers</v>
      </c>
      <c r="X111" s="62" t="str" cm="1">
        <f t="array" ref="X111">Common_InputFunctions.Utility_DisplayArrayInTable(Fertiliser_SourceData.Fertiliser_Products_Data2(),FertiliserProducts[[#Headers],[Include or Exclude]], 20)</f>
        <v/>
      </c>
      <c r="Y111" s="62" t="str" cm="1">
        <f t="array" ref="Y111">Common_InputFunctions.Utility_DisplayArrayInTable(Fertiliser_SourceData.Fertiliser_Products_Data2(),FertiliserProducts[[#Headers],[Include or Exclude]], 20)</f>
        <v/>
      </c>
      <c r="Z111" s="62"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1:31" ht="20.100000000000001" customHeight="1" x14ac:dyDescent="0.25">
      <c r="A112"/>
      <c r="D112" s="62" t="str" cm="1">
        <f t="array" ref="D112">Common_InputFunctions.Utility_DisplayArrayInTable(Fertiliser_SourceData.Fertiliser_Products_Data2(),FertiliserProducts[[#Headers],[Include or Exclude]], 20)</f>
        <v>MAP Impact</v>
      </c>
      <c r="E112" s="62" t="str" cm="1">
        <f t="array" ref="E112">Common_InputFunctions.Utility_DisplayArrayInTable(Fertiliser_SourceData.Fertiliser_Products_Data2(),FertiliserProducts[[#Headers],[Include or Exclude]], 20)</f>
        <v/>
      </c>
      <c r="F112" s="62" t="str" cm="1">
        <f t="array" ref="F112">Common_InputFunctions.Utility_DisplayArrayInTable(Fertiliser_SourceData.Fertiliser_Products_Data2(),FertiliserProducts[[#Headers],[Include or Exclude]], 20)</f>
        <v/>
      </c>
      <c r="G112" s="62" t="str" cm="1">
        <f t="array" ref="G112">Common_InputFunctions.Utility_DisplayArrayInTable(Fertiliser_SourceData.Fertiliser_Products_Data2(),FertiliserProducts[[#Headers],[Include or Exclude]], 20)</f>
        <v/>
      </c>
      <c r="H112" s="62" t="str" cm="1">
        <f t="array" ref="H112">Common_InputFunctions.Utility_DisplayArrayInTable(Fertiliser_SourceData.Fertiliser_Products_Data2(),FertiliserProducts[[#Headers],[Include or Exclude]], 20)</f>
        <v/>
      </c>
      <c r="I112" s="62" t="str" cm="1">
        <f t="array" ref="I112">Common_InputFunctions.Utility_DisplayArrayInTable(Fertiliser_SourceData.Fertiliser_Products_Data2(),FertiliserProducts[[#Headers],[Include or Exclude]], 20)</f>
        <v/>
      </c>
      <c r="J112" s="62" t="str" cm="1">
        <f t="array" ref="J112">Common_InputFunctions.Utility_DisplayArrayInTable(Fertiliser_SourceData.Fertiliser_Products_Data2(),FertiliserProducts[[#Headers],[Include or Exclude]], 20)</f>
        <v/>
      </c>
      <c r="K112" s="62" t="str" cm="1">
        <f t="array" ref="K112">Common_InputFunctions.Utility_DisplayArrayInTable(Fertiliser_SourceData.Fertiliser_Products_Data2(),FertiliserProducts[[#Headers],[Include or Exclude]], 20)</f>
        <v/>
      </c>
      <c r="L112" s="62" t="str" cm="1">
        <f t="array" ref="L112">Common_InputFunctions.Utility_DisplayArrayInTable(Fertiliser_SourceData.Fertiliser_Products_Data2(),FertiliserProducts[[#Headers],[Include or Exclude]], 20)</f>
        <v/>
      </c>
      <c r="M112" s="62" t="str" cm="1">
        <f t="array" ref="M112">Common_InputFunctions.Utility_DisplayArrayInTable(Fertiliser_SourceData.Fertiliser_Products_Data2(),FertiliserProducts[[#Headers],[Include or Exclude]], 20)</f>
        <v/>
      </c>
      <c r="N112" s="62" t="str" cm="1">
        <f t="array" ref="N112">Common_InputFunctions.Utility_DisplayArrayInTable(Fertiliser_SourceData.Fertiliser_Products_Data2(),FertiliserProducts[[#Headers],[Include or Exclude]], 20)</f>
        <v/>
      </c>
      <c r="O112" s="62" t="str" cm="1">
        <f t="array" ref="O112">Common_InputFunctions.Utility_DisplayArrayInTable(Fertiliser_SourceData.Fertiliser_Products_Data2(),FertiliserProducts[[#Headers],[Include or Exclude]], 20)</f>
        <v/>
      </c>
      <c r="P112" s="62" t="str" cm="1">
        <f t="array" ref="P112">Common_InputFunctions.Utility_DisplayArrayInTable(Fertiliser_SourceData.Fertiliser_Products_Data2(),FertiliserProducts[[#Headers],[Include or Exclude]], 20)</f>
        <v/>
      </c>
      <c r="Q112" s="62" t="str" cm="1">
        <f t="array" ref="Q112">Common_InputFunctions.Utility_DisplayArrayInTable(Fertiliser_SourceData.Fertiliser_Products_Data2(),FertiliserProducts[[#Headers],[Include or Exclude]], 20)</f>
        <v/>
      </c>
      <c r="R112" s="62" t="str" cm="1">
        <f t="array" ref="R112">Common_InputFunctions.Utility_DisplayArrayInTable(Fertiliser_SourceData.Fertiliser_Products_Data2(),FertiliserProducts[[#Headers],[Include or Exclude]], 20)</f>
        <v/>
      </c>
      <c r="S112" s="62" t="str" cm="1">
        <f t="array" ref="S112">Common_InputFunctions.Utility_DisplayArrayInTable(Fertiliser_SourceData.Fertiliser_Products_Data2(),FertiliserProducts[[#Headers],[Include or Exclude]], 20)</f>
        <v/>
      </c>
      <c r="T112" s="62" t="str" cm="1">
        <f t="array" ref="T112">Common_InputFunctions.Utility_DisplayArrayInTable(Fertiliser_SourceData.Fertiliser_Products_Data2(),FertiliserProducts[[#Headers],[Include or Exclude]], 20)</f>
        <v/>
      </c>
      <c r="U112" s="62" t="str" cm="1">
        <f t="array" ref="U112">Common_InputFunctions.Utility_DisplayArrayInTable(Fertiliser_SourceData.Fertiliser_Products_Data2(),FertiliserProducts[[#Headers],[Include or Exclude]], 20)</f>
        <v/>
      </c>
      <c r="V112" s="62" t="str" cm="1">
        <f t="array" ref="V112">Common_InputFunctions.Utility_DisplayArrayInTable(Fertiliser_SourceData.Fertiliser_Products_Data2(),FertiliserProducts[[#Headers],[Include or Exclude]], 20)</f>
        <v/>
      </c>
      <c r="W112" s="62" t="str" cm="1">
        <f t="array" ref="W112">Common_InputFunctions.Utility_DisplayArrayInTable(Fertiliser_SourceData.Fertiliser_Products_Data2(),FertiliserProducts[[#Headers],[Include or Exclude]], 20)</f>
        <v>Impact fertilisers</v>
      </c>
      <c r="X112" s="62" t="str" cm="1">
        <f t="array" ref="X112">Common_InputFunctions.Utility_DisplayArrayInTable(Fertiliser_SourceData.Fertiliser_Products_Data2(),FertiliserProducts[[#Headers],[Include or Exclude]], 20)</f>
        <v/>
      </c>
      <c r="Y112" s="62" t="str" cm="1">
        <f t="array" ref="Y112">Common_InputFunctions.Utility_DisplayArrayInTable(Fertiliser_SourceData.Fertiliser_Products_Data2(),FertiliserProducts[[#Headers],[Include or Exclude]], 20)</f>
        <v/>
      </c>
      <c r="Z112" s="62"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1:31" ht="20.100000000000001" customHeight="1" x14ac:dyDescent="0.25">
      <c r="A113"/>
      <c r="D113" s="62" t="str" cm="1">
        <f t="array" ref="D113">Common_InputFunctions.Utility_DisplayArrayInTable(Fertiliser_SourceData.Fertiliser_Products_Data2(),FertiliserProducts[[#Headers],[Include or Exclude]], 20)</f>
        <v>MAPSZC</v>
      </c>
      <c r="E113" s="62" t="str" cm="1">
        <f t="array" ref="E113">Common_InputFunctions.Utility_DisplayArrayInTable(Fertiliser_SourceData.Fertiliser_Products_Data2(),FertiliserProducts[[#Headers],[Include or Exclude]], 20)</f>
        <v/>
      </c>
      <c r="F113" s="62" t="str" cm="1">
        <f t="array" ref="F113">Common_InputFunctions.Utility_DisplayArrayInTable(Fertiliser_SourceData.Fertiliser_Products_Data2(),FertiliserProducts[[#Headers],[Include or Exclude]], 20)</f>
        <v/>
      </c>
      <c r="G113" s="62" t="str" cm="1">
        <f t="array" ref="G113">Common_InputFunctions.Utility_DisplayArrayInTable(Fertiliser_SourceData.Fertiliser_Products_Data2(),FertiliserProducts[[#Headers],[Include or Exclude]], 20)</f>
        <v/>
      </c>
      <c r="H113" s="62" t="str" cm="1">
        <f t="array" ref="H113">Common_InputFunctions.Utility_DisplayArrayInTable(Fertiliser_SourceData.Fertiliser_Products_Data2(),FertiliserProducts[[#Headers],[Include or Exclude]], 20)</f>
        <v/>
      </c>
      <c r="I113" s="62" t="str" cm="1">
        <f t="array" ref="I113">Common_InputFunctions.Utility_DisplayArrayInTable(Fertiliser_SourceData.Fertiliser_Products_Data2(),FertiliserProducts[[#Headers],[Include or Exclude]], 20)</f>
        <v/>
      </c>
      <c r="J113" s="62" t="str" cm="1">
        <f t="array" ref="J113">Common_InputFunctions.Utility_DisplayArrayInTable(Fertiliser_SourceData.Fertiliser_Products_Data2(),FertiliserProducts[[#Headers],[Include or Exclude]], 20)</f>
        <v/>
      </c>
      <c r="K113" s="62" t="str" cm="1">
        <f t="array" ref="K113">Common_InputFunctions.Utility_DisplayArrayInTable(Fertiliser_SourceData.Fertiliser_Products_Data2(),FertiliserProducts[[#Headers],[Include or Exclude]], 20)</f>
        <v/>
      </c>
      <c r="L113" s="62" t="str" cm="1">
        <f t="array" ref="L113">Common_InputFunctions.Utility_DisplayArrayInTable(Fertiliser_SourceData.Fertiliser_Products_Data2(),FertiliserProducts[[#Headers],[Include or Exclude]], 20)</f>
        <v/>
      </c>
      <c r="M113" s="62" t="str" cm="1">
        <f t="array" ref="M113">Common_InputFunctions.Utility_DisplayArrayInTable(Fertiliser_SourceData.Fertiliser_Products_Data2(),FertiliserProducts[[#Headers],[Include or Exclude]], 20)</f>
        <v/>
      </c>
      <c r="N113" s="62" t="str" cm="1">
        <f t="array" ref="N113">Common_InputFunctions.Utility_DisplayArrayInTable(Fertiliser_SourceData.Fertiliser_Products_Data2(),FertiliserProducts[[#Headers],[Include or Exclude]], 20)</f>
        <v/>
      </c>
      <c r="O113" s="62" t="str" cm="1">
        <f t="array" ref="O113">Common_InputFunctions.Utility_DisplayArrayInTable(Fertiliser_SourceData.Fertiliser_Products_Data2(),FertiliserProducts[[#Headers],[Include or Exclude]], 20)</f>
        <v/>
      </c>
      <c r="P113" s="62" t="str" cm="1">
        <f t="array" ref="P113">Common_InputFunctions.Utility_DisplayArrayInTable(Fertiliser_SourceData.Fertiliser_Products_Data2(),FertiliserProducts[[#Headers],[Include or Exclude]], 20)</f>
        <v/>
      </c>
      <c r="Q113" s="62" t="str" cm="1">
        <f t="array" ref="Q113">Common_InputFunctions.Utility_DisplayArrayInTable(Fertiliser_SourceData.Fertiliser_Products_Data2(),FertiliserProducts[[#Headers],[Include or Exclude]], 20)</f>
        <v/>
      </c>
      <c r="R113" s="62" t="str" cm="1">
        <f t="array" ref="R113">Common_InputFunctions.Utility_DisplayArrayInTable(Fertiliser_SourceData.Fertiliser_Products_Data2(),FertiliserProducts[[#Headers],[Include or Exclude]], 20)</f>
        <v/>
      </c>
      <c r="S113" s="62" t="str" cm="1">
        <f t="array" ref="S113">Common_InputFunctions.Utility_DisplayArrayInTable(Fertiliser_SourceData.Fertiliser_Products_Data2(),FertiliserProducts[[#Headers],[Include or Exclude]], 20)</f>
        <v/>
      </c>
      <c r="T113" s="62" t="str" cm="1">
        <f t="array" ref="T113">Common_InputFunctions.Utility_DisplayArrayInTable(Fertiliser_SourceData.Fertiliser_Products_Data2(),FertiliserProducts[[#Headers],[Include or Exclude]], 20)</f>
        <v/>
      </c>
      <c r="U113" s="62" t="str" cm="1">
        <f t="array" ref="U113">Common_InputFunctions.Utility_DisplayArrayInTable(Fertiliser_SourceData.Fertiliser_Products_Data2(),FertiliserProducts[[#Headers],[Include or Exclude]], 20)</f>
        <v/>
      </c>
      <c r="V113" s="62" t="str" cm="1">
        <f t="array" ref="V113">Common_InputFunctions.Utility_DisplayArrayInTable(Fertiliser_SourceData.Fertiliser_Products_Data2(),FertiliserProducts[[#Headers],[Include or Exclude]], 20)</f>
        <v/>
      </c>
      <c r="W113" s="62" t="str" cm="1">
        <f t="array" ref="W113">Common_InputFunctions.Utility_DisplayArrayInTable(Fertiliser_SourceData.Fertiliser_Products_Data2(),FertiliserProducts[[#Headers],[Include or Exclude]], 20)</f>
        <v>Summit Fertilizers</v>
      </c>
      <c r="X113" s="62" t="str" cm="1">
        <f t="array" ref="X113">Common_InputFunctions.Utility_DisplayArrayInTable(Fertiliser_SourceData.Fertiliser_Products_Data2(),FertiliserProducts[[#Headers],[Include or Exclude]], 20)</f>
        <v/>
      </c>
      <c r="Y113" s="62" t="str" cm="1">
        <f t="array" ref="Y113">Common_InputFunctions.Utility_DisplayArrayInTable(Fertiliser_SourceData.Fertiliser_Products_Data2(),FertiliserProducts[[#Headers],[Include or Exclude]], 20)</f>
        <v/>
      </c>
      <c r="Z113" s="62"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1:31" ht="20.100000000000001" customHeight="1" x14ac:dyDescent="0.25">
      <c r="A114"/>
      <c r="D114" s="62" t="str" cm="1">
        <f t="array" ref="D114">Common_InputFunctions.Utility_DisplayArrayInTable(Fertiliser_SourceData.Fertiliser_Products_Data2(),FertiliserProducts[[#Headers],[Include or Exclude]], 20)</f>
        <v>Maximum N-Pact 29-0-0</v>
      </c>
      <c r="E114" s="62" t="str" cm="1">
        <f t="array" ref="E114">Common_InputFunctions.Utility_DisplayArrayInTable(Fertiliser_SourceData.Fertiliser_Products_Data2(),FertiliserProducts[[#Headers],[Include or Exclude]], 20)</f>
        <v/>
      </c>
      <c r="F114" s="62" t="str" cm="1">
        <f t="array" ref="F114">Common_InputFunctions.Utility_DisplayArrayInTable(Fertiliser_SourceData.Fertiliser_Products_Data2(),FertiliserProducts[[#Headers],[Include or Exclude]], 20)</f>
        <v/>
      </c>
      <c r="G114" s="62" t="str" cm="1">
        <f t="array" ref="G114">Common_InputFunctions.Utility_DisplayArrayInTable(Fertiliser_SourceData.Fertiliser_Products_Data2(),FertiliserProducts[[#Headers],[Include or Exclude]], 20)</f>
        <v/>
      </c>
      <c r="H114" s="62" t="str" cm="1">
        <f t="array" ref="H114">Common_InputFunctions.Utility_DisplayArrayInTable(Fertiliser_SourceData.Fertiliser_Products_Data2(),FertiliserProducts[[#Headers],[Include or Exclude]], 20)</f>
        <v/>
      </c>
      <c r="I114" s="62" t="str" cm="1">
        <f t="array" ref="I114">Common_InputFunctions.Utility_DisplayArrayInTable(Fertiliser_SourceData.Fertiliser_Products_Data2(),FertiliserProducts[[#Headers],[Include or Exclude]], 20)</f>
        <v/>
      </c>
      <c r="J114" s="62" t="str" cm="1">
        <f t="array" ref="J114">Common_InputFunctions.Utility_DisplayArrayInTable(Fertiliser_SourceData.Fertiliser_Products_Data2(),FertiliserProducts[[#Headers],[Include or Exclude]], 20)</f>
        <v/>
      </c>
      <c r="K114" s="62" t="str" cm="1">
        <f t="array" ref="K114">Common_InputFunctions.Utility_DisplayArrayInTable(Fertiliser_SourceData.Fertiliser_Products_Data2(),FertiliserProducts[[#Headers],[Include or Exclude]], 20)</f>
        <v/>
      </c>
      <c r="L114" s="62" t="str" cm="1">
        <f t="array" ref="L114">Common_InputFunctions.Utility_DisplayArrayInTable(Fertiliser_SourceData.Fertiliser_Products_Data2(),FertiliserProducts[[#Headers],[Include or Exclude]], 20)</f>
        <v/>
      </c>
      <c r="M114" s="62" t="str" cm="1">
        <f t="array" ref="M114">Common_InputFunctions.Utility_DisplayArrayInTable(Fertiliser_SourceData.Fertiliser_Products_Data2(),FertiliserProducts[[#Headers],[Include or Exclude]], 20)</f>
        <v/>
      </c>
      <c r="N114" s="62" t="str" cm="1">
        <f t="array" ref="N114">Common_InputFunctions.Utility_DisplayArrayInTable(Fertiliser_SourceData.Fertiliser_Products_Data2(),FertiliserProducts[[#Headers],[Include or Exclude]], 20)</f>
        <v/>
      </c>
      <c r="O114" s="62" t="str" cm="1">
        <f t="array" ref="O114">Common_InputFunctions.Utility_DisplayArrayInTable(Fertiliser_SourceData.Fertiliser_Products_Data2(),FertiliserProducts[[#Headers],[Include or Exclude]], 20)</f>
        <v/>
      </c>
      <c r="P114" s="62" t="str" cm="1">
        <f t="array" ref="P114">Common_InputFunctions.Utility_DisplayArrayInTable(Fertiliser_SourceData.Fertiliser_Products_Data2(),FertiliserProducts[[#Headers],[Include or Exclude]], 20)</f>
        <v/>
      </c>
      <c r="Q114" s="62" t="str" cm="1">
        <f t="array" ref="Q114">Common_InputFunctions.Utility_DisplayArrayInTable(Fertiliser_SourceData.Fertiliser_Products_Data2(),FertiliserProducts[[#Headers],[Include or Exclude]], 20)</f>
        <v/>
      </c>
      <c r="R114" s="62" t="str" cm="1">
        <f t="array" ref="R114">Common_InputFunctions.Utility_DisplayArrayInTable(Fertiliser_SourceData.Fertiliser_Products_Data2(),FertiliserProducts[[#Headers],[Include or Exclude]], 20)</f>
        <v/>
      </c>
      <c r="S114" s="62" t="str" cm="1">
        <f t="array" ref="S114">Common_InputFunctions.Utility_DisplayArrayInTable(Fertiliser_SourceData.Fertiliser_Products_Data2(),FertiliserProducts[[#Headers],[Include or Exclude]], 20)</f>
        <v/>
      </c>
      <c r="T114" s="62" t="str" cm="1">
        <f t="array" ref="T114">Common_InputFunctions.Utility_DisplayArrayInTable(Fertiliser_SourceData.Fertiliser_Products_Data2(),FertiliserProducts[[#Headers],[Include or Exclude]], 20)</f>
        <v/>
      </c>
      <c r="U114" s="62" t="str" cm="1">
        <f t="array" ref="U114">Common_InputFunctions.Utility_DisplayArrayInTable(Fertiliser_SourceData.Fertiliser_Products_Data2(),FertiliserProducts[[#Headers],[Include or Exclude]], 20)</f>
        <v/>
      </c>
      <c r="V114" s="62" t="str" cm="1">
        <f t="array" ref="V114">Common_InputFunctions.Utility_DisplayArrayInTable(Fertiliser_SourceData.Fertiliser_Products_Data2(),FertiliserProducts[[#Headers],[Include or Exclude]], 20)</f>
        <v/>
      </c>
      <c r="W114" s="62" t="str" cm="1">
        <f t="array" ref="W114">Common_InputFunctions.Utility_DisplayArrayInTable(Fertiliser_SourceData.Fertiliser_Products_Data2(),FertiliserProducts[[#Headers],[Include or Exclude]], 20)</f>
        <v>Maximum N-Pact | Loveland (lovelandagriproducts.com.au)</v>
      </c>
      <c r="X114" s="62" t="str" cm="1">
        <f t="array" ref="X114">Common_InputFunctions.Utility_DisplayArrayInTable(Fertiliser_SourceData.Fertiliser_Products_Data2(),FertiliserProducts[[#Headers],[Include or Exclude]], 20)</f>
        <v/>
      </c>
      <c r="Y114" s="62" t="str" cm="1">
        <f t="array" ref="Y114">Common_InputFunctions.Utility_DisplayArrayInTable(Fertiliser_SourceData.Fertiliser_Products_Data2(),FertiliserProducts[[#Headers],[Include or Exclude]], 20)</f>
        <v/>
      </c>
      <c r="Z114" s="62"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1:31" ht="20.100000000000001" customHeight="1" x14ac:dyDescent="0.25">
      <c r="A115"/>
      <c r="D115" s="62" t="str" cm="1">
        <f t="array" ref="D115">Common_InputFunctions.Utility_DisplayArrayInTable(Fertiliser_SourceData.Fertiliser_Products_Data2(),FertiliserProducts[[#Headers],[Include or Exclude]], 20)</f>
        <v>Microsol 12-6-44</v>
      </c>
      <c r="E115" s="62" t="str" cm="1">
        <f t="array" ref="E115">Common_InputFunctions.Utility_DisplayArrayInTable(Fertiliser_SourceData.Fertiliser_Products_Data2(),FertiliserProducts[[#Headers],[Include or Exclude]], 20)</f>
        <v/>
      </c>
      <c r="F115" s="62" t="str" cm="1">
        <f t="array" ref="F115">Common_InputFunctions.Utility_DisplayArrayInTable(Fertiliser_SourceData.Fertiliser_Products_Data2(),FertiliserProducts[[#Headers],[Include or Exclude]], 20)</f>
        <v/>
      </c>
      <c r="G115" s="62" t="str" cm="1">
        <f t="array" ref="G115">Common_InputFunctions.Utility_DisplayArrayInTable(Fertiliser_SourceData.Fertiliser_Products_Data2(),FertiliserProducts[[#Headers],[Include or Exclude]], 20)</f>
        <v/>
      </c>
      <c r="H115" s="62" t="str" cm="1">
        <f t="array" ref="H115">Common_InputFunctions.Utility_DisplayArrayInTable(Fertiliser_SourceData.Fertiliser_Products_Data2(),FertiliserProducts[[#Headers],[Include or Exclude]], 20)</f>
        <v/>
      </c>
      <c r="I115" s="62" t="str" cm="1">
        <f t="array" ref="I115">Common_InputFunctions.Utility_DisplayArrayInTable(Fertiliser_SourceData.Fertiliser_Products_Data2(),FertiliserProducts[[#Headers],[Include or Exclude]], 20)</f>
        <v/>
      </c>
      <c r="J115" s="62" t="str" cm="1">
        <f t="array" ref="J115">Common_InputFunctions.Utility_DisplayArrayInTable(Fertiliser_SourceData.Fertiliser_Products_Data2(),FertiliserProducts[[#Headers],[Include or Exclude]], 20)</f>
        <v/>
      </c>
      <c r="K115" s="62" t="str" cm="1">
        <f t="array" ref="K115">Common_InputFunctions.Utility_DisplayArrayInTable(Fertiliser_SourceData.Fertiliser_Products_Data2(),FertiliserProducts[[#Headers],[Include or Exclude]], 20)</f>
        <v/>
      </c>
      <c r="L115" s="62" t="str" cm="1">
        <f t="array" ref="L115">Common_InputFunctions.Utility_DisplayArrayInTable(Fertiliser_SourceData.Fertiliser_Products_Data2(),FertiliserProducts[[#Headers],[Include or Exclude]], 20)</f>
        <v/>
      </c>
      <c r="M115" s="62" t="str" cm="1">
        <f t="array" ref="M115">Common_InputFunctions.Utility_DisplayArrayInTable(Fertiliser_SourceData.Fertiliser_Products_Data2(),FertiliserProducts[[#Headers],[Include or Exclude]], 20)</f>
        <v/>
      </c>
      <c r="N115" s="62" t="str" cm="1">
        <f t="array" ref="N115">Common_InputFunctions.Utility_DisplayArrayInTable(Fertiliser_SourceData.Fertiliser_Products_Data2(),FertiliserProducts[[#Headers],[Include or Exclude]], 20)</f>
        <v/>
      </c>
      <c r="O115" s="62" t="str" cm="1">
        <f t="array" ref="O115">Common_InputFunctions.Utility_DisplayArrayInTable(Fertiliser_SourceData.Fertiliser_Products_Data2(),FertiliserProducts[[#Headers],[Include or Exclude]], 20)</f>
        <v/>
      </c>
      <c r="P115" s="62" t="str" cm="1">
        <f t="array" ref="P115">Common_InputFunctions.Utility_DisplayArrayInTable(Fertiliser_SourceData.Fertiliser_Products_Data2(),FertiliserProducts[[#Headers],[Include or Exclude]], 20)</f>
        <v/>
      </c>
      <c r="Q115" s="62" t="str" cm="1">
        <f t="array" ref="Q115">Common_InputFunctions.Utility_DisplayArrayInTable(Fertiliser_SourceData.Fertiliser_Products_Data2(),FertiliserProducts[[#Headers],[Include or Exclude]], 20)</f>
        <v/>
      </c>
      <c r="R115" s="62" t="str" cm="1">
        <f t="array" ref="R115">Common_InputFunctions.Utility_DisplayArrayInTable(Fertiliser_SourceData.Fertiliser_Products_Data2(),FertiliserProducts[[#Headers],[Include or Exclude]], 20)</f>
        <v/>
      </c>
      <c r="S115" s="62" t="str" cm="1">
        <f t="array" ref="S115">Common_InputFunctions.Utility_DisplayArrayInTable(Fertiliser_SourceData.Fertiliser_Products_Data2(),FertiliserProducts[[#Headers],[Include or Exclude]], 20)</f>
        <v/>
      </c>
      <c r="T115" s="62" t="str" cm="1">
        <f t="array" ref="T115">Common_InputFunctions.Utility_DisplayArrayInTable(Fertiliser_SourceData.Fertiliser_Products_Data2(),FertiliserProducts[[#Headers],[Include or Exclude]], 20)</f>
        <v/>
      </c>
      <c r="U115" s="62" t="str" cm="1">
        <f t="array" ref="U115">Common_InputFunctions.Utility_DisplayArrayInTable(Fertiliser_SourceData.Fertiliser_Products_Data2(),FertiliserProducts[[#Headers],[Include or Exclude]], 20)</f>
        <v/>
      </c>
      <c r="V115" s="62" t="str" cm="1">
        <f t="array" ref="V115">Common_InputFunctions.Utility_DisplayArrayInTable(Fertiliser_SourceData.Fertiliser_Products_Data2(),FertiliserProducts[[#Headers],[Include or Exclude]], 20)</f>
        <v/>
      </c>
      <c r="W115" s="62" t="str" cm="1">
        <f t="array" ref="W115">Common_InputFunctions.Utility_DisplayArrayInTable(Fertiliser_SourceData.Fertiliser_Products_Data2(),FertiliserProducts[[#Headers],[Include or Exclude]], 20)</f>
        <v>Rigbytaylor Microsol Range</v>
      </c>
      <c r="X115" s="62" t="str" cm="1">
        <f t="array" ref="X115">Common_InputFunctions.Utility_DisplayArrayInTable(Fertiliser_SourceData.Fertiliser_Products_Data2(),FertiliserProducts[[#Headers],[Include or Exclude]], 20)</f>
        <v/>
      </c>
      <c r="Y115" s="62" t="str" cm="1">
        <f t="array" ref="Y115">Common_InputFunctions.Utility_DisplayArrayInTable(Fertiliser_SourceData.Fertiliser_Products_Data2(),FertiliserProducts[[#Headers],[Include or Exclude]], 20)</f>
        <v/>
      </c>
      <c r="Z115" s="62"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1:31" ht="20.100000000000001" customHeight="1" x14ac:dyDescent="0.25">
      <c r="A116"/>
      <c r="D116" s="62" t="str" cm="1">
        <f t="array" ref="D116">Common_InputFunctions.Utility_DisplayArrayInTable(Fertiliser_SourceData.Fertiliser_Products_Data2(),FertiliserProducts[[#Headers],[Include or Exclude]], 20)</f>
        <v>Microsol 16-32-16</v>
      </c>
      <c r="E116" s="62" t="str" cm="1">
        <f t="array" ref="E116">Common_InputFunctions.Utility_DisplayArrayInTable(Fertiliser_SourceData.Fertiliser_Products_Data2(),FertiliserProducts[[#Headers],[Include or Exclude]], 20)</f>
        <v/>
      </c>
      <c r="F116" s="62" t="str" cm="1">
        <f t="array" ref="F116">Common_InputFunctions.Utility_DisplayArrayInTable(Fertiliser_SourceData.Fertiliser_Products_Data2(),FertiliserProducts[[#Headers],[Include or Exclude]], 20)</f>
        <v/>
      </c>
      <c r="G116" s="62" t="str" cm="1">
        <f t="array" ref="G116">Common_InputFunctions.Utility_DisplayArrayInTable(Fertiliser_SourceData.Fertiliser_Products_Data2(),FertiliserProducts[[#Headers],[Include or Exclude]], 20)</f>
        <v/>
      </c>
      <c r="H116" s="62" t="str" cm="1">
        <f t="array" ref="H116">Common_InputFunctions.Utility_DisplayArrayInTable(Fertiliser_SourceData.Fertiliser_Products_Data2(),FertiliserProducts[[#Headers],[Include or Exclude]], 20)</f>
        <v/>
      </c>
      <c r="I116" s="62" t="str" cm="1">
        <f t="array" ref="I116">Common_InputFunctions.Utility_DisplayArrayInTable(Fertiliser_SourceData.Fertiliser_Products_Data2(),FertiliserProducts[[#Headers],[Include or Exclude]], 20)</f>
        <v/>
      </c>
      <c r="J116" s="62" t="str" cm="1">
        <f t="array" ref="J116">Common_InputFunctions.Utility_DisplayArrayInTable(Fertiliser_SourceData.Fertiliser_Products_Data2(),FertiliserProducts[[#Headers],[Include or Exclude]], 20)</f>
        <v/>
      </c>
      <c r="K116" s="62" t="str" cm="1">
        <f t="array" ref="K116">Common_InputFunctions.Utility_DisplayArrayInTable(Fertiliser_SourceData.Fertiliser_Products_Data2(),FertiliserProducts[[#Headers],[Include or Exclude]], 20)</f>
        <v/>
      </c>
      <c r="L116" s="62" t="str" cm="1">
        <f t="array" ref="L116">Common_InputFunctions.Utility_DisplayArrayInTable(Fertiliser_SourceData.Fertiliser_Products_Data2(),FertiliserProducts[[#Headers],[Include or Exclude]], 20)</f>
        <v/>
      </c>
      <c r="M116" s="62" t="str" cm="1">
        <f t="array" ref="M116">Common_InputFunctions.Utility_DisplayArrayInTable(Fertiliser_SourceData.Fertiliser_Products_Data2(),FertiliserProducts[[#Headers],[Include or Exclude]], 20)</f>
        <v/>
      </c>
      <c r="N116" s="62" t="str" cm="1">
        <f t="array" ref="N116">Common_InputFunctions.Utility_DisplayArrayInTable(Fertiliser_SourceData.Fertiliser_Products_Data2(),FertiliserProducts[[#Headers],[Include or Exclude]], 20)</f>
        <v/>
      </c>
      <c r="O116" s="62" t="str" cm="1">
        <f t="array" ref="O116">Common_InputFunctions.Utility_DisplayArrayInTable(Fertiliser_SourceData.Fertiliser_Products_Data2(),FertiliserProducts[[#Headers],[Include or Exclude]], 20)</f>
        <v/>
      </c>
      <c r="P116" s="62" t="str" cm="1">
        <f t="array" ref="P116">Common_InputFunctions.Utility_DisplayArrayInTable(Fertiliser_SourceData.Fertiliser_Products_Data2(),FertiliserProducts[[#Headers],[Include or Exclude]], 20)</f>
        <v/>
      </c>
      <c r="Q116" s="62" t="str" cm="1">
        <f t="array" ref="Q116">Common_InputFunctions.Utility_DisplayArrayInTable(Fertiliser_SourceData.Fertiliser_Products_Data2(),FertiliserProducts[[#Headers],[Include or Exclude]], 20)</f>
        <v/>
      </c>
      <c r="R116" s="62" t="str" cm="1">
        <f t="array" ref="R116">Common_InputFunctions.Utility_DisplayArrayInTable(Fertiliser_SourceData.Fertiliser_Products_Data2(),FertiliserProducts[[#Headers],[Include or Exclude]], 20)</f>
        <v/>
      </c>
      <c r="S116" s="62" t="str" cm="1">
        <f t="array" ref="S116">Common_InputFunctions.Utility_DisplayArrayInTable(Fertiliser_SourceData.Fertiliser_Products_Data2(),FertiliserProducts[[#Headers],[Include or Exclude]], 20)</f>
        <v/>
      </c>
      <c r="T116" s="62" t="str" cm="1">
        <f t="array" ref="T116">Common_InputFunctions.Utility_DisplayArrayInTable(Fertiliser_SourceData.Fertiliser_Products_Data2(),FertiliserProducts[[#Headers],[Include or Exclude]], 20)</f>
        <v/>
      </c>
      <c r="U116" s="62" t="str" cm="1">
        <f t="array" ref="U116">Common_InputFunctions.Utility_DisplayArrayInTable(Fertiliser_SourceData.Fertiliser_Products_Data2(),FertiliserProducts[[#Headers],[Include or Exclude]], 20)</f>
        <v/>
      </c>
      <c r="V116" s="62" t="str" cm="1">
        <f t="array" ref="V116">Common_InputFunctions.Utility_DisplayArrayInTable(Fertiliser_SourceData.Fertiliser_Products_Data2(),FertiliserProducts[[#Headers],[Include or Exclude]], 20)</f>
        <v/>
      </c>
      <c r="W116" s="62" t="str" cm="1">
        <f t="array" ref="W116">Common_InputFunctions.Utility_DisplayArrayInTable(Fertiliser_SourceData.Fertiliser_Products_Data2(),FertiliserProducts[[#Headers],[Include or Exclude]], 20)</f>
        <v>Rigbytaylor Microsol Range</v>
      </c>
      <c r="X116" s="62" t="str" cm="1">
        <f t="array" ref="X116">Common_InputFunctions.Utility_DisplayArrayInTable(Fertiliser_SourceData.Fertiliser_Products_Data2(),FertiliserProducts[[#Headers],[Include or Exclude]], 20)</f>
        <v/>
      </c>
      <c r="Y116" s="62" t="str" cm="1">
        <f t="array" ref="Y116">Common_InputFunctions.Utility_DisplayArrayInTable(Fertiliser_SourceData.Fertiliser_Products_Data2(),FertiliserProducts[[#Headers],[Include or Exclude]], 20)</f>
        <v/>
      </c>
      <c r="Z116" s="62"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1:31" ht="20.100000000000001" customHeight="1" x14ac:dyDescent="0.25">
      <c r="A117"/>
      <c r="D117" s="62" t="str" cm="1">
        <f t="array" ref="D117">Common_InputFunctions.Utility_DisplayArrayInTable(Fertiliser_SourceData.Fertiliser_Products_Data2(),FertiliserProducts[[#Headers],[Include or Exclude]], 20)</f>
        <v>Microsol 25-5-10</v>
      </c>
      <c r="E117" s="62" t="str" cm="1">
        <f t="array" ref="E117">Common_InputFunctions.Utility_DisplayArrayInTable(Fertiliser_SourceData.Fertiliser_Products_Data2(),FertiliserProducts[[#Headers],[Include or Exclude]], 20)</f>
        <v/>
      </c>
      <c r="F117" s="62" t="str" cm="1">
        <f t="array" ref="F117">Common_InputFunctions.Utility_DisplayArrayInTable(Fertiliser_SourceData.Fertiliser_Products_Data2(),FertiliserProducts[[#Headers],[Include or Exclude]], 20)</f>
        <v/>
      </c>
      <c r="G117" s="62" t="str" cm="1">
        <f t="array" ref="G117">Common_InputFunctions.Utility_DisplayArrayInTable(Fertiliser_SourceData.Fertiliser_Products_Data2(),FertiliserProducts[[#Headers],[Include or Exclude]], 20)</f>
        <v/>
      </c>
      <c r="H117" s="62" t="str" cm="1">
        <f t="array" ref="H117">Common_InputFunctions.Utility_DisplayArrayInTable(Fertiliser_SourceData.Fertiliser_Products_Data2(),FertiliserProducts[[#Headers],[Include or Exclude]], 20)</f>
        <v/>
      </c>
      <c r="I117" s="62" t="str" cm="1">
        <f t="array" ref="I117">Common_InputFunctions.Utility_DisplayArrayInTable(Fertiliser_SourceData.Fertiliser_Products_Data2(),FertiliserProducts[[#Headers],[Include or Exclude]], 20)</f>
        <v/>
      </c>
      <c r="J117" s="62" t="str" cm="1">
        <f t="array" ref="J117">Common_InputFunctions.Utility_DisplayArrayInTable(Fertiliser_SourceData.Fertiliser_Products_Data2(),FertiliserProducts[[#Headers],[Include or Exclude]], 20)</f>
        <v/>
      </c>
      <c r="K117" s="62" t="str" cm="1">
        <f t="array" ref="K117">Common_InputFunctions.Utility_DisplayArrayInTable(Fertiliser_SourceData.Fertiliser_Products_Data2(),FertiliserProducts[[#Headers],[Include or Exclude]], 20)</f>
        <v/>
      </c>
      <c r="L117" s="62" t="str" cm="1">
        <f t="array" ref="L117">Common_InputFunctions.Utility_DisplayArrayInTable(Fertiliser_SourceData.Fertiliser_Products_Data2(),FertiliserProducts[[#Headers],[Include or Exclude]], 20)</f>
        <v/>
      </c>
      <c r="M117" s="62" t="str" cm="1">
        <f t="array" ref="M117">Common_InputFunctions.Utility_DisplayArrayInTable(Fertiliser_SourceData.Fertiliser_Products_Data2(),FertiliserProducts[[#Headers],[Include or Exclude]], 20)</f>
        <v/>
      </c>
      <c r="N117" s="62" t="str" cm="1">
        <f t="array" ref="N117">Common_InputFunctions.Utility_DisplayArrayInTable(Fertiliser_SourceData.Fertiliser_Products_Data2(),FertiliserProducts[[#Headers],[Include or Exclude]], 20)</f>
        <v/>
      </c>
      <c r="O117" s="62" t="str" cm="1">
        <f t="array" ref="O117">Common_InputFunctions.Utility_DisplayArrayInTable(Fertiliser_SourceData.Fertiliser_Products_Data2(),FertiliserProducts[[#Headers],[Include or Exclude]], 20)</f>
        <v/>
      </c>
      <c r="P117" s="62" t="str" cm="1">
        <f t="array" ref="P117">Common_InputFunctions.Utility_DisplayArrayInTable(Fertiliser_SourceData.Fertiliser_Products_Data2(),FertiliserProducts[[#Headers],[Include or Exclude]], 20)</f>
        <v/>
      </c>
      <c r="Q117" s="62" t="str" cm="1">
        <f t="array" ref="Q117">Common_InputFunctions.Utility_DisplayArrayInTable(Fertiliser_SourceData.Fertiliser_Products_Data2(),FertiliserProducts[[#Headers],[Include or Exclude]], 20)</f>
        <v/>
      </c>
      <c r="R117" s="62" t="str" cm="1">
        <f t="array" ref="R117">Common_InputFunctions.Utility_DisplayArrayInTable(Fertiliser_SourceData.Fertiliser_Products_Data2(),FertiliserProducts[[#Headers],[Include or Exclude]], 20)</f>
        <v/>
      </c>
      <c r="S117" s="62" t="str" cm="1">
        <f t="array" ref="S117">Common_InputFunctions.Utility_DisplayArrayInTable(Fertiliser_SourceData.Fertiliser_Products_Data2(),FertiliserProducts[[#Headers],[Include or Exclude]], 20)</f>
        <v/>
      </c>
      <c r="T117" s="62" t="str" cm="1">
        <f t="array" ref="T117">Common_InputFunctions.Utility_DisplayArrayInTable(Fertiliser_SourceData.Fertiliser_Products_Data2(),FertiliserProducts[[#Headers],[Include or Exclude]], 20)</f>
        <v/>
      </c>
      <c r="U117" s="62" t="str" cm="1">
        <f t="array" ref="U117">Common_InputFunctions.Utility_DisplayArrayInTable(Fertiliser_SourceData.Fertiliser_Products_Data2(),FertiliserProducts[[#Headers],[Include or Exclude]], 20)</f>
        <v/>
      </c>
      <c r="V117" s="62" t="str" cm="1">
        <f t="array" ref="V117">Common_InputFunctions.Utility_DisplayArrayInTable(Fertiliser_SourceData.Fertiliser_Products_Data2(),FertiliserProducts[[#Headers],[Include or Exclude]], 20)</f>
        <v/>
      </c>
      <c r="W117" s="62" t="str" cm="1">
        <f t="array" ref="W117">Common_InputFunctions.Utility_DisplayArrayInTable(Fertiliser_SourceData.Fertiliser_Products_Data2(),FertiliserProducts[[#Headers],[Include or Exclude]], 20)</f>
        <v>Rigbytaylor Microsol Range</v>
      </c>
      <c r="X117" s="62" t="str" cm="1">
        <f t="array" ref="X117">Common_InputFunctions.Utility_DisplayArrayInTable(Fertiliser_SourceData.Fertiliser_Products_Data2(),FertiliserProducts[[#Headers],[Include or Exclude]], 20)</f>
        <v/>
      </c>
      <c r="Y117" s="62" t="str" cm="1">
        <f t="array" ref="Y117">Common_InputFunctions.Utility_DisplayArrayInTable(Fertiliser_SourceData.Fertiliser_Products_Data2(),FertiliserProducts[[#Headers],[Include or Exclude]], 20)</f>
        <v/>
      </c>
      <c r="Z117" s="62"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1:31" ht="20.100000000000001" customHeight="1" x14ac:dyDescent="0.25">
      <c r="A118"/>
      <c r="D118" s="62" t="str" cm="1">
        <f t="array" ref="D118">Common_InputFunctions.Utility_DisplayArrayInTable(Fertiliser_SourceData.Fertiliser_Products_Data2(),FertiliserProducts[[#Headers],[Include or Exclude]], 20)</f>
        <v>Microsol 28-0-14</v>
      </c>
      <c r="E118" s="62" t="str" cm="1">
        <f t="array" ref="E118">Common_InputFunctions.Utility_DisplayArrayInTable(Fertiliser_SourceData.Fertiliser_Products_Data2(),FertiliserProducts[[#Headers],[Include or Exclude]], 20)</f>
        <v/>
      </c>
      <c r="F118" s="62" t="str" cm="1">
        <f t="array" ref="F118">Common_InputFunctions.Utility_DisplayArrayInTable(Fertiliser_SourceData.Fertiliser_Products_Data2(),FertiliserProducts[[#Headers],[Include or Exclude]], 20)</f>
        <v/>
      </c>
      <c r="G118" s="62" t="str" cm="1">
        <f t="array" ref="G118">Common_InputFunctions.Utility_DisplayArrayInTable(Fertiliser_SourceData.Fertiliser_Products_Data2(),FertiliserProducts[[#Headers],[Include or Exclude]], 20)</f>
        <v/>
      </c>
      <c r="H118" s="62" t="str" cm="1">
        <f t="array" ref="H118">Common_InputFunctions.Utility_DisplayArrayInTable(Fertiliser_SourceData.Fertiliser_Products_Data2(),FertiliserProducts[[#Headers],[Include or Exclude]], 20)</f>
        <v/>
      </c>
      <c r="I118" s="62" t="str" cm="1">
        <f t="array" ref="I118">Common_InputFunctions.Utility_DisplayArrayInTable(Fertiliser_SourceData.Fertiliser_Products_Data2(),FertiliserProducts[[#Headers],[Include or Exclude]], 20)</f>
        <v/>
      </c>
      <c r="J118" s="62" t="str" cm="1">
        <f t="array" ref="J118">Common_InputFunctions.Utility_DisplayArrayInTable(Fertiliser_SourceData.Fertiliser_Products_Data2(),FertiliserProducts[[#Headers],[Include or Exclude]], 20)</f>
        <v/>
      </c>
      <c r="K118" s="62" t="str" cm="1">
        <f t="array" ref="K118">Common_InputFunctions.Utility_DisplayArrayInTable(Fertiliser_SourceData.Fertiliser_Products_Data2(),FertiliserProducts[[#Headers],[Include or Exclude]], 20)</f>
        <v/>
      </c>
      <c r="L118" s="62" t="str" cm="1">
        <f t="array" ref="L118">Common_InputFunctions.Utility_DisplayArrayInTable(Fertiliser_SourceData.Fertiliser_Products_Data2(),FertiliserProducts[[#Headers],[Include or Exclude]], 20)</f>
        <v/>
      </c>
      <c r="M118" s="62" t="str" cm="1">
        <f t="array" ref="M118">Common_InputFunctions.Utility_DisplayArrayInTable(Fertiliser_SourceData.Fertiliser_Products_Data2(),FertiliserProducts[[#Headers],[Include or Exclude]], 20)</f>
        <v/>
      </c>
      <c r="N118" s="62" t="str" cm="1">
        <f t="array" ref="N118">Common_InputFunctions.Utility_DisplayArrayInTable(Fertiliser_SourceData.Fertiliser_Products_Data2(),FertiliserProducts[[#Headers],[Include or Exclude]], 20)</f>
        <v/>
      </c>
      <c r="O118" s="62" t="str" cm="1">
        <f t="array" ref="O118">Common_InputFunctions.Utility_DisplayArrayInTable(Fertiliser_SourceData.Fertiliser_Products_Data2(),FertiliserProducts[[#Headers],[Include or Exclude]], 20)</f>
        <v/>
      </c>
      <c r="P118" s="62" t="str" cm="1">
        <f t="array" ref="P118">Common_InputFunctions.Utility_DisplayArrayInTable(Fertiliser_SourceData.Fertiliser_Products_Data2(),FertiliserProducts[[#Headers],[Include or Exclude]], 20)</f>
        <v/>
      </c>
      <c r="Q118" s="62" t="str" cm="1">
        <f t="array" ref="Q118">Common_InputFunctions.Utility_DisplayArrayInTable(Fertiliser_SourceData.Fertiliser_Products_Data2(),FertiliserProducts[[#Headers],[Include or Exclude]], 20)</f>
        <v/>
      </c>
      <c r="R118" s="62" t="str" cm="1">
        <f t="array" ref="R118">Common_InputFunctions.Utility_DisplayArrayInTable(Fertiliser_SourceData.Fertiliser_Products_Data2(),FertiliserProducts[[#Headers],[Include or Exclude]], 20)</f>
        <v/>
      </c>
      <c r="S118" s="62" t="str" cm="1">
        <f t="array" ref="S118">Common_InputFunctions.Utility_DisplayArrayInTable(Fertiliser_SourceData.Fertiliser_Products_Data2(),FertiliserProducts[[#Headers],[Include or Exclude]], 20)</f>
        <v/>
      </c>
      <c r="T118" s="62" t="str" cm="1">
        <f t="array" ref="T118">Common_InputFunctions.Utility_DisplayArrayInTable(Fertiliser_SourceData.Fertiliser_Products_Data2(),FertiliserProducts[[#Headers],[Include or Exclude]], 20)</f>
        <v/>
      </c>
      <c r="U118" s="62" t="str" cm="1">
        <f t="array" ref="U118">Common_InputFunctions.Utility_DisplayArrayInTable(Fertiliser_SourceData.Fertiliser_Products_Data2(),FertiliserProducts[[#Headers],[Include or Exclude]], 20)</f>
        <v/>
      </c>
      <c r="V118" s="62" t="str" cm="1">
        <f t="array" ref="V118">Common_InputFunctions.Utility_DisplayArrayInTable(Fertiliser_SourceData.Fertiliser_Products_Data2(),FertiliserProducts[[#Headers],[Include or Exclude]], 20)</f>
        <v/>
      </c>
      <c r="W118" s="62" t="str" cm="1">
        <f t="array" ref="W118">Common_InputFunctions.Utility_DisplayArrayInTable(Fertiliser_SourceData.Fertiliser_Products_Data2(),FertiliserProducts[[#Headers],[Include or Exclude]], 20)</f>
        <v>Rigbytaylor Microsol Range</v>
      </c>
      <c r="X118" s="62" t="str" cm="1">
        <f t="array" ref="X118">Common_InputFunctions.Utility_DisplayArrayInTable(Fertiliser_SourceData.Fertiliser_Products_Data2(),FertiliserProducts[[#Headers],[Include or Exclude]], 20)</f>
        <v/>
      </c>
      <c r="Y118" s="62" t="str" cm="1">
        <f t="array" ref="Y118">Common_InputFunctions.Utility_DisplayArrayInTable(Fertiliser_SourceData.Fertiliser_Products_Data2(),FertiliserProducts[[#Headers],[Include or Exclude]], 20)</f>
        <v/>
      </c>
      <c r="Z118" s="62"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1:31" ht="20.100000000000001" customHeight="1" x14ac:dyDescent="0.25">
      <c r="A119"/>
      <c r="D119" s="62" t="str" cm="1">
        <f t="array" ref="D119">Common_InputFunctions.Utility_DisplayArrayInTable(Fertiliser_SourceData.Fertiliser_Products_Data2(),FertiliserProducts[[#Headers],[Include or Exclude]], 20)</f>
        <v>Mono Potassium Phosphate MKP</v>
      </c>
      <c r="E119" s="62" t="str" cm="1">
        <f t="array" ref="E119">Common_InputFunctions.Utility_DisplayArrayInTable(Fertiliser_SourceData.Fertiliser_Products_Data2(),FertiliserProducts[[#Headers],[Include or Exclude]], 20)</f>
        <v/>
      </c>
      <c r="F119" s="62" t="str" cm="1">
        <f t="array" ref="F119">Common_InputFunctions.Utility_DisplayArrayInTable(Fertiliser_SourceData.Fertiliser_Products_Data2(),FertiliserProducts[[#Headers],[Include or Exclude]], 20)</f>
        <v/>
      </c>
      <c r="G119" s="62" t="str" cm="1">
        <f t="array" ref="G119">Common_InputFunctions.Utility_DisplayArrayInTable(Fertiliser_SourceData.Fertiliser_Products_Data2(),FertiliserProducts[[#Headers],[Include or Exclude]], 20)</f>
        <v/>
      </c>
      <c r="H119" s="62" t="str" cm="1">
        <f t="array" ref="H119">Common_InputFunctions.Utility_DisplayArrayInTable(Fertiliser_SourceData.Fertiliser_Products_Data2(),FertiliserProducts[[#Headers],[Include or Exclude]], 20)</f>
        <v/>
      </c>
      <c r="I119" s="62" t="str" cm="1">
        <f t="array" ref="I119">Common_InputFunctions.Utility_DisplayArrayInTable(Fertiliser_SourceData.Fertiliser_Products_Data2(),FertiliserProducts[[#Headers],[Include or Exclude]], 20)</f>
        <v/>
      </c>
      <c r="J119" s="62" t="str" cm="1">
        <f t="array" ref="J119">Common_InputFunctions.Utility_DisplayArrayInTable(Fertiliser_SourceData.Fertiliser_Products_Data2(),FertiliserProducts[[#Headers],[Include or Exclude]], 20)</f>
        <v/>
      </c>
      <c r="K119" s="62" t="str" cm="1">
        <f t="array" ref="K119">Common_InputFunctions.Utility_DisplayArrayInTable(Fertiliser_SourceData.Fertiliser_Products_Data2(),FertiliserProducts[[#Headers],[Include or Exclude]], 20)</f>
        <v/>
      </c>
      <c r="L119" s="62" t="str" cm="1">
        <f t="array" ref="L119">Common_InputFunctions.Utility_DisplayArrayInTable(Fertiliser_SourceData.Fertiliser_Products_Data2(),FertiliserProducts[[#Headers],[Include or Exclude]], 20)</f>
        <v/>
      </c>
      <c r="M119" s="62" t="str" cm="1">
        <f t="array" ref="M119">Common_InputFunctions.Utility_DisplayArrayInTable(Fertiliser_SourceData.Fertiliser_Products_Data2(),FertiliserProducts[[#Headers],[Include or Exclude]], 20)</f>
        <v/>
      </c>
      <c r="N119" s="62" t="str" cm="1">
        <f t="array" ref="N119">Common_InputFunctions.Utility_DisplayArrayInTable(Fertiliser_SourceData.Fertiliser_Products_Data2(),FertiliserProducts[[#Headers],[Include or Exclude]], 20)</f>
        <v/>
      </c>
      <c r="O119" s="62" t="str" cm="1">
        <f t="array" ref="O119">Common_InputFunctions.Utility_DisplayArrayInTable(Fertiliser_SourceData.Fertiliser_Products_Data2(),FertiliserProducts[[#Headers],[Include or Exclude]], 20)</f>
        <v/>
      </c>
      <c r="P119" s="62" t="str" cm="1">
        <f t="array" ref="P119">Common_InputFunctions.Utility_DisplayArrayInTable(Fertiliser_SourceData.Fertiliser_Products_Data2(),FertiliserProducts[[#Headers],[Include or Exclude]], 20)</f>
        <v/>
      </c>
      <c r="Q119" s="62" t="str" cm="1">
        <f t="array" ref="Q119">Common_InputFunctions.Utility_DisplayArrayInTable(Fertiliser_SourceData.Fertiliser_Products_Data2(),FertiliserProducts[[#Headers],[Include or Exclude]], 20)</f>
        <v/>
      </c>
      <c r="R119" s="62" t="str" cm="1">
        <f t="array" ref="R119">Common_InputFunctions.Utility_DisplayArrayInTable(Fertiliser_SourceData.Fertiliser_Products_Data2(),FertiliserProducts[[#Headers],[Include or Exclude]], 20)</f>
        <v/>
      </c>
      <c r="S119" s="62" t="str" cm="1">
        <f t="array" ref="S119">Common_InputFunctions.Utility_DisplayArrayInTable(Fertiliser_SourceData.Fertiliser_Products_Data2(),FertiliserProducts[[#Headers],[Include or Exclude]], 20)</f>
        <v/>
      </c>
      <c r="T119" s="62" t="str" cm="1">
        <f t="array" ref="T119">Common_InputFunctions.Utility_DisplayArrayInTable(Fertiliser_SourceData.Fertiliser_Products_Data2(),FertiliserProducts[[#Headers],[Include or Exclude]], 20)</f>
        <v/>
      </c>
      <c r="U119" s="62" t="str" cm="1">
        <f t="array" ref="U119">Common_InputFunctions.Utility_DisplayArrayInTable(Fertiliser_SourceData.Fertiliser_Products_Data2(),FertiliserProducts[[#Headers],[Include or Exclude]], 20)</f>
        <v/>
      </c>
      <c r="V119" s="62" t="str" cm="1">
        <f t="array" ref="V119">Common_InputFunctions.Utility_DisplayArrayInTable(Fertiliser_SourceData.Fertiliser_Products_Data2(),FertiliserProducts[[#Headers],[Include or Exclude]], 20)</f>
        <v/>
      </c>
      <c r="W119" s="62" t="str" cm="1">
        <f t="array" ref="W119">Common_InputFunctions.Utility_DisplayArrayInTable(Fertiliser_SourceData.Fertiliser_Products_Data2(),FertiliserProducts[[#Headers],[Include or Exclude]], 20)</f>
        <v>Swancrop</v>
      </c>
      <c r="X119" s="62" t="str" cm="1">
        <f t="array" ref="X119">Common_InputFunctions.Utility_DisplayArrayInTable(Fertiliser_SourceData.Fertiliser_Products_Data2(),FertiliserProducts[[#Headers],[Include or Exclude]], 20)</f>
        <v/>
      </c>
      <c r="Y119" s="62" t="str" cm="1">
        <f t="array" ref="Y119">Common_InputFunctions.Utility_DisplayArrayInTable(Fertiliser_SourceData.Fertiliser_Products_Data2(),FertiliserProducts[[#Headers],[Include or Exclude]], 20)</f>
        <v/>
      </c>
      <c r="Z119" s="62"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1:31" ht="20.100000000000001" customHeight="1" x14ac:dyDescent="0.25">
      <c r="A120"/>
      <c r="D120" s="62" t="str" cm="1">
        <f t="array" ref="D120">Common_InputFunctions.Utility_DisplayArrayInTable(Fertiliser_SourceData.Fertiliser_Products_Data2(),FertiliserProducts[[#Headers],[Include or Exclude]], 20)</f>
        <v>Muriate Of Potash MOP</v>
      </c>
      <c r="E120" s="62" t="str" cm="1">
        <f t="array" ref="E120">Common_InputFunctions.Utility_DisplayArrayInTable(Fertiliser_SourceData.Fertiliser_Products_Data2(),FertiliserProducts[[#Headers],[Include or Exclude]], 20)</f>
        <v/>
      </c>
      <c r="F120" s="62" t="str" cm="1">
        <f t="array" ref="F120">Common_InputFunctions.Utility_DisplayArrayInTable(Fertiliser_SourceData.Fertiliser_Products_Data2(),FertiliserProducts[[#Headers],[Include or Exclude]], 20)</f>
        <v/>
      </c>
      <c r="G120" s="62" t="str" cm="1">
        <f t="array" ref="G120">Common_InputFunctions.Utility_DisplayArrayInTable(Fertiliser_SourceData.Fertiliser_Products_Data2(),FertiliserProducts[[#Headers],[Include or Exclude]], 20)</f>
        <v/>
      </c>
      <c r="H120" s="62" t="str" cm="1">
        <f t="array" ref="H120">Common_InputFunctions.Utility_DisplayArrayInTable(Fertiliser_SourceData.Fertiliser_Products_Data2(),FertiliserProducts[[#Headers],[Include or Exclude]], 20)</f>
        <v/>
      </c>
      <c r="I120" s="62" t="str" cm="1">
        <f t="array" ref="I120">Common_InputFunctions.Utility_DisplayArrayInTable(Fertiliser_SourceData.Fertiliser_Products_Data2(),FertiliserProducts[[#Headers],[Include or Exclude]], 20)</f>
        <v/>
      </c>
      <c r="J120" s="62" t="str" cm="1">
        <f t="array" ref="J120">Common_InputFunctions.Utility_DisplayArrayInTable(Fertiliser_SourceData.Fertiliser_Products_Data2(),FertiliserProducts[[#Headers],[Include or Exclude]], 20)</f>
        <v/>
      </c>
      <c r="K120" s="62" t="str" cm="1">
        <f t="array" ref="K120">Common_InputFunctions.Utility_DisplayArrayInTable(Fertiliser_SourceData.Fertiliser_Products_Data2(),FertiliserProducts[[#Headers],[Include or Exclude]], 20)</f>
        <v/>
      </c>
      <c r="L120" s="62" t="str" cm="1">
        <f t="array" ref="L120">Common_InputFunctions.Utility_DisplayArrayInTable(Fertiliser_SourceData.Fertiliser_Products_Data2(),FertiliserProducts[[#Headers],[Include or Exclude]], 20)</f>
        <v/>
      </c>
      <c r="M120" s="62" t="str" cm="1">
        <f t="array" ref="M120">Common_InputFunctions.Utility_DisplayArrayInTable(Fertiliser_SourceData.Fertiliser_Products_Data2(),FertiliserProducts[[#Headers],[Include or Exclude]], 20)</f>
        <v/>
      </c>
      <c r="N120" s="62" t="str" cm="1">
        <f t="array" ref="N120">Common_InputFunctions.Utility_DisplayArrayInTable(Fertiliser_SourceData.Fertiliser_Products_Data2(),FertiliserProducts[[#Headers],[Include or Exclude]], 20)</f>
        <v/>
      </c>
      <c r="O120" s="62" t="str" cm="1">
        <f t="array" ref="O120">Common_InputFunctions.Utility_DisplayArrayInTable(Fertiliser_SourceData.Fertiliser_Products_Data2(),FertiliserProducts[[#Headers],[Include or Exclude]], 20)</f>
        <v/>
      </c>
      <c r="P120" s="62" t="str" cm="1">
        <f t="array" ref="P120">Common_InputFunctions.Utility_DisplayArrayInTable(Fertiliser_SourceData.Fertiliser_Products_Data2(),FertiliserProducts[[#Headers],[Include or Exclude]], 20)</f>
        <v/>
      </c>
      <c r="Q120" s="62" t="str" cm="1">
        <f t="array" ref="Q120">Common_InputFunctions.Utility_DisplayArrayInTable(Fertiliser_SourceData.Fertiliser_Products_Data2(),FertiliserProducts[[#Headers],[Include or Exclude]], 20)</f>
        <v/>
      </c>
      <c r="R120" s="62" t="str" cm="1">
        <f t="array" ref="R120">Common_InputFunctions.Utility_DisplayArrayInTable(Fertiliser_SourceData.Fertiliser_Products_Data2(),FertiliserProducts[[#Headers],[Include or Exclude]], 20)</f>
        <v/>
      </c>
      <c r="S120" s="62" t="str" cm="1">
        <f t="array" ref="S120">Common_InputFunctions.Utility_DisplayArrayInTable(Fertiliser_SourceData.Fertiliser_Products_Data2(),FertiliserProducts[[#Headers],[Include or Exclude]], 20)</f>
        <v/>
      </c>
      <c r="T120" s="62" t="str" cm="1">
        <f t="array" ref="T120">Common_InputFunctions.Utility_DisplayArrayInTable(Fertiliser_SourceData.Fertiliser_Products_Data2(),FertiliserProducts[[#Headers],[Include or Exclude]], 20)</f>
        <v/>
      </c>
      <c r="U120" s="62" t="str" cm="1">
        <f t="array" ref="U120">Common_InputFunctions.Utility_DisplayArrayInTable(Fertiliser_SourceData.Fertiliser_Products_Data2(),FertiliserProducts[[#Headers],[Include or Exclude]], 20)</f>
        <v/>
      </c>
      <c r="V120" s="62" t="str" cm="1">
        <f t="array" ref="V120">Common_InputFunctions.Utility_DisplayArrayInTable(Fertiliser_SourceData.Fertiliser_Products_Data2(),FertiliserProducts[[#Headers],[Include or Exclude]], 20)</f>
        <v/>
      </c>
      <c r="W120" s="62" t="str" cm="1">
        <f t="array" ref="W120">Common_InputFunctions.Utility_DisplayArrayInTable(Fertiliser_SourceData.Fertiliser_Products_Data2(),FertiliserProducts[[#Headers],[Include or Exclude]], 20)</f>
        <v>MountCompass Fertilisers Blends</v>
      </c>
      <c r="X120" s="62" t="str" cm="1">
        <f t="array" ref="X120">Common_InputFunctions.Utility_DisplayArrayInTable(Fertiliser_SourceData.Fertiliser_Products_Data2(),FertiliserProducts[[#Headers],[Include or Exclude]], 20)</f>
        <v/>
      </c>
      <c r="Y120" s="62" t="str" cm="1">
        <f t="array" ref="Y120">Common_InputFunctions.Utility_DisplayArrayInTable(Fertiliser_SourceData.Fertiliser_Products_Data2(),FertiliserProducts[[#Headers],[Include or Exclude]], 20)</f>
        <v/>
      </c>
      <c r="Z120" s="62"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1:31" ht="20.100000000000001" customHeight="1" x14ac:dyDescent="0.25">
      <c r="A121"/>
      <c r="D121" s="62" t="str" cm="1">
        <f t="array" ref="D121">Common_InputFunctions.Utility_DisplayArrayInTable(Fertiliser_SourceData.Fertiliser_Products_Data2(),FertiliserProducts[[#Headers],[Include or Exclude]], 20)</f>
        <v>NitroPlus</v>
      </c>
      <c r="E121" s="62" t="str" cm="1">
        <f t="array" ref="E121">Common_InputFunctions.Utility_DisplayArrayInTable(Fertiliser_SourceData.Fertiliser_Products_Data2(),FertiliserProducts[[#Headers],[Include or Exclude]], 20)</f>
        <v/>
      </c>
      <c r="F121" s="62" t="str" cm="1">
        <f t="array" ref="F121">Common_InputFunctions.Utility_DisplayArrayInTable(Fertiliser_SourceData.Fertiliser_Products_Data2(),FertiliserProducts[[#Headers],[Include or Exclude]], 20)</f>
        <v/>
      </c>
      <c r="G121" s="62" t="str" cm="1">
        <f t="array" ref="G121">Common_InputFunctions.Utility_DisplayArrayInTable(Fertiliser_SourceData.Fertiliser_Products_Data2(),FertiliserProducts[[#Headers],[Include or Exclude]], 20)</f>
        <v/>
      </c>
      <c r="H121" s="62" t="str" cm="1">
        <f t="array" ref="H121">Common_InputFunctions.Utility_DisplayArrayInTable(Fertiliser_SourceData.Fertiliser_Products_Data2(),FertiliserProducts[[#Headers],[Include or Exclude]], 20)</f>
        <v/>
      </c>
      <c r="I121" s="62" t="str" cm="1">
        <f t="array" ref="I121">Common_InputFunctions.Utility_DisplayArrayInTable(Fertiliser_SourceData.Fertiliser_Products_Data2(),FertiliserProducts[[#Headers],[Include or Exclude]], 20)</f>
        <v/>
      </c>
      <c r="J121" s="62" t="str" cm="1">
        <f t="array" ref="J121">Common_InputFunctions.Utility_DisplayArrayInTable(Fertiliser_SourceData.Fertiliser_Products_Data2(),FertiliserProducts[[#Headers],[Include or Exclude]], 20)</f>
        <v/>
      </c>
      <c r="K121" s="62" t="str" cm="1">
        <f t="array" ref="K121">Common_InputFunctions.Utility_DisplayArrayInTable(Fertiliser_SourceData.Fertiliser_Products_Data2(),FertiliserProducts[[#Headers],[Include or Exclude]], 20)</f>
        <v/>
      </c>
      <c r="L121" s="62" t="str" cm="1">
        <f t="array" ref="L121">Common_InputFunctions.Utility_DisplayArrayInTable(Fertiliser_SourceData.Fertiliser_Products_Data2(),FertiliserProducts[[#Headers],[Include or Exclude]], 20)</f>
        <v/>
      </c>
      <c r="M121" s="62" t="str" cm="1">
        <f t="array" ref="M121">Common_InputFunctions.Utility_DisplayArrayInTable(Fertiliser_SourceData.Fertiliser_Products_Data2(),FertiliserProducts[[#Headers],[Include or Exclude]], 20)</f>
        <v/>
      </c>
      <c r="N121" s="62" t="str" cm="1">
        <f t="array" ref="N121">Common_InputFunctions.Utility_DisplayArrayInTable(Fertiliser_SourceData.Fertiliser_Products_Data2(),FertiliserProducts[[#Headers],[Include or Exclude]], 20)</f>
        <v/>
      </c>
      <c r="O121" s="62" t="str" cm="1">
        <f t="array" ref="O121">Common_InputFunctions.Utility_DisplayArrayInTable(Fertiliser_SourceData.Fertiliser_Products_Data2(),FertiliserProducts[[#Headers],[Include or Exclude]], 20)</f>
        <v/>
      </c>
      <c r="P121" s="62" t="str" cm="1">
        <f t="array" ref="P121">Common_InputFunctions.Utility_DisplayArrayInTable(Fertiliser_SourceData.Fertiliser_Products_Data2(),FertiliserProducts[[#Headers],[Include or Exclude]], 20)</f>
        <v/>
      </c>
      <c r="Q121" s="62" t="str" cm="1">
        <f t="array" ref="Q121">Common_InputFunctions.Utility_DisplayArrayInTable(Fertiliser_SourceData.Fertiliser_Products_Data2(),FertiliserProducts[[#Headers],[Include or Exclude]], 20)</f>
        <v/>
      </c>
      <c r="R121" s="62" t="str" cm="1">
        <f t="array" ref="R121">Common_InputFunctions.Utility_DisplayArrayInTable(Fertiliser_SourceData.Fertiliser_Products_Data2(),FertiliserProducts[[#Headers],[Include or Exclude]], 20)</f>
        <v/>
      </c>
      <c r="S121" s="62" t="str" cm="1">
        <f t="array" ref="S121">Common_InputFunctions.Utility_DisplayArrayInTable(Fertiliser_SourceData.Fertiliser_Products_Data2(),FertiliserProducts[[#Headers],[Include or Exclude]], 20)</f>
        <v/>
      </c>
      <c r="T121" s="62" t="str" cm="1">
        <f t="array" ref="T121">Common_InputFunctions.Utility_DisplayArrayInTable(Fertiliser_SourceData.Fertiliser_Products_Data2(),FertiliserProducts[[#Headers],[Include or Exclude]], 20)</f>
        <v/>
      </c>
      <c r="U121" s="62" t="str" cm="1">
        <f t="array" ref="U121">Common_InputFunctions.Utility_DisplayArrayInTable(Fertiliser_SourceData.Fertiliser_Products_Data2(),FertiliserProducts[[#Headers],[Include or Exclude]], 20)</f>
        <v/>
      </c>
      <c r="V121" s="62" t="str" cm="1">
        <f t="array" ref="V121">Common_InputFunctions.Utility_DisplayArrayInTable(Fertiliser_SourceData.Fertiliser_Products_Data2(),FertiliserProducts[[#Headers],[Include or Exclude]], 20)</f>
        <v/>
      </c>
      <c r="W121" s="62" t="str" cm="1">
        <f t="array" ref="W121">Common_InputFunctions.Utility_DisplayArrayInTable(Fertiliser_SourceData.Fertiliser_Products_Data2(),FertiliserProducts[[#Headers],[Include or Exclude]], 20)</f>
        <v>AgroStock Group Nitro Plus</v>
      </c>
      <c r="X121" s="62" t="str" cm="1">
        <f t="array" ref="X121">Common_InputFunctions.Utility_DisplayArrayInTable(Fertiliser_SourceData.Fertiliser_Products_Data2(),FertiliserProducts[[#Headers],[Include or Exclude]], 20)</f>
        <v/>
      </c>
      <c r="Y121" s="62" t="str" cm="1">
        <f t="array" ref="Y121">Common_InputFunctions.Utility_DisplayArrayInTable(Fertiliser_SourceData.Fertiliser_Products_Data2(),FertiliserProducts[[#Headers],[Include or Exclude]], 20)</f>
        <v/>
      </c>
      <c r="Z121" s="62"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1:31" ht="20.100000000000001" customHeight="1" x14ac:dyDescent="0.25">
      <c r="A122"/>
      <c r="D122" s="62" t="str" cm="1">
        <f t="array" ref="D122">Common_InputFunctions.Utility_DisplayArrayInTable(Fertiliser_SourceData.Fertiliser_Products_Data2(),FertiliserProducts[[#Headers],[Include or Exclude]], 20)</f>
        <v>NutraGold</v>
      </c>
      <c r="E122" s="62" t="str" cm="1">
        <f t="array" ref="E122">Common_InputFunctions.Utility_DisplayArrayInTable(Fertiliser_SourceData.Fertiliser_Products_Data2(),FertiliserProducts[[#Headers],[Include or Exclude]], 20)</f>
        <v/>
      </c>
      <c r="F122" s="62" t="str" cm="1">
        <f t="array" ref="F122">Common_InputFunctions.Utility_DisplayArrayInTable(Fertiliser_SourceData.Fertiliser_Products_Data2(),FertiliserProducts[[#Headers],[Include or Exclude]], 20)</f>
        <v/>
      </c>
      <c r="G122" s="62" t="str" cm="1">
        <f t="array" ref="G122">Common_InputFunctions.Utility_DisplayArrayInTable(Fertiliser_SourceData.Fertiliser_Products_Data2(),FertiliserProducts[[#Headers],[Include or Exclude]], 20)</f>
        <v/>
      </c>
      <c r="H122" s="62" t="str" cm="1">
        <f t="array" ref="H122">Common_InputFunctions.Utility_DisplayArrayInTable(Fertiliser_SourceData.Fertiliser_Products_Data2(),FertiliserProducts[[#Headers],[Include or Exclude]], 20)</f>
        <v/>
      </c>
      <c r="I122" s="62" t="str" cm="1">
        <f t="array" ref="I122">Common_InputFunctions.Utility_DisplayArrayInTable(Fertiliser_SourceData.Fertiliser_Products_Data2(),FertiliserProducts[[#Headers],[Include or Exclude]], 20)</f>
        <v/>
      </c>
      <c r="J122" s="62" t="str" cm="1">
        <f t="array" ref="J122">Common_InputFunctions.Utility_DisplayArrayInTable(Fertiliser_SourceData.Fertiliser_Products_Data2(),FertiliserProducts[[#Headers],[Include or Exclude]], 20)</f>
        <v/>
      </c>
      <c r="K122" s="62" t="str" cm="1">
        <f t="array" ref="K122">Common_InputFunctions.Utility_DisplayArrayInTable(Fertiliser_SourceData.Fertiliser_Products_Data2(),FertiliserProducts[[#Headers],[Include or Exclude]], 20)</f>
        <v/>
      </c>
      <c r="L122" s="62" t="str" cm="1">
        <f t="array" ref="L122">Common_InputFunctions.Utility_DisplayArrayInTable(Fertiliser_SourceData.Fertiliser_Products_Data2(),FertiliserProducts[[#Headers],[Include or Exclude]], 20)</f>
        <v/>
      </c>
      <c r="M122" s="62" t="str" cm="1">
        <f t="array" ref="M122">Common_InputFunctions.Utility_DisplayArrayInTable(Fertiliser_SourceData.Fertiliser_Products_Data2(),FertiliserProducts[[#Headers],[Include or Exclude]], 20)</f>
        <v/>
      </c>
      <c r="N122" s="62" t="str" cm="1">
        <f t="array" ref="N122">Common_InputFunctions.Utility_DisplayArrayInTable(Fertiliser_SourceData.Fertiliser_Products_Data2(),FertiliserProducts[[#Headers],[Include or Exclude]], 20)</f>
        <v/>
      </c>
      <c r="O122" s="62" t="str" cm="1">
        <f t="array" ref="O122">Common_InputFunctions.Utility_DisplayArrayInTable(Fertiliser_SourceData.Fertiliser_Products_Data2(),FertiliserProducts[[#Headers],[Include or Exclude]], 20)</f>
        <v/>
      </c>
      <c r="P122" s="62" t="str" cm="1">
        <f t="array" ref="P122">Common_InputFunctions.Utility_DisplayArrayInTable(Fertiliser_SourceData.Fertiliser_Products_Data2(),FertiliserProducts[[#Headers],[Include or Exclude]], 20)</f>
        <v/>
      </c>
      <c r="Q122" s="62" t="str" cm="1">
        <f t="array" ref="Q122">Common_InputFunctions.Utility_DisplayArrayInTable(Fertiliser_SourceData.Fertiliser_Products_Data2(),FertiliserProducts[[#Headers],[Include or Exclude]], 20)</f>
        <v/>
      </c>
      <c r="R122" s="62" t="str" cm="1">
        <f t="array" ref="R122">Common_InputFunctions.Utility_DisplayArrayInTable(Fertiliser_SourceData.Fertiliser_Products_Data2(),FertiliserProducts[[#Headers],[Include or Exclude]], 20)</f>
        <v/>
      </c>
      <c r="S122" s="62" t="str" cm="1">
        <f t="array" ref="S122">Common_InputFunctions.Utility_DisplayArrayInTable(Fertiliser_SourceData.Fertiliser_Products_Data2(),FertiliserProducts[[#Headers],[Include or Exclude]], 20)</f>
        <v/>
      </c>
      <c r="T122" s="62" t="str" cm="1">
        <f t="array" ref="T122">Common_InputFunctions.Utility_DisplayArrayInTable(Fertiliser_SourceData.Fertiliser_Products_Data2(),FertiliserProducts[[#Headers],[Include or Exclude]], 20)</f>
        <v/>
      </c>
      <c r="U122" s="62" t="str" cm="1">
        <f t="array" ref="U122">Common_InputFunctions.Utility_DisplayArrayInTable(Fertiliser_SourceData.Fertiliser_Products_Data2(),FertiliserProducts[[#Headers],[Include or Exclude]], 20)</f>
        <v/>
      </c>
      <c r="V122" s="62" t="str" cm="1">
        <f t="array" ref="V122">Common_InputFunctions.Utility_DisplayArrayInTable(Fertiliser_SourceData.Fertiliser_Products_Data2(),FertiliserProducts[[#Headers],[Include or Exclude]], 20)</f>
        <v/>
      </c>
      <c r="W122" s="62" t="str" cm="1">
        <f t="array" ref="W122">Common_InputFunctions.Utility_DisplayArrayInTable(Fertiliser_SourceData.Fertiliser_Products_Data2(),FertiliserProducts[[#Headers],[Include or Exclude]], 20)</f>
        <v>Swancrop</v>
      </c>
      <c r="X122" s="62" t="str" cm="1">
        <f t="array" ref="X122">Common_InputFunctions.Utility_DisplayArrayInTable(Fertiliser_SourceData.Fertiliser_Products_Data2(),FertiliserProducts[[#Headers],[Include or Exclude]], 20)</f>
        <v/>
      </c>
      <c r="Y122" s="62" t="str" cm="1">
        <f t="array" ref="Y122">Common_InputFunctions.Utility_DisplayArrayInTable(Fertiliser_SourceData.Fertiliser_Products_Data2(),FertiliserProducts[[#Headers],[Include or Exclude]], 20)</f>
        <v/>
      </c>
      <c r="Z122" s="62"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1:31" ht="20.100000000000001" customHeight="1" x14ac:dyDescent="0.25">
      <c r="A123"/>
      <c r="D123" s="62" t="str" cm="1">
        <f t="array" ref="D123">Common_InputFunctions.Utility_DisplayArrayInTable(Fertiliser_SourceData.Fertiliser_Products_Data2(),FertiliserProducts[[#Headers],[Include or Exclude]], 20)</f>
        <v>Pro Performance 18-3-6</v>
      </c>
      <c r="E123" s="62" t="str" cm="1">
        <f t="array" ref="E123">Common_InputFunctions.Utility_DisplayArrayInTable(Fertiliser_SourceData.Fertiliser_Products_Data2(),FertiliserProducts[[#Headers],[Include or Exclude]], 20)</f>
        <v/>
      </c>
      <c r="F123" s="62" t="str" cm="1">
        <f t="array" ref="F123">Common_InputFunctions.Utility_DisplayArrayInTable(Fertiliser_SourceData.Fertiliser_Products_Data2(),FertiliserProducts[[#Headers],[Include or Exclude]], 20)</f>
        <v/>
      </c>
      <c r="G123" s="62" t="str" cm="1">
        <f t="array" ref="G123">Common_InputFunctions.Utility_DisplayArrayInTable(Fertiliser_SourceData.Fertiliser_Products_Data2(),FertiliserProducts[[#Headers],[Include or Exclude]], 20)</f>
        <v/>
      </c>
      <c r="H123" s="62" t="str" cm="1">
        <f t="array" ref="H123">Common_InputFunctions.Utility_DisplayArrayInTable(Fertiliser_SourceData.Fertiliser_Products_Data2(),FertiliserProducts[[#Headers],[Include or Exclude]], 20)</f>
        <v/>
      </c>
      <c r="I123" s="62" t="str" cm="1">
        <f t="array" ref="I123">Common_InputFunctions.Utility_DisplayArrayInTable(Fertiliser_SourceData.Fertiliser_Products_Data2(),FertiliserProducts[[#Headers],[Include or Exclude]], 20)</f>
        <v/>
      </c>
      <c r="J123" s="62" t="str" cm="1">
        <f t="array" ref="J123">Common_InputFunctions.Utility_DisplayArrayInTable(Fertiliser_SourceData.Fertiliser_Products_Data2(),FertiliserProducts[[#Headers],[Include or Exclude]], 20)</f>
        <v/>
      </c>
      <c r="K123" s="62" t="str" cm="1">
        <f t="array" ref="K123">Common_InputFunctions.Utility_DisplayArrayInTable(Fertiliser_SourceData.Fertiliser_Products_Data2(),FertiliserProducts[[#Headers],[Include or Exclude]], 20)</f>
        <v/>
      </c>
      <c r="L123" s="62" t="str" cm="1">
        <f t="array" ref="L123">Common_InputFunctions.Utility_DisplayArrayInTable(Fertiliser_SourceData.Fertiliser_Products_Data2(),FertiliserProducts[[#Headers],[Include or Exclude]], 20)</f>
        <v/>
      </c>
      <c r="M123" s="62" t="str" cm="1">
        <f t="array" ref="M123">Common_InputFunctions.Utility_DisplayArrayInTable(Fertiliser_SourceData.Fertiliser_Products_Data2(),FertiliserProducts[[#Headers],[Include or Exclude]], 20)</f>
        <v/>
      </c>
      <c r="N123" s="62" t="str" cm="1">
        <f t="array" ref="N123">Common_InputFunctions.Utility_DisplayArrayInTable(Fertiliser_SourceData.Fertiliser_Products_Data2(),FertiliserProducts[[#Headers],[Include or Exclude]], 20)</f>
        <v/>
      </c>
      <c r="O123" s="62" t="str" cm="1">
        <f t="array" ref="O123">Common_InputFunctions.Utility_DisplayArrayInTable(Fertiliser_SourceData.Fertiliser_Products_Data2(),FertiliserProducts[[#Headers],[Include or Exclude]], 20)</f>
        <v/>
      </c>
      <c r="P123" s="62" t="str" cm="1">
        <f t="array" ref="P123">Common_InputFunctions.Utility_DisplayArrayInTable(Fertiliser_SourceData.Fertiliser_Products_Data2(),FertiliserProducts[[#Headers],[Include or Exclude]], 20)</f>
        <v/>
      </c>
      <c r="Q123" s="62" t="str" cm="1">
        <f t="array" ref="Q123">Common_InputFunctions.Utility_DisplayArrayInTable(Fertiliser_SourceData.Fertiliser_Products_Data2(),FertiliserProducts[[#Headers],[Include or Exclude]], 20)</f>
        <v/>
      </c>
      <c r="R123" s="62" t="str" cm="1">
        <f t="array" ref="R123">Common_InputFunctions.Utility_DisplayArrayInTable(Fertiliser_SourceData.Fertiliser_Products_Data2(),FertiliserProducts[[#Headers],[Include or Exclude]], 20)</f>
        <v/>
      </c>
      <c r="S123" s="62" t="str" cm="1">
        <f t="array" ref="S123">Common_InputFunctions.Utility_DisplayArrayInTable(Fertiliser_SourceData.Fertiliser_Products_Data2(),FertiliserProducts[[#Headers],[Include or Exclude]], 20)</f>
        <v/>
      </c>
      <c r="T123" s="62" t="str" cm="1">
        <f t="array" ref="T123">Common_InputFunctions.Utility_DisplayArrayInTable(Fertiliser_SourceData.Fertiliser_Products_Data2(),FertiliserProducts[[#Headers],[Include or Exclude]], 20)</f>
        <v/>
      </c>
      <c r="U123" s="62" t="str" cm="1">
        <f t="array" ref="U123">Common_InputFunctions.Utility_DisplayArrayInTable(Fertiliser_SourceData.Fertiliser_Products_Data2(),FertiliserProducts[[#Headers],[Include or Exclude]], 20)</f>
        <v/>
      </c>
      <c r="V123" s="62" t="str" cm="1">
        <f t="array" ref="V123">Common_InputFunctions.Utility_DisplayArrayInTable(Fertiliser_SourceData.Fertiliser_Products_Data2(),FertiliserProducts[[#Headers],[Include or Exclude]], 20)</f>
        <v/>
      </c>
      <c r="W123" s="62" t="str" cm="1">
        <f t="array" ref="W123">Common_InputFunctions.Utility_DisplayArrayInTable(Fertiliser_SourceData.Fertiliser_Products_Data2(),FertiliserProducts[[#Headers],[Include or Exclude]], 20)</f>
        <v>Pro Turf Formula</v>
      </c>
      <c r="X123" s="62" t="str" cm="1">
        <f t="array" ref="X123">Common_InputFunctions.Utility_DisplayArrayInTable(Fertiliser_SourceData.Fertiliser_Products_Data2(),FertiliserProducts[[#Headers],[Include or Exclude]], 20)</f>
        <v/>
      </c>
      <c r="Y123" s="62" t="str" cm="1">
        <f t="array" ref="Y123">Common_InputFunctions.Utility_DisplayArrayInTable(Fertiliser_SourceData.Fertiliser_Products_Data2(),FertiliserProducts[[#Headers],[Include or Exclude]], 20)</f>
        <v/>
      </c>
      <c r="Z123" s="62"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1:31" ht="20.100000000000001" customHeight="1" x14ac:dyDescent="0.25">
      <c r="A124"/>
      <c r="D124" s="62" t="str" cm="1">
        <f t="array" ref="D124">Common_InputFunctions.Utility_DisplayArrayInTable(Fertiliser_SourceData.Fertiliser_Products_Data2(),FertiliserProducts[[#Headers],[Include or Exclude]], 20)</f>
        <v>SOA</v>
      </c>
      <c r="E124" s="62" t="str" cm="1">
        <f t="array" ref="E124">Common_InputFunctions.Utility_DisplayArrayInTable(Fertiliser_SourceData.Fertiliser_Products_Data2(),FertiliserProducts[[#Headers],[Include or Exclude]], 20)</f>
        <v/>
      </c>
      <c r="F124" s="62" t="str" cm="1">
        <f t="array" ref="F124">Common_InputFunctions.Utility_DisplayArrayInTable(Fertiliser_SourceData.Fertiliser_Products_Data2(),FertiliserProducts[[#Headers],[Include or Exclude]], 20)</f>
        <v/>
      </c>
      <c r="G124" s="62" t="str" cm="1">
        <f t="array" ref="G124">Common_InputFunctions.Utility_DisplayArrayInTable(Fertiliser_SourceData.Fertiliser_Products_Data2(),FertiliserProducts[[#Headers],[Include or Exclude]], 20)</f>
        <v/>
      </c>
      <c r="H124" s="62" t="str" cm="1">
        <f t="array" ref="H124">Common_InputFunctions.Utility_DisplayArrayInTable(Fertiliser_SourceData.Fertiliser_Products_Data2(),FertiliserProducts[[#Headers],[Include or Exclude]], 20)</f>
        <v/>
      </c>
      <c r="I124" s="62" t="str" cm="1">
        <f t="array" ref="I124">Common_InputFunctions.Utility_DisplayArrayInTable(Fertiliser_SourceData.Fertiliser_Products_Data2(),FertiliserProducts[[#Headers],[Include or Exclude]], 20)</f>
        <v/>
      </c>
      <c r="J124" s="62" t="str" cm="1">
        <f t="array" ref="J124">Common_InputFunctions.Utility_DisplayArrayInTable(Fertiliser_SourceData.Fertiliser_Products_Data2(),FertiliserProducts[[#Headers],[Include or Exclude]], 20)</f>
        <v/>
      </c>
      <c r="K124" s="62" t="str" cm="1">
        <f t="array" ref="K124">Common_InputFunctions.Utility_DisplayArrayInTable(Fertiliser_SourceData.Fertiliser_Products_Data2(),FertiliserProducts[[#Headers],[Include or Exclude]], 20)</f>
        <v/>
      </c>
      <c r="L124" s="62" t="str" cm="1">
        <f t="array" ref="L124">Common_InputFunctions.Utility_DisplayArrayInTable(Fertiliser_SourceData.Fertiliser_Products_Data2(),FertiliserProducts[[#Headers],[Include or Exclude]], 20)</f>
        <v/>
      </c>
      <c r="M124" s="62" t="str" cm="1">
        <f t="array" ref="M124">Common_InputFunctions.Utility_DisplayArrayInTable(Fertiliser_SourceData.Fertiliser_Products_Data2(),FertiliserProducts[[#Headers],[Include or Exclude]], 20)</f>
        <v/>
      </c>
      <c r="N124" s="62" t="str" cm="1">
        <f t="array" ref="N124">Common_InputFunctions.Utility_DisplayArrayInTable(Fertiliser_SourceData.Fertiliser_Products_Data2(),FertiliserProducts[[#Headers],[Include or Exclude]], 20)</f>
        <v/>
      </c>
      <c r="O124" s="62" t="str" cm="1">
        <f t="array" ref="O124">Common_InputFunctions.Utility_DisplayArrayInTable(Fertiliser_SourceData.Fertiliser_Products_Data2(),FertiliserProducts[[#Headers],[Include or Exclude]], 20)</f>
        <v/>
      </c>
      <c r="P124" s="62" t="str" cm="1">
        <f t="array" ref="P124">Common_InputFunctions.Utility_DisplayArrayInTable(Fertiliser_SourceData.Fertiliser_Products_Data2(),FertiliserProducts[[#Headers],[Include or Exclude]], 20)</f>
        <v/>
      </c>
      <c r="Q124" s="62" t="str" cm="1">
        <f t="array" ref="Q124">Common_InputFunctions.Utility_DisplayArrayInTable(Fertiliser_SourceData.Fertiliser_Products_Data2(),FertiliserProducts[[#Headers],[Include or Exclude]], 20)</f>
        <v/>
      </c>
      <c r="R124" s="62" t="str" cm="1">
        <f t="array" ref="R124">Common_InputFunctions.Utility_DisplayArrayInTable(Fertiliser_SourceData.Fertiliser_Products_Data2(),FertiliserProducts[[#Headers],[Include or Exclude]], 20)</f>
        <v/>
      </c>
      <c r="S124" s="62" t="str" cm="1">
        <f t="array" ref="S124">Common_InputFunctions.Utility_DisplayArrayInTable(Fertiliser_SourceData.Fertiliser_Products_Data2(),FertiliserProducts[[#Headers],[Include or Exclude]], 20)</f>
        <v/>
      </c>
      <c r="T124" s="62" t="str" cm="1">
        <f t="array" ref="T124">Common_InputFunctions.Utility_DisplayArrayInTable(Fertiliser_SourceData.Fertiliser_Products_Data2(),FertiliserProducts[[#Headers],[Include or Exclude]], 20)</f>
        <v/>
      </c>
      <c r="U124" s="62" t="str" cm="1">
        <f t="array" ref="U124">Common_InputFunctions.Utility_DisplayArrayInTable(Fertiliser_SourceData.Fertiliser_Products_Data2(),FertiliserProducts[[#Headers],[Include or Exclude]], 20)</f>
        <v/>
      </c>
      <c r="V124" s="62" t="str" cm="1">
        <f t="array" ref="V124">Common_InputFunctions.Utility_DisplayArrayInTable(Fertiliser_SourceData.Fertiliser_Products_Data2(),FertiliserProducts[[#Headers],[Include or Exclude]], 20)</f>
        <v/>
      </c>
      <c r="W124" s="62" t="str" cm="1">
        <f t="array" ref="W124">Common_InputFunctions.Utility_DisplayArrayInTable(Fertiliser_SourceData.Fertiliser_Products_Data2(),FertiliserProducts[[#Headers],[Include or Exclude]], 20)</f>
        <v>MountCompass Fertilisers Blends</v>
      </c>
      <c r="X124" s="62" t="str" cm="1">
        <f t="array" ref="X124">Common_InputFunctions.Utility_DisplayArrayInTable(Fertiliser_SourceData.Fertiliser_Products_Data2(),FertiliserProducts[[#Headers],[Include or Exclude]], 20)</f>
        <v/>
      </c>
      <c r="Y124" s="62" t="str" cm="1">
        <f t="array" ref="Y124">Common_InputFunctions.Utility_DisplayArrayInTable(Fertiliser_SourceData.Fertiliser_Products_Data2(),FertiliserProducts[[#Headers],[Include or Exclude]], 20)</f>
        <v/>
      </c>
      <c r="Z124" s="62"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1:31" ht="20.100000000000001" customHeight="1" x14ac:dyDescent="0.25">
      <c r="A125"/>
      <c r="D125" s="62" t="str" cm="1">
        <f t="array" ref="D125">Common_InputFunctions.Utility_DisplayArrayInTable(Fertiliser_SourceData.Fertiliser_Products_Data2(),FertiliserProducts[[#Headers],[Include or Exclude]], 20)</f>
        <v>SSP</v>
      </c>
      <c r="E125" s="62" t="str" cm="1">
        <f t="array" ref="E125">Common_InputFunctions.Utility_DisplayArrayInTable(Fertiliser_SourceData.Fertiliser_Products_Data2(),FertiliserProducts[[#Headers],[Include or Exclude]], 20)</f>
        <v/>
      </c>
      <c r="F125" s="62" t="str" cm="1">
        <f t="array" ref="F125">Common_InputFunctions.Utility_DisplayArrayInTable(Fertiliser_SourceData.Fertiliser_Products_Data2(),FertiliserProducts[[#Headers],[Include or Exclude]], 20)</f>
        <v/>
      </c>
      <c r="G125" s="62" t="str" cm="1">
        <f t="array" ref="G125">Common_InputFunctions.Utility_DisplayArrayInTable(Fertiliser_SourceData.Fertiliser_Products_Data2(),FertiliserProducts[[#Headers],[Include or Exclude]], 20)</f>
        <v/>
      </c>
      <c r="H125" s="62" t="str" cm="1">
        <f t="array" ref="H125">Common_InputFunctions.Utility_DisplayArrayInTable(Fertiliser_SourceData.Fertiliser_Products_Data2(),FertiliserProducts[[#Headers],[Include or Exclude]], 20)</f>
        <v/>
      </c>
      <c r="I125" s="62" t="str" cm="1">
        <f t="array" ref="I125">Common_InputFunctions.Utility_DisplayArrayInTable(Fertiliser_SourceData.Fertiliser_Products_Data2(),FertiliserProducts[[#Headers],[Include or Exclude]], 20)</f>
        <v/>
      </c>
      <c r="J125" s="62" t="str" cm="1">
        <f t="array" ref="J125">Common_InputFunctions.Utility_DisplayArrayInTable(Fertiliser_SourceData.Fertiliser_Products_Data2(),FertiliserProducts[[#Headers],[Include or Exclude]], 20)</f>
        <v/>
      </c>
      <c r="K125" s="62" t="str" cm="1">
        <f t="array" ref="K125">Common_InputFunctions.Utility_DisplayArrayInTable(Fertiliser_SourceData.Fertiliser_Products_Data2(),FertiliserProducts[[#Headers],[Include or Exclude]], 20)</f>
        <v/>
      </c>
      <c r="L125" s="62" t="str" cm="1">
        <f t="array" ref="L125">Common_InputFunctions.Utility_DisplayArrayInTable(Fertiliser_SourceData.Fertiliser_Products_Data2(),FertiliserProducts[[#Headers],[Include or Exclude]], 20)</f>
        <v/>
      </c>
      <c r="M125" s="62" t="str" cm="1">
        <f t="array" ref="M125">Common_InputFunctions.Utility_DisplayArrayInTable(Fertiliser_SourceData.Fertiliser_Products_Data2(),FertiliserProducts[[#Headers],[Include or Exclude]], 20)</f>
        <v/>
      </c>
      <c r="N125" s="62" t="str" cm="1">
        <f t="array" ref="N125">Common_InputFunctions.Utility_DisplayArrayInTable(Fertiliser_SourceData.Fertiliser_Products_Data2(),FertiliserProducts[[#Headers],[Include or Exclude]], 20)</f>
        <v/>
      </c>
      <c r="O125" s="62" t="str" cm="1">
        <f t="array" ref="O125">Common_InputFunctions.Utility_DisplayArrayInTable(Fertiliser_SourceData.Fertiliser_Products_Data2(),FertiliserProducts[[#Headers],[Include or Exclude]], 20)</f>
        <v/>
      </c>
      <c r="P125" s="62" t="str" cm="1">
        <f t="array" ref="P125">Common_InputFunctions.Utility_DisplayArrayInTable(Fertiliser_SourceData.Fertiliser_Products_Data2(),FertiliserProducts[[#Headers],[Include or Exclude]], 20)</f>
        <v/>
      </c>
      <c r="Q125" s="62" t="str" cm="1">
        <f t="array" ref="Q125">Common_InputFunctions.Utility_DisplayArrayInTable(Fertiliser_SourceData.Fertiliser_Products_Data2(),FertiliserProducts[[#Headers],[Include or Exclude]], 20)</f>
        <v/>
      </c>
      <c r="R125" s="62" t="str" cm="1">
        <f t="array" ref="R125">Common_InputFunctions.Utility_DisplayArrayInTable(Fertiliser_SourceData.Fertiliser_Products_Data2(),FertiliserProducts[[#Headers],[Include or Exclude]], 20)</f>
        <v/>
      </c>
      <c r="S125" s="62" t="str" cm="1">
        <f t="array" ref="S125">Common_InputFunctions.Utility_DisplayArrayInTable(Fertiliser_SourceData.Fertiliser_Products_Data2(),FertiliserProducts[[#Headers],[Include or Exclude]], 20)</f>
        <v/>
      </c>
      <c r="T125" s="62" t="str" cm="1">
        <f t="array" ref="T125">Common_InputFunctions.Utility_DisplayArrayInTable(Fertiliser_SourceData.Fertiliser_Products_Data2(),FertiliserProducts[[#Headers],[Include or Exclude]], 20)</f>
        <v/>
      </c>
      <c r="U125" s="62" t="str" cm="1">
        <f t="array" ref="U125">Common_InputFunctions.Utility_DisplayArrayInTable(Fertiliser_SourceData.Fertiliser_Products_Data2(),FertiliserProducts[[#Headers],[Include or Exclude]], 20)</f>
        <v/>
      </c>
      <c r="V125" s="62" t="str" cm="1">
        <f t="array" ref="V125">Common_InputFunctions.Utility_DisplayArrayInTable(Fertiliser_SourceData.Fertiliser_Products_Data2(),FertiliserProducts[[#Headers],[Include or Exclude]], 20)</f>
        <v/>
      </c>
      <c r="W125" s="62" t="str" cm="1">
        <f t="array" ref="W125">Common_InputFunctions.Utility_DisplayArrayInTable(Fertiliser_SourceData.Fertiliser_Products_Data2(),FertiliserProducts[[#Headers],[Include or Exclude]], 20)</f>
        <v>Impact fertilisers</v>
      </c>
      <c r="X125" s="62" t="str" cm="1">
        <f t="array" ref="X125">Common_InputFunctions.Utility_DisplayArrayInTable(Fertiliser_SourceData.Fertiliser_Products_Data2(),FertiliserProducts[[#Headers],[Include or Exclude]], 20)</f>
        <v/>
      </c>
      <c r="Y125" s="62" t="str" cm="1">
        <f t="array" ref="Y125">Common_InputFunctions.Utility_DisplayArrayInTable(Fertiliser_SourceData.Fertiliser_Products_Data2(),FertiliserProducts[[#Headers],[Include or Exclude]], 20)</f>
        <v/>
      </c>
      <c r="Z125" s="62"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1:31" ht="20.100000000000001" customHeight="1" x14ac:dyDescent="0.25">
      <c r="A126"/>
      <c r="D126" s="62" t="str" cm="1">
        <f t="array" ref="D126">Common_InputFunctions.Utility_DisplayArrayInTable(Fertiliser_SourceData.Fertiliser_Products_Data2(),FertiliserProducts[[#Headers],[Include or Exclude]], 20)</f>
        <v>Super Phos</v>
      </c>
      <c r="E126" s="62" t="str" cm="1">
        <f t="array" ref="E126">Common_InputFunctions.Utility_DisplayArrayInTable(Fertiliser_SourceData.Fertiliser_Products_Data2(),FertiliserProducts[[#Headers],[Include or Exclude]], 20)</f>
        <v/>
      </c>
      <c r="F126" s="62" t="str" cm="1">
        <f t="array" ref="F126">Common_InputFunctions.Utility_DisplayArrayInTable(Fertiliser_SourceData.Fertiliser_Products_Data2(),FertiliserProducts[[#Headers],[Include or Exclude]], 20)</f>
        <v/>
      </c>
      <c r="G126" s="62" t="str" cm="1">
        <f t="array" ref="G126">Common_InputFunctions.Utility_DisplayArrayInTable(Fertiliser_SourceData.Fertiliser_Products_Data2(),FertiliserProducts[[#Headers],[Include or Exclude]], 20)</f>
        <v/>
      </c>
      <c r="H126" s="62" t="str" cm="1">
        <f t="array" ref="H126">Common_InputFunctions.Utility_DisplayArrayInTable(Fertiliser_SourceData.Fertiliser_Products_Data2(),FertiliserProducts[[#Headers],[Include or Exclude]], 20)</f>
        <v/>
      </c>
      <c r="I126" s="62" t="str" cm="1">
        <f t="array" ref="I126">Common_InputFunctions.Utility_DisplayArrayInTable(Fertiliser_SourceData.Fertiliser_Products_Data2(),FertiliserProducts[[#Headers],[Include or Exclude]], 20)</f>
        <v/>
      </c>
      <c r="J126" s="62" t="str" cm="1">
        <f t="array" ref="J126">Common_InputFunctions.Utility_DisplayArrayInTable(Fertiliser_SourceData.Fertiliser_Products_Data2(),FertiliserProducts[[#Headers],[Include or Exclude]], 20)</f>
        <v/>
      </c>
      <c r="K126" s="62" t="str" cm="1">
        <f t="array" ref="K126">Common_InputFunctions.Utility_DisplayArrayInTable(Fertiliser_SourceData.Fertiliser_Products_Data2(),FertiliserProducts[[#Headers],[Include or Exclude]], 20)</f>
        <v/>
      </c>
      <c r="L126" s="62" t="str" cm="1">
        <f t="array" ref="L126">Common_InputFunctions.Utility_DisplayArrayInTable(Fertiliser_SourceData.Fertiliser_Products_Data2(),FertiliserProducts[[#Headers],[Include or Exclude]], 20)</f>
        <v/>
      </c>
      <c r="M126" s="62" t="str" cm="1">
        <f t="array" ref="M126">Common_InputFunctions.Utility_DisplayArrayInTable(Fertiliser_SourceData.Fertiliser_Products_Data2(),FertiliserProducts[[#Headers],[Include or Exclude]], 20)</f>
        <v/>
      </c>
      <c r="N126" s="62" t="str" cm="1">
        <f t="array" ref="N126">Common_InputFunctions.Utility_DisplayArrayInTable(Fertiliser_SourceData.Fertiliser_Products_Data2(),FertiliserProducts[[#Headers],[Include or Exclude]], 20)</f>
        <v/>
      </c>
      <c r="O126" s="62" t="str" cm="1">
        <f t="array" ref="O126">Common_InputFunctions.Utility_DisplayArrayInTable(Fertiliser_SourceData.Fertiliser_Products_Data2(),FertiliserProducts[[#Headers],[Include or Exclude]], 20)</f>
        <v/>
      </c>
      <c r="P126" s="62" t="str" cm="1">
        <f t="array" ref="P126">Common_InputFunctions.Utility_DisplayArrayInTable(Fertiliser_SourceData.Fertiliser_Products_Data2(),FertiliserProducts[[#Headers],[Include or Exclude]], 20)</f>
        <v/>
      </c>
      <c r="Q126" s="62" t="str" cm="1">
        <f t="array" ref="Q126">Common_InputFunctions.Utility_DisplayArrayInTable(Fertiliser_SourceData.Fertiliser_Products_Data2(),FertiliserProducts[[#Headers],[Include or Exclude]], 20)</f>
        <v/>
      </c>
      <c r="R126" s="62" t="str" cm="1">
        <f t="array" ref="R126">Common_InputFunctions.Utility_DisplayArrayInTable(Fertiliser_SourceData.Fertiliser_Products_Data2(),FertiliserProducts[[#Headers],[Include or Exclude]], 20)</f>
        <v/>
      </c>
      <c r="S126" s="62" t="str" cm="1">
        <f t="array" ref="S126">Common_InputFunctions.Utility_DisplayArrayInTable(Fertiliser_SourceData.Fertiliser_Products_Data2(),FertiliserProducts[[#Headers],[Include or Exclude]], 20)</f>
        <v/>
      </c>
      <c r="T126" s="62" t="str" cm="1">
        <f t="array" ref="T126">Common_InputFunctions.Utility_DisplayArrayInTable(Fertiliser_SourceData.Fertiliser_Products_Data2(),FertiliserProducts[[#Headers],[Include or Exclude]], 20)</f>
        <v/>
      </c>
      <c r="U126" s="62" t="str" cm="1">
        <f t="array" ref="U126">Common_InputFunctions.Utility_DisplayArrayInTable(Fertiliser_SourceData.Fertiliser_Products_Data2(),FertiliserProducts[[#Headers],[Include or Exclude]], 20)</f>
        <v/>
      </c>
      <c r="V126" s="62" t="str" cm="1">
        <f t="array" ref="V126">Common_InputFunctions.Utility_DisplayArrayInTable(Fertiliser_SourceData.Fertiliser_Products_Data2(),FertiliserProducts[[#Headers],[Include or Exclude]], 20)</f>
        <v/>
      </c>
      <c r="W126" s="62" t="str" cm="1">
        <f t="array" ref="W126">Common_InputFunctions.Utility_DisplayArrayInTable(Fertiliser_SourceData.Fertiliser_Products_Data2(),FertiliserProducts[[#Headers],[Include or Exclude]], 20)</f>
        <v>CSBP Super PHOS</v>
      </c>
      <c r="X126" s="62" t="str" cm="1">
        <f t="array" ref="X126">Common_InputFunctions.Utility_DisplayArrayInTable(Fertiliser_SourceData.Fertiliser_Products_Data2(),FertiliserProducts[[#Headers],[Include or Exclude]], 20)</f>
        <v/>
      </c>
      <c r="Y126" s="62" t="str" cm="1">
        <f t="array" ref="Y126">Common_InputFunctions.Utility_DisplayArrayInTable(Fertiliser_SourceData.Fertiliser_Products_Data2(),FertiliserProducts[[#Headers],[Include or Exclude]], 20)</f>
        <v/>
      </c>
      <c r="Z126" s="62"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1:31" ht="20.100000000000001" customHeight="1" x14ac:dyDescent="0.25">
      <c r="A127"/>
      <c r="D127" s="62" t="str" cm="1">
        <f t="array" ref="D127">Common_InputFunctions.Utility_DisplayArrayInTable(Fertiliser_SourceData.Fertiliser_Products_Data2(),FertiliserProducts[[#Headers],[Include or Exclude]], 20)</f>
        <v>Super SR Extra</v>
      </c>
      <c r="E127" s="62" t="str" cm="1">
        <f t="array" ref="E127">Common_InputFunctions.Utility_DisplayArrayInTable(Fertiliser_SourceData.Fertiliser_Products_Data2(),FertiliserProducts[[#Headers],[Include or Exclude]], 20)</f>
        <v/>
      </c>
      <c r="F127" s="62" t="str" cm="1">
        <f t="array" ref="F127">Common_InputFunctions.Utility_DisplayArrayInTable(Fertiliser_SourceData.Fertiliser_Products_Data2(),FertiliserProducts[[#Headers],[Include or Exclude]], 20)</f>
        <v/>
      </c>
      <c r="G127" s="62" t="str" cm="1">
        <f t="array" ref="G127">Common_InputFunctions.Utility_DisplayArrayInTable(Fertiliser_SourceData.Fertiliser_Products_Data2(),FertiliserProducts[[#Headers],[Include or Exclude]], 20)</f>
        <v/>
      </c>
      <c r="H127" s="62" t="str" cm="1">
        <f t="array" ref="H127">Common_InputFunctions.Utility_DisplayArrayInTable(Fertiliser_SourceData.Fertiliser_Products_Data2(),FertiliserProducts[[#Headers],[Include or Exclude]], 20)</f>
        <v/>
      </c>
      <c r="I127" s="62" t="str" cm="1">
        <f t="array" ref="I127">Common_InputFunctions.Utility_DisplayArrayInTable(Fertiliser_SourceData.Fertiliser_Products_Data2(),FertiliserProducts[[#Headers],[Include or Exclude]], 20)</f>
        <v/>
      </c>
      <c r="J127" s="62" t="str" cm="1">
        <f t="array" ref="J127">Common_InputFunctions.Utility_DisplayArrayInTable(Fertiliser_SourceData.Fertiliser_Products_Data2(),FertiliserProducts[[#Headers],[Include or Exclude]], 20)</f>
        <v/>
      </c>
      <c r="K127" s="62" t="str" cm="1">
        <f t="array" ref="K127">Common_InputFunctions.Utility_DisplayArrayInTable(Fertiliser_SourceData.Fertiliser_Products_Data2(),FertiliserProducts[[#Headers],[Include or Exclude]], 20)</f>
        <v/>
      </c>
      <c r="L127" s="62" t="str" cm="1">
        <f t="array" ref="L127">Common_InputFunctions.Utility_DisplayArrayInTable(Fertiliser_SourceData.Fertiliser_Products_Data2(),FertiliserProducts[[#Headers],[Include or Exclude]], 20)</f>
        <v/>
      </c>
      <c r="M127" s="62" t="str" cm="1">
        <f t="array" ref="M127">Common_InputFunctions.Utility_DisplayArrayInTable(Fertiliser_SourceData.Fertiliser_Products_Data2(),FertiliserProducts[[#Headers],[Include or Exclude]], 20)</f>
        <v/>
      </c>
      <c r="N127" s="62" t="str" cm="1">
        <f t="array" ref="N127">Common_InputFunctions.Utility_DisplayArrayInTable(Fertiliser_SourceData.Fertiliser_Products_Data2(),FertiliserProducts[[#Headers],[Include or Exclude]], 20)</f>
        <v/>
      </c>
      <c r="O127" s="62" t="str" cm="1">
        <f t="array" ref="O127">Common_InputFunctions.Utility_DisplayArrayInTable(Fertiliser_SourceData.Fertiliser_Products_Data2(),FertiliserProducts[[#Headers],[Include or Exclude]], 20)</f>
        <v/>
      </c>
      <c r="P127" s="62" t="str" cm="1">
        <f t="array" ref="P127">Common_InputFunctions.Utility_DisplayArrayInTable(Fertiliser_SourceData.Fertiliser_Products_Data2(),FertiliserProducts[[#Headers],[Include or Exclude]], 20)</f>
        <v/>
      </c>
      <c r="Q127" s="62" t="str" cm="1">
        <f t="array" ref="Q127">Common_InputFunctions.Utility_DisplayArrayInTable(Fertiliser_SourceData.Fertiliser_Products_Data2(),FertiliserProducts[[#Headers],[Include or Exclude]], 20)</f>
        <v/>
      </c>
      <c r="R127" s="62" t="str" cm="1">
        <f t="array" ref="R127">Common_InputFunctions.Utility_DisplayArrayInTable(Fertiliser_SourceData.Fertiliser_Products_Data2(),FertiliserProducts[[#Headers],[Include or Exclude]], 20)</f>
        <v/>
      </c>
      <c r="S127" s="62" t="str" cm="1">
        <f t="array" ref="S127">Common_InputFunctions.Utility_DisplayArrayInTable(Fertiliser_SourceData.Fertiliser_Products_Data2(),FertiliserProducts[[#Headers],[Include or Exclude]], 20)</f>
        <v/>
      </c>
      <c r="T127" s="62" t="str" cm="1">
        <f t="array" ref="T127">Common_InputFunctions.Utility_DisplayArrayInTable(Fertiliser_SourceData.Fertiliser_Products_Data2(),FertiliserProducts[[#Headers],[Include or Exclude]], 20)</f>
        <v/>
      </c>
      <c r="U127" s="62" t="str" cm="1">
        <f t="array" ref="U127">Common_InputFunctions.Utility_DisplayArrayInTable(Fertiliser_SourceData.Fertiliser_Products_Data2(),FertiliserProducts[[#Headers],[Include or Exclude]], 20)</f>
        <v/>
      </c>
      <c r="V127" s="62" t="str" cm="1">
        <f t="array" ref="V127">Common_InputFunctions.Utility_DisplayArrayInTable(Fertiliser_SourceData.Fertiliser_Products_Data2(),FertiliserProducts[[#Headers],[Include or Exclude]], 20)</f>
        <v/>
      </c>
      <c r="W127" s="62" t="str" cm="1">
        <f t="array" ref="W127">Common_InputFunctions.Utility_DisplayArrayInTable(Fertiliser_SourceData.Fertiliser_Products_Data2(),FertiliserProducts[[#Headers],[Include or Exclude]], 20)</f>
        <v>CSBP Super Potash</v>
      </c>
      <c r="X127" s="62" t="str" cm="1">
        <f t="array" ref="X127">Common_InputFunctions.Utility_DisplayArrayInTable(Fertiliser_SourceData.Fertiliser_Products_Data2(),FertiliserProducts[[#Headers],[Include or Exclude]], 20)</f>
        <v/>
      </c>
      <c r="Y127" s="62" t="str" cm="1">
        <f t="array" ref="Y127">Common_InputFunctions.Utility_DisplayArrayInTable(Fertiliser_SourceData.Fertiliser_Products_Data2(),FertiliserProducts[[#Headers],[Include or Exclude]], 20)</f>
        <v/>
      </c>
      <c r="Z127" s="62"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1:31" ht="20.100000000000001" customHeight="1" x14ac:dyDescent="0.25">
      <c r="A128"/>
      <c r="D128" s="62" t="str" cm="1">
        <f t="array" ref="D128">Common_InputFunctions.Utility_DisplayArrayInTable(Fertiliser_SourceData.Fertiliser_Products_Data2(),FertiliserProducts[[#Headers],[Include or Exclude]], 20)</f>
        <v>SuPerfect</v>
      </c>
      <c r="E128" s="62" t="str" cm="1">
        <f t="array" ref="E128">Common_InputFunctions.Utility_DisplayArrayInTable(Fertiliser_SourceData.Fertiliser_Products_Data2(),FertiliserProducts[[#Headers],[Include or Exclude]], 20)</f>
        <v/>
      </c>
      <c r="F128" s="62" t="str" cm="1">
        <f t="array" ref="F128">Common_InputFunctions.Utility_DisplayArrayInTable(Fertiliser_SourceData.Fertiliser_Products_Data2(),FertiliserProducts[[#Headers],[Include or Exclude]], 20)</f>
        <v/>
      </c>
      <c r="G128" s="62" t="str" cm="1">
        <f t="array" ref="G128">Common_InputFunctions.Utility_DisplayArrayInTable(Fertiliser_SourceData.Fertiliser_Products_Data2(),FertiliserProducts[[#Headers],[Include or Exclude]], 20)</f>
        <v/>
      </c>
      <c r="H128" s="62" t="str" cm="1">
        <f t="array" ref="H128">Common_InputFunctions.Utility_DisplayArrayInTable(Fertiliser_SourceData.Fertiliser_Products_Data2(),FertiliserProducts[[#Headers],[Include or Exclude]], 20)</f>
        <v/>
      </c>
      <c r="I128" s="62" t="str" cm="1">
        <f t="array" ref="I128">Common_InputFunctions.Utility_DisplayArrayInTable(Fertiliser_SourceData.Fertiliser_Products_Data2(),FertiliserProducts[[#Headers],[Include or Exclude]], 20)</f>
        <v/>
      </c>
      <c r="J128" s="62" t="str" cm="1">
        <f t="array" ref="J128">Common_InputFunctions.Utility_DisplayArrayInTable(Fertiliser_SourceData.Fertiliser_Products_Data2(),FertiliserProducts[[#Headers],[Include or Exclude]], 20)</f>
        <v/>
      </c>
      <c r="K128" s="62" t="str" cm="1">
        <f t="array" ref="K128">Common_InputFunctions.Utility_DisplayArrayInTable(Fertiliser_SourceData.Fertiliser_Products_Data2(),FertiliserProducts[[#Headers],[Include or Exclude]], 20)</f>
        <v/>
      </c>
      <c r="L128" s="62" t="str" cm="1">
        <f t="array" ref="L128">Common_InputFunctions.Utility_DisplayArrayInTable(Fertiliser_SourceData.Fertiliser_Products_Data2(),FertiliserProducts[[#Headers],[Include or Exclude]], 20)</f>
        <v/>
      </c>
      <c r="M128" s="62" t="str" cm="1">
        <f t="array" ref="M128">Common_InputFunctions.Utility_DisplayArrayInTable(Fertiliser_SourceData.Fertiliser_Products_Data2(),FertiliserProducts[[#Headers],[Include or Exclude]], 20)</f>
        <v/>
      </c>
      <c r="N128" s="62" t="str" cm="1">
        <f t="array" ref="N128">Common_InputFunctions.Utility_DisplayArrayInTable(Fertiliser_SourceData.Fertiliser_Products_Data2(),FertiliserProducts[[#Headers],[Include or Exclude]], 20)</f>
        <v/>
      </c>
      <c r="O128" s="62" t="str" cm="1">
        <f t="array" ref="O128">Common_InputFunctions.Utility_DisplayArrayInTable(Fertiliser_SourceData.Fertiliser_Products_Data2(),FertiliserProducts[[#Headers],[Include or Exclude]], 20)</f>
        <v/>
      </c>
      <c r="P128" s="62" t="str" cm="1">
        <f t="array" ref="P128">Common_InputFunctions.Utility_DisplayArrayInTable(Fertiliser_SourceData.Fertiliser_Products_Data2(),FertiliserProducts[[#Headers],[Include or Exclude]], 20)</f>
        <v/>
      </c>
      <c r="Q128" s="62" t="str" cm="1">
        <f t="array" ref="Q128">Common_InputFunctions.Utility_DisplayArrayInTable(Fertiliser_SourceData.Fertiliser_Products_Data2(),FertiliserProducts[[#Headers],[Include or Exclude]], 20)</f>
        <v/>
      </c>
      <c r="R128" s="62" t="str" cm="1">
        <f t="array" ref="R128">Common_InputFunctions.Utility_DisplayArrayInTable(Fertiliser_SourceData.Fertiliser_Products_Data2(),FertiliserProducts[[#Headers],[Include or Exclude]], 20)</f>
        <v/>
      </c>
      <c r="S128" s="62" t="str" cm="1">
        <f t="array" ref="S128">Common_InputFunctions.Utility_DisplayArrayInTable(Fertiliser_SourceData.Fertiliser_Products_Data2(),FertiliserProducts[[#Headers],[Include or Exclude]], 20)</f>
        <v/>
      </c>
      <c r="T128" s="62" t="str" cm="1">
        <f t="array" ref="T128">Common_InputFunctions.Utility_DisplayArrayInTable(Fertiliser_SourceData.Fertiliser_Products_Data2(),FertiliserProducts[[#Headers],[Include or Exclude]], 20)</f>
        <v/>
      </c>
      <c r="U128" s="62" t="str" cm="1">
        <f t="array" ref="U128">Common_InputFunctions.Utility_DisplayArrayInTable(Fertiliser_SourceData.Fertiliser_Products_Data2(),FertiliserProducts[[#Headers],[Include or Exclude]], 20)</f>
        <v/>
      </c>
      <c r="V128" s="62" t="str" cm="1">
        <f t="array" ref="V128">Common_InputFunctions.Utility_DisplayArrayInTable(Fertiliser_SourceData.Fertiliser_Products_Data2(),FertiliserProducts[[#Headers],[Include or Exclude]], 20)</f>
        <v/>
      </c>
      <c r="W128" s="62" t="str" cm="1">
        <f t="array" ref="W128">Common_InputFunctions.Utility_DisplayArrayInTable(Fertiliser_SourceData.Fertiliser_Products_Data2(),FertiliserProducts[[#Headers],[Include or Exclude]], 20)</f>
        <v>Incitec Pivot Fertilisers</v>
      </c>
      <c r="X128" s="62" t="str" cm="1">
        <f t="array" ref="X128">Common_InputFunctions.Utility_DisplayArrayInTable(Fertiliser_SourceData.Fertiliser_Products_Data2(),FertiliserProducts[[#Headers],[Include or Exclude]], 20)</f>
        <v/>
      </c>
      <c r="Y128" s="62" t="str" cm="1">
        <f t="array" ref="Y128">Common_InputFunctions.Utility_DisplayArrayInTable(Fertiliser_SourceData.Fertiliser_Products_Data2(),FertiliserProducts[[#Headers],[Include or Exclude]], 20)</f>
        <v/>
      </c>
      <c r="Z128" s="62"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1:31" ht="20.100000000000001" customHeight="1" x14ac:dyDescent="0.25">
      <c r="A129"/>
      <c r="D129" s="62" t="str" cm="1">
        <f t="array" ref="D129">Common_InputFunctions.Utility_DisplayArrayInTable(Fertiliser_SourceData.Fertiliser_Products_Data3(),FertiliserProducts[[#Headers],[Include or Exclude]], 40)</f>
        <v>Product</v>
      </c>
      <c r="E129" s="62" t="str" cm="1">
        <f t="array" ref="E129">Common_InputFunctions.Utility_DisplayArrayInTable(Fertiliser_SourceData.Fertiliser_Products_Data3(),FertiliserProducts[[#Headers],[Include or Exclude]], 40)</f>
        <v>Ingredient 1</v>
      </c>
      <c r="F129" s="62" t="str" cm="1">
        <f t="array" ref="F129">Common_InputFunctions.Utility_DisplayArrayInTable(Fertiliser_SourceData.Fertiliser_Products_Data3(),FertiliserProducts[[#Headers],[Include or Exclude]], 40)</f>
        <v>Ingredient 1 percent</v>
      </c>
      <c r="G129" s="62" t="str" cm="1">
        <f t="array" ref="G129">Common_InputFunctions.Utility_DisplayArrayInTable(Fertiliser_SourceData.Fertiliser_Products_Data3(),FertiliserProducts[[#Headers],[Include or Exclude]], 40)</f>
        <v>Ingredient 1 source</v>
      </c>
      <c r="H129" s="62" t="str" cm="1">
        <f t="array" ref="H129">Common_InputFunctions.Utility_DisplayArrayInTable(Fertiliser_SourceData.Fertiliser_Products_Data3(),FertiliserProducts[[#Headers],[Include or Exclude]], 40)</f>
        <v>Ingredient 2</v>
      </c>
      <c r="I129" s="62" t="str" cm="1">
        <f t="array" ref="I129">Common_InputFunctions.Utility_DisplayArrayInTable(Fertiliser_SourceData.Fertiliser_Products_Data3(),FertiliserProducts[[#Headers],[Include or Exclude]], 40)</f>
        <v>Ingredient 2 percent</v>
      </c>
      <c r="J129" s="62" t="str" cm="1">
        <f t="array" ref="J129">Common_InputFunctions.Utility_DisplayArrayInTable(Fertiliser_SourceData.Fertiliser_Products_Data3(),FertiliserProducts[[#Headers],[Include or Exclude]], 40)</f>
        <v>Ingredient 2 source</v>
      </c>
      <c r="K129" s="62" t="str" cm="1">
        <f t="array" ref="K129">Common_InputFunctions.Utility_DisplayArrayInTable(Fertiliser_SourceData.Fertiliser_Products_Data3(),FertiliserProducts[[#Headers],[Include or Exclude]], 40)</f>
        <v>Ingredient 3</v>
      </c>
      <c r="L129" s="62" t="str" cm="1">
        <f t="array" ref="L129">Common_InputFunctions.Utility_DisplayArrayInTable(Fertiliser_SourceData.Fertiliser_Products_Data3(),FertiliserProducts[[#Headers],[Include or Exclude]], 40)</f>
        <v>Ingredient 3 percent</v>
      </c>
      <c r="M129" s="62" t="str" cm="1">
        <f t="array" ref="M129">Common_InputFunctions.Utility_DisplayArrayInTable(Fertiliser_SourceData.Fertiliser_Products_Data3(),FertiliserProducts[[#Headers],[Include or Exclude]], 40)</f>
        <v>Ingredient 3 source</v>
      </c>
      <c r="N129" s="62" t="str" cm="1">
        <f t="array" ref="N129">Common_InputFunctions.Utility_DisplayArrayInTable(Fertiliser_SourceData.Fertiliser_Products_Data3(),FertiliserProducts[[#Headers],[Include or Exclude]], 40)</f>
        <v>Ingredient 4</v>
      </c>
      <c r="O129" s="62" t="str" cm="1">
        <f t="array" ref="O129">Common_InputFunctions.Utility_DisplayArrayInTable(Fertiliser_SourceData.Fertiliser_Products_Data3(),FertiliserProducts[[#Headers],[Include or Exclude]], 40)</f>
        <v>Ingredient 4 percent</v>
      </c>
      <c r="P129" s="62" t="str" cm="1">
        <f t="array" ref="P129">Common_InputFunctions.Utility_DisplayArrayInTable(Fertiliser_SourceData.Fertiliser_Products_Data3(),FertiliserProducts[[#Headers],[Include or Exclude]], 40)</f>
        <v>Ingredient 4 source</v>
      </c>
      <c r="Q129" s="62" t="str" cm="1">
        <f t="array" ref="Q129">Common_InputFunctions.Utility_DisplayArrayInTable(Fertiliser_SourceData.Fertiliser_Products_Data3(),FertiliserProducts[[#Headers],[Include or Exclude]], 40)</f>
        <v>Ingredient 5</v>
      </c>
      <c r="R129" s="62" t="str" cm="1">
        <f t="array" ref="R129">Common_InputFunctions.Utility_DisplayArrayInTable(Fertiliser_SourceData.Fertiliser_Products_Data3(),FertiliserProducts[[#Headers],[Include or Exclude]], 40)</f>
        <v>Ingredient 5 percent</v>
      </c>
      <c r="S129" s="62" t="str" cm="1">
        <f t="array" ref="S129">Common_InputFunctions.Utility_DisplayArrayInTable(Fertiliser_SourceData.Fertiliser_Products_Data3(),FertiliserProducts[[#Headers],[Include or Exclude]], 40)</f>
        <v>Ingredient 5 source</v>
      </c>
      <c r="T129" s="62" t="str" cm="1">
        <f t="array" ref="T129">Common_InputFunctions.Utility_DisplayArrayInTable(Fertiliser_SourceData.Fertiliser_Products_Data3(),FertiliserProducts[[#Headers],[Include or Exclude]], 40)</f>
        <v>Ingredient 6</v>
      </c>
      <c r="U129" s="62" t="str" cm="1">
        <f t="array" ref="U129">Common_InputFunctions.Utility_DisplayArrayInTable(Fertiliser_SourceData.Fertiliser_Products_Data3(),FertiliserProducts[[#Headers],[Include or Exclude]], 40)</f>
        <v>Ingredient 6 percent</v>
      </c>
      <c r="V129" s="62" t="str" cm="1">
        <f t="array" ref="V129">Common_InputFunctions.Utility_DisplayArrayInTable(Fertiliser_SourceData.Fertiliser_Products_Data3(),FertiliserProducts[[#Headers],[Include or Exclude]], 40)</f>
        <v>Ingredient 6 source</v>
      </c>
      <c r="W129" s="62" t="str" cm="1">
        <f t="array" ref="W129">Common_InputFunctions.Utility_DisplayArrayInTable(Fertiliser_SourceData.Fertiliser_Products_Data3(),FertiliserProducts[[#Headers],[Include or Exclude]], 40)</f>
        <v>Product info link</v>
      </c>
      <c r="X129" s="62" t="str" cm="1">
        <f t="array" ref="X129">Common_InputFunctions.Utility_DisplayArrayInTable(Fertiliser_SourceData.Fertiliser_Products_Data3(),FertiliserProducts[[#Headers],[Include or Exclude]], 40)</f>
        <v/>
      </c>
      <c r="Y129" s="62" t="str" cm="1">
        <f t="array" ref="Y129">Common_InputFunctions.Utility_DisplayArrayInTable(Fertiliser_SourceData.Fertiliser_Products_Data3(),FertiliserProducts[[#Headers],[Include or Exclude]], 40)</f>
        <v/>
      </c>
      <c r="Z129" s="62"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1:31" ht="20.100000000000001" customHeight="1" x14ac:dyDescent="0.25">
      <c r="A130"/>
      <c r="D130" s="62" t="str" cm="1">
        <f t="array" ref="D130">Common_InputFunctions.Utility_DisplayArrayInTable(Fertiliser_SourceData.Fertiliser_Products_Data3(),FertiliserProducts[[#Headers],[Include or Exclude]], 40)</f>
        <v>Yara K-Flow 0-0-15</v>
      </c>
      <c r="E130" s="62" t="str" cm="1">
        <f t="array" ref="E130">Common_InputFunctions.Utility_DisplayArrayInTable(Fertiliser_SourceData.Fertiliser_Products_Data3(),FertiliserProducts[[#Headers],[Include or Exclude]], 40)</f>
        <v/>
      </c>
      <c r="F130" s="62" t="str" cm="1">
        <f t="array" ref="F130">Common_InputFunctions.Utility_DisplayArrayInTable(Fertiliser_SourceData.Fertiliser_Products_Data3(),FertiliserProducts[[#Headers],[Include or Exclude]], 40)</f>
        <v/>
      </c>
      <c r="G130" s="62" t="str" cm="1">
        <f t="array" ref="G130">Common_InputFunctions.Utility_DisplayArrayInTable(Fertiliser_SourceData.Fertiliser_Products_Data3(),FertiliserProducts[[#Headers],[Include or Exclude]], 40)</f>
        <v/>
      </c>
      <c r="H130" s="62" t="str" cm="1">
        <f t="array" ref="H130">Common_InputFunctions.Utility_DisplayArrayInTable(Fertiliser_SourceData.Fertiliser_Products_Data3(),FertiliserProducts[[#Headers],[Include or Exclude]], 40)</f>
        <v/>
      </c>
      <c r="I130" s="62" t="str" cm="1">
        <f t="array" ref="I130">Common_InputFunctions.Utility_DisplayArrayInTable(Fertiliser_SourceData.Fertiliser_Products_Data3(),FertiliserProducts[[#Headers],[Include or Exclude]], 40)</f>
        <v/>
      </c>
      <c r="J130" s="62" t="str" cm="1">
        <f t="array" ref="J130">Common_InputFunctions.Utility_DisplayArrayInTable(Fertiliser_SourceData.Fertiliser_Products_Data3(),FertiliserProducts[[#Headers],[Include or Exclude]], 40)</f>
        <v/>
      </c>
      <c r="K130" s="62" t="str" cm="1">
        <f t="array" ref="K130">Common_InputFunctions.Utility_DisplayArrayInTable(Fertiliser_SourceData.Fertiliser_Products_Data3(),FertiliserProducts[[#Headers],[Include or Exclude]], 40)</f>
        <v/>
      </c>
      <c r="L130" s="62" t="str" cm="1">
        <f t="array" ref="L130">Common_InputFunctions.Utility_DisplayArrayInTable(Fertiliser_SourceData.Fertiliser_Products_Data3(),FertiliserProducts[[#Headers],[Include or Exclude]], 40)</f>
        <v/>
      </c>
      <c r="M130" s="62" t="str" cm="1">
        <f t="array" ref="M130">Common_InputFunctions.Utility_DisplayArrayInTable(Fertiliser_SourceData.Fertiliser_Products_Data3(),FertiliserProducts[[#Headers],[Include or Exclude]], 40)</f>
        <v/>
      </c>
      <c r="N130" s="62" t="str" cm="1">
        <f t="array" ref="N130">Common_InputFunctions.Utility_DisplayArrayInTable(Fertiliser_SourceData.Fertiliser_Products_Data3(),FertiliserProducts[[#Headers],[Include or Exclude]], 40)</f>
        <v/>
      </c>
      <c r="O130" s="62" t="str" cm="1">
        <f t="array" ref="O130">Common_InputFunctions.Utility_DisplayArrayInTable(Fertiliser_SourceData.Fertiliser_Products_Data3(),FertiliserProducts[[#Headers],[Include or Exclude]], 40)</f>
        <v/>
      </c>
      <c r="P130" s="62" t="str" cm="1">
        <f t="array" ref="P130">Common_InputFunctions.Utility_DisplayArrayInTable(Fertiliser_SourceData.Fertiliser_Products_Data3(),FertiliserProducts[[#Headers],[Include or Exclude]], 40)</f>
        <v/>
      </c>
      <c r="Q130" s="62" t="str" cm="1">
        <f t="array" ref="Q130">Common_InputFunctions.Utility_DisplayArrayInTable(Fertiliser_SourceData.Fertiliser_Products_Data3(),FertiliserProducts[[#Headers],[Include or Exclude]], 40)</f>
        <v/>
      </c>
      <c r="R130" s="62" t="str" cm="1">
        <f t="array" ref="R130">Common_InputFunctions.Utility_DisplayArrayInTable(Fertiliser_SourceData.Fertiliser_Products_Data3(),FertiliserProducts[[#Headers],[Include or Exclude]], 40)</f>
        <v/>
      </c>
      <c r="S130" s="62" t="str" cm="1">
        <f t="array" ref="S130">Common_InputFunctions.Utility_DisplayArrayInTable(Fertiliser_SourceData.Fertiliser_Products_Data3(),FertiliserProducts[[#Headers],[Include or Exclude]], 40)</f>
        <v/>
      </c>
      <c r="T130" s="62" t="str" cm="1">
        <f t="array" ref="T130">Common_InputFunctions.Utility_DisplayArrayInTable(Fertiliser_SourceData.Fertiliser_Products_Data3(),FertiliserProducts[[#Headers],[Include or Exclude]], 40)</f>
        <v/>
      </c>
      <c r="U130" s="62" t="str" cm="1">
        <f t="array" ref="U130">Common_InputFunctions.Utility_DisplayArrayInTable(Fertiliser_SourceData.Fertiliser_Products_Data3(),FertiliserProducts[[#Headers],[Include or Exclude]], 40)</f>
        <v/>
      </c>
      <c r="V130" s="62" t="str" cm="1">
        <f t="array" ref="V130">Common_InputFunctions.Utility_DisplayArrayInTable(Fertiliser_SourceData.Fertiliser_Products_Data3(),FertiliserProducts[[#Headers],[Include or Exclude]], 40)</f>
        <v/>
      </c>
      <c r="W130" s="62" t="str" cm="1">
        <f t="array" ref="W130">Common_InputFunctions.Utility_DisplayArrayInTable(Fertiliser_SourceData.Fertiliser_Products_Data3(),FertiliserProducts[[#Headers],[Include or Exclude]], 40)</f>
        <v>Crop Nutrition Solutions (Yara Australia)</v>
      </c>
      <c r="X130" s="62" t="str" cm="1">
        <f t="array" ref="X130">Common_InputFunctions.Utility_DisplayArrayInTable(Fertiliser_SourceData.Fertiliser_Products_Data3(),FertiliserProducts[[#Headers],[Include or Exclude]], 40)</f>
        <v/>
      </c>
      <c r="Y130" s="62" t="str" cm="1">
        <f t="array" ref="Y130">Common_InputFunctions.Utility_DisplayArrayInTable(Fertiliser_SourceData.Fertiliser_Products_Data3(),FertiliserProducts[[#Headers],[Include or Exclude]], 40)</f>
        <v/>
      </c>
      <c r="Z130" s="62"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1:31" ht="20.100000000000001" customHeight="1" x14ac:dyDescent="0.25">
      <c r="A131"/>
      <c r="D131" s="62" t="str" cm="1">
        <f t="array" ref="D131">Common_InputFunctions.Utility_DisplayArrayInTable(Fertiliser_SourceData.Fertiliser_Products_Data3(),FertiliserProducts[[#Headers],[Include or Exclude]], 40)</f>
        <v>Yara K-Flow 0-14-30</v>
      </c>
      <c r="E131" s="62" t="str" cm="1">
        <f t="array" ref="E131">Common_InputFunctions.Utility_DisplayArrayInTable(Fertiliser_SourceData.Fertiliser_Products_Data3(),FertiliserProducts[[#Headers],[Include or Exclude]], 40)</f>
        <v/>
      </c>
      <c r="F131" s="62" t="str" cm="1">
        <f t="array" ref="F131">Common_InputFunctions.Utility_DisplayArrayInTable(Fertiliser_SourceData.Fertiliser_Products_Data3(),FertiliserProducts[[#Headers],[Include or Exclude]], 40)</f>
        <v/>
      </c>
      <c r="G131" s="62" t="str" cm="1">
        <f t="array" ref="G131">Common_InputFunctions.Utility_DisplayArrayInTable(Fertiliser_SourceData.Fertiliser_Products_Data3(),FertiliserProducts[[#Headers],[Include or Exclude]], 40)</f>
        <v/>
      </c>
      <c r="H131" s="62" t="str" cm="1">
        <f t="array" ref="H131">Common_InputFunctions.Utility_DisplayArrayInTable(Fertiliser_SourceData.Fertiliser_Products_Data3(),FertiliserProducts[[#Headers],[Include or Exclude]], 40)</f>
        <v/>
      </c>
      <c r="I131" s="62" t="str" cm="1">
        <f t="array" ref="I131">Common_InputFunctions.Utility_DisplayArrayInTable(Fertiliser_SourceData.Fertiliser_Products_Data3(),FertiliserProducts[[#Headers],[Include or Exclude]], 40)</f>
        <v/>
      </c>
      <c r="J131" s="62" t="str" cm="1">
        <f t="array" ref="J131">Common_InputFunctions.Utility_DisplayArrayInTable(Fertiliser_SourceData.Fertiliser_Products_Data3(),FertiliserProducts[[#Headers],[Include or Exclude]], 40)</f>
        <v/>
      </c>
      <c r="K131" s="62" t="str" cm="1">
        <f t="array" ref="K131">Common_InputFunctions.Utility_DisplayArrayInTable(Fertiliser_SourceData.Fertiliser_Products_Data3(),FertiliserProducts[[#Headers],[Include or Exclude]], 40)</f>
        <v/>
      </c>
      <c r="L131" s="62" t="str" cm="1">
        <f t="array" ref="L131">Common_InputFunctions.Utility_DisplayArrayInTable(Fertiliser_SourceData.Fertiliser_Products_Data3(),FertiliserProducts[[#Headers],[Include or Exclude]], 40)</f>
        <v/>
      </c>
      <c r="M131" s="62" t="str" cm="1">
        <f t="array" ref="M131">Common_InputFunctions.Utility_DisplayArrayInTable(Fertiliser_SourceData.Fertiliser_Products_Data3(),FertiliserProducts[[#Headers],[Include or Exclude]], 40)</f>
        <v/>
      </c>
      <c r="N131" s="62" t="str" cm="1">
        <f t="array" ref="N131">Common_InputFunctions.Utility_DisplayArrayInTable(Fertiliser_SourceData.Fertiliser_Products_Data3(),FertiliserProducts[[#Headers],[Include or Exclude]], 40)</f>
        <v/>
      </c>
      <c r="O131" s="62" t="str" cm="1">
        <f t="array" ref="O131">Common_InputFunctions.Utility_DisplayArrayInTable(Fertiliser_SourceData.Fertiliser_Products_Data3(),FertiliserProducts[[#Headers],[Include or Exclude]], 40)</f>
        <v/>
      </c>
      <c r="P131" s="62" t="str" cm="1">
        <f t="array" ref="P131">Common_InputFunctions.Utility_DisplayArrayInTable(Fertiliser_SourceData.Fertiliser_Products_Data3(),FertiliserProducts[[#Headers],[Include or Exclude]], 40)</f>
        <v/>
      </c>
      <c r="Q131" s="62" t="str" cm="1">
        <f t="array" ref="Q131">Common_InputFunctions.Utility_DisplayArrayInTable(Fertiliser_SourceData.Fertiliser_Products_Data3(),FertiliserProducts[[#Headers],[Include or Exclude]], 40)</f>
        <v/>
      </c>
      <c r="R131" s="62" t="str" cm="1">
        <f t="array" ref="R131">Common_InputFunctions.Utility_DisplayArrayInTable(Fertiliser_SourceData.Fertiliser_Products_Data3(),FertiliserProducts[[#Headers],[Include or Exclude]], 40)</f>
        <v/>
      </c>
      <c r="S131" s="62" t="str" cm="1">
        <f t="array" ref="S131">Common_InputFunctions.Utility_DisplayArrayInTable(Fertiliser_SourceData.Fertiliser_Products_Data3(),FertiliserProducts[[#Headers],[Include or Exclude]], 40)</f>
        <v/>
      </c>
      <c r="T131" s="62" t="str" cm="1">
        <f t="array" ref="T131">Common_InputFunctions.Utility_DisplayArrayInTable(Fertiliser_SourceData.Fertiliser_Products_Data3(),FertiliserProducts[[#Headers],[Include or Exclude]], 40)</f>
        <v/>
      </c>
      <c r="U131" s="62" t="str" cm="1">
        <f t="array" ref="U131">Common_InputFunctions.Utility_DisplayArrayInTable(Fertiliser_SourceData.Fertiliser_Products_Data3(),FertiliserProducts[[#Headers],[Include or Exclude]], 40)</f>
        <v/>
      </c>
      <c r="V131" s="62" t="str" cm="1">
        <f t="array" ref="V131">Common_InputFunctions.Utility_DisplayArrayInTable(Fertiliser_SourceData.Fertiliser_Products_Data3(),FertiliserProducts[[#Headers],[Include or Exclude]], 40)</f>
        <v/>
      </c>
      <c r="W131" s="62" t="str" cm="1">
        <f t="array" ref="W131">Common_InputFunctions.Utility_DisplayArrayInTable(Fertiliser_SourceData.Fertiliser_Products_Data3(),FertiliserProducts[[#Headers],[Include or Exclude]], 40)</f>
        <v>Crop Nutrition Solutions (Yara Australia)</v>
      </c>
      <c r="X131" s="62" t="str" cm="1">
        <f t="array" ref="X131">Common_InputFunctions.Utility_DisplayArrayInTable(Fertiliser_SourceData.Fertiliser_Products_Data3(),FertiliserProducts[[#Headers],[Include or Exclude]], 40)</f>
        <v/>
      </c>
      <c r="Y131" s="62" t="str" cm="1">
        <f t="array" ref="Y131">Common_InputFunctions.Utility_DisplayArrayInTable(Fertiliser_SourceData.Fertiliser_Products_Data3(),FertiliserProducts[[#Headers],[Include or Exclude]], 40)</f>
        <v/>
      </c>
      <c r="Z131" s="62"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1:31" ht="20.100000000000001" customHeight="1" x14ac:dyDescent="0.25">
      <c r="A132"/>
      <c r="D132" s="62" t="str" cm="1">
        <f t="array" ref="D132">Common_InputFunctions.Utility_DisplayArrayInTable(Fertiliser_SourceData.Fertiliser_Products_Data3(),FertiliserProducts[[#Headers],[Include or Exclude]], 40)</f>
        <v>Yara K-Flow 0-7-36</v>
      </c>
      <c r="E132" s="62" t="str" cm="1">
        <f t="array" ref="E132">Common_InputFunctions.Utility_DisplayArrayInTable(Fertiliser_SourceData.Fertiliser_Products_Data3(),FertiliserProducts[[#Headers],[Include or Exclude]], 40)</f>
        <v/>
      </c>
      <c r="F132" s="62" t="str" cm="1">
        <f t="array" ref="F132">Common_InputFunctions.Utility_DisplayArrayInTable(Fertiliser_SourceData.Fertiliser_Products_Data3(),FertiliserProducts[[#Headers],[Include or Exclude]], 40)</f>
        <v/>
      </c>
      <c r="G132" s="62" t="str" cm="1">
        <f t="array" ref="G132">Common_InputFunctions.Utility_DisplayArrayInTable(Fertiliser_SourceData.Fertiliser_Products_Data3(),FertiliserProducts[[#Headers],[Include or Exclude]], 40)</f>
        <v/>
      </c>
      <c r="H132" s="62" t="str" cm="1">
        <f t="array" ref="H132">Common_InputFunctions.Utility_DisplayArrayInTable(Fertiliser_SourceData.Fertiliser_Products_Data3(),FertiliserProducts[[#Headers],[Include or Exclude]], 40)</f>
        <v/>
      </c>
      <c r="I132" s="62" t="str" cm="1">
        <f t="array" ref="I132">Common_InputFunctions.Utility_DisplayArrayInTable(Fertiliser_SourceData.Fertiliser_Products_Data3(),FertiliserProducts[[#Headers],[Include or Exclude]], 40)</f>
        <v/>
      </c>
      <c r="J132" s="62" t="str" cm="1">
        <f t="array" ref="J132">Common_InputFunctions.Utility_DisplayArrayInTable(Fertiliser_SourceData.Fertiliser_Products_Data3(),FertiliserProducts[[#Headers],[Include or Exclude]], 40)</f>
        <v/>
      </c>
      <c r="K132" s="62" t="str" cm="1">
        <f t="array" ref="K132">Common_InputFunctions.Utility_DisplayArrayInTable(Fertiliser_SourceData.Fertiliser_Products_Data3(),FertiliserProducts[[#Headers],[Include or Exclude]], 40)</f>
        <v/>
      </c>
      <c r="L132" s="62" t="str" cm="1">
        <f t="array" ref="L132">Common_InputFunctions.Utility_DisplayArrayInTable(Fertiliser_SourceData.Fertiliser_Products_Data3(),FertiliserProducts[[#Headers],[Include or Exclude]], 40)</f>
        <v/>
      </c>
      <c r="M132" s="62" t="str" cm="1">
        <f t="array" ref="M132">Common_InputFunctions.Utility_DisplayArrayInTable(Fertiliser_SourceData.Fertiliser_Products_Data3(),FertiliserProducts[[#Headers],[Include or Exclude]], 40)</f>
        <v/>
      </c>
      <c r="N132" s="62" t="str" cm="1">
        <f t="array" ref="N132">Common_InputFunctions.Utility_DisplayArrayInTable(Fertiliser_SourceData.Fertiliser_Products_Data3(),FertiliserProducts[[#Headers],[Include or Exclude]], 40)</f>
        <v/>
      </c>
      <c r="O132" s="62" t="str" cm="1">
        <f t="array" ref="O132">Common_InputFunctions.Utility_DisplayArrayInTable(Fertiliser_SourceData.Fertiliser_Products_Data3(),FertiliserProducts[[#Headers],[Include or Exclude]], 40)</f>
        <v/>
      </c>
      <c r="P132" s="62" t="str" cm="1">
        <f t="array" ref="P132">Common_InputFunctions.Utility_DisplayArrayInTable(Fertiliser_SourceData.Fertiliser_Products_Data3(),FertiliserProducts[[#Headers],[Include or Exclude]], 40)</f>
        <v/>
      </c>
      <c r="Q132" s="62" t="str" cm="1">
        <f t="array" ref="Q132">Common_InputFunctions.Utility_DisplayArrayInTable(Fertiliser_SourceData.Fertiliser_Products_Data3(),FertiliserProducts[[#Headers],[Include or Exclude]], 40)</f>
        <v/>
      </c>
      <c r="R132" s="62" t="str" cm="1">
        <f t="array" ref="R132">Common_InputFunctions.Utility_DisplayArrayInTable(Fertiliser_SourceData.Fertiliser_Products_Data3(),FertiliserProducts[[#Headers],[Include or Exclude]], 40)</f>
        <v/>
      </c>
      <c r="S132" s="62" t="str" cm="1">
        <f t="array" ref="S132">Common_InputFunctions.Utility_DisplayArrayInTable(Fertiliser_SourceData.Fertiliser_Products_Data3(),FertiliserProducts[[#Headers],[Include or Exclude]], 40)</f>
        <v/>
      </c>
      <c r="T132" s="62" t="str" cm="1">
        <f t="array" ref="T132">Common_InputFunctions.Utility_DisplayArrayInTable(Fertiliser_SourceData.Fertiliser_Products_Data3(),FertiliserProducts[[#Headers],[Include or Exclude]], 40)</f>
        <v/>
      </c>
      <c r="U132" s="62" t="str" cm="1">
        <f t="array" ref="U132">Common_InputFunctions.Utility_DisplayArrayInTable(Fertiliser_SourceData.Fertiliser_Products_Data3(),FertiliserProducts[[#Headers],[Include or Exclude]], 40)</f>
        <v/>
      </c>
      <c r="V132" s="62" t="str" cm="1">
        <f t="array" ref="V132">Common_InputFunctions.Utility_DisplayArrayInTable(Fertiliser_SourceData.Fertiliser_Products_Data3(),FertiliserProducts[[#Headers],[Include or Exclude]], 40)</f>
        <v/>
      </c>
      <c r="W132" s="62" t="str" cm="1">
        <f t="array" ref="W132">Common_InputFunctions.Utility_DisplayArrayInTable(Fertiliser_SourceData.Fertiliser_Products_Data3(),FertiliserProducts[[#Headers],[Include or Exclude]], 40)</f>
        <v>Crop Nutrition Solutions (Yara Australia)</v>
      </c>
      <c r="X132" s="62" t="str" cm="1">
        <f t="array" ref="X132">Common_InputFunctions.Utility_DisplayArrayInTable(Fertiliser_SourceData.Fertiliser_Products_Data3(),FertiliserProducts[[#Headers],[Include or Exclude]], 40)</f>
        <v/>
      </c>
      <c r="Y132" s="62" t="str" cm="1">
        <f t="array" ref="Y132">Common_InputFunctions.Utility_DisplayArrayInTable(Fertiliser_SourceData.Fertiliser_Products_Data3(),FertiliserProducts[[#Headers],[Include or Exclude]], 40)</f>
        <v/>
      </c>
      <c r="Z132" s="62"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1:31" ht="20.100000000000001" customHeight="1" x14ac:dyDescent="0.25">
      <c r="A133"/>
      <c r="D133" s="62" t="str" cm="1">
        <f t="array" ref="D133">Common_InputFunctions.Utility_DisplayArrayInTable(Fertiliser_SourceData.Fertiliser_Products_Data3(),FertiliserProducts[[#Headers],[Include or Exclude]], 40)</f>
        <v>Yara K-Flow 13-0-7</v>
      </c>
      <c r="E133" s="62" t="str" cm="1">
        <f t="array" ref="E133">Common_InputFunctions.Utility_DisplayArrayInTable(Fertiliser_SourceData.Fertiliser_Products_Data3(),FertiliserProducts[[#Headers],[Include or Exclude]], 40)</f>
        <v/>
      </c>
      <c r="F133" s="62" t="str" cm="1">
        <f t="array" ref="F133">Common_InputFunctions.Utility_DisplayArrayInTable(Fertiliser_SourceData.Fertiliser_Products_Data3(),FertiliserProducts[[#Headers],[Include or Exclude]], 40)</f>
        <v/>
      </c>
      <c r="G133" s="62" t="str" cm="1">
        <f t="array" ref="G133">Common_InputFunctions.Utility_DisplayArrayInTable(Fertiliser_SourceData.Fertiliser_Products_Data3(),FertiliserProducts[[#Headers],[Include or Exclude]], 40)</f>
        <v/>
      </c>
      <c r="H133" s="62" t="str" cm="1">
        <f t="array" ref="H133">Common_InputFunctions.Utility_DisplayArrayInTable(Fertiliser_SourceData.Fertiliser_Products_Data3(),FertiliserProducts[[#Headers],[Include or Exclude]], 40)</f>
        <v/>
      </c>
      <c r="I133" s="62" t="str" cm="1">
        <f t="array" ref="I133">Common_InputFunctions.Utility_DisplayArrayInTable(Fertiliser_SourceData.Fertiliser_Products_Data3(),FertiliserProducts[[#Headers],[Include or Exclude]], 40)</f>
        <v/>
      </c>
      <c r="J133" s="62" t="str" cm="1">
        <f t="array" ref="J133">Common_InputFunctions.Utility_DisplayArrayInTable(Fertiliser_SourceData.Fertiliser_Products_Data3(),FertiliserProducts[[#Headers],[Include or Exclude]], 40)</f>
        <v/>
      </c>
      <c r="K133" s="62" t="str" cm="1">
        <f t="array" ref="K133">Common_InputFunctions.Utility_DisplayArrayInTable(Fertiliser_SourceData.Fertiliser_Products_Data3(),FertiliserProducts[[#Headers],[Include or Exclude]], 40)</f>
        <v/>
      </c>
      <c r="L133" s="62" t="str" cm="1">
        <f t="array" ref="L133">Common_InputFunctions.Utility_DisplayArrayInTable(Fertiliser_SourceData.Fertiliser_Products_Data3(),FertiliserProducts[[#Headers],[Include or Exclude]], 40)</f>
        <v/>
      </c>
      <c r="M133" s="62" t="str" cm="1">
        <f t="array" ref="M133">Common_InputFunctions.Utility_DisplayArrayInTable(Fertiliser_SourceData.Fertiliser_Products_Data3(),FertiliserProducts[[#Headers],[Include or Exclude]], 40)</f>
        <v/>
      </c>
      <c r="N133" s="62" t="str" cm="1">
        <f t="array" ref="N133">Common_InputFunctions.Utility_DisplayArrayInTable(Fertiliser_SourceData.Fertiliser_Products_Data3(),FertiliserProducts[[#Headers],[Include or Exclude]], 40)</f>
        <v/>
      </c>
      <c r="O133" s="62" t="str" cm="1">
        <f t="array" ref="O133">Common_InputFunctions.Utility_DisplayArrayInTable(Fertiliser_SourceData.Fertiliser_Products_Data3(),FertiliserProducts[[#Headers],[Include or Exclude]], 40)</f>
        <v/>
      </c>
      <c r="P133" s="62" t="str" cm="1">
        <f t="array" ref="P133">Common_InputFunctions.Utility_DisplayArrayInTable(Fertiliser_SourceData.Fertiliser_Products_Data3(),FertiliserProducts[[#Headers],[Include or Exclude]], 40)</f>
        <v/>
      </c>
      <c r="Q133" s="62" t="str" cm="1">
        <f t="array" ref="Q133">Common_InputFunctions.Utility_DisplayArrayInTable(Fertiliser_SourceData.Fertiliser_Products_Data3(),FertiliserProducts[[#Headers],[Include or Exclude]], 40)</f>
        <v/>
      </c>
      <c r="R133" s="62" t="str" cm="1">
        <f t="array" ref="R133">Common_InputFunctions.Utility_DisplayArrayInTable(Fertiliser_SourceData.Fertiliser_Products_Data3(),FertiliserProducts[[#Headers],[Include or Exclude]], 40)</f>
        <v/>
      </c>
      <c r="S133" s="62" t="str" cm="1">
        <f t="array" ref="S133">Common_InputFunctions.Utility_DisplayArrayInTable(Fertiliser_SourceData.Fertiliser_Products_Data3(),FertiliserProducts[[#Headers],[Include or Exclude]], 40)</f>
        <v/>
      </c>
      <c r="T133" s="62" t="str" cm="1">
        <f t="array" ref="T133">Common_InputFunctions.Utility_DisplayArrayInTable(Fertiliser_SourceData.Fertiliser_Products_Data3(),FertiliserProducts[[#Headers],[Include or Exclude]], 40)</f>
        <v/>
      </c>
      <c r="U133" s="62" t="str" cm="1">
        <f t="array" ref="U133">Common_InputFunctions.Utility_DisplayArrayInTable(Fertiliser_SourceData.Fertiliser_Products_Data3(),FertiliserProducts[[#Headers],[Include or Exclude]], 40)</f>
        <v/>
      </c>
      <c r="V133" s="62" t="str" cm="1">
        <f t="array" ref="V133">Common_InputFunctions.Utility_DisplayArrayInTable(Fertiliser_SourceData.Fertiliser_Products_Data3(),FertiliserProducts[[#Headers],[Include or Exclude]], 40)</f>
        <v/>
      </c>
      <c r="W133" s="62" t="str" cm="1">
        <f t="array" ref="W133">Common_InputFunctions.Utility_DisplayArrayInTable(Fertiliser_SourceData.Fertiliser_Products_Data3(),FertiliserProducts[[#Headers],[Include or Exclude]], 40)</f>
        <v>Crop Nutrition Solutions (Yara Australia)</v>
      </c>
      <c r="X133" s="62" t="str" cm="1">
        <f t="array" ref="X133">Common_InputFunctions.Utility_DisplayArrayInTable(Fertiliser_SourceData.Fertiliser_Products_Data3(),FertiliserProducts[[#Headers],[Include or Exclude]], 40)</f>
        <v/>
      </c>
      <c r="Y133" s="62" t="str" cm="1">
        <f t="array" ref="Y133">Common_InputFunctions.Utility_DisplayArrayInTable(Fertiliser_SourceData.Fertiliser_Products_Data3(),FertiliserProducts[[#Headers],[Include or Exclude]], 40)</f>
        <v/>
      </c>
      <c r="Z133" s="62"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1:31" ht="20.100000000000001" customHeight="1" x14ac:dyDescent="0.25">
      <c r="A134"/>
      <c r="D134" s="62" t="str" cm="1">
        <f t="array" ref="D134">Common_InputFunctions.Utility_DisplayArrayInTable(Fertiliser_SourceData.Fertiliser_Products_Data3(),FertiliserProducts[[#Headers],[Include or Exclude]], 40)</f>
        <v>Yara K-Flow 4-0-12</v>
      </c>
      <c r="E134" s="62" t="str" cm="1">
        <f t="array" ref="E134">Common_InputFunctions.Utility_DisplayArrayInTable(Fertiliser_SourceData.Fertiliser_Products_Data3(),FertiliserProducts[[#Headers],[Include or Exclude]], 40)</f>
        <v/>
      </c>
      <c r="F134" s="62" t="str" cm="1">
        <f t="array" ref="F134">Common_InputFunctions.Utility_DisplayArrayInTable(Fertiliser_SourceData.Fertiliser_Products_Data3(),FertiliserProducts[[#Headers],[Include or Exclude]], 40)</f>
        <v/>
      </c>
      <c r="G134" s="62" t="str" cm="1">
        <f t="array" ref="G134">Common_InputFunctions.Utility_DisplayArrayInTable(Fertiliser_SourceData.Fertiliser_Products_Data3(),FertiliserProducts[[#Headers],[Include or Exclude]], 40)</f>
        <v/>
      </c>
      <c r="H134" s="62" t="str" cm="1">
        <f t="array" ref="H134">Common_InputFunctions.Utility_DisplayArrayInTable(Fertiliser_SourceData.Fertiliser_Products_Data3(),FertiliserProducts[[#Headers],[Include or Exclude]], 40)</f>
        <v/>
      </c>
      <c r="I134" s="62" t="str" cm="1">
        <f t="array" ref="I134">Common_InputFunctions.Utility_DisplayArrayInTable(Fertiliser_SourceData.Fertiliser_Products_Data3(),FertiliserProducts[[#Headers],[Include or Exclude]], 40)</f>
        <v/>
      </c>
      <c r="J134" s="62" t="str" cm="1">
        <f t="array" ref="J134">Common_InputFunctions.Utility_DisplayArrayInTable(Fertiliser_SourceData.Fertiliser_Products_Data3(),FertiliserProducts[[#Headers],[Include or Exclude]], 40)</f>
        <v/>
      </c>
      <c r="K134" s="62" t="str" cm="1">
        <f t="array" ref="K134">Common_InputFunctions.Utility_DisplayArrayInTable(Fertiliser_SourceData.Fertiliser_Products_Data3(),FertiliserProducts[[#Headers],[Include or Exclude]], 40)</f>
        <v/>
      </c>
      <c r="L134" s="62" t="str" cm="1">
        <f t="array" ref="L134">Common_InputFunctions.Utility_DisplayArrayInTable(Fertiliser_SourceData.Fertiliser_Products_Data3(),FertiliserProducts[[#Headers],[Include or Exclude]], 40)</f>
        <v/>
      </c>
      <c r="M134" s="62" t="str" cm="1">
        <f t="array" ref="M134">Common_InputFunctions.Utility_DisplayArrayInTable(Fertiliser_SourceData.Fertiliser_Products_Data3(),FertiliserProducts[[#Headers],[Include or Exclude]], 40)</f>
        <v/>
      </c>
      <c r="N134" s="62" t="str" cm="1">
        <f t="array" ref="N134">Common_InputFunctions.Utility_DisplayArrayInTable(Fertiliser_SourceData.Fertiliser_Products_Data3(),FertiliserProducts[[#Headers],[Include or Exclude]], 40)</f>
        <v/>
      </c>
      <c r="O134" s="62" t="str" cm="1">
        <f t="array" ref="O134">Common_InputFunctions.Utility_DisplayArrayInTable(Fertiliser_SourceData.Fertiliser_Products_Data3(),FertiliserProducts[[#Headers],[Include or Exclude]], 40)</f>
        <v/>
      </c>
      <c r="P134" s="62" t="str" cm="1">
        <f t="array" ref="P134">Common_InputFunctions.Utility_DisplayArrayInTable(Fertiliser_SourceData.Fertiliser_Products_Data3(),FertiliserProducts[[#Headers],[Include or Exclude]], 40)</f>
        <v/>
      </c>
      <c r="Q134" s="62" t="str" cm="1">
        <f t="array" ref="Q134">Common_InputFunctions.Utility_DisplayArrayInTable(Fertiliser_SourceData.Fertiliser_Products_Data3(),FertiliserProducts[[#Headers],[Include or Exclude]], 40)</f>
        <v/>
      </c>
      <c r="R134" s="62" t="str" cm="1">
        <f t="array" ref="R134">Common_InputFunctions.Utility_DisplayArrayInTable(Fertiliser_SourceData.Fertiliser_Products_Data3(),FertiliserProducts[[#Headers],[Include or Exclude]], 40)</f>
        <v/>
      </c>
      <c r="S134" s="62" t="str" cm="1">
        <f t="array" ref="S134">Common_InputFunctions.Utility_DisplayArrayInTable(Fertiliser_SourceData.Fertiliser_Products_Data3(),FertiliserProducts[[#Headers],[Include or Exclude]], 40)</f>
        <v/>
      </c>
      <c r="T134" s="62" t="str" cm="1">
        <f t="array" ref="T134">Common_InputFunctions.Utility_DisplayArrayInTable(Fertiliser_SourceData.Fertiliser_Products_Data3(),FertiliserProducts[[#Headers],[Include or Exclude]], 40)</f>
        <v/>
      </c>
      <c r="U134" s="62" t="str" cm="1">
        <f t="array" ref="U134">Common_InputFunctions.Utility_DisplayArrayInTable(Fertiliser_SourceData.Fertiliser_Products_Data3(),FertiliserProducts[[#Headers],[Include or Exclude]], 40)</f>
        <v/>
      </c>
      <c r="V134" s="62" t="str" cm="1">
        <f t="array" ref="V134">Common_InputFunctions.Utility_DisplayArrayInTable(Fertiliser_SourceData.Fertiliser_Products_Data3(),FertiliserProducts[[#Headers],[Include or Exclude]], 40)</f>
        <v/>
      </c>
      <c r="W134" s="62" t="str" cm="1">
        <f t="array" ref="W134">Common_InputFunctions.Utility_DisplayArrayInTable(Fertiliser_SourceData.Fertiliser_Products_Data3(),FertiliserProducts[[#Headers],[Include or Exclude]], 40)</f>
        <v>Crop Nutrition Solutions (Yara Australia)</v>
      </c>
      <c r="X134" s="62" t="str" cm="1">
        <f t="array" ref="X134">Common_InputFunctions.Utility_DisplayArrayInTable(Fertiliser_SourceData.Fertiliser_Products_Data3(),FertiliserProducts[[#Headers],[Include or Exclude]], 40)</f>
        <v/>
      </c>
      <c r="Y134" s="62" t="str" cm="1">
        <f t="array" ref="Y134">Common_InputFunctions.Utility_DisplayArrayInTable(Fertiliser_SourceData.Fertiliser_Products_Data3(),FertiliserProducts[[#Headers],[Include or Exclude]], 40)</f>
        <v/>
      </c>
      <c r="Z134" s="62"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1:31" ht="20.100000000000001" customHeight="1" x14ac:dyDescent="0.25">
      <c r="A135"/>
      <c r="D135" s="62" t="str" cm="1">
        <f t="array" ref="D135">Common_InputFunctions.Utility_DisplayArrayInTable(Fertiliser_SourceData.Fertiliser_Products_Data3(),FertiliserProducts[[#Headers],[Include or Exclude]], 40)</f>
        <v>Yara Liquids MICRO-SUL</v>
      </c>
      <c r="E135" s="62" t="str" cm="1">
        <f t="array" ref="E135">Common_InputFunctions.Utility_DisplayArrayInTable(Fertiliser_SourceData.Fertiliser_Products_Data3(),FertiliserProducts[[#Headers],[Include or Exclude]], 40)</f>
        <v/>
      </c>
      <c r="F135" s="62" t="str" cm="1">
        <f t="array" ref="F135">Common_InputFunctions.Utility_DisplayArrayInTable(Fertiliser_SourceData.Fertiliser_Products_Data3(),FertiliserProducts[[#Headers],[Include or Exclude]], 40)</f>
        <v/>
      </c>
      <c r="G135" s="62" t="str" cm="1">
        <f t="array" ref="G135">Common_InputFunctions.Utility_DisplayArrayInTable(Fertiliser_SourceData.Fertiliser_Products_Data3(),FertiliserProducts[[#Headers],[Include or Exclude]], 40)</f>
        <v/>
      </c>
      <c r="H135" s="62" t="str" cm="1">
        <f t="array" ref="H135">Common_InputFunctions.Utility_DisplayArrayInTable(Fertiliser_SourceData.Fertiliser_Products_Data3(),FertiliserProducts[[#Headers],[Include or Exclude]], 40)</f>
        <v/>
      </c>
      <c r="I135" s="62" t="str" cm="1">
        <f t="array" ref="I135">Common_InputFunctions.Utility_DisplayArrayInTable(Fertiliser_SourceData.Fertiliser_Products_Data3(),FertiliserProducts[[#Headers],[Include or Exclude]], 40)</f>
        <v/>
      </c>
      <c r="J135" s="62" t="str" cm="1">
        <f t="array" ref="J135">Common_InputFunctions.Utility_DisplayArrayInTable(Fertiliser_SourceData.Fertiliser_Products_Data3(),FertiliserProducts[[#Headers],[Include or Exclude]], 40)</f>
        <v/>
      </c>
      <c r="K135" s="62" t="str" cm="1">
        <f t="array" ref="K135">Common_InputFunctions.Utility_DisplayArrayInTable(Fertiliser_SourceData.Fertiliser_Products_Data3(),FertiliserProducts[[#Headers],[Include or Exclude]], 40)</f>
        <v/>
      </c>
      <c r="L135" s="62" t="str" cm="1">
        <f t="array" ref="L135">Common_InputFunctions.Utility_DisplayArrayInTable(Fertiliser_SourceData.Fertiliser_Products_Data3(),FertiliserProducts[[#Headers],[Include or Exclude]], 40)</f>
        <v/>
      </c>
      <c r="M135" s="62" t="str" cm="1">
        <f t="array" ref="M135">Common_InputFunctions.Utility_DisplayArrayInTable(Fertiliser_SourceData.Fertiliser_Products_Data3(),FertiliserProducts[[#Headers],[Include or Exclude]], 40)</f>
        <v/>
      </c>
      <c r="N135" s="62" t="str" cm="1">
        <f t="array" ref="N135">Common_InputFunctions.Utility_DisplayArrayInTable(Fertiliser_SourceData.Fertiliser_Products_Data3(),FertiliserProducts[[#Headers],[Include or Exclude]], 40)</f>
        <v/>
      </c>
      <c r="O135" s="62" t="str" cm="1">
        <f t="array" ref="O135">Common_InputFunctions.Utility_DisplayArrayInTable(Fertiliser_SourceData.Fertiliser_Products_Data3(),FertiliserProducts[[#Headers],[Include or Exclude]], 40)</f>
        <v/>
      </c>
      <c r="P135" s="62" t="str" cm="1">
        <f t="array" ref="P135">Common_InputFunctions.Utility_DisplayArrayInTable(Fertiliser_SourceData.Fertiliser_Products_Data3(),FertiliserProducts[[#Headers],[Include or Exclude]], 40)</f>
        <v/>
      </c>
      <c r="Q135" s="62" t="str" cm="1">
        <f t="array" ref="Q135">Common_InputFunctions.Utility_DisplayArrayInTable(Fertiliser_SourceData.Fertiliser_Products_Data3(),FertiliserProducts[[#Headers],[Include or Exclude]], 40)</f>
        <v/>
      </c>
      <c r="R135" s="62" t="str" cm="1">
        <f t="array" ref="R135">Common_InputFunctions.Utility_DisplayArrayInTable(Fertiliser_SourceData.Fertiliser_Products_Data3(),FertiliserProducts[[#Headers],[Include or Exclude]], 40)</f>
        <v/>
      </c>
      <c r="S135" s="62" t="str" cm="1">
        <f t="array" ref="S135">Common_InputFunctions.Utility_DisplayArrayInTable(Fertiliser_SourceData.Fertiliser_Products_Data3(),FertiliserProducts[[#Headers],[Include or Exclude]], 40)</f>
        <v/>
      </c>
      <c r="T135" s="62" t="str" cm="1">
        <f t="array" ref="T135">Common_InputFunctions.Utility_DisplayArrayInTable(Fertiliser_SourceData.Fertiliser_Products_Data3(),FertiliserProducts[[#Headers],[Include or Exclude]], 40)</f>
        <v/>
      </c>
      <c r="U135" s="62" t="str" cm="1">
        <f t="array" ref="U135">Common_InputFunctions.Utility_DisplayArrayInTable(Fertiliser_SourceData.Fertiliser_Products_Data3(),FertiliserProducts[[#Headers],[Include or Exclude]], 40)</f>
        <v/>
      </c>
      <c r="V135" s="62" t="str" cm="1">
        <f t="array" ref="V135">Common_InputFunctions.Utility_DisplayArrayInTable(Fertiliser_SourceData.Fertiliser_Products_Data3(),FertiliserProducts[[#Headers],[Include or Exclude]], 40)</f>
        <v/>
      </c>
      <c r="W135" s="62" t="str" cm="1">
        <f t="array" ref="W135">Common_InputFunctions.Utility_DisplayArrayInTable(Fertiliser_SourceData.Fertiliser_Products_Data3(),FertiliserProducts[[#Headers],[Include or Exclude]], 40)</f>
        <v>Crop Nutrition Solutions (Yara Australia)</v>
      </c>
      <c r="X135" s="62" t="str" cm="1">
        <f t="array" ref="X135">Common_InputFunctions.Utility_DisplayArrayInTable(Fertiliser_SourceData.Fertiliser_Products_Data3(),FertiliserProducts[[#Headers],[Include or Exclude]], 40)</f>
        <v/>
      </c>
      <c r="Y135" s="62" t="str" cm="1">
        <f t="array" ref="Y135">Common_InputFunctions.Utility_DisplayArrayInTable(Fertiliser_SourceData.Fertiliser_Products_Data3(),FertiliserProducts[[#Headers],[Include or Exclude]], 40)</f>
        <v/>
      </c>
      <c r="Z135" s="62"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1:31" ht="20.100000000000001" customHeight="1" x14ac:dyDescent="0.25">
      <c r="A136"/>
      <c r="D136" s="62" t="str" cm="1">
        <f t="array" ref="D136">Common_InputFunctions.Utility_DisplayArrayInTable(Fertiliser_SourceData.Fertiliser_Products_Data3(),FertiliserProducts[[#Headers],[Include or Exclude]], 40)</f>
        <v>Yara Liquids N24</v>
      </c>
      <c r="E136" s="62" t="str" cm="1">
        <f t="array" ref="E136">Common_InputFunctions.Utility_DisplayArrayInTable(Fertiliser_SourceData.Fertiliser_Products_Data3(),FertiliserProducts[[#Headers],[Include or Exclude]], 40)</f>
        <v/>
      </c>
      <c r="F136" s="62" t="str" cm="1">
        <f t="array" ref="F136">Common_InputFunctions.Utility_DisplayArrayInTable(Fertiliser_SourceData.Fertiliser_Products_Data3(),FertiliserProducts[[#Headers],[Include or Exclude]], 40)</f>
        <v/>
      </c>
      <c r="G136" s="62" t="str" cm="1">
        <f t="array" ref="G136">Common_InputFunctions.Utility_DisplayArrayInTable(Fertiliser_SourceData.Fertiliser_Products_Data3(),FertiliserProducts[[#Headers],[Include or Exclude]], 40)</f>
        <v/>
      </c>
      <c r="H136" s="62" t="str" cm="1">
        <f t="array" ref="H136">Common_InputFunctions.Utility_DisplayArrayInTable(Fertiliser_SourceData.Fertiliser_Products_Data3(),FertiliserProducts[[#Headers],[Include or Exclude]], 40)</f>
        <v/>
      </c>
      <c r="I136" s="62" t="str" cm="1">
        <f t="array" ref="I136">Common_InputFunctions.Utility_DisplayArrayInTable(Fertiliser_SourceData.Fertiliser_Products_Data3(),FertiliserProducts[[#Headers],[Include or Exclude]], 40)</f>
        <v/>
      </c>
      <c r="J136" s="62" t="str" cm="1">
        <f t="array" ref="J136">Common_InputFunctions.Utility_DisplayArrayInTable(Fertiliser_SourceData.Fertiliser_Products_Data3(),FertiliserProducts[[#Headers],[Include or Exclude]], 40)</f>
        <v/>
      </c>
      <c r="K136" s="62" t="str" cm="1">
        <f t="array" ref="K136">Common_InputFunctions.Utility_DisplayArrayInTable(Fertiliser_SourceData.Fertiliser_Products_Data3(),FertiliserProducts[[#Headers],[Include or Exclude]], 40)</f>
        <v/>
      </c>
      <c r="L136" s="62" t="str" cm="1">
        <f t="array" ref="L136">Common_InputFunctions.Utility_DisplayArrayInTable(Fertiliser_SourceData.Fertiliser_Products_Data3(),FertiliserProducts[[#Headers],[Include or Exclude]], 40)</f>
        <v/>
      </c>
      <c r="M136" s="62" t="str" cm="1">
        <f t="array" ref="M136">Common_InputFunctions.Utility_DisplayArrayInTable(Fertiliser_SourceData.Fertiliser_Products_Data3(),FertiliserProducts[[#Headers],[Include or Exclude]], 40)</f>
        <v/>
      </c>
      <c r="N136" s="62" t="str" cm="1">
        <f t="array" ref="N136">Common_InputFunctions.Utility_DisplayArrayInTable(Fertiliser_SourceData.Fertiliser_Products_Data3(),FertiliserProducts[[#Headers],[Include or Exclude]], 40)</f>
        <v/>
      </c>
      <c r="O136" s="62" t="str" cm="1">
        <f t="array" ref="O136">Common_InputFunctions.Utility_DisplayArrayInTable(Fertiliser_SourceData.Fertiliser_Products_Data3(),FertiliserProducts[[#Headers],[Include or Exclude]], 40)</f>
        <v/>
      </c>
      <c r="P136" s="62" t="str" cm="1">
        <f t="array" ref="P136">Common_InputFunctions.Utility_DisplayArrayInTable(Fertiliser_SourceData.Fertiliser_Products_Data3(),FertiliserProducts[[#Headers],[Include or Exclude]], 40)</f>
        <v/>
      </c>
      <c r="Q136" s="62" t="str" cm="1">
        <f t="array" ref="Q136">Common_InputFunctions.Utility_DisplayArrayInTable(Fertiliser_SourceData.Fertiliser_Products_Data3(),FertiliserProducts[[#Headers],[Include or Exclude]], 40)</f>
        <v/>
      </c>
      <c r="R136" s="62" t="str" cm="1">
        <f t="array" ref="R136">Common_InputFunctions.Utility_DisplayArrayInTable(Fertiliser_SourceData.Fertiliser_Products_Data3(),FertiliserProducts[[#Headers],[Include or Exclude]], 40)</f>
        <v/>
      </c>
      <c r="S136" s="62" t="str" cm="1">
        <f t="array" ref="S136">Common_InputFunctions.Utility_DisplayArrayInTable(Fertiliser_SourceData.Fertiliser_Products_Data3(),FertiliserProducts[[#Headers],[Include or Exclude]], 40)</f>
        <v/>
      </c>
      <c r="T136" s="62" t="str" cm="1">
        <f t="array" ref="T136">Common_InputFunctions.Utility_DisplayArrayInTable(Fertiliser_SourceData.Fertiliser_Products_Data3(),FertiliserProducts[[#Headers],[Include or Exclude]], 40)</f>
        <v/>
      </c>
      <c r="U136" s="62" t="str" cm="1">
        <f t="array" ref="U136">Common_InputFunctions.Utility_DisplayArrayInTable(Fertiliser_SourceData.Fertiliser_Products_Data3(),FertiliserProducts[[#Headers],[Include or Exclude]], 40)</f>
        <v/>
      </c>
      <c r="V136" s="62" t="str" cm="1">
        <f t="array" ref="V136">Common_InputFunctions.Utility_DisplayArrayInTable(Fertiliser_SourceData.Fertiliser_Products_Data3(),FertiliserProducts[[#Headers],[Include or Exclude]], 40)</f>
        <v/>
      </c>
      <c r="W136" s="62" t="str" cm="1">
        <f t="array" ref="W136">Common_InputFunctions.Utility_DisplayArrayInTable(Fertiliser_SourceData.Fertiliser_Products_Data3(),FertiliserProducts[[#Headers],[Include or Exclude]], 40)</f>
        <v>Crop Nutrition Solutions (Yara Australia)</v>
      </c>
      <c r="X136" s="62" t="str" cm="1">
        <f t="array" ref="X136">Common_InputFunctions.Utility_DisplayArrayInTable(Fertiliser_SourceData.Fertiliser_Products_Data3(),FertiliserProducts[[#Headers],[Include or Exclude]], 40)</f>
        <v/>
      </c>
      <c r="Y136" s="62" t="str" cm="1">
        <f t="array" ref="Y136">Common_InputFunctions.Utility_DisplayArrayInTable(Fertiliser_SourceData.Fertiliser_Products_Data3(),FertiliserProducts[[#Headers],[Include or Exclude]], 40)</f>
        <v/>
      </c>
      <c r="Z136" s="62"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1:31" ht="20.100000000000001" customHeight="1" x14ac:dyDescent="0.25">
      <c r="A137"/>
      <c r="D137" s="62" t="str" cm="1">
        <f t="array" ref="D137">Common_InputFunctions.Utility_DisplayArrayInTable(Fertiliser_SourceData.Fertiliser_Products_Data3(),FertiliserProducts[[#Headers],[Include or Exclude]], 40)</f>
        <v>Yara Liquids N25</v>
      </c>
      <c r="E137" s="62" t="str" cm="1">
        <f t="array" ref="E137">Common_InputFunctions.Utility_DisplayArrayInTable(Fertiliser_SourceData.Fertiliser_Products_Data3(),FertiliserProducts[[#Headers],[Include or Exclude]], 40)</f>
        <v/>
      </c>
      <c r="F137" s="62" t="str" cm="1">
        <f t="array" ref="F137">Common_InputFunctions.Utility_DisplayArrayInTable(Fertiliser_SourceData.Fertiliser_Products_Data3(),FertiliserProducts[[#Headers],[Include or Exclude]], 40)</f>
        <v/>
      </c>
      <c r="G137" s="62" t="str" cm="1">
        <f t="array" ref="G137">Common_InputFunctions.Utility_DisplayArrayInTable(Fertiliser_SourceData.Fertiliser_Products_Data3(),FertiliserProducts[[#Headers],[Include or Exclude]], 40)</f>
        <v/>
      </c>
      <c r="H137" s="62" t="str" cm="1">
        <f t="array" ref="H137">Common_InputFunctions.Utility_DisplayArrayInTable(Fertiliser_SourceData.Fertiliser_Products_Data3(),FertiliserProducts[[#Headers],[Include or Exclude]], 40)</f>
        <v/>
      </c>
      <c r="I137" s="62" t="str" cm="1">
        <f t="array" ref="I137">Common_InputFunctions.Utility_DisplayArrayInTable(Fertiliser_SourceData.Fertiliser_Products_Data3(),FertiliserProducts[[#Headers],[Include or Exclude]], 40)</f>
        <v/>
      </c>
      <c r="J137" s="62" t="str" cm="1">
        <f t="array" ref="J137">Common_InputFunctions.Utility_DisplayArrayInTable(Fertiliser_SourceData.Fertiliser_Products_Data3(),FertiliserProducts[[#Headers],[Include or Exclude]], 40)</f>
        <v/>
      </c>
      <c r="K137" s="62" t="str" cm="1">
        <f t="array" ref="K137">Common_InputFunctions.Utility_DisplayArrayInTable(Fertiliser_SourceData.Fertiliser_Products_Data3(),FertiliserProducts[[#Headers],[Include or Exclude]], 40)</f>
        <v/>
      </c>
      <c r="L137" s="62" t="str" cm="1">
        <f t="array" ref="L137">Common_InputFunctions.Utility_DisplayArrayInTable(Fertiliser_SourceData.Fertiliser_Products_Data3(),FertiliserProducts[[#Headers],[Include or Exclude]], 40)</f>
        <v/>
      </c>
      <c r="M137" s="62" t="str" cm="1">
        <f t="array" ref="M137">Common_InputFunctions.Utility_DisplayArrayInTable(Fertiliser_SourceData.Fertiliser_Products_Data3(),FertiliserProducts[[#Headers],[Include or Exclude]], 40)</f>
        <v/>
      </c>
      <c r="N137" s="62" t="str" cm="1">
        <f t="array" ref="N137">Common_InputFunctions.Utility_DisplayArrayInTable(Fertiliser_SourceData.Fertiliser_Products_Data3(),FertiliserProducts[[#Headers],[Include or Exclude]], 40)</f>
        <v/>
      </c>
      <c r="O137" s="62" t="str" cm="1">
        <f t="array" ref="O137">Common_InputFunctions.Utility_DisplayArrayInTable(Fertiliser_SourceData.Fertiliser_Products_Data3(),FertiliserProducts[[#Headers],[Include or Exclude]], 40)</f>
        <v/>
      </c>
      <c r="P137" s="62" t="str" cm="1">
        <f t="array" ref="P137">Common_InputFunctions.Utility_DisplayArrayInTable(Fertiliser_SourceData.Fertiliser_Products_Data3(),FertiliserProducts[[#Headers],[Include or Exclude]], 40)</f>
        <v/>
      </c>
      <c r="Q137" s="62" t="str" cm="1">
        <f t="array" ref="Q137">Common_InputFunctions.Utility_DisplayArrayInTable(Fertiliser_SourceData.Fertiliser_Products_Data3(),FertiliserProducts[[#Headers],[Include or Exclude]], 40)</f>
        <v/>
      </c>
      <c r="R137" s="62" t="str" cm="1">
        <f t="array" ref="R137">Common_InputFunctions.Utility_DisplayArrayInTable(Fertiliser_SourceData.Fertiliser_Products_Data3(),FertiliserProducts[[#Headers],[Include or Exclude]], 40)</f>
        <v/>
      </c>
      <c r="S137" s="62" t="str" cm="1">
        <f t="array" ref="S137">Common_InputFunctions.Utility_DisplayArrayInTable(Fertiliser_SourceData.Fertiliser_Products_Data3(),FertiliserProducts[[#Headers],[Include or Exclude]], 40)</f>
        <v/>
      </c>
      <c r="T137" s="62" t="str" cm="1">
        <f t="array" ref="T137">Common_InputFunctions.Utility_DisplayArrayInTable(Fertiliser_SourceData.Fertiliser_Products_Data3(),FertiliserProducts[[#Headers],[Include or Exclude]], 40)</f>
        <v/>
      </c>
      <c r="U137" s="62" t="str" cm="1">
        <f t="array" ref="U137">Common_InputFunctions.Utility_DisplayArrayInTable(Fertiliser_SourceData.Fertiliser_Products_Data3(),FertiliserProducts[[#Headers],[Include or Exclude]], 40)</f>
        <v/>
      </c>
      <c r="V137" s="62" t="str" cm="1">
        <f t="array" ref="V137">Common_InputFunctions.Utility_DisplayArrayInTable(Fertiliser_SourceData.Fertiliser_Products_Data3(),FertiliserProducts[[#Headers],[Include or Exclude]], 40)</f>
        <v/>
      </c>
      <c r="W137" s="62" t="str" cm="1">
        <f t="array" ref="W137">Common_InputFunctions.Utility_DisplayArrayInTable(Fertiliser_SourceData.Fertiliser_Products_Data3(),FertiliserProducts[[#Headers],[Include or Exclude]], 40)</f>
        <v>Crop Nutrition Solutions (Yara Australia)</v>
      </c>
      <c r="X137" s="62" t="str" cm="1">
        <f t="array" ref="X137">Common_InputFunctions.Utility_DisplayArrayInTable(Fertiliser_SourceData.Fertiliser_Products_Data3(),FertiliserProducts[[#Headers],[Include or Exclude]], 40)</f>
        <v/>
      </c>
      <c r="Y137" s="62" t="str" cm="1">
        <f t="array" ref="Y137">Common_InputFunctions.Utility_DisplayArrayInTable(Fertiliser_SourceData.Fertiliser_Products_Data3(),FertiliserProducts[[#Headers],[Include or Exclude]], 40)</f>
        <v/>
      </c>
      <c r="Z137" s="62"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1:31" ht="20.100000000000001" customHeight="1" x14ac:dyDescent="0.25">
      <c r="A138"/>
      <c r="D138" s="62" t="str" cm="1">
        <f t="array" ref="D138">Common_InputFunctions.Utility_DisplayArrayInTable(Fertiliser_SourceData.Fertiliser_Products_Data3(),FertiliserProducts[[#Headers],[Include or Exclude]], 40)</f>
        <v>Yara Liquids N26</v>
      </c>
      <c r="E138" s="62" t="str" cm="1">
        <f t="array" ref="E138">Common_InputFunctions.Utility_DisplayArrayInTable(Fertiliser_SourceData.Fertiliser_Products_Data3(),FertiliserProducts[[#Headers],[Include or Exclude]], 40)</f>
        <v/>
      </c>
      <c r="F138" s="62" t="str" cm="1">
        <f t="array" ref="F138">Common_InputFunctions.Utility_DisplayArrayInTable(Fertiliser_SourceData.Fertiliser_Products_Data3(),FertiliserProducts[[#Headers],[Include or Exclude]], 40)</f>
        <v/>
      </c>
      <c r="G138" s="62" t="str" cm="1">
        <f t="array" ref="G138">Common_InputFunctions.Utility_DisplayArrayInTable(Fertiliser_SourceData.Fertiliser_Products_Data3(),FertiliserProducts[[#Headers],[Include or Exclude]], 40)</f>
        <v/>
      </c>
      <c r="H138" s="62" t="str" cm="1">
        <f t="array" ref="H138">Common_InputFunctions.Utility_DisplayArrayInTable(Fertiliser_SourceData.Fertiliser_Products_Data3(),FertiliserProducts[[#Headers],[Include or Exclude]], 40)</f>
        <v/>
      </c>
      <c r="I138" s="62" t="str" cm="1">
        <f t="array" ref="I138">Common_InputFunctions.Utility_DisplayArrayInTable(Fertiliser_SourceData.Fertiliser_Products_Data3(),FertiliserProducts[[#Headers],[Include or Exclude]], 40)</f>
        <v/>
      </c>
      <c r="J138" s="62" t="str" cm="1">
        <f t="array" ref="J138">Common_InputFunctions.Utility_DisplayArrayInTable(Fertiliser_SourceData.Fertiliser_Products_Data3(),FertiliserProducts[[#Headers],[Include or Exclude]], 40)</f>
        <v/>
      </c>
      <c r="K138" s="62" t="str" cm="1">
        <f t="array" ref="K138">Common_InputFunctions.Utility_DisplayArrayInTable(Fertiliser_SourceData.Fertiliser_Products_Data3(),FertiliserProducts[[#Headers],[Include or Exclude]], 40)</f>
        <v/>
      </c>
      <c r="L138" s="62" t="str" cm="1">
        <f t="array" ref="L138">Common_InputFunctions.Utility_DisplayArrayInTable(Fertiliser_SourceData.Fertiliser_Products_Data3(),FertiliserProducts[[#Headers],[Include or Exclude]], 40)</f>
        <v/>
      </c>
      <c r="M138" s="62" t="str" cm="1">
        <f t="array" ref="M138">Common_InputFunctions.Utility_DisplayArrayInTable(Fertiliser_SourceData.Fertiliser_Products_Data3(),FertiliserProducts[[#Headers],[Include or Exclude]], 40)</f>
        <v/>
      </c>
      <c r="N138" s="62" t="str" cm="1">
        <f t="array" ref="N138">Common_InputFunctions.Utility_DisplayArrayInTable(Fertiliser_SourceData.Fertiliser_Products_Data3(),FertiliserProducts[[#Headers],[Include or Exclude]], 40)</f>
        <v/>
      </c>
      <c r="O138" s="62" t="str" cm="1">
        <f t="array" ref="O138">Common_InputFunctions.Utility_DisplayArrayInTable(Fertiliser_SourceData.Fertiliser_Products_Data3(),FertiliserProducts[[#Headers],[Include or Exclude]], 40)</f>
        <v/>
      </c>
      <c r="P138" s="62" t="str" cm="1">
        <f t="array" ref="P138">Common_InputFunctions.Utility_DisplayArrayInTable(Fertiliser_SourceData.Fertiliser_Products_Data3(),FertiliserProducts[[#Headers],[Include or Exclude]], 40)</f>
        <v/>
      </c>
      <c r="Q138" s="62" t="str" cm="1">
        <f t="array" ref="Q138">Common_InputFunctions.Utility_DisplayArrayInTable(Fertiliser_SourceData.Fertiliser_Products_Data3(),FertiliserProducts[[#Headers],[Include or Exclude]], 40)</f>
        <v/>
      </c>
      <c r="R138" s="62" t="str" cm="1">
        <f t="array" ref="R138">Common_InputFunctions.Utility_DisplayArrayInTable(Fertiliser_SourceData.Fertiliser_Products_Data3(),FertiliserProducts[[#Headers],[Include or Exclude]], 40)</f>
        <v/>
      </c>
      <c r="S138" s="62" t="str" cm="1">
        <f t="array" ref="S138">Common_InputFunctions.Utility_DisplayArrayInTable(Fertiliser_SourceData.Fertiliser_Products_Data3(),FertiliserProducts[[#Headers],[Include or Exclude]], 40)</f>
        <v/>
      </c>
      <c r="T138" s="62" t="str" cm="1">
        <f t="array" ref="T138">Common_InputFunctions.Utility_DisplayArrayInTable(Fertiliser_SourceData.Fertiliser_Products_Data3(),FertiliserProducts[[#Headers],[Include or Exclude]], 40)</f>
        <v/>
      </c>
      <c r="U138" s="62" t="str" cm="1">
        <f t="array" ref="U138">Common_InputFunctions.Utility_DisplayArrayInTable(Fertiliser_SourceData.Fertiliser_Products_Data3(),FertiliserProducts[[#Headers],[Include or Exclude]], 40)</f>
        <v/>
      </c>
      <c r="V138" s="62" t="str" cm="1">
        <f t="array" ref="V138">Common_InputFunctions.Utility_DisplayArrayInTable(Fertiliser_SourceData.Fertiliser_Products_Data3(),FertiliserProducts[[#Headers],[Include or Exclude]], 40)</f>
        <v/>
      </c>
      <c r="W138" s="62" t="str" cm="1">
        <f t="array" ref="W138">Common_InputFunctions.Utility_DisplayArrayInTable(Fertiliser_SourceData.Fertiliser_Products_Data3(),FertiliserProducts[[#Headers],[Include or Exclude]], 40)</f>
        <v>Crop Nutrition Solutions (Yara Australia)</v>
      </c>
      <c r="X138" s="62" t="str" cm="1">
        <f t="array" ref="X138">Common_InputFunctions.Utility_DisplayArrayInTable(Fertiliser_SourceData.Fertiliser_Products_Data3(),FertiliserProducts[[#Headers],[Include or Exclude]], 40)</f>
        <v/>
      </c>
      <c r="Y138" s="62" t="str" cm="1">
        <f t="array" ref="Y138">Common_InputFunctions.Utility_DisplayArrayInTable(Fertiliser_SourceData.Fertiliser_Products_Data3(),FertiliserProducts[[#Headers],[Include or Exclude]], 40)</f>
        <v/>
      </c>
      <c r="Z138" s="62"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1:31" ht="20.100000000000001" customHeight="1" x14ac:dyDescent="0.25">
      <c r="A139"/>
      <c r="D139" s="62" t="str" cm="1">
        <f t="array" ref="D139">Common_InputFunctions.Utility_DisplayArrayInTable(Fertiliser_SourceData.Fertiliser_Products_Data3(),FertiliserProducts[[#Headers],[Include or Exclude]], 40)</f>
        <v>Yara Liquids N42</v>
      </c>
      <c r="E139" s="62" t="str" cm="1">
        <f t="array" ref="E139">Common_InputFunctions.Utility_DisplayArrayInTable(Fertiliser_SourceData.Fertiliser_Products_Data3(),FertiliserProducts[[#Headers],[Include or Exclude]], 40)</f>
        <v/>
      </c>
      <c r="F139" s="62" t="str" cm="1">
        <f t="array" ref="F139">Common_InputFunctions.Utility_DisplayArrayInTable(Fertiliser_SourceData.Fertiliser_Products_Data3(),FertiliserProducts[[#Headers],[Include or Exclude]], 40)</f>
        <v/>
      </c>
      <c r="G139" s="62" t="str" cm="1">
        <f t="array" ref="G139">Common_InputFunctions.Utility_DisplayArrayInTable(Fertiliser_SourceData.Fertiliser_Products_Data3(),FertiliserProducts[[#Headers],[Include or Exclude]], 40)</f>
        <v/>
      </c>
      <c r="H139" s="62" t="str" cm="1">
        <f t="array" ref="H139">Common_InputFunctions.Utility_DisplayArrayInTable(Fertiliser_SourceData.Fertiliser_Products_Data3(),FertiliserProducts[[#Headers],[Include or Exclude]], 40)</f>
        <v/>
      </c>
      <c r="I139" s="62" t="str" cm="1">
        <f t="array" ref="I139">Common_InputFunctions.Utility_DisplayArrayInTable(Fertiliser_SourceData.Fertiliser_Products_Data3(),FertiliserProducts[[#Headers],[Include or Exclude]], 40)</f>
        <v/>
      </c>
      <c r="J139" s="62" t="str" cm="1">
        <f t="array" ref="J139">Common_InputFunctions.Utility_DisplayArrayInTable(Fertiliser_SourceData.Fertiliser_Products_Data3(),FertiliserProducts[[#Headers],[Include or Exclude]], 40)</f>
        <v/>
      </c>
      <c r="K139" s="62" t="str" cm="1">
        <f t="array" ref="K139">Common_InputFunctions.Utility_DisplayArrayInTable(Fertiliser_SourceData.Fertiliser_Products_Data3(),FertiliserProducts[[#Headers],[Include or Exclude]], 40)</f>
        <v/>
      </c>
      <c r="L139" s="62" t="str" cm="1">
        <f t="array" ref="L139">Common_InputFunctions.Utility_DisplayArrayInTable(Fertiliser_SourceData.Fertiliser_Products_Data3(),FertiliserProducts[[#Headers],[Include or Exclude]], 40)</f>
        <v/>
      </c>
      <c r="M139" s="62" t="str" cm="1">
        <f t="array" ref="M139">Common_InputFunctions.Utility_DisplayArrayInTable(Fertiliser_SourceData.Fertiliser_Products_Data3(),FertiliserProducts[[#Headers],[Include or Exclude]], 40)</f>
        <v/>
      </c>
      <c r="N139" s="62" t="str" cm="1">
        <f t="array" ref="N139">Common_InputFunctions.Utility_DisplayArrayInTable(Fertiliser_SourceData.Fertiliser_Products_Data3(),FertiliserProducts[[#Headers],[Include or Exclude]], 40)</f>
        <v/>
      </c>
      <c r="O139" s="62" t="str" cm="1">
        <f t="array" ref="O139">Common_InputFunctions.Utility_DisplayArrayInTable(Fertiliser_SourceData.Fertiliser_Products_Data3(),FertiliserProducts[[#Headers],[Include or Exclude]], 40)</f>
        <v/>
      </c>
      <c r="P139" s="62" t="str" cm="1">
        <f t="array" ref="P139">Common_InputFunctions.Utility_DisplayArrayInTable(Fertiliser_SourceData.Fertiliser_Products_Data3(),FertiliserProducts[[#Headers],[Include or Exclude]], 40)</f>
        <v/>
      </c>
      <c r="Q139" s="62" t="str" cm="1">
        <f t="array" ref="Q139">Common_InputFunctions.Utility_DisplayArrayInTable(Fertiliser_SourceData.Fertiliser_Products_Data3(),FertiliserProducts[[#Headers],[Include or Exclude]], 40)</f>
        <v/>
      </c>
      <c r="R139" s="62" t="str" cm="1">
        <f t="array" ref="R139">Common_InputFunctions.Utility_DisplayArrayInTable(Fertiliser_SourceData.Fertiliser_Products_Data3(),FertiliserProducts[[#Headers],[Include or Exclude]], 40)</f>
        <v/>
      </c>
      <c r="S139" s="62" t="str" cm="1">
        <f t="array" ref="S139">Common_InputFunctions.Utility_DisplayArrayInTable(Fertiliser_SourceData.Fertiliser_Products_Data3(),FertiliserProducts[[#Headers],[Include or Exclude]], 40)</f>
        <v/>
      </c>
      <c r="T139" s="62" t="str" cm="1">
        <f t="array" ref="T139">Common_InputFunctions.Utility_DisplayArrayInTable(Fertiliser_SourceData.Fertiliser_Products_Data3(),FertiliserProducts[[#Headers],[Include or Exclude]], 40)</f>
        <v/>
      </c>
      <c r="U139" s="62" t="str" cm="1">
        <f t="array" ref="U139">Common_InputFunctions.Utility_DisplayArrayInTable(Fertiliser_SourceData.Fertiliser_Products_Data3(),FertiliserProducts[[#Headers],[Include or Exclude]], 40)</f>
        <v/>
      </c>
      <c r="V139" s="62" t="str" cm="1">
        <f t="array" ref="V139">Common_InputFunctions.Utility_DisplayArrayInTable(Fertiliser_SourceData.Fertiliser_Products_Data3(),FertiliserProducts[[#Headers],[Include or Exclude]], 40)</f>
        <v/>
      </c>
      <c r="W139" s="62" t="str" cm="1">
        <f t="array" ref="W139">Common_InputFunctions.Utility_DisplayArrayInTable(Fertiliser_SourceData.Fertiliser_Products_Data3(),FertiliserProducts[[#Headers],[Include or Exclude]], 40)</f>
        <v>Crop Nutrition Solutions (Yara Australia)</v>
      </c>
      <c r="X139" s="62" t="str" cm="1">
        <f t="array" ref="X139">Common_InputFunctions.Utility_DisplayArrayInTable(Fertiliser_SourceData.Fertiliser_Products_Data3(),FertiliserProducts[[#Headers],[Include or Exclude]], 40)</f>
        <v/>
      </c>
      <c r="Y139" s="62" t="str" cm="1">
        <f t="array" ref="Y139">Common_InputFunctions.Utility_DisplayArrayInTable(Fertiliser_SourceData.Fertiliser_Products_Data3(),FertiliserProducts[[#Headers],[Include or Exclude]], 40)</f>
        <v/>
      </c>
      <c r="Z139" s="62"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1:31" ht="20.100000000000001" customHeight="1" x14ac:dyDescent="0.25">
      <c r="A140"/>
      <c r="D140" s="62" t="str" cm="1">
        <f t="array" ref="D140">Common_InputFunctions.Utility_DisplayArrayInTable(Fertiliser_SourceData.Fertiliser_Products_Data3(),FertiliserProducts[[#Headers],[Include or Exclude]], 40)</f>
        <v>Yara Liquids N-CAL 15+18Ca</v>
      </c>
      <c r="E140" s="62" t="str" cm="1">
        <f t="array" ref="E140">Common_InputFunctions.Utility_DisplayArrayInTable(Fertiliser_SourceData.Fertiliser_Products_Data3(),FertiliserProducts[[#Headers],[Include or Exclude]], 40)</f>
        <v/>
      </c>
      <c r="F140" s="62" t="str" cm="1">
        <f t="array" ref="F140">Common_InputFunctions.Utility_DisplayArrayInTable(Fertiliser_SourceData.Fertiliser_Products_Data3(),FertiliserProducts[[#Headers],[Include or Exclude]], 40)</f>
        <v/>
      </c>
      <c r="G140" s="62" t="str" cm="1">
        <f t="array" ref="G140">Common_InputFunctions.Utility_DisplayArrayInTable(Fertiliser_SourceData.Fertiliser_Products_Data3(),FertiliserProducts[[#Headers],[Include or Exclude]], 40)</f>
        <v/>
      </c>
      <c r="H140" s="62" t="str" cm="1">
        <f t="array" ref="H140">Common_InputFunctions.Utility_DisplayArrayInTable(Fertiliser_SourceData.Fertiliser_Products_Data3(),FertiliserProducts[[#Headers],[Include or Exclude]], 40)</f>
        <v/>
      </c>
      <c r="I140" s="62" t="str" cm="1">
        <f t="array" ref="I140">Common_InputFunctions.Utility_DisplayArrayInTable(Fertiliser_SourceData.Fertiliser_Products_Data3(),FertiliserProducts[[#Headers],[Include or Exclude]], 40)</f>
        <v/>
      </c>
      <c r="J140" s="62" t="str" cm="1">
        <f t="array" ref="J140">Common_InputFunctions.Utility_DisplayArrayInTable(Fertiliser_SourceData.Fertiliser_Products_Data3(),FertiliserProducts[[#Headers],[Include or Exclude]], 40)</f>
        <v/>
      </c>
      <c r="K140" s="62" t="str" cm="1">
        <f t="array" ref="K140">Common_InputFunctions.Utility_DisplayArrayInTable(Fertiliser_SourceData.Fertiliser_Products_Data3(),FertiliserProducts[[#Headers],[Include or Exclude]], 40)</f>
        <v/>
      </c>
      <c r="L140" s="62" t="str" cm="1">
        <f t="array" ref="L140">Common_InputFunctions.Utility_DisplayArrayInTable(Fertiliser_SourceData.Fertiliser_Products_Data3(),FertiliserProducts[[#Headers],[Include or Exclude]], 40)</f>
        <v/>
      </c>
      <c r="M140" s="62" t="str" cm="1">
        <f t="array" ref="M140">Common_InputFunctions.Utility_DisplayArrayInTable(Fertiliser_SourceData.Fertiliser_Products_Data3(),FertiliserProducts[[#Headers],[Include or Exclude]], 40)</f>
        <v/>
      </c>
      <c r="N140" s="62" t="str" cm="1">
        <f t="array" ref="N140">Common_InputFunctions.Utility_DisplayArrayInTable(Fertiliser_SourceData.Fertiliser_Products_Data3(),FertiliserProducts[[#Headers],[Include or Exclude]], 40)</f>
        <v/>
      </c>
      <c r="O140" s="62" t="str" cm="1">
        <f t="array" ref="O140">Common_InputFunctions.Utility_DisplayArrayInTable(Fertiliser_SourceData.Fertiliser_Products_Data3(),FertiliserProducts[[#Headers],[Include or Exclude]], 40)</f>
        <v/>
      </c>
      <c r="P140" s="62" t="str" cm="1">
        <f t="array" ref="P140">Common_InputFunctions.Utility_DisplayArrayInTable(Fertiliser_SourceData.Fertiliser_Products_Data3(),FertiliserProducts[[#Headers],[Include or Exclude]], 40)</f>
        <v/>
      </c>
      <c r="Q140" s="62" t="str" cm="1">
        <f t="array" ref="Q140">Common_InputFunctions.Utility_DisplayArrayInTable(Fertiliser_SourceData.Fertiliser_Products_Data3(),FertiliserProducts[[#Headers],[Include or Exclude]], 40)</f>
        <v/>
      </c>
      <c r="R140" s="62" t="str" cm="1">
        <f t="array" ref="R140">Common_InputFunctions.Utility_DisplayArrayInTable(Fertiliser_SourceData.Fertiliser_Products_Data3(),FertiliserProducts[[#Headers],[Include or Exclude]], 40)</f>
        <v/>
      </c>
      <c r="S140" s="62" t="str" cm="1">
        <f t="array" ref="S140">Common_InputFunctions.Utility_DisplayArrayInTable(Fertiliser_SourceData.Fertiliser_Products_Data3(),FertiliserProducts[[#Headers],[Include or Exclude]], 40)</f>
        <v/>
      </c>
      <c r="T140" s="62" t="str" cm="1">
        <f t="array" ref="T140">Common_InputFunctions.Utility_DisplayArrayInTable(Fertiliser_SourceData.Fertiliser_Products_Data3(),FertiliserProducts[[#Headers],[Include or Exclude]], 40)</f>
        <v/>
      </c>
      <c r="U140" s="62" t="str" cm="1">
        <f t="array" ref="U140">Common_InputFunctions.Utility_DisplayArrayInTable(Fertiliser_SourceData.Fertiliser_Products_Data3(),FertiliserProducts[[#Headers],[Include or Exclude]], 40)</f>
        <v/>
      </c>
      <c r="V140" s="62" t="str" cm="1">
        <f t="array" ref="V140">Common_InputFunctions.Utility_DisplayArrayInTable(Fertiliser_SourceData.Fertiliser_Products_Data3(),FertiliserProducts[[#Headers],[Include or Exclude]], 40)</f>
        <v/>
      </c>
      <c r="W140" s="62" t="str" cm="1">
        <f t="array" ref="W140">Common_InputFunctions.Utility_DisplayArrayInTable(Fertiliser_SourceData.Fertiliser_Products_Data3(),FertiliserProducts[[#Headers],[Include or Exclude]], 40)</f>
        <v>Crop Nutrition Solutions (Yara Australia)</v>
      </c>
      <c r="X140" s="62" t="str" cm="1">
        <f t="array" ref="X140">Common_InputFunctions.Utility_DisplayArrayInTable(Fertiliser_SourceData.Fertiliser_Products_Data3(),FertiliserProducts[[#Headers],[Include or Exclude]], 40)</f>
        <v/>
      </c>
      <c r="Y140" s="62" t="str" cm="1">
        <f t="array" ref="Y140">Common_InputFunctions.Utility_DisplayArrayInTable(Fertiliser_SourceData.Fertiliser_Products_Data3(),FertiliserProducts[[#Headers],[Include or Exclude]], 40)</f>
        <v/>
      </c>
      <c r="Z140" s="62"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1:31" ht="20.100000000000001" customHeight="1" x14ac:dyDescent="0.25">
      <c r="A141"/>
      <c r="D141" s="62" t="str" cm="1">
        <f t="array" ref="D141">Common_InputFunctions.Utility_DisplayArrayInTable(Fertiliser_SourceData.Fertiliser_Products_Data3(),FertiliserProducts[[#Headers],[Include or Exclude]], 40)</f>
        <v>Yara Liquids N-CAL 20+10Ca+B</v>
      </c>
      <c r="E141" s="62" t="str" cm="1">
        <f t="array" ref="E141">Common_InputFunctions.Utility_DisplayArrayInTable(Fertiliser_SourceData.Fertiliser_Products_Data3(),FertiliserProducts[[#Headers],[Include or Exclude]], 40)</f>
        <v/>
      </c>
      <c r="F141" s="62" t="str" cm="1">
        <f t="array" ref="F141">Common_InputFunctions.Utility_DisplayArrayInTable(Fertiliser_SourceData.Fertiliser_Products_Data3(),FertiliserProducts[[#Headers],[Include or Exclude]], 40)</f>
        <v/>
      </c>
      <c r="G141" s="62" t="str" cm="1">
        <f t="array" ref="G141">Common_InputFunctions.Utility_DisplayArrayInTable(Fertiliser_SourceData.Fertiliser_Products_Data3(),FertiliserProducts[[#Headers],[Include or Exclude]], 40)</f>
        <v/>
      </c>
      <c r="H141" s="62" t="str" cm="1">
        <f t="array" ref="H141">Common_InputFunctions.Utility_DisplayArrayInTable(Fertiliser_SourceData.Fertiliser_Products_Data3(),FertiliserProducts[[#Headers],[Include or Exclude]], 40)</f>
        <v/>
      </c>
      <c r="I141" s="62" t="str" cm="1">
        <f t="array" ref="I141">Common_InputFunctions.Utility_DisplayArrayInTable(Fertiliser_SourceData.Fertiliser_Products_Data3(),FertiliserProducts[[#Headers],[Include or Exclude]], 40)</f>
        <v/>
      </c>
      <c r="J141" s="62" t="str" cm="1">
        <f t="array" ref="J141">Common_InputFunctions.Utility_DisplayArrayInTable(Fertiliser_SourceData.Fertiliser_Products_Data3(),FertiliserProducts[[#Headers],[Include or Exclude]], 40)</f>
        <v/>
      </c>
      <c r="K141" s="62" t="str" cm="1">
        <f t="array" ref="K141">Common_InputFunctions.Utility_DisplayArrayInTable(Fertiliser_SourceData.Fertiliser_Products_Data3(),FertiliserProducts[[#Headers],[Include or Exclude]], 40)</f>
        <v/>
      </c>
      <c r="L141" s="62" t="str" cm="1">
        <f t="array" ref="L141">Common_InputFunctions.Utility_DisplayArrayInTable(Fertiliser_SourceData.Fertiliser_Products_Data3(),FertiliserProducts[[#Headers],[Include or Exclude]], 40)</f>
        <v/>
      </c>
      <c r="M141" s="62" t="str" cm="1">
        <f t="array" ref="M141">Common_InputFunctions.Utility_DisplayArrayInTable(Fertiliser_SourceData.Fertiliser_Products_Data3(),FertiliserProducts[[#Headers],[Include or Exclude]], 40)</f>
        <v/>
      </c>
      <c r="N141" s="62" t="str" cm="1">
        <f t="array" ref="N141">Common_InputFunctions.Utility_DisplayArrayInTable(Fertiliser_SourceData.Fertiliser_Products_Data3(),FertiliserProducts[[#Headers],[Include or Exclude]], 40)</f>
        <v/>
      </c>
      <c r="O141" s="62" t="str" cm="1">
        <f t="array" ref="O141">Common_InputFunctions.Utility_DisplayArrayInTable(Fertiliser_SourceData.Fertiliser_Products_Data3(),FertiliserProducts[[#Headers],[Include or Exclude]], 40)</f>
        <v/>
      </c>
      <c r="P141" s="62" t="str" cm="1">
        <f t="array" ref="P141">Common_InputFunctions.Utility_DisplayArrayInTable(Fertiliser_SourceData.Fertiliser_Products_Data3(),FertiliserProducts[[#Headers],[Include or Exclude]], 40)</f>
        <v/>
      </c>
      <c r="Q141" s="62" t="str" cm="1">
        <f t="array" ref="Q141">Common_InputFunctions.Utility_DisplayArrayInTable(Fertiliser_SourceData.Fertiliser_Products_Data3(),FertiliserProducts[[#Headers],[Include or Exclude]], 40)</f>
        <v/>
      </c>
      <c r="R141" s="62" t="str" cm="1">
        <f t="array" ref="R141">Common_InputFunctions.Utility_DisplayArrayInTable(Fertiliser_SourceData.Fertiliser_Products_Data3(),FertiliserProducts[[#Headers],[Include or Exclude]], 40)</f>
        <v/>
      </c>
      <c r="S141" s="62" t="str" cm="1">
        <f t="array" ref="S141">Common_InputFunctions.Utility_DisplayArrayInTable(Fertiliser_SourceData.Fertiliser_Products_Data3(),FertiliserProducts[[#Headers],[Include or Exclude]], 40)</f>
        <v/>
      </c>
      <c r="T141" s="62" t="str" cm="1">
        <f t="array" ref="T141">Common_InputFunctions.Utility_DisplayArrayInTable(Fertiliser_SourceData.Fertiliser_Products_Data3(),FertiliserProducts[[#Headers],[Include or Exclude]], 40)</f>
        <v/>
      </c>
      <c r="U141" s="62" t="str" cm="1">
        <f t="array" ref="U141">Common_InputFunctions.Utility_DisplayArrayInTable(Fertiliser_SourceData.Fertiliser_Products_Data3(),FertiliserProducts[[#Headers],[Include or Exclude]], 40)</f>
        <v/>
      </c>
      <c r="V141" s="62" t="str" cm="1">
        <f t="array" ref="V141">Common_InputFunctions.Utility_DisplayArrayInTable(Fertiliser_SourceData.Fertiliser_Products_Data3(),FertiliserProducts[[#Headers],[Include or Exclude]], 40)</f>
        <v/>
      </c>
      <c r="W141" s="62" t="str" cm="1">
        <f t="array" ref="W141">Common_InputFunctions.Utility_DisplayArrayInTable(Fertiliser_SourceData.Fertiliser_Products_Data3(),FertiliserProducts[[#Headers],[Include or Exclude]], 40)</f>
        <v>Crop Nutrition Solutions (Yara Australia)</v>
      </c>
      <c r="X141" s="62" t="str" cm="1">
        <f t="array" ref="X141">Common_InputFunctions.Utility_DisplayArrayInTable(Fertiliser_SourceData.Fertiliser_Products_Data3(),FertiliserProducts[[#Headers],[Include or Exclude]], 40)</f>
        <v/>
      </c>
      <c r="Y141" s="62" t="str" cm="1">
        <f t="array" ref="Y141">Common_InputFunctions.Utility_DisplayArrayInTable(Fertiliser_SourceData.Fertiliser_Products_Data3(),FertiliserProducts[[#Headers],[Include or Exclude]], 40)</f>
        <v/>
      </c>
      <c r="Z141" s="62"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1:31" ht="20.100000000000001" customHeight="1" x14ac:dyDescent="0.25">
      <c r="A142"/>
      <c r="D142" s="62" t="str" cm="1">
        <f t="array" ref="D142">Common_InputFunctions.Utility_DisplayArrayInTable(Fertiliser_SourceData.Fertiliser_Products_Data3(),FertiliserProducts[[#Headers],[Include or Exclude]], 40)</f>
        <v>Yara Liquids N-CAL 35+6Ca</v>
      </c>
      <c r="E142" s="62" t="str" cm="1">
        <f t="array" ref="E142">Common_InputFunctions.Utility_DisplayArrayInTable(Fertiliser_SourceData.Fertiliser_Products_Data3(),FertiliserProducts[[#Headers],[Include or Exclude]], 40)</f>
        <v/>
      </c>
      <c r="F142" s="62" t="str" cm="1">
        <f t="array" ref="F142">Common_InputFunctions.Utility_DisplayArrayInTable(Fertiliser_SourceData.Fertiliser_Products_Data3(),FertiliserProducts[[#Headers],[Include or Exclude]], 40)</f>
        <v/>
      </c>
      <c r="G142" s="62" t="str" cm="1">
        <f t="array" ref="G142">Common_InputFunctions.Utility_DisplayArrayInTable(Fertiliser_SourceData.Fertiliser_Products_Data3(),FertiliserProducts[[#Headers],[Include or Exclude]], 40)</f>
        <v/>
      </c>
      <c r="H142" s="62" t="str" cm="1">
        <f t="array" ref="H142">Common_InputFunctions.Utility_DisplayArrayInTable(Fertiliser_SourceData.Fertiliser_Products_Data3(),FertiliserProducts[[#Headers],[Include or Exclude]], 40)</f>
        <v/>
      </c>
      <c r="I142" s="62" t="str" cm="1">
        <f t="array" ref="I142">Common_InputFunctions.Utility_DisplayArrayInTable(Fertiliser_SourceData.Fertiliser_Products_Data3(),FertiliserProducts[[#Headers],[Include or Exclude]], 40)</f>
        <v/>
      </c>
      <c r="J142" s="62" t="str" cm="1">
        <f t="array" ref="J142">Common_InputFunctions.Utility_DisplayArrayInTable(Fertiliser_SourceData.Fertiliser_Products_Data3(),FertiliserProducts[[#Headers],[Include or Exclude]], 40)</f>
        <v/>
      </c>
      <c r="K142" s="62" t="str" cm="1">
        <f t="array" ref="K142">Common_InputFunctions.Utility_DisplayArrayInTable(Fertiliser_SourceData.Fertiliser_Products_Data3(),FertiliserProducts[[#Headers],[Include or Exclude]], 40)</f>
        <v/>
      </c>
      <c r="L142" s="62" t="str" cm="1">
        <f t="array" ref="L142">Common_InputFunctions.Utility_DisplayArrayInTable(Fertiliser_SourceData.Fertiliser_Products_Data3(),FertiliserProducts[[#Headers],[Include or Exclude]], 40)</f>
        <v/>
      </c>
      <c r="M142" s="62" t="str" cm="1">
        <f t="array" ref="M142">Common_InputFunctions.Utility_DisplayArrayInTable(Fertiliser_SourceData.Fertiliser_Products_Data3(),FertiliserProducts[[#Headers],[Include or Exclude]], 40)</f>
        <v/>
      </c>
      <c r="N142" s="62" t="str" cm="1">
        <f t="array" ref="N142">Common_InputFunctions.Utility_DisplayArrayInTable(Fertiliser_SourceData.Fertiliser_Products_Data3(),FertiliserProducts[[#Headers],[Include or Exclude]], 40)</f>
        <v/>
      </c>
      <c r="O142" s="62" t="str" cm="1">
        <f t="array" ref="O142">Common_InputFunctions.Utility_DisplayArrayInTable(Fertiliser_SourceData.Fertiliser_Products_Data3(),FertiliserProducts[[#Headers],[Include or Exclude]], 40)</f>
        <v/>
      </c>
      <c r="P142" s="62" t="str" cm="1">
        <f t="array" ref="P142">Common_InputFunctions.Utility_DisplayArrayInTable(Fertiliser_SourceData.Fertiliser_Products_Data3(),FertiliserProducts[[#Headers],[Include or Exclude]], 40)</f>
        <v/>
      </c>
      <c r="Q142" s="62" t="str" cm="1">
        <f t="array" ref="Q142">Common_InputFunctions.Utility_DisplayArrayInTable(Fertiliser_SourceData.Fertiliser_Products_Data3(),FertiliserProducts[[#Headers],[Include or Exclude]], 40)</f>
        <v/>
      </c>
      <c r="R142" s="62" t="str" cm="1">
        <f t="array" ref="R142">Common_InputFunctions.Utility_DisplayArrayInTable(Fertiliser_SourceData.Fertiliser_Products_Data3(),FertiliserProducts[[#Headers],[Include or Exclude]], 40)</f>
        <v/>
      </c>
      <c r="S142" s="62" t="str" cm="1">
        <f t="array" ref="S142">Common_InputFunctions.Utility_DisplayArrayInTable(Fertiliser_SourceData.Fertiliser_Products_Data3(),FertiliserProducts[[#Headers],[Include or Exclude]], 40)</f>
        <v/>
      </c>
      <c r="T142" s="62" t="str" cm="1">
        <f t="array" ref="T142">Common_InputFunctions.Utility_DisplayArrayInTable(Fertiliser_SourceData.Fertiliser_Products_Data3(),FertiliserProducts[[#Headers],[Include or Exclude]], 40)</f>
        <v/>
      </c>
      <c r="U142" s="62" t="str" cm="1">
        <f t="array" ref="U142">Common_InputFunctions.Utility_DisplayArrayInTable(Fertiliser_SourceData.Fertiliser_Products_Data3(),FertiliserProducts[[#Headers],[Include or Exclude]], 40)</f>
        <v/>
      </c>
      <c r="V142" s="62" t="str" cm="1">
        <f t="array" ref="V142">Common_InputFunctions.Utility_DisplayArrayInTable(Fertiliser_SourceData.Fertiliser_Products_Data3(),FertiliserProducts[[#Headers],[Include or Exclude]], 40)</f>
        <v/>
      </c>
      <c r="W142" s="62" t="str" cm="1">
        <f t="array" ref="W142">Common_InputFunctions.Utility_DisplayArrayInTable(Fertiliser_SourceData.Fertiliser_Products_Data3(),FertiliserProducts[[#Headers],[Include or Exclude]], 40)</f>
        <v>Crop Nutrition Solutions (Yara Australia)</v>
      </c>
      <c r="X142" s="62" t="str" cm="1">
        <f t="array" ref="X142">Common_InputFunctions.Utility_DisplayArrayInTable(Fertiliser_SourceData.Fertiliser_Products_Data3(),FertiliserProducts[[#Headers],[Include or Exclude]], 40)</f>
        <v/>
      </c>
      <c r="Y142" s="62" t="str" cm="1">
        <f t="array" ref="Y142">Common_InputFunctions.Utility_DisplayArrayInTable(Fertiliser_SourceData.Fertiliser_Products_Data3(),FertiliserProducts[[#Headers],[Include or Exclude]], 40)</f>
        <v/>
      </c>
      <c r="Z142" s="62"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1:31" ht="20.100000000000001" customHeight="1" x14ac:dyDescent="0.25">
      <c r="A143"/>
      <c r="D143" s="62" t="str" cm="1">
        <f t="array" ref="D143">Common_InputFunctions.Utility_DisplayArrayInTable(Fertiliser_SourceData.Fertiliser_Products_Data3(),FertiliserProducts[[#Headers],[Include or Exclude]], 40)</f>
        <v>Yara Liquids N-FOL 24</v>
      </c>
      <c r="E143" s="62" t="str" cm="1">
        <f t="array" ref="E143">Common_InputFunctions.Utility_DisplayArrayInTable(Fertiliser_SourceData.Fertiliser_Products_Data3(),FertiliserProducts[[#Headers],[Include or Exclude]], 40)</f>
        <v/>
      </c>
      <c r="F143" s="62" t="str" cm="1">
        <f t="array" ref="F143">Common_InputFunctions.Utility_DisplayArrayInTable(Fertiliser_SourceData.Fertiliser_Products_Data3(),FertiliserProducts[[#Headers],[Include or Exclude]], 40)</f>
        <v/>
      </c>
      <c r="G143" s="62" t="str" cm="1">
        <f t="array" ref="G143">Common_InputFunctions.Utility_DisplayArrayInTable(Fertiliser_SourceData.Fertiliser_Products_Data3(),FertiliserProducts[[#Headers],[Include or Exclude]], 40)</f>
        <v/>
      </c>
      <c r="H143" s="62" t="str" cm="1">
        <f t="array" ref="H143">Common_InputFunctions.Utility_DisplayArrayInTable(Fertiliser_SourceData.Fertiliser_Products_Data3(),FertiliserProducts[[#Headers],[Include or Exclude]], 40)</f>
        <v/>
      </c>
      <c r="I143" s="62" t="str" cm="1">
        <f t="array" ref="I143">Common_InputFunctions.Utility_DisplayArrayInTable(Fertiliser_SourceData.Fertiliser_Products_Data3(),FertiliserProducts[[#Headers],[Include or Exclude]], 40)</f>
        <v/>
      </c>
      <c r="J143" s="62" t="str" cm="1">
        <f t="array" ref="J143">Common_InputFunctions.Utility_DisplayArrayInTable(Fertiliser_SourceData.Fertiliser_Products_Data3(),FertiliserProducts[[#Headers],[Include or Exclude]], 40)</f>
        <v/>
      </c>
      <c r="K143" s="62" t="str" cm="1">
        <f t="array" ref="K143">Common_InputFunctions.Utility_DisplayArrayInTable(Fertiliser_SourceData.Fertiliser_Products_Data3(),FertiliserProducts[[#Headers],[Include or Exclude]], 40)</f>
        <v/>
      </c>
      <c r="L143" s="62" t="str" cm="1">
        <f t="array" ref="L143">Common_InputFunctions.Utility_DisplayArrayInTable(Fertiliser_SourceData.Fertiliser_Products_Data3(),FertiliserProducts[[#Headers],[Include or Exclude]], 40)</f>
        <v/>
      </c>
      <c r="M143" s="62" t="str" cm="1">
        <f t="array" ref="M143">Common_InputFunctions.Utility_DisplayArrayInTable(Fertiliser_SourceData.Fertiliser_Products_Data3(),FertiliserProducts[[#Headers],[Include or Exclude]], 40)</f>
        <v/>
      </c>
      <c r="N143" s="62" t="str" cm="1">
        <f t="array" ref="N143">Common_InputFunctions.Utility_DisplayArrayInTable(Fertiliser_SourceData.Fertiliser_Products_Data3(),FertiliserProducts[[#Headers],[Include or Exclude]], 40)</f>
        <v/>
      </c>
      <c r="O143" s="62" t="str" cm="1">
        <f t="array" ref="O143">Common_InputFunctions.Utility_DisplayArrayInTable(Fertiliser_SourceData.Fertiliser_Products_Data3(),FertiliserProducts[[#Headers],[Include or Exclude]], 40)</f>
        <v/>
      </c>
      <c r="P143" s="62" t="str" cm="1">
        <f t="array" ref="P143">Common_InputFunctions.Utility_DisplayArrayInTable(Fertiliser_SourceData.Fertiliser_Products_Data3(),FertiliserProducts[[#Headers],[Include or Exclude]], 40)</f>
        <v/>
      </c>
      <c r="Q143" s="62" t="str" cm="1">
        <f t="array" ref="Q143">Common_InputFunctions.Utility_DisplayArrayInTable(Fertiliser_SourceData.Fertiliser_Products_Data3(),FertiliserProducts[[#Headers],[Include or Exclude]], 40)</f>
        <v/>
      </c>
      <c r="R143" s="62" t="str" cm="1">
        <f t="array" ref="R143">Common_InputFunctions.Utility_DisplayArrayInTable(Fertiliser_SourceData.Fertiliser_Products_Data3(),FertiliserProducts[[#Headers],[Include or Exclude]], 40)</f>
        <v/>
      </c>
      <c r="S143" s="62" t="str" cm="1">
        <f t="array" ref="S143">Common_InputFunctions.Utility_DisplayArrayInTable(Fertiliser_SourceData.Fertiliser_Products_Data3(),FertiliserProducts[[#Headers],[Include or Exclude]], 40)</f>
        <v/>
      </c>
      <c r="T143" s="62" t="str" cm="1">
        <f t="array" ref="T143">Common_InputFunctions.Utility_DisplayArrayInTable(Fertiliser_SourceData.Fertiliser_Products_Data3(),FertiliserProducts[[#Headers],[Include or Exclude]], 40)</f>
        <v/>
      </c>
      <c r="U143" s="62" t="str" cm="1">
        <f t="array" ref="U143">Common_InputFunctions.Utility_DisplayArrayInTable(Fertiliser_SourceData.Fertiliser_Products_Data3(),FertiliserProducts[[#Headers],[Include or Exclude]], 40)</f>
        <v/>
      </c>
      <c r="V143" s="62" t="str" cm="1">
        <f t="array" ref="V143">Common_InputFunctions.Utility_DisplayArrayInTable(Fertiliser_SourceData.Fertiliser_Products_Data3(),FertiliserProducts[[#Headers],[Include or Exclude]], 40)</f>
        <v/>
      </c>
      <c r="W143" s="62" t="str" cm="1">
        <f t="array" ref="W143">Common_InputFunctions.Utility_DisplayArrayInTable(Fertiliser_SourceData.Fertiliser_Products_Data3(),FertiliserProducts[[#Headers],[Include or Exclude]], 40)</f>
        <v>Crop Nutrition Solutions (Yara Australia)</v>
      </c>
      <c r="X143" s="62" t="str" cm="1">
        <f t="array" ref="X143">Common_InputFunctions.Utility_DisplayArrayInTable(Fertiliser_SourceData.Fertiliser_Products_Data3(),FertiliserProducts[[#Headers],[Include or Exclude]], 40)</f>
        <v/>
      </c>
      <c r="Y143" s="62" t="str" cm="1">
        <f t="array" ref="Y143">Common_InputFunctions.Utility_DisplayArrayInTable(Fertiliser_SourceData.Fertiliser_Products_Data3(),FertiliserProducts[[#Headers],[Include or Exclude]], 40)</f>
        <v/>
      </c>
      <c r="Z143" s="62"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1:31" ht="20.100000000000001" customHeight="1" x14ac:dyDescent="0.25">
      <c r="A144"/>
      <c r="D144" s="62" t="str" cm="1">
        <f t="array" ref="D144">Common_InputFunctions.Utility_DisplayArrayInTable(Fertiliser_SourceData.Fertiliser_Products_Data3(),FertiliserProducts[[#Headers],[Include or Exclude]], 40)</f>
        <v>Yara Liquids N-FOL 24+TE</v>
      </c>
      <c r="E144" s="62" t="str" cm="1">
        <f t="array" ref="E144">Common_InputFunctions.Utility_DisplayArrayInTable(Fertiliser_SourceData.Fertiliser_Products_Data3(),FertiliserProducts[[#Headers],[Include or Exclude]], 40)</f>
        <v/>
      </c>
      <c r="F144" s="62" t="str" cm="1">
        <f t="array" ref="F144">Common_InputFunctions.Utility_DisplayArrayInTable(Fertiliser_SourceData.Fertiliser_Products_Data3(),FertiliserProducts[[#Headers],[Include or Exclude]], 40)</f>
        <v/>
      </c>
      <c r="G144" s="62" t="str" cm="1">
        <f t="array" ref="G144">Common_InputFunctions.Utility_DisplayArrayInTable(Fertiliser_SourceData.Fertiliser_Products_Data3(),FertiliserProducts[[#Headers],[Include or Exclude]], 40)</f>
        <v/>
      </c>
      <c r="H144" s="62" t="str" cm="1">
        <f t="array" ref="H144">Common_InputFunctions.Utility_DisplayArrayInTable(Fertiliser_SourceData.Fertiliser_Products_Data3(),FertiliserProducts[[#Headers],[Include or Exclude]], 40)</f>
        <v/>
      </c>
      <c r="I144" s="62" t="str" cm="1">
        <f t="array" ref="I144">Common_InputFunctions.Utility_DisplayArrayInTable(Fertiliser_SourceData.Fertiliser_Products_Data3(),FertiliserProducts[[#Headers],[Include or Exclude]], 40)</f>
        <v/>
      </c>
      <c r="J144" s="62" t="str" cm="1">
        <f t="array" ref="J144">Common_InputFunctions.Utility_DisplayArrayInTable(Fertiliser_SourceData.Fertiliser_Products_Data3(),FertiliserProducts[[#Headers],[Include or Exclude]], 40)</f>
        <v/>
      </c>
      <c r="K144" s="62" t="str" cm="1">
        <f t="array" ref="K144">Common_InputFunctions.Utility_DisplayArrayInTable(Fertiliser_SourceData.Fertiliser_Products_Data3(),FertiliserProducts[[#Headers],[Include or Exclude]], 40)</f>
        <v/>
      </c>
      <c r="L144" s="62" t="str" cm="1">
        <f t="array" ref="L144">Common_InputFunctions.Utility_DisplayArrayInTable(Fertiliser_SourceData.Fertiliser_Products_Data3(),FertiliserProducts[[#Headers],[Include or Exclude]], 40)</f>
        <v/>
      </c>
      <c r="M144" s="62" t="str" cm="1">
        <f t="array" ref="M144">Common_InputFunctions.Utility_DisplayArrayInTable(Fertiliser_SourceData.Fertiliser_Products_Data3(),FertiliserProducts[[#Headers],[Include or Exclude]], 40)</f>
        <v/>
      </c>
      <c r="N144" s="62" t="str" cm="1">
        <f t="array" ref="N144">Common_InputFunctions.Utility_DisplayArrayInTable(Fertiliser_SourceData.Fertiliser_Products_Data3(),FertiliserProducts[[#Headers],[Include or Exclude]], 40)</f>
        <v/>
      </c>
      <c r="O144" s="62" t="str" cm="1">
        <f t="array" ref="O144">Common_InputFunctions.Utility_DisplayArrayInTable(Fertiliser_SourceData.Fertiliser_Products_Data3(),FertiliserProducts[[#Headers],[Include or Exclude]], 40)</f>
        <v/>
      </c>
      <c r="P144" s="62" t="str" cm="1">
        <f t="array" ref="P144">Common_InputFunctions.Utility_DisplayArrayInTable(Fertiliser_SourceData.Fertiliser_Products_Data3(),FertiliserProducts[[#Headers],[Include or Exclude]], 40)</f>
        <v/>
      </c>
      <c r="Q144" s="62" t="str" cm="1">
        <f t="array" ref="Q144">Common_InputFunctions.Utility_DisplayArrayInTable(Fertiliser_SourceData.Fertiliser_Products_Data3(),FertiliserProducts[[#Headers],[Include or Exclude]], 40)</f>
        <v/>
      </c>
      <c r="R144" s="62" t="str" cm="1">
        <f t="array" ref="R144">Common_InputFunctions.Utility_DisplayArrayInTable(Fertiliser_SourceData.Fertiliser_Products_Data3(),FertiliserProducts[[#Headers],[Include or Exclude]], 40)</f>
        <v/>
      </c>
      <c r="S144" s="62" t="str" cm="1">
        <f t="array" ref="S144">Common_InputFunctions.Utility_DisplayArrayInTable(Fertiliser_SourceData.Fertiliser_Products_Data3(),FertiliserProducts[[#Headers],[Include or Exclude]], 40)</f>
        <v/>
      </c>
      <c r="T144" s="62" t="str" cm="1">
        <f t="array" ref="T144">Common_InputFunctions.Utility_DisplayArrayInTable(Fertiliser_SourceData.Fertiliser_Products_Data3(),FertiliserProducts[[#Headers],[Include or Exclude]], 40)</f>
        <v/>
      </c>
      <c r="U144" s="62" t="str" cm="1">
        <f t="array" ref="U144">Common_InputFunctions.Utility_DisplayArrayInTable(Fertiliser_SourceData.Fertiliser_Products_Data3(),FertiliserProducts[[#Headers],[Include or Exclude]], 40)</f>
        <v/>
      </c>
      <c r="V144" s="62" t="str" cm="1">
        <f t="array" ref="V144">Common_InputFunctions.Utility_DisplayArrayInTable(Fertiliser_SourceData.Fertiliser_Products_Data3(),FertiliserProducts[[#Headers],[Include or Exclude]], 40)</f>
        <v/>
      </c>
      <c r="W144" s="62" t="str" cm="1">
        <f t="array" ref="W144">Common_InputFunctions.Utility_DisplayArrayInTable(Fertiliser_SourceData.Fertiliser_Products_Data3(),FertiliserProducts[[#Headers],[Include or Exclude]], 40)</f>
        <v>Crop Nutrition Solutions (Yara Australia)</v>
      </c>
      <c r="X144" s="62" t="str" cm="1">
        <f t="array" ref="X144">Common_InputFunctions.Utility_DisplayArrayInTable(Fertiliser_SourceData.Fertiliser_Products_Data3(),FertiliserProducts[[#Headers],[Include or Exclude]], 40)</f>
        <v/>
      </c>
      <c r="Y144" s="62" t="str" cm="1">
        <f t="array" ref="Y144">Common_InputFunctions.Utility_DisplayArrayInTable(Fertiliser_SourceData.Fertiliser_Products_Data3(),FertiliserProducts[[#Headers],[Include or Exclude]], 40)</f>
        <v/>
      </c>
      <c r="Z144" s="62"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1:31" ht="20.100000000000001" customHeight="1" x14ac:dyDescent="0.25">
      <c r="A145"/>
      <c r="D145" s="62" t="str" cm="1">
        <f t="array" ref="D145">Common_InputFunctions.Utility_DisplayArrayInTable(Fertiliser_SourceData.Fertiliser_Products_Data3(),FertiliserProducts[[#Headers],[Include or Exclude]], 40)</f>
        <v>Yara Liquids P-FOL Zinc</v>
      </c>
      <c r="E145" s="62" t="str" cm="1">
        <f t="array" ref="E145">Common_InputFunctions.Utility_DisplayArrayInTable(Fertiliser_SourceData.Fertiliser_Products_Data3(),FertiliserProducts[[#Headers],[Include or Exclude]], 40)</f>
        <v/>
      </c>
      <c r="F145" s="62" t="str" cm="1">
        <f t="array" ref="F145">Common_InputFunctions.Utility_DisplayArrayInTable(Fertiliser_SourceData.Fertiliser_Products_Data3(),FertiliserProducts[[#Headers],[Include or Exclude]], 40)</f>
        <v/>
      </c>
      <c r="G145" s="62" t="str" cm="1">
        <f t="array" ref="G145">Common_InputFunctions.Utility_DisplayArrayInTable(Fertiliser_SourceData.Fertiliser_Products_Data3(),FertiliserProducts[[#Headers],[Include or Exclude]], 40)</f>
        <v/>
      </c>
      <c r="H145" s="62" t="str" cm="1">
        <f t="array" ref="H145">Common_InputFunctions.Utility_DisplayArrayInTable(Fertiliser_SourceData.Fertiliser_Products_Data3(),FertiliserProducts[[#Headers],[Include or Exclude]], 40)</f>
        <v/>
      </c>
      <c r="I145" s="62" t="str" cm="1">
        <f t="array" ref="I145">Common_InputFunctions.Utility_DisplayArrayInTable(Fertiliser_SourceData.Fertiliser_Products_Data3(),FertiliserProducts[[#Headers],[Include or Exclude]], 40)</f>
        <v/>
      </c>
      <c r="J145" s="62" t="str" cm="1">
        <f t="array" ref="J145">Common_InputFunctions.Utility_DisplayArrayInTable(Fertiliser_SourceData.Fertiliser_Products_Data3(),FertiliserProducts[[#Headers],[Include or Exclude]], 40)</f>
        <v/>
      </c>
      <c r="K145" s="62" t="str" cm="1">
        <f t="array" ref="K145">Common_InputFunctions.Utility_DisplayArrayInTable(Fertiliser_SourceData.Fertiliser_Products_Data3(),FertiliserProducts[[#Headers],[Include or Exclude]], 40)</f>
        <v/>
      </c>
      <c r="L145" s="62" t="str" cm="1">
        <f t="array" ref="L145">Common_InputFunctions.Utility_DisplayArrayInTable(Fertiliser_SourceData.Fertiliser_Products_Data3(),FertiliserProducts[[#Headers],[Include or Exclude]], 40)</f>
        <v/>
      </c>
      <c r="M145" s="62" t="str" cm="1">
        <f t="array" ref="M145">Common_InputFunctions.Utility_DisplayArrayInTable(Fertiliser_SourceData.Fertiliser_Products_Data3(),FertiliserProducts[[#Headers],[Include or Exclude]], 40)</f>
        <v/>
      </c>
      <c r="N145" s="62" t="str" cm="1">
        <f t="array" ref="N145">Common_InputFunctions.Utility_DisplayArrayInTable(Fertiliser_SourceData.Fertiliser_Products_Data3(),FertiliserProducts[[#Headers],[Include or Exclude]], 40)</f>
        <v/>
      </c>
      <c r="O145" s="62" t="str" cm="1">
        <f t="array" ref="O145">Common_InputFunctions.Utility_DisplayArrayInTable(Fertiliser_SourceData.Fertiliser_Products_Data3(),FertiliserProducts[[#Headers],[Include or Exclude]], 40)</f>
        <v/>
      </c>
      <c r="P145" s="62" t="str" cm="1">
        <f t="array" ref="P145">Common_InputFunctions.Utility_DisplayArrayInTable(Fertiliser_SourceData.Fertiliser_Products_Data3(),FertiliserProducts[[#Headers],[Include or Exclude]], 40)</f>
        <v/>
      </c>
      <c r="Q145" s="62" t="str" cm="1">
        <f t="array" ref="Q145">Common_InputFunctions.Utility_DisplayArrayInTable(Fertiliser_SourceData.Fertiliser_Products_Data3(),FertiliserProducts[[#Headers],[Include or Exclude]], 40)</f>
        <v/>
      </c>
      <c r="R145" s="62" t="str" cm="1">
        <f t="array" ref="R145">Common_InputFunctions.Utility_DisplayArrayInTable(Fertiliser_SourceData.Fertiliser_Products_Data3(),FertiliserProducts[[#Headers],[Include or Exclude]], 40)</f>
        <v/>
      </c>
      <c r="S145" s="62" t="str" cm="1">
        <f t="array" ref="S145">Common_InputFunctions.Utility_DisplayArrayInTable(Fertiliser_SourceData.Fertiliser_Products_Data3(),FertiliserProducts[[#Headers],[Include or Exclude]], 40)</f>
        <v/>
      </c>
      <c r="T145" s="62" t="str" cm="1">
        <f t="array" ref="T145">Common_InputFunctions.Utility_DisplayArrayInTable(Fertiliser_SourceData.Fertiliser_Products_Data3(),FertiliserProducts[[#Headers],[Include or Exclude]], 40)</f>
        <v/>
      </c>
      <c r="U145" s="62" t="str" cm="1">
        <f t="array" ref="U145">Common_InputFunctions.Utility_DisplayArrayInTable(Fertiliser_SourceData.Fertiliser_Products_Data3(),FertiliserProducts[[#Headers],[Include or Exclude]], 40)</f>
        <v/>
      </c>
      <c r="V145" s="62" t="str" cm="1">
        <f t="array" ref="V145">Common_InputFunctions.Utility_DisplayArrayInTable(Fertiliser_SourceData.Fertiliser_Products_Data3(),FertiliserProducts[[#Headers],[Include or Exclude]], 40)</f>
        <v/>
      </c>
      <c r="W145" s="62" t="str" cm="1">
        <f t="array" ref="W145">Common_InputFunctions.Utility_DisplayArrayInTable(Fertiliser_SourceData.Fertiliser_Products_Data3(),FertiliserProducts[[#Headers],[Include or Exclude]], 40)</f>
        <v>Crop Nutrition Solutions (Yara Australia)</v>
      </c>
      <c r="X145" s="62" t="str" cm="1">
        <f t="array" ref="X145">Common_InputFunctions.Utility_DisplayArrayInTable(Fertiliser_SourceData.Fertiliser_Products_Data3(),FertiliserProducts[[#Headers],[Include or Exclude]], 40)</f>
        <v/>
      </c>
      <c r="Y145" s="62" t="str" cm="1">
        <f t="array" ref="Y145">Common_InputFunctions.Utility_DisplayArrayInTable(Fertiliser_SourceData.Fertiliser_Products_Data3(),FertiliserProducts[[#Headers],[Include or Exclude]], 40)</f>
        <v/>
      </c>
      <c r="Z145" s="62"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1:31" ht="20.100000000000001" customHeight="1" x14ac:dyDescent="0.25">
      <c r="A146"/>
      <c r="D146" s="62" t="str" cm="1">
        <f t="array" ref="D146">Common_InputFunctions.Utility_DisplayArrayInTable(Fertiliser_SourceData.Fertiliser_Products_Data3(),FertiliserProducts[[#Headers],[Include or Exclude]], 40)</f>
        <v>Yara Liquids SULSA 11-0-0+12S</v>
      </c>
      <c r="E146" s="62" t="str" cm="1">
        <f t="array" ref="E146">Common_InputFunctions.Utility_DisplayArrayInTable(Fertiliser_SourceData.Fertiliser_Products_Data3(),FertiliserProducts[[#Headers],[Include or Exclude]], 40)</f>
        <v/>
      </c>
      <c r="F146" s="62" t="str" cm="1">
        <f t="array" ref="F146">Common_InputFunctions.Utility_DisplayArrayInTable(Fertiliser_SourceData.Fertiliser_Products_Data3(),FertiliserProducts[[#Headers],[Include or Exclude]], 40)</f>
        <v/>
      </c>
      <c r="G146" s="62" t="str" cm="1">
        <f t="array" ref="G146">Common_InputFunctions.Utility_DisplayArrayInTable(Fertiliser_SourceData.Fertiliser_Products_Data3(),FertiliserProducts[[#Headers],[Include or Exclude]], 40)</f>
        <v/>
      </c>
      <c r="H146" s="62" t="str" cm="1">
        <f t="array" ref="H146">Common_InputFunctions.Utility_DisplayArrayInTable(Fertiliser_SourceData.Fertiliser_Products_Data3(),FertiliserProducts[[#Headers],[Include or Exclude]], 40)</f>
        <v/>
      </c>
      <c r="I146" s="62" t="str" cm="1">
        <f t="array" ref="I146">Common_InputFunctions.Utility_DisplayArrayInTable(Fertiliser_SourceData.Fertiliser_Products_Data3(),FertiliserProducts[[#Headers],[Include or Exclude]], 40)</f>
        <v/>
      </c>
      <c r="J146" s="62" t="str" cm="1">
        <f t="array" ref="J146">Common_InputFunctions.Utility_DisplayArrayInTable(Fertiliser_SourceData.Fertiliser_Products_Data3(),FertiliserProducts[[#Headers],[Include or Exclude]], 40)</f>
        <v/>
      </c>
      <c r="K146" s="62" t="str" cm="1">
        <f t="array" ref="K146">Common_InputFunctions.Utility_DisplayArrayInTable(Fertiliser_SourceData.Fertiliser_Products_Data3(),FertiliserProducts[[#Headers],[Include or Exclude]], 40)</f>
        <v/>
      </c>
      <c r="L146" s="62" t="str" cm="1">
        <f t="array" ref="L146">Common_InputFunctions.Utility_DisplayArrayInTable(Fertiliser_SourceData.Fertiliser_Products_Data3(),FertiliserProducts[[#Headers],[Include or Exclude]], 40)</f>
        <v/>
      </c>
      <c r="M146" s="62" t="str" cm="1">
        <f t="array" ref="M146">Common_InputFunctions.Utility_DisplayArrayInTable(Fertiliser_SourceData.Fertiliser_Products_Data3(),FertiliserProducts[[#Headers],[Include or Exclude]], 40)</f>
        <v/>
      </c>
      <c r="N146" s="62" t="str" cm="1">
        <f t="array" ref="N146">Common_InputFunctions.Utility_DisplayArrayInTable(Fertiliser_SourceData.Fertiliser_Products_Data3(),FertiliserProducts[[#Headers],[Include or Exclude]], 40)</f>
        <v/>
      </c>
      <c r="O146" s="62" t="str" cm="1">
        <f t="array" ref="O146">Common_InputFunctions.Utility_DisplayArrayInTable(Fertiliser_SourceData.Fertiliser_Products_Data3(),FertiliserProducts[[#Headers],[Include or Exclude]], 40)</f>
        <v/>
      </c>
      <c r="P146" s="62" t="str" cm="1">
        <f t="array" ref="P146">Common_InputFunctions.Utility_DisplayArrayInTable(Fertiliser_SourceData.Fertiliser_Products_Data3(),FertiliserProducts[[#Headers],[Include or Exclude]], 40)</f>
        <v/>
      </c>
      <c r="Q146" s="62" t="str" cm="1">
        <f t="array" ref="Q146">Common_InputFunctions.Utility_DisplayArrayInTable(Fertiliser_SourceData.Fertiliser_Products_Data3(),FertiliserProducts[[#Headers],[Include or Exclude]], 40)</f>
        <v/>
      </c>
      <c r="R146" s="62" t="str" cm="1">
        <f t="array" ref="R146">Common_InputFunctions.Utility_DisplayArrayInTable(Fertiliser_SourceData.Fertiliser_Products_Data3(),FertiliserProducts[[#Headers],[Include or Exclude]], 40)</f>
        <v/>
      </c>
      <c r="S146" s="62" t="str" cm="1">
        <f t="array" ref="S146">Common_InputFunctions.Utility_DisplayArrayInTable(Fertiliser_SourceData.Fertiliser_Products_Data3(),FertiliserProducts[[#Headers],[Include or Exclude]], 40)</f>
        <v/>
      </c>
      <c r="T146" s="62" t="str" cm="1">
        <f t="array" ref="T146">Common_InputFunctions.Utility_DisplayArrayInTable(Fertiliser_SourceData.Fertiliser_Products_Data3(),FertiliserProducts[[#Headers],[Include or Exclude]], 40)</f>
        <v/>
      </c>
      <c r="U146" s="62" t="str" cm="1">
        <f t="array" ref="U146">Common_InputFunctions.Utility_DisplayArrayInTable(Fertiliser_SourceData.Fertiliser_Products_Data3(),FertiliserProducts[[#Headers],[Include or Exclude]], 40)</f>
        <v/>
      </c>
      <c r="V146" s="62" t="str" cm="1">
        <f t="array" ref="V146">Common_InputFunctions.Utility_DisplayArrayInTable(Fertiliser_SourceData.Fertiliser_Products_Data3(),FertiliserProducts[[#Headers],[Include or Exclude]], 40)</f>
        <v/>
      </c>
      <c r="W146" s="62" t="str" cm="1">
        <f t="array" ref="W146">Common_InputFunctions.Utility_DisplayArrayInTable(Fertiliser_SourceData.Fertiliser_Products_Data3(),FertiliserProducts[[#Headers],[Include or Exclude]], 40)</f>
        <v>Crop Nutrition Solutions (Yara Australia)</v>
      </c>
      <c r="X146" s="62" t="str" cm="1">
        <f t="array" ref="X146">Common_InputFunctions.Utility_DisplayArrayInTable(Fertiliser_SourceData.Fertiliser_Products_Data3(),FertiliserProducts[[#Headers],[Include or Exclude]], 40)</f>
        <v/>
      </c>
      <c r="Y146" s="62" t="str" cm="1">
        <f t="array" ref="Y146">Common_InputFunctions.Utility_DisplayArrayInTable(Fertiliser_SourceData.Fertiliser_Products_Data3(),FertiliserProducts[[#Headers],[Include or Exclude]], 40)</f>
        <v/>
      </c>
      <c r="Z146" s="62"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1:31" ht="20.100000000000001" customHeight="1" x14ac:dyDescent="0.25">
      <c r="A147"/>
      <c r="D147" s="62" t="str" cm="1">
        <f t="array" ref="D147">Common_InputFunctions.Utility_DisplayArrayInTable(Fertiliser_SourceData.Fertiliser_Products_Data3(),FertiliserProducts[[#Headers],[Include or Exclude]], 40)</f>
        <v>Yara Liquids SULSA 24-3-0+6S</v>
      </c>
      <c r="E147" s="62" t="str" cm="1">
        <f t="array" ref="E147">Common_InputFunctions.Utility_DisplayArrayInTable(Fertiliser_SourceData.Fertiliser_Products_Data3(),FertiliserProducts[[#Headers],[Include or Exclude]], 40)</f>
        <v/>
      </c>
      <c r="F147" s="62" t="str" cm="1">
        <f t="array" ref="F147">Common_InputFunctions.Utility_DisplayArrayInTable(Fertiliser_SourceData.Fertiliser_Products_Data3(),FertiliserProducts[[#Headers],[Include or Exclude]], 40)</f>
        <v/>
      </c>
      <c r="G147" s="62" t="str" cm="1">
        <f t="array" ref="G147">Common_InputFunctions.Utility_DisplayArrayInTable(Fertiliser_SourceData.Fertiliser_Products_Data3(),FertiliserProducts[[#Headers],[Include or Exclude]], 40)</f>
        <v/>
      </c>
      <c r="H147" s="62" t="str" cm="1">
        <f t="array" ref="H147">Common_InputFunctions.Utility_DisplayArrayInTable(Fertiliser_SourceData.Fertiliser_Products_Data3(),FertiliserProducts[[#Headers],[Include or Exclude]], 40)</f>
        <v/>
      </c>
      <c r="I147" s="62" t="str" cm="1">
        <f t="array" ref="I147">Common_InputFunctions.Utility_DisplayArrayInTable(Fertiliser_SourceData.Fertiliser_Products_Data3(),FertiliserProducts[[#Headers],[Include or Exclude]], 40)</f>
        <v/>
      </c>
      <c r="J147" s="62" t="str" cm="1">
        <f t="array" ref="J147">Common_InputFunctions.Utility_DisplayArrayInTable(Fertiliser_SourceData.Fertiliser_Products_Data3(),FertiliserProducts[[#Headers],[Include or Exclude]], 40)</f>
        <v/>
      </c>
      <c r="K147" s="62" t="str" cm="1">
        <f t="array" ref="K147">Common_InputFunctions.Utility_DisplayArrayInTable(Fertiliser_SourceData.Fertiliser_Products_Data3(),FertiliserProducts[[#Headers],[Include or Exclude]], 40)</f>
        <v/>
      </c>
      <c r="L147" s="62" t="str" cm="1">
        <f t="array" ref="L147">Common_InputFunctions.Utility_DisplayArrayInTable(Fertiliser_SourceData.Fertiliser_Products_Data3(),FertiliserProducts[[#Headers],[Include or Exclude]], 40)</f>
        <v/>
      </c>
      <c r="M147" s="62" t="str" cm="1">
        <f t="array" ref="M147">Common_InputFunctions.Utility_DisplayArrayInTable(Fertiliser_SourceData.Fertiliser_Products_Data3(),FertiliserProducts[[#Headers],[Include or Exclude]], 40)</f>
        <v/>
      </c>
      <c r="N147" s="62" t="str" cm="1">
        <f t="array" ref="N147">Common_InputFunctions.Utility_DisplayArrayInTable(Fertiliser_SourceData.Fertiliser_Products_Data3(),FertiliserProducts[[#Headers],[Include or Exclude]], 40)</f>
        <v/>
      </c>
      <c r="O147" s="62" t="str" cm="1">
        <f t="array" ref="O147">Common_InputFunctions.Utility_DisplayArrayInTable(Fertiliser_SourceData.Fertiliser_Products_Data3(),FertiliserProducts[[#Headers],[Include or Exclude]], 40)</f>
        <v/>
      </c>
      <c r="P147" s="62" t="str" cm="1">
        <f t="array" ref="P147">Common_InputFunctions.Utility_DisplayArrayInTable(Fertiliser_SourceData.Fertiliser_Products_Data3(),FertiliserProducts[[#Headers],[Include or Exclude]], 40)</f>
        <v/>
      </c>
      <c r="Q147" s="62" t="str" cm="1">
        <f t="array" ref="Q147">Common_InputFunctions.Utility_DisplayArrayInTable(Fertiliser_SourceData.Fertiliser_Products_Data3(),FertiliserProducts[[#Headers],[Include or Exclude]], 40)</f>
        <v/>
      </c>
      <c r="R147" s="62" t="str" cm="1">
        <f t="array" ref="R147">Common_InputFunctions.Utility_DisplayArrayInTable(Fertiliser_SourceData.Fertiliser_Products_Data3(),FertiliserProducts[[#Headers],[Include or Exclude]], 40)</f>
        <v/>
      </c>
      <c r="S147" s="62" t="str" cm="1">
        <f t="array" ref="S147">Common_InputFunctions.Utility_DisplayArrayInTable(Fertiliser_SourceData.Fertiliser_Products_Data3(),FertiliserProducts[[#Headers],[Include or Exclude]], 40)</f>
        <v/>
      </c>
      <c r="T147" s="62" t="str" cm="1">
        <f t="array" ref="T147">Common_InputFunctions.Utility_DisplayArrayInTable(Fertiliser_SourceData.Fertiliser_Products_Data3(),FertiliserProducts[[#Headers],[Include or Exclude]], 40)</f>
        <v/>
      </c>
      <c r="U147" s="62" t="str" cm="1">
        <f t="array" ref="U147">Common_InputFunctions.Utility_DisplayArrayInTable(Fertiliser_SourceData.Fertiliser_Products_Data3(),FertiliserProducts[[#Headers],[Include or Exclude]], 40)</f>
        <v/>
      </c>
      <c r="V147" s="62" t="str" cm="1">
        <f t="array" ref="V147">Common_InputFunctions.Utility_DisplayArrayInTable(Fertiliser_SourceData.Fertiliser_Products_Data3(),FertiliserProducts[[#Headers],[Include or Exclude]], 40)</f>
        <v/>
      </c>
      <c r="W147" s="62" t="str" cm="1">
        <f t="array" ref="W147">Common_InputFunctions.Utility_DisplayArrayInTable(Fertiliser_SourceData.Fertiliser_Products_Data3(),FertiliserProducts[[#Headers],[Include or Exclude]], 40)</f>
        <v>Crop Nutrition Solutions (Yara Australia)</v>
      </c>
      <c r="X147" s="62" t="str" cm="1">
        <f t="array" ref="X147">Common_InputFunctions.Utility_DisplayArrayInTable(Fertiliser_SourceData.Fertiliser_Products_Data3(),FertiliserProducts[[#Headers],[Include or Exclude]], 40)</f>
        <v/>
      </c>
      <c r="Y147" s="62" t="str" cm="1">
        <f t="array" ref="Y147">Common_InputFunctions.Utility_DisplayArrayInTable(Fertiliser_SourceData.Fertiliser_Products_Data3(),FertiliserProducts[[#Headers],[Include or Exclude]], 40)</f>
        <v/>
      </c>
      <c r="Z147" s="62"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1:31" ht="20.100000000000001" customHeight="1" x14ac:dyDescent="0.25">
      <c r="A148"/>
      <c r="D148" s="62" t="str" cm="1">
        <f t="array" ref="D148">Common_InputFunctions.Utility_DisplayArrayInTable(Fertiliser_SourceData.Fertiliser_Products_Data3(),FertiliserProducts[[#Headers],[Include or Exclude]], 40)</f>
        <v>Yara Liquids SULSA 27-0-0+7S</v>
      </c>
      <c r="E148" s="62" t="str" cm="1">
        <f t="array" ref="E148">Common_InputFunctions.Utility_DisplayArrayInTable(Fertiliser_SourceData.Fertiliser_Products_Data3(),FertiliserProducts[[#Headers],[Include or Exclude]], 40)</f>
        <v/>
      </c>
      <c r="F148" s="62" t="str" cm="1">
        <f t="array" ref="F148">Common_InputFunctions.Utility_DisplayArrayInTable(Fertiliser_SourceData.Fertiliser_Products_Data3(),FertiliserProducts[[#Headers],[Include or Exclude]], 40)</f>
        <v/>
      </c>
      <c r="G148" s="62" t="str" cm="1">
        <f t="array" ref="G148">Common_InputFunctions.Utility_DisplayArrayInTable(Fertiliser_SourceData.Fertiliser_Products_Data3(),FertiliserProducts[[#Headers],[Include or Exclude]], 40)</f>
        <v/>
      </c>
      <c r="H148" s="62" t="str" cm="1">
        <f t="array" ref="H148">Common_InputFunctions.Utility_DisplayArrayInTable(Fertiliser_SourceData.Fertiliser_Products_Data3(),FertiliserProducts[[#Headers],[Include or Exclude]], 40)</f>
        <v/>
      </c>
      <c r="I148" s="62" t="str" cm="1">
        <f t="array" ref="I148">Common_InputFunctions.Utility_DisplayArrayInTable(Fertiliser_SourceData.Fertiliser_Products_Data3(),FertiliserProducts[[#Headers],[Include or Exclude]], 40)</f>
        <v/>
      </c>
      <c r="J148" s="62" t="str" cm="1">
        <f t="array" ref="J148">Common_InputFunctions.Utility_DisplayArrayInTable(Fertiliser_SourceData.Fertiliser_Products_Data3(),FertiliserProducts[[#Headers],[Include or Exclude]], 40)</f>
        <v/>
      </c>
      <c r="K148" s="62" t="str" cm="1">
        <f t="array" ref="K148">Common_InputFunctions.Utility_DisplayArrayInTable(Fertiliser_SourceData.Fertiliser_Products_Data3(),FertiliserProducts[[#Headers],[Include or Exclude]], 40)</f>
        <v/>
      </c>
      <c r="L148" s="62" t="str" cm="1">
        <f t="array" ref="L148">Common_InputFunctions.Utility_DisplayArrayInTable(Fertiliser_SourceData.Fertiliser_Products_Data3(),FertiliserProducts[[#Headers],[Include or Exclude]], 40)</f>
        <v/>
      </c>
      <c r="M148" s="62" t="str" cm="1">
        <f t="array" ref="M148">Common_InputFunctions.Utility_DisplayArrayInTable(Fertiliser_SourceData.Fertiliser_Products_Data3(),FertiliserProducts[[#Headers],[Include or Exclude]], 40)</f>
        <v/>
      </c>
      <c r="N148" s="62" t="str" cm="1">
        <f t="array" ref="N148">Common_InputFunctions.Utility_DisplayArrayInTable(Fertiliser_SourceData.Fertiliser_Products_Data3(),FertiliserProducts[[#Headers],[Include or Exclude]], 40)</f>
        <v/>
      </c>
      <c r="O148" s="62" t="str" cm="1">
        <f t="array" ref="O148">Common_InputFunctions.Utility_DisplayArrayInTable(Fertiliser_SourceData.Fertiliser_Products_Data3(),FertiliserProducts[[#Headers],[Include or Exclude]], 40)</f>
        <v/>
      </c>
      <c r="P148" s="62" t="str" cm="1">
        <f t="array" ref="P148">Common_InputFunctions.Utility_DisplayArrayInTable(Fertiliser_SourceData.Fertiliser_Products_Data3(),FertiliserProducts[[#Headers],[Include or Exclude]], 40)</f>
        <v/>
      </c>
      <c r="Q148" s="62" t="str" cm="1">
        <f t="array" ref="Q148">Common_InputFunctions.Utility_DisplayArrayInTable(Fertiliser_SourceData.Fertiliser_Products_Data3(),FertiliserProducts[[#Headers],[Include or Exclude]], 40)</f>
        <v/>
      </c>
      <c r="R148" s="62" t="str" cm="1">
        <f t="array" ref="R148">Common_InputFunctions.Utility_DisplayArrayInTable(Fertiliser_SourceData.Fertiliser_Products_Data3(),FertiliserProducts[[#Headers],[Include or Exclude]], 40)</f>
        <v/>
      </c>
      <c r="S148" s="62" t="str" cm="1">
        <f t="array" ref="S148">Common_InputFunctions.Utility_DisplayArrayInTable(Fertiliser_SourceData.Fertiliser_Products_Data3(),FertiliserProducts[[#Headers],[Include or Exclude]], 40)</f>
        <v/>
      </c>
      <c r="T148" s="62" t="str" cm="1">
        <f t="array" ref="T148">Common_InputFunctions.Utility_DisplayArrayInTable(Fertiliser_SourceData.Fertiliser_Products_Data3(),FertiliserProducts[[#Headers],[Include or Exclude]], 40)</f>
        <v/>
      </c>
      <c r="U148" s="62" t="str" cm="1">
        <f t="array" ref="U148">Common_InputFunctions.Utility_DisplayArrayInTable(Fertiliser_SourceData.Fertiliser_Products_Data3(),FertiliserProducts[[#Headers],[Include or Exclude]], 40)</f>
        <v/>
      </c>
      <c r="V148" s="62" t="str" cm="1">
        <f t="array" ref="V148">Common_InputFunctions.Utility_DisplayArrayInTable(Fertiliser_SourceData.Fertiliser_Products_Data3(),FertiliserProducts[[#Headers],[Include or Exclude]], 40)</f>
        <v/>
      </c>
      <c r="W148" s="62" t="str" cm="1">
        <f t="array" ref="W148">Common_InputFunctions.Utility_DisplayArrayInTable(Fertiliser_SourceData.Fertiliser_Products_Data3(),FertiliserProducts[[#Headers],[Include or Exclude]], 40)</f>
        <v>Crop Nutrition Solutions (Yara Australia)</v>
      </c>
      <c r="X148" s="62" t="str" cm="1">
        <f t="array" ref="X148">Common_InputFunctions.Utility_DisplayArrayInTable(Fertiliser_SourceData.Fertiliser_Products_Data3(),FertiliserProducts[[#Headers],[Include or Exclude]], 40)</f>
        <v/>
      </c>
      <c r="Y148" s="62" t="str" cm="1">
        <f t="array" ref="Y148">Common_InputFunctions.Utility_DisplayArrayInTable(Fertiliser_SourceData.Fertiliser_Products_Data3(),FertiliserProducts[[#Headers],[Include or Exclude]], 40)</f>
        <v/>
      </c>
      <c r="Z148" s="62"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1:31" ht="20.100000000000001" customHeight="1" x14ac:dyDescent="0.25">
      <c r="A149"/>
      <c r="D149" s="62" t="str" cm="1">
        <f t="array" ref="D149">Common_InputFunctions.Utility_DisplayArrayInTable(Fertiliser_SourceData.Fertiliser_Products_Data4(),FertiliserProducts[[#Headers],[Include or Exclude]], 60)</f>
        <v>Product</v>
      </c>
      <c r="E149" s="62" t="str" cm="1">
        <f t="array" ref="E149">Common_InputFunctions.Utility_DisplayArrayInTable(Fertiliser_SourceData.Fertiliser_Products_Data4(),FertiliserProducts[[#Headers],[Include or Exclude]], 60)</f>
        <v>Ingredient 1</v>
      </c>
      <c r="F149" s="62" t="str" cm="1">
        <f t="array" ref="F149">Common_InputFunctions.Utility_DisplayArrayInTable(Fertiliser_SourceData.Fertiliser_Products_Data4(),FertiliserProducts[[#Headers],[Include or Exclude]], 60)</f>
        <v>Ingredient 1 percent</v>
      </c>
      <c r="G149" s="62" t="str" cm="1">
        <f t="array" ref="G149">Common_InputFunctions.Utility_DisplayArrayInTable(Fertiliser_SourceData.Fertiliser_Products_Data4(),FertiliserProducts[[#Headers],[Include or Exclude]], 60)</f>
        <v>Ingredient 1 source</v>
      </c>
      <c r="H149" s="62" t="str" cm="1">
        <f t="array" ref="H149">Common_InputFunctions.Utility_DisplayArrayInTable(Fertiliser_SourceData.Fertiliser_Products_Data4(),FertiliserProducts[[#Headers],[Include or Exclude]], 60)</f>
        <v>Ingredient 2</v>
      </c>
      <c r="I149" s="62" t="str" cm="1">
        <f t="array" ref="I149">Common_InputFunctions.Utility_DisplayArrayInTable(Fertiliser_SourceData.Fertiliser_Products_Data4(),FertiliserProducts[[#Headers],[Include or Exclude]], 60)</f>
        <v>Ingredient 2 percent</v>
      </c>
      <c r="J149" s="62" t="str" cm="1">
        <f t="array" ref="J149">Common_InputFunctions.Utility_DisplayArrayInTable(Fertiliser_SourceData.Fertiliser_Products_Data4(),FertiliserProducts[[#Headers],[Include or Exclude]], 60)</f>
        <v>Ingredient 2 source</v>
      </c>
      <c r="K149" s="62" t="str" cm="1">
        <f t="array" ref="K149">Common_InputFunctions.Utility_DisplayArrayInTable(Fertiliser_SourceData.Fertiliser_Products_Data4(),FertiliserProducts[[#Headers],[Include or Exclude]], 60)</f>
        <v>Ingredient 3</v>
      </c>
      <c r="L149" s="62" t="str" cm="1">
        <f t="array" ref="L149">Common_InputFunctions.Utility_DisplayArrayInTable(Fertiliser_SourceData.Fertiliser_Products_Data4(),FertiliserProducts[[#Headers],[Include or Exclude]], 60)</f>
        <v>Ingredient 3 percent</v>
      </c>
      <c r="M149" s="62" t="str" cm="1">
        <f t="array" ref="M149">Common_InputFunctions.Utility_DisplayArrayInTable(Fertiliser_SourceData.Fertiliser_Products_Data4(),FertiliserProducts[[#Headers],[Include or Exclude]], 60)</f>
        <v>Ingredient 3 source</v>
      </c>
      <c r="N149" s="62" t="str" cm="1">
        <f t="array" ref="N149">Common_InputFunctions.Utility_DisplayArrayInTable(Fertiliser_SourceData.Fertiliser_Products_Data4(),FertiliserProducts[[#Headers],[Include or Exclude]], 60)</f>
        <v>Ingredient 4</v>
      </c>
      <c r="O149" s="62" t="str" cm="1">
        <f t="array" ref="O149">Common_InputFunctions.Utility_DisplayArrayInTable(Fertiliser_SourceData.Fertiliser_Products_Data4(),FertiliserProducts[[#Headers],[Include or Exclude]], 60)</f>
        <v>Ingredient 4 percent</v>
      </c>
      <c r="P149" s="62" t="str" cm="1">
        <f t="array" ref="P149">Common_InputFunctions.Utility_DisplayArrayInTable(Fertiliser_SourceData.Fertiliser_Products_Data4(),FertiliserProducts[[#Headers],[Include or Exclude]], 60)</f>
        <v>Ingredient 4 source</v>
      </c>
      <c r="Q149" s="62" t="str" cm="1">
        <f t="array" ref="Q149">Common_InputFunctions.Utility_DisplayArrayInTable(Fertiliser_SourceData.Fertiliser_Products_Data4(),FertiliserProducts[[#Headers],[Include or Exclude]], 60)</f>
        <v>Ingredient 5</v>
      </c>
      <c r="R149" s="62" t="str" cm="1">
        <f t="array" ref="R149">Common_InputFunctions.Utility_DisplayArrayInTable(Fertiliser_SourceData.Fertiliser_Products_Data4(),FertiliserProducts[[#Headers],[Include or Exclude]], 60)</f>
        <v>Ingredient 5 percent</v>
      </c>
      <c r="S149" s="62" t="str" cm="1">
        <f t="array" ref="S149">Common_InputFunctions.Utility_DisplayArrayInTable(Fertiliser_SourceData.Fertiliser_Products_Data4(),FertiliserProducts[[#Headers],[Include or Exclude]], 60)</f>
        <v>Ingredient 5 source</v>
      </c>
      <c r="T149" s="62" t="str" cm="1">
        <f t="array" ref="T149">Common_InputFunctions.Utility_DisplayArrayInTable(Fertiliser_SourceData.Fertiliser_Products_Data4(),FertiliserProducts[[#Headers],[Include or Exclude]], 60)</f>
        <v>Ingredient 6</v>
      </c>
      <c r="U149" s="62" t="str" cm="1">
        <f t="array" ref="U149">Common_InputFunctions.Utility_DisplayArrayInTable(Fertiliser_SourceData.Fertiliser_Products_Data4(),FertiliserProducts[[#Headers],[Include or Exclude]], 60)</f>
        <v>Ingredient 6 percent</v>
      </c>
      <c r="V149" s="62" t="str" cm="1">
        <f t="array" ref="V149">Common_InputFunctions.Utility_DisplayArrayInTable(Fertiliser_SourceData.Fertiliser_Products_Data4(),FertiliserProducts[[#Headers],[Include or Exclude]], 60)</f>
        <v>Ingredient 6 source</v>
      </c>
      <c r="W149" s="62" t="str" cm="1">
        <f t="array" ref="W149">Common_InputFunctions.Utility_DisplayArrayInTable(Fertiliser_SourceData.Fertiliser_Products_Data4(),FertiliserProducts[[#Headers],[Include or Exclude]], 60)</f>
        <v>Product info link</v>
      </c>
      <c r="X149" s="62" t="str" cm="1">
        <f t="array" ref="X149">Common_InputFunctions.Utility_DisplayArrayInTable(Fertiliser_SourceData.Fertiliser_Products_Data4(),FertiliserProducts[[#Headers],[Include or Exclude]], 60)</f>
        <v/>
      </c>
      <c r="Y149" s="62" t="str" cm="1">
        <f t="array" ref="Y149">Common_InputFunctions.Utility_DisplayArrayInTable(Fertiliser_SourceData.Fertiliser_Products_Data4(),FertiliserProducts[[#Headers],[Include or Exclude]], 60)</f>
        <v/>
      </c>
      <c r="Z149" s="62"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1:31" ht="20.100000000000001" customHeight="1" x14ac:dyDescent="0.25">
      <c r="A150"/>
      <c r="D150" s="62" t="str" cm="1">
        <f t="array" ref="D150">Common_InputFunctions.Utility_DisplayArrayInTable(Fertiliser_SourceData.Fertiliser_Products_Data4(),FertiliserProducts[[#Headers],[Include or Exclude]], 60)</f>
        <v>YaraVita BRASSITREL PRO</v>
      </c>
      <c r="E150" s="62" t="str" cm="1">
        <f t="array" ref="E150">Common_InputFunctions.Utility_DisplayArrayInTable(Fertiliser_SourceData.Fertiliser_Products_Data4(),FertiliserProducts[[#Headers],[Include or Exclude]], 60)</f>
        <v/>
      </c>
      <c r="F150" s="62" t="str" cm="1">
        <f t="array" ref="F150">Common_InputFunctions.Utility_DisplayArrayInTable(Fertiliser_SourceData.Fertiliser_Products_Data4(),FertiliserProducts[[#Headers],[Include or Exclude]], 60)</f>
        <v/>
      </c>
      <c r="G150" s="62" t="str" cm="1">
        <f t="array" ref="G150">Common_InputFunctions.Utility_DisplayArrayInTable(Fertiliser_SourceData.Fertiliser_Products_Data4(),FertiliserProducts[[#Headers],[Include or Exclude]], 60)</f>
        <v/>
      </c>
      <c r="H150" s="62" t="str" cm="1">
        <f t="array" ref="H150">Common_InputFunctions.Utility_DisplayArrayInTable(Fertiliser_SourceData.Fertiliser_Products_Data4(),FertiliserProducts[[#Headers],[Include or Exclude]], 60)</f>
        <v/>
      </c>
      <c r="I150" s="62" t="str" cm="1">
        <f t="array" ref="I150">Common_InputFunctions.Utility_DisplayArrayInTable(Fertiliser_SourceData.Fertiliser_Products_Data4(),FertiliserProducts[[#Headers],[Include or Exclude]], 60)</f>
        <v/>
      </c>
      <c r="J150" s="62" t="str" cm="1">
        <f t="array" ref="J150">Common_InputFunctions.Utility_DisplayArrayInTable(Fertiliser_SourceData.Fertiliser_Products_Data4(),FertiliserProducts[[#Headers],[Include or Exclude]], 60)</f>
        <v/>
      </c>
      <c r="K150" s="62" t="str" cm="1">
        <f t="array" ref="K150">Common_InputFunctions.Utility_DisplayArrayInTable(Fertiliser_SourceData.Fertiliser_Products_Data4(),FertiliserProducts[[#Headers],[Include or Exclude]], 60)</f>
        <v/>
      </c>
      <c r="L150" s="62" t="str" cm="1">
        <f t="array" ref="L150">Common_InputFunctions.Utility_DisplayArrayInTable(Fertiliser_SourceData.Fertiliser_Products_Data4(),FertiliserProducts[[#Headers],[Include or Exclude]], 60)</f>
        <v/>
      </c>
      <c r="M150" s="62" t="str" cm="1">
        <f t="array" ref="M150">Common_InputFunctions.Utility_DisplayArrayInTable(Fertiliser_SourceData.Fertiliser_Products_Data4(),FertiliserProducts[[#Headers],[Include or Exclude]], 60)</f>
        <v/>
      </c>
      <c r="N150" s="62" t="str" cm="1">
        <f t="array" ref="N150">Common_InputFunctions.Utility_DisplayArrayInTable(Fertiliser_SourceData.Fertiliser_Products_Data4(),FertiliserProducts[[#Headers],[Include or Exclude]], 60)</f>
        <v/>
      </c>
      <c r="O150" s="62" t="str" cm="1">
        <f t="array" ref="O150">Common_InputFunctions.Utility_DisplayArrayInTable(Fertiliser_SourceData.Fertiliser_Products_Data4(),FertiliserProducts[[#Headers],[Include or Exclude]], 60)</f>
        <v/>
      </c>
      <c r="P150" s="62" t="str" cm="1">
        <f t="array" ref="P150">Common_InputFunctions.Utility_DisplayArrayInTable(Fertiliser_SourceData.Fertiliser_Products_Data4(),FertiliserProducts[[#Headers],[Include or Exclude]], 60)</f>
        <v/>
      </c>
      <c r="Q150" s="62" t="str" cm="1">
        <f t="array" ref="Q150">Common_InputFunctions.Utility_DisplayArrayInTable(Fertiliser_SourceData.Fertiliser_Products_Data4(),FertiliserProducts[[#Headers],[Include or Exclude]], 60)</f>
        <v/>
      </c>
      <c r="R150" s="62" t="str" cm="1">
        <f t="array" ref="R150">Common_InputFunctions.Utility_DisplayArrayInTable(Fertiliser_SourceData.Fertiliser_Products_Data4(),FertiliserProducts[[#Headers],[Include or Exclude]], 60)</f>
        <v/>
      </c>
      <c r="S150" s="62" t="str" cm="1">
        <f t="array" ref="S150">Common_InputFunctions.Utility_DisplayArrayInTable(Fertiliser_SourceData.Fertiliser_Products_Data4(),FertiliserProducts[[#Headers],[Include or Exclude]], 60)</f>
        <v/>
      </c>
      <c r="T150" s="62" t="str" cm="1">
        <f t="array" ref="T150">Common_InputFunctions.Utility_DisplayArrayInTable(Fertiliser_SourceData.Fertiliser_Products_Data4(),FertiliserProducts[[#Headers],[Include or Exclude]], 60)</f>
        <v/>
      </c>
      <c r="U150" s="62" t="str" cm="1">
        <f t="array" ref="U150">Common_InputFunctions.Utility_DisplayArrayInTable(Fertiliser_SourceData.Fertiliser_Products_Data4(),FertiliserProducts[[#Headers],[Include or Exclude]], 60)</f>
        <v/>
      </c>
      <c r="V150" s="62" t="str" cm="1">
        <f t="array" ref="V150">Common_InputFunctions.Utility_DisplayArrayInTable(Fertiliser_SourceData.Fertiliser_Products_Data4(),FertiliserProducts[[#Headers],[Include or Exclude]], 60)</f>
        <v/>
      </c>
      <c r="W150" s="62" t="str" cm="1">
        <f t="array" ref="W150">Common_InputFunctions.Utility_DisplayArrayInTable(Fertiliser_SourceData.Fertiliser_Products_Data4(),FertiliserProducts[[#Headers],[Include or Exclude]], 60)</f>
        <v>Crop Nutrition Solutions (Yara Australia)</v>
      </c>
      <c r="X150" s="62" t="str" cm="1">
        <f t="array" ref="X150">Common_InputFunctions.Utility_DisplayArrayInTable(Fertiliser_SourceData.Fertiliser_Products_Data4(),FertiliserProducts[[#Headers],[Include or Exclude]], 60)</f>
        <v/>
      </c>
      <c r="Y150" s="62" t="str" cm="1">
        <f t="array" ref="Y150">Common_InputFunctions.Utility_DisplayArrayInTable(Fertiliser_SourceData.Fertiliser_Products_Data4(),FertiliserProducts[[#Headers],[Include or Exclude]], 60)</f>
        <v/>
      </c>
      <c r="Z150" s="62"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1:31" ht="20.100000000000001" customHeight="1" x14ac:dyDescent="0.25">
      <c r="A151"/>
      <c r="D151" s="62" t="str" cm="1">
        <f t="array" ref="D151">Common_InputFunctions.Utility_DisplayArrayInTable(Fertiliser_SourceData.Fertiliser_Products_Data4(),FertiliserProducts[[#Headers],[Include or Exclude]], 60)</f>
        <v>YaraVita BUD BUILDER FL</v>
      </c>
      <c r="E151" s="62" t="str" cm="1">
        <f t="array" ref="E151">Common_InputFunctions.Utility_DisplayArrayInTable(Fertiliser_SourceData.Fertiliser_Products_Data4(),FertiliserProducts[[#Headers],[Include or Exclude]], 60)</f>
        <v/>
      </c>
      <c r="F151" s="62" t="str" cm="1">
        <f t="array" ref="F151">Common_InputFunctions.Utility_DisplayArrayInTable(Fertiliser_SourceData.Fertiliser_Products_Data4(),FertiliserProducts[[#Headers],[Include or Exclude]], 60)</f>
        <v/>
      </c>
      <c r="G151" s="62" t="str" cm="1">
        <f t="array" ref="G151">Common_InputFunctions.Utility_DisplayArrayInTable(Fertiliser_SourceData.Fertiliser_Products_Data4(),FertiliserProducts[[#Headers],[Include or Exclude]], 60)</f>
        <v/>
      </c>
      <c r="H151" s="62" t="str" cm="1">
        <f t="array" ref="H151">Common_InputFunctions.Utility_DisplayArrayInTable(Fertiliser_SourceData.Fertiliser_Products_Data4(),FertiliserProducts[[#Headers],[Include or Exclude]], 60)</f>
        <v/>
      </c>
      <c r="I151" s="62" t="str" cm="1">
        <f t="array" ref="I151">Common_InputFunctions.Utility_DisplayArrayInTable(Fertiliser_SourceData.Fertiliser_Products_Data4(),FertiliserProducts[[#Headers],[Include or Exclude]], 60)</f>
        <v/>
      </c>
      <c r="J151" s="62" t="str" cm="1">
        <f t="array" ref="J151">Common_InputFunctions.Utility_DisplayArrayInTable(Fertiliser_SourceData.Fertiliser_Products_Data4(),FertiliserProducts[[#Headers],[Include or Exclude]], 60)</f>
        <v/>
      </c>
      <c r="K151" s="62" t="str" cm="1">
        <f t="array" ref="K151">Common_InputFunctions.Utility_DisplayArrayInTable(Fertiliser_SourceData.Fertiliser_Products_Data4(),FertiliserProducts[[#Headers],[Include or Exclude]], 60)</f>
        <v/>
      </c>
      <c r="L151" s="62" t="str" cm="1">
        <f t="array" ref="L151">Common_InputFunctions.Utility_DisplayArrayInTable(Fertiliser_SourceData.Fertiliser_Products_Data4(),FertiliserProducts[[#Headers],[Include or Exclude]], 60)</f>
        <v/>
      </c>
      <c r="M151" s="62" t="str" cm="1">
        <f t="array" ref="M151">Common_InputFunctions.Utility_DisplayArrayInTable(Fertiliser_SourceData.Fertiliser_Products_Data4(),FertiliserProducts[[#Headers],[Include or Exclude]], 60)</f>
        <v/>
      </c>
      <c r="N151" s="62" t="str" cm="1">
        <f t="array" ref="N151">Common_InputFunctions.Utility_DisplayArrayInTable(Fertiliser_SourceData.Fertiliser_Products_Data4(),FertiliserProducts[[#Headers],[Include or Exclude]], 60)</f>
        <v/>
      </c>
      <c r="O151" s="62" t="str" cm="1">
        <f t="array" ref="O151">Common_InputFunctions.Utility_DisplayArrayInTable(Fertiliser_SourceData.Fertiliser_Products_Data4(),FertiliserProducts[[#Headers],[Include or Exclude]], 60)</f>
        <v/>
      </c>
      <c r="P151" s="62" t="str" cm="1">
        <f t="array" ref="P151">Common_InputFunctions.Utility_DisplayArrayInTable(Fertiliser_SourceData.Fertiliser_Products_Data4(),FertiliserProducts[[#Headers],[Include or Exclude]], 60)</f>
        <v/>
      </c>
      <c r="Q151" s="62" t="str" cm="1">
        <f t="array" ref="Q151">Common_InputFunctions.Utility_DisplayArrayInTable(Fertiliser_SourceData.Fertiliser_Products_Data4(),FertiliserProducts[[#Headers],[Include or Exclude]], 60)</f>
        <v/>
      </c>
      <c r="R151" s="62" t="str" cm="1">
        <f t="array" ref="R151">Common_InputFunctions.Utility_DisplayArrayInTable(Fertiliser_SourceData.Fertiliser_Products_Data4(),FertiliserProducts[[#Headers],[Include or Exclude]], 60)</f>
        <v/>
      </c>
      <c r="S151" s="62" t="str" cm="1">
        <f t="array" ref="S151">Common_InputFunctions.Utility_DisplayArrayInTable(Fertiliser_SourceData.Fertiliser_Products_Data4(),FertiliserProducts[[#Headers],[Include or Exclude]], 60)</f>
        <v/>
      </c>
      <c r="T151" s="62" t="str" cm="1">
        <f t="array" ref="T151">Common_InputFunctions.Utility_DisplayArrayInTable(Fertiliser_SourceData.Fertiliser_Products_Data4(),FertiliserProducts[[#Headers],[Include or Exclude]], 60)</f>
        <v/>
      </c>
      <c r="U151" s="62" t="str" cm="1">
        <f t="array" ref="U151">Common_InputFunctions.Utility_DisplayArrayInTable(Fertiliser_SourceData.Fertiliser_Products_Data4(),FertiliserProducts[[#Headers],[Include or Exclude]], 60)</f>
        <v/>
      </c>
      <c r="V151" s="62" t="str" cm="1">
        <f t="array" ref="V151">Common_InputFunctions.Utility_DisplayArrayInTable(Fertiliser_SourceData.Fertiliser_Products_Data4(),FertiliserProducts[[#Headers],[Include or Exclude]], 60)</f>
        <v/>
      </c>
      <c r="W151" s="62" t="str" cm="1">
        <f t="array" ref="W151">Common_InputFunctions.Utility_DisplayArrayInTable(Fertiliser_SourceData.Fertiliser_Products_Data4(),FertiliserProducts[[#Headers],[Include or Exclude]], 60)</f>
        <v>Crop Nutrition Solutions (Yara Australia)</v>
      </c>
      <c r="X151" s="62" t="str" cm="1">
        <f t="array" ref="X151">Common_InputFunctions.Utility_DisplayArrayInTable(Fertiliser_SourceData.Fertiliser_Products_Data4(),FertiliserProducts[[#Headers],[Include or Exclude]], 60)</f>
        <v/>
      </c>
      <c r="Y151" s="62" t="str" cm="1">
        <f t="array" ref="Y151">Common_InputFunctions.Utility_DisplayArrayInTable(Fertiliser_SourceData.Fertiliser_Products_Data4(),FertiliserProducts[[#Headers],[Include or Exclude]], 60)</f>
        <v/>
      </c>
      <c r="Z151" s="62"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1:31" ht="20.100000000000001" customHeight="1" x14ac:dyDescent="0.25">
      <c r="A152"/>
      <c r="D152" s="62" t="str" cm="1">
        <f t="array" ref="D152">Common_InputFunctions.Utility_DisplayArrayInTable(Fertiliser_SourceData.Fertiliser_Products_Data4(),FertiliserProducts[[#Headers],[Include or Exclude]], 60)</f>
        <v>YaraVita FRUTREL</v>
      </c>
      <c r="E152" s="62" t="str" cm="1">
        <f t="array" ref="E152">Common_InputFunctions.Utility_DisplayArrayInTable(Fertiliser_SourceData.Fertiliser_Products_Data4(),FertiliserProducts[[#Headers],[Include or Exclude]], 60)</f>
        <v/>
      </c>
      <c r="F152" s="62" t="str" cm="1">
        <f t="array" ref="F152">Common_InputFunctions.Utility_DisplayArrayInTable(Fertiliser_SourceData.Fertiliser_Products_Data4(),FertiliserProducts[[#Headers],[Include or Exclude]], 60)</f>
        <v/>
      </c>
      <c r="G152" s="62" t="str" cm="1">
        <f t="array" ref="G152">Common_InputFunctions.Utility_DisplayArrayInTable(Fertiliser_SourceData.Fertiliser_Products_Data4(),FertiliserProducts[[#Headers],[Include or Exclude]], 60)</f>
        <v/>
      </c>
      <c r="H152" s="62" t="str" cm="1">
        <f t="array" ref="H152">Common_InputFunctions.Utility_DisplayArrayInTable(Fertiliser_SourceData.Fertiliser_Products_Data4(),FertiliserProducts[[#Headers],[Include or Exclude]], 60)</f>
        <v/>
      </c>
      <c r="I152" s="62" t="str" cm="1">
        <f t="array" ref="I152">Common_InputFunctions.Utility_DisplayArrayInTable(Fertiliser_SourceData.Fertiliser_Products_Data4(),FertiliserProducts[[#Headers],[Include or Exclude]], 60)</f>
        <v/>
      </c>
      <c r="J152" s="62" t="str" cm="1">
        <f t="array" ref="J152">Common_InputFunctions.Utility_DisplayArrayInTable(Fertiliser_SourceData.Fertiliser_Products_Data4(),FertiliserProducts[[#Headers],[Include or Exclude]], 60)</f>
        <v/>
      </c>
      <c r="K152" s="62" t="str" cm="1">
        <f t="array" ref="K152">Common_InputFunctions.Utility_DisplayArrayInTable(Fertiliser_SourceData.Fertiliser_Products_Data4(),FertiliserProducts[[#Headers],[Include or Exclude]], 60)</f>
        <v/>
      </c>
      <c r="L152" s="62" t="str" cm="1">
        <f t="array" ref="L152">Common_InputFunctions.Utility_DisplayArrayInTable(Fertiliser_SourceData.Fertiliser_Products_Data4(),FertiliserProducts[[#Headers],[Include or Exclude]], 60)</f>
        <v/>
      </c>
      <c r="M152" s="62" t="str" cm="1">
        <f t="array" ref="M152">Common_InputFunctions.Utility_DisplayArrayInTable(Fertiliser_SourceData.Fertiliser_Products_Data4(),FertiliserProducts[[#Headers],[Include or Exclude]], 60)</f>
        <v/>
      </c>
      <c r="N152" s="62" t="str" cm="1">
        <f t="array" ref="N152">Common_InputFunctions.Utility_DisplayArrayInTable(Fertiliser_SourceData.Fertiliser_Products_Data4(),FertiliserProducts[[#Headers],[Include or Exclude]], 60)</f>
        <v/>
      </c>
      <c r="O152" s="62" t="str" cm="1">
        <f t="array" ref="O152">Common_InputFunctions.Utility_DisplayArrayInTable(Fertiliser_SourceData.Fertiliser_Products_Data4(),FertiliserProducts[[#Headers],[Include or Exclude]], 60)</f>
        <v/>
      </c>
      <c r="P152" s="62" t="str" cm="1">
        <f t="array" ref="P152">Common_InputFunctions.Utility_DisplayArrayInTable(Fertiliser_SourceData.Fertiliser_Products_Data4(),FertiliserProducts[[#Headers],[Include or Exclude]], 60)</f>
        <v/>
      </c>
      <c r="Q152" s="62" t="str" cm="1">
        <f t="array" ref="Q152">Common_InputFunctions.Utility_DisplayArrayInTable(Fertiliser_SourceData.Fertiliser_Products_Data4(),FertiliserProducts[[#Headers],[Include or Exclude]], 60)</f>
        <v/>
      </c>
      <c r="R152" s="62" t="str" cm="1">
        <f t="array" ref="R152">Common_InputFunctions.Utility_DisplayArrayInTable(Fertiliser_SourceData.Fertiliser_Products_Data4(),FertiliserProducts[[#Headers],[Include or Exclude]], 60)</f>
        <v/>
      </c>
      <c r="S152" s="62" t="str" cm="1">
        <f t="array" ref="S152">Common_InputFunctions.Utility_DisplayArrayInTable(Fertiliser_SourceData.Fertiliser_Products_Data4(),FertiliserProducts[[#Headers],[Include or Exclude]], 60)</f>
        <v/>
      </c>
      <c r="T152" s="62" t="str" cm="1">
        <f t="array" ref="T152">Common_InputFunctions.Utility_DisplayArrayInTable(Fertiliser_SourceData.Fertiliser_Products_Data4(),FertiliserProducts[[#Headers],[Include or Exclude]], 60)</f>
        <v/>
      </c>
      <c r="U152" s="62" t="str" cm="1">
        <f t="array" ref="U152">Common_InputFunctions.Utility_DisplayArrayInTable(Fertiliser_SourceData.Fertiliser_Products_Data4(),FertiliserProducts[[#Headers],[Include or Exclude]], 60)</f>
        <v/>
      </c>
      <c r="V152" s="62" t="str" cm="1">
        <f t="array" ref="V152">Common_InputFunctions.Utility_DisplayArrayInTable(Fertiliser_SourceData.Fertiliser_Products_Data4(),FertiliserProducts[[#Headers],[Include or Exclude]], 60)</f>
        <v/>
      </c>
      <c r="W152" s="62" t="str" cm="1">
        <f t="array" ref="W152">Common_InputFunctions.Utility_DisplayArrayInTable(Fertiliser_SourceData.Fertiliser_Products_Data4(),FertiliserProducts[[#Headers],[Include or Exclude]], 60)</f>
        <v>Crop Nutrition Solutions (Yara Australia)</v>
      </c>
      <c r="X152" s="62" t="str" cm="1">
        <f t="array" ref="X152">Common_InputFunctions.Utility_DisplayArrayInTable(Fertiliser_SourceData.Fertiliser_Products_Data4(),FertiliserProducts[[#Headers],[Include or Exclude]], 60)</f>
        <v/>
      </c>
      <c r="Y152" s="62" t="str" cm="1">
        <f t="array" ref="Y152">Common_InputFunctions.Utility_DisplayArrayInTable(Fertiliser_SourceData.Fertiliser_Products_Data4(),FertiliserProducts[[#Headers],[Include or Exclude]], 60)</f>
        <v/>
      </c>
      <c r="Z152" s="62"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1:31" ht="20.100000000000001" customHeight="1" x14ac:dyDescent="0.25">
      <c r="A153"/>
      <c r="D153" s="62" t="str" cm="1">
        <f t="array" ref="D153">Common_InputFunctions.Utility_DisplayArrayInTable(Fertiliser_SourceData.Fertiliser_Products_Data4(),FertiliserProducts[[#Headers],[Include or Exclude]], 60)</f>
        <v>YaraVita GLYTREL ZnP</v>
      </c>
      <c r="E153" s="62" t="str" cm="1">
        <f t="array" ref="E153">Common_InputFunctions.Utility_DisplayArrayInTable(Fertiliser_SourceData.Fertiliser_Products_Data4(),FertiliserProducts[[#Headers],[Include or Exclude]], 60)</f>
        <v/>
      </c>
      <c r="F153" s="62" t="str" cm="1">
        <f t="array" ref="F153">Common_InputFunctions.Utility_DisplayArrayInTable(Fertiliser_SourceData.Fertiliser_Products_Data4(),FertiliserProducts[[#Headers],[Include or Exclude]], 60)</f>
        <v/>
      </c>
      <c r="G153" s="62" t="str" cm="1">
        <f t="array" ref="G153">Common_InputFunctions.Utility_DisplayArrayInTable(Fertiliser_SourceData.Fertiliser_Products_Data4(),FertiliserProducts[[#Headers],[Include or Exclude]], 60)</f>
        <v/>
      </c>
      <c r="H153" s="62" t="str" cm="1">
        <f t="array" ref="H153">Common_InputFunctions.Utility_DisplayArrayInTable(Fertiliser_SourceData.Fertiliser_Products_Data4(),FertiliserProducts[[#Headers],[Include or Exclude]], 60)</f>
        <v/>
      </c>
      <c r="I153" s="62" t="str" cm="1">
        <f t="array" ref="I153">Common_InputFunctions.Utility_DisplayArrayInTable(Fertiliser_SourceData.Fertiliser_Products_Data4(),FertiliserProducts[[#Headers],[Include or Exclude]], 60)</f>
        <v/>
      </c>
      <c r="J153" s="62" t="str" cm="1">
        <f t="array" ref="J153">Common_InputFunctions.Utility_DisplayArrayInTable(Fertiliser_SourceData.Fertiliser_Products_Data4(),FertiliserProducts[[#Headers],[Include or Exclude]], 60)</f>
        <v/>
      </c>
      <c r="K153" s="62" t="str" cm="1">
        <f t="array" ref="K153">Common_InputFunctions.Utility_DisplayArrayInTable(Fertiliser_SourceData.Fertiliser_Products_Data4(),FertiliserProducts[[#Headers],[Include or Exclude]], 60)</f>
        <v/>
      </c>
      <c r="L153" s="62" t="str" cm="1">
        <f t="array" ref="L153">Common_InputFunctions.Utility_DisplayArrayInTable(Fertiliser_SourceData.Fertiliser_Products_Data4(),FertiliserProducts[[#Headers],[Include or Exclude]], 60)</f>
        <v/>
      </c>
      <c r="M153" s="62" t="str" cm="1">
        <f t="array" ref="M153">Common_InputFunctions.Utility_DisplayArrayInTable(Fertiliser_SourceData.Fertiliser_Products_Data4(),FertiliserProducts[[#Headers],[Include or Exclude]], 60)</f>
        <v/>
      </c>
      <c r="N153" s="62" t="str" cm="1">
        <f t="array" ref="N153">Common_InputFunctions.Utility_DisplayArrayInTable(Fertiliser_SourceData.Fertiliser_Products_Data4(),FertiliserProducts[[#Headers],[Include or Exclude]], 60)</f>
        <v/>
      </c>
      <c r="O153" s="62" t="str" cm="1">
        <f t="array" ref="O153">Common_InputFunctions.Utility_DisplayArrayInTable(Fertiliser_SourceData.Fertiliser_Products_Data4(),FertiliserProducts[[#Headers],[Include or Exclude]], 60)</f>
        <v/>
      </c>
      <c r="P153" s="62" t="str" cm="1">
        <f t="array" ref="P153">Common_InputFunctions.Utility_DisplayArrayInTable(Fertiliser_SourceData.Fertiliser_Products_Data4(),FertiliserProducts[[#Headers],[Include or Exclude]], 60)</f>
        <v/>
      </c>
      <c r="Q153" s="62" t="str" cm="1">
        <f t="array" ref="Q153">Common_InputFunctions.Utility_DisplayArrayInTable(Fertiliser_SourceData.Fertiliser_Products_Data4(),FertiliserProducts[[#Headers],[Include or Exclude]], 60)</f>
        <v/>
      </c>
      <c r="R153" s="62" t="str" cm="1">
        <f t="array" ref="R153">Common_InputFunctions.Utility_DisplayArrayInTable(Fertiliser_SourceData.Fertiliser_Products_Data4(),FertiliserProducts[[#Headers],[Include or Exclude]], 60)</f>
        <v/>
      </c>
      <c r="S153" s="62" t="str" cm="1">
        <f t="array" ref="S153">Common_InputFunctions.Utility_DisplayArrayInTable(Fertiliser_SourceData.Fertiliser_Products_Data4(),FertiliserProducts[[#Headers],[Include or Exclude]], 60)</f>
        <v/>
      </c>
      <c r="T153" s="62" t="str" cm="1">
        <f t="array" ref="T153">Common_InputFunctions.Utility_DisplayArrayInTable(Fertiliser_SourceData.Fertiliser_Products_Data4(),FertiliserProducts[[#Headers],[Include or Exclude]], 60)</f>
        <v/>
      </c>
      <c r="U153" s="62" t="str" cm="1">
        <f t="array" ref="U153">Common_InputFunctions.Utility_DisplayArrayInTable(Fertiliser_SourceData.Fertiliser_Products_Data4(),FertiliserProducts[[#Headers],[Include or Exclude]], 60)</f>
        <v/>
      </c>
      <c r="V153" s="62" t="str" cm="1">
        <f t="array" ref="V153">Common_InputFunctions.Utility_DisplayArrayInTable(Fertiliser_SourceData.Fertiliser_Products_Data4(),FertiliserProducts[[#Headers],[Include or Exclude]], 60)</f>
        <v/>
      </c>
      <c r="W153" s="62" t="str" cm="1">
        <f t="array" ref="W153">Common_InputFunctions.Utility_DisplayArrayInTable(Fertiliser_SourceData.Fertiliser_Products_Data4(),FertiliserProducts[[#Headers],[Include or Exclude]], 60)</f>
        <v>Crop Nutrition Solutions (Yara Australia)</v>
      </c>
      <c r="X153" s="62" t="str" cm="1">
        <f t="array" ref="X153">Common_InputFunctions.Utility_DisplayArrayInTable(Fertiliser_SourceData.Fertiliser_Products_Data4(),FertiliserProducts[[#Headers],[Include or Exclude]], 60)</f>
        <v/>
      </c>
      <c r="Y153" s="62" t="str" cm="1">
        <f t="array" ref="Y153">Common_InputFunctions.Utility_DisplayArrayInTable(Fertiliser_SourceData.Fertiliser_Products_Data4(),FertiliserProducts[[#Headers],[Include or Exclude]], 60)</f>
        <v/>
      </c>
      <c r="Z153" s="62"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1:31" ht="20.100000000000001" customHeight="1" x14ac:dyDescent="0.25">
      <c r="A154"/>
    </row>
    <row r="155" spans="1:31" ht="20.100000000000001" customHeight="1" x14ac:dyDescent="0.25">
      <c r="A155"/>
    </row>
    <row r="156" spans="1:31" ht="20.100000000000001" customHeight="1" x14ac:dyDescent="0.25">
      <c r="A156"/>
    </row>
    <row r="157" spans="1:31" ht="20.100000000000001" customHeight="1" x14ac:dyDescent="0.25">
      <c r="A157"/>
    </row>
    <row r="158" spans="1:31" ht="20.100000000000001" customHeight="1" x14ac:dyDescent="0.25">
      <c r="A158"/>
    </row>
    <row r="159" spans="1:31" ht="20.100000000000001" customHeight="1" x14ac:dyDescent="0.25">
      <c r="A159"/>
    </row>
    <row r="160" spans="1:3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sheetPr>
    <tabColor theme="2" tint="-0.499984740745262"/>
  </sheetPr>
  <dimension ref="A1:AI165"/>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225</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Electricity_SourceData.Electricity_Scope2Scope3LocationBased_Title()</f>
        <v>Electricity scope 2 and scope 3 location-based emission factors</v>
      </c>
    </row>
    <row r="6" spans="1:35" ht="20.100000000000001" customHeight="1" x14ac:dyDescent="0.25">
      <c r="A6"/>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Site'!A1", "Site")</f>
        <v>Site</v>
      </c>
      <c r="D8" s="14"/>
      <c r="E8" s="14"/>
      <c r="F8" s="14"/>
    </row>
    <row r="9" spans="1:35" ht="20.100000000000001" customHeight="1" x14ac:dyDescent="0.25">
      <c r="A9" s="16" t="str">
        <f>HYPERLINK("#'Input - Fuel'!A1", "Fuel")</f>
        <v>Fuel</v>
      </c>
      <c r="D9" s="25" t="s">
        <v>226</v>
      </c>
      <c r="E9" s="25" t="s">
        <v>227</v>
      </c>
      <c r="F9" s="25" t="s">
        <v>228</v>
      </c>
    </row>
    <row r="10" spans="1:35" ht="20.100000000000001" customHeight="1" x14ac:dyDescent="0.25">
      <c r="A10" s="16" t="str">
        <f>HYPERLINK("#'Input - Fertiliser'!A1", "Fertiliser")</f>
        <v>Fertiliser</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HYPERLINK("#'Input - Farm Inputs'!A1", "Farm Inputs")</f>
        <v>Farm Inputs</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t="str">
        <f>HYPERLINK("#'Input - Livestock purchases'!A1", "Livestock purchases")</f>
        <v>Livestock purchases</v>
      </c>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6" t="str">
        <f>HYPERLINK("#'Input - Freight'!A1", "Freight")</f>
        <v>Freight</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16" t="str">
        <f>HYPERLINK("#'Input - Solid waste'!A1", "Solid waste")</f>
        <v>Solid waste</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HYPERLINK("#'Input - Manure sent off-site'!A1", "Manure sent off-site")</f>
        <v>Manure sent off-site</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16" t="str">
        <f>HYPERLINK("#'Input - Electricity'!A1", "Electricity")</f>
        <v>Electricity</v>
      </c>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21" t="s">
        <v>77</v>
      </c>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t="str">
        <f>HYPERLINK("#'15 Scope 3'!A1", "15 Scope 3")</f>
        <v>15 Scope 3</v>
      </c>
    </row>
    <row r="21" spans="1:8" ht="20.100000000000001" customHeight="1" x14ac:dyDescent="0.25">
      <c r="A21" s="16" t="str">
        <f>HYPERLINK("#'10.1.1-2 Solid waste treatment'!A1", "10.1.1-2 Solid waste treatment")</f>
        <v>10.1.1-2 Solid waste treatment</v>
      </c>
      <c r="D21" s="9" t="str" cm="1">
        <f t="array" ref="D21">Electricity_SourceData.Electricity_Scope2Scope3MarketBased_Title()</f>
        <v>Electricity scope 2 and scope 3 market-based emission factors</v>
      </c>
    </row>
    <row r="22" spans="1:8" ht="20.100000000000001" customHeight="1" x14ac:dyDescent="0.25">
      <c r="A22" s="16" t="str">
        <f>HYPERLINK("#'Calcs - Manure sent off-site'!A1", "Calcs - Manure sent off-site")</f>
        <v>Calcs - Manure sent off-site</v>
      </c>
      <c r="D22" s="11" t="str" cm="1">
        <f t="array" ref="D22">Electricity_SourceData.Electricity_Scope2Scope3MarketBased_Source()</f>
        <v>Australian National Greenhouse Accounts Factors 2025 - Table 2a</v>
      </c>
    </row>
    <row r="23" spans="1:8" ht="20.100000000000001" customHeight="1" x14ac:dyDescent="0.25">
      <c r="A23" s="16" t="str">
        <f>HYPERLINK("#'8.1.1.1-2 Transport fuel'!A1", "8.1.1.1-2 Transport fuel")</f>
        <v>8.1.1.1-2 Transport fuel</v>
      </c>
    </row>
    <row r="24" spans="1:8" ht="20.100000000000001" customHeight="1" x14ac:dyDescent="0.25">
      <c r="A24" s="16" t="str">
        <f>HYPERLINK("#'8.2.1.1-2 Stationary fuel'!A1", "8.2.1.1-2 Stationary fuel")</f>
        <v>8.2.1.1-2 Stationary fuel</v>
      </c>
      <c r="D24" s="62" t="s">
        <v>226</v>
      </c>
      <c r="E24" s="62" t="s">
        <v>229</v>
      </c>
      <c r="F24" s="62" t="s">
        <v>230</v>
      </c>
      <c r="G24" s="62" t="s">
        <v>231</v>
      </c>
      <c r="H24" s="62" t="s">
        <v>232</v>
      </c>
    </row>
    <row r="25" spans="1:8" ht="20.100000000000001" customHeight="1" x14ac:dyDescent="0.25">
      <c r="A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row>
    <row r="27" spans="1:8" ht="20.100000000000001" customHeight="1" x14ac:dyDescent="0.25">
      <c r="A27" s="222" t="s">
        <v>78</v>
      </c>
    </row>
    <row r="28" spans="1:8" ht="20.100000000000001" customHeight="1" x14ac:dyDescent="0.25">
      <c r="A28" s="16" t="str">
        <f>HYPERLINK("#'Constants - Scope 3'!A1", "Constants - Scope 3")</f>
        <v>Constants - Scope 3</v>
      </c>
    </row>
    <row r="29" spans="1:8" ht="20.100000000000001" customHeight="1" x14ac:dyDescent="0.25">
      <c r="A29" s="16" t="str">
        <f>HYPERLINK("#'Constants - Solid Waste'!A1", "Constants - Solid Waste")</f>
        <v>Constants - Solid Waste</v>
      </c>
    </row>
    <row r="30" spans="1:8" ht="20.100000000000001" customHeight="1" x14ac:dyDescent="0.25">
      <c r="A30" s="16" t="str">
        <f>HYPERLINK("#'Constants - Fuel'!A1", "Constants - Fuel")</f>
        <v>Constants - Fuel</v>
      </c>
    </row>
    <row r="31" spans="1:8" ht="20.100000000000001" customHeight="1" x14ac:dyDescent="0.25">
      <c r="A31" s="16" t="str">
        <f>HYPERLINK("#'Constants - Poultry'!A1", "Constants - Poultry")</f>
        <v>Constants - Poultry</v>
      </c>
    </row>
    <row r="32" spans="1:8"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23"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c r="A39"/>
    </row>
    <row r="40" spans="1:1" ht="20.100000000000001" customHeight="1" x14ac:dyDescent="0.25">
      <c r="A40"/>
    </row>
    <row r="41" spans="1:1" ht="20.100000000000001" customHeight="1" x14ac:dyDescent="0.25">
      <c r="A41"/>
    </row>
    <row r="42" spans="1:1" ht="20.100000000000001" customHeight="1" x14ac:dyDescent="0.25">
      <c r="A42"/>
    </row>
    <row r="43" spans="1:1" ht="20.100000000000001" customHeight="1" x14ac:dyDescent="0.25">
      <c r="A43"/>
    </row>
    <row r="44" spans="1:1" ht="20.100000000000001" customHeight="1" x14ac:dyDescent="0.25">
      <c r="A44"/>
    </row>
    <row r="45" spans="1:1" ht="20.100000000000001" customHeight="1" x14ac:dyDescent="0.25">
      <c r="A45"/>
    </row>
    <row r="46" spans="1:1" ht="20.100000000000001" customHeight="1" x14ac:dyDescent="0.25">
      <c r="A46"/>
    </row>
    <row r="47" spans="1:1" ht="20.100000000000001" customHeight="1" x14ac:dyDescent="0.25">
      <c r="A47"/>
    </row>
    <row r="48" spans="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DCAE-73D1-47CF-95D2-EBBDD4BCEFAE}">
  <sheetPr>
    <tabColor theme="2" tint="-0.499984740745262"/>
  </sheetPr>
  <dimension ref="A1:BY297"/>
  <sheetViews>
    <sheetView showGridLines="0" tabSelected="1" topLeftCell="A239" zoomScaleNormal="100" workbookViewId="0">
      <selection activeCell="I279" sqref="I279"/>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c r="A2" s="3"/>
    </row>
    <row r="3" spans="1:65" ht="20.100000000000001" customHeight="1" x14ac:dyDescent="0.25">
      <c r="A3" s="16" t="str">
        <f>HYPERLINK("#'Home'!A1", "Home")</f>
        <v>Home</v>
      </c>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222" t="s">
        <v>78</v>
      </c>
      <c r="D6" s="10" t="s">
        <v>1</v>
      </c>
      <c r="E6" s="10" t="s">
        <v>2</v>
      </c>
      <c r="F6" s="10" t="s">
        <v>3</v>
      </c>
    </row>
    <row r="7" spans="1:65" ht="20.100000000000001" customHeight="1" x14ac:dyDescent="0.25">
      <c r="A7" s="23" t="str">
        <f>HYPERLINK("#'Constants - Common'!A1", "Constants - Common")</f>
        <v>Constants - Common</v>
      </c>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16" t="str">
        <f>HYPERLINK("#'Acknowledgements'!A1", "Acknowledgements")</f>
        <v>Acknowledgements</v>
      </c>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A42" s="3"/>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A43" s="3"/>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c r="A44" s="3"/>
    </row>
    <row r="45" spans="1:8" ht="20.100000000000001" customHeight="1" x14ac:dyDescent="0.25">
      <c r="A45" s="3"/>
      <c r="D45" s="9" t="str" cm="1">
        <f t="array" ref="D45">Common_SourceData.Common_SourceData_ConvertGasElementalToMolecular_Title()</f>
        <v>Factor to convert elemental mass of gas to molecular mass</v>
      </c>
    </row>
    <row r="46" spans="1:8" ht="20.100000000000001" customHeight="1" x14ac:dyDescent="0.25">
      <c r="A46" s="3"/>
      <c r="D46" s="11" t="str" cm="1">
        <f t="array" ref="D46">Common_SourceData.Common_SourceData_ConvertGasElementalToMolecular_Source()</f>
        <v>XXXXXXX</v>
      </c>
    </row>
    <row r="47" spans="1:8" ht="20.100000000000001" customHeight="1" x14ac:dyDescent="0.25">
      <c r="A47" s="3"/>
      <c r="D47" s="10" t="s">
        <v>5</v>
      </c>
      <c r="E47" s="10" t="s">
        <v>7</v>
      </c>
      <c r="F47" s="10" t="s">
        <v>8</v>
      </c>
      <c r="G47" s="10" t="s">
        <v>9</v>
      </c>
      <c r="H47" s="10" t="s">
        <v>10</v>
      </c>
    </row>
    <row r="48" spans="1:8" ht="20.100000000000001" customHeight="1" x14ac:dyDescent="0.25">
      <c r="A48" s="3"/>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1:8" ht="20.100000000000001" customHeight="1" x14ac:dyDescent="0.25">
      <c r="A49" s="3"/>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1:8" ht="20.100000000000001" customHeight="1" x14ac:dyDescent="0.25">
      <c r="A50" s="3"/>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1:8" ht="20.100000000000001" customHeight="1" x14ac:dyDescent="0.25">
      <c r="A51" s="3"/>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1:8" ht="20.100000000000001" customHeight="1" x14ac:dyDescent="0.25">
      <c r="A52" s="3"/>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1:8" ht="20.100000000000001" customHeight="1" x14ac:dyDescent="0.25">
      <c r="A53" s="3"/>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1:8" ht="20.100000000000001" customHeight="1" x14ac:dyDescent="0.25">
      <c r="A54" s="3"/>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1:8" ht="20.100000000000001" customHeight="1" x14ac:dyDescent="0.25">
      <c r="A55" s="3"/>
    </row>
    <row r="56" spans="1:8" ht="20.100000000000001" customHeight="1" x14ac:dyDescent="0.25">
      <c r="A56" s="3"/>
    </row>
    <row r="57" spans="1:8" ht="20.100000000000001" customHeight="1" x14ac:dyDescent="0.25">
      <c r="A57" s="3"/>
      <c r="D57" s="9" t="str" cm="1">
        <f t="array" ref="D57">Common_SourceData.Common_SourceData_WetAndDryZones_Title()</f>
        <v>VEERG Australian wet and dry zones</v>
      </c>
    </row>
    <row r="58" spans="1:8" ht="20.100000000000001" customHeight="1" x14ac:dyDescent="0.25">
      <c r="A58" s="3"/>
      <c r="D58" s="11" t="str" cm="1">
        <f t="array" ref="D58">Common_SourceData.Common_SourceData_WetAndDryZones_Source()</f>
        <v>VEERG 2026: Table 1.2: Translating climate zones to wet and dry zones</v>
      </c>
    </row>
    <row r="59" spans="1:8" ht="20.100000000000001" customHeight="1" x14ac:dyDescent="0.25">
      <c r="A59" s="3"/>
      <c r="D59" s="12" t="str" cm="1">
        <f t="array" ref="D59:D61">"⚠️" &amp; Common_SourceData.Common_SourceData_WetAndDryZones_Variation()</f>
        <v>⚠️VARIATION OF SOURCE DATA:</v>
      </c>
    </row>
    <row r="60" spans="1:8" ht="20.100000000000001" customHeight="1" x14ac:dyDescent="0.25">
      <c r="A60" s="3"/>
      <c r="D60" s="12" t="str">
        <v>⚠️Added warm / cool temperate moist / dry - low frost and high temp classes to accommodate climate scenarios excluded by VEERG criteria.</v>
      </c>
    </row>
    <row r="61" spans="1:8" ht="20.100000000000001" customHeight="1" x14ac:dyDescent="0.25">
      <c r="A61" s="3"/>
      <c r="D61" s="12" t="str">
        <v>⚠️Fixed typo - Changed 'Fry' to 'Dry'.</v>
      </c>
    </row>
    <row r="62" spans="1:8" ht="20.100000000000001" customHeight="1" x14ac:dyDescent="0.25">
      <c r="A62" s="3"/>
    </row>
    <row r="63" spans="1:8" ht="20.100000000000001" customHeight="1" x14ac:dyDescent="0.25">
      <c r="A63" s="3"/>
      <c r="D63" s="10" t="s">
        <v>11</v>
      </c>
      <c r="E63" s="10" t="s">
        <v>12</v>
      </c>
    </row>
    <row r="64" spans="1:8" ht="20.100000000000001" customHeight="1" x14ac:dyDescent="0.25">
      <c r="A64" s="3"/>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s="3"/>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s="3"/>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s="3"/>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s="3"/>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s="3"/>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s="3"/>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s="3"/>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s="3"/>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s="3"/>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s="3"/>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s="3"/>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s="3"/>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s="3"/>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s="3"/>
    </row>
    <row r="79" spans="1:5" ht="20.100000000000001" customHeight="1" x14ac:dyDescent="0.25">
      <c r="A79" s="3"/>
    </row>
    <row r="80" spans="1:5" ht="20.100000000000001" customHeight="1" x14ac:dyDescent="0.25">
      <c r="A80" s="3"/>
    </row>
    <row r="81" spans="1:20" ht="20.100000000000001" customHeight="1" x14ac:dyDescent="0.25">
      <c r="A81" s="3"/>
      <c r="D81" s="9" t="str" cm="1">
        <f t="array" ref="D81">Common_SourceData.Common_SourceData_ClimateZones_Title()</f>
        <v>VEERG Australian climate zones</v>
      </c>
    </row>
    <row r="82" spans="1:20" ht="20.100000000000001" customHeight="1" x14ac:dyDescent="0.25">
      <c r="A82" s="3"/>
      <c r="D82" s="11" t="str" cm="1">
        <f t="array" ref="D82">Common_SourceData.Common_SourceData_ClimateZones_Source()</f>
        <v>VEERG 2026: Table 1.3: Climate and Rainfall zone classifications and definitions</v>
      </c>
    </row>
    <row r="83" spans="1:20" ht="20.100000000000001" customHeight="1" x14ac:dyDescent="0.25">
      <c r="A83" s="3"/>
      <c r="D83" s="12" t="str" cm="1">
        <f t="array" ref="D83:D87">"⚠️" &amp; Common_SourceData.Common_SourceData_ClimateZones_Variation()</f>
        <v>⚠️VARIATION OF SOURCE DATA:</v>
      </c>
    </row>
    <row r="84" spans="1:20" ht="20.100000000000001" customHeight="1" x14ac:dyDescent="0.25">
      <c r="A84" s="3"/>
      <c r="D84" s="12" t="str">
        <v>⚠️Added warm / cool temperate moist / dry - low frost and high temp classes to accommodate climate scenarios excluded by VEERG criteria.</v>
      </c>
    </row>
    <row r="85" spans="1:20" ht="20.100000000000001" customHeight="1" x14ac:dyDescent="0.25">
      <c r="A85" s="3"/>
      <c r="D85" s="12" t="str">
        <v>⚠️Fixed typo in MAT value for warm temperate dry - changed 10 to 11.</v>
      </c>
    </row>
    <row r="86" spans="1:20" ht="20.100000000000001" customHeight="1" x14ac:dyDescent="0.25">
      <c r="A86" s="3"/>
      <c r="D86" s="12" t="str">
        <v>⚠️Added min and max columns for MAT, MAP, frost days per year, elevation, MAP:PET to calculate zones from real climate data.</v>
      </c>
    </row>
    <row r="87" spans="1:20" ht="20.100000000000001" customHeight="1" x14ac:dyDescent="0.25">
      <c r="A87" s="3"/>
      <c r="D87" s="12" t="str">
        <v>⚠️GAF accepts rainfall as a proxy for precipitation.</v>
      </c>
    </row>
    <row r="88" spans="1:20" ht="20.100000000000001" customHeight="1" x14ac:dyDescent="0.25">
      <c r="A88" s="3"/>
    </row>
    <row r="89" spans="1:20" ht="20.100000000000001" customHeight="1" x14ac:dyDescent="0.25">
      <c r="A89" s="3"/>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1:20" ht="20.100000000000001" customHeight="1" x14ac:dyDescent="0.25">
      <c r="A90" s="3"/>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1:20" ht="20.100000000000001" customHeight="1" x14ac:dyDescent="0.25">
      <c r="A91" s="3"/>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1:20" ht="20.100000000000001" customHeight="1" x14ac:dyDescent="0.25">
      <c r="A92" s="3"/>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1:20" ht="20.100000000000001" customHeight="1" x14ac:dyDescent="0.25">
      <c r="A93" s="3"/>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1:20" ht="20.100000000000001" customHeight="1" x14ac:dyDescent="0.25">
      <c r="A94" s="3"/>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1:20" ht="20.100000000000001" customHeight="1" x14ac:dyDescent="0.25">
      <c r="A95" s="3"/>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1:20" ht="20.100000000000001" customHeight="1" x14ac:dyDescent="0.25">
      <c r="A96" s="3"/>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1:20" ht="20.100000000000001" customHeight="1" x14ac:dyDescent="0.25">
      <c r="A97" s="3"/>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1:20" ht="20.100000000000001" customHeight="1" x14ac:dyDescent="0.25">
      <c r="A98" s="3"/>
    </row>
    <row r="99" spans="1:20" ht="20.100000000000001" customHeight="1" x14ac:dyDescent="0.25">
      <c r="A99" s="3"/>
      <c r="D99" s="13" t="str" cm="1">
        <f t="array" ref="D99:D102">Common_SourceData.Common_SourceData_ClimateZones_Appendices()</f>
        <v>Note:</v>
      </c>
    </row>
    <row r="100" spans="1:20" ht="20.100000000000001" customHeight="1" x14ac:dyDescent="0.25">
      <c r="A100" s="3"/>
      <c r="D100" s="13" t="str">
        <v>MAT = mean annual temperature</v>
      </c>
    </row>
    <row r="101" spans="1:20" ht="20.100000000000001" customHeight="1" x14ac:dyDescent="0.25">
      <c r="A101" s="3"/>
      <c r="D101" s="13" t="str">
        <v>MAP = mean annual precipitation</v>
      </c>
    </row>
    <row r="102" spans="1:20" ht="20.100000000000001" customHeight="1" x14ac:dyDescent="0.25">
      <c r="A102" s="3"/>
      <c r="D102" s="13" t="str">
        <v>PET = potential evapotranspiration</v>
      </c>
    </row>
    <row r="103" spans="1:20" ht="20.100000000000001" customHeight="1" x14ac:dyDescent="0.25">
      <c r="A103" s="3"/>
      <c r="D103" s="13"/>
    </row>
    <row r="104" spans="1:20" ht="20.100000000000001" customHeight="1" x14ac:dyDescent="0.25">
      <c r="A104" s="3"/>
    </row>
    <row r="105" spans="1:20" ht="20.100000000000001" customHeight="1" x14ac:dyDescent="0.25">
      <c r="A105" s="3"/>
      <c r="D105" s="9" t="str" cm="1">
        <f t="array" ref="D105">Common_SourceData.Common_SourceData_TemperatureZones_Title()</f>
        <v>VEERG Australian temperature zones</v>
      </c>
    </row>
    <row r="106" spans="1:20" ht="20.100000000000001" customHeight="1" x14ac:dyDescent="0.25">
      <c r="A106" s="3"/>
      <c r="D106" s="11" t="str" cm="1">
        <f t="array" ref="D106">Common_SourceData.Common_SourceData_TemperatureZones_Source()</f>
        <v>VEERG 2026: Table 1.3: Climate and Rainfall zone classifications and definitions</v>
      </c>
    </row>
    <row r="107" spans="1:20" ht="20.100000000000001" customHeight="1" x14ac:dyDescent="0.25">
      <c r="A107" s="3"/>
      <c r="D107" s="1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s="3"/>
    </row>
    <row r="109" spans="1:20" ht="20.100000000000001" customHeight="1" x14ac:dyDescent="0.25">
      <c r="A109" s="3"/>
      <c r="D109" s="10" t="s">
        <v>28</v>
      </c>
      <c r="E109" s="10" t="s">
        <v>13</v>
      </c>
      <c r="F109" s="10" t="s">
        <v>29</v>
      </c>
      <c r="G109" s="10" t="s">
        <v>30</v>
      </c>
    </row>
    <row r="110" spans="1:20" ht="20.100000000000001" customHeight="1" x14ac:dyDescent="0.25">
      <c r="A110" s="3"/>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1:20" ht="20.100000000000001" customHeight="1" x14ac:dyDescent="0.25">
      <c r="A111" s="3"/>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s="3"/>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s="3"/>
    </row>
    <row r="114" spans="1:66" ht="20.100000000000001" customHeight="1" x14ac:dyDescent="0.25">
      <c r="A114" s="3"/>
    </row>
    <row r="115" spans="1:66" ht="20.100000000000001" customHeight="1" x14ac:dyDescent="0.25">
      <c r="A115" s="3"/>
      <c r="D115" s="9" t="str" cm="1">
        <f t="array" ref="D115">Common_SourceData.Common_SourceData_RainfallZones_Title()</f>
        <v>VEERG Australian rainfall zones</v>
      </c>
      <c r="BN115" s="4"/>
    </row>
    <row r="116" spans="1:66" ht="20.100000000000001" customHeight="1" x14ac:dyDescent="0.25">
      <c r="A116" s="3"/>
      <c r="D116" s="11" t="str" cm="1">
        <f t="array" ref="D116">Common_SourceData.Common_SourceData_RainfallZones_Source()</f>
        <v>VEERG 2026: Table 1.3: Climate and Rainfall zone classifications and definitions</v>
      </c>
      <c r="BN116" s="4"/>
    </row>
    <row r="117" spans="1:66" ht="20.100000000000001" customHeight="1" x14ac:dyDescent="0.25">
      <c r="A117" s="3"/>
      <c r="D117" s="12" t="str" cm="1">
        <f t="array" ref="D117">"⚠️" &amp; Common_SourceData.Common_SourceData_RainfallZones_Variation()</f>
        <v>⚠️VARIATION OF SOURCE DATA: Added extra Rainfall min and Rainfall max columns to calculate zone from real rainfall data.</v>
      </c>
      <c r="BN117" s="4"/>
    </row>
    <row r="118" spans="1:66" ht="20.100000000000001" customHeight="1" x14ac:dyDescent="0.25">
      <c r="A118" s="3"/>
      <c r="BN118" s="4"/>
    </row>
    <row r="119" spans="1:66" ht="20.100000000000001" customHeight="1" x14ac:dyDescent="0.25">
      <c r="A119" s="3"/>
      <c r="D119" s="10" t="s">
        <v>31</v>
      </c>
      <c r="E119" s="10" t="s">
        <v>32</v>
      </c>
      <c r="F119" s="10" t="s">
        <v>20</v>
      </c>
      <c r="G119" s="10" t="s">
        <v>21</v>
      </c>
      <c r="BN119" s="4"/>
    </row>
    <row r="120" spans="1:66" ht="20.100000000000001" customHeight="1" x14ac:dyDescent="0.25">
      <c r="A120" s="3"/>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1:66" ht="20.100000000000001" customHeight="1" x14ac:dyDescent="0.25">
      <c r="A121" s="3"/>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1:66" ht="20.100000000000001" customHeight="1" x14ac:dyDescent="0.25">
      <c r="A122" s="3"/>
      <c r="BN122" s="4"/>
    </row>
    <row r="123" spans="1:66" ht="20.100000000000001" customHeight="1" x14ac:dyDescent="0.25">
      <c r="A123" s="3"/>
    </row>
    <row r="124" spans="1:66" ht="20.100000000000001" customHeight="1" x14ac:dyDescent="0.25">
      <c r="A124" s="3"/>
      <c r="D124" s="9" t="str" cm="1">
        <f t="array" ref="D124">Common_SourceData.Common_SourceData_LeachingZones_Title()</f>
        <v>VEERG Australian leaching zones</v>
      </c>
    </row>
    <row r="125" spans="1:66" ht="20.100000000000001" customHeight="1" x14ac:dyDescent="0.25">
      <c r="A125" s="3"/>
      <c r="D125" s="11" t="str" cm="1">
        <f t="array" ref="D125">Common_SourceData.Common_SourceData_LeachingZones_Source()</f>
        <v>VEERG 2026: Table 1.3: Climate and Rainfall zone classifications and definitions</v>
      </c>
    </row>
    <row r="126" spans="1:66" ht="20.100000000000001" customHeight="1" x14ac:dyDescent="0.25">
      <c r="A126" s="3"/>
    </row>
    <row r="127" spans="1:66" ht="20.100000000000001" customHeight="1" x14ac:dyDescent="0.25">
      <c r="A127" s="3"/>
      <c r="D127" s="10" t="s">
        <v>33</v>
      </c>
      <c r="E127" s="10" t="s">
        <v>34</v>
      </c>
    </row>
    <row r="128" spans="1:66" ht="20.100000000000001" customHeight="1" x14ac:dyDescent="0.25">
      <c r="A128" s="3"/>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s="3"/>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s="3"/>
    </row>
    <row r="131" spans="1:77" ht="20.100000000000001" customHeight="1" x14ac:dyDescent="0.25">
      <c r="A131" s="3"/>
    </row>
    <row r="132" spans="1:77" ht="20.100000000000001" customHeight="1" x14ac:dyDescent="0.25">
      <c r="A132" s="3"/>
      <c r="D132" s="9" t="str" cm="1">
        <f t="array" ref="D132">Common_SourceData.Common_SourceData_FracWET_Title()</f>
        <v>Fraction of N that is available for leaching and runoff</v>
      </c>
      <c r="E132" s="14"/>
    </row>
    <row r="133" spans="1:77" ht="20.100000000000001" customHeight="1" x14ac:dyDescent="0.25">
      <c r="A133" s="3"/>
      <c r="D133" s="11" t="str" cm="1">
        <f t="array" ref="D133">Common_SourceData.Common_SourceData_FracWET_Source()</f>
        <v>VEERG 2026:5.5.2.3 Constant Parameters</v>
      </c>
      <c r="E133" s="14"/>
    </row>
    <row r="134" spans="1:77" ht="20.100000000000001" customHeight="1" x14ac:dyDescent="0.25">
      <c r="A134" s="3"/>
      <c r="D134" s="3" t="s">
        <v>35</v>
      </c>
      <c r="E134" s="3" t="s">
        <v>36</v>
      </c>
    </row>
    <row r="135" spans="1:77" ht="20.100000000000001" customHeight="1" x14ac:dyDescent="0.25">
      <c r="A135" s="3"/>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1:77" ht="20.100000000000001" customHeight="1" x14ac:dyDescent="0.25">
      <c r="A136" s="3"/>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1:77" ht="20.100000000000001" customHeight="1" x14ac:dyDescent="0.25">
      <c r="A137" s="3"/>
    </row>
    <row r="138" spans="1:77" ht="20.100000000000001" customHeight="1" x14ac:dyDescent="0.25">
      <c r="A138" s="3"/>
      <c r="BN138" s="4"/>
      <c r="BO138" s="4"/>
      <c r="BP138" s="4"/>
      <c r="BQ138" s="4"/>
      <c r="BR138" s="4"/>
      <c r="BS138" s="4"/>
      <c r="BT138" s="4"/>
      <c r="BU138" s="4"/>
      <c r="BV138" s="4"/>
      <c r="BW138" s="4"/>
      <c r="BX138" s="4"/>
      <c r="BY138" s="4"/>
    </row>
    <row r="139" spans="1:77" ht="20.100000000000001" customHeight="1" x14ac:dyDescent="0.25">
      <c r="A139" s="3"/>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1:77" ht="20.100000000000001" customHeight="1" x14ac:dyDescent="0.25">
      <c r="A140" s="3"/>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1:77" ht="20.100000000000001" customHeight="1" x14ac:dyDescent="0.25">
      <c r="A141" s="3"/>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1:77" ht="20.100000000000001" customHeight="1" x14ac:dyDescent="0.25">
      <c r="A142" s="3"/>
      <c r="D142" s="10" t="s">
        <v>37</v>
      </c>
      <c r="E142" s="10" t="s">
        <v>36</v>
      </c>
      <c r="BN142" s="4"/>
    </row>
    <row r="143" spans="1:77" ht="20.100000000000001" customHeight="1" x14ac:dyDescent="0.25">
      <c r="A143" s="3"/>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1:77" ht="20.100000000000001" customHeight="1" x14ac:dyDescent="0.25">
      <c r="A144" s="3"/>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1:66" ht="20.100000000000001" customHeight="1" x14ac:dyDescent="0.25">
      <c r="A145" s="3"/>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1:66" ht="20.100000000000001" customHeight="1" x14ac:dyDescent="0.25">
      <c r="A146" s="3"/>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1:66" ht="20.100000000000001" customHeight="1" x14ac:dyDescent="0.25">
      <c r="A147" s="3"/>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1:66" ht="20.100000000000001" customHeight="1" x14ac:dyDescent="0.25">
      <c r="A148" s="3"/>
      <c r="BN148" s="4"/>
    </row>
    <row r="149" spans="1:66" ht="20.100000000000001" customHeight="1" x14ac:dyDescent="0.25">
      <c r="A149" s="3"/>
      <c r="BN149" s="4"/>
    </row>
    <row r="150" spans="1:66" ht="20.100000000000001" customHeight="1" x14ac:dyDescent="0.25">
      <c r="A150" s="3"/>
      <c r="D150" s="9" t="str" cm="1">
        <f t="array" ref="D150">Common_SourceData.Common_SourceData_DataScores_Scope3_Title()</f>
        <v>Australian data scores for scope 3</v>
      </c>
      <c r="BN150" s="4"/>
    </row>
    <row r="151" spans="1:66" ht="20.100000000000001" customHeight="1" x14ac:dyDescent="0.25">
      <c r="A151" s="3"/>
      <c r="D151" s="11" t="str" cm="1">
        <f t="array" ref="D151">Common_SourceData.Common_SourceData_DataScores_Scope3_Source()</f>
        <v>VEERG 2026: XXXXXXXX</v>
      </c>
      <c r="BN151" s="4"/>
    </row>
    <row r="152" spans="1:66" ht="20.100000000000001" customHeight="1" x14ac:dyDescent="0.25">
      <c r="A152" s="3"/>
      <c r="BN152" s="4"/>
    </row>
    <row r="153" spans="1:66" ht="20.100000000000001" customHeight="1" x14ac:dyDescent="0.25">
      <c r="A153" s="3"/>
      <c r="D153" s="10" t="s">
        <v>38</v>
      </c>
      <c r="E153" s="10" t="s">
        <v>39</v>
      </c>
      <c r="BC153" s="7"/>
      <c r="BD153" s="7"/>
      <c r="BE153" s="7"/>
      <c r="BF153" s="7"/>
      <c r="BG153" s="7"/>
      <c r="BH153" s="7"/>
      <c r="BI153" s="7"/>
      <c r="BJ153" s="7"/>
      <c r="BK153" s="7"/>
      <c r="BL153" s="7"/>
      <c r="BM153" s="7"/>
    </row>
    <row r="154" spans="1:66" ht="20.100000000000001" customHeight="1" x14ac:dyDescent="0.25">
      <c r="A154" s="3"/>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1:66" ht="20.100000000000001" customHeight="1" x14ac:dyDescent="0.25">
      <c r="A155" s="3"/>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1:66" ht="20.100000000000001" customHeight="1" x14ac:dyDescent="0.25">
      <c r="A156" s="3"/>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1:66" ht="20.100000000000001" customHeight="1" x14ac:dyDescent="0.25">
      <c r="A157" s="3"/>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1:66" ht="20.100000000000001" customHeight="1" x14ac:dyDescent="0.25">
      <c r="A158" s="3"/>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1:66" ht="20.100000000000001" customHeight="1" x14ac:dyDescent="0.25">
      <c r="A159" s="3"/>
    </row>
    <row r="160" spans="1:66" ht="20.100000000000001" customHeight="1" x14ac:dyDescent="0.25">
      <c r="A160" s="3"/>
    </row>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6" x14ac:dyDescent="0.25">
      <c r="D257" s="10" t="s">
        <v>64</v>
      </c>
      <c r="E257" s="10" t="s">
        <v>65</v>
      </c>
    </row>
    <row r="258" spans="4:6"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9" t="s">
        <v>878</v>
      </c>
    </row>
    <row r="264" spans="4:6" x14ac:dyDescent="0.25">
      <c r="D264" s="8" t="s">
        <v>879</v>
      </c>
    </row>
    <row r="265" spans="4:6" x14ac:dyDescent="0.25">
      <c r="D265" s="10" t="s">
        <v>250</v>
      </c>
      <c r="E265" s="10" t="s">
        <v>880</v>
      </c>
      <c r="F265" s="10" t="s">
        <v>881</v>
      </c>
    </row>
    <row r="266" spans="4:6" x14ac:dyDescent="0.25">
      <c r="D266" s="10" t="s">
        <v>882</v>
      </c>
      <c r="E266" s="10" t="s">
        <v>883</v>
      </c>
      <c r="F266" s="10">
        <v>5</v>
      </c>
    </row>
    <row r="267" spans="4:6" x14ac:dyDescent="0.25">
      <c r="D267" s="10" t="s">
        <v>884</v>
      </c>
      <c r="E267" s="10" t="s">
        <v>885</v>
      </c>
      <c r="F267" s="10">
        <v>4</v>
      </c>
    </row>
    <row r="268" spans="4:6" x14ac:dyDescent="0.25">
      <c r="D268" s="10" t="s">
        <v>886</v>
      </c>
      <c r="E268" s="10" t="s">
        <v>887</v>
      </c>
      <c r="F268" s="10">
        <v>3</v>
      </c>
    </row>
    <row r="269" spans="4:6" x14ac:dyDescent="0.25">
      <c r="D269" s="10" t="s">
        <v>888</v>
      </c>
      <c r="E269" s="10" t="s">
        <v>889</v>
      </c>
      <c r="F269" s="10">
        <v>2</v>
      </c>
    </row>
    <row r="270" spans="4:6" x14ac:dyDescent="0.25">
      <c r="D270" s="10" t="s">
        <v>890</v>
      </c>
      <c r="E270" s="10" t="s">
        <v>891</v>
      </c>
      <c r="F270" s="10">
        <v>1</v>
      </c>
    </row>
    <row r="273" spans="4:6" x14ac:dyDescent="0.25">
      <c r="D273" s="8" t="s">
        <v>892</v>
      </c>
    </row>
    <row r="274" spans="4:6" x14ac:dyDescent="0.25">
      <c r="D274" s="10" t="s">
        <v>250</v>
      </c>
      <c r="E274" s="10" t="s">
        <v>880</v>
      </c>
      <c r="F274" s="10" t="s">
        <v>881</v>
      </c>
    </row>
    <row r="275" spans="4:6" x14ac:dyDescent="0.25">
      <c r="D275" s="10" t="s">
        <v>893</v>
      </c>
      <c r="E275" s="10" t="s">
        <v>894</v>
      </c>
      <c r="F275" s="10">
        <v>5</v>
      </c>
    </row>
    <row r="276" spans="4:6" x14ac:dyDescent="0.25">
      <c r="D276" s="10" t="s">
        <v>895</v>
      </c>
      <c r="E276" s="10" t="s">
        <v>896</v>
      </c>
      <c r="F276" s="10">
        <v>4</v>
      </c>
    </row>
    <row r="277" spans="4:6" x14ac:dyDescent="0.25">
      <c r="D277" s="10" t="s">
        <v>897</v>
      </c>
      <c r="E277" s="10" t="s">
        <v>898</v>
      </c>
      <c r="F277" s="10">
        <v>3</v>
      </c>
    </row>
    <row r="278" spans="4:6" x14ac:dyDescent="0.25">
      <c r="D278" s="10" t="s">
        <v>899</v>
      </c>
      <c r="E278" s="10" t="s">
        <v>900</v>
      </c>
      <c r="F278" s="10">
        <v>2</v>
      </c>
    </row>
    <row r="279" spans="4:6" x14ac:dyDescent="0.25">
      <c r="D279" s="10" t="s">
        <v>901</v>
      </c>
      <c r="E279" s="10" t="s">
        <v>902</v>
      </c>
      <c r="F279" s="10">
        <v>1</v>
      </c>
    </row>
    <row r="282" spans="4:6" x14ac:dyDescent="0.25">
      <c r="D282" s="8" t="s">
        <v>903</v>
      </c>
    </row>
    <row r="283" spans="4:6" x14ac:dyDescent="0.25">
      <c r="D283" s="10" t="s">
        <v>250</v>
      </c>
      <c r="E283" s="10" t="s">
        <v>880</v>
      </c>
      <c r="F283" s="10" t="s">
        <v>881</v>
      </c>
    </row>
    <row r="284" spans="4:6" x14ac:dyDescent="0.25">
      <c r="D284" s="10" t="s">
        <v>904</v>
      </c>
      <c r="E284" s="10" t="s">
        <v>905</v>
      </c>
      <c r="F284" s="10">
        <v>5</v>
      </c>
    </row>
    <row r="285" spans="4:6" x14ac:dyDescent="0.25">
      <c r="D285" s="10" t="s">
        <v>906</v>
      </c>
      <c r="E285" s="10" t="s">
        <v>907</v>
      </c>
      <c r="F285" s="10">
        <v>4</v>
      </c>
    </row>
    <row r="286" spans="4:6" x14ac:dyDescent="0.25">
      <c r="D286" s="10" t="s">
        <v>908</v>
      </c>
      <c r="E286" s="10" t="s">
        <v>909</v>
      </c>
      <c r="F286" s="10">
        <v>3</v>
      </c>
    </row>
    <row r="287" spans="4:6" x14ac:dyDescent="0.25">
      <c r="D287" s="10" t="s">
        <v>910</v>
      </c>
      <c r="E287" s="10" t="s">
        <v>911</v>
      </c>
      <c r="F287" s="10">
        <v>2</v>
      </c>
    </row>
    <row r="288" spans="4:6" x14ac:dyDescent="0.25">
      <c r="D288" s="10" t="s">
        <v>912</v>
      </c>
      <c r="E288" s="10" t="s">
        <v>913</v>
      </c>
      <c r="F288" s="10">
        <v>1</v>
      </c>
    </row>
    <row r="291" spans="4:6" x14ac:dyDescent="0.25">
      <c r="D291" s="8" t="s">
        <v>914</v>
      </c>
    </row>
    <row r="292" spans="4:6" x14ac:dyDescent="0.25">
      <c r="D292" s="10" t="s">
        <v>250</v>
      </c>
      <c r="E292" s="10" t="s">
        <v>880</v>
      </c>
      <c r="F292" s="10" t="s">
        <v>881</v>
      </c>
    </row>
    <row r="293" spans="4:6" x14ac:dyDescent="0.25">
      <c r="D293" s="10" t="s">
        <v>915</v>
      </c>
      <c r="E293" s="10" t="s">
        <v>916</v>
      </c>
      <c r="F293" s="10">
        <v>5</v>
      </c>
    </row>
    <row r="294" spans="4:6" x14ac:dyDescent="0.25">
      <c r="D294" s="10" t="s">
        <v>917</v>
      </c>
      <c r="E294" s="10" t="s">
        <v>918</v>
      </c>
      <c r="F294" s="10">
        <v>4</v>
      </c>
    </row>
    <row r="295" spans="4:6" x14ac:dyDescent="0.25">
      <c r="D295" s="10" t="s">
        <v>919</v>
      </c>
      <c r="E295" s="10" t="s">
        <v>920</v>
      </c>
      <c r="F295" s="10">
        <v>3</v>
      </c>
    </row>
    <row r="296" spans="4:6" x14ac:dyDescent="0.25">
      <c r="D296" s="10" t="s">
        <v>921</v>
      </c>
      <c r="E296" s="10" t="s">
        <v>922</v>
      </c>
      <c r="F296" s="10">
        <v>2</v>
      </c>
    </row>
    <row r="297" spans="4:6" x14ac:dyDescent="0.25">
      <c r="D297" s="10" t="s">
        <v>923</v>
      </c>
      <c r="E297" s="10" t="s">
        <v>924</v>
      </c>
      <c r="F297" s="10">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AvACoAXABuAEYAZQByAHQAaQBsAGkAcwBlAHIAIABwAHIAbwBkAHUAYwB0ACAAZABhAHQAYQAgAC0AIABFAHgAYwBlAGwAIABNAEEASwBFAEEAUgBSAEEAWQAgAGUAeABwAG8AcgB0AFwAbgAtAC0ALQAtAC0ALQAtAC0ALQAtAC0ALQAtAC0ALQAtAC0ALQAtAC0ALQAtAC0ALQAtAC0ALQAtAC0ALQAtAC0ALQAtAC0ALQAtAC0ALQAtAC0ALQAtAC0ALQAtAC0ALQAtAC0ALQAtAC0ALQAtAC0ALQAtAC0ALQBcAG4AUAByAG8AZAB1AGMAdABzADoAIAAxADMANAAgACgASQBuAGMAbAB1AGQAZQAgAG8AbgBsAHkAOwAgAGMAbwBtAGIAaQBuAGUAZAAgAGYAcgBvAG0AIABtAGEAaQBuACAAKwAgAGIAYQB0AGMAaAAgADEAIAArACAAYgBhAHQAYwBoACAAMgAgAHcAbwByAGsAYgBvAG8AawBzACkAXABuAEEAcgByAGEAeQBzADoAIAA1ACAAfAAgAFIAbwB3AHMAIABwAGUAcgAgAGEAcgByAGEAeQA6ACAAMwAwACAAKABmAGkAbgBhAGwAIABhAHIAcgBhAHkAOgAgADEANAApACAAfAAgAEMAbwBsAHUAbQBuAHMAOgAgADMAMQBcAG4AXABuAEUAeABjAGwAdQBkAGUAZAAgAGMAbwBsAHUAbQBuAHMAOgAgAEkAbgBjAGwAdQBkAGUAIABvAHIAIABlAHgAYwBsAHUAZABlACwAIABBAG4AYQBsAHkAcwBpAHMAIABiAGEAcwBlACwAIABBAG4AYQBsAHkAcwBpAHMAIABzAG8AdQByAGMAZQAsACAAQQBuAGEAbAB5AHMAaQBzACAAZgBsAGEAZwAsACAATgBvAHQAZQBzACwAIABMAGkAbgBrACwAIABEAGEAdABhACAAcwBvAHUAcgBjAGUALAAgAEUATgBEACAAUgBPAFcALgBcAG4ASQBuAGcAcgBlAGQAaQBlAG4AdAAgAHAAZQByAGMAZQBuAHQAIAB2AGEAbAB1AGUAcwAgAGEAcgBlACAAZQB2AGEAbAB1AGEAdABlAGQAIABkAGUAYwBpAG0AYQBsACAAZgByAGEAYwB0AGkAbwBuAHMAIAAoAD0ANAA2AC8AMQAwADAAIAAtAFwAdQAwADAAMwBlACAAMAAuADQANgApADsAIABlAG0AcAB0AHkAIABjAGUAbABsAHMAIABhAHIAZQAgAFwAIgBcACIALgBcAG4AXABuAEMAbwBsAHUAbQBuACAAbwByAGQAZQByACAAKAAzADEAKQA6AFwAbgAgACAAMQAuACAAQwBvAG0AcABhAG4AeQBcAG4AIAAgADIALgAgAFAAcgBvAGQAdQBjAHQAIABuAGEAbQBlAFwAbgAgACAAMwAuACAAVQBuAGkAdABcAG4AIAAgADQALgAgAEQAZQBuAHMAaQB0AHkAXABuACAAIAA1AC4AIABDAG8AbgB0AGEAaQBuAHMAIABpAG4AaABpAGIAaQB0AG8AcgBcAG4AIAAgADYALgAgAFUAcgBlAGEAIABzAG8AdQByAGMAZQBcAG4AIAAgADcALgAgAEEAbQBtAG8AbgBpAGEAIABzAG8AdQByAGMAZQBcAG4AIAAgADgALgAgAE4AIABkAGUAYwBsAGEAcgBlAGQAXABuACAAIAA5AC4AIABQACAAZABlAGMAbABhAHIAZQBkAFwAbgAgACAAMQAwAC4AIABLACAAZABlAGMAbABhAHIAZQBkAFwAbgAgACAAMQAxAC4AIABTACAAZABlAGMAbABhAHIAZQBkAFwAbgAgACAAMQAyAC4AIABJAG4AZwByAGUAZABpAGUAbgB0ACAAMQBcAG4AIAAgADEAMwAuACAASQBuAGcAcgBlAGQAaQBlAG4AdAAgADEAIABwAGUAcgBjAGUAbgB0AFwAbgAgACAAMQA0AC4AIABJAG4AZwByAGUAZABpAGUAbgB0ACAAMgBcAG4AIAAgADEANQAuACAASQBuAGcAcgBlAGQAaQBlAG4AdAAgADIAIABwAGUAcgBjAGUAbgB0AFwAbgAgACAAMQA2AC4AIABJAG4AZwByAGUAZABpAGUAbgB0ACAAMwBcAG4AIAAgADEANwAuACAASQBuAGcAcgBlAGQAaQBlAG4AdAAgADMAIABwAGUAcgBjAGUAbgB0AFwAbgAgACAAMQA4AC4AIABJAG4AZwByAGUAZABpAGUAbgB0ACAANABcAG4AIAAgADEAOQAuACAASQBuAGcAcgBlAGQAaQBlAG4AdAAgADQAIABwAGUAcgBjAGUAbgB0AFwAbgAgACAAMgAwAC4AIABJAG4AZwByAGUAZABpAGUAbgB0ACAANQBcAG4AIAAgADIAMQAuACAASQBuAGcAcgBlAGQAaQBlAG4AdAAgADUAIABwAGUAcgBjAGUAbgB0AFwAbgAgACAAMgAyAC4AIABJAG4AZwByAGUAZABpAGUAbgB0ACAANgBcAG4AIAAgADIAMwAuACAASQBuAGcAcgBlAGQAaQBlAG4AdAAgADYAIABwAGUAcgBjAGUAbgB0AFwAbgAgACAAMgA0AC4AIABJAG4AZwByAGUAZABpAGUAbgB0ACAANwBcAG4AIAAgADIANQAuACAASQBuAGcAcgBlAGQAaQBlAG4AdAAgADcAIABwAGUAcgBjAGUAbgB0AFwAbgAgACAAMgA2AC4AIABJAG4AZwByAGUAZABpAGUAbgB0ACAAOABcAG4AIAAgADIANwAuACAASQBuAGcAcgBlAGQAaQBlAG4AdAAgADgAIABwAGUAcgBjAGUAbgB0AFwAbgAgACAAMgA4AC4AIABJAG4AZwByAGUAZABpAGUAbgB0ACAAOQBcAG4AIAAgADIAOQAuACAASQBuAGcAcgBlAGQAaQBlAG4AdAAgADkAIABwAGUAcgBjAGUAbgB0AFwAbgAgACAAMwAwAC4AIABJAG4AZwByAGUAZABpAGUAbgB0ACAAMQAwAFwAbgAgACAAMwAxAC4AIABJAG4AZwByAGUAZABpAGUAbgB0ACAAMQAwACAAcABlAHIAYwBlAG4AdABcAG4AIAAgAFwAbgAtAC0ALQAtAC0ALQAtAC0ALQAtAC0ALQAtAC0ALQAtAC0ALQAtAC0ALQAtAC0ALQAtAC0ALQAtAC0ALQAtAC0ALQAtAC0ALQAtAC0ALQAtAC0ALQAtAC0ALQAtAC0ALQAtAC0ALQAtAC0ALQAtAC0ALQAtAC0ALQBcAG4AKgAvAFwAbgBcAG4ARgBlAHIAdABpAGwAaQBzAGUAcgBfAFAAcgBvAGQAdQBjAHQAcwBfAEQAYQB0AGEAMQBcAG4APQBMAEEATQBCAEQAQQAoAFwAbgAgAE0AQQBLAEUAQQBSAFIAQQBZACgAMwAwACwAIAAzADEALABcAG4AIABMAEEATQBCAEQAQQAoAHIALABjACwAXABuACAAIABJAE4ARABFAFgAKAB7AFwAbgBcACIAQwBhAG0AcABiAGUAbABsAHMAIABmAGUAcgB0AGkAbABpAHMAZQByAHMAIABBAHUAcwB0AHIAYQBsAGkAYQBcACIALABcACIAQQBxAHUAYQAgAEYAaQBuAGkAcwBoAFwAIgAsAFwAIgBMAFwAIgAsADEALgAyADYALABcACIAXAAiACwAXAAiAFwAIgAsAFwAIgBcACIALAAyAC4ANgAsADQALAAyADIALgA1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cAcgBvAHcAXAAiACwAXAAiAEwAXAAiACwAMQAuADIANgAsAFwAIgBcACIALABcACIAXAAiACwAXAAiAFwAIgAsADkALgA2ACwANQAsADEAMAAuADU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CAAQQBOAFwAIgAsAFwAIgBMAFwAIgAsADEALgAyADQALABcACIAXAAiACwAXAAiAFwAIgAsAFwAIgBcACIALAAyADIALgAzACwAXAAiAFwAIg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BcACIALABcACIATABcACIALAAxAC4ANQAsAFwAIgBcACIALABcACIAXAAiACwAXAAiAFwAIgAsADEAMwAuADIALABcACIAXAAiACwAXAAiAFwAIgAsAFwAIgBcACIALABcACIAQwBhAGwAYwBpAHUAbQ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CgAVgBJACkAXAAiACwAXAAiAEwAXAAiACwAMQAuADUALABcACIAXAAiACwAXAAiAFwAIgAsAFwAIgBcACIALAAxADMALgAyACwAXAAiAFwAIgAsAFwAIgBcACIALABcACIAXAAiACwAXAAiAEMAYQBsAGMAaQB1AG0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BVAGwAdABpAG0AYQB0AGUAXAAiACwAXAAiAEwAXAAiACwAMQAuADUALABcACIAXAAiACwAXAAiAFwAIgAsAFwAIgBcACIALAAxADMALgAyACwAXAAiAFwAIgAsAFwAIgBcACIALABcACIAXAAiACwAXAAiAEMAYQBsAGMAaQB1AG0AXAAiACwAMAAuADEAOAAz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TAHQAYQByAHQAXAAiACwAXAAiAEwAXAAiACwAMQAuADIANQAsAFwAIgBcACIALABcACIAXAAiACwAXAAiAFwAIgAsADEAMAAuADMALAAxADAALAAzAC4ANA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MAbwBtAHAAbABlAHQAZQBcACIALABcACIATABcACIALAAxAC4ANAAzACwAXAAiAFwAIgAsAFwAIgBcACIALABcACIAXAAiACwAMgAuADUALAAzAC4AOAAsADIAMgAuADU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QBtAGUAcgBnAGUAXAAiACwAXAAiAEwAXAAiACwAMQAuADIAOQAsAFwAIgBcACIALABcACIAXAAiACwAXAAiAFwAIgAsADEAMAAuADUALAA5AC4ANAAsADQALAAz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gBsAG8AdQByAGkAcwBoAFwAIgAsAFwAIgBMAFwAIgAsADEALgAzADIALABcACIAXAAiACwAXAAiAFwAIgAsAFwAIgBcACIALAA5AC4ANQAsADQALgA3ACwAMQAwAC4AOAAsADgALgAx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DAGEAbQBwAGIAZQBsAGwAcwAgAGYAZQByAHQAaQBsAGkAcwBlAHIAcwAgAEEAdQBzAHQAcgBhAGwAaQBhAFwAIgAsAFwAIgBCAG8AbwBzAHQALQBJAHQAXAAiACwAXAAiAGsAZwBcACIALAAxACwAXAAiAFwAIgAsAFwAIgBcACIALABcACIAXAAiACwAMgA0ACwANQAuADIALAA4ACwANQAuADMALABcACIAVQByAGUAYQBcACIALAAwAC4ANQAyADEANwAzADk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DAGEAbQBwAGIAZQBsAGwAcwAgAGYAZQByAHQAaQBsAGkAcwBlAHIAcwAgAEEAdQBzAHQAcgBhAGwAaQBhAFwAIgAsAFwAIgBCAHIAbwBuAHoAZQBcACIALABcACIAawBnAFwAIgAsADEALABcACIAXAAiACwAXAAiAFwAIgAsAFwAIgBcACIALAAxADcALAAwAC4AMAA0ACwAMQAxAC4ANgAsADAALgA1ACwAXAAiAE0AdQByAGkAYQB0AGUAIABvAGYAIABw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DAGEAbQBwAGIAZQBsAGwAcwAgAGYAZQByAHQAaQBsAGkAcwBlAHIAcwAgAEEAdQBzAHQAcgBhAGwAaQBhAFwAIgAsAFwAIgBDAGEAbABiAGkAdAAgAEMAXAAiACwAXAAiAEwAXAAiACwAMQAuADQANQAsAFwAIgBcACIALABcACIAXAAiACwAXAAiAFwAIgAsAFwAIgBcACIALABcACIAXAAiACwAXAAiAFwAIgAsAFwAIgBcACIALABcACIAQwBhAGwAYwBpAHUAbQBcACIALAAwAC4AMQAwADc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MAbwBtAHAAYQBzAHMAXAAiACwAXAAiAGsAZwBcACIALAAxACwAXAAiAFwAIgAsAFwAIgBcACIALABcACIAXAAiACwAMQA1ACwANgAuADUALAAxADIALgA1ACwANgAsAFwAIgBOAGkAdAByAG8AZwBlAG4AIAAtACAAQQBtAG0AbwBuAGkAYQBjAGEAbABcACIALAAwAC4AMAA3ADUALABcACIATgBpAHQAcgBvAGcAZQBuACAALQAgAE4AaQB0AHIAYQB0AGUAXAAiACwAMAAuADAANwA1ACwAXAAiAFAAbwB0AGEAcwBzAGkAdQBtACAALQAgAEcAZQBuAGUAcgBpAGMAXAAiACwAMAAuADEAMgA1ACwAXAAiAFAAaABvAHMAcABoAG8AcgB1AHMAIAAtACAARwBlAG4AZQByAGkAYwBcACIALAAwAC4AMAA2ADUALABcACIAUwB1AGwAZgB1AHIAIAAtACAARwBlAG4AZQByAGkAYwBcACIALAAwAC4AMAA2ACwAXAAiAFwAIgAsAFwAIgBcACIALABcACIAXAAiACwAXAAiAFwAIgAsAFwAIgBcACIALABcACIAXAAiACwAXAAiAFwAIgAsAFwAIgBcACIALABcACIAXAAiACwAXAAiAFwAIgA7AFwAbgBcACIAQwBhAG0AcABiAGUAbABsAHMAIABmAGUAcgB0AGkAbABpAHMAZQByAHMAIABBAHUAcwB0AHIAYQBsAGkAYQBcACIALABcACIAQwBvAFIAbwBOACAAMQAyAC0AMAAtADEAMABcACIALABcACIATABcACIALAAxAC4AMgAxADUALABcACIAXAAiACwAXAAiAFwAIgAsAFwAIgBcACIALAAxADIALABcACIAXAAiACwAMQAwACwAXAAiAFwAIgAsAFwAIgBVAHIAZQBhAFwAIgAsADAALgAxADkANQA2ADUAMg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7AFwAbgBcACIAQwBhAG0AcABiAGUAbABsAHMAIABmAGUAcgB0AGkAbABpAHMAZQByAHMAIABBAHUAcwB0AHIAYQBsAGkAYQBcACIALABcACIATQBhAHgAaQBtAHUAbQAgAFEAdQBpAGMAawAtAE4AXAAiACwAXAAiAGsAZwBcACIALAAxACwAXAAiAFwAIgAsAFwAIgBcACIALABcACIAXAAiACwAMgAxAC4ANgA2ACwAXAAiAFwAIgAsAFwAIgBcACIALAAxADMALgAyACwAXAAiAFMAdQBsAHAAaABhAHQAZQAgAG8AZgAgAGEAbQBtAG8AbgBpAGEAIAAoAFMATwBBACkAXAAiACwAMAAuADUANQAsAFwAIgBBAG0AbQBvAG4AaQB1AG0AIABuAGkAdAByAGEAdABlACAAKABBAE4AKQBcACIALAAwAC4AMwAsAFwAIgBcACIALABcACIAXAAiACwAXAAiAFwAIgAsAFwAIgBcACIALABcACIAXAAiACwAXAAiAFwAIgAsAFwAIgBcACIALABcACIAXAAiACwAXAAiAFwAIgAsAFwAIgBcACIALABcACIAXAAiACwAXAAiAFwAIgAsAFwAIgBcACIALABcACIAXAAiACwAXAAiAFwAIgAsAFwAIgBcACIAOwBcAG4AXAAiAFMATAAgAFQAZQBjAFwAIgAsAFwAIgBDAHIAbwBwACAAQgBvAG8AcwB0AGUAcgAgAFAATABVAFMAXAAiACwAXAAiAEwAXAAiACwAMQAuADMAMQA5ACwAXAAiAFwAIgAsAFwAIgBcACIALABcACIAXAAiACwANQAsADEANQAsADIALgAxACwAXAAiAFwAIgAsAFwAIgBQAGgAbwBzAHAAaABvAHIAdQBzACAALQAgAEcAZQBuAGUAcgBpAGMAXAAiACwAMAAuADEANQAsAFwAIgBDAGEAbABjAGkAdQBtAFwAIgAsADAALgAwADQALABcACIATgBpAHQAcgBvAGcAZQBuACAALQAgAEEAbQBtAG8AbgBpAGEAYwBhAGwAXAAiACwAMAAuADAAMgA5ACwAXAAiAE4AaQB0AHIAbwBnAGUAbgAgAC0AIABOAGkAdAByAGEAdABlAFwAIgAsADAALgAwADIAMQAsAFwAIgBQAG8AdABhAHMAcwBpAHUAbQAgAC0AIABHAGUAbgBlAHIAaQBjAFwAIgAsADAALgAwADIAMQAsAFwAIgBDAG8AcABwAGUAcgBcACIALAAwAC4AMAAwADUALABcACIAWgBpAG4AYwBcACIALAAwAC4AMAAwADQALABcACIATQBhAG4AZwBhAG4AZQBzAGUAXAAiACwAMAAuADAAMAA0ACwAXAAiAE0AYQBnAG4AZQBzAGkAdQBtAFwAIgAsADAALgAwADAAMgAsAFwAIgBcACIALABcACIAXAAiADsAXABuAFwAIgBSAGkAcwBzAG8ALQBDAGgAZQBtAGkAYwBhAGwAXAAiACwAXAAiAEEAbQBtAG8AbgBpAHUAbQAgAEIAaQBjAGEAcgBiAG8AbgBhAHQAZQBcACIALABcACIAawBnAFwAIgAsADEALABcACIAXAAiACwAXAAiAFwAIgAsAFwAIgBDAGgAaQBuAGEAXAAiACwAMQA3AC4ANwAsAFwAIgBcACIALABcACIAXAAiACwAXAAi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QQBtAG0AbwBuAGkAdQBtACAAUwB1AGwAZgBhAHQAZQBcACIALABcACIAawBnAFwAIgAsADEALABcACIAXAAiACwAXAAiAFwAIgAsAFwAIgBDAGgAaQBuAGEAXAAiACwAMgAxACwAXAAiAFwAIgAsAFwAIgBcACIALAAyADQ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DsAXABuAFwAIgBSAGEAdgBlAG4AcwBkAG8AdwBuAFwAIgAsAFwAIgBBAG0AbQBvAG4AaQB1AG0AIABTAHUAbABwAGgAYQB0AGUAIAAtACAARwByAGEAbgB1AGwAYQBy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QAaQAtAEEAbQBtAG8AbgBpAHUAbQAgAFAAaABvAHMAcABoAGEAdABlACAAKABEAEEAUAApAFwAIgAsAFwAIgBrAGcAXAAiACwAMQAsAFwAIgBcACIALABcACIAXAAiACwAXAAiAFwAIgAsADEAOAAsADIAMAAsAFwAIgBcACIALABcACIAXAAiACwAXAAiAEQAaQBhAG0AbQBvAG4AaQB1AG0AIABwAGgAbwBzAHAAaABhAHQAZQAgACgARABBAFA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CAGEAcwBhAGwAdAAgAEIAbwBvAFMAUwB0AGEAXAAiACwAXAAiAGsAZwBcACIALAAxACwAXAAiAFwAIgAsAFwAIgBcACIALABcACIAXAAiACwAOAAsADEANAAsAFwAIgBcACIALAAyADcALgA2ACwAXAAiAFMAdQBsAGYAdQByACAALQAgAEcAZQBuAGUAcgBpAGMAXAAiACwAMAAuADIANwA2ACwAXAAiAFAAaABvAHMAcABoAG8AcgB1AHMAIAAtACAARwBlAG4AZQByAGkAYwBcACIALAAwAC4AMQA0ACwAXAAiAE4AaQB0AHIAbwBnAGUAbgAgAC0AIABHAGUAbgBlAHIAaQBjAFwAIgAsADAALgAwADgALABcACIARgBsAHUAbwByAGkAZABlAFwAIgAsADAALgAwADIANAAsAFwAIgBcACIALABcACIAXAAiACwAXAAiAFwAIgAsAFwAIgBcACIALABcACIAXAAiACwAXAAiAFwAIgAsAFwAIgBcACIALABcACIAXAAiACwAXAAiAFwAIgAsAFwAIgBcACIALABcACIAXAAiACwAXAAiAFwAIgA7AFwAbgBcACIAUwB1AG0AbQBpAHQAIABGAGUAcgB0AGkAbABpAHoAZQByAHMAXAAiACwAXAAiAEQAQQBQAFMAWgBDAFwAIgAsAFwAIgBrAGcAXAAiACwAMQAsAFwAIgBcACIALABcACIAXAAiACwAXAAiAFwAIgAsADEANgAuADkALAAxADgALgAyACwAXAAiAFwAIgAsADgALABcACIAUABoAG8AcwBwAGgAbwByAHUAcwAgAC0AIABHAGUAbgBlAHIAaQBjAFwAIgAsADAALgAxADgAMgAsAFwAIgBOAGkAdAByAG8AZwBlAG4AIAAtACAARwBlAG4AZQByAGkAYwBcACIALAAwAC4AMQA2ADkALABcACIAUwB1AGwAZgB1AHIAIAAtACAARwBlAG4AZQByAGkAYwBcACIALAAwAC4AMAA4ACwAXAAiAFoAaQBuAGMAXAAiACwAMAAuADAAMAAyACwAXAAiAEMAbwBwAHAAZQByAFwAIgAsADAALgAwADAAMQAsAFwAIgBcACIALABcACIAXAAiACwAXAAiAFwAIgAsAFwAIgBcACIALABcACIAXAAiACwAXAAiAFwAIgAsAFwAIgBcACIALABcACIAXAAiACwAXAAiAFwAIgAsAFwAIgBcACIAOwBcAG4AXAAiAEkAbgBjAGkAdABlAGMAIABQAGkAdgBvAHQAIABGAGUAcgB0AGkAbABpAHMAZQByAHMAXAAiACwAXAAiAEUAYQBzAHkAIABOAFwAIgAsAFwAIgBMAFwAIgAsADEALgAzADIALABcACIAXAAiACwAXAAiAFwAIgAsAFwAIgBcACIALAA0ADIALgA1ACwAXAAiAFwAIgAsAFwAIgBcACIALABcACIAXAAiACwAXAAiAFUAcgBlAGEAXAAiACwAMAAuADQANgA3ADMAOQAx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DsAXABuAFwAIgBSAGkAcwBzAG8ALQBDAGgAZQBtAGkAYwBhAGwAXAAiACwAXAAiAEMAYQBsAGMAaQB1AG0AIABBAG0AbQBvAG4AaQB1AG0AIABuAGkAdAByAGEAdABlAFwAIgAsAFwAIgBrAGcAXAAiACwAMQAsAFwAIgBcACIALABcACIAXAAiACwAXAAiAEMAaABpAG4AYQBcACIALAA0ADAALgA1ACwAXAAiAFwAIgAsAFwAIgBcACIALABcACIAXAAiACwAXAAiAE4AaQB0AHIAbwBnAGUAbgAgAC0AIABBAG0AbQBvAG4AaQBhAGMAYQBsAFwAIgAsADAALgAyADcALABcACIATgBpAHQAcgBvAGcAZQBuACAALQAgAE4AaQB0AHIAYQB0AGUAXAAiACwAMAAuADEAMwA1ACwAXAAiAEMAYQBsAGMAaQB1AG0AXAAiACwAMAAuADEAMgAsAFwAIgBcACIALABcACIAXAAiACwAXAAiAFwAIgAsAFwAIgBcACIALABcACIAXAAiACwAXAAiAFwAIgAsAFwAIgBcACIALABcACIAXAAiACwAXAAiAFwAIgAsAFwAIgBcACIALABcACIAXAAiACwAXAAiAFwAIgAsAFwAIgBcACIALABcACIAXAAiADsAXABuAFwAIgBTAEwAIABUAGUAYwBcACIALABcACIAQwBlAGwAbABDAEEATAAgAFAAbAB1AHMAXAAiACwAXAAiAEwAXAAiACwAMQAuADEAMwA4ACwAXAAiAFwAIgAsAFwAIgBcACIALABcACIAXAAiACwAXAAiAFwAIgAsAFwAIgBcACIALABcACIAXAAiACwAXAAiAFwAIgAsAFwAIgBDAGEAbABjAGkAdQBt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EsANQA1AFwAIgAsAFwAIgBrAGcAXAAiACwAMQAsAFwAIgBcACIALABcACIAXAAiACwAXAAiAFwAIgAsADEAMwAuADUALAAxADUALAA2AC4AMgA1ACwAMQAuADIALABcACIAUABoAG8AcwBwAGgAbwByAHUAcwAgAC0AIABHAGUAbgBlAHIAaQBjAFwAIgAsADAALgAxADUALABcACIATgBpAHQAcgBvAGcAZQBuACAALQAgAEEAbQBtAG8AbgBpAGEAYwBhAGwAXAAiACwAMAAuADEAMwA1ACwAXAAiAE0AdQByAGkAYQB0AGUAIABvAGYAIABwAG8AdABhAHMAaAAgACgATQBPAFAAKQBcACIALAAwAC4AMQAyADUALABcACIARgBsAHUAbwByAGkAZABlAFwAIgAsADAALgAwADIAMwAsAFwAIgBTAHUAbABmAHUAcgAgAC0AIABHAGUAbgBlAHIAaQBjAFwAIgAsADAALgAwADEAMgAsAFwAIgBcACIALABcACIAXAAiACwAXAAiAFwAIgAsAFwAIgBcACIALABcACIAXAAiACwAXAAiAFwAIgAsAFwAIgBcACIALABcACIAXAAiACwAXAAiAFwAIgAsAFwAIgBcACIAOwBcAG4AXAAiAFMAdwBpAHQAYwBoACAAQQBnAFwAIgAsAFwAIgBDAHIAbwBwACAASwBcACIALABcACIATABcACIALAAxAC4AMgA1ACwAXAAiAFwAIgAsAFwAIgBcACIALABcACIAXAAiACwAMwAsAFwAIgBcACIALAAyADEALABcACIAXAAiACwAXAAiAFAAbwB0AGEAcwBzAGkAdQBtACAALQAgAEcAZQBuAGUAcgBpAGMAXAAiACwAMAAuADIAMQ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UwB3AGkAdABjAGgAIABBAGcAXAAiACwAXAAiAEMAcgBvAHAAIABTAHQAYQByAHQAZQByAFwAIgAsAFwAIgBMAFwAIgAsADEALgAyACwAXAAiAFwAIgAsAFwAIgBcACIALABcACIAXAAiACwANQAsADMALAA4ACwAXAAiAFwAIgAsAFwAIgBQAG8AdABhAHMAcwBpAHUAbQAgAC0AIABHAGUAbgBlAHIAaQBjAFwAIgAsADAALgAwADgALABcACIATgBpAHQAcgBvAGcAZQBuACAALQAgAEcAZQBuAGUAcgBpAGMAXAAiACwAMAAuADAANQAsAFwAIgBQAGgAbwBzAHAAaABvAHIAdQBzACAALQAgAEcAZQBuAGUAcgBpAGMAXAAiACwAMAAuADAAMw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C0AQQBt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BcAG4AXABuAFwAbgBGAGUAcgB0AGkAbABpAHMAZQByAF8AUAByAG8AZAB1AGMAdABzAF8ARABhAHQAYQAzAFwAbgA9AEwAQQBNAEIARABBACgAXABuACAATQBBAEsARQBBAFIAUgBBAFkAKAAzADAALAAgADMAMQAsAFwAbgAgAEwAQQBNAEIARABBACgAcgAsAGMALABcAG4AIAAgAEkATgBEAEUAWAAoAHsAXABuAFwAIgBZAGEAcgBhACAAQQB1AHMAdAByAGEAbABpAGEAXAAiACwAXAAiAFkAYQByAGEATQBpAGwAYQAgADIAMQAtADcALQAzACgANAApAFwAIgAsAFwAIgBrAGcAXAAiACwAMQAsAFwAIgBcACIALABcACIAXAAiACwAXAAiAFwAIgAsADIAMQAsADcALgA0ACwAMgAuADUALAA0ACwAXAAiAE4AaQB0AHIAbwBnAGUAbgAgAC0AIABOAGkAdAByAGEAdABlAFwAIgAsADAALgAxADAANQAsAFwAIgBOAGkAdAByAG8AZwBlAG4AIAAtACAAQQBtAG0AbwBuAGkAYQBjAGEAbABcACIALAAwAC4AMQAwADUALABcACIAUABoAG8AcwBwAGgAbwByAHUAcwAgAC0AIABHAGUAbgBlAHIAaQBjAFwAIgAsADAALgAwADcANAAsAFwAIgBTAHUAbABmAHUAcgAgAC0AIABHAGUAbgBlAHIAaQBjAFwAIgAsADAALgAwADQALABcACIAUABvAHQAYQBzAHMAaQB1AG0AIAAtACAARwBlAG4AZQByAGkAYwBcACIALAAwAC4AMAAyADUALABcACIATQBhAGcAbgBlAHMAaQB1AG0AXAAiACwAMAAuADAAMAA0ACwAXAAiAFoAaQBuAGMAXAAiACwAMAAuADAAMAAxADUALABcACIAXAAiACwAXAAiAFwAIgAsAFwAIgBcACIALABcACIAXAAiACwAXAAiAFwAIgAsAFwAIgBcACIAOwBcAG4AXAAiAFkAYQByAGEAIABBAHUAcwB0AHIAYQBsAGkAYQBcACIALABcACIAWQBhAHIAYQBUAGUAcgBhACAASwBSAEkAUwBUAEEATABPAE4AIABTAEMAQQBSAEwARQBUAFwAIgAsAFwAIgBrAGcAXAAiACwAMQAsAFwAIgBcACIALABcACIAXAAiACwAXAAiAFwAIgAsADcALgA1ACwAXAAiAFwAIgAsADIAOQAuADkALAA0ACwAXAAiAFAAbwB0AGEAcwBzAGkAdQBtACAALQAgAEcAZQBuAGUAcgBpAGMAXAAiACwAMAAuADIAOQA5ACwAXAAiAE4AaQB0AHIAbwBnAGUAbgAgAC0AIABOAGkAdAByAGEAdABlAFwAIgAsADAALgAwADUAMgAsAFwAIgBTAHUAbABmAHUAcgAgAC0AIABHAGUAbgBlAHIAaQBjAFwAIgAsADAALgAwADQALABcACIATQBhAGcAbgBlAHMAaQB1AG0AXAAiACwAMAAuADAAMgA3ACwAXAAiAE4AaQB0AHIAbwBnAGUAbgAgAC0AIABBAG0AbQBvAG4AaQBhAGMAYQBsAFwAIgAsADAALgAwADIAMwAsAFwAIgBcACIALABcACIAXAAiACwAXAAiAFwAIgAsAFwAIgBcACIALABcACIAXAAiACwAXAAiAFwAIgAsAFwAIgBcACIALABcACIAXAAiACwAXAAiAFwAIgAsAFwAIgBcACIAOwBcAG4AXAAiAEMAYQBtAHAAYgBlAGwAbABzACAAZgBlAHIAdABpAGwAaQBzAGUAcgBzACAAQQB1AHMAdAByAGEAbABpAGEAXAAiACwAXAAiAFMAbwBsAHUALQ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TAG8AbAB1AC0AUwBh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SAHUAcwB0AGkAYwBhACAAUABsAHUAcwBcACIALABcACIAawBnAFwAIgAsADEALABcACIAXAAiACwAXAAiAFwAIgAsAFwAIgBcACIALAAxADIALAA1ACwAMQA0ACwAOQAuADcALABcACIAUABvAHQAYQBzAHMAaQB1AG0AIAAtACAARwBlAG4AZQByAGkAYwBcACIALAAwAC4AMQA0ACwAXAAiAFMAdQBsAGYAdQByACAALQAgAEcAZQBuAGUAcgBpAGMAXAAiACwAMAAuADAAOQA3ACwAXAAiAE4AaQB0AHIAbwBnAGUAbgAgAC0AIABOAGkAdAByAGEAdABlAFwAIgAsADAALgAwADYALABcACIATgBpAHQAcgBvAGcAZQBuACAALQAgAEEAbQBtAG8AbgBpAGEAYwBhAGwAXAAiACwAMAAuADAANgAsAFwAIgBQAGgAbwBzAHAAaABvAHIAdQBzACAALQAgAEcAZQBuAGUAcgBpAGMAXAAiACwAMAAuADAANQAsAFwAIgBDAGEAbABjAGkAdQBtAFwAIgAsADAALgAwADMAMQAsAFwAIgBNAGEAZwBuAGUAcwBpAHUAbQBcACIALAAwAC4AMAAxADIALABcACIAWgBpAG4AYwBcACIALAAwAC4AMAAwADEALABcACIAQgBvAHIAbwBuAFwAIgAsADAALgAwADAAMAAyACwAXAAiAFwAIgAsAFwAIgBcACIAOwBcAG4AXAAiAEMAYQBtAHAAYgBlAGwAbABzACAAZgBlAHIAdABpAGwAaQBzAGUAcgBzACAAQQB1AHMAdAByAGEAbABpAGEAXAAiACwAXAAiAFAAbABhAHQAaQBuAHUAbQAgAFAAbAB1AHMAXAAiACwAXAAiAGsAZwBcACIALAAxACwAXAAiAFwAIgAsAFwAIgBcACIALABcACIAXAAiACwAMQAwACwAMQAxACwAMQAwACwANgAsAFwAIgBQAGgAbwBzAHAAaABvAHIAdQBzACAALQAgAEcAZQBuAGUAcgBpAGMAXAAiACwAMAAuADEAMQAsAFwAIgBQAG8AdABhAHMAcwBpAHUAbQAgAC0AIABHAGUAbgBlAHIAaQBjAFwAIgAsADAALgAxACwAXAAiAFMAdQBsAGYAdQByACAALQAgAEcAZQBuAGUAcgBpAGMAXAAiACwAMAAuADAANgAsAFwAIgBOAGkAdAByAG8AZwBlAG4AIAAtACAATgBpAHQAcgBhAHQAZQBcACIALAAwAC4AMAA1ACwAXAAiAE4AaQB0AHIAbwBnAGUAbgAgAC0AIABBAG0AbQBvAG4AaQBhAGMAYQBsAFwAIgAsADAALgAwADUALABcACIAQwBhAGwAYwBpAHUAbQBcACIALAAwAC4AMAA0ADMALABcACIATQBhAGcAbgBlAHMAaQB1AG0AXAAiACwAMAAuADAAMQAyACwAXAAiAFoAaQBuAGMAXAAiACwAMAAuADAAMAAzADYALABcACIAQgBvAHIAbwBuAFwAIgAsADAALgAwADAAMQAsAFwAIgBcACIALABcACIAXAAiADsAXABuAFwAIgBDAGEAbQBwAGIAZQBsAGwAcwAgAGYAZQByAHQAaQBsAGkAcwBlAHIAcwAgAEEAdQBzAHQAcgBhAGwAaQBhAFwAIgAsAFwAIgBUAHIAbwBwAGkAawBhAFwAIgAsAFwAIgBrAGcAXAAiACwAMQAsAFwAIgBcACIALABcACIAXAAiACwAXAAiAFwAIgAsADEAMQAsADIALgA2ACwAMgAwAC4AOAAsADQALABcACIATgBpAHQAcgBvAGcAZQBuACAALQAgAE4AaQB0AHIAYQB0AGUAXAAiACwAMAAuADAANQA1ACwAXAAiAE4AaQB0AHIAbwBnAGUAbgAgAC0AIABBAG0AbQBvAG4AaQBhAGMAYQBsAFwAIgAsADAALgAwADUANQAsAFwAIgBQAGgAbwBzAHAAaABvAHIAdQBzACAALQAgAEcAZQBuAGUAcgBpAGMAXAAiACwAMAAuADAAMgA2ACwAXAAiAFAAbwB0AGEAcwBzAGkAdQBtACAALQAgAEcAZQBuAGUAcgBpAGMAXAAiACwAMAAuADIAMAA4ACwAXAAiAFMAdQBsAGYAdQByACAALQAgAEcAZQBuAGUAcgBpAGMAXAAiACwAMAAuADAANAAsAFwAIgBNAGEAZwBuAGUAcwBpAHUAbQBcACIALAAwAC4AMAAyADQALABcACIAXAAiACwAXAAiAFwAIgAsAFwAIgBcACIALABcACIAXAAiACwAXAAiAFwAIgAsAFwAIgBcACIALABcACIAXAAiACwAXAAiAFwAIgA7AFwAbgBcACIAQwBhAG0AcABiAGUAbABsAHMAIABmAGUAcgB0AGkAbABpAHMAZQByAHMAIABBAHUAcwB0AHIAYQBsAGkAYQBcACIALABcACIAUgB1AHMAdABpAGMAYQAgAE4AZQByAGcAZQB0AGkAYwBcACIALABcACIAawBnAFwAIgAsADEALABcACIAXAAiACwAXAAiAFwAIgAsAFwAIgBcACIALAAxADIALAA1AC4AMgAsADEANAAuADEALAA5AC4ANgAsAFwAIgBQAG8AdABhAHMAcwBpAHUAbQAgAC0AIABHAGUAbgBlAHIAaQBjAFwAIgAsADAALgAxADQAMQAsAFwAIgBTAHUAbABmAHUAcgAgAC0AIABHAGUAbgBlAHIAaQBjAFwAIgAsADAALgAwADkANgAsAFwAIgBOAGkAdAByAG8AZwBlAG4AIAAtACAATgBpAHQAcgBhAHQAZQBcACIALAAwAC4AMAA2ACwAXAAiAE4AaQB0AHIAbwBnAGUAbgAgAC0AIABBAG0AbQBvAG4AaQBhAGMAYQBsAFwAIgAsADAALgAwADYALABcACIAUABoAG8AcwBwAGgAbwByAHUAcwAgAC0AIABHAGUAbgBlAHIAaQBjAFwAIgAsADAALgAwADUAMgAsAFwAIgBNAGEAZwBuAGUAcwBpAHUAbQBcACIALAAwAC4AMAAxADIALABcACIAWgBpAG4AYwBcACIALAAwAC4AMAAwADAAOAAsAFwAIgBJAHIAbwBuAFwAIgAsADAALgAwADAAMAA3ACwAXAAiAE0AYQBuAGcAYQBuAGUAcwBlAFwAIgAsADAALgAwADAAMAA2ACwAXAAiAEIAbwByAG8AbgBcACIALAAwAC4AMAAwADAAMgA7AFwAbgBcACIAQwBhAG0AcABiAGUAbABsAHMAIABmAGUAcgB0AGkAbABpAHMAZQByAHMAIABBAHUAcwB0AHIAYQBsAGkAYQBcACIALABcACIAUQB1AGkAYwBrAC0ATgAgAE4AZQByAGcAZQB0AGkAYwBcACIALABcACIAawBnAFwAIgAsADEALABcACIAXAAiACwAXAAiAFwAIgAsAFwAIgBcACIALAAyADUALABcACIAXAAiACwAXAAiAFwAIgAsADEAMgAuADgALABcACIAUwB1AGwAcABoAGEAdABlACAAbwBmACAAYQBtAG0AbwBuAGkAYQAgACgAUwBPAEEAKQBcACIALAAwAC4ANQAzADMAMwAzADMALABcACIAQQBtAG0AbwBuAGkAdQBtACAAbgBpAHQAcgBhAHQAZQAgACgAQQBOACkAXAAiACwAMAAuADQAMAA5ADQAOQA2ACwAXAAiAFoAaQBuAGMAXAAiACwAMAAuADAAMAAxACwAXAAiAE0AYQBuAGcAYQBuAGUAcwBlAFwAIgAsADAALgAwADAAMQAsAFwAIgBCAG8AcgBvAG4AXAAiACwAMAAuADAAMAAwADEALABcACIATQBvAGwAeQBiAGQAZQBuAHUAbQBcACIALAAwAC4AMAAwADAAMAAxACwAXAAiAFwAIgAsAFwAIgBcACIALABcACIAXAAiACwAXAAiAFwAIgAsAFwAIgBcACIALABcACIAXAAiACwAXAAiAFwAIgAsAFwAIgBcACIAOwBcAG4AXAAiAEYAZQByAHQAUAByAG8AIABNAGEAbgB1AGYAYQBjAHQAdQByAGkAbgBnACAAUAB0AHkALgAgAEwAdABkAC4AXAAiACwAXAAiACgAUwBTAFAAKQAgAFMAaQBuAGcAbABlACAAUwB1AHAAZQByACAARgBlAHIAdABpAGwAaQBzAGUAcg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aAGkAbgBjAFMAdABhAHIAXAAiACwAXAAiAGsAZwBcACIALAAxACwAXAAiAFwAIgAsAFwAIgBcACIALABcACIAXAAiACwAMQAwACwAMgAxAC4AOQAsADAALAAyACwAXAAiAE0AbwBuAG8AYQBtAG0AbwBuAGkAdQBtACAAcABoAG8AcwBwAGgAYQB0AGUAIAAoAE0AQQBQACkAXAAiACwAMQAsAFwAIgBaAGkAbgBjAFwAIgAsADAALgAwADEALABcACIAXAAiACwAXAAiAFwAIgAsAFwAIgBcACIALABcACIAXAAiACwAXAAiAFwAIgAsAFwAIgBcACIALABcACIAXAAiACwAXAAiAFwAIgAsAFwAIgBcACIALABcACIAXAAiACwAXAAiAFwAIgAsAFwAIgBcACIALABcACIAXAAiACwAXAAiAFwAIgAsAFwAIgBcACIALABcACIAXAAiADsAXABuAFwAIgBCAGEAaQBsAGUAeQBzACAAKABTAGkAbQBwAGwAbwB0ACkAIABbAGwAaQBzAHQAZQBkACAAYQBzACAASQBtAHAAYQBjAHQAXQBcACIALABcACIAQQBwAGUAeAAgAEcAYQBJAFgAZQAgAEwAbwB3ACAAUAAgADIAMQAtADEALQA2AFwAIgAsAFwAIgBrAGcAXAAiACwAMQAsAFwAIgBcACIALABcACIAXAAiACwAXAAiAFwAIgAsADIAMQAsADAALgA4ADYALAA1AC4AOAAsADQALgAyACwAXAAiAE4AaQB0AHIAbwBnAGUAbgAgAC0AIABHAGUAbgBlAHIAaQBjAFwAIgAsADAALgAyADEALABcACIAUABvAHQAYQBzAHMAaQB1AG0AIAAtACAARwBlAG4AZQByAGkAYwBcACIALAAwAC4AMAA1ADgALABcACIAUwB1AGwAZgB1AHIAIAAtACAARwBlAG4AZQByAGkAYwBcACIALAAwAC4AMAA0ADIALABcACIAUABoAG8AcwBwAGgAbwByAHUAcwAgAC0AIABHAGUAbgBlAHIAaQBjAFwAIgAsADAALgAwADAAOAA2ACwAXAAiAFwAIgAsAFwAIgBcACIALABcACIAXAAiACwAXAAiAFwAIgAsAFwAIgBcACIALABcACIAXAAiACwAXAAiAFwAIgAsAFwAIgBcACIALABcACIAXAAiACwAXAAiAFwAIgAsAFwAIgBcACIALABcACIAXAAiADsAXABuAFwAIgBJAG4AYwBpAHQAZQBjACAAUABpAHYAbwB0ACAARgBlAHIAdABpAGwAaQBzAGUAcgBzAFwAIgAsAFwAIgBTAHUAUABlAHIAZgBlAGMAd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BbAGwAaQBzAHQAZQBkACAAYQBzACAAUwB1AG0AbQBpAHQAXQBcACIALABcACIAQgBpAGcAIABOAFwAIgAsAFwAIgBrAGcAXAAiACwAMQAsAFwAIgBcACIALABcACIAXAAiACwAXAAiAFwAIgAsADgAMgAuADMANQAsAFwAIgBcACIALABcACIAXAAiACwAXAAiAFwAIgAsAFwAIgBBAG0AbQBvAG4Aa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UAbgB0AGUAYwAgAFUAcgBlAGEAXAAiACwAXAAiAGsAZwBcACIALAAxACwAXAAiAFkAZQBz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CgAbwByACAAUgBhAHYAZQBuAHMAZABvAHcAbgAgAC0AIABzAGUAZQAgAG4AbwB0AGUAKQBcACIALABcACIARgBsAGUAeABpAC0ATgAgAE4ASQAgAG8AbgBsAHkAXAAiACwAXAAiAGsAZwBcACIALAAxACwAXAAiAFkAZQBzAFwAIgAsAFwAIgBcACIALABcACIAXAAiACwANAA1AC4ANQA0ACwAXAAiAFwAIgAsAFwAIgBcACIALABcACIAXAAiACwAXAAiAFUAcgBlAGEAXAAiACwAMAAuADkAOQAsAFwAIgBVAHIAZQBhAHMAZQAvAG4AaQB0AHIAaQBmAGkAYwBhAHQAaQBvAG4AIABpAG4AaABpAGIAaQB0AG8AcgBcACIALAAwAC4AMAAxACwAXAAiAFwAIgAsAFwAIgBcACIALABcACIAXAAiACwAXAAiAFwAIgAsAFwAIgBcACIALABcACIAXAAiACwAXAAiAFwAIgAsAFwAIgBcACIALABcACIAXAAiACwAXAAiAFwAIgAsAFwAIgBcACIALABcACIAXAAiACwAXAAiAFwAIgAsAFwAIgBcACIALABcACIAXAAiACwAXAAiAFwAIgA7AFwAbgBcACIATgB1AHQAcgBpAC0AVABlAGMAaAAgAFMAbwBsAHUAdABpAG8AbgBzACAAKABOAFQAUwApAFwAIgAsAFwAIgBNAHUAcgBpAGEAdABlACAATwBmACAAUABvAHQAYQBzAGgAIABNAE8AUA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E4AdQB0AHUAcgBmAFwAIgAsAFwAIgBNAEEAUAAgAE4AVQBUAFUAUgBG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EAdQBpAGMAawAtAE4AXAAiACwAXAAiAGsAZwBcACIALAAxACwAXAAiAFwAIgAsAFwAIgBcACIALABcACIAXAAiACwAMgA2ACwAXAAiAFwAIgAsAFwAIgBcACIALAAxADMALABcACIAUwB1AGwAcABoAGEAdABlACAAbwBmACAAYQBtAG0AbwBuAGkAYQAgACgAUwBPAEEAKQBcACIALAAwAC4ANQA0ADEANgA2ADcALABcACIAQQBtAG0AbwBuAGkAdQBtACAAbgBpAHQAcgBhAHQAZQAgACgAQQBOACkAXAAiACwAMAAuADQAMwAzADkANwA2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VAEEAUwBcACIALABcACIATABcACIALAAxAC4AMgAzADUALABcACIAXAAiACwAXAAiAFwAIgAsAFwAIgBcACIALAAyADYALgA2ACwAXAAiAFwAIgAsAFwAIgBcACIALAA2AC4ANwAsAFwAIgBVAHIAZQBhAFwAIgAsADAALgA0ADUAMAA4ADEANQAsAFwAIgBTAHUAbABwAGgAYQB0AGUAIABvAGYAIABhAG0AbQBvAG4AaQBhACAAKABTAE8AQQApAFwAIgAsADAALgAyADcAOQAxADYANw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AByAGkAYQB6AG8AbgBlACAAVQByAGUAYQBcACIALABcACIATABcACIALAAxAC4AMgA4ACwAXAAiAFwAIgAsAFwAIgBcACIALABcACIAXAAiACwAMAAsAFwAIgBcACIALABcACIAXAAiACwAXAAiAFwAIgAsAFwAIgBVAHIAZQBhAFwAIgAsADAALgA2ADUAMgAxADcANAAsAFwAIgBcACIALABcACIAXAAiACwAXAAiAFwAIgAsAFwAIgBcACIALABcACIAXAAiACwAXAAiAFwAIgAsAFwAIgBcACIALABcACIAXAAiACwAXAAiAFwAIgAsAFwAIgBcACIALABcACIAXAAiACwAXAAiAFwAIgAsAFwAIgBcACIALABcACIAXAAiACwAXAAiAFwAIgAsAFwAIgBcACIALABcACIAXAAiACwAXAAiAFwAIgA7AFwAbgBcACIATQBhAHIAbgBjAG8AIABbAGwAaQBzAHQAZQBkACAAYQBzACAAUwBMAFQARQBDAF0AXAAiACwAXAAiAEEAbQBtAG8AIAAzADYATgBcACIALABcACIAawBnAFwAIgAsADEALABcACIAXAAiACwAXAAiAFwAIgAsAFwAIgBcACIALAAzADYALABcACIAXAAiACwAXAAiAFwAIgAsADkALgA2ACwAXAAiAE4AaQB0AHIAbwBnAGUAbgAgAC0AIABHAGUAbgBlAHIAaQBjAFwAIgAsADAALgAzADYALABcACIAUwB1AGwAZgB1AHIAIAAtACAARwBlAG4AZQByAGkAYwBcACIALAAwAC4AMAA5ADYALABcACIAXAAiACwAXAAiAFwAIgAsAFwAIgBcACIALABcACIAXAAiACwAXAAiAFwAIgAsAFwAIgBcACIALABcACIAXAAiACwAXAAiAFwAIgAsAFwAIgBcACIALABcACIAXAAiACwAXAAiAFwAIgAsAFwAIgBcACIALABcACIAXAAiACwAXAAiAFwAIgAsAFwAIgBcACIALABcACIAXAAiADsAXABuAFwAIgBSAGkAcwBzAG8ALQBDAGgAZQBtAGkAYwBhAGwAXAAiACwAXAAiAFIAaQBzAHMAbwAgAEwAaQBxAHUAaQBkACAATgBQAEsAIAAoADIAMAAwAC0AMgAwADAALQAyADAAMAApAFwAIgAsAFwAIgBMAFwAIgAsADEALgAzACwAXAAiAFwAIgAsAFwAIgBcACIALABcACIAXAAiACwAMgAwACwAOAAuADcAMwAsADEANgAuADYALABcACIAXAAiACwAXAAiAE4AaQB0AHIAbwBnAGUAbgAgAC0AIABHAGUAbgBlAHIAaQBjAFwAIgAsADAALgAyACwAXAAiAFAAaABvAHMAcABoAG8AcgB1AHMAIAAtACAARwBlAG4AZQByAGkAYwBcACIALAAwAC4AMAA4ADcAMgA4ACwAXAAiAFAAbwB0AGEAcwBzAGkAdQBtACAALQAgAEcAZQBuAGUAcgBpAGMAXAAiACwAMAAuADEANgA2ADAAMgAsAFwAIgBcACIALABcACIAXAAiACwAXAAiAFwAIgAsAFwAIgBcACIALABcACIAXAAiACwAXAAiAFwAIgAsAFwAIgBcACIALABcACIAXAAiACwAXAAiAFwAIgAsAFwAIgBcACIALABcACIAXAAiACwAXAAiAFwAIgAsAFwAIgBcACIALABcACIAXAAiADsAXABuAFwAIgBUAHUAcgBmACAARwByAG8AdQBwACAAQQB1AHMAdAByAGEAbABpAGEAIAAoAFMAaQBtAHAAbABvAHQAKQBcACIALABcACIAUwB1AHAAZQByACAAQwBhAGwAIAAxADUALQAwAC0AMQAyAFwAIgAsAFwAIgBrAGcAXAAiACwAMQAsAFwAIgBcACIALABcACIAXAAiACwAXAAiAFwAIgAsADEANQAsAFwAIgBcACIALAA5AC4AOQA2ACwAXAAiAFwAIgAsAFwAIgBOAGkAdAByAG8AZwBlAG4AIAAtACAATgBpAHQAcgBhAHQAZQBcACIALAAwAC4AMAA4ADQANwAzADcALABcACIAUABvAHQAYQBzAHMAaQB1AG0AIAAtACAARwBlAG4AZQByAGkAYwBcACIALAAwAC4AMAA5ADkANgAxADIALABcACIAQwBhAGwAYwBpAHUAbQAgAG4AaQB0AHIAYQB0AGUAXAAiACwAMAAuADQAMgAxADAANQAzACwAXAAiAE0AYQBnAG4AZQBzAGkAdQBtAFwAIgAsADAALgAwADAANQAsAFwAIgBCAG8AcgBvAG4AXAAiACwAMAAuADAAMAAwADIALABcACIAXAAiACwAXAAiAFwAIgAsAFwAIgBcACIALABcACIAXAAiACwAXAAiAFwAIgAsAFwAIgBcACIALABcACIAXAAiACwAXAAiAFwAIgAsAFwAIgBcACIALABcACIAXAAiADsAXABuAFwAIgBJAG4AYwBpAHQAZQBjACAAUABpAHYAbwB0ACAARgBlAHIAdABpAGwAaQBzAGUAcgBzAFwAIgAsAFwAIgBDAEsAIAA4ADgAXAAiACwAXAAiAGsAZwBcACIALAAxACwAXAAiAFwAIgAsAFwAIgBcACIALABcACIAXAAiACwAMQA1AC4AMQAsADQALgA0ACwAMQAxAC4ANQAsADEAMwAuADYALABcACIATgBpAHQAcgBvAGcAZQBuACAALQAgAEcAZQBuAGUAcgBpAGMAXAAiACwAMAAuADEANQAxACwAXAAiAFAAaABvAHMAcABoAG8AcgB1AHMAIAAtACAARwBlAG4AZQByAGkAYwBcACIALAAwAC4AMAA0ADQALABcACIAUABvAHQAYQBzAHMAaQB1AG0AIAAtACAARwBlAG4AZQByAGkAYwBcACIALAAwAC4AMQAxADUALABcACIAUwB1AGwAZgB1AHIAIAAtACAARwBlAG4AZQByAGkAYwBcACIALAAwAC4AMQAzADYALABcACIAXAAiACwAXAAiAFwAIgAsAFwAIgBcACIALABcACIAXAAiACwAXAAiAFwAIgAsAFwAIgBcACIALABcACIAXAAiACwAXAAiAFwAIgAsAFwAIgBcACIALABcACIAXAAiACwAXAAiAFwAIgAsAFwAIgBcACIAOwBcAG4AXAAiAEkAbgBjAGkAdABlAGMAIABQAGkAdgBvAHQAIABGAGUAcgB0AGkAbABpAHMAZQByAHMAXAAiACwAXAAiAEMAcgBvAHAATABpAGYAdAAgADEANQBcACIALABcACIAawBnAFwAIgAsADEALABcACIAXAAiACwAXAAiAFwAIgAsAFwAIgBcACIALAAxADQALgA2ACwAMQAyAC4AMQAsAFwAIgBcACIALAAxADEALgA2ACwAXAAiAE4AaQB0AHIAbwBnAGUAbgAgAC0AIABHAGUAbgBlAHIAaQBjAFwAIgAsADAALgAxADQANgAsAFwAIgBQAGgAbwBzAHAAaABvAHIAdQBzACAALQAgAEcAZQBuAGUAcgBpAGMAXAAiACwAMAAuADEAMgAxACwAXAAiAFMAdQBsAGYAdQByACAALQAgAEcAZQBuAGUAcgBpAGMAXAAiACwAMAAuADEAMQA2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4AUABLAFMAIAAxADkALQAxADMALQAwAC0AOQBcACIALABcACIAawBnAFwAIgAsADEALABcACIAXAAiACwAXAAiAFwAIgAsAFwAIgBcACIALAAxADkALAAxADMALAAwACwAOQAsAFwAIgBOAGkAdAByAG8AZwBlAG4AIAAtACAARwBlAG4AZQByAGkAYwBcACIALAAwAC4AMQA5ACwAXAAiAFAAaABvAHMAcABoAG8AcgB1AHMAIAAtACAARwBlAG4AZQByAGkAYwBcACIALAAwAC4AMQAzACwAXAAiAFMAdQBsAGYAdQByACAALQAgAEcAZQBuAGUAcgBpAGMAXAAiACwAMAAuADAAO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QAGEAcwB0AHUAcgBlAEIAbwBvAHMAdABhAFwAIgAsAFwAIgBrAGcAXAAiACwAMQAsAFwAIgBcACIALABcACIAXAAiACwAXAAiAFwAIgAsADIAMwAuADgALAAzAC4ANwAsADEAMwAsADQALgAxACwAXAAiAE4AaQB0AHIAbwBnAGUAbgAgAC0AIABHAGUAbgBlAHIAaQBjAFwAIgAsADAALgAyADMAOAAsAFwAIgBQAGgAbwBzAHAAaABvAHIAdQBzACAALQAgAEcAZQBuAGUAcgBpAGMAXAAiACwAMAAuADAAMwA3ACwAXAAiAFAAbwB0AGEAcwBzAGkAdQBtACAALQAgAEcAZQBuAGUAcgBpAGMAXAAiACwAMAAuADEAMwAsAFwAIgBTAHUAbABmAHUAcgAgAC0AIABHAGUAbgBlAHIAaQBjAFwAIgAsADAALgAwADQAMQAsAFwAIgBcACIALABcACIAXAAiACwAXAAiAFwAIgAsAFwAIgBcACIALABcACIAXAAiACwAXAAiAFwAIgAsAFwAIgBcACIALABcACIAXAAiACwAXAAiAFwAIgAsAFwAIgBcACIALABcACIAXAAiACwAXAAiAFwAIgA7AFwAbgBcACIASQBuAGMAaQB0AGUAYwAgAFAAaQB2AG8AdAAgAEYAZQByAHQAaQBsAGkAcwBlAHIAcwBcACIALABcACIARwByAGUAZQBuAHQAbwBwACAASwBcACIALABcACIAawBnAFwAIgAsADEALABcACIAXAAiACwAXAAiAFwAIgAsAFwAIgBcACIALAAzADIALgA4ACwAXAAiAFwAIgAsADEAMQAsADIALgA5ACwAXAAiAFUAcgBlAGEAXAAiACwAMAAuADYANgAwADgANwAsAFwAIgBOAGkAdAByAG8AZwBlAG4AIAAtACAAQQBtAG0AbwBuAGkAYQBjAGEAbABcACIALAAwAC4AMAAyADQALABcACIAUABvAHQAYQBzAHMAaQB1AG0AIAAtACAARwBlAG4AZQByAGkAYwBcACIALAAwAC4AMQAxACwAXAAiAFMAdQBsAGYAdQByACAALQAgAEcAZQBuAGUAcgBpAGMAXAAiACwAMAAuADAAMgA5ACwAXAAiAFwAIgAsAFwAIgBcACIALABcACIAXAAiACwAXAAiAFwAIgAsAFwAIgBcACIALABcACIAXAAiACwAXAAiAFwAIgAsAFwAIgBcACIALABcACIAXAAiACwAXAAiAFwAIgAsAFwAIgBcACIALABcACIAXAAiADsAXABuAFwAIgBJAG4AYwBpAHQAZQBjACAAUABpAHYAbwB0ACAARgBlAHIAdABpAGwAaQBzAGUAcgBzAFwAIgAsAFwAIgBIAGEAeQBCAG8AbwBzAHQAYQBcACIALABcACIAawBnAFwAIgAsADEALABcACIAXAAiACwAXAAiAFwAIgAsAFwAIgBcACIALAAxADEALgA3ACwANAAuADcALAAyADMALgA5ACwANAAuADYALABcACIATgBpAHQAcgBvAGcAZQBuACAALQAgAEcAZQBuAGUAcgBpAGMAXAAiACwAMAAuADEAMQA3ACwAXAAiAFAAaABvAHMAcABoAG8AcgB1AHMAIAAtACAARwBlAG4AZQByAGkAYwBcACIALAAwAC4AMAA0ADcALABcACIAUABvAHQAYQBzAHMAaQB1AG0AIAAtACAARwBlAG4AZQByAGkAYwBcACIALAAwAC4AMgAzADkALABcACIAUwB1AGwAZgB1AHIAIAAtACAARwBlAG4AZQByAGkAYwBcACIALAAwAC4AMAA0ADYALABcACIAXAAiACwAXAAiAFwAIgAsAFwAIgBcACIALABcACIAXAAiACwAXAAiAFwAIgAsAFwAIgBcACIALABcACIAXAAiACwAXAAiAFwAIgAsAFwAIgBcACIALABcACIAXAAiACwAXAAiAFwAIgAsAFwAIgBcACIAXABuACAAIAB9ACwAIAByACwAIABjACkAXABuACAAKQApACkAXABuAFwAbgBcAG4ARgBlAHIAdABpAGwAaQBzAGUAcgBfAFAAcgBvAGQAdQBjAHQAcwBfAEQAYQB0AGEANABcAG4APQBMAEEATQBCAEQAQQAoAFwAbgAgAE0AQQBLAEUAQQBSAFIAQQBZACgAMwAwACwAIAAzADEALABcAG4AIABMAEEATQBCAEQAQQAoAHIALABjACwAXABuACAAIABJAE4ARABFAFgAKAB7AFwAbgBcACIASQBtAHAAYQBjAHQAIABGAGUAcgB0AGkAbABpAHMAZQByAHMAXAAiACwAXAAiAEkAbQBwAGEAYwB0ACAAUwB1AHAAZQByACAAUABvAHQAYQBzAGgAIAAxAFwAdQAwADAAMgA2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FwAdQAwADAAMgA2ADEAXAAiACwAXAAiAGsAZwBcACIALAAxACwAXAAiAFwAIgAsAFwAIgBcACIALABcACIAXAAiACwAXAAiAFwAIgAsADUALgA4ADQALAAxADYALgA4ACwANwAuADIAOQAsAFwAIgBTAGkAbgBnAGwAZQAgAHMAdQBwAGUAcgBwAGgAbwBzAHAAaABhAHQAZQAgACgAUwBTAFAAKQBcACIALAAwAC4ANgA2ADMAMQA1ADgALABcACIATQB1AHIAaQBhAHQAZQAgAG8AZgAgAHAAbwB0AGEAcwBoACAAKABNAE8AUAApAFwAIgAsADAALgAzADMAN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wBcAHUAMAAwADIANgAxAFwAIgAsAFwAIgBrAGcAXAAiACwAMQAsAFwAIgBcACIALABcACIAXAAiACwAXAAiAFwAIgAsAFwAIgBcACIALAA2AC4ANQA4ACwAMQAyAC4ANQAsADgALgAyADIALABcACIAUwBpAG4AZwBsAGUAIABzAHUAcABlAHIAcABoAG8AcwBwAGgAYQB0AGUAIAAoAFMAUwBQACkAXAAiACwAMAAuADcANAA3ADMANgA4ACwAXAAiAE0AdQByAGkAYQB0AGUAIABvAGYAIABwAG8AdABhAHMAaAAgACgATQBPAFAAKQBcACIALAAwAC4AM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0AFwAdQAwADAAMgA2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XAB1ADAAMAAyADYAMQBcACIALABcACIAawBnAFwAIgAsADEALABcACIAXAAiACwAXAAiAFwAIgAsAFwAIgBcACIALABcACIAXAAiACwANwAuADMAMgAsADgALgA0ACwAOQAuADEANQAsAFwAIgBTAGkAbgBnAGwAZQAgAHMAdQBwAGUAcgBwAGgAbwBzAHAAaABhAHQAZQAgACgAUwBTAFAAKQBcACIALAAwAC4AOAAzADEANQA3ADkALABcACIATQB1AHIAaQBhAHQAZQAgAG8AZgAgAHAAbwB0AGEAcwBoACAAKABNAE8AUAApAFwAIgAsADAALgAxADYAOAAsAFwAIgBcACIALABcACIAXAAiACwAXAAiAFwAIgAsAFwAIgBcACI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BcACIALABcACIAawBnAFwAIgAsADEALABcACIAXAAiACwAXAAiAFwAIgAsAFwAIgBcACIALAAyADMALgA5ACwAXAAiAFwAIgAsAFwAIgBcACIALAAxADAALgA4ACwAXAAiAE4AaQB0AHIAbwBnAGUAbgAgAC0AIABOAGkAdAByAGEAdABlAFwAIgAsADAALgAwADcANAAsAFwAIgBOAGkAdAByAG8AZwBlAG4AIAAtACAAQQBtAG0AbwBuAGkAYQBjAGEAbABcACIALAAwAC4AMQA2ADUALABcACIAUwB1AGwAZgB1AHIAIAAtACAARwBlAG4AZQByAGkAYwBcACIALAAwAC4AMQAwADgALABcACIAQwBhAGwAYwBpAHUAbQBcACIALAAwAC4AMAA0ADQ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BcACIALABcACIAawBnAFwAIgAsADEALABcACIAXAAiACwAXAAiAFwAIgAsAFwAIgBcACIALAAxADcALgA5ACwAXAAiAFwAIgAsADEANQAsADMALgA2ACwAXAAiAE4AaQB0AHIAbwBnAGUAbgAgAC0AIABOAGkAdAByAGEAdABlAFwAIgAsADAALgAwADUANQAsAFwAIgBOAGkAdAByAG8AZwBlAG4AIAAtACAAQQBtAG0AbwBuAGkAYQBjAGEAbABcACIALAAwAC4AMQAyADQALABcACIAUABvAHQAYQBzAHMAaQB1AG0AIAAtACAARwBlAG4AZQByAGkAYwBcACIALAAwAC4AMQA1ACwAXAAiAFMAdQBsAGYAdQByACAALQAgAEcAZQBuAGUAcgBpAGMAXAAiACwAMAAuADAAMwA2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CAAKABTACkAXAAiACwAXAAiAGsAZwBcACIALAAxACwAXAAiAFwAIgAsAFwAIgBcACIALABcACIAXAAiACwAMQA2AC4AOQAsAFwAIgBcACIALAAxADQALgA0ACwAOAAuADcALABcACIATgBpAHQAcgBvAGcAZQBuACAALQAgAE4AaQB0AHIAYQB0AGUAXAAiACwAMAAuADAANQAyACwAXAAiAE4AaQB0AHIAbwBnAGUAbgAgAC0AIABBAG0AbQBvAG4AaQBhAGMAYQBsAFwAIgAsADAALgAxADEANwAsAFwAIgBQAG8AdABhAHMAcwBpAHUAbQAgAC0AIABHAGUAbgBlAHIAaQBjAFwAIgAsADAALgAxADQANAAsAFwAIgBTAHUAbABmAHUAcgAgAC0AIABHAGUAbgBlAHIAaQBjAFwAIgAsADAALgAwADgANw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MwAwAFwAIgAsAFwAIgBrAGcAXAAiACwAMQAsAFwAIgBcACIALABcACIAXAAiACwAXAAiAFwAIgAsADEAOAAuADgALAAxACwAMQAyAC4ANQAsADMALgA3ACwAXAAiAE4AaQB0AHIAbwBnAGUAbgAgAC0AIABOAGkAdAByAGEAdABlAFwAIgAsADAALgAwADUAOAAsAFwAIgBOAGkAdAByAG8AZwBlAG4AIAAtACAAQQBtAG0AbwBuAGkAYQBjAGEAbABcACIALAAwAC4AMQAzACwAXAAiAFAAaABvAHMAcABoAG8AcgB1AHMAIAAtACAARwBlAG4AZQByAGkAYwBcACIALAAwAC4AMAAxACwAXAAiAFAAbwB0AGEAcwBzAGkAdQBtACAALQAgAEcAZQBuAGUAcgBpAGMAXAAiACwAMAAuADEAMgA1ACwAXAAiAFMAdQBsAGYAdQByACAALQAgAEcAZQBuAGUAcgBpAGMAXAAiACwAMAAuADAAMwA3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NQAwAFwAIgAsAFwAIgBrAGcAXAAiACwAMQAsAFwAIgBcACIALABcACIAXAAiACwAXAAiAFwAIgAsADEAOAAuADYALAAzACwAMQAyAC4ANQAsADEALgA0ACwAXAAiAE4AaQB0AHIAbwBnAGUAbgAgAC0AIABOAGkAdAByAGEAdABlAFwAIgAsADAALgAwADUAOAAsAFwAIgBOAGkAdAByAG8AZwBlAG4AIAAtACAAQQBtAG0AbwBuAGkAYQBjAGEAbABcACIALAAwAC4AMQAyADgALABcACIAUABoAG8AcwBwAGgAbwByAHUAcwAgAC0AIABHAGUAbgBlAHIAaQBjAFwAIgAsADAALgAwADMALABcACIAUABvAHQAYQBzAHMAaQB1AG0AIAAtACAARwBlAG4AZQByAGkAYwBcACIALAAwAC4AMQAyADUALABcACIAUwB1AGwAZgB1AHIAIAAtACAARwBlAG4AZQByAGkAYwBcACIALAAwAC4AMAAxADQ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RQB4AHQAcgBhACAASwBcACIALABcACIAawBnAFwAIgAsADEALABcACIAXAAiACwAXAAiAFwAIgAsAFwAIgBcACIALAAxADUALgA4ACwAXAAiAFwAIgAsADEAOQAsADMALgAyACwAXAAiAE4AaQB0AHIAbwBnAGUAbgAgAC0AIABOAGkAdAByAGEAdABlAFwAIgAsADAALgAwADQAOQAsAFwAIgBOAGkAdAByAG8AZwBlAG4AIAAtACAAQQBtAG0AbwBuAGkAYQBjAGEAbABcACIALAAwAC4AMQAwADkALABcACIAUABvAHQAYQBzAHMAaQB1AG0AIAAtACAARwBlAG4AZQByAGkAYwBcACIALAAwAC4AMQA5ACwAXAAiAFMAdQBsAGYAdQByACAALQAgAEcAZQBuAGUAcgBpAGMAXAAiACwAMAAuADAAMwAyACwAXAAiAEMAYQBsAGMAaQB1AG0AXAAiACwAMAAuADAAMwA5ACwAXAAiAFwAIgAsAFwAIgBcACIALABcACIAXAAiACwAXAAiAFwAIgAsAFwAIgBcACIALABcACIAXAAiACwAXAAiAFwAIgAsAFwAIgBcACIALABcACIAXAAiACwAXAAiAFwAIgA7AFwAbgBcACIASQBuAGMAaQB0AGUAYwAgAFAAaQB2AG8AdAAgAEYAZQByAHQAaQBsAGkAcwBlAHIAcwBcACIALABcACIARABhAGkAcgB5ACAAUAByAG8AXAAiACwAXAAiAGsAZwBcACIALAAxACwAXAAiAFwAIgAsAFwAIgBcACIALABcACIAXAAiACwAMgA1AC4AOQAsADMALgA5ACwAMQA1AC4AOQAsADAALgAzACwAXAAiAE4AaQB0AHIAbwBnAGUAbgAgAC0AIABHAGUAbgBlAHIAaQBjAFwAIgAsADAALgAyADUAOQAsAFwAIgBQAGgAbwBzAHAAaABvAHIAdQBzACAALQAgAEcAZQBuAGUAcgBpAGMAXAAiACwAMAAuADAAMwA5ACwAXAAiAFAAbwB0AGEAcwBzAGkAdQBtACAALQAgAEcAZQBuAGUAcgBpAGMAXAAiACwAMAAuADEANQA5ACwAXAAiAFMAdQBsAGYAdQByACAALQAgAEcAZQBuAGUAcgBpAGMAXAAiACwAMAAuADAAMAAzACwAXAAiAFwAIgAsAFwAIgBcACIALABcACIAXAAiACwAXAAiAFwAIgAsAFwAIgBcACIALABcACIAXAAiACwAXAAiAFwAIgAsAFwAIgBcACIALABcACIAXAAiACwAXAAiAFwAIgAsAFwAIgBcACIALABcACIAXAAiADsAXABuAFwAIgBZAGEAcgBhACAAQQB1AHMAdAByAGEAbABpAGEAXAAiACwAXAAiAFkAYQByAGEATQBpAGwAYQAgAEEAQwBUAFkAVgBBACAAUwBcACIALABcACIAawBnAFwAIgAsADEALABcACIAXAAiACwAXAAiAFwAIgAsAFwAIgBcACIALAAxADUALgA2ACwANgAuADMANwAsADEAMgAuADQANQAsADIALgA2ACwAXAAiAE4AaQB0AHIAbwBnAGUAbgAgAC0AIABOAGkAdAByAGEAdABlAFwAIgAsADAALgAwADUAOAAsAFwAIgBOAGkAdAByAG8AZwBlAG4AIAAtACAAQQBtAG0AbwBuAGkAYQBjAGEAbABcACIALAAwAC4AMAA5ADgALABcACIAUABoAG8AcwBwAGgAbwByAHUAcwAgAC0AIABHAGUAbgBlAHIAaQBjAFwAIgAsADAALgAwADYAMwA3ADEANAAsAFwAIgBQAG8AdABhAHMAcwBpAHUAbQAgAC0AIABHAGUAbgBlAHIAaQBjAFwAIgAsADAALgAxADIANAA1ADEANQAsAFwAIgBTAHUAbABmAHUAcgAgAC0AIABHAGUAbgBlAHIAaQBjAFwAIgAsADAALgAwADIANgAsAFwAIgBcACIALABcACIAXAAiACwAXAAiAFwAIgAsAFwAIgBcACIALABcACIAXAAiACwAXAAiAFwAIgAsAFwAIgBcACIALABcACIAXAAiACwAXAAiAFwAIgAsAFwAIgBcACIAOwBcAG4AXAAiAEMAUwBCAFAAXAAiACwAXAAiAEEAZwBmAGwAbwB3ACAARQB4AHQAcgBhAFwAIgAsAFwAIgBrAGcAXAAiACwAMQAsAFwAIgBcACIALABcACIAXAAiACwAXAAiAFwAIgAsADEAMQAuADEANQAsADEANwAuADUAMgAsAFwAIgBcACIALAAzAC4ANgAsAFwAIgBNAG8AbgBvAGEAbQBtAG8AbgBpAHUAbQAgAHAAaABvAHMAcABoAGEAdABlACAAKABNAEEAUAApAFwAIgAsADAALgA4ACwAXAAiAFMAdQBsAHAAaABhAHQAZQAgAG8AZgAgAGEAbQBtAG8AbgBpAGEAIAAoAFMATwBBACkAXAAiACwAMAAuADEANQAsAFwAIgBDAG8AcABwAGUAcgBcACIALABcACIATgBvACAAZABhAHQAYQBcACIALABcACIATQBvAGwAeQBiAGQAZQBuAHUAbQBcACIALABcACIATgBvACAAZABhAHQAYQBcACIALABcACIAWgBpAG4AYwBcACIALABcACIATgBvACAAZABhAHQAYQBcACIALABcACIAXAAiACwAXAAiAFwAIgAsAFwAIgBcACIALABcACIAXAAiACwAXAAiAFwAIgAsAFwAIgBcACIALABcACIAXAAiACwAXAAiAFwAIgAsAFwAIgBcACIALABcACIAXAAiADsAXABuAFwAIgBDAFMAQgBQAFwAIgAsAFwAIgBTAHUAcABlAHIAIABcAHUAMAAwADIANgAgAFAAbwB0AGEAcwBoACAAMwA6ADEAXAAiACwAXAAiAGsAZwBcACIALAAxACwAXAAiAFwAIgAsAFwAIgBcACIALABcACIAXAAiACwAXAAiAFwAIgAsADUALgA1ACwAMQA1ACwANgAuADgAOAAsAFwAIgBTAGkAbgBnAGwAZQAgAHMAdQBwAGUAcgBwAGgAbwBzAHAAaABhAHQAZQAgACgAUwBTAFAAKQBcACIALAAwAC4ANgAyADUALABcACIATQB1AHIAaQBhAHQAZQAgAG8AZgAgAHAAbwB0AGEAcwBoACAAKABNAE8AUAApAFwAIgAsADAALgAzACwAXAAiAFwAIgAsAFwAIgBcACIALABcACIAXAAiACwAXAAiAFwAIgAsAFwAIgBcACIALABcACIAXAAiACwAXAAiAFwAIgAsAFwAIgBcACIALABcACIAXAAiACwAXAAiAFwAIgAsAFwAIgBcACIALABcACIAXAAiACwAXAAiAFwAIgAsAFwAIgBcACIALABcACIAXAAiACwAXAAiAFwAIgA7AFwAbgBcACIAWQBhAHIAYQBcACIALABcACIAWQBhAHIAYQBCAGUAbABhACAAQwBBAE4ALQAyADcAXAAiACwAXAAiAGsAZwBcACIALAAxACwAXAAiAFwAIgAsAFwAIgBcACIALABcACIAXAAiACwAMgA3ACwAXAAiAFwAIgAsAFwAIgBcACIALABcACIAXAAiACwAXAAiAEMAYQBsAGMAaQB1AG0AIABhAG0AbQBvAG4AaQB1AG0AIABuAGkAdAByAGEAdABlACAAKABDAEEATg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YQBsAC0ARwByAGEAbgAgAEEAZgB0AGUAcgBnAHIAYQB6AGUAXAAiACwAXAAiAGsAZwBcACIALAAxACwAXAAiAFwAIgAsAFwAIgBcACIALABcACIAXAAiACwAMgAwAC4ANgAsADMALAA3AC4ANQAsADMALgA4ACwAXAAiAE4AaQB0AHIAbwBnAGUAbgAgAC0AIABOAGkAdAByAGEAdABlAFwAIgAsADAALgAwADYANAAsAFwAIgBOAGkAdAByAG8AZwBlAG4AIAAtACAAQQBtAG0AbwBuAGkAYQBjAGEAbABcACIALAAwAC4AMQA0ADIALABcACIAUABoAG8AcwBwAGgAbwByAHUAcwAgAC0AIABHAGUAbgBlAHIAaQBjAFwAIgAsADAALgAwADMALABcACIAUABvAHQAYQBzAHMAaQB1AG0AIAAtACAARwBlAG4AZQByAGkAYwBcACIALAAwAC4AMAA3ADUALABcACIAUwB1AGwAZgB1AHIAIAAtACAARwBlAG4AZQByAGkAYwBcACIALAAwAC4AMAAzADgALABcACIAQwBhAGwAYwBpAHUAbQBcACIALAAwAC4AMAA0ADQALABcACIAXAAiACwAXAAiAFwAIgAsAFwAIgBcACIALABcACIAXAAiACwAXAAiAFwAIgAsAFwAIgBcACIALABcACIAXAAiACwAXAAiAFwAIgA7AFwAbgBcACIASQBuAGMAaQB0AGUAYwAgAFAAaQB2AG8AdAAgAEYAZQByAHQAaQBsAGkAcwBlAHIAcwBcACIALABcACIAQwBhAGwALQBHAHIAYQBuACAAUAByAG8AZAByAGUAcwBzAFwAIgAsAFwAIgBrAGcAXAAiACwAMQAsAFwAIgBcACIALABcACIAXAAiACwAXAAiAFwAIgAsADEANwAuADgALAAxACwAMQA1ACwAMgAuADUALABcACIATgBpAHQAcgBvAGcAZQBuACAALQAgAE4AaQB0AHIAYQB0AGUAXAAiACwAMAAuADAANQA1ACwAXAAiAE4AaQB0AHIAbwBnAGUAbgAgAC0AIABBAG0AbQBvAG4AaQBhAGMAYQBsAFwAIgAsADAALgAxADIAMwAsAFwAIgBQAGgAbwBzAHAAaABvAHIAdQBzACAALQAgAEcAZQBuAGUAcgBpAGMAXAAiACwAMAAuADAAMQAsAFwAIgBQAG8AdABhAHMAcwBpAHUAbQAgAC0AIABHAGUAbgBlAHIAaQBjAFwAIgAsADAALgAxADUALABcACIAUwB1AGwAZgB1AHIAIAAtACAARwBlAG4AZQByAGkAYwBcACIALAAwAC4AMAAyADUALABcACIAQwBhAGwAYwBpAHUAbQBcACIALAAwAC4AMAA0ADQALABcACIAXAAiACwAXAAiAFwAIgAsAFwAIgBcACIALABcACIAXAAiACwAXAAiAFwAIgAsAFwAIgBcACIALABcACIAXAAiACwAXAAiAFwAIgA7AFwAbgBcACIAVwBlAG4AZwBmAHUAIABBAHUAcwB0AHIAYQBsAGkAYQBcACIALABcACIAVwBlAG4AZwBmAHUAIABQAHIAaQBtAGUAWgBpAG4AYwAgADEAMABcACIALABcACIAawBnAFwAIgAsADEALABcACIAXAAiACwAXAAiAFwAIgAsAFwAIgBcACIALAAxADAALAAyADIALABcACIAXAAiACwAMQAuADUALABcACIATgBpAHQAcgBvAGcAZQBuACAALQAgAEcAZQBuAGUAcgBpAGMAXAAiACwAMAAuADEALABcACIAUABoAG8AcwBwAGgAbwByAHUAcwAgAC0AIABHAGUAbgBlAHIAaQBjAFwAIgAsADAALgAyADIALABcACIAUwB1AGwAZgB1AHIAIAAtACAARwBlAG4AZQByAGkAYwBcACIALAAwAC4AMAAxADUALABcACIAWgBpAG4AYwBcACIALAAwAC4AMAAxACwAXAAiAFwAIgAsAFwAIgBcACIALABcACIAXAAiACwAXAAiAFwAIgAsAFwAIgBcACIALABcACIAXAAiACwAXAAiAFwAIgAsAFwAIgBcACIALABcACIAXAAiACwAXAAiAFwAIgAsAFwAIgBcACIALABcACIAXAAiADsAXABuAFwAIgBXAGUAbgBnAGYAdQAgAEEAdQBzAHQAcgBhAGwAaQBhAFwAIgAsAFwAIgBXAGUAbgBnAGYAdQAgAFAAYQBzAHQAdQByAGUAIABLAGkAbgBnAFwAIgAsAFwAIgBrAGcAXAAiACwAMQAsAFwAIgBcACIALABcACIAXAAiACwAXAAiAFwAIgAsAFwAIgBcACIALAAxADUALgA3ACwAXAAiAFwAIgAsADQALgA2ACwAXAAiAFAAaABvAHMAcABoAG8AcgB1AHMAIAAtACAARwBlAG4AZQByAGkAYwBcACIALAAwAC4AMQA1ADcALABcACIAUwB1AGwAZgB1AHIAIAAtACAARwBlAG4AZQByAGkAYwBcACIALAAwAC4AMAA0ADYALABcACIAQwBhAGwAYwBpAHUAbQBcACIALAAwAC4AMQA0ACwAXAAiAFwAIgAsAFwAIgBcACIALABcACIAXAAiACwAXAAiAFwAIgAsAFwAIgBcACIALABcACIAXAAiACwAXAAiAFwAIgAsAFwAIgBcACIALABcACIAXAAiACwAXAAiAFwAIgAsAFwAIgBcACIALABcACIAXAAiACwAXAAiAFwAIgAsAFwAIgBcACIAOwBcAG4AXAAiAFcAZQBuAGcAZgB1ACAAQQB1AHMAdAByAGEAbABpAGEAXAAiACwAXAAiAFcAZQBuAGcAZgB1ACAAUwB1AFMAdABhAGkAbgBcACIALABcACIAawBnAFwAIgAsADEALABcACIAXAAiACwAXAAiAFwAIgAsAFwAIgBcACIALABcACIAXAAiACwAXAAiAFwAIgAsAFwAIgBcACIALAA5ADAALABcACIAUwB1AGwAZgB1AHIAIAAtACAARwBlAG4AZQByAGkAYwBcACIALAAwAC4AOQAsAFwAIgBcACIALABcACIAXAAi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wAYQBtAFwAIgAsAFwAIgBrAGcAXAAiACwAMQAsAFwAIgBcACIALABcACIAXAAiACwAXAAiAFwAIgAsADEAOQAuADUALAAwAC4ANwAsAFwAIgBcACIALAAyADMALABcACIATgBpAHQAcgBvAGcAZQBuACAALQAgAEcAZQBuAGUAcgBpAGMAXAAiACwAMAAuADEAOQA1ACwAXAAiAFAAaABvAHMAcABoAG8AcgB1AHMAIAAtACAARwBlAG4AZQByAGkAYwBcACIALAAwAC4AMAAwADcALABcACIAUwB1AGwAZgB1AHIAIAAtACAARwBlAG4AZQByAGkAYwBcACIALAAwAC4AMgAzACwAXAAiAFwAIgAsAFwAIgBcACIALABcACIAXAAiACwAXAAiAFwAIgAsAFwAIgBcACIALABcACIAXAAiACwAXAAiAFwAIgAsAFwAIgBcACIALABcACIAXAAiACwAXAAiAFwAIgAsAFwAIgBcACIALABcACIAXAAiACwAXAAiAFwAIgAsAFwAIgBcACIAOwBcAG4AXAAiAFcAZQBuAGcAZgB1ACAAQQB1AHMAdAByAGEAbABpAGEAXAAiACwAXAAiAFcAZQBuAGcAZgB1ACAAUAByAGkAbQBlACAATQBTAFoAXAAiACwAXAAiAGsAZwBcACIALAAxACwAXAAiAFwAIgAsAFwAIgBcACIALABcACIAXAAiACwAMQAwACwAMQA4ACwAXAAiAFwAIgAsADgALABcACIATgBpAHQAcgBvAGcAZQBuACAALQAgAEcAZQBuAGUAcgBpAGMAXAAiACwAMAAuADEALABcACIAUABoAG8AcwBwAGgAbwByAHUAcwAgAC0AIABHAGUAbgBlAHIAaQBjAFwAIgAsADAALgAxADgALABcACIAUwB1AGwAZgB1AHIAIAAtACAARwBlAG4AZQByAGkAYwBcACIALAAwAC4AMAA4ACwAXAAiAFoAaQBuAGMAXAAiACwAMAAuADAAMAA1ACwAXAAiAFwAIgAsAFwAIgBcACIALABcACIAXAAiACwAXAAiAFwAIgAsAFwAIgBcACIALABcACIAXAAiACwAXAAiAFwAIgAsAFwAIgBcACIALABcACIAXAAiACwAXAAiAFwAIgAsAFwAIgBcACIALABcACIAXAAiADsAXABuAFwAIgBXAGUAbgBnAGYAdQAgAEEAdQBzAHQAcgBhAGwAaQBhAFwAIgAsAFwAIgBXAGUAbgBnAGYAdQAgADkALQAyADAALQAwAC0AMQAwACAATQBBAFAAIABTAHUAUwB0AGEAaQBu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MQA1AC0AMQA3AC0AMAAtADEANQAgAEQAQQBQACAAUwB1AFMAdABhAGkAbgBcACIALABcACIAawBnAFwAIgAsADEALABcACIAXAAiACwAXAAiAFwAIgAsAFwAIgBcACIALAAxADUALgAyACwAMQA2AC4AOQAsADAALAAxADUALgAyACwAXAAiAE4AaQB0AHIAbwBnAGUAbgAgAC0AIABHAGUAbgBlAHIAaQBjAFwAIgAsADAALgAxADUAMgAsAFwAIgBQAGgAbwBzAHAAaABvAHIAdQBzACAALQAgAEcAZQBuAGUAcgBpAGMAXAAiACwAMAAuADEANgA5ACwAXAAiAFMAdQBsAGYAdQByACAALQAgAEcAZQBuAGUAcgBpAGMAXAAiACwAMAAuADEANQAyACwAXAAiAFwAIgAsAFwAIgBcACIALABcACIAXAAiACwAXAAiAFwAIgAsAFwAIgBcACIALABcACIAXAAiACwAXAAiAFwAIgAsAFwAIgBcACIALABcACIAXAAiACwAXAAiAFwAIgAsAFwAIgBcACIALABcACIAXAAiACwAXAAiAFwAIgAsAFwAIgBcACIAOwBcAG4AXAAiAFcAZQBuAGcAZgB1ACAAQQB1AHMAdAByAGEAbABpAGEAXAAiACwAXAAiAFcAZQBuAGcAZgB1ACAAMQA2AC0AMQA4AC0AMAAtADEAMAAgAEQAQQBQACAAUwB1AFMAdABhAGkAbgBcACIALABcACIAawBnAFwAIgAsADEALABcACIAXAAiACwAXAAiAFwAIgAsAFwAIgBcACIALAAxADYALgAyACwAMQA4ACwAMAAsADEAMAAuADQALABcACIATgBpAHQAcgBvAGcAZQBuACAALQAgAEcAZQBuAGUAcgBpAGMAXAAiACwAMAAuADEANgAyACwAXAAiAFAAaABvAHMAcABoAG8AcgB1AHMAIAAtACAARwBlAG4AZQByAGkAYwBcACIALAAwAC4AM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NQAtADEANQAtADAALQA2ACAARgBhAHMAdAAgAFMAdABhAHIAdAAgAEwAZQBnAHUAbQBlAFwAIgAsAFwAIgBrAGcAXAAiACwAMQAsAFwAIgBcACIALABcACIAXAAiACwAXAAiAFwAIgAsADUALAAxADUALgA0ACwAMAAsADYALgAzACwAXAAiAE4AaQB0AHIAbwBnAGUAbgAgAC0AIABHAGUAbgBlAHIAaQBjAFwAIgAsADAALgAwADUALABcACIAUABoAG8AcwBwAGgAbwByAHUAcwAgAC0AIABHAGUAbgBlAHIAaQBjAFwAIgAsADAALgAxADUANAAsAFwAIgBTAHUAbABmAHUAcgAgAC0AIABHAGUAbgBlAHIAaQBjAFwAIgAsADAALgAwADYAMwAsAFwAIgBcACIALABcACIAXAAiACwAXAAiAFwAIgAsAFwAIgBcACIALABcACIAXAAiACwAXAAiAFwAIgAsAFwAIgBcACIALABcACIAXAAiACwAXAAiAFwAIgAsAFwAIgBcACIALABcACIAXAAiACwAXAAiAFwAIgAsAFwAIgBcACIALABcACIAXAAiADsAXABuAFwAIgBXAGUAbgBnAGYAdQAgAEEAdQBzAHQAcgBhAGwAaQBhAFwAIgAsAFwAIgBXAGUAbgBnAGYAdQAgADkALQAyADAALQAwAC0AMQAwACAAUAByAGkAbQBlAFoAaQBuAGM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WgBpAG4AYwBcACIALAAwAC4AMAAwADkALABcACIAXAAiACwAXAAiAFwAIgAsAFwAIgBcACIALABcACIAXAAiACwAXAAiAFwAIgAsAFwAIgBcACIALABcACIAXAAiACwAXAAiAFwAIgAsAFwAIgBcACIALABcACIAXAAiACwAXAAiAFwAIgAsAFwAIgBcACIAOwBcAG4AXAAiAFcAZQBuAGcAZgB1ACAAQQB1AHMAdAByAGEAbABpAGEAXAAiACwAXAAiAFcAZQBuAGcAZgB1ACAAMQAyAC0AMQA4AC0AMAAtADYAIABQAHIAaQBtAGUAWgBpAG4AYwBcACIALABcACIAawBnAFwAIgAsADEALABcACIAXAAiACwAXAAiAFwAIgAsAFwAIgBcACIALAAxADEALgA5ACwAMQA3AC4ANgAsADAALAA1AC4AOQAsAFwAIgBOAGkAdAByAG8AZwBlAG4AIAAtACAARwBlAG4AZQByAGkAYwBcACIALAAwAC4AMQAxADkALABcACIAUABoAG8AcwBwAGgAbwByAHUAcwAgAC0AIABHAGUAbgBlAHIAaQBjAFwAIgAsADAALgAxADcANgAsAFwAIgBTAHUAbABmAHUAcgAgAC0AIABHAGUAbgBlAHIAaQBjAFwAIgAsADAALgAwADUAOQAsAFwAIgBaAGkAbgBjAFwAIgAsADAALgAwADAAOAAsAFwAIgBcACIALABcACIAXAAiACwAXAAiAFwAIgAsAFwAIgBcACIALABcACIAXAAiACwAXAAiAFwAIgAsAFwAIgBcACIALABcACIAXAAiACwAXAAiAFwAIgAsAFwAIgBcACIALABcACIAXAAiACwAXAAiAFwAIgA7AFwAbgBcACIAVwBlAG4AZwBmAHUAIABBAHUAcwB0AHIAYQBsAGkAYQBcACIALABcACIAVwBlAG4AZwBmAHUAIAAxADQALQAxADMALQAwAC0AMQAxACAAUAByAGkAbQBlAFoAaQBuAGMAXAAiACwAXAAiAGsAZwBcACIALAAxACwAXAAiAFwAIgAsAFwAIgBcACIALABcACIAXAAiACwAMQA0AC4AMQAsADEAMgAuADgALAAwACwAMQAwAC4ANwAsAFwAIgBOAGkAdAByAG8AZwBlAG4AIAAtACAARwBlAG4AZQByAGkAYwBcACIALAAwAC4AMQA0ADEALABcACIAUABoAG8AcwBwAGgAbwByAHUAcwAgAC0AIABHAGUAbgBlAHIAaQBjAFwAIgAsADAALgAxADIAOAAsAFwAIgBTAHUAbABmAHUAcgAgAC0AIABHAGUAbgBlAHIAaQBjAFwAIgAsADAALgAxADAANwAsAFwAIgBaAGkAbgBjAFwAIgAsADAALgAwADA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wAbgAgACAAUAByAG8AZAB1AGMAdAAsAFwAbgAgACAAUAByAG8AZAB1AGMAdABBAHQAdAByAGkAYgB1AHQAZQAsAFwAbgAgACAAUAByAG8AZAB1AGMAdABBAHIAcgBhAHkALABcAG4AIAAgAFAAcgBvAGQAdQBjAHQAQQByAHIAYQB5AEMAbwBsAHUAbQBuACwAXABuACAAIABQAHIAbwBkAHUAYwB0AEEAcgByAGEAeQBIAGUAYQBkAGUAcgBzACwAXABuACAAIABJAEYARQBSAFIATwBSACgAXABuACAAIAAgACAASQBOAEQARQBYACgAXABuACAAIAAgACAAIAAgAFAAcgBvAGQAdQBjAHQAQQByAHIAYQB5ACwAXABuACAAIAAgACAAIAAgAFgATQBBAFQAQwBIACgAXABuACAAIAAgACAAIAAgACAAIABUAFIASQBNACgAXABuACAAIAAgACAAIAAgACAAIAAgACAAUAByAG8AZAB1AGMAdABcAG4AIAAgACAAIAAgACAAIAAgACkALABcAG4AIAAgACAAIAAgACAAIAAgAFAAcgBvAGQAdQBjAHQAQQByAHIAYQB5AEMAbwBsAHUAbQBuACwAXABuACAAIAAgACAAIAAgACAAIAAwAFwAbgAgACAAIAAgACAAIAApACwAXABuACAAIAAgACAAIAAgAFgATQBBAFQAQwBIACgAXABuACAAIAAgACAAIAAgACAAIABUAFIASQBNACgAXABuACAAIAAgACAAIAAgACAAIAAgACAAUAByAG8AZAB1AGMAdABBAHQAdAByAGkAYgB1AHQAZQBcAG4AIAAgACAAIAAgACAAIAAgACkALABcAG4AIAAgACAAIAAgACAAIAAgAFAAcgBvAGQAdQBjAHQAQQByAHIAYQB5AEgAZQBhAGQAZQByAHMALABcAG4AIAAgACAAIAAgACAAIAAgADAAXABuACAAIAAgACAAIAAgACkAXABuACAAIAAgACAAKQAsAFwAbgAgACAAIAAgAFwAIgBcACIAXABuACAAIAApAFwAbgApADsAXABuAFwAbgBGAGUAcgB0AGkAbABpAHMAZQByAF8AUwB1AG0AUAByAG8AZAB1AGMAdABBAHAAcABsAGkAZQBkAFwAbgA9AEwAQQBNAEIARABBACgAXABuACAAIABMAG8AbwBrAHUAcABUAGEAcgBnAGUAdAAxACwAXABuACAAIABMAG8AbwBrAHUAcABBAHIAcgBhAHkAMQAsAFwAbgAgACAAQQBtAG8AdQBuAHQAQQBwAHAAbABpAGUAZAAsAFwAbgAgACAAWwBMAG8AbwBrAHUAcABUAGEAcgBnAGUAdAAyAF0ALABcAG4AIAAgAFsATABvAG8AawB1AHAAQQByAHIAYQB5ADIAXQAsAFwAbgAgACAATABFAFQAKABcAG4AIAAgACAAIABjAHIAaQB0AGUAcgBpAGEAMQAsAFwAbgAgACAAIAAgAC0ALQAoAFwAbgAgACAAIAAgACAAIABMAG8AbwBrAHUAcABBAHIAcgBhAHkAMQAgAD0AIABMAG8AbwBrAHUAcABUAGEAcgBnAGUAdAAxAFwAbgAgACAAIAAgACkALABcAG4AIAAgACAAIABjAHIAaQB0AGUAcgBpAGEAMgAsAFwAbgAgACAAIAAgAEkARgAoAFwAbgAgACAAIAAgACAAIABJAFMATwBNAEkAVABUAEUARAAoAFwAbgAgACAAIAAgACAAIAAgACAATABvAG8AawB1AHAAVABhAHIAZwBlAHQAMgBcAG4AIAAgACAAIAAgACAAKQAsAFwAbgAgACAAIAAgACAAIAAxACwAXABuACAAIAAgACAAIAAgAC0ALQAoAFwAbgAgACAAIAAgACAAIAAgACAATABvAG8AawB1AHAAQQByAHIAYQB5ADIAIAA9ACAATABvAG8AawB1AHAAVABhAHIAZwBlAHQAMgBcAG4AIAAgACAAIAAgACAAKQBcAG4AIAAgACAAIAApACwAXABuACAAIAAgACAAUwBVAE0AUABSAE8ARABVAEMAVAAoAFwAbgAgACAAIAAgACAAIABJAEYARQBSAFIATwBSACgAYwByAGkAdABlAHIAaQBhADEAIAAqACAAYwByAGkAdABlAHIAaQBhADIAIAAqACAAQQBtAG8AdQBuAHQAQQBwAHAAbABpAGUAZAAsACAAMAApAFwAbgAgACAAIAAgACkAXABuACAAIAApAFwAbgApADsAXABuAFwAbgBGAGUAcgB0AGkAbABpAHMAZQByAF8AVABvAHQAYQBsAFMAbwBpAGwAQQBtAGUAbgBkAG0AZQBuAHQAQQBwAHAAbABpAGUAZABcAG4APQBMAEEATQBCAEQAQQAoAFwAbgAgACAAQQBtAG8AdQBuAHQAQQBwAHAAbABpAGUAZAAsAFwAbgAgACAAQQBtAGUAbgBkAG0AZQBuAHQAUABlAHIAYwBlAG4AdAAsAFwAbgAgACAAUwBVAE0AUABSAE8ARABVAEMAVAAoAFwAbgAgACAAIAAgAEEAbQBvAHUAbgB0AEEAcABwAGwAaQBlAGQAIAAqACAAQQBtAGUAbgBkAG0AZQBuAHQAUABlAHIAYwBlAG4AdABcAG4AIAAgACkAXABuACkAOw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FwAbgAgACAAIAAgACAAIAApACwAXABuACAAIAAgACAAIAAgADAAXABuACAAIAAgAC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FAAcgBvAGQAdQBjAHQASQBuAGcAcgBlAGQAaQBlAG4AdABTAG8AdQByAGMAZQAsAFwAbgAgACAAIAAgAEkARgAoAFwAbgAgACAAIAAgACAAIABQAHIAbwBkAHUAYwB0AEkAbgBnAHIAZQBkAGkAZQBuAHQAUwBvAHUAcgBjAGUAIAA9ACAAXAAiAFwAIgAsAFwAbgAgACAAIAAgACAAIABcACIARwBsAG8AYgBhAGwAXAAiACwAXABuACAAIAAgACAAIAAgAFAAcgBvAGQAdQBjAHQASQBuAGcAcgBlAGQAaQBlAG4AdABTAG8AdQByAGMAZQ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AsAFwAbgAgACAAIAAgACAAIABTAG8AdQByAGMAZQAsAFwAbgAgACAAIAAgACAAIABQAHIAbwBkAHUAYwB0AEkAbgBnAHIAZQBkAGkAZQBuAHQAUwBvAHUAcgBjAGU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AsAFwAbgAgACAAIAAgACAAIAAgACAAUwBvAHUAcgBjAGUALABcAG4AIAAgACAAIAAgACAAIAAgAFAAcgBvAGQAdQBjAHQASQBuAGcAcgBlAGQAaQBlAG4AdABTAG8AdQByAGMAZQBcAG4AIAAgACAAIAAgACAAKQAsAFwAbgAgACAAIAAgACAAIAAwAFwAbgAgACAAIAAgACkAXABuACAAIAApAFwAbgApADsAXABuAFwAbgBGAGUAcgB0AGkAbABpAHMAZQByAF8ARwBlAHQAUwBjAG8AcABlADMARQBGAFwAbgA9AEwAQQBNAEIARABBACgAXABuACAAIABDAGgAZQBtAGkAYwBhAGwAQwBvAG0AcABvAHUAbgBkACwAXABuACAAIABTAGMAbwBwAGUAMwBBAHIAcgBhAHkALABcAG4AIAAgAEMAaABlAG0AaQBjAGEAbABDAG8AbQBwAG8AdQBuAGQAQwBvAGwAdQBtAG4ALABcAG4AIAAgAFMAbwB1AHIAYwBlACwAXABuACAAIABTAG8AdQByAGMAZQBSAG8AdwAsAFwAbgAgACAASQBOAEQARQBYACgAXABuACAAIAAgACAAUwBjAG8AcABlADM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UwBvAHUAcgBjAGUALABcAG4AIAAgACAAIAAgACAAUwBvAHUAcgBjAGUAUgBvAHcALABcAG4AIAAgACAAIAAgACAAMABcAG4AIAAgACAAIAApAFwAbgAgACAAKQBcAG4AKQA7AFwAbgBcAG4ARgBlAHIAdABpAGwAaQBzAGUAcgBfAEcAZQB0AEMAaABlAG0AaQBjAGEAbABDAG8AbQBwAG8AdQBuAGQARQBsAGUAbQBlAG4AdABGAHIAYQBjAHQAaQBvAG4AXABuAD0ATABBAE0AQgBEAEEAKABcAG4AIAAgAEMAaABlAG0AaQBjAGEAbABDAG8AbQBwAG8AdQBuAGQALABcAG4AIAAgAEUAbABlAG0AZQBuAHQALABcAG4AIAAgAEMAaABlAG0AaQBjAGEAbABDAG8AbQBwAG8AdQBuAGQAQQByAHIAYQB5ACwAXABuACAAIABDAGgAZQBtAGkAYwBhAGwAQwBvAG0AcABvAHUAbgBkAEMAbwBsAHUAbQBuACwAXABuACAAIABFAGwAZQBtAGUAbgB0AFIAbwB3ACwAXABuACAAIABJAE4ARABFAFgAKABcAG4AIAAgACAAIABDAGgAZQBtAGkAYwBhAGwAQwBvAG0AcABvAHUAbgBk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EUAbABlAG0AZQBuAHQALABcAG4AIAAgACAAIAAgACAARQBsAGUAbQBlAG4AdABSAG8AdwAsAFwAbgAgACAAIAAgACAAIAAwAFwAbgAgACAAIAAgACkAXABu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IAAxAFwAIgAsACAAXAAiAEIAdQBsAGwAIABcAHUAMAAwADMAZQAgADEAXAAiACwAIABcACIAQwBvAHcAIABcAHUAMAAwADMAYwAgADEAXAAiACwAIABcACIAQwBvAHcAIAAxAC0AMgBcACIALAAgAFwAIgBDAG8AdwAgAFwAdQAwADAAMwBlACAAMgBcACIALAAgAFwAIgBTAHQAZQBlAHIAIABcAHUAMAAwADMAYwAgADEAXAAiACwAIABcACIAUwB0AGUAZQByACAAXAB1ADAAMAAzAGU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BzACAAXAB1ADAAMAAzAGMAMQBcACIALAAgAFwAIgBDAG8AdwBzACAAMQAtADIAXAAiACwAIABcACIAQwBvAHcAcwAgADIALQAzAFwAIgAsACAAXAAiAEMAbwB3AHM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FwAdQAwADAAMgA3AG4ALwBhAFwAdQAwADAAMgA3ACAAdwBpAHQAaAAgAFwAdQAwADAAMgA3AFMAbwB1AHQAaAAgAFcAZQBzAHQAXAB1ADAAMAAyAD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FwAdQAwADAAMwBlADIAXAAiACwAIABcACIAUwB0AGUAZQByACAAXAB1ADAAMAAzAGMAMQBcACIALAAgAFwAIgBTAHQAZQBlAHIAIABcAHUAMAAwADMAZQ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DIALQAzAFwAIgAsACAAXAAiAEMAbwB3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XAB1ADAAMAAyADcAUwB0AGEAdABlACAAYQBiAGIAcgBlAHYAaQBhAHQAaQBvAG4AXAB1ADAAMAAyAD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FwAdQAwADAAMwBjADEAXAAiACwAIABcACIAQgB1AGwAbABzACAAXAB1ADAAMAAzAGUAMQBcACIALAAgAFwAIgBDAG8AdwBzACAAXAB1ADAAMAAzAGMAMQBcACIALAAgAFwAIgBDAG8AdwBzACAAMQAtADIAXAAiACwAIABcACIAQwBvAHcAcwAgAFwAdQAwADAAMwBlADIAXAAiACwAIABcACIAUwB0AGUAZQByACAAXAB1ADAAMAAzAGMAMQBcACIALAAgAFwAIgBTAHQAZQBlAHIAIABcAHUAMAAwADMAZQ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8AdQByAGMAZQBEAGEAdABhAF8ARABhAGkAcgB5ACIALAAiAHQAZQB4AHQAIgA6ACIAXABuAC8AKgAgAFwAbgAtAC0ALQAtAC0ALQAtAC0ALQAtAC0ALQAtAC0ALQAtAC0ALQAtAC0ALQAtAC0ALQAtAC0ALQAtAC0ALQAtAC0ALQAtAC0ALQAtAC0AXABuAFMAbwB1AHIAYwBlAEQAYQB0AGEAXwBEAGEAaQByAHkAXwBMAGkAdgBlAHcAZQBpAGcAaAB0AEMAbwB3AHMAQQBuAGQASABlAGkAZgBlAHIAcwBcAG4AVABhAGIAbABlACAAQQAuADEALgAzAC4AMQA6ACAARABhAGkAcgB5ACAAYwBhAHQAdABsAGUAIAAtACAATABpAHYAZQB3AGUAaQBnAGgAdAAgACgAawBnACkAIAAtACAAQwBvAHcAcwAgAGEAbgBkACAASABlAGkAZgBlAHIAcwAgACgAVwBqACkAXABuAC0ALQAtAC0ALQAtAC0ALQAtAC0ALQAtAC0ALQAtAC0ALQAtAC0ALQAtAC0ALQAtAC0ALQAtAC0ALQAtAC0ALQAtAC0ALQAtAC0ALQBcAG4AKgAvAFwAbgBcAG4AUwBvAHUAcgBjAGUARABhAHQAYQBfAEQAYQBpAHIAeQBfAEwAaQB2AGUAdwBlAGkAZwBoAHQAQwBvAHcAcwBBAG4AZABIAGUAaQBmAGUAcgBzAF8AVABpAHQAbABlAFwAbgAgACAAPQBMAEEATQBCAEQAQQAoAFwAIgBUAGEAYgBsAGUAIABBAC4AMQAuADMALgAxADoAIABEAGEAaQByAHkAIABjAGEAdAB0AGwAZQAgAC0AIABMAGkAdgBlAHcAZQBpAGcAaAB0ACAAKABrAGcAKQAgAC0AIABDAG8AdwBzACAAYQBuAGQAIABIAGUAaQBmAGUAcgBzACAAKABXAGoAKQBcACIAKQA7AFwAbgBcAG4AUwBvAHUAcgBjAGUARABhAHQAYQBfAEQAYQBpAHIAeQBfAEwAaQB2AGUAdwBlAGkAZwBoAHQAQwBvAHcAcwBBAG4AZABIAGUAaQBmAGUAcgBzAF8AVgBhAHIAaQBhAGIAbABlAFwAbgAgACAAPQBMAEEATQBCAEQAQQAoAFwAIgBXAGoAXAAiACkAOwBcAG4AXABuAFMAbwB1AHIAYwBlAEQAYQB0AGEAXwBEAGEAaQByAHkAXwBMAGkAdgBlAHcAZQBpAGcAaAB0AEMAbwB3AHMAQQBuAGQASABlAGkAZgBlAHIAcwBfAFUAbgBpAHQAXABuACAAIAA9AEwAQQBNAEIARABBACgAXAAiAGsAZwBcACIAKQA7AFwAbgBcAG4AUwBvAHUAcgBjAGUARABhAHQAYQBfAEQAYQBpAHIAeQBfAEwAaQB2AGUAdwBlAGkAZwBoAHQAQwBvAHcAcwBBAG4AZABIAGUAaQBmAGUAcgBzAF8AUwBvAHUAcgBjAGUAXABuACAAIAA9AEwAQQBNAEIARABBACgAXAAiAFYARQBFAFIARwAgADIAMAAyADYAOgAgAFQAYQBiAGwAZQAgAEEALgAxAC4AMwAuADEAXAAiACkAOwBcAG4AXABuAFMAbwB1AHIAYwBlAEQAYQB0AGEAXwBEAGEAaQByAHkAXwBMAGkAdgBlAHcAZQBpAGcAaAB0AEMAbwB3AHMAQQBuAGQASABlAGkAZgBlAHIAcwBfAFYAYQByAGkAYQB0AGkAbwBuAFwAbgAgACAAPQBMAEEATQBCAEQAQQAoAFwAIgBWAEEAUgBJAEEAVABJAE8ATgAgAE8ARgAgAFMATwBVAFIAQwBFADoAIABFAHgAYwBsAHUAZABlAGQAIABcAHUAMAAwADIANwBSAGUAZgBlAHIAZQBuAGMAZQBcAHUAMAAwADIANwAsACAAYQBzACAAdABoAGUAIAB2AGEAbAB1AGUAIABpAHMAIABjAG8AbgBzAGkAcwB0AGUAbgB0AGwAeQAgAFwAdQAwADAAMgA3AEQAYQBpAHIAeQAgAEEAdQBzAHQAcgBhAGwAaQBhACAAWwAxAF0AXAB1ADAAMAAyAD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XAB1ADAAMAAzAGUAMQBcACIALAAgAFwAIgBIAGUAaQBmAGUAcgBzACAAXAB1ADAAMAAzAGMAMQAgACgAdwBlAGEAbgBlAGQAKQBcACIAOwBcAG4AIAAgACAAIAAgACAAIAAgACAAIABcACIATQBlAGQAaQB1AG0AIABGAHIAaQBlAHMAaQBhAG4AXAAiACwAIAA1ADUAMAAsACAAMwA4ADAALAAgADEANQA1ADsAXABuACAAIAAgACAAIAAgACAAIAAgACAAXAAiAEwAYQByAGcAZQAgAEYAcgBpAGUAcwBpAGEAbgBcACIALAAgADYAMAAwACwAIAA0ADEANQAsACAAMQA3ADAAOwBcAG4AIAAgACAAIAAgACAAIAAgACAAIABcACIASABvAGwAcwB0AGUAaQBuAC0ARgByAGkAZQBzAGkAYQBuAFwAIgAsACAANgA1ADAALAAgADQANQAwACwAIAAxADgANQA7AFwAbgAgACAAIAAgACAAIAAgACAAIAAgAFwAIgBGAHIAaQBlAHMAaQBhAG4AIABjAHIAbwBzAHMAYgByAGUAZABcACIALAAgADUAMAAwACwAIAAzADUAMAAsACAAMQA0ADUAOwBcAG4AIAAgACAAIAAgACAAIAAgACAAIABcACIASgBlAHIAcwBlAHkAXAAiACwAIAA0ADAAMAAsACAAMgA3ADUALAAgADEAMQA1ADsAXABuACAAIAAgACAAIAAgACAAIAAgACAAXAAiAEoAZQByAHMAZQB5ACAAYwByAG8AcwBzAGIAcgBlAGQAXAAiACwAIAA0ADUAMAAsACAAMwAxADUALAAgADEAMwAwADsAXABuACAAIAAgACAAIAAgACAAIAAgACAAXAAiAEEAeQByAHMAaABpAHIAZQBcACIALAAgADUANAAwACwAIAAzADcANQAsACAAMQA1ADAAOwBcAG4AIAAgACAAIAAgACAAIAAgACAAIABcACIARwB1AGUAcgBuAHMAZQB5AFwAIgAsACAANAA4ADAALAAgADMAMwA1ACwAIAAxADQAMAA7AFwAbgAgACAAIAAgACAAIAAgACAAIAAgAFwAIgBCAHIAbwB3AG4AIABTAHcAaQBzAHMAXAAiACwAIAA2ADAAMAAsACAANAAxADUALAAgADEANwAwADsAXABuACAAIAAgACAAIAAgACAAIAAgACAAXAAiAEkAbABsAGEAdwBhAHIAcgBhAC8AQQB1AHMAcwBpAGUAIABSAGUAZABcACIALAAgADUANQAwACwAIAAzADcANQAsACAAMQA1ADA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ABpAHYAZQB3AGUAaQBnAGgAdABCAHUAbABsAHMAXABuAFQAYQBiAGwAZQAgAEEALgAxAC4AMwAuADIAOgAgAEQAYQBpAHIAeQAgAGMAYQB0AHQAbABlACAALQAgAEwAaQB2AGUAdwBlAGkAZwBoAHQAIAAoAGsAZwApACAALQAgAEIAdQBsAGwAcwAgACgAVwBqACkAXABuAC0ALQAtAC0ALQAtAC0ALQAtAC0ALQAtAC0ALQAtAC0ALQAtAC0ALQAtAC0ALQAtAC0ALQAtAC0ALQAtAC0ALQAtAC0ALQAtAC0ALQBcAG4AKgAvAFwAbgBcAG4AUwBvAHUAcgBjAGUARABhAHQAYQBfAEQAYQBpAHIAeQBfAEwAaQB2AGUAdwBlAGkAZwBoAHQAQgB1AGwAbABzAF8AVABpAHQAbABlAFwAbgAgACAAPQBMAEEATQBCAEQAQQAoAFwAIgBUAGEAYgBsAGUAIABBAC4AMQAuADMALgAyADoAIABEAGEAaQByAHkAIABjAGEAdAB0AGwAZQAgAC0AIABMAGkAdgBlAHcAZQBpAGcAaAB0ACAAKABrAGcAKQAgAC0AIABCAHUAbABsAHMAIAAoAFcAagApAFwAIgApADsAXABuAFwAbgBTAG8AdQByAGMAZQBEAGEAdABhAF8ARABhAGkAcgB5AF8ATABpAHYAZQB3AGUAaQBnAGgAdABCAHUAbABsAHMAXwBWAGEAcgBpAGEAYgBsAGUAXABuACAAIAA9AEwAQQBNAEIARABBACgAXAAiAFcAagBcACIAKQA7AFwAbgBcAG4AUwBvAHUAcgBjAGUARABhAHQAYQBfAEQAYQBpAHIAeQBfAEwAaQB2AGUAdwBlAGkAZwBoAHQAQgB1AGwAbABzAF8AVQBuAGkAdABcAG4AIAAgAD0ATABBAE0AQgBEAEEAKABcACIAawBnAFwAIgApADsAXABuAFwAbgBTAG8AdQByAGMAZQBEAGEAdABhAF8ARABhAGkAcgB5AF8ATABpAHYAZQB3AGUAaQBnAGgAdABCAHUAbABsAHMAXwBTAG8AdQByAGMAZQBcAG4AIAAgAD0ATABBAE0AQgBEAEEAKABcACIAVgBFAEUAUgBHACAAMgAwADIANgA6ACAAVABhAGIAbABlACAAQQAuADEALgAzAC4AMgBcACIAKQA7AFwAbgBcAG4AUwBvAHUAcgBjAGUARABhAHQAYQBfAEQAYQBpAHIAeQBfAEwAaQB2AGUAdwBlAGkAZwBoAHQAQgB1AGwAbABzAF8AVgBhAHIAaQBhAHQAaQBvAG4AXABuACAAIAA9AEwAQQBNAEIARABBACgAXAAiAFwAIgApADsAXABuAFwAbgBTAG8AdQByAGMAZQBEAGEAdABhAF8ARABhAGkAcgB5AF8ATABpAHYAZQB3AGUAaQBnAGgAdABCAHUAbABsAHMAXwBEAGEAdABhAFwAbgAgACAAPQBMAEEATQBCAEQAQQAoAFwAbgAgACAAIAAgAE0AQQBLAEUAQQBSAFIAQQBZACgAMgAsACAAMwAsAFwAbgAgACAAIAAgACAAIABMAEEATQBCAEQAQQAoAHIALABjACwAXABuACAAIAAgACAAIAAgACAAIABJAE4ARABFAFgAKAB7AFwAbgAgACAAIAAgACAAIAAgACAAIAAgAFwAIgBCAHIAZQBlAGQAXAAiACwAIABcACIAQgB1AGwAbABzACAAXAB1ADAAMAAzAGUAMQBcACIALAAgAFwAIgBCAHUAbABsAHMAIABcAHUAMAAwADMAYwAxACAAKAB3AGUAYQBuAGUAZAApAFwAIgA7AFwAbgAgACAAIAAgACAAIAAgACAAIAAgAFwAIgBBAGwAbAAgAGIAcgBlAGUAZABzAFwAIgAsACAANgAwADAALAAgADIAMgA1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ABpAHYAZQB3AGUAaQBnAGgAdABHAGEAaQBuAFwAbgBUAGEAYgBsAGUAIABBAC4AMQAuADMALgAzADoAIABEAGEAaQByAHkAIABjAGEAdAB0AGwAZQAgAC0AIABMAGkAdgBlAHcAZQBpAGcAaAB0ACAAZwBhAGkAbgAgACgAawBnACkAIAAoAEwAVwBHAGoAKQBcAG4ALQAtAC0ALQAtAC0ALQAtAC0ALQAtAC0ALQAtAC0ALQAtAC0ALQAtAC0ALQAtAC0ALQAtAC0ALQAtAC0ALQAtAC0ALQAtAC0ALQAtAFwAbgAqAC8AXABuAFwAbgBTAG8AdQByAGMAZQBEAGEAdABhAF8ARABhAGkAcgB5AF8ATABpAHYAZQB3AGUAaQBnAGgAdABHAGEAaQBuAF8AVABpAHQAbABlAFwAbgAgACAAPQBMAEEATQBCAEQAQQAoAFwAIgBUAGEAYgBsAGUAIABBAC4AMQAuADMALgAzADoAIABEAGEAaQByAHkAIABjAGEAdAB0AGwAZQAgAC0AIABMAGkAdgBlAHcAZQBpAGcAaAB0ACAAZwBhAGkAbgAgACgAawBnACkAIAAoAEwAVwBHAGoAKQBcACIAKQA7AFwAbgBcAG4AUwBvAHUAcgBjAGUARABhAHQAYQBfAEQAYQBpAHIAeQBfAEwAaQB2AGUAdwBlAGkAZwBoAHQARwBhAGkAbgBfAFYAYQByAGkAYQBiAGwAZQBcAG4AIAAgAD0ATABBAE0AQgBEAEEAKABcACIATABXAEcAagBcACIAKQA7AFwAbgBcAG4AUwBvAHUAcgBjAGUARABhAHQAYQBfAEQAYQBpAHIAeQBfAEwAaQB2AGUAdwBlAGkAZwBoAHQARwBhAGkAbgBfAFUAbgBpAHQAXABuACAAIAA9AEwAQQBNAEIARABBACgAXAAiAGsAZwBcACIAKQA7AFwAbgBcAG4AUwBvAHUAcgBjAGUARABhAHQAYQBfAEQAYQBpAHIAeQBfAEwAaQB2AGUAdwBlAGkAZwBoAHQARwBhAGkAbgBfAFMAbwB1AHIAYwBlAFwAbgAgACAAPQBMAEEATQBCAEQAQQAoAFwAIgBWAEUARQBSAEcAIAAyADAAMgA2ADoAIABUAGEAYgBsAGUAIABBAC4AMQAuADMALgAzAFwAIgApADsAXABuAFwAbgBTAG8AdQByAGMAZQBEAGEAdABhAF8ARABhAGkAcgB5AF8ATABpAHYAZQB3AGUAaQBnAGgAdABHAGEAaQBuAF8AVgBhAHIAaQBhAHQAaQBvAG4AXABuACAAIAA9AEwAQQBNAEIARABBACgAXAAiAFwAIgApADsAXABuAFwAbgBTAG8AdQByAGMAZQBEAGEAdABhAF8ARABhAGkAcgB5AF8ATABpAHYAZQB3AGUAaQBnAGgAdABHAGEAaQBu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AALgAwADEANgAsACAAMAAuADYALAAgADAALgA1ADcALAAgADAALgAxACwAIAAwAC4AO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IAZQBmAGUAcgBlAG4AYwBlAFcAZQBpAGcAaAB0AHMAXABuAFQAYQBiAGwAZQAgAEEALgAxAC4AMwAuADQAOgAgAEQAYQBpAHIAeQAgAGMAYQB0AHQAbABlACAALQAgAFIAZQBmAGUAcgBlAG4AYwBlACAAdwBlAGkAZwBoAHQAcwAgACgAawBnACkAIAAoAFcAUgBqACkAXABuAC0ALQAtAC0ALQAtAC0ALQAtAC0ALQAtAC0ALQAtAC0ALQAtAC0ALQAtAC0ALQAtAC0ALQAtAC0ALQAtAC0ALQAtAC0ALQAtAC0ALQBcAG4AKgAvAFwAbgBcAG4AUwBvAHUAcgBjAGUARABhAHQAYQBfAEQAYQBpAHIAeQBfAFIAZQBmAGUAcgBlAG4AYwBlAFcAZQBpAGcAaAB0AHMAXwBUAGkAdABsAGUAXABuACAAIAA9AEwAQQBNAEIARABBACgAXAAiAFQAYQBiAGwAZQAgAEEALgAxAC4AMwAuADQAOgAgAEQAYQBpAHIAeQAgAGMAYQB0AHQAbABlACAALQAgAFIAZQBmAGUAcgBlAG4AYwBlACAAdwBlAGkAZwBoAHQAcwAgACgAawBnACkAIAAoAFcAUgBqACkAXAAiACkAOwBcAG4AXABuAFMAbwB1AHIAYwBlAEQAYQB0AGEAXwBEAGEAaQByAHkAXwBSAGUAZgBlAHIAZQBuAGMAZQBXAGUAaQBnAGgAdABzAF8AVgBhAHIAaQBhAGIAbABlAFwAbgAgACAAPQBMAEEATQBCAEQAQQAoAFwAIgBXAFIAagBcACIAKQA7AFwAbgBcAG4AUwBvAHUAcgBjAGUARABhAHQAYQBfAEQAYQBpAHIAeQBfAFIAZQBmAGUAcgBlAG4AYwBlAFcAZQBpAGcAaAB0AHMAXwBVAG4AaQB0AFwAbgAgACAAPQBMAEEATQBCAEQAQQAoAFwAIgBrAGcAXAAiACkAOwBcAG4AXABuAFMAbwB1AHIAYwBlAEQAYQB0AGEAXwBEAGEAaQByAHkAXwBSAGUAZgBlAHIAZQBuAGMAZQBXAGUAaQBnAGgAdABzAF8AUwBvAHUAcgBjAGUAXABuACAAIAA9AEwAQQBNAEIARABBACgAXAAiAFYARQBFAFIARwAgADIAMAAyADYAOgAgAFQAYQBiAGwAZQAgAEEALgAxAC4AMwAuADQAXAAiACkAOwBcAG4AXABuAFMAbwB1AHIAYwBlAEQAYQB0AGEAXwBEAGEAaQByAHkAXwBSAGUAZgBlAHIAZQBuAGMAZQBXAGUAaQBnAGgAdABzAF8AVgBhAHIAaQBhAHQAaQBvAG4AXABuACAAIAA9AEwAQQBNAEIARABBACgAXAAiAFwAIgApADsAXABuAFwAbgBTAG8AdQByAGMAZQBEAGEAdABhAF8ARABhAGkAcgB5AF8AUgBlAGYAZQByAGUAbgBjAGUAVwBlAGkAZwBoAHQAcw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BcAHUAMAAwADIANwBBAG4AaQBtAGEAbAAgAGMAbABhAHMAcwAgAGoAXAB1ADAAMAAyADcAIABjAG8AbAB1AG0AbgAgAGgAZQBhAGQAZQByAFwAIgApADsAXABuAFwAbgBTAG8AdQByAGMAZQBEAGEAdABhAF8ARABhAGkAcgB5AF8AUAByAGUAVwBlAGEAbgBlAGQAQwBhAGwAdgBlAHMAXwBEAGEAdABhAFwAbgAgACAAPQBMAEEATQBCAEQAQQAoAFwAbgAgACAAIAAgAE0AQQBLAEUAQQBSAFIAQQBZACgANAAsACAANAAsAFwAbgAgACAAIAAgACAAIABMAEEATQBCAEQAQQAoAHIALABjACwAXABuACAAIAAgACAAIAAgACAAIABJAE4ARABFAFgAKAB7AFwAbgAgACAAIAAgACAAIAAgACAAIAAgAFwAIgBBAG4AaQBtAGEAbAAgAGMAbABhAHMAcwAgAGoAXAAiACwAIABcACIAQwBIADQAIABwAHIAbwBkAHUAYwB0AGkAbwBuAFwAIgAsACAAXAAiAFYAbwBsAGEAdABpAGwAZQAgAHMAbwBsAGkAZABzACAAKABWAFMAagA9ADMALAA1ACkAXAAiACwAIABcACIATgBpAHQAcgBvAGcAZQBuACAARQB4AGMAcgBlAHQAZQBkACAAKABOAFAAVwBqAD0AMwAsADUAKQBcACIAOwBcAG4AIAAgACAAIAAgACAAIAAgACAAIABcACIAXAAiACwAIABcACIAKABrAGcALwBkAGEAeQApAFwAIgAsACAAXAAiACgAawBnAC8AZABhAHkAKQBcACIALAAgAFwAIgAoAGsAZwAvAGQAYQB5ACkAXAAiADsAXABuACAAIAAgACAAIAAgACAAIAAgACAAXAAiAEgAZQBpAGYAZQByAHMAXAB1ADAAMAAzAGMAMQBcACIALAAgADAALgAwADEANwA2ACwAIAAwAC4AMgA2ADgANQAsACAAMAAuADAAMQAzADcAOwBcAG4AIAAgACAAIAAgACAAIAAgACAAIABcACIAQgB1AGwAbABzAFwAdQAwADAAMwBjADEAXAAiACwAIAAwAC4AMAAyADAANAAsACAAMAAuADMAMAAwADMALAAgADAALgAwADAAOQAy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QBDAEYAXABuAFQAYQBiAGwAZQAgAEEALgAxAC4AMwAuADYAOgAgAEQAYQBpAHIAeQAgAGMAYQB0AHQAbABlACAALQAgAEQAYQBpAHIAeQAgAGMAYQB0AHQAbABlACAALQAgAE0AQwBGAHMAIAAoAGYAcgBhAGMAdABpAG8AbgApACAAKABNAEMARgBqAG0AKQBcAG4ALQAtAC0ALQAtAC0ALQAtAC0ALQAtAC0ALQAtAC0ALQAtAC0ALQAtAC0ALQAtAC0ALQAtAC0ALQAtAC0ALQAtAC0ALQAtAC0ALQAtAFwAbgAqAC8AXABuAFwAbgBTAG8AdQByAGMAZQBEAGEAdABhAF8ARABhAGkAcgB5AF8ATQBDAEYAXwBUAGkAdABsAGUAXABuACAAIAA9AEwAQQBNAEIARABBACgAXAAiAFQAYQBiAGwAZQAgAEEALgAxAC4AMwAuADYAOgAgAEQAYQBpAHIAeQAgAGMAYQB0AHQAbABlACAALQAgAEQAYQBpAHIAeQAgAGMAYQB0AHQAbABlACAALQAgAE0AQwBGAHMAIAAoAGYAcgBhAGMAdABpAG8AbgApACAAKABNAEMARgBqAG0AKQBcACIAKQA7AFwAbgBcAG4AUwBvAHUAcgBjAGUARABhAHQAYQBfAEQAYQBpAHIAeQBfAE0AQwBGAF8AVgBhAHIAaQBhAGIAbABlAFwAbgAgACAAPQBMAEEATQBCAEQAQQAoAFwAIgBNAEMARgBqAG0AXAAiACkAOwBcAG4AXABuAFMAbwB1AHIAYwBlAEQAYQB0AGEAXwBEAGEAaQByAHkAXwBNAEMARgBfAFUAbgBpAHQAXABuACAAIAA9AEwAQQBNAEIARABBACgAXAAiAGYAcgBhAGMAdABpAG8AbgBcACIAKQA7AFwAbgBcAG4AUwBvAHUAcgBjAGUARABhAHQAYQBfAEQAYQBpAHIAeQBfAE0AQwBGAF8AUwBvAHUAcgBjAGUAXABuACAAIAA9AEwAQQBNAEIARABBACgAXAAiAFYARQBFAFIARwAgADIAMAAyADYAOgAgAFQAYQBiAGwAZQAgAEEALgAxAC4AMwAuADYAXAAiACkAOwBcAG4AXABuAFMAbwB1AHIAYwBlAEQAYQB0AGEAXwBEAGEAaQByAHkAXwBNAEMARg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4AaQB0AHIAbwB1AHMATwB4AGkAZABlAEUARgBzAEEAbgBkAEYAcgBhAGMARwBBAFMATQBfAEQAYQB0AGEAXABuACAAIAA9AEwAQQBNAEIARABBACgAXABuACAAIAAgACAATQBBAEsARQBBAFIAUgBBAFkAKAA2ACwAIAA0ACwAXABuACAAIAAgACAAIAAgAEwAQQBNAEIARABBACgAcgAsAGMALABcAG4AIAAgACAAIAAgACAAIAAgAEkATgBEAEUAWAAoAHsAXABuACAAIAAgACAAIAAgACAAIAAgACAAXAAiAE0ATQBTACAAbQBcACIALAAgAFwAIgBFAEYAbQAgACgAawBnACAATgAyAE8ALQBOAC8AawBnACAATgAgAGUAeABjAHIAZQB0AGUAZAApAFwAIgAsACAAXAAiAEYAcgBhAGMARwBBAFMATQBtACAAKABrAGcAIABOADIATwAtAE4ALwBrAGcAIABOACAAZQB4AGMAcgBlAHQAZQBkACkAXAAiACwAIABcACIATgBJAFIAIAByAGUAZgBlAHIAZQBuAGMAZQBcACIAOwBcAG4AIAAgACAAIAAgACAAIAAgACAAIABcACIATQA9ADEANAAgAFAAYQBzAHQAdQByAGUAXAAiACwAIAAwACwAIAAwACwAIABcACIAUABhAHMAdAB1AHIAZQAgAHIAYQBuAGcAZQAgAGEAbgBkACAAcABhAGQAZABvAGMAawBcACIAOwBcAG4AIAAgACAAIAAgACAAIAAgACAAIABcACIATQA9ADEAIABBAG4AYQBlAHIAbwBiAGkAYwAgAGwAYQBnAG8AbwBuAFwAIgAsACAAMAAsACAAMAAuADMANQAsACAAXAAiAEEAbgBhAGUAcgBvAGIAaQBjACAAbABhAGcAbwBvAG4AXAAiADsAXABuACAAIAAgACAAIAAgACAAIAAgACAAXAAiAE0APQAyACAARABhAGkAbAB5ACAAUwBwAHIAZQBhAGQAIAAtACAAUwB1AG0AcAAgAGEAbgBkACAARABpAHMAcABlAHIAcwBhAGwAXAAiACwAIAAwACwAIAAwAC4AMAA3ACwAIABcACIAUwB1AG0AcAAgAGEAbgBkACAAZABpAHMAcABlAHIAcwBhAGwAIABzAHkAcwB0AGUAbQBcACIAOwBcAG4AIAAgACAAIAAgACAAIAAgACAAIABcACIATQA9ADMAIABEAGEAaQBsAHkAIABTAHAAcgBlAGEAZAAgAC0AIABEAHIAYQBpAG4AcwAgAHQAbwAgAFAAYQBkAGQAbwBjAGsAXAAiACwAIAAwACwAIAAwAC4AMgAsACAAXAAiAEQAcgBhAGkAbgBzACAAdABvACAAcABhAGQAZABvAGMAawBcACIAOwBcAG4AIAAgACAAIAAgACAAIAAgACAAIABcACIATQA9ADMAIABTAG8AbABpAGQAIABTAHQAbwByAGEAZwBlAFwAIgAsACAAMAAuADAAMAA1ACwAIAAwAC4AMwAsACAAXAAiAFMAbwBsAGkAZ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0AZQB0AGgAYQBuAGUAUAByAG8AZAB1AGMAdABpAG8AbgBQAHIAZQBXAGUAYQBuAGUAZABDAGEAbAB2AGUAcwBcAG4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BuAC0ALQAtAC0ALQAtAC0ALQAtAC0ALQAtAC0ALQAtAC0ALQAtAC0ALQAtAC0ALQAtAC0ALQAtAC0ALQAtAC0ALQAtAC0ALQAtAC0ALQBcAG4AKgAvAFwAbgBcAG4AUwBvAHUAcgBjAGUARABhAHQAYQBfAEQAYQBpAHIAeQBfAE0AZQB0AGgAYQBuAGUAUAByAG8AZAB1AGMAdABpAG8AbgBQAHIAZQBXAGUAYQBuAGUAZABDAGEAbAB2AGUAcwBfAFQAaQB0AGwAZQBcAG4AIAAgAD0ATABBAE0AQgBEAEEAKABcACI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AiACkAOwBcAG4AXABuAFMAbwB1AHIAYwBlAEQAYQB0AGEAXwBEAGEAaQByAHkAXwBNAGUAdABoAGEAbgBlAFAAcgBvAGQAdQBjAHQAaQBvAG4AUAByAGUAVwBlAGEAbgBlAGQAQwBhAGwAdgBlAHMAXwBWAGEAcgBpAGEAYgBsAGUAXABuACAAIAA9AEwAQQBNAEIARABBACgAXAAiAE0AUABXAEUATgBUAEUAUgBJAEMALABqAD0AMwAsADUAXAAiACkAOwBcAG4AXABuAFMAbwB1AHIAYwBlAEQAYQB0AGEAXwBEAGEAaQByAHkAXwBNAGUAdABoAGEAbgBlAFAAcgBvAGQAdQBjAHQAaQBvAG4AUAByAGUAVwBlAGEAbgBlAGQAQwBhAGwAdgBlAHMAXwBVAG4AaQB0AFwAbgAgACAAPQBMAEEATQBCAEQAQQAoAFwAIgBrAGcAIABDAEgANAAvAGgAZQBhAGQALwBkAGEAeQBcACIAKQA7AFwAbgBcAG4AUwBvAHUAcgBjAGUARABhAHQAYQBfAEQAYQBpAHIAeQBfAE0AZQB0AGgAYQBuAGUAUAByAG8AZAB1AGMAdABpAG8AbgBQAHIAZQBXAGUAYQBuAGUAZABDAGEAbAB2AGUAcwBfAFMAbwB1AHIAYwBlAFwAbgAgACAAPQBMAEEATQBCAEQAQQAoAFwAIgBWAEUARQBSAEcAIAAyADAAMgA2ADoAIABUAGEAYgBsAGUAIABBAC4AMQAuADMALgA4AFwAIgApADsAXABuAFwAbgBTAG8AdQByAGMAZQBEAGEAdABhAF8ARABhAGkAcgB5AF8ATQBlAHQAaABhAG4AZQBQAHIAbwBkAHUAYwB0AGkAbwBuAFAAcgBlAFcAZQBhAG4AZQBkAEMAYQBsAHYAZQBzAF8AVgBhAHIAaQBhAHQAaQBvAG4AXABuACAAIAA9AEwAQQBNAEIARABBACgAXAAiAFwAIgApADsAXABuAFwAbgBTAG8AdQByAGMAZQBEAGEAdABhAF8ARABhAGkAcgB5AF8ATQBlAHQAaABhAG4AZQBQAHIAbwBkAHUAYwB0AGkAbwBuAFAAcgBlAFcAZQBhAG4AZQBkAEMAYQBsAHYAZQBz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ABXAEUATgBUAEUAUgBJAEMAXAAiADsAXABuACAAIAAgACAAIAAgACAAIAAgACAAXAAiAEgAZQBpAGYAZQByAHMAIABcAHUAMAAwADMAYwAgADEAIAB5AGUAYQByAFwAIgAsACAAMAAuADAAMQA3ADYAOwBcAG4AIAAgACAAIAAgACAAIAAgACAAIABcACIAQgB1AGwAbABzACAAXAB1ADAAMAAzAGMAIAAxACAAeQBlAGEAcgBcACIALAAgADAALgAwADIAMAA0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SQBuAGMAcgBlAGEAcwBlAGQATQBlAHQAYQBiAG8AbABpAGMAUgBhAHQAZQBNAGkAbABrAFwAbgBUAGEAYgBsAGUAIABBAC4AMQAuADMALgA5ADoAIABEAGEAaQByAHkAIABjAGEAdAB0AGwAZQAgAC0AIABJAG4AYwByAGUAYQBzAGUAZAAgAG0AZQB0AGEAYgBvAGwAaQBjACAAcgBhAHQAZQAgAHcAaABlAG4AIABwAHIAbwBkAHUAYwBpAG4AZwAgAG0AaQBsAGsAIAAoAGsAZwAgAEQATQAvAGgAZQBhAGQALwBkAGEAeQApACAAKABNAFIAagApAFwAbgAtAC0ALQAtAC0ALQAtAC0ALQAtAC0ALQAtAC0ALQAtAC0ALQAtAC0ALQAtAC0ALQAtAC0ALQAtAC0ALQAtAC0ALQAtAC0ALQAtAC0AXABuACoALwBcAG4AXABuAFMAbwB1AHIAYwBlAEQAYQB0AGEAXwBEAGEAaQByAHkAXwBJAG4AYwByAGUAYQBzAGUAZABNAGUAdABhAGIAbwBsAGkAYwBSAGEAdABlAE0AaQBsAGsAXwBUAGkAdABsAGUAXABuACAAIAA9AEwAQQBNAEIARABBACgAXAAiAFQAYQBiAGwAZQAgAEEALgAxAC4AMwAuADkAOgAgAEQAYQBpAHIAeQAgAGMAYQB0AHQAbABlACAALQAgAEkAbgBjAHIAZQBhAHMAZQBkACAAbQBlAHQAYQBiAG8AbABpAGMAIAByAGEAdABlACAAdwBoAGUAbgAgAHAAcgBvAGQAdQBjAGkAbgBnACAAbQBpAGwAawAgACgATQBSAGoAKQBcACIAKQA7AFwAbgBcAG4AUwBvAHUAcgBjAGUARABhAHQAYQBfAEQAYQBpAHIAeQBfAEkAbgBjAHIAZQBhAHMAZQBkAE0AZQB0AGEAYgBvAGwAaQBjAFIAYQB0AGUATQBpAGwAawBfAFYAYQByAGkAYQBiAGwAZQBcAG4AIAAgAD0ATABBAE0AQgBEAEEAKABcACIATQBSAGoAXAAiACkAOwBcAG4AXABuAFMAbwB1AHIAYwBlAEQAYQB0AGEAXwBEAGEAaQByAHkAXwBJAG4AYwByAGUAYQBzAGUAZABNAGUAdABhAGIAbwBsAGkAYwBSAGEAdABlAE0AaQBsAGsAXwBVAG4AaQB0AFwAbgAgACAAPQBMAEEATQBCAEQAQQAoAFwAIg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XAB1ADAAMAAyADcAQQBuAG4AdQBhAGwAIABmAHIAYQBjAHQAaQBvAG4AIABvAGYAIAB0AGkAbQBlACAAcwBwAGUAbgB0ACAAcABlAHIAIABhAHIAZQBhAFwAdQAwADAAMgA3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XAB1ADAAMAAzAGMAMQAwACAAaAByAC8AZABhAHkAIABmAG8AcgAgAFwAdQAwADAAMwBjADMAIABtAG8AbgB0AGgAcwAvAHkAZQBhAHIAXAAiACwAIAAwAC4ANwA5ACwAIAAwAC4AMQAxACwAIAAwAC4AMQAwADsAXABuACAAIAAgACAAIAAgACAAIAAgACAAXAAiAFMAeQBzAHQAZQBtACAAMwA6ACAAUABhAHMAdAB1AHIAZQAtAGcAcgBhAHoAZQBkACAAMwAtADkAIABtAG8AbgB0AGgAcwAvAHkAZQBhAHIAXAAiACwAIAAwAC4ANQAzADQALAAgADAALgAxADEALAAgADAALgAzADUANgA7AFwAbgAgACAAIAAgACAAIAAgACAAIAAgAFwAIgBTAHkAcwB0AGUAbQAgADQAOgAgAFoAZQByAG8AIABnAHIAYQB6AGkAbgBnAFwAIgAsACAAMAAsACAAMAAuADEAMQAsACAAMAAuADgAO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UARgBOAGkAdAByAG8AdQBzAE8AeABpAGQAZQBQAGUAcgBNAE0AUwBcAG4AVABhAGIAbABlACAAQQAuADEALgAzAC4AMQAxADoAIABEAGEAaQByAHkAIABjAGEAdAB0AGwAZQAgAC0AIABFAEYAIABmAG8AcgAgAG4AaQB0AHIAbwB1AHMAIABvAHgAaQBkAGUAIABwAGUAcgAgAE0ATQBTACAAKABrAGcAIABOADIATwAtAE4ALwBrAGcAIABOACkAIAAoAEUARgBtACkAXABuAC0ALQAtAC0ALQAtAC0ALQAtAC0ALQAtAC0ALQAtAC0ALQAtAC0ALQAtAC0ALQAtAC0ALQAtAC0ALQAtAC0ALQAtAC0ALQAtAC0ALQBcAG4AKgAvAFwAbgBcAG4AUwBvAHUAcgBjAGUARABhAHQAYQBfAEQAYQBpAHIAeQBfAEUARgBOAGkAdAByAG8AdQBzAE8AeABpAGQAZQBQAGUAcgBNAE0AUwBfAFQAaQB0AGwAZQBcAG4AIAAgAD0ATABBAE0AQgBEAEEAKABcACIAVABhAGIAbABlACAAQQAuADEALgAzAC4AMQAxADoAIABEAGEAaQByAHkAIABjAGEAdAB0AGwAZQAgAC0AIABFAEYAIABmAG8AcgAgAG4AaQB0AHIAbwB1AHMAIABvAHgAaQBkAGUAIABwAGUAcgAgAE0ATQBTACAAKABrAGcAIABOADIATwAtAE4ALwBrAGcAIABOACkAIAAoAEUARgBtACkAXAAiACkAOwBcAG4AXABuAFMAbwB1AHIAYwBlAEQAYQB0AGEAXwBEAGEAaQByAHkAXwBFAEYATgBpAHQAcgBvAHUAcwBPAHgAaQBkAGUAUABlAHIATQBNAFMAXwBWAGEAcgBpAGEAYgBsAGUAXABuACAAIAA9AEwAQQBNAEIARABBACgAXAAiAEUARgBtAFwAIgApADsAXABuAFwAbgBTAG8AdQByAGMAZQBEAGEAdABhAF8ARABhAGkAcgB5AF8ARQBGAE4AaQB0AHIAbwB1AHMATwB4AGkAZABlAFAAZQByAE0ATQBTAF8AVQBuAGkAdABcAG4AIAAgAD0ATABBAE0AQgBEAEEAKABcACIAawBnACAATgAyAE8ALQBOAC8AawBnACAATgBcACIAKQA7AFwAbgBcAG4AUwBvAHUAcgBjAGUARABhAHQAYQBfAEQAYQBpAHIAeQBfAEUARgBOAGkAdAByAG8AdQBzAE8AeABpAGQAZQBQAGUAcgBNAE0AUwBfAFMAbwB1AHIAYwBlAFwAbgAgACAAPQBMAEEATQBCAEQAQQAoAFwAIgBWAEUARQBSAEcAIAAyADAAMgA2ADoAIABUAGEAYgBsAGUAIABBAC4AMQAuADMALgAxADEAXAAiACkAOwBcAG4AXABuAFMAbwB1AHIAYwBlAEQAYQB0AGEAXwBEAGEAaQByAHkAXwBFAEYATgBpAHQAcgBvAHUAcwBPAHgAaQBkAGUAUABlAHIATQBNAFM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BcAHUAMAAwADMAZQAgADEAIAB5AGUAYQByAFwAIgAsACAAMwA2ADUALAAgADAAOwBcAG4AIAAgACAAIAAgACAAIAAgACAAIABcACIASABlAGkAZgBlAHIAcwAgAFwAdQAwADAAMwBjACAAMQAgAHkAZQBhAHIAXAAiACwAIAAyADgAMQAsACAAOAA0ADsAXABuACAAIAAgACAAIAAgACAAIAAgACAAXAAiAEIAdQBsAGwAcwAgAFwAdQAwADAAMwBlACAAMQAgAHkAZQBhAHIAXAAiACwAIAAzADYANQAsACAAMAA7AFwAbgAgACAAIAAgACAAIAAgACAAIAAgAFwAIgBCAHUAbABsAHMAIABcAHUAMAAwADMAYwAgADEAIAB5AGUAYQByAFwAIgAsACAAMgA4ADEALAAgADgAN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DAHIAdQBkAGUAUAByAG8AdABlAGkAbgBcAG4AQwByAHUAZABlACAAcAByAG8AdABlAGkAbgAgAGMAbwBuAHQAZQBuAHQAIABvAGYAIABmAGUAZQBkACAAaQBuAHQAYQBrAGUAXABuAC0ALQAtAC0ALQAtAC0ALQAtAC0ALQAtAC0ALQAtAC0ALQAtAC0ALQAtAC0ALQAtAC0ALQAtAC0ALQAtAC0ALQAtAC0ALQAtAC0ALQBcAG4AKgAvAFwAbgBcAG4AUwBvAHUAcgBjAGUARABhAHQAYQBfAEQAYQBpAHIAeQBfAEMAcgB1AGQAZQBQAHIAbwB0AGUAaQBuAF8AVABpAHQAbABlAFwAbgAgACAAPQBMAEEATQBCAEQAQQAoAFwAIgBDAHIAdQBkAGUAIABwAHIAbwB0AGUAaQBuACAAYwBvAG4AdABlAG4AdAAgAG8AZgAgAGYAZQBlAGQAIABpAG4AdABhAGsAZQBcACIAKQA7AFwAbgBcAG4AUwBvAHUAcgBjAGUARABhAHQAYQBfAEQAYQBpAHIAeQBfAEMAcgB1AGQAZQBQAHIAbwB0AGUAaQBuAF8AVgBhAHIAaQBhAGIAbABlAFwAbgAgACAAPQBMAEEATQBCAEQAQQAoAFwAIgBDAFAAXAAiACkAOwBcAG4AXABuAFMAbwB1AHIAYwBlAEQAYQB0AGEAXwBEAGEAaQByAHkAXwBDAHIAdQBkAGUAUAByAG8AdABlAGkAbgBfAFUAbgBpAHQAXABuACAAIAA9AEwAQQBNAEIARABBACgAXAAiAGYAcgBhAGMAdABpAG8AbgBcACIAKQA7AFwAbgBcAG4AUwBvAHUAcgBjAGUARABhAHQAYQBfAEQAYQBpAHIAeQBfAEMAcgB1AGQAZQBQAHIAbwB0AGUAaQBuAF8AUwBvAHUAcgBjAGUAXABuACAAIAA9AEwAQQBNAEIARABBACgAXAAiAFYARQBFAFIARwAgADIAMAAyADYAOgAgADQALgAzAC4AMgAuADIAXAB0AEQAQQBUAEEAIAAoAE0ARQBUAEgATwBEACAAMQAgAEEATgBEACAAMgAgAE8AUABUAEkATwBOAFMAKQBcACIAKQA7AFwAbgBcAG4AUwBvAHUAcgBjAGUARABhAHQAYQBfAEQAYQBpAHIAeQBfAEMAcgB1AGQAZQBQAHIAbwB0AGUAaQBuAF8AVgBhAHIAaQBhAHQAaQBvAG4AXABuACAAIAA9AEwAQQBNAEIARABBACgAXAAiAFwAIgApADsAXABuAFwAbgBTAG8AdQByAGMAZQBEAGEAdABhAF8ARABhAGkAcgB5AF8AQwByAHUAZABlAFAAcgBvAHQAZQBpAG4AXwBEAGEAdABhAFwAbgAgACAAPQBMAEEATQBCAEQAQQAoADAALgAyADAAKQA7AFwAbgBcAG4AXABuAC8AKgAgAFwAbgAtAC0ALQAtAC0ALQAtAC0ALQAtAC0ALQAtAC0ALQAtAC0ALQAtAC0ALQAtAC0ALQAtAC0ALQAtAC0ALQAtAC0ALQAtAC0ALQAtAC0AXABuAFMAbwB1AHIAYwBlAEQAYQB0AGEAXwBEAGEAaQByAHkAXwBEAHIAeQBNAGEAdAB0AGUAcgBEAGkAZwBlAHMAdABpAGIAaQBsAGkAdAB5AFwAbgBEAHIAeQAgAG0AYQB0AHQAZQByACAAZABpAGcAZQBzAHQAaQBiAGkAbABpAHQAeQBcAG4ALQAtAC0ALQAtAC0ALQAtAC0ALQAtAC0ALQAtAC0ALQAtAC0ALQAtAC0ALQAtAC0ALQAtAC0ALQAtAC0ALQAtAC0ALQAtAC0ALQAtAFwAbgAqAC8AXABuAFwAbgBTAG8AdQByAGMAZQBEAGEAdABhAF8ARABhAGkAcgB5AF8ARAByAHkATQBhAHQAdABlAHIARABpAGcAZQBzAHQAaQBiAGkAbABpAHQAeQBfAFQAaQB0AGwAZQBcAG4AIAAgAD0ATABBAE0AQgBEAEEAKABcACIARAByAHkAIABtAGEAdAB0AGUAcgAgAGQAaQBnAGUAcwB0AGkAYgBpAGwAaQB0AHkAXAAiACkAOwBcAG4AXABuAFMAbwB1AHIAYwBlAEQAYQB0AGEAXwBEAGEAaQByAHkAXwBEAHIAeQBNAGEAdAB0AGUAcgBEAGkAZwBlAHMAdABpAGIAaQBsAGkAdAB5AF8AVgBhAHIAaQBhAGIAbABlAFwAbgAgACAAPQBMAEEATQBCAEQAQQAoAFwAIgBEAE0ARABcACIAKQA7AFwAbgBcAG4AUwBvAHUAcgBjAGUARABhAHQAYQBfAEQAYQBpAHIAeQBfAEQAcgB5AE0AYQB0AHQAZQByAEQAaQBnAGUAcwB0AGkAYgBpAGwAaQB0AHkAXwBVAG4AaQB0AFwAbgAgACAAPQBMAEEATQBCAEQAQQAoAFwAIgBmAHIAYQBjAHQAaQBvAG4AXAAiACkAOwBcAG4AXABuAFMAbwB1AHIAYwBlAEQAYQB0AGEAXwBEAGEAaQByAHkAXwBEAHIAeQBNAGEAdAB0AGUAcgBEAGkAZwBlAHMAdABpAGIAaQBsAGkAdAB5AF8AUwBvAHUAcgBjAGUAXABuACAAIAA9AEwAQQBNAEIARABBACgAXAAiAFYARQBFAFIARwAgADIAMAAyADYAOgAgADMALgAzAC4AMgAuADIAXAB0AEQAQQBUAEEAIAAoAE0ARQBUAEgATwBEACAAMQAgAEEATgBEACAAMgAgAE8AUABUAEkATwBOAFMAKQBcACIAKQA7AFwAbgBcAG4AUwBvAHUAcgBjAGUARABhAHQAYQBfAEQAYQBpAHIAeQBfAEQAcgB5AE0AYQB0AHQAZQByAEQAaQBnAGUAcwB0AGkAYgBpAGwAaQB0AHkAXwBWAGEAcgBpAGEAdABpAG8AbgBcAG4AIAAgAD0ATABBAE0AQgBEAEEAKABcACIAXAAiACkAOwBcAG4AXABuAFMAbwB1AHIAYwBlAEQAYQB0AGEAXwBEAGEAaQByAHkAXwBEAHIAeQBNAGEAdAB0AGUAcgBEAGkAZwBlAHMAdABpAGIAaQBsAGkAdAB5AF8ARABhAHQAYQBcAG4AIAAgAD0ATABBAE0AQgBEAEEAKAAwAC4ANwA1ACkAOwBcAG4AXABuAFwAbgAvACoAIABcAG4ALQAtAC0ALQAtAC0ALQAtAC0ALQAtAC0ALQAtAC0ALQAtAC0ALQAtAC0ALQAtAC0ALQAtAC0ALQAtAC0ALQAtAC0ALQAtAC0ALQAtAFwAbgBTAG8AdQByAGMAZQBEAGEAdABhAF8ARABhAGkAcgB5AF8ATgBlAHQARQBuAGUAcgBnAHkAXABuAE4AZQB0ACAAZQBuAGUAcgBnAHkAIAByAGUAcQB1AGkAcgBlAGQAIABmAG8AcgAgAG0AaQBsAGsAIABwAHIAbwBkAHUAYwB0AGkAbwBuAFwAbgAtAC0ALQAtAC0ALQAtAC0ALQAtAC0ALQAtAC0ALQAtAC0ALQAtAC0ALQAtAC0ALQAtAC0ALQAtAC0ALQAtAC0ALQAtAC0ALQAtAC0AXABuACoALwBcAG4AXABuAFMAbwB1AHIAYwBlAEQAYQB0AGEAXwBEAGEAaQByAHkAXwBOAGUAdABFAG4AZQByAGcAeQBfAFQAaQB0AGwAZQBcAG4AIAAgAD0ATABBAE0AQgBEAEEAKABcACIATgBlAHQAIABlAG4AZQByAGcAeQAgAHIAZQBxAHUAaQByAGUAZAAgAGYAbwByACAAbQBpAGwAawAgAHAAcgBvAGQAdQBjAHQAaQBvAG4AXAAiACkAOwBcAG4AXABuAFMAbwB1AHIAYwBlAEQAYQB0AGEAXwBEAGEAaQByAHkAXwBOAGUAdABFAG4AZQByAGcAeQBfAFYAYQByAGkAYQBiAGwAZQBcAG4AIAAgAD0ATABBAE0AQgBEAEEAKABcACIATgBFAFwAIgApADsAXABuAFwAbgBTAG8AdQByAGMAZQBEAGEAdABhAF8ARABhAGkAcgB5AF8ATgBlAHQARQBuAGUAcgBnAHkAXwBVAG4AaQB0AFwAbgAgACAAPQBMAEEATQBCAEQAQQAoAFwAIgBNAEoAIABuAGUAdAAgAGUAbgBlAHIAZwB5ACAALwAgAGsAZwAgAG0AaQBsAGsAXAAiACkAOwBcAG4AXABuAFMAbwB1AHIAYwBlAEQAYQB0AGEAXwBEAGEAaQByAHkAXwBOAGUAdABFAG4AZQByAGcAeQBfAFMAbwB1AHIAYwBlAFwAbgAgACAAPQBMAEEATQBCAEQAQQAoAFwAIgBWAEUARQBSAEcAIAAyADAAMgA2ADoAIAAzAC4AMwAuADIALgAzACAAQwBPAE4AUwBUAEEATgBUAFMAXAAiACkAOwBcAG4AXABuAFMAbwB1AHIAYwBlAEQAYQB0AGEAXwBEAGEAaQByAHkAXwBOAGUAdABFAG4AZQByAGcAeQBfAFYAYQByAGkAYQB0AGkAbwBuAFwAbgAgACAAPQBMAEEATQBCAEQAQQAoAFwAIgBcACIAKQA7AFwAbgBcAG4AUwBvAHUAcgBjAGUARABhAHQAYQBfAEQAYQBpAHIAeQBfAE4AZQB0AEUAbgBlAHIAZwB5AF8ARABhAHQAYQBcAG4AIAAgAD0ATABBAE0AQgBEAEEAKAAzAC4AMAA1ADQAKQA7AFwAbgBcAG4AXABuAC8AKgAgAFwAbgAtAC0ALQAtAC0ALQAtAC0ALQAtAC0ALQAtAC0ALQAtAC0ALQAtAC0ALQAtAC0ALQAtAC0ALQAtAC0ALQAtAC0ALQAtAC0ALQAtAC0AXABuAFMAbwB1AHIAYwBlAEQAYQB0AGEAXwBEAGEAaQByAHkAXwBHAHIAbwBzAHMARQBuAGUAcgBnAHkAQwBvAG4AdABlAG4AdABcAG4ARwByAG8AcwBzACAAZQBuAGUAcgBnAHkAIABjAG8AbgB0AGUAbgB0ACAAbwBmACAAZgBlAGUAZAAgAGQAcgB5ACAAbQBhAHQAdABlAHIAXABuAC0ALQAtAC0ALQAtAC0ALQAtAC0ALQAtAC0ALQAtAC0ALQAtAC0ALQAtAC0ALQAtAC0ALQAtAC0ALQAtAC0ALQAtAC0ALQAtAC0ALQBcAG4AKgAvAFwAbgBcAG4AUwBvAHUAcgBjAGUARABhAHQAYQBfAEQAYQBpAHIAeQBfAEcAcgBvAHMAcwBFAG4AZQByAGcAeQBDAG8AbgB0AGUAbgB0AF8AVABpAHQAbABlAFwAbgAgACAAPQBMAEEATQBCAEQAQQAoAFwAIgBHAHIAbwBzAHMAIABlAG4AZQByAGcAeQAgAGMAbwBuAHQAZQBuAHQAIABvAGYAIABmAGUAZQBkACAAZAByAHkAIABtAGEAdAB0AGUAcgBcACIAKQA7AFwAbgBcAG4AUwBvAHUAcgBjAGUARABhAHQAYQBfAEQAYQBpAHIAeQBfAEcAcgBvAHMAcwBFAG4AZQByAGcAeQBDAG8AbgB0AGUAbgB0AF8AVgBhAHIAaQBhAGIAbABlAFwAbgAgACAAPQBMAEEATQBCAEQAQQAoAFwAIgBHAEUAQwBcACIAKQA7AFwAbgBcAG4AUwBvAHUAcgBjAGUARABhAHQAYQBfAEQAYQBpAHIAeQBfAEcAcgBvAHMAcwBFAG4AZQByAGcAeQBDAG8AbgB0AGUAbgB0AF8AVQBuAGkAdABcAG4AIAAgAD0ATABBAE0AQgBEAEEAKABcACIATQBKACAALwAgAGsAZwBEAE0AXAAiACkAOwBcAG4AXABuAFMAbwB1AHIAYwBlAEQAYQB0AGEAXwBEAGEAaQByAHkAXwBHAHIAbwBzAHMARQBuAGUAcgBnAHkAQwBvAG4AdABlAG4AdABfAFMAbwB1AHIAYwBlAFwAbgAgACAAPQBMAEEATQBCAEQAQQAoAFwAIgBWAEUARQBSAEcAIAAyADAAMgA2ADoAIAAzAC4AMwAuADIALgAzACAAQwBPAE4AUwBUAEEATgBUAFMAXAAiACkAOwBcAG4AXABuAFMAbwB1AHIAYwBlAEQAYQB0AGEAXwBEAGEAaQByAHkAXwBHAHIAbwBzAHMARQBuAGUAcgBnAHkAQwBvAG4AdABlAG4AdABfAFYAYQByAGkAYQB0AGkAbwBuAFwAbgAgACAAPQBMAEEATQBCAEQAQQAoAFwAIgBcACIAKQA7AFwAbgBcAG4AUwBvAHUAcgBjAGUARABhAHQAYQBfAEQAYQBpAHIAeQBfAEcAcgBvAHMAcwBFAG4AZQByAGcAeQBDAG8AbgB0AGUAbgB0AF8ARABhAHQAYQBcAG4AIAAgAD0ATABBAE0AQgBEAEEAKAAxADgALgA0ACkAOwBcAG4AXABuAFwAbgAvACoAIABcAG4ALQAtAC0ALQAtAC0ALQAtAC0ALQAtAC0ALQAtAC0ALQAtAC0ALQAtAC0ALQAtAC0ALQAtAC0ALQAtAC0ALQAtAC0ALQAtAC0ALQAtAFwAbgBTAG8AdQByAGMAZQBEAGEAdABhAF8ARABhAGkAcgB5AF8ARQBmAGYAaQBjAGkAZQBuAGMAeQBPAGYAVQBzAGUATwBmAE0AZQB0AGEAYgBvAGwAaQB6AGEAYgBsAGUARQBuAGUAcgBnAHkAXABuAEUAZgBmAGkAYwBpAGUAbgBjAHkAIABvAGYAIAB1AHMAZQAgAG8AZgAgAG0AZQB0AGEAYgBvAGwAaQB6AGEAYgBsAGUAIABlAG4AZQByAGcAeQAgAGYAbwByACAAbQBpAGwAawAgAHAAcgBvAGQAdQBjAHQAaQBvAG4AXABuAC0ALQAtAC0ALQAtAC0ALQAtAC0ALQAtAC0ALQAtAC0ALQAtAC0ALQAtAC0ALQAtAC0ALQAtAC0ALQAtAC0ALQAtAC0ALQAtAC0ALQBcAG4AKgAvAFwAbgBcAG4AUwBvAHUAcgBjAGUARABhAHQAYQBfAEQAYQBpAHIAeQBfAEUAZgBmAGkAYwBpAGUAbgBjAHkATwBmAFUAcwBlAE8AZgBNAGUAdABhAGIAbwBsAGkAegBhAGIAbABlAEUAbgBlAHIAZwB5AF8AVABpAHQAbABlAFwAbgAgACAAPQBMAEEATQBCAEQAQQAoAFwAIgBFAGYAZgBpAGMAaQBlAG4AYwB5ACAAbwBmACAAdQBzAGUAIABvAGYAIABtAGUAdABhAGIAbwBsAGkAegBhAGIAbABlACAAZQBuAGUAcgBnAHkAIABmAG8AcgAgAG0AaQBsAGsAIABwAHIAbwBkAHUAYwB0AGkAbwBuAFwAIgApADsAXABuAFwAbgBTAG8AdQByAGMAZQBEAGEAdABhAF8ARABhAGkAcgB5AF8ARQBmAGYAaQBjAGkAZQBuAGMAeQBPAGYAVQBzAGUATwBmAE0AZQB0AGEAYgBvAGwAaQB6AGEAYgBsAGUARQBuAGUAcgBnAHkAXwBWAGEAcgBpAGEAYgBsAGUAXABuACAAIAA9AEwAQQBNAEIARABBACgAXAAiAGsAXAAiACkAOwBcAG4AXABuAFMAbwB1AHIAYwBlAEQAYQB0AGEAXwBEAGEAaQByAHkAXwBFAGYAZgBpAGMAaQBlAG4AYwB5AE8AZgBVAHMAZQBPAGYATQBlAHQAYQBiAG8AbABpAHoAYQBiAGwAZQBFAG4AZQByAGcAeQBfAFUAbgBpAHQAXABuACAAIAA9AEwAQQBNAEIARABBACgAXAAiAGYAcgBhAGMAdABpAG8AbgBcACIAKQA7AFwAbgBcAG4AUwBvAHUAcgBjAGUARABhAHQAYQBfAEQAYQBpAHIAeQBfAEUAZgBmAGkAYwBpAGUAbgBjAHkATwBmAFUAcwBlAE8AZgBNAGUAdABhAGIAbwBsAGkAegBhAGIAbABlAEUAbgBlAHIAZwB5AF8AUwBvAHUAcgBjAGUAXABuACAAIAA9AEwAQQBNAEIARABBACgAXAAiAFYARQBFAFIARwAgADIAMAAyADYAOgAgADMALgAzAC4AMgAuADMAIABDAE8ATgBTAFQAQQBOAFQAUwBcACIAKQA7AFwAbgBcAG4AUwBvAHUAcgBjAGUARABhAHQAYQBfAEQAYQBpAHIAeQBfAEUAZgBmAGkAYwBpAGUAbgBjAHkATwBmAFUAcwBlAE8AZgBNAGUAdABhAGIAbwBsAGkAegBhAGIAbABlAEUAbgBlAHIAZwB5AF8AVgBhAHIAaQBhAHQAaQBvAG4AXABuACAAIAA9AEwAQQBNAEIARABBACgAXAAiAFwAIgApADsAXABuAFwAbgBTAG8AdQByAGMAZQBEAGEAdABhAF8ARABhAGkAcgB5AF8ARQBmAGYAaQBjAGkAZQBuAGMAeQBPAGYAVQBzAGUATwBmAE0AZQB0AGEAYgBvAGwAaQB6AGEAYgBsAGUARQBuAGUAcgBnAHkAXwBEAGEAdABhAFwAbgAgACAAPQBMAEEATQBCAEQAQQAoADAALgA2ADAAKQA7AFwAbgBcAG4AXABuAC8AKgAgAFwAbgAtAC0ALQAtAC0ALQAtAC0ALQAtAC0ALQAtAC0ALQAtAC0ALQAtAC0ALQAtAC0ALQAtAC0ALQAtAC0ALQAtAC0ALQAtAC0ALQAtAC0AXABuAFMAbwB1AHIAYwBlAEQAYQB0AGEAXwBEAGEAaQByAHkAXwBBAHMAaABDAG8AbgB0AGUAbgB0AFwAbgBBAHMAaAAgAGMAbwBuAHQAZQBuAHQAIABvAGYAIABtAGEAbgB1AHIAZQBcAG4ALQAtAC0ALQAtAC0ALQAtAC0ALQAtAC0ALQAtAC0ALQAtAC0ALQAtAC0ALQAtAC0ALQAtAC0ALQAtAC0ALQAtAC0ALQAtAC0ALQAtAFwAbgAqAC8AXABuAFwAbgBTAG8AdQByAGMAZQBEAGEAdABhAF8ARABhAGkAcgB5AF8AQQBzAGgAQwBvAG4AdABlAG4AdABfAFQAaQB0AGwAZQBcAG4AIAAgAD0ATABBAE0AQgBEAEEAKABcACIAQQBzAGgAIABjAG8AbgB0AGUAbgB0ACAAbwBmACAAbQBhAG4AdQByAGUAXAAiACkAOwBcAG4AXABuAFMAbwB1AHIAYwBlAEQAYQB0AGEAXwBEAGEAaQByAHkAXwBBAHMAaABDAG8AbgB0AGUAbgB0AF8AVgBhAHIAaQBhAGIAbABlAFwAbgAgACAAPQBMAEEATQBCAEQAQQAoAFwAIgBBAFwAIgApADsAXABuAFwAbgBTAG8AdQByAGMAZQBEAGEAdABhAF8ARABhAGkAcgB5AF8AQQBzAGgAQwBvAG4AdABlAG4AdABfAFUAbgBpAHQAXABuACAAIAA9AEwAQQBNAEIARABBACgAXAAiAGYAcgBhAGMAdABpAG8AbgBcACIAKQA7AFwAbgBcAG4AUwBvAHUAcgBjAGUARABhAHQAYQBfAEQAYQBpAHIAeQBfAEEAcwBoAEMAbwBuAHQAZQBuAHQAXwBTAG8AdQByAGMAZQBcAG4AIAAgAD0ATABBAE0AQgBEAEEAKABcACIAVgBFAEUAUgBHACAAMgAwADIANgA6ACAANAAuADMALgAyAC4AMwAgAEMATwBOAFMAVABBAE4AVABTAFwAIgApADsAXABuAFwAbgBTAG8AdQByAGMAZQBEAGEAdABhAF8ARABhAGkAcgB5AF8AQQBzAGgAQwBvAG4AdABlAG4AdABfAFYAYQByAGkAYQB0AGkAbwBuAFwAbgAgACAAPQBMAEEATQBCAEQAQQAoAFwAIgBcACIAKQA7AFwAbgBcAG4AUwBvAHUAcgBjAGUARABhAHQAYQBfAEQAYQBpAHIAeQBfAEEAcwBoAEMAbwBuAHQAZQBuAHQAXwBEAGEAdABhAFwAbgAgACAAPQBMAEEATQBCAEQAQQAoADAALgAwADgAKQA7AFwAbgBcAG4AXABuAC8AKgAgAFwAbgAtAC0ALQAtAC0ALQAtAC0ALQAtAC0ALQAtAC0ALQAtAC0ALQAtAC0ALQAtAC0ALQAtAC0ALQAtAC0ALQAtAC0ALQAtAC0ALQAtAC0AXABuAFMAbwB1AHIAYwBlAEQAYQB0AGEAXwBEAGEAaQByAHkAXwBNAGUAdABoAGEAbgBlAEUAbQBpAHMAcwBpAG8AbgBzAFAAbwB0AGUAbgB0AGkAYQBsAFwAbgBBAHMAaAAgAGMAbwBuAHQAZQBuAHQAIABvAGYAIABtAGEAbgB1AHIAZQBcAG4ALQAtAC0ALQAtAC0ALQAtAC0ALQAtAC0ALQAtAC0ALQAtAC0ALQAtAC0ALQAtAC0ALQAtAC0ALQAtAC0ALQAtAC0ALQAtAC0ALQAtAFwAbgAqAC8AXABuAFwAbgBTAG8AdQByAGMAZQBEAGEAdABhAF8ARABhAGkAcgB5AF8ATQBlAHQAaABhAG4AZQBFAG0AaQBzAHMAaQBvAG4AcwBQAG8AdABlAG4AdABpAGEAbABfAFQAaQB0AGwAZQBcAG4AIAAgAD0ATABBAE0AQgBEAEEAKABcACIATQBlAHQAaABhAG4AZQAgAGUAbQBpAHMAcwBpAG8AbgBzACAAcABvAHQAZQBuAHQAaQBhAGwAXAAiACkAOwBcAG4AXABuAFMAbwB1AHIAYwBlAEQAYQB0AGEAXwBEAGEAaQByAHkAXwBNAGUAdABoAGEAbgBlAEUAbQBpAHMAcwBpAG8AbgBzAFAAbwB0AGUAbgB0AGkAYQBsAF8AVgBhAHIAaQBhAGIAbABlAFwAbgAgACAAPQBMAEEATQBCAEQAQQAoAFwAIgBCAF8AbwBcACIAKQA7AFwAbgBcAG4AUwBvAHUAcgBjAGUARABhAHQAYQBfAEQAYQBpAHIAeQBfAE0AZQB0AGgAYQBuAGUARQBtAGkAcwBzAGkAbwBuAHMAUABvAHQAZQBuAHQAaQBhAGwAXwBVAG4AaQB0AFwAbgAgACAAPQBMAEEATQBCAEQAQQAoAFwAIgBtADMAIABDAEgANAAvAGsAZwBWAFMAXAAiACkAOwBcAG4AXABuAFMAbwB1AHIAYwBlAEQAYQB0AGEAXwBEAGEAaQByAHkAXwBNAGUAdABoAGEAbgBlAEUAbQBpAHMAcwBpAG8AbgBzAFAAbwB0AGUAbgB0AGkAYQBsAF8AUwBvAHUAcgBjAGUAXABuACAAIAA9AEwAQQBNAEIARABBACgAXAAiAFYARQBFAFIARwAgADIAMAAyADYAOgAgADQALgAzAC4AMgAuADMAIABDAE8ATgBTAFQAQQBOAFQAUwBcACIAKQA7AFwAbgBcAG4AUwBvAHUAcgBjAGUARABhAHQAYQBfAEQAYQBpAHIAeQBfAE0AZQB0AGgAYQBuAGUARQBtAGkAcwBzAGkAbwBuAHMAUABvAHQAZQBuAHQAaQBhAGwAXwBWAGEAcgBpAGEAdABpAG8AbgBcAG4AIAAgAD0ATABBAE0AQgBEAEEAKABcACIAXAAiACkAOwBcAG4AXABuAFMAbwB1AHIAYwBlAEQAYQB0AGEAXwBEAGEAaQByAHkAXwBNAGUAdABoAGEAbgBlAEUAbQBpAHMAcwBpAG8AbgBzAFAAbwB0AGUAbgB0AGkAYQBsAF8ARABhAHQAYQBcAG4AIAAgAD0ATABBAE0AQgBEAEEAKAAwAC4AMgA0ACkAOwBcAG4AXABuAC8AKgAgAFwAbgAtAC0ALQAtAC0ALQAtAC0ALQAtAC0ALQAtAC0ALQAtAC0ALQAtAC0ALQAtAC0ALQAtAC0ALQAtAC0ALQAtAC0ALQAtAC0ALQAtAC0AXABuAFMAbwB1AHIAYwBlAEQAYQB0AGEAXwBEAGEAaQByAHkAXwBFAG0AaQBzAHMAaQBvAG4ARgBhAGMAdABvAHIARgBvAHIATABlAGEAYwBoAGkAbgBnAEEAbgBkAFIAdQBuAG8AZgBmAFwAbgBFAG0AaQBzAHMAaQBvAG4AIABmAGEAYwB0AG8AcgAgAGYAbwByACAAbABlAGEAYwBoAGkAbgBnACAAYQBuAGQAIAByAHUAbgBvAGYAZgBcAG4ALQAtAC0ALQAtAC0ALQAtAC0ALQAtAC0ALQAtAC0ALQAtAC0ALQAtAC0ALQAtAC0ALQAtAC0ALQAtAC0ALQAtAC0ALQAtAC0ALQAtAFwAbgAqAC8AXABuAFwAbgBTAG8AdQByAGMAZQBEAGEAdABhAF8ARABhAGkAcgB5AF8ARQBtAGkAcwBzAGkAbwBuAEYAYQBjAHQAbwByAEYAbwByAEwAZQBhAGMAaABpAG4AZwBBAG4AZABSAHUAbgBvAGYAZgBfAFQAaQB0AGwAZQBcAG4AIAAgAD0ATABBAE0AQgBEAEEAKABcACIARQBtAGkAcwBzAGkAbwBuACAAZgBhAGMAdABvAHIAIABmAG8AcgAgAGwAZQBhAGMAaABpAG4AZwAgAGEAbgBkACAAcgB1AG4AbwBmAGYAXAAiACkAOwBcAG4AXABuAFMAbwB1AHIAYwBlAEQAYQB0AGEAXwBEAGEAaQByAHkAXwBFAG0AaQBzAHMAaQBvAG4ARgBhAGMAdABvAHIARgBvAHIATABlAGEAYwBoAGkAbgBnAEEAbgBkAFIAdQBuAG8AZgBmAF8AVgBhAHIAaQBhAGIAbABlAFwAbgAgACAAPQBMAEEATQBCAEQAQQAoAFwAIgBFAEYAXwBsAGUAYQBjAGgAXAAiACkAOwBcAG4AXABuAFMAbwB1AHIAYwBlAEQAYQB0AGEAXwBEAGEAaQByAHkAXwBFAG0AaQBzAHMAaQBvAG4ARgBhAGMAdABvAHIARgBvAHIATABlAGEAYwBoAGkAbgBnAEEAbgBkAFIAdQBuAG8AZgBmAF8AVQBuAGkAdABcAG4AIAAgAD0ATABBAE0AQgBEAEEAKABcACIAawBnACAATgAyAE8ALQBOAC8AawBnACAATgBcACIAKQA7AFwAbgBcAG4AUwBvAHUAcgBjAGUARABhAHQAYQBfAEQAYQBpAHIAeQBfAEUAbQBpAHMAcwBpAG8AbgBGAGEAYwB0AG8AcgBGAG8AcgBMAGUAYQBjAGgAaQBuAGcAQQBuAGQAUgB1AG4AbwBmAGYAXwBTAG8AdQByAGMAZQBcAG4AIAAgAD0ATABBAE0AQgBEAEEAKABcACIAVgBFAEUAUgBHACAAMgAwADIANgA6ACAANAAuADMALgAyAC4AMwAgAEMATwBOAFMAVABBAE4AVABTAFwAIgApADsAXABuAFwAbgBTAG8AdQByAGMAZQBEAGEAdABhAF8ARABhAGkAcgB5AF8ARQBtAGkAcwBzAGkAbwBuAEYAYQBjAHQAbwByAEYAbwByAEwAZQBhAGMAaABpAG4AZwBBAG4AZABSAHUAbgBvAGYAZgBfAFYAYQByAGkAYQB0AGkAbwBuAFwAbgAgACAAPQBMAEEATQBCAEQAQQAoAFwAIgBcACIAKQA7AFwAbgBcAG4AUwBvAHUAcgBjAGUARABhAHQAYQBfAEQAYQBpAHIAeQBfAEUAbQBpAHMAcwBpAG8AbgBGAGEAYwB0AG8AcgBGAG8AcgBMAGUAYQBjAGgAaQBuAGcAQQBuAGQAUgB1AG4AbwBmAGYAXwBEAGEAdABhAFwAbgAgACAAPQBMAEEATQBCAEQAQQAoADAALgAwADEAMQ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UwBvAGwAaQBkAFMAdABvAHIAYQBnAGUAXABuAEYAcgBhAGMAdABpAG8AbgAgAG8AZgAgAG4AaQB0AHIAbwBnAGUAbgAgAGwAbwBzAHQAIAB0AGgAcgBvAHUAZwBoACAAbABlAGEAYwBoAGkAbgBnACAAYQBuAGQAIAByAHUAbgBvAGYAZgAgAGYAbwByACAAcwBvAGwAaQBkACAAcwB0AG8AcgBhAGcAZQAgAE0ATQBTACAAbwBuAGwAeQAgACgAZgByAGEAYwB0AGkAbwBuACk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UwBvAGwAaQBkAFMAdABvAHIAYQBnAGUAXwBUAGkAdABsAGUAXABuACAAIAA9AEwAQQBNAEIARABBACgAXAAiAEYAcgBhAGMAdABpAG8AbgAgAG8AZgAgAG4AaQB0AHIAbwBnAGUAbgAgAGwAbwBzAHQAIAB0AGgAcgBvAHUAZwBoACAAbABlAGEAYwBoAGkAbgBnACAAYQBuAGQAIAByAHUAbgBvAGYAZgAgAGYAbwByACAAcwBvAGwAaQBkACAAcwB0AG8AcgBhAGcAZQAgAE0ATQBTACAAbwBuAGwAeQBcACIAKQA7AFwAbgBcAG4AUwBvAHUAcgBjAGUARABhAHQAYQBfAEQAYQBpAHIAeQBfAEYAcgBhAGMAdABpAG8AbgBPAGYATgBpAHQAcgBvAGcAZQBuAEwAbwBzAHQAVABoAHIAbwB1AGcAaABMAGUAYQBjAGgAaQBuAGcAQQBuAGQAUgB1AG4AbwBmAGYAUwBvAGwAaQBkAFMAdABvAHIAYQBnAGU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MAbwBsAGkAZABTAHQAbwByAGEAZwBlAF8AVQBuAGkAdABcAG4AIAAgAD0ATABBAE0AQgBEAEEAKABcACIARgByAGEAYwB0AGkAbwBuAFwAIgApADsAXABuAFwAbgBTAG8AdQByAGMAZQBEAGEAdABhAF8ARABhAGkAcgB5AF8ARgByAGEAYwB0AGkAbwBuAE8AZgBOAGkAdAByAG8AZwBlAG4ATABvAHMAdABUAGgAcgBvAHUAZwBoAEwAZQBhAGMAaABpAG4AZwBBAG4AZABSAHUAbgBvAGYAZgBTAG8AbABpAGQAUwB0AG8AcgBhAGcAZQ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MAbwBsAGkAZABTAHQAbwByAGEAZwBlAF8AVgBhAHIAaQBhAHQAaQBvAG4AXABuACAAIAA9AEwAQQBNAEIARABBACgAXAAiAFwAIgApADsAXABuAFwAbgBTAG8AdQByAGMAZQBEAGEAdABhAF8ARABhAGkAcgB5AF8ARgByAGEAYwB0AGkAbwBuAE8AZgBOAGkAdAByAG8AZwBlAG4ATABvAHMAdABUAGgAcgBvAHUAZwBoAEwAZQBhAGMAaABpAG4AZwBBAG4AZABSAHUAbgBvAGYAZgBTAG8AbABpAGQAUwB0AG8AcgBhAGcAZQBfAEQAYQB0AGEAXABuACAAIAA9AEwAQQBNAEIARABBACgAMAAuADAAMg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XABu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IA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fAFQAaQB0AGwAZQBcAG4AIAAgAD0ATABBAE0AQgBEAEEAKABcACI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gByAGEAYwB0AGkAbwBuAFwAIgApADsAXABuAFwAbgBTAG8AdQByAGMAZQBEAGEAdABhAF8ARABhAGkAcgB5AF8ARgByAGEAYwB0AGkAbwBuAE8AZgBOAGkAdAByAG8AZwBlAG4ATABvAHMAdABUAGgAcgBvAHUAZwBoAEwAZQBhAGMAaABpAG4AZwBBAG4AZABSAHUAbgBvAGYAZg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8AVgBhAHIAaQBhAHQAaQBvAG4AXABuACAAIAA9AEwAQQBNAEIARABBACgAXAAiAFwAIgApADsAXABuAFwAbgBTAG8AdQByAGMAZQBEAGEAdABhAF8ARABhAGkAcgB5AF8ARgByAGEAYwB0AGkAbwBuAE8AZgBOAGkAdAByAG8AZwBlAG4ATABvAHMAdABUAGgAcgBvAHUAZwBoAEwAZQBhAGMAaABpAG4AZwBBAG4AZABSAHUAbgBvAGYAZgBfAEQAYQB0AGEAXABuACAAIAA9AEwAQQBNAEIARABBACgAMAAuADIANAApADsAXABuAFwAbgBcAG4ALwAqACAAXABuAC0ALQAtAC0ALQAtAC0ALQAtAC0ALQAtAC0ALQAtAC0ALQAtAC0ALQAtAC0ALQAtAC0ALQAtAC0ALQAtAC0ALQAtAC0ALQAtAC0ALQBcAG4AUwBvAHUAcgBjAGUARABhAHQAYQBfAEQAYQBpAHIAeQBfAEYAcgBhAGMARwBBAFMATQBTAG8AaQBsAFwAbgBGAHIAYQBjAHQAaQBvAG4AIABvAGYAIABuAGkAdAByAG8AZwBlAG4AIAB2AG8AbABhAHQAaQBsAGkAegBlAGQAIABmAHIAbwBtACAAdQByAGkAbgBlACAAYQBuAGQAIABmAGEAZQBjAGUAcwAgAGQAZQBwAG8AcwBpAHQAZQBkACAAbwBuACAAcABhAHMAdAB1AHIAZQAuAFwAbgAtAC0ALQAtAC0ALQAtAC0ALQAtAC0ALQAtAC0ALQAtAC0ALQAtAC0ALQAtAC0ALQAtAC0ALQAtAC0ALQAtAC0ALQAtAC0ALQAtAC0AXABuACoALwBcAG4AXABuAFMAbwB1AHIAYwBlAEQAYQB0AGEAXwBEAGEAaQByAHkAXwBGAHIAYQBjAEcAQQBTAE0AUwBvAGkAbABfAFQAaQB0AGwAZQBcAG4AIAAgAD0ATABBAE0AQgBEAEEAKABcACIARgByAGEAYwB0AGkAbwBuACAAbwBmACAAbgBpAHQAcgBvAGcAZQBuACAAdgBvAGwAYQB0AGkAbABpAHoAZQBkACAAZgByAG8AbQAgAHUAcgBpAG4AZQAgAGEAbgBkACAAZgBhAGUAYwBlAHMAIABkAGUAcABvAHMAaQB0AGUAZAAgAG8AbgAgAHAAYQBzAHQAdQByAGUAXAAiACkAOwBcAG4AXABuAFMAbwB1AHIAYwBlAEQAYQB0AGEAXwBEAGEAaQByAHkAXwBGAHIAYQBjAEcAQQBTAE0AUwBvAGkAbABfAFYAYQByAGkAYQBiAGwAZQBcAG4AIAAgAD0ATABBAE0AQgBEAEEAKABcACIARgByAGEAYwBHAEEAUwBNAHMAbwBpAGwAXAAiACkAOwBcAG4AXABuAFMAbwB1AHIAYwBlAEQAYQB0AGEAXwBEAGEAaQByAHkAXwBGAHIAYQBjAEcAQQBTAE0AUwBvAGkAbABfAFUAbgBpAHQAXABuACAAIAA9AEwAQQBNAEIARABBACgAXAAiACgAawBnACAATgBIADMALQBOACAAKwAgAE4ATwB4AC0ATgApAC8AawBnACAATgBcACIAKQA7AFwAbgBcAG4AUwBvAHUAcgBjAGUARABhAHQAYQBfAEQAYQBpAHIAeQBfAEYAcgBhAGMARwBBAFMATQBTAG8AaQBsAF8AUwBvAHUAcgBjAGUAXABuACAAIAA9AEwAQQBNAEIARABBACgAXAAiAFYARQBFAFIARwAgADIAMAAyADYAOgAgADQALgAzAC4AMgAuADMAIABDAE8ATgBTAFQAQQBOAFQAUwBcACIAKQA7AFwAbgBcAG4AUwBvAHUAcgBjAGUARABhAHQAYQBfAEQAYQBpAHIAeQBfAEYAcgBhAGMARwBBAFMATQBTAG8AaQBsAF8AVgBhAHIAaQBhAHQAaQBvAG4AXABuACAAIAA9AEwAQQBNAEIARABBACgAXAAiAFwAIgApADsAXABuAFwAbgBTAG8AdQByAGMAZQBEAGEAdABhAF8ARABhAGkAcgB5AF8ARgByAGEAYwBHAEEAUwBNAFMAbwBpAGwAXwBEAGEAdABhAFwAbgAgACAAPQBMAEEATQBCAEQAQQAoADAALgAyADEAKQA7AFwAbgBcAG4AXABuAC8AKgAgAFwAbgAtAC0ALQAtAC0ALQAtAC0ALQAtAC0ALQAtAC0ALQAtAC0ALQAtAC0ALQAtAC0ALQAtAC0ALQAtAC0ALQAtAC0ALQAtAC0ALQAtAC0AXABuAFMAbwB1AHIAYwBlAEQAYQB0AGEAXwBEAGEAaQByAHkAXwBGAGEAdABDAG8AbgB0AGUAbgB0AEkAbgBNAGkAbABrAFwAbgBGAGEAdA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RgBhAHQAQwBvAG4AdABlAG4AdABJAG4ATQBpAGwAawBfAFQAaQB0AGwAZQBcAG4AIAAgAD0ATABBAE0AQgBEAEEAKABcACIARgBhAHQAIABjAG8AbgB0AGUAbgB0ACAAaQBuACAAZgBhAHQAIABhAG4AZAAgAHAAcgBvAHQAZQBpAG4AIABjAG8AcgByAGUAYwB0AGUAZAAgAG0AaQBsAGsAXAAiACkAOwBcAG4AXABuAFMAbwB1AHIAYwBlAEQAYQB0AGEAXwBEAGEAaQByAHkAXwBGAGEAdABDAG8AbgB0AGUAbgB0AEkAbgBNAGkAbABrAF8AVgBhAHIAaQBhAGIAbABlAFwAbgAgACAAPQBMAEEATQBCAEQAQQAoAFwAIgBGAEMAXwBqAFwAIgApADsAXABuAFwAbgBTAG8AdQByAGMAZQBEAGEAdABhAF8ARABhAGkAcgB5AF8ARgBhAHQAQwBvAG4AdABlAG4AdABJAG4ATQBpAGwAawBfAFUAbgBpAHQAXABuACAAIAA9AEwAQQBNAEIARABBACgAXAAiAHAAZQByAGMAZQBuAHQAXAAiACkAOwBcAG4AXABuAFMAbwB1AHIAYwBlAEQAYQB0AGEAXwBEAGEAaQByAHkAXwBGAGEAdA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GAGEAdABDAG8AbgB0AGUAbgB0AEkAbgBNAGkAbABrAF8AVgBhAHIAaQBhAHQAaQBvAG4AXABuACAAIAA9AEwAQQBNAEIARABBACgAXAAiAFwAIgApADsAXABuAFwAbgBTAG8AdQByAGMAZQBEAGEAdABhAF8ARABhAGkAcgB5AF8ARgBhAHQAQwBvAG4AdABlAG4AdABJAG4ATQBpAGwAawBfAEQAYQB0AGEAXABuACAAIAA9AEwAQQBNAEIARABBACgANAAuADAAKQA7AFwAbgBcAG4AXABuAC8AKgAgAFwAbgAtAC0ALQAtAC0ALQAtAC0ALQAtAC0ALQAtAC0ALQAtAC0ALQAtAC0ALQAtAC0ALQAtAC0ALQAtAC0ALQAtAC0ALQAtAC0ALQAtAC0AXABuAFMAbwB1AHIAYwBlAEQAYQB0AGEAXwBEAGEAaQByAHkAXwBQAHIAbwB0AGUAaQBuAEMAbwBuAHQAZQBuAHQASQBuAE0AaQBsAGsAXABuAFAAcgBvAHQAZQBpAG4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FAAcgBvAHQAZQBpAG4AQwBvAG4AdABlAG4AdABJAG4ATQBpAGwAawBfAFQAaQB0AGwAZQBcAG4AIAAgAD0ATABBAE0AQgBEAEEAKABcACIAUAByAG8AdABlAGkAbgAgAGMAbwBuAHQAZQBuAHQAIABpAG4AIABmAGEAdAAgAGEAbgBkACAAcAByAG8AdABlAGkAbgAgAGMAbwByAHIAZQBjAHQAZQBkACAAbQBpAGwAawBcACIAKQA7AFwAbgBcAG4AUwBvAHUAcgBjAGUARABhAHQAYQBfAEQAYQBpAHIAeQBfAFAAcgBvAHQAZQBpAG4AQwBvAG4AdABlAG4AdABJAG4ATQBpAGwAawBfAFYAYQByAGkAYQBiAGwAZQBcAG4AIAAgAD0ATABBAE0AQgBEAEEAKABcACIAUABDAF8AagBcACIAKQA7AFwAbgBcAG4AUwBvAHUAcgBjAGUARABhAHQAYQBfAEQAYQBpAHIAeQBfAFAAcgBvAHQAZQBpAG4AQwBvAG4AdABlAG4AdABJAG4ATQBpAGwAawBfAFUAbgBpAHQAXABuACAAIAA9AEwAQQBNAEIARABBACgAXAAiAHAAZQByAGMAZQBuAHQAXAAiACkAOwBcAG4AXABuAFMAbwB1AHIAYwBlAEQAYQB0AGEAXwBEAGEAaQByAHkAXwBQAHIAbwB0AGUAaQBu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FAAcgBvAHQAZQBpAG4AQwBvAG4AdABlAG4AdABJAG4ATQBpAGwAawBfAFYAYQByAGkAYQB0AGkAbwBuAFwAbgAgACAAPQBMAEEATQBCAEQAQQAoAFwAIgBcACIAKQA7AFwAbgBcAG4AUwBvAHUAcgBjAGUARABhAHQAYQBfAEQAYQBpAHIAeQBfAFAAcgBvAHQAZQBpAG4AQwBvAG4AdABlAG4AdABJAG4ATQBpAGwAawBfAEQAYQB0AGEAXABuACAAIAA9AEwAQQBNAEIARABBACgAMwAuADMAKQA7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FwAdQAwADAAMgA3AEEAbABsACAAcwB0AGEAdABlAHMAXAB1ADAAMAAyADcAIAB2AGEAbAB1AGUAIABpAHMAIABnAGkAdgBlAG4ALgBcACIAOwBcAG4AIAAgACAAIAAgACAAIAAgACAAIABcACIAQQBkAGQAZQBkACAAXAB1ADAAMAAyADcATgBJAFIAIABkAGUAZgBpAG4AaQB0AGkAbwBuAFwAdQAwADAAMgA3ACAAYwBvAGwAdQBtAG4AIAB3AGkAdABoACAATQBNAFMAIABuAGEAbQBlAHMAIAB0AGgAYQB0ACAAbQBhAHQAYwBoACAATgBJAFIAIABkAGUAZgBpAG4AaQB0AGkAbwBuAHMALgBcACIAOwBcAG4AIAAgACAAIAAgACAAIAAgACAAIABcACI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FwAdQAwADAAMgA3AFAAYQBzAHQAdQByAGUAIAByAGEAbgBnAGUAIABhAG4AZAAgAHAAYQBkAGQAbwBjAGsAXAB1ADAAMAAyAD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BcAHUAMAAwADIANwBOAEkAUgAgAGQAZQBmAGkAbgBpAHQAaQBvAG4AIABjAG8AbAB1AG0AbgBcAHUAMAAwADIAN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BcAHUAMAAwADIANwBOAEkAUgAgAGQAZQBmAGkAbgBpAHQAaQBvAG4AIABjAG8AbAB1AG0AbgBcAHUAMAAwADIANwAuAFwAIgApADsAXABuAFwAbgBTAG8AdQByAGMAZQBEAGEAdABhAF8AUABvAHUAbAB0AHIAeQBfAEYAcgBhAGMARwBBAFMATQBtAFQAXwBEAGEAdABhAFwAbgAgACAAPQBMAEEATQBCAEQAQQAoAFwAbgAgACAAIAAgAE0AQQBLAEUAQQBSAFIAQQBZACgAOAAsACAAMwAsACAAXABuACAAIAAgACAAIAAgAEwAQQBNAEIARABBACgAcgAsAGMALAAgAFwAbgAgACAAIAAgACAAIAAgACAASQBOAEQARQBYACgAewBcAG4AIAAgACAAIAAgACAAIAAgACAAIABcACIATQBNAFMAIABtAFwAIgAsACAAXAAiAEYAcgBhAGMARwBBAFMATQBtAFQAXAAiACwAIABcACIATgBJAFIAIAByAGUAZgBlAHIAZQBuAGMAZQBcACIAOwBcAG4AIAAgACAAIAAgACAAIAAgACAAIABcACIAUABvAHUAbAB0AHIAeQAgAG0AYQBuAHUAcgBlACAAdwBpAHQAaAAgAGwAaQB0AHQAZQByACAAKABoAG8AdQBzAGkAbgBnACkAXAAiACwAIAAwAC4AMwAsACAAXAAiAFAAbwB1AGwAdAByAHkAIABtAGEAbgB1AHIAZQAgAHcAaQB0AGgAIABiAGUAZABkAGkAbgBnAFwAIgA7AFwAbgAgACAAIAAgACAAIAAgACAAIAAgAFwAIgBQAG8AdQBsAHQAcgB5ACAAbQBhAG4AdQByAGUAIAB3AGkAdABoAG8AdQB0ACAAbABpAHQAdABlAHIAIAAoAGgAbwB1AHMAaQBuAGcAKQAgAEIAZQBsAHQAIABtAGEAbgB1AHIAZQAgAHIAZQBtAG8AdgBhAGwAXAAiACwAIAAwAC4AMAA1ACwAIABcACIAQgBlAGwAdAAgAG0AYQBuAHUAcgBlACAAcgBlAG0AbwB2AGEAbABcACIAOwBcAG4AIAAgACAAIAAgACAAIAAgACAAIABcACIAUABvAHUAbAB0AHIAeQAgAG0AYQBuAHUAcgBlACAAdwBpAHQAaABvAHUAdAAgAGwAaQB0AHQAZQByACAAKABoAG8AdQBzAGkAbgBnACkAIABNAGEAbgB1AHIAZQAgAHMAdABvAHIAZQBkACAAaQBuACAAaABvAHUAcwBlACAAdQBuAGQAZQByACAAYwBhAGcAZQBzACAAbwByACAAcwBsAGEAdABcACIALAAgADAALgA0ACwAIABcACIATQBhAG4AdQByAGUAIABzAHQAbwByAGUAZAAgAGkAbgAgAGgAbwB1AHMAZQBcACIAOwBcAG4AIAAgACAAIAAgACAAIAAgACAAIABcACIAUwBvAGwAaQBkACAAcwB0AG8AcgBhAGcAZQAgACgAcwB0AG8AYwBrAHAAaQBsAGUAKQBcACIALAAgADAALgAyACwAIABcACIAUwBvAGwAaQBkACAAcwB0AG8AcgBhAGcAZQBcACIAOwBcAG4AIAAgACAAIAAgACAAIAAgACAAIABcACIAQwBvAG0AcABvAHMAdABpAG4AZwAgACgAcABhAHMAcwBpAHYAZQAgAHcAaQBuAGQAcgBvAHcAKQBcACIALAAgADAALgAy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RQBGAG0AVABcAG4AVABhAGIAbABlACAAQQAuADEALgA3AC4AMwA6ACAAUABvAHUAbAB0AHIAeQAgAC0AIABOAGkAdAByAG8AdQBzACAAbwB4AGkAZABlACAARQBGAHMAIABiAHkAIABNAE0AUwAgACgAawBnAE4AMgBPAC0ATgAvAGsAZwBOACkAIAAoAEUARgBtAFQAKQBcAG4ALQAtAC0ALQAtAC0ALQAtAC0ALQAtAC0ALQAtAC0ALQAtAC0ALQAtAC0ALQAtAC0ALQAtAC0ALQAtAC0ALQAtAC0ALQAtAC0ALQAtAFwAbgAqAC8AXABuAFwAbgBTAG8AdQByAGMAZQBEAGEAdABhAF8AUABvAHUAbAB0AHIAeQBfAEUARgBtAFQAXwBUAGkAdABsAGUAXABuACAAIAA9AEwAQQBNAEIARABBACgAXAAiAFAAbwB1AGwAdAByAHkAIAAtACAATgBpAHQAcgBvAHUAcwAgAG8AeABpAGQAZQAgAEUARgBzACAAYgB5ACAATQBNAFMAIAAoAGsAZwBOADIATwAtAE4ALwBrAGcATgApACAAKABFAEYAbQBUACkAXAAiACkAOwBcAG4AXABuAFMAbwB1AHIAYwBlAEQAYQB0AGEAXwBQAG8AdQBsAHQAcgB5AF8ARQBGAG0AVABfAFUAbgBpAHQAXABuACAAIAA9AEwAQQBNAEIARABBACgAXAAiAGsAZwBOADIATwAgAC0AIABOACAALwAgAGsAZwBOAFwAIgApADsAXABuAFwAbgBTAG8AdQByAGMAZQBEAGEAdABhAF8AUABvAHUAbAB0AHIAeQBfAEUARgBtAFQAXwBTAG8AdQByAGMAZQBcAG4AIAAgAD0ATABBAE0AQgBEAEEAKABcACIAVgBFAEUAUgBHACAAMgAwADIANgA6ACAAVABhAGIAbABlACAAQQAuADEALgA3AC4AMwBcACIAKQA7AFwAbgBcAG4AUwBvAHUAcgBjAGUARABhAHQAYQBfAFAAbwB1AGwAdAByAHkAXwBFAEYAbQBUAF8AVgBhAHIAaQBhAHQAaQBvAG4AXABuACAAIAA9AEwAQQBNAEIARABBACgAXAAiAFYAQQBSAEkAQQBUAEkATwBOACAATwBOACAAUwBPAFUAUgBDAEUAOgAgAEEAZABkAGUAZAAgAFwAdQAwADAAMgA3AE4ASQBSACAAZABlAGYAaQBuAGkAdABpAG8AbgAgAGMAbwBsAHUAbQBuAFwAdQAwADAAMgA3AC4AIA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UABvAHUAbAB0AHIAeQBfAEYAcgBhAGMARwBBAE0AUw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vAHUAbAB0AHIAeQBfAEYAcgBhAGMARwBBAE0AUw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bwB1AGwAdAByAHkAXwBGAHIAYQBjAEcAQQBNAFMAUwBvAGkAbABfAFYAYQByAGkAYQBiAGwAZQBcAG4AIAAgAD0ATABBAE0AQgBEAEEAKABcACIARgByAGEAYwBHAEEAUwBNAF8AcwBvAGkAbABcACIAKQA7AFwAbgBcAG4AUwBvAHUAcgBjAGUARABhAHQAYQBfAFAAbwB1AGwAdAByAHkAXwBGAHIAYQBjAEcAQQBNAFMAUwBvAGkAbABfAFUAbgBpAHQAXABuACAAIAA9AEwAQQBNAEIARABBACgAXAAiACgAawBnACAATgBIADMALQBOACAAKwAgAE4ATwB4AC0ATgApAC8AawBnACAATgBcACIAKQA7AFwAbgBcAG4AUwBvAHUAcgBjAGUARABhAHQAYQBfAFAAbwB1AGwAdAByAHkAXwBGAHIAYQBjAEcAQQBNAFMAUwBvAGkAbABfAFMAbwB1AHIAYwBlAFwAbgAgACAAPQBMAEEATQBCAEQAQQAoAFwAIgBWAEUARQBSAEcAIAAyADAAMgA2ADoAIAA0AC4ANgAuADIALgAzACAAQwBPAE4AUwBUAEEATgBUAFMAXAAiACkAOwBcAG4AXABuAFMAbwB1AHIAYwBlAEQAYQB0AGEAXwBQAG8AdQBsAHQAcgB5AF8ARgByAGEAYwBHAEEATQBTAFMAbwBpAGwAXwBWAGEAcgBpAGEAdABpAG8AbgBcAG4AIAAgAD0ATABBAE0AQgBEAEEAKABcACIAVgBBAFIASQBBAFQASQBPAE4AIABPAE4AIABTAE8AVQBSAEMARQA6ACAAVABoAGkAcwAgAGMAbwBuAHMAdABhAG4AdAAgAGkAcwAgAG4AbwB0ACAAZABvAGMAdQBtAGUAbgB0AGUAZAAgAGkAbgAgAHQAaABlACAAZAByAGEAZgB0ACwAIAB1AHMAZQBkACAAdABoAGUAIABzAGEAbQBlACAAdgBhAGwAdQBlACAAbwBmACAAMAAuADIAMQAgAGEAcwAgAGEAbABsACAAbwB0AGgAZQByACAAbABpAHYAZQBzAHQAbwBjAGsALgBcACIAKQA7AFwAbgBcAG4AUwBvAHUAcgBjAGUARABhAHQAYQBfAFAAbwB1AGwAdAByAHkAXwBGAHIAYQBjAEcAQQBNAFMAUwBvAGkAbABfAEQAYQB0AGEAXABuACAAIAA9AEwAQQBNAEIARABBACgAMAAuADIAMQApADsAXABuAFwAbgBcAG4ALwAqACAAXABuAC0ALQAtAC0ALQAtAC0ALQAtAC0ALQAtAC0ALQAtAC0ALQAtAC0ALQAtAC0ALQAtAC0ALQAtAC0ALQAtAC0ALQAtAC0ALQAtAC0ALQBcAG4AUwBvAHUAcgBjAGUARABhAHQAYQBfAFAAbwB1AGwAdAByAHkAXwBMAGkAdgBlAHcAZQBpAGcAaAB0AHMAXABuAFQAYQBiAGwAZQAgAEEALgAxAC4ANwAuADUAOgAgAFAAbwB1AGwAdAByAHkAIAAtACAATABpAHYAZQB3AGUAaQBnAGgAdABzACAAKABXAGMAbwApACAAKABrAGcAKQBcAG4ALQAtAC0ALQAtAC0ALQAtAC0ALQAtAC0ALQAtAC0ALQAtAC0ALQAtAC0ALQAtAC0ALQAtAC0ALQAtAC0ALQAtAC0ALQAtAC0ALQAtAFwAbgAqAC8AXABuAFwAbgBTAG8AdQByAGMAZQBEAGEAdABhAF8AUABvAHUAbAB0AHIAeQBfAEwAaQB2AGUAdwBlAGkAZwBoAHQAcwBfAFQAaQB0AGwAZQBcAG4AIAAgAD0ATABBAE0AQgBEAEEAKABcACIAUABvAHUAbAB0AHIAeQAgAC0AIABMAGkAdgBlAHcAZQBpAGcAaAB0AHMAIAAoAFcAYwBvACkAIAAoAGsAZwApAFwAIgApADsAXABuAFwAbgBTAG8AdQByAGMAZQBEAGEAdABhAF8AUABvAHUAbAB0AHIAeQBfAEwAaQB2AGUAdwBlAGkAZwBoAHQAcwBfAFUAbgBpAHQAXABuACAAIAA9AEwAQQBNAEIARABBACgAXAAiAGsAZwBcACIAKQA7AFwAbgBcAG4AUwBvAHUAcgBjAGUARABhAHQAYQBfAFAAbwB1AGwAdAByAHkAXwBMAGkAdgBlAHcAZQBpAGcAaAB0AHMAXwBTAG8AdQByAGMAZQBcAG4AIAAgAD0ATABBAE0AQgBEAEEAKABcACIAVgBFAEUAUgBHACAAMgAwADIANgA6ACAAVABhAGIAbABlACAAQQAuADEALgA3AC4ANQBcACIAKQA7AFwAbgBcAG4AUwBvAHUAcgBjAGUARABhAHQAYQBfAFAAbwB1AGwAdAByAHkAXwBMAGkAdgBlAHcAZQBpAGcAaAB0AHMAXwBWAGEAcgBpAGEAdABpAG8AbgBcAG4AIAAgAD0ATABBAE0AQgBEAEEAKABcACIAXAAiACkAOwBcAG4AXABuAFMAbwB1AHIAYwBlAEQAYQB0AGEAXwBQAG8AdQBsAHQAcgB5AF8ATABpAHYAZQB3AGUAaQBnAGgAdABzAF8ARABhAHQAYQBcAG4AIAAgAD0ATABBAE0AQgBEAEEAKABcAG4AIAAgACAAIABNAEEASwBFAEEAUgBSAEEAWQAoADUALAAgADIALAAgAFwAbgAgACAAIAAgACAAIABMAEEATQBCAEQAQQAoAHIALABjACwAIABcAG4AIAAgACAAIAAgACAAIAAgAEkATgBEAEUAWAAoAHsAXABuACAAIAAgACAAIAAgACAAIAAgACAAXAAiAEwAaQB2AGUAcwB0AG8AYwBrACAAQwBsAGEAcwBzACAAagBcACIALAAgAFwAIgBBAHYAZQByAGEAZwBlACAATABpAHYAZQB3AGUAaQBnAGgAdAAgACgAawBnACkAXAAiADsAXABuACAAIAAgACAAIAAgACAAIAAgACAAXAAiAEMAaABpAGMAawBlAG4AXAAiACwAIAAxAC4AMwA7AFwAbgAgACAAIAAgACAAIAAgACAAIAAgAFwAIgBIAGUAbgAgAFwAdQAwADAAMwBlAC8APQAxACAAeQByAFwAIgAsACAAMgA7AFwAbgAgACAAIAAgACAAIAAgACAAIAAgAFwAIgBQAHUAbABsAGUAdABzAFwAIgAsACAAMQAuADQAOwBcAG4AIAAgACAAIAAgACAAIAAgACAAIABcACIAQgByAG8AaQBsAGUAcgBzAFwAIgAsACAAMQAuADIAXABuACAAIAAgACAAIAAgACAAIAB9ACwAIAByACwAIABjACkAXABuACAAIAAgACAAIAAgACkAXABuACAAIAAgACAAKQBcAG4AIAAgACkAOwAiAH0ALAB7ACIAcABhAHQAaAAiADoAIgAvAHAAcgBvAGoAZQBjAHQAcwAvAFMAYwBvAHAAZQAzAF8ARQBxAHUAYQB0AGkAbwBuAHMAIgAsACIAdABlAHgAdAAiADoAIgAvACoAXABuAD0APQA9AD0APQA9AD0APQA9AD0APQA9AD0APQA9AD0APQA9AD0APQA9AD0APQA9AD0APQA9AD0APQA9AD0APQA9AD0APQA9AD0APQA9AD0APQA9AD0APQA9AD0APQA9AD0APQA9AD0APQA9AD0APQA9AD0APQA9AD0APQA9AD0APQA9AD0APQA9AD0APQA9AD0APQA9AD0AXABuADEANQA6ACAAUwBjAG8AcABlACAAMw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1AF8AMQBfADEAXwAxAF8AXwAxAF8ARQBtAGkAcwBzAGkAbwBuAHMARgByAG8AbQBQAHUAcgBjAGgAYQBzAGUAZABMAGkAdgBlAHMAdABvAGMAawBcAG4AVABvAHQAYQBsACAAZQBtAGkAcwBzAGkAbwBuAHMAIABmAHIAbwBtACAAcAB1AHIAYwBoAGEAcwBlAGQAIABsAGkAdgBlAHMAdABvAGMAawBcAG4ARQBcAG4AdAAgAEMATwAyAGUAXABuAEUAPQBcAFwAcwB1AG0AXABcAG4AbwBsAGkAbQBpAHQAcwBfAGMAXABcAHMAdQBtAFwAXABuAG8AbABpAG0AaQB0AHMAXwBvAFwAXABsAGUAZgB0ACgATgBfAHsAYwBvAH0AXABcAHQAaQBtAGUAcwAgAFcAXwB7AGMAbwB9AFwAXAB0AGkAbQBlAHMAIABFAEYAXwB7AGMAbwB9AFwAXAByAGkAZwBoAHQAKQBcAFwAdABpAG0AZQBzACAAMQAwAF4AewAtADMAfQBcAG4ATgBfAGMAbwAgAD0AIABuAHUAbQBiAGUAcgAgAG8AZgAgAGEAbgBpAG0AYQBsAHMAIABwAHUAcgBjAGgAYQBzAGUAZAAgAGkAbgAgAGwAaQB2AGUAcwB0AG8AYwBrACAAdAB5AHAAZQAgAGMAIABmAHIAbwBtACAAbwByAGkAZwBpAG4AIABvAFwAbgBXAF8AYwBvACAAPQAgAGEAdgBlAHIAYQBnAGUAIABsAGkAdgBlAHcAZQBpAGcAaAB0ACAAbwBmACAAcAB1AHIAYwBoAGEAcwBlAGQAIABsAGkAdgBlAHMAdABvAGMAawAgAGEAdAAgAHAAbwBpAG4AdAAgAG8AZgAgAHAAdQByAGMAaABhAHMAZQBcAG4ARQBGAF8AYwBvACAAPQAgAGUAbQBpAHMAcwBpAG8AbgAgAGYAYQBjAHQAbwByACAAcABlAHIAIABsAGkAdgBlAHMAdABvAGMAawAgAHQAeQBwAGUAIABhAG4AZAAgAG8AcgBpAGcAaQBuAFwAbgAtAC0ALQAtAC0ALQAtAC0ALQAtAC0ALQAtAC0ALQAtAC0ALQAtAC0ALQAtAC0ALQAtAC0ALQAtAC0ALQAtAC0ALQAtAC0ALQAtAC0AXABuACoALwBcAG4AXABuAFYARQBFAFIARwBfADEANQBfADEAXwAxAF8AMQBfAF8AMQBfAEUAbQBpAHMAcwBpAG8AbgBzAEYAcgBvAG0AUAB1AHIAYwBoAGEAcwBlAGQATABpAHYAZQBzAHQAbwBjAGsAXABuACAAIAA9AEwAQQBNAEIARABBACgAXABuACAAIAAgACAATgBfAGMAbwAsACAAVwBfAGMAbwAsACAARQBGAF8AYwBvACwAXABuACAAIAAgACAAKABOAF8AYwBvACAAKgAgAFcAXwBjAG8AIAAqACAARQBGAF8AYwBvACkAIAAqACAAMQAwACAAXgAgAC0AMwBcAG4AIAAgACkAOwBcAG4AXABuAFYARQBFAFIARwBfADEANQBfADEAXwAxAF8AMQBfAF8AMQBfAEUAbQBpAHMAcwBpAG8AbgBzAEYAcgBvAG0AUAB1AHIAYwBoAGEAcwBlAGQATABpAHYAZQBzAHQAbwBjAGsAXwBUAGkAdABsAGUAXABuACAAIAA9AEwAQQBNAEIARABBACgAXAAiAFQAbwB0AGEAbAAgAGUAbQBpAHMAcwBpAG8AbgBzACAAZgByAG8AbQAgAHAAdQByAGMAaABhAHMAZQBkACAAbABpAHYAZQBzAHQAbwBjAGsAXAAiACkAOwBcAG4AXABuAFYARQBFAFIARwBfADEANQBfADEAXwAxAF8AMQBfAF8AMQBfAEUAbQBpAHMAcwBpAG8AbgBzAEYAcgBvAG0AUAB1AHIAYwBoAGEAcwBlAGQATABpAHYAZQBzAHQAbwBjAGsAXwBWAGEAcgBpAGEAYgBsAGUAXABuACAAIAA9AEwAQQBNAEIARABBACgAXAAiAEUAXAAiACkAOwBcAG4AXABuAFYARQBFAFIARwBfADEANQBfADEAXwAxAF8AMQBfAF8AMQBfAEUAbQBpAHMAcwBpAG8AbgBzAEYAcgBvAG0AUAB1AHIAYwBoAGEAcwBlAGQATABpAHYAZQBzAHQAbwBjAGsAXwBVAG4AaQB0AFwAbgAgACAAPQBMAEEATQBCAEQAQQAoAFwAIgB0ACAAQwBPADIAZQBcACIAKQA7AFwAbgBcAG4AVgBFAEUAUgBHAF8AMQA1AF8AMQBfADEAXwAxAF8AXwAxAF8ARQBtAGkAcwBzAGkAbwBuAHMARgByAG8AbQBQAHUAcgBjAGgAYQBzAGUAZABMAGkAdgBlAHMAdABvAGMAawBfAFMAbwB1AHIAYwBlAFwAbgAgACAAPQBMAEEATQBCAEQAQQAoAFwAIgBWAEUARQBSAEcAIAAyADAAMgA2ADoAIAAxADUALgAxAC4AMQAuADEALAAgAEUAcQB1AGEAdABpAG8AbgAgACgAMQApAFwAIgApADsAXABuAFwAbgBWAEUARQBSAEcAXwAxADUAXwAxAF8AMQBfADEAXwBfADEAXwBFAG0AaQBzAHMAaQBvAG4AcwBGAHIAbwBtAFAAdQByAGMAaABhAHMAZQBkAEwAaQB2AGUAcwB0AG8AYwBrAF8ATgBJAFIAUgBlAGYAZQByAGUAbgBjAGUAXABuACAAIAA9AEwAQQBNAEIARABBACgAXAAiAFwAIgApADsAXABuAFwAbgBWAEUARQBSAEcAXwAxADUAXwAxAF8AMQBfADEAXwBfADEAXwBFAG0AaQBzAHMAaQBvAG4AcwBGAHIAbwBtAFAAdQByAGMAaABhAHMAZQBkAEwAaQB2AGUAcwB0AG8AYwBrAF8ATABhAHQAZQB4AEUAcQB1AGEAdABpAG8AbgBcAG4AIAAgAD0ATABBAE0AQgBEAEEAKABcACIARQA9AFwAXABzAHUAbQBcAFwAbgBvAGwAaQBtAGkAdABzAF8AYwBcAFwAcwB1AG0AXABcAG4AbwBsAGkAbQBpAHQAcwBfAG8AXABcAGwAZQBmAHQAKABOAF8AewBjAG8AfQBcAFwAdABpAG0AZQBzACAAVwBfAHsAYwBvAH0AXABcAHQAaQBtAGUAcwAgAEUARgBfAHsAYwBvAH0AXABcAHIAaQBnAGgAdAApAFwAXAB0AGkAbQBlAHMAIAAxADAAXgB7AC0AMwB9AFwAIgApADsAXABuAFwAbgBWAEUARQBSAEcAXwAxADUAXwAxAF8AMQBfADEAXwBfADEAXwBFAG0AaQBzAHMAaQBvAG4AcwBGAHIAbwBtAFAAdQByAGMAaABhAHMAZQBkAEwAaQB2AGUAcwB0AG8AYwBrAF8AQQByAGcAdQBtAGUAbgB0AHMAXABuACAAIAA9AEwAQQBNAEIARABBACgAXABuACAAIAAgACAATQBBAEsARQBBAFIAUgBBAFkAKAA1ACwAIAA0ACwAXABuACAAIAAgACAAIAAgAEwAQQBNAEIARABBACgAcgAsAGMALABcAG4AIAAgACAAIAAgACAAIAAgAEkATgBEAEUAWAAoAHsAXABuACAAIAAgACAAIAAgACAAIAAgACAAXAAiAE4AXwBjAG8AXAAiACwAIABcACIAbgB1AG0AYgBlAHIAIABvAGYAIABhAG4AaQBtAGEAbABzACAAcAB1AHIAYwBoAGEAcwBlAGQAIABpAG4AIABsAGkAdgBlAHMAdABvAGMAawAgAHQAeQBwAGUAIABjACAAZgByAG8AbQAgAG8AcgBpAGcAaQBuACAAbwBcACIALAAgAFwAIgBoAGUAYQBkAFwAIgAsACAAXAAiAEkAbgBwAHUAdABcACIAOwBcAG4AIAAgACAAIAAgACAAIAAgACAAIABcACIAVwBfAGMAbwBcACIALAAgAFwAIgBhAHYAZQByAGEAZwBlACAAbABpAHYAZQB3AGUAaQBnAGgAdAAgAG8AZgAgAHAAdQByAGMAaABhAHMAZQBkACAAbABpAHYAZQBzAHQAbwBjAGsAIABhAHQAIABwAG8AaQBuAHQAIABvAGYAIABwAHUAcgBjAGgAYQBzAGUAXAAiACwAIABcACIAawBnAC8AaABlAGEAZABcACIALAAgAFwAIgBJAG4AcAB1AHQAXAAiADsAXABuACAAIAAgACAAIAAgACAAIAAgACAAXAAiAEUARgBfAGMAbwBcACIALAAgAFwAIgBlAG0AaQBzAHMAaQBvAG4AIABmAGEAYwB0AG8AcgAgAHAAZQByACAAbABpAHYAZQBzAHQAbwBjAGsAIAB0AHkAcABlACAAYQBuAGQAIABvAHIAaQBnAGkAbgBcACIALAAgAFwAIgBrAGcAIABDAE8AMgBlAC8AawBnAFwAIgAsACAAXAAiAEMAbwBuAHMAdABhAG4AdABcACIAOwBcAG4AIAAgACAAIAAgACAAIAAgACAAIABcACIAYwBcACIALAAgAFwAIgBsAGkAdgBlAHMAdABvAGMAawAgAHQAeQBwAGUAXAAiACwAIABcACIAXAAiACwAIABcACIASQBuAHAAdQB0AFwAIgA7AFwAbgAgACAAIAAgACAAIAAgACAAIAAgAFwAIgBvAFwAIgAsACAAXAAiAG8AcgBpAGcAaQ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yAF8AMQBfADEAXwBfADEAXwBFAG0AaQBzAHMAaQBvAG4AcwBGAHIAbwBtAFAAdQByAGMAaABhAHMAZQBkAEYAZQBlAGQAXABuAEUAbQBpAHMAcwBpAG8AbgBzACAAZgByAG8AbQAgAHAAdQByAGMAaABhAHMAZQBkACAAZgBlAGUAZABcAG4ARQBcAG4AdAAgAEMATwAyAGUAXABuAEUAPQBcAFwAcwB1AG0AXABcAG4AbwBsAGkAbQBpAHQAcwBfAGoAXABcAGwAZQBmAHQAKABRAF8AagBcAFwAdABpAG0AZQBzACAARQBGAF8AagBcAFwAcgBpAGcAaAB0ACkAXABuAFEAXwBqACAAPQAgAHEAdQBhAG4AdABpAHQAeQAgAG8AZgAgAGYAZQBlAGQAIAB0AHkAcABlACAAagAgAHAAdQByAGMAaABhAHMAZQBkAFwAbgBFAEYAXwBqACAAPQAgAGUAbQBpAHMAcwBpAG8AbgAgAGYAYQBjAHQAbwByACAAbwBmACAAcAB1AHIAYwBoAGEAcwBlAGQAIABmAGUAZQBkAFwAbgAtAC0ALQAtAC0ALQAtAC0ALQAtAC0ALQAtAC0ALQAtAC0ALQAtAC0ALQAtAC0ALQAtAC0ALQAtAC0ALQAtAC0ALQAtAC0ALQAtAC0AXABuACoALwBcAG4AXABuAFYARQBFAFIARwBfADEANQBfADIAXwAxAF8AMQBfAF8AMQBfAEUAbQBpAHMAcwBpAG8AbgBzAEYAcgBvAG0AUAB1AHIAYwBoAGEAcwBlAGQARgBlAGUAZABcAG4AIAAgAD0ATABBAE0AQgBEAEEAKABcAG4AIAAgACAAIABRAF8AagAsACAARQBGAF8AagAsAFwAbgAgACAAIAAgAFEAXwBqACAAKgAgAEUARgBfAGoAXABuACAAIAApADsAXABuAFwAbgBWAEUARQBSAEcAXwAxADUAXwAyAF8AMQBfADEAXwBfADEAXwBFAG0AaQBzAHMAaQBvAG4AcwBGAHIAbwBtAFAAdQByAGMAaABhAHMAZQBkAEYAZQBlAGQAXwBUAGkAdABsAGUAXABuACAAIAA9AEwAQQBNAEIARABBACgAXAAiAEUAbQBpAHMAcwBpAG8AbgBzACAAZgByAG8AbQAgAHAAdQByAGMAaABhAHMAZQBkACAAZgBlAGUAZABcACIAKQA7AFwAbgBcAG4AVgBFAEUAUgBHAF8AMQA1AF8AMgBfADEAXwAxAF8AXwAxAF8ARQBtAGkAcwBzAGkAbwBuAHMARgByAG8AbQBQAHUAcgBjAGgAYQBzAGUAZABGAGUAZQBkAF8AVgBhAHIAaQBhAGIAbABlAFwAbgAgACAAPQBMAEEATQBCAEQAQQAoAFwAIgBFAFwAIgApADsAXABuAFwAbgBWAEUARQBSAEcAXwAxADUAXwAyAF8AMQBfADEAXwBfADEAXwBFAG0AaQBzAHMAaQBvAG4AcwBGAHIAbwBtAFAAdQByAGMAaABhAHMAZQBkAEYAZQBlAGQAXwBVAG4AaQB0AFwAbgAgACAAPQBMAEEATQBCAEQAQQAoAFwAIgB0ACAAQwBPADIAZQBcACIAKQA7AFwAbgBcAG4AVgBFAEUAUgBHAF8AMQA1AF8AMgBfADEAXwAxAF8AXwAxAF8ARQBtAGkAcwBzAGkAbwBuAHMARgByAG8AbQBQAHUAcgBjAGgAYQBzAGUAZABGAGUAZQBkAF8AUwBvAHUAcgBjAGUAXABuACAAIAA9AEwAQQBNAEIARABBACgAXAAiAFYARQBFAFIARwAgADIAMAAyADYAOgAgADEANQAuADIALgAxAC4AMQAsACAARQBxAHUAYQB0AGkAbwBuACAAKAAxACkAXAAiACkAOwBcAG4AXABuAFYARQBFAFIARwBfADEANQBfADIAXwAxAF8AMQBfAF8AMQBfAEUAbQBpAHMAcwBpAG8AbgBzAEYAcgBvAG0AUAB1AHIAYwBoAGEAcwBlAGQARgBlAGUAZABfAE4ASQBSAFIAZQBmAGUAcgBlAG4AYwBlAFwAbgAgACAAPQBMAEEATQBCAEQAQQAoAFwAIgBcACIAKQA7AFwAbgBcAG4AVgBFAEUAUgBHAF8AMQA1AF8AMgBfADEAXwAxAF8AXwAxAF8ARQBtAGkAcwBzAGkAbwBuAHMARgByAG8AbQBQAHUAcgBjAGgAYQBzAGUAZABGAGUAZQBkAF8ATABhAHQAZQB4AEUAcQB1AGEAdABpAG8AbgBcAG4AIAAgAD0ATABBAE0AQgBEAEEAKABcACIARQA9AFwAXABzAHUAbQBcAFwAbgBvAGwAaQBtAGkAdABzAF8AagBcAFwAbABlAGYAdAAoAFEAXwBqAFwAXAB0AGkAbQBlAHMAIABFAEYAXwBqAFwAXAByAGkAZwBoAHQAKQBcACIAKQA7AFwAbgBcAG4AVgBFAEUAUgBHAF8AMQA1AF8AMgBfADEAXwAxAF8AXwAxAF8ARQBtAGkAcwBzAGkAbwBuAHMARgByAG8AbQBQAHUAcgBjAGgAYQBzAGUAZABGAGUAZQBkAF8AQQByAGcAdQBtAGUAbgB0AHMAXABuACAAIAA9AEwAQQBNAEIARABBACgAXABuACAAIAAgACAATQBBAEsARQBBAFIAUgBBAFkAKAAzACwAIAA0ACwAXABuACAAIAAgACAAIAAgAEwAQQBNAEIARABBACgAcgAsAGMALABcAG4AIAAgACAAIAAgACAAIAAgAEkATgBEAEUAWAAoAHsAXABuACAAIAAgACAAIAAgACAAIAAgACAAXAAiAFEAXwBqAFwAIgAsACAAXAAiAHEAdQBhAG4AdABpAHQAeQAgAG8AZgAgAGYAZQBlAGQAIAB0AHkAcABlACAAagAgAHAAdQByAGMAaABhAHMAZQBkAFwAIgAsACAAXAAiAHQAXAAiACwAIABcACIASQBuAHAAdQB0AFwAIgA7AFwAbgAgACAAIAAgACAAIAAgACAAIAAgAFwAIgBFAEYAXwBqAFwAIgAsACAAXAAiAGUAbQBpAHMAcwBpAG8AbgAgAGYAYQBjAHQAbwByACAAbwBmACAAcAB1AHIAYwBoAGEAcwBlAGQAIABmAGUAZQBkAFwAIgAsACAAXAAiAGsAZwAgAEMATwAyAGUALwBrAGcAXAAiACwAIABcACIAQwBvAG4AcwB0AGEAbgB0AFwAIgA7AFwAbgAgACAAIAAgACAAIAAgACAAIAAgAFwAIgBqAFwAIgAsACAAXAAiAGYAZQBlAG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zAF8AMQBfADEAXwBfADEAXwBFAG0AaQBzAHMAaQBvAG4AcwBGAHIAbwBtAFAAdQByAGMAaABhAHMAZQBkAE0AaQBuAGUAcgBhAGwAUwB1AHAAcABsAGUAbQBlAG4AdABzAFwAbgBUAG8AdABhAGwAIABlAG0AaQBzAHMAaQBvAG4AcwAgAGYAcgBvAG0AIABwAHUAcgBjAGgAYQBzAGUAZAAgAG0AaQBuAGUAcgBhAGwAIABzAHUAcABwAGwAZQBtAGUAbgB0AHMAXABuAEUAXABuAHQAIABDAE8AMgBlAFwAbgBFAD0AXABcAHMAdQBtAFwAXABuAG8AbABpAG0AaQB0AHMAXwBtAFwAXABsAGUAZgB0ACgAUQBfAG0AXABcAHQAaQBtAGUAcwAgAEUARgBfAG0AXABcAHIAaQBnAGgAdAApAFwAbgBRAF8AbQAgAD0AIAB0AG8AdABhAGwAIABxAHUAYQBuAHQAaQB0AHkAIABvAGYAIABtAGkAbgBlAHIAYQBsACAAcwB1AHAAcABsAGUAbQBlAG4AdAAgAHQAeQBwAGUAIABtACAAdQBzAGUAZABcAG4ARQBGAF8AbQAgAD0AIABlAG0AaQBzAHMAaQBvAG4AIABmAGEAYwB0AG8AcgAgAG8AZgAgAHAAdQByAGMAaABhAHMAZQBkACAAbQBpAG4AZQByAGEAbAAgAHMAdQBwAHAAbABlAG0AZQBuAHQAXABuAC0ALQAtAC0ALQAtAC0ALQAtAC0ALQAtAC0ALQAtAC0ALQAtAC0ALQAtAC0ALQAtAC0ALQAtAC0ALQAtAC0ALQAtAC0ALQAtAC0ALQBcAG4AKgAvAFwAbgBcAG4AVgBFAEUAUgBHAF8AMQA1AF8AMwBfADEAXwAxAF8AXwAxAF8ARQBtAGkAcwBzAGkAbwBuAHMARgByAG8AbQBQAHUAcgBjAGgAYQBzAGUAZABNAGkAbgBlAHIAYQBsAFMAdQBwAHAAbABlAG0AZQBuAHQAcwBcAG4AIAAgAD0ATABBAE0AQgBEAEEAKABcAG4AIAAgACAAIABRAF8AbQAsACAARQBGAF8AbQAsAFwAbgAgACAAIAAgAFEAXwBtACAAKgAgAEUARgBfAG0AXABuACAAIAApADsAXABuAFwAbgBWAEUARQBSAEcAXwAxADUAXwAzAF8AMQBfADEAXwBfADEAXwBFAG0AaQBzAHMAaQBvAG4AcwBGAHIAbwBtAFAAdQByAGMAaABhAHMAZQBkAE0AaQBuAGUAcgBhAGwAUwB1AHAAcABsAGUAbQBlAG4AdABzAF8AVABpAHQAbABlAFwAbgAgACAAPQBMAEEATQBCAEQAQQAoAFwAIgBUAG8AdABhAGwAIABlAG0AaQBzAHMAaQBvAG4AcwAgAGYAcgBvAG0AIABwAHUAcgBjAGgAYQBzAGUAZAAgAG0AaQBuAGUAcgBhAGwAIABzAHUAcABwAGwAZQBtAGUAbgB0AHMAXAAiACkAOwBcAG4AXABuAFYARQBFAFIARwBfADEANQBfADMAXwAxAF8AMQBfAF8AMQBfAEUAbQBpAHMAcwBpAG8AbgBzAEYAcgBvAG0AUAB1AHIAYwBoAGEAcwBlAGQATQBpAG4AZQByAGEAbABTAHUAcABwAGwAZQBtAGUAbgB0AHMAXwBWAGEAcgBpAGEAYgBsAGUAXABuACAAIAA9AEwAQQBNAEIARABBACgAXAAiAEUAXAAiACkAOwBcAG4AXABuAFYARQBFAFIARwBfADEANQBfADMAXwAxAF8AMQBfAF8AMQBfAEUAbQBpAHMAcwBpAG8AbgBzAEYAcgBvAG0AUAB1AHIAYwBoAGEAcwBlAGQATQBpAG4AZQByAGEAbABTAHUAcABwAGwAZQBtAGUAbgB0AHMAXwBVAG4AaQB0AFwAbgAgACAAPQBMAEEATQBCAEQAQQAoAFwAIgB0ACAAQwBPADIAZQBcACIAKQA7AFwAbgBcAG4AVgBFAEUAUgBHAF8AMQA1AF8AMwBfADEAXwAxAF8AXwAxAF8ARQBtAGkAcwBzAGkAbwBuAHMARgByAG8AbQBQAHUAcgBjAGgAYQBzAGUAZABNAGkAbgBlAHIAYQBsAFMAdQBwAHAAbABlAG0AZQBuAHQAcwBfAFMAbwB1AHIAYwBlAFwAbgAgACAAPQBMAEEATQBCAEQAQQAoAFwAIgBWAEUARQBSAEcAIAAyADAAMgA2ADoAIAAxADUALgAzAC4AMQAuADEALAAgAEUAcQB1AGEAdABpAG8AbgAgACgAMQApAFwAIgApADsAXABuAFwAbgBWAEUARQBSAEcAXwAxADUAXwAzAF8AMQBfADEAXwBfADEAXwBFAG0AaQBzAHMAaQBvAG4AcwBGAHIAbwBtAFAAdQByAGMAaABhAHMAZQBkAE0AaQBuAGUAcgBhAGwAUwB1AHAAcABsAGUAbQBlAG4AdABzAF8ATgBJAFIAUgBlAGYAZQByAGUAbgBjAGUAXABuACAAIAA9AEwAQQBNAEIARABBACgAXAAiAFwAIgApADsAXABuAFwAbgBWAEUARQBSAEcAXwAxADUAXwAzAF8AMQBfADEAXwBfADEAXwBFAG0AaQBzAHMAaQBvAG4AcwBGAHIAbwBtAFAAdQByAGMAaABhAHMAZQBkAE0AaQBuAGUAcgBhAGwAUwB1AHAAcABsAGUAbQBlAG4AdABzAF8ATABhAHQAZQB4AEUAcQB1AGEAdABpAG8AbgBcAG4AIAAgAD0ATABBAE0AQgBEAEEAKABcACIARQA9AFwAXABzAHUAbQBcAFwAbgBvAGwAaQBtAGkAdABzAF8AbQBcAFwAbABlAGYAdAAoAFEAXwBtAFwAXAB0AGkAbQBlAHMAIABFAEYAXwBtAFwAXAByAGkAZwBoAHQAKQBcACIAKQA7AFwAbgBcAG4AVgBFAEUAUgBHAF8AMQA1AF8AMwBfADEAXwAxAF8AXwAxAF8ARQBtAGkAcwBzAGkAbwBuAHMARgByAG8AbQBQAHUAcgBjAGgAYQBzAGUAZABNAGkAbgBlAHIAYQBsAFMAdQBwAHAAbABlAG0AZQBuAHQAcwBfAEEAcgBnAHUAbQBlAG4AdABzAFwAbgAgACAAPQBMAEEATQBCAEQAQQAoAFwAbgAgACAAIAAgAE0AQQBLAEUAQQBSAFIAQQBZACgAMwAsACAANAAsAFwAbgAgACAAIAAgACAAIABMAEEATQBCAEQAQQAoAHIALABjACwAXABuACAAIAAgACAAIAAgACAAIABJAE4ARABFAFgAKAB7AFwAbgAgACAAIAAgACAAIAAgACAAIAAgAFwAIgBRAF8AbQBcACIALAAgAFwAIgB0AG8AdABhAGwAIABxAHUAYQBuAHQAaQB0AHkAIABvAGYAIABtAGkAbgBlAHIAYQBsACAAcwB1AHAAcABsAGUAbQBlAG4AdAAgAHQAeQBwAGUAIABtACAAdQBzAGUAZABcACIALAAgAFwAIgB0AFwAIgAsACAAXAAiAEkAbgBwAHUAdABcACIAOwBcAG4AIAAgACAAIAAgACAAIAAgACAAIABcACIARQBGAF8AbQBcACIALAAgAFwAIgBlAG0AaQBzAHMAaQBvAG4AIABmAGEAYwB0AG8AcgAgAG8AZgAgAHAAdQByAGMAaABhAHMAZQBkACAAbQBpAG4AZQByAGEAbAAgAHMAdQBwAHAAbABlAG0AZQBuAHQAXAAiACwAIABcACIAawBnACAAQwBPADIAZQAvAGsAZwBcACIALAAgAFwAIgBDAG8AbgBzAHQAYQBuAHQAXAAiADsAXABuACAAIAAgACAAIAAgACAAIAAgACAAXAAiAG0AXAAiACwAIABcACIAbQBpAG4AZQByAGEAbAAgAHMAdQBwAHAAbABlAG0AZQBuAH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EAXwBFAG0AaQBzAHMAaQBvAG4AcwBGAHIAbwBtAFAAdQByAGMAaABhAHMAZQBkAEYAZQByAHQAaQBsAGkAcwBlAHIAXABuAEUAbQBpAHMAcwBpAG8AbgBzACAAZgByAG8AbQAgAHAAdQByAGMAaABhAHMAZQBkACAAZgBlAHIAdABpAGwAaQBzAGUAcgBcAG4ARQBcAG4AdAAgAEMATwAyAGUAXABuAEUAPQBcAFwAcwB1AG0AXABcAG4AbwBsAGkAbQBpAHQAcwBfAGYAXABcAHMAdQBtAFwAXABuAG8AbABpAG0AaQB0AHMAXwBqAFwAXABsAGUAZgB0ACgAVABNAF8AewBqAGYAfQBcAFwAdABpAG0AZQBzACAARQBGAF8AZgBcAFwAcgBpAGcAaAB0ACkAXABcAHQAaQBtAGUAcwAgADEAMABeAHsALQAzAH0AXABuAFQATQBfAGoAZgAgAD0AIABxAHUAYQBuAHQAaQB0AHkAIABvAGYAIABpAG4AbwByAGcAYQBuAGkAYwAgAGYAZQByAHQAaQBsAGkAcwBlAHIAIAB0AHkAcABlACAAZgAgAHAAdQByAGMAaABhAHMAZQBkACAAYQBuAGQAIABhAHAAcABsAGkAZQBkACAAdABvACAAcAByAG8AZAB1AGMAdABpAG8AbgAgAHMAeQBzAHQAZQBtACAAagBcAG4ARQBGAF8AZgAgAD0AIABlAG0AaQBzAHMAaQBvAG4AIABmAGEAYwB0AG8AcgAgAG8AZgAgAHAAdQByAGMAaABhAHMAZQBkACAAaQBuAG8AcgBnAGEAbgBpAGMAIABmAGUAcgB0AGkAbABpAHMAZQByAFwAbgAtAC0ALQAtAC0ALQAtAC0ALQAtAC0ALQAtAC0ALQAtAC0ALQAtAC0ALQAtAC0ALQAtAC0ALQAtAC0ALQAtAC0ALQAtAC0ALQAtAC0AXABuACoALwBcAG4AXABuAFYARQBFAFIARwBfADEANQBfADQAXwAxAF8AMQBfAF8AMQBfAEUAbQBpAHMAcwBpAG8AbgBzAEYAcgBvAG0AUAB1AHIAYwBoAGEAcwBlAGQARgBlAHIAdABpAGwAaQBzAGUAcgBcAG4AIAAgAD0ATABBAE0AQgBEAEEAKABcAG4AIAAgACAAIABUAE0AXwBqAGYALAAgAEUARgBfAGYALABcAG4AIAAgACAAIAAoAFQATQBfAGoAZgAgACoAIABFAEYAXwBmACkAIAAqACAAMQAwACAAXgAgAC0AMwBcAG4AIAAgACkAOwBcAG4AXABuAFYARQBFAFIARwBfADEANQBfADQAXwAxAF8AMQBfAF8AMQBfAEUAbQBpAHMAcwBpAG8AbgBzAEYAcgBvAG0AUAB1AHIAYwBoAGEAcwBlAGQARgBlAHIAdABpAGwAaQBzAGUAcgBfAFQAaQB0AGwAZQBcAG4AIAAgAD0ATABBAE0AQgBEAEEAKABcACIARQBtAGkAcwBzAGkAbwBuAHMAIABmAHIAbwBtACAAcAB1AHIAYwBoAGEAcwBlAGQAIABmAGUAcgB0AGkAbABpAHMAZQByAFwAIgApADsAXABuAFwAbgBWAEUARQBSAEcAXwAxADUAXwA0AF8AMQBfADEAXwBfADEAXwBFAG0AaQBzAHMAaQBvAG4AcwBGAHIAbwBtAFAAdQByAGMAaABhAHMAZQBkAEYAZQByAHQAaQBsAGkAcwBlAHIAXwBWAGEAcgBpAGEAYgBsAGUAXABuACAAIAA9AEwAQQBNAEIARABBACgAXAAiAEUAXAAiACkAOwBcAG4AXABuAFYARQBFAFIARwBfADEANQBfADQAXwAxAF8AMQBfAF8AMQBfAEUAbQBpAHMAcwBpAG8AbgBzAEYAcgBvAG0AUAB1AHIAYwBoAGEAcwBlAGQARgBlAHIAdABpAGwAaQBzAGUAcgBfAFUAbgBpAHQAXABuACAAIAA9AEwAQQBNAEIARABBACgAXAAiAHQAIABDAE8AMgBlAFwAIgApADsAXABuAFwAbgBWAEUARQBSAEcAXwAxADUAXwA0AF8AMQBfADEAXwBfADEAXwBFAG0AaQBzAHMAaQBvAG4AcwBGAHIAbwBtAFAAdQByAGMAaABhAHMAZQBkAEYAZQByAHQAaQBsAGkAcwBlAHIAXwBTAG8AdQByAGMAZQBcAG4AIAAgAD0ATABBAE0AQgBEAEEAKABcACIAVgBFAEUAUgBHACAAMgAwADIANgA6ACAAMQA1AC4ANAAuADEALgAxACwAIABFAHEAdQBhAHQAaQBvAG4AIAAoADEAKQBcACIAKQA7AFwAbgBcAG4AVgBFAEUAUgBHAF8AMQA1AF8ANABfADEAXwAxAF8AXwAxAF8ARQBtAGkAcwBzAGkAbwBuAHMARgByAG8AbQBQAHUAcgBjAGgAYQBzAGUAZABGAGUAcgB0AGkAbABpAHMAZQByAF8ATgBJAFIAUgBlAGYAZQByAGUAbgBjAGUAXABuACAAIAA9AEwAQQBNAEIARABBACgAXAAiAFwAIgApADsAXABuAFwAbgBWAEUARQBSAEcAXwAxADUAXwA0AF8AMQBfADEAXwBfADEAXwBFAG0AaQBzAHMAaQBvAG4AcwBGAHIAbwBtAFAAdQByAGMAaABhAHMAZQBkAEYAZQByAHQAaQBsAGkAcwBlAHIAXwBMAGEAdABlAHgARQBxAHUAYQB0AGkAbwBuAFwAbgAgACAAPQBMAEEATQBCAEQAQQAoAFwAIgBFAD0AXABcAHMAdQBtAFwAXABuAG8AbABpAG0AaQB0AHMAXwBmAFwAXABzAHUAbQBcAFwAbgBvAGwAaQBtAGkAdABzAF8AagBcAFwAbABlAGYAdAAoAFQATQBfAHsAagBmAH0AXABcAHQAaQBtAGUAcwAgAEUARgBfAGYAXABcAHIAaQBnAGgAdAApAFwAXAB0AGkAbQBlAHMAIAAxADAAXgB7AC0AMwB9AFwAIgApADsAXABuAFwAbgBWAEUARQBSAEcAXwAxADUAXwA0AF8AMQBfADEAXwBfADEAXwBFAG0AaQBzAHMAaQBvAG4AcwBGAHIAbwBtAFAAdQByAGMAaABhAHMAZQBkAEYAZQByAHQAaQBsAGkAcwBlAHIAXwBBAHIAZwB1AG0AZQBuAHQAcwBcAG4AIAAgAD0ATABBAE0AQgBEAEEAKABcAG4AIAAgACAAIABNAEEASwBFAEEAUgBSAEEAWQAoADQALAAgADQALABcAG4AIAAgACAAIAAgACAATABBAE0AQgBEAEEAKAByACwAYwAsAFwAbgAgACAAIAAgACAAIAAgACAASQBOAEQARQBYACgAe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YAXAAiACwAIABcACIAZQBtAGkAcwBzAGkAbwBuACAAZgBhAGMAdABvAHIAIABvAGYAIABwAHUAcgBjAGgAYQBzAGUAZAAgAGkAbgBvAHIAZwBhAG4AaQBjACAAZgBlAHIAdABpAGwAaQBzAGUAcgBcACIALAAgAFwAIgBrAGcAIABDAE8AMgBlAC8AawBnAFwAIgAsACAAXAAiAEMAbwBuAHMAdABhAG4AdABcACIAOwBcAG4AIAAgACAAIAAgACAAIAAgACAAIABcACIAagBcACIALAAgAFwAIgBwAHIAbwBkAHUAYwB0AGkAbwBuACAAcwB5AHMAdABlAG0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gBfAEUAbQBpAHMAcwBpAG8AbgBzAEYAcgBvAG0AUAB1AHIAYwBoAGEAcwBlAGQARgBlAHIAdABpAGwAaQBzAGUAcgBDAG8AbQBwAG8AbgBlAG4AdABzAFwAbgBFAG0AaQBzAHMAaQBvAG4AcwAgAGYAcgBvAG0AIABwAHUAcgBjAGgAYQBzAGUAZAAgAGYAZQByAHQAaQBsAGkAcwBlAHIAIABjAG8AbQBwAG8AbgBlAG4AdABzAFwAbgBFAFwAbgB0ACAAQwBPADIAZQBcAG4ARQA9AFwAXABzAHUAbQBcAFwAbgBvAGwAaQBtAGkAdABzAF8AZgBcAFwAcwB1AG0AXABcAG4AbwBsAGkAbQBpAHQAcwBfAGMAXABcAHMAdQBtAFwAXABuAG8AbABpAG0AaQB0AHMAXwBqAFwAXABsAGUAZgB0ACgAKABGAF8AewBjAGYAfQBcAFwAdABpAG0AZQBzACAAVABNAF8AewBqAGYAfQApAC8AMQAwADAAXABcAHQAaQBtAGUAcwAgAEUARgBfAGMAXABcAHIAaQBnAGgAdAApAFwAbgBGAF8AYwBmACAAPQAgAGYAcgBhAGMAdABpAG8AbgAgAG8AZgAgAGMAbwBtAHAAbwBuAGUAbgB0ACAAYwAgAGMAbwBuAHQAYQBpAG4AZQBkACAAdwBpAHQAaABpAG4AIAB0AGgAZQAgAGkAbgBvAHIAZwBhAG4AaQBjACAAZgBlAHIAdABpAGwAaQBzAGUAcgAgAGYAXABuAFQATQBfAGoAZgAgAD0AIABxAHUAYQBuAHQAaQB0AHkAIABvAGYAIABpAG4AbwByAGcAYQBuAGkAYwAgAGYAZQByAHQAaQBsAGkAcwBlAHIAIAB0AHkAcABlACAAZgAgAHAAdQByAGMAaABhAHMAZQBkACAAYQBuAGQAIABhAHAAcABsAGkAZQBkACAAdABvACAAcAByAG8AZAB1AGMAdABpAG8AbgAgAHMAeQBzAHQAZQBtACAAagBcAG4ARQBGAF8AYwAgAD0AIABlAG0AaQBzAHMAaQBvAG4AIABmAGEAYwB0AG8AcgAgAGYAbwByACAAdABoAGUAIABwAHIAbwBkAHUAYwB0AGkAbwBuACAAbwBmACAAYwBvAG0AcABvAG4AZQBuAHQAIABjAFwAbgAtAC0ALQAtAC0ALQAtAC0ALQAtAC0ALQAtAC0ALQAtAC0ALQAtAC0ALQAtAC0ALQAtAC0ALQAtAC0ALQAtAC0ALQAtAC0ALQAtAC0AXABuACoALwBcAG4AXABuAFYARQBFAFIARwBfADEANQBfADQAXwAxAF8AMQBfAF8AMgBfAEUAbQBpAHMAcwBpAG8AbgBzAEYAcgBvAG0AUAB1AHIAYwBoAGEAcwBlAGQARgBlAHIAdABpAGwAaQBzAGUAcgBDAG8AbQBwAG8AbgBlAG4AdABzAFwAbgAgACAAPQBMAEEATQBCAEQAQQAoAFwAbgAgACAAIAAgAEYAXwBjAGYALAAgAFQATQBfAGoAZgAsACAARQBGAF8AYwAsAFwAbgAgACAAIAAgACgAKABGAF8AYwBmACAAKgAgAFQATQBfAGoAZgApACAALwAgADEAMAAwACkAIAAqACAARQBGAF8AYwBcAG4AIAAgACkAOwBcAG4AXABuAFYARQBFAFIARwBfADEANQBfADQAXwAxAF8AMQBfAF8AMgBfAEUAbQBpAHMAcwBpAG8AbgBzAEYAcgBvAG0AUAB1AHIAYwBoAGEAcwBlAGQARgBlAHIAdABpAGwAaQBzAGUAcgBDAG8AbQBwAG8AbgBlAG4AdABzAFYAYQByAGkAYQB0AGkAbwBuAFwAbgAgACAAPQBMAEEATQBCAEQAQQAoAFwAbgAgACAAIAAgAEYAXwBjAGYALAAgAFQATQBfAGoAZgAsACAARQBGAF8AYwAsAFwAbgAgACAAIAAgACgARgBfAGMAZgAgACoAIABUAE0AXwBqAGYAKQAgACoAIABFAEYAXwBjACAAKgAgADEAMABeAC0AMwBcAG4AIAAgACkAOwBcAG4AXABuAFYARQBFAFIARwBfADEANQBfADQAXwAxAF8AMQBfAF8AMgBfAEUAbQBpAHMAcwBpAG8AbgBzAEYAcgBvAG0AUAB1AHIAYwBoAGEAcwBlAGQARgBlAHIAdABpAGwAaQBzAGUAcgBDAG8AbQBwAG8AbgBlAG4AdABzAF8AVABpAHQAbABlAFwAbgAgACAAPQBMAEEATQBCAEQAQQAoAFwAIgBFAG0AaQBzAHMAaQBvAG4AcwAgAGYAcgBvAG0AIABwAHUAcgBjAGgAYQBzAGUAZAAgAGYAZQByAHQAaQBsAGkAcwBlAHIAIABjAG8AbQBwAG8AbgBlAG4AdABzAFwAIgApADsAXABuAFwAbgBWAEUARQBSAEcAXwAxADUAXwA0AF8AMQBfADEAXwBfADIAXwBFAG0AaQBzAHMAaQBvAG4AcwBGAHIAbwBtAFAAdQByAGMAaABhAHMAZQBkAEYAZQByAHQAaQBsAGkAcwBlAHIAQwBvAG0AcABvAG4AZQBuAHQAcwBfAFYAYQByAGkAYQBiAGwAZQBcAG4AIAAgAD0ATABBAE0AQgBEAEEAKABcACIARQBcACIAKQA7AFwAbgBcAG4AVgBFAEUAUgBHAF8AMQA1AF8ANABfADEAXwAxAF8AXwAyAF8ARQBtAGkAcwBzAGkAbwBuAHMARgByAG8AbQBQAHUAcgBjAGgAYQBzAGUAZABGAGUAcgB0AGkAbABpAHMAZQByAEMAbwBtAHAAbwBuAGUAbgB0AHMAXwBVAG4AaQB0AFwAbgAgACAAPQBMAEEATQBCAEQAQQAoAFwAIgB0ACAAQwBPADIAZQBcACIAKQA7AFwAbgBcAG4AVgBFAEUAUgBHAF8AMQA1AF8ANABfADEAXwAxAF8AXwAyAF8ARQBtAGkAcwBzAGkAbwBuAHMARgByAG8AbQBQAHUAcgBjAGgAYQBzAGUAZABGAGUAcgB0AGkAbABpAHMAZQByAEMAbwBtAHAAbwBuAGUAbgB0AHMAXwBTAG8AdQByAGMAZQBcAG4AIAAgAD0ATABBAE0AQgBEAEEAKABcACIAVgBFAEUAUgBHACAAMgAwADIANgA6ACAAMQA1AC4ANAAuADEALgAxACwAIABFAHEAdQBhAHQAaQBvAG4AIAAoADIAKQBcACIAKQA7AFwAbgBcAG4AVgBFAEUAUgBHAF8AMQA1AF8ANABfADEAXwAxAF8AXwAyAF8ARQBtAGkAcwBzAGkAbwBuAHMARgByAG8AbQBQAHUAcgBjAGgAYQBzAGUAZABGAGUAcgB0AGkAbABpAHMAZQByAEMAbwBtAHAAbwBuAGUAbgB0AHMAXwBOAEkAUgBSAGUAZgBlAHIAZQBuAGMAZQBcAG4AIAAgAD0ATABBAE0AQgBEAEEAKABcACIAXAAiACkAOwBcAG4AXABuAFYARQBFAFIARwBfADEANQBfADQAXwAxAF8AMQBfAF8AMgBfAEUAbQBpAHMAcwBpAG8AbgBzAEYAcgBvAG0AUAB1AHIAYwBoAGEAcwBlAGQARgBlAHIAdABpAGwAaQBzAGUAcgBDAG8AbQBwAG8AbgBlAG4AdABzAF8ATABhAHQAZQB4AEUAcQB1AGEAdABpAG8AbgBcAG4AIAAgAD0ATABBAE0AQgBEAEEAKABcACIARQA9AFwAXABzAHUAbQBcAFwAbgBvAGwAaQBtAGkAdABzAF8AZgBcAFwAcwB1AG0AXABcAG4AbwBsAGkAbQBpAHQAcwBfAGMAXABcAHMAdQBtAFwAXABuAG8AbABpAG0AaQB0AHMAXwBqAFwAXABsAGUAZgB0ACgAXABcAGYAcgBhAGMAewBGAF8AewBjAGYAfQBcAFwAdABpAG0AZQBzACAAVABNAF8AewBqAGYAfQB9AHsAMQAwADAAfQBcAFwAdABpAG0AZQBzACAARQBGAF8AYwBcAFwAcgBpAGcAaAB0ACkAXAAiACkAOwBcAG4AXABuAFYARQBFAFIARwBfADEANQBfADQAXwAxAF8AMQBfAF8AMgBfAEUAbQBpAHMAcwBpAG8AbgBzAEYAcgBvAG0AUAB1AHIAYwBoAGEAcwBlAGQARgBlAHIAdABpAGwAaQBzAGUAcgBDAG8AbQBwAG8AbgBlAG4AdABzAF8ATABhAHQAZQB4AEUAcQB1AGEAdABpAG8AbgBWAGEAcgBpAGEAdABpAG8AbgBcAG4AIAAgAD0ATABBAE0AQgBEAEEAKABcACIARQA9AFwAXABzAHUAbQBcAFwAbgBvAGwAaQBtAGkAdABzAF8AZgBcAFwAcwB1AG0AXABcAG4AbwBsAGkAbQBpAHQAcwBfAGMAXABcAHMAdQBtAFwAXABuAG8AbABpAG0AaQB0AHMAXwBqAFwAXABsAGUAZgB0ACgARgBfAHsAYwBmAH0AXABcAHQAaQBtAGUAcwAgAFQATQBfAHsAagBmAH0AXABcAHQAaQBtAGUAcwAgAEUARgBfAGMAXABcAHIAaQBnAGgAdAApAFwAXAB0AGkAbQBlAHMAIAAxADAAXgB7AC0AMwB9AFwAIgApADsAXABuAFwAbgBWAEUARQBSAEcAXwAxADUAXwA0AF8AMQBfADEAXwBfADIAXwBFAG0AaQBzAHMAaQBvAG4AcwBGAHIAbwBtAFAAdQByAGMAaABhAHMAZQBkAEYAZQByAHQAaQBsAGkAcwBlAHIAQwBvAG0AcABvAG4AZQBuAHQAcwBfAEEAcgBnAHUAbQBlAG4AdABzAFwAbgAgACAAPQBMAEEATQBCAEQAQQAoAFwAbgAgACAAIAAgAE0AQQBLAEUAQQBSAFIAQQBZACgANg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OwBcAG4AIAAgACAAIAAgACAAIAAgACAAIABcACIAagBcACIALAAgAFwAIgBwAHIAbwBkAHUAYwB0AGkAbwBuACAAcwB5AHMAdABlAG0AXAAiACwAIABcACIAXAAiACwAIABcACIASQBuAHAAdQB0AFwAIgBcAG4AIAAgACAAIAAgACAAIAAgAH0ALAAgAHIALAAgAGMAKQBcAG4AIAAgACAAIAAgACAAKQBcAG4AIAAgACAAIAApAFwAbgAgACAAKQA7AFwAbgBcAG4AVgBFAEUAUgBHAF8AMQA1AF8ANABfADEAXwAxAF8AXwAyAF8ARQBtAGkAcwBzAGkAbwBuAHMARgByAG8AbQBQAHUAcgBjAGgAYQBzAGUAZABGAGUAcgB0AGkAbABpAHMAZQByAEMAbwBtAHAAbwBuAGUAbgB0AHMAXwBWAGEAcgBpAGEAdABpAG8AbgBcAG4AIAAgAD0ATABBAE0AQgBEAEEAKABcACIAVgBBAFIASQBBAFQASQBPAE4AIABPAE4AIABTAE8AVQBSAEMARQA6ACAAcgBlAG0AbwB2AGUAcwAgAGQAaQB2AGkAcwBpAG8AbgAgAGIAeQAgADEAMAAwACAAZgBvAHIAIABGAF8AYwBmACwAIAB0AHIAZQBhAHQAaQBuAGcAIABGAF8AYwBmACAAYQBzACAAZgByAGEAYwB0AGkAbwBuACAAaQBuAHMAdABlAGEAZAAgAG8AZgAgAHAAZQByAGMAZQBuAHQAIABiAGUAYwBhAHUAcwBlACAAaQB0ACAAaQBzACAAYQAgAGYAcgBhAGMAdABpAG8AbgAgAGkAbgAgAHMAYwBvAHAAZQAgADEAIABlAHEAdQBhAHQAaQBvAG4AcwAuACAAQwBvAG4AdgBlAHIAdAAgAGsAZwAgAHQAbwAgAHQAbwBuAG4AZQBzACAAYgB5ACAAbQB1AHQAaQBwAGwAeQBpAG4AZwAgAGIAeQAgADEAMABeAC0AMwAuAFwAIgApADsAXABuAFwAbgBcAG4AXABuAFwAbgAvACoAXABuAC0ALQAtAC0ALQAtAC0ALQAtAC0ALQAtAC0ALQAtAC0ALQAtAC0ALQAtAC0ALQAtAC0ALQAtAC0ALQAtAC0ALQAtAC0ALQAtAC0ALQBcAG4AVgBFAEUAUgBHAF8AMQA1AF8ANABfADEAXwAxAF8AXwBYAF8ARQBtAGkAcwBzAGkAbwBuAEYAYQBjAHQAbwByAEYAcgBvAG0AUAB1AHIAYwBoAGEAcwBlAGQARgBlAHIAdABpAGwAaQBzAGUAcgBDAG8AbQBwAG8AbgBlAG4AdABzAFwAbgBFAG0AaQBzAHMAaQBvAG4AIABmAGEAYwB0AG8AcgAgAGYAbwByACAAZgBlAHIAdABpAGwAaQBzAGUAcgAgAHAAcgBvAGQAdQBjAHQAIABkAGUAcgBpAHYAZQBkACAAZgByAG8AbQAgAGMAbwBtAHAAbwBuAGUAbgB0AHMAXABuAC0ALQAtAC0ALQAtAC0ALQAtAC0ALQAtAC0ALQAtAC0ALQAtAC0ALQAtAC0ALQAtAC0ALQAtAC0ALQAtAC0ALQAtAC0ALQAtAC0ALQBcAG4AKgAvAFwAbgBcAG4AVgBFAEUAUgBHAF8AMQA1AF8ANABfADEAXwAxAF8AXwBYAF8ARQBtAGkAcwBzAGkAbwBuAEYAYQBjAHQAbwByAEYAcgBvAG0AUAB1AHIAYwBoAGEAcwBlAGQARgBlAHIAdABpAGwAaQBzAGUAcgBDAG8AbQBwAG8AbgBlAG4AdABzAFwAbgAgACAAPQBMAEEATQBCAEQAQQAoAFwAbgAgACAAIAAgAEYAXwBjAGYALAAgAEUARgBfAGMALABcAG4AIAAgACAAIABGAF8AYwBmACAAKgAgAEUARgBfAGMAXABuACAAIAApADsAXABuAFwAbgBWAEUARQBSAEcAXwAxADUAXwA0AF8AMQBfADEAXwBfAFgAXwBFAG0AaQBzAHMAaQBvAG4ARgBhAGMAdABvAHIARgByAG8AbQBQAHUAcgBjAGgAYQBzAGUAZABGAGUAcgB0AGkAbABpAHMAZQByAEMAbwBtAHAAbwBuAGUAbgB0AHMAXwBUAGkAdABsAGUAXABuACAAIAA9AEwAQQBNAEIARABBACgAXAAiAEUAbQBpAHMAcwBpAG8AbgAgAGYAYQBjAHQAbwByACAAZgBvAHIAIABmAGUAcgB0AGkAbABpAHMAZQByACAAcAByAG8AZAB1AGMAdAAgAGQAZQByAGkAdgBlAGQAIABmAHIAbwBtACAAYwBvAG0AcABvAG4AZQBuAHQAcwBcACIAKQA7AFwAbgBcAG4AVgBFAEUAUgBHAF8AMQA1AF8ANABfADEAXwAxAF8AXwBYAF8ARQBtAGkAcwBzAGkAbwBuAEYAYQBjAHQAbwByAEYAcgBvAG0AUAB1AHIAYwBoAGEAcwBlAGQARgBlAHIAdABpAGwAaQBzAGUAcgBDAG8AbQBwAG8AbgBlAG4AdABzAF8AVgBhAHIAaQBhAGIAbABlAFwAbgAgACAAPQBMAEEATQBCAEQAQQAoAFwAIgBFAEYAXwBmAFwAIgApADsAXABuAFwAbgBWAEUARQBSAEcAXwAxADUAXwA0AF8AMQBfADEAXwBfAFgAXwBFAG0AaQBzAHMAaQBvAG4ARgBhAGMAdABvAHIARgByAG8AbQBQAHUAcgBjAGgAYQBzAGUAZABGAGUAcgB0AGkAbABpAHMAZQByAEMAbwBtAHAAbwBuAGUAbgB0AHMAXwBVAG4AaQB0AFwAbgAgACAAPQBMAEEATQBCAEQAQQAoAFwAIgBrAGcAIABDAE8AMgBlAC8AawBnACAAZgBlAHIAdABpAGwAaQBzAGUAcgBcACIAKQA7AFwAbgBcAG4AVgBFAEUAUgBHAF8AMQA1AF8ANABfADEAXwAxAF8AXwBYAF8ARQBtAGkAcwBzAGkAbwBuAEYAYQBjAHQAbwByAEYAcgBvAG0AUAB1AHIAYwBoAGEAcwBlAGQARgBlAHIAdABpAGwAaQBzAGUAcgBDAG8AbQBwAG8AbgBlAG4AdABzAF8AUwBvAHUAcgBjAGUAXABuACAAIAA9AEwAQQBNAEIARABBACgAXAAiAEcAQQBGAFwAIgApADsAXABuAFwAbgBWAEUARQBSAEcAXwAxADUAXwA0AF8AMQBfADEAXwBfAFgAXwBFAG0AaQBzAHMAaQBvAG4ARgBhAGMAdABvAHIARgByAG8AbQBQAHUAcgBjAGgAYQBzAGUAZABGAGUAcgB0AGkAbABpAHMAZQByAEMAbwBtAHAAbwBuAGUAbgB0AHMAXwBOAEkAUgBSAGUAZgBlAHIAZQBuAGMAZQBcAG4AIAAgAD0ATABBAE0AQgBEAEEAKABcACIAXAAiACkAOwBcAG4AXABuAFYARQBFAFIARwBfADEANQBfADQAXwAxAF8AMQBfAF8AWABfAEUAbQBpAHMAcwBpAG8AbgBGAGEAYwB0AG8AcgBGAHIAbwBtAFAAdQByAGMAaABhAHMAZQBkAEYAZQByAHQAaQBsAGkAcwBlAHIAQwBvAG0AcABvAG4AZQBuAHQAcwBfAEwAYQB0AGUAeABFAHEAdQBhAHQAaQBvAG4AXABuACAAIAA9AEwAQQBNAEIARABBACgAXAAiAEUARgBfAGYAPQBcAFwAcwB1AG0AXABcAG4AbwBsAGkAbQBpAHQAcwBfAGMAXABcAGwAZQBmAHQAKABGAF8AewBjAGYAfQBcAFwAdABpAG0AZQBzACAARQBGAF8AYwBcAFwAcgBpAGcAaAB0ACkAXAAiACkAOwBcAG4AXABuAFYARQBFAFIARwBfADEANQBfADQAXwAxAF8AMQBfAF8AWABfAEUAbQBpAHMAcwBpAG8AbgBGAGEAYwB0AG8AcgBGAHIAbwBtAFAAdQByAGMAaABhAHMAZQBkAEYAZQByAHQAaQBsAGkAcwBlAHIAQwBvAG0AcABvAG4AZQBuAHQAcwBfAEEAcgBnAHUAbQBlAG4AdABzAFwAbgAgACAAPQBMAEEATQBCAEQAQQAoAFwAbgAgACAAIAAgAE0AQQBLAEUAQQBSAFIAQQBZACgANA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VgBFAEUAUgBHAF8AMQA1AF8ANABfADEAXwAxAF8AXwBYAF8ARQBtAGkAcwBzAGkAbwBuAEYAYQBjAHQAbwByAEYAcgBvAG0AUAB1AHIAYwBoAGEAcwBlAGQARgBlAHIAdABpAGwAaQBzAGUAcgBDAG8AbQBwAG8AbgBlAG4AdABzAF8AVgBhAHIAaQBhAHQAaQBvAG4AXABuACAAIAA9AEwAQQBNAEIARABBACgAXAAiAFYAQQBSAEkAQQBUAEkATwBOACAATwBOACAAUwBPAFUAUgBDAEUAOgAgAFQAaABpAHMAIABlAHEAdQBhAHQAaQBvAG4AIABpAHMAIABhAGQAZABlAGQAIAB0AG8AIABjAGEAbABjAHUAbABhAHQAZQAgAGEAbgAgAEUARgAgAHYAYQBsAHUAZQAgAGYAcgBvAG0AIABmAGUAcgB0AGkAbABpAHMAZQByACAAYwBvAG0AcABvAG4AZQBuAHQAcwAgAHQAaABhAHQAIABjAGEAbgAgAGIAZQAgAHUAcwBlAGQAIABpAG4AIAAxADUALgA0AC4AMQAuADEAIAAoADEAKQBcACIAKQA7AFwAbgBcAG4ALwAqAFwAbgAtAC0ALQAtAC0ALQAtAC0ALQAtAC0ALQAtAC0ALQAtAC0ALQAtAC0ALQAtAC0ALQAtAC0ALQAtAC0ALQAtAC0ALQAtAC0ALQAtAC0AXABuAFYARQBFAFIARwBfADEANQBfADUAXwAxAF8AMQBfAF8AMQBfAEUAbQBpAHMAcwBpAG8AbgBzAEYAcgBvAG0AUAB1AHIAYwBoAGEAcwBlAGQAQQBnAHIAaQBjAGgAZQBtAGkAYwBhAGwAcwBcAG4AVABvAHQAYQBsACAAZQBtAGkAcwBzAGkAbwBuAHMAIABmAHIAbwBtACAAcAB1AHIAYwBoAGEAcwBlAGQAIABhAGcAcgBpAGMAaABlAG0AaQBjAGEAbABzAFwAbgBFAFwAbgB0ACAAQwBPADIAZQBcAG4ARQA9AFwAXABzAHUAbQBcAFwAbgBvAGwAaQBtAGkAdABzAF8AaABcAFwAbABlAGYAdAAoAFEAXwBoAFwAXAB0AGkAbQBlAHMAIABFAEYAXwBoAFwAXAByAGkAZwBoAHQAKQBcAFwAdABpAG0AZQBzACAAMQAwAF4AewAtADMAfQBcAG4AUQBfAGgAIAA9ACAAcQB1AGEAbgB0AGkAdAB5ACAAbwBmACAAYQBjAHQAaQB2AGUAIABpAG4AZwByAGUAZABpAGUAbgB0AHMAIABpAG4AIABhAGcAcgBpAGMAaABlAG0AaQBjAGEAbAAgAHQAeQBwAGUAIABoACAAcAB1AHIAYwBoAGEAcwBlAGQAIABhAG4AZAAgAGEAcABwAGwAaQBlAGQAIAB0AG8AIABzAG8AaQBsAHMAXABuAEUARgBfAGgAIAA9ACAAZQBtAGkAcwBzAGkAbwBuACAAZgBhAGMAdABvAHIAIABmAG8AcgAgAHAAdQByAGMAaABhAHMAZQBkACAAYQBnAHIAaQBjAGgAZQBtAGkAYwBhAGwAIABhAGMAdABpAHYAZQAgAGkAbgBnAHIAZQBkAGkAZQBuAHQAXABuAC0ALQAtAC0ALQAtAC0ALQAtAC0ALQAtAC0ALQAtAC0ALQAtAC0ALQAtAC0ALQAtAC0ALQAtAC0ALQAtAC0ALQAtAC0ALQAtAC0ALQBcAG4AKgAvAFwAbgBcAG4AVgBFAEUAUgBHAF8AMQA1AF8ANQBfADEAXwAxAF8AXwAxAF8ARQBtAGkAcwBzAGkAbwBuAHMARgByAG8AbQBQAHUAcgBjAGgAYQBzAGUAZABBAGcAcgBpAGMAaABlAG0AaQBjAGEAbABzAFwAbgAgACAAPQBMAEEATQBCAEQAQQAoAFwAbgAgACAAIAAgAFEAXwBoACwAIABFAEYAXwBoACwAXABuACAAIAAgACAAKABRAF8AaAAgACoAIABFAEYAXwBoACkAIAAqACAAMQAwACAAXgAgAC0AMwBcAG4AIAAgACkAOwBcAG4AXABuAFYARQBFAFIARwBfADEANQBfADUAXwAxAF8AMQBfAF8AMQBfAEUAbQBpAHMAcwBpAG8AbgBzAEYAcgBvAG0AUAB1AHIAYwBoAGEAcwBlAGQAQQBnAHIAaQBjAGgAZQBtAGkAYwBhAGwAcwBfAFQAaQB0AGwAZQBcAG4AIAAgAD0ATABBAE0AQgBEAEEAKABcACIAVABvAHQAYQBsACAAZQBtAGkAcwBzAGkAbwBuAHMAIABmAHIAbwBtACAAcAB1AHIAYwBoAGEAcwBlAGQAIABhAGcAcgBpAGMAaABlAG0AaQBjAGEAbABzAFwAIgApADsAXABuAFwAbgBWAEUARQBSAEcAXwAxADUAXwA1AF8AMQBfADEAXwBfADEAXwBFAG0AaQBzAHMAaQBvAG4AcwBGAHIAbwBtAFAAdQByAGMAaABhAHMAZQBkAEEAZwByAGkAYwBoAGUAbQBpAGMAYQBsAHMAXwBWAGEAcgBpAGEAYgBsAGUAXABuACAAIAA9AEwAQQBNAEIARABBACgAXAAiAEUAXAAiACkAOwBcAG4AXABuAFYARQBFAFIARwBfADEANQBfADUAXwAxAF8AMQBfAF8AMQBfAEUAbQBpAHMAcwBpAG8AbgBzAEYAcgBvAG0AUAB1AHIAYwBoAGEAcwBlAGQAQQBnAHIAaQBjAGgAZQBtAGkAYwBhAGwAcwBfAFUAbgBpAHQAXABuACAAIAA9AEwAQQBNAEIARABBACgAXAAiAHQAIABDAE8AMgBlAFwAIgApADsAXABuAFwAbgBWAEUARQBSAEcAXwAxADUAXwA1AF8AMQBfADEAXwBfADEAXwBFAG0AaQBzAHMAaQBvAG4AcwBGAHIAbwBtAFAAdQByAGMAaABhAHMAZQBkAEEAZwByAGkAYwBoAGUAbQBpAGMAYQBsAHMAXwBTAG8AdQByAGMAZQBcAG4AIAAgAD0ATABBAE0AQgBEAEEAKABcACIAVgBFAEUAUgBHACAAMgAwADIANgA6ACAAMQA1AC4ANQAuADEALgAxACwAIABFAHEAdQBhAHQAaQBvAG4AIAAoADEAKQBcACIAKQA7AFwAbgBcAG4AVgBFAEUAUgBHAF8AMQA1AF8ANQBfADEAXwAxAF8AXwAxAF8ARQBtAGkAcwBzAGkAbwBuAHMARgByAG8AbQBQAHUAcgBjAGgAYQBzAGUAZABBAGcAcgBpAGMAaABlAG0AaQBjAGEAbABzAF8ATgBJAFIAUgBlAGYAZQByAGUAbgBjAGUAXABuACAAIAA9AEwAQQBNAEIARABBACgAXAAiAFwAIgApADsAXABuAFwAbgBWAEUARQBSAEcAXwAxADUAXwA1AF8AMQBfADEAXwBfADEAXwBFAG0AaQBzAHMAaQBvAG4AcwBGAHIAbwBtAFAAdQByAGMAaABhAHMAZQBkAEEAZwByAGkAYwBoAGUAbQBpAGMAYQBsAHMAXwBMAGEAdABlAHgARQBxAHUAYQB0AGkAbwBuAFwAbgAgACAAPQBMAEEATQBCAEQAQQAoAFwAIgBFAD0AXABcAHMAdQBtAFwAXABuAG8AbABpAG0AaQB0AHMAXwBoAFwAXABsAGUAZgB0ACgAUQBfAGgAXABcAHQAaQBtAGUAcwAgAEUARgBfAGgAXABcAHIAaQBnAGgAdAApAFwAXAB0AGkAbQBlAHMAIAAxADAAXgB7AC0AMwB9AFwAIgApADsAXABuAFwAbgBWAEUARQBSAEcAXwAxADUAXwA1AF8AMQBfADEAXwBfADEAXwBFAG0AaQBzAHMAaQBvAG4AcwBGAHIAbwBtAFAAdQByAGMAaABhAHMAZQBkAEEAZwByAGkAYwBoAGUAbQBpAGMAYQBsAHMAXwBBAHIAZwB1AG0AZQBuAHQAcwBcAG4AIAAgAD0ATABBAE0AQgBEAEEAKABcAG4AIAAgACAAIABNAEEASwBFAEEAUgBSAEEAWQAoADMALAAgADQALABcAG4AIAAgACAAIAAgACAATABBAE0AQgBEAEEAKAByACwAYwAsAFwAbgAgACAAIAAgACAAIAAgACAASQBOAEQARQBYACgAewBcAG4AIAAgACAAIAAgACAAIAAgACAAIABcACIAUQBfAGgAXAAiACwAIABcACIAcQB1AGEAbgB0AGkAdAB5ACAAbwBmACAAYQBjAHQAaQB2AGUAIABpAG4AZwByAGUAZABpAGUAbgB0AHMAIABpAG4AIABhAGcAcgBpAGMAaABlAG0AaQBjAGEAbAAgAHQAeQBwAGUAIABoACAAcAB1AHIAYwBoAGEAcwBlAGQAIABhAG4AZAAgAGEAcABwAGwAaQBlAGQAIAB0AG8AIABzAG8AaQBsAHMAXAAiACwAIABcACIAawBnACAAYQBpAFwAIgAsACAAXAAiAEkAbgBwAHUAdABcACIAOwBcAG4AIAAgACAAIAAgACAAIAAgACAAIABcACIARQBGAF8AaABcACIALAAgAFwAIgBlAG0AaQBzAHMAaQBvAG4AIABmAGEAYwB0AG8AcgAgAGYAbwByACAAcAB1AHIAYwBoAGEAcwBlAGQAIABhAGcAcgBpAGMAaABlAG0AaQBjAGEAbAAgAGEAYwB0AGkAdgBlACAAaQBuAGcAcgBlAGQAaQBlAG4AdABcACIALAAgAFwAIgBrAGcAIABDAE8AMgBlAC8AawBnACAAYQBpAFwAIgAsACAAXAAiAEMAbwBuAHMAdABhAG4AdABcACIAOwBcAG4AIAAgACAAIAAgACAAIAAgACAAIABcACIAaABcACIALAAgAFwAIgBhAGcAcgBpAGMAaABlAG0AaQBjAGEAb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YAXwAxAF8AMQBfAF8AMQBfAEUAbQBpAHMAcwBpAG8AbgBzAEYAcgBvAG0AUAB1AHIAYwBoAGEAcwBlAGQATABpAG0AZQBcAG4ARQBtAGIAZQBkAGQAZQBkACAAZQBtAGkAcwBzAGkAbwBuAHMAIABmAG8AcgAgAHAAdQByAGMAaABhAHMAZQBkACAAbABpAG0AZQBcAG4ARQBcAG4AdAAgAEMATwAyAGUAXABuAEUAPQBNAF8AbABpAG0AZQBcAFwAdABpAG0AZQBzACAARQBGAF8AbABcAG4ATQBfAGwAaQBtAGUAIAA9ACAAdABvAHQAYQBsACAAcQB1AGEAbgB0AGkAdAB5ACAAbwBmACAAbABpAG0AZQAgAGEAcABwAGwAaQBlAGQAIAB0AG8AIABzAG8AaQBsAHMAXABuAEUARgBfAGwAIAA9ACAAZQBtAGkAcwBzAGkAbwBuACAAZgBhAGMAdABvAHIAIABmAG8AcgAgAHAAdQByAGMAaABhAHMAZQBkACAAbABpAG0AZQBcAG4ALQAtAC0ALQAtAC0ALQAtAC0ALQAtAC0ALQAtAC0ALQAtAC0ALQAtAC0ALQAtAC0ALQAtAC0ALQAtAC0ALQAtAC0ALQAtAC0ALQAtAFwAbgAqAC8AXABuAFwAbgBWAEUARQBSAEcAXwAxADUAXwA2AF8AMQBfADEAXwBfADEAXwBFAG0AaQBzAHMAaQBvAG4AcwBGAHIAbwBtAFAAdQByAGMAaABhAHMAZQBkAEwAaQBtAGUAXABuACAAIAA9AEwAQQBNAEIARABBACgAXABuACAAIAAgACAATQBfAGwAaQBtAGUALAAgAEUARgBfAGwALABcAG4AIAAgACAAIABNAF8AbABpAG0AZQAgACoAIABFAEYAXwBsAFwAbgAgACAAKQA7AFwAbgBcAG4AVgBFAEUAUgBHAF8AMQA1AF8ANgBfADEAXwAxAF8AXwAxAF8ARQBtAGkAcwBzAGkAbwBuAHMARgByAG8AbQBQAHUAcgBjAGgAYQBzAGUAZABMAGkAbQBlAF8AVABpAHQAbABlAFwAbgAgACAAPQBMAEEATQBCAEQAQQAoAFwAIgBFAG0AYgBlAGQAZABlAGQAIABlAG0AaQBzAHMAaQBvAG4AcwAgAGYAbwByACAAcAB1AHIAYwBoAGEAcwBlAGQAIABsAGkAbQBlAFwAIgApADsAXABuAFwAbgBWAEUARQBSAEcAXwAxADUAXwA2AF8AMQBfADEAXwBfADEAXwBFAG0AaQBzAHMAaQBvAG4AcwBGAHIAbwBtAFAAdQByAGMAaABhAHMAZQBkAEwAaQBtAGUAXwBWAGEAcgBpAGEAYgBsAGUAXABuACAAIAA9AEwAQQBNAEIARABBACgAXAAiAEUAXAAiACkAOwBcAG4AXABuAFYARQBFAFIARwBfADEANQBfADYAXwAxAF8AMQBfAF8AMQBfAEUAbQBpAHMAcwBpAG8AbgBzAEYAcgBvAG0AUAB1AHIAYwBoAGEAcwBlAGQATABpAG0AZQBfAFUAbgBpAHQAXABuACAAIAA9AEwAQQBNAEIARABBACgAXAAiAHQAIABDAE8AMgBlAFwAIgApADsAXABuAFwAbgBWAEUARQBSAEcAXwAxADUAXwA2AF8AMQBfADEAXwBfADEAXwBFAG0AaQBzAHMAaQBvAG4AcwBGAHIAbwBtAFAAdQByAGMAaABhAHMAZQBkAEwAaQBtAGUAXwBTAG8AdQByAGMAZQBcAG4AIAAgAD0ATABBAE0AQgBEAEEAKABcACIAVgBFAEUAUgBHACAAMgAwADIANgA6ACAAMQA1AC4ANgAuADEALgAxACwAIABFAHEAdQBhAHQAaQBvAG4AIAAoADEAKQBcACIAKQA7AFwAbgBcAG4AVgBFAEUAUgBHAF8AMQA1AF8ANgBfADEAXwAxAF8AXwAxAF8ARQBtAGkAcwBzAGkAbwBuAHMARgByAG8AbQBQAHUAcgBjAGgAYQBzAGUAZABMAGkAbQBlAF8ATgBJAFIAUgBlAGYAZQByAGUAbgBjAGUAXABuACAAIAA9AEwAQQBNAEIARABBACgAXAAiAFwAIgApADsAXABuAFwAbgBWAEUARQBSAEcAXwAxADUAXwA2AF8AMQBfADEAXwBfADEAXwBFAG0AaQBzAHMAaQBvAG4AcwBGAHIAbwBtAFAAdQByAGMAaABhAHMAZQBkAEwAaQBtAGUAXwBMAGEAdABlAHgARQBxAHUAYQB0AGkAbwBuAFwAbgAgACAAPQBMAEEATQBCAEQAQQAoAFwAIgBFAD0ATQBfAHsAbABpAG0AZQB9AFwAXAB0AGkAbQBlAHMAIABFAEYAXwBsAFwAIgApADsAXABuAFwAbgBWAEUARQBSAEcAXwAxADUAXwA2AF8AMQBfADEAXwBfADEAXwBFAG0AaQBzAHMAaQBvAG4AcwBGAHIAbwBtAFAAdQByAGMAaABhAHMAZQBkAEwAaQBtAGUAXwBBAHIAZwB1AG0AZQBuAHQAcwBcAG4AIAAgAD0ATABBAE0AQgBEAEEAKABcAG4AIAAgACAAIABNAEEASwBFAEEAUgBSAEEAWQAoADIALAAgADQALABcAG4AIAAgACAAIAAgACAATABBAE0AQgBEAEEAKAByACwAYwAsAFwAbgAgACAAIAAgACAAIAAgACAASQBOAEQARQBYACgAewBcAG4AIAAgACAAIAAgACAAIAAgACAAIABcACIATQBfAGwAaQBtAGUAXAAiACwAIABcACIAdABvAHQAYQBsACAAcQB1AGEAbgB0AGkAdAB5ACAAbwBmACAAbABpAG0AZQAgAGEAcABwAGwAaQBlAGQAIAB0AG8AIABzAG8AaQBsAHMAXAAiACwAIABcACIAdABcACIALAAgAFwAIgBJAG4AcAB1AHQAXAAiADsAXABuACAAIAAgACAAIAAgACAAIAAgACAAXAAiAEUARgBfAGwAXAAiACwAIABcACIAZQBtAGkAcwBzAGkAbwBuACAAZgBhAGMAdABvAHIAIABmAG8AcgAgAHAAdQByAGMAaABhAHMAZQBkACAAbABpAG0AZQBcACIALAAgAFwAIgB0ACAAQwBPADIAZQAvAHQ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cAXwAxAF8AMQBfAF8AMQBfAEUAbQBpAHMAcwBpAG8AbgBzAEYAcgBvAG0AUAB1AHIAYwBoAGEAcwBlAGQAUwBlAHIAdgBpAGMAZQBzAFwAbgBFAG0AaQBzAHMAaQBvAG4AcwAgAG8AZgAgAHAAdQByAGMAaABhAHMAZQBkACAAcwBlAHIAdgBpAGMAZQBzACAAYQBuAGQAIABjAG8AbgB0AHIAYQBjAHQAbwByACAAbwBwAGUAcgBhAHQAaQBvAG4AcwBcAG4ARQBcAG4AdAAgAEMATwAyAGUAXABuAEUAPQBcAFwAcwB1AG0AXABcAG4AbwBsAGkAbQBpAHQAcwBfAHAAXABcAGwAZQBmAHQAKABBAF8AcABcAFwAdABpAG0AZQBzACAARQBGAF8AcABcAFwAcgBpAGcAaAB0ACkAXABcAHQAaQBtAGUAcwAgADEAMABeAHsALQAzAH0AXABuAEEAXwBwACAAPQAgAGEAYwB0AGkAdgBpAHQAeQAgAGQAYQB0AGEAIABvAGYAIAB0AGgAZQAgAHMAZQByAHYAaQBjAGUAIAB0AGgAYQB0ACAAdwBhAHMAIABwAHUAcgBjAGgAYQBzAGUAZABcAG4ARQBGAF8AcAAgAD0AIABsAGkAZgBlACAAYwB5AGMAbABlACAAZQBtAGkAcwBzAGkAbwBuACAAZgBhAGMAdABvAHIAIABmAG8AcgAgAHQAaABlACAAcAB1AHIAYwBoAGEAcwBlAGQAIABzAGUAcgB2AGkAYwBlAFwAbgAtAC0ALQAtAC0ALQAtAC0ALQAtAC0ALQAtAC0ALQAtAC0ALQAtAC0ALQAtAC0ALQAtAC0ALQAtAC0ALQAtAC0ALQAtAC0ALQAtAC0AXABuACoALwBcAG4AXABuAFYARQBFAFIARwBfADEANQBfADcAXwAxAF8AMQBfAF8AMQBfAEUAbQBpAHMAcwBpAG8AbgBzAEYAcgBvAG0AUAB1AHIAYwBoAGEAcwBlAGQAUwBlAHIAdgBpAGMAZQBzAFwAbgAgACAAPQBMAEEATQBCAEQAQQAoAFwAbgAgACAAIAAgAEEAXwBwACwAIABFAEYAXwBwACwAXABuACAAIAAgACAAKABBAF8AcAAgACoAIABFAEYAXwBwACkAIAAqACAAMQAwACAAXgAgAC0AMwBcAG4AIAAgACkAOwBcAG4AXABuAFYARQBFAFIARwBfADEANQBfADcAXwAxAF8AMQBfAF8AMQBfAEUAbQBpAHMAcwBpAG8AbgBzAEYAcgBvAG0AUAB1AHIAYwBoAGEAcwBlAGQAUwBlAHIAdgBpAGMAZQBzAF8AVABpAHQAbABlAFwAbgAgACAAPQBMAEEATQBCAEQAQQAoAFwAIgBFAG0AaQBzAHMAaQBvAG4AcwAgAG8AZgAgAHAAdQByAGMAaABhAHMAZQBkACAAcwBlAHIAdgBpAGMAZQBzACAAYQBuAGQAIABjAG8AbgB0AHIAYQBjAHQAbwByACAAbwBwAGUAcgBhAHQAaQBvAG4AcwBcACIAKQA7AFwAbgBcAG4AVgBFAEUAUgBHAF8AMQA1AF8ANwBfADEAXwAxAF8AXwAxAF8ARQBtAGkAcwBzAGkAbwBuAHMARgByAG8AbQBQAHUAcgBjAGgAYQBzAGUAZABTAGUAcgB2AGkAYwBlAHMAXwBWAGEAcgBpAGEAYgBsAGUAXABuACAAIAA9AEwAQQBNAEIARABBACgAXAAiAEUAXAAiACkAOwBcAG4AXABuAFYARQBFAFIARwBfADEANQBfADcAXwAxAF8AMQBfAF8AMQBfAEUAbQBpAHMAcwBpAG8AbgBzAEYAcgBvAG0AUAB1AHIAYwBoAGEAcwBlAGQAUwBlAHIAdgBpAGMAZQBzAF8AVQBuAGkAdABcAG4AIAAgAD0ATABBAE0AQgBEAEEAKABcACIAdAAgAEMATwAyAGUAXAAiACkAOwBcAG4AXABuAFYARQBFAFIARwBfADEANQBfADcAXwAxAF8AMQBfAF8AMQBfAEUAbQBpAHMAcwBpAG8AbgBzAEYAcgBvAG0AUAB1AHIAYwBoAGEAcwBlAGQAUwBlAHIAdgBpAGMAZQBzAF8AUwBvAHUAcgBjAGUAXABuACAAIAA9AEwAQQBNAEIARABBACgAXAAiAFYARQBFAFIARwAgADIAMAAyADYAOgAgADEANQAuADcALgAxAC4AMQAsACAARQBxAHUAYQB0AGkAbwBuACAAKAAxACkAXAAiACkAOwBcAG4AXABuAFYARQBFAFIARwBfADEANQBfADcAXwAxAF8AMQBfAF8AMQBfAEUAbQBpAHMAcwBpAG8AbgBzAEYAcgBvAG0AUAB1AHIAYwBoAGEAcwBlAGQAUwBlAHIAdgBpAGMAZQBzAF8ATgBJAFIAUgBlAGYAZQByAGUAbgBjAGUAXABuACAAIAA9AEwAQQBNAEIARABBACgAXAAiAFwAIgApADsAXABuAFwAbgBWAEUARQBSAEcAXwAxADUAXwA3AF8AMQBfADEAXwBfADEAXwBFAG0AaQBzAHMAaQBvAG4AcwBGAHIAbwBtAFAAdQByAGMAaABhAHMAZQBkAFMAZQByAHYAaQBjAGUAcwBfAEwAYQB0AGUAeABFAHEAdQBhAHQAaQBvAG4AXABuACAAIAA9AEwAQQBNAEIARABBACgAXAAiAEUAPQBcAFwAcwB1AG0AXABcAG4AbwBsAGkAbQBpAHQAcwBfAHAAXABcAGwAZQBmAHQAKABBAF8AcABcAFwAdABpAG0AZQBzACAARQBGAF8AcABcAFwAcgBpAGcAaAB0ACkAXABcAHQAaQBtAGUAcwAgADEAMABeAHsALQAzAH0AXAAiACkAOwBcAG4AXABuAFYARQBFAFIARwBfADEANQBfADcAXwAxAF8AMQBfAF8AMQBfAEUAbQBpAHMAcwBpAG8AbgBzAEYAcgBvAG0AUAB1AHIAYwBoAGEAcwBlAGQAUwBlAHIAdgBpAGMAZQBzAF8AQQByAGcAdQBtAGUAbgB0AHMAXABuACAAIAA9AEwAQQBNAEIARABBACgAXABuACAAIAAgACAATQBBAEsARQBBAFIAUgBBAFkAKAAzACwAIAA0ACwAXABuACAAIAAgACAAIAAgAEwAQQBNAEIARABBACgAcgAsAGMALABcAG4AIAAgACAAIAAgACAAIAAgAEkATgBEAEUAWAAoAHsAXABuACAAIAAgACAAIAAgACAAIAAgACAAXAAiAEEAXwBwAFwAIgAsACAAXAAiAGEAYwB0AGkAdgBpAHQAeQAgAGQAYQB0AGEAIABvAGYAIAB0AGgAZQAgAHMAZQByAHYAaQBjAGUAIAB0AGgAYQB0ACAAdwBhAHMAIABwAHUAcgBjAGgAYQBzAGUAZABcACIALAAgAFwAIgBoAGEAIABvAHIAIABoAFwAIgAsACAAXAAiAEkAbgBwAHUAdABcACIAOwBcAG4AIAAgACAAIAAgACAAIAAgACAAIABcACIARQBGAF8AcABcACIALAAgAFwAIgBsAGkAZgBlACAAYwB5AGMAbABlACAAZQBtAGkAcwBzAGkAbwBuACAAZgBhAGMAdABvAHIAIABmAG8AcgAgAHQAaABlACAAcAB1AHIAYwBoAGEAcwBlAGQAIABzAGUAcgB2AGkAYwBlAFwAIgAsACAAXAAiAGsAZwAgAEMATwAyAGUALwBoAGEAIABvAHIAIABrAGcAIABDAE8AMgBlAC8AaABcACIALAAgAFwAIgBDAG8AbgBzAHQAYQBuAHQAXAAiADsAXABuACAAIAAgACAAIAAgACAAIAAgACAAXAAiAHAAXAAiACwAIABcACIAcwBlAHIAdgBpAGMAZ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gAXwAxAF8AMQBfAF8AMQBfAEUAbQBpAHMAcwBpAG8AbgBzAEYAcgBvAG0AUAB1AHIAYwBoAGEAcwBlAGQAUABhAGMAawBhAGcAaQBuAGcAXABuAEUAbQBiAGUAZABkAGUAZAAgAGUAbQBpAHMAcwBpAG8AbgBzACAAZgByAG8AbQAgAHUAcwBlACAAbwBmACAAcABhAGMAawBhAGcAaQBuAGcAIABtAGEAdABlAHIAaQBhAGwAcwBcAG4ARQBcAG4AdAAgAEMATwAyAGUAXABuAEUAPQBcAFwAcwB1AG0AXABcAG4AbwBsAGkAbQBpAHQAcwBfAHAAXABcAGwAZQBmAHQAKABRAF8AcABcAFwAdABpAG0AZQBzACAARQBGAF8AcABcAFwAcgBpAGcAaAB0ACkAXABcAHQAaQBtAGUAcwAgADEAMABeAHsALQAzAH0AXABuAFEAXwBwACAAPQAgAHUAbgBpAHQAcwAgAG8AZgAgAHAAYQBjAGsAYQBnAGkAbgBnACAAdAB5AHAAZQAgAHAAXABuAEUARgBfAHAAIAA9ACAAZQBtAGkAcwBzAGkAbwBuACAAZgBhAGMAdABvAHIAIABmAG8AcgAgAHAAYQBjAGsAYQBnAGkAbgBnACAAdAB5AHAAZQAgAHAAXABuAC0ALQAtAC0ALQAtAC0ALQAtAC0ALQAtAC0ALQAtAC0ALQAtAC0ALQAtAC0ALQAtAC0ALQAtAC0ALQAtAC0ALQAtAC0ALQAtAC0ALQBcAG4AKgAvAFwAbgBcAG4AVgBFAEUAUgBHAF8AMQA1AF8AOABfADEAXwAxAF8AXwAxAF8ARQBtAGkAcwBzAGkAbwBuAHMARgByAG8AbQBQAHUAcgBjAGgAYQBzAGUAZABQAGEAYwBrAGEAZwBpAG4AZwBcAG4AIAAgAD0ATABBAE0AQgBEAEEAKABcAG4AIAAgACAAIABRAF8AcAAsACAARQBGAF8AcAAsAFwAbgAgACAAIAAgACgAUQBfAHAAIAAqACAARQBGAF8AcAApACAAKgAgADEAMAAgAF4AIAAtADMAXABuACAAIAApADsAXABuAFwAbgBWAEUARQBSAEcAXwAxADUAXwA4AF8AMQBfADEAXwBfADEAXwBFAG0AaQBzAHMAaQBvAG4AcwBGAHIAbwBtAFAAdQByAGMAaABhAHMAZQBkAFAAYQBjAGsAYQBnAGkAbgBnAF8AVABpAHQAbABlAFwAbgAgACAAPQBMAEEATQBCAEQAQQAoAFwAIgBFAG0AYgBlAGQAZABlAGQAIABlAG0AaQBzAHMAaQBvAG4AcwAgAGYAcgBvAG0AIAB1AHMAZQAgAG8AZgAgAHAAYQBjAGsAYQBnAGkAbgBnACAAbQBhAHQAZQByAGkAYQBsAHMAXAAiACkAOwBcAG4AXABuAFYARQBFAFIARwBfADEANQBfADgAXwAxAF8AMQBfAF8AMQBfAEUAbQBpAHMAcwBpAG8AbgBzAEYAcgBvAG0AUAB1AHIAYwBoAGEAcwBlAGQAUABhAGMAawBhAGcAaQBuAGcAXwBWAGEAcgBpAGEAYgBsAGUAXABuACAAIAA9AEwAQQBNAEIARABBACgAXAAiAEUAXAAiACkAOwBcAG4AXABuAFYARQBFAFIARwBfADEANQBfADgAXwAxAF8AMQBfAF8AMQBfAEUAbQBpAHMAcwBpAG8AbgBzAEYAcgBvAG0AUAB1AHIAYwBoAGEAcwBlAGQAUABhAGMAawBhAGcAaQBuAGcAXwBVAG4AaQB0AFwAbgAgACAAPQBMAEEATQBCAEQAQQAoAFwAIgB0ACAAQwBPADIAZQBcACIAKQA7AFwAbgBcAG4AVgBFAEUAUgBHAF8AMQA1AF8AOABfADEAXwAxAF8AXwAxAF8ARQBtAGkAcwBzAGkAbwBuAHMARgByAG8AbQBQAHUAcgBjAGgAYQBzAGUAZABQAGEAYwBrAGEAZwBpAG4AZwBfAFMAbwB1AHIAYwBlAFwAbgAgACAAPQBMAEEATQBCAEQAQQAoAFwAIgBWAEUARQBSAEcAIAAyADAAMgA2ADoAIAAxADUALgA4AC4AMQAuADEALAAgAEUAcQB1AGEAdABpAG8AbgAgACgAMQApAFwAIgApADsAXABuAFwAbgBWAEUARQBSAEcAXwAxADUAXwA4AF8AMQBfADEAXwBfADEAXwBFAG0AaQBzAHMAaQBvAG4AcwBGAHIAbwBtAFAAdQByAGMAaABhAHMAZQBkAFAAYQBjAGsAYQBnAGkAbgBnAF8ATgBJAFIAUgBlAGYAZQByAGUAbgBjAGUAXABuACAAIAA9AEwAQQBNAEIARABBACgAXAAiAFwAIgApADsAXABuAFwAbgBWAEUARQBSAEcAXwAxADUAXwA4AF8AMQBfADEAXwBfADEAXwBFAG0AaQBzAHMAaQBvAG4AcwBGAHIAbwBtAFAAdQByAGMAaABhAHMAZQBkAFAAYQBjAGsAYQBnAGkAbgBnAF8ATABhAHQAZQB4AEUAcQB1AGEAdABpAG8AbgBcAG4AIAAgAD0ATABBAE0AQgBEAEEAKABcACIARQA9AFwAXABzAHUAbQBcAFwAbgBvAGwAaQBtAGkAdABzAF8AcABcAFwAbABlAGYAdAAoAFEAXwBwAFwAXAB0AGkAbQBlAHMAIABFAEYAXwBwAFwAXAByAGkAZwBoAHQAKQBcAFwAdABpAG0AZQBzACAAMQAwAF4AewAtADMAfQBcACIAKQA7AFwAbgBcAG4AVgBFAEUAUgBHAF8AMQA1AF8AOABfADEAXwAxAF8AXwAxAF8ARQBtAGkAcwBzAGkAbwBuAHMARgByAG8AbQBQAHUAcgBjAGgAYQBzAGUAZABQAGEAYwBrAGEAZwBpAG4AZwBfAEEAcgBnAHUAbQBlAG4AdABzAFwAbgAgACAAPQBMAEEATQBCAEQAQQAoAFwAbgAgACAAIAAgAE0AQQBLAEUAQQBSAFIAQQBZACgAMwAsACAANAAsAFwAbgAgACAAIAAgACAAIABMAEEATQBCAEQAQQAoAHIALABjACwAXABuACAAIAAgACAAIAAgACAAIABJAE4ARABFAFgAKAB7AFwAbgAgACAAIAAgACAAIAAgACAAIAAgAFwAIgBRAF8AcABcACIALAAgAFwAIgB1AG4AaQB0AHMAIABvAGYAIABwAGEAYwBrAGEAZwBpAG4AZwAgAHQAeQBwAGUAIABwAFwAIgAsACAAXAAiAHUAbgBpAHQAcwBcACIALAAgAFwAIgBJAG4AcAB1AHQAXAAiADsAXABuACAAIAAgACAAIAAgACAAIAAgACAAXAAiAEUARgBfAHAAXAAiACwAIABcACIAZQBtAGkAcwBzAGkAbwBuACAAZgBhAGMAdABvAHIAIABmAG8AcgAgAHAAYQBjAGsAYQBnAGkAbgBnACAAdAB5AHAAZQAgAHAAXAAiACwAIABcACIAawBnACAAQwBPADIAZQAvAHUAbgBpAHQAXAAiACwAIABcACIAQwBvAG4AcwB0AGEAbgB0AFwAIgA7AFwAbgAgACAAIAAgACAAIAAgACAAIAAgAFwAIgBwAFwAIgAsACAAXAAiAHAAYQBjAGsAYQBnAGkAbgBnACAAdAB5AHAAZQBcACIALAAgAFwAIgBcACIALAAgAFwAIgBJAG4AcAB1AHQAXAAiAFwAbgAgACAAIAAgACAAIAAgACAAfQAsACAAcgAsACAAYwApAFwAbgAgACAAIAAgACAAIAApAFwAbgAgACAAIAAgACkAXABuACAAIAApADsAXABuAFwAbgBWAEUARQBSAEcAXwAxADUAXwA4AF8AMQBfADEAXwBfADEAXwBFAG0AaQBzAHMAaQBvAG4AcwBGAHIAbwBtAFAAdQByAGMAaABhAHMAZQBkAFAAYQBjAGsAYQBnAGkAbgBnAF8AVgBhAHIAaQBhAHQAaQBvAG4AXABuACAAIAA9AEwAQQBNAEIARABBACgAXAAiAFYAQQBSAEkAQQBUAEkATwBOACAATwBOACAAUwBPAFUAUgBDAEUAOgAgAEMAaABhAG4AZwBlAGQAIAB1AG4AaQB0ACAAbwBmACAAUQAgAGYAcgBvAG0AIABcAHUAMAAwADIANwB1AG4AaQB0AHMAXAB1ADAAMAAyADcAIAB0AG8AIABcAHUAMAAwADIANwBrAGcAXAB1ADAAMAAyAD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XAB1ADAAMAAyADcAcwB0AGEAdABlAFwAdQAwADAAMgA3ACAAYQBuAGQAIABcAHUAMAAwADIANwBtAGUAdAByAG8ALwBuAG8AbgAtAG0AZQB0AHIAbwBcAHUAMAAwADIANwAgAGEAcgBnAHUAbQBlAG4AdABzACAAYQBzACAAZwBhAHMAZQBvAHUAcwAgAHMAYwBvAHAAZQAgADMAIABFAEYAcwAgAGEAcgBlACAAcwB0AGEAdABlACAAYQBuAGQAIABtAGUAdAByAG8ALwBuAG8AbgAtAG0AZQB0AHIAbwAgAGwAbwBjAGEAdABpAG8AbgAtAGIAYQBzAGUAZAAuAFwAIgApADsAXABuAFwAbgAvACoAXABuAC0ALQAtAC0ALQAtAC0ALQAtAC0ALQAtAC0ALQAtAC0ALQAtAC0ALQAtAC0ALQAtAC0ALQAtAC0ALQAtAC0ALQAtAC0ALQAtAC0ALQBcAG4AVgBFAEUAUgBHAF8AMQA1AF8AMQAyAF8AMQBfADEAXwBfADEAXwBVAHAAcwB0AHIAZQBhAG0AUAB1AHIAYwBoAGEAcwBlAGQARQBsAGUAYwB0AHIAaQBjAGkAdAB5AEwAbwBjAGEAdABpAG8AbgBCAGEAcwBlAGQAXABuAFMAYwBvAHAAZQAgADMAIABlAG0AaQBzAHMAaQBvAG4AcwAgAGYAcgBvAG0AIABwAHUAcgBjAGgAYQBzAGUAZAAgAGUAbABlAGMAdAByAGkAYwBpAHQAeQAgAGwAbwBjAGEAdABpAG8AbgAgAGIAYQBzAGUAZABcAG4ARQBfADMAZQBsAGUAYwBcAG4AdAAgAEMATwAyAGUAXABuAEUAXwB7ADMALABlAGwAZQBjAH0APQBRAF8AewBlAGwAZQBjAH0AXABcAHQAaQBtAGUAcwAgAEUARgBfAHsAMwAsAGUAbABlAGMAfQBcAFwAdABpAG0AZQBzACAAMQAwAF4AewAtADMAfQBcAG4AUQBfAGUAbABlAGMAIAA9ACAAYQBtAG8AdQBuAHQAIABvAGYAIABlAGwAZQBjAHQAcgBpAGMAaQB0AHkAIABwAHUAcgBjAGgAYQBzAGUAZAAgAGYAcgBvAG0AIAB0AGgAZQAgAGcAcgBpAGQAXABuAEUARgBfADMAZQBsAGUAYwAgAD0AIABzAGMAbwBwAGUAIAAzACAAZQBtAGkAcwBzAGkAbwBuACAAZgBhAGMAdABvAHIAIABmAG8AcgAgAHAAdQByAGMAaABhAHMAZQBkACAAZQBsAGUAYwB0AHIAaQBjAGkAdAB5AFwAbgAtAC0ALQAtAC0ALQAtAC0ALQAtAC0ALQAtAC0ALQAtAC0ALQAtAC0ALQAtAC0ALQAtAC0ALQAtAC0ALQAtAC0ALQAtAC0ALQAtAC0AXABuACoALwBcAG4AXABuAFYARQBFAFIARwBfADEANQBfADEAMgBfADEAXwAxAF8AXwAxAF8AVQBwAHMAdAByAGUAYQBtAFAAdQByAGMAaABhAHMAZQBkAEUAbABlAGMAdAByAGkAYwBpAHQAeQBMAG8AYwBhAHQAaQBvAG4AQgBhAHMAZQBkAFwAbgAgACAAPQBMAEEATQBCAEQAQQAoAFwAbgAgACAAIAAgAFEAXwBlAGwAZQBjACwAIABFAEYAXwAzAGUAbABlAGMALABcAG4AIAAgACAAIAAoAFEAXwBlAGwAZQBjACAAKgAgAEUARgBfADMAZQBsAGUAYwApACAAKgAgADEAMAAgAF4AIAAtADMAXABuACAAIAApADsAXABuAFwAbgBWAEUARQBSAEcAXwAxADUAXwAxADIAXwAxAF8AMQBfAF8AMQBfAFUAcABzAHQAcgBlAGEAbQBQAHUAcgBjAGgAYQBzAGUAZABFAGwAZQBjAHQAcgBpAGMAaQB0AHkATABvAGMAYQB0AGkAbwBuAEIAYQBzAGUAZABfAFQAaQB0AGwAZQBcAG4AIAAgAD0ATABBAE0AQgBEAEEAKABcACIAUwBjAG8AcABlACAAMwAgAGUAbQBpAHMAcwBpAG8AbgBzACAAZgByAG8AbQAgAHAAdQByAGMAaABhAHMAZQBkACAAZQBsAGUAYwB0AHIAaQBjAGkAdAB5ACAAbABvAGMAYQB0AGkAbwBuACAAYgBhAHMAZQBkAFwAIgApADsAXABuAFwAbgBWAEUARQBSAEcAXwAxADUAXwAxADIAXwAxAF8AMQBfAF8AMQBfAFUAcABzAHQAcgBlAGEAbQBQAHUAcgBjAGgAYQBzAGUAZABFAGwAZQBjAHQAcgBpAGMAaQB0AHkATABvAGMAYQB0AGkAbwBuAEIAYQBzAGUAZABfAFYAYQByAGkAYQBiAGwAZQBcAG4AIAAgAD0ATABBAE0AQgBEAEEAKABcACIARQBfADMAZQBsAGUAYwBcACIAKQA7AFwAbgBcAG4AVgBFAEUAUgBHAF8AMQA1AF8AMQAyAF8AMQBfADEAXwBfADEAXwBVAHAAcwB0AHIAZQBhAG0AUAB1AHIAYwBoAGEAcwBlAGQARQBsAGUAYwB0AHIAaQBjAGkAdAB5AEwAbwBjAGEAdABpAG8AbgBCAGEAcwBlAGQAXwBVAG4AaQB0AFwAbgAgACAAPQBMAEEATQBCAEQAQQAoAFwAIgB0ACAAQwBPADIAZQBcACIAKQA7AFwAbgBcAG4AVgBFAEUAUgBHAF8AMQA1AF8AMQAyAF8AMQBfADEAXwBfADEAXwBVAHAAcwB0AHIAZQBhAG0AUAB1AHIAYwBoAGEAcwBlAGQARQBsAGUAYwB0AHIAaQBjAGkAdAB5AEwAbwBjAGEAdABpAG8AbgBCAGEAcwBlAGQAXwBTAG8AdQByAGMAZQBcAG4AIAAgAD0ATABBAE0AQgBEAEEAKABcACIAVgBFAEUAUgBHACAAMgAwADIANgA6ACAAMQA1AC4AMQAyAC4AMQAuADEALAAgAEUAcQB1AGEAdABpAG8AbgAgACgAMQApAFwAIgApADsAXABuAFwAbgBWAEUARQBSAEcAXwAxADUAXwAxADIAXwAxAF8AMQBfAF8AMQBfAFUAcABzAHQAcgBlAGEAbQBQAHUAcgBjAGgAYQBzAGUAZABFAGwAZQBjAHQAcgBpAGMAaQB0AHkATABvAGMAYQB0AGkAbwBuAEIAYQBzAGUAZABfAE4ASQBSAFIAZQBmAGUAcgBlAG4AYwBlAFwAbgAgACAAPQBMAEEATQBCAEQAQQAoAFwAIgBcACIAKQA7AFwAbgBcAG4AVgBFAEUAUgBHAF8AMQA1AF8AMQAyAF8AMQBfADEAXwBfADEAXwBVAHAAcwB0AHIAZQBhAG0AUAB1AHIAYwBoAGEAcwBlAGQARQBsAGUAYwB0AHIAaQBjAGkAdAB5AEwAbwBjAGEAdABpAG8AbgBCAGEAcwBlAGQAXwBMAGEAdABlAHgARQBxAHUAYQB0AGkAbwBuAFwAbgAgACAAPQBMAEEATQBCAEQAQQAoAFwAIgBFAF8AewAzACwAZQBsAGUAYwB9AD0AUQBfAHsAZQBsAGUAYwB9AFwAXAB0AGkAbQBlAHMAIABFAEYAXwB7ADMALABlAGwAZQBjAH0AXABcAHQAaQBtAGUAcwAgADEAMABeAHsALQAzAH0AXAAiACkAOwBcAG4AXABuAFYARQBFAFIARwBfADEANQBfADEAMgBfADEAXwAxAF8AXwAxAF8AVQBwAHMAdAByAGUAYQBtAFAAdQByAGMAaABhAHMAZQBkAEUAbABlAGMAdAByAGkAYwBpAHQAeQBMAG8AYwBhAHQAaQBvAG4AQgBhAHMAZQBk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wBlAGwAZQBjAFwAIgAsACAAXAAiAHMAYwBvAHAAZQAgADMAIABlAG0AaQBzAHMAaQBvAG4AIABmAGEAYwB0AG8AcgAgAGYAbwByACAAcAB1AHIAYwBoAGEAcwBlAGQAIABlAGwAZQBjAHQAcgBpAGMAaQB0AHkAXAAiACwAIABcACIAawBnACAAQwBPADIAZQAvAGsAVwBoAFwAIgAsACAAXAAiAEMAbwBuAHMAdABhAG4AdABcACIAOwBcAG4AIAAgACAAIAAgACAAIAAgACAAIABcACIAZwBcACIALAAgAFwAIgBnAHIAaQBkACAAZQBsAGUAYwB0AHIAaQBjAGkAdAB5ACAAdwBhAHMAIABwAHUAcgBjAGgAYQBzAGUAZAAgAGYAcgBvAG0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gBfADEAXwAyAF8AXwAxAF8AVQBwAHMAdAByAGUAYQBtAFAAdQByAGMAaABhAHMAZQBkAEUAbABlAGMAdAByAGkAYwBpAHQAeQBNAGEAcgBrAGUAdABCAGEAcwBlAGQAXABuAFMAYwBvAHAAZQAgADMAIABlAG0AaQBzAHMAaQBvAG4AcwAgAGYAcgBvAG0AIABwAHUAcgBjAGgAYQBzAGUAZAAgAGUAbABlAGMAdAByAGkAYwBpAHQAeQAgAG0AYQByAGsAZQB0ACAAYgBhAHMAZQBkAFwAbgBFAF8AMwBlAGwAZQBjAFwAbgB0ACAAQwBPADIAZQBcAG4ARQBfAHsAMwAsAGUAbABlAGMAfQA9AFwAXABsAGUAZgB0AFsAUQBfAHsAZQBsAGUAYwB9AFwAXAB0AGkAbQBlAHMAXABcAGwAZQBmAHQAKAAxAC0AKABSAFAAUAArAEoAUgBQAFAAKQBcAFwAcgBpAGcAaAB0ACkALQBcAFwAbABlAGYAdAAoAFIARQBDAF8AewBzAHUAcgByAGUAbgBkAGUAcgBlAGQAfQAtAFIARQBDAF8AewBvAG4AcwBpAHQAZQB9AFwAXAByAGkAZwBoAHQAKQBcAFwAdABpAG0AZQBzACAAMQAwAF4AewAtADMAfQBcAFwAcgBpAGcAaAB0AF0AXABcAHQAaQBtAGUAcwAgAEUARgBfAHsAUgBNAEYAMwAsAGUAbABlAGMAfQBcAFwAdABpAG0AZQBzACAAMQAwAF4AewAtADMAfQBcAG4AUQBfAGUAbABlAGMAIAA9ACAAYQBtAG8AdQBuAHQAIABvAGYAIABlAGwAZQBjAHQAcgBpAGMAaQB0AHkAIABwAHUAcgBjAGgAYQBzAGUAZAAgAGYAcgBvAG0AIAB0AGgAZQAgAGcAcgBpAGQAXABuAFIAUABQACAAPQAgAHIAZQBuAGUAdwBhAGIAbABlACAAcABvAHcAZQByACAAcABlAHIAYwBlAG4AdABhAGcAZQAgAHUAbgBkAGUAcgAgAEwAUgBFAFQAIABmAG8AcgAgAHQAaABlACAAYQBwAHAAbABpAGMAYQBiAGwAZQAgAHAAZQByAGkAbwBkAFwAbgBKAFIAUABQACAAPQAgAGoAdQByAGkAcwBkAGkAYwB0AGkAbwBuAGEAbAAgAHIAZQBuAGUAdwBhAGIAbABlACAAcABvAHcAZQByACAAcABlAHIAYwBlAG4AdABhAGcAZQAgAGYAbwByACAAdABoAGUAIABhAHAAcABsAGkAYwBhAGIAbABlACAAcABlAHIAaQBvAGQAXABuAFIARQBDAF8AcwB1AHIAcgBlAG4AZABlAHIAZQBkACAAPQAgAGUAbABpAGcAaQBiAGwAZQAgAHIAZQBuAGUAdwBhAGIAbABlACAAZQBuAGUAcgBnAHkAIABjAGUAcgB0AGkAZgBpAGMAYQB0AGUAcwAgAHYAbwBsAHUAbgB0AGEAcgBpAGwAeQAgAHMAdQByAHIAZQBuAGQAZQByAGUAZABcAG4AUgBFAEMAXwBvAG4AcwBpAHQAZQAgAD0AIABlAGwAaQBnAGkAYgBsAGUAIAByAGUAbgBlAHcAYQBiAGwAZQAgAGUAbgBlAHIAZwB5ACAAYwBlAHIAdABpAGYAaQBjAGEAdABlAHMAIABpAHMAcwB1AGUAZAAgAGYAbwByACAAbwBuAHMAaQB0AGUAIABnAGUAbgBlAHIAYQB0AGUAZAAgAGUAbABlAGMAdAByAGkAYwBpAHQAeQBcAG4ARQBGAF8AUgBNAEYAMwBlAGwAZQBjACAAPQAgAHMAYwBvAHAAZQAgADMAIAByAGUAcwBpAGQAdQBhAGwAIABtAGkAeAAgAGUAbQBpAHMAcwBpAG8AbgAgAGYAYQBjAHQAbwByACAAZgBvAHIAIABlAGwAZQBjAHQAcgBpAGMAaQB0AHkAXABuAC0ALQAtAC0ALQAtAC0ALQAtAC0ALQAtAC0ALQAtAC0ALQAtAC0ALQAtAC0ALQAtAC0ALQAtAC0ALQAtAC0ALQAtAC0ALQAtAC0ALQBcAG4AKgAvAFwAbgBcAG4AVgBFAEUAUgBHAF8AMQA1AF8AMQAyAF8AMQBfADIAXwBfADEAXwBVAHAAcwB0AHIAZQBhAG0AUAB1AHIAYwBoAGEAcwBlAGQARQBsAGUAYwB0AHIAaQBjAGkAdAB5AE0AYQByAGsAZQB0AEIAYQBzAGUAZA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tADMAKQApACAAKgAgAEUARgBfAFIATQBGADMAZQBsAGUAYwAgACoAIAAxADAAIABeACAALQAzAFwAbgAgACAAKQA7AFwAbgBcAG4AVgBFAEUAUgBHAF8AMQA1AF8AMQAyAF8AMQBfADIAXwBfADEAXwBVAHAAcwB0AHIAZQBhAG0AUAB1AHIAYwBoAGEAcwBlAGQARQBsAGUAYwB0AHIAaQBjAGkAdAB5AE0AYQByAGsAZQB0AEIAYQBzAGUAZABWAGEAcgBpAGEAdABpAG8Abg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zACkAKQAgACoAIABFAEYAXwBSAE0ARgAzAGUAbABlAGMAIAAqACAAMQAwACAAXgAgAC0AMwBcAG4AIAAgACkAOwBcAG4AXABuAFYARQBFAFIARwBfADEANQBfADEAMgBfADEAXwAyAF8AXwAxAF8AVQBwAHMAdAByAGUAYQBtAFAAdQByAGMAaABhAHMAZQBkAEUAbABlAGMAdAByAGkAYwBpAHQAeQBNAGEAcgBrAGUAdABCAGEAcwBlAGQAXwBUAGkAdABsAGUAXABuACAAIAA9AEwAQQBNAEIARABBACgAXAAiAFMAYwBvAHAAZQAgADMAIABlAG0AaQBzAHMAaQBvAG4AcwAgAGYAcgBvAG0AIABwAHUAcgBjAGgAYQBzAGUAZAAgAGUAbABlAGMAdAByAGkAYwBpAHQAeQAgAG0AYQByAGsAZQB0ACAAYgBhAHMAZQBkAFwAIgApADsAXABuAFwAbgBWAEUARQBSAEcAXwAxADUAXwAxADIAXwAxAF8AMgBfAF8AMQBfAFUAcABzAHQAcgBlAGEAbQBQAHUAcgBjAGgAYQBzAGUAZABFAGwAZQBjAHQAcgBpAGMAaQB0AHkATQBhAHIAawBlAHQAQgBhAHMAZQBkAF8AVgBhAHIAaQBhAGIAbABlAFwAbgAgACAAPQBMAEEATQBCAEQAQQAoAFwAIgBFAF8AMwBlAGwAZQBjAFwAIgApADsAXABuAFwAbgBWAEUARQBSAEcAXwAxADUAXwAxADIAXwAxAF8AMgBfAF8AMQBfAFUAcABzAHQAcgBlAGEAbQBQAHUAcgBjAGgAYQBzAGUAZABFAGwAZQBjAHQAcgBpAGMAaQB0AHkATQBhAHIAawBlAHQAQgBhAHMAZQBkAF8AVQBuAGkAdABcAG4AIAAgAD0ATABBAE0AQgBEAEEAKABcACIAdAAgAEMATwAyAGUAXAAiACkAOwBcAG4AXABuAFYARQBFAFIARwBfADEANQBfADEAMgBfADEAXwAyAF8AXwAxAF8AVQBwAHMAdAByAGUAYQBtAFAAdQByAGMAaABhAHMAZQBkAEUAbABlAGMAdAByAGkAYwBpAHQAeQBNAGEAcgBrAGUAdABCAGEAcwBlAGQAXwBTAG8AdQByAGMAZQBcAG4AIAAgAD0ATABBAE0AQgBEAEEAKABcACIAVgBFAEUAUgBHACAAMgAwADIANgA6ACAAMQA1AC4AMQAyAC4AMQAuADIALAAgAEUAcQB1AGEAdABpAG8AbgAgACgAMQApAFwAIgApADsAXABuAFwAbgBWAEUARQBSAEcAXwAxADUAXwAxADIAXwAxAF8AMgBfAF8AMQBfAFUAcABzAHQAcgBlAGEAbQBQAHUAcgBjAGgAYQBzAGUAZABFAGwAZQBjAHQAcgBpAGMAaQB0AHkATQBhAHIAawBlAHQAQgBhAHMAZQBkAF8ATgBJAFIAUgBlAGYAZQByAGUAbgBjAGUAXABuACAAIAA9AEwAQQBNAEIARABBACgAXAAiAFwAIgApADsAXABuAFwAbgBWAEUARQBSAEcAXwAxADUAXwAxADIAXwAxAF8AMgBfAF8AMQBfAFUAcABzAHQAcgBlAGEAbQBQAHUAcgBjAGgAYQBzAGUAZABFAGwAZQBjAHQAcgBpAGMAaQB0AHkATQBhAHIAawBlAHQAQgBhAHMAZQBkAF8ATABhAHQAZQB4AEUAcQB1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t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MAGEAdABlAHgARQBxAHUAYQB0AGkAbwBuAFYAYQByAGk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yAGUAbgBlAHcAYQBiAGwAZQAgAHAAbwB3AGUAcgAgAHAAZQByAGMAZQBuAHQAYQBnAGUAIAB1AG4AZABlAHIAIABMAFIARQBUACAAZgBvAHIAIAB0AGgAZQAgAGEAcABwAGwAaQBjAGEAYgBsAGUAIABwAGUAcgBpAG8AZABcACIALAAgAFwAIgBmAHIAYQBjAHQAaQBvAG4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XAAiACwAIABcACIAZgByAGEAYwB0AGkAbwBuAFwAIgAsACAAXAAiAEkAbgBwAHUAdABcACIAOwBcAG4AIAAgACAAIAAgACAAIAAgACAAIABcACIAUgBFAEMAXwBzAHUAcgByAGUAbgBkAGUAcgBlAGQAXAAiACwAIABcACIAZQBsAGkAZwBpAGIAbABlACAAcgBlAG4AZQB3AGEAYgBsAGUAIABlAG4AZQByAGcAeQAgAGMAZQByAHQAaQBmAGkAYwBhAHQAZQBzACAAdgBvAGwAdQBuAHQAYQByAGkAbAB5ACAAcwB1AHIAcgBlAG4AZABlAHIAZQBkAFwAIgAsACAAXAAiAE0AVwBoAFwAIgAsACAAXAAiAEkAbgBwAHUAdABcACIAOwBcAG4AIAAgACAAIAAgACAAIAAgACAAIABcACIAUgBFAEMAXwBvAG4AcwBpAHQAZQBcACIALAAgAFwAIgBlAGwAaQBnAGkAYgBsAGUAIAByAGUAbgBlAHcAYQBiAGwAZQAgAGUAbgBlAHIAZwB5ACAAYwBlAHIAdABpAGYAaQBjAGEAdABlAHMAIABpAHMAcwB1AGUAZAAgAGYAbwByACAAbwBuAHMAaQB0AGUAIABnAGUAbgBlAHIAYQB0AGUAZAAgAGUAbABlAGMAdAByAGkAYwBpAHQAeQBcACIALAAgAFwAIgBNAFcAaABcACIALAAgAFwAIgBJAG4AcAB1AHQAXAAiADsAXABuACAAIAAgACAAIAAgACAAIAAgACAAXAAiAEUARgBfAFIATQBGADMAZQBsAGUAYwBcACIALAAgAFwAIgBzAGMAbwBwAGUAIAAz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QBfADEAMgBfADEAXwAyAF8AXwAxAF8AVQBwAHMAdAByAGUAYQBtAFAAdQByAGMAaABhAHMAZQBkAEUAbABlAGMAdAByAGkAYwBpAHQAeQBNAGEAcgBrAGUAdABCAGEAcwBlAGQ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BcAG4ALwAqAFwAbgAtAC0ALQAtAC0ALQAtAC0ALQAtAC0ALQAtAC0ALQAtAC0ALQAtAC0ALQAtAC0ALQAtAC0ALQAtAC0ALQAtAC0ALQAtAC0ALQAtAC0AXABuAFYARQBFAFIARwBfADEANQBfADEAMwBfADEAXwAxAF8AXwAxAF8ARQBtAGkAcwBzAGkAbwBuAHMARgByAG8AbQBNAGEAbgB1AHIAZQBTAGUAbgB0AE8AZgBmAFMAaQB0AGUAXABuAEUAbQBpAHMAcwBpAG8AbgBzACAAZgByAG8AbQAgAG0AYQBuAHUAcgBlACAAcwBlAG4AdAAgAG8AZgBmACAAcwBpAHQAZQAgAGEAcABwAGwAaQBlAGQAIAB0AG8AIABzAG8AaQBsAHMAIABpAG4AIABhAG4AbwB0AGgAZQByACAAZgBhAHIAbQBpAG4AZwAgAHMAeQBzAHQAZQBtACAAbwByACAAZQBuAHQAZQByAHAAcgBpAHMAZQBcAG4ARQBcAG4AdAAgAE4AMgBPAFwAbgBFAD0ARQBfAHsATgAyAE8AfQArAEUAXwB7AGEAZAB9ACsARQBfAHsAbABlAGEAYwBoAH0AXABuAEUAXwBOADIATwAgAD0AIABkAGkAcgBlAGMAdAAgAG4AaQB0AHIAbwB1AHMAIABvAHgAaQBkAGUAIABlAG0AaQBzAHMAaQBvAG4AcwAgAGYAcgBvAG0AIABhAHAAcABsAGkAYwBhAHQAaQBvAG4AIABvAGYAIABtAGEAbgB1AHIAZQAgAHQAbwAgAHMAbwBpAGwAcwAgAG8AdQB0AHMAaQBkAGUAIABvAGYAIABzAGMAbwBwAGUAIAAxACAAYgBvAHUAbgBkAGEAcgB5AFwAbgBFAF8AYQBkACAAPQAgAG4AaQB0AHIAbwB1AHMAIABvAHgAaQBkAGUAIABlAG0AaQBzAHMAaQBvAG4AcwAgAGYAcgBvAG0AIABhAHQAbQBvAHMAcABoAGUAcgBpAGMAIABkAGUAcABvAHMAaQB0AGkAbwBuACAAbwBmACAAbQBhAG4AdQByAGUAIAB0AG8AIABzAG8AaQBsAHMAXABuAEUAXwBsAGUAYQBjAGgAIAA9ACAAbgBpAHQAcgBvAHUAcwAgAG8AeABpAGQAZQAgAGUAbQBpAHMAcwBpAG8AbgBzACAAZgByAG8AbQAgAG4AaQB0AHIAbwBnAGUAbgAgAGwAZQBhAGMAaABpAG4AZwAgAGEAbgBkACAAcgB1AG4AbwBmAGYAIABvAGYAIABtAGEAbgB1AHIAZQAgAHQAbwAgAHMAbwBpAGwAcwBcAG4ALQAtAC0ALQAtAC0ALQAtAC0ALQAtAC0ALQAtAC0ALQAtAC0ALQAtAC0ALQAtAC0ALQAtAC0ALQAtAC0ALQAtAC0ALQAtAC0ALQAtAFwAbgAqAC8AXABuAFwAbgBWAEUARQBSAEcAXwAxADUAXwAxADMAXwAxAF8AMQBfAF8AMQBfAEUAbQBpAHMAcwBpAG8AbgBzAEYAcgBvAG0ATQBhAG4AdQByAGUAUwBlAG4AdABPAGYAZgBTAGkAdABlAFwAbgAgACAAPQBMAEEATQBCAEQAQQAoAFwAbgAgACAAIAAgAEUAXwBOADIATwAsACAARQBfAGEAZAAsACAARQBfAGwAZQBhAGMAaAAsAFwAbgAgACAAIAAgAEUAXwBOADIATwAgACsAIABFAF8AYQBkACAAKwAgAEUAXwBsAGUAYQBjAGgAXABuACAAIAApADsAXABuAFwAbgBWAEUARQBSAEcAXwAxADUAXwAxADMAXwAxAF8AMQBfAF8AMQBfAEUAbQBpAHMAcwBpAG8AbgBzAEYAcgBvAG0ATQBhAG4AdQByAGUAUwBlAG4AdABPAGYAZgBTAGkAdABlAF8AVABpAHQAbABlAFwAbgAgACAAPQBMAEEATQBCAEQAQQAoAFwAIgBFAG0AaQBzAHMAaQBvAG4AcwAgAGYAcgBvAG0AIABtAGEAbgB1AHIAZQAgAHMAZQBuAHQAIABvAGYAZgAgAHMAaQB0AGUAIABhAHAAcABsAGkAZQBkACAAdABvACAAcwBvAGkAbABzACAAaQBuACAAYQBuAG8AdABoAGUAcgAgAGYAYQByAG0AaQBuAGcAIABzAHkAcwB0AGUAbQAgAG8AcgAgAGUAbgB0AGUAcgBwAHIAaQBzAGUAXAAiACkAOwBcAG4AXABuAFYARQBFAFIARwBfADEANQBfADEAMwBfADEAXwAxAF8AXwAxAF8ARQBtAGkAcwBzAGkAbwBuAHMARgByAG8AbQBNAGEAbgB1AHIAZQBTAGUAbgB0AE8AZgBmAFMAaQB0AGUAXwBWAGEAcgBpAGEAYgBsAGUAXABuACAAIAA9AEwAQQBNAEIARABBACgAXAAiAEUAXAAiACkAOwBcAG4AXABuAFYARQBFAFIARwBfADEANQBfADEAMwBfADEAXwAxAF8AXwAxAF8ARQBtAGkAcwBzAGkAbwBuAHMARgByAG8AbQBNAGEAbgB1AHIAZQBTAGUAbgB0AE8AZgBmAFMAaQB0AGUAXwBVAG4AaQB0AFwAbgAgACAAPQBMAEEATQBCAEQAQQAoAFwAIgB0ACAATgAyAE8AXAAiACkAOwBcAG4AXABuAFYARQBFAFIARwBfADEANQBfADEAMwBfADEAXwAxAF8AXwAxAF8ARQBtAGkAcwBzAGkAbwBuAHMARgByAG8AbQBNAGEAbgB1AHIAZQBTAGUAbgB0AE8AZgBmAFMAaQB0AGUAXwBTAG8AdQByAGMAZQBcAG4AIAAgAD0ATABBAE0AQgBEAEEAKABcACIAVgBFAEUAUgBHACAAMgAwADIANgA6ACAAMQA1AC4AMQAzAC4AMQAuADEALAAgAEUAcQB1AGEAdABpAG8AbgAgACgAMQApAFwAIgApADsAXABuAFwAbgBWAEUARQBSAEcAXwAxADUAXwAxADMAXwAxAF8AMQBfAF8AMQBfAEUAbQBpAHMAcwBpAG8AbgBzAEYAcgBvAG0ATQBhAG4AdQByAGUAUwBlAG4AdABPAGYAZgBTAGkAdABlAF8ATgBJAFIAUgBlAGYAZQByAGUAbgBjAGUAXABuACAAIAA9AEwAQQBNAEIARABBACgAXAAiAFwAIgApADsAXABuAFwAbgBWAEUARQBSAEcAXwAxADUAXwAxADMAXwAxAF8AMQBfAF8AMQBfAEUAbQBpAHMAcwBpAG8AbgBzAEYAcgBvAG0ATQBhAG4AdQByAGUAUwBlAG4AdABPAGYAZgBTAGkAdABlAF8ATABhAHQAZQB4AEUAcQB1AGEAdABpAG8AbgBcAG4AIAAgAD0ATABBAE0AQgBEAEEAKABcACIARQA9AEUAXwB7AE4AMgBPAH0AKwBFAF8AewBhAGQAfQArAEUAXwB7AGwAZQBhAGMAaAB9AFwAIgApADsAXABuAFwAbgBWAEUARQBSAEcAXwAxADUAXwAxADMAXwAxAF8AMQBfAF8AMQBfAEUAbQBpAHMAcwBpAG8AbgBzAEYAcgBvAG0ATQBhAG4AdQByAGUAUwBlAG4AdABPAGYAZgBTAGkAdABlAF8AQQByAGcAdQBtAGUAbgB0AHMAXABuACAAIAA9AEwAQQBNAEIARABBACgAXABuACAAIAAgACAATQBBAEsARQBBAFIAUgBBAFkAKAAzACwAIAA0ACwAXABuACAAIAAgACAAIAAgAEwAQQBNAEIARABBACgAcgAsAGMALABcAG4AIAAgACAAIAAgACAAIAAgAEkATgBEAEUAWAAoAHsAXABuACAAIAAgACAAIAAgACAAIAAgACAAXAAiAEUAXwBOADIATwBcACIALAAgAFwAIgBkAGkAcgBlAGMAdAAgAG4AaQB0AHIAbwB1AHMAIABvAHgAaQBkAGUAIABlAG0AaQBzAHMAaQBvAG4AcwAgAGYAcgBvAG0AIABhAHAAcABsAGkAYwBhAHQAaQBvAG4AIABvAGYAIABtAGEAbgB1AHIAZQAgAHQAbwAgAHMAbwBpAGwAcwAgAG8AdQB0AHMAaQBkAGUAIABvAGYAIABzAGMAbwBwAGUAIAAxACAAYgBvAHUAbgBkAGEAcgB5AFwAIgAsACAAXAAiAHQAIABOADIATwBcACIALAAgAFwAIgBDAGEAbABjAHUAbABhAHQAZQBkAFwAIgA7AFwAbgAgACAAIAAgACAAIAAgACAAIAAgAFwAIgBFAF8AYQBkAFwAIgAsACAAXAAiAG4AaQB0AHIAbwB1AHMAIABvAHgAaQBkAGUAIABlAG0AaQBzAHMAaQBvAG4AcwAgAGYAcgBvAG0AIABhAHQAbQBvAHMAcABoAGUAcgBpAGMAIABkAGUAcABvAHMAaQB0AGkAbwBuACAAbwBmACAAbQBhAG4AdQByAGUAIAB0AG8AIABzAG8AaQBsAHMAXAAiACwAIABcACIAdAAgAE4AMgBPAFwAIgAsACAAXAAiAEMAYQBsAGMAdQBsAGEAdABlAGQAXAAiADsAXABuACAAIAAgACAAIAAgACAAIAAgACAAXAAiAEUAXwBsAGUAYQBjAGgAXAAiACwAIABcACIAbgBpAHQAcgBvAHUAcwAgAG8AeABpAGQAZQAgAGUAbQBpAHMAcwBpAG8AbgBzACAAZgByAG8AbQAgAG4AaQB0AHIAbwBnAGUAbgAgAGwAZQBhAGMAaABpAG4AZwAgAGEAbgBkACAAcgB1AG4AbwBmAGYAIABvAGYAIABtAGEAbgB1AHIAZQAgAHQAbwAgAHMAbwBpAGwAcwBcACIALAAgAFwAIgB0ACAATgAyAE8AXAAiACwAIABcACIAQwBhAGwAYwB1AGwAYQB0AGUAZABcACIAXABuACAAIAAgACAAIAAgACAAIAB9ACwAIAByACwAIABjACkAXABuACAAIAAgACAAIAAgACkAXABuACAAIAAgACAAKQBcAG4AIAAgACkAOwBcAG4AXABuAFwAbgAvACoAXABuAC0ALQAtAC0ALQAtAC0ALQAtAC0ALQAtAC0ALQAtAC0ALQAtAC0ALQAtAC0ALQAtAC0ALQAtAC0ALQAtAC0ALQAtAC0ALQAtAC0ALQBcAG4AVgBFAEUAUgBHAF8AMQA1AF8AMQAzAF8AMQBfADMAXwBfADEAXwBFAG0AaQBzAHMAaQBvAG4AcwBGAHIAbwBtAFMAbwBsAGkAZABXAGEAcwB0AGUAVAByAGUAYQB0AG0AZQBuAHQARgBhAGMAaQBsAGkAdAB5AFwAbgAtAC0ALQAtAC0ALQAtAC0ALQAtAC0ALQAtAC0ALQAtAC0ALQAtAC0ALQAtAC0ALQAtAC0ALQAtAC0ALQAtAC0ALQAtAC0ALQAtAC0AXABuACoALwBcAG4AXABuAFYARQBFAFIARwBfADEANQBfADEAMwBfADEAXwAzAF8AXwAxAF8ARQBtAGkAcwBzAGkAbwBuAHMARgByAG8AbQBTAG8AbABpAGQAVwBhAHMAdABlAFQAcgBlAGEAdABtAGUAbgB0AEYAYQBjAGkAbABpAHQAeQBcAG4AIAAgAD0ATABBAE0AQgBEAEEAKABcAG4AIAAgACAAIABFAF8ATgAyAE8ALAAgAEUAXwBhAGQALAAgAEUAXwBsAGUAYQBjAGgALABcAG4AIAAgACAAIABFAF8ATgAyAE8AIAArACAARQBfAGEAZAAgACsAIABFAF8AbABlAGEAYwBoAFwAbgAgACAAKQA7AFwAbgBcAG4AVgBFAEUAUgBHAF8AMQA1AF8AMQAzAF8AMQBfADMAXwBfADEAXwBFAG0AaQBzAHMAaQBvAG4AcwBGAHIAbwBtAFMAbwBsAGkAZABXAGEAcwB0AGUAVAByAGUAYQB0AG0AZQBuAHQARgBhAGMAaQBsAGkAdAB5AF8AVABpAHQAbABlAFwAbgAgACAAPQBMAEEATQBCAEQAQQAoAFwAIgBFAG0AaQBzAHMAaQBvAG4AcwAgAGYAcgBvAG0AIABzAG8AbABpAGQAIAB3AGEAcwB0AGUAIABzAGUAbgB0ACAAdABvACAAYQAgAHQAcgBlAGEAdABtAGUAbgB0ACAAZgBhAGMAaQBsAGkAdAB5AFwAIgApADsAXABuAFwAbgBWAEUARQBSAEcAXwAxADUAXwAxADMAXwAxAF8AMwBfAF8AMQBfAEUAbQBpAHMAcwBpAG8AbgBzAEYAcgBvAG0AUwBvAGwAaQBkAFcAYQBzAHQAZQBUAHIAZQBhAHQAbQBlAG4AdABGAGEAYwBpAGwAaQB0AHkAXwBWAGEAcgBpAGEAYgBsAGUAXABuACAAIAA9AEwAQQBNAEIARABBACgAXAAiAEUAXAAiACkAOwBcAG4AXABuAFYARQBFAFIARwBfADEANQBfADEAMwBfADEAXwAzAF8AXwAxAF8ARQBtAGkAcwBzAGkAbwBuAHMARgByAG8AbQBTAG8AbABpAGQAVwBhAHMAdABlAFQAcgBlAGEAdABtAGUAbgB0AEYAYQBjAGkAbABpAHQAeQBfAFUAbgBpAHQAXABuACAAIAA9AEwAQQBNAEIARABBACgAXAAiAHQAIABDAE8AMgBlAFwAIgApADsAXABuAFwAbgBWAEUARQBSAEcAXwAxADUAXwAxADMAXwAxAF8AMwBfAF8AMQBfAEUAbQBpAHMAcwBpAG8AbgBzAEYAcgBvAG0AUwBvAGwAaQBkAFcAYQBzAHQAZQBUAHIAZQBhAHQAbQBlAG4AdABGAGEAYwBpAGwAaQB0AHkAXwBTAG8AdQByAGMAZQBcAG4AIAAgAD0ATABBAE0AQgBEAEEAKABcACIAVgBFAEUAUgBHACAAMgAwADIANgA6ACAAMQA1AC4AMQAzAC4AMQAuADMAXAAiACkAOwBcAG4AXABuAFYARQBFAFIARwBfADEANQBfADEAMwBfADEAXwAzAF8AXwAxAF8ARQBtAGkAcwBzAGkAbwBuAHMARgByAG8AbQBTAG8AbABpAGQAVwBhAHMAdABlAFQAcgBlAGEAdABtAGUAbgB0AEYAYQBjAGkAbABpAHQAeQBfAE4ASQBSAFIAZQBmAGUAcgBlAG4AYwBlAFwAbgAgACAAPQBMAEEATQBCAEQAQQAoAFwAIgBcACIAKQA7AFwAbgBcAG4AVgBFAEUAUgBHAF8AMQA1AF8AMQAzAF8AMQBfADMAXwBfADEAXwBFAG0AaQBzAHMAaQBvAG4AcwBGAHIAbwBtAFMAbwBsAGkAZABXAGEAcwB0AGUAVAByAGUAYQB0AG0AZQBuAHQARgBhAGMAaQBsAGkAdAB5AF8ATABhAHQAZQB4AEUAcQB1AGEAdABpAG8AbgBcAG4AIAAgAD0ATABBAE0AQgBEAEEAKABcACIAXAAiACkAOwBcAG4AXABuAFYARQBFAFIARwBfADEANQBfADEAMwBfADEAXwAzAF8AXwAxAF8ARQBtAGkAcwBzAGkAbwBuAHMARgByAG8AbQBTAG8AbABpAGQAVwBhAHMAdABlAFQAcgBlAGEAdABtAGUAbgB0AEYAYQBjAGkAbABpAHQAeQBfAEEAcgBnAHUAbQBlAG4AdABzAFwAbgAgACAAPQBMAEEATQBCAEQAQQAoAFwAIgBcACIAKQA7AFwAbgBcAG4AXABuAC8AKgBcAG4ALQAtAC0ALQAtAC0ALQAtAC0ALQAtAC0ALQAtAC0ALQAtAC0ALQAtAC0ALQAtAC0ALQAtAC0ALQAtAC0ALQAtAC0ALQAtAC0ALQAtAFwAbgBWAEUARQBSAEcAXwAxADUAXwAxADQAXwAxAF8AMQBfAF8AMQBfAEUAbQBiAGUAZABkAGUAZABFAG0AaQBzAHMAaQBvAG4AcwBGAHIAbwBtAFUAcABzAHQAcgBlAGEAbQBGAHIAZQBpAGcAaAB0AFwAbgBFAG0AYgBlAGQAZABlAGQAIABlAG0AaQBzAHMAaQBvAG4AcwAgAGYAcgBvAG0AIAB1AHAAcwB0AHIAZQBhAG0AIABmAHIAZQBpAGcAaAB0AFwAbgBFAFwAbgB0ACAAQwBPADIAZQBcAG4ARQA9AFwAXABzAHUAbQBcAFwAbgBvAGwAaQBtAGkAdABzAF8AZgBcAFwAbABlAGYAdAAoACgAVwBfAGYAXABcAHQAaQBtAGUAcwAgAEQAXwBmACkAXABcAHQAaQBtAGUAcwAgAEUARgBfAGYAXABcAHIAaQBnAGgAdAApAFwAbgBXAF8AZgAgAD0AIAB0AG8AdABhAGwAIABtAGEAcwBzACAAbwBmACAAZwBvAG8AZABzACAAdAByAGEAbgBzAHAAbwByAHQAZQBkACAAcABlAHIAIABmAHIAZQBpAGcAaAB0ACAAdAB5AHAAZQAgAGYAXABuAEQAXwBmACAAPQAgAHQAbwB0AGEAbAAgAGQAaQBzAHQAYQBuAGMAZQAgAHQAcgBhAG4AcwBwAG8AcgB0AGUAZAAgAHAAZQByACAAZgByAGUAaQBnAGgAdAAgAHQAeQBwAGUAIABmAFwAbgBFAEYAXwBmACAAPQAgAGUAbQBpAHMAcwBpAG8AbgAgAGYAYQBjAHQAbwByACAAZgBvAHIAIABmAHIAZQBpAGcAaAB0ACAAdAB5AHAAZQAgAGYAXABuAC0ALQAtAC0ALQAtAC0ALQAtAC0ALQAtAC0ALQAtAC0ALQAtAC0ALQAtAC0ALQAtAC0ALQAtAC0ALQAtAC0ALQAtAC0ALQAtAC0ALQBcAG4AKgAvAFwAbgBcAG4AVgBFAEUAUgBHAF8AMQA1AF8AMQA0AF8AMQBfADEAXwBfADEAXwBFAG0AYgBlAGQAZABlAGQARQBtAGkAcwBzAGkAbwBuAHMARgByAG8AbQBVAHAAcwB0AHIAZQBhAG0ARgByAGUAaQBnAGgAdABcAG4AIAAgAD0ATABBAE0AQgBEAEEAKABcAG4AIAAgACAAIABXAF8AZgAsACAARABfAGYALAAgAEUARgBfAGYALABcAG4AIAAgACAAIAAoAFcAXwBmACAAKgAgAEQAXwBmACkAIAAqACAARQBGAF8AZgBcAG4AIAAgACkAOwBcAG4AXABuAFYARQBFAFIARwBfADEANQBfADEANABfADEAXwAxAF8AXwAxAF8ARQBtAGIAZQBkAGQAZQBkAEUAbQBpAHMAcwBpAG8AbgBzAEYAcgBvAG0AVQBwAHMAdAByAGUAYQBtAEYAcgBlAGkAZwBoAHQAXwBUAGkAdABsAGUAXABuACAAIAA9AEwAQQBNAEIARABBACgAXAAiAEUAbQBiAGUAZABkAGUAZAAgAGUAbQBpAHMAcwBpAG8AbgBzACAAZgByAG8AbQAgAHUAcABzAHQAcgBlAGEAbQAgAGYAcgBlAGkAZwBoAHQAXAAiACkAOwBcAG4AXABuAFYARQBFAFIARwBfADEANQBfADEANABfADEAXwAxAF8AXwAxAF8ARQBtAGIAZQBkAGQAZQBkAEUAbQBpAHMAcwBpAG8AbgBzAEYAcgBvAG0AVQBwAHMAdAByAGUAYQBtAEYAcgBlAGkAZwBoAHQAXwBWAGEAcgBpAGEAYgBsAGUAXABuACAAIAA9AEwAQQBNAEIARABBACgAXAAiAEUAXAAiACkAOwBcAG4AXABuAFYARQBFAFIARwBfADEANQBfADEANABfADEAXwAxAF8AXwAxAF8ARQBtAGIAZQBkAGQAZQBkAEUAbQBpAHMAcwBpAG8AbgBzAEYAcgBvAG0AVQBwAHMAdAByAGUAYQBtAEYAcgBlAGkAZwBoAHQAXwBVAG4AaQB0AFwAbgAgACAAPQBMAEEATQBCAEQAQQAoAFwAIgB0ACAAQwBPADIAZQBcACIAKQA7AFwAbgBcAG4AVgBFAEUAUgBHAF8AMQA1AF8AMQA0AF8AMQBfADEAXwBfADEAXwBFAG0AYgBlAGQAZABlAGQARQBtAGkAcwBzAGkAbwBuAHMARgByAG8AbQBVAHAAcwB0AHIAZQBhAG0ARgByAGUAaQBnAGgAdABfAFMAbwB1AHIAYwBlAFwAbgAgACAAPQBMAEEATQBCAEQAQQAoAFwAIgBWAEUARQBSAEcAIAAyADAAMgA2ADoAIAAxADUALgAxADQALgAxAC4AMQAsACAARQBxAHUAYQB0AGkAbwBuACAAKAAxACkAXAAiACkAOwBcAG4AXABuAFYARQBFAFIARwBfADEANQBfADEANABfADEAXwAxAF8AXwAxAF8ARQBtAGIAZQBkAGQAZQBkAEUAbQBpAHMAcwBpAG8AbgBzAEYAcgBvAG0AVQBwAHMAdAByAGUAYQBtAEYAcgBlAGkAZwBoAHQAXwBOAEkAUgBSAGUAZgBlAHIAZQBuAGMAZQBcAG4AIAAgAD0ATABBAE0AQgBEAEEAKABcACIAXAAiACkAOwBcAG4AXABuAFYARQBFAFIARwBfADEANQBfADEANABfADEAXwAxAF8AXwAxAF8ARQBtAGIAZQBkAGQAZQBkAEUAbQBpAHMAcwBpAG8AbgBzAEYAcgBvAG0AVQBwAHMAdAByAGUAYQBtAEYAcgBlAGkAZwBoAHQAXwBMAGEAdABlAHgARQBxAHUAYQB0AGkAbwBuAFwAbgAgACAAPQBMAEEATQBCAEQAQQAoAFwAIgBFAD0AXABcAHMAdQBtAFwAXABuAG8AbABpAG0AaQB0AHMAXwBmAFwAXABsAGUAZgB0ACgAKABXAF8AZgBcAFwAdABpAG0AZQBzACAARABfAGYAKQBcAFwAdABpAG0AZQBzACAARQBGAF8AZgBcAFwAcgBpAGcAaAB0ACkAXAAiACkAOwBcAG4AXABuAFYARQBFAFIARwBfADEANQBfADEANABfADEAXwAxAF8AXwAxAF8ARQBtAGIAZQBkAGQAZQBkAEUAbQBpAHMAcwBpAG8AbgBzAEYAcgBvAG0AVQBwAHMAdAByAGUAYQBtAEYAcgBlAGkAZwBoAHQAXwBBAHIAZwB1AG0AZQBuAHQAcwBcAG4AIAAgAD0ATABBAE0AQgBEAEEAKABcAG4AIAAgACAAIABNAEEASwBFAEEAUgBSAEEAWQAoADQALAAgADQALABcAG4AIAAgACAAIAAgACAATABBAE0AQgBEAEEAKAByACwAYwAsAFwAbgAgACAAIAAgACAAIAAgACAASQBOAEQARQBYACgAewBcAG4AIAAgACAAIAAgACAAIAAgACAAIABcACIAVwBfAGYAXAAiACwAIABcACIAdABvAHQAYQBsACAAbQBhAHMAcwAgAG8AZgAgAGcAbwBvAGQAcwAgAHQAcgBhAG4AcwBwAG8AcgB0AGUAZAAgAHAAZQByACAAZgByAGUAaQBnAGgAdAAgAHQAeQBwAGUAIABmAFwAIgAsACAAXAAiAHQAXAAiACwAIABcACIASQBuAHAAdQB0AFwAIgA7AFwAbgAgACAAIAAgACAAIAAgACAAIAAgAFwAIgBEAF8AZgBcACIALAAgAFwAIgB0AG8AdABhAGwAIABkAGkAcwB0AGEAbgBjAGUAIAB0AHIAYQBuAHMAcABvAHIAdABlAGQAIABwAGUAcgAgAGYAcgBlAGkAZwBoAHQAIAB0AHkAcABlACAAZgBcACIALAAgAFwAIgBrAG0AXAAiACwAIABcACIASQBuAHAAdQB0AFwAIgA7AFwAbgAgACAAIAAgACAAIAAgACAAIAAgAFwAIgBFAEYAXwBmAFwAIgAsACAAXAAiAGUAbQBpAHMAcwBpAG8AbgAgAGYAYQBjAHQAbwByACAAZgBvAHIAIABmAHIAZQBpAGcAaAB0ACAAdAB5AHAAZQAgAGYAXAAiACwAIABcACIAdAAgAEMATwAyAGUALwAoAHQAIABrAG0AKQBcACIALAAgAFwAIgBDAG8AbgBzAHQAYQBuAHQAXAAiADsAXABuACAAIAAgACAAIAAgACAAIAAgACAAXAAiAGYAXAAiACwAIABcACIAZgByAGUAaQBnAGgAdAAgAHQAeQBwAGUAXAAiACwAIABcACIAXAAiACwAIABcACIASQBuAHAAdQB0AFwAIgBcAG4AIAAgACAAIAAgACAAIAAgAH0ALAAgAHIALAAgAGMAKQBcAG4AIAAgACAAIAAgACAAKQBcAG4AIAAgACAAIAApAFwAbgAgACAAKQA7AFwAbg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zADU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RgBvAG8AZAAgAHcAYQBzAHQAZQAgACgAaQBuAGMAbAB1AGQAaQBuAGcAIABhAG4AaQBtAGEAbAAgAGMAYQByAGMAYQBzAHMAZQBzACwAIABzAHAAbwBpAGwAZQBkACAAYQBuAGkAbQBhAGwAIABmAGUAZQBkACAAbwByACAAYwByAG8AcAApAFwAIgAsACAAMAAsACAAXAAiAFwAIgA7AFwAbgAgACAAIAAgACAAIAAgACAAXAAiAEkAbgBjAGkAbgBlAHIAYQB0AGkAbwBuAFwAIgAsACAAXAAiAEcAcgBlAGUAbgAgAHcAYQBzAHQAZQAgACgAaQBuAGMAbAB1AGQAaQBuAGcAIABjAHIAbwBwACAAcgBlAHMAaQBkAHUAZQBzACAAbwByACAAcAByAHUAbgBpAG4AZwBzACkAXAAiACwAIAAwACwAIABcACIAXAAiADsAXABuACAAIAAgACAAIAAgACAAIABcACIASQBuAGMAaQBuAGUAcgBhAHQAaQBvAG4AXAAiACwAIABcACIAVwBvAG8AZABcACIALAAgADAALAAgAFwAIgBcACIAOwBcAG4AIAAgACAAIAAgACAAIAAgAFwAIgBJAG4AYwBpAG4AZQByAGEAdABpAG8AbgBcACIALAAgAFwAIgBTAGwAdQBkAGcAZQBcACIALAAgADAALAAgAFwAIgBcACIAOwBcAG4AIAAgACAAIAAgACAAIAAgAFwAIgBJAG4AYwBpAG4AZQByAGEAdABpAG8AbgBcACIALAAgAFwAIgBQAGEAcABlAHIAIABhAG4AZAAgAGMAYQByAGQAYgBvAGEAcgBkAFwAIgAsACAAMAAuADAAMQA2ADkALAAgAFwAIgBcACIAOwBcAG4AIAAgACAAIAAgACAAIAAgAFwAIgBJAG4AYwBpAG4AZQByAGEAdABpAG8AbgBcACIALAAgAFwAIgBUAGUAeAB0AGkAbABlAHMAXAAiACwAIAAwAC4AMwA2ADYANwAsACAAXAAiAFwAIgA7AFwAbgAgACAAIAAgACAAIAAgACAAXAAiAEkAbgBjAGkAbgBlAHIAYQB0AGkAbwBuAFwAIgAsACAAXAAiAFIAdQBiAGIAZQByACAAYQBuAGQAIABsAGUAYQB0AGgAZQByAFwAIgAsACAAMAAuADQAOQAxADkALAAgAFwAIgBcACIAOwBcAG4AIAAgACAAIAAgACAAIAAgAFwAIgBJAG4AYwBpAG4AZQByAGEAdABpAG8AbgBcACIALAAgAFwAIgBJAG4AZQByAHQAIAB3AGEAcwB0AGUAIAAoAGkAbgBjAGwAdQBkAGkAbgBnACAAYwBvAG4AYwByAGUAdABlACwAIABtAGUAdABhAGwALAAgAHAAbABhAHMAdABpAGMAIABvAHIAIABnAGwAYQBzAHMAKQBcACIALAAgADAALgAxADEAMAAwACwAIABcACIAXAAiADsAXABuACAAIAAgACAAIAAgACAAIABcACIASQBuAGMAaQBuAGUAcgBhAHQAaQBvAG4AXAAiACwAIABcACIATQB1AG4AaQBjAGkAcABhAGwAIABzAG8AbABpAGQAIAB3AGEAcwB0AGUAXAAiACwAIAAwAC4AMAA1ADMANwAsACAAXAAiAE4ARwBBAEYAIAAyADAAMgA1ACAAVABhAGIAbABlACAAMQA4AFwAIgA7AFwAbgAgACAAIAAgACAAIAAgACAAXAAiAEkAbgBjAGkAbgBlAHIAYQB0AGkAbwBuAFwAIgAsACAAXAAiAEMAbwBtAG0AZQByAGMAaQBhAGwAIABhAG4AZAAgAGkAbgBkAHUAcwB0AHIAaQBhAGwAIAB3AGEAcwB0AGUAXAAiACwAIAAxAC4ANgA0ADkALAAgAFwAIgBOAEcAQQBGACAAMgAwADIANQAgAFQAYQBiAGwAZQAgADEAOABcACIAOwBcAG4AXABuACAAIAAgACAAIAAgACAAIABcACIAQwBvAG0AcABvAHMAdABpAG4AZwBcACIALAAgAFwAIgBBAGwAbAAgAG8AcgBnAGEAbgBpAGMAIAB3AGEAcwB0AGUAXAAiACwAIAAwAC4AMAA0ADYALAAgAFwAIgBOAEcAQQBGACAAMgAwADIANQAgAFQAYQBiAGwAZQAgADEAOQBcACIAOwBcAG4AIAAgACAAIAAgACAAIAAgAFwAIgBDAG8AbQBwAG8AcwB0AGkAbgBnAFwAIgAsACAAXAAiAEYAbwBvAGQAIAB3AGEAcwB0AGUAIAAoAGkAbgBjAGwAdQBkAGkAbgBnACAAYQBuAGkAbQBhAGwAIABjAGEAcgBjAGEAcwBzAGUAcwAsACAAcwBwAG8AaQBsAGUAZAAgAGEAbgBpAG0AYQBsACAAZgBlAGUAZAAgAG8AcgAgAGMAcgBvAHAAKQBcACIALAAgADAALgAwADQANgAsACAAXAAiAFwAIgA7AFwAbgAgACAAIAAgACAAIAAgACAAXAAiAEMAbwBtAHAAbwBzAHQAaQBuAGcAXAAiACwAIABcACIARwByAGUAZQBuACAAdwBhAHMAdABlACAAKABpAG4AYwBsAHUAZABpAG4AZwAgAGMAcgBvAHAAIAByAGUAcwBpAGQAdQBlAHMAIABvAHIAIABwAHIAdQBuAGkAbgBnAHMAKQBcACIALAAgADAALgAwADQANgAsACAAXAAiAFwAIgA7AFwAbgAgACAAIAAgACAAIAAgACAAXAAiAEMAbwBtAHAAbwBzAHQAaQBuAGcAXAAiACwAIABcACIAVwBvAG8AZABcACIALAAgADAALgAwADQANgAsACAAXAAiAFwAIgA7AFwAbgAgACAAIAAgACAAIAAgACAAXAAiAEMAbwBtAHAAbwBzAHQAaQBuAGcAXAAiACwAIABcACIAUwBsAHUAZABnAGUAXAAiACwAIAAwAC4AMAA0ADYALAAgAFwAIgBcACIAOwBcAG4AIAAgACAAIAAgACAAIAAgAFwAIgBDAG8AbQBwAG8AcwB0AGkAbgBnAFwAIgAsACAAXAAiAFAAYQBwAGUAcgAgAGEAbgBkACAAYwBhAHIAZABiAG8AYQByAGQAXAAiACwAIAAwAC4AMAA0ADY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DAALgAwADIAOAAsACAAXAAiAFwAIgA7AFwAbgAgACAAIAAgACAAIAAgACAAXAAiAEEAbgBhAGUAcgBvAGIAaQBjACAAZABpAGcAZQBzAHQAaQBvAG4AXAAiACwAIABcACIARwByAGUAZQBuACAAdwBhAHMAdABlACAAKABpAG4AYwBsAHUAZABpAG4AZwAgAGMAcgBvAHAAIAByAGUAcwBpAGQAdQBlAHMAIABvAHIAIABwAHIAdQBuAGkAbgBnAHMAKQBcACIALAAgADAALgAwADIAOAAsACAAXAAiAFwAIgA7AFwAbgAgACAAIAAgACAAIAAgACAAXAAiAEEAbgBhAGUAcgBvAGIAaQBjACAAZABpAGcAZQBzAHQAaQBvAG4AXAAiACwAIABcACIAVwBvAG8AZABcACIALAAgADAALgAwADIAOAAsACAAXAAiAFwAIgA7AFwAbgAgACAAIAAgACAAIAAgACAAXAAiAEEAbgBhAGUAcgBvAGIAaQBjACAAZABpAGcAZQBzAHQAaQBvAG4AXAAiACwAIABcACIAUwBsAHUAZABnAGUAXAAiACwAIAAwAC4AMAAyADgALAAgAFwAIgBcACIAOwBcAG4AIAAgACAAIAAgACAAIAAgAFwAIgBBAG4AYQBlAHIAbwBiAGkAYwAgAGQAaQBnAGUAcwB0AGkAbwBuAFwAIgAsACAAXAAiAFAAYQBwAGUAcgAgAGEAbgBkACAAYwBhAHIAZABiAG8AYQByAGQAXAAiACwAIAAwAC4AMAAyADg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BcAHUAMAAwADIANwBwAGEAcABlAHIAIABhAG4AZAAgAGMAYQByAGIAbwBhAHIAZABcAHUAMAAwADIANwAgAHQAbwAgAFwAdQAwADAAMgA3AHAAYQBwAGUAcgAgAGEAbgBkACAAYwBhAHIAZABiAG8AYQByAGQAXAB1ADAAMAAyADcAXAAiADsAXABuACAAIAAgACAAIAAgACAAIABcACIARgBpAHgAZQBkACAAdAB5AHAAbwAgAFwAdQAwADAAMgA3AHAAcgB1AG4AbgBpAG4AZwBzAFwAdQAwADAAMgA3ACAAdABvACAAXAB1ADAAMAAyADcAcAByAHUAbgBpAG4AZwBzAFwAdQAwADAAMgA3AFwAIgA7AFwAbgAgACAAIAAgACAAIAAgACAAXAAiAEEAZABkAGUAZAAgAEUARgAgAHMAbwB1AHIAYwBlACAAYwBvAGwAdQBtAG4AIAB3AGkAdABoACAAcwBwAGUAYwBpAGYAaQBjACAAcgBlAGYAZQByAGUAbgBjAGUAcwBcACIAOwBcAG4AIAAgACAAIAAgACAAIAAgAFwAIgBBAGQAZABlAGQAIABzAHUAYgAtAGMAYQB0AGUAZwBvAHIAaQBlAHMAIABmAG8AcgAgAFwAdQAwADAAMgA3AEkAbgBjAGkAbgBlAHIAYQB0AGkAbwBuADoAIABGAG8AbwBkACAAdwBhAHMAdABlACwAIABnAHIAZQBlAG4AIAB3AGEAcwB0AGUALAAgAHcAbwBvAGQALAAgAHMAbAB1AGQAZw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MAbwBtAHAAbwBzAHQAaQBuAGcAOgAgAEEAbABsACAAbwByAGcAYQBuAGkAYwAgAHcAYQBzAHQ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BAG4AYQBlAHIAbwBiAGkAYwAgAGQAaQBnAGUAcwB0AGkAbwBuADoAIABBAGwAbAAgAG8AcgBnAGEAbgBpAGMAIAB3AGEAcwB0AGUAXAB1ADAAMAAyADcAIABpAG4AIABvAHIAZABlAHIAIAB0AG8AIAB1AHMAZQAgAHYAbwBsAHUAbQBlACAAdABvACAAbQBhAHMAcwAgAGMAbwBuAHYAZQByAHMAaQBvAG4AIABmAGEAYwB0AG8AcgAgAHYAYQBsAHUAZQBz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XQAsACIAcAByAG8AagBlAGMAdABOAGEAbQBlAHMAIgA6AFsAIgBWAGEAbABpAGQATABpAHYAZQBzAHQAbwBjAGsAQwBsAGEAcwBz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UwBvAHUAcgBjAGUASAB5AHAAZQByAGwAaQBuAGsARABpAGYAZgBlAHIAZQBuAHQAUwBoAGUAZQB0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EMAbwBtAG0AbwBuAF8ASQBuAHAAdQB0AEYAdQBuAGMAdABpAG8AbgBzAC4AVQB0AGkAbABpAHQAeQBfAFIAZQBzAHUAbAB0AHMASQB0AGUAbQBGAHIAbwBtAEUAcQB1AGEAdABpAG8AbgBUAGkAdABsAGUAQQBuAGQAUwBvAHUAcgBjAGUAIgAs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NAEMARgBUAGUAbQBwAGUAcgBhAHQAdQByAGUAWgBvAG4AZQBfAFQAaQB0AGwAZQAiACwAIgBDAG8AbQBtAG8AbgBfAFMAbwB1AHIAYwBlAEQAYQB0AGEALgBDAG8AbQBtAG8AbgBfAFMAbwB1AHIAYwBlAEQAYQB0AGEAXwBNAEMARgBUAGUAbQBwAGUAcgBhAHQAdQByAGUAWgBvAG4AZQBfAFUAbgBpAHQAIgAsACIAQwBvAG0AbQBvAG4AXwBTAG8AdQByAGMAZQBEAGEAdABhAC4AQwBvAG0AbQBvAG4AXwBTAG8AdQByAGMAZQBEAGEAdABhAF8ATQBDAEYAVABlAG0AcABlAHIAYQB0AHUAcgBlAFoAbwBuAGUAXwBTAG8AdQByAGMAZQAiACwAIgBDAG8AbQBtAG8AbgBfAFMAbwB1AHIAYwBlAEQAYQB0AGEALgBDAG8AbQBtAG8AbgBfAFMAbwB1AHIAYwBlAEQAYQB0AGEAXwBNAEMARgBUAGUAbQBwAGUAcgBhAHQAdQByAGUAWgBvAG4AZQBfAEQAYQB0AGEAIgAsACIAQwBvAG0AbQBvAG4AXwBTAG8AdQByAGMAZQBEAGEAdABhAC4AQwBvAG0AbQBvAG4AXwBTAG8AdQByAGMAZQBEAGEAdABhAF8ATQBDAEYAVABlAG0AcABlAHIAYQB0AHUAcgBlAFoAbwBuAGU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FAGwAZQBjAHQAcgBpAGMAaQB0AHkAXwBTAG8AdQByAGMAZQBEAGEAdABhAC4ARQBsAGUAYwB0AHIAaQBjAGkAdAB5AF8AUwBjAG8AcABlADIAUwBjAG8AcABlADMATABvAGMAYQB0AGkAbwBuAEIAYQBzAGUAZABfAFQAaQB0AGwAZQAiACwAIgBFAGwAZQBjAHQAcgBpAGMAaQB0AHkAXwBTAG8AdQByAGMAZQBEAGEAdABhAC4ARQBsAGUAYwB0AHIAaQBjAGkAdAB5AF8AUwBjAG8AcABlADIATABvAGMAYQB0AGkAbwBuAEIAYQBzAGUAZABfAEQAZQBzAGMAcgBpAHAAdABpAG8AbgAiACwAIgBFAGwAZQBjAHQAcgBpAGMAaQB0AHkAXwBTAG8AdQByAGMAZQBEAGEAdABhAC4ARQBsAGUAYwB0AHIAaQBjAGkAdAB5AF8AUwBjAG8AcABlADIAUwBjAG8AcABlADMATABvAGMAYQB0AGkAbwBuAEIAYQBzAGUAZABfAFMAbwB1AHIAYwBlACIALAAiAEUAbABlAGMAdAByAGkAYwBpAHQAeQBfAFMAbwB1AHIAYwBlAEQAYQB0AGEALgBFAGwAZQBjAHQAcgBpAGMAaQB0AHkAXwBTAGMAbwBwAGUAMgBTAGMAbwBwAGUAMwBMAG8AYwBhAHQAaQBvAG4AQgBhAHMAZQBkAF8ARABhAHQAYQAiACwAIgBFAGwAZQBjAHQAcgBpAGMAaQB0AHkAXwBTAG8AdQByAGMAZQBEAGEAdABhAC4ARQBsAGUAYwB0AHIAaQBjAGkAdAB5AF8AUwBjAG8AcABlADIAUwBjAG8AcABlADMATABvAGMAYQB0AGkAbwBuAEIAYQBzAGUAZABfAFYAYQByAGkAYQB0AGkAbwBuACIALAAiAEUAbABlAGMAdAByAGkAYwBpAHQAeQBfAFMAbwB1AHIAYwBlAEQAYQB0AGEALgBFAGwAZQBjAHQAcgBpAGMAaQB0AHkAXwBTAGMAbwBwAGUAMgBTAGMAbwBwAGUAMwBNAGEAcgBrAGUAdABCAGEAcwBlAGQAXwBUAGkAdABsAGUAIgAsACIARQBsAGUAYwB0AHIAaQBjAGkAdAB5AF8AUwBvAHUAcgBjAGUARABhAHQAYQAuAEUAbABlAGMAdAByAGkAYwBpAHQAeQBfAFMAYwBvAHAAZQAyAE0AYQByAGsAZQB0AEIAYQBzAGUAZABfAEQAZQBzAGMAcgBpAHAAdABpAG8AbgAiACwAIgBFAGwAZQBjAHQAcgBpAGMAaQB0AHkAXwBTAG8AdQByAGMAZQBEAGEAdABhAC4ARQBsAGUAYwB0AHIAaQBjAGkAdAB5AF8AUwBjAG8AcABlADIAUwBjAG8AcABlADMATQBhAHIAawBlAHQAQgBhAHMAZQBkAF8AUwBvAHUAcgBjAGUAIgAsACIARQBsAGUAYwB0AHIAaQBjAGkAdAB5AF8AUwBvAHUAcgBjAGUARABhAHQAYQAuAEUAbABlAGMAdAByAGkAYwBpAHQAeQBfAFMAYwBvAHAAZQAyAFMAYwBvAHAAZQAzAE0AYQByAGsAZQB0AEIAYQBzAGUAZABfAEQAYQB0AGEAIgAsACIARQBsAGUAYwB0AHIAaQBjAGkAdAB5AF8AUwBvAHUAcgBjAGUARABhAHQAYQAuAEUAbABlAGMAdAByAGkAYwBpAHQAeQBfAFMAYwBvAHAAZQAyAFMAYwBvAHAAZQAzAE0AYQByAGsAZQB0AEIAYQBzAGUAZABfAFYAYQByAGkAYQB0AGkAbwBu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TAGMAbwBwAGUAMwBfAEkAbgBwAHUAdABGAHUAbgBjAHQAaQBvAG4AcwAuAEcAZQB0AEwAaQB2AGUAdwBlAGkAZwBoAHQAXwBQAGEAcwB0AHUAcgBlAEIAZQBlAGY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FMAbwB1AHIAYwBlAEQAYQB0AGEAXwBTAHcAaQBuAGUALgBTAG8AdQByAGMAZQBEAGEAdABhAF8AUwB3AGkAbgBlAF8ATQBlAGcAYQBqAG8AdQBsAGUAcwBQAGUAcgBLAGkAbABvAGcAcgBhAG0ATQBlAHQAaABhAG4AZQBfAFQAaQB0AGwAZQAiACwAIgBTAG8AdQByAGMAZQBEAGEAdABhAF8AUwB3AGkAbgBlAC4AUwBvAHUAcgBjAGUARABhAHQAYQBfAFMAdwBpAG4AZQBfAE0AZQBnAGEAagBvAHUAbABlAHMAUABlAHIASwBpAGwAbwBnAHIAYQBtAE0AZQB0AGgAYQBuAGUAXwBWAGEAcgBpAGEAYgBsAGUAIgAsACIAUwBvAHUAcgBjAGUARABhAHQAYQBfAFMAdwBpAG4AZQAuAFMAbwB1AHIAYwBlAEQAYQB0AGEAXwBTAHcAaQBuAGUAXwBNAGUAZwBhAGoAbwB1AGwAZQBzAFAAZQByAEsAaQBsAG8AZwByAGEAbQBNAGUAdABoAGEAbgBlAF8AVQBuAGkAdAAiACwAIgBTAG8AdQByAGMAZQBEAGEAdABhAF8AUwB3AGkAbgBlAC4AUwBvAHUAcgBjAGUARABhAHQAYQBfAFMAdwBpAG4AZQBfAE0AZQBnAGEAagBvAHUAbABlAHMAUABlAHIASwBpAGwAbwBnAHIAYQBtAE0AZQB0AGgAYQBuAGUAXwBTAG8AdQByAGMAZQAiACwAIgBTAG8AdQByAGMAZQBEAGEAdABhAF8AUwB3AGkAbgBlAC4AUwBvAHUAcgBjAGUARABhAHQAYQBfAFMAdwBpAG4AZQBfAE0AZQBnAGEAagBvAHUAbABlAHMAUABlAHIASwBpAGwAbwBnAHIAYQBtAE0AZQB0AGgAYQBuAGUAXwBWAGEAcgBpAGEAdABpAG8AbgAiACwAIgBTAG8AdQByAGMAZQBEAGEAdABhAF8AUwB3AGkAbgBlAC4AUwBvAHUAcgBjAGUARABhAHQAYQBfAFMAdwBpAG4AZQBfAE0AZQBnAGEAagBvAHUAbABlAHMAUABlAHIASwBpAGwAbwBnAHIAYQBtAE0AZQB0AGgAYQBuAGUAXwBEAGEAdABhACIALAAiAFMAbwB1AHIAYwBlAEQAYQB0AGEAXwBQAG8AdQBsAHQAcgB5AC4AUwBvAHUAcgBjAGUARABhAHQAYQBfAFAAbwB1AGwAdAByAHkAXwBEAGkAZQB0AFAAcgBvAHAAZQByAHQAaQBlAHMAXwBUAGkAdABsAGUAIgAsACIAUwBvAHUAcgBjAGUARABhAHQAYQBfAFAAbwB1AGwAdAByAHkALgBTAG8AdQByAGMAZQBEAGEAdABhAF8AUABvAHUAbAB0AHIAeQBfAEQAaQBlAHQAUAByAG8AcABlAHIAdABpAGUAcwBfAFUAbgBpAHQAIgAsACIAUwBvAHUAcgBjAGUARABhAHQAYQBfAFAAbwB1AGwAdAByAHkALgBTAG8AdQByAGMAZQBEAGEAdABhAF8AUABvAHUAbAB0AHIAeQBfAEQAaQBlAHQAUAByAG8AcABlAHIAdABpAGUAcwBfAFMAbwB1AHIAYwBlACIALAAiAFMAbwB1AHIAYwBlAEQAYQB0AGEAXwBQAG8AdQBsAHQAcgB5AC4AUwBvAHUAcgBjAGUARABhAHQAYQBfAFAAbwB1AGwAdAByAHkAXwBEAGkAZQB0AFAAcgBvAHAAZQByAHQAaQBlAHMAXwBWAGEAcgBpAGEAdABpAG8AbgAiACwAIgBTAG8AdQByAGMAZQBEAGEAdABhAF8AUABvAHUAbAB0AHIAeQAuAFMAbwB1AHIAYwBlAEQAYQB0AGEAXwBQAG8AdQBsAHQAcgB5AF8ARABpAGUAdABQAHIAbwBwAGUAcgB0AGkAZQBzAF8ARABhAHQAYQAiACwAIgBTAG8AdQByAGMAZQBEAGEAdABhAF8AUABvAHUAbAB0AHIAeQAuAFMAbwB1AHIAYwBlAEQAYQB0AGEAXwBQAG8AdQBsAHQAcgB5AF8ATQBDAEYAXwBUAGkAdABsAGUAIgAsACIAUwBvAHUAcgBjAGUARABhAHQAYQBfAFAAbwB1AGwAdAByAHkALgBTAG8AdQByAGMAZQBEAGEAdABhAF8AUABvAHUAbAB0AHIAeQBfAE0AQwBGAF8AVQBuAGkAdAAiACwAIgBTAG8AdQByAGMAZQBEAGEAdABhAF8AUABvAHUAbAB0AHIAeQAuAFMAbwB1AHIAYwBlAEQAYQB0AGEAXwBQAG8AdQBsAHQAcgB5AF8ATQBDAEYAXwBTAG8AdQByAGMAZQAiACwAIgBTAG8AdQByAGMAZQBEAGEAdABhAF8AUABvAHUAbAB0AHIAeQAuAFMAbwB1AHIAYwBlAEQAYQB0AGEAXwBQAG8AdQBsAHQAcgB5AF8ATQBDAEYAXwBWAGEAcgBpAGEAdABpAG8AbgAiACwAIgBTAG8AdQByAGMAZQBEAGEAdABhAF8AUABvAHUAbAB0AHIAeQAuAFMAbwB1AHIAYwBlAEQAYQB0AGEAXwBQAG8AdQBsAHQAcgB5AF8ATQBDAEYAXwBEAGEAdABhACIALAAiAFMAbwB1AHIAYwBlAEQAYQB0AGEAXwBQAG8AdQBsAHQAcgB5AC4AUwBvAHUAcgBjAGUARABhAHQAYQBfAFAAbwB1AGwAdAByAHkAXwBNAEMARgBfAE4AbwB0AGUAcwAiACwAIgBTAG8AdQByAGMAZQBEAGEAdABhAF8AUABvAHUAbAB0AHIAeQAuAFMAbwB1AHIAYwBlAEQAYQB0AGEAXwBQAG8AdQBsAHQAcgB5AF8ATQBlAHQAaABhAG4AZQBFAG0AaQBzAHMAaQBvAG4AcwBQAG8AdABlAG4AdABpAGEAbABfAFQAaQB0AGwAZQAiACwAIgBTAG8AdQByAGMAZQBEAGEAdABhAF8AUABvAHUAbAB0AHIAeQAuAFMAbwB1AHIAYwBlAEQAYQB0AGEAXwBQAG8AdQBsAHQAcgB5AF8ATQBlAHQAaABhAG4AZQBFAG0AaQBzAHMAaQBvAG4AcwBQAG8AdABlAG4AdABpAGEAbABfAFUAbgBpAHQAIgAsACIAUwBvAHUAcgBjAGUARABhAHQAYQBfAFAAbwB1AGwAdAByAHkALgBTAG8AdQByAGMAZQBEAGEAdABhAF8AUABvAHUAbAB0AHIAeQBfAE0AZQB0AGgAYQBuAGUARQBtAGkAcwBzAGkAbwBuAHMAUABvAHQAZQBuAHQAaQBhAGwAXwBTAG8AdQByAGMAZQAiACwAIgBTAG8AdQByAGMAZQBEAGEAdABhAF8AUABvAHUAbAB0AHIAeQAuAFMAbwB1AHIAYwBlAEQAYQB0AGEAXwBQAG8AdQBsAHQAcgB5AF8ATQBlAHQAaABhAG4AZQBFAG0AaQBzAHMAaQBvAG4AcwBQAG8AdABlAG4AdABpAGEAbABfAFYAYQByAGkAYQB0AGkAbwBuACIALAAiAFMAbwB1AHIAYwBlAEQAYQB0AGEAXwBQAG8AdQBsAHQAcgB5AC4AUwBvAHUAcgBjAGUARABhAHQAYQBfAFAAbwB1AGwAdAByAHkAXwBNAGUAdABoAGEAbgBlAEUAbQBpAHMAcwBpAG8AbgBzAFAAbwB0AGUAbgB0AGkAYQBsAF8ARABhAHQAYQAiACwAIgBTAG8AdQByAGMAZQBEAGEAdABhAF8AUABvAHUAbAB0AHIAeQAuAFMAbwB1AHIAYwBlAEQAYQB0AGEAXwBQAG8AdQBsAHQAcgB5AF8AUAByAG8AZAB1AGMAdABpAG8AbgBTAHkAcwB0AGUAbQBzAF8AVABpAHQAbABlACIALAAiAFMAbwB1AHIAYwBlAEQAYQB0AGEAXwBQAG8AdQBsAHQAcgB5AC4AUwBvAHUAcgBjAGUARABhAHQAYQBfAFAAbwB1AGwAdAByAHkAXwBQAHIAbwBkAHUAYwB0AGkAbwBuAFMAeQBzAHQAZQBtAHMAXwBVAG4AaQB0ACIALAAiAFMAbwB1AHIAYwBlAEQAYQB0AGEAXwBQAG8AdQBsAHQAcgB5AC4AUwBvAHUAcgBjAGUARABhAHQAYQBfAFAAbwB1AGwAdAByAHkAXwBQAHIAbwBkAHUAYwB0AGkAbwBuAFMAeQBzAHQAZQBtAHMAXwBTAG8AdQByAGMAZQAiACwAIgBTAG8AdQByAGMAZQBEAGEAdABhAF8AUABvAHUAbAB0AHIAeQAuAFMAbwB1AHIAYwBlAEQAYQB0AGEAXwBQAG8AdQBsAHQAcgB5AF8AUAByAG8AZAB1AGMAdABpAG8AbgBTAHkAcwB0AGUAbQBzAF8AVgBhAHIAaQBhAHQAaQBvAG4AIgAsACIAUwBvAHUAcgBjAGUARABhAHQAYQBfAFAAbwB1AGwAdAByAHkALgBTAG8AdQByAGMAZQBEAGEAdABhAF8AUABvAHUAbAB0AHIAeQBfAFAAcgBvAGQAdQBjAHQAaQBvAG4AUwB5AHMAdABlAG0AcwBfAEQAYQB0AGEAIgAsACIAUwBvAHUAcgBjAGUARABhAHQAYQBfAFAAbwB1AGwAdAByAHkALgBTAG8AdQByAGMAZQBEAGEAdABhAF8AUABvAHUAbAB0AHIAeQBfAFYAUwBMAF8AVABpAHQAbABlACIALAAiAFMAbwB1AHIAYwBlAEQAYQB0AGEAXwBQAG8AdQBsAHQAcgB5AC4AUwBvAHUAcgBjAGUARABhAHQAYQBfAFAAbwB1AGwAdAByAHkAXwBWAFMATABfAFUAbgBpAHQAIgAsACIAUwBvAHUAcgBjAGUARABhAHQAYQBfAFAAbwB1AGwAdAByAHkALgBTAG8AdQByAGMAZQBEAGEAdABhAF8AUABvAHUAbAB0AHIAeQBfAFYAUwBMAF8AUwBvAHUAcgBjAGUAIgAsACIAUwBvAHUAcgBjAGUARABhAHQAYQBfAFAAbwB1AGwAdAByAHkALgBTAG8AdQByAGMAZQBEAGEAdABhAF8AUABvAHUAbAB0AHIAeQBfAFYAUwBMAF8AVgBhAHIAaQBhAHQAaQBvAG4AIgAsACIAUwBvAHUAcgBjAGUARABhAHQAYQBfAFAAbwB1AGwAdAByAHkALgBTAG8AdQByAGMAZQBEAGEAdABhAF8AUABvAHUAbAB0AHIAeQBfAFYAUwBMAF8ARABhAHQAYQAiACwAIgBTAG8AdQByAGMAZQBEAGEAdABhAF8AUABvAHUAbAB0AHIAeQAuAFMAbwB1AHIAYwBlAEQAYQB0AGEAXwBQAG8AdQBsAHQAcgB5AF8ARgByAGEAYwBHAEEAUwBNAG0AVABfAFQAaQB0AGwAZQAiACwAIgBTAG8AdQByAGMAZQBEAGEAdABhAF8AUABvAHUAbAB0AHIAeQAuAFMAbwB1AHIAYwBlAEQAYQB0AGEAXwBQAG8AdQBsAHQAcgB5AF8ARgByAGEAYwBHAEEAUwBNAG0AVABfAFUAbgBpAHQAIgAsACIAUwBvAHUAcgBjAGUARABhAHQAYQBfAFAAbwB1AGwAdAByAHkALgBTAG8AdQByAGMAZQBEAGEAdABhAF8AUABvAHUAbAB0AHIAeQBfAEYAcgBhAGMARwBBAFMATQBtAFQAXwBTAG8AdQByAGMAZQAiACwAIgBTAG8AdQByAGMAZQBEAGEAdABhAF8AUABvAHUAbAB0AHIAeQAuAFMAbwB1AHIAYwBlAEQAYQB0AGEAXwBQAG8AdQBsAHQAcgB5AF8ARgByAGEAYwBHAEEAUwBNAG0AVABfAFYAYQByAGkAYQB0AGkAbwBuACIALAAiAFMAbwB1AHIAYwBlAEQAYQB0AGEAXwBQAG8AdQBsAHQAcgB5AC4AUwBvAHUAcgBjAGUARABhAHQAYQBfAFAAbwB1AGwAdAByAHkAXwBGAHIAYQBjAEcAQQBTAE0AbQBUAF8ARABhAHQAYQAiACwAIgBTAG8AdQByAGMAZQBEAGEAdABhAF8AUABvAHUAbAB0AHIAeQAuAFMAbwB1AHIAYwBlAEQAYQB0AGEAXwBQAG8AdQBsAHQAcgB5AF8ARQBGAG0AVABfAFQAaQB0AGwAZQAiACwAIgBTAG8AdQByAGMAZQBEAGEAdABhAF8AUABvAHUAbAB0AHIAeQAuAFMAbwB1AHIAYwBlAEQAYQB0AGEAXwBQAG8AdQBsAHQAcgB5AF8ARQBGAG0AVABfAFUAbgBpAHQAIgAsACIAUwBvAHUAcgBjAGUARABhAHQAYQBfAFAAbwB1AGwAdAByAHkALgBTAG8AdQByAGMAZQBEAGEAdABhAF8AUABvAHUAbAB0AHIAeQBfAEUARgBtAFQAXwBTAG8AdQByAGMAZQAiACwAIgBTAG8AdQByAGMAZQBEAGEAdABhAF8AUABvAHUAbAB0AHIAeQAuAFMAbwB1AHIAYwBlAEQAYQB0AGEAXwBQAG8AdQBsAHQAcgB5AF8ARQBGAG0AVABfAFYAYQByAGkAYQB0AGkAbwBuACIALAAiAFMAbwB1AHIAYwBlAEQAYQB0AGEAXwBQAG8AdQBsAHQAcgB5AC4AUwBvAHUAcgBjAGUARABhAHQAYQBfAFAAbwB1AGwAdAByAHkAXwBFAEYAbQBUAF8ARABhAHQAYQAiACwAIgBTAG8AdQByAGMAZQBEAGEAdABhAF8AUABvAHUAbAB0AHIAeQAuAFMAbwB1AHIAYwBlAEQAYQB0AGEAXwBQAG8AdQBsAHQAcgB5AF8ARgByAGEAYwB0AGkAbwBuAE8AZgBOAGkAdAByAG8AZwBlAG4ATABvAHMAdABUAGgAcgBvAHUAZwBoAEwAZQBhAGMAaABpAG4AZwBBAG4AZABSAHUAbgBvAGYAZgBfAFQAaQB0AGwAZQAiACwAIgBTAG8AdQByAGMAZQBEAGEAdABhAF8AUABvAHUAbAB0AHIAeQAuAFMAbwB1AHIAYwBlAEQAYQB0AGEAXwBQAG8AdQBsAHQAcgB5AF8ARgByAGEAYwB0AGkAbwBuAE8AZgBOAGkAdAByAG8AZwBlAG4ATABvAHMAdABUAGgAcgBvAHUAZwBoAEwAZQBhAGMAaABpAG4AZwBBAG4AZABSAHUAbgBvAGYAZgBfAFYAYQByAGkAYQBiAGwAZQAiACwAIgBTAG8AdQByAGMAZQBEAGEAdABhAF8AUABvAHUAbAB0AHIAeQAuAFMAbwB1AHIAYwBlAEQAYQB0AGEAXwBQAG8AdQBsAHQAcgB5AF8ARgByAGEAYwB0AGkAbwBuAE8AZgBOAGkAdAByAG8AZwBlAG4ATABvAHMAdABUAGgAcgBvAHUAZwBoAEwAZQBhAGMAaABpAG4AZwBBAG4AZABSAHUAbgBvAGYAZgBfAFUAbgBpAHQAIgAsACIAUwBvAHUAcgBjAGUARABhAHQAYQBfAFAAbwB1AGwAdAByAHkALgBTAG8AdQByAGMAZQBEAGEAdABhAF8AUABvAHUAbAB0AHIAeQBfAEYAcgBhAGMAdABpAG8AbgBPAGYATgBpAHQAcgBvAGcAZQBuAEwAbwBzAHQAVABoAHIAbwB1AGcAaABMAGUAYQBjAGgAaQBuAGcAQQBuAGQAUgB1AG4AbwBmAGYAXwBTAG8AdQByAGMAZQAiACwAIgBTAG8AdQByAGMAZQBEAGEAdABhAF8AUABvAHUAbAB0AHIAeQAuAFMAbwB1AHIAYwBlAEQAYQB0AGEAXwBQAG8AdQBsAHQAcgB5AF8ARgByAGEAYwB0AGkAbwBuAE8AZgBOAGkAdAByAG8AZwBlAG4ATABvAHMAdABUAGgAcgBvAHUAZwBoAEwAZQBhAGMAaABpAG4AZwBBAG4AZABSAHUAbgBvAGYAZgBfAFYAYQByAGkAYQB0AGkAbwBuACIALAAiAFMAbwB1AHIAYwBlAEQAYQB0AGEAXwBQAG8AdQBsAHQAcgB5AC4AUwBvAHUAcgBjAGUARABhAHQAYQBfAFAAbwB1AGwAdAByAHkAXwBGAHIAYQBjAHQAaQBvAG4ATwBmAE4AaQB0AHIAbwBnAGUAbgBMAG8AcwB0AFQAaAByAG8AdQBnAGgATABlAGEAYwBoAGkAbgBnAEEAbgBkAFIAdQBuAG8AZgBmAF8ARABhAHQAYQAiACwAIgBTAG8AdQByAGMAZQBEAGEAdABhAF8AUABvAHUAbAB0AHIAeQAuAFMAbwB1AHIAYwBlAEQAYQB0AGEAXwBQAG8AdQBsAHQAcgB5AF8ARgByAGEAYwBHAEEATQBTAFMAbwBpAGwAXwBUAGkAdABsAGUAIgAsACIAUwBvAHUAcgBjAGUARABhAHQAYQBfAFAAbwB1AGwAdAByAHkALgBTAG8AdQByAGMAZQBEAGEAdABhAF8AUABvAHUAbAB0AHIAeQBfAEYAcgBhAGMARwBBAE0AUwBTAG8AaQBsAF8AVgBhAHIAaQBhAGIAbABlACIALAAiAFMAbwB1AHIAYwBlAEQAYQB0AGEAXwBQAG8AdQBsAHQAcgB5AC4AUwBvAHUAcgBjAGUARABhAHQAYQBfAFAAbwB1AGwAdAByAHkAXwBGAHIAYQBjAEcAQQBNAFMAUwBvAGkAbABfAFUAbgBpAHQAIgAsACIAUwBvAHUAcgBjAGUARABhAHQAYQBfAFAAbwB1AGwAdAByAHkALgBTAG8AdQByAGMAZQBEAGEAdABhAF8AUABvAHUAbAB0AHIAeQBfAEYAcgBhAGMARwBBAE0AUwBTAG8AaQBsAF8AUwBvAHUAcgBjAGUAIgAsACIAUwBvAHUAcgBjAGUARABhAHQAYQBfAFAAbwB1AGwAdAByAHkALgBTAG8AdQByAGMAZQBEAGEAdABhAF8AUABvAHUAbAB0AHIAeQBfAEYAcgBhAGMARwBBAE0AUwBTAG8AaQBsAF8AVgBhAHIAaQBhAHQAaQBvAG4AIgAsACIAUwBvAHUAcgBjAGUARABhAHQAYQBfAFAAbwB1AGwAdAByAHkALgBTAG8AdQByAGMAZQBEAGEAdABhAF8AUABvAHUAbAB0AHIAeQBfAEYAcgBhAGMARwBBAE0AUwBTAG8AaQBsAF8ARABhAHQAYQAiACwAIgBTAG8AdQByAGMAZQBEAGEAdABhAF8AUABvAHUAbAB0AHIAeQAuAFMAbwB1AHIAYwBlAEQAYQB0AGEAXwBQAG8AdQBsAHQAcgB5AF8ATABpAHYAZQB3AGUAaQBnAGgAdABzAF8AVABpAHQAbABlACIALAAiAFMAbwB1AHIAYwBlAEQAYQB0AGEAXwBQAG8AdQBsAHQAcgB5AC4AUwBvAHUAcgBjAGUARABhAHQAYQBfAFAAbwB1AGwAdAByAHkAXwBMAGkAdgBlAHcAZQBpAGcAaAB0AHMAXwBVAG4AaQB0ACIALAAiAFMAbwB1AHIAYwBlAEQAYQB0AGEAXwBQAG8AdQBsAHQAcgB5AC4AUwBvAHUAcgBjAGUARABhAHQAYQBfAFAAbwB1AGwAdAByAHkAXwBMAGkAdgBlAHcAZQBpAGcAaAB0AHMAXwBTAG8AdQByAGMAZQAiACwAIgBTAG8AdQByAGMAZQBEAGEAdABhAF8AUABvAHUAbAB0AHIAeQAuAFMAbwB1AHIAYwBlAEQAYQB0AGEAXwBQAG8AdQBsAHQAcgB5AF8ATABpAHYAZQB3AGUAaQBnAGgAdABzAF8AVgBhAHIAaQBhAHQAaQBvAG4AIgAsACIAUwBvAHUAcgBjAGUARABhAHQAYQBfAFAAbwB1AGwAdAByAHkALgBTAG8AdQByAGMAZQBEAGEAdABhAF8AUABvAHUAbAB0AHIAeQBfAEwAaQB2AGUAdwBlAGkAZwBoAHQAcwBfAEQAYQB0AGEAIgAsACIAUwBjAG8AcABlADMAXwBFAHEAdQBhAHQAaQBvAG4AcwAuAFYARQBFAFIARwBfADEANQBfADEAXwAxAF8AMQBfAF8AMQBfAEUAbQBpAHMAcwBpAG8AbgBzAEYAcgBvAG0AUAB1AHIAYwBoAGEAcwBlAGQATABpAHYAZQBzAHQAbwBjAGsAIgAsACIAUwBjAG8AcABlADMAXwBFAHEAdQBhAHQAaQBvAG4AcwAuAFYARQBFAFIARwBfADEANQBfADEAXwAxAF8AMQBfAF8AMQBfAEUAbQBpAHMAcwBpAG8AbgBzAEYAcgBvAG0AUAB1AHIAYwBoAGEAcwBlAGQATABpAHYAZQBzAHQAbwBjAGsAXwBUAGkAdABsAGUAIgAsACIAUwBjAG8AcABlADMAXwBFAHEAdQBhAHQAaQBvAG4AcwAuAFYARQBFAFIARwBfADEANQBfADEAXwAxAF8AMQBfAF8AMQBfAEUAbQBpAHMAcwBpAG8AbgBzAEYAcgBvAG0AUAB1AHIAYwBoAGEAcwBlAGQATABpAHYAZQBzAHQAbwBjAGsAXwBWAGEAcgBpAGEAYgBsAGUAIgAsACIAUwBjAG8AcABlADMAXwBFAHEAdQBhAHQAaQBvAG4AcwAuAFYARQBFAFIARwBfADEANQBfADEAXwAxAF8AMQBfAF8AMQBfAEUAbQBpAHMAcwBpAG8AbgBzAEYAcgBvAG0AUAB1AHIAYwBoAGEAcwBlAGQATABpAHYAZQBzAHQAbwBjAGsAXwBVAG4AaQB0ACIALAAiAFMAYwBvAHAAZQAzAF8ARQBxAHUAYQB0AGkAbwBuAHMALgBWAEUARQBSAEcAXwAxADUAXwAxAF8AMQBfADEAXwBfADEAXwBFAG0AaQBzAHMAaQBvAG4AcwBGAHIAbwBtAFAAdQByAGMAaABhAHMAZQBkAEwAaQB2AGUAcwB0AG8AYwBrAF8AUwBvAHUAcgBjAGUAIgAsACIAUwBjAG8AcABlADMAXwBFAHEAdQBhAHQAaQBvAG4AcwAuAFYARQBFAFIARwBfADEANQBfADEAXwAxAF8AMQBfAF8AMQBfAEUAbQBpAHMAcwBpAG8AbgBzAEYAcgBvAG0AUAB1AHIAYwBoAGEAcwBlAGQATABpAHYAZQBzAHQAbwBjAGsAXwBOAEkAUgBSAGUAZgBlAHIAZQBuAGMAZQAiACwAIgBTAGMAbwBwAGUAMwBfAEUAcQB1AGEAdABpAG8AbgBzAC4AVgBFAEUAUgBHAF8AMQA1AF8AMQBfADEAXwAxAF8AXwAxAF8ARQBtAGkAcwBzAGkAbwBuAHMARgByAG8AbQBQAHUAcgBjAGgAYQBzAGUAZABMAGkAdgBlAHMAdABvAGMAawBfAEwAYQB0AGUAeABFAHEAdQBhAHQAaQBvAG4AIgAsACIAUwBjAG8AcABlADMAXwBFAHEAdQBhAHQAaQBvAG4AcwAuAFYARQBFAFIARwBfADEANQBfADEAXwAxAF8AMQBfAF8AMQBfAEUAbQBpAHMAcwBpAG8AbgBzAEYAcgBvAG0AUAB1AHIAYwBoAGEAcwBlAGQATABpAHYAZQBzAHQAbwBjAGsAXwBBAHIAZwB1AG0AZQBuAHQAcwAiACwAIgBTAGMAbwBwAGUAMwBfAEUAcQB1AGEAdABpAG8AbgBzAC4AVgBFAEUAUgBHAF8AMQA1AF8AMgBfADEAXwAxAF8AXwAxAF8ARQBtAGkAcwBzAGkAbwBuAHMARgByAG8AbQBQAHUAcgBjAGgAYQBzAGUAZABGAGUAZQBkACIALAAiAFMAYwBvAHAAZQAzAF8ARQBxAHUAYQB0AGkAbwBuAHMALgBWAEUARQBSAEcAXwAxADUAXwAyAF8AMQBfADEAXwBfADEAXwBFAG0AaQBzAHMAaQBvAG4AcwBGAHIAbwBtAFAAdQByAGMAaABhAHMAZQBkAEYAZQBlAGQAXwBUAGkAdABsAGUAIgAsACIAUwBjAG8AcABlADMAXwBFAHEAdQBhAHQAaQBvAG4AcwAuAFYARQBFAFIARwBfADEANQBfADIAXwAxAF8AMQBfAF8AMQBfAEUAbQBpAHMAcwBpAG8AbgBzAEYAcgBvAG0AUAB1AHIAYwBoAGEAcwBlAGQARgBlAGUAZABfAFYAYQByAGkAYQBiAGwAZQAiACwAIgBTAGMAbwBwAGUAMwBfAEUAcQB1AGEAdABpAG8AbgBzAC4AVgBFAEUAUgBHAF8AMQA1AF8AMgBfADEAXwAxAF8AXwAxAF8ARQBtAGkAcwBzAGkAbwBuAHMARgByAG8AbQBQAHUAcgBjAGgAYQBzAGUAZABGAGUAZQBkAF8AVQBuAGkAdAAiACwAIgBTAGMAbwBwAGUAMwBfAEUAcQB1AGEAdABpAG8AbgBzAC4AVgBFAEUAUgBHAF8AMQA1AF8AMgBfADEAXwAxAF8AXwAxAF8ARQBtAGkAcwBzAGkAbwBuAHMARgByAG8AbQBQAHUAcgBjAGgAYQBzAGUAZABGAGUAZQBkAF8AUwBvAHUAcgBjAGUAIgAsACIAUwBjAG8AcABlADMAXwBFAHEAdQBhAHQAaQBvAG4AcwAuAFYARQBFAFIARwBfADEANQBfADIAXwAxAF8AMQBfAF8AMQBfAEUAbQBpAHMAcwBpAG8AbgBzAEYAcgBvAG0AUAB1AHIAYwBoAGEAcwBlAGQARgBlAGUAZABfAE4ASQBSAFIAZQBmAGUAcgBlAG4AYwBlACIALAAiAFMAYwBvAHAAZQAzAF8ARQBxAHUAYQB0AGkAbwBuAHMALgBWAEUARQBSAEcAXwAxADUAXwAyAF8AMQBfADEAXwBfADEAXwBFAG0AaQBzAHMAaQBvAG4AcwBGAHIAbwBtAFAAdQByAGMAaABhAHMAZQBkAEYAZQBlAGQAXwBMAGEAdABlAHgARQBxAHUAYQB0AGkAbwBuACIALAAiAFMAYwBvAHAAZQAzAF8ARQBxAHUAYQB0AGkAbwBuAHMALgBWAEUARQBSAEcAXwAxADUAXwAyAF8AMQBfADEAXwBfADEAXwBFAG0AaQBzAHMAaQBvAG4AcwBGAHIAbwBtAFAAdQByAGMAaABhAHMAZQBkAEYAZQBlAGQAXwBBAHIAZwB1AG0AZQBuAHQAcwAiACwAIgBTAGMAbwBwAGUAMwBfAEUAcQB1AGEAdABpAG8AbgBzAC4AVgBFAEUAUgBHAF8AMQA1AF8AMwBfADEAXwAxAF8AXwAxAF8ARQBtAGkAcwBzAGkAbwBuAHMARgByAG8AbQBQAHUAcgBjAGgAYQBzAGUAZABNAGkAbgBlAHIAYQBsAFMAdQBwAHAAbABlAG0AZQBuAHQAcwAiACwAIgBTAGMAbwBwAGUAMwBfAEUAcQB1AGEAdABpAG8AbgBzAC4AVgBFAEUAUgBHAF8AMQA1AF8AMwBfADEAXwAxAF8AXwAxAF8ARQBtAGkAcwBzAGkAbwBuAHMARgByAG8AbQBQAHUAcgBjAGgAYQBzAGUAZABNAGkAbgBlAHIAYQBsAFMAdQBwAHAAbABlAG0AZQBuAHQAcwBfAFQAaQB0AGwAZQAiACwAIgBTAGMAbwBwAGUAMwBfAEUAcQB1AGEAdABpAG8AbgBzAC4AVgBFAEUAUgBHAF8AMQA1AF8AMwBfADEAXwAxAF8AXwAxAF8ARQBtAGkAcwBzAGkAbwBuAHMARgByAG8AbQBQAHUAcgBjAGgAYQBzAGUAZABNAGkAbgBlAHIAYQBsAFMAdQBwAHAAbABlAG0AZQBuAHQAcwBfAFYAYQByAGkAYQBiAGwAZQAiACwAIgBTAGMAbwBwAGUAMwBfAEUAcQB1AGEAdABpAG8AbgBzAC4AVgBFAEUAUgBHAF8AMQA1AF8AMwBfADEAXwAxAF8AXwAxAF8ARQBtAGkAcwBzAGkAbwBuAHMARgByAG8AbQBQAHUAcgBjAGgAYQBzAGUAZABNAGkAbgBlAHIAYQBsAFMAdQBwAHAAbABlAG0AZQBuAHQAcwBfAFUAbgBpAHQAIgAsACIAUwBjAG8AcABlADMAXwBFAHEAdQBhAHQAaQBvAG4AcwAuAFYARQBFAFIARwBfADEANQBfADMAXwAxAF8AMQBfAF8AMQBfAEUAbQBpAHMAcwBpAG8AbgBzAEYAcgBvAG0AUAB1AHIAYwBoAGEAcwBlAGQATQBpAG4AZQByAGEAbABTAHUAcABwAGwAZQBtAGUAbgB0AHMAXwBTAG8AdQByAGMAZQAiACwAIgBTAGMAbwBwAGUAMwBfAEUAcQB1AGEAdABpAG8AbgBzAC4AVgBFAEUAUgBHAF8AMQA1AF8AMwBfADEAXwAxAF8AXwAxAF8ARQBtAGkAcwBzAGkAbwBuAHMARgByAG8AbQBQAHUAcgBjAGgAYQBzAGUAZABNAGkAbgBlAHIAYQBsAFMAdQBwAHAAbABlAG0AZQBuAHQAcwBfAE4ASQBSAFIAZQBmAGUAcgBlAG4AYwBlACIALAAiAFMAYwBvAHAAZQAzAF8ARQBxAHUAYQB0AGkAbwBuAHMALgBWAEUARQBSAEcAXwAxADUAXwAzAF8AMQBfADEAXwBfADEAXwBFAG0AaQBzAHMAaQBvAG4AcwBGAHIAbwBtAFAAdQByAGMAaABhAHMAZQBkAE0AaQBuAGUAcgBhAGwAUwB1AHAAcABsAGUAbQBlAG4AdABzAF8ATABhAHQAZQB4AEUAcQB1AGEAdABpAG8AbgAiACwAIgBTAGMAbwBwAGUAMwBfAEUAcQB1AGEAdABpAG8AbgBzAC4AVgBFAEUAUgBHAF8AMQA1AF8AMwBfADEAXwAxAF8AXwAxAF8ARQBtAGkAcwBzAGkAbwBuAHMARgByAG8AbQBQAHUAcgBjAGgAYQBzAGUAZABNAGkAbgBlAHIAYQBsAFMAdQBwAHAAbABlAG0AZQBuAHQAcwBfAEEAcgBnAHUAbQBlAG4AdABzACIALAAiAFMAYwBvAHAAZQAzAF8ARQBxAHUAYQB0AGkAbwBuAHMALgBWAEUARQBSAEcAXwAxADUAXwA0AF8AMQBfADEAXwBfADEAXwBFAG0AaQBzAHMAaQBvAG4AcwBGAHIAbwBtAFAAdQByAGMAaABhAHMAZQBkAEYAZQByAHQAaQBsAGkAcwBlAHIAIgAsACIAUwBjAG8AcABlADMAXwBFAHEAdQBhAHQAaQBvAG4AcwAuAFYARQBFAFIARwBfADEANQBfADQAXwAxAF8AMQBfAF8AMQBfAEUAbQBpAHMAcwBpAG8AbgBzAEYAcgBvAG0AUAB1AHIAYwBoAGEAcwBlAGQARgBlAHIAdABpAGwAaQBzAGUAcgBfAFQAaQB0AGwAZQAiACwAIgBTAGMAbwBwAGUAMwBfAEUAcQB1AGEAdABpAG8AbgBzAC4AVgBFAEUAUgBHAF8AMQA1AF8ANABfADEAXwAxAF8AXwAxAF8ARQBtAGkAcwBzAGkAbwBuAHMARgByAG8AbQBQAHUAcgBjAGgAYQBzAGUAZABGAGUAcgB0AGkAbABpAHMAZQByAF8AVgBhAHIAaQBhAGIAbABlACIALAAiAFMAYwBvAHAAZQAzAF8ARQBxAHUAYQB0AGkAbwBuAHMALgBWAEUARQBSAEcAXwAxADUAXwA0AF8AMQBfADEAXwBfADEAXwBFAG0AaQBzAHMAaQBvAG4AcwBGAHIAbwBtAFAAdQByAGMAaABhAHMAZQBkAEYAZQByAHQAaQBsAGkAcwBlAHIAXwBVAG4AaQB0ACIALAAiAFMAYwBvAHAAZQAzAF8ARQBxAHUAYQB0AGkAbwBuAHMALgBWAEUARQBSAEcAXwAxADUAXwA0AF8AMQBfADEAXwBfADEAXwBFAG0AaQBzAHMAaQBvAG4AcwBGAHIAbwBtAFAAdQByAGMAaABhAHMAZQBkAEYAZQByAHQAaQBsAGkAcwBlAHIAXwBTAG8AdQByAGMAZQAiACwAIgBTAGMAbwBwAGUAMwBfAEUAcQB1AGEAdABpAG8AbgBzAC4AVgBFAEUAUgBHAF8AMQA1AF8ANABfADEAXwAxAF8AXwAxAF8ARQBtAGkAcwBzAGkAbwBuAHMARgByAG8AbQBQAHUAcgBjAGgAYQBzAGUAZABGAGUAcgB0AGkAbABpAHMAZQByAF8ATgBJAFIAUgBlAGYAZQByAGUAbgBjAGUAIgAsACIAUwBjAG8AcABlADMAXwBFAHEAdQBhAHQAaQBvAG4AcwAuAFYARQBFAFIARwBfADEANQBfADQAXwAxAF8AMQBfAF8AMQBfAEUAbQBpAHMAcwBpAG8AbgBzAEYAcgBvAG0AUAB1AHIAYwBoAGEAcwBlAGQARgBlAHIAdABpAGwAaQBzAGUAcgBfAEwAYQB0AGUAeABFAHEAdQBhAHQAaQBvAG4AIgAsACIAUwBjAG8AcABlADMAXwBFAHEAdQBhAHQAaQBvAG4AcwAuAFYARQBFAFIARwBfADEANQBfADQAXwAxAF8AMQBfAF8AMQBfAEUAbQBpAHMAcwBpAG8AbgBzAEYAcgBvAG0AUAB1AHIAYwBoAGEAcwBlAGQARgBlAHIAdABpAGwAaQBzAGUAcgBfAEEAcgBnAHUAbQBlAG4AdABzACIALAAiAFMAYwBvAHAAZQAzAF8ARQBxAHUAYQB0AGkAbwBuAHMALgBWAEUARQBSAEcAXwAxADUAXwA0AF8AMQBfADEAXwBfADIAXwBFAG0AaQBzAHMAaQBvAG4AcwBGAHIAbwBtAFAAdQByAGMAaABhAHMAZQBkAEYAZQByAHQAaQBsAGkAcwBlAHIAQwBvAG0AcABvAG4AZQBuAHQAcwAiACwAIgBTAGMAbwBwAGUAMwBfAEUAcQB1AGEAdABpAG8AbgBzAC4AVgBFAEUAUgBHAF8AMQA1AF8ANABfADEAXwAxAF8AXwAyAF8ARQBtAGkAcwBzAGkAbwBuAHMARgByAG8AbQBQAHUAcgBjAGgAYQBzAGUAZABGAGUAcgB0AGkAbABpAHMAZQByAEMAbwBtAHAAbwBuAGUAbgB0AHMAVgBhAHIAaQBhAHQAaQBvAG4AIgAsACIAUwBjAG8AcABlADMAXwBFAHEAdQBhAHQAaQBvAG4AcwAuAFYARQBFAFIARwBfADEANQBfADQAXwAxAF8AMQBfAF8AMgBfAEUAbQBpAHMAcwBpAG8AbgBzAEYAcgBvAG0AUAB1AHIAYwBoAGEAcwBlAGQARgBlAHIAdABpAGwAaQBzAGUAcgBDAG8AbQBwAG8AbgBlAG4AdABzAF8AVABpAHQAbABlACIALAAiAFMAYwBvAHAAZQAzAF8ARQBxAHUAYQB0AGkAbwBuAHMALgBWAEUARQBSAEcAXwAxADUAXwA0AF8AMQBfADEAXwBfADIAXwBFAG0AaQBzAHMAaQBvAG4AcwBGAHIAbwBtAFAAdQByAGMAaABhAHMAZQBkAEYAZQByAHQAaQBsAGkAcwBlAHIAQwBvAG0AcABvAG4AZQBuAHQAcwBfAFYAYQByAGkAYQBiAGwAZQAiACwAIgBTAGMAbwBwAGUAMwBfAEUAcQB1AGEAdABpAG8AbgBzAC4AVgBFAEUAUgBHAF8AMQA1AF8ANABfADEAXwAxAF8AXwAyAF8ARQBtAGkAcwBzAGkAbwBuAHMARgByAG8AbQBQAHUAcgBjAGgAYQBzAGUAZABGAGUAcgB0AGkAbABpAHMAZQByAEMAbwBtAHAAbwBuAGUAbgB0AHMAXwBVAG4AaQB0ACIALAAiAFMAYwBvAHAAZQAzAF8ARQBxAHUAYQB0AGkAbwBuAHMALgBWAEUARQBSAEcAXwAxADUAXwA0AF8AMQBfADEAXwBfADIAXwBFAG0AaQBzAHMAaQBvAG4AcwBGAHIAbwBtAFAAdQByAGMAaABhAHMAZQBkAEYAZQByAHQAaQBsAGkAcwBlAHIAQwBvAG0AcABvAG4AZQBuAHQAcwBfAFMAbwB1AHIAYwBlACIALAAiAFMAYwBvAHAAZQAzAF8ARQBxAHUAYQB0AGkAbwBuAHMALgBWAEUARQBSAEcAXwAxADUAXwA0AF8AMQBfADEAXwBfADIAXwBFAG0AaQBzAHMAaQBvAG4AcwBGAHIAbwBtAFAAdQByAGMAaABhAHMAZQBkAEYAZQByAHQAaQBsAGkAcwBlAHIAQwBvAG0AcABvAG4AZQBuAHQAcwBfAE4ASQBSAFIAZQBmAGUAcgBlAG4AYwBlACIALAAiAFMAYwBvAHAAZQAzAF8ARQBxAHUAYQB0AGkAbwBuAHMALgBWAEUARQBSAEcAXwAxADUAXwA0AF8AMQBfADEAXwBfADIAXwBFAG0AaQBzAHMAaQBvAG4AcwBGAHIAbwBtAFAAdQByAGMAaABhAHMAZQBkAEYAZQByAHQAaQBsAGkAcwBlAHIAQwBvAG0AcABvAG4AZQBuAHQAcwBfAEwAYQB0AGUAeABFAHEAdQBhAHQAaQBvAG4AIgAsACIAUwBjAG8AcABlADMAXwBFAHEAdQBhAHQAaQBvAG4AcwAuAFYARQBFAFIARwBfADEANQBfADQAXwAxAF8AMQBfAF8AMgBfAEUAbQBpAHMAcwBpAG8AbgBzAEYAcgBvAG0AUAB1AHIAYwBoAGEAcwBlAGQARgBlAHIAdABpAGwAaQBzAGUAcgBDAG8AbQBwAG8AbgBlAG4AdABzAF8ATABhAHQAZQB4AEUAcQB1AGEAdABpAG8AbgBWAGEAcgBpAGEAdABpAG8AbgAiACwAIgBTAGMAbwBwAGUAMwBfAEUAcQB1AGEAdABpAG8AbgBzAC4AVgBFAEUAUgBHAF8AMQA1AF8ANABfADEAXwAxAF8AXwAyAF8ARQBtAGkAcwBzAGkAbwBuAHMARgByAG8AbQBQAHUAcgBjAGgAYQBzAGUAZABGAGUAcgB0AGkAbABpAHMAZQByAEMAbwBtAHAAbwBuAGUAbgB0AHMAXwBBAHIAZwB1AG0AZQBuAHQAcwAiACwAIgBTAGMAbwBwAGUAMwBfAEUAcQB1AGEAdABpAG8AbgBzAC4AVgBFAEUAUgBHAF8AMQA1AF8ANABfADEAXwAxAF8AXwAyAF8ARQBtAGkAcwBzAGkAbwBuAHMARgByAG8AbQBQAHUAcgBjAGgAYQBzAGUAZABGAGUAcgB0AGkAbABpAHMAZQByAEMAbwBtAHAAbwBuAGUAbgB0AHMAXwBWAGEAcgBpAGEAdABpAG8AbgAiACwAIgBTAGMAbwBwAGUAMwBfAEUAcQB1AGEAdABpAG8AbgBzAC4AVgBFAEUAUgBHAF8AMQA1AF8ANABfADEAXwAxAF8AXwBYAF8ARQBtAGkAcwBzAGkAbwBuAEYAYQBjAHQAbwByAEYAcgBvAG0AUAB1AHIAYwBoAGEAcwBlAGQARgBlAHIAdABpAGwAaQBzAGUAcgBDAG8AbQBwAG8AbgBlAG4AdABzACIALAAiAFMAYwBvAHAAZQAzAF8ARQBxAHUAYQB0AGkAbwBuAHMALgBWAEUARQBSAEcAXwAxADUAXwA0AF8AMQBfADEAXwBfAFgAXwBFAG0AaQBzAHMAaQBvAG4ARgBhAGMAdABvAHIARgByAG8AbQBQAHUAcgBjAGgAYQBzAGUAZABGAGUAcgB0AGkAbABpAHMAZQByAEMAbwBtAHAAbwBuAGUAbgB0AHMAXwBUAGkAdABsAGUAIgAsACIAUwBjAG8AcABlADMAXwBFAHEAdQBhAHQAaQBvAG4AcwAuAFYARQBFAFIARwBfADEANQBfADQAXwAxAF8AMQBfAF8AWABfAEUAbQBpAHMAcwBpAG8AbgBGAGEAYwB0AG8AcgBGAHIAbwBtAFAAdQByAGMAaABhAHMAZQBkAEYAZQByAHQAaQBsAGkAcwBlAHIAQwBvAG0AcABvAG4AZQBuAHQAcwBfAFYAYQByAGkAYQBiAGwAZQAiACwAIgBTAGMAbwBwAGUAMwBfAEUAcQB1AGEAdABpAG8AbgBzAC4AVgBFAEUAUgBHAF8AMQA1AF8ANABfADEAXwAxAF8AXwBYAF8ARQBtAGkAcwBzAGkAbwBuAEYAYQBjAHQAbwByAEYAcgBvAG0AUAB1AHIAYwBoAGEAcwBlAGQARgBlAHIAdABpAGwAaQBzAGUAcgBDAG8AbQBwAG8AbgBlAG4AdABzAF8AVQBuAGkAdAAiACwAIgBTAGMAbwBwAGUAMwBfAEUAcQB1AGEAdABpAG8AbgBzAC4AVgBFAEUAUgBHAF8AMQA1AF8ANABfADEAXwAxAF8AXwBYAF8ARQBtAGkAcwBzAGkAbwBuAEYAYQBjAHQAbwByAEYAcgBvAG0AUAB1AHIAYwBoAGEAcwBlAGQARgBlAHIAdABpAGwAaQBzAGUAcgBDAG8AbQBwAG8AbgBlAG4AdABzAF8AUwBvAHUAcgBjAGUAIgAsACIAUwBjAG8AcABlADMAXwBFAHEAdQBhAHQAaQBvAG4AcwAuAFYARQBFAFIARwBfADEANQBfADQAXwAxAF8AMQBfAF8AWABfAEUAbQBpAHMAcwBpAG8AbgBGAGEAYwB0AG8AcgBGAHIAbwBtAFAAdQByAGMAaABhAHMAZQBkAEYAZQByAHQAaQBsAGkAcwBlAHIAQwBvAG0AcABvAG4AZQBuAHQAcwBfAE4ASQBSAFIAZQBmAGUAcgBlAG4AYwBlACIALAAiAFMAYwBvAHAAZQAzAF8ARQBxAHUAYQB0AGkAbwBuAHMALgBWAEUARQBSAEcAXwAxADUAXwA0AF8AMQBfADEAXwBfAFgAXwBFAG0AaQBzAHMAaQBvAG4ARgBhAGMAdABvAHIARgByAG8AbQBQAHUAcgBjAGgAYQBzAGUAZABGAGUAcgB0AGkAbABpAHMAZQByAEMAbwBtAHAAbwBuAGUAbgB0AHMAXwBMAGEAdABlAHgARQBxAHUAYQB0AGkAbwBuACIALAAiAFMAYwBvAHAAZQAzAF8ARQBxAHUAYQB0AGkAbwBuAHMALgBWAEUARQBSAEcAXwAxADUAXwA0AF8AMQBfADEAXwBfAFgAXwBFAG0AaQBzAHMAaQBvAG4ARgBhAGMAdABvAHIARgByAG8AbQBQAHUAcgBjAGgAYQBzAGUAZABGAGUAcgB0AGkAbABpAHMAZQByAEMAbwBtAHAAbwBuAGUAbgB0AHMAXwBBAHIAZwB1AG0AZQBuAHQAcwAiACwAIgBTAGMAbwBwAGUAMwBfAEUAcQB1AGEAdABpAG8AbgBzAC4AVgBFAEUAUgBHAF8AMQA1AF8ANABfADEAXwAxAF8AXwBYAF8ARQBtAGkAcwBzAGkAbwBuAEYAYQBjAHQAbwByAEYAcgBvAG0AUAB1AHIAYwBoAGEAcwBlAGQARgBlAHIAdABpAGwAaQBzAGUAcgBDAG8AbQBwAG8AbgBlAG4AdABzAF8AVgBhAHIAaQBhAHQAaQBvAG4AIgAsACIAUwBjAG8AcABlADMAXwBFAHEAdQBhAHQAaQBvAG4AcwAuAFYARQBFAFIARwBfADEANQBfADUAXwAxAF8AMQBfAF8AMQBfAEUAbQBpAHMAcwBpAG8AbgBzAEYAcgBvAG0AUAB1AHIAYwBoAGEAcwBlAGQAQQBnAHIAaQBjAGgAZQBtAGkAYwBhAGwAcwAiACwAIgBTAGMAbwBwAGUAMwBfAEUAcQB1AGEAdABpAG8AbgBzAC4AVgBFAEUAUgBHAF8AMQA1AF8ANQBfADEAXwAxAF8AXwAxAF8ARQBtAGkAcwBzAGkAbwBuAHMARgByAG8AbQBQAHUAcgBjAGgAYQBzAGUAZABBAGcAcgBpAGMAaABlAG0AaQBjAGEAbABzAF8AVABpAHQAbABlACIALAAiAFMAYwBvAHAAZQAzAF8ARQBxAHUAYQB0AGkAbwBuAHMALgBWAEUARQBSAEcAXwAxADUAXwA1AF8AMQBfADEAXwBfADEAXwBFAG0AaQBzAHMAaQBvAG4AcwBGAHIAbwBtAFAAdQByAGMAaABhAHMAZQBkAEEAZwByAGkAYwBoAGUAbQBpAGMAYQBsAHMAXwBWAGEAcgBpAGEAYgBsAGUAIgAsACIAUwBjAG8AcABlADMAXwBFAHEAdQBhAHQAaQBvAG4AcwAuAFYARQBFAFIARwBfADEANQBfADUAXwAxAF8AMQBfAF8AMQBfAEUAbQBpAHMAcwBpAG8AbgBzAEYAcgBvAG0AUAB1AHIAYwBoAGEAcwBlAGQAQQBnAHIAaQBjAGgAZQBtAGkAYwBhAGwAcwBfAFUAbgBpAHQAIgAsACIAUwBjAG8AcABlADMAXwBFAHEAdQBhAHQAaQBvAG4AcwAuAFYARQBFAFIARwBfADEANQBfADUAXwAxAF8AMQBfAF8AMQBfAEUAbQBpAHMAcwBpAG8AbgBzAEYAcgBvAG0AUAB1AHIAYwBoAGEAcwBlAGQAQQBnAHIAaQBjAGgAZQBtAGkAYwBhAGwAcwBfAFMAbwB1AHIAYwBlACIALAAiAFMAYwBvAHAAZQAzAF8ARQBxAHUAYQB0AGkAbwBuAHMALgBWAEUARQBSAEcAXwAxADUAXwA1AF8AMQBfADEAXwBfADEAXwBFAG0AaQBzAHMAaQBvAG4AcwBGAHIAbwBtAFAAdQByAGMAaABhAHMAZQBkAEEAZwByAGkAYwBoAGUAbQBpAGMAYQBsAHMAXwBOAEkAUgBSAGUAZgBlAHIAZQBuAGMAZQAiACwAIgBTAGMAbwBwAGUAMwBfAEUAcQB1AGEAdABpAG8AbgBzAC4AVgBFAEUAUgBHAF8AMQA1AF8ANQBfADEAXwAxAF8AXwAxAF8ARQBtAGkAcwBzAGkAbwBuAHMARgByAG8AbQBQAHUAcgBjAGgAYQBzAGUAZABBAGcAcgBpAGMAaABlAG0AaQBjAGEAbABzAF8ATABhAHQAZQB4AEUAcQB1AGEAdABpAG8AbgAiACwAIgBTAGMAbwBwAGUAMwBfAEUAcQB1AGEAdABpAG8AbgBzAC4AVgBFAEUAUgBHAF8AMQA1AF8ANQBfADEAXwAxAF8AXwAxAF8ARQBtAGkAcwBzAGkAbwBuAHMARgByAG8AbQBQAHUAcgBjAGgAYQBzAGUAZABBAGcAcgBpAGMAaABlAG0AaQBjAGEAbABzAF8AQQByAGcAdQBtAGUAbgB0AHMAIgAsACIAUwBjAG8AcABlADMAXwBFAHEAdQBhAHQAaQBvAG4AcwAuAFYARQBFAFIARwBfADEANQBfADYAXwAxAF8AMQBfAF8AMQBfAEUAbQBpAHMAcwBpAG8AbgBzAEYAcgBvAG0AUAB1AHIAYwBoAGEAcwBlAGQATABpAG0AZQAiACwAIgBTAGMAbwBwAGUAMwBfAEUAcQB1AGEAdABpAG8AbgBzAC4AVgBFAEUAUgBHAF8AMQA1AF8ANgBfADEAXwAxAF8AXwAxAF8ARQBtAGkAcwBzAGkAbwBuAHMARgByAG8AbQBQAHUAcgBjAGgAYQBzAGUAZABMAGkAbQBlAF8AVABpAHQAbABlACIALAAiAFMAYwBvAHAAZQAzAF8ARQBxAHUAYQB0AGkAbwBuAHMALgBWAEUARQBSAEcAXwAxADUAXwA2AF8AMQBfADEAXwBfADEAXwBFAG0AaQBzAHMAaQBvAG4AcwBGAHIAbwBtAFAAdQByAGMAaABhAHMAZQBkAEwAaQBtAGUAXwBWAGEAcgBpAGEAYgBsAGUAIgAsACIAUwBjAG8AcABlADMAXwBFAHEAdQBhAHQAaQBvAG4AcwAuAFYARQBFAFIARwBfADEANQBfADYAXwAxAF8AMQBfAF8AMQBfAEUAbQBpAHMAcwBpAG8AbgBzAEYAcgBvAG0AUAB1AHIAYwBoAGEAcwBlAGQATABpAG0AZQBfAFUAbgBpAHQAIgAsACIAUwBjAG8AcABlADMAXwBFAHEAdQBhAHQAaQBvAG4AcwAuAFYARQBFAFIARwBfADEANQBfADYAXwAxAF8AMQBfAF8AMQBfAEUAbQBpAHMAcwBpAG8AbgBzAEYAcgBvAG0AUAB1AHIAYwBoAGEAcwBlAGQATABpAG0AZQBfAFMAbwB1AHIAYwBlACIALAAiAFMAYwBvAHAAZQAzAF8ARQBxAHUAYQB0AGkAbwBuAHMALgBWAEUARQBSAEcAXwAxADUAXwA2AF8AMQBfADEAXwBfADEAXwBFAG0AaQBzAHMAaQBvAG4AcwBGAHIAbwBtAFAAdQByAGMAaABhAHMAZQBkAEwAaQBtAGUAXwBOAEkAUgBSAGUAZgBlAHIAZQBuAGMAZQAiACwAIgBTAGMAbwBwAGUAMwBfAEUAcQB1AGEAdABpAG8AbgBzAC4AVgBFAEUAUgBHAF8AMQA1AF8ANgBfADEAXwAxAF8AXwAxAF8ARQBtAGkAcwBzAGkAbwBuAHMARgByAG8AbQBQAHUAcgBjAGgAYQBzAGUAZABMAGkAbQBlAF8ATABhAHQAZQB4AEUAcQB1AGEAdABpAG8AbgAiACwAIgBTAGMAbwBwAGUAMwBfAEUAcQB1AGEAdABpAG8AbgBzAC4AVgBFAEUAUgBHAF8AMQA1AF8ANgBfADEAXwAxAF8AXwAxAF8ARQBtAGkAcwBzAGkAbwBuAHMARgByAG8AbQBQAHUAcgBjAGgAYQBzAGUAZABMAGkAbQBlAF8AQQByAGcAdQBtAGUAbgB0AHMAIgAsACIAUwBjAG8AcABlADMAXwBFAHEAdQBhAHQAaQBvAG4AcwAuAFYARQBFAFIARwBfADEANQBfADcAXwAxAF8AMQBfAF8AMQBfAEUAbQBpAHMAcwBpAG8AbgBzAEYAcgBvAG0AUAB1AHIAYwBoAGEAcwBlAGQAUwBlAHIAdgBpAGMAZQBzACIALAAiAFMAYwBvAHAAZQAzAF8ARQBxAHUAYQB0AGkAbwBuAHMALgBWAEUARQBSAEcAXwAxADUAXwA3AF8AMQBfADEAXwBfADEAXwBFAG0AaQBzAHMAaQBvAG4AcwBGAHIAbwBtAFAAdQByAGMAaABhAHMAZQBkAFMAZQByAHYAaQBjAGUAcwBfAFQAaQB0AGwAZQAiACwAIgBTAGMAbwBwAGUAMwBfAEUAcQB1AGEAdABpAG8AbgBzAC4AVgBFAEUAUgBHAF8AMQA1AF8ANwBfADEAXwAxAF8AXwAxAF8ARQBtAGkAcwBzAGkAbwBuAHMARgByAG8AbQBQAHUAcgBjAGgAYQBzAGUAZABTAGUAcgB2AGkAYwBlAHMAXwBWAGEAcgBpAGEAYgBsAGUAIgAsACIAUwBjAG8AcABlADMAXwBFAHEAdQBhAHQAaQBvAG4AcwAuAFYARQBFAFIARwBfADEANQBfADcAXwAxAF8AMQBfAF8AMQBfAEUAbQBpAHMAcwBpAG8AbgBzAEYAcgBvAG0AUAB1AHIAYwBoAGEAcwBlAGQAUwBlAHIAdgBpAGMAZQBzAF8AVQBuAGkAdAAiACwAIgBTAGMAbwBwAGUAMwBfAEUAcQB1AGEAdABpAG8AbgBzAC4AVgBFAEUAUgBHAF8AMQA1AF8ANwBfADEAXwAxAF8AXwAxAF8ARQBtAGkAcwBzAGkAbwBuAHMARgByAG8AbQBQAHUAcgBjAGgAYQBzAGUAZABTAGUAcgB2AGkAYwBlAHMAXwBTAG8AdQByAGMAZQAiACwAIgBTAGMAbwBwAGUAMwBfAEUAcQB1AGEAdABpAG8AbgBzAC4AVgBFAEUAUgBHAF8AMQA1AF8ANwBfADEAXwAxAF8AXwAxAF8ARQBtAGkAcwBzAGkAbwBuAHMARgByAG8AbQBQAHUAcgBjAGgAYQBzAGUAZABTAGUAcgB2AGkAYwBlAHMAXwBOAEkAUgBSAGUAZgBlAHIAZQBuAGMAZQAiACwAIgBTAGMAbwBwAGUAMwBfAEUAcQB1AGEAdABpAG8AbgBzAC4AVgBFAEUAUgBHAF8AMQA1AF8ANwBfADEAXwAxAF8AXwAxAF8ARQBtAGkAcwBzAGkAbwBuAHMARgByAG8AbQBQAHUAcgBjAGgAYQBzAGUAZABTAGUAcgB2AGkAYwBlAHMAXwBMAGEAdABlAHgARQBxAHUAYQB0AGkAbwBuACIALAAiAFMAYwBvAHAAZQAzAF8ARQBxAHUAYQB0AGkAbwBuAHMALgBWAEUARQBSAEcAXwAxADUAXwA3AF8AMQBfADEAXwBfADEAXwBFAG0AaQBzAHMAaQBvAG4AcwBGAHIAbwBtAFAAdQByAGMAaABhAHMAZQBkAFMAZQByAHYAaQBjAGUAcwBfAEEAcgBnAHUAbQBlAG4AdABzACIALAAiAFMAYwBvAHAAZQAzAF8ARQBxAHUAYQB0AGkAbwBuAHMALgBWAEUARQBSAEcAXwAxADUAXwA4AF8AMQBfADEAXwBfADEAXwBFAG0AaQBzAHMAaQBvAG4AcwBGAHIAbwBtAFAAdQByAGMAaABhAHMAZQBkAFAAYQBjAGsAYQBnAGkAbgBnACIALAAiAFMAYwBvAHAAZQAzAF8ARQBxAHUAYQB0AGkAbwBuAHMALgBWAEUARQBSAEcAXwAxADUAXwA4AF8AMQBfADEAXwBfADEAXwBFAG0AaQBzAHMAaQBvAG4AcwBGAHIAbwBtAFAAdQByAGMAaABhAHMAZQBkAFAAYQBjAGsAYQBnAGkAbgBnAF8AVABpAHQAbABlACIALAAiAFMAYwBvAHAAZQAzAF8ARQBxAHUAYQB0AGkAbwBuAHMALgBWAEUARQBSAEcAXwAxADUAXwA4AF8AMQBfADEAXwBfADEAXwBFAG0AaQBzAHMAaQBvAG4AcwBGAHIAbwBtAFAAdQByAGMAaABhAHMAZQBkAFAAYQBjAGsAYQBnAGkAbgBnAF8AVgBhAHIAaQBhAGIAbABlACIALAAiAFMAYwBvAHAAZQAzAF8ARQBxAHUAYQB0AGkAbwBuAHMALgBWAEUARQBSAEcAXwAxADUAXwA4AF8AMQBfADEAXwBfADEAXwBFAG0AaQBzAHMAaQBvAG4AcwBGAHIAbwBtAFAAdQByAGMAaABhAHMAZQBkAFAAYQBjAGsAYQBnAGkAbgBnAF8AVQBuAGkAdAAiACwAIgBTAGMAbwBwAGUAMwBfAEUAcQB1AGEAdABpAG8AbgBzAC4AVgBFAEUAUgBHAF8AMQA1AF8AOABfADEAXwAxAF8AXwAxAF8ARQBtAGkAcwBzAGkAbwBuAHMARgByAG8AbQBQAHUAcgBjAGgAYQBzAGUAZABQAGEAYwBrAGEAZwBpAG4AZwBfAFMAbwB1AHIAYwBlACIALAAiAFMAYwBvAHAAZQAzAF8ARQBxAHUAYQB0AGkAbwBuAHMALgBWAEUARQBSAEcAXwAxADUAXwA4AF8AMQBfADEAXwBfADEAXwBFAG0AaQBzAHMAaQBvAG4AcwBGAHIAbwBtAFAAdQByAGMAaABhAHMAZQBkAFAAYQBjAGsAYQBnAGkAbgBnAF8ATgBJAFIAUgBlAGYAZQByAGUAbgBjAGUAIgAsACIAUwBjAG8AcABlADMAXwBFAHEAdQBhAHQAaQBvAG4AcwAuAFYARQBFAFIARwBfADEANQBfADgAXwAxAF8AMQBfAF8AMQBfAEUAbQBpAHMAcwBpAG8AbgBzAEYAcgBvAG0AUAB1AHIAYwBoAGEAcwBlAGQAUABhAGMAawBhAGcAaQBuAGcAXwBMAGEAdABlAHgARQBxAHUAYQB0AGkAbwBuACIALAAiAFMAYwBvAHAAZQAzAF8ARQBxAHUAYQB0AGkAbwBuAHMALgBWAEUARQBSAEcAXwAxADUAXwA4AF8AMQBfADEAXwBfADEAXwBFAG0AaQBzAHMAaQBvAG4AcwBGAHIAbwBtAFAAdQByAGMAaABhAHMAZQBkAFAAYQBjAGsAYQBnAGkAbgBnAF8AQQByAGcAdQBtAGUAbgB0AHMAIgAsACIAUwBjAG8AcABlADMAXwBFAHEAdQBhAHQAaQBvAG4AcwAuAFYARQBFAFIARwBfADEANQBfADgAXwAxAF8AMQBfAF8AMQBfAEUAbQBpAHMAcwBpAG8AbgBzAEYAcgBvAG0AUAB1AHIAYwBoAGEAcwBlAGQAUABhAGMAawBhAGcAaQBuAGcAXwBWAGEAcgBpAGEAdABpAG8AbgAiACwAIgBTAGMAbwBwAGUAMwBfAEUAcQB1AGEAdABpAG8AbgBzAC4AVgBFAEUAUgBHAF8AMQA1AF8AOQBfADEAXwAxAF8AXwAxAF8ARQBtAGkAcwBzAGkAbwBuAHMARgByAG8AbQBQAHUAcgBjAGgAYQBzAGUAZABHAHIAbwB3AE0AZQBkAGkAYQAiACwAIgBTAGMAbwBwAGUAMwBfAEUAcQB1AGEAdABpAG8AbgBzAC4AVgBFAEUAUgBHAF8AMQA1AF8AOQBfADEAXwAxAF8AXwAxAF8ARQBtAGkAcwBzAGkAbwBuAHMARgByAG8AbQBQAHUAcgBjAGgAYQBzAGUAZABHAHIAbwB3AE0AZQBkAGkAYQBfAFQAaQB0AGwAZQAiACwAIgBTAGMAbwBwAGUAMwBfAEUAcQB1AGEAdABpAG8AbgBzAC4AVgBFAEUAUgBHAF8AMQA1AF8AOQBfADEAXwAxAF8AXwAxAF8ARQBtAGkAcwBzAGkAbwBuAHMARgByAG8AbQBQAHUAcgBjAGgAYQBzAGUAZABHAHIAbwB3AE0AZQBkAGkAYQBfAFYAYQByAGkAYQBiAGwAZQAiACwAIgBTAGMAbwBwAGUAMwBfAEUAcQB1AGEAdABpAG8AbgBzAC4AVgBFAEUAUgBHAF8AMQA1AF8AOQBfADEAXwAxAF8AXwAxAF8ARQBtAGkAcwBzAGkAbwBuAHMARgByAG8AbQBQAHUAcgBjAGgAYQBzAGUAZABHAHIAbwB3AE0AZQBkAGkAYQBfAFUAbgBpAHQAIgAsACIAUwBjAG8AcABlADMAXwBFAHEAdQBhAHQAaQBvAG4AcwAuAFYARQBFAFIARwBfADEANQBfADkAXwAxAF8AMQBfAF8AMQBfAEUAbQBpAHMAcwBpAG8AbgBzAEYAcgBvAG0AUAB1AHIAYwBoAGEAcwBlAGQARwByAG8AdwBNAGUAZABpAGEAXwBTAG8AdQByAGMAZQAiACwAIgBTAGMAbwBwAGUAMwBfAEUAcQB1AGEAdABpAG8AbgBzAC4AVgBFAEUAUgBHAF8AMQA1AF8AOQBfADEAXwAxAF8AXwAxAF8ARQBtAGkAcwBzAGkAbwBuAHMARgByAG8AbQBQAHUAcgBjAGgAYQBzAGUAZABHAHIAbwB3AE0AZQBkAGkAYQBfAE4ASQBSAFIAZQBmAGUAcgBlAG4AYwBlACIALAAiAFMAYwBvAHAAZQAzAF8ARQBxAHUAYQB0AGkAbwBuAHMALgBWAEUARQBSAEcAXwAxADUAXwA5AF8AMQBfADEAXwBfADEAXwBFAG0AaQBzAHMAaQBvAG4AcwBGAHIAbwBtAFAAdQByAGMAaABhAHMAZQBkAEcAcgBvAHcATQBlAGQAaQBhAF8ATABhAHQAZQB4AEUAcQB1AGEAdABpAG8AbgAiACwAIgBTAGMAbwBwAGUAMwBfAEUAcQB1AGEAdABpAG8AbgBzAC4AVgBFAEUAUgBHAF8AMQA1AF8AOQBfADEAXwAxAF8AXwAxAF8ARQBtAGkAcwBzAGkAbwBuAHMARgByAG8AbQBQAHUAcgBjAGgAYQBzAGUAZABHAHIAbwB3AE0AZQBkAGkAYQBfAEEAcgBnAHUAbQBlAG4AdABzACIALAAiAFMAYwBvAHAAZQAzAF8ARQBxAHUAYQB0AGkAbwBuAHMALgBWAEUARQBSAEcAXwAxADUAXwAxADAAXwAxAF8AMQBfAF8AMQBfAE8AdABoAGUAcgBQAHUAcgBjAGgAYQBzAGUAZABHAG8AbwBkAHMAQQBuAGQAUwBlAHIAdgBpAGMAZQBzACIALAAiAFMAYwBvAHAAZQAzAF8ARQBxAHUAYQB0AGkAbwBuAHMALgBWAEUARQBSAEcAXwAxADUAXwAxADAAXwAxAF8AMQBfAF8AMQBfAE8AdABoAGUAcgBQAHUAcgBjAGgAYQBzAGUAZABHAG8AbwBkAHMAQQBuAGQAUwBlAHIAdgBpAGMAZQBzAF8AVABpAHQAbABlACIALAAiAFMAYwBvAHAAZQAzAF8ARQBxAHUAYQB0AGkAbwBuAHMALgBWAEUARQBSAEcAXwAxADUAXwAxADAAXwAxAF8AMQBfAF8AMQBfAE8AdABoAGUAcgBQAHUAcgBjAGgAYQBzAGUAZABHAG8AbwBkAHMAQQBuAGQAUwBlAHIAdgBpAGMAZQBzAF8AVgBhAHIAaQBhAGIAbABlACIALAAiAFMAYwBvAHAAZQAzAF8ARQBxAHUAYQB0AGkAbwBuAHMALgBWAEUARQBSAEcAXwAxADUAXwAxADAAXwAxAF8AMQBfAF8AMQBfAE8AdABoAGUAcgBQAHUAcgBjAGgAYQBzAGUAZABHAG8AbwBkAHMAQQBuAGQAUwBlAHIAdgBpAGMAZQBzAF8AVQBuAGkAdAAiACwAIgBTAGMAbwBwAGUAMwBfAEUAcQB1AGEAdABpAG8AbgBzAC4AVgBFAEUAUgBHAF8AMQA1AF8AMQAwAF8AMQBfADEAXwBfADEAXwBPAHQAaABlAHIAUAB1AHIAYwBoAGEAcwBlAGQARwBvAG8AZABzAEEAbgBkAFMAZQByAHYAaQBjAGUAcwBfAFMAbwB1AHIAYwBlACIALAAiAFMAYwBvAHAAZQAzAF8ARQBxAHUAYQB0AGkAbwBuAHMALgBWAEUARQBSAEcAXwAxADUAXwAxADAAXwAxAF8AMQBfAF8AMQBfAE8AdABoAGUAcgBQAHUAcgBjAGgAYQBzAGUAZABHAG8AbwBkAHMAQQBuAGQAUwBlAHIAdgBpAGMAZQBzAF8ATgBJAFIAUgBlAGYAZQByAGUAbgBjAGUAIgAsACIAUwBjAG8AcABlADMAXwBFAHEAdQBhAHQAaQBvAG4AcwAuAFYARQBFAFIARwBfADEANQBfADEAMABfADEAXwAxAF8AXwAxAF8ATwB0AGgAZQByAFAAdQByAGMAaABhAHMAZQBkAEcAbwBvAGQAcwBBAG4AZABTAGUAcgB2AGkAYwBlAHMAXwBMAGEAdABlAHgARQBxAHUAYQB0AGkAbwBuACIALAAiAFMAYwBvAHAAZQAzAF8ARQBxAHUAYQB0AGkAbwBuAHMALgBWAEUARQBSAEcAXwAxADUAXwAxADAAXwAxAF8AMQBfAF8AMQBfAE8AdABoAGUAcgBQAHUAcgBjAGgAYQBzAGUAZABHAG8AbwBkAHMAQQBuAGQAUwBlAHIAdgBpAGMAZQBzAF8AQQByAGcAdQBtAGUAbgB0AHMAIgAsACIAUwBjAG8AcABlADMAXwBFAHEAdQBhAHQAaQBvAG4AcwAuAFYARQBFAFIARwBfADEANQBfADEAMQBfADEAXwAxAF8AXwAxAF8AVABvAHQAYQBsAFUAcABzAHQAcgBlAGEAbQBFAG0AaQBzAHMAaQBvAG4AcwBGAHIAbwBtAEYAdQBlAGwAIgAsACIAUwBjAG8AcABlADMAXwBFAHEAdQBhAHQAaQBvAG4AcwAuAFYARQBFAFIARwBfADEANQBfADEAMQBfADEAXwAxAF8AXwAxAF8AVABvAHQAYQBsAFUAcABzAHQAcgBlAGEAbQBFAG0AaQBzAHMAaQBvAG4AcwBGAHIAbwBtAEYAdQBlAGwAXwBUAGkAdABsAGUAIgAsACIAUwBjAG8AcABlADMAXwBFAHEAdQBhAHQAaQBvAG4AcwAuAFYARQBFAFIARwBfADEANQBfADEAMQBfADEAXwAxAF8AXwAxAF8AVABvAHQAYQBsAFUAcABzAHQAcgBlAGEAbQBFAG0AaQBzAHMAaQBvAG4AcwBGAHIAbwBtAEYAdQBlAGwAXwBWAGEAcgBpAGEAYgBsAGUAIgAsACIAUwBjAG8AcABlADMAXwBFAHEAdQBhAHQAaQBvAG4AcwAuAFYARQBFAFIARwBfADEANQBfADEAMQBfADEAXwAxAF8AXwAxAF8AVABvAHQAYQBsAFUAcABzAHQAcgBlAGEAbQBFAG0AaQBzAHMAaQBvAG4AcwBGAHIAbwBtAEYAdQBlAGwAXwBVAG4AaQB0ACIALAAiAFMAYwBvAHAAZQAzAF8ARQBxAHUAYQB0AGkAbwBuAHMALgBWAEUARQBSAEcAXwAxADUAXwAxADEAXwAxAF8AMQBfAF8AMQBfAFQAbwB0AGEAbABVAHAAcwB0AHIAZQBhAG0ARQBtAGkAcwBzAGkAbwBuAHMARgByAG8AbQBGAHUAZQBsAF8AUwBvAHUAcgBjAGUAIgAsACIAUwBjAG8AcABlADMAXwBFAHEAdQBhAHQAaQBvAG4AcwAuAFYARQBFAFIARwBfADEANQBfADEAMQBfADEAXwAxAF8AXwAxAF8AVABvAHQAYQBsAFUAcABzAHQAcgBlAGEAbQBFAG0AaQBzAHMAaQBvAG4AcwBGAHIAbwBtAEYAdQBlAGwAXwBOAEkAUgBSAGUAZgBlAHIAZQBuAGMAZQAiACwAIgBTAGMAbwBwAGUAMwBfAEUAcQB1AGEAdABpAG8AbgBzAC4AVgBFAEUAUgBHAF8AMQA1AF8AMQAxAF8AMQBfADEAXwBfADEAXwBUAG8AdABhAGwAVQBwAHMAdAByAGUAYQBtAEUAbQBpAHMAcwBpAG8AbgBzAEYAcgBvAG0ARgB1AGUAbABfAEwAYQB0AGUAeABFAHEAdQBhAHQAaQBvAG4AIgAsACIAUwBjAG8AcABlADMAXwBFAHEAdQBhAHQAaQBvAG4AcwAuAFYARQBFAFIARwBfADEANQBfADEAMQBfADEAXwAxAF8AXwAxAF8AVABvAHQAYQBsAFUAcABzAHQAcgBlAGEAbQBFAG0AaQBzAHMAaQBvAG4AcwBGAHIAbwBtAEYAdQBlAGwAXwBBAHIAZwB1AG0AZQBuAHQAcwAiACwAIgBTAGMAbwBwAGUAMwBfAEUAcQB1AGEAdABpAG8AbgBzAC4AVgBFAEUAUgBHAF8AMQA1AF8AMQAxAF8AMQBfADEAXwBfADIAXwBVAHAAcwB0AHIAZQBhAG0AVAByAGEAbgBzAHAAbwByAHQARgB1AGUAbABFAG0AaQBzAHMAaQBvAG4AcwAiACwAIgBTAGMAbwBwAGUAMwBfAEUAcQB1AGEAdABpAG8AbgBzAC4AVgBFAEUAUgBHAF8AMQA1AF8AMQAxAF8AMQBfADEAXwBfADIAXwBVAHAAcwB0AHIAZQBhAG0AVAByAGEAbgBzAHAAbwByAHQARgB1AGUAbABFAG0AaQBzAHMAaQBvAG4AcwBfAFQAaQB0AGwAZQAiACwAIgBTAGMAbwBwAGUAMwBfAEUAcQB1AGEAdABpAG8AbgBzAC4AVgBFAEUAUgBHAF8AMQA1AF8AMQAxAF8AMQBfADEAXwBfADIAXwBVAHAAcwB0AHIAZQBhAG0AVAByAGEAbgBzAHAAbwByAHQARgB1AGUAbABFAG0AaQBzAHMAaQBvAG4AcwBfAFYAYQByAGkAYQBiAGwAZQAiACwAIgBTAGMAbwBwAGUAMwBfAEUAcQB1AGEAdABpAG8AbgBzAC4AVgBFAEUAUgBHAF8AMQA1AF8AMQAxAF8AMQBfADEAXwBfADIAXwBVAHAAcwB0AHIAZQBhAG0AVAByAGEAbgBzAHAAbwByAHQARgB1AGUAbABFAG0AaQBzAHMAaQBvAG4AcwBfAFUAbgBpAHQAIgAsACIAUwBjAG8AcABlADMAXwBFAHEAdQBhAHQAaQBvAG4AcwAuAFYARQBFAFIARwBfADEANQBfADEAMQBfADEAXwAxAF8AXwAyAF8AVQBwAHMAdAByAGUAYQBtAFQAcgBhAG4AcwBwAG8AcgB0AEYAdQBlAGwARQBtAGkAcwBzAGkAbwBuAHMAXwBTAG8AdQByAGMAZQAiACwAIgBTAGMAbwBwAGUAMwBfAEUAcQB1AGEAdABpAG8AbgBzAC4AVgBFAEUAUgBHAF8AMQA1AF8AMQAxAF8AMQBfADEAXwBfADIAXwBVAHAAcwB0AHIAZQBhAG0AVAByAGEAbgBzAHAAbwByAHQARgB1AGUAbABFAG0AaQBzAHMAaQBvAG4AcwBfAE4ASQBSAFIAZQBmAGUAcgBlAG4AYwBlACIALAAiAFMAYwBvAHAAZQAzAF8ARQBxAHUAYQB0AGkAbwBuAHMALgBWAEUARQBSAEcAXwAxADUAXwAxADEAXwAxAF8AMQBfAF8AMgBfAFUAcABzAHQAcgBlAGEAbQBUAHIAYQBuAHMAcABvAHIAdABGAHUAZQBsAEUAbQBpAHMAcwBpAG8AbgBzAF8ATABhAHQAZQB4AEUAcQB1AGEAdABpAG8AbgAiACwAIgBTAGMAbwBwAGUAMwBfAEUAcQB1AGEAdABpAG8AbgBzAC4AVgBFAEUAUgBHAF8AMQA1AF8AMQAxAF8AMQBfADEAXwBfADIAXwBVAHAAcwB0AHIAZQBhAG0AVAByAGEAbgBzAHAAbwByAHQARgB1AGUAbABFAG0AaQBzAHMAaQBvAG4AcwBfAEEAcgBnAHUAbQBlAG4AdABzACIALAAiAFMAYwBvAHAAZQAzAF8ARQBxAHUAYQB0AGkAbwBuAHMALgBWAEUARQBSAEcAXwAxADUAXwAxADEAXwAxAF8AMQBfAF8AMwBfAFUAcABzAHQAcgBlAGEAbQBTAHQAYQB0AGkAbwBuAGEAcgB5AEYAdQBlAGwARQBtAGkAcwBzAGkAbwBuAHMAIgAsACIAUwBjAG8AcABlADMAXwBFAHEAdQBhAHQAaQBvAG4AcwAuAFYARQBFAFIARwBfADEANQBfADEAMQBfADEAXwAxAF8AXwAzAF8AVQBwAHMAdAByAGUAYQBtAFMAdABhAHQAaQBvAG4AYQByAHkARgB1AGUAbABFAG0AaQBzAHMAaQBvAG4AcwBfAFQAaQB0AGwAZQAiACwAIgBTAGMAbwBwAGUAMwBfAEUAcQB1AGEAdABpAG8AbgBzAC4AVgBFAEUAUgBHAF8AMQA1AF8AMQAxAF8AMQBfADEAXwBfADMAXwBVAHAAcwB0AHIAZQBhAG0AUwB0AGEAdABpAG8AbgBhAHIAeQBGAHUAZQBsAEUAbQBpAHMAcwBpAG8AbgBzAF8AVgBhAHIAaQBhAGIAbABlACIALAAiAFMAYwBvAHAAZQAzAF8ARQBxAHUAYQB0AGkAbwBuAHMALgBWAEUARQBSAEcAXwAxADUAXwAxADEAXwAxAF8AMQBfAF8AMwBfAFUAcABzAHQAcgBlAGEAbQBTAHQAYQB0AGkAbwBuAGEAcgB5AEYAdQBlAGwARQBtAGkAcwBzAGkAbwBuAHMAXwBVAG4AaQB0ACIALAAiAFMAYwBvAHAAZQAzAF8ARQBxAHUAYQB0AGkAbwBuAHMALgBWAEUARQBSAEcAXwAxADUAXwAxADEAXwAxAF8AMQBfAF8AMwBfAFUAcABzAHQAcgBlAGEAbQBTAHQAYQB0AGkAbwBuAGEAcgB5AEYAdQBlAGwARQBtAGkAcwBzAGkAbwBuAHMAXwBTAG8AdQByAGMAZQAiACwAIgBTAGMAbwBwAGUAMwBfAEUAcQB1AGEAdABpAG8AbgBzAC4AVgBFAEUAUgBHAF8AMQA1AF8AMQAxAF8AMQBfADEAXwBfADMAXwBVAHAAcwB0AHIAZQBhAG0AUwB0AGEAdABpAG8AbgBhAHIAeQBGAHUAZQBsAEUAbQBpAHMAcwBpAG8AbgBzAF8ATgBJAFIAUgBlAGYAZQByAGUAbgBjAGUAIgAsACIAUwBjAG8AcABlADMAXwBFAHEAdQBhAHQAaQBvAG4AcwAuAFYARQBFAFIARwBfADEANQBfADEAMQBfADEAXwAxAF8AXwAzAF8AVQBwAHMAdAByAGUAYQBtAFMAdABhAHQAaQBvAG4AYQByAHkARgB1AGUAbABFAG0AaQBzAHMAaQBvAG4AcwBfAEwAYQB0AGUAeABFAHEAdQBhAHQAaQBvAG4AIgAsACIAUwBjAG8AcABlADMAXwBFAHEAdQBhAHQAaQBvAG4AcwAuAFYARQBFAFIARwBfADEANQBfADEAMQBfADEAXwAxAF8AXwAzAF8AVQBwAHMAdAByAGUAYQBtAFMAdABhAHQAaQBvAG4AYQByAHkARgB1AGUAbABFAG0AaQBzAHMAaQBvAG4AcwBfAEEAcgBnAHUAbQBlAG4AdABzACIALAAiAFMAYwBvAHAAZQAzAF8ARQBxAHUAYQB0AGkAbwBuAHMALgBWAEUARQBSAEcAXwAxADUAXwAxADIAXwAxAF8AMQBfAF8AMQBfAFUAcABzAHQAcgBlAGEAbQBQAHUAcgBjAGgAYQBzAGUAZABFAGwAZQBjAHQAcgBpAGMAaQB0AHkATABvAGMAYQB0AGkAbwBuAEIAYQBzAGUAZAAiACwAIgBTAGMAbwBwAGUAMwBfAEUAcQB1AGEAdABpAG8AbgBzAC4AVgBFAEUAUgBHAF8AMQA1AF8AMQAyAF8AMQBfADEAXwBfADEAXwBVAHAAcwB0AHIAZQBhAG0AUAB1AHIAYwBoAGEAcwBlAGQARQBsAGUAYwB0AHIAaQBjAGkAdAB5AEwAbwBjAGEAdABpAG8AbgBCAGEAcwBlAGQAXwBUAGkAdABsAGUAIgAsACIAUwBjAG8AcABlADMAXwBFAHEAdQBhAHQAaQBvAG4AcwAuAFYARQBFAFIARwBfADEANQBfADEAMgBfADEAXwAxAF8AXwAxAF8AVQBwAHMAdAByAGUAYQBtAFAAdQByAGMAaABhAHMAZQBkAEUAbABlAGMAdAByAGkAYwBpAHQAeQBMAG8AYwBhAHQAaQBvAG4AQgBhAHMAZQBkAF8AVgBhAHIAaQBhAGIAbABlACIALAAiAFMAYwBvAHAAZQAzAF8ARQBxAHUAYQB0AGkAbwBuAHMALgBWAEUARQBSAEcAXwAxADUAXwAxADIAXwAxAF8AMQBfAF8AMQBfAFUAcABzAHQAcgBlAGEAbQBQAHUAcgBjAGgAYQBzAGUAZABFAGwAZQBjAHQAcgBpAGMAaQB0AHkATABvAGMAYQB0AGkAbwBuAEIAYQBzAGUAZABfAFUAbgBpAHQAIgAsACIAUwBjAG8AcABlADMAXwBFAHEAdQBhAHQAaQBvAG4AcwAuAFYARQBFAFIARwBfADEANQBfADEAMgBfADEAXwAxAF8AXwAxAF8AVQBwAHMAdAByAGUAYQBtAFAAdQByAGMAaABhAHMAZQBkAEUAbABlAGMAdAByAGkAYwBpAHQAeQBMAG8AYwBhAHQAaQBvAG4AQgBhAHMAZQBkAF8AUwBvAHUAcgBjAGUAIgAsACIAUwBjAG8AcABlADMAXwBFAHEAdQBhAHQAaQBvAG4AcwAuAFYARQBFAFIARwBfADEANQBfADEAMgBfADEAXwAxAF8AXwAxAF8AVQBwAHMAdAByAGUAYQBtAFAAdQByAGMAaABhAHMAZQBkAEUAbABlAGMAdAByAGkAYwBpAHQAeQBMAG8AYwBhAHQAaQBvAG4AQgBhAHMAZQBkAF8ATgBJAFIAUgBlAGYAZQByAGUAbgBjAGUAIgAsACIAUwBjAG8AcABlADMAXwBFAHEAdQBhAHQAaQBvAG4AcwAuAFYARQBFAFIARwBfADEANQBfADEAMgBfADEAXwAxAF8AXwAxAF8AVQBwAHMAdAByAGUAYQBtAFAAdQByAGMAaABhAHMAZQBkAEUAbABlAGMAdAByAGkAYwBpAHQAeQBMAG8AYwBhAHQAaQBvAG4AQgBhAHMAZQBkAF8ATABhAHQAZQB4AEUAcQB1AGEAdABpAG8AbgAiACwAIgBTAGMAbwBwAGUAMwBfAEUAcQB1AGEAdABpAG8AbgBzAC4AVgBFAEUAUgBHAF8AMQA1AF8AMQAyAF8AMQBfADEAXwBfADEAXwBVAHAAcwB0AHIAZQBhAG0AUAB1AHIAYwBoAGEAcwBlAGQARQBsAGUAYwB0AHIAaQBjAGkAdAB5AEwAbwBjAGEAdABpAG8AbgBCAGEAcwBlAGQAXwBBAHIAZwB1AG0AZQBuAHQAcwAiACwAIgBTAGMAbwBwAGUAMwBfAEUAcQB1AGEAdABpAG8AbgBzAC4AVgBFAEUAUgBHAF8AMQA1AF8AMQAyAF8AMQBfADIAXwBfADEAXwBVAHAAcwB0AHIAZQBhAG0AUAB1AHIAYwBoAGEAcwBlAGQARQBsAGUAYwB0AHIAaQBjAGkAdAB5AE0AYQByAGsAZQB0AEIAYQBzAGUAZAAiACwAIgBTAGMAbwBwAGUAMwBfAEUAcQB1AGEAdABpAG8AbgBzAC4AVgBFAEUAUgBHAF8AMQA1AF8AMQAyAF8AMQBfADIAXwBfADEAXwBVAHAAcwB0AHIAZQBhAG0AUAB1AHIAYwBoAGEAcwBlAGQARQBsAGUAYwB0AHIAaQBjAGkAdAB5AE0AYQByAGsAZQB0AEIAYQBzAGUAZABWAGEAcgBpAGEAdABpAG8AbgAiACwAIgBTAGMAbwBwAGUAMwBfAEUAcQB1AGEAdABpAG8AbgBzAC4AVgBFAEUAUgBHAF8AMQA1AF8AMQAyAF8AMQBfADIAXwBfADEAXwBVAHAAcwB0AHIAZQBhAG0AUAB1AHIAYwBoAGEAcwBlAGQARQBsAGUAYwB0AHIAaQBjAGkAdAB5AE0AYQByAGsAZQB0AEIAYQBzAGUAZABfAFQAaQB0AGwAZQAiACwAIgBTAGMAbwBwAGUAMwBfAEUAcQB1AGEAdABpAG8AbgBzAC4AVgBFAEUAUgBHAF8AMQA1AF8AMQAyAF8AMQBfADIAXwBfADEAXwBVAHAAcwB0AHIAZQBhAG0AUAB1AHIAYwBoAGEAcwBlAGQARQBsAGUAYwB0AHIAaQBjAGkAdAB5AE0AYQByAGsAZQB0AEIAYQBzAGUAZABfAFYAYQByAGkAYQBiAGwAZQAiACwAIgBTAGMAbwBwAGUAMwBfAEUAcQB1AGEAdABpAG8AbgBzAC4AVgBFAEUAUgBHAF8AMQA1AF8AMQAyAF8AMQBfADIAXwBfADEAXwBVAHAAcwB0AHIAZQBhAG0AUAB1AHIAYwBoAGEAcwBlAGQARQBsAGUAYwB0AHIAaQBjAGkAdAB5AE0AYQByAGsAZQB0AEIAYQBzAGUAZABfAFUAbgBpAHQAIgAsACIAUwBjAG8AcABlADMAXwBFAHEAdQBhAHQAaQBvAG4AcwAuAFYARQBFAFIARwBfADEANQBfADEAMgBfADEAXwAyAF8AXwAxAF8AVQBwAHMAdAByAGUAYQBtAFAAdQByAGMAaABhAHMAZQBkAEUAbABlAGMAdAByAGkAYwBpAHQAeQBNAGEAcgBrAGUAdABCAGEAcwBlAGQAXwBTAG8AdQByAGMAZQAiACwAIgBTAGMAbwBwAGUAMwBfAEUAcQB1AGEAdABpAG8AbgBzAC4AVgBFAEUAUgBHAF8AMQA1AF8AMQAyAF8AMQBfADIAXwBfADEAXwBVAHAAcwB0AHIAZQBhAG0AUAB1AHIAYwBoAGEAcwBlAGQARQBsAGUAYwB0AHIAaQBjAGkAdAB5AE0AYQByAGsAZQB0AEIAYQBzAGUAZABfAE4ASQBSAFIAZQBmAGUAcgBlAG4AYwBlACIALAAiAFMAYwBvAHAAZQAzAF8ARQBxAHUAYQB0AGkAbwBuAHMALgBWAEUARQBSAEcAXwAxADUAXwAxADIAXwAxAF8AMgBfAF8AMQBfAFUAcABzAHQAcgBlAGEAbQBQAHUAcgBjAGgAYQBzAGUAZABFAGwAZQBjAHQAcgBpAGMAaQB0AHkATQBhAHIAawBlAHQAQgBhAHMAZQBkAF8ATABhAHQAZQB4AEUAcQB1AGEAdABpAG8AbgAiACwAIgBTAGMAbwBwAGUAMwBfAEUAcQB1AGEAdABpAG8AbgBzAC4AVgBFAEUAUgBHAF8AMQA1AF8AMQAyAF8AMQBfADIAXwBfADEAXwBVAHAAcwB0AHIAZQBhAG0AUAB1AHIAYwBoAGEAcwBlAGQARQBsAGUAYwB0AHIAaQBjAGkAdAB5AE0AYQByAGsAZQB0AEIAYQBzAGUAZABfAEwAYQB0AGUAeABFAHEAdQBhAHQAaQBvAG4AVgBhAHIAaQBhAHQAaQBvAG4AIgAsACIAUwBjAG8AcABlADMAXwBFAHEAdQBhAHQAaQBvAG4AcwAuAFYARQBFAFIARwBfADEANQBfADEAMgBfADEAXwAyAF8AXwAxAF8AVQBwAHMAdAByAGUAYQBtAFAAdQByAGMAaABhAHMAZQBkAEUAbABlAGMAdAByAGkAYwBpAHQAeQBNAGEAcgBrAGUAdABCAGEAcwBlAGQAXwBBAHIAZwB1AG0AZQBuAHQAcwAiACwAIgBTAGMAbwBwAGUAMwBfAEUAcQB1AGEAdABpAG8AbgBzAC4AVgBFAEUAUgBHAF8AMQA1AF8AMQAyAF8AMQBfADIAXwBfADEAXwBVAHAAcwB0AHIAZQBhAG0AUAB1AHIAYwBoAGEAcwBlAGQARQBsAGUAYwB0AHIAaQBjAGkAdAB5AE0AYQByAGsAZQB0AEIAYQBzAGUAZABfAFYAYQByAGkAYQB0AGkAbwBuACIALAAiAFMAYwBvAHAAZQAzAF8ARQBxAHUAYQB0AGkAbwBuAHMALgBWAEUARQBSAEcAXwAxADUAXwAxADMAXwAxAF8AMQBfAF8AMQBfAEUAbQBpAHMAcwBpAG8AbgBzAEYAcgBvAG0ATQBhAG4AdQByAGUAUwBlAG4AdABPAGYAZgBTAGkAdABlACIALAAiAFMAYwBvAHAAZQAzAF8ARQBxAHUAYQB0AGkAbwBuAHMALgBWAEUARQBSAEcAXwAxADUAXwAxADMAXwAxAF8AMQBfAF8AMQBfAEUAbQBpAHMAcwBpAG8AbgBzAEYAcgBvAG0ATQBhAG4AdQByAGUAUwBlAG4AdABPAGYAZgBTAGkAdABlAF8AVABpAHQAbABlACIALAAiAFMAYwBvAHAAZQAzAF8ARQBxAHUAYQB0AGkAbwBuAHMALgBWAEUARQBSAEcAXwAxADUAXwAxADMAXwAxAF8AMQBfAF8AMQBfAEUAbQBpAHMAcwBpAG8AbgBzAEYAcgBvAG0ATQBhAG4AdQByAGUAUwBlAG4AdABPAGYAZgBTAGkAdABlAF8AVgBhAHIAaQBhAGIAbABlACIALAAiAFMAYwBvAHAAZQAzAF8ARQBxAHUAYQB0AGkAbwBuAHMALgBWAEUARQBSAEcAXwAxADUAXwAxADMAXwAxAF8AMQBfAF8AMQBfAEUAbQBpAHMAcwBpAG8AbgBzAEYAcgBvAG0ATQBhAG4AdQByAGUAUwBlAG4AdABPAGYAZgBTAGkAdABlAF8AVQBuAGkAdAAiACwAIgBTAGMAbwBwAGUAMwBfAEUAcQB1AGEAdABpAG8AbgBzAC4AVgBFAEUAUgBHAF8AMQA1AF8AMQAzAF8AMQBfADEAXwBfADEAXwBFAG0AaQBzAHMAaQBvAG4AcwBGAHIAbwBtAE0AYQBuAHUAcgBlAFMAZQBuAHQATwBmAGYAUwBpAHQAZQBfAFMAbwB1AHIAYwBlACIALAAiAFMAYwBvAHAAZQAzAF8ARQBxAHUAYQB0AGkAbwBuAHMALgBWAEUARQBSAEcAXwAxADUAXwAxADMAXwAxAF8AMQBfAF8AMQBfAEUAbQBpAHMAcwBpAG8AbgBzAEYAcgBvAG0ATQBhAG4AdQByAGUAUwBlAG4AdABPAGYAZgBTAGkAdABlAF8ATgBJAFIAUgBlAGYAZQByAGUAbgBjAGUAIgAsACIAUwBjAG8AcABlADMAXwBFAHEAdQBhAHQAaQBvAG4AcwAuAFYARQBFAFIARwBfADEANQBfADEAMwBfADEAXwAxAF8AXwAxAF8ARQBtAGkAcwBzAGkAbwBuAHMARgByAG8AbQBNAGEAbgB1AHIAZQBTAGUAbgB0AE8AZgBmAFMAaQB0AGUAXwBMAGEAdABlAHgARQBxAHUAYQB0AGkAbwBuACIALAAiAFMAYwBvAHAAZQAzAF8ARQBxAHUAYQB0AGkAbwBuAHMALgBWAEUARQBSAEcAXwAxADUAXwAxADMAXwAxAF8AMQBfAF8AMQBfAEUAbQBpAHMAcwBpAG8AbgBzAEYAcgBvAG0ATQBhAG4AdQByAGUAUwBlAG4AdABPAGYAZgBTAGkAdABlAF8AQQByAGcAdQBtAGUAbgB0AHMAIgAsACIAUwBjAG8AcABlADMAXwBFAHEAdQBhAHQAaQBvAG4AcwAuAFYARQBFAFIARwBfADEANQBfADEAMwBfADEAXwAzAF8AXwAxAF8ARQBtAGkAcwBzAGkAbwBuAHMARgByAG8AbQBTAG8AbABpAGQAVwBhAHMAdABlAFQAcgBlAGEAdABtAGUAbgB0AEYAYQBjAGkAbABpAHQAeQAiACwAIgBTAGMAbwBwAGUAMwBfAEUAcQB1AGEAdABpAG8AbgBzAC4AVgBFAEUAUgBHAF8AMQA1AF8AMQAzAF8AMQBfADMAXwBfADEAXwBFAG0AaQBzAHMAaQBvAG4AcwBGAHIAbwBtAFMAbwBsAGkAZABXAGEAcwB0AGUAVAByAGUAYQB0AG0AZQBuAHQARgBhAGMAaQBsAGkAdAB5AF8AVABpAHQAbABlACIALAAiAFMAYwBvAHAAZQAzAF8ARQBxAHUAYQB0AGkAbwBuAHMALgBWAEUARQBSAEcAXwAxADUAXwAxADMAXwAxAF8AMwBfAF8AMQBfAEUAbQBpAHMAcwBpAG8AbgBzAEYAcgBvAG0AUwBvAGwAaQBkAFcAYQBzAHQAZQBUAHIAZQBhAHQAbQBlAG4AdABGAGEAYwBpAGwAaQB0AHkAXwBWAGEAcgBpAGEAYgBsAGUAIgAsACIAUwBjAG8AcABlADMAXwBFAHEAdQBhAHQAaQBvAG4AcwAuAFYARQBFAFIARwBfADEANQBfADEAMwBfADEAXwAzAF8AXwAxAF8ARQBtAGkAcwBzAGkAbwBuAHMARgByAG8AbQBTAG8AbABpAGQAVwBhAHMAdABlAFQAcgBlAGEAdABtAGUAbgB0AEYAYQBjAGkAbABpAHQAeQBfAFUAbgBpAHQAIgAsACIAUwBjAG8AcABlADMAXwBFAHEAdQBhAHQAaQBvAG4AcwAuAFYARQBFAFIARwBfADEANQBfADEAMwBfADEAXwAzAF8AXwAxAF8ARQBtAGkAcwBzAGkAbwBuAHMARgByAG8AbQBTAG8AbABpAGQAVwBhAHMAdABlAFQAcgBlAGEAdABtAGUAbgB0AEYAYQBjAGkAbABpAHQAeQBfAFMAbwB1AHIAYwBlACIALAAiAFMAYwBvAHAAZQAzAF8ARQBxAHUAYQB0AGkAbwBuAHMALgBWAEUARQBSAEcAXwAxADUAXwAxADMAXwAxAF8AMwBfAF8AMQBfAEUAbQBpAHMAcwBpAG8AbgBzAEYAcgBvAG0AUwBvAGwAaQBkAFcAYQBzAHQAZQBUAHIAZQBhAHQAbQBlAG4AdABGAGEAYwBpAGwAaQB0AHkAXwBOAEkAUgBSAGUAZgBlAHIAZQBuAGMAZQAiACwAIgBTAGMAbwBwAGUAMwBfAEUAcQB1AGEAdABpAG8AbgBzAC4AVgBFAEUAUgBHAF8AMQA1AF8AMQAzAF8AMQBfADMAXwBfADEAXwBFAG0AaQBzAHMAaQBvAG4AcwBGAHIAbwBtAFMAbwBsAGkAZABXAGEAcwB0AGUAVAByAGUAYQB0AG0AZQBuAHQARgBhAGMAaQBsAGkAdAB5AF8ATABhAHQAZQB4AEUAcQB1AGEAdABpAG8AbgAiACwAIgBTAGMAbwBwAGUAMwBfAEUAcQB1AGEAdABpAG8AbgBzAC4AVgBFAEUAUgBHAF8AMQA1AF8AMQAzAF8AMQBfADMAXwBfADEAXwBFAG0AaQBzAHMAaQBvAG4AcwBGAHIAbwBtAFMAbwBsAGkAZABXAGEAcwB0AGUAVAByAGUAYQB0AG0AZQBuAHQARgBhAGMAaQBsAGkAdAB5AF8AQQByAGcAdQBtAGUAbgB0AHMAIgAsACIAUwBjAG8AcABlADMAXwBFAHEAdQBhAHQAaQBvAG4AcwAuAFYARQBFAFIARwBfADEANQBfADEANABfADEAXwAxAF8AXwAxAF8ARQBtAGIAZQBkAGQAZQBkAEUAbQBpAHMAcwBpAG8AbgBzAEYAcgBvAG0AVQBwAHMAdAByAGUAYQBtAEYAcgBlAGkAZwBoAHQAIgAsACIAUwBjAG8AcABlADMAXwBFAHEAdQBhAHQAaQBvAG4AcwAuAFYARQBFAFIARwBfADEANQBfADEANABfADEAXwAxAF8AXwAxAF8ARQBtAGIAZQBkAGQAZQBkAEUAbQBpAHMAcwBpAG8AbgBzAEYAcgBvAG0AVQBwAHMAdAByAGUAYQBtAEYAcgBlAGkAZwBoAHQAXwBUAGkAdABsAGUAIgAsACIAUwBjAG8AcABlADMAXwBFAHEAdQBhAHQAaQBvAG4AcwAuAFYARQBFAFIARwBfADEANQBfADEANABfADEAXwAxAF8AXwAxAF8ARQBtAGIAZQBkAGQAZQBkAEUAbQBpAHMAcwBpAG8AbgBzAEYAcgBvAG0AVQBwAHMAdAByAGUAYQBtAEYAcgBlAGkAZwBoAHQAXwBWAGEAcgBpAGEAYgBsAGUAIgAsACIAUwBjAG8AcABlADMAXwBFAHEAdQBhAHQAaQBvAG4AcwAuAFYARQBFAFIARwBfADEANQBfADEANABfADEAXwAxAF8AXwAxAF8ARQBtAGIAZQBkAGQAZQBkAEUAbQBpAHMAcwBpAG8AbgBzAEYAcgBvAG0AVQBwAHMAdAByAGUAYQBtAEYAcgBlAGkAZwBoAHQAXwBVAG4AaQB0ACIALAAiAFMAYwBvAHAAZQAzAF8ARQBxAHUAYQB0AGkAbwBuAHMALgBWAEUARQBSAEcAXwAxADUAXwAxADQAXwAxAF8AMQBfAF8AMQBfAEUAbQBiAGUAZABkAGUAZABFAG0AaQBzAHMAaQBvAG4AcwBGAHIAbwBtAFUAcABzAHQAcgBlAGEAbQBGAHIAZQBpAGcAaAB0AF8AUwBvAHUAcgBjAGUAIgAsACIAUwBjAG8AcABlADMAXwBFAHEAdQBhAHQAaQBvAG4AcwAuAFYARQBFAFIARwBfADEANQBfADEANABfADEAXwAxAF8AXwAxAF8ARQBtAGIAZQBkAGQAZQBkAEUAbQBpAHMAcwBpAG8AbgBzAEYAcgBvAG0AVQBwAHMAdAByAGUAYQBtAEYAcgBlAGkAZwBoAHQAXwBOAEkAUgBSAGUAZgBlAHIAZQBuAGMAZQAiACwAIgBTAGMAbwBwAGUAMwBfAEUAcQB1AGEAdABpAG8AbgBzAC4AVgBFAEUAUgBHAF8AMQA1AF8AMQA0AF8AMQBfADEAXwBfADEAXwBFAG0AYgBlAGQAZABlAGQARQBtAGkAcwBzAGkAbwBuAHMARgByAG8AbQBVAHAAcwB0AHIAZQBhAG0ARgByAGUAaQBnAGgAdABfAEwAYQB0AGUAeABFAHEAdQBhAHQAaQBvAG4AIgAsACIAUwBjAG8AcABlADMAXwBFAHEAdQBhAHQAaQBvAG4AcwAuAFYARQBFAFIARwBfADEANQBfADEANABfADEAXwAxAF8AXwAxAF8ARQBtAGIAZQBkAGQAZQBkAEUAbQBpAHMAcwBpAG8AbgBzAEYAcgBvAG0AVQBwAHMAdAByAGUAYQBtAEYAcgBlAGkAZwBoAHQAXwBBAHIAZwB1AG0AZQBuAHQAcwAiACwAIgBGAHUAZQBsAF8ARQBxAHUAYQB0AGkAbwBuAHMALgBWAEUARQBSAEcAXwA4AF8ARgB1AGUAbABDAG8AbQBiAHUAcwB0AGkAbwBuACIALAAiAEYAdQBlAGwAXwBFAHEAdQBhAHQAaQBvAG4AcwAuAFYARQBFAFIARwBfADgAXwAxAF8AMQBfADEAXwBfADEAXwBGAHUAZQBsAEMAbwBtAGIAdQBzAHQAaQBvAG4AVAByAGEAbgBzAHAAbwByAHQAIgAsACIARgB1AGUAbABfAEUAcQB1AGEAdABpAG8AbgBzAC4AVgBFAEUAUgBHAF8AOABfADEAXwAxAF8AMQBfAF8AMQBfAEYAdQBlAGwAQwBvAG0AYgB1AHMAdABpAG8AbgBUAHIAYQBuAHMAcABvAHIAdABfAFQAaQB0AGwAZQAiACwAIgBGAHUAZQBsAF8ARQBxAHUAYQB0AGkAbwBuAHMALgBWAEUARQBSAEcAXwA4AF8AMQBfADEAXwAxAF8AXwAxAF8ARgB1AGUAbABDAG8AbQBiAHUAcwB0AGkAbwBuAFQAcgBhAG4AcwBwAG8AcgB0AF8AVgBhAHIAaQBhAGIAbABlACIALAAiAEYAdQBlAGwAXwBFAHEAdQBhAHQAaQBvAG4AcwAuAFYARQBFAFIARwBfADgAXwAxAF8AMQBfADEAXwBfADEAXwBGAHUAZQBsAEMAbwBtAGIAdQBzAHQAaQBvAG4AVAByAGEAbgBzAHAAbwByAHQAXwBVAG4AaQB0ACIALAAiAEYAdQBlAGwAXwBFAHEAdQBhAHQAaQBvAG4AcwAuAFYARQBFAFIARwBfADgAXwAxAF8AMQBfADEAXwBfADEAXwBGAHUAZQBsAEMAbwBtAGIAdQBzAHQAaQBvAG4AVAByAGEAbgBzAHAAbwByAHQAXwBTAG8AdQByAGMAZQAiACwAIgBGAHUAZQBsAF8ARQBxAHUAYQB0AGkAbwBuAHMALgBWAEUARQBSAEcAXwA4AF8AMQBfADEAXwAxAF8AXwAxAF8ARgB1AGUAbABDAG8AbQBiAHUAcwB0AGkAbwBuAFQAcgBhAG4AcwBwAG8AcgB0AF8ATgBJAFIAUgBlAGYAZQByAGUAbgBjAGUAIgAsACIARgB1AGUAbABfAEUAcQB1AGEAdABpAG8AbgBzAC4AVgBFAEUAUgBHAF8AOABfADEAXwAxAF8AMQBfAF8AMQBfAEYAdQBlAGwAQwBvAG0AYgB1AHMAdABpAG8AbgBUAHIAYQBuAHMAcABvAHIAdABfAEwAYQB0AGUAeABFAHEAdQBhAHQAaQBvAG4AIgAsACIARgB1AGUAbABfAEUAcQB1AGEAdABpAG8AbgBzAC4AVgBFAEUAUgBHAF8AOABfADEAXwAxAF8AMQBfAF8AMQBfAEYAdQBlAGwAQwBvAG0AYgB1AHMAdABpAG8AbgBUAHIAYQBuAHMAcABvAHIAdABfAEEAcgBnAHUAbQBlAG4AdABzACIALAAiAEYAdQBlAGwAXwBFAHEAdQBhAHQAaQBvAG4AcwAuAFYARQBFAFIARwBfADgAXwAyAF8AMQBfADEAXwBfADEAXwBGAHUAZQBsAEMAbwBtAGIAdQBzAHQAaQBvAG4AUwB0AGEAdABpAG8AbgBhAHIAeQAiACwAIgBGAHUAZQBsAF8ARQBxAHUAYQB0AGkAbwBuAHMALgBWAEUARQBSAEcAXwA4AF8AMgBfADEAXwAxAF8AXwAxAF8ARgB1AGUAbABDAG8AbQBiAHUAcwB0AGkAbwBuAFMAdABhAHQAaQBvAG4AYQByAHkAXwBUAGkAdABsAGUAIgAsACIARgB1AGUAbABfAEUAcQB1AGEAdABpAG8AbgBzAC4AVgBFAEUAUgBHAF8AOABfADIAXwAxAF8AMQBfAF8AMQBfAEYAdQBlAGwAQwBvAG0AYgB1AHMAdABpAG8AbgBTAHQAYQB0AGkAbwBuAGEAcgB5AF8AVgBhAHIAaQBhAGIAbABlACIALAAiAEYAdQBlAGwAXwBFAHEAdQBhAHQAaQBvAG4AcwAuAFYARQBFAFIARwBfADgAXwAyAF8AMQBfADEAXwBfADEAXwBGAHUAZQBsAEMAbwBtAGIAdQBzAHQAaQBvAG4AUwB0AGEAdABpAG8AbgBhAHIAeQBfAFUAbgBpAHQAIgAsACIARgB1AGUAbABfAEUAcQB1AGEAdABpAG8AbgBzAC4AVgBFAEUAUgBHAF8AOABfADIAXwAxAF8AMQBfAF8AMQBfAEYAdQBlAGwAQwBvAG0AYgB1AHMAdABpAG8AbgBTAHQAYQB0AGkAbwBuAGEAcgB5AF8AUwBvAHUAcgBjAGUAIgAsACIARgB1AGUAbABfAEUAcQB1AGEAdABpAG8AbgBzAC4AVgBFAEUAUgBHAF8AOABfADIAXwAxAF8AMQBfAF8AMQBfAEYAdQBlAGwAQwBvAG0AYgB1AHMAdABpAG8AbgBTAHQAYQB0AGkAbwBuAGEAcgB5AF8ATgBJAFIAUgBlAGYAZQByAGUAbgBjAGUAIgAsACIARgB1AGUAbABfAEUAcQB1AGEAdABpAG8AbgBzAC4AVgBFAEUAUgBHAF8AOABfADIAXwAxAF8AMQBfAF8AMQBfAEYAdQBlAGwAQwBvAG0AYgB1AHMAdABpAG8AbgBTAHQAYQB0AGkAbwBuAGEAcgB5AF8ATABhAHQAZQB4AEUAcQB1AGEAdABpAG8AbgAiACwAIgBGAHUAZQBsAF8ARQBxAHUAYQB0AGkAbwBuAHMALgBWAEUARQBSAEcAXwA4AF8AMgBfADEAXwAxAF8AXwAxAF8ARgB1AGUAbABDAG8AbQBiAHUAcwB0AGkAbwBuAFMAdABhAHQAaQBvAG4AYQByAHk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CwAIgBXAGEAcwB0AGUAUwBvAGwAaQBkAF8ASQBuAHAAdQB0AEYAdQBuAGMAdABpAG8AbgBzAC4AVwBhAHMAdABlAFMAbwBsAGkAZABfAEkAbgBwAHUAdABGAHUAbgBjAHQAaQBvAG4AcwBfAFMAdQBtAFcAYQBzAHQAZQBUAHIAZQBhAHQAbQBlAG4AdAAiACwAIgBXAGEAcwB0AGUAUwBvAGwAaQBkAF8AUwBvAHUAcgBjAGUARABhAHQAYQAuAFcAYQBzAHQAZQBfAEUAbQBpAHMAcwBpAG8AbgBGAGEAYwB0AG8AcgBzAEYAbwByAFcAYQBzAHQAZQBUAHIAZQBhAHQAbQBlAG4AdABfAFQAaQB0AGwAZQAiACwAIgBXAGEAcwB0AGUAUwBvAGwAaQBkAF8AUwBvAHUAcgBjAGUARABhAHQAYQAuAFcAYQBzAHQAZQBfAEUAbQBpAHMAcwBpAG8AbgBGAGEAYwB0AG8AcgBzAEYAbwByAFcAYQBzAHQAZQBUAHIAZQBhAHQAbQBlAG4AdABfAFYAYQByAGkAYQBiAGwAZQAiACwAIgBXAGEAcwB0AGUAUwBvAGwAaQBkAF8AUwBvAHUAcgBjAGUARABhAHQAYQAuAFcAYQBzAHQAZQBfAEUAbQBpAHMAcwBpAG8AbgBGAGEAYwB0AG8AcgBzAEYAbwByAFcAYQBzAHQAZQBUAHIAZQBhAHQAbQBlAG4AdABfAFUAbgBpAHQAIgAsACIAVwBhAHMAdABlAFMAbwBsAGkAZABfAFMAbwB1AHIAYwBlAEQAYQB0AGEALgBXAGEAcwB0AGUAXwBFAG0AaQBzAHMAaQBvAG4ARgBhAGMAdABvAHIAcwBGAG8AcgBXAGEAcwB0AGUAVAByAGUAYQB0AG0AZQBuAHQAXwBTAG8AdQByAGMAZQAiACwAIgBXAGEAcwB0AGUAUwBvAGwAaQBkAF8AUwBvAHUAcgBjAGUARABhAHQAYQAuAFcAYQBzAHQAZQBfAEUAbQBpAHMAcwBpAG8AbgBGAGEAYwB0AG8AcgBzAEYAbwByAFcAYQBzAHQAZQBUAHIAZQBhAHQAbQBlAG4AdABfAEQAYQB0AGEAIgAsACIAVwBhAHMAdABlAFMAbwBsAGkAZABfAFMAbwB1AHIAYwBlAEQAYQB0AGEALgBXAGEAcwB0AGUAXwBFAG0AaQBzAHMAaQBvAG4ARgBhAGMAdABvAHIAcwBGAG8AcgBXAGEAcwB0AGUAVAByAGUAYQB0AG0AZQBuAHQAXwBWAGEAcgBpAGEAdABpAG8AbgAiACwAIgBXAGEAcwB0AGUAUwBvAGwAaQBkAF8AUwBvAHUAcgBjAGUARABhAHQAYQAuAFcAYQBzAHQAZQBfAFcAYQBzAHQAZQBWAG8AbAB1AG0AZQBUAG8ATQBhAHMAcwBDAG8AbgB2AGUAcgBzAGkAbwBuAF8AVABpAHQAbABlACIALAAiAFcAYQBzAHQAZQBTAG8AbABpAGQAXwBTAG8AdQByAGMAZQBEAGEAdABhAC4AVwBhAHMAdABlAF8AVwBhAHMAdABlAFYAbwBsAHUAbQBlAFQAbwBNAGEAcwBzAEMAbwBuAHYAZQByAHMAaQBvAG4AXwBWAGEAcgBpAGEAYgBsAGUAIgAsACIAVwBhAHMAdABlAFMAbwBsAGkAZABfAFMAbwB1AHIAYwBlAEQAYQB0AGEALgBXAGEAcwB0AGUAXwBXAGEAcwB0AGUAVgBvAGwAdQBtAGUAVABvAE0AYQBzAHMAQwBvAG4AdgBlAHIAcwBpAG8AbgBfAFUAbgBpAHQAIgAsACIAVwBhAHMAdABlAFMAbwBsAGkAZABfAFMAbwB1AHIAYwBlAEQAYQB0AGEALgBXAGEAcwB0AGUAXwBXAGEAcwB0AGUAVgBvAGwAdQBtAGUAVABvAE0AYQBzAHMAQwBvAG4AdgBlAHIAcwBpAG8AbgBfAFMAbwB1AHIAYwBlACIALAAiAFcAYQBzAHQAZQBTAG8AbABpAGQAXwBTAG8AdQByAGMAZQBEAGEAdABhAC4AVwBhAHMAdABlAF8AVwBhAHMAdABlAFYAbwBsAHUAbQBlAFQAbwBNAGEAcwBzAEMAbwBuAHYAZQByAHMAaQBvAG4AXwBEAGEAdABhACIALAAiAFcAYQBzAHQAZQBTAG8AbABpAGQAXwBTAG8AdQByAGMAZQBEAGEAdABhAC4AVwBhAHMAdABlAF8AVwBhAHMAdABlAFYAbwBsAHUAbQBlAFQAbwBNAGEAcwBzAEMAbwBuAHYAZQByAHMAaQBvAG4AXwBWAGEAcgBpAGEAdABpAG8AbgAiACwAIgBXAGEAcwB0AGUAUwBvAGwAaQBkAF8ARQBxAHUAYQB0AGkAbwBuAHMALgBWAEUARQBSAEcAXwAxADAAXwAxAF8AMQBfADEAXwBfADEAXwBFAG0AaQBzAHMAaQBvAG4AcwBGAHIAbwBtAFcAYQBzAHQAZQBNAGEAbgBhAGcAZQBtAGUAbgB0ACIALAAiAFcAYQBzAHQAZQBTAG8AbABpAGQAXwBFAHEAdQBhAHQAaQBvAG4AcwAuAFYARQBFAFIARwBfADEAMABfADEAXwAxAF8AMQBfAF8AMQBfAEUAbQBpAHMAcwBpAG8AbgBzAEYAcgBvAG0AVwBhAHMAdABlAE0AYQBuAGEAZwBlAG0AZQBuAHQAXwBUAGkAdABsAGUAIgAsACIAVwBhAHMAdABlAFMAbwBsAGkAZABfAEUAcQB1AGEAdABpAG8AbgBzAC4AVgBFAEUAUgBHAF8AMQAwAF8AMQBfADEAXwAxAF8AXwAxAF8ARQBtAGkAcwBzAGkAbwBuAHMARgByAG8AbQBXAGEAcwB0AGUATQBhAG4AYQBnAGUAbQBlAG4AdABfAFYAYQByAGkAYQBiAGwAZQAiACwAIgBXAGEAcwB0AGUAUwBvAGwAaQBkAF8ARQBxAHUAYQB0AGkAbwBuAHMALgBWAEUARQBSAEcAXwAxADAAXwAxAF8AMQBfADEAXwBfADEAXwBFAG0AaQBzAHMAaQBvAG4AcwBGAHIAbwBtAFcAYQBzAHQAZQBNAGEAbgBhAGcAZQBtAGUAbgB0AF8AVQBuAGkAdAAiACwAIgBXAGEAcwB0AGUAUwBvAGwAaQBkAF8ARQBxAHUAYQB0AGkAbwBuAHMALgBWAEUARQBSAEcAXwAxADAAXwAxAF8AMQBfADEAXwBfADEAXwBFAG0AaQBzAHMAaQBvAG4AcwBGAHIAbwBtAFcAYQBzAHQAZQBNAGEAbgBhAGcAZQBtAGUAbgB0AF8AUwBvAHUAcgBjAGUAIgAsACIAVwBhAHMAdABlAFMAbwBsAGkAZABfAEUAcQB1AGEAdABpAG8AbgBzAC4AVgBFAEUAUgBHAF8AMQAwAF8AMQBfADEAXwAxAF8AXwAxAF8ARQBtAGkAcwBzAGkAbwBuAHMARgByAG8AbQBXAGEAcwB0AGUATQBhAG4AYQBnAGUAbQBlAG4AdABfAE4ASQBSAFIAZQBmAGUAcgBlAG4AYwBlACIALAAiAFcAYQBzAHQAZQBTAG8AbABpAGQAXwBFAHEAdQBhAHQAaQBvAG4AcwAuAFYARQBFAFIARwBfADEAMABfADEAXwAxAF8AMQBfAF8AMQBfAEUAbQBpAHMAcwBpAG8AbgBzAEYAcgBvAG0AVwBhAHMAdABlAE0AYQBuAGEAZwBlAG0AZQBuAHQAXwBMAGEAdABlAHgARQBxAHUAYQB0AGkAbwBuACIALAAiAFcAYQBzAHQAZQBTAG8AbABpAGQAXwBFAHEAdQBhAHQAaQBvAG4AcwAuAFYARQBFAFIARwBfADEAMABfADEAXwAxAF8AMQBfAF8AMQBfAEUAbQBpAHMAcwBpAG8AbgBzAEYAcgBvAG0AVwBhAHMAdABlAE0AYQBuAGEAZwBlAG0AZQBuAHQAXwBBAHIAZwB1AG0AZQBuAHQAcwAiACwAIgBXAGEAcwB0AGUAUwBvAGwAaQBkAF8ARQBxAHUAYQB0AGkAbwBuAHMALgBWAEUARQBSAEcAXwAxADAAXwAxAF8AMQBfADEAXwBfADEAXwBFAG0AaQBzAHMAaQBvAG4AcwBGAHIAbwBtAFcAYQBzAHQAZQBNAGEAbgBhAGcAZQBtAGUAbgB0AF8AVgBhAHIAaQBhAHQAaQBvAG4AIgAsACIAVwBhAHMAdABlAFMAbwBsAGkAZABfAEUAcQB1AGEAdABpAG8AbgBzAC4AVgBFAEUAUgBHAF8AMQAwAF8AMQBfADEAXwAxAF8AXwAyAF8ATQBhAHMAcwBPAGYAVwBhAHMAdABlAEYAcgBvAG0AVgBvAGwAdQBtAGUAIgAsACIAVwBhAHMAdABlAFMAbwBsAGkAZABfAEUAcQB1AGEAdABpAG8AbgBzAC4AVgBFAEUAUgBHAF8AMQAwAF8AMQBfADEAXwAxAF8AXwAyAF8ATQBhAHMAcwBPAGYAVwBhAHMAdABlAEYAcgBvAG0AVgBvAGwAdQBtAGUAXwBUAGkAdABsAGUAIgAsACIAVwBhAHMAdABlAFMAbwBsAGkAZABfAEUAcQB1AGEAdABpAG8AbgBzAC4AVgBFAEUAUgBHAF8AMQAwAF8AMQBfADEAXwAxAF8AXwAyAF8ATQBhAHMAcwBPAGYAVwBhAHMAdABlAEYAcgBvAG0AVgBvAGwAdQBtAGUAXwBWAGEAcgBpAGEAYgBsAGUAIgAsACIAVwBhAHMAdABlAFMAbwBsAGkAZABfAEUAcQB1AGEAdABpAG8AbgBzAC4AVgBFAEUAUgBHAF8AMQAwAF8AMQBfADEAXwAxAF8AXwAyAF8ATQBhAHMAcwBPAGYAVwBhAHMAdABlAEYAcgBvAG0AVgBvAGwAdQBtAGUAXwBVAG4AaQB0ACIALAAiAFcAYQBzAHQAZQBTAG8AbABpAGQAXwBFAHEAdQBhAHQAaQBvAG4AcwAuAFYARQBFAFIARwBfADEAMABfADEAXwAxAF8AMQBfAF8AMgBfAE0AYQBzAHMATwBmAFcAYQBzAHQAZQBGAHIAbwBtAFYAbwBsAHUAbQBlAF8AUwBvAHUAcgBjAGUAIgAsACIAVwBhAHMAdABlAFMAbwBsAGkAZABfAEUAcQB1AGEAdABpAG8AbgBzAC4AVgBFAEUAUgBHAF8AMQAwAF8AMQBfADEAXwAxAF8AXwAyAF8ATQBhAHMAcwBPAGYAVwBhAHMAdABlAEYAcgBvAG0AVgBvAGwAdQBtAGUAXwBOAEkAUgBSAGUAZgBlAHIAZQBuAGMAZQAiACwAIgBXAGEAcwB0AGUAUwBvAGwAaQBkAF8ARQBxAHUAYQB0AGkAbwBuAHMALgBWAEUARQBSAEcAXwAxADAAXwAxAF8AMQBfADEAXwBfADIAXwBNAGEAcwBzAE8AZgBXAGEAcwB0AGUARgByAG8AbQBWAG8AbAB1AG0AZQBfAEwAYQB0AGUAeABFAHEAdQBhAHQAaQBvAG4AIgAsACIAVwBhAHMAdABlAFMAbwBsAGkAZABfAEUAcQB1AGEAdABpAG8AbgBzAC4AVgBFAEUAUgBHAF8AMQAwAF8AMQBfADEAXwAxAF8AXwAyAF8ATQBhAHMAcwBPAGYAVwBhAHMAdABlAEYAcgBvAG0AVgBvAGwAdQBt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135</vt:i4>
      </vt:variant>
    </vt:vector>
  </HeadingPairs>
  <TitlesOfParts>
    <vt:vector size="170" baseType="lpstr">
      <vt:lpstr>Overview</vt:lpstr>
      <vt:lpstr>Results</vt:lpstr>
      <vt:lpstr>Input - Site</vt:lpstr>
      <vt:lpstr>Input - Fuel</vt:lpstr>
      <vt:lpstr>Input - Fertiliser</vt:lpstr>
      <vt:lpstr>Input - Common farm inputs</vt:lpstr>
      <vt:lpstr>Input - Processing inputs</vt:lpstr>
      <vt:lpstr>Input - Crop pasture farm input</vt:lpstr>
      <vt:lpstr>Input - Hort farm Inputs</vt:lpstr>
      <vt:lpstr>Input - Livestock farm Inputs</vt:lpstr>
      <vt:lpstr>Input - Aquaculture inputs</vt:lpstr>
      <vt:lpstr>Input - Beef cattle purchases</vt:lpstr>
      <vt:lpstr>Input - Dairy cattle purchases</vt:lpstr>
      <vt:lpstr>Input - Pig purchases</vt:lpstr>
      <vt:lpstr>Input - Poultry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Fertiliser_EFLeach_Data</vt:lpstr>
      <vt:lpstr>Fertiliser_EFUreaCO2_Data</vt:lpstr>
      <vt:lpstr>Fertiliser_FracGASMSoil_Data</vt:lpstr>
      <vt:lpstr>Fertiliser_FracLEACH_Data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VEERG_8_2_1_1__1_FuelCombustionStationary_Result</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2026-08-10T06:13:09Z</dcterms:modified>
</cp:coreProperties>
</file>