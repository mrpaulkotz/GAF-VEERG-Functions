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BDB1556-77F0-4020-8A48-BDD49C41EFE4}" xr6:coauthVersionLast="47" xr6:coauthVersionMax="47" xr10:uidLastSave="{00000000-0000-0000-0000-000000000000}"/>
  <bookViews>
    <workbookView xWindow="1560" yWindow="1560" windowWidth="21600" windowHeight="12645" firstSheet="5" activeTab="6"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'6.3.1.1-2 Leaching and runoff'!$N$44:$O$46</definedName>
    <definedName name="M1_Table_E_N2O_Consumer_1">'6.3.1.1-2 Leaching and runoff'!$D$44:$E$46</definedName>
    <definedName name="M1_Table_M_leach_cp">'6.3.1.1-2 Leaching and runoff'!$D$23:$I$25</definedName>
    <definedName name="M2_Table_M_leach_cp">'6.3.1.1-2 Leaching and runoff'!$N$23:$S$23</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Result_Method1">'6.3.1.1-2 Leaching and runoff'!$E$48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TotalProductionOfCrop">'Input - Crop'!$E$22</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 i="114" l="1"/>
  <c r="I37" i="114"/>
  <c r="I19" i="114"/>
  <c r="I13" i="114"/>
  <c r="J40" i="113"/>
  <c r="J39" i="113"/>
  <c r="J18" i="113"/>
  <c r="J17" i="113"/>
  <c r="J37" i="74"/>
  <c r="J36" i="74"/>
  <c r="J19" i="74"/>
  <c r="J13" i="74"/>
  <c r="R75" i="69"/>
  <c r="R74" i="69"/>
  <c r="I40" i="69"/>
  <c r="I39" i="69" l="1"/>
  <c r="S34" i="69"/>
  <c r="Q19" i="69"/>
  <c r="Q17" i="69"/>
  <c r="Q16" i="69"/>
  <c r="Q15" i="69"/>
  <c r="I22" i="69"/>
  <c r="I21" i="69"/>
  <c r="I16" i="69"/>
  <c r="I13" i="69"/>
  <c r="J37" i="113"/>
  <c r="J15" i="113"/>
  <c r="H25" i="113"/>
  <c r="H24" i="113"/>
  <c r="E30" i="15"/>
  <c r="E33" i="15"/>
  <c r="E32" i="15"/>
  <c r="E31" i="15"/>
  <c r="I59" i="114"/>
  <c r="I36" i="114"/>
  <c r="J38" i="113"/>
  <c r="J35" i="74"/>
  <c r="R73" i="69"/>
  <c r="I38" i="69"/>
  <c r="H65" i="114"/>
  <c r="H42" i="114"/>
  <c r="Q51" i="113"/>
  <c r="G51" i="113"/>
  <c r="Q43" i="74"/>
  <c r="G43" i="74"/>
  <c r="P80" i="69"/>
  <c r="G45"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H54" i="121"/>
  <c r="H52" i="121"/>
  <c r="F17" i="70"/>
  <c r="D26" i="70"/>
  <c r="D25" i="70"/>
  <c r="D24" i="70"/>
  <c r="D17" i="70"/>
  <c r="F22" i="70"/>
  <c r="D26" i="114" l="1"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I18" i="114"/>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G25" i="113"/>
  <c r="G24" i="113"/>
  <c r="F25" i="113"/>
  <c r="F24" i="113"/>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30" i="113" a="1"/>
  <c r="E27" i="114" a="1"/>
  <c r="E7" i="114" a="1"/>
  <c r="E7" i="113" a="1"/>
  <c r="E50" i="114"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D30" i="70"/>
  <c r="E22" i="70"/>
  <c r="E7" i="69" a="1"/>
  <c r="O27" i="74" a="1"/>
  <c r="E30" i="69" a="1"/>
  <c r="N65" i="69" a="1"/>
  <c r="E7" i="74" a="1"/>
  <c r="N8" i="69" a="1"/>
  <c r="E27" i="74" a="1"/>
  <c r="N42" i="69" a="1"/>
  <c r="J16" i="74" l="1" a="1"/>
  <c r="J16" i="74" s="1"/>
  <c r="E19" i="120"/>
  <c r="J17" i="74" a="1"/>
  <c r="J17" i="74" s="1"/>
  <c r="J18" i="74" a="1"/>
  <c r="J18" i="74" s="1"/>
  <c r="O27" i="74"/>
  <c r="J14" i="74" a="1"/>
  <c r="J14" i="74" s="1"/>
  <c r="J15" i="74" a="1"/>
  <c r="J15" i="74" s="1"/>
  <c r="E18" i="70" a="1"/>
  <c r="E18" i="70" s="1"/>
  <c r="E27" i="74"/>
  <c r="E7" i="74"/>
  <c r="O77" i="69"/>
  <c r="O59" i="69"/>
  <c r="N65" i="69"/>
  <c r="N42" i="69"/>
  <c r="I19" i="69" a="1"/>
  <c r="I19" i="69" s="1"/>
  <c r="I18" i="69" a="1"/>
  <c r="I18" i="69" s="1"/>
  <c r="I20" i="69" a="1"/>
  <c r="I20" i="69" s="1"/>
  <c r="E30" i="69"/>
  <c r="N8" i="69"/>
  <c r="E7" i="69"/>
  <c r="T14" i="74" l="1"/>
  <c r="O21" i="74" s="1" a="1"/>
  <c r="O21" i="74" s="1"/>
  <c r="E20" i="120"/>
  <c r="E19" i="70"/>
  <c r="E20" i="70" s="1"/>
  <c r="I14" i="114"/>
  <c r="E21" i="114" s="1" a="1"/>
  <c r="E21" i="114" s="1"/>
  <c r="E21" i="74" a="1"/>
  <c r="E21" i="74" s="1"/>
  <c r="E25" i="113" s="1"/>
  <c r="Q18" i="69"/>
  <c r="I14" i="69"/>
  <c r="E30" i="70"/>
  <c r="E44" i="70" s="1"/>
  <c r="T33" i="74" l="1"/>
  <c r="O25" i="113"/>
  <c r="I33" i="114"/>
  <c r="I56" i="114"/>
  <c r="J33" i="74"/>
  <c r="E36" i="70"/>
  <c r="E35" i="70" s="1"/>
  <c r="N21" i="69" s="1" a="1"/>
  <c r="N21" i="69" s="1"/>
  <c r="S33" i="69" s="1"/>
  <c r="N36" i="69" s="1" a="1"/>
  <c r="N36" i="69" s="1"/>
  <c r="R52" i="69" s="1"/>
  <c r="N59" i="69" s="1" a="1"/>
  <c r="N59" i="69" s="1"/>
  <c r="E40" i="70"/>
  <c r="R71" i="69" l="1"/>
  <c r="O24" i="113"/>
  <c r="E46" i="70"/>
  <c r="A20" i="118"/>
  <c r="A8" i="118"/>
  <c r="A5" i="118"/>
  <c r="A4" i="118"/>
  <c r="A3" i="118"/>
  <c r="A67" i="114" l="1"/>
  <c r="A46" i="114"/>
  <c r="A44" i="70"/>
  <c r="A83" i="69"/>
  <c r="A76" i="74"/>
  <c r="A45" i="74"/>
  <c r="A34" i="113"/>
  <c r="A55" i="113"/>
  <c r="I17" i="69" l="1" a="1"/>
  <c r="I17" i="69" s="1"/>
  <c r="E24" i="69" s="1" a="1"/>
  <c r="E24" i="69" s="1"/>
  <c r="E24" i="113" s="1"/>
  <c r="S24" i="113" a="1"/>
  <c r="S24" i="113" s="1"/>
  <c r="N45" i="113" s="1"/>
  <c r="E62" i="114" a="1"/>
  <c r="E62" i="114" s="1"/>
  <c r="I24" i="113" l="1" a="1"/>
  <c r="I24" i="113" s="1"/>
  <c r="D45" i="113" s="1"/>
  <c r="H64" i="114"/>
  <c r="E67" i="114" s="1" a="1"/>
  <c r="E67" i="114" s="1"/>
  <c r="H13" i="13" s="1"/>
  <c r="I13" i="13" s="1"/>
  <c r="E13" i="13"/>
  <c r="F13" i="13" s="1"/>
  <c r="E39" i="114" a="1"/>
  <c r="E39" i="114"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E12" i="13"/>
  <c r="F12" i="13" s="1"/>
  <c r="E29" i="15"/>
  <c r="J34" i="74" s="1" a="1"/>
  <c r="J34" i="74" s="1"/>
  <c r="O48" i="113" l="1"/>
  <c r="Q50" i="113" s="1"/>
  <c r="O53" i="113" s="1" a="1"/>
  <c r="O53" i="113" s="1"/>
  <c r="I11" i="13" s="1"/>
  <c r="E48" i="113"/>
  <c r="E11" i="13" s="1"/>
  <c r="O40" i="74" a="1"/>
  <c r="O40" i="74" s="1"/>
  <c r="E40" i="74" a="1"/>
  <c r="E40" i="74" s="1"/>
  <c r="I37" i="69" a="1"/>
  <c r="I37" i="69" s="1"/>
  <c r="E42" i="69" s="1" a="1"/>
  <c r="E42" i="69" s="1"/>
  <c r="R72" i="69" a="1"/>
  <c r="R72" i="69" s="1"/>
  <c r="N77" i="69" s="1" a="1"/>
  <c r="N77" i="69" s="1"/>
  <c r="E13" i="15"/>
  <c r="F11" i="13" l="1"/>
  <c r="G50" i="113"/>
  <c r="E53" i="113" s="1" a="1"/>
  <c r="E53" i="113" s="1"/>
  <c r="H11" i="13" s="1"/>
  <c r="G42" i="74"/>
  <c r="E45" i="74" s="1" a="1"/>
  <c r="E45" i="74" s="1"/>
  <c r="H10" i="13" s="1"/>
  <c r="E10" i="13"/>
  <c r="Q42" i="74"/>
  <c r="O45" i="74" s="1" a="1"/>
  <c r="O45" i="74" s="1"/>
  <c r="I10" i="13" s="1"/>
  <c r="F10" i="13"/>
  <c r="G44" i="69"/>
  <c r="E47" i="69" s="1" a="1"/>
  <c r="E47" i="69" s="1"/>
  <c r="H9" i="13" s="1"/>
  <c r="E9" i="13"/>
  <c r="P79" i="69"/>
  <c r="N82" i="69" s="1" a="1"/>
  <c r="N82" i="69" s="1"/>
  <c r="I9" i="13" s="1"/>
  <c r="F9"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<sst xmlns="http://schemas.openxmlformats.org/spreadsheetml/2006/main" count="383" uniqueCount="235">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</sst>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8.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9" sqref="I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'6.1.1.1-2 Crop residue N2O'!E42</f>
        <v>2.3377199999999997E-2</v>
      </c>
      <c r="F9" s="125">
        <f>'6.1.1.1-2 Crop residue N2O'!N77</f>
        <v>2.3377199999999997E-2</v>
      </c>
      <c r="G9" s="52" t="s">
        <v>100</v>
      </c>
      <c r="H9" s="100">
        <f>'6.1.1.1-2 Crop residue N2O'!E47</f>
        <v>6.1949579999999989</v>
      </c>
      <c r="I9" s="100">
        <f>'6.1.1.1-2 Crop residue N2O'!N82</f>
        <v>6.1949579999999989</v>
      </c>
      <c r="J9" s="52" t="s">
        <v>92</v>
      </c>
      <c r="K9" s="22"/>
    </row>
    <row r="10" spans="1:11" ht="20.100000000000001" customHeight="1" x14ac:dyDescent="0.25">
      <c r="A10" s="17" t="str">
        <f>HYPERLINK("#'Input - Pasture'!A1", "Pasture")</f>
        <v>Pasture</v>
      </c>
      <c r="C10" s="22"/>
      <c r="D10" s="1" t="s">
        <v>218</v>
      </c>
      <c r="E10" s="144">
        <f>'6.2.1.1-2 Pasture residue N2O'!E40</f>
        <v>5.8320428571428569E-7</v>
      </c>
      <c r="F10" s="144">
        <f>'6.2.1.1-2 Pasture residue N2O'!O40</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'6.3.1.1-2 Leaching and runoff'!E48</f>
        <v>1.2343469531862857E-2</v>
      </c>
      <c r="F11" s="125">
        <f>'6.3.1.1-2 Leaching and runoff'!O48</f>
        <v>1.2343469531862857E-2</v>
      </c>
      <c r="G11" s="52" t="s">
        <v>100</v>
      </c>
      <c r="H11" s="100">
        <f>'6.3.1.1-2 Leaching and runoff'!E53</f>
        <v>3.2710194259436571</v>
      </c>
      <c r="I11" s="100">
        <f>'6.3.1.1-2 Leaching and runoff'!O53</f>
        <v>3.2710194259436571</v>
      </c>
      <c r="J11" s="52" t="s">
        <v>92</v>
      </c>
      <c r="K11" s="22"/>
    </row>
    <row r="12" spans="1:11" ht="20.100000000000001" customHeight="1" x14ac:dyDescent="0.25">
      <c r="A12" s="19" t="s">
        <v>69</v>
      </c>
      <c r="C12" s="22"/>
      <c r="D12" s="1" t="s">
        <v>220</v>
      </c>
      <c r="E12" s="125">
        <f>'6.4.1.1-2 Residue burning'!E39</f>
        <v>4.4692560000000004E-3</v>
      </c>
      <c r="F12" s="125">
        <f>E12</f>
        <v>4.4692560000000004E-3</v>
      </c>
      <c r="G12" s="52" t="s">
        <v>100</v>
      </c>
      <c r="H12" s="100">
        <f>'6.4.1.1-2 Residue burning'!E44</f>
        <v>1.1843528400000001</v>
      </c>
      <c r="I12" s="100">
        <f>H12</f>
        <v>1.1843528400000001</v>
      </c>
      <c r="J12" s="52" t="s">
        <v>92</v>
      </c>
      <c r="K12" s="22"/>
    </row>
    <row r="13" spans="1:11" ht="20.100000000000001" customHeight="1" x14ac:dyDescent="0.25">
      <c r="A13" s="17" t="str">
        <f>HYPERLINK("#'6.1.1.1-2 Crop residue N2O'!A1", "6.1.1.1-2 Crop residue N2O")</f>
        <v>6.1.1.1-2 Crop residue N2O</v>
      </c>
      <c r="C13" s="22"/>
      <c r="D13" s="1" t="s">
        <v>220</v>
      </c>
      <c r="E13" s="125">
        <f>'6.4.1.1-2 Residue burning'!E62</f>
        <v>0.116424</v>
      </c>
      <c r="F13" s="125">
        <f>E13</f>
        <v>0.116424</v>
      </c>
      <c r="G13" s="52" t="s">
        <v>221</v>
      </c>
      <c r="H13" s="100">
        <f>'6.4.1.1-2 Residue burning'!E67</f>
        <v>3.2598720000000001</v>
      </c>
      <c r="I13" s="100">
        <f>H13</f>
        <v>3.2598720000000001</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13.910356815079371</v>
      </c>
      <c r="I14" s="101">
        <f>SUM(I9:I13)</f>
        <v>13.910356815079371</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9" zoomScale="85" zoomScaleNormal="85" workbookViewId="0">
      <selection activeCell="E18" sqref="E18"/>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3.5</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5.25</v>
      </c>
      <c r="F19" s="2" t="s">
        <v>139</v>
      </c>
    </row>
    <row r="20" spans="1:6" ht="20.100000000000001" customHeight="1" x14ac:dyDescent="0.25">
      <c r="A20" s="17" t="str">
        <f>HYPERLINK("#'Constants - Common'!A1", "Constants - Common")</f>
        <v>Constants - Common</v>
      </c>
      <c r="D20" s="1" t="s">
        <v>138</v>
      </c>
      <c r="E20" s="50">
        <f>E17+E19</f>
        <v>8.75</v>
      </c>
      <c r="F20" s="2" t="s">
        <v>139</v>
      </c>
    </row>
    <row r="21" spans="1:6" ht="20.100000000000001" customHeight="1" x14ac:dyDescent="0.25"/>
    <row r="22" spans="1:6" ht="20.100000000000001" customHeight="1" x14ac:dyDescent="0.25">
      <c r="D22" s="51" t="s">
        <v>232</v>
      </c>
      <c r="E22" s="50">
        <f>E17*E13</f>
        <v>350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525</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875</v>
      </c>
      <c r="F35" s="2" t="s">
        <v>149</v>
      </c>
    </row>
    <row r="36" spans="1:8" ht="20.100000000000001" customHeight="1" x14ac:dyDescent="0.25">
      <c r="D36" s="51" t="s">
        <v>150</v>
      </c>
      <c r="E36" s="50">
        <f>E30*E33</f>
        <v>52.5</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5.25</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157.5</v>
      </c>
      <c r="F44" s="2" t="s">
        <v>142</v>
      </c>
    </row>
    <row r="45" spans="1:8" ht="20.100000000000001" customHeight="1" x14ac:dyDescent="0.25"/>
    <row r="46" spans="1:8" ht="20.100000000000001" customHeight="1" x14ac:dyDescent="0.25">
      <c r="D46" s="1" t="s">
        <v>157</v>
      </c>
      <c r="E46" s="50">
        <f>E30-E36-E40-E44</f>
        <v>309.75</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9" sqref="E1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abSelected="1" zoomScaleNormal="100" workbookViewId="0">
      <selection activeCell="I22" sqref="I2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X_Cell_Crop_TotalProductionOfCrop*10^3</f>
        <v>350000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
      </c>
      <c r="P15" s="111" t="str">
        <v>Input</v>
      </c>
      <c r="Q15" s="139">
        <f>X_Cell_Crop_NumberOfBales</f>
        <v>875</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fraction</v>
      </c>
      <c r="H16" s="111" t="str">
        <v>Input</v>
      </c>
      <c r="I16" s="117">
        <f>X_Cell_Crop_PercentResidueBurned</f>
        <v>0.3</v>
      </c>
      <c r="L16" s="22"/>
      <c r="M16" s="117" t="str">
        <v>M_B</v>
      </c>
      <c r="N16" s="117" t="str">
        <v>mass of each bale</v>
      </c>
      <c r="O16" s="117" t="str">
        <v>kg</v>
      </c>
      <c r="P16" s="111" t="str">
        <v>Input</v>
      </c>
      <c r="Q16" s="117">
        <f>X_Cell_Crop_AverageWeightPerBale</f>
        <v>60</v>
      </c>
    </row>
    <row r="17" spans="1:17" ht="20.100000000000001" customHeight="1" x14ac:dyDescent="0.25">
      <c r="A17" s="17"/>
      <c r="D17" s="117" t="str">
        <v>FFOD_c</v>
      </c>
      <c r="E17" s="121" t="str">
        <v>fraction of the crop residue that is removed for crop c</v>
      </c>
      <c r="F17" s="120"/>
      <c r="G17" s="117" t="str">
        <v>fraction</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X_Cell_Crop_TotalProductionOfCrop*10^3</f>
        <v>350000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
      </c>
      <c r="P18" s="110" t="str">
        <v>Constant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tr">
        <f>X_Cell_Crop_CropType</f>
        <v>Wheat</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X_Cell_Crop_CropType</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Common_InputFunctions.Utility_ConvertStateCommonNameToAbbreviation(X_Cell_Site_State,Table_AustralianStates[Common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2975.2799999999997</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X_Cell_Crop_PercentResidueGrazed</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2975.2799999999997</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X_Cell_Crop_CropType</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X_Cell_Site_WetOrDryClimateZone</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2.3377199999999997E-2</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2.3377199999999997E-2</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6.1949579999999989</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
      </c>
      <c r="Q49" s="110" t="str">
        <v>Constant</v>
      </c>
      <c r="R49" s="117"/>
    </row>
    <row r="50" spans="10:20" ht="20.100000000000001" customHeight="1" x14ac:dyDescent="0.25">
      <c r="J50" s="22"/>
      <c r="M50" s="117" t="str">
        <v>R_BGc</v>
      </c>
      <c r="N50" s="121" t="str">
        <v>below ground-residue to above ground residue ratio for crop c</v>
      </c>
      <c r="O50" s="120"/>
      <c r="P50" s="117" t="str">
        <v/>
      </c>
      <c r="Q50" s="110" t="str">
        <v>Constant</v>
      </c>
      <c r="R50" s="117"/>
    </row>
    <row r="51" spans="10:20" ht="20.100000000000001" customHeight="1" x14ac:dyDescent="0.25">
      <c r="J51" s="22"/>
      <c r="M51" s="117" t="str">
        <v>F_c</v>
      </c>
      <c r="N51" s="121" t="str">
        <v>fraction of crop residue that is burnt for crop c</v>
      </c>
      <c r="O51" s="120"/>
      <c r="P51" s="117" t="str">
        <v>fraction</v>
      </c>
      <c r="Q51" s="111" t="str">
        <v>Input</v>
      </c>
      <c r="R51" s="117"/>
    </row>
    <row r="52" spans="10:20" ht="20.100000000000001" customHeight="1" x14ac:dyDescent="0.25">
      <c r="J52" s="22"/>
      <c r="M52" s="117" t="str">
        <v>FFOD_c</v>
      </c>
      <c r="N52" s="121" t="str">
        <v>fraction of the crop residue that is removed for crop c</v>
      </c>
      <c r="O52" s="120"/>
      <c r="P52" s="117" t="str">
        <v>fraction</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2975.2799999999997</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2975.2799999999997</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tr">
        <f>X_Cell_Crop_CropType</f>
        <v>Wheat</v>
      </c>
    </row>
    <row r="75" spans="12:18" ht="20.100000000000001" customHeight="1" x14ac:dyDescent="0.25">
      <c r="L75" s="22"/>
      <c r="M75" s="117" t="str">
        <v>i</v>
      </c>
      <c r="N75" s="121" t="str">
        <v>Wet or dry climate zone</v>
      </c>
      <c r="O75" s="120"/>
      <c r="P75" s="117" t="str">
        <v/>
      </c>
      <c r="Q75" s="111" t="str">
        <v>Input</v>
      </c>
      <c r="R75" s="117" t="str">
        <f>X_Cell_Site_WetOrDryClimateZone</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2.3377199999999997E-2</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2.3377199999999997E-2</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6.1949579999999989</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I1" zoomScaleNormal="100" workbookViewId="0">
      <selection activeCell="J38" sqref="J3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X_Cell_Pasture_AreaRemovedOrRenewed</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'Input - Pasture'!$E$19</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fraction</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fraction</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X_Cell_Pasture_PastureType</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X_Cell_Pasture_PastureType</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X_Cell_Site_WetOrDryClimateZone</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I1" workbookViewId="0">
      <selection activeCell="J18" sqref="J1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X_Cell_Crop_CropType</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X_Cell_Pasture_PastureType</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X_Cell_Crop_CropType</f>
        <v>Wheat</v>
      </c>
      <c r="K39" s="22"/>
    </row>
    <row r="40" spans="1:17" ht="20.100000000000001" customHeight="1" x14ac:dyDescent="0.25">
      <c r="C40" s="22"/>
      <c r="D40" s="117" t="str">
        <v>p</v>
      </c>
      <c r="E40" s="121" t="str">
        <v>Pasture residue type</v>
      </c>
      <c r="F40" s="122"/>
      <c r="G40" s="120"/>
      <c r="H40" s="117" t="str">
        <v/>
      </c>
      <c r="I40" s="111" t="str">
        <v>Input</v>
      </c>
      <c r="J40" s="117" t="str">
        <f>X_Cell_Pasture_PastureType</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1.2343469531862857E-2</v>
      </c>
      <c r="F48" s="95" t="str">
        <f>$E$34</f>
        <v>t N2O</v>
      </c>
      <c r="G48" s="22"/>
      <c r="H48" s="22"/>
      <c r="I48" s="22"/>
      <c r="J48" s="22"/>
      <c r="K48" s="22"/>
      <c r="N48" s="142" t="s">
        <v>199</v>
      </c>
      <c r="O48" s="143">
        <f>SUM(O45:O46)</f>
        <v>1.2343469531862857E-2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1.2343469531862857E-2</v>
      </c>
      <c r="N50" s="54" t="str" cm="1">
        <f t="array" ref="N50:O51">Common_Equations.Common_ConvertN2OToCO2e_Arguments()</f>
        <v>EN2O</v>
      </c>
      <c r="O50" s="55" t="str">
        <v>Nitrous oxide emissions (t N2O)</v>
      </c>
      <c r="P50" s="96"/>
      <c r="Q50" s="50">
        <f>O48</f>
        <v>1.2343469531862857E-2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3.2710194259436571</v>
      </c>
      <c r="F53" s="97" t="str" cm="1">
        <f t="array" ref="F53">Common_Equations.Common_ConvertN2OToCO2e_Unit()</f>
        <v>t CO2e</v>
      </c>
      <c r="I53" s="22"/>
      <c r="N53" s="44" t="s">
        <v>79</v>
      </c>
      <c r="O53" s="44" cm="1">
        <f t="array" ref="O53">Common_Equations.Common_ConvertN2OToCO2e(Q50,Q51)</f>
        <v>3.2710194259436571</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opLeftCell="A2" workbookViewId="0">
      <selection activeCell="I13" sqref="I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X_Cell_Crop_TotalProductionOfCrop*10^3</f>
        <v>350000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fraction</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fraction</v>
      </c>
      <c r="H18" s="110" t="str">
        <v>Constant</v>
      </c>
      <c r="I18" s="117">
        <f>'Input - Crop'!$E$43</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X_Cell_Crop_CropType</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62370</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62370</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X_Cell_Crop_CropType</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4.4692560000000004E-3</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4.4692560000000004E-3</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1.1843528400000001</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62370</v>
      </c>
    </row>
    <row r="57" spans="4:9" ht="20.100000000000001" customHeight="1" x14ac:dyDescent="0.25">
      <c r="D57" s="117" t="str">
        <v>CC_c</v>
      </c>
      <c r="E57" s="121" t="str">
        <v>carbon mass fraction in the residues of crop type c</v>
      </c>
      <c r="F57" s="120"/>
      <c r="G57" s="117" t="str">
        <v>fraction</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X_Cell_Crop_CropType</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0.116424</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0.116424</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3.2598720000000001</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36" zoomScaleNormal="100" workbookViewId="0">
      <selection activeCell="D52" sqref="D52:D5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JwBOAC8AQQAn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JwBBAGwAbAAgAG8AdABoAGUAcgAgAGMAcgBvAHAAIAB0AHkAcABlAHMAJwAgAGkAbgB0AG8AIABpAG4AZABpAHYAaQBkAHUAYQBsACAAYwByAG8AcAAgAHQAeQBwAGUAcwAgAGYAbwByACAAZQBhAGMAaAAgAHMAdABhAHQAZQAuACAATABpAHMAdABlAGQAIABhAGwAbAAgAHMAdABhAHQAZQBzACAAZgBvAHIAIABTAHUAZwBhAHIAIABDAGEAbgBlACwAIAB3AGkAdABoACAAJwBOAC8AQQAn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CcAYgBhAGwAZQBkAC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UgBlAHMAaQBkAHUAZQ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fAGwAZQBhAGMAaABjAHAAIAA9ACAAbQBhAHMAcwAgAG8AZgAgAG4AaQB0AHIAbwBnAGUAbgAgAGwAbwBzAHQAIAB0AGgAcgBvAHUAZwBoACAAbABlAGEAYwBoAGkAbgBnACAAYQBuAGQAIAByAHUAbgBvAGYAZgAgAGYAcgBvAG0AIAB0AGgAZQAgAGMAcgBvAHAAIAByAGUAcwBpAGQAdQBlACAAYwAgAG8AcgAgAHAAYQBzAHQAdQByAGUAIAByAGUAcwBpAGQAdQBlACAAcAAgACgAawBnACAATgApAFwAbgBFAEYAXw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fAGwAZQBhAGMAaABjAHAALAAgAEUARgBfAGwAZQBhAGMAaAAsACAAQwBfAE4AMgBPACwAXABuACAAIAAgACAAKABNAF8AbABlAGEAYwBoAGMAcAAgACoAIABFAEYAXwBsAGUAYQBjAGgAKQAgACoAIABDAF8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wAXABuAG8AbABpAG0AaQB0AHMAXwBjAFwAXABzAHUAbQBcAFwAbgBvAGwAaQBtAGkAdABzAF8AcAAoAE0AXwB7AGwAZQBhAGMAaAAsAGMAcAB9AFwAXAB0AGkAbQBlAHMAIABFAEYAXwB7AGwAZQBhAGMAaAB9AFwAXAB0AGkAbQBlAHMAIABD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NAAsACAAXABuACAAIAAgACAAIAAgAEwAQQBNAEIARABBACgAcgAsAGMALAAgAFwAbgAgACAAIAAgACAAIAAgACAASQBOAEQARQBYACgAewBcAG4AIAAgACAAIAAgACAAIAAgACAAIABcACIATQBf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XAAiACwAIABcACIAawBnACAATgBcACIALAAgAFwAIgBDAGEAbABjAHUAbABhAHQAZQBkACAAZgByAG8AbQAgADYALgAzAC4AMQAuADE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XwBsAGUAYQBjAGgAYwBwAFwAbgBrAGcAIABOAFwAbgBNAF8AewBsAGUAYQBjAGgALABjAHAAfQA9AE0AXwB7AGMAcAB9AFwAXAB0AGkAbQBlAHMAIABGAHIAYQBjAFcARQBUAF8AewBqAH0AXABcAHQAaQBtAGUAcwAgAEYAcgBhAGMATABFAEEAQwBIAFwAbgBNAF8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XwBjAHAALAAgAEYAcgBhAGMAVwBFAFQAXwBqACwAIABGAHIAYQBjAEwARQBBAEMASAAsAFwAbgAgACAAIAAgAE0AXwBjAHAAIAAqACAARgByAGEAYwBXAEUAVABfAGo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F8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a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QALAAgAFwAbgAgACAAIAAgACAAIABMAEEATQBCAEQAQQAoAHIALABjACwAIABcAG4AIAAgACAAIAAgACAAIAAgAEkATgBEAEUAWAAoAHsAXABuACAAIAAgACAAIAAgACAAIAAgACAAXAAiAE0AXwBjAHAAXAAiACwAXAAiAG0AYQBzAHMAIABvAGYAIABuAGkAdAByAG8AZwBlAG4AIABpAG4AIABjAHIAbwBwACAAcgBlAHMAaQBkAHUAZQBzACAAYwAgAG8AcgAgAHAAYQBzAHQAdQByAGUAIAByAGUAcwBpAGQAdQBlAHMAIABwACAAYQBwAHAAbABpAGUAZAAgAHQAbwAgAHMAbwBpAGwAcwBcACIALAAgAFwAIgBrAGcAIABOAFwAIgAsACAAXAAiAEMAYQBsAGMAIABmAHIAbwBtACAANgAuADEALgAxAC4AMQAgACgAMgApACAAYQBuAGQAIAA2AC4AMgAuADEALgAxACAAKAAyACkAXAAiADsAXABuACAAIAAgACAAIAAgACAAIAAgACAAXAAiAEYAcgBhAGMAVwBFAFQAXwBqAFwAIgAs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EwAbwBjAGEAdABpAG8AbgAgAGkAbgAgAGwAZQBhAGMAaABpAG4AZwAgAHoAbwBuAGUAXAAiACwAIABcACIAXAAiACwAIABcACIASQBuAHAAdQB0AFwAIgA7AFwAbgAgACAAIAAgACAAIAAgACAAIAAgAFwAIgBjAFwAIgAsAFwAIgBDAHIAbwBwACAAcgBlAHMAaQBkAHUAZQAgAHQAeQBwAGUAXAAiACwAIABcACIAXAAiACwAIABcACIASQBuAHAAdQB0AFwAIgA7AFwAbgAgACAAIAAgACAAIAAgACAAIAAgAFwAIgBwAFwAIgAsAFwAIgBQAGEAcwB0AHUAcgBlACAAcgBlAHMAaQBkAHUAZQAgAHQAeQBwAGUAXAAiACwAIABcACIAXAAiACwAIABcACIASQBuAHAAdQB0AFwAIgA7AFwAbgAgACAAIAAgACAAIAAgACAAIAAgAFwAIgBpAHIAXAAiACwAIABcACIASQByAHIAaQBnAGEAdABpAG8AbgAgAHQAeQBwAGUAXAAiACwAIABcACIAXAAiACwAIABcACIASQBuAHAAdQB0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wAIgApADsAXABuAFwAbgBcAG4AXABu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44</vt:i4>
      </vt:variant>
    </vt:vector>
  </HeadingPairs>
  <TitlesOfParts>
    <vt:vector size="56"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lpstr>M1_Table_E_N2O</vt:lpstr>
      <vt:lpstr>M1_Table_E_N2O_Consumer_1</vt:lpstr>
      <vt:lpstr>M1_Table_M_leach_cp</vt:lpstr>
      <vt:lpstr>M2_Table_M_leach_cp</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VEERG_6_3_1_1__1__LeachingAndRunoffEmissionsCropAndPastureResidue_Result_Method1</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X_Cell_Crop_TotalProductionOfCrop</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