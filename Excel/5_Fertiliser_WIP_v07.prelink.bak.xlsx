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5C82626F-C970-48E8-9388-39FFBB5C09CA}" xr6:coauthVersionLast="47" xr6:coauthVersionMax="47" xr10:uidLastSave="{00000000-0000-0000-0000-000000000000}"/>
  <bookViews>
    <workbookView xWindow="1560" yWindow="1560" windowWidth="21600" windowHeight="12645" firstSheet="8" activeTab="10" xr2:uid="{992023F3-CAB7-4E5B-A348-08D563A0EF40}"/>
  </bookViews>
  <sheets>
    <sheet name="Home" sheetId="71" r:id="rId1"/>
    <sheet name="Overview" sheetId="118" r:id="rId2"/>
    <sheet name="Results" sheetId="13" r:id="rId3"/>
    <sheet name="Input - Site" sheetId="15" r:id="rId4"/>
    <sheet name="Input - Fertiliser" sheetId="70" r:id="rId5"/>
    <sheet name="5.1.1.1-2 Inorganic fert N2O" sheetId="69" r:id="rId6"/>
    <sheet name="5.1.1.3-4 Inorganic fert CO2" sheetId="74" r:id="rId7"/>
    <sheet name="5.2.1.1-2 Organic Fert N2O" sheetId="113" r:id="rId8"/>
    <sheet name="5.3.1.1-2 Lime CO2" sheetId="114" r:id="rId9"/>
    <sheet name="5.4.1.1-4 Atmos deposition" sheetId="115" r:id="rId10"/>
    <sheet name="5.5.1.1-2 Leaching and runoff" sheetId="116" r:id="rId11"/>
    <sheet name="Constants - Fertiliser" sheetId="110" r:id="rId12"/>
    <sheet name="Constants - Common" sheetId="119" r:id="rId13"/>
  </sheets>
  <definedNames>
    <definedName name="_Toc225350871" localSheetId="9">'5.4.1.1-4 Atmos deposition'!$C$1</definedName>
    <definedName name="_Toc225350871" localSheetId="10">'5.5.1.1-2 Leaching and runoff'!$C$1</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2">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2">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2">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2">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2">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NH3â€“N + NOxâ€“N)/kg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_xlfn.LAMBDA(_xlfn.MAKEARRAY(39,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M1_Table_E_CO2">'5.1.1.3-4 Inorganic fert CO2'!$D$57:$E$76</definedName>
    <definedName name="M1_Table_E_N2O">'5.1.1.1-2 Inorganic fert N2O'!$D$59:$E$78</definedName>
    <definedName name="M2_Table_FertApplications">'5.1.1.1-2 Inorganic fert N2O'!$M$44:$W$54</definedName>
    <definedName name="Range_LivestockStartingValues">#REF!</definedName>
    <definedName name="Step1">#REF!</definedName>
    <definedName name="Step2">#REF!</definedName>
    <definedName name="Step3">#REF!</definedName>
    <definedName name="Table_E_ad_inorganic">'5.4.1.1-4 Atmos deposition'!$D$58:$F$77</definedName>
    <definedName name="Table_E_ad_organic">'5.4.1.1-4 Atmos deposition'!$D$133:$F$136</definedName>
    <definedName name="Table_E_lime">'5.3.1.1-2 Lime CO2'!$D$24:$H$27</definedName>
    <definedName name="Table_M_leach_inorganic_j">'5.5.1.1-2 Leaching and runoff'!$D$22:$F$41</definedName>
    <definedName name="Table_M_leach_organic_j">'5.5.1.1-2 Leaching and runoff'!$D$64:$F$75</definedName>
    <definedName name="Table_M_vol_inorganic_j_f">'5.4.1.1-4 Atmos deposition'!$D$18:$H$37</definedName>
    <definedName name="Table_M_vol_organic_j_f">'5.4.1.1-4 Atmos deposition'!$D$101:$F$104</definedName>
    <definedName name="Table_MN_j_f">'5.1.1.1-2 Inorganic fert N2O'!$D$18:$G$37</definedName>
    <definedName name="Table_MNSoil_j_f">'5.2.1.1-2 Organic Fert N2O'!$D$19:$I$22</definedName>
    <definedName name="Table_MU_j_f">'5.1.1.3-4 Inorganic fert CO2'!$D$18:$G$37</definedName>
    <definedName name="VEERG_5_1_1_1__1_InorganicFertiliserApplicationN2OEmissions_Result_Method1">'5.1.1.1-2 Inorganic fert N2O'!$E$80</definedName>
    <definedName name="VEERG_5_1_1_1__1_InorganicFertiliserApplicationN2OEmissions_Result_Method2">'5.1.1.1-2 Inorganic fert N2O'!$N$88</definedName>
    <definedName name="VEERG_5_1_1_3__1_InorganicFertiliserApplicationCO2Emissions_Result_Method1">'5.1.1.3-4 Inorganic fert CO2'!$E$78</definedName>
    <definedName name="VEERG_5_2_1_1__2_MassOfNitrogenInOrganicFertiliser_Result_Method1">'5.2.1.1-2 Organic Fert N2O'!$E$50</definedName>
    <definedName name="VEERG_5_3_1_1__1_LimeApplicationCO2Emissions_Result_Method1">'5.3.1.1-2 Lime CO2'!$E$31</definedName>
    <definedName name="VEERG_5_4_1_1__1_InorganicFertiliserAtmosphericDepositionN2OEmissions_Result_Method1">'5.4.1.1-4 Atmos deposition'!$E$79</definedName>
    <definedName name="VEERG_5_4_1_3__1_OrganicFertiliserAtmosphericDepositionN2OEmissions_Result_Method1">'5.4.1.1-4 Atmos deposition'!$E$146</definedName>
    <definedName name="VEERG_5_5_1_1__1_FertiliserLeachingAndRunoffN2OEmissions_result_Method1">'5.5.1.1-2 Leaching and runoff'!$E$94</definedName>
    <definedName name="X_Cell_Fertiliser_AreaUnderCropping">'Input - Fertiliser'!$E$9</definedName>
    <definedName name="X_Cell_Fertiliser_CropType">'Input - Fertiliser'!$E$7</definedName>
    <definedName name="X_Cell_Fertiliser_IrrigationMethod">'Input - Fertiliser'!$E$8</definedName>
    <definedName name="X_Cell_Fertiliser_ProductionSystem">'Input - Fertiliser'!$E$6</definedName>
    <definedName name="X_Cell_Site_AverageTemperature">'Input - Site'!$E$25</definedName>
    <definedName name="X_Cell_Site_ClimateZone">'Input - Site'!$E$31</definedName>
    <definedName name="X_Cell_Site_Elevation">'Input - Site'!$E$24</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0" i="116" l="1"/>
  <c r="I59" i="116"/>
  <c r="I58" i="116"/>
  <c r="I18" i="116"/>
  <c r="I17" i="116"/>
  <c r="I16" i="116"/>
  <c r="J54" i="115"/>
  <c r="J53" i="115"/>
  <c r="J52" i="115"/>
  <c r="I129" i="115"/>
  <c r="I128" i="115"/>
  <c r="I127" i="115"/>
  <c r="K48" i="113"/>
  <c r="K47" i="113"/>
  <c r="I52" i="74"/>
  <c r="S74" i="69"/>
  <c r="S73" i="69"/>
  <c r="S71" i="69"/>
  <c r="S70" i="69"/>
  <c r="I55" i="69"/>
  <c r="I54" i="69"/>
  <c r="I52" i="69"/>
  <c r="H18" i="70"/>
  <c r="H19" i="70"/>
  <c r="H20" i="70"/>
  <c r="H21" i="70"/>
  <c r="H22" i="70"/>
  <c r="F39" i="70" l="1"/>
  <c r="G39" i="70" s="1"/>
  <c r="K39" i="70"/>
  <c r="F28" i="70"/>
  <c r="G28" i="70" s="1"/>
  <c r="P28" i="70"/>
  <c r="G50" i="70"/>
  <c r="H50" i="70"/>
  <c r="I50" i="70" s="1"/>
  <c r="K45" i="113"/>
  <c r="W54" i="69"/>
  <c r="W53" i="69"/>
  <c r="E30" i="15"/>
  <c r="E33" i="15"/>
  <c r="E32" i="15"/>
  <c r="E31" i="15"/>
  <c r="J92" i="116"/>
  <c r="I126" i="115"/>
  <c r="J51" i="115"/>
  <c r="I20" i="114"/>
  <c r="K46" i="113"/>
  <c r="I51" i="74"/>
  <c r="S69" i="69"/>
  <c r="I51" i="69"/>
  <c r="G97" i="116"/>
  <c r="G149" i="115"/>
  <c r="G82" i="115"/>
  <c r="G53" i="113"/>
  <c r="P91" i="69"/>
  <c r="G83" i="69"/>
  <c r="E259" i="119" a="1"/>
  <c r="E259" i="119" s="1"/>
  <c r="D259" i="119" a="1"/>
  <c r="D259" i="119" s="1"/>
  <c r="E258" i="119" a="1"/>
  <c r="E258" i="119" s="1"/>
  <c r="D258" i="119" a="1"/>
  <c r="D258" i="119" s="1"/>
  <c r="D256" i="119" a="1"/>
  <c r="D256" i="119" s="1"/>
  <c r="D255" i="119" a="1"/>
  <c r="D255" i="119" s="1"/>
  <c r="D254" i="119" a="1"/>
  <c r="D254" i="119" s="1"/>
  <c r="D253" i="119" a="1"/>
  <c r="D253" i="119" s="1"/>
  <c r="S250" i="119" a="1"/>
  <c r="S250" i="119" s="1"/>
  <c r="R250" i="119" a="1"/>
  <c r="R250" i="119" s="1"/>
  <c r="Q250" i="119" a="1"/>
  <c r="Q250" i="119" s="1"/>
  <c r="P250" i="119" a="1"/>
  <c r="P250" i="119" s="1"/>
  <c r="O250" i="119" a="1"/>
  <c r="O250" i="119" s="1"/>
  <c r="N250" i="119" a="1"/>
  <c r="N250" i="119" s="1"/>
  <c r="M250" i="119" a="1"/>
  <c r="M250" i="119" s="1"/>
  <c r="L250" i="119" a="1"/>
  <c r="L250" i="119" s="1"/>
  <c r="K250" i="119" a="1"/>
  <c r="K250" i="119" s="1"/>
  <c r="J250" i="119" a="1"/>
  <c r="J250" i="119" s="1"/>
  <c r="I250" i="119" a="1"/>
  <c r="I250" i="119" s="1"/>
  <c r="H250" i="119" a="1"/>
  <c r="H250" i="119" s="1"/>
  <c r="G250" i="119" a="1"/>
  <c r="G250" i="119" s="1"/>
  <c r="F250" i="119" a="1"/>
  <c r="F250" i="119" s="1"/>
  <c r="E250" i="119" a="1"/>
  <c r="E250" i="119" s="1"/>
  <c r="D250" i="119" a="1"/>
  <c r="D250" i="119" s="1"/>
  <c r="S249" i="119" a="1"/>
  <c r="S249" i="119" s="1"/>
  <c r="R249" i="119" a="1"/>
  <c r="R249" i="119" s="1"/>
  <c r="Q249" i="119" a="1"/>
  <c r="Q249" i="119" s="1"/>
  <c r="P249" i="119" a="1"/>
  <c r="P249" i="119" s="1"/>
  <c r="O249" i="119" a="1"/>
  <c r="O249" i="119" s="1"/>
  <c r="N249" i="119" a="1"/>
  <c r="N249" i="119" s="1"/>
  <c r="M249" i="119" a="1"/>
  <c r="M249" i="119" s="1"/>
  <c r="L249" i="119" a="1"/>
  <c r="L249" i="119" s="1"/>
  <c r="K249" i="119" a="1"/>
  <c r="K249" i="119" s="1"/>
  <c r="J249" i="119" a="1"/>
  <c r="J249" i="119" s="1"/>
  <c r="I249" i="119" a="1"/>
  <c r="I249" i="119" s="1"/>
  <c r="H249" i="119" a="1"/>
  <c r="H249" i="119" s="1"/>
  <c r="G249" i="119" a="1"/>
  <c r="G249" i="119" s="1"/>
  <c r="F249" i="119" a="1"/>
  <c r="F249" i="119" s="1"/>
  <c r="E249" i="119" a="1"/>
  <c r="E249" i="119" s="1"/>
  <c r="D249" i="119" a="1"/>
  <c r="D249" i="119" s="1"/>
  <c r="S248" i="119" a="1"/>
  <c r="S248" i="119" s="1"/>
  <c r="R248" i="119" a="1"/>
  <c r="R248" i="119" s="1"/>
  <c r="Q248" i="119" a="1"/>
  <c r="Q248" i="119" s="1"/>
  <c r="P248" i="119" a="1"/>
  <c r="P248" i="119" s="1"/>
  <c r="O248" i="119" a="1"/>
  <c r="O248" i="119" s="1"/>
  <c r="N248" i="119" a="1"/>
  <c r="N248" i="119" s="1"/>
  <c r="M248" i="119" a="1"/>
  <c r="M248" i="119" s="1"/>
  <c r="L248" i="119" a="1"/>
  <c r="L248" i="119" s="1"/>
  <c r="K248" i="119" a="1"/>
  <c r="K248" i="119" s="1"/>
  <c r="J248" i="119" a="1"/>
  <c r="J248" i="119" s="1"/>
  <c r="I248" i="119" a="1"/>
  <c r="I248" i="119" s="1"/>
  <c r="H248" i="119" a="1"/>
  <c r="H248" i="119" s="1"/>
  <c r="G248" i="119" a="1"/>
  <c r="G248" i="119" s="1"/>
  <c r="F248" i="119" a="1"/>
  <c r="F248" i="119" s="1"/>
  <c r="E248" i="119" a="1"/>
  <c r="E248" i="119" s="1"/>
  <c r="D248" i="119" a="1"/>
  <c r="D248" i="119" s="1"/>
  <c r="S247" i="119" a="1"/>
  <c r="S247" i="119" s="1"/>
  <c r="R247" i="119" a="1"/>
  <c r="R247" i="119" s="1"/>
  <c r="Q247" i="119" a="1"/>
  <c r="Q247" i="119" s="1"/>
  <c r="P247" i="119" a="1"/>
  <c r="P247" i="119" s="1"/>
  <c r="O247" i="119" a="1"/>
  <c r="O247" i="119" s="1"/>
  <c r="N247" i="119" a="1"/>
  <c r="N247" i="119" s="1"/>
  <c r="M247" i="119" a="1"/>
  <c r="M247" i="119" s="1"/>
  <c r="L247" i="119" a="1"/>
  <c r="L247" i="119" s="1"/>
  <c r="K247" i="119" a="1"/>
  <c r="K247" i="119" s="1"/>
  <c r="J247" i="119" a="1"/>
  <c r="J247" i="119" s="1"/>
  <c r="I247" i="119" a="1"/>
  <c r="I247" i="119" s="1"/>
  <c r="H247" i="119" a="1"/>
  <c r="H247" i="119" s="1"/>
  <c r="G247" i="119" a="1"/>
  <c r="G247" i="119" s="1"/>
  <c r="F247" i="119" a="1"/>
  <c r="F247" i="119" s="1"/>
  <c r="E247" i="119" a="1"/>
  <c r="E247" i="119" s="1"/>
  <c r="D247" i="119" a="1"/>
  <c r="D247" i="119" s="1"/>
  <c r="S246" i="119" a="1"/>
  <c r="S246" i="119" s="1"/>
  <c r="R246" i="119" a="1"/>
  <c r="R246" i="119" s="1"/>
  <c r="Q246" i="119" a="1"/>
  <c r="Q246" i="119" s="1"/>
  <c r="P246" i="119" a="1"/>
  <c r="P246" i="119" s="1"/>
  <c r="O246" i="119" a="1"/>
  <c r="O246" i="119" s="1"/>
  <c r="N246" i="119" a="1"/>
  <c r="N246" i="119" s="1"/>
  <c r="M246" i="119" a="1"/>
  <c r="M246" i="119" s="1"/>
  <c r="L246" i="119" a="1"/>
  <c r="L246" i="119" s="1"/>
  <c r="K246" i="119" a="1"/>
  <c r="K246" i="119" s="1"/>
  <c r="J246" i="119" a="1"/>
  <c r="J246" i="119" s="1"/>
  <c r="I246" i="119" a="1"/>
  <c r="I246" i="119" s="1"/>
  <c r="H246" i="119" a="1"/>
  <c r="H246" i="119" s="1"/>
  <c r="G246" i="119" a="1"/>
  <c r="G246" i="119" s="1"/>
  <c r="F246" i="119" a="1"/>
  <c r="F246" i="119" s="1"/>
  <c r="E246" i="119" a="1"/>
  <c r="E246" i="119" s="1"/>
  <c r="D246" i="119" a="1"/>
  <c r="D246" i="119" s="1"/>
  <c r="S245" i="119" a="1"/>
  <c r="S245" i="119" s="1"/>
  <c r="R245" i="119" a="1"/>
  <c r="R245" i="119" s="1"/>
  <c r="Q245" i="119" a="1"/>
  <c r="Q245" i="119" s="1"/>
  <c r="P245" i="119" a="1"/>
  <c r="P245" i="119" s="1"/>
  <c r="O245" i="119" a="1"/>
  <c r="O245" i="119" s="1"/>
  <c r="N245" i="119" a="1"/>
  <c r="N245" i="119" s="1"/>
  <c r="M245" i="119" a="1"/>
  <c r="M245" i="119" s="1"/>
  <c r="L245" i="119" a="1"/>
  <c r="L245" i="119" s="1"/>
  <c r="K245" i="119" a="1"/>
  <c r="K245" i="119" s="1"/>
  <c r="J245" i="119" a="1"/>
  <c r="J245" i="119" s="1"/>
  <c r="I245" i="119" a="1"/>
  <c r="I245" i="119" s="1"/>
  <c r="H245" i="119" a="1"/>
  <c r="H245" i="119" s="1"/>
  <c r="G245" i="119" a="1"/>
  <c r="G245" i="119" s="1"/>
  <c r="F245" i="119" a="1"/>
  <c r="F245" i="119" s="1"/>
  <c r="E245" i="119" a="1"/>
  <c r="E245" i="119" s="1"/>
  <c r="D245" i="119" a="1"/>
  <c r="D245" i="119" s="1"/>
  <c r="S244" i="119" a="1"/>
  <c r="S244" i="119" s="1"/>
  <c r="R244" i="119" a="1"/>
  <c r="R244" i="119" s="1"/>
  <c r="Q244" i="119" a="1"/>
  <c r="Q244" i="119" s="1"/>
  <c r="P244" i="119" a="1"/>
  <c r="P244" i="119" s="1"/>
  <c r="O244" i="119" a="1"/>
  <c r="O244" i="119" s="1"/>
  <c r="N244" i="119" a="1"/>
  <c r="N244" i="119" s="1"/>
  <c r="M244" i="119" a="1"/>
  <c r="M244" i="119" s="1"/>
  <c r="L244" i="119" a="1"/>
  <c r="L244" i="119" s="1"/>
  <c r="K244" i="119" a="1"/>
  <c r="K244" i="119" s="1"/>
  <c r="J244" i="119" a="1"/>
  <c r="J244" i="119" s="1"/>
  <c r="I244" i="119" a="1"/>
  <c r="I244" i="119" s="1"/>
  <c r="H244" i="119" a="1"/>
  <c r="H244" i="119" s="1"/>
  <c r="G244" i="119" a="1"/>
  <c r="G244" i="119" s="1"/>
  <c r="F244" i="119" a="1"/>
  <c r="F244" i="119" s="1"/>
  <c r="E244" i="119" a="1"/>
  <c r="E244" i="119" s="1"/>
  <c r="D244" i="119" a="1"/>
  <c r="D244" i="119" s="1"/>
  <c r="S243" i="119" a="1"/>
  <c r="S243" i="119" s="1"/>
  <c r="R243" i="119" a="1"/>
  <c r="R243" i="119" s="1"/>
  <c r="Q243" i="119" a="1"/>
  <c r="Q243" i="119" s="1"/>
  <c r="P243" i="119" a="1"/>
  <c r="P243" i="119" s="1"/>
  <c r="O243" i="119" a="1"/>
  <c r="O243" i="119" s="1"/>
  <c r="N243" i="119" a="1"/>
  <c r="N243" i="119" s="1"/>
  <c r="M243" i="119" a="1"/>
  <c r="M243" i="119" s="1"/>
  <c r="L243" i="119" a="1"/>
  <c r="L243" i="119" s="1"/>
  <c r="K243" i="119" a="1"/>
  <c r="K243" i="119" s="1"/>
  <c r="J243" i="119" a="1"/>
  <c r="J243" i="119" s="1"/>
  <c r="I243" i="119" a="1"/>
  <c r="I243" i="119" s="1"/>
  <c r="H243" i="119" a="1"/>
  <c r="H243" i="119" s="1"/>
  <c r="G243" i="119" a="1"/>
  <c r="G243" i="119" s="1"/>
  <c r="F243" i="119" a="1"/>
  <c r="F243" i="119" s="1"/>
  <c r="E243" i="119" a="1"/>
  <c r="E243" i="119" s="1"/>
  <c r="D243" i="119" a="1"/>
  <c r="D243" i="119" s="1"/>
  <c r="S242" i="119" a="1"/>
  <c r="S242" i="119" s="1"/>
  <c r="R242" i="119" a="1"/>
  <c r="R242" i="119" s="1"/>
  <c r="Q242" i="119" a="1"/>
  <c r="Q242" i="119" s="1"/>
  <c r="P242" i="119" a="1"/>
  <c r="P242" i="119" s="1"/>
  <c r="O242" i="119" a="1"/>
  <c r="O242" i="119" s="1"/>
  <c r="N242" i="119" a="1"/>
  <c r="N242" i="119" s="1"/>
  <c r="M242" i="119" a="1"/>
  <c r="M242" i="119" s="1"/>
  <c r="L242" i="119" a="1"/>
  <c r="L242" i="119" s="1"/>
  <c r="K242" i="119" a="1"/>
  <c r="K242" i="119" s="1"/>
  <c r="J242" i="119" a="1"/>
  <c r="J242" i="119" s="1"/>
  <c r="I242" i="119" a="1"/>
  <c r="I242" i="119" s="1"/>
  <c r="H242" i="119" a="1"/>
  <c r="H242" i="119" s="1"/>
  <c r="G242" i="119" a="1"/>
  <c r="G242" i="119" s="1"/>
  <c r="F242" i="119" a="1"/>
  <c r="F242" i="119" s="1"/>
  <c r="E242" i="119" a="1"/>
  <c r="E242" i="119" s="1"/>
  <c r="D242" i="119" a="1"/>
  <c r="D242" i="119" s="1"/>
  <c r="S241" i="119" a="1"/>
  <c r="S241" i="119" s="1"/>
  <c r="R241" i="119" a="1"/>
  <c r="R241" i="119" s="1"/>
  <c r="Q241" i="119" a="1"/>
  <c r="Q241" i="119" s="1"/>
  <c r="P241" i="119" a="1"/>
  <c r="P241" i="119" s="1"/>
  <c r="O241" i="119" a="1"/>
  <c r="O241" i="119" s="1"/>
  <c r="N241" i="119" a="1"/>
  <c r="N241" i="119" s="1"/>
  <c r="M241" i="119" a="1"/>
  <c r="M241" i="119" s="1"/>
  <c r="L241" i="119" a="1"/>
  <c r="L241" i="119" s="1"/>
  <c r="K241" i="119" a="1"/>
  <c r="K241" i="119" s="1"/>
  <c r="J241" i="119" a="1"/>
  <c r="J241" i="119" s="1"/>
  <c r="I241" i="119" a="1"/>
  <c r="I241" i="119" s="1"/>
  <c r="H241" i="119" a="1"/>
  <c r="H241" i="119" s="1"/>
  <c r="G241" i="119" a="1"/>
  <c r="G241" i="119" s="1"/>
  <c r="F241" i="119" a="1"/>
  <c r="F241" i="119" s="1"/>
  <c r="E241" i="119" a="1"/>
  <c r="E241" i="119" s="1"/>
  <c r="D241" i="119" a="1"/>
  <c r="D241" i="119" s="1"/>
  <c r="S240" i="119" a="1"/>
  <c r="S240" i="119" s="1"/>
  <c r="R240" i="119" a="1"/>
  <c r="R240" i="119" s="1"/>
  <c r="Q240" i="119" a="1"/>
  <c r="Q240" i="119" s="1"/>
  <c r="P240" i="119" a="1"/>
  <c r="P240" i="119" s="1"/>
  <c r="O240" i="119" a="1"/>
  <c r="O240" i="119" s="1"/>
  <c r="N240" i="119" a="1"/>
  <c r="N240" i="119" s="1"/>
  <c r="M240" i="119" a="1"/>
  <c r="M240" i="119" s="1"/>
  <c r="L240" i="119" a="1"/>
  <c r="L240" i="119" s="1"/>
  <c r="K240" i="119" a="1"/>
  <c r="K240" i="119" s="1"/>
  <c r="J240" i="119" a="1"/>
  <c r="J240" i="119" s="1"/>
  <c r="I240" i="119" a="1"/>
  <c r="I240" i="119" s="1"/>
  <c r="H240" i="119" a="1"/>
  <c r="H240" i="119" s="1"/>
  <c r="G240" i="119" a="1"/>
  <c r="G240" i="119" s="1"/>
  <c r="F240" i="119" a="1"/>
  <c r="F240" i="119" s="1"/>
  <c r="E240" i="119" a="1"/>
  <c r="E240" i="119" s="1"/>
  <c r="D240" i="119" a="1"/>
  <c r="D240" i="119" s="1"/>
  <c r="S239" i="119" a="1"/>
  <c r="S239" i="119" s="1"/>
  <c r="R239" i="119" a="1"/>
  <c r="R239" i="119" s="1"/>
  <c r="Q239" i="119" a="1"/>
  <c r="Q239" i="119" s="1"/>
  <c r="P239" i="119" a="1"/>
  <c r="P239" i="119" s="1"/>
  <c r="O239" i="119" a="1"/>
  <c r="O239" i="119" s="1"/>
  <c r="N239" i="119" a="1"/>
  <c r="N239" i="119" s="1"/>
  <c r="M239" i="119" a="1"/>
  <c r="M239" i="119" s="1"/>
  <c r="L239" i="119" a="1"/>
  <c r="L239" i="119" s="1"/>
  <c r="K239" i="119" a="1"/>
  <c r="K239" i="119" s="1"/>
  <c r="J239" i="119" a="1"/>
  <c r="J239" i="119" s="1"/>
  <c r="I239" i="119" a="1"/>
  <c r="I239" i="119" s="1"/>
  <c r="H239" i="119" a="1"/>
  <c r="H239" i="119" s="1"/>
  <c r="G239" i="119" a="1"/>
  <c r="G239" i="119" s="1"/>
  <c r="F239" i="119" a="1"/>
  <c r="F239" i="119" s="1"/>
  <c r="E239" i="119" a="1"/>
  <c r="E239" i="119" s="1"/>
  <c r="D239" i="119" a="1"/>
  <c r="D239" i="119" s="1"/>
  <c r="S238" i="119" a="1"/>
  <c r="S238" i="119" s="1"/>
  <c r="R238" i="119" a="1"/>
  <c r="R238" i="119" s="1"/>
  <c r="Q238" i="119" a="1"/>
  <c r="Q238" i="119" s="1"/>
  <c r="P238" i="119" a="1"/>
  <c r="P238" i="119" s="1"/>
  <c r="O238" i="119" a="1"/>
  <c r="O238" i="119" s="1"/>
  <c r="N238" i="119" a="1"/>
  <c r="N238" i="119" s="1"/>
  <c r="M238" i="119" a="1"/>
  <c r="M238" i="119" s="1"/>
  <c r="L238" i="119" a="1"/>
  <c r="L238" i="119" s="1"/>
  <c r="K238" i="119" a="1"/>
  <c r="K238" i="119" s="1"/>
  <c r="J238" i="119" a="1"/>
  <c r="J238" i="119" s="1"/>
  <c r="I238" i="119" a="1"/>
  <c r="I238" i="119" s="1"/>
  <c r="H238" i="119" a="1"/>
  <c r="H238" i="119" s="1"/>
  <c r="G238" i="119" a="1"/>
  <c r="G238" i="119" s="1"/>
  <c r="F238" i="119" a="1"/>
  <c r="F238" i="119" s="1"/>
  <c r="E238" i="119" a="1"/>
  <c r="E238" i="119" s="1"/>
  <c r="D238" i="119" a="1"/>
  <c r="D238" i="119" s="1"/>
  <c r="S237" i="119" a="1"/>
  <c r="S237" i="119" s="1"/>
  <c r="R237" i="119" a="1"/>
  <c r="R237" i="119" s="1"/>
  <c r="Q237" i="119" a="1"/>
  <c r="Q237" i="119" s="1"/>
  <c r="P237" i="119" a="1"/>
  <c r="P237" i="119" s="1"/>
  <c r="O237" i="119" a="1"/>
  <c r="O237" i="119" s="1"/>
  <c r="N237" i="119" a="1"/>
  <c r="N237" i="119" s="1"/>
  <c r="M237" i="119" a="1"/>
  <c r="M237" i="119" s="1"/>
  <c r="L237" i="119" a="1"/>
  <c r="L237" i="119" s="1"/>
  <c r="K237" i="119" a="1"/>
  <c r="K237" i="119" s="1"/>
  <c r="J237" i="119" a="1"/>
  <c r="J237" i="119" s="1"/>
  <c r="I237" i="119" a="1"/>
  <c r="I237" i="119" s="1"/>
  <c r="H237" i="119" a="1"/>
  <c r="H237" i="119" s="1"/>
  <c r="G237" i="119" a="1"/>
  <c r="G237" i="119" s="1"/>
  <c r="F237" i="119" a="1"/>
  <c r="F237" i="119" s="1"/>
  <c r="E237" i="119" a="1"/>
  <c r="E237" i="119" s="1"/>
  <c r="D237" i="119" a="1"/>
  <c r="D237" i="119" s="1"/>
  <c r="S236" i="119" a="1"/>
  <c r="S236" i="119" s="1"/>
  <c r="R236" i="119" a="1"/>
  <c r="R236" i="119" s="1"/>
  <c r="Q236" i="119" a="1"/>
  <c r="Q236" i="119" s="1"/>
  <c r="P236" i="119" a="1"/>
  <c r="P236" i="119" s="1"/>
  <c r="O236" i="119" a="1"/>
  <c r="O236" i="119" s="1"/>
  <c r="N236" i="119" a="1"/>
  <c r="N236" i="119" s="1"/>
  <c r="M236" i="119" a="1"/>
  <c r="M236" i="119" s="1"/>
  <c r="L236" i="119" a="1"/>
  <c r="L236" i="119" s="1"/>
  <c r="K236" i="119" a="1"/>
  <c r="K236" i="119" s="1"/>
  <c r="J236" i="119" a="1"/>
  <c r="J236" i="119" s="1"/>
  <c r="I236" i="119" a="1"/>
  <c r="I236" i="119" s="1"/>
  <c r="H236" i="119" a="1"/>
  <c r="H236" i="119" s="1"/>
  <c r="G236" i="119" a="1"/>
  <c r="G236" i="119" s="1"/>
  <c r="F236" i="119" a="1"/>
  <c r="F236" i="119" s="1"/>
  <c r="E236" i="119" a="1"/>
  <c r="E236" i="119" s="1"/>
  <c r="D236" i="119" a="1"/>
  <c r="D236" i="119" s="1"/>
  <c r="S235" i="119" a="1"/>
  <c r="S235" i="119" s="1"/>
  <c r="R235" i="119" a="1"/>
  <c r="R235" i="119" s="1"/>
  <c r="Q235" i="119" a="1"/>
  <c r="Q235" i="119" s="1"/>
  <c r="P235" i="119" a="1"/>
  <c r="P235" i="119" s="1"/>
  <c r="O235" i="119" a="1"/>
  <c r="O235" i="119" s="1"/>
  <c r="N235" i="119" a="1"/>
  <c r="N235" i="119" s="1"/>
  <c r="M235" i="119" a="1"/>
  <c r="M235" i="119" s="1"/>
  <c r="L235" i="119" a="1"/>
  <c r="L235" i="119" s="1"/>
  <c r="K235" i="119" a="1"/>
  <c r="K235" i="119" s="1"/>
  <c r="J235" i="119" a="1"/>
  <c r="J235" i="119" s="1"/>
  <c r="I235" i="119" a="1"/>
  <c r="I235" i="119" s="1"/>
  <c r="H235" i="119" a="1"/>
  <c r="H235" i="119" s="1"/>
  <c r="G235" i="119" a="1"/>
  <c r="G235" i="119" s="1"/>
  <c r="F235" i="119" a="1"/>
  <c r="F235" i="119" s="1"/>
  <c r="E235" i="119" a="1"/>
  <c r="E235" i="119" s="1"/>
  <c r="D235" i="119" a="1"/>
  <c r="D235" i="119" s="1"/>
  <c r="S234" i="119" a="1"/>
  <c r="S234" i="119" s="1"/>
  <c r="R234" i="119" a="1"/>
  <c r="R234" i="119" s="1"/>
  <c r="Q234" i="119" a="1"/>
  <c r="Q234" i="119" s="1"/>
  <c r="P234" i="119" a="1"/>
  <c r="P234" i="119" s="1"/>
  <c r="O234" i="119" a="1"/>
  <c r="O234" i="119" s="1"/>
  <c r="N234" i="119" a="1"/>
  <c r="N234" i="119" s="1"/>
  <c r="M234" i="119" a="1"/>
  <c r="M234" i="119" s="1"/>
  <c r="L234" i="119" a="1"/>
  <c r="L234" i="119" s="1"/>
  <c r="K234" i="119" a="1"/>
  <c r="K234" i="119" s="1"/>
  <c r="J234" i="119" a="1"/>
  <c r="J234" i="119" s="1"/>
  <c r="I234" i="119" a="1"/>
  <c r="I234" i="119" s="1"/>
  <c r="H234" i="119" a="1"/>
  <c r="H234" i="119" s="1"/>
  <c r="G234" i="119" a="1"/>
  <c r="G234" i="119" s="1"/>
  <c r="F234" i="119" a="1"/>
  <c r="F234" i="119" s="1"/>
  <c r="E234" i="119" a="1"/>
  <c r="E234" i="119" s="1"/>
  <c r="D234" i="119" a="1"/>
  <c r="D234" i="119" s="1"/>
  <c r="S233" i="119" a="1"/>
  <c r="S233" i="119" s="1"/>
  <c r="R233" i="119" a="1"/>
  <c r="R233" i="119" s="1"/>
  <c r="Q233" i="119" a="1"/>
  <c r="Q233" i="119" s="1"/>
  <c r="P233" i="119" a="1"/>
  <c r="P233" i="119" s="1"/>
  <c r="O233" i="119" a="1"/>
  <c r="O233" i="119" s="1"/>
  <c r="N233" i="119" a="1"/>
  <c r="N233" i="119" s="1"/>
  <c r="M233" i="119" a="1"/>
  <c r="M233" i="119" s="1"/>
  <c r="L233" i="119" a="1"/>
  <c r="L233" i="119" s="1"/>
  <c r="K233" i="119" a="1"/>
  <c r="K233" i="119" s="1"/>
  <c r="J233" i="119" a="1"/>
  <c r="J233" i="119" s="1"/>
  <c r="I233" i="119" a="1"/>
  <c r="I233" i="119" s="1"/>
  <c r="H233" i="119" a="1"/>
  <c r="H233" i="119" s="1"/>
  <c r="G233" i="119" a="1"/>
  <c r="G233" i="119" s="1"/>
  <c r="F233" i="119" a="1"/>
  <c r="F233" i="119" s="1"/>
  <c r="E233" i="119" a="1"/>
  <c r="E233" i="119" s="1"/>
  <c r="D233" i="119" a="1"/>
  <c r="D233" i="119" s="1"/>
  <c r="S232" i="119" a="1"/>
  <c r="S232" i="119" s="1"/>
  <c r="R232" i="119" a="1"/>
  <c r="R232" i="119" s="1"/>
  <c r="Q232" i="119" a="1"/>
  <c r="Q232" i="119" s="1"/>
  <c r="P232" i="119" a="1"/>
  <c r="P232" i="119" s="1"/>
  <c r="O232" i="119" a="1"/>
  <c r="O232" i="119" s="1"/>
  <c r="N232" i="119" a="1"/>
  <c r="N232" i="119" s="1"/>
  <c r="M232" i="119" a="1"/>
  <c r="M232" i="119" s="1"/>
  <c r="L232" i="119" a="1"/>
  <c r="L232" i="119" s="1"/>
  <c r="K232" i="119" a="1"/>
  <c r="K232" i="119" s="1"/>
  <c r="J232" i="119" a="1"/>
  <c r="J232" i="119" s="1"/>
  <c r="I232" i="119" a="1"/>
  <c r="I232" i="119" s="1"/>
  <c r="H232" i="119" a="1"/>
  <c r="H232" i="119" s="1"/>
  <c r="G232" i="119" a="1"/>
  <c r="G232" i="119" s="1"/>
  <c r="F232" i="119" a="1"/>
  <c r="F232" i="119" s="1"/>
  <c r="E232" i="119" a="1"/>
  <c r="E232" i="119" s="1"/>
  <c r="D232" i="119" a="1"/>
  <c r="D232" i="119" s="1"/>
  <c r="D229" i="119" a="1"/>
  <c r="D229" i="119" s="1"/>
  <c r="D228" i="119" a="1"/>
  <c r="D228" i="119" s="1"/>
  <c r="D227" i="119"/>
  <c r="D227" i="119" a="1"/>
  <c r="E224" i="119" a="1"/>
  <c r="E224" i="119" s="1"/>
  <c r="D224" i="119" a="1"/>
  <c r="D224" i="119" s="1"/>
  <c r="E223" i="119" a="1"/>
  <c r="E223" i="119" s="1"/>
  <c r="D223" i="119" a="1"/>
  <c r="D223" i="119" s="1"/>
  <c r="E222" i="119" a="1"/>
  <c r="E222" i="119" s="1"/>
  <c r="D222" i="119" a="1"/>
  <c r="D222" i="119" s="1"/>
  <c r="E221" i="119" a="1"/>
  <c r="E221" i="119" s="1"/>
  <c r="D221" i="119" a="1"/>
  <c r="D221" i="119" s="1"/>
  <c r="E220" i="119" a="1"/>
  <c r="E220" i="119" s="1"/>
  <c r="D220" i="119" a="1"/>
  <c r="D220" i="119" s="1"/>
  <c r="E219" i="119" a="1"/>
  <c r="E219" i="119" s="1"/>
  <c r="D219" i="119" a="1"/>
  <c r="D219" i="119" s="1"/>
  <c r="E218" i="119" a="1"/>
  <c r="E218" i="119" s="1"/>
  <c r="D218" i="119" a="1"/>
  <c r="D218" i="119" s="1"/>
  <c r="E217" i="119" a="1"/>
  <c r="E217" i="119" s="1"/>
  <c r="D217" i="119" a="1"/>
  <c r="D217" i="119" s="1"/>
  <c r="E216" i="119" a="1"/>
  <c r="E216" i="119" s="1"/>
  <c r="D216" i="119" a="1"/>
  <c r="D216" i="119" s="1"/>
  <c r="E215" i="119" a="1"/>
  <c r="E215" i="119" s="1"/>
  <c r="D215" i="119" a="1"/>
  <c r="D215" i="119" s="1"/>
  <c r="E214" i="119" a="1"/>
  <c r="E214" i="119" s="1"/>
  <c r="D214" i="119" a="1"/>
  <c r="D214" i="119" s="1"/>
  <c r="E213" i="119" a="1"/>
  <c r="E213" i="119" s="1"/>
  <c r="D213" i="119" a="1"/>
  <c r="D213" i="119" s="1"/>
  <c r="D211" i="119" a="1"/>
  <c r="D211" i="119" s="1"/>
  <c r="E208" i="119" a="1"/>
  <c r="E208" i="119" s="1"/>
  <c r="D208" i="119" a="1"/>
  <c r="D208" i="119" s="1"/>
  <c r="E207" i="119" a="1"/>
  <c r="E207" i="119" s="1"/>
  <c r="D207" i="119" a="1"/>
  <c r="D207" i="119" s="1"/>
  <c r="D205" i="119" a="1"/>
  <c r="D205" i="119" s="1"/>
  <c r="D204" i="119" a="1"/>
  <c r="D204" i="119" s="1"/>
  <c r="D203" i="119" a="1"/>
  <c r="D203" i="119" s="1"/>
  <c r="D202" i="119" a="1"/>
  <c r="D202" i="119" s="1"/>
  <c r="H199" i="119" a="1"/>
  <c r="H199" i="119" s="1"/>
  <c r="G199" i="119" a="1"/>
  <c r="G199" i="119" s="1"/>
  <c r="F199" i="119" a="1"/>
  <c r="F199" i="119" s="1"/>
  <c r="E199" i="119" a="1"/>
  <c r="E199" i="119" s="1"/>
  <c r="D199" i="119" a="1"/>
  <c r="D199" i="119" s="1"/>
  <c r="H198" i="119" a="1"/>
  <c r="H198" i="119" s="1"/>
  <c r="G198" i="119" a="1"/>
  <c r="G198" i="119" s="1"/>
  <c r="F198" i="119" a="1"/>
  <c r="F198" i="119" s="1"/>
  <c r="E198" i="119" a="1"/>
  <c r="E198" i="119" s="1"/>
  <c r="D198" i="119" a="1"/>
  <c r="D198" i="119" s="1"/>
  <c r="H197" i="119" a="1"/>
  <c r="H197" i="119" s="1"/>
  <c r="G197" i="119" a="1"/>
  <c r="G197" i="119" s="1"/>
  <c r="F197" i="119" a="1"/>
  <c r="F197" i="119" s="1"/>
  <c r="E197" i="119" a="1"/>
  <c r="E197" i="119" s="1"/>
  <c r="D197" i="119" a="1"/>
  <c r="D197" i="119" s="1"/>
  <c r="H196" i="119" a="1"/>
  <c r="H196" i="119" s="1"/>
  <c r="G196" i="119" a="1"/>
  <c r="G196" i="119" s="1"/>
  <c r="F196" i="119" a="1"/>
  <c r="F196" i="119" s="1"/>
  <c r="E196" i="119" a="1"/>
  <c r="E196" i="119" s="1"/>
  <c r="D196" i="119" a="1"/>
  <c r="D196" i="119" s="1"/>
  <c r="H195" i="119" a="1"/>
  <c r="H195" i="119" s="1"/>
  <c r="G195" i="119" a="1"/>
  <c r="G195" i="119" s="1"/>
  <c r="F195" i="119" a="1"/>
  <c r="F195" i="119" s="1"/>
  <c r="E195" i="119" a="1"/>
  <c r="E195" i="119" s="1"/>
  <c r="D195" i="119" a="1"/>
  <c r="D195" i="119" s="1"/>
  <c r="H194" i="119" a="1"/>
  <c r="H194" i="119" s="1"/>
  <c r="G194" i="119" a="1"/>
  <c r="G194" i="119" s="1"/>
  <c r="F194" i="119" a="1"/>
  <c r="F194" i="119" s="1"/>
  <c r="E194" i="119" a="1"/>
  <c r="E194" i="119" s="1"/>
  <c r="D194" i="119" a="1"/>
  <c r="D194" i="119" s="1"/>
  <c r="H193" i="119" a="1"/>
  <c r="H193" i="119" s="1"/>
  <c r="G193" i="119" a="1"/>
  <c r="G193" i="119" s="1"/>
  <c r="F193" i="119" a="1"/>
  <c r="F193" i="119" s="1"/>
  <c r="E193" i="119" a="1"/>
  <c r="E193" i="119" s="1"/>
  <c r="D193" i="119" a="1"/>
  <c r="D193" i="119" s="1"/>
  <c r="H192" i="119" a="1"/>
  <c r="H192" i="119" s="1"/>
  <c r="G192" i="119" a="1"/>
  <c r="G192" i="119" s="1"/>
  <c r="F192" i="119" a="1"/>
  <c r="F192" i="119" s="1"/>
  <c r="E192" i="119" a="1"/>
  <c r="E192" i="119" s="1"/>
  <c r="D192" i="119" a="1"/>
  <c r="D192" i="119" s="1"/>
  <c r="H191" i="119" a="1"/>
  <c r="H191" i="119" s="1"/>
  <c r="G191" i="119" a="1"/>
  <c r="G191" i="119" s="1"/>
  <c r="F191" i="119" a="1"/>
  <c r="F191" i="119" s="1"/>
  <c r="E191" i="119" a="1"/>
  <c r="E191" i="119" s="1"/>
  <c r="D191" i="119" a="1"/>
  <c r="D191" i="119" s="1"/>
  <c r="H190" i="119" a="1"/>
  <c r="H190" i="119" s="1"/>
  <c r="G190" i="119" a="1"/>
  <c r="G190" i="119" s="1"/>
  <c r="F190" i="119" a="1"/>
  <c r="F190" i="119" s="1"/>
  <c r="E190" i="119" a="1"/>
  <c r="E190" i="119" s="1"/>
  <c r="D190" i="119" a="1"/>
  <c r="D190" i="119" s="1"/>
  <c r="H189" i="119" a="1"/>
  <c r="H189" i="119" s="1"/>
  <c r="G189" i="119" a="1"/>
  <c r="G189" i="119" s="1"/>
  <c r="F189" i="119" a="1"/>
  <c r="F189" i="119" s="1"/>
  <c r="E189" i="119" a="1"/>
  <c r="E189" i="119" s="1"/>
  <c r="D189" i="119" a="1"/>
  <c r="D189" i="119" s="1"/>
  <c r="H188" i="119" a="1"/>
  <c r="H188" i="119" s="1"/>
  <c r="G188" i="119" a="1"/>
  <c r="G188" i="119" s="1"/>
  <c r="F188" i="119" a="1"/>
  <c r="F188" i="119" s="1"/>
  <c r="E188" i="119" a="1"/>
  <c r="E188" i="119" s="1"/>
  <c r="D188" i="119" a="1"/>
  <c r="D188" i="119" s="1"/>
  <c r="H187" i="119" a="1"/>
  <c r="H187" i="119" s="1"/>
  <c r="G187" i="119" a="1"/>
  <c r="G187" i="119" s="1"/>
  <c r="F187" i="119" a="1"/>
  <c r="F187" i="119" s="1"/>
  <c r="E187" i="119" a="1"/>
  <c r="E187" i="119" s="1"/>
  <c r="D187" i="119" a="1"/>
  <c r="D187" i="119" s="1"/>
  <c r="D181" i="119" a="1"/>
  <c r="D181" i="119" s="1"/>
  <c r="D180" i="119" a="1"/>
  <c r="D180" i="119" s="1"/>
  <c r="D179" i="119" a="1"/>
  <c r="D179" i="119" s="1"/>
  <c r="D178" i="119" a="1"/>
  <c r="D178" i="119" s="1"/>
  <c r="E175" i="119" a="1"/>
  <c r="E175" i="119" s="1"/>
  <c r="D175" i="119" a="1"/>
  <c r="D175" i="119" s="1"/>
  <c r="D174" i="119" a="1"/>
  <c r="D174" i="119" s="1"/>
  <c r="D173" i="119" a="1"/>
  <c r="D173" i="119" s="1"/>
  <c r="D170" i="119" a="1"/>
  <c r="D170" i="119" s="1"/>
  <c r="D169" i="119" a="1"/>
  <c r="D169" i="119" s="1"/>
  <c r="D168" i="119" a="1"/>
  <c r="D168" i="119" s="1"/>
  <c r="D167" i="119" a="1"/>
  <c r="D167" i="119" s="1"/>
  <c r="D164" i="119" a="1"/>
  <c r="D164" i="119" s="1"/>
  <c r="D163" i="119" a="1"/>
  <c r="D163" i="119" s="1"/>
  <c r="D162" i="119" a="1"/>
  <c r="D162" i="119" s="1"/>
  <c r="D161" i="119" a="1"/>
  <c r="D161" i="119" s="1"/>
  <c r="E158" i="119" a="1"/>
  <c r="E158" i="119" s="1"/>
  <c r="D158" i="119" a="1"/>
  <c r="D158" i="119" s="1"/>
  <c r="E157" i="119" a="1"/>
  <c r="E157" i="119" s="1"/>
  <c r="D157" i="119" a="1"/>
  <c r="D157" i="119" s="1"/>
  <c r="E156" i="119" a="1"/>
  <c r="E156" i="119" s="1"/>
  <c r="D156" i="119" a="1"/>
  <c r="D156" i="119" s="1"/>
  <c r="E155" i="119" a="1"/>
  <c r="E155" i="119" s="1"/>
  <c r="D155" i="119" a="1"/>
  <c r="D155" i="119" s="1"/>
  <c r="E154" i="119" a="1"/>
  <c r="E154" i="119" s="1"/>
  <c r="D154" i="119" a="1"/>
  <c r="D154" i="119" s="1"/>
  <c r="D151" i="119" a="1"/>
  <c r="D151" i="119" s="1"/>
  <c r="D150" i="119" a="1"/>
  <c r="D150" i="119" s="1"/>
  <c r="E147" i="119" a="1"/>
  <c r="E147" i="119" s="1"/>
  <c r="D147" i="119" a="1"/>
  <c r="D147" i="119" s="1"/>
  <c r="E146" i="119" a="1"/>
  <c r="E146" i="119" s="1"/>
  <c r="D146" i="119" a="1"/>
  <c r="D146" i="119" s="1"/>
  <c r="E145" i="119" a="1"/>
  <c r="E145" i="119" s="1"/>
  <c r="D145" i="119" a="1"/>
  <c r="D145" i="119" s="1"/>
  <c r="E144" i="119" a="1"/>
  <c r="E144" i="119" s="1"/>
  <c r="D144" i="119" a="1"/>
  <c r="D144" i="119" s="1"/>
  <c r="E143" i="119" a="1"/>
  <c r="E143" i="119" s="1"/>
  <c r="D143" i="119" a="1"/>
  <c r="D143" i="119" s="1"/>
  <c r="D141" i="119" a="1"/>
  <c r="D141" i="119" s="1"/>
  <c r="D140" i="119" a="1"/>
  <c r="D140" i="119" s="1"/>
  <c r="D139" i="119" a="1"/>
  <c r="D139" i="119" s="1"/>
  <c r="E136" i="119" a="1"/>
  <c r="E136" i="119" s="1"/>
  <c r="D136" i="119" a="1"/>
  <c r="D136" i="119" s="1"/>
  <c r="E135" i="119" a="1"/>
  <c r="E135" i="119" s="1"/>
  <c r="D135" i="119" a="1"/>
  <c r="D135" i="119" s="1"/>
  <c r="D133" i="119" a="1"/>
  <c r="D133" i="119" s="1"/>
  <c r="D132" i="119" a="1"/>
  <c r="D132" i="119" s="1"/>
  <c r="E129" i="119" a="1"/>
  <c r="E129" i="119" s="1"/>
  <c r="D129" i="119" a="1"/>
  <c r="D129" i="119" s="1"/>
  <c r="E128" i="119" a="1"/>
  <c r="E128" i="119" s="1"/>
  <c r="D128" i="119" a="1"/>
  <c r="D128" i="119" s="1"/>
  <c r="D125" i="119" a="1"/>
  <c r="D125" i="119" s="1"/>
  <c r="D124" i="119" a="1"/>
  <c r="D124" i="119" s="1"/>
  <c r="G121" i="119" a="1"/>
  <c r="G121" i="119" s="1"/>
  <c r="F121" i="119" a="1"/>
  <c r="F121" i="119" s="1"/>
  <c r="E121" i="119" a="1"/>
  <c r="E121" i="119" s="1"/>
  <c r="D121" i="119" a="1"/>
  <c r="D121" i="119" s="1"/>
  <c r="G120" i="119" a="1"/>
  <c r="G120" i="119" s="1"/>
  <c r="F120" i="119" a="1"/>
  <c r="F120" i="119" s="1"/>
  <c r="E120" i="119" a="1"/>
  <c r="E120" i="119" s="1"/>
  <c r="D120" i="119" a="1"/>
  <c r="D120" i="119" s="1"/>
  <c r="D117" i="119" a="1"/>
  <c r="D117" i="119" s="1"/>
  <c r="D116" i="119" a="1"/>
  <c r="D116" i="119" s="1"/>
  <c r="D115" i="119" a="1"/>
  <c r="D115" i="119" s="1"/>
  <c r="G112" i="119" a="1"/>
  <c r="G112" i="119" s="1"/>
  <c r="F112" i="119" a="1"/>
  <c r="F112" i="119" s="1"/>
  <c r="E112" i="119" a="1"/>
  <c r="E112" i="119" s="1"/>
  <c r="D112" i="119" a="1"/>
  <c r="D112" i="119" s="1"/>
  <c r="G111" i="119" a="1"/>
  <c r="G111" i="119" s="1"/>
  <c r="F111" i="119" a="1"/>
  <c r="F111" i="119" s="1"/>
  <c r="E111" i="119" a="1"/>
  <c r="E111" i="119" s="1"/>
  <c r="D111" i="119" a="1"/>
  <c r="D111" i="119" s="1"/>
  <c r="G110" i="119" a="1"/>
  <c r="G110" i="119" s="1"/>
  <c r="F110" i="119" a="1"/>
  <c r="F110" i="119" s="1"/>
  <c r="E110" i="119" a="1"/>
  <c r="E110" i="119" s="1"/>
  <c r="D110" i="119" a="1"/>
  <c r="D110" i="119" s="1"/>
  <c r="D107" i="119" a="1"/>
  <c r="D107" i="119" s="1"/>
  <c r="D106" i="119" a="1"/>
  <c r="D106" i="119" s="1"/>
  <c r="D105" i="119" a="1"/>
  <c r="D105" i="119" s="1"/>
  <c r="D99" i="119" a="1"/>
  <c r="D99" i="119" s="1"/>
  <c r="S97" i="119" a="1"/>
  <c r="S97" i="119" s="1"/>
  <c r="R97" i="119" a="1"/>
  <c r="R97" i="119" s="1"/>
  <c r="Q97" i="119" a="1"/>
  <c r="Q97" i="119" s="1"/>
  <c r="P97" i="119" a="1"/>
  <c r="P97" i="119" s="1"/>
  <c r="O97" i="119" a="1"/>
  <c r="O97" i="119" s="1"/>
  <c r="N97" i="119" a="1"/>
  <c r="N97" i="119" s="1"/>
  <c r="M97" i="119" a="1"/>
  <c r="M97" i="119" s="1"/>
  <c r="L97" i="119" a="1"/>
  <c r="L97" i="119" s="1"/>
  <c r="K97" i="119" a="1"/>
  <c r="K97" i="119" s="1"/>
  <c r="J97" i="119" a="1"/>
  <c r="J97" i="119" s="1"/>
  <c r="I97" i="119" a="1"/>
  <c r="I97" i="119" s="1"/>
  <c r="H97" i="119" a="1"/>
  <c r="H97" i="119" s="1"/>
  <c r="G97" i="119" a="1"/>
  <c r="G97" i="119" s="1"/>
  <c r="F97" i="119" a="1"/>
  <c r="F97" i="119" s="1"/>
  <c r="E97" i="119" a="1"/>
  <c r="E97" i="119" s="1"/>
  <c r="D97" i="119" a="1"/>
  <c r="D97" i="119" s="1"/>
  <c r="S96" i="119" a="1"/>
  <c r="S96" i="119" s="1"/>
  <c r="R96" i="119" a="1"/>
  <c r="R96" i="119" s="1"/>
  <c r="Q96" i="119" a="1"/>
  <c r="Q96" i="119" s="1"/>
  <c r="P96" i="119" a="1"/>
  <c r="P96" i="119" s="1"/>
  <c r="O96" i="119" a="1"/>
  <c r="O96" i="119" s="1"/>
  <c r="N96" i="119" a="1"/>
  <c r="N96" i="119" s="1"/>
  <c r="M96" i="119" a="1"/>
  <c r="M96" i="119" s="1"/>
  <c r="L96" i="119" a="1"/>
  <c r="L96" i="119" s="1"/>
  <c r="K96" i="119" a="1"/>
  <c r="K96" i="119" s="1"/>
  <c r="J96" i="119" a="1"/>
  <c r="J96" i="119" s="1"/>
  <c r="I96" i="119" a="1"/>
  <c r="I96" i="119" s="1"/>
  <c r="H96" i="119" a="1"/>
  <c r="H96" i="119" s="1"/>
  <c r="G96" i="119" a="1"/>
  <c r="G96" i="119" s="1"/>
  <c r="F96" i="119" a="1"/>
  <c r="F96" i="119" s="1"/>
  <c r="E96" i="119" a="1"/>
  <c r="E96" i="119" s="1"/>
  <c r="D96" i="119" a="1"/>
  <c r="D96" i="119" s="1"/>
  <c r="S95" i="119" a="1"/>
  <c r="S95" i="119" s="1"/>
  <c r="R95" i="119" a="1"/>
  <c r="R95" i="119" s="1"/>
  <c r="Q95" i="119" a="1"/>
  <c r="Q95" i="119" s="1"/>
  <c r="P95" i="119" a="1"/>
  <c r="P95" i="119" s="1"/>
  <c r="O95" i="119" a="1"/>
  <c r="O95" i="119" s="1"/>
  <c r="N95" i="119" a="1"/>
  <c r="N95" i="119" s="1"/>
  <c r="M95" i="119" a="1"/>
  <c r="M95" i="119" s="1"/>
  <c r="L95" i="119" a="1"/>
  <c r="L95" i="119" s="1"/>
  <c r="K95" i="119" a="1"/>
  <c r="K95" i="119" s="1"/>
  <c r="J95" i="119" a="1"/>
  <c r="J95" i="119" s="1"/>
  <c r="I95" i="119" a="1"/>
  <c r="I95" i="119" s="1"/>
  <c r="H95" i="119" a="1"/>
  <c r="H95" i="119" s="1"/>
  <c r="G95" i="119" a="1"/>
  <c r="G95" i="119" s="1"/>
  <c r="F95" i="119" a="1"/>
  <c r="F95" i="119" s="1"/>
  <c r="E95" i="119" a="1"/>
  <c r="E95" i="119" s="1"/>
  <c r="D95" i="119" a="1"/>
  <c r="D95" i="119" s="1"/>
  <c r="S94" i="119" a="1"/>
  <c r="S94" i="119" s="1"/>
  <c r="R94" i="119" a="1"/>
  <c r="R94" i="119" s="1"/>
  <c r="Q94" i="119" a="1"/>
  <c r="Q94" i="119" s="1"/>
  <c r="P94" i="119" a="1"/>
  <c r="P94" i="119" s="1"/>
  <c r="O94" i="119" a="1"/>
  <c r="O94" i="119" s="1"/>
  <c r="N94" i="119" a="1"/>
  <c r="N94" i="119" s="1"/>
  <c r="M94" i="119" a="1"/>
  <c r="M94" i="119" s="1"/>
  <c r="L94" i="119" a="1"/>
  <c r="L94" i="119" s="1"/>
  <c r="K94" i="119" a="1"/>
  <c r="K94" i="119" s="1"/>
  <c r="J94" i="119" a="1"/>
  <c r="J94" i="119" s="1"/>
  <c r="I94" i="119" a="1"/>
  <c r="I94" i="119" s="1"/>
  <c r="H94" i="119" a="1"/>
  <c r="H94" i="119" s="1"/>
  <c r="G94" i="119" a="1"/>
  <c r="G94" i="119" s="1"/>
  <c r="F94" i="119" a="1"/>
  <c r="F94" i="119" s="1"/>
  <c r="E94" i="119" a="1"/>
  <c r="E94" i="119" s="1"/>
  <c r="D94" i="119" a="1"/>
  <c r="D94" i="119" s="1"/>
  <c r="S93" i="119" a="1"/>
  <c r="S93" i="119" s="1"/>
  <c r="R93" i="119" a="1"/>
  <c r="R93" i="119" s="1"/>
  <c r="Q93" i="119" a="1"/>
  <c r="Q93" i="119" s="1"/>
  <c r="P93" i="119" a="1"/>
  <c r="P93" i="119" s="1"/>
  <c r="O93" i="119" a="1"/>
  <c r="O93" i="119" s="1"/>
  <c r="N93" i="119" a="1"/>
  <c r="N93" i="119" s="1"/>
  <c r="M93" i="119" a="1"/>
  <c r="M93" i="119" s="1"/>
  <c r="L93" i="119" a="1"/>
  <c r="L93" i="119" s="1"/>
  <c r="K93" i="119" a="1"/>
  <c r="K93" i="119" s="1"/>
  <c r="J93" i="119" a="1"/>
  <c r="J93" i="119" s="1"/>
  <c r="I93" i="119" a="1"/>
  <c r="I93" i="119" s="1"/>
  <c r="H93" i="119" a="1"/>
  <c r="H93" i="119" s="1"/>
  <c r="G93" i="119" a="1"/>
  <c r="G93" i="119" s="1"/>
  <c r="F93" i="119" a="1"/>
  <c r="F93" i="119" s="1"/>
  <c r="E93" i="119" a="1"/>
  <c r="E93" i="119" s="1"/>
  <c r="D93" i="119" a="1"/>
  <c r="D93" i="119" s="1"/>
  <c r="S92" i="119" a="1"/>
  <c r="S92" i="119" s="1"/>
  <c r="R92" i="119" a="1"/>
  <c r="R92" i="119" s="1"/>
  <c r="Q92" i="119" a="1"/>
  <c r="Q92" i="119" s="1"/>
  <c r="P92" i="119" a="1"/>
  <c r="P92" i="119" s="1"/>
  <c r="O92" i="119" a="1"/>
  <c r="O92" i="119" s="1"/>
  <c r="N92" i="119" a="1"/>
  <c r="N92" i="119" s="1"/>
  <c r="M92" i="119" a="1"/>
  <c r="M92" i="119" s="1"/>
  <c r="L92" i="119" a="1"/>
  <c r="L92" i="119" s="1"/>
  <c r="K92" i="119" a="1"/>
  <c r="K92" i="119" s="1"/>
  <c r="J92" i="119" a="1"/>
  <c r="J92" i="119" s="1"/>
  <c r="I92" i="119" a="1"/>
  <c r="I92" i="119" s="1"/>
  <c r="H92" i="119" a="1"/>
  <c r="H92" i="119" s="1"/>
  <c r="G92" i="119" a="1"/>
  <c r="G92" i="119" s="1"/>
  <c r="F92" i="119" a="1"/>
  <c r="F92" i="119" s="1"/>
  <c r="E92" i="119" a="1"/>
  <c r="E92" i="119" s="1"/>
  <c r="D92" i="119" a="1"/>
  <c r="D92" i="119" s="1"/>
  <c r="S91" i="119" a="1"/>
  <c r="S91" i="119" s="1"/>
  <c r="R91" i="119" a="1"/>
  <c r="R91" i="119" s="1"/>
  <c r="Q91" i="119" a="1"/>
  <c r="Q91" i="119" s="1"/>
  <c r="P91" i="119" a="1"/>
  <c r="P91" i="119" s="1"/>
  <c r="O91" i="119" a="1"/>
  <c r="O91" i="119" s="1"/>
  <c r="N91" i="119" a="1"/>
  <c r="N91" i="119" s="1"/>
  <c r="M91" i="119" a="1"/>
  <c r="M91" i="119" s="1"/>
  <c r="L91" i="119" a="1"/>
  <c r="L91" i="119" s="1"/>
  <c r="K91" i="119" a="1"/>
  <c r="K91" i="119" s="1"/>
  <c r="J91" i="119" a="1"/>
  <c r="J91" i="119" s="1"/>
  <c r="I91" i="119" a="1"/>
  <c r="I91" i="119" s="1"/>
  <c r="H91" i="119" a="1"/>
  <c r="H91" i="119" s="1"/>
  <c r="G91" i="119" a="1"/>
  <c r="G91" i="119" s="1"/>
  <c r="F91" i="119" a="1"/>
  <c r="F91" i="119" s="1"/>
  <c r="E91" i="119" a="1"/>
  <c r="E91" i="119" s="1"/>
  <c r="D91" i="119" a="1"/>
  <c r="D91" i="119" s="1"/>
  <c r="S90" i="119" a="1"/>
  <c r="S90" i="119" s="1"/>
  <c r="R90" i="119" a="1"/>
  <c r="R90" i="119" s="1"/>
  <c r="Q90" i="119" a="1"/>
  <c r="Q90" i="119" s="1"/>
  <c r="P90" i="119" a="1"/>
  <c r="P90" i="119" s="1"/>
  <c r="O90" i="119" a="1"/>
  <c r="O90" i="119" s="1"/>
  <c r="N90" i="119" a="1"/>
  <c r="N90" i="119" s="1"/>
  <c r="M90" i="119" a="1"/>
  <c r="M90" i="119" s="1"/>
  <c r="L90" i="119" a="1"/>
  <c r="L90" i="119" s="1"/>
  <c r="K90" i="119" a="1"/>
  <c r="K90" i="119" s="1"/>
  <c r="J90" i="119" a="1"/>
  <c r="J90" i="119" s="1"/>
  <c r="I90" i="119" a="1"/>
  <c r="I90" i="119" s="1"/>
  <c r="H90" i="119" a="1"/>
  <c r="H90" i="119" s="1"/>
  <c r="G90" i="119" a="1"/>
  <c r="G90" i="119" s="1"/>
  <c r="F90" i="119" a="1"/>
  <c r="F90" i="119" s="1"/>
  <c r="E90" i="119" a="1"/>
  <c r="E90" i="119" s="1"/>
  <c r="D90" i="119" a="1"/>
  <c r="D90" i="119" s="1"/>
  <c r="D83" i="119" a="1"/>
  <c r="D83" i="119" s="1"/>
  <c r="D82" i="119" a="1"/>
  <c r="D82" i="119" s="1"/>
  <c r="D81" i="119" a="1"/>
  <c r="D81" i="119" s="1"/>
  <c r="E77" i="119" a="1"/>
  <c r="E77" i="119" s="1"/>
  <c r="D77" i="119" a="1"/>
  <c r="D77" i="119" s="1"/>
  <c r="E76" i="119" a="1"/>
  <c r="E76" i="119" s="1"/>
  <c r="D76" i="119" a="1"/>
  <c r="D76" i="119" s="1"/>
  <c r="E75" i="119" a="1"/>
  <c r="E75" i="119" s="1"/>
  <c r="D75" i="119" a="1"/>
  <c r="D75" i="119" s="1"/>
  <c r="E74" i="119" a="1"/>
  <c r="E74" i="119" s="1"/>
  <c r="D74" i="119" a="1"/>
  <c r="D74" i="119" s="1"/>
  <c r="E73" i="119" a="1"/>
  <c r="E73" i="119" s="1"/>
  <c r="D73" i="119" a="1"/>
  <c r="D73" i="119" s="1"/>
  <c r="E72" i="119" a="1"/>
  <c r="E72" i="119" s="1"/>
  <c r="D72" i="119" a="1"/>
  <c r="D72" i="119" s="1"/>
  <c r="E71" i="119" a="1"/>
  <c r="E71" i="119" s="1"/>
  <c r="D71" i="119" a="1"/>
  <c r="D71" i="119" s="1"/>
  <c r="E70" i="119" a="1"/>
  <c r="E70" i="119" s="1"/>
  <c r="D70" i="119" a="1"/>
  <c r="D70" i="119" s="1"/>
  <c r="E69" i="119" a="1"/>
  <c r="E69" i="119" s="1"/>
  <c r="D69" i="119" a="1"/>
  <c r="D69" i="119" s="1"/>
  <c r="E68" i="119" a="1"/>
  <c r="E68" i="119" s="1"/>
  <c r="D68" i="119" a="1"/>
  <c r="D68" i="119" s="1"/>
  <c r="E67" i="119" a="1"/>
  <c r="E67" i="119" s="1"/>
  <c r="D67" i="119" a="1"/>
  <c r="D67" i="119" s="1"/>
  <c r="E66" i="119" a="1"/>
  <c r="E66" i="119" s="1"/>
  <c r="D66" i="119" a="1"/>
  <c r="D66" i="119" s="1"/>
  <c r="E65" i="119" a="1"/>
  <c r="E65" i="119" s="1"/>
  <c r="D65" i="119" a="1"/>
  <c r="D65" i="119" s="1"/>
  <c r="E64" i="119" a="1"/>
  <c r="E64" i="119" s="1"/>
  <c r="D64" i="119" a="1"/>
  <c r="D64" i="119" s="1"/>
  <c r="D59" i="119" a="1"/>
  <c r="D59" i="119" s="1"/>
  <c r="D58" i="119" a="1"/>
  <c r="D58" i="119" s="1"/>
  <c r="D57" i="119" a="1"/>
  <c r="D57" i="119" s="1"/>
  <c r="G54" i="119" a="1"/>
  <c r="G54" i="119" s="1"/>
  <c r="F54" i="119" a="1"/>
  <c r="F54" i="119" s="1"/>
  <c r="H54" i="119" s="1"/>
  <c r="E54" i="119" a="1"/>
  <c r="E54" i="119" s="1"/>
  <c r="D54" i="119" a="1"/>
  <c r="D54" i="119" s="1"/>
  <c r="G53" i="119" a="1"/>
  <c r="G53" i="119" s="1"/>
  <c r="F53" i="119" a="1"/>
  <c r="F53" i="119" s="1"/>
  <c r="E53" i="119" a="1"/>
  <c r="E53" i="119" s="1"/>
  <c r="D53" i="119" a="1"/>
  <c r="D53" i="119" s="1"/>
  <c r="G52" i="119" a="1"/>
  <c r="G52" i="119" s="1"/>
  <c r="F52" i="119" a="1"/>
  <c r="F52" i="119" s="1"/>
  <c r="E52" i="119" a="1"/>
  <c r="E52" i="119" s="1"/>
  <c r="D52" i="119" a="1"/>
  <c r="D52" i="119" s="1"/>
  <c r="G51" i="119" a="1"/>
  <c r="G51" i="119" s="1"/>
  <c r="F51" i="119" a="1"/>
  <c r="F51" i="119" s="1"/>
  <c r="E51" i="119" a="1"/>
  <c r="E51" i="119" s="1"/>
  <c r="D51" i="119" a="1"/>
  <c r="D51" i="119" s="1"/>
  <c r="G50" i="119" a="1"/>
  <c r="G50" i="119" s="1"/>
  <c r="F50" i="119" a="1"/>
  <c r="F50" i="119" s="1"/>
  <c r="E50" i="119" a="1"/>
  <c r="E50" i="119" s="1"/>
  <c r="D50" i="119" a="1"/>
  <c r="D50" i="119" s="1"/>
  <c r="G49" i="119" a="1"/>
  <c r="G49" i="119" s="1"/>
  <c r="F49" i="119" a="1"/>
  <c r="F49" i="119" s="1"/>
  <c r="E49" i="119" a="1"/>
  <c r="E49" i="119" s="1"/>
  <c r="D49" i="119" a="1"/>
  <c r="D49" i="119" s="1"/>
  <c r="G48" i="119" a="1"/>
  <c r="G48" i="119" s="1"/>
  <c r="F48" i="119" a="1"/>
  <c r="F48" i="119" s="1"/>
  <c r="E48" i="119" a="1"/>
  <c r="E48" i="119" s="1"/>
  <c r="D48" i="119" a="1"/>
  <c r="D48" i="119" s="1"/>
  <c r="D46" i="119" a="1"/>
  <c r="D46" i="119" s="1"/>
  <c r="D45" i="119" a="1"/>
  <c r="D45" i="119" s="1"/>
  <c r="E43" i="119" a="1"/>
  <c r="E43" i="119" s="1"/>
  <c r="D43" i="119" a="1"/>
  <c r="D43" i="119" s="1"/>
  <c r="E42" i="119" a="1"/>
  <c r="E42" i="119" s="1"/>
  <c r="D42" i="119" a="1"/>
  <c r="D42" i="119" s="1"/>
  <c r="E41" i="119" a="1"/>
  <c r="E41" i="119" s="1"/>
  <c r="D41" i="119" a="1"/>
  <c r="D41" i="119" s="1"/>
  <c r="E40" i="119" a="1"/>
  <c r="E40" i="119" s="1"/>
  <c r="D40" i="119" a="1"/>
  <c r="D40" i="119" s="1"/>
  <c r="E39" i="119" a="1"/>
  <c r="E39" i="119" s="1"/>
  <c r="D39" i="119" a="1"/>
  <c r="D39" i="119" s="1"/>
  <c r="E38" i="119" a="1"/>
  <c r="E38" i="119" s="1"/>
  <c r="D38" i="119" a="1"/>
  <c r="D38" i="119" s="1"/>
  <c r="E37" i="119" a="1"/>
  <c r="E37" i="119" s="1"/>
  <c r="D37" i="119" a="1"/>
  <c r="D37" i="119" s="1"/>
  <c r="D35" i="119" a="1"/>
  <c r="D35" i="119" s="1"/>
  <c r="D34" i="119" a="1"/>
  <c r="D34" i="119" s="1"/>
  <c r="D30" i="119" a="1"/>
  <c r="D30" i="119" s="1"/>
  <c r="D29" i="119" a="1"/>
  <c r="D29" i="119" s="1"/>
  <c r="D28" i="119" a="1"/>
  <c r="D28" i="119" s="1"/>
  <c r="D27" i="119" a="1"/>
  <c r="D27" i="119" s="1"/>
  <c r="D26" i="119" a="1"/>
  <c r="D26" i="119" s="1"/>
  <c r="D25" i="119" a="1"/>
  <c r="D25" i="119" s="1"/>
  <c r="D24" i="119" a="1"/>
  <c r="D24" i="119" s="1"/>
  <c r="D23" i="119" a="1"/>
  <c r="D23" i="119" s="1"/>
  <c r="D22" i="119" a="1"/>
  <c r="D22" i="119" s="1"/>
  <c r="D21" i="119" a="1"/>
  <c r="D21" i="119" s="1"/>
  <c r="D19" i="119" a="1"/>
  <c r="D19" i="119" s="1"/>
  <c r="D18" i="119"/>
  <c r="D18" i="119" a="1"/>
  <c r="F14" i="119" a="1"/>
  <c r="F14" i="119" s="1"/>
  <c r="E14" i="119" a="1"/>
  <c r="E14" i="119" s="1"/>
  <c r="D14" i="119" a="1"/>
  <c r="D14" i="119" s="1"/>
  <c r="F13" i="119" a="1"/>
  <c r="F13" i="119" s="1"/>
  <c r="E13" i="119" a="1"/>
  <c r="E13" i="119" s="1"/>
  <c r="D13" i="119" a="1"/>
  <c r="D13" i="119" s="1"/>
  <c r="F12" i="119" a="1"/>
  <c r="F12" i="119" s="1"/>
  <c r="E12" i="119" a="1"/>
  <c r="E12" i="119" s="1"/>
  <c r="D12" i="119" a="1"/>
  <c r="D12" i="119" s="1"/>
  <c r="F11" i="119" a="1"/>
  <c r="F11" i="119" s="1"/>
  <c r="E11" i="119" a="1"/>
  <c r="E11" i="119" s="1"/>
  <c r="D11" i="119" a="1"/>
  <c r="D11" i="119" s="1"/>
  <c r="F10" i="119" a="1"/>
  <c r="F10" i="119" s="1"/>
  <c r="E10" i="119" a="1"/>
  <c r="E10" i="119" s="1"/>
  <c r="D10" i="119" a="1"/>
  <c r="D10" i="119" s="1"/>
  <c r="F9" i="119" a="1"/>
  <c r="F9" i="119" s="1"/>
  <c r="E9" i="119" a="1"/>
  <c r="E9" i="119" s="1"/>
  <c r="D9" i="119" a="1"/>
  <c r="D9" i="119" s="1"/>
  <c r="F8" i="119" a="1"/>
  <c r="F8" i="119" s="1"/>
  <c r="E8" i="119" a="1"/>
  <c r="E8" i="119" s="1"/>
  <c r="D8" i="119" a="1"/>
  <c r="D8" i="119" s="1"/>
  <c r="F7" i="119" a="1"/>
  <c r="F7" i="119" s="1"/>
  <c r="E7" i="119" a="1"/>
  <c r="E7" i="119" s="1"/>
  <c r="D7" i="119" a="1"/>
  <c r="D7" i="119" s="1"/>
  <c r="D5" i="119" a="1"/>
  <c r="D5" i="119" s="1"/>
  <c r="J50" i="70" l="1"/>
  <c r="H52" i="119"/>
  <c r="H51" i="119"/>
  <c r="H48" i="119"/>
  <c r="H50" i="119"/>
  <c r="H49" i="119"/>
  <c r="H53" i="119"/>
  <c r="AE153" i="110" a="1"/>
  <c r="AE153" i="110" s="1"/>
  <c r="AD153" i="110" a="1"/>
  <c r="AD153" i="110" s="1"/>
  <c r="AC153" i="110" a="1"/>
  <c r="AC153" i="110" s="1"/>
  <c r="AB153" i="110" a="1"/>
  <c r="AB153" i="110" s="1"/>
  <c r="AA153" i="110" a="1"/>
  <c r="AA153" i="110" s="1"/>
  <c r="Z153" i="110" a="1"/>
  <c r="Z153" i="110" s="1"/>
  <c r="Y153" i="110" a="1"/>
  <c r="Y153" i="110" s="1"/>
  <c r="X153" i="110" a="1"/>
  <c r="X153" i="110" s="1"/>
  <c r="W153" i="110" a="1"/>
  <c r="W153" i="110" s="1"/>
  <c r="V153" i="110" a="1"/>
  <c r="V153" i="110" s="1"/>
  <c r="U153" i="110" a="1"/>
  <c r="U153" i="110" s="1"/>
  <c r="T153" i="110" a="1"/>
  <c r="T153" i="110" s="1"/>
  <c r="S153" i="110" a="1"/>
  <c r="S153" i="110" s="1"/>
  <c r="R153" i="110" a="1"/>
  <c r="R153" i="110" s="1"/>
  <c r="Q153" i="110" a="1"/>
  <c r="Q153" i="110" s="1"/>
  <c r="P153" i="110" a="1"/>
  <c r="P153" i="110" s="1"/>
  <c r="O153" i="110" a="1"/>
  <c r="O153" i="110" s="1"/>
  <c r="N153" i="110" a="1"/>
  <c r="N153" i="110" s="1"/>
  <c r="M153" i="110" a="1"/>
  <c r="M153" i="110" s="1"/>
  <c r="L153" i="110" a="1"/>
  <c r="L153" i="110" s="1"/>
  <c r="K153" i="110" a="1"/>
  <c r="K153" i="110" s="1"/>
  <c r="AE152" i="110" a="1"/>
  <c r="AE152" i="110" s="1"/>
  <c r="AD152" i="110" a="1"/>
  <c r="AD152" i="110" s="1"/>
  <c r="AC152" i="110" a="1"/>
  <c r="AC152" i="110" s="1"/>
  <c r="AB152" i="110" a="1"/>
  <c r="AB152" i="110" s="1"/>
  <c r="AA152" i="110" a="1"/>
  <c r="AA152" i="110" s="1"/>
  <c r="Z152" i="110" a="1"/>
  <c r="Z152" i="110" s="1"/>
  <c r="Y152" i="110" a="1"/>
  <c r="Y152" i="110" s="1"/>
  <c r="X152" i="110" a="1"/>
  <c r="X152" i="110" s="1"/>
  <c r="W152" i="110" a="1"/>
  <c r="W152" i="110" s="1"/>
  <c r="V152" i="110" a="1"/>
  <c r="V152" i="110" s="1"/>
  <c r="U152" i="110" a="1"/>
  <c r="U152" i="110" s="1"/>
  <c r="T152" i="110" a="1"/>
  <c r="T152" i="110" s="1"/>
  <c r="S152" i="110" a="1"/>
  <c r="S152" i="110" s="1"/>
  <c r="R152" i="110" a="1"/>
  <c r="R152" i="110" s="1"/>
  <c r="Q152" i="110" a="1"/>
  <c r="Q152" i="110" s="1"/>
  <c r="P152" i="110" a="1"/>
  <c r="P152" i="110" s="1"/>
  <c r="O152" i="110" a="1"/>
  <c r="O152" i="110" s="1"/>
  <c r="N152" i="110" a="1"/>
  <c r="N152" i="110" s="1"/>
  <c r="M152" i="110" a="1"/>
  <c r="M152" i="110" s="1"/>
  <c r="L152" i="110" a="1"/>
  <c r="L152" i="110" s="1"/>
  <c r="K152" i="110" a="1"/>
  <c r="K152" i="110" s="1"/>
  <c r="AE151" i="110" a="1"/>
  <c r="AE151" i="110" s="1"/>
  <c r="AD151" i="110" a="1"/>
  <c r="AD151" i="110" s="1"/>
  <c r="AC151" i="110" a="1"/>
  <c r="AC151" i="110" s="1"/>
  <c r="AB151" i="110" a="1"/>
  <c r="AB151" i="110" s="1"/>
  <c r="AA151" i="110" a="1"/>
  <c r="AA151" i="110" s="1"/>
  <c r="Z151" i="110" a="1"/>
  <c r="Z151" i="110" s="1"/>
  <c r="Y151" i="110" a="1"/>
  <c r="Y151" i="110" s="1"/>
  <c r="X151" i="110" a="1"/>
  <c r="X151" i="110" s="1"/>
  <c r="W151" i="110" a="1"/>
  <c r="W151" i="110" s="1"/>
  <c r="V151" i="110" a="1"/>
  <c r="V151" i="110" s="1"/>
  <c r="U151" i="110" a="1"/>
  <c r="U151" i="110" s="1"/>
  <c r="T151" i="110" a="1"/>
  <c r="T151" i="110" s="1"/>
  <c r="S151" i="110" a="1"/>
  <c r="S151" i="110" s="1"/>
  <c r="R151" i="110" a="1"/>
  <c r="R151" i="110" s="1"/>
  <c r="Q151" i="110" a="1"/>
  <c r="Q151" i="110" s="1"/>
  <c r="P151" i="110" a="1"/>
  <c r="P151" i="110" s="1"/>
  <c r="O151" i="110" a="1"/>
  <c r="O151" i="110" s="1"/>
  <c r="N151" i="110" a="1"/>
  <c r="N151" i="110" s="1"/>
  <c r="M151" i="110" a="1"/>
  <c r="M151" i="110" s="1"/>
  <c r="L151" i="110" a="1"/>
  <c r="L151" i="110" s="1"/>
  <c r="K151" i="110" a="1"/>
  <c r="K151" i="110" s="1"/>
  <c r="AE150" i="110" a="1"/>
  <c r="AE150" i="110" s="1"/>
  <c r="AD150" i="110" a="1"/>
  <c r="AD150" i="110" s="1"/>
  <c r="AC150" i="110" a="1"/>
  <c r="AC150" i="110" s="1"/>
  <c r="AB150" i="110" a="1"/>
  <c r="AB150" i="110" s="1"/>
  <c r="AA150" i="110" a="1"/>
  <c r="AA150" i="110" s="1"/>
  <c r="Z150" i="110" a="1"/>
  <c r="Z150" i="110" s="1"/>
  <c r="Y150" i="110" a="1"/>
  <c r="Y150" i="110" s="1"/>
  <c r="X150" i="110" a="1"/>
  <c r="X150" i="110" s="1"/>
  <c r="W150" i="110" a="1"/>
  <c r="W150" i="110" s="1"/>
  <c r="V150" i="110" a="1"/>
  <c r="V150" i="110" s="1"/>
  <c r="U150" i="110" a="1"/>
  <c r="U150" i="110" s="1"/>
  <c r="T150" i="110" a="1"/>
  <c r="T150" i="110" s="1"/>
  <c r="S150" i="110" a="1"/>
  <c r="S150" i="110" s="1"/>
  <c r="R150" i="110" a="1"/>
  <c r="R150" i="110" s="1"/>
  <c r="Q150" i="110" a="1"/>
  <c r="Q150" i="110" s="1"/>
  <c r="P150" i="110" a="1"/>
  <c r="P150" i="110" s="1"/>
  <c r="O150" i="110" a="1"/>
  <c r="O150" i="110" s="1"/>
  <c r="N150" i="110" a="1"/>
  <c r="N150" i="110" s="1"/>
  <c r="M150" i="110" a="1"/>
  <c r="M150" i="110" s="1"/>
  <c r="L150" i="110" a="1"/>
  <c r="L150" i="110" s="1"/>
  <c r="K150" i="110" a="1"/>
  <c r="K150" i="110" s="1"/>
  <c r="AE149" i="110" a="1"/>
  <c r="AE149" i="110" s="1"/>
  <c r="AD149" i="110" a="1"/>
  <c r="AD149" i="110" s="1"/>
  <c r="AC149" i="110" a="1"/>
  <c r="AC149" i="110" s="1"/>
  <c r="AB149" i="110" a="1"/>
  <c r="AB149" i="110" s="1"/>
  <c r="AA149" i="110" a="1"/>
  <c r="AA149" i="110" s="1"/>
  <c r="Z149" i="110" a="1"/>
  <c r="Z149" i="110" s="1"/>
  <c r="Y149" i="110" a="1"/>
  <c r="Y149" i="110" s="1"/>
  <c r="X149" i="110" a="1"/>
  <c r="X149" i="110" s="1"/>
  <c r="W149" i="110" a="1"/>
  <c r="W149" i="110" s="1"/>
  <c r="V149" i="110" a="1"/>
  <c r="V149" i="110" s="1"/>
  <c r="U149" i="110" a="1"/>
  <c r="U149" i="110" s="1"/>
  <c r="T149" i="110" a="1"/>
  <c r="T149" i="110" s="1"/>
  <c r="S149" i="110" a="1"/>
  <c r="S149" i="110" s="1"/>
  <c r="R149" i="110" a="1"/>
  <c r="R149" i="110" s="1"/>
  <c r="Q149" i="110" a="1"/>
  <c r="Q149" i="110" s="1"/>
  <c r="P149" i="110" a="1"/>
  <c r="P149" i="110" s="1"/>
  <c r="O149" i="110" a="1"/>
  <c r="O149" i="110" s="1"/>
  <c r="N149" i="110" a="1"/>
  <c r="N149" i="110" s="1"/>
  <c r="M149" i="110" a="1"/>
  <c r="M149" i="110" s="1"/>
  <c r="L149" i="110" a="1"/>
  <c r="L149" i="110" s="1"/>
  <c r="K149" i="110" a="1"/>
  <c r="K149" i="110" s="1"/>
  <c r="AE148" i="110" a="1"/>
  <c r="AE148" i="110" s="1"/>
  <c r="AD148" i="110" a="1"/>
  <c r="AD148" i="110" s="1"/>
  <c r="AC148" i="110" a="1"/>
  <c r="AC148" i="110" s="1"/>
  <c r="AB148" i="110" a="1"/>
  <c r="AB148" i="110" s="1"/>
  <c r="AA148" i="110" a="1"/>
  <c r="AA148" i="110" s="1"/>
  <c r="Z148" i="110" a="1"/>
  <c r="Z148" i="110" s="1"/>
  <c r="Y148" i="110" a="1"/>
  <c r="Y148" i="110" s="1"/>
  <c r="X148" i="110" a="1"/>
  <c r="X148" i="110" s="1"/>
  <c r="W148" i="110" a="1"/>
  <c r="W148" i="110" s="1"/>
  <c r="V148" i="110" a="1"/>
  <c r="V148" i="110" s="1"/>
  <c r="U148" i="110" a="1"/>
  <c r="U148" i="110" s="1"/>
  <c r="T148" i="110" a="1"/>
  <c r="T148" i="110" s="1"/>
  <c r="S148" i="110" a="1"/>
  <c r="S148" i="110" s="1"/>
  <c r="R148" i="110" a="1"/>
  <c r="R148" i="110" s="1"/>
  <c r="Q148" i="110" a="1"/>
  <c r="Q148" i="110" s="1"/>
  <c r="P148" i="110" a="1"/>
  <c r="P148" i="110" s="1"/>
  <c r="O148" i="110" a="1"/>
  <c r="O148" i="110" s="1"/>
  <c r="N148" i="110" a="1"/>
  <c r="N148" i="110" s="1"/>
  <c r="M148" i="110" a="1"/>
  <c r="M148" i="110" s="1"/>
  <c r="L148" i="110" a="1"/>
  <c r="L148" i="110" s="1"/>
  <c r="K148" i="110" a="1"/>
  <c r="K148" i="110" s="1"/>
  <c r="AE147" i="110" a="1"/>
  <c r="AE147" i="110" s="1"/>
  <c r="AD147" i="110" a="1"/>
  <c r="AD147" i="110" s="1"/>
  <c r="AC147" i="110" a="1"/>
  <c r="AC147" i="110" s="1"/>
  <c r="AB147" i="110" a="1"/>
  <c r="AB147" i="110" s="1"/>
  <c r="AA147" i="110" a="1"/>
  <c r="AA147" i="110" s="1"/>
  <c r="Z147" i="110" a="1"/>
  <c r="Z147" i="110" s="1"/>
  <c r="Y147" i="110" a="1"/>
  <c r="Y147" i="110" s="1"/>
  <c r="X147" i="110" a="1"/>
  <c r="X147" i="110" s="1"/>
  <c r="W147" i="110" a="1"/>
  <c r="W147" i="110" s="1"/>
  <c r="V147" i="110" a="1"/>
  <c r="V147" i="110" s="1"/>
  <c r="U147" i="110" a="1"/>
  <c r="U147" i="110" s="1"/>
  <c r="T147" i="110" a="1"/>
  <c r="T147" i="110" s="1"/>
  <c r="S147" i="110" a="1"/>
  <c r="S147" i="110" s="1"/>
  <c r="R147" i="110" a="1"/>
  <c r="R147" i="110" s="1"/>
  <c r="Q147" i="110" a="1"/>
  <c r="Q147" i="110" s="1"/>
  <c r="P147" i="110" a="1"/>
  <c r="P147" i="110" s="1"/>
  <c r="O147" i="110" a="1"/>
  <c r="O147" i="110" s="1"/>
  <c r="N147" i="110" a="1"/>
  <c r="N147" i="110" s="1"/>
  <c r="M147" i="110" a="1"/>
  <c r="M147" i="110" s="1"/>
  <c r="L147" i="110" a="1"/>
  <c r="L147" i="110" s="1"/>
  <c r="K147" i="110" a="1"/>
  <c r="K147" i="110" s="1"/>
  <c r="AE146" i="110" a="1"/>
  <c r="AE146" i="110" s="1"/>
  <c r="AD146" i="110" a="1"/>
  <c r="AD146" i="110" s="1"/>
  <c r="AC146" i="110" a="1"/>
  <c r="AC146" i="110" s="1"/>
  <c r="AB146" i="110" a="1"/>
  <c r="AB146" i="110" s="1"/>
  <c r="AA146" i="110" a="1"/>
  <c r="AA146" i="110" s="1"/>
  <c r="Z146" i="110" a="1"/>
  <c r="Z146" i="110" s="1"/>
  <c r="Y146" i="110" a="1"/>
  <c r="Y146" i="110" s="1"/>
  <c r="X146" i="110" a="1"/>
  <c r="X146" i="110" s="1"/>
  <c r="W146" i="110" a="1"/>
  <c r="W146" i="110" s="1"/>
  <c r="V146" i="110" a="1"/>
  <c r="V146" i="110" s="1"/>
  <c r="U146" i="110" a="1"/>
  <c r="U146" i="110" s="1"/>
  <c r="T146" i="110" a="1"/>
  <c r="T146" i="110" s="1"/>
  <c r="S146" i="110" a="1"/>
  <c r="S146" i="110" s="1"/>
  <c r="R146" i="110" a="1"/>
  <c r="R146" i="110" s="1"/>
  <c r="Q146" i="110" a="1"/>
  <c r="Q146" i="110" s="1"/>
  <c r="P146" i="110" a="1"/>
  <c r="P146" i="110" s="1"/>
  <c r="O146" i="110" a="1"/>
  <c r="O146" i="110" s="1"/>
  <c r="N146" i="110" a="1"/>
  <c r="N146" i="110" s="1"/>
  <c r="M146" i="110" a="1"/>
  <c r="M146" i="110" s="1"/>
  <c r="L146" i="110" a="1"/>
  <c r="L146" i="110" s="1"/>
  <c r="K146" i="110" a="1"/>
  <c r="K146" i="110" s="1"/>
  <c r="AE145" i="110" a="1"/>
  <c r="AE145" i="110" s="1"/>
  <c r="AD145" i="110" a="1"/>
  <c r="AD145" i="110" s="1"/>
  <c r="AC145" i="110" a="1"/>
  <c r="AC145" i="110" s="1"/>
  <c r="AB145" i="110" a="1"/>
  <c r="AB145" i="110" s="1"/>
  <c r="AA145" i="110" a="1"/>
  <c r="AA145" i="110" s="1"/>
  <c r="Z145" i="110" a="1"/>
  <c r="Z145" i="110" s="1"/>
  <c r="Y145" i="110" a="1"/>
  <c r="Y145" i="110" s="1"/>
  <c r="X145" i="110" a="1"/>
  <c r="X145" i="110" s="1"/>
  <c r="W145" i="110" a="1"/>
  <c r="W145" i="110" s="1"/>
  <c r="V145" i="110" a="1"/>
  <c r="V145" i="110" s="1"/>
  <c r="U145" i="110" a="1"/>
  <c r="U145" i="110" s="1"/>
  <c r="T145" i="110" a="1"/>
  <c r="T145" i="110" s="1"/>
  <c r="S145" i="110" a="1"/>
  <c r="S145" i="110" s="1"/>
  <c r="R145" i="110" a="1"/>
  <c r="R145" i="110" s="1"/>
  <c r="Q145" i="110" a="1"/>
  <c r="Q145" i="110" s="1"/>
  <c r="P145" i="110" a="1"/>
  <c r="P145" i="110" s="1"/>
  <c r="O145" i="110" a="1"/>
  <c r="O145" i="110" s="1"/>
  <c r="N145" i="110" a="1"/>
  <c r="N145" i="110" s="1"/>
  <c r="M145" i="110" a="1"/>
  <c r="M145" i="110" s="1"/>
  <c r="L145" i="110" a="1"/>
  <c r="L145" i="110" s="1"/>
  <c r="K145" i="110" a="1"/>
  <c r="K145" i="110" s="1"/>
  <c r="AE144" i="110" a="1"/>
  <c r="AE144" i="110" s="1"/>
  <c r="AD144" i="110" a="1"/>
  <c r="AD144" i="110" s="1"/>
  <c r="AC144" i="110" a="1"/>
  <c r="AC144" i="110" s="1"/>
  <c r="AB144" i="110" a="1"/>
  <c r="AB144" i="110" s="1"/>
  <c r="AA144" i="110" a="1"/>
  <c r="AA144" i="110" s="1"/>
  <c r="Z144" i="110" a="1"/>
  <c r="Z144" i="110" s="1"/>
  <c r="Y144" i="110" a="1"/>
  <c r="Y144" i="110" s="1"/>
  <c r="X144" i="110" a="1"/>
  <c r="X144" i="110" s="1"/>
  <c r="W144" i="110" a="1"/>
  <c r="W144" i="110" s="1"/>
  <c r="V144" i="110" a="1"/>
  <c r="V144" i="110" s="1"/>
  <c r="U144" i="110" a="1"/>
  <c r="U144" i="110" s="1"/>
  <c r="T144" i="110" a="1"/>
  <c r="T144" i="110" s="1"/>
  <c r="S144" i="110" a="1"/>
  <c r="S144" i="110" s="1"/>
  <c r="R144" i="110" a="1"/>
  <c r="R144" i="110" s="1"/>
  <c r="Q144" i="110" a="1"/>
  <c r="Q144" i="110" s="1"/>
  <c r="P144" i="110" a="1"/>
  <c r="P144" i="110" s="1"/>
  <c r="O144" i="110" a="1"/>
  <c r="O144" i="110" s="1"/>
  <c r="N144" i="110" a="1"/>
  <c r="N144" i="110" s="1"/>
  <c r="M144" i="110" a="1"/>
  <c r="M144" i="110" s="1"/>
  <c r="L144" i="110" a="1"/>
  <c r="L144" i="110" s="1"/>
  <c r="K144" i="110" a="1"/>
  <c r="K144" i="110" s="1"/>
  <c r="AE143" i="110" a="1"/>
  <c r="AE143" i="110" s="1"/>
  <c r="AD143" i="110" a="1"/>
  <c r="AD143" i="110" s="1"/>
  <c r="AC143" i="110" a="1"/>
  <c r="AC143" i="110" s="1"/>
  <c r="AB143" i="110" a="1"/>
  <c r="AB143" i="110" s="1"/>
  <c r="AA143" i="110" a="1"/>
  <c r="AA143" i="110" s="1"/>
  <c r="Z143" i="110" a="1"/>
  <c r="Z143" i="110" s="1"/>
  <c r="Y143" i="110" a="1"/>
  <c r="Y143" i="110" s="1"/>
  <c r="X143" i="110" a="1"/>
  <c r="X143" i="110" s="1"/>
  <c r="W143" i="110" a="1"/>
  <c r="W143" i="110" s="1"/>
  <c r="V143" i="110" a="1"/>
  <c r="V143" i="110" s="1"/>
  <c r="U143" i="110" a="1"/>
  <c r="U143" i="110" s="1"/>
  <c r="T143" i="110" a="1"/>
  <c r="T143" i="110" s="1"/>
  <c r="S143" i="110" a="1"/>
  <c r="S143" i="110" s="1"/>
  <c r="R143" i="110" a="1"/>
  <c r="R143" i="110" s="1"/>
  <c r="Q143" i="110" a="1"/>
  <c r="Q143" i="110" s="1"/>
  <c r="P143" i="110" a="1"/>
  <c r="P143" i="110" s="1"/>
  <c r="O143" i="110" a="1"/>
  <c r="O143" i="110" s="1"/>
  <c r="N143" i="110" a="1"/>
  <c r="N143" i="110" s="1"/>
  <c r="M143" i="110" a="1"/>
  <c r="M143" i="110" s="1"/>
  <c r="L143" i="110" a="1"/>
  <c r="L143" i="110" s="1"/>
  <c r="K143" i="110" a="1"/>
  <c r="K143" i="110" s="1"/>
  <c r="AE142" i="110" a="1"/>
  <c r="AE142" i="110" s="1"/>
  <c r="AD142" i="110" a="1"/>
  <c r="AD142" i="110" s="1"/>
  <c r="AC142" i="110" a="1"/>
  <c r="AC142" i="110" s="1"/>
  <c r="AB142" i="110" a="1"/>
  <c r="AB142" i="110" s="1"/>
  <c r="AA142" i="110" a="1"/>
  <c r="AA142" i="110" s="1"/>
  <c r="Z142" i="110" a="1"/>
  <c r="Z142" i="110" s="1"/>
  <c r="Y142" i="110" a="1"/>
  <c r="Y142" i="110" s="1"/>
  <c r="X142" i="110" a="1"/>
  <c r="X142" i="110" s="1"/>
  <c r="W142" i="110" a="1"/>
  <c r="W142" i="110" s="1"/>
  <c r="V142" i="110" a="1"/>
  <c r="V142" i="110" s="1"/>
  <c r="U142" i="110" a="1"/>
  <c r="U142" i="110" s="1"/>
  <c r="T142" i="110" a="1"/>
  <c r="T142" i="110" s="1"/>
  <c r="S142" i="110" a="1"/>
  <c r="S142" i="110" s="1"/>
  <c r="R142" i="110" a="1"/>
  <c r="R142" i="110" s="1"/>
  <c r="Q142" i="110" a="1"/>
  <c r="Q142" i="110" s="1"/>
  <c r="P142" i="110" a="1"/>
  <c r="P142" i="110" s="1"/>
  <c r="O142" i="110" a="1"/>
  <c r="O142" i="110" s="1"/>
  <c r="N142" i="110" a="1"/>
  <c r="N142" i="110" s="1"/>
  <c r="M142" i="110" a="1"/>
  <c r="M142" i="110" s="1"/>
  <c r="L142" i="110" a="1"/>
  <c r="L142" i="110" s="1"/>
  <c r="K142" i="110" a="1"/>
  <c r="K142" i="110" s="1"/>
  <c r="AE141" i="110" a="1"/>
  <c r="AE141" i="110" s="1"/>
  <c r="AD141" i="110" a="1"/>
  <c r="AD141" i="110" s="1"/>
  <c r="AC141" i="110" a="1"/>
  <c r="AC141" i="110" s="1"/>
  <c r="AB141" i="110" a="1"/>
  <c r="AB141" i="110" s="1"/>
  <c r="AA141" i="110" a="1"/>
  <c r="AA141" i="110" s="1"/>
  <c r="Z141" i="110" a="1"/>
  <c r="Z141" i="110" s="1"/>
  <c r="Y141" i="110" a="1"/>
  <c r="Y141" i="110" s="1"/>
  <c r="X141" i="110" a="1"/>
  <c r="X141" i="110" s="1"/>
  <c r="W141" i="110" a="1"/>
  <c r="W141" i="110" s="1"/>
  <c r="V141" i="110" a="1"/>
  <c r="V141" i="110" s="1"/>
  <c r="U141" i="110" a="1"/>
  <c r="U141" i="110" s="1"/>
  <c r="T141" i="110" a="1"/>
  <c r="T141" i="110" s="1"/>
  <c r="S141" i="110" a="1"/>
  <c r="S141" i="110" s="1"/>
  <c r="R141" i="110" a="1"/>
  <c r="R141" i="110" s="1"/>
  <c r="Q141" i="110" a="1"/>
  <c r="Q141" i="110" s="1"/>
  <c r="P141" i="110" a="1"/>
  <c r="P141" i="110" s="1"/>
  <c r="O141" i="110" a="1"/>
  <c r="O141" i="110" s="1"/>
  <c r="N141" i="110" a="1"/>
  <c r="N141" i="110" s="1"/>
  <c r="M141" i="110" a="1"/>
  <c r="M141" i="110" s="1"/>
  <c r="L141" i="110" a="1"/>
  <c r="L141" i="110" s="1"/>
  <c r="K141" i="110" a="1"/>
  <c r="K141" i="110" s="1"/>
  <c r="AE140" i="110" a="1"/>
  <c r="AE140" i="110" s="1"/>
  <c r="AD140" i="110" a="1"/>
  <c r="AD140" i="110" s="1"/>
  <c r="AC140" i="110" a="1"/>
  <c r="AC140" i="110" s="1"/>
  <c r="AB140" i="110" a="1"/>
  <c r="AB140" i="110" s="1"/>
  <c r="AA140" i="110" a="1"/>
  <c r="AA140" i="110" s="1"/>
  <c r="Z140" i="110" a="1"/>
  <c r="Z140" i="110" s="1"/>
  <c r="Y140" i="110" a="1"/>
  <c r="Y140" i="110" s="1"/>
  <c r="X140" i="110" a="1"/>
  <c r="X140" i="110" s="1"/>
  <c r="W140" i="110" a="1"/>
  <c r="W140" i="110" s="1"/>
  <c r="V140" i="110" a="1"/>
  <c r="V140" i="110" s="1"/>
  <c r="U140" i="110" a="1"/>
  <c r="U140" i="110" s="1"/>
  <c r="T140" i="110" a="1"/>
  <c r="T140" i="110" s="1"/>
  <c r="S140" i="110" a="1"/>
  <c r="S140" i="110" s="1"/>
  <c r="R140" i="110" a="1"/>
  <c r="R140" i="110" s="1"/>
  <c r="Q140" i="110" a="1"/>
  <c r="Q140" i="110" s="1"/>
  <c r="P140" i="110" a="1"/>
  <c r="P140" i="110" s="1"/>
  <c r="O140" i="110" a="1"/>
  <c r="O140" i="110" s="1"/>
  <c r="N140" i="110" a="1"/>
  <c r="N140" i="110" s="1"/>
  <c r="M140" i="110" a="1"/>
  <c r="M140" i="110" s="1"/>
  <c r="L140" i="110" a="1"/>
  <c r="L140" i="110" s="1"/>
  <c r="K140" i="110" a="1"/>
  <c r="K140" i="110" s="1"/>
  <c r="AE139" i="110" a="1"/>
  <c r="AE139" i="110" s="1"/>
  <c r="AD139" i="110" a="1"/>
  <c r="AD139" i="110" s="1"/>
  <c r="AC139" i="110" a="1"/>
  <c r="AC139" i="110" s="1"/>
  <c r="AB139" i="110" a="1"/>
  <c r="AB139" i="110" s="1"/>
  <c r="AA139" i="110" a="1"/>
  <c r="AA139" i="110" s="1"/>
  <c r="Z139" i="110" a="1"/>
  <c r="Z139" i="110" s="1"/>
  <c r="Y139" i="110" a="1"/>
  <c r="Y139" i="110" s="1"/>
  <c r="X139" i="110" a="1"/>
  <c r="X139" i="110" s="1"/>
  <c r="W139" i="110" a="1"/>
  <c r="W139" i="110" s="1"/>
  <c r="V139" i="110" a="1"/>
  <c r="V139" i="110" s="1"/>
  <c r="U139" i="110" a="1"/>
  <c r="U139" i="110" s="1"/>
  <c r="T139" i="110" a="1"/>
  <c r="T139" i="110" s="1"/>
  <c r="S139" i="110" a="1"/>
  <c r="S139" i="110" s="1"/>
  <c r="R139" i="110" a="1"/>
  <c r="R139" i="110" s="1"/>
  <c r="Q139" i="110" a="1"/>
  <c r="Q139" i="110" s="1"/>
  <c r="P139" i="110" a="1"/>
  <c r="P139" i="110" s="1"/>
  <c r="O139" i="110" a="1"/>
  <c r="O139" i="110" s="1"/>
  <c r="N139" i="110" a="1"/>
  <c r="N139" i="110" s="1"/>
  <c r="M139" i="110" a="1"/>
  <c r="M139" i="110" s="1"/>
  <c r="L139" i="110" a="1"/>
  <c r="L139" i="110" s="1"/>
  <c r="K139" i="110" a="1"/>
  <c r="K139" i="110" s="1"/>
  <c r="AE138" i="110" a="1"/>
  <c r="AE138" i="110" s="1"/>
  <c r="AD138" i="110" a="1"/>
  <c r="AD138" i="110" s="1"/>
  <c r="AC138" i="110" a="1"/>
  <c r="AC138" i="110" s="1"/>
  <c r="AB138" i="110" a="1"/>
  <c r="AB138" i="110" s="1"/>
  <c r="AA138" i="110" a="1"/>
  <c r="AA138" i="110" s="1"/>
  <c r="Z138" i="110" a="1"/>
  <c r="Z138" i="110" s="1"/>
  <c r="Y138" i="110" a="1"/>
  <c r="Y138" i="110" s="1"/>
  <c r="X138" i="110" a="1"/>
  <c r="X138" i="110" s="1"/>
  <c r="W138" i="110" a="1"/>
  <c r="W138" i="110" s="1"/>
  <c r="V138" i="110" a="1"/>
  <c r="V138" i="110" s="1"/>
  <c r="U138" i="110" a="1"/>
  <c r="U138" i="110" s="1"/>
  <c r="T138" i="110" a="1"/>
  <c r="T138" i="110" s="1"/>
  <c r="S138" i="110" a="1"/>
  <c r="S138" i="110" s="1"/>
  <c r="R138" i="110" a="1"/>
  <c r="R138" i="110" s="1"/>
  <c r="Q138" i="110" a="1"/>
  <c r="Q138" i="110" s="1"/>
  <c r="P138" i="110" a="1"/>
  <c r="P138" i="110" s="1"/>
  <c r="O138" i="110" a="1"/>
  <c r="O138" i="110" s="1"/>
  <c r="N138" i="110" a="1"/>
  <c r="N138" i="110" s="1"/>
  <c r="M138" i="110" a="1"/>
  <c r="M138" i="110" s="1"/>
  <c r="L138" i="110" a="1"/>
  <c r="L138" i="110" s="1"/>
  <c r="K138" i="110" a="1"/>
  <c r="K138" i="110" s="1"/>
  <c r="AE137" i="110" a="1"/>
  <c r="AE137" i="110" s="1"/>
  <c r="AD137" i="110" a="1"/>
  <c r="AD137" i="110" s="1"/>
  <c r="AC137" i="110" a="1"/>
  <c r="AC137" i="110" s="1"/>
  <c r="AB137" i="110" a="1"/>
  <c r="AB137" i="110" s="1"/>
  <c r="AA137" i="110" a="1"/>
  <c r="AA137" i="110" s="1"/>
  <c r="Z137" i="110" a="1"/>
  <c r="Z137" i="110" s="1"/>
  <c r="Y137" i="110" a="1"/>
  <c r="Y137" i="110" s="1"/>
  <c r="X137" i="110" a="1"/>
  <c r="X137" i="110" s="1"/>
  <c r="W137" i="110" a="1"/>
  <c r="W137" i="110" s="1"/>
  <c r="V137" i="110" a="1"/>
  <c r="V137" i="110" s="1"/>
  <c r="U137" i="110" a="1"/>
  <c r="U137" i="110" s="1"/>
  <c r="T137" i="110" a="1"/>
  <c r="T137" i="110" s="1"/>
  <c r="S137" i="110" a="1"/>
  <c r="S137" i="110" s="1"/>
  <c r="R137" i="110" a="1"/>
  <c r="R137" i="110" s="1"/>
  <c r="Q137" i="110" a="1"/>
  <c r="Q137" i="110" s="1"/>
  <c r="P137" i="110" a="1"/>
  <c r="P137" i="110" s="1"/>
  <c r="O137" i="110" a="1"/>
  <c r="O137" i="110" s="1"/>
  <c r="N137" i="110" a="1"/>
  <c r="N137" i="110" s="1"/>
  <c r="M137" i="110" a="1"/>
  <c r="M137" i="110" s="1"/>
  <c r="L137" i="110" a="1"/>
  <c r="L137" i="110" s="1"/>
  <c r="K137" i="110" a="1"/>
  <c r="K137" i="110" s="1"/>
  <c r="AE136" i="110" a="1"/>
  <c r="AE136" i="110" s="1"/>
  <c r="AD136" i="110" a="1"/>
  <c r="AD136" i="110" s="1"/>
  <c r="AC136" i="110" a="1"/>
  <c r="AC136" i="110" s="1"/>
  <c r="AB136" i="110" a="1"/>
  <c r="AB136" i="110" s="1"/>
  <c r="AA136" i="110" a="1"/>
  <c r="AA136" i="110" s="1"/>
  <c r="Z136" i="110" a="1"/>
  <c r="Z136" i="110" s="1"/>
  <c r="Y136" i="110" a="1"/>
  <c r="Y136" i="110" s="1"/>
  <c r="X136" i="110" a="1"/>
  <c r="X136" i="110" s="1"/>
  <c r="W136" i="110" a="1"/>
  <c r="W136" i="110" s="1"/>
  <c r="V136" i="110" a="1"/>
  <c r="V136" i="110" s="1"/>
  <c r="U136" i="110" a="1"/>
  <c r="U136" i="110" s="1"/>
  <c r="T136" i="110" a="1"/>
  <c r="T136" i="110" s="1"/>
  <c r="S136" i="110" a="1"/>
  <c r="S136" i="110" s="1"/>
  <c r="R136" i="110" a="1"/>
  <c r="R136" i="110" s="1"/>
  <c r="Q136" i="110" a="1"/>
  <c r="Q136" i="110" s="1"/>
  <c r="P136" i="110" a="1"/>
  <c r="P136" i="110" s="1"/>
  <c r="O136" i="110" a="1"/>
  <c r="O136" i="110" s="1"/>
  <c r="N136" i="110" a="1"/>
  <c r="N136" i="110" s="1"/>
  <c r="M136" i="110" a="1"/>
  <c r="M136" i="110" s="1"/>
  <c r="L136" i="110" a="1"/>
  <c r="L136" i="110" s="1"/>
  <c r="K136" i="110" a="1"/>
  <c r="K136" i="110" s="1"/>
  <c r="AE135" i="110" a="1"/>
  <c r="AE135" i="110" s="1"/>
  <c r="AD135" i="110" a="1"/>
  <c r="AD135" i="110" s="1"/>
  <c r="AC135" i="110" a="1"/>
  <c r="AC135" i="110" s="1"/>
  <c r="AB135" i="110" a="1"/>
  <c r="AB135" i="110" s="1"/>
  <c r="AA135" i="110" a="1"/>
  <c r="AA135" i="110" s="1"/>
  <c r="Z135" i="110" a="1"/>
  <c r="Z135" i="110" s="1"/>
  <c r="Y135" i="110" a="1"/>
  <c r="Y135" i="110" s="1"/>
  <c r="X135" i="110" a="1"/>
  <c r="X135" i="110" s="1"/>
  <c r="W135" i="110" a="1"/>
  <c r="W135" i="110" s="1"/>
  <c r="V135" i="110" a="1"/>
  <c r="V135" i="110" s="1"/>
  <c r="U135" i="110" a="1"/>
  <c r="U135" i="110" s="1"/>
  <c r="T135" i="110" a="1"/>
  <c r="T135" i="110" s="1"/>
  <c r="S135" i="110" a="1"/>
  <c r="S135" i="110" s="1"/>
  <c r="R135" i="110" a="1"/>
  <c r="R135" i="110" s="1"/>
  <c r="Q135" i="110" a="1"/>
  <c r="Q135" i="110" s="1"/>
  <c r="P135" i="110" a="1"/>
  <c r="P135" i="110" s="1"/>
  <c r="O135" i="110" a="1"/>
  <c r="O135" i="110" s="1"/>
  <c r="N135" i="110" a="1"/>
  <c r="N135" i="110" s="1"/>
  <c r="M135" i="110" a="1"/>
  <c r="M135" i="110" s="1"/>
  <c r="L135" i="110" a="1"/>
  <c r="L135" i="110" s="1"/>
  <c r="K135" i="110" a="1"/>
  <c r="K135" i="110" s="1"/>
  <c r="AE134" i="110" a="1"/>
  <c r="AE134" i="110" s="1"/>
  <c r="AD134" i="110" a="1"/>
  <c r="AD134" i="110" s="1"/>
  <c r="AC134" i="110" a="1"/>
  <c r="AC134" i="110" s="1"/>
  <c r="AB134" i="110" a="1"/>
  <c r="AB134" i="110" s="1"/>
  <c r="AA134" i="110" a="1"/>
  <c r="AA134" i="110" s="1"/>
  <c r="Z134" i="110" a="1"/>
  <c r="Z134" i="110" s="1"/>
  <c r="Y134" i="110" a="1"/>
  <c r="Y134" i="110" s="1"/>
  <c r="X134" i="110" a="1"/>
  <c r="X134" i="110" s="1"/>
  <c r="W134" i="110" a="1"/>
  <c r="W134" i="110" s="1"/>
  <c r="V134" i="110" a="1"/>
  <c r="V134" i="110" s="1"/>
  <c r="U134" i="110" a="1"/>
  <c r="U134" i="110" s="1"/>
  <c r="T134" i="110" a="1"/>
  <c r="T134" i="110" s="1"/>
  <c r="S134" i="110" a="1"/>
  <c r="S134" i="110" s="1"/>
  <c r="R134" i="110" a="1"/>
  <c r="R134" i="110" s="1"/>
  <c r="Q134" i="110" a="1"/>
  <c r="Q134" i="110" s="1"/>
  <c r="P134" i="110" a="1"/>
  <c r="P134" i="110" s="1"/>
  <c r="O134" i="110" a="1"/>
  <c r="O134" i="110" s="1"/>
  <c r="N134" i="110" a="1"/>
  <c r="N134" i="110" s="1"/>
  <c r="M134" i="110" a="1"/>
  <c r="M134" i="110" s="1"/>
  <c r="L134" i="110" a="1"/>
  <c r="L134" i="110" s="1"/>
  <c r="K134" i="110" a="1"/>
  <c r="K134" i="110" s="1"/>
  <c r="AE133" i="110" a="1"/>
  <c r="AE133" i="110" s="1"/>
  <c r="AD133" i="110" a="1"/>
  <c r="AD133" i="110" s="1"/>
  <c r="AC133" i="110" a="1"/>
  <c r="AC133" i="110" s="1"/>
  <c r="AB133" i="110" a="1"/>
  <c r="AB133" i="110" s="1"/>
  <c r="AA133" i="110" a="1"/>
  <c r="AA133" i="110" s="1"/>
  <c r="Z133" i="110" a="1"/>
  <c r="Z133" i="110" s="1"/>
  <c r="Y133" i="110" a="1"/>
  <c r="Y133" i="110" s="1"/>
  <c r="X133" i="110" a="1"/>
  <c r="X133" i="110" s="1"/>
  <c r="W133" i="110" a="1"/>
  <c r="W133" i="110" s="1"/>
  <c r="V133" i="110" a="1"/>
  <c r="V133" i="110" s="1"/>
  <c r="U133" i="110" a="1"/>
  <c r="U133" i="110" s="1"/>
  <c r="T133" i="110" a="1"/>
  <c r="T133" i="110" s="1"/>
  <c r="S133" i="110" a="1"/>
  <c r="S133" i="110" s="1"/>
  <c r="R133" i="110" a="1"/>
  <c r="R133" i="110" s="1"/>
  <c r="Q133" i="110" a="1"/>
  <c r="Q133" i="110" s="1"/>
  <c r="P133" i="110" a="1"/>
  <c r="P133" i="110" s="1"/>
  <c r="O133" i="110" a="1"/>
  <c r="O133" i="110" s="1"/>
  <c r="N133" i="110" a="1"/>
  <c r="N133" i="110" s="1"/>
  <c r="M133" i="110" a="1"/>
  <c r="M133" i="110" s="1"/>
  <c r="L133" i="110" a="1"/>
  <c r="L133" i="110" s="1"/>
  <c r="K133" i="110" a="1"/>
  <c r="K133" i="110" s="1"/>
  <c r="AE132" i="110" a="1"/>
  <c r="AE132" i="110" s="1"/>
  <c r="AD132" i="110" a="1"/>
  <c r="AD132" i="110" s="1"/>
  <c r="AC132" i="110" a="1"/>
  <c r="AC132" i="110" s="1"/>
  <c r="AB132" i="110" a="1"/>
  <c r="AB132" i="110" s="1"/>
  <c r="AA132" i="110" a="1"/>
  <c r="AA132" i="110" s="1"/>
  <c r="Z132" i="110" a="1"/>
  <c r="Z132" i="110" s="1"/>
  <c r="Y132" i="110" a="1"/>
  <c r="Y132" i="110" s="1"/>
  <c r="X132" i="110" a="1"/>
  <c r="X132" i="110" s="1"/>
  <c r="W132" i="110" a="1"/>
  <c r="W132" i="110" s="1"/>
  <c r="V132" i="110" a="1"/>
  <c r="V132" i="110" s="1"/>
  <c r="U132" i="110" a="1"/>
  <c r="U132" i="110" s="1"/>
  <c r="T132" i="110" a="1"/>
  <c r="T132" i="110" s="1"/>
  <c r="S132" i="110" a="1"/>
  <c r="S132" i="110" s="1"/>
  <c r="R132" i="110" a="1"/>
  <c r="R132" i="110" s="1"/>
  <c r="Q132" i="110" a="1"/>
  <c r="Q132" i="110" s="1"/>
  <c r="P132" i="110" a="1"/>
  <c r="P132" i="110" s="1"/>
  <c r="O132" i="110" a="1"/>
  <c r="O132" i="110" s="1"/>
  <c r="N132" i="110" a="1"/>
  <c r="N132" i="110" s="1"/>
  <c r="M132" i="110" a="1"/>
  <c r="M132" i="110" s="1"/>
  <c r="L132" i="110" a="1"/>
  <c r="L132" i="110" s="1"/>
  <c r="K132" i="110" a="1"/>
  <c r="K132" i="110" s="1"/>
  <c r="AE131" i="110" a="1"/>
  <c r="AE131" i="110" s="1"/>
  <c r="AD131" i="110" a="1"/>
  <c r="AD131" i="110" s="1"/>
  <c r="AC131" i="110" a="1"/>
  <c r="AC131" i="110" s="1"/>
  <c r="AB131" i="110" a="1"/>
  <c r="AB131" i="110" s="1"/>
  <c r="AA131" i="110" a="1"/>
  <c r="AA131" i="110" s="1"/>
  <c r="Z131" i="110" a="1"/>
  <c r="Z131" i="110" s="1"/>
  <c r="Y131" i="110" a="1"/>
  <c r="Y131" i="110" s="1"/>
  <c r="X131" i="110" a="1"/>
  <c r="X131" i="110" s="1"/>
  <c r="W131" i="110" a="1"/>
  <c r="W131" i="110" s="1"/>
  <c r="V131" i="110" a="1"/>
  <c r="V131" i="110" s="1"/>
  <c r="U131" i="110" a="1"/>
  <c r="U131" i="110" s="1"/>
  <c r="T131" i="110" a="1"/>
  <c r="T131" i="110" s="1"/>
  <c r="S131" i="110" a="1"/>
  <c r="S131" i="110" s="1"/>
  <c r="R131" i="110" a="1"/>
  <c r="R131" i="110" s="1"/>
  <c r="Q131" i="110" a="1"/>
  <c r="Q131" i="110" s="1"/>
  <c r="P131" i="110" a="1"/>
  <c r="P131" i="110" s="1"/>
  <c r="O131" i="110" a="1"/>
  <c r="O131" i="110" s="1"/>
  <c r="N131" i="110" a="1"/>
  <c r="N131" i="110" s="1"/>
  <c r="M131" i="110" a="1"/>
  <c r="M131" i="110" s="1"/>
  <c r="L131" i="110" a="1"/>
  <c r="L131" i="110" s="1"/>
  <c r="K131" i="110" a="1"/>
  <c r="K131" i="110" s="1"/>
  <c r="AE130" i="110" a="1"/>
  <c r="AE130" i="110" s="1"/>
  <c r="AD130" i="110" a="1"/>
  <c r="AD130" i="110" s="1"/>
  <c r="AC130" i="110" a="1"/>
  <c r="AC130" i="110" s="1"/>
  <c r="AB130" i="110" a="1"/>
  <c r="AB130" i="110" s="1"/>
  <c r="AA130" i="110" a="1"/>
  <c r="AA130" i="110" s="1"/>
  <c r="Z130" i="110" a="1"/>
  <c r="Z130" i="110" s="1"/>
  <c r="Y130" i="110" a="1"/>
  <c r="Y130" i="110" s="1"/>
  <c r="X130" i="110" a="1"/>
  <c r="X130" i="110" s="1"/>
  <c r="W130" i="110" a="1"/>
  <c r="W130" i="110" s="1"/>
  <c r="V130" i="110" a="1"/>
  <c r="V130" i="110" s="1"/>
  <c r="U130" i="110" a="1"/>
  <c r="U130" i="110" s="1"/>
  <c r="T130" i="110" a="1"/>
  <c r="T130" i="110" s="1"/>
  <c r="S130" i="110" a="1"/>
  <c r="S130" i="110" s="1"/>
  <c r="R130" i="110" a="1"/>
  <c r="R130" i="110" s="1"/>
  <c r="Q130" i="110" a="1"/>
  <c r="Q130" i="110" s="1"/>
  <c r="P130" i="110" a="1"/>
  <c r="P130" i="110" s="1"/>
  <c r="O130" i="110" a="1"/>
  <c r="O130" i="110" s="1"/>
  <c r="N130" i="110" a="1"/>
  <c r="N130" i="110" s="1"/>
  <c r="M130" i="110" a="1"/>
  <c r="M130" i="110" s="1"/>
  <c r="L130" i="110" a="1"/>
  <c r="L130" i="110" s="1"/>
  <c r="K130" i="110" a="1"/>
  <c r="K130" i="110" s="1"/>
  <c r="AE129" i="110" a="1"/>
  <c r="AE129" i="110" s="1"/>
  <c r="AD129" i="110" a="1"/>
  <c r="AD129" i="110" s="1"/>
  <c r="AC129" i="110" a="1"/>
  <c r="AC129" i="110" s="1"/>
  <c r="AB129" i="110" a="1"/>
  <c r="AB129" i="110" s="1"/>
  <c r="AA129" i="110" a="1"/>
  <c r="AA129" i="110" s="1"/>
  <c r="Z129" i="110" a="1"/>
  <c r="Z129" i="110" s="1"/>
  <c r="Y129" i="110" a="1"/>
  <c r="Y129" i="110" s="1"/>
  <c r="X129" i="110" a="1"/>
  <c r="X129" i="110" s="1"/>
  <c r="W129" i="110" a="1"/>
  <c r="W129" i="110" s="1"/>
  <c r="V129" i="110" a="1"/>
  <c r="V129" i="110" s="1"/>
  <c r="U129" i="110" a="1"/>
  <c r="U129" i="110" s="1"/>
  <c r="T129" i="110" a="1"/>
  <c r="T129" i="110" s="1"/>
  <c r="S129" i="110" a="1"/>
  <c r="S129" i="110" s="1"/>
  <c r="R129" i="110" a="1"/>
  <c r="R129" i="110" s="1"/>
  <c r="Q129" i="110" a="1"/>
  <c r="Q129" i="110" s="1"/>
  <c r="P129" i="110" a="1"/>
  <c r="P129" i="110" s="1"/>
  <c r="O129" i="110" a="1"/>
  <c r="O129" i="110" s="1"/>
  <c r="N129" i="110" a="1"/>
  <c r="N129" i="110" s="1"/>
  <c r="M129" i="110" a="1"/>
  <c r="M129" i="110" s="1"/>
  <c r="L129" i="110" a="1"/>
  <c r="L129" i="110" s="1"/>
  <c r="K129" i="110" a="1"/>
  <c r="K129" i="110" s="1"/>
  <c r="AE128" i="110" a="1"/>
  <c r="AE128" i="110" s="1"/>
  <c r="AD128" i="110" a="1"/>
  <c r="AD128" i="110" s="1"/>
  <c r="AC128" i="110" a="1"/>
  <c r="AC128" i="110" s="1"/>
  <c r="AB128" i="110" a="1"/>
  <c r="AB128" i="110" s="1"/>
  <c r="AA128" i="110" a="1"/>
  <c r="AA128" i="110" s="1"/>
  <c r="Z128" i="110" a="1"/>
  <c r="Z128" i="110" s="1"/>
  <c r="Y128" i="110" a="1"/>
  <c r="Y128" i="110" s="1"/>
  <c r="X128" i="110" a="1"/>
  <c r="X128" i="110" s="1"/>
  <c r="W128" i="110" a="1"/>
  <c r="W128" i="110" s="1"/>
  <c r="V128" i="110" a="1"/>
  <c r="V128" i="110" s="1"/>
  <c r="U128" i="110" a="1"/>
  <c r="U128" i="110" s="1"/>
  <c r="T128" i="110" a="1"/>
  <c r="T128" i="110" s="1"/>
  <c r="S128" i="110" a="1"/>
  <c r="S128" i="110" s="1"/>
  <c r="R128" i="110" a="1"/>
  <c r="R128" i="110" s="1"/>
  <c r="Q128" i="110" a="1"/>
  <c r="Q128" i="110" s="1"/>
  <c r="P128" i="110" a="1"/>
  <c r="P128" i="110" s="1"/>
  <c r="O128" i="110" a="1"/>
  <c r="O128" i="110" s="1"/>
  <c r="N128" i="110" a="1"/>
  <c r="N128" i="110" s="1"/>
  <c r="M128" i="110" a="1"/>
  <c r="M128" i="110" s="1"/>
  <c r="L128" i="110" a="1"/>
  <c r="L128" i="110" s="1"/>
  <c r="K128" i="110" a="1"/>
  <c r="K128" i="110" s="1"/>
  <c r="AE127" i="110" a="1"/>
  <c r="AE127" i="110" s="1"/>
  <c r="AD127" i="110" a="1"/>
  <c r="AD127" i="110" s="1"/>
  <c r="AC127" i="110" a="1"/>
  <c r="AC127" i="110" s="1"/>
  <c r="AB127" i="110" a="1"/>
  <c r="AB127" i="110" s="1"/>
  <c r="AA127" i="110" a="1"/>
  <c r="AA127" i="110" s="1"/>
  <c r="Z127" i="110" a="1"/>
  <c r="Z127" i="110" s="1"/>
  <c r="Y127" i="110" a="1"/>
  <c r="Y127" i="110" s="1"/>
  <c r="X127" i="110" a="1"/>
  <c r="X127" i="110" s="1"/>
  <c r="W127" i="110" a="1"/>
  <c r="W127" i="110" s="1"/>
  <c r="V127" i="110" a="1"/>
  <c r="V127" i="110" s="1"/>
  <c r="U127" i="110" a="1"/>
  <c r="U127" i="110" s="1"/>
  <c r="T127" i="110" a="1"/>
  <c r="T127" i="110" s="1"/>
  <c r="S127" i="110" a="1"/>
  <c r="S127" i="110" s="1"/>
  <c r="R127" i="110" a="1"/>
  <c r="R127" i="110" s="1"/>
  <c r="Q127" i="110" a="1"/>
  <c r="Q127" i="110" s="1"/>
  <c r="P127" i="110" a="1"/>
  <c r="P127" i="110" s="1"/>
  <c r="O127" i="110" a="1"/>
  <c r="O127" i="110" s="1"/>
  <c r="N127" i="110" a="1"/>
  <c r="N127" i="110" s="1"/>
  <c r="M127" i="110" a="1"/>
  <c r="M127" i="110" s="1"/>
  <c r="L127" i="110" a="1"/>
  <c r="L127" i="110" s="1"/>
  <c r="K127" i="110" a="1"/>
  <c r="K127" i="110" s="1"/>
  <c r="AE126" i="110" a="1"/>
  <c r="AE126" i="110" s="1"/>
  <c r="AD126" i="110" a="1"/>
  <c r="AD126" i="110" s="1"/>
  <c r="AC126" i="110" a="1"/>
  <c r="AC126" i="110" s="1"/>
  <c r="AB126" i="110" a="1"/>
  <c r="AB126" i="110" s="1"/>
  <c r="AA126" i="110" a="1"/>
  <c r="AA126" i="110" s="1"/>
  <c r="Z126" i="110" a="1"/>
  <c r="Z126" i="110" s="1"/>
  <c r="Y126" i="110" a="1"/>
  <c r="Y126" i="110" s="1"/>
  <c r="X126" i="110" a="1"/>
  <c r="X126" i="110" s="1"/>
  <c r="W126" i="110" a="1"/>
  <c r="W126" i="110" s="1"/>
  <c r="V126" i="110" a="1"/>
  <c r="V126" i="110" s="1"/>
  <c r="U126" i="110" a="1"/>
  <c r="U126" i="110" s="1"/>
  <c r="T126" i="110" a="1"/>
  <c r="T126" i="110" s="1"/>
  <c r="S126" i="110" a="1"/>
  <c r="S126" i="110" s="1"/>
  <c r="R126" i="110" a="1"/>
  <c r="R126" i="110" s="1"/>
  <c r="Q126" i="110" a="1"/>
  <c r="Q126" i="110" s="1"/>
  <c r="P126" i="110" a="1"/>
  <c r="P126" i="110" s="1"/>
  <c r="O126" i="110" a="1"/>
  <c r="O126" i="110" s="1"/>
  <c r="N126" i="110" a="1"/>
  <c r="N126" i="110" s="1"/>
  <c r="M126" i="110" a="1"/>
  <c r="M126" i="110" s="1"/>
  <c r="L126" i="110" a="1"/>
  <c r="L126" i="110" s="1"/>
  <c r="K126" i="110" a="1"/>
  <c r="K126" i="110" s="1"/>
  <c r="AE125" i="110" a="1"/>
  <c r="AE125" i="110" s="1"/>
  <c r="AD125" i="110" a="1"/>
  <c r="AD125" i="110" s="1"/>
  <c r="AC125" i="110" a="1"/>
  <c r="AC125" i="110" s="1"/>
  <c r="AB125" i="110" a="1"/>
  <c r="AB125" i="110" s="1"/>
  <c r="AA125" i="110" a="1"/>
  <c r="AA125" i="110" s="1"/>
  <c r="Z125" i="110" a="1"/>
  <c r="Z125" i="110" s="1"/>
  <c r="Y125" i="110" a="1"/>
  <c r="Y125" i="110" s="1"/>
  <c r="X125" i="110" a="1"/>
  <c r="X125" i="110" s="1"/>
  <c r="W125" i="110" a="1"/>
  <c r="W125" i="110" s="1"/>
  <c r="V125" i="110" a="1"/>
  <c r="V125" i="110" s="1"/>
  <c r="U125" i="110" a="1"/>
  <c r="U125" i="110" s="1"/>
  <c r="T125" i="110" a="1"/>
  <c r="T125" i="110" s="1"/>
  <c r="S125" i="110" a="1"/>
  <c r="S125" i="110" s="1"/>
  <c r="R125" i="110" a="1"/>
  <c r="R125" i="110" s="1"/>
  <c r="Q125" i="110" a="1"/>
  <c r="Q125" i="110" s="1"/>
  <c r="P125" i="110" a="1"/>
  <c r="P125" i="110" s="1"/>
  <c r="O125" i="110" a="1"/>
  <c r="O125" i="110" s="1"/>
  <c r="N125" i="110" a="1"/>
  <c r="N125" i="110" s="1"/>
  <c r="M125" i="110" a="1"/>
  <c r="M125" i="110" s="1"/>
  <c r="L125" i="110" a="1"/>
  <c r="L125" i="110" s="1"/>
  <c r="K125" i="110" a="1"/>
  <c r="K125" i="110" s="1"/>
  <c r="AE124" i="110" a="1"/>
  <c r="AE124" i="110" s="1"/>
  <c r="AD124" i="110" a="1"/>
  <c r="AD124" i="110" s="1"/>
  <c r="AC124" i="110" a="1"/>
  <c r="AC124" i="110" s="1"/>
  <c r="AB124" i="110" a="1"/>
  <c r="AB124" i="110" s="1"/>
  <c r="AA124" i="110" a="1"/>
  <c r="AA124" i="110" s="1"/>
  <c r="Z124" i="110" a="1"/>
  <c r="Z124" i="110" s="1"/>
  <c r="Y124" i="110" a="1"/>
  <c r="Y124" i="110" s="1"/>
  <c r="X124" i="110" a="1"/>
  <c r="X124" i="110" s="1"/>
  <c r="W124" i="110" a="1"/>
  <c r="W124" i="110" s="1"/>
  <c r="V124" i="110" a="1"/>
  <c r="V124" i="110" s="1"/>
  <c r="U124" i="110" a="1"/>
  <c r="U124" i="110" s="1"/>
  <c r="T124" i="110" a="1"/>
  <c r="T124" i="110" s="1"/>
  <c r="S124" i="110" a="1"/>
  <c r="S124" i="110" s="1"/>
  <c r="R124" i="110" a="1"/>
  <c r="R124" i="110" s="1"/>
  <c r="Q124" i="110" a="1"/>
  <c r="Q124" i="110" s="1"/>
  <c r="P124" i="110" a="1"/>
  <c r="P124" i="110" s="1"/>
  <c r="O124" i="110" a="1"/>
  <c r="O124" i="110" s="1"/>
  <c r="N124" i="110" a="1"/>
  <c r="N124" i="110" s="1"/>
  <c r="M124" i="110" a="1"/>
  <c r="M124" i="110" s="1"/>
  <c r="L124" i="110" a="1"/>
  <c r="L124" i="110" s="1"/>
  <c r="K124" i="110" a="1"/>
  <c r="K124" i="110" s="1"/>
  <c r="AE123" i="110" a="1"/>
  <c r="AE123" i="110" s="1"/>
  <c r="AD123" i="110" a="1"/>
  <c r="AD123" i="110" s="1"/>
  <c r="AC123" i="110" a="1"/>
  <c r="AC123" i="110" s="1"/>
  <c r="AB123" i="110" a="1"/>
  <c r="AB123" i="110" s="1"/>
  <c r="AA123" i="110" a="1"/>
  <c r="AA123" i="110" s="1"/>
  <c r="Z123" i="110" a="1"/>
  <c r="Z123" i="110" s="1"/>
  <c r="Y123" i="110" a="1"/>
  <c r="Y123" i="110" s="1"/>
  <c r="X123" i="110" a="1"/>
  <c r="X123" i="110" s="1"/>
  <c r="W123" i="110" a="1"/>
  <c r="W123" i="110" s="1"/>
  <c r="V123" i="110" a="1"/>
  <c r="V123" i="110" s="1"/>
  <c r="U123" i="110" a="1"/>
  <c r="U123" i="110" s="1"/>
  <c r="T123" i="110" a="1"/>
  <c r="T123" i="110" s="1"/>
  <c r="S123" i="110" a="1"/>
  <c r="S123" i="110" s="1"/>
  <c r="R123" i="110" a="1"/>
  <c r="R123" i="110" s="1"/>
  <c r="Q123" i="110" a="1"/>
  <c r="Q123" i="110" s="1"/>
  <c r="P123" i="110" a="1"/>
  <c r="P123" i="110" s="1"/>
  <c r="O123" i="110" a="1"/>
  <c r="O123" i="110" s="1"/>
  <c r="N123" i="110" a="1"/>
  <c r="N123" i="110" s="1"/>
  <c r="M123" i="110" a="1"/>
  <c r="M123" i="110" s="1"/>
  <c r="L123" i="110" a="1"/>
  <c r="L123" i="110" s="1"/>
  <c r="K123" i="110" a="1"/>
  <c r="K123" i="110" s="1"/>
  <c r="AE122" i="110" a="1"/>
  <c r="AE122" i="110" s="1"/>
  <c r="AD122" i="110" a="1"/>
  <c r="AD122" i="110" s="1"/>
  <c r="AC122" i="110" a="1"/>
  <c r="AC122" i="110" s="1"/>
  <c r="AB122" i="110" a="1"/>
  <c r="AB122" i="110" s="1"/>
  <c r="AA122" i="110" a="1"/>
  <c r="AA122" i="110" s="1"/>
  <c r="Z122" i="110" a="1"/>
  <c r="Z122" i="110" s="1"/>
  <c r="Y122" i="110" a="1"/>
  <c r="Y122" i="110" s="1"/>
  <c r="X122" i="110" a="1"/>
  <c r="X122" i="110" s="1"/>
  <c r="W122" i="110" a="1"/>
  <c r="W122" i="110" s="1"/>
  <c r="V122" i="110" a="1"/>
  <c r="V122" i="110" s="1"/>
  <c r="U122" i="110" a="1"/>
  <c r="U122" i="110" s="1"/>
  <c r="T122" i="110" a="1"/>
  <c r="T122" i="110" s="1"/>
  <c r="S122" i="110" a="1"/>
  <c r="S122" i="110" s="1"/>
  <c r="R122" i="110" a="1"/>
  <c r="R122" i="110" s="1"/>
  <c r="Q122" i="110" a="1"/>
  <c r="Q122" i="110" s="1"/>
  <c r="P122" i="110" a="1"/>
  <c r="P122" i="110" s="1"/>
  <c r="O122" i="110" a="1"/>
  <c r="O122" i="110" s="1"/>
  <c r="N122" i="110" a="1"/>
  <c r="N122" i="110" s="1"/>
  <c r="M122" i="110" a="1"/>
  <c r="M122" i="110" s="1"/>
  <c r="L122" i="110" a="1"/>
  <c r="L122" i="110" s="1"/>
  <c r="K122" i="110" a="1"/>
  <c r="K122" i="110" s="1"/>
  <c r="AE121" i="110" a="1"/>
  <c r="AE121" i="110" s="1"/>
  <c r="AD121" i="110" a="1"/>
  <c r="AD121" i="110" s="1"/>
  <c r="AC121" i="110" a="1"/>
  <c r="AC121" i="110" s="1"/>
  <c r="AB121" i="110" a="1"/>
  <c r="AB121" i="110" s="1"/>
  <c r="AA121" i="110" a="1"/>
  <c r="AA121" i="110" s="1"/>
  <c r="Z121" i="110" a="1"/>
  <c r="Z121" i="110" s="1"/>
  <c r="Y121" i="110" a="1"/>
  <c r="Y121" i="110" s="1"/>
  <c r="X121" i="110" a="1"/>
  <c r="X121" i="110" s="1"/>
  <c r="W121" i="110" a="1"/>
  <c r="W121" i="110" s="1"/>
  <c r="V121" i="110" a="1"/>
  <c r="V121" i="110" s="1"/>
  <c r="U121" i="110" a="1"/>
  <c r="U121" i="110" s="1"/>
  <c r="T121" i="110" a="1"/>
  <c r="T121" i="110" s="1"/>
  <c r="S121" i="110" a="1"/>
  <c r="S121" i="110" s="1"/>
  <c r="R121" i="110" a="1"/>
  <c r="R121" i="110" s="1"/>
  <c r="Q121" i="110" a="1"/>
  <c r="Q121" i="110" s="1"/>
  <c r="P121" i="110" a="1"/>
  <c r="P121" i="110" s="1"/>
  <c r="O121" i="110" a="1"/>
  <c r="O121" i="110" s="1"/>
  <c r="N121" i="110" a="1"/>
  <c r="N121" i="110" s="1"/>
  <c r="M121" i="110" a="1"/>
  <c r="M121" i="110" s="1"/>
  <c r="L121" i="110" a="1"/>
  <c r="L121" i="110" s="1"/>
  <c r="K121" i="110" a="1"/>
  <c r="K121" i="110" s="1"/>
  <c r="AE120" i="110" a="1"/>
  <c r="AE120" i="110" s="1"/>
  <c r="AD120" i="110" a="1"/>
  <c r="AD120" i="110" s="1"/>
  <c r="AC120" i="110" a="1"/>
  <c r="AC120" i="110" s="1"/>
  <c r="AB120" i="110" a="1"/>
  <c r="AB120" i="110" s="1"/>
  <c r="AA120" i="110" a="1"/>
  <c r="AA120" i="110" s="1"/>
  <c r="Z120" i="110" a="1"/>
  <c r="Z120" i="110" s="1"/>
  <c r="Y120" i="110" a="1"/>
  <c r="Y120" i="110" s="1"/>
  <c r="X120" i="110" a="1"/>
  <c r="X120" i="110" s="1"/>
  <c r="W120" i="110" a="1"/>
  <c r="W120" i="110" s="1"/>
  <c r="V120" i="110" a="1"/>
  <c r="V120" i="110" s="1"/>
  <c r="U120" i="110" a="1"/>
  <c r="U120" i="110" s="1"/>
  <c r="T120" i="110" a="1"/>
  <c r="T120" i="110" s="1"/>
  <c r="S120" i="110" a="1"/>
  <c r="S120" i="110" s="1"/>
  <c r="R120" i="110" a="1"/>
  <c r="R120" i="110" s="1"/>
  <c r="Q120" i="110" a="1"/>
  <c r="Q120" i="110" s="1"/>
  <c r="P120" i="110" a="1"/>
  <c r="P120" i="110" s="1"/>
  <c r="O120" i="110" a="1"/>
  <c r="O120" i="110" s="1"/>
  <c r="N120" i="110" a="1"/>
  <c r="N120" i="110" s="1"/>
  <c r="M120" i="110" a="1"/>
  <c r="M120" i="110" s="1"/>
  <c r="L120" i="110" a="1"/>
  <c r="L120" i="110" s="1"/>
  <c r="K120" i="110" a="1"/>
  <c r="K120" i="110" s="1"/>
  <c r="AE119" i="110" a="1"/>
  <c r="AE119" i="110" s="1"/>
  <c r="AD119" i="110" a="1"/>
  <c r="AD119" i="110" s="1"/>
  <c r="AC119" i="110" a="1"/>
  <c r="AC119" i="110" s="1"/>
  <c r="AB119" i="110" a="1"/>
  <c r="AB119" i="110" s="1"/>
  <c r="AA119" i="110" a="1"/>
  <c r="AA119" i="110" s="1"/>
  <c r="Z119" i="110" a="1"/>
  <c r="Z119" i="110" s="1"/>
  <c r="Y119" i="110" a="1"/>
  <c r="Y119" i="110" s="1"/>
  <c r="X119" i="110" a="1"/>
  <c r="X119" i="110" s="1"/>
  <c r="W119" i="110" a="1"/>
  <c r="W119" i="110" s="1"/>
  <c r="V119" i="110" a="1"/>
  <c r="V119" i="110" s="1"/>
  <c r="U119" i="110" a="1"/>
  <c r="U119" i="110" s="1"/>
  <c r="T119" i="110" a="1"/>
  <c r="T119" i="110" s="1"/>
  <c r="S119" i="110" a="1"/>
  <c r="S119" i="110" s="1"/>
  <c r="R119" i="110" a="1"/>
  <c r="R119" i="110" s="1"/>
  <c r="Q119" i="110" a="1"/>
  <c r="Q119" i="110" s="1"/>
  <c r="P119" i="110" a="1"/>
  <c r="P119" i="110" s="1"/>
  <c r="O119" i="110" a="1"/>
  <c r="O119" i="110" s="1"/>
  <c r="N119" i="110" a="1"/>
  <c r="N119" i="110" s="1"/>
  <c r="M119" i="110" a="1"/>
  <c r="M119" i="110" s="1"/>
  <c r="L119" i="110" a="1"/>
  <c r="L119" i="110" s="1"/>
  <c r="K119" i="110" a="1"/>
  <c r="K119" i="110" s="1"/>
  <c r="AE118" i="110" a="1"/>
  <c r="AE118" i="110" s="1"/>
  <c r="AD118" i="110" a="1"/>
  <c r="AD118" i="110" s="1"/>
  <c r="AC118" i="110" a="1"/>
  <c r="AC118" i="110" s="1"/>
  <c r="AB118" i="110" a="1"/>
  <c r="AB118" i="110" s="1"/>
  <c r="AA118" i="110" a="1"/>
  <c r="AA118" i="110" s="1"/>
  <c r="Z118" i="110" a="1"/>
  <c r="Z118" i="110" s="1"/>
  <c r="Y118" i="110" a="1"/>
  <c r="Y118" i="110" s="1"/>
  <c r="X118" i="110" a="1"/>
  <c r="X118" i="110" s="1"/>
  <c r="W118" i="110" a="1"/>
  <c r="W118" i="110" s="1"/>
  <c r="V118" i="110" a="1"/>
  <c r="V118" i="110" s="1"/>
  <c r="U118" i="110" a="1"/>
  <c r="U118" i="110" s="1"/>
  <c r="T118" i="110" a="1"/>
  <c r="T118" i="110" s="1"/>
  <c r="S118" i="110" a="1"/>
  <c r="S118" i="110" s="1"/>
  <c r="R118" i="110" a="1"/>
  <c r="R118" i="110" s="1"/>
  <c r="Q118" i="110" a="1"/>
  <c r="Q118" i="110" s="1"/>
  <c r="P118" i="110" a="1"/>
  <c r="P118" i="110" s="1"/>
  <c r="O118" i="110" a="1"/>
  <c r="O118" i="110" s="1"/>
  <c r="N118" i="110" a="1"/>
  <c r="N118" i="110" s="1"/>
  <c r="M118" i="110" a="1"/>
  <c r="M118" i="110" s="1"/>
  <c r="L118" i="110" a="1"/>
  <c r="L118" i="110" s="1"/>
  <c r="K118" i="110" a="1"/>
  <c r="K118" i="110" s="1"/>
  <c r="AE117" i="110" a="1"/>
  <c r="AE117" i="110" s="1"/>
  <c r="AD117" i="110" a="1"/>
  <c r="AD117" i="110" s="1"/>
  <c r="AC117" i="110" a="1"/>
  <c r="AC117" i="110" s="1"/>
  <c r="AB117" i="110" a="1"/>
  <c r="AB117" i="110" s="1"/>
  <c r="AA117" i="110" a="1"/>
  <c r="AA117" i="110" s="1"/>
  <c r="Z117" i="110" a="1"/>
  <c r="Z117" i="110" s="1"/>
  <c r="Y117" i="110" a="1"/>
  <c r="Y117" i="110" s="1"/>
  <c r="X117" i="110" a="1"/>
  <c r="X117" i="110" s="1"/>
  <c r="W117" i="110" a="1"/>
  <c r="W117" i="110" s="1"/>
  <c r="V117" i="110" a="1"/>
  <c r="V117" i="110" s="1"/>
  <c r="U117" i="110" a="1"/>
  <c r="U117" i="110" s="1"/>
  <c r="T117" i="110" a="1"/>
  <c r="T117" i="110" s="1"/>
  <c r="S117" i="110" a="1"/>
  <c r="S117" i="110" s="1"/>
  <c r="R117" i="110" a="1"/>
  <c r="R117" i="110" s="1"/>
  <c r="Q117" i="110" a="1"/>
  <c r="Q117" i="110" s="1"/>
  <c r="P117" i="110" a="1"/>
  <c r="P117" i="110" s="1"/>
  <c r="O117" i="110" a="1"/>
  <c r="O117" i="110" s="1"/>
  <c r="N117" i="110" a="1"/>
  <c r="N117" i="110" s="1"/>
  <c r="M117" i="110" a="1"/>
  <c r="M117" i="110" s="1"/>
  <c r="L117" i="110" a="1"/>
  <c r="L117" i="110" s="1"/>
  <c r="K117" i="110" a="1"/>
  <c r="K117" i="110" s="1"/>
  <c r="AE116" i="110" a="1"/>
  <c r="AE116" i="110" s="1"/>
  <c r="AD116" i="110" a="1"/>
  <c r="AD116" i="110" s="1"/>
  <c r="AC116" i="110" a="1"/>
  <c r="AC116" i="110" s="1"/>
  <c r="AB116" i="110" a="1"/>
  <c r="AB116" i="110" s="1"/>
  <c r="AA116" i="110" a="1"/>
  <c r="AA116" i="110" s="1"/>
  <c r="Z116" i="110" a="1"/>
  <c r="Z116" i="110" s="1"/>
  <c r="Y116" i="110" a="1"/>
  <c r="Y116" i="110" s="1"/>
  <c r="X116" i="110" a="1"/>
  <c r="X116" i="110" s="1"/>
  <c r="W116" i="110" a="1"/>
  <c r="W116" i="110" s="1"/>
  <c r="V116" i="110" a="1"/>
  <c r="V116" i="110" s="1"/>
  <c r="U116" i="110" a="1"/>
  <c r="U116" i="110" s="1"/>
  <c r="T116" i="110" a="1"/>
  <c r="T116" i="110" s="1"/>
  <c r="S116" i="110" a="1"/>
  <c r="S116" i="110" s="1"/>
  <c r="R116" i="110" a="1"/>
  <c r="R116" i="110" s="1"/>
  <c r="Q116" i="110" a="1"/>
  <c r="Q116" i="110" s="1"/>
  <c r="P116" i="110" a="1"/>
  <c r="P116" i="110" s="1"/>
  <c r="O116" i="110" a="1"/>
  <c r="O116" i="110" s="1"/>
  <c r="N116" i="110" a="1"/>
  <c r="N116" i="110" s="1"/>
  <c r="M116" i="110" a="1"/>
  <c r="M116" i="110" s="1"/>
  <c r="L116" i="110" a="1"/>
  <c r="L116" i="110" s="1"/>
  <c r="K116" i="110" a="1"/>
  <c r="K116" i="110" s="1"/>
  <c r="AE115" i="110" a="1"/>
  <c r="AE115" i="110" s="1"/>
  <c r="AD115" i="110" a="1"/>
  <c r="AD115" i="110" s="1"/>
  <c r="AC115" i="110" a="1"/>
  <c r="AC115" i="110" s="1"/>
  <c r="AB115" i="110" a="1"/>
  <c r="AB115" i="110" s="1"/>
  <c r="AA115" i="110" a="1"/>
  <c r="AA115" i="110" s="1"/>
  <c r="Z115" i="110" a="1"/>
  <c r="Z115" i="110" s="1"/>
  <c r="Y115" i="110" a="1"/>
  <c r="Y115" i="110" s="1"/>
  <c r="X115" i="110" a="1"/>
  <c r="X115" i="110" s="1"/>
  <c r="W115" i="110" a="1"/>
  <c r="W115" i="110" s="1"/>
  <c r="V115" i="110" a="1"/>
  <c r="V115" i="110" s="1"/>
  <c r="U115" i="110" a="1"/>
  <c r="U115" i="110" s="1"/>
  <c r="T115" i="110" a="1"/>
  <c r="T115" i="110" s="1"/>
  <c r="S115" i="110" a="1"/>
  <c r="S115" i="110" s="1"/>
  <c r="R115" i="110" a="1"/>
  <c r="R115" i="110" s="1"/>
  <c r="Q115" i="110" a="1"/>
  <c r="Q115" i="110" s="1"/>
  <c r="P115" i="110" a="1"/>
  <c r="P115" i="110" s="1"/>
  <c r="O115" i="110" a="1"/>
  <c r="O115" i="110" s="1"/>
  <c r="N115" i="110" a="1"/>
  <c r="N115" i="110" s="1"/>
  <c r="M115" i="110" a="1"/>
  <c r="M115" i="110" s="1"/>
  <c r="L115" i="110" a="1"/>
  <c r="L115" i="110" s="1"/>
  <c r="K115" i="110" a="1"/>
  <c r="K115" i="110" s="1"/>
  <c r="AE114" i="110" a="1"/>
  <c r="AE114" i="110" s="1"/>
  <c r="AD114" i="110" a="1"/>
  <c r="AD114" i="110" s="1"/>
  <c r="AC114" i="110" a="1"/>
  <c r="AC114" i="110" s="1"/>
  <c r="AB114" i="110" a="1"/>
  <c r="AB114" i="110" s="1"/>
  <c r="AA114" i="110" a="1"/>
  <c r="AA114" i="110" s="1"/>
  <c r="Z114" i="110" a="1"/>
  <c r="Z114" i="110" s="1"/>
  <c r="Y114" i="110" a="1"/>
  <c r="Y114" i="110" s="1"/>
  <c r="X114" i="110" a="1"/>
  <c r="X114" i="110" s="1"/>
  <c r="W114" i="110" a="1"/>
  <c r="W114" i="110" s="1"/>
  <c r="V114" i="110" a="1"/>
  <c r="V114" i="110" s="1"/>
  <c r="U114" i="110" a="1"/>
  <c r="U114" i="110" s="1"/>
  <c r="T114" i="110" a="1"/>
  <c r="T114" i="110" s="1"/>
  <c r="S114" i="110" a="1"/>
  <c r="S114" i="110" s="1"/>
  <c r="R114" i="110" a="1"/>
  <c r="R114" i="110" s="1"/>
  <c r="Q114" i="110" a="1"/>
  <c r="Q114" i="110" s="1"/>
  <c r="P114" i="110" a="1"/>
  <c r="P114" i="110" s="1"/>
  <c r="O114" i="110" a="1"/>
  <c r="O114" i="110" s="1"/>
  <c r="N114" i="110" a="1"/>
  <c r="N114" i="110" s="1"/>
  <c r="M114" i="110" a="1"/>
  <c r="M114" i="110" s="1"/>
  <c r="L114" i="110" a="1"/>
  <c r="L114" i="110" s="1"/>
  <c r="K114" i="110" a="1"/>
  <c r="K114" i="110" s="1"/>
  <c r="AE113" i="110" a="1"/>
  <c r="AE113" i="110" s="1"/>
  <c r="AD113" i="110" a="1"/>
  <c r="AD113" i="110" s="1"/>
  <c r="AC113" i="110" a="1"/>
  <c r="AC113" i="110" s="1"/>
  <c r="AB113" i="110" a="1"/>
  <c r="AB113" i="110" s="1"/>
  <c r="AA113" i="110" a="1"/>
  <c r="AA113" i="110" s="1"/>
  <c r="Z113" i="110" a="1"/>
  <c r="Z113" i="110" s="1"/>
  <c r="Y113" i="110" a="1"/>
  <c r="Y113" i="110" s="1"/>
  <c r="X113" i="110" a="1"/>
  <c r="X113" i="110" s="1"/>
  <c r="W113" i="110" a="1"/>
  <c r="W113" i="110" s="1"/>
  <c r="V113" i="110" a="1"/>
  <c r="V113" i="110" s="1"/>
  <c r="U113" i="110" a="1"/>
  <c r="U113" i="110" s="1"/>
  <c r="T113" i="110" a="1"/>
  <c r="T113" i="110" s="1"/>
  <c r="S113" i="110" a="1"/>
  <c r="S113" i="110" s="1"/>
  <c r="R113" i="110" a="1"/>
  <c r="R113" i="110" s="1"/>
  <c r="Q113" i="110" a="1"/>
  <c r="Q113" i="110" s="1"/>
  <c r="P113" i="110" a="1"/>
  <c r="P113" i="110" s="1"/>
  <c r="O113" i="110" a="1"/>
  <c r="O113" i="110" s="1"/>
  <c r="N113" i="110" a="1"/>
  <c r="N113" i="110" s="1"/>
  <c r="M113" i="110" a="1"/>
  <c r="M113" i="110" s="1"/>
  <c r="L113" i="110" a="1"/>
  <c r="L113" i="110" s="1"/>
  <c r="K113" i="110" a="1"/>
  <c r="K113" i="110" s="1"/>
  <c r="AE112" i="110" a="1"/>
  <c r="AE112" i="110" s="1"/>
  <c r="AD112" i="110" a="1"/>
  <c r="AD112" i="110" s="1"/>
  <c r="AC112" i="110" a="1"/>
  <c r="AC112" i="110" s="1"/>
  <c r="AB112" i="110" a="1"/>
  <c r="AB112" i="110" s="1"/>
  <c r="AA112" i="110" a="1"/>
  <c r="AA112" i="110" s="1"/>
  <c r="Z112" i="110" a="1"/>
  <c r="Z112" i="110" s="1"/>
  <c r="Y112" i="110" a="1"/>
  <c r="Y112" i="110" s="1"/>
  <c r="X112" i="110" a="1"/>
  <c r="X112" i="110" s="1"/>
  <c r="W112" i="110" a="1"/>
  <c r="W112" i="110" s="1"/>
  <c r="V112" i="110" a="1"/>
  <c r="V112" i="110" s="1"/>
  <c r="U112" i="110" a="1"/>
  <c r="U112" i="110" s="1"/>
  <c r="T112" i="110" a="1"/>
  <c r="T112" i="110" s="1"/>
  <c r="S112" i="110" a="1"/>
  <c r="S112" i="110" s="1"/>
  <c r="R112" i="110" a="1"/>
  <c r="R112" i="110" s="1"/>
  <c r="Q112" i="110" a="1"/>
  <c r="Q112" i="110" s="1"/>
  <c r="P112" i="110" a="1"/>
  <c r="P112" i="110" s="1"/>
  <c r="O112" i="110" a="1"/>
  <c r="O112" i="110" s="1"/>
  <c r="N112" i="110" a="1"/>
  <c r="N112" i="110" s="1"/>
  <c r="M112" i="110" a="1"/>
  <c r="M112" i="110" s="1"/>
  <c r="L112" i="110" a="1"/>
  <c r="L112" i="110" s="1"/>
  <c r="K112" i="110" a="1"/>
  <c r="K112" i="110" s="1"/>
  <c r="AE111" i="110" a="1"/>
  <c r="AE111" i="110" s="1"/>
  <c r="AD111" i="110" a="1"/>
  <c r="AD111" i="110" s="1"/>
  <c r="AC111" i="110" a="1"/>
  <c r="AC111" i="110" s="1"/>
  <c r="AB111" i="110" a="1"/>
  <c r="AB111" i="110" s="1"/>
  <c r="AA111" i="110" a="1"/>
  <c r="AA111" i="110" s="1"/>
  <c r="Z111" i="110" a="1"/>
  <c r="Z111" i="110" s="1"/>
  <c r="Y111" i="110" a="1"/>
  <c r="Y111" i="110" s="1"/>
  <c r="X111" i="110" a="1"/>
  <c r="X111" i="110" s="1"/>
  <c r="W111" i="110" a="1"/>
  <c r="W111" i="110" s="1"/>
  <c r="V111" i="110" a="1"/>
  <c r="V111" i="110" s="1"/>
  <c r="U111" i="110" a="1"/>
  <c r="U111" i="110" s="1"/>
  <c r="T111" i="110" a="1"/>
  <c r="T111" i="110" s="1"/>
  <c r="S111" i="110" a="1"/>
  <c r="S111" i="110" s="1"/>
  <c r="R111" i="110" a="1"/>
  <c r="R111" i="110" s="1"/>
  <c r="Q111" i="110" a="1"/>
  <c r="Q111" i="110" s="1"/>
  <c r="P111" i="110" a="1"/>
  <c r="P111" i="110" s="1"/>
  <c r="O111" i="110" a="1"/>
  <c r="O111" i="110" s="1"/>
  <c r="N111" i="110" a="1"/>
  <c r="N111" i="110" s="1"/>
  <c r="M111" i="110" a="1"/>
  <c r="M111" i="110" s="1"/>
  <c r="L111" i="110" a="1"/>
  <c r="L111" i="110" s="1"/>
  <c r="K111" i="110" a="1"/>
  <c r="K111" i="110" s="1"/>
  <c r="AE110" i="110" a="1"/>
  <c r="AE110" i="110" s="1"/>
  <c r="AD110" i="110" a="1"/>
  <c r="AD110" i="110" s="1"/>
  <c r="AC110" i="110" a="1"/>
  <c r="AC110" i="110" s="1"/>
  <c r="AB110" i="110" a="1"/>
  <c r="AB110" i="110" s="1"/>
  <c r="AA110" i="110" a="1"/>
  <c r="AA110" i="110" s="1"/>
  <c r="Z110" i="110" a="1"/>
  <c r="Z110" i="110" s="1"/>
  <c r="Y110" i="110" a="1"/>
  <c r="Y110" i="110" s="1"/>
  <c r="X110" i="110" a="1"/>
  <c r="X110" i="110" s="1"/>
  <c r="W110" i="110" a="1"/>
  <c r="W110" i="110" s="1"/>
  <c r="V110" i="110" a="1"/>
  <c r="V110" i="110" s="1"/>
  <c r="U110" i="110" a="1"/>
  <c r="U110" i="110" s="1"/>
  <c r="T110" i="110" a="1"/>
  <c r="T110" i="110" s="1"/>
  <c r="S110" i="110" a="1"/>
  <c r="S110" i="110" s="1"/>
  <c r="R110" i="110" a="1"/>
  <c r="R110" i="110" s="1"/>
  <c r="Q110" i="110" a="1"/>
  <c r="Q110" i="110" s="1"/>
  <c r="P110" i="110" a="1"/>
  <c r="P110" i="110" s="1"/>
  <c r="O110" i="110" a="1"/>
  <c r="O110" i="110" s="1"/>
  <c r="N110" i="110" a="1"/>
  <c r="N110" i="110" s="1"/>
  <c r="M110" i="110" a="1"/>
  <c r="M110" i="110" s="1"/>
  <c r="L110" i="110" a="1"/>
  <c r="L110" i="110" s="1"/>
  <c r="K110" i="110" a="1"/>
  <c r="K110" i="110" s="1"/>
  <c r="AE109" i="110" a="1"/>
  <c r="AE109" i="110" s="1"/>
  <c r="AD109" i="110" a="1"/>
  <c r="AD109" i="110" s="1"/>
  <c r="AC109" i="110" a="1"/>
  <c r="AC109" i="110" s="1"/>
  <c r="AB109" i="110" a="1"/>
  <c r="AB109" i="110" s="1"/>
  <c r="AA109" i="110" a="1"/>
  <c r="AA109" i="110" s="1"/>
  <c r="Z109" i="110" a="1"/>
  <c r="Z109" i="110" s="1"/>
  <c r="Y109" i="110" a="1"/>
  <c r="Y109" i="110" s="1"/>
  <c r="X109" i="110" a="1"/>
  <c r="X109" i="110" s="1"/>
  <c r="W109" i="110" a="1"/>
  <c r="W109" i="110" s="1"/>
  <c r="V109" i="110" a="1"/>
  <c r="V109" i="110" s="1"/>
  <c r="U109" i="110" a="1"/>
  <c r="U109" i="110" s="1"/>
  <c r="T109" i="110" a="1"/>
  <c r="T109" i="110" s="1"/>
  <c r="S109" i="110" a="1"/>
  <c r="S109" i="110" s="1"/>
  <c r="R109" i="110" a="1"/>
  <c r="R109" i="110" s="1"/>
  <c r="Q109" i="110" a="1"/>
  <c r="Q109" i="110" s="1"/>
  <c r="P109" i="110" a="1"/>
  <c r="P109" i="110" s="1"/>
  <c r="O109" i="110" a="1"/>
  <c r="O109" i="110" s="1"/>
  <c r="N109" i="110" a="1"/>
  <c r="N109" i="110" s="1"/>
  <c r="M109" i="110" a="1"/>
  <c r="M109" i="110" s="1"/>
  <c r="L109" i="110" a="1"/>
  <c r="L109" i="110" s="1"/>
  <c r="K109" i="110" a="1"/>
  <c r="K109" i="110" s="1"/>
  <c r="AE108" i="110" a="1"/>
  <c r="AE108" i="110" s="1"/>
  <c r="AD108" i="110" a="1"/>
  <c r="AD108" i="110" s="1"/>
  <c r="AC108" i="110" a="1"/>
  <c r="AC108" i="110" s="1"/>
  <c r="AB108" i="110" a="1"/>
  <c r="AB108" i="110" s="1"/>
  <c r="AA108" i="110" a="1"/>
  <c r="AA108" i="110" s="1"/>
  <c r="Z108" i="110" a="1"/>
  <c r="Z108" i="110" s="1"/>
  <c r="Y108" i="110" a="1"/>
  <c r="Y108" i="110" s="1"/>
  <c r="X108" i="110" a="1"/>
  <c r="X108" i="110" s="1"/>
  <c r="W108" i="110" a="1"/>
  <c r="W108" i="110" s="1"/>
  <c r="V108" i="110" a="1"/>
  <c r="V108" i="110" s="1"/>
  <c r="U108" i="110" a="1"/>
  <c r="U108" i="110" s="1"/>
  <c r="T108" i="110" a="1"/>
  <c r="T108" i="110" s="1"/>
  <c r="S108" i="110" a="1"/>
  <c r="S108" i="110" s="1"/>
  <c r="R108" i="110" a="1"/>
  <c r="R108" i="110" s="1"/>
  <c r="Q108" i="110" a="1"/>
  <c r="Q108" i="110" s="1"/>
  <c r="P108" i="110" a="1"/>
  <c r="P108" i="110" s="1"/>
  <c r="O108" i="110" a="1"/>
  <c r="O108" i="110" s="1"/>
  <c r="N108" i="110" a="1"/>
  <c r="N108" i="110" s="1"/>
  <c r="M108" i="110" a="1"/>
  <c r="M108" i="110" s="1"/>
  <c r="L108" i="110" a="1"/>
  <c r="L108" i="110" s="1"/>
  <c r="K108" i="110" a="1"/>
  <c r="K108" i="110" s="1"/>
  <c r="AE107" i="110" a="1"/>
  <c r="AE107" i="110" s="1"/>
  <c r="AD107" i="110" a="1"/>
  <c r="AD107" i="110" s="1"/>
  <c r="AC107" i="110" a="1"/>
  <c r="AC107" i="110" s="1"/>
  <c r="AB107" i="110" a="1"/>
  <c r="AB107" i="110" s="1"/>
  <c r="AA107" i="110" a="1"/>
  <c r="AA107" i="110" s="1"/>
  <c r="Z107" i="110" a="1"/>
  <c r="Z107" i="110" s="1"/>
  <c r="Y107" i="110" a="1"/>
  <c r="Y107" i="110" s="1"/>
  <c r="X107" i="110" a="1"/>
  <c r="X107" i="110" s="1"/>
  <c r="W107" i="110" a="1"/>
  <c r="W107" i="110" s="1"/>
  <c r="V107" i="110" a="1"/>
  <c r="V107" i="110" s="1"/>
  <c r="U107" i="110" a="1"/>
  <c r="U107" i="110" s="1"/>
  <c r="T107" i="110" a="1"/>
  <c r="T107" i="110" s="1"/>
  <c r="S107" i="110" a="1"/>
  <c r="S107" i="110" s="1"/>
  <c r="R107" i="110" a="1"/>
  <c r="R107" i="110" s="1"/>
  <c r="Q107" i="110" a="1"/>
  <c r="Q107" i="110" s="1"/>
  <c r="P107" i="110" a="1"/>
  <c r="P107" i="110" s="1"/>
  <c r="O107" i="110" a="1"/>
  <c r="O107" i="110" s="1"/>
  <c r="N107" i="110" a="1"/>
  <c r="N107" i="110" s="1"/>
  <c r="M107" i="110" a="1"/>
  <c r="M107" i="110" s="1"/>
  <c r="L107" i="110" a="1"/>
  <c r="L107" i="110" s="1"/>
  <c r="K107" i="110" a="1"/>
  <c r="K107" i="110" s="1"/>
  <c r="AE106" i="110" a="1"/>
  <c r="AE106" i="110" s="1"/>
  <c r="AD106" i="110" a="1"/>
  <c r="AD106" i="110" s="1"/>
  <c r="AC106" i="110" a="1"/>
  <c r="AC106" i="110" s="1"/>
  <c r="AB106" i="110" a="1"/>
  <c r="AB106" i="110" s="1"/>
  <c r="AA106" i="110" a="1"/>
  <c r="AA106" i="110" s="1"/>
  <c r="Z106" i="110" a="1"/>
  <c r="Z106" i="110" s="1"/>
  <c r="Y106" i="110" a="1"/>
  <c r="Y106" i="110" s="1"/>
  <c r="X106" i="110" a="1"/>
  <c r="X106" i="110" s="1"/>
  <c r="W106" i="110" a="1"/>
  <c r="W106" i="110" s="1"/>
  <c r="V106" i="110" a="1"/>
  <c r="V106" i="110" s="1"/>
  <c r="U106" i="110" a="1"/>
  <c r="U106" i="110" s="1"/>
  <c r="T106" i="110" a="1"/>
  <c r="T106" i="110" s="1"/>
  <c r="S106" i="110" a="1"/>
  <c r="S106" i="110" s="1"/>
  <c r="R106" i="110" a="1"/>
  <c r="R106" i="110" s="1"/>
  <c r="Q106" i="110" a="1"/>
  <c r="Q106" i="110" s="1"/>
  <c r="P106" i="110" a="1"/>
  <c r="P106" i="110" s="1"/>
  <c r="O106" i="110" a="1"/>
  <c r="O106" i="110" s="1"/>
  <c r="N106" i="110" a="1"/>
  <c r="N106" i="110" s="1"/>
  <c r="M106" i="110" a="1"/>
  <c r="M106" i="110" s="1"/>
  <c r="L106" i="110" a="1"/>
  <c r="L106" i="110" s="1"/>
  <c r="K106" i="110" a="1"/>
  <c r="K106" i="110" s="1"/>
  <c r="AE105" i="110" a="1"/>
  <c r="AE105" i="110" s="1"/>
  <c r="AD105" i="110" a="1"/>
  <c r="AD105" i="110" s="1"/>
  <c r="AC105" i="110" a="1"/>
  <c r="AC105" i="110" s="1"/>
  <c r="AB105" i="110" a="1"/>
  <c r="AB105" i="110" s="1"/>
  <c r="AA105" i="110" a="1"/>
  <c r="AA105" i="110" s="1"/>
  <c r="Z105" i="110" a="1"/>
  <c r="Z105" i="110" s="1"/>
  <c r="Y105" i="110" a="1"/>
  <c r="Y105" i="110" s="1"/>
  <c r="X105" i="110" a="1"/>
  <c r="X105" i="110" s="1"/>
  <c r="W105" i="110" a="1"/>
  <c r="W105" i="110" s="1"/>
  <c r="V105" i="110" a="1"/>
  <c r="V105" i="110" s="1"/>
  <c r="U105" i="110" a="1"/>
  <c r="U105" i="110" s="1"/>
  <c r="T105" i="110" a="1"/>
  <c r="T105" i="110" s="1"/>
  <c r="S105" i="110" a="1"/>
  <c r="S105" i="110" s="1"/>
  <c r="R105" i="110" a="1"/>
  <c r="R105" i="110" s="1"/>
  <c r="Q105" i="110" a="1"/>
  <c r="Q105" i="110" s="1"/>
  <c r="P105" i="110" a="1"/>
  <c r="P105" i="110" s="1"/>
  <c r="O105" i="110" a="1"/>
  <c r="O105" i="110" s="1"/>
  <c r="N105" i="110" a="1"/>
  <c r="N105" i="110" s="1"/>
  <c r="M105" i="110" a="1"/>
  <c r="M105" i="110" s="1"/>
  <c r="L105" i="110" a="1"/>
  <c r="L105" i="110" s="1"/>
  <c r="K105" i="110" a="1"/>
  <c r="K105" i="110" s="1"/>
  <c r="AE104" i="110" a="1"/>
  <c r="AE104" i="110" s="1"/>
  <c r="AD104" i="110" a="1"/>
  <c r="AD104" i="110" s="1"/>
  <c r="AC104" i="110" a="1"/>
  <c r="AC104" i="110" s="1"/>
  <c r="AB104" i="110" a="1"/>
  <c r="AB104" i="110" s="1"/>
  <c r="AA104" i="110" a="1"/>
  <c r="AA104" i="110" s="1"/>
  <c r="Z104" i="110" a="1"/>
  <c r="Z104" i="110" s="1"/>
  <c r="Y104" i="110" a="1"/>
  <c r="Y104" i="110" s="1"/>
  <c r="X104" i="110" a="1"/>
  <c r="X104" i="110" s="1"/>
  <c r="W104" i="110" a="1"/>
  <c r="W104" i="110" s="1"/>
  <c r="V104" i="110" a="1"/>
  <c r="V104" i="110" s="1"/>
  <c r="U104" i="110" a="1"/>
  <c r="U104" i="110" s="1"/>
  <c r="T104" i="110" a="1"/>
  <c r="T104" i="110" s="1"/>
  <c r="S104" i="110" a="1"/>
  <c r="S104" i="110" s="1"/>
  <c r="R104" i="110" a="1"/>
  <c r="R104" i="110" s="1"/>
  <c r="Q104" i="110" a="1"/>
  <c r="Q104" i="110" s="1"/>
  <c r="P104" i="110" a="1"/>
  <c r="P104" i="110" s="1"/>
  <c r="O104" i="110" a="1"/>
  <c r="O104" i="110" s="1"/>
  <c r="N104" i="110" a="1"/>
  <c r="N104" i="110" s="1"/>
  <c r="M104" i="110" a="1"/>
  <c r="M104" i="110" s="1"/>
  <c r="L104" i="110" a="1"/>
  <c r="L104" i="110" s="1"/>
  <c r="K104" i="110" a="1"/>
  <c r="K104" i="110" s="1"/>
  <c r="AE103" i="110" a="1"/>
  <c r="AE103" i="110" s="1"/>
  <c r="AD103" i="110" a="1"/>
  <c r="AD103" i="110" s="1"/>
  <c r="AC103" i="110" a="1"/>
  <c r="AC103" i="110" s="1"/>
  <c r="AB103" i="110" a="1"/>
  <c r="AB103" i="110" s="1"/>
  <c r="AA103" i="110" a="1"/>
  <c r="AA103" i="110" s="1"/>
  <c r="Z103" i="110" a="1"/>
  <c r="Z103" i="110" s="1"/>
  <c r="Y103" i="110" a="1"/>
  <c r="Y103" i="110" s="1"/>
  <c r="X103" i="110" a="1"/>
  <c r="X103" i="110" s="1"/>
  <c r="W103" i="110" a="1"/>
  <c r="W103" i="110" s="1"/>
  <c r="V103" i="110" a="1"/>
  <c r="V103" i="110" s="1"/>
  <c r="U103" i="110" a="1"/>
  <c r="U103" i="110" s="1"/>
  <c r="T103" i="110" a="1"/>
  <c r="T103" i="110" s="1"/>
  <c r="S103" i="110" a="1"/>
  <c r="S103" i="110" s="1"/>
  <c r="R103" i="110" a="1"/>
  <c r="R103" i="110" s="1"/>
  <c r="Q103" i="110" a="1"/>
  <c r="Q103" i="110" s="1"/>
  <c r="P103" i="110" a="1"/>
  <c r="P103" i="110" s="1"/>
  <c r="O103" i="110" a="1"/>
  <c r="O103" i="110" s="1"/>
  <c r="N103" i="110" a="1"/>
  <c r="N103" i="110" s="1"/>
  <c r="M103" i="110" a="1"/>
  <c r="M103" i="110" s="1"/>
  <c r="L103" i="110" a="1"/>
  <c r="L103" i="110" s="1"/>
  <c r="K103" i="110" a="1"/>
  <c r="K103" i="110" s="1"/>
  <c r="AE102" i="110" a="1"/>
  <c r="AE102" i="110" s="1"/>
  <c r="AD102" i="110" a="1"/>
  <c r="AD102" i="110" s="1"/>
  <c r="AC102" i="110" a="1"/>
  <c r="AC102" i="110" s="1"/>
  <c r="AB102" i="110" a="1"/>
  <c r="AB102" i="110" s="1"/>
  <c r="AA102" i="110" a="1"/>
  <c r="AA102" i="110" s="1"/>
  <c r="Z102" i="110" a="1"/>
  <c r="Z102" i="110" s="1"/>
  <c r="Y102" i="110" a="1"/>
  <c r="Y102" i="110" s="1"/>
  <c r="X102" i="110" a="1"/>
  <c r="X102" i="110" s="1"/>
  <c r="W102" i="110" a="1"/>
  <c r="W102" i="110" s="1"/>
  <c r="V102" i="110" a="1"/>
  <c r="V102" i="110" s="1"/>
  <c r="U102" i="110" a="1"/>
  <c r="U102" i="110" s="1"/>
  <c r="T102" i="110" a="1"/>
  <c r="T102" i="110" s="1"/>
  <c r="S102" i="110" a="1"/>
  <c r="S102" i="110" s="1"/>
  <c r="R102" i="110" a="1"/>
  <c r="R102" i="110" s="1"/>
  <c r="Q102" i="110" a="1"/>
  <c r="Q102" i="110" s="1"/>
  <c r="P102" i="110" a="1"/>
  <c r="P102" i="110" s="1"/>
  <c r="O102" i="110" a="1"/>
  <c r="O102" i="110" s="1"/>
  <c r="N102" i="110" a="1"/>
  <c r="N102" i="110" s="1"/>
  <c r="M102" i="110" a="1"/>
  <c r="M102" i="110" s="1"/>
  <c r="L102" i="110" a="1"/>
  <c r="L102" i="110" s="1"/>
  <c r="K102" i="110" a="1"/>
  <c r="K102" i="110" s="1"/>
  <c r="AE101" i="110" a="1"/>
  <c r="AE101" i="110" s="1"/>
  <c r="AD101" i="110" a="1"/>
  <c r="AD101" i="110" s="1"/>
  <c r="AC101" i="110" a="1"/>
  <c r="AC101" i="110" s="1"/>
  <c r="AB101" i="110" a="1"/>
  <c r="AB101" i="110" s="1"/>
  <c r="AA101" i="110" a="1"/>
  <c r="AA101" i="110" s="1"/>
  <c r="Z101" i="110" a="1"/>
  <c r="Z101" i="110" s="1"/>
  <c r="Y101" i="110" a="1"/>
  <c r="Y101" i="110" s="1"/>
  <c r="X101" i="110" a="1"/>
  <c r="X101" i="110" s="1"/>
  <c r="W101" i="110" a="1"/>
  <c r="W101" i="110" s="1"/>
  <c r="V101" i="110" a="1"/>
  <c r="V101" i="110" s="1"/>
  <c r="U101" i="110" a="1"/>
  <c r="U101" i="110" s="1"/>
  <c r="T101" i="110" a="1"/>
  <c r="T101" i="110" s="1"/>
  <c r="S101" i="110" a="1"/>
  <c r="S101" i="110" s="1"/>
  <c r="R101" i="110" a="1"/>
  <c r="R101" i="110" s="1"/>
  <c r="Q101" i="110" a="1"/>
  <c r="Q101" i="110" s="1"/>
  <c r="P101" i="110" a="1"/>
  <c r="P101" i="110" s="1"/>
  <c r="O101" i="110" a="1"/>
  <c r="O101" i="110" s="1"/>
  <c r="N101" i="110" a="1"/>
  <c r="N101" i="110" s="1"/>
  <c r="M101" i="110" a="1"/>
  <c r="M101" i="110" s="1"/>
  <c r="L101" i="110" a="1"/>
  <c r="L101" i="110" s="1"/>
  <c r="K101" i="110" a="1"/>
  <c r="K101" i="110" s="1"/>
  <c r="AE100" i="110" a="1"/>
  <c r="AE100" i="110" s="1"/>
  <c r="AD100" i="110" a="1"/>
  <c r="AD100" i="110" s="1"/>
  <c r="AC100" i="110" a="1"/>
  <c r="AC100" i="110" s="1"/>
  <c r="AB100" i="110" a="1"/>
  <c r="AB100" i="110" s="1"/>
  <c r="AA100" i="110" a="1"/>
  <c r="AA100" i="110" s="1"/>
  <c r="Z100" i="110" a="1"/>
  <c r="Z100" i="110" s="1"/>
  <c r="Y100" i="110" a="1"/>
  <c r="Y100" i="110" s="1"/>
  <c r="X100" i="110" a="1"/>
  <c r="X100" i="110" s="1"/>
  <c r="W100" i="110" a="1"/>
  <c r="W100" i="110" s="1"/>
  <c r="V100" i="110" a="1"/>
  <c r="V100" i="110" s="1"/>
  <c r="U100" i="110" a="1"/>
  <c r="U100" i="110" s="1"/>
  <c r="T100" i="110" a="1"/>
  <c r="T100" i="110" s="1"/>
  <c r="S100" i="110" a="1"/>
  <c r="S100" i="110" s="1"/>
  <c r="R100" i="110" a="1"/>
  <c r="R100" i="110" s="1"/>
  <c r="Q100" i="110" a="1"/>
  <c r="Q100" i="110" s="1"/>
  <c r="P100" i="110" a="1"/>
  <c r="P100" i="110" s="1"/>
  <c r="O100" i="110" a="1"/>
  <c r="O100" i="110" s="1"/>
  <c r="N100" i="110" a="1"/>
  <c r="N100" i="110" s="1"/>
  <c r="M100" i="110" a="1"/>
  <c r="M100" i="110" s="1"/>
  <c r="L100" i="110" a="1"/>
  <c r="L100" i="110" s="1"/>
  <c r="K100" i="110" a="1"/>
  <c r="K100" i="110" s="1"/>
  <c r="AE99" i="110" a="1"/>
  <c r="AE99" i="110" s="1"/>
  <c r="AD99" i="110" a="1"/>
  <c r="AD99" i="110" s="1"/>
  <c r="AC99" i="110" a="1"/>
  <c r="AC99" i="110" s="1"/>
  <c r="AB99" i="110" a="1"/>
  <c r="AB99" i="110" s="1"/>
  <c r="AA99" i="110" a="1"/>
  <c r="AA99" i="110" s="1"/>
  <c r="Z99" i="110" a="1"/>
  <c r="Z99" i="110" s="1"/>
  <c r="Y99" i="110" a="1"/>
  <c r="Y99" i="110" s="1"/>
  <c r="X99" i="110" a="1"/>
  <c r="X99" i="110" s="1"/>
  <c r="W99" i="110" a="1"/>
  <c r="W99" i="110" s="1"/>
  <c r="V99" i="110" a="1"/>
  <c r="V99" i="110" s="1"/>
  <c r="U99" i="110" a="1"/>
  <c r="U99" i="110" s="1"/>
  <c r="T99" i="110" a="1"/>
  <c r="T99" i="110" s="1"/>
  <c r="S99" i="110" a="1"/>
  <c r="S99" i="110" s="1"/>
  <c r="R99" i="110" a="1"/>
  <c r="R99" i="110" s="1"/>
  <c r="Q99" i="110" a="1"/>
  <c r="Q99" i="110" s="1"/>
  <c r="P99" i="110" a="1"/>
  <c r="P99" i="110" s="1"/>
  <c r="O99" i="110" a="1"/>
  <c r="O99" i="110" s="1"/>
  <c r="N99" i="110" a="1"/>
  <c r="N99" i="110" s="1"/>
  <c r="M99" i="110" a="1"/>
  <c r="M99" i="110" s="1"/>
  <c r="L99" i="110" a="1"/>
  <c r="L99" i="110" s="1"/>
  <c r="K99" i="110" a="1"/>
  <c r="K99" i="110" s="1"/>
  <c r="AE98" i="110" a="1"/>
  <c r="AE98" i="110" s="1"/>
  <c r="AD98" i="110" a="1"/>
  <c r="AD98" i="110" s="1"/>
  <c r="AC98" i="110" a="1"/>
  <c r="AC98" i="110" s="1"/>
  <c r="AB98" i="110" a="1"/>
  <c r="AB98" i="110" s="1"/>
  <c r="AA98" i="110" a="1"/>
  <c r="AA98" i="110" s="1"/>
  <c r="Z98" i="110" a="1"/>
  <c r="Z98" i="110" s="1"/>
  <c r="Y98" i="110" a="1"/>
  <c r="Y98" i="110" s="1"/>
  <c r="X98" i="110" a="1"/>
  <c r="X98" i="110" s="1"/>
  <c r="W98" i="110" a="1"/>
  <c r="W98" i="110" s="1"/>
  <c r="V98" i="110" a="1"/>
  <c r="V98" i="110" s="1"/>
  <c r="U98" i="110" a="1"/>
  <c r="U98" i="110" s="1"/>
  <c r="T98" i="110" a="1"/>
  <c r="T98" i="110" s="1"/>
  <c r="S98" i="110" a="1"/>
  <c r="S98" i="110" s="1"/>
  <c r="R98" i="110" a="1"/>
  <c r="R98" i="110" s="1"/>
  <c r="Q98" i="110" a="1"/>
  <c r="Q98" i="110" s="1"/>
  <c r="P98" i="110" a="1"/>
  <c r="P98" i="110" s="1"/>
  <c r="O98" i="110" a="1"/>
  <c r="O98" i="110" s="1"/>
  <c r="N98" i="110" a="1"/>
  <c r="N98" i="110" s="1"/>
  <c r="M98" i="110" a="1"/>
  <c r="M98" i="110" s="1"/>
  <c r="L98" i="110" a="1"/>
  <c r="L98" i="110" s="1"/>
  <c r="K98" i="110" a="1"/>
  <c r="K98" i="110" s="1"/>
  <c r="AE97" i="110" a="1"/>
  <c r="AE97" i="110" s="1"/>
  <c r="AD97" i="110" a="1"/>
  <c r="AD97" i="110" s="1"/>
  <c r="AC97" i="110" a="1"/>
  <c r="AC97" i="110" s="1"/>
  <c r="AB97" i="110" a="1"/>
  <c r="AB97" i="110" s="1"/>
  <c r="AA97" i="110" a="1"/>
  <c r="AA97" i="110" s="1"/>
  <c r="Z97" i="110" a="1"/>
  <c r="Z97" i="110" s="1"/>
  <c r="Y97" i="110" a="1"/>
  <c r="Y97" i="110" s="1"/>
  <c r="X97" i="110" a="1"/>
  <c r="X97" i="110" s="1"/>
  <c r="W97" i="110" a="1"/>
  <c r="W97" i="110" s="1"/>
  <c r="V97" i="110" a="1"/>
  <c r="V97" i="110" s="1"/>
  <c r="U97" i="110" a="1"/>
  <c r="U97" i="110" s="1"/>
  <c r="T97" i="110" a="1"/>
  <c r="T97" i="110" s="1"/>
  <c r="S97" i="110" a="1"/>
  <c r="S97" i="110" s="1"/>
  <c r="R97" i="110" a="1"/>
  <c r="R97" i="110" s="1"/>
  <c r="Q97" i="110" a="1"/>
  <c r="Q97" i="110" s="1"/>
  <c r="P97" i="110" a="1"/>
  <c r="P97" i="110" s="1"/>
  <c r="O97" i="110" a="1"/>
  <c r="O97" i="110" s="1"/>
  <c r="N97" i="110" a="1"/>
  <c r="N97" i="110" s="1"/>
  <c r="M97" i="110" a="1"/>
  <c r="M97" i="110" s="1"/>
  <c r="L97" i="110" a="1"/>
  <c r="L97" i="110" s="1"/>
  <c r="K97" i="110" a="1"/>
  <c r="K97" i="110" s="1"/>
  <c r="AE96" i="110" a="1"/>
  <c r="AE96" i="110" s="1"/>
  <c r="AD96" i="110" a="1"/>
  <c r="AD96" i="110" s="1"/>
  <c r="AC96" i="110" a="1"/>
  <c r="AC96" i="110" s="1"/>
  <c r="AB96" i="110" a="1"/>
  <c r="AB96" i="110" s="1"/>
  <c r="AA96" i="110" a="1"/>
  <c r="AA96" i="110" s="1"/>
  <c r="Z96" i="110" a="1"/>
  <c r="Z96" i="110" s="1"/>
  <c r="Y96" i="110" a="1"/>
  <c r="Y96" i="110" s="1"/>
  <c r="X96" i="110" a="1"/>
  <c r="X96" i="110" s="1"/>
  <c r="W96" i="110" a="1"/>
  <c r="W96" i="110" s="1"/>
  <c r="V96" i="110" a="1"/>
  <c r="V96" i="110" s="1"/>
  <c r="U96" i="110" a="1"/>
  <c r="U96" i="110" s="1"/>
  <c r="T96" i="110" a="1"/>
  <c r="T96" i="110" s="1"/>
  <c r="S96" i="110" a="1"/>
  <c r="S96" i="110" s="1"/>
  <c r="R96" i="110" a="1"/>
  <c r="R96" i="110" s="1"/>
  <c r="Q96" i="110" a="1"/>
  <c r="Q96" i="110" s="1"/>
  <c r="P96" i="110" a="1"/>
  <c r="P96" i="110" s="1"/>
  <c r="O96" i="110" a="1"/>
  <c r="O96" i="110" s="1"/>
  <c r="N96" i="110" a="1"/>
  <c r="N96" i="110" s="1"/>
  <c r="M96" i="110" a="1"/>
  <c r="M96" i="110" s="1"/>
  <c r="L96" i="110" a="1"/>
  <c r="L96" i="110" s="1"/>
  <c r="K96" i="110" a="1"/>
  <c r="K96" i="110" s="1"/>
  <c r="AE95" i="110" a="1"/>
  <c r="AE95" i="110" s="1"/>
  <c r="AD95" i="110" a="1"/>
  <c r="AD95" i="110" s="1"/>
  <c r="AC95" i="110" a="1"/>
  <c r="AC95" i="110" s="1"/>
  <c r="AB95" i="110" a="1"/>
  <c r="AB95" i="110" s="1"/>
  <c r="AA95" i="110" a="1"/>
  <c r="AA95" i="110" s="1"/>
  <c r="Z95" i="110" a="1"/>
  <c r="Z95" i="110" s="1"/>
  <c r="Y95" i="110" a="1"/>
  <c r="Y95" i="110" s="1"/>
  <c r="X95" i="110" a="1"/>
  <c r="X95" i="110" s="1"/>
  <c r="W95" i="110" a="1"/>
  <c r="W95" i="110" s="1"/>
  <c r="V95" i="110" a="1"/>
  <c r="V95" i="110" s="1"/>
  <c r="U95" i="110" a="1"/>
  <c r="U95" i="110" s="1"/>
  <c r="T95" i="110" a="1"/>
  <c r="T95" i="110" s="1"/>
  <c r="S95" i="110" a="1"/>
  <c r="S95" i="110" s="1"/>
  <c r="R95" i="110" a="1"/>
  <c r="R95" i="110" s="1"/>
  <c r="Q95" i="110" a="1"/>
  <c r="Q95" i="110" s="1"/>
  <c r="P95" i="110" a="1"/>
  <c r="P95" i="110" s="1"/>
  <c r="O95" i="110" a="1"/>
  <c r="O95" i="110" s="1"/>
  <c r="N95" i="110" a="1"/>
  <c r="N95" i="110" s="1"/>
  <c r="M95" i="110" a="1"/>
  <c r="M95" i="110" s="1"/>
  <c r="L95" i="110" a="1"/>
  <c r="L95" i="110" s="1"/>
  <c r="K95" i="110" a="1"/>
  <c r="K95" i="110" s="1"/>
  <c r="AE94" i="110" a="1"/>
  <c r="AE94" i="110" s="1"/>
  <c r="AD94" i="110" a="1"/>
  <c r="AD94" i="110" s="1"/>
  <c r="AC94" i="110" a="1"/>
  <c r="AC94" i="110" s="1"/>
  <c r="AB94" i="110" a="1"/>
  <c r="AB94" i="110" s="1"/>
  <c r="AA94" i="110" a="1"/>
  <c r="AA94" i="110" s="1"/>
  <c r="Z94" i="110" a="1"/>
  <c r="Z94" i="110" s="1"/>
  <c r="Y94" i="110" a="1"/>
  <c r="Y94" i="110" s="1"/>
  <c r="X94" i="110" a="1"/>
  <c r="X94" i="110" s="1"/>
  <c r="W94" i="110" a="1"/>
  <c r="W94" i="110" s="1"/>
  <c r="V94" i="110" a="1"/>
  <c r="V94" i="110" s="1"/>
  <c r="U94" i="110" a="1"/>
  <c r="U94" i="110" s="1"/>
  <c r="T94" i="110" a="1"/>
  <c r="T94" i="110" s="1"/>
  <c r="S94" i="110" a="1"/>
  <c r="S94" i="110" s="1"/>
  <c r="R94" i="110" a="1"/>
  <c r="R94" i="110" s="1"/>
  <c r="Q94" i="110" a="1"/>
  <c r="Q94" i="110" s="1"/>
  <c r="P94" i="110" a="1"/>
  <c r="P94" i="110" s="1"/>
  <c r="O94" i="110" a="1"/>
  <c r="O94" i="110" s="1"/>
  <c r="N94" i="110" a="1"/>
  <c r="N94" i="110" s="1"/>
  <c r="M94" i="110" a="1"/>
  <c r="M94" i="110" s="1"/>
  <c r="L94" i="110" a="1"/>
  <c r="L94" i="110" s="1"/>
  <c r="K94" i="110" a="1"/>
  <c r="K94" i="110" s="1"/>
  <c r="AE93" i="110" a="1"/>
  <c r="AE93" i="110" s="1"/>
  <c r="AD93" i="110" a="1"/>
  <c r="AD93" i="110" s="1"/>
  <c r="AC93" i="110" a="1"/>
  <c r="AC93" i="110" s="1"/>
  <c r="AB93" i="110" a="1"/>
  <c r="AB93" i="110" s="1"/>
  <c r="AA93" i="110" a="1"/>
  <c r="AA93" i="110" s="1"/>
  <c r="Z93" i="110" a="1"/>
  <c r="Z93" i="110" s="1"/>
  <c r="Y93" i="110" a="1"/>
  <c r="Y93" i="110" s="1"/>
  <c r="X93" i="110" a="1"/>
  <c r="X93" i="110" s="1"/>
  <c r="W93" i="110" a="1"/>
  <c r="W93" i="110" s="1"/>
  <c r="V93" i="110" a="1"/>
  <c r="V93" i="110" s="1"/>
  <c r="U93" i="110" a="1"/>
  <c r="U93" i="110" s="1"/>
  <c r="T93" i="110" a="1"/>
  <c r="T93" i="110" s="1"/>
  <c r="S93" i="110" a="1"/>
  <c r="S93" i="110" s="1"/>
  <c r="R93" i="110" a="1"/>
  <c r="R93" i="110" s="1"/>
  <c r="Q93" i="110" a="1"/>
  <c r="Q93" i="110" s="1"/>
  <c r="P93" i="110" a="1"/>
  <c r="P93" i="110" s="1"/>
  <c r="O93" i="110" a="1"/>
  <c r="O93" i="110" s="1"/>
  <c r="N93" i="110" a="1"/>
  <c r="N93" i="110" s="1"/>
  <c r="M93" i="110" a="1"/>
  <c r="M93" i="110" s="1"/>
  <c r="L93" i="110" a="1"/>
  <c r="L93" i="110" s="1"/>
  <c r="K93" i="110" a="1"/>
  <c r="K93" i="110" s="1"/>
  <c r="AE92" i="110" a="1"/>
  <c r="AE92" i="110" s="1"/>
  <c r="AD92" i="110" a="1"/>
  <c r="AD92" i="110" s="1"/>
  <c r="AC92" i="110" a="1"/>
  <c r="AC92" i="110" s="1"/>
  <c r="AB92" i="110" a="1"/>
  <c r="AB92" i="110" s="1"/>
  <c r="AA92" i="110" a="1"/>
  <c r="AA92" i="110" s="1"/>
  <c r="Z92" i="110" a="1"/>
  <c r="Z92" i="110" s="1"/>
  <c r="Y92" i="110" a="1"/>
  <c r="Y92" i="110" s="1"/>
  <c r="X92" i="110" a="1"/>
  <c r="X92" i="110" s="1"/>
  <c r="W92" i="110" a="1"/>
  <c r="W92" i="110" s="1"/>
  <c r="V92" i="110" a="1"/>
  <c r="V92" i="110" s="1"/>
  <c r="U92" i="110" a="1"/>
  <c r="U92" i="110" s="1"/>
  <c r="T92" i="110" a="1"/>
  <c r="T92" i="110" s="1"/>
  <c r="S92" i="110" a="1"/>
  <c r="S92" i="110" s="1"/>
  <c r="R92" i="110" a="1"/>
  <c r="R92" i="110" s="1"/>
  <c r="Q92" i="110" a="1"/>
  <c r="Q92" i="110" s="1"/>
  <c r="P92" i="110" a="1"/>
  <c r="P92" i="110" s="1"/>
  <c r="O92" i="110" a="1"/>
  <c r="O92" i="110" s="1"/>
  <c r="N92" i="110" a="1"/>
  <c r="N92" i="110" s="1"/>
  <c r="M92" i="110" a="1"/>
  <c r="M92" i="110" s="1"/>
  <c r="L92" i="110" a="1"/>
  <c r="L92" i="110" s="1"/>
  <c r="K92" i="110" a="1"/>
  <c r="K92" i="110" s="1"/>
  <c r="AE91" i="110" a="1"/>
  <c r="AE91" i="110" s="1"/>
  <c r="AD91" i="110" a="1"/>
  <c r="AD91" i="110" s="1"/>
  <c r="AC91" i="110" a="1"/>
  <c r="AC91" i="110" s="1"/>
  <c r="AB91" i="110" a="1"/>
  <c r="AB91" i="110" s="1"/>
  <c r="AA91" i="110" a="1"/>
  <c r="AA91" i="110" s="1"/>
  <c r="Z91" i="110" a="1"/>
  <c r="Z91" i="110" s="1"/>
  <c r="Y91" i="110" a="1"/>
  <c r="Y91" i="110" s="1"/>
  <c r="X91" i="110" a="1"/>
  <c r="X91" i="110" s="1"/>
  <c r="W91" i="110" a="1"/>
  <c r="W91" i="110" s="1"/>
  <c r="V91" i="110" a="1"/>
  <c r="V91" i="110" s="1"/>
  <c r="U91" i="110" a="1"/>
  <c r="U91" i="110" s="1"/>
  <c r="T91" i="110" a="1"/>
  <c r="T91" i="110" s="1"/>
  <c r="S91" i="110" a="1"/>
  <c r="S91" i="110" s="1"/>
  <c r="R91" i="110" a="1"/>
  <c r="R91" i="110" s="1"/>
  <c r="Q91" i="110" a="1"/>
  <c r="Q91" i="110" s="1"/>
  <c r="P91" i="110" a="1"/>
  <c r="P91" i="110" s="1"/>
  <c r="O91" i="110" a="1"/>
  <c r="O91" i="110" s="1"/>
  <c r="N91" i="110" a="1"/>
  <c r="N91" i="110" s="1"/>
  <c r="M91" i="110" a="1"/>
  <c r="M91" i="110" s="1"/>
  <c r="L91" i="110" a="1"/>
  <c r="L91" i="110" s="1"/>
  <c r="K91" i="110" a="1"/>
  <c r="K91" i="110" s="1"/>
  <c r="AE90" i="110" a="1"/>
  <c r="AE90" i="110" s="1"/>
  <c r="AD90" i="110" a="1"/>
  <c r="AD90" i="110" s="1"/>
  <c r="AC90" i="110" a="1"/>
  <c r="AC90" i="110" s="1"/>
  <c r="AB90" i="110" a="1"/>
  <c r="AB90" i="110" s="1"/>
  <c r="AA90" i="110" a="1"/>
  <c r="AA90" i="110" s="1"/>
  <c r="Z90" i="110" a="1"/>
  <c r="Z90" i="110" s="1"/>
  <c r="Y90" i="110" a="1"/>
  <c r="Y90" i="110" s="1"/>
  <c r="X90" i="110" a="1"/>
  <c r="X90" i="110" s="1"/>
  <c r="W90" i="110" a="1"/>
  <c r="W90" i="110" s="1"/>
  <c r="V90" i="110" a="1"/>
  <c r="V90" i="110" s="1"/>
  <c r="U90" i="110" a="1"/>
  <c r="U90" i="110" s="1"/>
  <c r="T90" i="110" a="1"/>
  <c r="T90" i="110" s="1"/>
  <c r="S90" i="110" a="1"/>
  <c r="S90" i="110" s="1"/>
  <c r="R90" i="110" a="1"/>
  <c r="R90" i="110" s="1"/>
  <c r="Q90" i="110" a="1"/>
  <c r="Q90" i="110" s="1"/>
  <c r="P90" i="110" a="1"/>
  <c r="P90" i="110" s="1"/>
  <c r="O90" i="110" a="1"/>
  <c r="O90" i="110" s="1"/>
  <c r="N90" i="110" a="1"/>
  <c r="N90" i="110" s="1"/>
  <c r="M90" i="110" a="1"/>
  <c r="M90" i="110" s="1"/>
  <c r="L90" i="110" a="1"/>
  <c r="L90" i="110" s="1"/>
  <c r="K90" i="110" a="1"/>
  <c r="K90" i="110" s="1"/>
  <c r="J153" i="110" a="1"/>
  <c r="J153" i="110" s="1"/>
  <c r="J152" i="110" a="1"/>
  <c r="J152" i="110" s="1"/>
  <c r="J151" i="110" a="1"/>
  <c r="J151" i="110" s="1"/>
  <c r="J150" i="110" a="1"/>
  <c r="J150" i="110" s="1"/>
  <c r="J149" i="110" a="1"/>
  <c r="J149" i="110" s="1"/>
  <c r="J148" i="110" a="1"/>
  <c r="J148" i="110" s="1"/>
  <c r="J147" i="110" a="1"/>
  <c r="J147" i="110" s="1"/>
  <c r="J146" i="110" a="1"/>
  <c r="J146" i="110" s="1"/>
  <c r="J145" i="110" a="1"/>
  <c r="J145" i="110" s="1"/>
  <c r="J144" i="110" a="1"/>
  <c r="J144" i="110" s="1"/>
  <c r="J143" i="110" a="1"/>
  <c r="J143" i="110" s="1"/>
  <c r="J142" i="110" a="1"/>
  <c r="J142" i="110" s="1"/>
  <c r="J141" i="110" a="1"/>
  <c r="J141" i="110" s="1"/>
  <c r="J140" i="110" a="1"/>
  <c r="J140" i="110" s="1"/>
  <c r="J139" i="110" a="1"/>
  <c r="J139" i="110" s="1"/>
  <c r="J138" i="110" a="1"/>
  <c r="J138" i="110" s="1"/>
  <c r="J137" i="110" a="1"/>
  <c r="J137" i="110" s="1"/>
  <c r="J136" i="110" a="1"/>
  <c r="J136" i="110" s="1"/>
  <c r="J135" i="110" a="1"/>
  <c r="J135" i="110" s="1"/>
  <c r="J134" i="110" a="1"/>
  <c r="J134" i="110" s="1"/>
  <c r="J133" i="110" a="1"/>
  <c r="J133" i="110" s="1"/>
  <c r="J132" i="110" a="1"/>
  <c r="J132" i="110" s="1"/>
  <c r="J131" i="110" a="1"/>
  <c r="J131" i="110" s="1"/>
  <c r="J130" i="110" a="1"/>
  <c r="J130" i="110" s="1"/>
  <c r="J129" i="110" a="1"/>
  <c r="J129" i="110" s="1"/>
  <c r="J128" i="110" a="1"/>
  <c r="J128" i="110" s="1"/>
  <c r="J127" i="110" a="1"/>
  <c r="J127" i="110" s="1"/>
  <c r="J126" i="110" a="1"/>
  <c r="J126" i="110" s="1"/>
  <c r="J125" i="110" a="1"/>
  <c r="J125" i="110" s="1"/>
  <c r="J124" i="110" a="1"/>
  <c r="J124" i="110" s="1"/>
  <c r="J123" i="110" a="1"/>
  <c r="J123" i="110" s="1"/>
  <c r="J122" i="110" a="1"/>
  <c r="J122" i="110" s="1"/>
  <c r="J121" i="110" a="1"/>
  <c r="J121" i="110" s="1"/>
  <c r="J120" i="110" a="1"/>
  <c r="J120" i="110" s="1"/>
  <c r="J119" i="110" a="1"/>
  <c r="J119" i="110" s="1"/>
  <c r="J118" i="110" a="1"/>
  <c r="J118" i="110" s="1"/>
  <c r="J117" i="110" a="1"/>
  <c r="J117" i="110" s="1"/>
  <c r="J116" i="110" a="1"/>
  <c r="J116" i="110" s="1"/>
  <c r="J115" i="110" a="1"/>
  <c r="J115" i="110" s="1"/>
  <c r="J114" i="110" a="1"/>
  <c r="J114" i="110" s="1"/>
  <c r="J113" i="110" a="1"/>
  <c r="J113" i="110" s="1"/>
  <c r="J112" i="110" a="1"/>
  <c r="J112" i="110" s="1"/>
  <c r="J111" i="110" a="1"/>
  <c r="J111" i="110" s="1"/>
  <c r="J110" i="110" a="1"/>
  <c r="J110" i="110" s="1"/>
  <c r="J109" i="110" a="1"/>
  <c r="J109" i="110" s="1"/>
  <c r="J108" i="110" a="1"/>
  <c r="J108" i="110" s="1"/>
  <c r="J107" i="110" a="1"/>
  <c r="J107" i="110" s="1"/>
  <c r="J106" i="110" a="1"/>
  <c r="J106" i="110" s="1"/>
  <c r="J105" i="110" a="1"/>
  <c r="J105" i="110" s="1"/>
  <c r="J104" i="110" a="1"/>
  <c r="J104" i="110" s="1"/>
  <c r="J103" i="110" a="1"/>
  <c r="J103" i="110" s="1"/>
  <c r="J102" i="110" a="1"/>
  <c r="J102" i="110" s="1"/>
  <c r="J101" i="110" a="1"/>
  <c r="J101" i="110" s="1"/>
  <c r="J100" i="110" a="1"/>
  <c r="J100" i="110" s="1"/>
  <c r="J99" i="110" a="1"/>
  <c r="J99" i="110" s="1"/>
  <c r="J98" i="110" a="1"/>
  <c r="J98" i="110" s="1"/>
  <c r="J97" i="110" a="1"/>
  <c r="J97" i="110" s="1"/>
  <c r="J96" i="110" a="1"/>
  <c r="J96" i="110" s="1"/>
  <c r="J95" i="110" a="1"/>
  <c r="J95" i="110" s="1"/>
  <c r="J94" i="110" a="1"/>
  <c r="J94" i="110" s="1"/>
  <c r="J93" i="110" a="1"/>
  <c r="J93" i="110" s="1"/>
  <c r="J92" i="110" a="1"/>
  <c r="J92" i="110" s="1"/>
  <c r="J91" i="110" a="1"/>
  <c r="J91" i="110" s="1"/>
  <c r="J90" i="110" a="1"/>
  <c r="J90" i="110" s="1"/>
  <c r="I153" i="110" a="1"/>
  <c r="I153" i="110" s="1"/>
  <c r="I152" i="110" a="1"/>
  <c r="I152" i="110" s="1"/>
  <c r="I151" i="110" a="1"/>
  <c r="I151" i="110" s="1"/>
  <c r="I150" i="110" a="1"/>
  <c r="I150" i="110" s="1"/>
  <c r="I149" i="110" a="1"/>
  <c r="I149" i="110" s="1"/>
  <c r="I148" i="110" a="1"/>
  <c r="I148" i="110" s="1"/>
  <c r="I147" i="110" a="1"/>
  <c r="I147" i="110" s="1"/>
  <c r="I146" i="110" a="1"/>
  <c r="I146" i="110" s="1"/>
  <c r="I145" i="110" a="1"/>
  <c r="I145" i="110" s="1"/>
  <c r="I144" i="110" a="1"/>
  <c r="I144" i="110" s="1"/>
  <c r="I143" i="110" a="1"/>
  <c r="I143" i="110" s="1"/>
  <c r="I142" i="110" a="1"/>
  <c r="I142" i="110" s="1"/>
  <c r="I141" i="110" a="1"/>
  <c r="I141" i="110" s="1"/>
  <c r="I140" i="110" a="1"/>
  <c r="I140" i="110" s="1"/>
  <c r="I139" i="110" a="1"/>
  <c r="I139" i="110" s="1"/>
  <c r="I138" i="110" a="1"/>
  <c r="I138" i="110" s="1"/>
  <c r="I137" i="110" a="1"/>
  <c r="I137" i="110" s="1"/>
  <c r="I136" i="110" a="1"/>
  <c r="I136" i="110" s="1"/>
  <c r="I135" i="110" a="1"/>
  <c r="I135" i="110" s="1"/>
  <c r="I134" i="110" a="1"/>
  <c r="I134" i="110" s="1"/>
  <c r="I133" i="110" a="1"/>
  <c r="I133" i="110" s="1"/>
  <c r="I132" i="110" a="1"/>
  <c r="I132" i="110" s="1"/>
  <c r="I131" i="110" a="1"/>
  <c r="I131" i="110" s="1"/>
  <c r="I130" i="110" a="1"/>
  <c r="I130" i="110" s="1"/>
  <c r="I129" i="110" a="1"/>
  <c r="I129" i="110" s="1"/>
  <c r="I128" i="110" a="1"/>
  <c r="I128" i="110" s="1"/>
  <c r="I127" i="110" a="1"/>
  <c r="I127" i="110" s="1"/>
  <c r="I126" i="110" a="1"/>
  <c r="I126" i="110" s="1"/>
  <c r="I125" i="110" a="1"/>
  <c r="I125" i="110" s="1"/>
  <c r="I124" i="110" a="1"/>
  <c r="I124" i="110" s="1"/>
  <c r="I123" i="110" a="1"/>
  <c r="I123" i="110" s="1"/>
  <c r="I122" i="110" a="1"/>
  <c r="I122" i="110" s="1"/>
  <c r="I121" i="110" a="1"/>
  <c r="I121" i="110" s="1"/>
  <c r="I120" i="110" a="1"/>
  <c r="I120" i="110" s="1"/>
  <c r="I119" i="110" a="1"/>
  <c r="I119" i="110" s="1"/>
  <c r="I118" i="110" a="1"/>
  <c r="I118" i="110" s="1"/>
  <c r="I117" i="110" a="1"/>
  <c r="I117" i="110" s="1"/>
  <c r="I116" i="110" a="1"/>
  <c r="I116" i="110" s="1"/>
  <c r="I115" i="110" a="1"/>
  <c r="I115" i="110" s="1"/>
  <c r="I114" i="110" a="1"/>
  <c r="I114" i="110" s="1"/>
  <c r="I113" i="110" a="1"/>
  <c r="I113" i="110" s="1"/>
  <c r="I112" i="110" a="1"/>
  <c r="I112" i="110" s="1"/>
  <c r="I111" i="110" a="1"/>
  <c r="I111" i="110" s="1"/>
  <c r="I110" i="110" a="1"/>
  <c r="I110" i="110" s="1"/>
  <c r="I109" i="110" a="1"/>
  <c r="I109" i="110" s="1"/>
  <c r="I108" i="110" a="1"/>
  <c r="I108" i="110" s="1"/>
  <c r="I107" i="110" a="1"/>
  <c r="I107" i="110" s="1"/>
  <c r="I106" i="110" a="1"/>
  <c r="I106" i="110" s="1"/>
  <c r="I105" i="110" a="1"/>
  <c r="I105" i="110" s="1"/>
  <c r="I104" i="110" a="1"/>
  <c r="I104" i="110" s="1"/>
  <c r="I103" i="110" a="1"/>
  <c r="I103" i="110" s="1"/>
  <c r="I102" i="110" a="1"/>
  <c r="I102" i="110" s="1"/>
  <c r="I101" i="110" a="1"/>
  <c r="I101" i="110" s="1"/>
  <c r="I100" i="110" a="1"/>
  <c r="I100" i="110" s="1"/>
  <c r="I99" i="110" a="1"/>
  <c r="I99" i="110" s="1"/>
  <c r="I98" i="110" a="1"/>
  <c r="I98" i="110" s="1"/>
  <c r="I97" i="110" a="1"/>
  <c r="I97" i="110" s="1"/>
  <c r="I96" i="110" a="1"/>
  <c r="I96" i="110" s="1"/>
  <c r="I95" i="110" a="1"/>
  <c r="I95" i="110" s="1"/>
  <c r="I94" i="110" a="1"/>
  <c r="I94" i="110" s="1"/>
  <c r="I93" i="110" a="1"/>
  <c r="I93" i="110" s="1"/>
  <c r="I92" i="110" a="1"/>
  <c r="I92" i="110" s="1"/>
  <c r="I91" i="110" a="1"/>
  <c r="I91" i="110" s="1"/>
  <c r="I90" i="110" a="1"/>
  <c r="I90" i="110" s="1"/>
  <c r="G153" i="110" a="1"/>
  <c r="G153" i="110" s="1"/>
  <c r="G152" i="110" a="1"/>
  <c r="G152" i="110" s="1"/>
  <c r="G151" i="110" a="1"/>
  <c r="G151" i="110" s="1"/>
  <c r="G150" i="110" a="1"/>
  <c r="G150" i="110" s="1"/>
  <c r="G149" i="110" a="1"/>
  <c r="G149" i="110" s="1"/>
  <c r="G148" i="110" a="1"/>
  <c r="G148" i="110" s="1"/>
  <c r="G147" i="110" a="1"/>
  <c r="G147" i="110" s="1"/>
  <c r="G146" i="110" a="1"/>
  <c r="G146" i="110" s="1"/>
  <c r="G145" i="110" a="1"/>
  <c r="G145" i="110" s="1"/>
  <c r="G144" i="110" a="1"/>
  <c r="G144" i="110" s="1"/>
  <c r="G143" i="110" a="1"/>
  <c r="G143" i="110" s="1"/>
  <c r="G142" i="110" a="1"/>
  <c r="G142" i="110" s="1"/>
  <c r="G141" i="110" a="1"/>
  <c r="G141" i="110" s="1"/>
  <c r="G140" i="110" a="1"/>
  <c r="G140" i="110" s="1"/>
  <c r="G139" i="110" a="1"/>
  <c r="G139" i="110" s="1"/>
  <c r="G138" i="110" a="1"/>
  <c r="G138" i="110" s="1"/>
  <c r="G137" i="110" a="1"/>
  <c r="G137" i="110" s="1"/>
  <c r="G136" i="110" a="1"/>
  <c r="G136" i="110" s="1"/>
  <c r="G135" i="110" a="1"/>
  <c r="G135" i="110" s="1"/>
  <c r="G134" i="110" a="1"/>
  <c r="G134" i="110" s="1"/>
  <c r="G133" i="110" a="1"/>
  <c r="G133" i="110" s="1"/>
  <c r="G132" i="110" a="1"/>
  <c r="G132" i="110" s="1"/>
  <c r="G131" i="110" a="1"/>
  <c r="G131" i="110" s="1"/>
  <c r="G130" i="110" a="1"/>
  <c r="G130" i="110" s="1"/>
  <c r="G129" i="110" a="1"/>
  <c r="G129" i="110" s="1"/>
  <c r="G128" i="110" a="1"/>
  <c r="G128" i="110" s="1"/>
  <c r="G127" i="110" a="1"/>
  <c r="G127" i="110" s="1"/>
  <c r="G126" i="110" a="1"/>
  <c r="G126" i="110" s="1"/>
  <c r="G125" i="110" a="1"/>
  <c r="G125" i="110" s="1"/>
  <c r="G124" i="110" a="1"/>
  <c r="G124" i="110" s="1"/>
  <c r="G123" i="110" a="1"/>
  <c r="G123" i="110" s="1"/>
  <c r="G122" i="110" a="1"/>
  <c r="G122" i="110" s="1"/>
  <c r="G121" i="110" a="1"/>
  <c r="G121" i="110" s="1"/>
  <c r="G120" i="110" a="1"/>
  <c r="G120" i="110" s="1"/>
  <c r="G119" i="110" a="1"/>
  <c r="G119" i="110" s="1"/>
  <c r="G118" i="110" a="1"/>
  <c r="G118" i="110" s="1"/>
  <c r="G117" i="110" a="1"/>
  <c r="G117" i="110" s="1"/>
  <c r="G116" i="110" a="1"/>
  <c r="G116" i="110" s="1"/>
  <c r="G115" i="110" a="1"/>
  <c r="G115" i="110" s="1"/>
  <c r="G114" i="110" a="1"/>
  <c r="G114" i="110" s="1"/>
  <c r="G113" i="110" a="1"/>
  <c r="G113" i="110" s="1"/>
  <c r="G112" i="110" a="1"/>
  <c r="G112" i="110" s="1"/>
  <c r="G111" i="110" a="1"/>
  <c r="G111" i="110" s="1"/>
  <c r="G110" i="110" a="1"/>
  <c r="G110" i="110" s="1"/>
  <c r="G109" i="110" a="1"/>
  <c r="G109" i="110" s="1"/>
  <c r="G108" i="110" a="1"/>
  <c r="G108" i="110" s="1"/>
  <c r="G107" i="110" a="1"/>
  <c r="G107" i="110" s="1"/>
  <c r="G106" i="110" a="1"/>
  <c r="G106" i="110" s="1"/>
  <c r="G105" i="110" a="1"/>
  <c r="G105" i="110" s="1"/>
  <c r="G104" i="110" a="1"/>
  <c r="G104" i="110" s="1"/>
  <c r="G103" i="110" a="1"/>
  <c r="G103" i="110" s="1"/>
  <c r="G102" i="110" a="1"/>
  <c r="G102" i="110" s="1"/>
  <c r="G101" i="110" a="1"/>
  <c r="G101" i="110" s="1"/>
  <c r="G100" i="110" a="1"/>
  <c r="G100" i="110" s="1"/>
  <c r="G99" i="110" a="1"/>
  <c r="G99" i="110" s="1"/>
  <c r="G98" i="110" a="1"/>
  <c r="G98" i="110" s="1"/>
  <c r="G97" i="110" a="1"/>
  <c r="G97" i="110" s="1"/>
  <c r="G96" i="110" a="1"/>
  <c r="G96" i="110" s="1"/>
  <c r="G95" i="110" a="1"/>
  <c r="G95" i="110" s="1"/>
  <c r="G94" i="110" a="1"/>
  <c r="G94" i="110" s="1"/>
  <c r="G93" i="110" a="1"/>
  <c r="G93" i="110" s="1"/>
  <c r="G92" i="110" a="1"/>
  <c r="G92" i="110" s="1"/>
  <c r="G91" i="110" a="1"/>
  <c r="G91" i="110" s="1"/>
  <c r="F153" i="110" a="1"/>
  <c r="F153" i="110" s="1"/>
  <c r="F152" i="110" a="1"/>
  <c r="F152" i="110" s="1"/>
  <c r="F151" i="110" a="1"/>
  <c r="F151" i="110" s="1"/>
  <c r="F150" i="110" a="1"/>
  <c r="F150" i="110" s="1"/>
  <c r="F149" i="110" a="1"/>
  <c r="F149" i="110" s="1"/>
  <c r="F148" i="110" a="1"/>
  <c r="F148" i="110" s="1"/>
  <c r="F147" i="110" a="1"/>
  <c r="F147" i="110" s="1"/>
  <c r="F146" i="110" a="1"/>
  <c r="F146" i="110" s="1"/>
  <c r="F145" i="110" a="1"/>
  <c r="F145" i="110" s="1"/>
  <c r="F144" i="110" a="1"/>
  <c r="F144" i="110" s="1"/>
  <c r="F143" i="110" a="1"/>
  <c r="F143" i="110" s="1"/>
  <c r="F142" i="110" a="1"/>
  <c r="F142" i="110" s="1"/>
  <c r="F141" i="110" a="1"/>
  <c r="F141" i="110" s="1"/>
  <c r="F140" i="110" a="1"/>
  <c r="F140" i="110" s="1"/>
  <c r="F139" i="110" a="1"/>
  <c r="F139" i="110" s="1"/>
  <c r="F138" i="110" a="1"/>
  <c r="F138" i="110" s="1"/>
  <c r="F137" i="110" a="1"/>
  <c r="F137" i="110" s="1"/>
  <c r="F136" i="110" a="1"/>
  <c r="F136" i="110" s="1"/>
  <c r="F135" i="110" a="1"/>
  <c r="F135" i="110" s="1"/>
  <c r="F134" i="110" a="1"/>
  <c r="F134" i="110" s="1"/>
  <c r="F133" i="110" a="1"/>
  <c r="F133" i="110" s="1"/>
  <c r="F132" i="110" a="1"/>
  <c r="F132" i="110" s="1"/>
  <c r="F131" i="110" a="1"/>
  <c r="F131" i="110" s="1"/>
  <c r="F130" i="110" a="1"/>
  <c r="F130" i="110" s="1"/>
  <c r="F129" i="110" a="1"/>
  <c r="F129" i="110" s="1"/>
  <c r="F128" i="110" a="1"/>
  <c r="F128" i="110" s="1"/>
  <c r="F127" i="110" a="1"/>
  <c r="F127" i="110" s="1"/>
  <c r="F126" i="110" a="1"/>
  <c r="F126" i="110" s="1"/>
  <c r="F125" i="110" a="1"/>
  <c r="F125" i="110" s="1"/>
  <c r="F124" i="110" a="1"/>
  <c r="F124" i="110" s="1"/>
  <c r="F123" i="110" a="1"/>
  <c r="F123" i="110" s="1"/>
  <c r="F122" i="110" a="1"/>
  <c r="F122" i="110" s="1"/>
  <c r="F121" i="110" a="1"/>
  <c r="F121" i="110" s="1"/>
  <c r="F120" i="110" a="1"/>
  <c r="F120" i="110" s="1"/>
  <c r="F119" i="110" a="1"/>
  <c r="F119" i="110" s="1"/>
  <c r="F118" i="110" a="1"/>
  <c r="F118" i="110" s="1"/>
  <c r="F117" i="110" a="1"/>
  <c r="F117" i="110" s="1"/>
  <c r="F116" i="110" a="1"/>
  <c r="F116" i="110" s="1"/>
  <c r="F115" i="110" a="1"/>
  <c r="F115" i="110" s="1"/>
  <c r="F114" i="110" a="1"/>
  <c r="F114" i="110" s="1"/>
  <c r="F113" i="110" a="1"/>
  <c r="F113" i="110" s="1"/>
  <c r="F112" i="110" a="1"/>
  <c r="F112" i="110" s="1"/>
  <c r="F111" i="110" a="1"/>
  <c r="F111" i="110" s="1"/>
  <c r="F110" i="110" a="1"/>
  <c r="F110" i="110" s="1"/>
  <c r="F109" i="110" a="1"/>
  <c r="F109" i="110" s="1"/>
  <c r="F108" i="110" a="1"/>
  <c r="F108" i="110" s="1"/>
  <c r="F107" i="110" a="1"/>
  <c r="F107" i="110" s="1"/>
  <c r="F106" i="110" a="1"/>
  <c r="F106" i="110" s="1"/>
  <c r="F105" i="110" a="1"/>
  <c r="F105" i="110" s="1"/>
  <c r="F104" i="110" a="1"/>
  <c r="F104" i="110" s="1"/>
  <c r="F103" i="110" a="1"/>
  <c r="F103" i="110" s="1"/>
  <c r="F102" i="110" a="1"/>
  <c r="F102" i="110" s="1"/>
  <c r="F101" i="110" a="1"/>
  <c r="F101" i="110" s="1"/>
  <c r="F100" i="110" a="1"/>
  <c r="F100" i="110" s="1"/>
  <c r="F99" i="110" a="1"/>
  <c r="F99" i="110" s="1"/>
  <c r="F98" i="110" a="1"/>
  <c r="F98" i="110" s="1"/>
  <c r="F97" i="110" a="1"/>
  <c r="F97" i="110" s="1"/>
  <c r="F96" i="110" a="1"/>
  <c r="F96" i="110" s="1"/>
  <c r="F95" i="110" a="1"/>
  <c r="F95" i="110" s="1"/>
  <c r="F94" i="110" a="1"/>
  <c r="F94" i="110" s="1"/>
  <c r="F93" i="110" a="1"/>
  <c r="F93" i="110" s="1"/>
  <c r="F92" i="110" a="1"/>
  <c r="F92" i="110" s="1"/>
  <c r="F91" i="110" a="1"/>
  <c r="F91" i="110" s="1"/>
  <c r="E153" i="110" a="1"/>
  <c r="E153" i="110" s="1"/>
  <c r="E152" i="110" a="1"/>
  <c r="E152" i="110" s="1"/>
  <c r="E151" i="110" a="1"/>
  <c r="E151" i="110" s="1"/>
  <c r="E150" i="110" a="1"/>
  <c r="E150" i="110" s="1"/>
  <c r="E149" i="110" a="1"/>
  <c r="E149" i="110" s="1"/>
  <c r="E148" i="110" a="1"/>
  <c r="E148" i="110" s="1"/>
  <c r="E147" i="110" a="1"/>
  <c r="E147" i="110" s="1"/>
  <c r="E146" i="110" a="1"/>
  <c r="E146" i="110" s="1"/>
  <c r="E145" i="110" a="1"/>
  <c r="E145" i="110" s="1"/>
  <c r="E144" i="110" a="1"/>
  <c r="E144" i="110" s="1"/>
  <c r="E143" i="110" a="1"/>
  <c r="E143" i="110" s="1"/>
  <c r="E142" i="110" a="1"/>
  <c r="E142" i="110" s="1"/>
  <c r="E141" i="110" a="1"/>
  <c r="E141" i="110" s="1"/>
  <c r="E140" i="110" a="1"/>
  <c r="E140" i="110" s="1"/>
  <c r="E139" i="110" a="1"/>
  <c r="E139" i="110" s="1"/>
  <c r="E138" i="110" a="1"/>
  <c r="E138" i="110" s="1"/>
  <c r="E137" i="110" a="1"/>
  <c r="E137" i="110" s="1"/>
  <c r="E136" i="110" a="1"/>
  <c r="E136" i="110" s="1"/>
  <c r="E135" i="110" a="1"/>
  <c r="E135" i="110" s="1"/>
  <c r="E134" i="110" a="1"/>
  <c r="E134" i="110" s="1"/>
  <c r="E133" i="110" a="1"/>
  <c r="E133" i="110" s="1"/>
  <c r="E132" i="110" a="1"/>
  <c r="E132" i="110" s="1"/>
  <c r="E131" i="110" a="1"/>
  <c r="E131" i="110" s="1"/>
  <c r="E130" i="110" a="1"/>
  <c r="E130" i="110" s="1"/>
  <c r="E129" i="110" a="1"/>
  <c r="E129" i="110" s="1"/>
  <c r="E128" i="110" a="1"/>
  <c r="E128" i="110" s="1"/>
  <c r="E127" i="110" a="1"/>
  <c r="E127" i="110" s="1"/>
  <c r="E126" i="110" a="1"/>
  <c r="E126" i="110" s="1"/>
  <c r="E125" i="110" a="1"/>
  <c r="E125" i="110" s="1"/>
  <c r="E124" i="110" a="1"/>
  <c r="E124" i="110" s="1"/>
  <c r="E123" i="110" a="1"/>
  <c r="E123" i="110" s="1"/>
  <c r="E122" i="110" a="1"/>
  <c r="E122" i="110" s="1"/>
  <c r="E121" i="110" a="1"/>
  <c r="E121" i="110" s="1"/>
  <c r="E120" i="110" a="1"/>
  <c r="E120" i="110" s="1"/>
  <c r="E119" i="110" a="1"/>
  <c r="E119" i="110" s="1"/>
  <c r="E118" i="110" a="1"/>
  <c r="E118" i="110" s="1"/>
  <c r="E117" i="110" a="1"/>
  <c r="E117" i="110" s="1"/>
  <c r="E116" i="110" a="1"/>
  <c r="E116" i="110" s="1"/>
  <c r="E115" i="110" a="1"/>
  <c r="E115" i="110" s="1"/>
  <c r="E114" i="110" a="1"/>
  <c r="E114" i="110" s="1"/>
  <c r="E113" i="110" a="1"/>
  <c r="E113" i="110" s="1"/>
  <c r="E112" i="110" a="1"/>
  <c r="E112" i="110" s="1"/>
  <c r="E111" i="110" a="1"/>
  <c r="E111" i="110" s="1"/>
  <c r="E110" i="110" a="1"/>
  <c r="E110" i="110" s="1"/>
  <c r="E109" i="110" a="1"/>
  <c r="E109" i="110" s="1"/>
  <c r="E108" i="110" a="1"/>
  <c r="E108" i="110" s="1"/>
  <c r="E107" i="110" a="1"/>
  <c r="E107" i="110" s="1"/>
  <c r="E106" i="110" a="1"/>
  <c r="E106" i="110" s="1"/>
  <c r="E105" i="110" a="1"/>
  <c r="E105" i="110" s="1"/>
  <c r="E104" i="110" a="1"/>
  <c r="E104" i="110" s="1"/>
  <c r="E103" i="110" a="1"/>
  <c r="E103" i="110" s="1"/>
  <c r="E102" i="110" a="1"/>
  <c r="E102" i="110" s="1"/>
  <c r="E101" i="110" a="1"/>
  <c r="E101" i="110" s="1"/>
  <c r="E100" i="110" a="1"/>
  <c r="E100" i="110" s="1"/>
  <c r="E99" i="110" a="1"/>
  <c r="E99" i="110" s="1"/>
  <c r="E98" i="110" a="1"/>
  <c r="E98" i="110" s="1"/>
  <c r="E97" i="110" a="1"/>
  <c r="E97" i="110" s="1"/>
  <c r="E96" i="110" a="1"/>
  <c r="E96" i="110" s="1"/>
  <c r="E95" i="110" a="1"/>
  <c r="E95" i="110" s="1"/>
  <c r="E94" i="110" a="1"/>
  <c r="E94" i="110" s="1"/>
  <c r="E93" i="110" a="1"/>
  <c r="E93" i="110" s="1"/>
  <c r="E92" i="110" a="1"/>
  <c r="E92" i="110" s="1"/>
  <c r="E91" i="110" a="1"/>
  <c r="E91" i="110" s="1"/>
  <c r="D153" i="110" a="1"/>
  <c r="D153" i="110" s="1"/>
  <c r="D152" i="110" a="1"/>
  <c r="D152" i="110" s="1"/>
  <c r="D151" i="110" a="1"/>
  <c r="D151" i="110" s="1"/>
  <c r="D150" i="110" a="1"/>
  <c r="D150" i="110" s="1"/>
  <c r="D149" i="110" a="1"/>
  <c r="D149" i="110" s="1"/>
  <c r="D148" i="110" a="1"/>
  <c r="D148" i="110" s="1"/>
  <c r="D147" i="110" a="1"/>
  <c r="D147" i="110" s="1"/>
  <c r="D146" i="110" a="1"/>
  <c r="D146" i="110" s="1"/>
  <c r="D145" i="110" a="1"/>
  <c r="D145" i="110" s="1"/>
  <c r="D144" i="110" a="1"/>
  <c r="D144" i="110" s="1"/>
  <c r="D143" i="110" a="1"/>
  <c r="D143" i="110" s="1"/>
  <c r="D142" i="110" a="1"/>
  <c r="D142" i="110" s="1"/>
  <c r="D141" i="110" a="1"/>
  <c r="D141" i="110" s="1"/>
  <c r="D140" i="110" a="1"/>
  <c r="D140" i="110" s="1"/>
  <c r="D139" i="110" a="1"/>
  <c r="D139" i="110" s="1"/>
  <c r="D138" i="110" a="1"/>
  <c r="D138" i="110" s="1"/>
  <c r="D137" i="110" a="1"/>
  <c r="D137" i="110" s="1"/>
  <c r="D136" i="110" a="1"/>
  <c r="D136" i="110" s="1"/>
  <c r="D135" i="110" a="1"/>
  <c r="D135" i="110" s="1"/>
  <c r="D134" i="110" a="1"/>
  <c r="D134" i="110" s="1"/>
  <c r="D133" i="110" a="1"/>
  <c r="D133" i="110" s="1"/>
  <c r="D132" i="110" a="1"/>
  <c r="D132" i="110" s="1"/>
  <c r="D131" i="110" a="1"/>
  <c r="D131" i="110" s="1"/>
  <c r="D130" i="110" a="1"/>
  <c r="D130" i="110" s="1"/>
  <c r="D129" i="110" a="1"/>
  <c r="D129" i="110" s="1"/>
  <c r="D128" i="110" a="1"/>
  <c r="D128" i="110" s="1"/>
  <c r="D127" i="110" a="1"/>
  <c r="D127" i="110" s="1"/>
  <c r="D126" i="110" a="1"/>
  <c r="D126" i="110" s="1"/>
  <c r="D125" i="110" a="1"/>
  <c r="D125" i="110" s="1"/>
  <c r="D124" i="110" a="1"/>
  <c r="D124" i="110" s="1"/>
  <c r="D123" i="110" a="1"/>
  <c r="D123" i="110" s="1"/>
  <c r="D122" i="110" a="1"/>
  <c r="D122" i="110" s="1"/>
  <c r="D121" i="110" a="1"/>
  <c r="D121" i="110" s="1"/>
  <c r="D120" i="110" a="1"/>
  <c r="D120" i="110" s="1"/>
  <c r="D119" i="110" a="1"/>
  <c r="D119" i="110" s="1"/>
  <c r="D118" i="110" a="1"/>
  <c r="D118" i="110" s="1"/>
  <c r="D117" i="110" a="1"/>
  <c r="D117" i="110" s="1"/>
  <c r="D116" i="110" a="1"/>
  <c r="D116" i="110" s="1"/>
  <c r="D115" i="110" a="1"/>
  <c r="D115" i="110" s="1"/>
  <c r="D114" i="110" a="1"/>
  <c r="D114" i="110" s="1"/>
  <c r="D113" i="110" a="1"/>
  <c r="D113" i="110" s="1"/>
  <c r="D112" i="110" a="1"/>
  <c r="D112" i="110" s="1"/>
  <c r="D111" i="110" a="1"/>
  <c r="D111" i="110" s="1"/>
  <c r="D110" i="110" a="1"/>
  <c r="D110" i="110" s="1"/>
  <c r="D109" i="110" a="1"/>
  <c r="D109" i="110" s="1"/>
  <c r="D108" i="110" a="1"/>
  <c r="D108" i="110" s="1"/>
  <c r="D107" i="110" a="1"/>
  <c r="D107" i="110" s="1"/>
  <c r="D106" i="110" a="1"/>
  <c r="D106" i="110" s="1"/>
  <c r="D105" i="110" a="1"/>
  <c r="D105" i="110" s="1"/>
  <c r="D104" i="110" a="1"/>
  <c r="D104" i="110" s="1"/>
  <c r="D103" i="110" a="1"/>
  <c r="D103" i="110" s="1"/>
  <c r="D102" i="110" a="1"/>
  <c r="D102" i="110" s="1"/>
  <c r="D101" i="110" a="1"/>
  <c r="D101" i="110" s="1"/>
  <c r="D100" i="110" a="1"/>
  <c r="D100" i="110" s="1"/>
  <c r="D99" i="110" a="1"/>
  <c r="D99" i="110" s="1"/>
  <c r="D98" i="110" a="1"/>
  <c r="D98" i="110" s="1"/>
  <c r="D97" i="110" a="1"/>
  <c r="D97" i="110" s="1"/>
  <c r="D96" i="110" a="1"/>
  <c r="D96" i="110" s="1"/>
  <c r="D95" i="110" a="1"/>
  <c r="D95" i="110" s="1"/>
  <c r="D94" i="110" a="1"/>
  <c r="D94" i="110" s="1"/>
  <c r="D93" i="110" a="1"/>
  <c r="D93" i="110" s="1"/>
  <c r="D92" i="110" a="1"/>
  <c r="D92" i="110" s="1"/>
  <c r="D91" i="110" a="1"/>
  <c r="D91" i="110" s="1"/>
  <c r="H153" i="110" a="1"/>
  <c r="H153" i="110" s="1"/>
  <c r="H152" i="110" a="1"/>
  <c r="H152" i="110" s="1"/>
  <c r="H151" i="110" a="1"/>
  <c r="H151" i="110" s="1"/>
  <c r="H150" i="110" a="1"/>
  <c r="H150" i="110" s="1"/>
  <c r="H149" i="110" a="1"/>
  <c r="H149" i="110" s="1"/>
  <c r="H148" i="110" a="1"/>
  <c r="H148" i="110" s="1"/>
  <c r="H147" i="110" a="1"/>
  <c r="H147" i="110" s="1"/>
  <c r="H146" i="110" a="1"/>
  <c r="H146" i="110" s="1"/>
  <c r="H145" i="110" a="1"/>
  <c r="H145" i="110" s="1"/>
  <c r="H144" i="110" a="1"/>
  <c r="H144" i="110" s="1"/>
  <c r="H143" i="110" a="1"/>
  <c r="H143" i="110" s="1"/>
  <c r="H142" i="110" a="1"/>
  <c r="H142" i="110" s="1"/>
  <c r="H141" i="110" a="1"/>
  <c r="H141" i="110" s="1"/>
  <c r="H140" i="110" a="1"/>
  <c r="H140" i="110" s="1"/>
  <c r="H139" i="110" a="1"/>
  <c r="H139" i="110" s="1"/>
  <c r="H138" i="110" a="1"/>
  <c r="H138" i="110" s="1"/>
  <c r="H137" i="110" a="1"/>
  <c r="H137" i="110" s="1"/>
  <c r="H136" i="110" a="1"/>
  <c r="H136" i="110" s="1"/>
  <c r="H135" i="110" a="1"/>
  <c r="H135" i="110" s="1"/>
  <c r="H134" i="110" a="1"/>
  <c r="H134" i="110" s="1"/>
  <c r="H133" i="110" a="1"/>
  <c r="H133" i="110" s="1"/>
  <c r="H132" i="110" a="1"/>
  <c r="H132" i="110" s="1"/>
  <c r="H131" i="110" a="1"/>
  <c r="H131" i="110" s="1"/>
  <c r="H130" i="110" a="1"/>
  <c r="H130" i="110" s="1"/>
  <c r="H129" i="110" a="1"/>
  <c r="H129" i="110" s="1"/>
  <c r="H128" i="110" a="1"/>
  <c r="H128" i="110" s="1"/>
  <c r="H127" i="110" a="1"/>
  <c r="H127" i="110" s="1"/>
  <c r="H126" i="110" a="1"/>
  <c r="H126" i="110" s="1"/>
  <c r="H125" i="110" a="1"/>
  <c r="H125" i="110" s="1"/>
  <c r="H124" i="110" a="1"/>
  <c r="H124" i="110" s="1"/>
  <c r="H123" i="110" a="1"/>
  <c r="H123" i="110" s="1"/>
  <c r="H122" i="110" a="1"/>
  <c r="H122" i="110" s="1"/>
  <c r="H121" i="110" a="1"/>
  <c r="H121" i="110" s="1"/>
  <c r="H120" i="110" a="1"/>
  <c r="H120" i="110" s="1"/>
  <c r="H119" i="110" a="1"/>
  <c r="H119" i="110" s="1"/>
  <c r="H118" i="110" a="1"/>
  <c r="H118" i="110" s="1"/>
  <c r="H117" i="110" a="1"/>
  <c r="H117" i="110" s="1"/>
  <c r="H116" i="110" a="1"/>
  <c r="H116" i="110" s="1"/>
  <c r="H115" i="110" a="1"/>
  <c r="H115" i="110" s="1"/>
  <c r="H114" i="110" a="1"/>
  <c r="H114" i="110" s="1"/>
  <c r="H113" i="110" a="1"/>
  <c r="H113" i="110" s="1"/>
  <c r="H112" i="110" a="1"/>
  <c r="H112" i="110" s="1"/>
  <c r="H111" i="110" a="1"/>
  <c r="H111" i="110" s="1"/>
  <c r="H110" i="110" a="1"/>
  <c r="H110" i="110" s="1"/>
  <c r="H109" i="110" a="1"/>
  <c r="H109" i="110" s="1"/>
  <c r="H108" i="110" a="1"/>
  <c r="H108" i="110" s="1"/>
  <c r="H107" i="110" a="1"/>
  <c r="H107" i="110" s="1"/>
  <c r="H106" i="110" a="1"/>
  <c r="H106" i="110" s="1"/>
  <c r="H105" i="110" a="1"/>
  <c r="H105" i="110" s="1"/>
  <c r="H104" i="110" a="1"/>
  <c r="H104" i="110" s="1"/>
  <c r="H103" i="110" a="1"/>
  <c r="H103" i="110" s="1"/>
  <c r="H102" i="110" a="1"/>
  <c r="H102" i="110" s="1"/>
  <c r="H101" i="110" a="1"/>
  <c r="H101" i="110" s="1"/>
  <c r="H100" i="110" a="1"/>
  <c r="H100" i="110" s="1"/>
  <c r="H99" i="110" a="1"/>
  <c r="H99" i="110" s="1"/>
  <c r="H98" i="110" a="1"/>
  <c r="H98" i="110" s="1"/>
  <c r="H97" i="110" a="1"/>
  <c r="H97" i="110" s="1"/>
  <c r="H96" i="110" a="1"/>
  <c r="H96" i="110" s="1"/>
  <c r="H95" i="110" a="1"/>
  <c r="H95" i="110" s="1"/>
  <c r="H94" i="110" a="1"/>
  <c r="H94" i="110" s="1"/>
  <c r="H93" i="110" a="1"/>
  <c r="H93" i="110" s="1"/>
  <c r="H92" i="110" a="1"/>
  <c r="H92" i="110" s="1"/>
  <c r="H91" i="110" a="1"/>
  <c r="H91" i="110" s="1"/>
  <c r="H90" i="110" a="1"/>
  <c r="H90" i="110" s="1"/>
  <c r="F38" i="70" l="1"/>
  <c r="G38" i="70" s="1"/>
  <c r="K38" i="70"/>
  <c r="K37" i="70"/>
  <c r="D38" i="110" a="1"/>
  <c r="D38" i="110" s="1"/>
  <c r="E38" i="110" a="1"/>
  <c r="E38" i="110" s="1"/>
  <c r="F38" i="110" a="1"/>
  <c r="F38" i="110" s="1"/>
  <c r="G38" i="110" a="1"/>
  <c r="G38" i="110" s="1"/>
  <c r="H38" i="110" a="1"/>
  <c r="H38" i="110" s="1"/>
  <c r="I38" i="110" a="1"/>
  <c r="I38" i="110" s="1"/>
  <c r="F27" i="70"/>
  <c r="G27" i="70" s="1"/>
  <c r="V23" i="110" a="1"/>
  <c r="V23" i="110" s="1"/>
  <c r="V22" i="110" a="1"/>
  <c r="V22" i="110" s="1"/>
  <c r="V21" i="110" a="1"/>
  <c r="V21" i="110" s="1"/>
  <c r="V20" i="110" a="1"/>
  <c r="V20" i="110" s="1"/>
  <c r="V18" i="110" a="1"/>
  <c r="V18" i="110" s="1"/>
  <c r="V17" i="110" a="1"/>
  <c r="V17" i="110" s="1"/>
  <c r="F25" i="114" a="1"/>
  <c r="F25" i="114" s="1"/>
  <c r="R28" i="110" a="1"/>
  <c r="R28" i="110" s="1"/>
  <c r="Q28" i="110" a="1"/>
  <c r="Q28" i="110" s="1"/>
  <c r="R27" i="110" a="1"/>
  <c r="R27" i="110" s="1"/>
  <c r="Q27" i="110" a="1"/>
  <c r="Q27" i="110" s="1"/>
  <c r="R26" i="110" a="1"/>
  <c r="R26" i="110" s="1"/>
  <c r="Q26" i="110" a="1"/>
  <c r="Q26" i="110" s="1"/>
  <c r="R25" i="110" a="1"/>
  <c r="R25" i="110" s="1"/>
  <c r="Q25" i="110" a="1"/>
  <c r="Q25" i="110" s="1"/>
  <c r="R24" i="110" a="1"/>
  <c r="R24" i="110" s="1"/>
  <c r="Q24" i="110" a="1"/>
  <c r="Q24" i="110" s="1"/>
  <c r="R23" i="110" a="1"/>
  <c r="R23" i="110" s="1"/>
  <c r="Q23" i="110" a="1"/>
  <c r="Q23" i="110" s="1"/>
  <c r="R22" i="110" a="1"/>
  <c r="R22" i="110" s="1"/>
  <c r="Q22" i="110" a="1"/>
  <c r="Q22" i="110" s="1"/>
  <c r="R21" i="110" a="1"/>
  <c r="R21" i="110" s="1"/>
  <c r="Q21" i="110" a="1"/>
  <c r="Q21" i="110" s="1"/>
  <c r="R20" i="110" a="1"/>
  <c r="R20" i="110" s="1"/>
  <c r="Q20" i="110" a="1"/>
  <c r="Q20" i="110" s="1"/>
  <c r="Q18" i="110" a="1"/>
  <c r="Q18" i="110" s="1"/>
  <c r="Q17" i="110" a="1"/>
  <c r="Q17" i="110" s="1"/>
  <c r="L28" i="110" a="1"/>
  <c r="L28" i="110" s="1"/>
  <c r="K28" i="110" a="1"/>
  <c r="K28" i="110" s="1"/>
  <c r="L27" i="110" a="1"/>
  <c r="L27" i="110" s="1"/>
  <c r="K27" i="110" a="1"/>
  <c r="K27" i="110" s="1"/>
  <c r="L26" i="110" a="1"/>
  <c r="L26" i="110" s="1"/>
  <c r="K26" i="110" a="1"/>
  <c r="K26" i="110" s="1"/>
  <c r="L25" i="110" a="1"/>
  <c r="L25" i="110" s="1"/>
  <c r="K25" i="110" a="1"/>
  <c r="K25" i="110" s="1"/>
  <c r="L24" i="110" a="1"/>
  <c r="L24" i="110" s="1"/>
  <c r="K24" i="110" a="1"/>
  <c r="K24" i="110" s="1"/>
  <c r="L23" i="110" a="1"/>
  <c r="L23" i="110" s="1"/>
  <c r="K23" i="110" a="1"/>
  <c r="K23" i="110" s="1"/>
  <c r="L22" i="110" a="1"/>
  <c r="L22" i="110" s="1"/>
  <c r="K22" i="110" a="1"/>
  <c r="K22" i="110" s="1"/>
  <c r="L21" i="110" a="1"/>
  <c r="L21" i="110" s="1"/>
  <c r="K21" i="110" a="1"/>
  <c r="K21" i="110" s="1"/>
  <c r="L20" i="110" a="1"/>
  <c r="L20" i="110" s="1"/>
  <c r="K20" i="110" a="1"/>
  <c r="K20" i="110" s="1"/>
  <c r="K18" i="110" a="1"/>
  <c r="K18" i="110" s="1"/>
  <c r="K17" i="110" a="1"/>
  <c r="K17" i="110" s="1"/>
  <c r="A21" i="118"/>
  <c r="A20" i="118"/>
  <c r="A17" i="118"/>
  <c r="A16" i="118"/>
  <c r="A15" i="118"/>
  <c r="A14" i="118"/>
  <c r="A13" i="118"/>
  <c r="A12" i="118"/>
  <c r="A9" i="118"/>
  <c r="A8" i="118"/>
  <c r="A5" i="118"/>
  <c r="A4" i="118"/>
  <c r="A3" i="118"/>
  <c r="A21" i="110"/>
  <c r="A20" i="110"/>
  <c r="A17" i="110"/>
  <c r="A16" i="110"/>
  <c r="A15" i="110"/>
  <c r="A14" i="110"/>
  <c r="A13" i="110"/>
  <c r="A12" i="110"/>
  <c r="A9" i="110"/>
  <c r="A8" i="110"/>
  <c r="A5" i="110"/>
  <c r="A4" i="110"/>
  <c r="A3" i="110"/>
  <c r="A21" i="116"/>
  <c r="A20" i="116"/>
  <c r="A17" i="116"/>
  <c r="A16" i="116"/>
  <c r="A15" i="116"/>
  <c r="A14" i="116"/>
  <c r="A13" i="116"/>
  <c r="A12" i="116"/>
  <c r="A9" i="116"/>
  <c r="A8" i="116"/>
  <c r="A5" i="116"/>
  <c r="A4" i="116"/>
  <c r="A3" i="116"/>
  <c r="A21" i="115"/>
  <c r="A20" i="115"/>
  <c r="A17" i="115"/>
  <c r="A16" i="115"/>
  <c r="A15" i="115"/>
  <c r="A14" i="115"/>
  <c r="A13" i="115"/>
  <c r="A12" i="115"/>
  <c r="A9" i="115"/>
  <c r="A8" i="115"/>
  <c r="A5" i="115"/>
  <c r="A4" i="115"/>
  <c r="A3" i="115"/>
  <c r="A21" i="114"/>
  <c r="A20" i="114"/>
  <c r="A17" i="114"/>
  <c r="A16" i="114"/>
  <c r="A15" i="114"/>
  <c r="A14" i="114"/>
  <c r="A13" i="114"/>
  <c r="A12" i="114"/>
  <c r="A9" i="114"/>
  <c r="A8" i="114"/>
  <c r="A5" i="114"/>
  <c r="A4" i="114"/>
  <c r="A3" i="114"/>
  <c r="A21" i="113"/>
  <c r="A20" i="113"/>
  <c r="A17" i="113"/>
  <c r="A16" i="113"/>
  <c r="A15" i="113"/>
  <c r="A14" i="113"/>
  <c r="A13" i="113"/>
  <c r="A12" i="113"/>
  <c r="A9" i="113"/>
  <c r="A8" i="113"/>
  <c r="A5" i="113"/>
  <c r="A4" i="113"/>
  <c r="A3" i="113"/>
  <c r="A21" i="74"/>
  <c r="A20" i="74"/>
  <c r="A17" i="74"/>
  <c r="A16" i="74"/>
  <c r="A15" i="74"/>
  <c r="A14" i="74"/>
  <c r="A13" i="74"/>
  <c r="A12" i="74"/>
  <c r="A9" i="74"/>
  <c r="A8" i="74"/>
  <c r="A5" i="74"/>
  <c r="A4" i="74"/>
  <c r="A3" i="74"/>
  <c r="A21" i="69"/>
  <c r="A20" i="69"/>
  <c r="A17" i="69"/>
  <c r="A16" i="69"/>
  <c r="A15" i="69"/>
  <c r="A14" i="69"/>
  <c r="A13" i="69"/>
  <c r="A12" i="69"/>
  <c r="A9" i="69"/>
  <c r="A8" i="69"/>
  <c r="A5" i="69"/>
  <c r="A4" i="69"/>
  <c r="A3" i="69"/>
  <c r="A21" i="70"/>
  <c r="A20" i="70"/>
  <c r="A17" i="70"/>
  <c r="A16" i="70"/>
  <c r="A15" i="70"/>
  <c r="A14" i="70"/>
  <c r="A13" i="70"/>
  <c r="A12" i="70"/>
  <c r="A9" i="70"/>
  <c r="A8" i="70"/>
  <c r="A5" i="70"/>
  <c r="A4" i="70"/>
  <c r="A3" i="70"/>
  <c r="A21" i="15"/>
  <c r="A20" i="15"/>
  <c r="A17" i="15"/>
  <c r="A16" i="15"/>
  <c r="A15" i="15"/>
  <c r="A14" i="15"/>
  <c r="A13" i="15"/>
  <c r="A12" i="15"/>
  <c r="A9" i="15"/>
  <c r="A8" i="15"/>
  <c r="A5" i="15"/>
  <c r="A4" i="15"/>
  <c r="A3" i="15"/>
  <c r="A20" i="13"/>
  <c r="A17" i="13"/>
  <c r="A16" i="13"/>
  <c r="A15" i="13"/>
  <c r="A14" i="13"/>
  <c r="A13" i="13"/>
  <c r="A12" i="13"/>
  <c r="A9" i="13"/>
  <c r="A4" i="13"/>
  <c r="F99" i="116" a="1"/>
  <c r="F99" i="116" s="1"/>
  <c r="D96" i="116" a="1"/>
  <c r="D96" i="116" s="1"/>
  <c r="F94" i="116"/>
  <c r="H89" i="116" a="1"/>
  <c r="H89" i="116" s="1"/>
  <c r="D89" i="116" a="1"/>
  <c r="D89" i="116" s="1"/>
  <c r="E87" i="116" a="1"/>
  <c r="E87" i="116" s="1"/>
  <c r="E86" i="116" a="1"/>
  <c r="E86" i="116" s="1"/>
  <c r="D82" i="116" a="1"/>
  <c r="D82" i="116" s="1"/>
  <c r="D81" i="116" a="1"/>
  <c r="D81" i="116" s="1"/>
  <c r="D75" i="116"/>
  <c r="D74" i="116"/>
  <c r="D73" i="116"/>
  <c r="D72" i="116"/>
  <c r="D71" i="116"/>
  <c r="D70" i="116"/>
  <c r="D69" i="116"/>
  <c r="D68" i="116"/>
  <c r="G55" i="116" a="1"/>
  <c r="G55" i="116" s="1"/>
  <c r="D55" i="116" a="1"/>
  <c r="D55" i="116" s="1"/>
  <c r="E53" i="116" a="1"/>
  <c r="E53" i="116" s="1"/>
  <c r="F77" i="116" s="1"/>
  <c r="E52" i="116" a="1"/>
  <c r="E52" i="116" s="1"/>
  <c r="D48" i="116" a="1"/>
  <c r="D48" i="116" s="1"/>
  <c r="D47" i="116" a="1"/>
  <c r="D47" i="116" s="1"/>
  <c r="I56" i="116"/>
  <c r="I55" i="116" a="1"/>
  <c r="I55" i="116" s="1"/>
  <c r="I13" i="116" a="1"/>
  <c r="I13" i="116" s="1"/>
  <c r="F83" i="110" a="1"/>
  <c r="F83" i="110" s="1"/>
  <c r="E83" i="110" a="1"/>
  <c r="E83" i="110" s="1"/>
  <c r="J91" i="116" s="1"/>
  <c r="D83" i="110" a="1"/>
  <c r="D83" i="110" s="1"/>
  <c r="D82" i="110" a="1"/>
  <c r="D82" i="110" s="1"/>
  <c r="D81" i="110" a="1"/>
  <c r="D81" i="110" s="1"/>
  <c r="F78" i="110" a="1"/>
  <c r="F78" i="110" s="1"/>
  <c r="E78" i="110" a="1"/>
  <c r="E78" i="110" s="1"/>
  <c r="I15" i="116" s="1"/>
  <c r="D78" i="110" a="1"/>
  <c r="D78" i="110" s="1"/>
  <c r="D77" i="110" a="1"/>
  <c r="D77" i="110" s="1"/>
  <c r="D76" i="110" a="1"/>
  <c r="D76" i="110" s="1"/>
  <c r="I14" i="116"/>
  <c r="E83" i="116" a="1"/>
  <c r="E7" i="116" a="1"/>
  <c r="E49" i="116" a="1"/>
  <c r="I57" i="116" l="1"/>
  <c r="E83" i="116"/>
  <c r="E49" i="116"/>
  <c r="E7" i="116"/>
  <c r="G13" i="116" l="1" a="1"/>
  <c r="G13" i="116" s="1"/>
  <c r="D13" i="116" a="1"/>
  <c r="D13" i="116" s="1"/>
  <c r="E11" i="116" a="1"/>
  <c r="E11" i="116" s="1"/>
  <c r="E10" i="116" a="1"/>
  <c r="E10" i="116" s="1"/>
  <c r="D6" i="116" a="1"/>
  <c r="D6" i="116" s="1"/>
  <c r="D5" i="116" a="1"/>
  <c r="D5" i="116" s="1"/>
  <c r="A78" i="116"/>
  <c r="A44" i="116"/>
  <c r="F151" i="115" a="1"/>
  <c r="F151" i="115" s="1"/>
  <c r="D148" i="115" a="1"/>
  <c r="D148" i="115" s="1"/>
  <c r="D134" i="115" a="1"/>
  <c r="D134" i="115" s="1"/>
  <c r="I124" i="115" a="1"/>
  <c r="I124" i="115" s="1"/>
  <c r="I125" i="115"/>
  <c r="G124" i="115" a="1"/>
  <c r="G124" i="115" s="1"/>
  <c r="D124" i="115" a="1"/>
  <c r="D124" i="115" s="1"/>
  <c r="E122" i="115" a="1"/>
  <c r="E122" i="115" s="1"/>
  <c r="F146" i="115" s="1"/>
  <c r="E121" i="115" a="1"/>
  <c r="E121" i="115" s="1"/>
  <c r="D117" i="115" a="1"/>
  <c r="D117" i="115" s="1"/>
  <c r="D116" i="115" a="1"/>
  <c r="D116" i="115" s="1"/>
  <c r="F73" i="110" a="1"/>
  <c r="F73" i="110" s="1"/>
  <c r="E73" i="110" a="1"/>
  <c r="E73" i="110" s="1"/>
  <c r="I97" i="115" s="1"/>
  <c r="D73" i="110" a="1"/>
  <c r="D73" i="110" s="1"/>
  <c r="D72" i="110" a="1"/>
  <c r="D72" i="110" s="1"/>
  <c r="D71" i="110" a="1"/>
  <c r="D71" i="110" s="1"/>
  <c r="I96" i="115" a="1"/>
  <c r="I96" i="115" s="1"/>
  <c r="D102" i="115" a="1"/>
  <c r="D102" i="115" s="1"/>
  <c r="G96" i="115" a="1"/>
  <c r="G96" i="115" s="1"/>
  <c r="D96" i="115" a="1"/>
  <c r="D96" i="115" s="1"/>
  <c r="E94" i="115" a="1"/>
  <c r="E94" i="115" s="1"/>
  <c r="G102" i="115" s="1"/>
  <c r="E93" i="115" a="1"/>
  <c r="E93" i="115" s="1"/>
  <c r="D89" i="115" a="1"/>
  <c r="D89" i="115" s="1"/>
  <c r="D88" i="115" a="1"/>
  <c r="D88" i="115" s="1"/>
  <c r="F84" i="115" a="1"/>
  <c r="F84" i="115" s="1"/>
  <c r="D81" i="115" a="1"/>
  <c r="D81" i="115" s="1"/>
  <c r="J50" i="115"/>
  <c r="J49" i="115" a="1"/>
  <c r="J49" i="115" s="1"/>
  <c r="H49" i="115" a="1"/>
  <c r="H49" i="115" s="1"/>
  <c r="D49" i="115" a="1"/>
  <c r="D49" i="115" s="1"/>
  <c r="E47" i="115" a="1"/>
  <c r="E47" i="115" s="1"/>
  <c r="G59" i="115" s="1"/>
  <c r="E46" i="115" a="1"/>
  <c r="E46" i="115" s="1"/>
  <c r="D42" i="115" a="1"/>
  <c r="D42" i="115" s="1"/>
  <c r="D41" i="115" a="1"/>
  <c r="D41" i="115" s="1"/>
  <c r="I14" i="115" a="1"/>
  <c r="I14" i="115" s="1"/>
  <c r="I13" i="115" a="1"/>
  <c r="I13" i="115" s="1"/>
  <c r="G13" i="115" a="1"/>
  <c r="G13" i="115" s="1"/>
  <c r="D13" i="115" a="1"/>
  <c r="D13" i="115" s="1"/>
  <c r="E11" i="115" a="1"/>
  <c r="E11" i="115" s="1"/>
  <c r="E10" i="115" a="1"/>
  <c r="E10" i="115" s="1"/>
  <c r="D6" i="115" a="1"/>
  <c r="D6" i="115" s="1"/>
  <c r="D5" i="115" a="1"/>
  <c r="D5" i="115" s="1"/>
  <c r="A55" i="115"/>
  <c r="A34" i="115"/>
  <c r="I17" i="114" a="1"/>
  <c r="I17" i="114" s="1"/>
  <c r="I14" i="114" a="1"/>
  <c r="I14" i="114" s="1"/>
  <c r="I13" i="114" a="1"/>
  <c r="I13" i="114" s="1"/>
  <c r="D25" i="114" a="1"/>
  <c r="D25" i="114" s="1"/>
  <c r="F37" i="70"/>
  <c r="D68" i="110" a="1"/>
  <c r="D68" i="110" s="1"/>
  <c r="E68" i="110" a="1"/>
  <c r="E68" i="110" s="1"/>
  <c r="F68" i="110" a="1"/>
  <c r="F68" i="110" s="1"/>
  <c r="D67" i="110" a="1"/>
  <c r="D67" i="110" s="1"/>
  <c r="E67" i="110" a="1"/>
  <c r="E67" i="110" s="1"/>
  <c r="F67" i="110" a="1"/>
  <c r="F67" i="110" s="1"/>
  <c r="F66" i="110" a="1"/>
  <c r="F66" i="110" s="1"/>
  <c r="E66" i="110" a="1"/>
  <c r="E66" i="110" s="1"/>
  <c r="I15" i="114" s="1"/>
  <c r="D66" i="110" a="1"/>
  <c r="D66" i="110" s="1"/>
  <c r="D64" i="110" a="1"/>
  <c r="D64" i="110" s="1"/>
  <c r="D63" i="110" a="1"/>
  <c r="D63" i="110" s="1"/>
  <c r="G25" i="114" a="1"/>
  <c r="G25" i="114" s="1"/>
  <c r="G13" i="114" a="1"/>
  <c r="G13" i="114" s="1"/>
  <c r="D13" i="114" a="1"/>
  <c r="D13" i="114" s="1"/>
  <c r="E11" i="114" a="1"/>
  <c r="E11" i="114" s="1"/>
  <c r="E10" i="114" a="1"/>
  <c r="E10" i="114" s="1"/>
  <c r="D6" i="114" a="1"/>
  <c r="D6" i="114" s="1"/>
  <c r="D5" i="114" a="1"/>
  <c r="D5" i="114" s="1"/>
  <c r="A55" i="114"/>
  <c r="A34" i="114"/>
  <c r="A44" i="70"/>
  <c r="A37" i="69"/>
  <c r="A83" i="69"/>
  <c r="A76" i="74"/>
  <c r="A38" i="74"/>
  <c r="A34" i="113"/>
  <c r="A55" i="113"/>
  <c r="F55" i="113" a="1"/>
  <c r="F55" i="113" s="1"/>
  <c r="D52" i="113" a="1"/>
  <c r="D52" i="113" s="1"/>
  <c r="I44" i="113" a="1"/>
  <c r="I44" i="113" s="1"/>
  <c r="D44" i="113" a="1"/>
  <c r="D44" i="113" s="1"/>
  <c r="E42" i="113" a="1"/>
  <c r="E42" i="113" s="1"/>
  <c r="F50" i="113" s="1"/>
  <c r="E41" i="113" a="1"/>
  <c r="E41" i="113" s="1"/>
  <c r="D37" i="113" a="1"/>
  <c r="D37" i="113" s="1"/>
  <c r="D36" i="113" a="1"/>
  <c r="D36" i="113" s="1"/>
  <c r="I15" i="113" a="1"/>
  <c r="I15" i="113" s="1"/>
  <c r="I14" i="113" a="1"/>
  <c r="I14" i="113" s="1"/>
  <c r="I13" i="113" a="1"/>
  <c r="I13" i="113" s="1"/>
  <c r="G49" i="70"/>
  <c r="H49" i="70"/>
  <c r="I49" i="70" s="1"/>
  <c r="H48" i="70"/>
  <c r="G48" i="70"/>
  <c r="H20" i="113" a="1"/>
  <c r="H20" i="113" s="1"/>
  <c r="E20" i="113" a="1"/>
  <c r="E20" i="113" s="1"/>
  <c r="D20" i="113" a="1"/>
  <c r="D67" i="116" s="1"/>
  <c r="I30" i="113" a="1"/>
  <c r="I30" i="113" s="1"/>
  <c r="I29" i="113" a="1"/>
  <c r="I29" i="113" s="1"/>
  <c r="E74" i="116" s="1"/>
  <c r="I28" i="113" a="1"/>
  <c r="I28" i="113" s="1"/>
  <c r="E73" i="116" s="1"/>
  <c r="I27" i="113" a="1"/>
  <c r="I27" i="113" s="1"/>
  <c r="E72" i="116" s="1"/>
  <c r="I26" i="113" a="1"/>
  <c r="I26" i="113" s="1"/>
  <c r="E71" i="116" s="1"/>
  <c r="I25" i="113" a="1"/>
  <c r="I25" i="113" s="1"/>
  <c r="E70" i="116" s="1"/>
  <c r="I24" i="113" a="1"/>
  <c r="I24" i="113" s="1"/>
  <c r="E69" i="116" s="1"/>
  <c r="I23" i="113" a="1"/>
  <c r="I23" i="113" s="1"/>
  <c r="E90" i="115" a="1"/>
  <c r="E7" i="113" a="1"/>
  <c r="E7" i="114" a="1"/>
  <c r="E118" i="115" a="1"/>
  <c r="E7" i="115" a="1"/>
  <c r="E38" i="113" a="1"/>
  <c r="E43" i="115" a="1"/>
  <c r="E105" i="115" l="1"/>
  <c r="E68" i="116"/>
  <c r="E110" i="115"/>
  <c r="E111" i="115"/>
  <c r="E112" i="115"/>
  <c r="E75" i="116"/>
  <c r="E107" i="115"/>
  <c r="E108" i="115"/>
  <c r="F108" i="115" s="1" a="1"/>
  <c r="F108" i="115" s="1"/>
  <c r="E140" i="115" s="1"/>
  <c r="E109" i="115"/>
  <c r="F109" i="115" s="1" a="1"/>
  <c r="F109" i="115" s="1"/>
  <c r="E141" i="115" s="1"/>
  <c r="F111" i="115" a="1"/>
  <c r="F111" i="115" s="1"/>
  <c r="E143" i="115" s="1"/>
  <c r="G20" i="113" a="1"/>
  <c r="G20" i="113" s="1"/>
  <c r="I20" i="113" s="1" a="1"/>
  <c r="I20" i="113" s="1"/>
  <c r="E65" i="116" s="1"/>
  <c r="D20" i="113"/>
  <c r="D65" i="116" s="1"/>
  <c r="D66" i="116"/>
  <c r="F43" i="116"/>
  <c r="F112" i="115" a="1"/>
  <c r="F112" i="115" s="1"/>
  <c r="E144" i="115" s="1"/>
  <c r="F105" i="115" a="1"/>
  <c r="F105" i="115" s="1"/>
  <c r="E137" i="115" s="1"/>
  <c r="F107" i="115" a="1"/>
  <c r="F107" i="115" s="1"/>
  <c r="E139" i="115" s="1"/>
  <c r="F110" i="115" a="1"/>
  <c r="F110" i="115" s="1"/>
  <c r="E142" i="115" s="1"/>
  <c r="E106" i="115"/>
  <c r="F106" i="115" s="1" a="1"/>
  <c r="F106" i="115" s="1"/>
  <c r="E138" i="115" s="1"/>
  <c r="F79" i="115"/>
  <c r="E118" i="115"/>
  <c r="E90" i="115"/>
  <c r="E43" i="115"/>
  <c r="E7" i="115"/>
  <c r="E7" i="114"/>
  <c r="I16" i="114"/>
  <c r="I19" i="114"/>
  <c r="I18" i="114"/>
  <c r="F20" i="113" a="1"/>
  <c r="F20" i="113" s="1"/>
  <c r="E38" i="113"/>
  <c r="E7" i="113"/>
  <c r="J49" i="70"/>
  <c r="I22" i="113" l="1" a="1"/>
  <c r="I22" i="113" s="1"/>
  <c r="E104" i="115" s="1"/>
  <c r="F104" i="115" s="1" a="1"/>
  <c r="F104" i="115" s="1"/>
  <c r="E136" i="115" s="1"/>
  <c r="I21" i="113" a="1"/>
  <c r="I21" i="113" s="1"/>
  <c r="E66" i="116" s="1"/>
  <c r="E102" i="115"/>
  <c r="F102" i="115" s="1" a="1"/>
  <c r="F102" i="115" s="1"/>
  <c r="E134" i="115" s="1"/>
  <c r="E67" i="116" l="1"/>
  <c r="E32" i="113"/>
  <c r="K44" i="113" s="1"/>
  <c r="E103" i="115"/>
  <c r="F103" i="115" s="1" a="1"/>
  <c r="F103" i="115" s="1"/>
  <c r="E135" i="115" s="1"/>
  <c r="G13" i="113" a="1"/>
  <c r="G13" i="113" s="1"/>
  <c r="D13" i="113" a="1"/>
  <c r="E11" i="113" a="1"/>
  <c r="E11" i="113" s="1"/>
  <c r="F32" i="113" s="1"/>
  <c r="E10" i="113" a="1"/>
  <c r="E10" i="113" s="1"/>
  <c r="D6" i="113" a="1"/>
  <c r="D6" i="113" s="1"/>
  <c r="D5" i="113" a="1"/>
  <c r="D5" i="113" s="1"/>
  <c r="F60" i="110" a="1"/>
  <c r="F60" i="110" s="1"/>
  <c r="E60" i="110" a="1"/>
  <c r="E60" i="110" s="1"/>
  <c r="D60" i="110" a="1"/>
  <c r="D60" i="110" s="1"/>
  <c r="D59" i="110" a="1"/>
  <c r="D59" i="110" s="1"/>
  <c r="D58" i="110" a="1"/>
  <c r="D58" i="110" s="1"/>
  <c r="I53" i="74" a="1"/>
  <c r="I53" i="74" s="1"/>
  <c r="I49" i="74" a="1"/>
  <c r="I49" i="74" s="1"/>
  <c r="G49" i="74" a="1"/>
  <c r="G49" i="74" s="1"/>
  <c r="I14" i="74" a="1"/>
  <c r="I14" i="74" s="1"/>
  <c r="I13" i="74" a="1"/>
  <c r="I13" i="74" s="1"/>
  <c r="G13" i="74" a="1"/>
  <c r="G13" i="74" s="1"/>
  <c r="R12" i="69" a="1"/>
  <c r="R12" i="69" s="1"/>
  <c r="R23" i="69" a="1"/>
  <c r="R23" i="69" s="1"/>
  <c r="R35" i="69" a="1"/>
  <c r="R35" i="69" s="1"/>
  <c r="P35" i="69" a="1"/>
  <c r="P35" i="69" s="1"/>
  <c r="P23" i="69" a="1"/>
  <c r="P23" i="69" s="1"/>
  <c r="P12" i="69" a="1"/>
  <c r="P12" i="69" s="1"/>
  <c r="S67" i="69" a="1"/>
  <c r="S67" i="69" s="1"/>
  <c r="Q67" i="69" a="1"/>
  <c r="Q67" i="69" s="1"/>
  <c r="E43" i="74" a="1"/>
  <c r="D13" i="113" l="1"/>
  <c r="I50" i="74"/>
  <c r="E43" i="74"/>
  <c r="I49" i="69" l="1" a="1"/>
  <c r="I49" i="69" s="1"/>
  <c r="G49" i="69" a="1"/>
  <c r="G49" i="69" s="1"/>
  <c r="I14" i="69" a="1"/>
  <c r="I14" i="69" s="1"/>
  <c r="I13" i="69" a="1"/>
  <c r="I13" i="69" s="1"/>
  <c r="G13" i="69" a="1"/>
  <c r="G13" i="69" s="1"/>
  <c r="D90" i="110" a="1"/>
  <c r="D90" i="110" s="1"/>
  <c r="I53" i="69" l="1"/>
  <c r="D49" i="74" a="1"/>
  <c r="D49" i="74" s="1"/>
  <c r="E47" i="74" a="1"/>
  <c r="E47" i="74" s="1"/>
  <c r="E46" i="74" a="1"/>
  <c r="E46" i="74" s="1"/>
  <c r="D42" i="74" a="1"/>
  <c r="D42" i="74" s="1"/>
  <c r="D41" i="74" a="1"/>
  <c r="D41" i="74" s="1"/>
  <c r="M59" i="69" a="1"/>
  <c r="M59" i="69" s="1"/>
  <c r="N65" i="69" a="1"/>
  <c r="N65" i="69" s="1"/>
  <c r="N64" i="69" a="1"/>
  <c r="N64" i="69" s="1"/>
  <c r="D13" i="74" a="1"/>
  <c r="D13" i="74" s="1"/>
  <c r="E11" i="74" a="1"/>
  <c r="E11" i="74" s="1"/>
  <c r="E10" i="74" a="1"/>
  <c r="E10" i="74" s="1"/>
  <c r="D6" i="74" a="1"/>
  <c r="D6" i="74" s="1"/>
  <c r="D5" i="74" a="1"/>
  <c r="D5" i="74" s="1"/>
  <c r="M67" i="69" a="1"/>
  <c r="M67" i="69" s="1"/>
  <c r="M58" i="69" a="1"/>
  <c r="M58" i="69" s="1"/>
  <c r="V54" i="69" a="1"/>
  <c r="V54" i="69" s="1"/>
  <c r="S54" i="69" a="1"/>
  <c r="S54" i="69" s="1"/>
  <c r="R54" i="69" a="1"/>
  <c r="R54" i="69" s="1"/>
  <c r="D49" i="69" a="1"/>
  <c r="D49" i="69" s="1"/>
  <c r="V53" i="69" a="1"/>
  <c r="V53" i="69" s="1"/>
  <c r="S53" i="69" a="1"/>
  <c r="S53" i="69" s="1"/>
  <c r="R53" i="69" a="1"/>
  <c r="R53" i="69" s="1"/>
  <c r="E47" i="69" a="1"/>
  <c r="E47" i="69" s="1"/>
  <c r="F60" i="69" s="1"/>
  <c r="E46" i="69" a="1"/>
  <c r="E46" i="69" s="1"/>
  <c r="D41" i="69" a="1"/>
  <c r="D41" i="69" s="1"/>
  <c r="D40" i="69" a="1"/>
  <c r="D40" i="69" s="1"/>
  <c r="M35" i="69" a="1"/>
  <c r="M35" i="69" s="1"/>
  <c r="N33" i="69" a="1"/>
  <c r="N33" i="69" s="1"/>
  <c r="V43" i="69" s="1"/>
  <c r="N32" i="69" a="1"/>
  <c r="N32" i="69" s="1"/>
  <c r="V44" i="69" s="1"/>
  <c r="M28" i="69" a="1"/>
  <c r="M28" i="69" s="1"/>
  <c r="M27" i="69" a="1"/>
  <c r="M27" i="69" s="1"/>
  <c r="M23" i="69" a="1"/>
  <c r="M23" i="69" s="1"/>
  <c r="N21" i="69" a="1"/>
  <c r="N21" i="69" s="1"/>
  <c r="S43" i="69" s="1"/>
  <c r="N20" i="69" a="1"/>
  <c r="N20" i="69" s="1"/>
  <c r="S44" i="69" s="1"/>
  <c r="M17" i="69" a="1"/>
  <c r="M17" i="69" s="1"/>
  <c r="M16" i="69" a="1"/>
  <c r="M16" i="69" s="1"/>
  <c r="D13" i="69" a="1"/>
  <c r="D13" i="69" s="1"/>
  <c r="M12" i="69" a="1"/>
  <c r="M12" i="69" s="1"/>
  <c r="E11" i="69" a="1"/>
  <c r="E11" i="69" s="1"/>
  <c r="N10" i="69" a="1"/>
  <c r="N10" i="69" s="1"/>
  <c r="R43" i="69" s="1"/>
  <c r="E10" i="69" a="1"/>
  <c r="E10" i="69" s="1"/>
  <c r="N9" i="69" a="1"/>
  <c r="N9" i="69" s="1"/>
  <c r="R44" i="69" s="1"/>
  <c r="M6" i="69" a="1"/>
  <c r="M6" i="69" s="1"/>
  <c r="D6" i="69" a="1"/>
  <c r="D6" i="69" s="1"/>
  <c r="M5" i="69" a="1"/>
  <c r="M5" i="69" s="1"/>
  <c r="D5" i="69" a="1"/>
  <c r="D5" i="69" s="1"/>
  <c r="I48" i="70"/>
  <c r="G37" i="70"/>
  <c r="E25" i="114" s="1" a="1"/>
  <c r="E25" i="114" s="1"/>
  <c r="Q54" i="69"/>
  <c r="Q53" i="69"/>
  <c r="F26" i="70"/>
  <c r="O93" i="69" a="1"/>
  <c r="O93" i="69" s="1"/>
  <c r="M90" i="69" a="1"/>
  <c r="M90" i="69" s="1"/>
  <c r="N82" i="69" a="1"/>
  <c r="N82" i="69" s="1"/>
  <c r="N77" i="69" a="1"/>
  <c r="N77" i="69" s="1"/>
  <c r="T54" i="69"/>
  <c r="T53" i="69"/>
  <c r="N50" i="69" a="1"/>
  <c r="N50" i="69" s="1"/>
  <c r="N45" i="69" a="1"/>
  <c r="N45" i="69" s="1"/>
  <c r="F85" i="69" a="1"/>
  <c r="F85" i="69" s="1"/>
  <c r="D82" i="69" a="1"/>
  <c r="D82" i="69" s="1"/>
  <c r="N60" i="69" a="1"/>
  <c r="E7" i="74" a="1"/>
  <c r="E42" i="69" a="1"/>
  <c r="F58" i="74" l="1"/>
  <c r="F78" i="74"/>
  <c r="J48" i="70"/>
  <c r="E7" i="74"/>
  <c r="N60" i="69"/>
  <c r="E42" i="69"/>
  <c r="U53" i="69"/>
  <c r="U54" i="69"/>
  <c r="F69" i="116" l="1" a="1"/>
  <c r="F69" i="116" s="1"/>
  <c r="F70" i="116" a="1"/>
  <c r="F70" i="116" s="1"/>
  <c r="F73" i="116" a="1"/>
  <c r="F73" i="116" s="1"/>
  <c r="F74" i="116" a="1"/>
  <c r="F74" i="116" s="1"/>
  <c r="F71" i="116" a="1"/>
  <c r="F71" i="116" s="1"/>
  <c r="F72" i="116" a="1"/>
  <c r="F72" i="116" s="1"/>
  <c r="F75" i="116" a="1"/>
  <c r="F75" i="116" s="1"/>
  <c r="F67" i="116" a="1"/>
  <c r="F67" i="116" s="1"/>
  <c r="F68" i="116" a="1"/>
  <c r="F68" i="116" s="1"/>
  <c r="F65" i="116" a="1"/>
  <c r="F65" i="116" s="1"/>
  <c r="F66" i="116" a="1"/>
  <c r="F66" i="116" s="1"/>
  <c r="O88" i="69"/>
  <c r="E7" i="69" a="1"/>
  <c r="E77" i="116" l="1"/>
  <c r="J90" i="116" s="1"/>
  <c r="F144" i="115" a="1"/>
  <c r="F144" i="115" s="1"/>
  <c r="F136" i="115" a="1"/>
  <c r="F136" i="115" s="1"/>
  <c r="F137" i="115" a="1"/>
  <c r="F137" i="115" s="1"/>
  <c r="F139" i="115" a="1"/>
  <c r="F139" i="115" s="1"/>
  <c r="F142" i="115" a="1"/>
  <c r="F142" i="115" s="1"/>
  <c r="F140" i="115" a="1"/>
  <c r="F140" i="115" s="1"/>
  <c r="F141" i="115" a="1"/>
  <c r="F141" i="115" s="1"/>
  <c r="F143" i="115" a="1"/>
  <c r="F143" i="115" s="1"/>
  <c r="F138" i="115" a="1"/>
  <c r="F138" i="115" s="1"/>
  <c r="F134" i="115" a="1"/>
  <c r="F134" i="115" s="1"/>
  <c r="F135" i="115" a="1"/>
  <c r="F135" i="115" s="1"/>
  <c r="H29" i="114" a="1"/>
  <c r="H29" i="114" s="1"/>
  <c r="H27" i="114" a="1"/>
  <c r="H27" i="114" s="1"/>
  <c r="H28" i="114" a="1"/>
  <c r="H28" i="114" s="1"/>
  <c r="H26" i="114" a="1"/>
  <c r="H26" i="114" s="1"/>
  <c r="H25" i="114" a="1"/>
  <c r="H25" i="114" s="1"/>
  <c r="P45" i="69" a="1"/>
  <c r="G26" i="70"/>
  <c r="P50" i="69" a="1"/>
  <c r="P50" i="69" s="1"/>
  <c r="F80" i="69"/>
  <c r="E7" i="69"/>
  <c r="E146" i="115" l="1"/>
  <c r="G148" i="115" s="1"/>
  <c r="E151" i="115" s="1" a="1"/>
  <c r="E151" i="115" s="1"/>
  <c r="E31" i="114"/>
  <c r="P45" i="69"/>
  <c r="H12" i="13" l="1"/>
  <c r="I12" i="13" s="1"/>
  <c r="E12" i="13"/>
  <c r="F12" i="13" s="1"/>
  <c r="I50" i="69"/>
  <c r="D55" i="110" l="1" a="1"/>
  <c r="D55" i="110" s="1"/>
  <c r="E55" i="110" a="1"/>
  <c r="E55" i="110" s="1"/>
  <c r="D54" i="110" a="1"/>
  <c r="D54" i="110" s="1"/>
  <c r="E54" i="110" a="1"/>
  <c r="E54" i="110" s="1"/>
  <c r="D53" i="110" a="1"/>
  <c r="D53" i="110" s="1"/>
  <c r="E53" i="110" a="1"/>
  <c r="E53" i="110" s="1"/>
  <c r="D52" i="110" a="1"/>
  <c r="D52" i="110" s="1"/>
  <c r="E52" i="110" a="1"/>
  <c r="E52" i="110" s="1"/>
  <c r="E51" i="110" a="1"/>
  <c r="E51" i="110" s="1"/>
  <c r="D51" i="110" a="1"/>
  <c r="D51" i="110" s="1"/>
  <c r="D49" i="110" a="1"/>
  <c r="D49" i="110" s="1"/>
  <c r="D48" i="110" a="1"/>
  <c r="D48" i="110" s="1"/>
  <c r="D7" i="110" a="1"/>
  <c r="D7" i="110" s="1"/>
  <c r="D6" i="110" a="1"/>
  <c r="D6" i="110" s="1"/>
  <c r="G90" i="110" l="1" a="1"/>
  <c r="G90" i="110" s="1"/>
  <c r="F90" i="110" a="1"/>
  <c r="F90" i="110" s="1"/>
  <c r="E90" i="110" a="1"/>
  <c r="E90" i="110" s="1"/>
  <c r="I37" i="110" a="1"/>
  <c r="I37" i="110" s="1"/>
  <c r="H37" i="110" a="1"/>
  <c r="H37" i="110" s="1"/>
  <c r="G37" i="110" a="1"/>
  <c r="G37" i="110" s="1"/>
  <c r="F37" i="110" a="1"/>
  <c r="F37" i="110" s="1"/>
  <c r="E37" i="110" a="1"/>
  <c r="E37" i="110" s="1"/>
  <c r="D37" i="110" a="1"/>
  <c r="D37" i="110" s="1"/>
  <c r="I36" i="110" a="1"/>
  <c r="I36" i="110" s="1"/>
  <c r="H36" i="110" a="1"/>
  <c r="H36" i="110" s="1"/>
  <c r="G36" i="110" a="1"/>
  <c r="G36" i="110" s="1"/>
  <c r="F36" i="110" a="1"/>
  <c r="F36" i="110" s="1"/>
  <c r="E36" i="110" a="1"/>
  <c r="E36" i="110" s="1"/>
  <c r="D36" i="110" a="1"/>
  <c r="D36" i="110" s="1"/>
  <c r="I35" i="110" a="1"/>
  <c r="I35" i="110" s="1"/>
  <c r="H35" i="110" a="1"/>
  <c r="H35" i="110" s="1"/>
  <c r="G35" i="110" a="1"/>
  <c r="G35" i="110" s="1"/>
  <c r="F35" i="110" a="1"/>
  <c r="F35" i="110" s="1"/>
  <c r="E35" i="110" a="1"/>
  <c r="E35" i="110" s="1"/>
  <c r="D35" i="110" a="1"/>
  <c r="D35" i="110" s="1"/>
  <c r="I34" i="110" a="1"/>
  <c r="I34" i="110" s="1"/>
  <c r="H34" i="110" a="1"/>
  <c r="H34" i="110" s="1"/>
  <c r="G34" i="110" a="1"/>
  <c r="G34" i="110" s="1"/>
  <c r="F34" i="110" a="1"/>
  <c r="F34" i="110" s="1"/>
  <c r="E34" i="110" a="1"/>
  <c r="E34" i="110" s="1"/>
  <c r="D34" i="110" a="1"/>
  <c r="D34" i="110" s="1"/>
  <c r="I33" i="110" a="1"/>
  <c r="I33" i="110" s="1"/>
  <c r="H33" i="110" a="1"/>
  <c r="H33" i="110" s="1"/>
  <c r="G33" i="110" a="1"/>
  <c r="G33" i="110" s="1"/>
  <c r="F33" i="110" a="1"/>
  <c r="F33" i="110" s="1"/>
  <c r="E33" i="110" a="1"/>
  <c r="E33" i="110" s="1"/>
  <c r="D33" i="110" a="1"/>
  <c r="D33" i="110" s="1"/>
  <c r="I32" i="110" a="1"/>
  <c r="I32" i="110" s="1"/>
  <c r="H32" i="110" a="1"/>
  <c r="H32" i="110" s="1"/>
  <c r="G32" i="110" a="1"/>
  <c r="G32" i="110" s="1"/>
  <c r="F32" i="110" a="1"/>
  <c r="F32" i="110" s="1"/>
  <c r="E32" i="110" a="1"/>
  <c r="E32" i="110" s="1"/>
  <c r="D32" i="110" a="1"/>
  <c r="D32" i="110" s="1"/>
  <c r="I31" i="110" a="1"/>
  <c r="I31" i="110" s="1"/>
  <c r="H31" i="110" a="1"/>
  <c r="H31" i="110" s="1"/>
  <c r="G31" i="110" a="1"/>
  <c r="G31" i="110" s="1"/>
  <c r="F31" i="110" a="1"/>
  <c r="F31" i="110" s="1"/>
  <c r="E31" i="110" a="1"/>
  <c r="E31" i="110" s="1"/>
  <c r="D31" i="110" a="1"/>
  <c r="D31" i="110" s="1"/>
  <c r="I30" i="110" a="1"/>
  <c r="I30" i="110" s="1"/>
  <c r="H30" i="110" a="1"/>
  <c r="H30" i="110" s="1"/>
  <c r="G30" i="110" a="1"/>
  <c r="G30" i="110" s="1"/>
  <c r="F30" i="110" a="1"/>
  <c r="F30" i="110" s="1"/>
  <c r="E30" i="110" a="1"/>
  <c r="E30" i="110" s="1"/>
  <c r="D30" i="110" a="1"/>
  <c r="D30" i="110" s="1"/>
  <c r="I29" i="110" a="1"/>
  <c r="I29" i="110" s="1"/>
  <c r="H29" i="110" a="1"/>
  <c r="H29" i="110" s="1"/>
  <c r="G29" i="110" a="1"/>
  <c r="G29" i="110" s="1"/>
  <c r="F29" i="110" a="1"/>
  <c r="F29" i="110" s="1"/>
  <c r="E29" i="110" a="1"/>
  <c r="E29" i="110" s="1"/>
  <c r="D29" i="110" a="1"/>
  <c r="D29" i="110" s="1"/>
  <c r="I28" i="110" a="1"/>
  <c r="I28" i="110" s="1"/>
  <c r="H28" i="110" a="1"/>
  <c r="H28" i="110" s="1"/>
  <c r="G28" i="110" a="1"/>
  <c r="G28" i="110" s="1"/>
  <c r="F28" i="110" a="1"/>
  <c r="F28" i="110" s="1"/>
  <c r="E28" i="110" a="1"/>
  <c r="E28" i="110" s="1"/>
  <c r="D28" i="110" a="1"/>
  <c r="D28" i="110" s="1"/>
  <c r="I27" i="110" a="1"/>
  <c r="I27" i="110" s="1"/>
  <c r="H27" i="110" a="1"/>
  <c r="H27" i="110" s="1"/>
  <c r="G27" i="110" a="1"/>
  <c r="G27" i="110" s="1"/>
  <c r="F27" i="110" a="1"/>
  <c r="F27" i="110" s="1"/>
  <c r="E27" i="110" a="1"/>
  <c r="E27" i="110" s="1"/>
  <c r="D27" i="110" a="1"/>
  <c r="D27" i="110" s="1"/>
  <c r="I26" i="110" a="1"/>
  <c r="I26" i="110" s="1"/>
  <c r="H26" i="110" a="1"/>
  <c r="H26" i="110" s="1"/>
  <c r="G26" i="110" a="1"/>
  <c r="G26" i="110" s="1"/>
  <c r="F26" i="110" a="1"/>
  <c r="F26" i="110" s="1"/>
  <c r="E26" i="110" a="1"/>
  <c r="E26" i="110" s="1"/>
  <c r="D26" i="110" a="1"/>
  <c r="D26" i="110" s="1"/>
  <c r="I25" i="110" a="1"/>
  <c r="I25" i="110" s="1"/>
  <c r="H25" i="110" a="1"/>
  <c r="H25" i="110" s="1"/>
  <c r="G25" i="110" a="1"/>
  <c r="G25" i="110" s="1"/>
  <c r="F25" i="110" a="1"/>
  <c r="F25" i="110" s="1"/>
  <c r="E25" i="110" a="1"/>
  <c r="E25" i="110" s="1"/>
  <c r="D25" i="110" a="1"/>
  <c r="D25" i="110" s="1"/>
  <c r="I24" i="110" a="1"/>
  <c r="I24" i="110" s="1"/>
  <c r="H24" i="110" a="1"/>
  <c r="H24" i="110" s="1"/>
  <c r="G24" i="110" a="1"/>
  <c r="G24" i="110" s="1"/>
  <c r="F24" i="110" a="1"/>
  <c r="F24" i="110" s="1"/>
  <c r="E24" i="110" a="1"/>
  <c r="E24" i="110" s="1"/>
  <c r="D24" i="110" a="1"/>
  <c r="D24" i="110" s="1"/>
  <c r="I23" i="110" a="1"/>
  <c r="I23" i="110" s="1"/>
  <c r="H23" i="110" a="1"/>
  <c r="H23" i="110" s="1"/>
  <c r="G23" i="110" a="1"/>
  <c r="G23" i="110" s="1"/>
  <c r="F23" i="110" a="1"/>
  <c r="F23" i="110" s="1"/>
  <c r="E23" i="110" a="1"/>
  <c r="E23" i="110" s="1"/>
  <c r="D23" i="110" a="1"/>
  <c r="D23" i="110" s="1"/>
  <c r="I22" i="110" a="1"/>
  <c r="I22" i="110" s="1"/>
  <c r="H22" i="110" a="1"/>
  <c r="H22" i="110" s="1"/>
  <c r="G22" i="110" a="1"/>
  <c r="G22" i="110" s="1"/>
  <c r="F22" i="110" a="1"/>
  <c r="F22" i="110" s="1"/>
  <c r="E22" i="110" a="1"/>
  <c r="E22" i="110" s="1"/>
  <c r="D22" i="110" a="1"/>
  <c r="D22" i="110" s="1"/>
  <c r="I21" i="110" a="1"/>
  <c r="I21" i="110" s="1"/>
  <c r="H21" i="110" a="1"/>
  <c r="H21" i="110" s="1"/>
  <c r="G21" i="110" a="1"/>
  <c r="G21" i="110" s="1"/>
  <c r="F21" i="110" a="1"/>
  <c r="F21" i="110" s="1"/>
  <c r="E21" i="110" a="1"/>
  <c r="E21" i="110" s="1"/>
  <c r="D21" i="110" a="1"/>
  <c r="D21" i="110" s="1"/>
  <c r="I20" i="110" a="1"/>
  <c r="I20" i="110" s="1"/>
  <c r="H20" i="110" a="1"/>
  <c r="H20" i="110" s="1"/>
  <c r="G20" i="110" a="1"/>
  <c r="G20" i="110" s="1"/>
  <c r="F20" i="110" a="1"/>
  <c r="F20" i="110" s="1"/>
  <c r="E20" i="110" a="1"/>
  <c r="E20" i="110" s="1"/>
  <c r="D20" i="110" a="1"/>
  <c r="D20" i="110" s="1"/>
  <c r="D5" i="110" a="1"/>
  <c r="D5" i="110" s="1"/>
  <c r="F22" i="70" l="1"/>
  <c r="U22" i="70" a="1"/>
  <c r="U22" i="70" s="1"/>
  <c r="R21" i="70" a="1"/>
  <c r="R21" i="70" s="1"/>
  <c r="N20" i="70" a="1"/>
  <c r="N20" i="70" s="1"/>
  <c r="L19" i="70" a="1"/>
  <c r="L19" i="70" s="1"/>
  <c r="U18" i="70" a="1"/>
  <c r="U18" i="70" s="1"/>
  <c r="R20" i="70" a="1"/>
  <c r="R20" i="70" s="1"/>
  <c r="G20" i="70"/>
  <c r="I20" i="70" s="1"/>
  <c r="X20" i="70"/>
  <c r="J18" i="70" a="1"/>
  <c r="J18" i="70" s="1"/>
  <c r="T22" i="70" a="1"/>
  <c r="T22" i="70" s="1"/>
  <c r="G22" i="70"/>
  <c r="I22" i="70" s="1"/>
  <c r="W22" i="70"/>
  <c r="S21" i="70" a="1"/>
  <c r="S21" i="70" s="1"/>
  <c r="O20" i="70" a="1"/>
  <c r="O20" i="70" s="1"/>
  <c r="M19" i="70" a="1"/>
  <c r="M19" i="70" s="1"/>
  <c r="T18" i="70" a="1"/>
  <c r="T18" i="70" s="1"/>
  <c r="W21" i="70"/>
  <c r="Q18" i="70" a="1"/>
  <c r="Q18" i="70" s="1"/>
  <c r="L21" i="70" a="1"/>
  <c r="L21" i="70" s="1"/>
  <c r="L18" i="70" a="1"/>
  <c r="L18" i="70" s="1"/>
  <c r="S22" i="70" a="1"/>
  <c r="S22" i="70" s="1"/>
  <c r="X22" i="70"/>
  <c r="T21" i="70" a="1"/>
  <c r="T21" i="70" s="1"/>
  <c r="P20" i="70" a="1"/>
  <c r="P20" i="70" s="1"/>
  <c r="N19" i="70" a="1"/>
  <c r="N19" i="70" s="1"/>
  <c r="S18" i="70" a="1"/>
  <c r="S18" i="70" s="1"/>
  <c r="G21" i="70"/>
  <c r="I21" i="70" s="1"/>
  <c r="N18" i="70" a="1"/>
  <c r="N18" i="70" s="1"/>
  <c r="K20" i="70" a="1"/>
  <c r="K20" i="70" s="1"/>
  <c r="Q21" i="70" a="1"/>
  <c r="Q21" i="70" s="1"/>
  <c r="J22" i="70" a="1"/>
  <c r="J22" i="70" s="1"/>
  <c r="F21" i="70"/>
  <c r="U21" i="70" a="1"/>
  <c r="U21" i="70" s="1"/>
  <c r="Q20" i="70" a="1"/>
  <c r="Q20" i="70" s="1"/>
  <c r="O19" i="70" a="1"/>
  <c r="O19" i="70" s="1"/>
  <c r="R18" i="70" a="1"/>
  <c r="R18" i="70" s="1"/>
  <c r="K22" i="70" a="1"/>
  <c r="K22" i="70" s="1"/>
  <c r="P19" i="70" a="1"/>
  <c r="P19" i="70" s="1"/>
  <c r="O22" i="70" a="1"/>
  <c r="O22" i="70" s="1"/>
  <c r="M18" i="70" a="1"/>
  <c r="M18" i="70" s="1"/>
  <c r="P22" i="70" a="1"/>
  <c r="P22" i="70" s="1"/>
  <c r="O21" i="70" a="1"/>
  <c r="O21" i="70" s="1"/>
  <c r="X19" i="70"/>
  <c r="P21" i="70" a="1"/>
  <c r="P21" i="70" s="1"/>
  <c r="M20" i="70" a="1"/>
  <c r="M20" i="70" s="1"/>
  <c r="W18" i="70"/>
  <c r="F18" i="70"/>
  <c r="L22" i="70" a="1"/>
  <c r="L22" i="70" s="1"/>
  <c r="X21" i="70"/>
  <c r="S20" i="70" a="1"/>
  <c r="S20" i="70" s="1"/>
  <c r="Q19" i="70" a="1"/>
  <c r="Q19" i="70" s="1"/>
  <c r="P18" i="70" a="1"/>
  <c r="P18" i="70" s="1"/>
  <c r="K21" i="70" a="1"/>
  <c r="K21" i="70" s="1"/>
  <c r="S19" i="70" a="1"/>
  <c r="S19" i="70" s="1"/>
  <c r="T19" i="70" a="1"/>
  <c r="T19" i="70" s="1"/>
  <c r="U19" i="70" a="1"/>
  <c r="U19" i="70" s="1"/>
  <c r="L20" i="70" a="1"/>
  <c r="L20" i="70" s="1"/>
  <c r="M22" i="70" a="1"/>
  <c r="M22" i="70" s="1"/>
  <c r="J21" i="70" a="1"/>
  <c r="J21" i="70" s="1"/>
  <c r="G19" i="70"/>
  <c r="I19" i="70" s="1"/>
  <c r="T20" i="70" a="1"/>
  <c r="T20" i="70" s="1"/>
  <c r="R19" i="70" a="1"/>
  <c r="R19" i="70" s="1"/>
  <c r="O18" i="70" a="1"/>
  <c r="O18" i="70" s="1"/>
  <c r="N22" i="70" a="1"/>
  <c r="N22" i="70" s="1"/>
  <c r="F20" i="70"/>
  <c r="U20" i="70" a="1"/>
  <c r="U20" i="70" s="1"/>
  <c r="W20" i="70"/>
  <c r="M21" i="70" a="1"/>
  <c r="M21" i="70" s="1"/>
  <c r="J19" i="70" a="1"/>
  <c r="J19" i="70" s="1"/>
  <c r="G18" i="70"/>
  <c r="I18" i="70" s="1"/>
  <c r="Q22" i="70" a="1"/>
  <c r="Q22" i="70" s="1"/>
  <c r="N21" i="70" a="1"/>
  <c r="N21" i="70" s="1"/>
  <c r="J20" i="70" a="1"/>
  <c r="J20" i="70" s="1"/>
  <c r="F19" i="70"/>
  <c r="W19" i="70"/>
  <c r="K18" i="70" a="1"/>
  <c r="K18" i="70" s="1"/>
  <c r="R22" i="70" a="1"/>
  <c r="R22" i="70" s="1"/>
  <c r="X18" i="70"/>
  <c r="K19" i="70" a="1"/>
  <c r="K19" i="70" s="1"/>
  <c r="P27" i="70"/>
  <c r="D23" i="116" a="1"/>
  <c r="D23" i="116" s="1"/>
  <c r="D59" i="115" a="1"/>
  <c r="D59" i="115" s="1"/>
  <c r="D19" i="115" a="1"/>
  <c r="F37" i="115" s="1" a="1"/>
  <c r="F37" i="115" s="1"/>
  <c r="G37" i="115" s="1" a="1"/>
  <c r="G37" i="115" s="1"/>
  <c r="P26" i="70"/>
  <c r="D58" i="74" a="1"/>
  <c r="D58" i="74" s="1"/>
  <c r="D60" i="69" a="1"/>
  <c r="D60" i="69" s="1"/>
  <c r="D19" i="74" a="1"/>
  <c r="F37" i="74" s="1" a="1"/>
  <c r="F37" i="74" s="1"/>
  <c r="D19" i="69" a="1"/>
  <c r="F37" i="69" s="1" a="1"/>
  <c r="F37" i="69" s="1"/>
  <c r="A21" i="13"/>
  <c r="E27" i="69" l="1" a="1"/>
  <c r="E27" i="69" s="1"/>
  <c r="E26" i="69" a="1"/>
  <c r="E26" i="69" s="1"/>
  <c r="E25" i="69" a="1"/>
  <c r="E25" i="69" s="1"/>
  <c r="E24" i="69" a="1"/>
  <c r="E24" i="69" s="1"/>
  <c r="E37" i="69" a="1"/>
  <c r="E37" i="69" s="1"/>
  <c r="E36" i="69" a="1"/>
  <c r="E36" i="69" s="1"/>
  <c r="E23" i="69" a="1"/>
  <c r="E23" i="69" s="1"/>
  <c r="E35" i="69" a="1"/>
  <c r="E35" i="69" s="1"/>
  <c r="E22" i="69" a="1"/>
  <c r="E22" i="69" s="1"/>
  <c r="E21" i="69" a="1"/>
  <c r="E21" i="69" s="1"/>
  <c r="E34" i="69" a="1"/>
  <c r="E34" i="69" s="1"/>
  <c r="E20" i="69" a="1"/>
  <c r="E20" i="69" s="1"/>
  <c r="E19" i="69" a="1"/>
  <c r="E19" i="69" s="1"/>
  <c r="E33" i="69" a="1"/>
  <c r="E33" i="69" s="1"/>
  <c r="E32" i="69" a="1"/>
  <c r="E32" i="69" s="1"/>
  <c r="E31" i="69" a="1"/>
  <c r="E31" i="69" s="1"/>
  <c r="E30" i="69" a="1"/>
  <c r="E30" i="69" s="1"/>
  <c r="E29" i="69" a="1"/>
  <c r="E29" i="69" s="1"/>
  <c r="E28" i="69" a="1"/>
  <c r="E28" i="69" s="1"/>
  <c r="V21" i="70"/>
  <c r="V18" i="70"/>
  <c r="V20" i="70"/>
  <c r="V22" i="70"/>
  <c r="V19" i="70"/>
  <c r="E30" i="74" a="1"/>
  <c r="E30" i="74" s="1"/>
  <c r="O50" i="69" a="1"/>
  <c r="D19" i="115"/>
  <c r="F19" i="115" s="1" a="1"/>
  <c r="F19" i="115" s="1"/>
  <c r="G19" i="115" s="1" a="1"/>
  <c r="G19" i="115" s="1"/>
  <c r="F25" i="115" a="1"/>
  <c r="F25" i="115" s="1"/>
  <c r="G25" i="115" s="1" a="1"/>
  <c r="G25" i="115" s="1"/>
  <c r="F36" i="115" a="1"/>
  <c r="F36" i="115" s="1"/>
  <c r="G36" i="115" s="1" a="1"/>
  <c r="G36" i="115" s="1"/>
  <c r="F24" i="115" a="1"/>
  <c r="F24" i="115" s="1"/>
  <c r="G24" i="115" s="1" a="1"/>
  <c r="G24" i="115" s="1"/>
  <c r="F20" i="115" a="1"/>
  <c r="F20" i="115" s="1"/>
  <c r="G20" i="115" s="1" a="1"/>
  <c r="G20" i="115" s="1"/>
  <c r="F26" i="115" a="1"/>
  <c r="F26" i="115" s="1"/>
  <c r="G26" i="115" s="1" a="1"/>
  <c r="G26" i="115" s="1"/>
  <c r="F23" i="115" a="1"/>
  <c r="F23" i="115" s="1"/>
  <c r="G23" i="115" s="1" a="1"/>
  <c r="G23" i="115" s="1"/>
  <c r="F27" i="115" a="1"/>
  <c r="F27" i="115" s="1"/>
  <c r="G27" i="115" s="1" a="1"/>
  <c r="G27" i="115" s="1"/>
  <c r="F29" i="115" a="1"/>
  <c r="F29" i="115" s="1"/>
  <c r="G29" i="115" s="1" a="1"/>
  <c r="G29" i="115" s="1"/>
  <c r="F33" i="115" a="1"/>
  <c r="F33" i="115" s="1"/>
  <c r="G33" i="115" s="1" a="1"/>
  <c r="G33" i="115" s="1"/>
  <c r="F30" i="115" a="1"/>
  <c r="F30" i="115" s="1"/>
  <c r="G30" i="115" s="1" a="1"/>
  <c r="G30" i="115" s="1"/>
  <c r="F28" i="115" a="1"/>
  <c r="F28" i="115" s="1"/>
  <c r="G28" i="115" s="1" a="1"/>
  <c r="G28" i="115" s="1"/>
  <c r="F34" i="115" a="1"/>
  <c r="F34" i="115" s="1"/>
  <c r="G34" i="115" s="1" a="1"/>
  <c r="G34" i="115" s="1"/>
  <c r="F21" i="115" a="1"/>
  <c r="F21" i="115" s="1"/>
  <c r="G21" i="115" s="1" a="1"/>
  <c r="G21" i="115" s="1"/>
  <c r="F31" i="115" a="1"/>
  <c r="F31" i="115" s="1"/>
  <c r="G31" i="115" s="1" a="1"/>
  <c r="G31" i="115" s="1"/>
  <c r="F35" i="115" a="1"/>
  <c r="F35" i="115" s="1"/>
  <c r="G35" i="115" s="1" a="1"/>
  <c r="G35" i="115" s="1"/>
  <c r="F22" i="115" a="1"/>
  <c r="F22" i="115" s="1"/>
  <c r="G22" i="115" s="1" a="1"/>
  <c r="G22" i="115" s="1"/>
  <c r="F32" i="115" a="1"/>
  <c r="F32" i="115" s="1"/>
  <c r="G32" i="115" s="1" a="1"/>
  <c r="G32" i="115" s="1"/>
  <c r="F33" i="69" a="1"/>
  <c r="F33" i="69" s="1"/>
  <c r="F26" i="69" a="1"/>
  <c r="F26" i="69" s="1"/>
  <c r="F22" i="69" a="1"/>
  <c r="F22" i="69" s="1"/>
  <c r="F28" i="69" a="1"/>
  <c r="F28" i="69" s="1"/>
  <c r="F32" i="69" a="1"/>
  <c r="F32" i="69" s="1"/>
  <c r="F27" i="69" a="1"/>
  <c r="F27" i="69" s="1"/>
  <c r="F36" i="69" a="1"/>
  <c r="F36" i="69" s="1"/>
  <c r="F30" i="69" a="1"/>
  <c r="F30" i="69" s="1"/>
  <c r="F35" i="69" a="1"/>
  <c r="F35" i="69" s="1"/>
  <c r="F29" i="69" a="1"/>
  <c r="F29" i="69" s="1"/>
  <c r="F21" i="69" a="1"/>
  <c r="F21" i="69" s="1"/>
  <c r="D19" i="69"/>
  <c r="F19" i="69" s="1" a="1"/>
  <c r="F19" i="69" s="1"/>
  <c r="F34" i="69" a="1"/>
  <c r="F34" i="69" s="1"/>
  <c r="F31" i="69" a="1"/>
  <c r="F31" i="69" s="1"/>
  <c r="F25" i="69" a="1"/>
  <c r="F25" i="69" s="1"/>
  <c r="F24" i="69" a="1"/>
  <c r="F24" i="69" s="1"/>
  <c r="F23" i="69" a="1"/>
  <c r="F23" i="69" s="1"/>
  <c r="F20" i="69" a="1"/>
  <c r="F20" i="69" s="1"/>
  <c r="F32" i="74" a="1"/>
  <c r="F32" i="74" s="1"/>
  <c r="F24" i="74" a="1"/>
  <c r="F24" i="74" s="1"/>
  <c r="F20" i="74" a="1"/>
  <c r="F20" i="74" s="1"/>
  <c r="F22" i="74" a="1"/>
  <c r="F22" i="74" s="1"/>
  <c r="F25" i="74" a="1"/>
  <c r="F25" i="74" s="1"/>
  <c r="F35" i="74" a="1"/>
  <c r="F35" i="74" s="1"/>
  <c r="F29" i="74" a="1"/>
  <c r="F29" i="74" s="1"/>
  <c r="F36" i="74" a="1"/>
  <c r="F36" i="74" s="1"/>
  <c r="F31" i="74" a="1"/>
  <c r="F31" i="74" s="1"/>
  <c r="F34" i="74" a="1"/>
  <c r="F34" i="74" s="1"/>
  <c r="D19" i="74"/>
  <c r="F19" i="74" s="1" a="1"/>
  <c r="F19" i="74" s="1"/>
  <c r="F23" i="74" a="1"/>
  <c r="F23" i="74" s="1"/>
  <c r="F26" i="74" a="1"/>
  <c r="F26" i="74" s="1"/>
  <c r="F30" i="74" a="1"/>
  <c r="F30" i="74" s="1"/>
  <c r="F33" i="74" a="1"/>
  <c r="F33" i="74" s="1"/>
  <c r="F27" i="74" a="1"/>
  <c r="F27" i="74" s="1"/>
  <c r="F21" i="74" a="1"/>
  <c r="F21" i="74" s="1"/>
  <c r="F28" i="74" a="1"/>
  <c r="F28" i="74" s="1"/>
  <c r="A8" i="13"/>
  <c r="A5" i="13"/>
  <c r="A3" i="13"/>
  <c r="W51" i="69" l="1"/>
  <c r="W52" i="69"/>
  <c r="T52" i="69"/>
  <c r="U52" i="69" s="1"/>
  <c r="Q52" i="69"/>
  <c r="S52" i="69" a="1"/>
  <c r="S52" i="69" s="1"/>
  <c r="R52" i="69" a="1"/>
  <c r="R52" i="69" s="1"/>
  <c r="E37" i="74" a="1"/>
  <c r="E37" i="74" s="1"/>
  <c r="G37" i="74" s="1" a="1"/>
  <c r="G37" i="74" s="1"/>
  <c r="E76" i="74" s="1" a="1"/>
  <c r="E76" i="74" s="1"/>
  <c r="G26" i="69" a="1"/>
  <c r="G26" i="69" s="1"/>
  <c r="E30" i="116" s="1"/>
  <c r="F30" i="116" s="1" a="1"/>
  <c r="F30" i="116" s="1"/>
  <c r="E22" i="74" a="1"/>
  <c r="E22" i="74" s="1"/>
  <c r="G22" i="74" s="1" a="1"/>
  <c r="G22" i="74" s="1"/>
  <c r="E61" i="74" s="1" a="1"/>
  <c r="E61" i="74" s="1"/>
  <c r="E19" i="74" a="1"/>
  <c r="E19" i="74" s="1"/>
  <c r="G19" i="74" s="1" a="1"/>
  <c r="G19" i="74" s="1"/>
  <c r="E58" i="74" s="1" a="1"/>
  <c r="E58" i="74" s="1"/>
  <c r="G20" i="69" a="1"/>
  <c r="G20" i="69" s="1"/>
  <c r="E24" i="116" s="1"/>
  <c r="F24" i="116" s="1" a="1"/>
  <c r="F24" i="116" s="1"/>
  <c r="E31" i="74" a="1"/>
  <c r="E31" i="74" s="1"/>
  <c r="G31" i="74" s="1" a="1"/>
  <c r="G31" i="74" s="1"/>
  <c r="E70" i="74" s="1" a="1"/>
  <c r="E70" i="74" s="1"/>
  <c r="E35" i="74" a="1"/>
  <c r="E35" i="74" s="1"/>
  <c r="G35" i="74" s="1" a="1"/>
  <c r="G35" i="74" s="1"/>
  <c r="E74" i="74" s="1" a="1"/>
  <c r="E74" i="74" s="1"/>
  <c r="G25" i="69" a="1"/>
  <c r="G25" i="69" s="1"/>
  <c r="E29" i="116" s="1"/>
  <c r="F29" i="116" s="1" a="1"/>
  <c r="F29" i="116" s="1"/>
  <c r="G23" i="69" a="1"/>
  <c r="G23" i="69" s="1"/>
  <c r="E27" i="116" s="1"/>
  <c r="F27" i="116" s="1" a="1"/>
  <c r="F27" i="116" s="1"/>
  <c r="G37" i="69" a="1"/>
  <c r="G37" i="69" s="1"/>
  <c r="E33" i="74" a="1"/>
  <c r="E33" i="74" s="1"/>
  <c r="G33" i="74" s="1" a="1"/>
  <c r="G33" i="74" s="1"/>
  <c r="E72" i="74" s="1" a="1"/>
  <c r="E72" i="74" s="1"/>
  <c r="E34" i="74" a="1"/>
  <c r="E34" i="74" s="1"/>
  <c r="G34" i="74" s="1" a="1"/>
  <c r="G34" i="74" s="1"/>
  <c r="E73" i="74" s="1" a="1"/>
  <c r="E73" i="74" s="1"/>
  <c r="E26" i="74" a="1"/>
  <c r="E26" i="74" s="1"/>
  <c r="G26" i="74" s="1" a="1"/>
  <c r="G26" i="74" s="1"/>
  <c r="E65" i="74" s="1" a="1"/>
  <c r="E65" i="74" s="1"/>
  <c r="G27" i="69" a="1"/>
  <c r="G27" i="69" s="1"/>
  <c r="E31" i="116" s="1"/>
  <c r="F31" i="116" s="1" a="1"/>
  <c r="F31" i="116" s="1"/>
  <c r="E21" i="74" a="1"/>
  <c r="E21" i="74" s="1"/>
  <c r="G21" i="74" s="1" a="1"/>
  <c r="G21" i="74" s="1"/>
  <c r="E60" i="74" s="1" a="1"/>
  <c r="E60" i="74" s="1"/>
  <c r="G21" i="69" a="1"/>
  <c r="G21" i="69" s="1"/>
  <c r="E25" i="116" s="1"/>
  <c r="F25" i="116" s="1" a="1"/>
  <c r="F25" i="116" s="1"/>
  <c r="E28" i="74" a="1"/>
  <c r="E28" i="74" s="1"/>
  <c r="G28" i="74" s="1" a="1"/>
  <c r="G28" i="74" s="1"/>
  <c r="E67" i="74" s="1" a="1"/>
  <c r="E67" i="74" s="1"/>
  <c r="G29" i="69" a="1"/>
  <c r="G29" i="69" s="1"/>
  <c r="E33" i="116" s="1"/>
  <c r="F33" i="116" s="1" a="1"/>
  <c r="F33" i="116" s="1"/>
  <c r="G28" i="69" a="1"/>
  <c r="G28" i="69" s="1"/>
  <c r="E32" i="116" s="1"/>
  <c r="F32" i="116" s="1" a="1"/>
  <c r="F32" i="116" s="1"/>
  <c r="G35" i="69" a="1"/>
  <c r="G35" i="69" s="1"/>
  <c r="E39" i="116" s="1"/>
  <c r="F39" i="116" s="1" a="1"/>
  <c r="F39" i="116" s="1"/>
  <c r="G31" i="69" a="1"/>
  <c r="G31" i="69" s="1"/>
  <c r="E35" i="116" s="1"/>
  <c r="F35" i="116" s="1" a="1"/>
  <c r="F35" i="116" s="1"/>
  <c r="E23" i="74" a="1"/>
  <c r="E23" i="74" s="1"/>
  <c r="G23" i="74" s="1" a="1"/>
  <c r="G23" i="74" s="1"/>
  <c r="E62" i="74" s="1" a="1"/>
  <c r="E62" i="74" s="1"/>
  <c r="E25" i="74" a="1"/>
  <c r="E25" i="74" s="1"/>
  <c r="G25" i="74" s="1" a="1"/>
  <c r="G25" i="74" s="1"/>
  <c r="E64" i="74" s="1" a="1"/>
  <c r="E64" i="74" s="1"/>
  <c r="E29" i="74" a="1"/>
  <c r="E29" i="74" s="1"/>
  <c r="G29" i="74" s="1" a="1"/>
  <c r="G29" i="74" s="1"/>
  <c r="E68" i="74" s="1" a="1"/>
  <c r="E68" i="74" s="1"/>
  <c r="E36" i="74" a="1"/>
  <c r="E36" i="74" s="1"/>
  <c r="G36" i="74" s="1" a="1"/>
  <c r="G36" i="74" s="1"/>
  <c r="E75" i="74" s="1" a="1"/>
  <c r="E75" i="74" s="1"/>
  <c r="G19" i="69" a="1"/>
  <c r="G19" i="69" s="1"/>
  <c r="E23" i="116" s="1"/>
  <c r="F23" i="116" s="1" a="1"/>
  <c r="F23" i="116" s="1"/>
  <c r="E32" i="74" a="1"/>
  <c r="E32" i="74" s="1"/>
  <c r="G32" i="74" s="1" a="1"/>
  <c r="G32" i="74" s="1"/>
  <c r="E71" i="74" s="1" a="1"/>
  <c r="E71" i="74" s="1"/>
  <c r="G34" i="69" a="1"/>
  <c r="G34" i="69" s="1"/>
  <c r="E38" i="116" s="1"/>
  <c r="F38" i="116" s="1" a="1"/>
  <c r="F38" i="116" s="1"/>
  <c r="E20" i="74" a="1"/>
  <c r="E20" i="74" s="1"/>
  <c r="G20" i="74" s="1" a="1"/>
  <c r="G20" i="74" s="1"/>
  <c r="E59" i="74" s="1" a="1"/>
  <c r="E59" i="74" s="1"/>
  <c r="G33" i="69" a="1"/>
  <c r="G33" i="69" s="1"/>
  <c r="E37" i="116" s="1"/>
  <c r="F37" i="116" s="1" a="1"/>
  <c r="F37" i="116" s="1"/>
  <c r="G32" i="69" a="1"/>
  <c r="G32" i="69" s="1"/>
  <c r="E36" i="116" s="1"/>
  <c r="F36" i="116" s="1" a="1"/>
  <c r="F36" i="116" s="1"/>
  <c r="G30" i="69" a="1"/>
  <c r="G30" i="69" s="1"/>
  <c r="E34" i="116" s="1"/>
  <c r="F34" i="116" s="1" a="1"/>
  <c r="F34" i="116" s="1"/>
  <c r="E27" i="74" a="1"/>
  <c r="E27" i="74" s="1"/>
  <c r="G27" i="74" s="1" a="1"/>
  <c r="G27" i="74" s="1"/>
  <c r="E66" i="74" s="1" a="1"/>
  <c r="E66" i="74" s="1"/>
  <c r="G22" i="69" a="1"/>
  <c r="G22" i="69" s="1"/>
  <c r="E26" i="116" s="1"/>
  <c r="F26" i="116" s="1" a="1"/>
  <c r="F26" i="116" s="1"/>
  <c r="E24" i="74" a="1"/>
  <c r="E24" i="74" s="1"/>
  <c r="G24" i="74" s="1" a="1"/>
  <c r="G24" i="74" s="1"/>
  <c r="E63" i="74" s="1" a="1"/>
  <c r="E63" i="74" s="1"/>
  <c r="G24" i="69" a="1"/>
  <c r="G24" i="69" s="1"/>
  <c r="E28" i="116" s="1"/>
  <c r="F28" i="116" s="1" a="1"/>
  <c r="F28" i="116" s="1"/>
  <c r="G36" i="69" a="1"/>
  <c r="G36" i="69" s="1"/>
  <c r="E40" i="116" s="1"/>
  <c r="F40" i="116" s="1" a="1"/>
  <c r="F40" i="116" s="1"/>
  <c r="O50" i="69"/>
  <c r="Q51" i="69"/>
  <c r="T51" i="69"/>
  <c r="U51" i="69" s="1"/>
  <c r="S51" i="69" a="1"/>
  <c r="S51" i="69" s="1"/>
  <c r="R51" i="69" a="1"/>
  <c r="R51" i="69" s="1"/>
  <c r="O45" i="69" a="1"/>
  <c r="G30" i="74" a="1"/>
  <c r="G30" i="74" s="1"/>
  <c r="E69" i="74" s="1" a="1"/>
  <c r="E69" i="74" s="1"/>
  <c r="V52" i="69" l="1" a="1"/>
  <c r="V52" i="69" s="1"/>
  <c r="W49" i="69"/>
  <c r="S49" i="69" a="1"/>
  <c r="S49" i="69" s="1"/>
  <c r="T49" i="69"/>
  <c r="U49" i="69" s="1"/>
  <c r="R49" i="69" a="1"/>
  <c r="R49" i="69" s="1"/>
  <c r="Q49" i="69"/>
  <c r="W47" i="69"/>
  <c r="W48" i="69"/>
  <c r="R48" i="69" a="1"/>
  <c r="R48" i="69" s="1"/>
  <c r="T48" i="69"/>
  <c r="U48" i="69" s="1"/>
  <c r="S48" i="69" a="1"/>
  <c r="S48" i="69" s="1"/>
  <c r="Q48" i="69"/>
  <c r="S47" i="69" a="1"/>
  <c r="S47" i="69" s="1"/>
  <c r="W46" i="69"/>
  <c r="T50" i="69"/>
  <c r="U50" i="69" s="1"/>
  <c r="W50" i="69"/>
  <c r="E37" i="115"/>
  <c r="H37" i="115" s="1" a="1"/>
  <c r="H37" i="115" s="1"/>
  <c r="E77" i="115" s="1"/>
  <c r="F77" i="115" s="1" a="1"/>
  <c r="F77" i="115" s="1"/>
  <c r="E41" i="116"/>
  <c r="F41" i="116" s="1" a="1"/>
  <c r="F41" i="116" s="1"/>
  <c r="E43" i="116" s="1"/>
  <c r="J89" i="116" s="1"/>
  <c r="E94" i="116" s="1" a="1"/>
  <c r="E94" i="116" s="1"/>
  <c r="E78" i="74"/>
  <c r="S50" i="69" a="1"/>
  <c r="S50" i="69" s="1"/>
  <c r="R50" i="69" a="1"/>
  <c r="R50" i="69" s="1"/>
  <c r="Q50" i="69"/>
  <c r="V51" i="69" a="1"/>
  <c r="V51" i="69" s="1"/>
  <c r="E29" i="115"/>
  <c r="H29" i="115" s="1" a="1"/>
  <c r="H29" i="115" s="1"/>
  <c r="E69" i="115" s="1"/>
  <c r="F69" i="115" s="1" a="1"/>
  <c r="F69" i="115" s="1"/>
  <c r="E22" i="115"/>
  <c r="H22" i="115" s="1" a="1"/>
  <c r="H22" i="115" s="1"/>
  <c r="E62" i="115" s="1"/>
  <c r="F62" i="115" s="1" a="1"/>
  <c r="F62" i="115" s="1"/>
  <c r="E25" i="115"/>
  <c r="H25" i="115" s="1" a="1"/>
  <c r="H25" i="115" s="1"/>
  <c r="E65" i="115" s="1"/>
  <c r="F65" i="115" s="1" a="1"/>
  <c r="F65" i="115" s="1"/>
  <c r="E34" i="115"/>
  <c r="H34" i="115" s="1" a="1"/>
  <c r="H34" i="115" s="1"/>
  <c r="E74" i="115" s="1"/>
  <c r="F74" i="115" s="1" a="1"/>
  <c r="F74" i="115" s="1"/>
  <c r="E26" i="115"/>
  <c r="H26" i="115" s="1" a="1"/>
  <c r="H26" i="115" s="1"/>
  <c r="E66" i="115" s="1"/>
  <c r="F66" i="115" s="1" a="1"/>
  <c r="F66" i="115" s="1"/>
  <c r="E24" i="115"/>
  <c r="H24" i="115" s="1" a="1"/>
  <c r="H24" i="115" s="1"/>
  <c r="E64" i="115" s="1"/>
  <c r="F64" i="115" s="1" a="1"/>
  <c r="F64" i="115" s="1"/>
  <c r="E35" i="115"/>
  <c r="H35" i="115" s="1" a="1"/>
  <c r="H35" i="115" s="1"/>
  <c r="E75" i="115" s="1"/>
  <c r="F75" i="115" s="1" a="1"/>
  <c r="F75" i="115" s="1"/>
  <c r="E23" i="115"/>
  <c r="H23" i="115" s="1" a="1"/>
  <c r="H23" i="115" s="1"/>
  <c r="E63" i="115" s="1"/>
  <c r="F63" i="115" s="1" a="1"/>
  <c r="F63" i="115" s="1"/>
  <c r="E21" i="115"/>
  <c r="H21" i="115" s="1" a="1"/>
  <c r="H21" i="115" s="1"/>
  <c r="E61" i="115" s="1"/>
  <c r="F61" i="115" s="1" a="1"/>
  <c r="F61" i="115" s="1"/>
  <c r="E19" i="115"/>
  <c r="H19" i="115" s="1" a="1"/>
  <c r="H19" i="115" s="1"/>
  <c r="E59" i="115" s="1"/>
  <c r="F59" i="115" s="1" a="1"/>
  <c r="F59" i="115" s="1"/>
  <c r="E27" i="115"/>
  <c r="H27" i="115" s="1" a="1"/>
  <c r="H27" i="115" s="1"/>
  <c r="E67" i="115" s="1"/>
  <c r="F67" i="115" s="1" a="1"/>
  <c r="F67" i="115" s="1"/>
  <c r="E30" i="115"/>
  <c r="H30" i="115" s="1" a="1"/>
  <c r="H30" i="115" s="1"/>
  <c r="E70" i="115" s="1"/>
  <c r="F70" i="115" s="1" a="1"/>
  <c r="F70" i="115" s="1"/>
  <c r="E28" i="115"/>
  <c r="H28" i="115" s="1" a="1"/>
  <c r="H28" i="115" s="1"/>
  <c r="E68" i="115" s="1"/>
  <c r="F68" i="115" s="1" a="1"/>
  <c r="F68" i="115" s="1"/>
  <c r="E33" i="115"/>
  <c r="H33" i="115" s="1" a="1"/>
  <c r="H33" i="115" s="1"/>
  <c r="E73" i="115" s="1"/>
  <c r="F73" i="115" s="1" a="1"/>
  <c r="F73" i="115" s="1"/>
  <c r="E32" i="115"/>
  <c r="H32" i="115" s="1" a="1"/>
  <c r="H32" i="115" s="1"/>
  <c r="E72" i="115" s="1"/>
  <c r="F72" i="115" s="1" a="1"/>
  <c r="F72" i="115" s="1"/>
  <c r="E31" i="115"/>
  <c r="H31" i="115" s="1" a="1"/>
  <c r="H31" i="115" s="1"/>
  <c r="E71" i="115" s="1"/>
  <c r="F71" i="115" s="1" a="1"/>
  <c r="F71" i="115" s="1"/>
  <c r="E36" i="115"/>
  <c r="H36" i="115" s="1" a="1"/>
  <c r="H36" i="115" s="1"/>
  <c r="E76" i="115" s="1"/>
  <c r="F76" i="115" s="1" a="1"/>
  <c r="F76" i="115" s="1"/>
  <c r="E20" i="115"/>
  <c r="H20" i="115" s="1" a="1"/>
  <c r="H20" i="115" s="1"/>
  <c r="E60" i="115" s="1"/>
  <c r="F60" i="115" s="1" a="1"/>
  <c r="F60" i="115" s="1"/>
  <c r="Q46" i="69"/>
  <c r="T46" i="69"/>
  <c r="U46" i="69" s="1"/>
  <c r="S46" i="69" a="1"/>
  <c r="S46" i="69" s="1"/>
  <c r="R46" i="69" a="1"/>
  <c r="R46" i="69" s="1"/>
  <c r="T47" i="69"/>
  <c r="U47" i="69" s="1"/>
  <c r="O45" i="69"/>
  <c r="R47" i="69" a="1"/>
  <c r="R47" i="69" s="1"/>
  <c r="Q47" i="69"/>
  <c r="V48" i="69" l="1" a="1"/>
  <c r="V48" i="69" s="1"/>
  <c r="V49" i="69" a="1"/>
  <c r="V49" i="69" s="1"/>
  <c r="S45" i="69" a="1"/>
  <c r="S45" i="69" s="1"/>
  <c r="W45" i="69"/>
  <c r="V50" i="69" a="1"/>
  <c r="V50" i="69" s="1"/>
  <c r="E79" i="115"/>
  <c r="E13" i="13" s="1"/>
  <c r="F13" i="13" s="1"/>
  <c r="T45" i="69"/>
  <c r="U45" i="69" s="1"/>
  <c r="H10" i="13"/>
  <c r="I10" i="13" s="1"/>
  <c r="E10" i="13"/>
  <c r="F10" i="13" s="1"/>
  <c r="E14" i="13"/>
  <c r="F14" i="13" s="1"/>
  <c r="G96" i="116"/>
  <c r="E99" i="116" s="1" a="1"/>
  <c r="E99" i="116" s="1"/>
  <c r="H14" i="13" s="1"/>
  <c r="I14" i="13" s="1"/>
  <c r="Q45" i="69"/>
  <c r="R45" i="69" a="1"/>
  <c r="R45" i="69" s="1"/>
  <c r="V46" i="69" a="1"/>
  <c r="V46" i="69" s="1"/>
  <c r="V47" i="69" a="1"/>
  <c r="V47" i="69" s="1"/>
  <c r="E78" i="69" a="1"/>
  <c r="E78" i="69" s="1"/>
  <c r="G81" i="115" l="1"/>
  <c r="E84" i="115" s="1" a="1"/>
  <c r="E84" i="115" s="1"/>
  <c r="H13" i="13" s="1"/>
  <c r="I13" i="13" s="1"/>
  <c r="V45" i="69" a="1"/>
  <c r="V45" i="69" s="1"/>
  <c r="E74" i="69" a="1"/>
  <c r="E74" i="69" s="1"/>
  <c r="E62" i="69" a="1"/>
  <c r="E62" i="69" s="1"/>
  <c r="E65" i="69" a="1"/>
  <c r="E65" i="69" s="1"/>
  <c r="E72" i="69" a="1"/>
  <c r="E72" i="69" s="1"/>
  <c r="E70" i="69" a="1"/>
  <c r="E70" i="69" s="1"/>
  <c r="E66" i="69" a="1"/>
  <c r="E66" i="69" s="1"/>
  <c r="E60" i="69" a="1"/>
  <c r="E60" i="69" s="1"/>
  <c r="E63" i="69" a="1"/>
  <c r="E63" i="69" s="1"/>
  <c r="E69" i="69" a="1"/>
  <c r="E69" i="69" s="1"/>
  <c r="E68" i="69" a="1"/>
  <c r="E68" i="69" s="1"/>
  <c r="E71" i="69" a="1"/>
  <c r="E71" i="69" s="1"/>
  <c r="E76" i="69" a="1"/>
  <c r="E76" i="69" s="1"/>
  <c r="E75" i="69" a="1"/>
  <c r="E75" i="69" s="1"/>
  <c r="E61" i="69" a="1"/>
  <c r="E61" i="69" s="1"/>
  <c r="E67" i="69" a="1"/>
  <c r="E67" i="69" s="1"/>
  <c r="E77" i="69" a="1"/>
  <c r="E77" i="69" s="1"/>
  <c r="E64" i="69" a="1"/>
  <c r="E64" i="69" s="1"/>
  <c r="E73" i="69" a="1"/>
  <c r="E73" i="69" s="1"/>
  <c r="S68" i="69" a="1"/>
  <c r="S68" i="69" s="1"/>
  <c r="E29" i="15"/>
  <c r="E50" i="113" s="1" a="1"/>
  <c r="E50" i="113" s="1"/>
  <c r="E80" i="69" l="1"/>
  <c r="G52" i="113"/>
  <c r="E55" i="113" s="1" a="1"/>
  <c r="E55" i="113" s="1"/>
  <c r="H11" i="13" s="1"/>
  <c r="I11" i="13" s="1"/>
  <c r="E11" i="13"/>
  <c r="F11" i="13" s="1"/>
  <c r="O86" i="69" a="1"/>
  <c r="O86" i="69" s="1"/>
  <c r="P86" i="69" s="1" a="1"/>
  <c r="P86" i="69" s="1"/>
  <c r="O84" i="69" a="1"/>
  <c r="O84" i="69" s="1"/>
  <c r="P84" i="69" s="1" a="1"/>
  <c r="P84" i="69" s="1"/>
  <c r="O78" i="69" a="1"/>
  <c r="O78" i="69" s="1"/>
  <c r="P78" i="69" s="1" a="1"/>
  <c r="P78" i="69" s="1"/>
  <c r="O80" i="69" a="1"/>
  <c r="O80" i="69" s="1"/>
  <c r="P80" i="69" s="1" a="1"/>
  <c r="P80" i="69" s="1"/>
  <c r="O79" i="69" a="1"/>
  <c r="O79" i="69" s="1"/>
  <c r="P79" i="69" s="1" a="1"/>
  <c r="P79" i="69" s="1"/>
  <c r="O81" i="69" a="1"/>
  <c r="O81" i="69" s="1"/>
  <c r="P81" i="69" s="1" a="1"/>
  <c r="P81" i="69" s="1"/>
  <c r="O83" i="69" a="1"/>
  <c r="O83" i="69" s="1"/>
  <c r="P83" i="69" s="1" a="1"/>
  <c r="P83" i="69" s="1"/>
  <c r="O85" i="69" a="1"/>
  <c r="O85" i="69" s="1"/>
  <c r="P85" i="69" s="1" a="1"/>
  <c r="P85" i="69" s="1"/>
  <c r="O82" i="69" a="1"/>
  <c r="O82" i="69" s="1"/>
  <c r="P82" i="69" s="1" a="1"/>
  <c r="P82" i="69" s="1"/>
  <c r="O77" i="69" a="1"/>
  <c r="O77" i="69" s="1"/>
  <c r="P77" i="69" s="1" a="1"/>
  <c r="P77" i="69" s="1"/>
  <c r="E13" i="15"/>
  <c r="G82" i="69" l="1"/>
  <c r="E85" i="69" s="1" a="1"/>
  <c r="E85" i="69" s="1"/>
  <c r="H9" i="13" s="1"/>
  <c r="H15" i="13" s="1"/>
  <c r="E9" i="13"/>
  <c r="N88" i="69"/>
  <c r="P90" i="69" l="1"/>
  <c r="N93" i="69" s="1" a="1"/>
  <c r="N93" i="69" s="1"/>
  <c r="I9" i="13" s="1"/>
  <c r="I15" i="13" s="1"/>
  <c r="F9" i="13"/>
  <c r="D35" i="70"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<sst xmlns="http://schemas.openxmlformats.org/spreadsheetml/2006/main" count="547" uniqueCount="328">
  <si>
    <t>Home</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</si>
  <si>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</si>
  <si>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</si>
  <si>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</si>
  <si>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</si>
  <si>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</si>
  <si>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</si>
  <si>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</si>
  <si>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</si>
  <si>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</si>
  <si>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</si>
  <si>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</si>
  <si>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</si>
  <si>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</si>
  <si>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</si>
  <si>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</si>
  <si>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</si>
  <si>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</si>
  <si>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</si>
  <si>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</si>
  <si>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</si>
  <si>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</si>
  <si>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</si>
  <si>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</si>
  <si>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</si>
  <si>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</si>
  <si>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</si>
  <si>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</si>
  <si>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</si>
  <si>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</si>
  <si>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</si>
  <si>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</si>
  <si>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</si>
  <si>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</si>
  <si>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</si>
  <si>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</si>
  <si>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</si>
  <si>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</si>
  <si>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</si>
  <si>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</si>
  <si>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</si>
  <si>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</si>
  <si>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</si>
  <si>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</si>
  <si>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</si>
  <si>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</si>
  <si>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</si>
  <si>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</si>
  <si>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</si>
  <si>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</si>
  <si>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</si>
  <si>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</si>
  <si>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</si>
  <si>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</si>
  <si>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</si>
  <si>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</si>
  <si>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</si>
  <si>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</si>
  <si>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</si>
  <si>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</si>
  <si>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</si>
  <si>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</si>
  <si>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</si>
  <si>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</si>
  <si>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</si>
  <si>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</si>
  <si>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</si>
  <si>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</si>
  <si>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</si>
  <si>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</si>
  <si>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</si>
  <si>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</si>
  <si>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</si>
  <si>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</si>
  <si>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</si>
  <si>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</si>
  <si>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</si>
  <si>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</si>
  <si>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</si>
  <si>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E</t>
    </r>
    <r>
      <rPr>
        <vertAlign val="subscript"/>
        <sz val="12"/>
        <color theme="1" tint="0.24994659260841701"/>
        <rFont val="Times New Roman"/>
        <family val="1"/>
      </rPr>
      <t>CO2e</t>
    </r>
  </si>
  <si>
    <t>Method 1</t>
  </si>
  <si>
    <t>Method 2</t>
  </si>
  <si>
    <t>Scope 1 source</t>
  </si>
  <si>
    <t>Production system j</t>
  </si>
  <si>
    <t>EFN2O</t>
  </si>
  <si>
    <t>Production system only</t>
  </si>
  <si>
    <t>Irrigation method</t>
  </si>
  <si>
    <t>Production system</t>
  </si>
  <si>
    <t>Total</t>
  </si>
  <si>
    <t>GHG Unit</t>
  </si>
  <si>
    <t>CO2-e unit</t>
  </si>
  <si>
    <t>Month</t>
  </si>
  <si>
    <t>Irrigation type i</t>
  </si>
  <si>
    <t>t CO2e</t>
  </si>
  <si>
    <t>EFPRP</t>
  </si>
  <si>
    <t>GHG emissions method 1</t>
  </si>
  <si>
    <t>GHG emissions method 2</t>
  </si>
  <si>
    <t>CO2-e emissions method 1</t>
  </si>
  <si>
    <t>CO2-e emissions method 2</t>
  </si>
  <si>
    <t>Season</t>
  </si>
  <si>
    <t>Western Australia</t>
  </si>
  <si>
    <t>t N2O</t>
  </si>
  <si>
    <t>Poultry manure with bedding</t>
  </si>
  <si>
    <t>Solid storage</t>
  </si>
  <si>
    <t>Composting (passive windrow)</t>
  </si>
  <si>
    <t>Digester / covered lagoons</t>
  </si>
  <si>
    <t>Pasture range and paddock</t>
  </si>
  <si>
    <t>Direct processing</t>
  </si>
  <si>
    <t>Direct application</t>
  </si>
  <si>
    <t>Constants - Fertiliser</t>
  </si>
  <si>
    <t>Basis</t>
  </si>
  <si>
    <t>Source</t>
  </si>
  <si>
    <t>Fertiliser type f</t>
  </si>
  <si>
    <t>Fertiliser products</t>
  </si>
  <si>
    <t>Product</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</si>
  <si>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</si>
  <si>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</si>
  <si>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</si>
  <si>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</si>
  <si>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</si>
  <si>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</si>
  <si>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</si>
  <si>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</si>
  <si>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</si>
  <si>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</si>
  <si>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</si>
  <si>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</si>
  <si>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FU f</t>
  </si>
  <si>
    <t>FNinorganic f</t>
  </si>
  <si>
    <t>Lifecycles Scope 3 definition</t>
  </si>
  <si>
    <t>FracGASF f</t>
  </si>
  <si>
    <t>Crop</t>
  </si>
  <si>
    <t>Sprinkler irrigation</t>
  </si>
  <si>
    <t>Irrigation methods</t>
  </si>
  <si>
    <t>Pasture</t>
  </si>
  <si>
    <t>Not irrigated</t>
  </si>
  <si>
    <t>Drip irrigation</t>
  </si>
  <si>
    <t>Surface irrigation</t>
  </si>
  <si>
    <t>Other irrigation</t>
  </si>
  <si>
    <t>Maize</t>
  </si>
  <si>
    <t>Cotton</t>
  </si>
  <si>
    <t>Grains</t>
  </si>
  <si>
    <t>kg</t>
  </si>
  <si>
    <r>
      <t>FN</t>
    </r>
    <r>
      <rPr>
        <b/>
        <vertAlign val="subscript"/>
        <sz val="11"/>
        <color rgb="FF183C1B"/>
        <rFont val="Times New Roman"/>
        <family val="1"/>
      </rPr>
      <t>inorganic,f</t>
    </r>
  </si>
  <si>
    <r>
      <t>TM</t>
    </r>
    <r>
      <rPr>
        <b/>
        <vertAlign val="subscript"/>
        <sz val="11"/>
        <color rgb="FF533001"/>
        <rFont val="Times New Roman"/>
        <family val="1"/>
      </rPr>
      <t>jf</t>
    </r>
  </si>
  <si>
    <t>Table_MN_j_f</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</si>
  <si>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</si>
  <si>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</si>
  <si>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</si>
  <si>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</si>
  <si>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</si>
  <si>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t>Application area (ha)</t>
  </si>
  <si>
    <t>Total applied (kg)</t>
  </si>
  <si>
    <t>Custom fertiliser blends</t>
  </si>
  <si>
    <t>Custom blend name</t>
  </si>
  <si>
    <t>Ingredient 1 (select)</t>
  </si>
  <si>
    <t>My first custom blend</t>
  </si>
  <si>
    <t>Potassium - Generic</t>
  </si>
  <si>
    <t>Sulfur - Generic</t>
  </si>
  <si>
    <r>
      <t xml:space="preserve">Amount applied </t>
    </r>
    <r>
      <rPr>
        <sz val="11"/>
        <color theme="1"/>
        <rFont val="Times New Roman"/>
        <family val="1"/>
      </rPr>
      <t>(kg / ha)</t>
    </r>
  </si>
  <si>
    <r>
      <t>MN</t>
    </r>
    <r>
      <rPr>
        <b/>
        <vertAlign val="subscript"/>
        <sz val="11"/>
        <color rgb="FF533001"/>
        <rFont val="Times New Roman"/>
        <family val="1"/>
      </rPr>
      <t>jf</t>
    </r>
  </si>
  <si>
    <t>Mass of nitrogen applied</t>
  </si>
  <si>
    <r>
      <t>E</t>
    </r>
    <r>
      <rPr>
        <b/>
        <vertAlign val="subscript"/>
        <sz val="16"/>
        <color theme="1" tint="0.24994659260841701"/>
        <rFont val="Times New Roman"/>
        <family val="1"/>
      </rPr>
      <t>N2O</t>
    </r>
  </si>
  <si>
    <t>Crop types</t>
  </si>
  <si>
    <t>Crop type</t>
  </si>
  <si>
    <t>N application rate (kg/ha)</t>
  </si>
  <si>
    <t>N Application rate</t>
  </si>
  <si>
    <t>Application area</t>
  </si>
  <si>
    <t>MN</t>
  </si>
  <si>
    <t>M1_Table_E_N2O</t>
  </si>
  <si>
    <t>Nitrous oxide emissions from inorganic fertiliser application (Method 1)</t>
  </si>
  <si>
    <t>Product applied</t>
  </si>
  <si>
    <t>Fertiliser product applications (Method 2)</t>
  </si>
  <si>
    <t>Not used - application rate calculated per product blend application</t>
  </si>
  <si>
    <t>M2_Table_FertApplications</t>
  </si>
  <si>
    <t>Custom blend</t>
  </si>
  <si>
    <t>Branded product</t>
  </si>
  <si>
    <t>MN for cotton</t>
  </si>
  <si>
    <t>hectares</t>
  </si>
  <si>
    <t>kg / hectare</t>
  </si>
  <si>
    <t>kg N2O-N/kg N applied</t>
  </si>
  <si>
    <t>N App. rate for cotton (max 300)</t>
  </si>
  <si>
    <r>
      <t>ALERT: For method 2 the application rate (N) and mass of nitrogen (MN) is calculated per</t>
    </r>
    <r>
      <rPr>
        <b/>
        <i/>
        <sz val="12"/>
        <color rgb="FFCC6600"/>
        <rFont val="Times New Roman"/>
        <family val="1"/>
      </rPr>
      <t xml:space="preserve"> fertiliser application instance</t>
    </r>
    <r>
      <rPr>
        <b/>
        <sz val="12"/>
        <color rgb="FFCC6600"/>
        <rFont val="Times New Roman"/>
        <family val="1"/>
      </rPr>
      <t>, not per fertiliser type.</t>
    </r>
  </si>
  <si>
    <r>
      <t>E</t>
    </r>
    <r>
      <rPr>
        <b/>
        <vertAlign val="subscript"/>
        <sz val="11"/>
        <color rgb="FF183C1B"/>
        <rFont val="Times New Roman"/>
        <family val="1"/>
      </rPr>
      <t>N2O</t>
    </r>
  </si>
  <si>
    <r>
      <t>EFj</t>
    </r>
    <r>
      <rPr>
        <b/>
        <vertAlign val="subscript"/>
        <sz val="11"/>
        <color rgb="FF183C1B"/>
        <rFont val="Times New Roman"/>
        <family val="1"/>
      </rPr>
      <t>N2O</t>
    </r>
  </si>
  <si>
    <t>Not used</t>
  </si>
  <si>
    <t>Area under cropping</t>
  </si>
  <si>
    <t>💡 You can add more rows to the table by right-clicking on the table and selecting "Insert &gt; Table rows above/below".</t>
  </si>
  <si>
    <t>💡 'Lime' refers to calcium carbonate - CaCO3. 'Dolomite' refers to calcium magnesium carbonate - CaMg(CO3)2</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</si>
  <si>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</si>
  <si>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</si>
  <si>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</si>
  <si>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</si>
  <si>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</si>
  <si>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Organic fertiliser applied</t>
  </si>
  <si>
    <t>Organic fertiliser type (select)</t>
  </si>
  <si>
    <t>Percentage of N in fertiliser</t>
  </si>
  <si>
    <t>Amount applied (kg/hectare)</t>
  </si>
  <si>
    <t>Amount N applied (kg/hectare)</t>
  </si>
  <si>
    <t>Total organic fertliser applied</t>
  </si>
  <si>
    <t>Total nitrogen applied (kg)</t>
  </si>
  <si>
    <t>Capped cotton applicationj rate to 300 based on VEERG "application rate of inorganic fertiliser type f in the cotton crop (kg N/ha). This is capped at a maximum of 0.0183 kg CO2e/kg N, equivalent to N application rates of 300 kg N/ha "</t>
  </si>
  <si>
    <t>5.1.1.1-2 Inorganic fertiliser application N2O emissions</t>
  </si>
  <si>
    <t>5.1.1.3-4 Inorganic fertiliser application CO2 emissions</t>
  </si>
  <si>
    <t>Table_MU_j_f</t>
  </si>
  <si>
    <t>Mass of urea applied</t>
  </si>
  <si>
    <r>
      <t>FU</t>
    </r>
    <r>
      <rPr>
        <b/>
        <vertAlign val="subscript"/>
        <sz val="11"/>
        <color rgb="FF183C1B"/>
        <rFont val="Times New Roman"/>
        <family val="1"/>
      </rPr>
      <t>f</t>
    </r>
  </si>
  <si>
    <t>M1_Table_E_CO2</t>
  </si>
  <si>
    <t>Carbon dioxide oxide emissions from inorganic fertiliser application (Method 1)</t>
  </si>
  <si>
    <r>
      <t>MU</t>
    </r>
    <r>
      <rPr>
        <b/>
        <vertAlign val="subscript"/>
        <sz val="11"/>
        <color rgb="FF533001"/>
        <rFont val="Times New Roman"/>
        <family val="1"/>
      </rPr>
      <t>jf</t>
    </r>
  </si>
  <si>
    <t>MAT (ºC)</t>
  </si>
  <si>
    <t>Anaerobic lagoon</t>
  </si>
  <si>
    <t>Liquid systems</t>
  </si>
  <si>
    <t>Daily spread</t>
  </si>
  <si>
    <t>Pit storage</t>
  </si>
  <si>
    <t>Deep litter</t>
  </si>
  <si>
    <t>Poultry manure without bedding</t>
  </si>
  <si>
    <t>MAT raw</t>
  </si>
  <si>
    <t>Ingredient 7</t>
  </si>
  <si>
    <t>Ingredient 7 percent</t>
  </si>
  <si>
    <t>Ingredient 8</t>
  </si>
  <si>
    <t>Ingredient 8 percent</t>
  </si>
  <si>
    <t>Ingredient 9</t>
  </si>
  <si>
    <t>Ingredient 9 percent</t>
  </si>
  <si>
    <t>Imngredient 10</t>
  </si>
  <si>
    <t>Ingredient 10 percent</t>
  </si>
  <si>
    <t>Include or Exclude</t>
  </si>
  <si>
    <t>Notes</t>
  </si>
  <si>
    <t>Company</t>
  </si>
  <si>
    <t>Product name</t>
  </si>
  <si>
    <t>Density / gravity</t>
  </si>
  <si>
    <t>Urea source</t>
  </si>
  <si>
    <t>Ammonia source</t>
  </si>
  <si>
    <t>EF_jN2O</t>
  </si>
  <si>
    <r>
      <t>E</t>
    </r>
    <r>
      <rPr>
        <b/>
        <vertAlign val="subscript"/>
        <sz val="16"/>
        <color theme="1" tint="0.24994659260841701"/>
        <rFont val="Times New Roman"/>
        <family val="1"/>
      </rPr>
      <t>CO2</t>
    </r>
  </si>
  <si>
    <t>5.2.1.1 1-2 Organic fertiliser application N2O emissions</t>
  </si>
  <si>
    <t>Organic fertiliser types</t>
  </si>
  <si>
    <t>Organic fertiliser type</t>
  </si>
  <si>
    <t>Manure - Cattle</t>
  </si>
  <si>
    <t>Manure - Poultry</t>
  </si>
  <si>
    <t>Manure - Swine</t>
  </si>
  <si>
    <t>Manure - Other</t>
  </si>
  <si>
    <t>Other organic fertiliser</t>
  </si>
  <si>
    <t>Table_MNSoil_j_f</t>
  </si>
  <si>
    <t>Organic fertiliser type (f)</t>
  </si>
  <si>
    <t>Amount applied (kg/ha)</t>
  </si>
  <si>
    <r>
      <t>M</t>
    </r>
    <r>
      <rPr>
        <b/>
        <vertAlign val="subscript"/>
        <sz val="11"/>
        <color rgb="FF183C1B"/>
        <rFont val="Times New Roman"/>
        <family val="1"/>
      </rPr>
      <t>organicjf</t>
    </r>
  </si>
  <si>
    <r>
      <t>FN</t>
    </r>
    <r>
      <rPr>
        <b/>
        <vertAlign val="subscript"/>
        <sz val="11"/>
        <color rgb="FF183C1B"/>
        <rFont val="Times New Roman"/>
        <family val="1"/>
      </rPr>
      <t>organicf</t>
    </r>
  </si>
  <si>
    <r>
      <t>MNSoil</t>
    </r>
    <r>
      <rPr>
        <b/>
        <vertAlign val="subscript"/>
        <sz val="11"/>
        <color rgb="FF183C1B"/>
        <rFont val="Times New Roman"/>
        <family val="1"/>
      </rPr>
      <t>jf</t>
    </r>
  </si>
  <si>
    <r>
      <t>MNSoil</t>
    </r>
    <r>
      <rPr>
        <b/>
        <vertAlign val="subscript"/>
        <sz val="12"/>
        <color theme="1" tint="0.24994659260841701"/>
        <rFont val="Times New Roman"/>
        <family val="1"/>
      </rPr>
      <t>jf</t>
    </r>
  </si>
  <si>
    <t>Mass of nitrogen in organic fertilisers</t>
  </si>
  <si>
    <t>Climate Zone</t>
  </si>
  <si>
    <t>EFNi &amp; EFN2Oi</t>
  </si>
  <si>
    <t>5.3.1.1 1-2 Lime application CO2</t>
  </si>
  <si>
    <t>Element</t>
  </si>
  <si>
    <t>M</t>
  </si>
  <si>
    <t>FracLime</t>
  </si>
  <si>
    <t>FracDol</t>
  </si>
  <si>
    <t>Elime</t>
  </si>
  <si>
    <r>
      <t>E</t>
    </r>
    <r>
      <rPr>
        <b/>
        <vertAlign val="subscript"/>
        <sz val="16"/>
        <color theme="1" tint="0.24994659260841701"/>
        <rFont val="Times New Roman"/>
        <family val="1"/>
      </rPr>
      <t>lime</t>
    </r>
  </si>
  <si>
    <t>t CO2</t>
  </si>
  <si>
    <t>Table_E_lime</t>
  </si>
  <si>
    <t>P</t>
  </si>
  <si>
    <t>EF</t>
  </si>
  <si>
    <t>Lime product 1</t>
  </si>
  <si>
    <t>Lime product 2</t>
  </si>
  <si>
    <t>Lime applications</t>
  </si>
  <si>
    <t>Chemical compound</t>
  </si>
  <si>
    <r>
      <t>MN</t>
    </r>
    <r>
      <rPr>
        <b/>
        <vertAlign val="subscript"/>
        <sz val="11"/>
        <color rgb="FF183C1B"/>
        <rFont val="Times New Roman"/>
        <family val="1"/>
      </rPr>
      <t>jf</t>
    </r>
  </si>
  <si>
    <r>
      <t>FracGASF</t>
    </r>
    <r>
      <rPr>
        <b/>
        <vertAlign val="subscript"/>
        <sz val="11"/>
        <color rgb="FF183C1B"/>
        <rFont val="Times New Roman"/>
        <family val="1"/>
      </rPr>
      <t>f</t>
    </r>
  </si>
  <si>
    <r>
      <t>M</t>
    </r>
    <r>
      <rPr>
        <b/>
        <vertAlign val="subscript"/>
        <sz val="11"/>
        <color rgb="FF183C1B"/>
        <rFont val="Times New Roman"/>
        <family val="1"/>
      </rPr>
      <t>volinorganicjf</t>
    </r>
  </si>
  <si>
    <t>Table_M_vol_inorganic_j_f</t>
  </si>
  <si>
    <t>Mass of nitrogen volatilised from inorganic fertiliser application</t>
  </si>
  <si>
    <r>
      <t>E</t>
    </r>
    <r>
      <rPr>
        <b/>
        <vertAlign val="subscript"/>
        <sz val="11"/>
        <color rgb="FF183C1B"/>
        <rFont val="Times New Roman"/>
        <family val="1"/>
      </rPr>
      <t>ad,inorganic</t>
    </r>
  </si>
  <si>
    <t>Table_M_vol_organic_j_f</t>
  </si>
  <si>
    <t>Mass of nitrogen volatilised from organic fertiliser applied</t>
  </si>
  <si>
    <r>
      <t>E</t>
    </r>
    <r>
      <rPr>
        <b/>
        <vertAlign val="subscript"/>
        <sz val="11"/>
        <color rgb="FF183C1B"/>
        <rFont val="Times New Roman"/>
        <family val="1"/>
      </rPr>
      <t>ad,organic</t>
    </r>
  </si>
  <si>
    <r>
      <t>M</t>
    </r>
    <r>
      <rPr>
        <b/>
        <vertAlign val="subscript"/>
        <sz val="11"/>
        <color rgb="FF183C1B"/>
        <rFont val="Times New Roman"/>
        <family val="1"/>
      </rPr>
      <t>vol,organic,jf</t>
    </r>
  </si>
  <si>
    <r>
      <t>E</t>
    </r>
    <r>
      <rPr>
        <b/>
        <vertAlign val="subscript"/>
        <sz val="16"/>
        <color theme="1" tint="0.24994659260841701"/>
        <rFont val="Times New Roman"/>
        <family val="1"/>
      </rPr>
      <t>ad,inorganic</t>
    </r>
  </si>
  <si>
    <r>
      <t>E</t>
    </r>
    <r>
      <rPr>
        <b/>
        <vertAlign val="subscript"/>
        <sz val="16"/>
        <color theme="1" tint="0.24994659260841701"/>
        <rFont val="Times New Roman"/>
        <family val="1"/>
      </rPr>
      <t>ad,organic</t>
    </r>
  </si>
  <si>
    <t>Table_E_ad_inorganic</t>
  </si>
  <si>
    <t>Atmospheric deposition emissions from inorganic fertiliser</t>
  </si>
  <si>
    <t>Table_E_ad_organic</t>
  </si>
  <si>
    <t>Atmospheric deposition emissions from organic fertiliser</t>
  </si>
  <si>
    <t>5.4.1.1-4  Atmospheric deposition resulting from fertiliser application</t>
  </si>
  <si>
    <t>5.5.1.1-2  Leaching and runoff</t>
  </si>
  <si>
    <r>
      <t>M</t>
    </r>
    <r>
      <rPr>
        <b/>
        <vertAlign val="subscript"/>
        <sz val="11"/>
        <color rgb="FF183C1B"/>
        <rFont val="Times New Roman"/>
        <family val="1"/>
      </rPr>
      <t>leach,inorganic,j</t>
    </r>
  </si>
  <si>
    <t>Table_M_leach_inorganic_j</t>
  </si>
  <si>
    <r>
      <t>M</t>
    </r>
    <r>
      <rPr>
        <b/>
        <vertAlign val="subscript"/>
        <sz val="12"/>
        <color theme="1" tint="0.24994659260841701"/>
        <rFont val="Times New Roman"/>
        <family val="1"/>
      </rPr>
      <t>leach,inorganic,j</t>
    </r>
  </si>
  <si>
    <t>Table_M_leach_organic_j</t>
  </si>
  <si>
    <t>Mass of nitrogen from inorganic fertiliser lost through leaching and runoff</t>
  </si>
  <si>
    <t>Mass of nitrogen from organic fertiliser lost through leaching and runoff</t>
  </si>
  <si>
    <r>
      <t>M</t>
    </r>
    <r>
      <rPr>
        <b/>
        <vertAlign val="subscript"/>
        <sz val="11"/>
        <color rgb="FF183C1B"/>
        <rFont val="Times New Roman"/>
        <family val="1"/>
      </rPr>
      <t>leach,organic,j</t>
    </r>
  </si>
  <si>
    <r>
      <t>M</t>
    </r>
    <r>
      <rPr>
        <b/>
        <vertAlign val="subscript"/>
        <sz val="12"/>
        <color theme="1" tint="0.24994659260841701"/>
        <rFont val="Times New Roman"/>
        <family val="1"/>
      </rPr>
      <t>leach,organic,j</t>
    </r>
  </si>
  <si>
    <r>
      <t>E</t>
    </r>
    <r>
      <rPr>
        <b/>
        <vertAlign val="subscript"/>
        <sz val="16"/>
        <color theme="1" tint="0.24994659260841701"/>
        <rFont val="Times New Roman"/>
        <family val="1"/>
      </rPr>
      <t>fert,leach</t>
    </r>
  </si>
  <si>
    <t>5.1.1.1-2 Inorganic fertiliser N2O</t>
  </si>
  <si>
    <t>5.1.1.3-4 Inorganic fertiliser CO2</t>
  </si>
  <si>
    <t>5.2.1.1-2 Organic fertiliser N2O</t>
  </si>
  <si>
    <t>5.3.1.1-3 Lime CO2</t>
  </si>
  <si>
    <t>5.4.1.1-5 Atmospheric deposition</t>
  </si>
  <si>
    <t>5.5.1.1-2 Leaching and runoff</t>
  </si>
  <si>
    <t>Aqua Finish</t>
  </si>
  <si>
    <t>💡 NOTE: When there is no Method 2, the Method 2 result are the same as Method 1</t>
  </si>
  <si>
    <t>`</t>
  </si>
  <si>
    <t xml:space="preserve">  </t>
  </si>
  <si>
    <t>Input - Fertiliser</t>
  </si>
  <si>
    <t>5: Fertiliser Use: Overview</t>
  </si>
  <si>
    <t>5: Fertiliser Use: Results</t>
  </si>
  <si>
    <t>💡 Below is a diagram that maps the equations used to calculate emissions, and how they interact with each other.</t>
  </si>
  <si>
    <t xml:space="preserve">    Click on a box to go to the corresponding calculation.</t>
  </si>
  <si>
    <t>Production systems</t>
  </si>
  <si>
    <t>Application unit</t>
  </si>
  <si>
    <t>Density</t>
  </si>
  <si>
    <t>Urea source (Select)</t>
  </si>
  <si>
    <t>Ammonia source (select)</t>
  </si>
  <si>
    <t>Calcium nitrate</t>
  </si>
  <si>
    <t>Zinc - Generic</t>
  </si>
  <si>
    <t>Soil ameliorants (lime)</t>
  </si>
  <si>
    <t>My second custom blend</t>
  </si>
  <si>
    <t>Urea</t>
  </si>
  <si>
    <r>
      <t xml:space="preserve">Amount applied </t>
    </r>
    <r>
      <rPr>
        <sz val="11"/>
        <color theme="1"/>
        <rFont val="Times New Roman"/>
        <family val="1"/>
      </rPr>
      <t>per hectare</t>
    </r>
  </si>
  <si>
    <t>CalPhos</t>
  </si>
  <si>
    <t>Aqua NitroCal</t>
  </si>
  <si>
    <t>Aqua Grow</t>
  </si>
  <si>
    <t xml:space="preserve">Nitrogen - Generic </t>
  </si>
  <si>
    <t>My third custom blend</t>
  </si>
  <si>
    <t>Ammonia</t>
  </si>
  <si>
    <t>Lime product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</si>
</sst>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s>
  <fonts count="7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sz val="12"/>
      <color rgb="FFCC6600"/>
      <name val="Times New Roman"/>
      <family val="1"/>
    </font>
    <font>
      <i/>
      <sz val="10"/>
      <color theme="6" tint="-0.499984740745262"/>
      <name val="Times New Roman"/>
      <family val="1"/>
    </font>
    <font>
      <i/>
      <sz val="10"/>
      <color theme="5" tint="-0.499984740745262"/>
      <name val="Times New Roman"/>
      <family val="1"/>
    </font>
    <font>
      <b/>
      <vertAlign val="subscript"/>
      <sz val="11"/>
      <color rgb="FF183C1B"/>
      <name val="Times New Roman"/>
      <family val="1"/>
    </font>
    <font>
      <b/>
      <vertAlign val="subscript"/>
      <sz val="11"/>
      <color rgb="FF533001"/>
      <name val="Times New Roman"/>
      <family val="1"/>
    </font>
    <font>
      <sz val="11"/>
      <name val="Times New Roman"/>
      <family val="1"/>
    </font>
    <font>
      <sz val="12"/>
      <name val="Times New Roman"/>
      <family val="1"/>
    </font>
    <font>
      <b/>
      <i/>
      <sz val="12"/>
      <color rgb="FFCC6600"/>
      <name val="Times New Roman"/>
      <family val="1"/>
    </font>
    <font>
      <b/>
      <sz val="10"/>
      <color theme="1" tint="0.14999847407452621"/>
      <name val="Times New Roman"/>
      <family val="1"/>
    </font>
    <font>
      <u/>
      <sz val="10"/>
      <color theme="1" tint="0.34998626667073579"/>
      <name val="Times New Roman"/>
      <family val="1"/>
    </font>
    <font>
      <b/>
      <vertAlign val="subscript"/>
      <sz val="12"/>
      <color theme="1" tint="0.24994659260841701"/>
      <name val="Times New Roman"/>
      <family val="1"/>
    </font>
    <font>
      <i/>
      <sz val="10"/>
      <color theme="1" tint="0.14999847407452621"/>
      <name val="Times New Roman"/>
      <family val="1"/>
      <scheme val="minor"/>
    </font>
    <font>
      <sz val="11"/>
      <color theme="1"/>
      <name val="Times New Roman"/>
      <family val="2"/>
    </font>
    <font>
      <b/>
      <sz val="20"/>
      <color theme="3" tint="9.9978637043366805E-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theme="9" tint="0.59999389629810485"/>
        <bgColor indexed="64"/>
      </patternFill>
    </fill>
    <fill>
      <patternFill patternType="solid">
        <fgColor rgb="FFDCECD0"/>
        <bgColor indexed="64"/>
      </patternFill>
    </fill>
  </fills>
  <borders count="26">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bottom style="thin">
        <color theme="3" tint="0.749961851863155"/>
      </bottom>
      <diagonal/>
    </border>
    <border>
      <left/>
      <right/>
      <top style="thin">
        <color theme="0" tint="-0.499984740745262"/>
      </top>
      <bottom/>
      <diagonal/>
    </border>
    <border>
      <left style="thin">
        <color theme="3" tint="0.749961851863155"/>
      </left>
      <right/>
      <top/>
      <bottom/>
      <diagonal/>
    </border>
    <border>
      <left/>
      <right style="thin">
        <color theme="3" tint="0.749961851863155"/>
      </right>
      <top/>
      <bottom/>
      <diagonal/>
    </border>
    <border>
      <left/>
      <right/>
      <top/>
      <bottom style="thin">
        <color indexed="64"/>
      </bottom>
      <diagonal/>
    </border>
    <border>
      <left style="thin">
        <color theme="0" tint="-0.34998626667073579"/>
      </left>
      <right style="thin">
        <color theme="0" tint="-0.34998626667073579"/>
      </right>
      <top/>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3"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5"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4"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8" fillId="4" borderId="0">
      <alignment horizontal="left" vertical="center"/>
    </xf>
    <xf numFmtId="0" fontId="49" fillId="4" borderId="0">
      <alignment horizontal="left" vertical="center"/>
    </xf>
    <xf numFmtId="0" fontId="55" fillId="4" borderId="0">
      <alignment horizontal="left" vertical="center"/>
    </xf>
    <xf numFmtId="0" fontId="47" fillId="11" borderId="0">
      <alignment horizontal="center" vertical="center"/>
    </xf>
    <xf numFmtId="0" fontId="22" fillId="11" borderId="0">
      <alignment horizontal="left" vertical="center" indent="1"/>
    </xf>
    <xf numFmtId="0" fontId="59" fillId="15" borderId="2">
      <alignment horizontal="center" vertical="center"/>
    </xf>
    <xf numFmtId="0" fontId="58" fillId="16" borderId="2">
      <alignment horizontal="center" vertical="center"/>
    </xf>
    <xf numFmtId="0" fontId="66" fillId="4" borderId="2">
      <alignment horizontal="left" vertical="center"/>
    </xf>
    <xf numFmtId="0" fontId="35" fillId="4" borderId="2">
      <alignment horizontal="left" vertical="center"/>
    </xf>
    <xf numFmtId="0" fontId="68" fillId="0" borderId="0"/>
  </cellStyleXfs>
  <cellXfs count="181">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5"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3"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40" fillId="4" borderId="1" xfId="8" applyBorder="1">
      <alignment horizontal="left" vertical="center"/>
    </xf>
    <xf numFmtId="4" fontId="26" fillId="0" borderId="0" xfId="18" applyFont="1" applyBorder="1">
      <alignment horizontal="center" vertical="center"/>
    </xf>
    <xf numFmtId="0" fontId="54"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168" fontId="2" fillId="0" borderId="2" xfId="44">
      <alignment horizontal="center" vertical="center"/>
    </xf>
    <xf numFmtId="0" fontId="44"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5" fillId="13" borderId="10" xfId="41" applyBorder="1">
      <alignment horizontal="left" vertical="center"/>
    </xf>
    <xf numFmtId="0" fontId="45" fillId="13" borderId="12" xfId="41" applyBorder="1">
      <alignment horizontal="left" vertical="center"/>
    </xf>
    <xf numFmtId="0" fontId="45" fillId="13" borderId="14"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7" xfId="41" applyBorder="1">
      <alignment horizontal="left" vertical="center"/>
    </xf>
    <xf numFmtId="0" fontId="45" fillId="13" borderId="11"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6" fillId="13" borderId="9" xfId="41" applyFont="1" applyBorder="1">
      <alignment horizontal="left" vertical="center"/>
    </xf>
    <xf numFmtId="0" fontId="49" fillId="4" borderId="0" xfId="61">
      <alignment horizontal="left" vertical="center"/>
    </xf>
    <xf numFmtId="0" fontId="48" fillId="4" borderId="0" xfId="60">
      <alignment horizontal="left" vertical="center"/>
    </xf>
    <xf numFmtId="0" fontId="35" fillId="4" borderId="19" xfId="55" applyBorder="1" applyAlignment="1">
      <alignment horizontal="left" vertical="center"/>
    </xf>
    <xf numFmtId="0" fontId="50" fillId="4" borderId="1" xfId="8" applyFont="1" applyBorder="1">
      <alignment horizontal="left" vertical="center"/>
    </xf>
    <xf numFmtId="0" fontId="51" fillId="4" borderId="1" xfId="8" applyFont="1" applyBorder="1">
      <alignment horizontal="left" vertical="center"/>
    </xf>
    <xf numFmtId="0" fontId="52"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5"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7" fillId="11" borderId="0" xfId="63">
      <alignment horizontal="center" vertical="center"/>
    </xf>
    <xf numFmtId="0" fontId="40" fillId="4" borderId="0" xfId="8" applyAlignment="1">
      <alignment horizontal="center" vertical="center"/>
    </xf>
    <xf numFmtId="0" fontId="45" fillId="13" borderId="9" xfId="41" applyBorder="1">
      <alignment horizontal="left" vertical="center"/>
    </xf>
    <xf numFmtId="0" fontId="57" fillId="4" borderId="0" xfId="62" applyFont="1">
      <alignment horizontal="left" vertical="center"/>
    </xf>
    <xf numFmtId="0" fontId="22" fillId="5" borderId="0" xfId="38">
      <alignment horizontal="left" vertical="center" indent="1"/>
    </xf>
    <xf numFmtId="0" fontId="22" fillId="11" borderId="0" xfId="64">
      <alignment horizontal="left" vertical="center" indent="1"/>
    </xf>
    <xf numFmtId="0" fontId="37" fillId="4" borderId="0" xfId="0" applyFont="1" applyFill="1"/>
    <xf numFmtId="0" fontId="0" fillId="0" borderId="0" xfId="0" applyAlignment="1">
      <alignment vertical="center"/>
    </xf>
    <xf numFmtId="0" fontId="13" fillId="6" borderId="0" xfId="30">
      <alignment horizontal="center" vertical="center"/>
      <protection locked="0"/>
    </xf>
    <xf numFmtId="0" fontId="62" fillId="4" borderId="0" xfId="0" applyFont="1" applyFill="1" applyAlignment="1">
      <alignment horizontal="center" vertical="center"/>
    </xf>
    <xf numFmtId="0" fontId="62" fillId="4" borderId="0" xfId="0" applyFont="1" applyFill="1"/>
    <xf numFmtId="0" fontId="63" fillId="4" borderId="0" xfId="0" applyFont="1" applyFill="1"/>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6" fillId="4" borderId="0" xfId="12" applyAlignment="1">
      <alignment horizontal="center" vertical="center"/>
    </xf>
    <xf numFmtId="0" fontId="58" fillId="16" borderId="2" xfId="66">
      <alignment horizontal="center" vertical="center"/>
    </xf>
    <xf numFmtId="0" fontId="59" fillId="15" borderId="2" xfId="65">
      <alignment horizontal="center" vertical="center"/>
    </xf>
    <xf numFmtId="0" fontId="35" fillId="4" borderId="6" xfId="55" applyBorder="1">
      <alignment horizontal="center" vertical="center"/>
    </xf>
    <xf numFmtId="0" fontId="3" fillId="12" borderId="2" xfId="16" applyAlignment="1">
      <alignment horizontal="center" vertical="center" wrapText="1"/>
    </xf>
    <xf numFmtId="4" fontId="0" fillId="0" borderId="0" xfId="18" applyFont="1" applyBorder="1" applyAlignment="1">
      <alignment horizontal="center" vertical="center" wrapText="1"/>
    </xf>
    <xf numFmtId="0" fontId="35" fillId="4" borderId="2" xfId="55" applyAlignment="1">
      <alignment horizontal="center" vertical="center" wrapText="1"/>
    </xf>
    <xf numFmtId="0" fontId="25" fillId="4" borderId="0" xfId="46" applyFont="1" applyFill="1" applyAlignment="1">
      <alignment horizontal="left" vertical="center" wrapText="1"/>
    </xf>
    <xf numFmtId="2" fontId="62" fillId="4" borderId="0" xfId="42" applyNumberFormat="1" applyFont="1" applyFill="1" applyBorder="1" applyAlignment="1" applyProtection="1">
      <alignment horizontal="center" wrapText="1"/>
      <protection locked="0"/>
    </xf>
    <xf numFmtId="1" fontId="62" fillId="4" borderId="0" xfId="42" applyNumberFormat="1" applyFont="1" applyFill="1" applyBorder="1" applyAlignment="1" applyProtection="1">
      <alignment horizontal="center" wrapText="1"/>
      <protection locked="0"/>
    </xf>
    <xf numFmtId="0" fontId="62" fillId="4" borderId="0" xfId="0" applyFont="1" applyFill="1" applyAlignment="1">
      <alignment horizontal="left" wrapText="1"/>
    </xf>
    <xf numFmtId="0" fontId="63" fillId="4" borderId="0" xfId="0" applyFont="1" applyFill="1" applyAlignment="1">
      <alignment wrapText="1"/>
    </xf>
    <xf numFmtId="0" fontId="40" fillId="4" borderId="0" xfId="8" applyAlignment="1">
      <alignment horizontal="left" vertical="center" wrapText="1"/>
    </xf>
    <xf numFmtId="0" fontId="54" fillId="4" borderId="0" xfId="50" applyAlignment="1">
      <alignment horizontal="left" vertical="center" wrapText="1"/>
    </xf>
    <xf numFmtId="0" fontId="0" fillId="4" borderId="0" xfId="0" applyFill="1" applyAlignment="1">
      <alignment wrapText="1"/>
    </xf>
    <xf numFmtId="0" fontId="0" fillId="0" borderId="0" xfId="0" applyAlignment="1">
      <alignment wrapText="1"/>
    </xf>
    <xf numFmtId="0" fontId="65" fillId="12" borderId="2" xfId="16" applyFont="1" applyAlignment="1">
      <alignment horizontal="center" vertical="center" wrapText="1"/>
    </xf>
    <xf numFmtId="0" fontId="65" fillId="12" borderId="2" xfId="16" applyFont="1">
      <alignment horizontal="center" vertical="center"/>
    </xf>
    <xf numFmtId="0" fontId="2" fillId="0" borderId="2" xfId="59">
      <alignment horizontal="center" vertical="center"/>
    </xf>
    <xf numFmtId="9" fontId="0" fillId="0" borderId="0" xfId="14" applyFont="1" applyFill="1" applyBorder="1" applyAlignment="1">
      <alignment horizontal="center" vertical="center" wrapText="1"/>
    </xf>
    <xf numFmtId="0" fontId="45" fillId="13" borderId="20" xfId="41" applyBorder="1">
      <alignment horizontal="left" vertical="center"/>
    </xf>
    <xf numFmtId="9" fontId="0" fillId="4" borderId="0" xfId="0" applyNumberFormat="1" applyFill="1"/>
    <xf numFmtId="0" fontId="13" fillId="6" borderId="0" xfId="30" applyAlignment="1">
      <alignment horizontal="center" vertical="center" wrapText="1"/>
      <protection locked="0"/>
    </xf>
    <xf numFmtId="0" fontId="0" fillId="0" borderId="0" xfId="15" applyFont="1" applyBorder="1" applyAlignment="1">
      <alignment horizontal="center" vertical="center" wrapText="1"/>
    </xf>
    <xf numFmtId="9" fontId="0" fillId="0" borderId="0" xfId="17" applyFont="1" applyBorder="1" applyAlignment="1">
      <alignment horizontal="center" vertical="center" wrapText="1"/>
    </xf>
    <xf numFmtId="0" fontId="37" fillId="0" borderId="0" xfId="0" applyFont="1" applyAlignment="1">
      <alignment wrapText="1"/>
    </xf>
    <xf numFmtId="0" fontId="0" fillId="0" borderId="0" xfId="0" applyAlignment="1">
      <alignment vertical="center" wrapText="1"/>
    </xf>
    <xf numFmtId="0" fontId="66" fillId="4" borderId="2" xfId="67">
      <alignment horizontal="left" vertical="center"/>
    </xf>
    <xf numFmtId="0" fontId="66" fillId="4" borderId="7" xfId="67" applyBorder="1">
      <alignment horizontal="left" vertical="center"/>
    </xf>
    <xf numFmtId="0" fontId="35" fillId="4" borderId="2" xfId="68">
      <alignment horizontal="left" vertical="center"/>
    </xf>
    <xf numFmtId="0" fontId="5" fillId="2" borderId="0" xfId="1">
      <alignment horizontal="left" vertical="center" indent="1"/>
      <protection locked="0"/>
    </xf>
    <xf numFmtId="0" fontId="41" fillId="4" borderId="1" xfId="8" applyFont="1" applyBorder="1">
      <alignment horizontal="left" vertical="center"/>
    </xf>
    <xf numFmtId="0" fontId="6" fillId="4" borderId="1" xfId="12" applyBorder="1">
      <alignment horizontal="left" vertical="center" indent="1"/>
    </xf>
    <xf numFmtId="4" fontId="35" fillId="4" borderId="2" xfId="55" applyNumberFormat="1">
      <alignment horizontal="center" vertical="center"/>
    </xf>
    <xf numFmtId="9" fontId="35" fillId="4" borderId="2" xfId="55" applyNumberFormat="1">
      <alignment horizontal="center" vertical="center"/>
    </xf>
    <xf numFmtId="0" fontId="35" fillId="4" borderId="6" xfId="68" applyBorder="1">
      <alignment horizontal="left" vertical="center"/>
    </xf>
    <xf numFmtId="0" fontId="35" fillId="4" borderId="7" xfId="68" applyBorder="1">
      <alignment horizontal="left" vertical="center"/>
    </xf>
    <xf numFmtId="0" fontId="35" fillId="4" borderId="19" xfId="68" applyBorder="1">
      <alignment horizontal="left" vertical="center"/>
    </xf>
    <xf numFmtId="0" fontId="40" fillId="4" borderId="21" xfId="8" applyBorder="1">
      <alignment horizontal="left" vertical="center"/>
    </xf>
    <xf numFmtId="0" fontId="68" fillId="0" borderId="0" xfId="69"/>
    <xf numFmtId="3" fontId="35" fillId="4" borderId="2" xfId="55" applyNumberFormat="1">
      <alignment horizontal="center" vertical="center"/>
    </xf>
    <xf numFmtId="4" fontId="35" fillId="4" borderId="2" xfId="49">
      <alignment horizontal="center" vertical="center"/>
    </xf>
    <xf numFmtId="0" fontId="52" fillId="4" borderId="1" xfId="12" applyFont="1" applyBorder="1">
      <alignment horizontal="left" vertical="center" indent="1"/>
    </xf>
    <xf numFmtId="0" fontId="45" fillId="13" borderId="22" xfId="41" applyBorder="1">
      <alignment horizontal="left" vertical="center"/>
    </xf>
    <xf numFmtId="0" fontId="45" fillId="13" borderId="0" xfId="41" applyBorder="1">
      <alignment horizontal="left" vertical="center"/>
    </xf>
    <xf numFmtId="0" fontId="45" fillId="13" borderId="23" xfId="41" applyBorder="1">
      <alignment horizontal="left" vertical="center"/>
    </xf>
    <xf numFmtId="9" fontId="3" fillId="4" borderId="0" xfId="14" applyFont="1" applyFill="1" applyAlignment="1">
      <alignment horizontal="center" vertical="center" wrapText="1"/>
    </xf>
    <xf numFmtId="0" fontId="5" fillId="2" borderId="0" xfId="9" applyAlignment="1">
      <alignment horizontal="center" vertical="center" wrapText="1"/>
    </xf>
    <xf numFmtId="0" fontId="40" fillId="4" borderId="24" xfId="8" applyBorder="1">
      <alignment horizontal="left" vertical="center"/>
    </xf>
    <xf numFmtId="0" fontId="5" fillId="2" borderId="0" xfId="1" applyAlignment="1">
      <alignment horizontal="center" vertical="center"/>
      <protection locked="0"/>
    </xf>
    <xf numFmtId="9" fontId="2" fillId="0" borderId="2" xfId="17">
      <alignment horizontal="center" vertical="center"/>
    </xf>
    <xf numFmtId="9" fontId="0" fillId="0" borderId="25" xfId="14" applyFont="1" applyFill="1" applyBorder="1" applyAlignment="1">
      <alignment horizontal="center" vertical="center" wrapText="1"/>
    </xf>
    <xf numFmtId="170" fontId="8" fillId="4" borderId="0" xfId="10" applyNumberFormat="1">
      <alignment horizontal="center" vertical="center"/>
    </xf>
    <xf numFmtId="0" fontId="70" fillId="9" borderId="0" xfId="33" applyFont="1" applyFill="1"/>
    <xf numFmtId="0" fontId="40" fillId="9" borderId="0" xfId="8" applyFill="1">
      <alignment horizontal="left" vertical="center"/>
    </xf>
    <xf numFmtId="0" fontId="0" fillId="9" borderId="0" xfId="0" applyFill="1"/>
    <xf numFmtId="0" fontId="17" fillId="11" borderId="0" xfId="32" applyFill="1">
      <alignment vertical="center"/>
    </xf>
    <xf numFmtId="0" fontId="46" fillId="13" borderId="11" xfId="41" applyFont="1" applyBorder="1">
      <alignment horizontal="left" vertical="center"/>
    </xf>
    <xf numFmtId="0" fontId="22" fillId="8" borderId="0" xfId="39">
      <alignment horizontal="left" vertical="center" indent="1"/>
    </xf>
    <xf numFmtId="0" fontId="22" fillId="10" borderId="0" xfId="37">
      <alignment horizontal="left" vertical="center" indent="1"/>
    </xf>
    <xf numFmtId="0" fontId="10" fillId="0" borderId="0" xfId="58" applyAlignment="1" applyProtection="1">
      <alignment horizontal="center" vertical="center" wrapText="1"/>
      <protection locked="0"/>
    </xf>
    <xf numFmtId="0" fontId="10" fillId="0" borderId="0" xfId="58" applyAlignment="1">
      <alignment horizontal="center" vertical="center" wrapText="1"/>
    </xf>
    <xf numFmtId="4" fontId="69" fillId="0" borderId="2" xfId="18" applyFont="1" applyAlignment="1">
      <alignment horizontal="center" vertical="center" wrapText="1"/>
    </xf>
  </cellXfs>
  <cellStyles count="70">
    <cellStyle name="Alert" xfId="62" xr:uid="{34EFE908-8095-4010-8F93-8CFE88055637}"/>
    <cellStyle name="Arguments" xfId="68" xr:uid="{E3322BF6-A528-4CDC-9946-1481D9CFA254}"/>
    <cellStyle name="Arguments hyperlink" xfId="67" xr:uid="{D7E69B6D-2E15-48E8-BF41-EE6FEA2FBEBE}"/>
    <cellStyle name="Back to top link" xfId="69" xr:uid="{13501F59-E048-49F8-88C6-8AF5C4ACD194}"/>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83ED2376-8555-47B3-98E3-2416CC880284}"/>
    <cellStyle name="Variable type other" xfId="66" xr:uid="{6646F6F7-E4F9-4165-8015-E25083532B5B}"/>
  </cellStyles>
  <dxfs count="204">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alignment horizontal="general" vertical="center" textRotation="0" wrapText="0"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203"/>
      <tableStyleElement type="headerRow" dxfId="202"/>
      <tableStyleElement type="totalRow" dxfId="201"/>
      <tableStyleElement type="firstColumn" dxfId="200"/>
      <tableStyleElement type="firstRowStripe" dxfId="199"/>
      <tableStyleElement type="secondRowStripe" dxfId="198"/>
    </tableStyle>
    <tableStyle name="Equation table" pivot="0" count="6" xr9:uid="{B247698E-E41D-4CCD-AA0A-C14817E9DE65}">
      <tableStyleElement type="wholeTable" dxfId="197"/>
      <tableStyleElement type="headerRow" dxfId="196"/>
      <tableStyleElement type="totalRow" dxfId="195"/>
      <tableStyleElement type="firstColumn" dxfId="194"/>
      <tableStyleElement type="firstRowStripe" dxfId="193"/>
      <tableStyleElement type="secondRowStripe" dxfId="192"/>
    </tableStyle>
    <tableStyle name="Table Style 1" pivot="0" count="0" xr9:uid="{97B370DB-5463-4A31-9160-5A96BD6A559D}"/>
  </tableStyles>
  <colors>
    <mruColors>
      <color rgb="FFFFCCCC"/>
      <color rgb="FF0C769E"/>
      <color rgb="FFCC6600"/>
      <color rgb="FFC4434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0/relationships/richValueRel" Target="richData/richValueRel.xml"/><Relationship Id="rId26" Type="http://schemas.openxmlformats.org/officeDocument/2006/relationships/customXml" Target="../customXml/item4.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1.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5.2.1.1-2 Organic Fert N2O'!D5"/><Relationship Id="rId13" Type="http://schemas.openxmlformats.org/officeDocument/2006/relationships/hyperlink" Target="#'5.4.1.1-4 Atmos deposition'!D40"/><Relationship Id="rId3" Type="http://schemas.openxmlformats.org/officeDocument/2006/relationships/hyperlink" Target="#'5.1.1.1-2 Inorganic fert N2O'!M5"/><Relationship Id="rId7" Type="http://schemas.openxmlformats.org/officeDocument/2006/relationships/hyperlink" Target="#'5.1.1.3-4 Inorganic fert CO2'!D40"/><Relationship Id="rId12" Type="http://schemas.openxmlformats.org/officeDocument/2006/relationships/hyperlink" Target="#'5.4.1.1-4 Atmos deposition'!D86"/><Relationship Id="rId17" Type="http://schemas.openxmlformats.org/officeDocument/2006/relationships/hyperlink" Target="#'5.5.1.1-2 Leaching and runoff'!D80"/><Relationship Id="rId2" Type="http://schemas.openxmlformats.org/officeDocument/2006/relationships/hyperlink" Target="#'5.1.1.1-2 Inorganic fert N2O'!D39"/><Relationship Id="rId16" Type="http://schemas.openxmlformats.org/officeDocument/2006/relationships/hyperlink" Target="#'5.5.1.1-2 Leaching and runoff'!D46"/><Relationship Id="rId1" Type="http://schemas.openxmlformats.org/officeDocument/2006/relationships/hyperlink" Target="#'5.1.1.1-2 Inorganic fert N2O'!D5"/><Relationship Id="rId6" Type="http://schemas.openxmlformats.org/officeDocument/2006/relationships/hyperlink" Target="#'5.1.1.3-4 Inorganic fert CO2'!D5"/><Relationship Id="rId11" Type="http://schemas.openxmlformats.org/officeDocument/2006/relationships/hyperlink" Target="#'5.4.1.1-4 Atmos deposition'!D5"/><Relationship Id="rId5" Type="http://schemas.openxmlformats.org/officeDocument/2006/relationships/hyperlink" Target="#'5.1.1.1-2 Inorganic fert N2O'!M27"/><Relationship Id="rId15" Type="http://schemas.openxmlformats.org/officeDocument/2006/relationships/hyperlink" Target="#'5.5.1.1-2 Leaching and runoff'!D5"/><Relationship Id="rId10" Type="http://schemas.openxmlformats.org/officeDocument/2006/relationships/hyperlink" Target="#'5.3.1.1-2 Lime CO2'!D5"/><Relationship Id="rId4" Type="http://schemas.openxmlformats.org/officeDocument/2006/relationships/hyperlink" Target="#'5.1.1.1-2 Inorganic fert N2O'!M16"/><Relationship Id="rId9" Type="http://schemas.openxmlformats.org/officeDocument/2006/relationships/hyperlink" Target="#'5.2.1.1-2 Organic Fert N2O'!D36"/><Relationship Id="rId14" Type="http://schemas.openxmlformats.org/officeDocument/2006/relationships/hyperlink" Target="#'5.4.1.1-4 Atmos deposition'!D114"/></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5.1.1.1-2</a:t>
          </a:r>
          <a:r>
            <a:rPr lang="en-AU" sz="1400" b="0" baseline="0">
              <a:solidFill>
                <a:srgbClr val="0C769E"/>
              </a:solidFill>
            </a:rPr>
            <a:t> </a:t>
          </a:r>
          <a:br>
            <a:rPr lang="en-AU" sz="1400" b="0" baseline="0">
              <a:solidFill>
                <a:srgbClr val="0C769E"/>
              </a:solidFill>
            </a:rPr>
          </a:br>
          <a:r>
            <a:rPr lang="en-AU" sz="1400" b="0">
              <a:solidFill>
                <a:srgbClr val="0C769E"/>
              </a:solidFill>
            </a:rPr>
            <a:t>Inorganic fertiliser</a:t>
          </a:r>
          <a:r>
            <a:rPr lang="en-AU" sz="1400" b="0" baseline="0">
              <a:solidFill>
                <a:srgbClr val="0C769E"/>
              </a:solidFill>
            </a:rPr>
            <a:t> N2O</a:t>
          </a:r>
          <a:endParaRPr lang="en-AU" sz="1400" b="0">
            <a:solidFill>
              <a:srgbClr val="0C769E"/>
            </a:solidFill>
          </a:endParaRPr>
        </a:p>
      </xdr:txBody>
    </xdr:sp>
    <xdr:clientData/>
  </xdr:oneCellAnchor>
  <xdr:twoCellAnchor>
    <xdr:from>
      <xdr:col>3</xdr:col>
      <xdr:colOff>110835</xdr:colOff>
      <xdr:row>9</xdr:row>
      <xdr:rowOff>185305</xdr:rowOff>
    </xdr:from>
    <xdr:to>
      <xdr:col>5</xdr:col>
      <xdr:colOff>403635</xdr:colOff>
      <xdr:row>12</xdr:row>
      <xdr:rowOff>162355</xdr:rowOff>
    </xdr:to>
    <xdr:sp macro="" textlink="'5.1.1.1-2 Inorganic fert N2O'!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25475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CE78B7-598E-4191-BAA4-A29785F0F603}" type="TxLink">
            <a:rPr lang="en-US" sz="1000" b="0" i="0" u="none" strike="noStrike">
              <a:solidFill>
                <a:srgbClr val="0C769E"/>
              </a:solidFill>
              <a:latin typeface="Times New Roman"/>
              <a:cs typeface="Times New Roman"/>
            </a:rPr>
            <a:pPr algn="ctr"/>
            <a:t>Mass of nitrogen in inorganic fertiliser applied to production system</a:t>
          </a:fld>
          <a:endParaRPr lang="en-AU" sz="1000">
            <a:solidFill>
              <a:srgbClr val="0C769E"/>
            </a:solidFill>
          </a:endParaRPr>
        </a:p>
      </xdr:txBody>
    </xdr:sp>
    <xdr:clientData/>
  </xdr:twoCellAnchor>
  <xdr:twoCellAnchor>
    <xdr:from>
      <xdr:col>3</xdr:col>
      <xdr:colOff>110835</xdr:colOff>
      <xdr:row>30</xdr:row>
      <xdr:rowOff>7421</xdr:rowOff>
    </xdr:from>
    <xdr:to>
      <xdr:col>5</xdr:col>
      <xdr:colOff>403635</xdr:colOff>
      <xdr:row>34</xdr:row>
      <xdr:rowOff>96821</xdr:rowOff>
    </xdr:to>
    <xdr:sp macro="" textlink="'5.1.1.1-2 Inorganic fert N2O'!D40">
      <xdr:nvSpPr>
        <xdr:cNvPr id="6" name="TextBox 5">
          <a:hlinkClick xmlns:r="http://schemas.openxmlformats.org/officeDocument/2006/relationships" r:id="rId2"/>
          <a:extLst>
            <a:ext uri="{FF2B5EF4-FFF2-40B4-BE49-F238E27FC236}">
              <a16:creationId xmlns:a16="http://schemas.microsoft.com/office/drawing/2014/main" id="{92C60931-49EB-4052-AFE6-EE250B5534A0}"/>
            </a:ext>
          </a:extLst>
        </xdr:cNvPr>
        <xdr:cNvSpPr txBox="1"/>
      </xdr:nvSpPr>
      <xdr:spPr>
        <a:xfrm>
          <a:off x="2787360" y="7570271"/>
          <a:ext cx="1512000" cy="108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AE8505-A046-44FC-8030-A58A475C9A08}" type="TxLink">
            <a:rPr lang="en-US" sz="1000" b="1" i="0" u="none" strike="noStrike">
              <a:solidFill>
                <a:srgbClr val="0C769E"/>
              </a:solidFill>
              <a:latin typeface="Times New Roman"/>
              <a:cs typeface="Times New Roman"/>
            </a:rPr>
            <a:pPr algn="ctr"/>
            <a:t>Nitrous oxide emissions from the application of all inorganic fertiliser types f to all production systems j</a:t>
          </a:fld>
          <a:endParaRPr lang="en-AU" sz="1000" b="1">
            <a:solidFill>
              <a:srgbClr val="0C769E"/>
            </a:solidFill>
          </a:endParaRPr>
        </a:p>
      </xdr:txBody>
    </xdr:sp>
    <xdr:clientData/>
  </xdr:twoCellAnchor>
  <xdr:twoCellAnchor>
    <xdr:from>
      <xdr:col>4</xdr:col>
      <xdr:colOff>250885</xdr:colOff>
      <xdr:row>12</xdr:row>
      <xdr:rowOff>168705</xdr:rowOff>
    </xdr:from>
    <xdr:to>
      <xdr:col>4</xdr:col>
      <xdr:colOff>263585</xdr:colOff>
      <xdr:row>30</xdr:row>
      <xdr:rowOff>13771</xdr:rowOff>
    </xdr:to>
    <xdr:cxnSp macro="">
      <xdr:nvCxnSpPr>
        <xdr:cNvPr id="8" name="Connector: Curved 7">
          <a:extLst>
            <a:ext uri="{FF2B5EF4-FFF2-40B4-BE49-F238E27FC236}">
              <a16:creationId xmlns:a16="http://schemas.microsoft.com/office/drawing/2014/main" id="{CA339BE0-C9CC-A833-19C7-F0553D27BDF7}"/>
            </a:ext>
          </a:extLst>
        </xdr:cNvPr>
        <xdr:cNvCxnSpPr>
          <a:stCxn id="5" idx="2"/>
          <a:endCxn id="6" idx="0"/>
        </xdr:cNvCxnSpPr>
      </xdr:nvCxnSpPr>
      <xdr:spPr>
        <a:xfrm rot="5400000">
          <a:off x="1391977" y="5418888"/>
          <a:ext cx="4302766"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269669</xdr:colOff>
      <xdr:row>19</xdr:row>
      <xdr:rowOff>156729</xdr:rowOff>
    </xdr:from>
    <xdr:to>
      <xdr:col>7</xdr:col>
      <xdr:colOff>562469</xdr:colOff>
      <xdr:row>22</xdr:row>
      <xdr:rowOff>8875</xdr:rowOff>
    </xdr:to>
    <xdr:sp macro="" textlink="'5.1.1.1-2 Inorganic fert N2O'!M5">
      <xdr:nvSpPr>
        <xdr:cNvPr id="10" name="TextBox 9">
          <a:hlinkClick xmlns:r="http://schemas.openxmlformats.org/officeDocument/2006/relationships" r:id="rId3"/>
          <a:extLst>
            <a:ext uri="{FF2B5EF4-FFF2-40B4-BE49-F238E27FC236}">
              <a16:creationId xmlns:a16="http://schemas.microsoft.com/office/drawing/2014/main" id="{5A342518-4851-479B-88AC-D4FD059E86AC}"/>
            </a:ext>
          </a:extLst>
        </xdr:cNvPr>
        <xdr:cNvSpPr txBox="1"/>
      </xdr:nvSpPr>
      <xdr:spPr>
        <a:xfrm>
          <a:off x="4165394" y="4995429"/>
          <a:ext cx="1512000" cy="59509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194092-BFBD-4263-B489-7EE3C31593EA}" type="TxLink">
            <a:rPr lang="en-US" sz="1000" b="0" i="0" u="none" strike="noStrike">
              <a:solidFill>
                <a:srgbClr val="0C769E"/>
              </a:solidFill>
              <a:latin typeface="Times New Roman"/>
              <a:cs typeface="Times New Roman"/>
            </a:rPr>
            <a:pPr algn="ctr"/>
            <a:t>Emission factor for nitrous oxide for irrigated maize</a:t>
          </a:fld>
          <a:endParaRPr lang="en-AU" sz="1000">
            <a:solidFill>
              <a:srgbClr val="0C769E"/>
            </a:solidFill>
          </a:endParaRPr>
        </a:p>
      </xdr:txBody>
    </xdr:sp>
    <xdr:clientData/>
  </xdr:twoCellAnchor>
  <xdr:twoCellAnchor>
    <xdr:from>
      <xdr:col>5</xdr:col>
      <xdr:colOff>269669</xdr:colOff>
      <xdr:row>22</xdr:row>
      <xdr:rowOff>76694</xdr:rowOff>
    </xdr:from>
    <xdr:to>
      <xdr:col>7</xdr:col>
      <xdr:colOff>562469</xdr:colOff>
      <xdr:row>24</xdr:row>
      <xdr:rowOff>181685</xdr:rowOff>
    </xdr:to>
    <xdr:sp macro="" textlink="'5.1.1.1-2 Inorganic fert N2O'!M16">
      <xdr:nvSpPr>
        <xdr:cNvPr id="12" name="TextBox 11">
          <a:hlinkClick xmlns:r="http://schemas.openxmlformats.org/officeDocument/2006/relationships" r:id="rId4"/>
          <a:extLst>
            <a:ext uri="{FF2B5EF4-FFF2-40B4-BE49-F238E27FC236}">
              <a16:creationId xmlns:a16="http://schemas.microsoft.com/office/drawing/2014/main" id="{2B6EBCC7-3864-4FB2-B0FA-05A04C1CC9DF}"/>
            </a:ext>
          </a:extLst>
        </xdr:cNvPr>
        <xdr:cNvSpPr txBox="1"/>
      </xdr:nvSpPr>
      <xdr:spPr>
        <a:xfrm>
          <a:off x="4165394" y="5658344"/>
          <a:ext cx="1512000" cy="60029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3D4042-65A0-4DF9-9D73-D038B4D1CD91}" type="TxLink">
            <a:rPr lang="en-US" sz="1000" b="0" i="0" u="none" strike="noStrike">
              <a:solidFill>
                <a:srgbClr val="0C769E"/>
              </a:solidFill>
              <a:latin typeface="Times New Roman"/>
              <a:cs typeface="Times New Roman"/>
            </a:rPr>
            <a:pPr algn="ctr"/>
            <a:t>Emission factor for nitrous oxide for non-irrigated grains in high rainfall zone</a:t>
          </a:fld>
          <a:endParaRPr lang="en-AU" sz="1000">
            <a:solidFill>
              <a:srgbClr val="0C769E"/>
            </a:solidFill>
          </a:endParaRPr>
        </a:p>
      </xdr:txBody>
    </xdr:sp>
    <xdr:clientData/>
  </xdr:twoCellAnchor>
  <xdr:twoCellAnchor>
    <xdr:from>
      <xdr:col>5</xdr:col>
      <xdr:colOff>269669</xdr:colOff>
      <xdr:row>24</xdr:row>
      <xdr:rowOff>245174</xdr:rowOff>
    </xdr:from>
    <xdr:to>
      <xdr:col>7</xdr:col>
      <xdr:colOff>562469</xdr:colOff>
      <xdr:row>27</xdr:row>
      <xdr:rowOff>79858</xdr:rowOff>
    </xdr:to>
    <xdr:sp macro="" textlink="'5.1.1.1-2 Inorganic fert N2O'!M27">
      <xdr:nvSpPr>
        <xdr:cNvPr id="13" name="TextBox 12">
          <a:hlinkClick xmlns:r="http://schemas.openxmlformats.org/officeDocument/2006/relationships" r:id="rId5"/>
          <a:extLst>
            <a:ext uri="{FF2B5EF4-FFF2-40B4-BE49-F238E27FC236}">
              <a16:creationId xmlns:a16="http://schemas.microsoft.com/office/drawing/2014/main" id="{D28F4F2E-0FCD-48C1-90A3-54721DCA7AB8}"/>
            </a:ext>
          </a:extLst>
        </xdr:cNvPr>
        <xdr:cNvSpPr txBox="1"/>
      </xdr:nvSpPr>
      <xdr:spPr>
        <a:xfrm>
          <a:off x="4165394" y="6322124"/>
          <a:ext cx="1512000" cy="57763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78B11F-D646-4580-8E74-94D84C919B06}" type="TxLink">
            <a:rPr lang="en-US" sz="1000" b="0" i="0" u="none" strike="noStrike">
              <a:solidFill>
                <a:srgbClr val="0C769E"/>
              </a:solidFill>
              <a:latin typeface="Times New Roman"/>
              <a:cs typeface="Times New Roman"/>
            </a:rPr>
            <a:pPr algn="ctr"/>
            <a:t>Emission factor for nitrous oxide for cotton</a:t>
          </a:fld>
          <a:endParaRPr lang="en-AU" sz="1000">
            <a:solidFill>
              <a:srgbClr val="0C769E"/>
            </a:solidFill>
          </a:endParaRPr>
        </a:p>
      </xdr:txBody>
    </xdr:sp>
    <xdr:clientData/>
  </xdr:twoCellAnchor>
  <xdr:twoCellAnchor>
    <xdr:from>
      <xdr:col>4</xdr:col>
      <xdr:colOff>257235</xdr:colOff>
      <xdr:row>12</xdr:row>
      <xdr:rowOff>162355</xdr:rowOff>
    </xdr:from>
    <xdr:to>
      <xdr:col>6</xdr:col>
      <xdr:colOff>416069</xdr:colOff>
      <xdr:row>19</xdr:row>
      <xdr:rowOff>156729</xdr:rowOff>
    </xdr:to>
    <xdr:cxnSp macro="">
      <xdr:nvCxnSpPr>
        <xdr:cNvPr id="16" name="Connector: Curved 15">
          <a:extLst>
            <a:ext uri="{FF2B5EF4-FFF2-40B4-BE49-F238E27FC236}">
              <a16:creationId xmlns:a16="http://schemas.microsoft.com/office/drawing/2014/main" id="{D71E5EA1-0A56-FD19-4E56-466CF3DC2F4C}"/>
            </a:ext>
          </a:extLst>
        </xdr:cNvPr>
        <xdr:cNvCxnSpPr>
          <a:stCxn id="5" idx="2"/>
          <a:endCxn id="10" idx="0"/>
        </xdr:cNvCxnSpPr>
      </xdr:nvCxnSpPr>
      <xdr:spPr>
        <a:xfrm rot="16200000" flipH="1">
          <a:off x="3368415" y="3442450"/>
          <a:ext cx="1727924"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27</xdr:row>
      <xdr:rowOff>79857</xdr:rowOff>
    </xdr:from>
    <xdr:to>
      <xdr:col>6</xdr:col>
      <xdr:colOff>416070</xdr:colOff>
      <xdr:row>30</xdr:row>
      <xdr:rowOff>7420</xdr:rowOff>
    </xdr:to>
    <xdr:cxnSp macro="">
      <xdr:nvCxnSpPr>
        <xdr:cNvPr id="18" name="Connector: Curved 17">
          <a:extLst>
            <a:ext uri="{FF2B5EF4-FFF2-40B4-BE49-F238E27FC236}">
              <a16:creationId xmlns:a16="http://schemas.microsoft.com/office/drawing/2014/main" id="{6C5935F1-9B14-3038-CB15-A039FEFE702C}"/>
            </a:ext>
          </a:extLst>
        </xdr:cNvPr>
        <xdr:cNvCxnSpPr>
          <a:stCxn id="13" idx="2"/>
          <a:endCxn id="6" idx="0"/>
        </xdr:cNvCxnSpPr>
      </xdr:nvCxnSpPr>
      <xdr:spPr>
        <a:xfrm rot="5400000">
          <a:off x="3897121" y="6545997"/>
          <a:ext cx="670513"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6</xdr:col>
      <xdr:colOff>356763</xdr:colOff>
      <xdr:row>18</xdr:row>
      <xdr:rowOff>34777</xdr:rowOff>
    </xdr:from>
    <xdr:ext cx="1176762" cy="298800"/>
    <xdr:sp macro="" textlink="">
      <xdr:nvSpPr>
        <xdr:cNvPr id="19" name="TextBox 18">
          <a:extLst>
            <a:ext uri="{FF2B5EF4-FFF2-40B4-BE49-F238E27FC236}">
              <a16:creationId xmlns:a16="http://schemas.microsoft.com/office/drawing/2014/main" id="{8172D5F1-E2B9-4BEE-814C-FEAD659767DA}"/>
            </a:ext>
          </a:extLst>
        </xdr:cNvPr>
        <xdr:cNvSpPr txBox="1"/>
      </xdr:nvSpPr>
      <xdr:spPr>
        <a:xfrm>
          <a:off x="4862088" y="4625827"/>
          <a:ext cx="117676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Method 2</a:t>
          </a:r>
        </a:p>
      </xdr:txBody>
    </xdr:sp>
    <xdr:clientData/>
  </xdr:oneCellAnchor>
  <xdr:oneCellAnchor>
    <xdr:from>
      <xdr:col>7</xdr:col>
      <xdr:colOff>349387</xdr:colOff>
      <xdr:row>7</xdr:row>
      <xdr:rowOff>3136</xdr:rowOff>
    </xdr:from>
    <xdr:ext cx="194613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5464312"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5.1.1.3-4</a:t>
          </a:r>
          <a:r>
            <a:rPr lang="en-AU" sz="1400" b="0" baseline="0">
              <a:solidFill>
                <a:schemeClr val="accent5">
                  <a:lumMod val="75000"/>
                </a:schemeClr>
              </a:solidFill>
            </a:rPr>
            <a:t> </a:t>
          </a:r>
          <a:br>
            <a:rPr lang="en-AU" sz="1400" b="0" baseline="0">
              <a:solidFill>
                <a:schemeClr val="accent5">
                  <a:lumMod val="75000"/>
                </a:schemeClr>
              </a:solidFill>
            </a:rPr>
          </a:br>
          <a:r>
            <a:rPr lang="en-AU" sz="1400" b="0">
              <a:solidFill>
                <a:schemeClr val="accent5">
                  <a:lumMod val="75000"/>
                </a:schemeClr>
              </a:solidFill>
            </a:rPr>
            <a:t>Inorganic fertiliser</a:t>
          </a:r>
          <a:r>
            <a:rPr lang="en-AU" sz="1400" b="0" baseline="0">
              <a:solidFill>
                <a:schemeClr val="accent5">
                  <a:lumMod val="75000"/>
                </a:schemeClr>
              </a:solidFill>
            </a:rPr>
            <a:t> CO2</a:t>
          </a:r>
          <a:endParaRPr lang="en-AU" sz="1400" b="0">
            <a:solidFill>
              <a:schemeClr val="accent5">
                <a:lumMod val="75000"/>
              </a:schemeClr>
            </a:solidFill>
          </a:endParaRPr>
        </a:p>
      </xdr:txBody>
    </xdr:sp>
    <xdr:clientData/>
  </xdr:oneCellAnchor>
  <xdr:twoCellAnchor>
    <xdr:from>
      <xdr:col>7</xdr:col>
      <xdr:colOff>528205</xdr:colOff>
      <xdr:row>9</xdr:row>
      <xdr:rowOff>113433</xdr:rowOff>
    </xdr:from>
    <xdr:to>
      <xdr:col>10</xdr:col>
      <xdr:colOff>211405</xdr:colOff>
      <xdr:row>12</xdr:row>
      <xdr:rowOff>90483</xdr:rowOff>
    </xdr:to>
    <xdr:sp macro="" textlink="'5.1.1.3-4 Inorganic fert CO2'!D5">
      <xdr:nvSpPr>
        <xdr:cNvPr id="21" name="TextBox 20">
          <a:hlinkClick xmlns:r="http://schemas.openxmlformats.org/officeDocument/2006/relationships" r:id="rId6"/>
          <a:extLst>
            <a:ext uri="{FF2B5EF4-FFF2-40B4-BE49-F238E27FC236}">
              <a16:creationId xmlns:a16="http://schemas.microsoft.com/office/drawing/2014/main" id="{8C71CDED-7203-4C08-A42F-C497846ACCAF}"/>
            </a:ext>
          </a:extLst>
        </xdr:cNvPr>
        <xdr:cNvSpPr txBox="1"/>
      </xdr:nvSpPr>
      <xdr:spPr>
        <a:xfrm>
          <a:off x="5643130" y="2475633"/>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04A6C8-5463-423F-B11B-EF8661744C19}" type="TxLink">
            <a:rPr lang="en-US" sz="1000" b="0" i="0" u="none" strike="noStrike">
              <a:solidFill>
                <a:schemeClr val="accent5">
                  <a:lumMod val="75000"/>
                </a:schemeClr>
              </a:solidFill>
              <a:latin typeface="Times New Roman"/>
              <a:cs typeface="Times New Roman"/>
            </a:rPr>
            <a:pPr algn="ctr"/>
            <a:t>Mass of urea applied to production system</a:t>
          </a:fld>
          <a:endParaRPr lang="en-AU" sz="1000">
            <a:solidFill>
              <a:schemeClr val="accent5">
                <a:lumMod val="75000"/>
              </a:schemeClr>
            </a:solidFill>
          </a:endParaRPr>
        </a:p>
      </xdr:txBody>
    </xdr:sp>
    <xdr:clientData/>
  </xdr:twoCellAnchor>
  <xdr:twoCellAnchor>
    <xdr:from>
      <xdr:col>7</xdr:col>
      <xdr:colOff>528205</xdr:colOff>
      <xdr:row>29</xdr:row>
      <xdr:rowOff>245546</xdr:rowOff>
    </xdr:from>
    <xdr:to>
      <xdr:col>10</xdr:col>
      <xdr:colOff>211405</xdr:colOff>
      <xdr:row>34</xdr:row>
      <xdr:rowOff>87296</xdr:rowOff>
    </xdr:to>
    <xdr:sp macro="" textlink="'5.1.1.3-4 Inorganic fert CO2'!D41">
      <xdr:nvSpPr>
        <xdr:cNvPr id="22" name="TextBox 21">
          <a:hlinkClick xmlns:r="http://schemas.openxmlformats.org/officeDocument/2006/relationships" r:id="rId7"/>
          <a:extLst>
            <a:ext uri="{FF2B5EF4-FFF2-40B4-BE49-F238E27FC236}">
              <a16:creationId xmlns:a16="http://schemas.microsoft.com/office/drawing/2014/main" id="{7F32EBC4-93BF-46D3-9370-FCED2B7ACD11}"/>
            </a:ext>
          </a:extLst>
        </xdr:cNvPr>
        <xdr:cNvSpPr txBox="1"/>
      </xdr:nvSpPr>
      <xdr:spPr>
        <a:xfrm>
          <a:off x="5643130" y="7560746"/>
          <a:ext cx="1512000" cy="108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C9E863-363B-472F-ACB3-B426FB76904E}" type="TxLink">
            <a:rPr lang="en-US" sz="1000" b="1" i="0" u="none" strike="noStrike">
              <a:solidFill>
                <a:schemeClr val="accent5">
                  <a:lumMod val="75000"/>
                </a:schemeClr>
              </a:solidFill>
              <a:latin typeface="Times New Roman"/>
              <a:cs typeface="Times New Roman"/>
            </a:rPr>
            <a:pPr algn="ctr"/>
            <a:t>Carbon dioxide emissions resulting from the use of all inorganic, urea-based fertilisers</a:t>
          </a:fld>
          <a:endParaRPr lang="en-AU" sz="1000" b="1">
            <a:solidFill>
              <a:schemeClr val="accent5">
                <a:lumMod val="75000"/>
              </a:schemeClr>
            </a:solidFill>
          </a:endParaRPr>
        </a:p>
      </xdr:txBody>
    </xdr:sp>
    <xdr:clientData/>
  </xdr:twoCellAnchor>
  <xdr:twoCellAnchor>
    <xdr:from>
      <xdr:col>9</xdr:col>
      <xdr:colOff>58656</xdr:colOff>
      <xdr:row>12</xdr:row>
      <xdr:rowOff>96832</xdr:rowOff>
    </xdr:from>
    <xdr:to>
      <xdr:col>9</xdr:col>
      <xdr:colOff>71356</xdr:colOff>
      <xdr:row>30</xdr:row>
      <xdr:rowOff>4245</xdr:rowOff>
    </xdr:to>
    <xdr:cxnSp macro="">
      <xdr:nvCxnSpPr>
        <xdr:cNvPr id="24" name="Connector: Curved 23">
          <a:extLst>
            <a:ext uri="{FF2B5EF4-FFF2-40B4-BE49-F238E27FC236}">
              <a16:creationId xmlns:a16="http://schemas.microsoft.com/office/drawing/2014/main" id="{199478BA-C51D-BEC4-9D3F-93A38B70BC24}"/>
            </a:ext>
          </a:extLst>
        </xdr:cNvPr>
        <xdr:cNvCxnSpPr>
          <a:stCxn id="21" idx="2"/>
          <a:endCxn id="22" idx="0"/>
        </xdr:cNvCxnSpPr>
      </xdr:nvCxnSpPr>
      <xdr:spPr>
        <a:xfrm rot="5400000">
          <a:off x="4216574" y="5378189"/>
          <a:ext cx="4365113" cy="12700"/>
        </a:xfrm>
        <a:prstGeom prst="curvedConnector3">
          <a:avLst/>
        </a:prstGeom>
        <a:ln>
          <a:solidFill>
            <a:schemeClr val="accent5">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11</xdr:col>
      <xdr:colOff>19050</xdr:colOff>
      <xdr:row>7</xdr:row>
      <xdr:rowOff>3136</xdr:rowOff>
    </xdr:from>
    <xdr:ext cx="1838325" cy="505267"/>
    <xdr:sp macro="" textlink="">
      <xdr:nvSpPr>
        <xdr:cNvPr id="25" name="TextBox 24">
          <a:extLst>
            <a:ext uri="{FF2B5EF4-FFF2-40B4-BE49-F238E27FC236}">
              <a16:creationId xmlns:a16="http://schemas.microsoft.com/office/drawing/2014/main" id="{EF860977-62C6-4D63-9AC5-1A5FE9C294E6}"/>
            </a:ext>
          </a:extLst>
        </xdr:cNvPr>
        <xdr:cNvSpPr txBox="1"/>
      </xdr:nvSpPr>
      <xdr:spPr>
        <a:xfrm>
          <a:off x="7572375" y="1870036"/>
          <a:ext cx="1838325"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5.2.1.1-2</a:t>
          </a:r>
          <a:r>
            <a:rPr lang="en-AU" sz="1400" b="0" baseline="0">
              <a:solidFill>
                <a:srgbClr val="7030A0"/>
              </a:solidFill>
            </a:rPr>
            <a:t> </a:t>
          </a:r>
          <a:br>
            <a:rPr lang="en-AU" sz="1400" b="0" baseline="0">
              <a:solidFill>
                <a:srgbClr val="7030A0"/>
              </a:solidFill>
            </a:rPr>
          </a:br>
          <a:r>
            <a:rPr lang="en-AU" sz="1400" b="0">
              <a:solidFill>
                <a:srgbClr val="7030A0"/>
              </a:solidFill>
            </a:rPr>
            <a:t>Organic fertiliser</a:t>
          </a:r>
          <a:r>
            <a:rPr lang="en-AU" sz="1400" b="0" baseline="0">
              <a:solidFill>
                <a:srgbClr val="7030A0"/>
              </a:solidFill>
            </a:rPr>
            <a:t> N2O</a:t>
          </a:r>
          <a:endParaRPr lang="en-AU" sz="1400" b="0">
            <a:solidFill>
              <a:srgbClr val="7030A0"/>
            </a:solidFill>
          </a:endParaRPr>
        </a:p>
      </xdr:txBody>
    </xdr:sp>
    <xdr:clientData/>
  </xdr:oneCellAnchor>
  <xdr:twoCellAnchor>
    <xdr:from>
      <xdr:col>11</xdr:col>
      <xdr:colOff>194829</xdr:colOff>
      <xdr:row>9</xdr:row>
      <xdr:rowOff>122958</xdr:rowOff>
    </xdr:from>
    <xdr:to>
      <xdr:col>13</xdr:col>
      <xdr:colOff>487629</xdr:colOff>
      <xdr:row>12</xdr:row>
      <xdr:rowOff>100008</xdr:rowOff>
    </xdr:to>
    <xdr:sp macro="" textlink="'5.2.1.1-2 Organic Fert N2O'!D5">
      <xdr:nvSpPr>
        <xdr:cNvPr id="26" name="TextBox 25">
          <a:hlinkClick xmlns:r="http://schemas.openxmlformats.org/officeDocument/2006/relationships" r:id="rId8"/>
          <a:extLst>
            <a:ext uri="{FF2B5EF4-FFF2-40B4-BE49-F238E27FC236}">
              <a16:creationId xmlns:a16="http://schemas.microsoft.com/office/drawing/2014/main" id="{DBEED495-A986-4806-A242-51BB4242F564}"/>
            </a:ext>
          </a:extLst>
        </xdr:cNvPr>
        <xdr:cNvSpPr txBox="1"/>
      </xdr:nvSpPr>
      <xdr:spPr>
        <a:xfrm>
          <a:off x="7748154" y="2485158"/>
          <a:ext cx="1512000" cy="72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7B40DA-7B42-452D-996E-C76E1A79800D}" type="TxLink">
            <a:rPr lang="en-US" sz="1000" b="0" i="0" u="none" strike="noStrike">
              <a:solidFill>
                <a:srgbClr val="7030A0"/>
              </a:solidFill>
              <a:latin typeface="Times New Roman"/>
              <a:cs typeface="Times New Roman"/>
            </a:rPr>
            <a:pPr algn="ctr"/>
            <a:t>Mass of nitrogen in purchased organic fertilisers applied to production system</a:t>
          </a:fld>
          <a:endParaRPr lang="en-AU" sz="1000">
            <a:solidFill>
              <a:srgbClr val="7030A0"/>
            </a:solidFill>
          </a:endParaRPr>
        </a:p>
      </xdr:txBody>
    </xdr:sp>
    <xdr:clientData/>
  </xdr:twoCellAnchor>
  <xdr:twoCellAnchor>
    <xdr:from>
      <xdr:col>11</xdr:col>
      <xdr:colOff>194830</xdr:colOff>
      <xdr:row>29</xdr:row>
      <xdr:rowOff>236021</xdr:rowOff>
    </xdr:from>
    <xdr:to>
      <xdr:col>13</xdr:col>
      <xdr:colOff>487630</xdr:colOff>
      <xdr:row>34</xdr:row>
      <xdr:rowOff>77771</xdr:rowOff>
    </xdr:to>
    <xdr:sp macro="" textlink="'5.2.1.1-2 Organic Fert N2O'!D36">
      <xdr:nvSpPr>
        <xdr:cNvPr id="27" name="TextBox 26">
          <a:hlinkClick xmlns:r="http://schemas.openxmlformats.org/officeDocument/2006/relationships" r:id="rId9"/>
          <a:extLst>
            <a:ext uri="{FF2B5EF4-FFF2-40B4-BE49-F238E27FC236}">
              <a16:creationId xmlns:a16="http://schemas.microsoft.com/office/drawing/2014/main" id="{8CEAD9A6-E131-42B7-B4B1-243C02C15E43}"/>
            </a:ext>
          </a:extLst>
        </xdr:cNvPr>
        <xdr:cNvSpPr txBox="1"/>
      </xdr:nvSpPr>
      <xdr:spPr>
        <a:xfrm>
          <a:off x="7748155" y="7551221"/>
          <a:ext cx="1512000" cy="108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DE4CB3-7F47-430A-B527-801DAD6B9CBF}" type="TxLink">
            <a:rPr lang="en-US" sz="1000" b="1" i="0" u="none" strike="noStrike">
              <a:solidFill>
                <a:srgbClr val="7030A0"/>
              </a:solidFill>
              <a:latin typeface="Times New Roman"/>
              <a:cs typeface="Times New Roman"/>
            </a:rPr>
            <a:pPr algn="ctr"/>
            <a:t>Nitrous oxide emissions from the application of all organic fertiliser types f to all production systems j</a:t>
          </a:fld>
          <a:endParaRPr lang="en-AU" sz="1000" b="1">
            <a:solidFill>
              <a:srgbClr val="7030A0"/>
            </a:solidFill>
          </a:endParaRPr>
        </a:p>
      </xdr:txBody>
    </xdr:sp>
    <xdr:clientData/>
  </xdr:twoCellAnchor>
  <xdr:twoCellAnchor>
    <xdr:from>
      <xdr:col>12</xdr:col>
      <xdr:colOff>341229</xdr:colOff>
      <xdr:row>12</xdr:row>
      <xdr:rowOff>100007</xdr:rowOff>
    </xdr:from>
    <xdr:to>
      <xdr:col>12</xdr:col>
      <xdr:colOff>341230</xdr:colOff>
      <xdr:row>29</xdr:row>
      <xdr:rowOff>236020</xdr:rowOff>
    </xdr:to>
    <xdr:cxnSp macro="">
      <xdr:nvCxnSpPr>
        <xdr:cNvPr id="29" name="Connector: Curved 28">
          <a:extLst>
            <a:ext uri="{FF2B5EF4-FFF2-40B4-BE49-F238E27FC236}">
              <a16:creationId xmlns:a16="http://schemas.microsoft.com/office/drawing/2014/main" id="{6511DD27-FCA3-7FA6-0753-7D5573A4B412}"/>
            </a:ext>
          </a:extLst>
        </xdr:cNvPr>
        <xdr:cNvCxnSpPr>
          <a:stCxn id="26" idx="2"/>
          <a:endCxn id="27" idx="0"/>
        </xdr:cNvCxnSpPr>
      </xdr:nvCxnSpPr>
      <xdr:spPr>
        <a:xfrm rot="16200000" flipH="1">
          <a:off x="6331123" y="5378188"/>
          <a:ext cx="4346063" cy="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14</xdr:col>
      <xdr:colOff>323851</xdr:colOff>
      <xdr:row>7</xdr:row>
      <xdr:rowOff>3136</xdr:rowOff>
    </xdr:from>
    <xdr:ext cx="1590674" cy="505267"/>
    <xdr:sp macro="" textlink="">
      <xdr:nvSpPr>
        <xdr:cNvPr id="30" name="TextBox 29">
          <a:extLst>
            <a:ext uri="{FF2B5EF4-FFF2-40B4-BE49-F238E27FC236}">
              <a16:creationId xmlns:a16="http://schemas.microsoft.com/office/drawing/2014/main" id="{A24E5003-8BBF-40E6-9CB0-135331489D59}"/>
            </a:ext>
          </a:extLst>
        </xdr:cNvPr>
        <xdr:cNvSpPr txBox="1"/>
      </xdr:nvSpPr>
      <xdr:spPr>
        <a:xfrm>
          <a:off x="9705976" y="1870036"/>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5.3.1.1-2</a:t>
          </a:r>
          <a:br>
            <a:rPr lang="en-AU" sz="1400" b="0">
              <a:solidFill>
                <a:srgbClr val="C44340"/>
              </a:solidFill>
            </a:rPr>
          </a:br>
          <a:r>
            <a:rPr lang="en-AU" sz="1400" b="0">
              <a:solidFill>
                <a:srgbClr val="C44340"/>
              </a:solidFill>
            </a:rPr>
            <a:t>Lime application</a:t>
          </a:r>
        </a:p>
      </xdr:txBody>
    </xdr:sp>
    <xdr:clientData/>
  </xdr:oneCellAnchor>
  <xdr:twoCellAnchor>
    <xdr:from>
      <xdr:col>14</xdr:col>
      <xdr:colOff>358117</xdr:colOff>
      <xdr:row>9</xdr:row>
      <xdr:rowOff>94383</xdr:rowOff>
    </xdr:from>
    <xdr:to>
      <xdr:col>17</xdr:col>
      <xdr:colOff>41317</xdr:colOff>
      <xdr:row>12</xdr:row>
      <xdr:rowOff>71433</xdr:rowOff>
    </xdr:to>
    <xdr:sp macro="" textlink="'5.3.1.1-2 Lime CO2'!D5">
      <xdr:nvSpPr>
        <xdr:cNvPr id="31" name="TextBox 30">
          <a:hlinkClick xmlns:r="http://schemas.openxmlformats.org/officeDocument/2006/relationships" r:id="rId10"/>
          <a:extLst>
            <a:ext uri="{FF2B5EF4-FFF2-40B4-BE49-F238E27FC236}">
              <a16:creationId xmlns:a16="http://schemas.microsoft.com/office/drawing/2014/main" id="{B5CF1D1D-0430-4BEE-94E5-D4D9B7088BE2}"/>
            </a:ext>
          </a:extLst>
        </xdr:cNvPr>
        <xdr:cNvSpPr txBox="1"/>
      </xdr:nvSpPr>
      <xdr:spPr>
        <a:xfrm>
          <a:off x="9740242" y="2456583"/>
          <a:ext cx="1512000" cy="72000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DAD907-FE25-43DA-B7E1-C0A9298074DA}" type="TxLink">
            <a:rPr lang="en-US" sz="1000" b="1" i="0" u="none" strike="noStrike">
              <a:solidFill>
                <a:srgbClr val="C44340"/>
              </a:solidFill>
              <a:latin typeface="Times New Roman"/>
              <a:cs typeface="Times New Roman"/>
            </a:rPr>
            <a:pPr algn="ctr"/>
            <a:t>Emissions from the application of lime and dolomite to production systems</a:t>
          </a:fld>
          <a:endParaRPr lang="en-AU" sz="1000" b="1">
            <a:solidFill>
              <a:srgbClr val="C44340"/>
            </a:solidFill>
          </a:endParaRPr>
        </a:p>
      </xdr:txBody>
    </xdr:sp>
    <xdr:clientData/>
  </xdr:twoCellAnchor>
  <xdr:oneCellAnchor>
    <xdr:from>
      <xdr:col>18</xdr:col>
      <xdr:colOff>230878</xdr:colOff>
      <xdr:row>7</xdr:row>
      <xdr:rowOff>3136</xdr:rowOff>
    </xdr:from>
    <xdr:ext cx="1683647" cy="711733"/>
    <xdr:sp macro="" textlink="">
      <xdr:nvSpPr>
        <xdr:cNvPr id="32" name="TextBox 31">
          <a:extLst>
            <a:ext uri="{FF2B5EF4-FFF2-40B4-BE49-F238E27FC236}">
              <a16:creationId xmlns:a16="http://schemas.microsoft.com/office/drawing/2014/main" id="{AAC7B069-EFA5-4F5B-A272-7AF124499F81}"/>
            </a:ext>
          </a:extLst>
        </xdr:cNvPr>
        <xdr:cNvSpPr txBox="1"/>
      </xdr:nvSpPr>
      <xdr:spPr>
        <a:xfrm>
          <a:off x="12051403" y="1870036"/>
          <a:ext cx="1683647"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5.4.1.1-4</a:t>
          </a:r>
          <a:br>
            <a:rPr lang="en-AU" sz="1400" b="0">
              <a:solidFill>
                <a:srgbClr val="CC6600"/>
              </a:solidFill>
            </a:rPr>
          </a:br>
          <a:r>
            <a:rPr lang="en-AU" sz="1400" b="0">
              <a:solidFill>
                <a:srgbClr val="CC6600"/>
              </a:solidFill>
            </a:rPr>
            <a:t>Atmospheric </a:t>
          </a:r>
          <a:br>
            <a:rPr lang="en-AU" sz="1400" b="0">
              <a:solidFill>
                <a:srgbClr val="CC6600"/>
              </a:solidFill>
            </a:rPr>
          </a:br>
          <a:r>
            <a:rPr lang="en-AU" sz="1400" b="0">
              <a:solidFill>
                <a:srgbClr val="CC6600"/>
              </a:solidFill>
            </a:rPr>
            <a:t>deposition</a:t>
          </a:r>
        </a:p>
      </xdr:txBody>
    </xdr:sp>
    <xdr:clientData/>
  </xdr:oneCellAnchor>
  <xdr:twoCellAnchor>
    <xdr:from>
      <xdr:col>17</xdr:col>
      <xdr:colOff>128587</xdr:colOff>
      <xdr:row>23</xdr:row>
      <xdr:rowOff>217961</xdr:rowOff>
    </xdr:from>
    <xdr:to>
      <xdr:col>19</xdr:col>
      <xdr:colOff>421387</xdr:colOff>
      <xdr:row>26</xdr:row>
      <xdr:rowOff>195011</xdr:rowOff>
    </xdr:to>
    <xdr:sp macro="" textlink="'5.4.1.1-4 Atmos deposition'!D5">
      <xdr:nvSpPr>
        <xdr:cNvPr id="33" name="TextBox 32">
          <a:hlinkClick xmlns:r="http://schemas.openxmlformats.org/officeDocument/2006/relationships" r:id="rId11"/>
          <a:extLst>
            <a:ext uri="{FF2B5EF4-FFF2-40B4-BE49-F238E27FC236}">
              <a16:creationId xmlns:a16="http://schemas.microsoft.com/office/drawing/2014/main" id="{CE7B40F5-86F3-49BD-8338-430E03F32B15}"/>
            </a:ext>
          </a:extLst>
        </xdr:cNvPr>
        <xdr:cNvSpPr txBox="1"/>
      </xdr:nvSpPr>
      <xdr:spPr>
        <a:xfrm>
          <a:off x="11339512" y="6047261"/>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D8FC35-2FC8-45F3-BD76-80D4B71E3EA2}" type="TxLink">
            <a:rPr lang="en-US" sz="1000" b="0" i="0" u="none" strike="noStrike">
              <a:solidFill>
                <a:srgbClr val="CC6600"/>
              </a:solidFill>
              <a:latin typeface="Times New Roman"/>
              <a:cs typeface="Times New Roman"/>
            </a:rPr>
            <a:pPr algn="ctr"/>
            <a:t>Mass of nitrogen volatilised from inorganic fertiliser applied to production system</a:t>
          </a:fld>
          <a:endParaRPr lang="en-AU" sz="1000">
            <a:solidFill>
              <a:srgbClr val="CC6600"/>
            </a:solidFill>
          </a:endParaRPr>
        </a:p>
      </xdr:txBody>
    </xdr:sp>
    <xdr:clientData/>
  </xdr:twoCellAnchor>
  <xdr:twoCellAnchor>
    <xdr:from>
      <xdr:col>4</xdr:col>
      <xdr:colOff>257235</xdr:colOff>
      <xdr:row>12</xdr:row>
      <xdr:rowOff>162355</xdr:rowOff>
    </xdr:from>
    <xdr:to>
      <xdr:col>18</xdr:col>
      <xdr:colOff>274987</xdr:colOff>
      <xdr:row>23</xdr:row>
      <xdr:rowOff>217961</xdr:rowOff>
    </xdr:to>
    <xdr:cxnSp macro="">
      <xdr:nvCxnSpPr>
        <xdr:cNvPr id="35" name="Connector: Curved 34">
          <a:extLst>
            <a:ext uri="{FF2B5EF4-FFF2-40B4-BE49-F238E27FC236}">
              <a16:creationId xmlns:a16="http://schemas.microsoft.com/office/drawing/2014/main" id="{114653D1-BEB6-BB2F-AA28-EC1736977239}"/>
            </a:ext>
          </a:extLst>
        </xdr:cNvPr>
        <xdr:cNvCxnSpPr>
          <a:stCxn id="5" idx="2"/>
          <a:endCxn id="33" idx="0"/>
        </xdr:cNvCxnSpPr>
      </xdr:nvCxnSpPr>
      <xdr:spPr>
        <a:xfrm rot="16200000" flipH="1">
          <a:off x="6429558" y="381307"/>
          <a:ext cx="2779756" cy="8552152"/>
        </a:xfrm>
        <a:prstGeom prst="curvedConnector3">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19</xdr:col>
      <xdr:colOff>514351</xdr:colOff>
      <xdr:row>23</xdr:row>
      <xdr:rowOff>217962</xdr:rowOff>
    </xdr:from>
    <xdr:to>
      <xdr:col>22</xdr:col>
      <xdr:colOff>197551</xdr:colOff>
      <xdr:row>26</xdr:row>
      <xdr:rowOff>195012</xdr:rowOff>
    </xdr:to>
    <xdr:sp macro="" textlink="'5.4.1.1-4 Atmos deposition'!D88">
      <xdr:nvSpPr>
        <xdr:cNvPr id="37" name="TextBox 36">
          <a:hlinkClick xmlns:r="http://schemas.openxmlformats.org/officeDocument/2006/relationships" r:id="rId12"/>
          <a:extLst>
            <a:ext uri="{FF2B5EF4-FFF2-40B4-BE49-F238E27FC236}">
              <a16:creationId xmlns:a16="http://schemas.microsoft.com/office/drawing/2014/main" id="{8AE9877F-38C8-4ACC-B4B6-31299BF5E643}"/>
            </a:ext>
          </a:extLst>
        </xdr:cNvPr>
        <xdr:cNvSpPr txBox="1"/>
      </xdr:nvSpPr>
      <xdr:spPr>
        <a:xfrm>
          <a:off x="12944476" y="6047262"/>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E9844F-D757-4145-A173-359C89D28AC0}" type="TxLink">
            <a:rPr lang="en-US" sz="1000" b="0" i="0" u="none" strike="noStrike">
              <a:solidFill>
                <a:srgbClr val="CC6600"/>
              </a:solidFill>
              <a:latin typeface="Times New Roman"/>
              <a:cs typeface="Times New Roman"/>
            </a:rPr>
            <a:pPr algn="ctr"/>
            <a:t>Mass of nitrogen volatilised from organic fertiliser applied to production system</a:t>
          </a:fld>
          <a:endParaRPr lang="en-AU" sz="1000">
            <a:solidFill>
              <a:srgbClr val="CC6600"/>
            </a:solidFill>
          </a:endParaRPr>
        </a:p>
      </xdr:txBody>
    </xdr:sp>
    <xdr:clientData/>
  </xdr:twoCellAnchor>
  <xdr:twoCellAnchor>
    <xdr:from>
      <xdr:col>12</xdr:col>
      <xdr:colOff>341229</xdr:colOff>
      <xdr:row>12</xdr:row>
      <xdr:rowOff>100008</xdr:rowOff>
    </xdr:from>
    <xdr:to>
      <xdr:col>21</xdr:col>
      <xdr:colOff>51151</xdr:colOff>
      <xdr:row>23</xdr:row>
      <xdr:rowOff>217962</xdr:rowOff>
    </xdr:to>
    <xdr:cxnSp macro="">
      <xdr:nvCxnSpPr>
        <xdr:cNvPr id="39" name="Connector: Curved 38">
          <a:extLst>
            <a:ext uri="{FF2B5EF4-FFF2-40B4-BE49-F238E27FC236}">
              <a16:creationId xmlns:a16="http://schemas.microsoft.com/office/drawing/2014/main" id="{F6854892-F6EC-34A5-377E-DE050F68C16D}"/>
            </a:ext>
          </a:extLst>
        </xdr:cNvPr>
        <xdr:cNvCxnSpPr>
          <a:stCxn id="26" idx="2"/>
          <a:endCxn id="37" idx="0"/>
        </xdr:cNvCxnSpPr>
      </xdr:nvCxnSpPr>
      <xdr:spPr>
        <a:xfrm rot="16200000" flipH="1">
          <a:off x="9681263" y="2028049"/>
          <a:ext cx="2842104" cy="5196322"/>
        </a:xfrm>
        <a:prstGeom prst="curvedConnector3">
          <a:avLst>
            <a:gd name="adj1" fmla="val 50000"/>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17</xdr:col>
      <xdr:colOff>128587</xdr:colOff>
      <xdr:row>29</xdr:row>
      <xdr:rowOff>226496</xdr:rowOff>
    </xdr:from>
    <xdr:to>
      <xdr:col>19</xdr:col>
      <xdr:colOff>421387</xdr:colOff>
      <xdr:row>34</xdr:row>
      <xdr:rowOff>68246</xdr:rowOff>
    </xdr:to>
    <xdr:sp macro="" textlink="'5.4.1.1-4 Atmos deposition'!D41">
      <xdr:nvSpPr>
        <xdr:cNvPr id="40" name="TextBox 39">
          <a:hlinkClick xmlns:r="http://schemas.openxmlformats.org/officeDocument/2006/relationships" r:id="rId13"/>
          <a:extLst>
            <a:ext uri="{FF2B5EF4-FFF2-40B4-BE49-F238E27FC236}">
              <a16:creationId xmlns:a16="http://schemas.microsoft.com/office/drawing/2014/main" id="{4B457B1B-5710-480A-BEA2-4EDA42E4B34D}"/>
            </a:ext>
          </a:extLst>
        </xdr:cNvPr>
        <xdr:cNvSpPr txBox="1"/>
      </xdr:nvSpPr>
      <xdr:spPr>
        <a:xfrm>
          <a:off x="11339512" y="7541696"/>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BFDCC8-32AC-4B78-BE9C-207D9E3179AA}" type="TxLink">
            <a:rPr lang="en-US" sz="1000" b="1" i="0" u="none" strike="noStrike">
              <a:solidFill>
                <a:srgbClr val="CC6600"/>
              </a:solidFill>
              <a:latin typeface="Times New Roman"/>
              <a:cs typeface="Times New Roman"/>
            </a:rPr>
            <a:pPr algn="ctr"/>
            <a:t>Nitrous oxide emissions from atmospheric deposition from all inorganic fertiliser types f and all production systems j</a:t>
          </a:fld>
          <a:endParaRPr lang="en-AU" sz="1000" b="1">
            <a:solidFill>
              <a:srgbClr val="CC6600"/>
            </a:solidFill>
          </a:endParaRPr>
        </a:p>
      </xdr:txBody>
    </xdr:sp>
    <xdr:clientData/>
  </xdr:twoCellAnchor>
  <xdr:twoCellAnchor>
    <xdr:from>
      <xdr:col>19</xdr:col>
      <xdr:colOff>514351</xdr:colOff>
      <xdr:row>29</xdr:row>
      <xdr:rowOff>236023</xdr:rowOff>
    </xdr:from>
    <xdr:to>
      <xdr:col>22</xdr:col>
      <xdr:colOff>197551</xdr:colOff>
      <xdr:row>34</xdr:row>
      <xdr:rowOff>77773</xdr:rowOff>
    </xdr:to>
    <xdr:sp macro="" textlink="'5.4.1.1-4 Atmos deposition'!D116">
      <xdr:nvSpPr>
        <xdr:cNvPr id="41" name="TextBox 40">
          <a:hlinkClick xmlns:r="http://schemas.openxmlformats.org/officeDocument/2006/relationships" r:id="rId14"/>
          <a:extLst>
            <a:ext uri="{FF2B5EF4-FFF2-40B4-BE49-F238E27FC236}">
              <a16:creationId xmlns:a16="http://schemas.microsoft.com/office/drawing/2014/main" id="{219CED91-8F7E-4FF2-9212-0E9449EBD4C6}"/>
            </a:ext>
          </a:extLst>
        </xdr:cNvPr>
        <xdr:cNvSpPr txBox="1"/>
      </xdr:nvSpPr>
      <xdr:spPr>
        <a:xfrm>
          <a:off x="12944476" y="7551223"/>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B19A6E-0F79-41FC-957D-C0EAEF3A61FB}" type="TxLink">
            <a:rPr lang="en-US" sz="1000" b="1" i="0" u="none" strike="noStrike">
              <a:solidFill>
                <a:srgbClr val="CC6600"/>
              </a:solidFill>
              <a:latin typeface="Times New Roman"/>
              <a:cs typeface="Times New Roman"/>
            </a:rPr>
            <a:pPr algn="ctr"/>
            <a:t>Nitrous oxide emissions from atmospheric deposition of all organic fertiliser types f and all production systems j</a:t>
          </a:fld>
          <a:endParaRPr lang="en-AU" sz="1000" b="1">
            <a:solidFill>
              <a:srgbClr val="CC6600"/>
            </a:solidFill>
          </a:endParaRPr>
        </a:p>
      </xdr:txBody>
    </xdr:sp>
    <xdr:clientData/>
  </xdr:twoCellAnchor>
  <xdr:twoCellAnchor>
    <xdr:from>
      <xdr:col>18</xdr:col>
      <xdr:colOff>268638</xdr:colOff>
      <xdr:row>26</xdr:row>
      <xdr:rowOff>201360</xdr:rowOff>
    </xdr:from>
    <xdr:to>
      <xdr:col>18</xdr:col>
      <xdr:colOff>281338</xdr:colOff>
      <xdr:row>29</xdr:row>
      <xdr:rowOff>232845</xdr:rowOff>
    </xdr:to>
    <xdr:cxnSp macro="">
      <xdr:nvCxnSpPr>
        <xdr:cNvPr id="43" name="Connector: Curved 42">
          <a:extLst>
            <a:ext uri="{FF2B5EF4-FFF2-40B4-BE49-F238E27FC236}">
              <a16:creationId xmlns:a16="http://schemas.microsoft.com/office/drawing/2014/main" id="{9249914C-D022-FE4B-16A3-2463F884560C}"/>
            </a:ext>
          </a:extLst>
        </xdr:cNvPr>
        <xdr:cNvCxnSpPr>
          <a:stCxn id="33" idx="2"/>
          <a:endCxn id="40" idx="0"/>
        </xdr:cNvCxnSpPr>
      </xdr:nvCxnSpPr>
      <xdr:spPr>
        <a:xfrm rot="5400000">
          <a:off x="11708295" y="7154478"/>
          <a:ext cx="774435"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44802</xdr:colOff>
      <xdr:row>26</xdr:row>
      <xdr:rowOff>201361</xdr:rowOff>
    </xdr:from>
    <xdr:to>
      <xdr:col>21</xdr:col>
      <xdr:colOff>57502</xdr:colOff>
      <xdr:row>29</xdr:row>
      <xdr:rowOff>242372</xdr:rowOff>
    </xdr:to>
    <xdr:cxnSp macro="">
      <xdr:nvCxnSpPr>
        <xdr:cNvPr id="46" name="Connector: Curved 45">
          <a:extLst>
            <a:ext uri="{FF2B5EF4-FFF2-40B4-BE49-F238E27FC236}">
              <a16:creationId xmlns:a16="http://schemas.microsoft.com/office/drawing/2014/main" id="{C07D9288-FBED-7B13-A287-D43C1FD98EC1}"/>
            </a:ext>
          </a:extLst>
        </xdr:cNvPr>
        <xdr:cNvCxnSpPr>
          <a:stCxn id="37" idx="2"/>
          <a:endCxn id="41" idx="0"/>
        </xdr:cNvCxnSpPr>
      </xdr:nvCxnSpPr>
      <xdr:spPr>
        <a:xfrm rot="5400000">
          <a:off x="13308496" y="7159242"/>
          <a:ext cx="783961"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23</xdr:col>
      <xdr:colOff>514350</xdr:colOff>
      <xdr:row>7</xdr:row>
      <xdr:rowOff>3136</xdr:rowOff>
    </xdr:from>
    <xdr:ext cx="1587293" cy="711733"/>
    <xdr:sp macro="" textlink="">
      <xdr:nvSpPr>
        <xdr:cNvPr id="47" name="TextBox 46">
          <a:extLst>
            <a:ext uri="{FF2B5EF4-FFF2-40B4-BE49-F238E27FC236}">
              <a16:creationId xmlns:a16="http://schemas.microsoft.com/office/drawing/2014/main" id="{B92566B2-CEAC-458D-ADB7-8EE2A2A9AFD2}"/>
            </a:ext>
          </a:extLst>
        </xdr:cNvPr>
        <xdr:cNvSpPr txBox="1"/>
      </xdr:nvSpPr>
      <xdr:spPr>
        <a:xfrm>
          <a:off x="15382875" y="1870036"/>
          <a:ext cx="1587293"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5.5.1.1-2</a:t>
          </a:r>
          <a:br>
            <a:rPr lang="en-AU" sz="1400" b="0">
              <a:solidFill>
                <a:schemeClr val="accent6">
                  <a:lumMod val="50000"/>
                </a:schemeClr>
              </a:solidFill>
            </a:rPr>
          </a:br>
          <a:r>
            <a:rPr lang="en-AU" sz="1400" b="0">
              <a:solidFill>
                <a:schemeClr val="accent6">
                  <a:lumMod val="50000"/>
                </a:schemeClr>
              </a:solidFill>
            </a:rPr>
            <a:t>Leaching and </a:t>
          </a:r>
          <a:br>
            <a:rPr lang="en-AU" sz="1400" b="0">
              <a:solidFill>
                <a:schemeClr val="accent6">
                  <a:lumMod val="50000"/>
                </a:schemeClr>
              </a:solidFill>
            </a:rPr>
          </a:br>
          <a:r>
            <a:rPr lang="en-AU" sz="1400" b="0">
              <a:solidFill>
                <a:schemeClr val="accent6">
                  <a:lumMod val="50000"/>
                </a:schemeClr>
              </a:solidFill>
            </a:rPr>
            <a:t>runoff</a:t>
          </a:r>
        </a:p>
      </xdr:txBody>
    </xdr:sp>
    <xdr:clientData/>
  </xdr:oneCellAnchor>
  <xdr:twoCellAnchor>
    <xdr:from>
      <xdr:col>23</xdr:col>
      <xdr:colOff>9525</xdr:colOff>
      <xdr:row>23</xdr:row>
      <xdr:rowOff>179148</xdr:rowOff>
    </xdr:from>
    <xdr:to>
      <xdr:col>25</xdr:col>
      <xdr:colOff>302325</xdr:colOff>
      <xdr:row>27</xdr:row>
      <xdr:rowOff>134670</xdr:rowOff>
    </xdr:to>
    <xdr:sp macro="" textlink="'5.5.1.1-2 Leaching and runoff'!D5">
      <xdr:nvSpPr>
        <xdr:cNvPr id="48" name="TextBox 47">
          <a:hlinkClick xmlns:r="http://schemas.openxmlformats.org/officeDocument/2006/relationships" r:id="rId15"/>
          <a:extLst>
            <a:ext uri="{FF2B5EF4-FFF2-40B4-BE49-F238E27FC236}">
              <a16:creationId xmlns:a16="http://schemas.microsoft.com/office/drawing/2014/main" id="{6E55054B-3C08-4C1B-8F41-B82F482404C1}"/>
            </a:ext>
          </a:extLst>
        </xdr:cNvPr>
        <xdr:cNvSpPr txBox="1"/>
      </xdr:nvSpPr>
      <xdr:spPr>
        <a:xfrm>
          <a:off x="14878050" y="6008448"/>
          <a:ext cx="1512000" cy="946122"/>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E01B5C-925C-4432-B571-A7CBCBF20334}" type="TxLink">
            <a:rPr lang="en-US" sz="1000" b="0" i="0" u="none" strike="noStrike">
              <a:solidFill>
                <a:schemeClr val="accent6">
                  <a:lumMod val="50000"/>
                </a:schemeClr>
              </a:solidFill>
              <a:latin typeface="Times New Roman"/>
              <a:cs typeface="Times New Roman"/>
            </a:rPr>
            <a:pPr algn="ctr"/>
            <a:t>Mass of nitrogen lost through leaching and runoff from inorganic fertiliser application in production system j</a:t>
          </a:fld>
          <a:endParaRPr lang="en-AU" sz="1000">
            <a:solidFill>
              <a:schemeClr val="accent6">
                <a:lumMod val="50000"/>
              </a:schemeClr>
            </a:solidFill>
          </a:endParaRPr>
        </a:p>
      </xdr:txBody>
    </xdr:sp>
    <xdr:clientData/>
  </xdr:twoCellAnchor>
  <xdr:twoCellAnchor>
    <xdr:from>
      <xdr:col>25</xdr:col>
      <xdr:colOff>421487</xdr:colOff>
      <xdr:row>23</xdr:row>
      <xdr:rowOff>191067</xdr:rowOff>
    </xdr:from>
    <xdr:to>
      <xdr:col>28</xdr:col>
      <xdr:colOff>104687</xdr:colOff>
      <xdr:row>27</xdr:row>
      <xdr:rowOff>133350</xdr:rowOff>
    </xdr:to>
    <xdr:sp macro="" textlink="'5.5.1.1-2 Leaching and runoff'!D47">
      <xdr:nvSpPr>
        <xdr:cNvPr id="49" name="TextBox 48">
          <a:hlinkClick xmlns:r="http://schemas.openxmlformats.org/officeDocument/2006/relationships" r:id="rId16"/>
          <a:extLst>
            <a:ext uri="{FF2B5EF4-FFF2-40B4-BE49-F238E27FC236}">
              <a16:creationId xmlns:a16="http://schemas.microsoft.com/office/drawing/2014/main" id="{C4B151EE-83D6-4D11-AC53-5CB03B66B3F8}"/>
            </a:ext>
          </a:extLst>
        </xdr:cNvPr>
        <xdr:cNvSpPr txBox="1"/>
      </xdr:nvSpPr>
      <xdr:spPr>
        <a:xfrm>
          <a:off x="16509212" y="6020367"/>
          <a:ext cx="1512000" cy="932883"/>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6BA999-E405-4FF8-94D2-D154C7411D6A}" type="TxLink">
            <a:rPr lang="en-US" sz="1000" b="0" i="0" u="none" strike="noStrike">
              <a:solidFill>
                <a:schemeClr val="accent6">
                  <a:lumMod val="50000"/>
                </a:schemeClr>
              </a:solidFill>
              <a:latin typeface="Times New Roman"/>
              <a:cs typeface="Times New Roman"/>
            </a:rPr>
            <a:pPr algn="ctr"/>
            <a:t>Mass of nitrogen lost through leaching and runoff from organic fertiliser application in production system j</a:t>
          </a:fld>
          <a:endParaRPr lang="en-AU" sz="1000">
            <a:solidFill>
              <a:schemeClr val="accent6">
                <a:lumMod val="50000"/>
              </a:schemeClr>
            </a:solidFill>
          </a:endParaRPr>
        </a:p>
      </xdr:txBody>
    </xdr:sp>
    <xdr:clientData/>
  </xdr:twoCellAnchor>
  <xdr:twoCellAnchor>
    <xdr:from>
      <xdr:col>24</xdr:col>
      <xdr:colOff>228600</xdr:colOff>
      <xdr:row>29</xdr:row>
      <xdr:rowOff>228178</xdr:rowOff>
    </xdr:from>
    <xdr:to>
      <xdr:col>26</xdr:col>
      <xdr:colOff>521400</xdr:colOff>
      <xdr:row>34</xdr:row>
      <xdr:rowOff>69928</xdr:rowOff>
    </xdr:to>
    <xdr:sp macro="" textlink="'5.5.1.1-2 Leaching and runoff'!D81">
      <xdr:nvSpPr>
        <xdr:cNvPr id="50" name="TextBox 49">
          <a:hlinkClick xmlns:r="http://schemas.openxmlformats.org/officeDocument/2006/relationships" r:id="rId17"/>
          <a:extLst>
            <a:ext uri="{FF2B5EF4-FFF2-40B4-BE49-F238E27FC236}">
              <a16:creationId xmlns:a16="http://schemas.microsoft.com/office/drawing/2014/main" id="{04F99102-AF85-45DE-BAA2-D0C4ED1BF02F}"/>
            </a:ext>
          </a:extLst>
        </xdr:cNvPr>
        <xdr:cNvSpPr txBox="1"/>
      </xdr:nvSpPr>
      <xdr:spPr>
        <a:xfrm>
          <a:off x="15706725" y="7543378"/>
          <a:ext cx="1512000" cy="108000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3732B8-BDB8-4743-96C7-0FC4126D0EF4}" type="TxLink">
            <a:rPr lang="en-US" sz="1000" b="1" i="0" u="none" strike="noStrike">
              <a:solidFill>
                <a:schemeClr val="accent6">
                  <a:lumMod val="50000"/>
                </a:schemeClr>
              </a:solidFill>
              <a:latin typeface="Times New Roman"/>
              <a:cs typeface="Times New Roman"/>
            </a:rPr>
            <a:pPr algn="ctr"/>
            <a:t>Nitrous oxide emissions from nitrogen leaching and runoff from the application of all fertilisers across all production systems j</a:t>
          </a:fld>
          <a:endParaRPr lang="en-AU" sz="1000" b="1">
            <a:solidFill>
              <a:schemeClr val="accent6">
                <a:lumMod val="50000"/>
              </a:schemeClr>
            </a:solidFill>
          </a:endParaRPr>
        </a:p>
      </xdr:txBody>
    </xdr:sp>
    <xdr:clientData/>
  </xdr:twoCellAnchor>
  <xdr:twoCellAnchor>
    <xdr:from>
      <xdr:col>24</xdr:col>
      <xdr:colOff>155924</xdr:colOff>
      <xdr:row>27</xdr:row>
      <xdr:rowOff>134670</xdr:rowOff>
    </xdr:from>
    <xdr:to>
      <xdr:col>25</xdr:col>
      <xdr:colOff>374999</xdr:colOff>
      <xdr:row>29</xdr:row>
      <xdr:rowOff>228178</xdr:rowOff>
    </xdr:to>
    <xdr:cxnSp macro="">
      <xdr:nvCxnSpPr>
        <xdr:cNvPr id="52" name="Connector: Curved 51">
          <a:extLst>
            <a:ext uri="{FF2B5EF4-FFF2-40B4-BE49-F238E27FC236}">
              <a16:creationId xmlns:a16="http://schemas.microsoft.com/office/drawing/2014/main" id="{5E1F4B83-81C0-FB64-4DE4-76F17FC8F482}"/>
            </a:ext>
          </a:extLst>
        </xdr:cNvPr>
        <xdr:cNvCxnSpPr>
          <a:stCxn id="48" idx="2"/>
          <a:endCxn id="50" idx="0"/>
        </xdr:cNvCxnSpPr>
      </xdr:nvCxnSpPr>
      <xdr:spPr>
        <a:xfrm rot="16200000" flipH="1">
          <a:off x="15753983" y="6834636"/>
          <a:ext cx="588808" cy="828675"/>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375000</xdr:colOff>
      <xdr:row>27</xdr:row>
      <xdr:rowOff>133351</xdr:rowOff>
    </xdr:from>
    <xdr:to>
      <xdr:col>26</xdr:col>
      <xdr:colOff>567887</xdr:colOff>
      <xdr:row>29</xdr:row>
      <xdr:rowOff>228179</xdr:rowOff>
    </xdr:to>
    <xdr:cxnSp macro="">
      <xdr:nvCxnSpPr>
        <xdr:cNvPr id="54" name="Connector: Curved 53">
          <a:extLst>
            <a:ext uri="{FF2B5EF4-FFF2-40B4-BE49-F238E27FC236}">
              <a16:creationId xmlns:a16="http://schemas.microsoft.com/office/drawing/2014/main" id="{7CEB587D-BABA-653B-3856-519A63AE6759}"/>
            </a:ext>
          </a:extLst>
        </xdr:cNvPr>
        <xdr:cNvCxnSpPr>
          <a:stCxn id="49" idx="2"/>
          <a:endCxn id="50" idx="0"/>
        </xdr:cNvCxnSpPr>
      </xdr:nvCxnSpPr>
      <xdr:spPr>
        <a:xfrm rot="5400000">
          <a:off x="16568905" y="6847071"/>
          <a:ext cx="590128" cy="802487"/>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341230</xdr:colOff>
      <xdr:row>12</xdr:row>
      <xdr:rowOff>100007</xdr:rowOff>
    </xdr:from>
    <xdr:to>
      <xdr:col>26</xdr:col>
      <xdr:colOff>567888</xdr:colOff>
      <xdr:row>23</xdr:row>
      <xdr:rowOff>191066</xdr:rowOff>
    </xdr:to>
    <xdr:cxnSp macro="">
      <xdr:nvCxnSpPr>
        <xdr:cNvPr id="56" name="Connector: Curved 55">
          <a:extLst>
            <a:ext uri="{FF2B5EF4-FFF2-40B4-BE49-F238E27FC236}">
              <a16:creationId xmlns:a16="http://schemas.microsoft.com/office/drawing/2014/main" id="{DE03FE02-8EF4-5AAC-B6AB-EF40DC76AFE8}"/>
            </a:ext>
          </a:extLst>
        </xdr:cNvPr>
        <xdr:cNvCxnSpPr>
          <a:stCxn id="26" idx="2"/>
          <a:endCxn id="49" idx="0"/>
        </xdr:cNvCxnSpPr>
      </xdr:nvCxnSpPr>
      <xdr:spPr>
        <a:xfrm rot="16200000" flipH="1">
          <a:off x="11477079" y="232233"/>
          <a:ext cx="2815209" cy="8761058"/>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12</xdr:row>
      <xdr:rowOff>162354</xdr:rowOff>
    </xdr:from>
    <xdr:to>
      <xdr:col>24</xdr:col>
      <xdr:colOff>155926</xdr:colOff>
      <xdr:row>23</xdr:row>
      <xdr:rowOff>179147</xdr:rowOff>
    </xdr:to>
    <xdr:cxnSp macro="">
      <xdr:nvCxnSpPr>
        <xdr:cNvPr id="58" name="Connector: Curved 57">
          <a:extLst>
            <a:ext uri="{FF2B5EF4-FFF2-40B4-BE49-F238E27FC236}">
              <a16:creationId xmlns:a16="http://schemas.microsoft.com/office/drawing/2014/main" id="{91F04BC1-4319-1D3D-68F4-FA9DE2990AB9}"/>
            </a:ext>
          </a:extLst>
        </xdr:cNvPr>
        <xdr:cNvCxnSpPr>
          <a:stCxn id="5" idx="2"/>
          <a:endCxn id="48" idx="0"/>
        </xdr:cNvCxnSpPr>
      </xdr:nvCxnSpPr>
      <xdr:spPr>
        <a:xfrm rot="16200000" flipH="1">
          <a:off x="8218234" y="-1407369"/>
          <a:ext cx="2740943" cy="12090690"/>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1FB30AC-E33A-F343-8B67-BB3CFAAFE6E2}"/>
                </a:ext>
              </a:extLst>
            </xdr:cNvPr>
            <xdr:cNvSpPr txBox="1"/>
          </xdr:nvSpPr>
          <xdr:spPr>
            <a:xfrm>
              <a:off x="2702858" y="2041712"/>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01FB30AC-E33A-F343-8B67-BB3CFAAFE6E2}"/>
                </a:ext>
              </a:extLst>
            </xdr:cNvPr>
            <xdr:cNvSpPr txBox="1"/>
          </xdr:nvSpPr>
          <xdr:spPr>
            <a:xfrm>
              <a:off x="2702858" y="2041712"/>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𝑀𝑁_𝑗𝑓=𝑇𝑀_𝑗𝑓×𝐹𝑁_(𝑖𝑛𝑜𝑟𝑔𝑎𝑛𝑖𝑐,𝑓)</a:t>
              </a:r>
              <a:endParaRPr lang="en-AU" sz="11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74E911B-9FB0-FD59-88DE-C21768783A0A}"/>
                </a:ext>
              </a:extLst>
            </xdr:cNvPr>
            <xdr:cNvSpPr txBox="1"/>
          </xdr:nvSpPr>
          <xdr:spPr>
            <a:xfrm>
              <a:off x="2702859" y="12093388"/>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74E911B-9FB0-FD59-88DE-C21768783A0A}"/>
                </a:ext>
              </a:extLst>
            </xdr:cNvPr>
            <xdr:cNvSpPr txBox="1"/>
          </xdr:nvSpPr>
          <xdr:spPr>
            <a:xfrm>
              <a:off x="2702859" y="12093388"/>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oneCellAnchor>
    <xdr:from>
      <xdr:col>12</xdr:col>
      <xdr:colOff>13446</xdr:colOff>
      <xdr:row>6</xdr:row>
      <xdr:rowOff>125506</xdr:rowOff>
    </xdr:from>
    <xdr:ext cx="4661725"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E4BDAFE-15D9-F24A-1A28-4F14CBD3C9A0}"/>
                </a:ext>
              </a:extLst>
            </xdr:cNvPr>
            <xdr:cNvSpPr txBox="1"/>
          </xdr:nvSpPr>
          <xdr:spPr>
            <a:xfrm>
              <a:off x="17987681" y="11846859"/>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−0.1474+</m:t>
                        </m:r>
                        <m:d>
                          <m:dPr>
                            <m:ctrlPr>
                              <a:rPr lang="en-AU" sz="1100" i="1">
                                <a:latin typeface="Cambria Math" panose="02040503050406030204" pitchFamily="18" charset="0"/>
                              </a:rPr>
                            </m:ctrlPr>
                          </m:dPr>
                          <m:e>
                            <m:r>
                              <a:rPr lang="en-AU" sz="1100" i="1">
                                <a:latin typeface="Cambria Math" panose="02040503050406030204" pitchFamily="18" charset="0"/>
                              </a:rPr>
                              <m:t>0.0061×</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2E4BDAFE-15D9-F24A-1A28-4F14CBD3C9A0}"/>
                </a:ext>
              </a:extLst>
            </xdr:cNvPr>
            <xdr:cNvSpPr txBox="1"/>
          </xdr:nvSpPr>
          <xdr:spPr>
            <a:xfrm>
              <a:off x="17987681" y="11846859"/>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100"/>
            </a:p>
          </xdr:txBody>
        </xdr:sp>
      </mc:Fallback>
    </mc:AlternateContent>
    <xdr:clientData/>
  </xdr:oneCellAnchor>
  <xdr:oneCellAnchor>
    <xdr:from>
      <xdr:col>11</xdr:col>
      <xdr:colOff>304799</xdr:colOff>
      <xdr:row>17</xdr:row>
      <xdr:rowOff>114300</xdr:rowOff>
    </xdr:from>
    <xdr:ext cx="5008229"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84309B4-7C0D-3238-ABE9-58748142C042}"/>
                </a:ext>
              </a:extLst>
            </xdr:cNvPr>
            <xdr:cNvSpPr txBox="1"/>
          </xdr:nvSpPr>
          <xdr:spPr>
            <a:xfrm>
              <a:off x="17965270" y="4439771"/>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0.0781+</m:t>
                        </m:r>
                        <m:d>
                          <m:dPr>
                            <m:ctrlPr>
                              <a:rPr lang="en-AU" sz="1100" i="1">
                                <a:latin typeface="Cambria Math" panose="02040503050406030204" pitchFamily="18" charset="0"/>
                              </a:rPr>
                            </m:ctrlPr>
                          </m:dPr>
                          <m:e>
                            <m:r>
                              <a:rPr lang="en-AU" sz="1100" i="1">
                                <a:latin typeface="Cambria Math" panose="02040503050406030204" pitchFamily="18" charset="0"/>
                              </a:rPr>
                              <m:t>0.0075×</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184309B4-7C0D-3238-ABE9-58748142C042}"/>
                </a:ext>
              </a:extLst>
            </xdr:cNvPr>
            <xdr:cNvSpPr txBox="1"/>
          </xdr:nvSpPr>
          <xdr:spPr>
            <a:xfrm>
              <a:off x="17965270" y="4439771"/>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100"/>
            </a:p>
          </xdr:txBody>
        </xdr:sp>
      </mc:Fallback>
    </mc:AlternateContent>
    <xdr:clientData/>
  </xdr:oneCellAnchor>
  <xdr:oneCellAnchor>
    <xdr:from>
      <xdr:col>11</xdr:col>
      <xdr:colOff>293593</xdr:colOff>
      <xdr:row>28</xdr:row>
      <xdr:rowOff>79081</xdr:rowOff>
    </xdr:from>
    <xdr:ext cx="3370345" cy="544957"/>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C4B47DAE-FE55-9067-CC98-962EEAD3D533}"/>
                </a:ext>
              </a:extLst>
            </xdr:cNvPr>
            <xdr:cNvSpPr txBox="1"/>
          </xdr:nvSpPr>
          <xdr:spPr>
            <a:xfrm>
              <a:off x="17982879" y="7073152"/>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ctrlPr>
                          <a:rPr lang="en-AU" sz="1100" i="1">
                            <a:latin typeface="Cambria Math" panose="02040503050406030204" pitchFamily="18" charset="0"/>
                          </a:rPr>
                        </m:ctrlPr>
                      </m:dPr>
                      <m:e>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0.29+</m:t>
                            </m:r>
                            <m:f>
                              <m:fPr>
                                <m:ctrlPr>
                                  <a:rPr lang="en-AU" sz="1100" i="1">
                                    <a:latin typeface="Cambria Math" panose="02040503050406030204" pitchFamily="18" charset="0"/>
                                  </a:rPr>
                                </m:ctrlPr>
                              </m:fPr>
                              <m:num>
                                <m:r>
                                  <a:rPr lang="en-AU" sz="1100" i="1">
                                    <a:latin typeface="Cambria Math" panose="02040503050406030204" pitchFamily="18" charset="0"/>
                                  </a:rPr>
                                  <m:t>0.007</m:t>
                                </m:r>
                                <m:d>
                                  <m:dPr>
                                    <m:ctrlPr>
                                      <a:rPr lang="en-AU" sz="1100" i="1">
                                        <a:latin typeface="Cambria Math" panose="02040503050406030204" pitchFamily="18" charset="0"/>
                                      </a:rPr>
                                    </m:ctrlPr>
                                  </m:dPr>
                                  <m:e>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0.037×</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sup>
                                    </m:sSup>
                                    <m:r>
                                      <a:rPr lang="en-AU" sz="1100" i="1">
                                        <a:latin typeface="Cambria Math" panose="02040503050406030204" pitchFamily="18" charset="0"/>
                                      </a:rPr>
                                      <m:t>−1</m:t>
                                    </m:r>
                                  </m:e>
                                </m:d>
                              </m:num>
                              <m:den>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den>
                            </m:f>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7" name="TextBox 6">
              <a:extLst>
                <a:ext uri="{FF2B5EF4-FFF2-40B4-BE49-F238E27FC236}">
                  <a16:creationId xmlns:a16="http://schemas.microsoft.com/office/drawing/2014/main" id="{C4B47DAE-FE55-9067-CC98-962EEAD3D533}"/>
                </a:ext>
              </a:extLst>
            </xdr:cNvPr>
            <xdr:cNvSpPr txBox="1"/>
          </xdr:nvSpPr>
          <xdr:spPr>
            <a:xfrm>
              <a:off x="17982879" y="7073152"/>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(0.01×(0.29+0.007(𝑒^(0.037×𝑁_(𝑓𝑗=𝑐𝑜𝑡𝑡𝑜𝑛) )−1)/𝑁_(𝑓𝑗=𝑐𝑜𝑡𝑡𝑜𝑛) ))×10^(−2)</a:t>
              </a:r>
              <a:endParaRPr lang="en-AU" sz="1100"/>
            </a:p>
          </xdr:txBody>
        </xdr:sp>
      </mc:Fallback>
    </mc:AlternateContent>
    <xdr:clientData/>
  </xdr:oneCellAnchor>
  <xdr:oneCellAnchor>
    <xdr:from>
      <xdr:col>11</xdr:col>
      <xdr:colOff>304800</xdr:colOff>
      <xdr:row>60</xdr:row>
      <xdr:rowOff>133350</xdr:rowOff>
    </xdr:from>
    <xdr:ext cx="3047693"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6E71D4-6A6E-4B5E-BC97-56CE145D218E}"/>
                </a:ext>
              </a:extLst>
            </xdr:cNvPr>
            <xdr:cNvSpPr txBox="1"/>
          </xdr:nvSpPr>
          <xdr:spPr>
            <a:xfrm>
              <a:off x="15897225" y="153733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11" name="TextBox 10">
              <a:extLst>
                <a:ext uri="{FF2B5EF4-FFF2-40B4-BE49-F238E27FC236}">
                  <a16:creationId xmlns:a16="http://schemas.microsoft.com/office/drawing/2014/main" id="{016E71D4-6A6E-4B5E-BC97-56CE145D218E}"/>
                </a:ext>
              </a:extLst>
            </xdr:cNvPr>
            <xdr:cNvSpPr txBox="1"/>
          </xdr:nvSpPr>
          <xdr:spPr>
            <a:xfrm>
              <a:off x="15897225" y="153733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D4CA656-6B28-0575-1032-D64942AF2694}"/>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ED4CA656-6B28-0575-1032-D64942AF2694}"/>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𝑀𝑈_𝑗𝑓=𝑇𝑀_𝑗𝑓×𝐹𝑈_𝑓</a:t>
              </a:r>
              <a:endParaRPr lang="en-AU" sz="1100"/>
            </a:p>
          </xdr:txBody>
        </xdr:sp>
      </mc:Fallback>
    </mc:AlternateContent>
    <xdr:clientData/>
  </xdr:oneCellAnchor>
  <xdr:oneCellAnchor>
    <xdr:from>
      <xdr:col>2</xdr:col>
      <xdr:colOff>309562</xdr:colOff>
      <xdr:row>43</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047CA4-BA3A-C23E-A326-33867DB7E1E6}"/>
                </a:ext>
              </a:extLst>
            </xdr:cNvPr>
            <xdr:cNvSpPr txBox="1"/>
          </xdr:nvSpPr>
          <xdr:spPr>
            <a:xfrm>
              <a:off x="2671762" y="1104900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𝑢𝑟𝑒𝑎</m:t>
                                        </m:r>
                                        <m:r>
                                          <a:rPr lang="en-AU" sz="1100" i="1">
                                            <a:latin typeface="Cambria Math" panose="02040503050406030204" pitchFamily="18" charset="0"/>
                                          </a:rPr>
                                          <m:t>,</m:t>
                                        </m:r>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72047CA4-BA3A-C23E-A326-33867DB7E1E6}"/>
                </a:ext>
              </a:extLst>
            </xdr:cNvPr>
            <xdr:cNvSpPr txBox="1"/>
          </xdr:nvSpPr>
          <xdr:spPr>
            <a:xfrm>
              <a:off x="2671762" y="1104900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𝐸_𝐶𝑂2=∑_𝑗▒∑_𝑓▒((𝑀𝑈_𝑗𝑓×𝐸𝐹_(𝑢𝑟𝑒𝑎,𝐶𝑂2)×𝐶_𝐶𝑂2 )×10^(−3)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𝑀𝑁𝑆𝑜𝑖𝑙_𝑗𝑓=𝑀_(𝑜𝑟𝑔𝑎𝑛𝑖𝑐,𝑗𝑓)×𝐹𝑁_(𝑜𝑟𝑔𝑎𝑛𝑖𝑐,𝑓)</a:t>
              </a:r>
              <a:endParaRPr lang="en-AU" sz="11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𝐸_𝑁2𝑂=∑8_𝑗▒∑8_𝑓▒((𝑀𝑁𝑆𝑜𝑖𝑙_𝑗𝑓×𝐸𝐹_(𝑁2𝑂,𝑖)×𝐶_𝑁2𝑂 )×10^(−3) ) </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𝑙𝑖𝑚𝑒</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𝐹𝑟𝑎𝑐𝐿𝑖𝑚𝑒</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𝑙𝑖𝑚𝑒</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𝐹𝑟𝑎𝑐𝐷𝑜𝑙</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𝑑𝑜𝑙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𝑑𝑜𝑙</m:t>
                                </m:r>
                              </m:sub>
                            </m:sSub>
                          </m:e>
                        </m:d>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𝑀_(𝑣𝑜𝑙,𝑖𝑛𝑜𝑟𝑔𝑎𝑛𝑖𝑐,𝑗𝑓)=𝑀𝑁_𝑗𝑓×𝐹𝑟𝑎𝑐𝐺𝐴𝑆𝐹_𝑓</a:t>
              </a:r>
              <a:endParaRPr lang="en-AU" sz="1100"/>
            </a:p>
          </xdr:txBody>
        </xdr:sp>
      </mc:Fallback>
    </mc:AlternateContent>
    <xdr:clientData/>
  </xdr:oneCellAnchor>
  <xdr:oneCellAnchor>
    <xdr:from>
      <xdr:col>3</xdr:col>
      <xdr:colOff>4762</xdr:colOff>
      <xdr:row>43</xdr:row>
      <xdr:rowOff>57150</xdr:rowOff>
    </xdr:from>
    <xdr:ext cx="424674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𝑖𝑛𝑜𝑟𝑔𝑎𝑛𝑖𝑐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𝐸_(𝑎𝑑,𝑖𝑛𝑜𝑟𝑔𝑎𝑛𝑖𝑐)=∑2_𝑗▒∑2_𝑓▒((𝑀_(𝑣𝑜𝑙,𝑖𝑛𝑜𝑟𝑔𝑎𝑛𝑖𝑐,𝑗𝑓)×𝐸𝐹_(𝑁2𝑂,𝑗) )×𝐶_𝑁2𝑂×10^(−3) ) </a:t>
              </a:r>
              <a:endParaRPr lang="en-AU" sz="1100"/>
            </a:p>
          </xdr:txBody>
        </xdr:sp>
      </mc:Fallback>
    </mc:AlternateContent>
    <xdr:clientData/>
  </xdr:oneCellAnchor>
  <xdr:oneCellAnchor>
    <xdr:from>
      <xdr:col>3</xdr:col>
      <xdr:colOff>4762</xdr:colOff>
      <xdr:row>90</xdr:row>
      <xdr:rowOff>66675</xdr:rowOff>
    </xdr:from>
    <xdr:ext cx="2649059" cy="18299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118</xdr:row>
      <xdr:rowOff>57150</xdr:rowOff>
    </xdr:from>
    <xdr:ext cx="4040786"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𝑀_(𝑙𝑒𝑎𝑐ℎ,𝑖𝑛𝑜𝑟𝑔𝑎𝑛𝑖𝑐,𝑗)=∑10_𝑓▒(𝑀𝑁_𝑗𝑓×𝐹𝑟𝑎𝑐_(𝑊𝐸𝑇,𝑗)×𝐹𝑟𝑎𝑐_𝐿𝐸𝐴𝐶𝐻 ) </a:t>
              </a:r>
              <a:endParaRPr lang="en-AU" sz="1100"/>
            </a:p>
          </xdr:txBody>
        </xdr:sp>
      </mc:Fallback>
    </mc:AlternateContent>
    <xdr:clientData/>
  </xdr:oneCellAnchor>
  <xdr:oneCellAnchor>
    <xdr:from>
      <xdr:col>2</xdr:col>
      <xdr:colOff>252412</xdr:colOff>
      <xdr:row>49</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83</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5673927C-FAF3-425F-8E58-192CAB5E17D4}" name="Table_Input_InorganicFertiliser_Brands" displayName="Table_Input_InorganicFertiliser_Brands" ref="D17:X22" headerRowDxfId="191" dataDxfId="190" totalsRowDxfId="189">
  <autoFilter ref="D17:X22"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2" xr3:uid="{D8E438D7-21E3-48DD-9144-E15C10C5819E}" name="Product (select)" dataDxfId="188" totalsRowDxfId="187" dataCellStyle="Input select"/>
    <tableColumn id="23" xr3:uid="{59B08BC3-EF27-48EB-BCEA-84F2987787EF}" name="Amount applied per hectare" totalsRowFunction="custom" dataDxfId="186" totalsRowDxfId="185">
      <totalsRowFormula>SUM(Table_Input_InorganicFertiliser_Brands[[#Headers],[#Data],[Amount applied per hectare]])</totalsRowFormula>
    </tableColumn>
    <tableColumn id="12" xr3:uid="{80233E62-DDAA-41E2-908D-8BF8A861A382}" name="Application unit" dataDxfId="184" totalsRowDxfId="183" dataCellStyle="Input number 2 decimal places">
      <calculatedColumnFormula>_xlfn.XLOOKUP(Table_Input_InorganicFertiliser_Brands[[#This Row],[Product (select)]],FertiliserProducts[Product name],FertiliserProducts[Unit])</calculatedColumnFormula>
    </tableColumn>
    <tableColumn id="9" xr3:uid="{AB2DBAEB-99CF-4592-ABB8-65CF9108B710}" name="Density" dataDxfId="182" totalsRowDxfId="181" dataCellStyle="Input number 2 decimal places">
      <calculatedColumnFormula>_xlfn.XLOOKUP(Table_Input_InorganicFertiliser_Brands[[#This Row],[Product (select)]],FertiliserProducts[Product name],FertiliserProducts[Density / gravity])</calculatedColumnFormula>
    </tableColumn>
    <tableColumn id="6" xr3:uid="{6844C17C-E015-4F91-924B-1E5867E2DFCF}" name="Application area (ha)" dataDxfId="180" totalsRowDxfId="179">
      <calculatedColumnFormula>$E$9</calculatedColumnFormula>
    </tableColumn>
    <tableColumn id="1" xr3:uid="{3BF774D0-ADA2-40B3-9242-8DFBBB9443B7}" name="Total applied (kg)" dataDxfId="178" totalsRowDxfId="177"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F58E0D71-91B7-42EC-AE70-0662CA20A4A0}" name="Ingredient 1" dataDxfId="176" totalsRowDxfId="175" dataCellStyle="Input number general calculated">
      <calculatedColumnFormula array="1">Fertiliser_InputFunctions.Fertiliser_FertiliserProductLookup(Table_Input_InorganicFertiliser_Brands[[#This Row],[Product (select)]], Table_Input_InorganicFertiliser_Brands[[#Headers],[Ingredient 1]], FertiliserProducts[#Data], FertiliserProducts[Product name], FertiliserProducts[#Headers])</calculatedColumnFormula>
    </tableColumn>
    <tableColumn id="4" xr3:uid="{E044E44D-94BE-4206-90A4-BA1AC9629175}" name="Ingredient 1 percent" dataDxfId="174" totalsRowDxfId="173" dataCellStyle="Input number general calculated">
      <calculatedColumnFormula array="1">Fertiliser_InputFunctions.Fertiliser_FertiliserProductLookup(Table_Input_InorganicFertiliser_Brands[[#This Row],[Product (select)]], Table_Input_InorganicFertiliser_Brands[[#Headers],[Ingredient 1 percent]], FertiliserProducts[#Data], FertiliserProducts[Product name], FertiliserProducts[#Headers])</calculatedColumnFormula>
    </tableColumn>
    <tableColumn id="7" xr3:uid="{658506A8-773F-406D-BF6E-4A595EC2B83E}" name="Ingredient 2" dataDxfId="172" dataCellStyle="Input number general calculated">
      <calculatedColumnFormula array="1">Fertiliser_InputFunctions.Fertiliser_FertiliserProductLookup(Table_Input_InorganicFertiliser_Brands[[#This Row],[Product (select)]], Table_Input_InorganicFertiliser_Brands[[#Headers],[Ingredient 2]], FertiliserProducts[#Data], FertiliserProducts[Product name], FertiliserProducts[#Headers])</calculatedColumnFormula>
    </tableColumn>
    <tableColumn id="8" xr3:uid="{14C6792D-E1B3-4C47-95A3-750975538DDF}" name="Ingredient 2 percent" dataDxfId="171" totalsRowDxfId="170" dataCellStyle="Input number general calculated">
      <calculatedColumnFormula array="1">Fertiliser_InputFunctions.Fertiliser_FertiliserProductLookup(Table_Input_InorganicFertiliser_Brands[[#This Row],[Product (select)]], Table_Input_InorganicFertiliser_Brands[[#Headers],[Ingredient 2 percent]], FertiliserProducts[#Data], FertiliserProducts[Product name], FertiliserProducts[#Headers])</calculatedColumnFormula>
    </tableColumn>
    <tableColumn id="10" xr3:uid="{AAA6B0A4-09BF-4E94-A9FE-688D347CF7F0}" name="Ingredient 3" dataDxfId="169" totalsRowDxfId="168" dataCellStyle="Input number general calculated">
      <calculatedColumnFormula array="1">Fertiliser_InputFunctions.Fertiliser_FertiliserProductLookup(Table_Input_InorganicFertiliser_Brands[[#This Row],[Product (select)]], Table_Input_InorganicFertiliser_Brands[[#Headers],[Ingredient 3]], FertiliserProducts[#Data], FertiliserProducts[Product name], FertiliserProducts[#Headers])</calculatedColumnFormula>
    </tableColumn>
    <tableColumn id="11" xr3:uid="{A67D8906-DD6A-480D-A8F6-E0E2FD65B673}" name="Ingredient 3 percent" dataDxfId="167" totalsRowDxfId="166" dataCellStyle="Input number general calculated">
      <calculatedColumnFormula array="1">Fertiliser_InputFunctions.Fertiliser_FertiliserProductLookup(Table_Input_InorganicFertiliser_Brands[[#This Row],[Product (select)]], Table_Input_InorganicFertiliser_Brands[[#Headers],[Ingredient 3 percent]], FertiliserProducts[#Data], FertiliserProducts[Product name], FertiliserProducts[#Headers])</calculatedColumnFormula>
    </tableColumn>
    <tableColumn id="13" xr3:uid="{239B3315-A1C7-4286-B68A-3639868C0EF9}" name="Ingredient 4" dataDxfId="165" totalsRowDxfId="164" dataCellStyle="Input number general calculated">
      <calculatedColumnFormula array="1">Fertiliser_InputFunctions.Fertiliser_FertiliserProductLookup(Table_Input_InorganicFertiliser_Brands[[#This Row],[Product (select)]], Table_Input_InorganicFertiliser_Brands[[#Headers],[Ingredient 4]], FertiliserProducts[#Data], FertiliserProducts[Product name], FertiliserProducts[#Headers])</calculatedColumnFormula>
    </tableColumn>
    <tableColumn id="14" xr3:uid="{E99F178D-5310-4698-B219-B1950B041870}" name="Ingredient 4 percent" dataDxfId="163" dataCellStyle="Input number general calculated">
      <calculatedColumnFormula array="1">Fertiliser_InputFunctions.Fertiliser_FertiliserProductLookup(Table_Input_InorganicFertiliser_Brands[[#This Row],[Product (select)]], Table_Input_InorganicFertiliser_Brands[[#Headers],[Ingredient 4 percent]], FertiliserProducts[#Data], FertiliserProducts[Product name], FertiliserProducts[#Headers])</calculatedColumnFormula>
    </tableColumn>
    <tableColumn id="16" xr3:uid="{3E5AE9CD-D391-4137-B063-ACC476CDF5C0}" name="Ingredient 5" dataDxfId="162" dataCellStyle="Input number general calculated">
      <calculatedColumnFormula array="1">Fertiliser_InputFunctions.Fertiliser_FertiliserProductLookup(Table_Input_InorganicFertiliser_Brands[[#This Row],[Product (select)]], Table_Input_InorganicFertiliser_Brands[[#Headers],[Ingredient 5]], FertiliserProducts[#Data], FertiliserProducts[Product name], FertiliserProducts[#Headers])</calculatedColumnFormula>
    </tableColumn>
    <tableColumn id="17" xr3:uid="{7C4F06C2-A537-435A-A087-76B91A9DF178}" name="Ingredient 5 percent" dataDxfId="161" dataCellStyle="Input number general calculated">
      <calculatedColumnFormula array="1">Fertiliser_InputFunctions.Fertiliser_FertiliserProductLookup(Table_Input_InorganicFertiliser_Brands[[#This Row],[Product (select)]], Table_Input_InorganicFertiliser_Brands[[#Headers],[Ingredient 5 percent]], FertiliserProducts[#Data], FertiliserProducts[Product name], FertiliserProducts[#Headers])</calculatedColumnFormula>
    </tableColumn>
    <tableColumn id="19" xr3:uid="{F29E9025-612B-444E-ABC6-F122293B67EE}" name="Ingredient 6" dataDxfId="160" dataCellStyle="Input number general calculated">
      <calculatedColumnFormula array="1">Fertiliser_InputFunctions.Fertiliser_FertiliserProductLookup(Table_Input_InorganicFertiliser_Brands[[#This Row],[Product (select)]], Table_Input_InorganicFertiliser_Brands[[#Headers],[Ingredient 6]], FertiliserProducts[#Data], FertiliserProducts[Product name], FertiliserProducts[#Headers])</calculatedColumnFormula>
    </tableColumn>
    <tableColumn id="20" xr3:uid="{890ECB12-1799-4587-AABE-EB26A9F59082}" name="Ingredient 6 percent" dataDxfId="159" dataCellStyle="Input number general calculated">
      <calculatedColumnFormula array="1">Fertiliser_InputFunctions.Fertiliser_FertiliserProductLookup(Table_Input_InorganicFertiliser_Brands[[#This Row],[Product (select)]], Table_Input_InorganicFertiliser_Brands[[#Headers],[Ingredient 6 percent]], FertiliserProducts[#Data], FertiliserProducts[Product name], FertiliserProducts[#Headers])</calculatedColumnFormula>
    </tableColumn>
    <tableColumn id="5" xr3:uid="{79855DE6-CD57-4A4D-9E7A-DBDBAC0C93A1}" name="N application rate (kg/ha)" dataDxfId="158" totalsRowDxfId="157" dataCellStyle="Input number general calculated">
      <calculatedColumnFormula>(Table_Input_InorganicFertiliser_Brands[[#This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calculatedColumnFormula>
    </tableColumn>
    <tableColumn id="15" xr3:uid="{04D06624-34AF-43FA-AED1-16453D87BC8D}" name="Urea source" dataDxfId="156" totalsRowDxfId="155" dataCellStyle="Input number general calculated">
      <calculatedColumnFormula>_xlfn.XLOOKUP(Table_Input_InorganicFertiliser_Brands[[#This Row],[Product (select)]],FertiliserProducts[Product name],FertiliserProducts[Urea source])</calculatedColumnFormula>
    </tableColumn>
    <tableColumn id="18" xr3:uid="{9BDAF438-9ABD-4279-A4F5-8BE0B2E60216}" name="Ammonia source" dataDxfId="154" totalsRowDxfId="153" dataCellStyle="Input number general calculated">
      <calculatedColumnFormula>_xlfn.XLOOKUP(Table_Input_InorganicFertiliser_Brands[[#This Row],[Product (select)]],FertiliserProducts[Product name],FertiliserProducts[Ammonia source])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024A338-4140-4535-9AA6-449DA88B1C2C}" name="Table_Input_InorganicFertiliser_Custom" displayName="Table_Input_InorganicFertiliser_Custom" ref="D25:R28" totalsRowShown="0" headerRowDxfId="152" dataDxfId="151">
  <autoFilter ref="D25:R28"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B5F1DF07-A1A2-4FA2-8A3F-B3BE5D6FA2EF}" name="Custom blend name" dataCellStyle="Input text"/>
    <tableColumn id="2" xr3:uid="{7C7F2F97-8F52-4B32-ADCE-CCF50441D95B}" name="Amount applied (kg / ha)" dataDxfId="150"/>
    <tableColumn id="3" xr3:uid="{7EF8A17B-D965-4D18-A7A2-D90F9F680015}" name="Application area (ha)" dataDxfId="149" dataCellStyle="Input number 2 decimal places">
      <calculatedColumnFormula>$E$9</calculatedColumnFormula>
    </tableColumn>
    <tableColumn id="4" xr3:uid="{B5004E38-6D68-4E13-BED4-CB556D548532}" name="Total applied (kg)" dataDxfId="148" dataCellStyle="Input number general calculated">
      <calculatedColumnFormula>Table_Input_InorganicFertiliser_Custom[[#This Row],[Amount applied (kg / ha)]]*Table_Input_InorganicFertiliser_Custom[[#This Row],[Application area (ha)]]</calculatedColumnFormula>
    </tableColumn>
    <tableColumn id="5" xr3:uid="{412210B2-0F3E-4380-B533-FB2A32DCF46E}" name="Ingredient 1 (select)" dataDxfId="147" dataCellStyle="Input select"/>
    <tableColumn id="6" xr3:uid="{E4FC8E72-0059-40E6-A5E8-C29893BBF371}" name="Ingredient 1 percent" dataDxfId="146"/>
    <tableColumn id="8" xr3:uid="{3568E299-41D5-4DA4-822C-91EFC2C68B68}" name="Ingredient 2" dataDxfId="145" dataCellStyle="Input select"/>
    <tableColumn id="9" xr3:uid="{9DFD8E7A-8101-4927-89BF-3E994EB31F96}" name="Ingredient 2 percent" dataDxfId="144"/>
    <tableColumn id="11" xr3:uid="{A7F2C8C6-1FC3-42D4-A36B-254F6E195571}" name="Ingredient 3" dataDxfId="143" dataCellStyle="Input select"/>
    <tableColumn id="12" xr3:uid="{43F6AA9D-3E97-4BA6-8E27-81AE530E1428}" name="Ingredient 3 percent" dataDxfId="142"/>
    <tableColumn id="14" xr3:uid="{AAE79728-DB2A-45E8-B9AB-496D82682D02}" name="Ingredient 4" dataDxfId="141" dataCellStyle="Input select"/>
    <tableColumn id="15" xr3:uid="{48BA5E25-4596-49E4-8F81-BC0D52974ECA}" name="Ingredient 4 percent" dataCellStyle="Input percent"/>
    <tableColumn id="7" xr3:uid="{8A68B805-7FB6-49A9-B9BB-58ADF30E43B7}" name="N application rate (kg/ha)" dataDxfId="140" dataCellStyle="Input number general calculated">
      <calculatedColumnFormula>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calculatedColumnFormula>
    </tableColumn>
    <tableColumn id="10" xr3:uid="{5BDB029E-2061-4C43-8F9F-38BA300F9219}" name="Urea source (Select)" dataCellStyle="Input select"/>
    <tableColumn id="13" xr3:uid="{1FAD97DD-F8EB-4ABE-B4CE-0A99E59DEA07}" name="Ammonia source (select)" dataCellStyle="Input select"/>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2C84B33D-ED8D-4C1D-B319-1B5D2D0181A1}" name="Table_Input_Lime" displayName="Table_Input_Lime" ref="D36:K39" totalsRowShown="0" headerRowDxfId="139" dataDxfId="138" headerRowCellStyle="Input table column header">
  <autoFilter ref="D36:K39"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82EBE8C9-DDAA-458C-A7AA-DCB847581DFF}" name="Product" dataDxfId="137"/>
    <tableColumn id="2" xr3:uid="{B4EAD8A0-4563-4BA4-8C32-F444D747B623}" name="Amount applied (t/hectare)" dataDxfId="136"/>
    <tableColumn id="4" xr3:uid="{AEB6AB68-6478-4B2B-9B85-2B6FAFAF4B19}" name="Application area (ha)" dataDxfId="135">
      <calculatedColumnFormula>$E$9</calculatedColumnFormula>
    </tableColumn>
    <tableColumn id="3" xr3:uid="{CB52F796-ECF9-4D56-B08E-72C1A090ECED}" name="Total amount applied (t)" dataDxfId="134" dataCellStyle="Input number general calculated">
      <calculatedColumnFormula>IFERROR(Table_Input_Lime[[#This Row],[Amount applied (t/hectare)]]*Table_Input_Lime[[#This Row],[Application area (ha)]], 0)</calculatedColumnFormula>
    </tableColumn>
    <tableColumn id="6" xr3:uid="{463C4932-5481-444B-B89A-91DEAB645D48}" name="Percent Lime CaCO3" dataDxfId="133"/>
    <tableColumn id="8" xr3:uid="{E6AC5B83-E41F-4CA3-8CB5-DAE2C8D31386}" name="Percent Dolomite CaMg(CO3)2" dataDxfId="132"/>
    <tableColumn id="7" xr3:uid="{C2FA7C98-73DF-4B0B-9D0B-AF335608BA35}" name="Percent Gypsum" dataDxfId="131"/>
    <tableColumn id="10" xr3:uid="{4BF71EEB-80F3-4DB1-B0D1-D4D93983D919}" name="Total" dataDxfId="130" dataCellStyle="Percent">
      <calculatedColumnFormula>SUM(Table_Input_Lime[[#This Row],[Percent Lime CaCO3]:[Percent Gypsum]])</calculatedColumnFormula>
    </tableColumn>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1424D04C-9CD1-4344-A611-A0F26AAC6A09}" name="Table_Input_OrganicFertiliser" displayName="Table_Input_OrganicFertiliser" ref="D47:J50" totalsRowShown="0" headerRowDxfId="129" dataDxfId="128" headerRowCellStyle="Input table column header">
  <autoFilter ref="D47:J50"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A0150C9-E95C-4634-ACAA-18237EE0F81C}" name="Organic fertiliser type (select)" dataDxfId="127" dataCellStyle="Input select"/>
    <tableColumn id="5" xr3:uid="{A4835DDC-D01F-4121-BA81-061BD582AD81}" name="Percentage of N in fertiliser" dataDxfId="126"/>
    <tableColumn id="2" xr3:uid="{78F23607-4221-4C96-AE58-1738D148B281}" name="Amount applied (kg/hectare)" dataDxfId="125"/>
    <tableColumn id="11" xr3:uid="{743E34BE-5366-4C2E-A066-60503FC1C110}" name="Amount N applied (kg/hectare)" dataDxfId="124" dataCellStyle="Input number general calculated">
      <calculatedColumnFormula>Table_Input_OrganicFertiliser[[#This Row],[Amount applied (kg/hectare)]]*Table_Input_OrganicFertiliser[[#This Row],[Percentage of N in fertiliser]]</calculatedColumnFormula>
    </tableColumn>
    <tableColumn id="4" xr3:uid="{B88F455B-D8D9-4441-954D-CD168CA9D851}" name="Application area (ha)" dataDxfId="123">
      <calculatedColumnFormula>$E$9</calculatedColumnFormula>
    </tableColumn>
    <tableColumn id="7" xr3:uid="{7CBB769C-0807-447F-BE25-34DAD65EC446}" name="Total organic fertliser applied" dataDxfId="122" dataCellStyle="Input number general calculated">
      <calculatedColumnFormula>Table_Input_OrganicFertiliser[[#This Row],[Amount applied (kg/hectare)]]*Table_Input_OrganicFertiliser[[#This Row],[Application area (ha)]]</calculatedColumnFormula>
    </tableColumn>
    <tableColumn id="3" xr3:uid="{1F74E9BE-0840-40F9-B7FF-8F62A4E651FA}" name="Total nitrogen applied (kg)" dataDxfId="121"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2DD19F-CBC4-42A0-AD7E-F034180A8AA9}"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8C4C01E3-2923-4F94-8346-41D989BDE40D}"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72E07C71-DD8D-4126-8655-0AFD44FCC6AB}" name="FNinorganic f">
      <calculatedColumnFormula array="1">Common_InputFunctions.Utility_DisplayArrayInTable(Fertiliser_SourceData.Fertiliser_ChemicalCompoundElements_Data(),Table_Fertiliser_ChemicalCompounds[[#Headers],[Fertiliser type f]], 0)</calculatedColumnFormula>
    </tableColumn>
    <tableColumn id="3" xr3:uid="{30037BC3-4142-4B1B-B7E0-8A23D8ADC7CE}" name="FU f">
      <calculatedColumnFormula array="1">Common_InputFunctions.Utility_DisplayArrayInTable(Fertiliser_SourceData.Fertiliser_ChemicalCompoundElements_Data(),Table_Fertiliser_ChemicalCompounds[[#Headers],[Fertiliser type f]], 0)</calculatedColumnFormula>
    </tableColumn>
    <tableColumn id="4" xr3:uid="{EAEC1FB5-77BC-47F7-AAD2-E4475E63C604}" name="Basis">
      <calculatedColumnFormula array="1">Common_InputFunctions.Utility_DisplayArrayInTable(Fertiliser_SourceData.Fertiliser_ChemicalCompoundElements_Data(),Table_Fertiliser_ChemicalCompounds[[#Headers],[Fertiliser type f]], 0)</calculatedColumnFormula>
    </tableColumn>
    <tableColumn id="5" xr3:uid="{10C0FE6E-3C31-41D7-A8E3-A5873BBFAF53}"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DBEA0D9E-021A-42DD-879C-0FE0921BFAA5}"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F03620B-9968-447A-A13F-E60FF3C81E47}"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A3F0E066-456E-4CE4-AA6E-2432945E94BE}" name="Include or Exclude" dataDxfId="120" totalsRowDxfId="119">
      <calculatedColumnFormula array="1">Common_InputFunctions.Utility_DisplayArrayInTable(Fertiliser_SourceData.Fertiliser_Products_Data1(),FertiliserProducts[[#Headers],[Include or Exclude]], -1)</calculatedColumnFormula>
    </tableColumn>
    <tableColumn id="2" xr3:uid="{A1127254-05BE-4396-ABB5-A675D872078F}" name="Notes" dataDxfId="118" totalsRowDxfId="117">
      <calculatedColumnFormula array="1">Common_InputFunctions.Utility_DisplayArrayInTable(Fertiliser_SourceData.Fertiliser_Products_Data1(),FertiliserProducts[[#Headers],[Include or Exclude]], 0)</calculatedColumnFormula>
    </tableColumn>
    <tableColumn id="3" xr3:uid="{38D957B7-EEA5-463D-BDB3-85B9FFD5BAA7}" name="Company" dataDxfId="116" totalsRowDxfId="115">
      <calculatedColumnFormula array="1">Common_InputFunctions.Utility_DisplayArrayInTable(Fertiliser_SourceData.Fertiliser_Products_Data1(),FertiliserProducts[[#Headers],[Include or Exclude]], 0)</calculatedColumnFormula>
    </tableColumn>
    <tableColumn id="4" xr3:uid="{B66302A1-05EA-480E-AA2A-DA54BBD38A46}" name="Product name" dataDxfId="114" totalsRowDxfId="113">
      <calculatedColumnFormula array="1">Common_InputFunctions.Utility_DisplayArrayInTable(Fertiliser_SourceData.Fertiliser_Products_Data1(),FertiliserProducts[[#Headers],[Include or Exclude]], 0)</calculatedColumnFormula>
    </tableColumn>
    <tableColumn id="5" xr3:uid="{1DD9CD43-0FC6-467F-B81B-17F2B18D92A6}" name="Unit" dataDxfId="112" totalsRowDxfId="111">
      <calculatedColumnFormula array="1">Common_InputFunctions.Utility_DisplayArrayInTable(Fertiliser_SourceData.Fertiliser_Products_Data1(),FertiliserProducts[[#Headers],[Include or Exclude]], 0,4)</calculatedColumnFormula>
    </tableColumn>
    <tableColumn id="6" xr3:uid="{2726F29B-265E-4968-9BDB-0822F320EC19}" name="Density / gravity" dataDxfId="110" totalsRowDxfId="109">
      <calculatedColumnFormula array="1">Common_InputFunctions.Utility_DisplayArrayInTable(Fertiliser_SourceData.Fertiliser_Products_Data1(),FertiliserProducts[[#Headers],[Include or Exclude]], 0,4)</calculatedColumnFormula>
    </tableColumn>
    <tableColumn id="7" xr3:uid="{BF1AF56A-2845-4920-860F-B10A736587C1}" name="Urea source" dataDxfId="108" totalsRowDxfId="107">
      <calculatedColumnFormula array="1">Common_InputFunctions.Utility_DisplayArrayInTable(Fertiliser_SourceData.Fertiliser_Products_Data1(),FertiliserProducts[[#Headers],[Include or Exclude]], 0,4)</calculatedColumnFormula>
    </tableColumn>
    <tableColumn id="8" xr3:uid="{E2EDC11B-C8E4-42A8-A90F-976309289390}" name="Ammonia source" dataDxfId="106" totalsRowDxfId="105">
      <calculatedColumnFormula array="1">Common_InputFunctions.Utility_DisplayArrayInTable(Fertiliser_SourceData.Fertiliser_Products_Data1(),FertiliserProducts[[#Headers],[Include or Exclude]], 0,4)</calculatedColumnFormula>
    </tableColumn>
    <tableColumn id="9" xr3:uid="{24252A97-7709-44EA-ABC3-5F607CC0348F}" name="Ingredient 1" dataDxfId="104" totalsRowDxfId="103">
      <calculatedColumnFormula array="1">Common_InputFunctions.Utility_DisplayArrayInTable(Fertiliser_SourceData.Fertiliser_Products_Data1(),FertiliserProducts[[#Headers],[Include or Exclude]], 0,4)</calculatedColumnFormula>
    </tableColumn>
    <tableColumn id="10" xr3:uid="{11AF6B47-3A72-4D46-9A4D-BBF30EC4193E}" name="Ingredient 1 percent" dataDxfId="102" totalsRowDxfId="101">
      <calculatedColumnFormula array="1">Common_InputFunctions.Utility_DisplayArrayInTable(Fertiliser_SourceData.Fertiliser_Products_Data1(),FertiliserProducts[[#Headers],[Include or Exclude]], 0,4)</calculatedColumnFormula>
    </tableColumn>
    <tableColumn id="11" xr3:uid="{0AAFCB45-5C80-4123-8736-D764334BFDB4}" name="Ingredient 2" dataDxfId="100" totalsRowDxfId="99">
      <calculatedColumnFormula array="1">Common_InputFunctions.Utility_DisplayArrayInTable(Fertiliser_SourceData.Fertiliser_Products_Data1(),FertiliserProducts[[#Headers],[Include or Exclude]], 0,4)</calculatedColumnFormula>
    </tableColumn>
    <tableColumn id="12" xr3:uid="{1191C429-7048-41F0-B9F1-7F3F733CF190}" name="Ingredient 2 percent" dataDxfId="98" totalsRowDxfId="97">
      <calculatedColumnFormula array="1">Common_InputFunctions.Utility_DisplayArrayInTable(Fertiliser_SourceData.Fertiliser_Products_Data1(),FertiliserProducts[[#Headers],[Include or Exclude]], 0,4)</calculatedColumnFormula>
    </tableColumn>
    <tableColumn id="13" xr3:uid="{FA476FFC-F776-4F53-9E0E-72EDBA1D1AE9}" name="Ingredient 3" dataDxfId="96" totalsRowDxfId="95">
      <calculatedColumnFormula array="1">Common_InputFunctions.Utility_DisplayArrayInTable(Fertiliser_SourceData.Fertiliser_Products_Data1(),FertiliserProducts[[#Headers],[Include or Exclude]], 0,4)</calculatedColumnFormula>
    </tableColumn>
    <tableColumn id="14" xr3:uid="{659EB097-21AA-48F2-ABBA-84390DA814E8}" name="Ingredient 3 percent" dataDxfId="94" totalsRowDxfId="93">
      <calculatedColumnFormula array="1">Common_InputFunctions.Utility_DisplayArrayInTable(Fertiliser_SourceData.Fertiliser_Products_Data1(),FertiliserProducts[[#Headers],[Include or Exclude]], 0,4)</calculatedColumnFormula>
    </tableColumn>
    <tableColumn id="15" xr3:uid="{41225C63-628E-47D6-9916-54724FB26AA0}" name="Ingredient 4" dataDxfId="92" totalsRowDxfId="91">
      <calculatedColumnFormula array="1">Common_InputFunctions.Utility_DisplayArrayInTable(Fertiliser_SourceData.Fertiliser_Products_Data1(),FertiliserProducts[[#Headers],[Include or Exclude]], 0,4)</calculatedColumnFormula>
    </tableColumn>
    <tableColumn id="16" xr3:uid="{5CC4BD9F-F4DC-4AFB-B330-906140042C26}" name="Ingredient 4 percent" dataDxfId="90" totalsRowDxfId="89">
      <calculatedColumnFormula array="1">Common_InputFunctions.Utility_DisplayArrayInTable(Fertiliser_SourceData.Fertiliser_Products_Data1(),FertiliserProducts[[#Headers],[Include or Exclude]], 0,4)</calculatedColumnFormula>
    </tableColumn>
    <tableColumn id="17" xr3:uid="{C8419B25-8A41-4C9D-9C06-4A39DBA4FAEA}" name="Ingredient 5" dataDxfId="88" totalsRowDxfId="87">
      <calculatedColumnFormula array="1">Common_InputFunctions.Utility_DisplayArrayInTable(Fertiliser_SourceData.Fertiliser_Products_Data1(),FertiliserProducts[[#Headers],[Include or Exclude]], 0,4)</calculatedColumnFormula>
    </tableColumn>
    <tableColumn id="18" xr3:uid="{E02EF3B5-039F-4565-B2D4-9A23C40746B9}" name="Ingredient 5 percent" dataDxfId="86" totalsRowDxfId="85">
      <calculatedColumnFormula array="1">Common_InputFunctions.Utility_DisplayArrayInTable(Fertiliser_SourceData.Fertiliser_Products_Data1(),FertiliserProducts[[#Headers],[Include or Exclude]], 0,4)</calculatedColumnFormula>
    </tableColumn>
    <tableColumn id="19" xr3:uid="{AC8B170D-2E32-4FB7-BD07-9CD91A23BA09}" name="Ingredient 6" dataDxfId="84" totalsRowDxfId="83">
      <calculatedColumnFormula array="1">Common_InputFunctions.Utility_DisplayArrayInTable(Fertiliser_SourceData.Fertiliser_Products_Data1(),FertiliserProducts[[#Headers],[Include or Exclude]], 0,4)</calculatedColumnFormula>
    </tableColumn>
    <tableColumn id="37" xr3:uid="{D87106C6-8480-4F48-8501-41D31D7A5FF8}" name="Ingredient 6 percent" dataDxfId="82" totalsRowDxfId="81">
      <calculatedColumnFormula array="1">Common_InputFunctions.Utility_DisplayArrayInTable(Fertiliser_SourceData.Fertiliser_Products_Data1(),FertiliserProducts[[#Headers],[Include or Exclude]], 0,4)</calculatedColumnFormula>
    </tableColumn>
    <tableColumn id="20" xr3:uid="{BA505D28-522B-43EB-A12C-7C8BE25DD8C7}" name="Ingredient 7" dataDxfId="80">
      <calculatedColumnFormula array="1">Common_InputFunctions.Utility_DisplayArrayInTable(Fertiliser_SourceData.Fertiliser_Products_Data1(),FertiliserProducts[[#Headers],[Include or Exclude]], 0,4)</calculatedColumnFormula>
    </tableColumn>
    <tableColumn id="24" xr3:uid="{3C80D87A-0310-479A-B767-6AACE3B3E29B}" name="Ingredient 7 percent" dataDxfId="79">
      <calculatedColumnFormula array="1">Common_InputFunctions.Utility_DisplayArrayInTable(Fertiliser_SourceData.Fertiliser_Products_Data1(),FertiliserProducts[[#Headers],[Include or Exclude]], 0,4)</calculatedColumnFormula>
    </tableColumn>
    <tableColumn id="23" xr3:uid="{CD58DC3E-C0F2-43B2-A1B0-76B51355BEA1}" name="Ingredient 8" dataDxfId="78">
      <calculatedColumnFormula array="1">Common_InputFunctions.Utility_DisplayArrayInTable(Fertiliser_SourceData.Fertiliser_Products_Data1(),FertiliserProducts[[#Headers],[Include or Exclude]], 0,4)</calculatedColumnFormula>
    </tableColumn>
    <tableColumn id="26" xr3:uid="{42E03324-7FDE-410D-A6C4-4B89738E9819}" name="Ingredient 8 percent" dataDxfId="77">
      <calculatedColumnFormula array="1">Common_InputFunctions.Utility_DisplayArrayInTable(Fertiliser_SourceData.Fertiliser_Products_Data1(),FertiliserProducts[[#Headers],[Include or Exclude]], 0,4)</calculatedColumnFormula>
    </tableColumn>
    <tableColumn id="25" xr3:uid="{84EB4292-6D04-4B8E-8047-079CEB05EA1D}" name="Ingredient 9" dataDxfId="76">
      <calculatedColumnFormula array="1">Common_InputFunctions.Utility_DisplayArrayInTable(Fertiliser_SourceData.Fertiliser_Products_Data1(),FertiliserProducts[[#Headers],[Include or Exclude]], 0,4)</calculatedColumnFormula>
    </tableColumn>
    <tableColumn id="30" xr3:uid="{EC662245-DC04-4101-9534-1830E772B6D9}" name="Ingredient 9 percent" dataDxfId="75">
      <calculatedColumnFormula array="1">Common_InputFunctions.Utility_DisplayArrayInTable(Fertiliser_SourceData.Fertiliser_Products_Data1(),FertiliserProducts[[#Headers],[Include or Exclude]], 0,4)</calculatedColumnFormula>
    </tableColumn>
    <tableColumn id="29" xr3:uid="{1CC52630-7C0B-476C-B2D2-4186BA938468}" name="Imngredient 10" dataDxfId="74">
      <calculatedColumnFormula array="1">Common_InputFunctions.Utility_DisplayArrayInTable(Fertiliser_SourceData.Fertiliser_Products_Data1(),FertiliserProducts[[#Headers],[Include or Exclude]], 0,4)</calculatedColumnFormula>
    </tableColumn>
    <tableColumn id="28" xr3:uid="{50F2BD5C-4FB9-4A6E-843C-95FB18A62F65}" name="Ingredient 10 percent" dataDxfId="73">
      <calculatedColumnFormula array="1">Common_InputFunctions.Utility_DisplayArrayInTable(Fertiliser_SourceData.Fertiliser_Products_Data1(),FertiliserProducts[[#Headers],[Include or Exclude]], 0,4)</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A6279EA-7DA2-46FA-80C0-81926E3CFC51}"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19E09D05-8D4E-4AE2-8358-E4A5E671DAF1}" name="Fertiliser type f">
      <calculatedColumnFormula array="1">Common_InputFunctions.Utility_DisplayArrayInTable(Fertiliser_SourceData.Fertiliser_FracGASF_Data(), Table_SourceData_Fertiliser_FracGASF[[#Headers],[Fertiliser type f]], 0)</calculatedColumnFormula>
    </tableColumn>
    <tableColumn id="2" xr3:uid="{DA8F3147-84CA-4496-93BC-D8C87A2057DC}" name="FracGASF f" dataDxfId="72"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4F3A11E-40F5-4BB9-BFF4-A71FA2ADA0EF}" name="Table_SourceData_Fertiliser_CropProdSystems" displayName="Table_SourceData_Fertiliser_CropProdSystems" ref="D41:D43" totalsRowShown="0">
  <autoFilter ref="D41:D43" xr:uid="{24F3A11E-40F5-4BB9-BFF4-A71FA2ADA0EF}">
    <filterColumn colId="0" hiddenButton="1"/>
  </autoFilter>
  <tableColumns count="1">
    <tableColumn id="1" xr3:uid="{E0B29DD2-DF66-45FE-971C-A5602D100E6D}"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6754DF9-B9B7-4777-A419-208519289931}"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A7BA260A-A23A-44C9-AF41-8341440492A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B5044B5-FA3C-4AA2-B1AB-72F7E61D072F}" name="Table_SourceData_Fertiliser_CropTypes" displayName="Table_SourceData_Fertiliser_CropTypes" ref="F41:F45" totalsRowShown="0">
  <autoFilter ref="F41:F45" xr:uid="{CB5044B5-FA3C-4AA2-B1AB-72F7E61D072F}">
    <filterColumn colId="0" hiddenButton="1"/>
  </autoFilter>
  <tableColumns count="1">
    <tableColumn id="1" xr3:uid="{EAFA6706-EC03-46CB-966D-E46F556BEEFE}" name="Production system"/>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4627B1-537E-4ABC-92C3-57282CEE5B40}" name="Table_SourceData_OrganicFertiliserTypes" displayName="Table_SourceData_OrganicFertiliserTypes" ref="J41:J46" totalsRowShown="0">
  <autoFilter ref="J41:J46" xr:uid="{B44627B1-537E-4ABC-92C3-57282CEE5B40}">
    <filterColumn colId="0" hiddenButton="1"/>
  </autoFilter>
  <tableColumns count="1">
    <tableColumn id="1" xr3:uid="{830EDE15-A06E-4081-B62D-B9A731B5E02E}" name="Organic fertiliser type"/>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00169C1-BC7A-441C-840D-3C2EFD141B42}"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27CEDDCE-708E-44EF-8883-C9C87F6FC916}" name="Element">
      <calculatedColumnFormula array="1">Common_InputFunctions.Utility_DisplayArrayInTable(Fertiliser_SourceData.Fertiliser_LimeDolomiteGypsumConstants_Data(), Table_SourceData_Fertiliser_LimeDolomiteConstants[[#Headers],[Element]], 0)</calculatedColumnFormula>
    </tableColumn>
    <tableColumn id="2" xr3:uid="{525CEAB5-65A0-48EA-A3AE-DCF37142FCC8}" name="P" dataDxfId="71"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3BE0F9E9-B383-442C-9A7C-0B6E1A3811F8}" name="EF" dataDxfId="70"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B93029-EB1F-4C4A-A946-CD673A8A6C46}" name="Table2" displayName="Table2" ref="K19:L28" totalsRowShown="0" dataDxfId="69" dataCellStyle="Content normal">
  <autoFilter ref="K19:L28" xr:uid="{27B93029-EB1F-4C4A-A946-CD673A8A6C46}">
    <filterColumn colId="0" hiddenButton="1"/>
    <filterColumn colId="1" hiddenButton="1"/>
  </autoFilter>
  <tableColumns count="2">
    <tableColumn id="1" xr3:uid="{7C622051-66CC-4C8F-B655-8BA4CF50466E}" name="Fertiliser type f" dataDxfId="68" dataCellStyle="Content normal">
      <calculatedColumnFormula array="1">Common_InputFunctions.Utility_DisplayArrayInTable(Fertiliser_SourceData.Fertiliser_FractionNCommonFertilisers_Data(), Table2[[#Headers],[Fertiliser type f]], 0)</calculatedColumnFormula>
    </tableColumn>
    <tableColumn id="2" xr3:uid="{14C58232-EA88-4179-B31D-8ECA2DB5A49D}" name="FNinorganic f" dataDxfId="67"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91CEA59-796C-47AB-86BC-41E8F699030C}" name="Table28" displayName="Table28" ref="Q19:R28" totalsRowShown="0" dataDxfId="66" dataCellStyle="Content normal">
  <autoFilter ref="Q19:R28" xr:uid="{791CEA59-796C-47AB-86BC-41E8F699030C}">
    <filterColumn colId="0" hiddenButton="1"/>
    <filterColumn colId="1" hiddenButton="1"/>
  </autoFilter>
  <tableColumns count="2">
    <tableColumn id="1" xr3:uid="{31D81A30-DB50-4875-A5AB-DFA2E5C18375}" name="Fertiliser type f" dataDxfId="65" dataCellStyle="Content normal">
      <calculatedColumnFormula array="1">Common_InputFunctions.Utility_DisplayArrayInTable(Fertiliser_SourceData.Fertiliser_FractionUreaCommonFertilisers_Data(), Table28[[#Headers],[Fertiliser type f]], 0)</calculatedColumnFormula>
    </tableColumn>
    <tableColumn id="2" xr3:uid="{03B10771-DDFB-45AA-AF49-E8C5F9477C5E}" name="FNinorganic f" dataDxfId="64"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CD2F96D-F34B-40EA-87DE-66D680DF332D}"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BCB7A35C-4B96-4371-AFC9-1AD88933FE44}"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4303C5C-3BB9-41A7-829D-8B4E71E0023B}"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FD75A020-5BB0-44A8-9D5E-DCC83AB1977D}" name="State/Territory">
      <calculatedColumnFormula array="1">Common_InputFunctions.Utility_DisplayArrayInTable(Common_SourceData.Common_SourceData_AustralianStatesTerritories_Data(),Table_AustralianStates[[#Headers],[State/Territory]],0)</calculatedColumnFormula>
    </tableColumn>
    <tableColumn id="2" xr3:uid="{79D55B61-ED45-4135-883D-FD347526CAB3}" name="Common Name">
      <calculatedColumnFormula array="1">Common_InputFunctions.Utility_DisplayArrayInTable(Common_SourceData.Common_SourceData_AustralianStatesTerritories_Data(),Table_AustralianStates[[#Headers],[State/Territory]],0)</calculatedColumnFormula>
    </tableColumn>
    <tableColumn id="3" xr3:uid="{B88E055F-8E5A-4C53-93A9-C24E776591B1}"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2DCD54D-7E93-4099-957D-AEA1DE4C4926}" name="Table_WASA4Areas" displayName="Table_WASA4Areas" ref="D20:D30" totalsRowShown="0">
  <autoFilter ref="D20:D30" xr:uid="{5FA81339-C6C8-4D36-BEEA-6C4AEDD9E676}">
    <filterColumn colId="0" hiddenButton="1"/>
  </autoFilter>
  <tableColumns count="1">
    <tableColumn id="1" xr3:uid="{65003749-65F5-40E3-99A9-AB401F699E36}"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DAA5495-4917-46C2-A299-A4345A855465}" name="Table_GWPData" displayName="Table_GWPData" ref="D36:E43" totalsRowShown="0">
  <autoFilter ref="D36:E43" xr:uid="{B8E87A66-3E41-4AD3-925D-01EE21B43D7A}">
    <filterColumn colId="0" hiddenButton="1"/>
    <filterColumn colId="1" hiddenButton="1"/>
  </autoFilter>
  <tableColumns count="2">
    <tableColumn id="1" xr3:uid="{A2C3F369-C535-498B-A609-D1951E259632}" name="Gas">
      <calculatedColumnFormula array="1">Common_InputFunctions.Utility_DisplayArrayInTable(Common_SourceData.Common_SourceData_GWP_Data(), Table_GWPData[[#Headers],[Gas]], 0)</calculatedColumnFormula>
    </tableColumn>
    <tableColumn id="2" xr3:uid="{30431AA3-A8E1-4BCB-8FF3-815AAD620AF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BE6CF9E-A072-44BF-8684-471FB964FF11}"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BAD021D2-50B6-4052-8C28-07DE2821E241}" name="Gas">
      <calculatedColumnFormula array="1">Common_InputFunctions.Utility_DisplayArrayInTable(Common_SourceData.Common_SourceData_ConvertGasElementalToMolecular_Data(),Table_GasToMolecularConversionFactor[[#Headers],[Gas]], 0)</calculatedColumnFormula>
    </tableColumn>
    <tableColumn id="5" xr3:uid="{070B0089-E010-406C-A163-96667EDF65BA}" name="Conversion factor">
      <calculatedColumnFormula array="1">Common_InputFunctions.Utility_DisplayArrayInTable(Common_SourceData.Common_SourceData_ConvertGasElementalToMolecular_Data(),Table_GasToMolecularConversionFactor[[#Headers],[Gas]], 0)</calculatedColumnFormula>
    </tableColumn>
    <tableColumn id="2" xr3:uid="{442EC396-0F56-4AF3-9A40-5AC804CD7A86}" name="Conversion factor 1">
      <calculatedColumnFormula array="1">Common_InputFunctions.Utility_DisplayArrayInTable(Common_SourceData.Common_SourceData_ConvertGasElementalToMolecular_Data(),Table_GasToMolecularConversionFactor[[#Headers],[Gas]], 0)</calculatedColumnFormula>
    </tableColumn>
    <tableColumn id="3" xr3:uid="{A267475D-1B2F-4109-BB45-941B0A1E668D}" name="Conversion factor 2">
      <calculatedColumnFormula array="1">Common_InputFunctions.Utility_DisplayArrayInTable(Common_SourceData.Common_SourceData_ConvertGasElementalToMolecular_Data(),Table_GasToMolecularConversionFactor[[#Headers],[Gas]], 0)</calculatedColumnFormula>
    </tableColumn>
    <tableColumn id="4" xr3:uid="{E8B0D998-60A5-4C5C-BCEA-2617B46A5BCF}"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074C5BD-0896-455B-9D7F-FAEDC2D126E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41C3266-3F73-4EFD-88FE-8C44F498CB2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DE5553DB-5721-4C92-8D20-DFA036B0E73C}" name="MAT" totalsRowDxfId="63" totalsRowCellStyle="Content bold">
      <calculatedColumnFormula array="1">Common_InputFunctions.Utility_DisplayArrayInTable(Common_SourceData.Common_SourceData_ClimateZones_Data(), Table_SourceData_ClimateZones[[#Headers],[Climate zone]], 0)</calculatedColumnFormula>
    </tableColumn>
    <tableColumn id="3" xr3:uid="{0B330E80-A0C8-4CA7-8BED-303573742262}" name="MAP" totalsRowDxfId="62" totalsRowCellStyle="Content bold">
      <calculatedColumnFormula array="1">Common_InputFunctions.Utility_DisplayArrayInTable(Common_SourceData.Common_SourceData_ClimateZones_Data(), Table_SourceData_ClimateZones[[#Headers],[Climate zone]], 0)</calculatedColumnFormula>
    </tableColumn>
    <tableColumn id="4" xr3:uid="{F6D8D7BA-481D-44A8-8D63-7344999032D7}" name="Frost days per year" totalsRowDxfId="61" totalsRowCellStyle="Content bold">
      <calculatedColumnFormula array="1">Common_InputFunctions.Utility_DisplayArrayInTable(Common_SourceData.Common_SourceData_ClimateZones_Data(), Table_SourceData_ClimateZones[[#Headers],[Climate zone]], 0)</calculatedColumnFormula>
    </tableColumn>
    <tableColumn id="5" xr3:uid="{B51575DF-B51A-45A0-96F6-B09CF6CB7960}" name="Elevation" totalsRowDxfId="60" totalsRowCellStyle="Content bold">
      <calculatedColumnFormula array="1">Common_InputFunctions.Utility_DisplayArrayInTable(Common_SourceData.Common_SourceData_ClimateZones_Data(), Table_SourceData_ClimateZones[[#Headers],[Climate zone]], 0)</calculatedColumnFormula>
    </tableColumn>
    <tableColumn id="6" xr3:uid="{3DDF4932-CE19-401E-B9A8-96D6019290D4}" name="MAP:PET" totalsRowDxfId="59" totalsRowCellStyle="Content bold">
      <calculatedColumnFormula array="1">Common_InputFunctions.Utility_DisplayArrayInTable(Common_SourceData.Common_SourceData_ClimateZones_Data(), Table_SourceData_ClimateZones[[#Headers],[Climate zone]], 0)</calculatedColumnFormula>
    </tableColumn>
    <tableColumn id="7" xr3:uid="{CA67A8C2-1493-47C7-9556-E9B2171FF313}" name="Min temp"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8" xr3:uid="{13DD9A77-6AFB-476B-9830-FB62437E21B4}" name="Max temp"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9" xr3:uid="{D0C7F044-AC25-4B4D-A6C8-191E6D7ADEFB}" name="Min rainfall"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10" xr3:uid="{7BE35E95-CD11-4907-B665-EDDFF05DF5F7}" name="Max rainfall"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11" xr3:uid="{11FE130C-5EF5-4800-8D82-01037B7D1418}" name="Min frost days"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15" xr3:uid="{D89184E1-5386-41A5-BC9C-23989AB9D394}" name="Max frost days"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12" xr3:uid="{4326D09A-0A99-4588-A2C1-359761D54EEE}" name="Min elevation"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16" xr3:uid="{4E8012CE-78A2-408D-84F0-804357D82CC1}" name="Max elevation"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13" xr3:uid="{B54E6EF5-ABEB-4638-B06C-3EC0281E4117}" name="Min MAP:PET"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17" xr3:uid="{8D917470-7CB8-4F3E-9726-6CE629E62415}" name="Max MAP:PET" totalsRowDxfId="49"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7678D10-2267-4767-B2BC-D4CF7912B8CF}"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34B9A861-A4AC-43D8-95CF-3562409A13E6}"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3E1A5654-2BB4-449B-8063-4EFB15F850C3}" name="Wet or Dry Zone" totalsRowDxfId="48"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9EA5653C-11FE-4C3B-AC4C-03EBB0DDB740}"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EC58373F-C785-4CF1-8C2C-1E8E7D608BF7}" name="Temperature Zone">
      <calculatedColumnFormula array="1">Common_InputFunctions.Utility_DisplayArrayInTable(Common_SourceData.Common_SourceData_TemperatureZones_Data(),Table_SourceData_TemperatureZones[[#Headers],[Temperature Zone]],0)</calculatedColumnFormula>
    </tableColumn>
    <tableColumn id="2" xr3:uid="{649DD81D-C070-4231-A7C0-B2F0F7667E2F}" name="MAT">
      <calculatedColumnFormula array="1">Common_InputFunctions.Utility_DisplayArrayInTable(Common_SourceData.Common_SourceData_TemperatureZones_Data(),Table_SourceData_TemperatureZones[[#Headers],[Temperature Zone]],0)</calculatedColumnFormula>
    </tableColumn>
    <tableColumn id="3" xr3:uid="{DCD1BE3E-0888-493D-ACAD-62FBCE7729EB}" name="Min MAT">
      <calculatedColumnFormula array="1">Common_InputFunctions.Utility_DisplayArrayInTable(Common_SourceData.Common_SourceData_TemperatureZones_Data(),Table_SourceData_TemperatureZones[[#Headers],[Temperature Zone]],0)</calculatedColumnFormula>
    </tableColumn>
    <tableColumn id="4" xr3:uid="{CE0C0D38-37FF-481A-9FB9-827AA8CD7F86}"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7E81831-5117-4090-8BF7-5BEFD02F9294}"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D7427149-E8ED-4BC1-AEB7-88F0CC97E9DB}" name="Rainfall Zone">
      <calculatedColumnFormula array="1">Common_InputFunctions.Utility_DisplayArrayInTable(Common_SourceData.Common_SourceData_RainfallZones_Data(),Table_SourceData_RainfallZones[[#Headers],[Rainfall Zone]],0)</calculatedColumnFormula>
    </tableColumn>
    <tableColumn id="2" xr3:uid="{81706516-3381-4116-99E4-C08301492CE2}" name="Annual rainfall">
      <calculatedColumnFormula array="1">Common_InputFunctions.Utility_DisplayArrayInTable(Common_SourceData.Common_SourceData_RainfallZones_Data(),Table_SourceData_RainfallZones[[#Headers],[Rainfall Zone]],0)</calculatedColumnFormula>
    </tableColumn>
    <tableColumn id="3" xr3:uid="{7BD63AA6-3FB3-4581-86D4-EE2C3CEBB7AC}" name="Min rainfall">
      <calculatedColumnFormula array="1">Common_InputFunctions.Utility_DisplayArrayInTable(Common_SourceData.Common_SourceData_RainfallZones_Data(),Table_SourceData_RainfallZones[[#Headers],[Rainfall Zone]],0)</calculatedColumnFormula>
    </tableColumn>
    <tableColumn id="4" xr3:uid="{C0567C99-BC40-42B5-889D-DAEECBD90DE5}"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0086F55-DE85-4F7D-8526-BE62523F581E}"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927CE5D0-E1EA-4DB3-A493-2EC5AEB4703D}" name="Leaching Zone">
      <calculatedColumnFormula array="1">Common_InputFunctions.Utility_DisplayArrayInTable(Common_SourceData.Common_SourceData_LeachingZones_Data(), Table_SourceData_LeachingZones[[#Headers],[Leaching Zone]], 0)</calculatedColumnFormula>
    </tableColumn>
    <tableColumn id="2" xr3:uid="{D8E6DC6E-BECE-44EF-B523-A58739CC0766}"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665EAD74-4B83-4097-9BDE-7556255EDAF7}"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643831C4-1539-4B53-B4AD-9B4B6F6F16C7}" name="Data source">
      <calculatedColumnFormula array="1">Common_InputFunctions.Utility_DisplayArrayInTable(Common_SourceData.Common_SourceData_DataScores_Scope3_Data(), Table_SourceData_DataScores_Scope3[[#Headers],[Data source]], 0)</calculatedColumnFormula>
    </tableColumn>
    <tableColumn id="2" xr3:uid="{F78C92C4-8776-468E-83A7-F98862DA41B8}"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EF81CC99-EAC1-40C9-8D7E-9168752371DC}" name="Table_SourceData_FracWET" displayName="Table_SourceData_FracWET" ref="D134:E136" totalsRowShown="0">
  <autoFilter ref="D134:E136" xr:uid="{308E99BE-FE1F-47A4-B2CA-97217277C4E9}">
    <filterColumn colId="0" hiddenButton="1"/>
    <filterColumn colId="1" hiddenButton="1"/>
  </autoFilter>
  <tableColumns count="2">
    <tableColumn id="1" xr3:uid="{F32063F1-EC88-4F0F-8F0A-B391307FF85C}" name="Is in leaching zone">
      <calculatedColumnFormula array="1">Common_InputFunctions.Utility_DisplayArrayInTable(Common_SourceData.Common_SourceData_FracWET_Data(),Table_SourceData_FracWET[[#Headers],[Is in leaching zone]],0)</calculatedColumnFormula>
    </tableColumn>
    <tableColumn id="2" xr3:uid="{09F091BD-97D5-43A1-8BB9-00012C759188}" name="FracWET" dataDxfId="47">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A2680C3E-4B2E-49D0-BACF-C2E6D85E3F12}"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0F004299-C7F5-47A6-B260-7F03DF27BA88}" name="Production system j">
      <calculatedColumnFormula array="1">Common_InputFunctions.Utility_DisplayArrayInTable(Common_SourceData.Common_SourceData_EFN2O_Data(), Table_SourceData_Common_EFN2O[[#Headers],[Production system j]], 0)</calculatedColumnFormula>
    </tableColumn>
    <tableColumn id="2" xr3:uid="{36A09B2D-C9D2-445D-AB07-5C85F8BF1D35}" name="EFN2O">
      <calculatedColumnFormula array="1">Common_InputFunctions.Utility_DisplayArrayInTable(Common_SourceData.Common_SourceData_EFN2O_Data(), Table_SourceData_Common_EFN2O[[#Headers],[Production system j]], 0)</calculatedColumnFormula>
    </tableColumn>
    <tableColumn id="3" xr3:uid="{DFD45054-FFD9-4A71-A7AE-17A809E0600D}" name="Production system only">
      <calculatedColumnFormula array="1">Common_InputFunctions.Utility_DisplayArrayInTable(Common_SourceData.Common_SourceData_EFN2O_Data(), Table_SourceData_Common_EFN2O[[#Headers],[Production system j]], 0)</calculatedColumnFormula>
    </tableColumn>
    <tableColumn id="4" xr3:uid="{E8477363-F8DF-4E44-85E9-468E6D6380D2}" name="Irrigation method">
      <calculatedColumnFormula array="1">Common_InputFunctions.Utility_DisplayArrayInTable(Common_SourceData.Common_SourceData_EFN2O_Data(), Table_SourceData_Common_EFN2O[[#Headers],[Production system j]], 0)</calculatedColumnFormula>
    </tableColumn>
    <tableColumn id="5" xr3:uid="{2CFFE5DA-1518-4535-899F-2A441D32C481}"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685A0BD2-14AC-47A4-A7AF-D9C28AEE7B48}"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E46B9AA9-CD98-409A-BD73-434C4F5F1023}" name="Irrigation type i">
      <calculatedColumnFormula array="1">Common_InputFunctions.Utility_DisplayArrayInTable(Common_SourceData.Common_SourceData_FracWETIrrigation_Data(), Table_SourceData_FracWETIrrigation[[#Headers],[Irrigation type i]], 0)</calculatedColumnFormula>
    </tableColumn>
    <tableColumn id="2" xr3:uid="{1D68E429-9D7F-421A-9CCF-668294663360}" name="FracWET" dataDxfId="46"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310042AE-3EB0-4D68-898F-6C5816D107EE}"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982EDB4D-37AD-4BC8-9C9A-CC6FEF117D77}"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2672EC2F-8C4B-4AFF-A1E4-BE047C616172}" name="EFPRP" dataDxfId="45"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F484DE43-0F81-478C-97BA-CC8374389BAD}"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3EA26847-8B3D-4DF4-8ADE-78E4EC630C5A}" name="Month">
      <calculatedColumnFormula array="1">Common_InputFunctions.Utility_DisplayArrayInTable(Common_SourceData.Common_SourceData_MonthsToSeasons_Data(), Table_SourceData_Common_MonthToSeason[[#Headers],[Month]], 0)</calculatedColumnFormula>
    </tableColumn>
    <tableColumn id="2" xr3:uid="{B705B015-0041-4AD0-9029-1863E16227A8}" name="Season" dataDxfId="44"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924471B-5177-4414-BE7A-49BBFED20B46}"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8DEEF8A-EC35-471D-89A0-A6BA1F7A5412}"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79B7AC7-3F7E-49D8-B01B-A1C3EB4912C4}" name="MAT (ºC)" dataDxfId="4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FBE4CE2D-2FE2-47DC-B6BD-DE03D82C861E}" name="Anaerobic lagoon" dataDxfId="4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52716FB8-8AA0-4D71-9B6C-49CD860DA800}" name="Digester / covered lagoons" dataDxfId="4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0E699B1-A897-4C7C-9053-14F92CB09765}" name="Liquid systems" dataDxfId="4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DC26D90F-586A-4313-9D17-EA3F60F99D2E}" name="Daily spread" dataDxfId="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F23E660D-A90B-49D4-AD7B-781A673A8FD5}" name="Composting (passive windrow)"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4816A1A7-44B7-45E9-91D9-4739F51D9FC6}" name="Solid storage"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B04D1E3F-F230-4E26-9BED-D398A2E5CAA9}" name="Pit storage"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C8450748-AF1A-42C8-9336-0130FD209D15}" name="Deep litter"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6932D931-70D8-448F-80B2-93723DE26EAC}" name="Poultry manure with bedding"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15CFC33E-60D4-4A44-8150-8CFDA042CE5C}" name="Poultry manure without bedding"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D4983848-F85A-43D7-819D-147BD613425F}" name="Direct processing"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A13CFBF4-3E47-4442-8228-E9B7F32619AA}" name="Direct application"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D7D115C9-47BF-454F-BD88-0F416A297DB5}" name="Pasture range and paddock"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21599500-9827-47B6-AFE3-FE282D0DD776}" name="MAT raw"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C7C1E6FA-DC54-45F2-950D-3354F6DA5C8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61C74287-9A68-47DF-9071-644BE837B8EF}"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E5944139-C90F-4A21-812E-0B5FDA4DDA26}" name="EFNi &amp; EFN2Oi" dataDxfId="28"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7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8" Type="http://schemas.openxmlformats.org/officeDocument/2006/relationships/table" Target="../tables/table11.xml"/><Relationship Id="rId3" Type="http://schemas.openxmlformats.org/officeDocument/2006/relationships/table" Target="../tables/table6.xml"/><Relationship Id="rId7" Type="http://schemas.openxmlformats.org/officeDocument/2006/relationships/table" Target="../tables/table10.xml"/><Relationship Id="rId12" Type="http://schemas.openxmlformats.org/officeDocument/2006/relationships/table" Target="../tables/table15.xml"/><Relationship Id="rId2" Type="http://schemas.openxmlformats.org/officeDocument/2006/relationships/table" Target="../tables/table5.xml"/><Relationship Id="rId1" Type="http://schemas.openxmlformats.org/officeDocument/2006/relationships/printerSettings" Target="../printerSettings/printerSettings8.bin"/><Relationship Id="rId6" Type="http://schemas.openxmlformats.org/officeDocument/2006/relationships/table" Target="../tables/table9.xml"/><Relationship Id="rId11" Type="http://schemas.openxmlformats.org/officeDocument/2006/relationships/table" Target="../tables/table14.xml"/><Relationship Id="rId5" Type="http://schemas.openxmlformats.org/officeDocument/2006/relationships/table" Target="../tables/table8.xml"/><Relationship Id="rId10" Type="http://schemas.openxmlformats.org/officeDocument/2006/relationships/table" Target="../tables/table13.xml"/><Relationship Id="rId4" Type="http://schemas.openxmlformats.org/officeDocument/2006/relationships/table" Target="../tables/table7.xml"/><Relationship Id="rId9"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9.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AV45"/>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41" width="9.140625" style="1"/>
  </cols>
  <sheetData>
    <row r="1" spans="1:42" ht="30" customHeight="1" x14ac:dyDescent="0.35">
      <c r="A1" s="62" t="e" vm="1">
        <v>#VALUE!</v>
      </c>
      <c r="C1" s="171" t="s">
        <v>306</v>
      </c>
      <c r="D1" s="172"/>
      <c r="E1" s="172"/>
      <c r="F1" s="172"/>
      <c r="G1" s="172"/>
      <c r="H1" s="172"/>
      <c r="I1" s="172"/>
      <c r="J1" s="172"/>
      <c r="K1" s="172"/>
      <c r="L1" s="172"/>
      <c r="M1" s="172"/>
      <c r="N1" s="172"/>
      <c r="O1" s="172"/>
      <c r="P1" s="172"/>
      <c r="Q1" s="172"/>
      <c r="R1" s="172"/>
      <c r="S1" s="172"/>
      <c r="T1" s="172"/>
      <c r="U1" s="172"/>
      <c r="V1" s="172"/>
      <c r="W1" s="172"/>
      <c r="X1" s="172"/>
      <c r="Y1" s="172"/>
      <c r="Z1" s="172"/>
      <c r="AA1" s="172"/>
      <c r="AB1" s="172"/>
      <c r="AC1" s="172"/>
      <c r="AD1" s="172"/>
      <c r="AE1" s="172"/>
      <c r="AF1" s="172"/>
      <c r="AG1" s="172"/>
      <c r="AH1" s="172"/>
      <c r="AI1" s="172"/>
      <c r="AJ1" s="172"/>
      <c r="AK1" s="172"/>
      <c r="AL1" s="172"/>
      <c r="AM1" s="172"/>
      <c r="AN1" s="172"/>
      <c r="AO1" s="172"/>
    </row>
    <row r="2" spans="1:42" ht="20.100000000000001" customHeight="1" x14ac:dyDescent="0.25">
      <c r="A2" s="9"/>
      <c r="C2" s="172"/>
      <c r="D2" s="172"/>
      <c r="E2" s="172"/>
      <c r="F2" s="172"/>
      <c r="G2" s="172"/>
      <c r="H2" s="172"/>
      <c r="I2" s="172"/>
      <c r="J2" s="172"/>
      <c r="K2" s="172"/>
      <c r="L2" s="172"/>
      <c r="M2" s="172"/>
      <c r="N2" s="172"/>
      <c r="O2" s="172"/>
      <c r="P2" s="172"/>
      <c r="Q2" s="172"/>
      <c r="R2" s="172"/>
      <c r="S2" s="172"/>
      <c r="T2" s="172"/>
      <c r="U2" s="172"/>
      <c r="V2" s="172"/>
      <c r="W2" s="172"/>
      <c r="X2" s="172"/>
      <c r="Y2" s="172"/>
      <c r="Z2" s="172"/>
      <c r="AA2" s="172"/>
      <c r="AB2" s="172"/>
      <c r="AC2" s="172"/>
      <c r="AD2" s="172"/>
      <c r="AE2" s="172"/>
      <c r="AF2" s="172"/>
      <c r="AG2" s="172"/>
      <c r="AH2" s="172"/>
      <c r="AI2" s="172"/>
      <c r="AJ2" s="172"/>
      <c r="AK2" s="172"/>
      <c r="AL2" s="172"/>
      <c r="AM2" s="172"/>
      <c r="AN2" s="172"/>
      <c r="AO2" s="172"/>
      <c r="AP2" s="173"/>
    </row>
    <row r="3" spans="1:42" ht="20.100000000000001" customHeight="1" x14ac:dyDescent="0.25">
      <c r="A3" s="17" t="str">
        <f>HYPERLINK("#'Home'!A1", "Home")</f>
        <v>Home</v>
      </c>
      <c r="C3" s="174"/>
      <c r="D3" s="174"/>
      <c r="E3" s="174"/>
      <c r="F3" s="174"/>
      <c r="G3" s="174"/>
      <c r="H3" s="174"/>
      <c r="I3" s="174"/>
      <c r="J3" s="174"/>
      <c r="K3" s="174"/>
      <c r="L3" s="174"/>
      <c r="M3" s="174"/>
      <c r="N3" s="174"/>
      <c r="O3" s="174"/>
      <c r="P3" s="174"/>
      <c r="Q3" s="174"/>
      <c r="R3" s="174"/>
      <c r="S3" s="174"/>
      <c r="T3" s="174"/>
      <c r="U3" s="174"/>
      <c r="V3" s="174"/>
      <c r="W3" s="174"/>
      <c r="X3" s="174"/>
      <c r="Y3" s="174"/>
      <c r="Z3" s="174"/>
      <c r="AA3" s="174"/>
      <c r="AB3" s="174"/>
      <c r="AC3" s="174"/>
      <c r="AD3" s="174"/>
      <c r="AE3" s="174"/>
      <c r="AF3" s="174"/>
      <c r="AG3" s="174"/>
      <c r="AH3" s="174"/>
      <c r="AI3" s="174"/>
      <c r="AJ3" s="174"/>
      <c r="AK3" s="174"/>
      <c r="AL3" s="174"/>
      <c r="AM3" s="174"/>
      <c r="AN3" s="174"/>
      <c r="AO3" s="174"/>
    </row>
    <row r="4" spans="1:42" ht="20.100000000000001" customHeight="1" x14ac:dyDescent="0.25">
      <c r="A4" s="109" t="str">
        <f>HYPERLINK("#'Overview'!A1", "Overview")</f>
        <v>Overview</v>
      </c>
    </row>
    <row r="5" spans="1:42" ht="20.100000000000001" customHeight="1" x14ac:dyDescent="0.25">
      <c r="A5" s="17" t="str">
        <f>HYPERLINK("#'Results'!A1", "Results")</f>
        <v>Results</v>
      </c>
      <c r="D5" s="106" t="s">
        <v>308</v>
      </c>
      <c r="E5" s="85"/>
      <c r="F5" s="85"/>
      <c r="G5" s="85"/>
      <c r="H5" s="85"/>
      <c r="I5" s="85"/>
      <c r="J5" s="85"/>
      <c r="K5" s="85"/>
      <c r="L5" s="85"/>
      <c r="M5" s="85"/>
      <c r="N5" s="85"/>
      <c r="O5" s="81"/>
    </row>
    <row r="6" spans="1:42" ht="20.100000000000001" customHeight="1" x14ac:dyDescent="0.25">
      <c r="A6" s="16"/>
      <c r="D6" s="175" t="s">
        <v>309</v>
      </c>
      <c r="E6" s="84"/>
      <c r="F6" s="84"/>
      <c r="G6" s="84"/>
      <c r="H6" s="84"/>
      <c r="I6" s="84"/>
      <c r="J6" s="84"/>
      <c r="K6" s="84"/>
      <c r="L6" s="84"/>
      <c r="M6" s="84"/>
      <c r="N6" s="84"/>
      <c r="O6" s="82"/>
    </row>
    <row r="7" spans="1:42" ht="20.100000000000001" customHeight="1" x14ac:dyDescent="0.25">
      <c r="A7" s="20" t="s">
        <v>1</v>
      </c>
    </row>
    <row r="8" spans="1:42" ht="20.100000000000001" customHeight="1" x14ac:dyDescent="0.25">
      <c r="A8" s="17" t="str">
        <f>HYPERLINK("#'Input - Site'!A1", "Site")</f>
        <v>Site</v>
      </c>
    </row>
    <row r="9" spans="1:42" ht="20.100000000000001" customHeight="1" x14ac:dyDescent="0.25">
      <c r="A9" s="17" t="str">
        <f>HYPERLINK("#'Input - Fertiliser'!A1", "Fertiliser")</f>
        <v>Fertiliser</v>
      </c>
    </row>
    <row r="10" spans="1:42" ht="20.100000000000001" customHeight="1" x14ac:dyDescent="0.25">
      <c r="A10" s="17"/>
    </row>
    <row r="11" spans="1:42" ht="20.100000000000001" customHeight="1" x14ac:dyDescent="0.25">
      <c r="A11" s="19" t="s">
        <v>69</v>
      </c>
    </row>
    <row r="12" spans="1:42" ht="20.100000000000001" customHeight="1" x14ac:dyDescent="0.25">
      <c r="A12" s="17" t="str">
        <f>HYPERLINK("#'5.1.1.1-2 Inorganic Fert N2O'!A1", "5.1.1.1-2 Inorganic Fert N2O")</f>
        <v>5.1.1.1-2 Inorganic Fert N2O</v>
      </c>
    </row>
    <row r="13" spans="1:42" ht="20.100000000000001" customHeight="1" x14ac:dyDescent="0.25">
      <c r="A13" s="17" t="str">
        <f>HYPERLINK("#'5.1.1.3-4 Inorganic fert CO2'!A1", "5.1.1.3-4 Inorganic fert CO2")</f>
        <v>5.1.1.3-4 Inorganic fert CO2</v>
      </c>
    </row>
    <row r="14" spans="1:42" ht="20.100000000000001" customHeight="1" x14ac:dyDescent="0.25">
      <c r="A14" s="17" t="str">
        <f>HYPERLINK("#'5.2.1.1-2 Organic Fert N2O'!A1", "5.2.1.1-2 Organic Fert N2O")</f>
        <v>5.2.1.1-2 Organic Fert N2O</v>
      </c>
    </row>
    <row r="15" spans="1:42" ht="20.100000000000001" customHeight="1" x14ac:dyDescent="0.25">
      <c r="A15" s="17" t="str">
        <f>HYPERLINK("#'5.3.1.1-2 Lime CO2'!A1", "5.3.1.1-2 Lime CO2")</f>
        <v>5.3.1.1-2 Lime CO2</v>
      </c>
    </row>
    <row r="16" spans="1:42" ht="20.100000000000001" customHeight="1" x14ac:dyDescent="0.25">
      <c r="A16" s="17" t="str">
        <f>HYPERLINK("#'5.4.1.1-4 Atmos deposition'!A1", "5.4.1.1-4 Atmos deposition")</f>
        <v>5.4.1.1-4 Atmos deposition</v>
      </c>
    </row>
    <row r="17" spans="1:1" ht="20.100000000000001" customHeight="1" x14ac:dyDescent="0.25">
      <c r="A17" s="17" t="str">
        <f>HYPERLINK("#'5.5.1.1-2 Leaching and runoff'!A1", "5.5.1.1-2 Leaching and runoff")</f>
        <v>5.5.1.1-2 Leaching and runoff</v>
      </c>
    </row>
    <row r="18" spans="1:1" ht="20.100000000000001" customHeight="1" x14ac:dyDescent="0.25"/>
    <row r="19" spans="1:1" ht="20.100000000000001" customHeight="1" x14ac:dyDescent="0.25">
      <c r="A19" s="18" t="s">
        <v>2</v>
      </c>
    </row>
    <row r="20" spans="1:1" ht="20.100000000000001" customHeight="1" x14ac:dyDescent="0.25">
      <c r="A20" s="17" t="str">
        <f>HYPERLINK("#'Constants - Fertiliser'!A1", "Constants - Fertiliser")</f>
        <v>Constants - Fertiliser</v>
      </c>
    </row>
    <row r="21" spans="1:1" ht="20.100000000000001" customHeight="1" x14ac:dyDescent="0.25">
      <c r="A21" s="17" t="str">
        <f>HYPERLINK("#'Constants - Common'!A1", "Constants - Common")</f>
        <v>Constants - Common</v>
      </c>
    </row>
    <row r="22" spans="1:1" ht="20.100000000000001" customHeight="1" x14ac:dyDescent="0.25"/>
    <row r="23" spans="1:1" ht="20.100000000000001" customHeight="1" x14ac:dyDescent="0.25">
      <c r="A23" s="17"/>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48" ht="20.100000000000001" customHeight="1" x14ac:dyDescent="0.25"/>
    <row r="34" spans="12:48" ht="20.100000000000001" customHeight="1" x14ac:dyDescent="0.25"/>
    <row r="35" spans="12:48" ht="20.100000000000001" customHeight="1" x14ac:dyDescent="0.25"/>
    <row r="36" spans="12:48" ht="20.100000000000001" customHeight="1" x14ac:dyDescent="0.25"/>
    <row r="37" spans="12:48" ht="20.100000000000001" customHeight="1" x14ac:dyDescent="0.25">
      <c r="L37" s="1" t="s">
        <v>303</v>
      </c>
    </row>
    <row r="38" spans="12:48" ht="20.100000000000001" customHeight="1" x14ac:dyDescent="0.25"/>
    <row r="39" spans="12:48" ht="20.100000000000001" customHeight="1" x14ac:dyDescent="0.25"/>
    <row r="40" spans="12:48" ht="20.100000000000001" customHeight="1" x14ac:dyDescent="0.25"/>
    <row r="41" spans="12:48" ht="20.100000000000001" customHeight="1" x14ac:dyDescent="0.25"/>
    <row r="42" spans="12:48" ht="20.100000000000001" customHeight="1" x14ac:dyDescent="0.25"/>
    <row r="45" spans="12:48" x14ac:dyDescent="0.25">
      <c r="AV45" t="s">
        <v>304</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D19" sqref="D19"/>
    </sheetView>
  </sheetViews>
  <sheetFormatPr defaultRowHeight="15" x14ac:dyDescent="0.25"/>
  <cols>
    <col min="1" max="1" width="30.7109375" customWidth="1"/>
    <col min="2" max="3" width="2.7109375" customWidth="1"/>
    <col min="4" max="4" width="97.140625" customWidth="1"/>
    <col min="5" max="10" width="30.7109375" customWidth="1"/>
    <col min="11" max="11" width="7.42578125" customWidth="1"/>
    <col min="12" max="26" width="28.7109375" customWidth="1"/>
  </cols>
  <sheetData>
    <row r="1" spans="1:11" ht="30" customHeight="1" x14ac:dyDescent="0.35">
      <c r="A1" s="62" t="e" vm="1">
        <v>#VALUE!</v>
      </c>
      <c r="C1" s="171" t="s">
        <v>307</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7" t="str">
        <f>HYPERLINK("#'Overview'!A1", "Overview")</f>
        <v>Overview</v>
      </c>
      <c r="C4" s="22"/>
      <c r="D4" s="6" t="s">
        <v>3</v>
      </c>
      <c r="E4" s="24"/>
      <c r="F4" s="24"/>
      <c r="G4" s="24"/>
      <c r="H4" s="6"/>
      <c r="I4" s="6"/>
      <c r="J4" s="6"/>
      <c r="K4" s="25"/>
    </row>
    <row r="5" spans="1:11" ht="20.100000000000001" customHeight="1" x14ac:dyDescent="0.3">
      <c r="A5" s="109" t="str">
        <f>HYPERLINK("#'Results'!A1", "Results")</f>
        <v>Results</v>
      </c>
      <c r="C5" s="22"/>
      <c r="D5" s="26"/>
      <c r="E5" s="27"/>
      <c r="F5" s="27"/>
      <c r="G5" s="27"/>
      <c r="H5" s="24"/>
      <c r="I5" s="22"/>
      <c r="J5" s="22"/>
      <c r="K5" s="22"/>
    </row>
    <row r="6" spans="1:11" ht="20.100000000000001" customHeight="1" x14ac:dyDescent="0.25">
      <c r="A6" s="16"/>
      <c r="C6" s="22"/>
      <c r="D6" s="21" t="s">
        <v>302</v>
      </c>
      <c r="E6" s="22"/>
      <c r="F6" s="22"/>
      <c r="G6" s="22"/>
      <c r="H6" s="22"/>
      <c r="I6" s="22"/>
      <c r="J6" s="22"/>
      <c r="K6" s="22"/>
    </row>
    <row r="7" spans="1:11" ht="20.100000000000001" customHeight="1" x14ac:dyDescent="0.25">
      <c r="A7" s="20" t="s">
        <v>1</v>
      </c>
      <c r="C7" s="22"/>
      <c r="D7" s="22"/>
      <c r="E7" s="22"/>
      <c r="F7" s="22"/>
      <c r="G7" s="22"/>
      <c r="H7" s="22"/>
      <c r="I7" s="22"/>
      <c r="J7" s="22"/>
      <c r="K7" s="22"/>
    </row>
    <row r="8" spans="1:11" ht="20.100000000000001" customHeight="1" x14ac:dyDescent="0.25">
      <c r="A8" s="17" t="str">
        <f>HYPERLINK("#'Input - Site'!A1", "Site")</f>
        <v>Site</v>
      </c>
      <c r="C8" s="22"/>
      <c r="D8" s="104" t="s">
        <v>82</v>
      </c>
      <c r="E8" s="104" t="s">
        <v>95</v>
      </c>
      <c r="F8" s="104" t="s">
        <v>96</v>
      </c>
      <c r="G8" s="104" t="s">
        <v>89</v>
      </c>
      <c r="H8" s="104" t="s">
        <v>97</v>
      </c>
      <c r="I8" s="104" t="s">
        <v>98</v>
      </c>
      <c r="J8" s="104" t="s">
        <v>90</v>
      </c>
      <c r="K8" s="22"/>
    </row>
    <row r="9" spans="1:11" ht="20.100000000000001" customHeight="1" x14ac:dyDescent="0.25">
      <c r="A9" s="17" t="str">
        <f>HYPERLINK("#'Input - Fertiliser'!A1", "Fertiliser")</f>
        <v>Fertiliser</v>
      </c>
      <c r="C9" s="22"/>
      <c r="D9" s="1" t="s">
        <v>295</v>
      </c>
      <c r="E9" s="170">
        <f>'5.1.1.1-2 Inorganic fert N2O'!$E$80</f>
        <v>0.1431067</v>
      </c>
      <c r="F9" s="170">
        <f>'5.1.1.1-2 Inorganic fert N2O'!$N$88</f>
        <v>0.1431067</v>
      </c>
      <c r="G9" s="52" t="s">
        <v>101</v>
      </c>
      <c r="H9" s="102">
        <f>'5.1.1.1-2 Inorganic fert N2O'!E85</f>
        <v>37.923275500000003</v>
      </c>
      <c r="I9" s="102">
        <f>'5.1.1.1-2 Inorganic fert N2O'!N93</f>
        <v>37.923275500000003</v>
      </c>
      <c r="J9" s="52" t="s">
        <v>93</v>
      </c>
      <c r="K9" s="22"/>
    </row>
    <row r="10" spans="1:11" ht="20.100000000000001" customHeight="1" x14ac:dyDescent="0.25">
      <c r="A10" s="17"/>
      <c r="C10" s="22"/>
      <c r="D10" s="1" t="s">
        <v>296</v>
      </c>
      <c r="E10" s="170">
        <f>'5.1.1.3-4 Inorganic fert CO2'!$E$78</f>
        <v>7.333333333333333</v>
      </c>
      <c r="F10" s="170">
        <f>E10</f>
        <v>7.333333333333333</v>
      </c>
      <c r="G10" s="52" t="s">
        <v>260</v>
      </c>
      <c r="H10" s="102">
        <f>'5.1.1.3-4 Inorganic fert CO2'!$E$78</f>
        <v>7.333333333333333</v>
      </c>
      <c r="I10" s="102">
        <f>H10</f>
        <v>7.333333333333333</v>
      </c>
      <c r="J10" s="52" t="s">
        <v>93</v>
      </c>
      <c r="K10" s="22"/>
    </row>
    <row r="11" spans="1:11" ht="20.100000000000001" customHeight="1" x14ac:dyDescent="0.25">
      <c r="A11" s="19" t="s">
        <v>69</v>
      </c>
      <c r="C11" s="22"/>
      <c r="D11" s="1" t="s">
        <v>297</v>
      </c>
      <c r="E11" s="170">
        <f>'5.2.1.1-2 Organic Fert N2O'!$E$50</f>
        <v>5.5785714285714293E-3</v>
      </c>
      <c r="F11" s="170">
        <f>E11</f>
        <v>5.5785714285714293E-3</v>
      </c>
      <c r="G11" s="52" t="s">
        <v>101</v>
      </c>
      <c r="H11" s="102">
        <f>'5.2.1.1-2 Organic Fert N2O'!$E$55</f>
        <v>1.4783214285714288</v>
      </c>
      <c r="I11" s="102">
        <f>H11</f>
        <v>1.4783214285714288</v>
      </c>
      <c r="J11" s="52" t="s">
        <v>93</v>
      </c>
      <c r="K11" s="22"/>
    </row>
    <row r="12" spans="1:11" ht="20.100000000000001" customHeight="1" x14ac:dyDescent="0.25">
      <c r="A12" s="17" t="str">
        <f>HYPERLINK("#'5.1.1.1-2 Inorganic Fert N2O'!A1", "5.1.1.1-2 Inorganic Fert N2O")</f>
        <v>5.1.1.1-2 Inorganic Fert N2O</v>
      </c>
      <c r="C12" s="22"/>
      <c r="D12" s="1" t="s">
        <v>298</v>
      </c>
      <c r="E12" s="170">
        <f>'5.3.1.1-2 Lime CO2'!$E$31</f>
        <v>75.808333333333337</v>
      </c>
      <c r="F12" s="170">
        <f>E12</f>
        <v>75.808333333333337</v>
      </c>
      <c r="G12" s="52" t="s">
        <v>260</v>
      </c>
      <c r="H12" s="102">
        <f>'5.3.1.1-2 Lime CO2'!$E$31</f>
        <v>75.808333333333337</v>
      </c>
      <c r="I12" s="102">
        <f>H12</f>
        <v>75.808333333333337</v>
      </c>
      <c r="J12" s="52" t="s">
        <v>93</v>
      </c>
      <c r="K12" s="22"/>
    </row>
    <row r="13" spans="1:11" ht="20.100000000000001" customHeight="1" x14ac:dyDescent="0.25">
      <c r="A13" s="17" t="str">
        <f>HYPERLINK("#'5.1.1.3-4 Inorganic fert CO2'!A1", "5.1.1.3-4 Inorganic fert CO2")</f>
        <v>5.1.1.3-4 Inorganic fert CO2</v>
      </c>
      <c r="C13" s="22"/>
      <c r="D13" s="1" t="s">
        <v>299</v>
      </c>
      <c r="E13" s="170">
        <f>'5.4.1.1-4 Atmos deposition'!E79 + '5.4.1.1-4 Atmos deposition'!$E$146</f>
        <v>1.5692930000000001E-2</v>
      </c>
      <c r="F13" s="170">
        <f>E13</f>
        <v>1.5692930000000001E-2</v>
      </c>
      <c r="G13" s="52" t="s">
        <v>101</v>
      </c>
      <c r="H13" s="102">
        <f>'5.4.1.1-4 Atmos deposition'!E84 + '5.4.1.1-4 Atmos deposition'!$E$151</f>
        <v>4.1586264499999999</v>
      </c>
      <c r="I13" s="102">
        <f>H13</f>
        <v>4.1586264499999999</v>
      </c>
      <c r="J13" s="52" t="s">
        <v>93</v>
      </c>
      <c r="K13" s="22"/>
    </row>
    <row r="14" spans="1:11" ht="20.100000000000001" customHeight="1" x14ac:dyDescent="0.25">
      <c r="A14" s="17" t="str">
        <f>HYPERLINK("#'5.2.1.1-2 Organic Fert N2O'!A1", "5.2.1.1-2 Organic Fert N2O")</f>
        <v>5.2.1.1-2 Organic Fert N2O</v>
      </c>
      <c r="C14" s="22"/>
      <c r="D14" s="1" t="s">
        <v>300</v>
      </c>
      <c r="E14" s="170">
        <f>'5.5.1.1-2 Leaching and runoff'!$E$94</f>
        <v>5.6917155428571425E-2</v>
      </c>
      <c r="F14" s="170">
        <f>E14</f>
        <v>5.6917155428571425E-2</v>
      </c>
      <c r="G14" s="52" t="s">
        <v>101</v>
      </c>
      <c r="H14" s="102">
        <f>'5.5.1.1-2 Leaching and runoff'!$E$99</f>
        <v>15.083046188571428</v>
      </c>
      <c r="I14" s="102">
        <f>H14</f>
        <v>15.083046188571428</v>
      </c>
      <c r="J14" s="52" t="s">
        <v>93</v>
      </c>
      <c r="K14" s="22"/>
    </row>
    <row r="15" spans="1:11" ht="20.100000000000001" customHeight="1" x14ac:dyDescent="0.3">
      <c r="A15" s="17" t="str">
        <f>HYPERLINK("#'5.3.1.1-2 Lime CO2'!A1", "5.3.1.1-2 Lime CO2")</f>
        <v>5.3.1.1-2 Lime CO2</v>
      </c>
      <c r="C15" s="22"/>
      <c r="D15" s="29" t="s">
        <v>88</v>
      </c>
      <c r="E15" s="23"/>
      <c r="F15" s="23"/>
      <c r="G15" s="29"/>
      <c r="H15" s="103">
        <f>SUM(H9:H14)</f>
        <v>141.78493623380953</v>
      </c>
      <c r="I15" s="103">
        <f>SUM(I9:I14)</f>
        <v>141.78493623380953</v>
      </c>
      <c r="J15" s="98" t="s">
        <v>93</v>
      </c>
      <c r="K15" s="22"/>
    </row>
    <row r="16" spans="1:11" ht="20.100000000000001" customHeight="1" x14ac:dyDescent="0.25">
      <c r="A16" s="17" t="str">
        <f>HYPERLINK("#'5.4.1.1-4 Atmos deposition'!A1", "5.4.1.1-4 Atmos deposition")</f>
        <v>5.4.1.1-4 Atmos deposition</v>
      </c>
      <c r="C16" s="22"/>
      <c r="D16" s="99"/>
      <c r="E16" s="99"/>
      <c r="F16" s="99"/>
      <c r="G16" s="99"/>
      <c r="H16" s="99"/>
      <c r="I16" s="99"/>
      <c r="J16" s="99"/>
      <c r="K16" s="22"/>
    </row>
    <row r="17" spans="1:11" ht="20.100000000000001" customHeight="1" x14ac:dyDescent="0.25">
      <c r="A17" s="17" t="str">
        <f>HYPERLINK("#'5.5.1.1-2 Leaching and runoff'!A1", "5.5.1.1-2 Leaching and runoff")</f>
        <v>5.5.1.1-2 Leaching and runoff</v>
      </c>
      <c r="C17" s="22"/>
      <c r="D17" s="99"/>
      <c r="E17" s="1"/>
      <c r="F17" s="1"/>
      <c r="G17" s="1"/>
      <c r="H17" s="1"/>
      <c r="I17" s="1"/>
      <c r="J17" s="22"/>
      <c r="K17" s="22"/>
    </row>
    <row r="18" spans="1:11" ht="20.100000000000001" customHeight="1" x14ac:dyDescent="0.25">
      <c r="C18" s="22"/>
      <c r="D18" s="107"/>
      <c r="E18" s="1"/>
      <c r="F18" s="1"/>
      <c r="G18" s="1"/>
      <c r="H18" s="1"/>
      <c r="I18" s="1"/>
      <c r="J18" s="22"/>
      <c r="K18" s="22"/>
    </row>
    <row r="19" spans="1:11" ht="20.100000000000001" customHeight="1" x14ac:dyDescent="0.25">
      <c r="A19" s="18" t="s">
        <v>2</v>
      </c>
      <c r="C19" s="22"/>
      <c r="D19" s="1"/>
      <c r="E19" s="1"/>
      <c r="F19" s="1"/>
      <c r="G19" s="1"/>
      <c r="H19" s="1"/>
      <c r="I19" s="1"/>
      <c r="J19" s="22"/>
      <c r="K19" s="22"/>
    </row>
    <row r="20" spans="1:11" ht="20.100000000000001" customHeight="1" x14ac:dyDescent="0.25">
      <c r="A20" s="17" t="str">
        <f>HYPERLINK("#'Constants - Fertiliser'!A1", "Constants - Fertiliser")</f>
        <v>Constants - Fertiliser</v>
      </c>
      <c r="C20" s="22"/>
      <c r="D20" s="1"/>
      <c r="E20" s="1"/>
      <c r="F20" s="1"/>
      <c r="G20" s="1"/>
      <c r="H20" s="1"/>
      <c r="I20" s="1"/>
      <c r="J20" s="22"/>
      <c r="K20" s="22"/>
    </row>
    <row r="21" spans="1:11" ht="20.100000000000001" customHeight="1" x14ac:dyDescent="0.25">
      <c r="A21" s="17" t="str">
        <f>HYPERLINK("#'Constants - Common'!A1", "Constants - Common")</f>
        <v>Constants - Common</v>
      </c>
      <c r="C21" s="22"/>
      <c r="D21" s="1"/>
      <c r="E21" s="105"/>
      <c r="F21" s="52"/>
      <c r="G21" s="1"/>
      <c r="H21" s="1"/>
      <c r="I21" s="22"/>
      <c r="J21" s="22"/>
      <c r="K21" s="22"/>
    </row>
    <row r="22" spans="1:11" ht="20.100000000000001" customHeight="1" x14ac:dyDescent="0.25">
      <c r="C22" s="22"/>
      <c r="D22" s="1"/>
      <c r="E22" s="105"/>
      <c r="F22" s="52"/>
      <c r="G22" s="1"/>
      <c r="H22" s="1"/>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1"/>
      <c r="J38" s="101"/>
      <c r="K38" s="22"/>
    </row>
    <row r="39" spans="3:11" ht="20.100000000000001" customHeight="1" x14ac:dyDescent="0.25">
      <c r="C39" s="22"/>
      <c r="D39" s="1"/>
      <c r="E39" s="1"/>
      <c r="F39" s="1"/>
      <c r="G39" s="1"/>
      <c r="H39" s="1"/>
      <c r="I39" s="101"/>
      <c r="J39" s="101"/>
      <c r="K39" s="22"/>
    </row>
    <row r="40" spans="3:11" ht="20.100000000000001" customHeight="1" x14ac:dyDescent="0.25">
      <c r="C40" s="22"/>
      <c r="D40" s="1"/>
      <c r="E40" s="1"/>
      <c r="F40" s="1"/>
      <c r="G40" s="1"/>
      <c r="H40" s="1"/>
      <c r="I40" s="101"/>
      <c r="J40" s="101"/>
      <c r="K40" s="22"/>
    </row>
    <row r="41" spans="3:11" ht="20.100000000000001" customHeight="1" x14ac:dyDescent="0.25">
      <c r="C41" s="22"/>
      <c r="D41" s="1"/>
      <c r="E41" s="1"/>
      <c r="F41" s="1"/>
      <c r="G41" s="1"/>
      <c r="H41" s="1"/>
      <c r="I41" s="101"/>
      <c r="J41" s="101"/>
      <c r="K41" s="22"/>
    </row>
    <row r="42" spans="3:11" ht="20.100000000000001" customHeight="1" x14ac:dyDescent="0.25">
      <c r="C42" s="22"/>
      <c r="D42" s="1"/>
      <c r="E42" s="1"/>
      <c r="F42" s="1"/>
      <c r="G42" s="1"/>
      <c r="H42" s="1"/>
      <c r="I42" s="101"/>
      <c r="J42" s="101"/>
      <c r="K42" s="22"/>
    </row>
    <row r="43" spans="3:11" ht="20.100000000000001" customHeight="1" x14ac:dyDescent="0.25">
      <c r="C43" s="22"/>
      <c r="D43" s="1"/>
      <c r="E43" s="1"/>
      <c r="F43" s="1"/>
      <c r="G43" s="1"/>
      <c r="H43" s="1"/>
      <c r="I43" s="101"/>
      <c r="J43" s="101"/>
      <c r="K43" s="22"/>
    </row>
    <row r="44" spans="3:11" ht="20.100000000000001" customHeight="1" x14ac:dyDescent="0.25">
      <c r="C44" s="22"/>
      <c r="D44" s="1"/>
      <c r="E44" s="1"/>
      <c r="F44" s="1"/>
      <c r="G44" s="1"/>
      <c r="H44" s="1"/>
      <c r="I44" s="101"/>
      <c r="J44" s="101"/>
      <c r="K44" s="22"/>
    </row>
    <row r="45" spans="3:11" ht="20.100000000000001" customHeight="1" x14ac:dyDescent="0.25">
      <c r="C45" s="22"/>
      <c r="D45" s="1"/>
      <c r="E45" s="1"/>
      <c r="F45" s="1"/>
      <c r="G45" s="1"/>
      <c r="H45" s="1"/>
      <c r="I45" s="101"/>
      <c r="J45" s="101"/>
      <c r="K45" s="22"/>
    </row>
    <row r="46" spans="3:11" ht="20.100000000000001" customHeight="1" x14ac:dyDescent="0.25">
      <c r="C46" s="22"/>
      <c r="D46" s="1"/>
      <c r="E46" s="1"/>
      <c r="F46" s="1"/>
      <c r="G46" s="1"/>
      <c r="H46" s="1"/>
      <c r="I46" s="101"/>
      <c r="J46" s="101"/>
      <c r="K46" s="22"/>
    </row>
    <row r="47" spans="3:11" ht="20.100000000000001" customHeight="1" x14ac:dyDescent="0.25">
      <c r="C47" s="22"/>
      <c r="D47" s="1"/>
      <c r="E47" s="1"/>
      <c r="F47" s="1"/>
      <c r="G47" s="1"/>
      <c r="H47" s="1"/>
      <c r="I47" s="101"/>
      <c r="J47" s="101"/>
      <c r="K47" s="22"/>
    </row>
    <row r="48" spans="3:11" ht="20.100000000000001" customHeight="1" x14ac:dyDescent="0.25">
      <c r="C48" s="22"/>
      <c r="D48" s="1"/>
      <c r="E48" s="1"/>
      <c r="F48" s="1"/>
      <c r="G48" s="1"/>
      <c r="H48" s="1"/>
      <c r="I48" s="101"/>
      <c r="J48" s="101"/>
      <c r="K48" s="22"/>
    </row>
    <row r="49" spans="3:11" ht="20.100000000000001" customHeight="1" x14ac:dyDescent="0.25">
      <c r="C49" s="22"/>
      <c r="D49" s="1"/>
      <c r="E49" s="1"/>
      <c r="F49" s="1"/>
      <c r="G49" s="1"/>
      <c r="H49" s="101"/>
      <c r="I49" s="101"/>
      <c r="J49" s="101"/>
      <c r="K49" s="22"/>
    </row>
    <row r="50" spans="3:11" ht="20.100000000000001" customHeight="1" x14ac:dyDescent="0.25">
      <c r="C50" s="22"/>
      <c r="D50" s="1"/>
      <c r="E50" s="1"/>
      <c r="F50" s="1"/>
      <c r="G50" s="1"/>
      <c r="H50" s="101"/>
      <c r="I50" s="101"/>
      <c r="J50" s="101"/>
      <c r="K50" s="22"/>
    </row>
    <row r="51" spans="3:11" ht="20.100000000000001" customHeight="1" x14ac:dyDescent="0.25">
      <c r="C51" s="22"/>
      <c r="D51" s="1"/>
      <c r="E51" s="1"/>
      <c r="F51" s="1"/>
      <c r="G51" s="1"/>
      <c r="H51" s="101"/>
      <c r="I51" s="101"/>
      <c r="J51" s="101"/>
      <c r="K51" s="22"/>
    </row>
    <row r="52" spans="3:11" ht="20.100000000000001" customHeight="1" x14ac:dyDescent="0.25">
      <c r="C52" s="22"/>
      <c r="D52" s="1"/>
      <c r="E52" s="1"/>
      <c r="F52" s="1"/>
      <c r="G52" s="1"/>
      <c r="H52" s="101"/>
      <c r="I52" s="101"/>
      <c r="J52" s="101"/>
      <c r="K52" s="22"/>
    </row>
    <row r="53" spans="3:11" ht="20.100000000000001" customHeight="1" x14ac:dyDescent="0.25">
      <c r="C53" s="22"/>
      <c r="D53" s="1"/>
      <c r="E53" s="1"/>
      <c r="F53" s="1"/>
      <c r="G53" s="1"/>
      <c r="H53" s="101"/>
      <c r="I53" s="101"/>
      <c r="J53" s="101"/>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topLeftCell="A5" zoomScaleNormal="100" workbookViewId="0">
      <selection activeCell="E29" sqref="E29"/>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2" t="e" vm="1">
        <v>#VALUE!</v>
      </c>
      <c r="C1" s="12" t="s">
        <v>72</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3"/>
      <c r="D4" s="63"/>
      <c r="E4" s="63"/>
      <c r="F4" s="63"/>
      <c r="G4" s="63"/>
      <c r="H4" s="63"/>
      <c r="I4" s="63"/>
      <c r="J4" s="63"/>
      <c r="K4" s="63"/>
    </row>
    <row r="5" spans="1:24" ht="20.100000000000001" customHeight="1" x14ac:dyDescent="0.25">
      <c r="A5" s="17" t="str">
        <f>HYPERLINK("#'Results'!A1", "Results")</f>
        <v>Results</v>
      </c>
      <c r="D5" s="6" t="s">
        <v>13</v>
      </c>
      <c r="N5" s="40"/>
    </row>
    <row r="6" spans="1:24" ht="20.100000000000001" customHeight="1" x14ac:dyDescent="0.25">
      <c r="D6" s="14"/>
      <c r="N6" s="41"/>
    </row>
    <row r="7" spans="1:24" ht="20.100000000000001" customHeight="1" x14ac:dyDescent="0.25">
      <c r="A7" s="20" t="s">
        <v>1</v>
      </c>
      <c r="D7" s="1" t="s">
        <v>5</v>
      </c>
      <c r="E7" s="33" t="s">
        <v>4</v>
      </c>
      <c r="F7" s="2"/>
    </row>
    <row r="8" spans="1:24" ht="20.100000000000001" customHeight="1" x14ac:dyDescent="0.25">
      <c r="A8" s="108" t="str">
        <f>HYPERLINK("#'Input - Site'!A1", "Site")</f>
        <v>Site</v>
      </c>
      <c r="D8" s="10" t="s">
        <v>67</v>
      </c>
      <c r="E8" s="33" t="s">
        <v>68</v>
      </c>
    </row>
    <row r="9" spans="1:24" ht="20.100000000000001" customHeight="1" x14ac:dyDescent="0.25">
      <c r="A9" s="17" t="str">
        <f>HYPERLINK("#'Input - Fertiliser'!A1", "Fertiliser")</f>
        <v>Fertiliser</v>
      </c>
      <c r="N9" s="42"/>
    </row>
    <row r="10" spans="1:24" ht="20.100000000000001" customHeight="1" x14ac:dyDescent="0.25">
      <c r="A10" s="17"/>
      <c r="D10" s="88" t="s">
        <v>71</v>
      </c>
      <c r="E10" s="86"/>
      <c r="F10" s="89"/>
      <c r="G10" s="83"/>
      <c r="N10" s="42"/>
    </row>
    <row r="11" spans="1:24" ht="20.100000000000001" customHeight="1" x14ac:dyDescent="0.25">
      <c r="A11" s="19" t="s">
        <v>69</v>
      </c>
      <c r="N11" s="43"/>
    </row>
    <row r="12" spans="1:24" ht="20.100000000000001" customHeight="1" x14ac:dyDescent="0.25">
      <c r="A12" s="17" t="str">
        <f>HYPERLINK("#'5.1.1.1-2 Inorganic Fert N2O'!A1", "5.1.1.1-2 Inorganic Fert N2O")</f>
        <v>5.1.1.1-2 Inorganic Fert N2O</v>
      </c>
      <c r="D12" s="10" t="s">
        <v>77</v>
      </c>
      <c r="E12" s="60">
        <v>45292</v>
      </c>
      <c r="F12" s="2" t="s">
        <v>65</v>
      </c>
    </row>
    <row r="13" spans="1:24" ht="20.100000000000001" customHeight="1" x14ac:dyDescent="0.25">
      <c r="A13" s="17" t="str">
        <f>HYPERLINK("#'5.1.1.3-4 Inorganic fert CO2'!A1", "5.1.1.3-4 Inorganic fert CO2")</f>
        <v>5.1.1.3-4 Inorganic fert CO2</v>
      </c>
      <c r="D13" s="10" t="s">
        <v>78</v>
      </c>
      <c r="E13" s="64">
        <f>DATE(YEAR(E12)+1,MONTH(E12),DAY(E12))-1</f>
        <v>45657</v>
      </c>
      <c r="F13" s="2" t="s">
        <v>15</v>
      </c>
      <c r="N13" s="38"/>
      <c r="O13" s="38"/>
    </row>
    <row r="14" spans="1:24" ht="20.100000000000001" customHeight="1" x14ac:dyDescent="0.25">
      <c r="A14" s="17" t="str">
        <f>HYPERLINK("#'5.2.1.1-2 Organic Fert N2O'!A1", "5.2.1.1-2 Organic Fert N2O")</f>
        <v>5.2.1.1-2 Organic Fert N2O</v>
      </c>
      <c r="N14" s="38"/>
      <c r="O14" s="38"/>
    </row>
    <row r="15" spans="1:24" ht="20.100000000000001" customHeight="1" x14ac:dyDescent="0.25">
      <c r="A15" s="17" t="str">
        <f>HYPERLINK("#'5.3.1.1-2 Lime CO2'!A1", "5.3.1.1-2 Lime CO2")</f>
        <v>5.3.1.1-2 Lime CO2</v>
      </c>
      <c r="N15" s="38"/>
      <c r="O15" s="38"/>
    </row>
    <row r="16" spans="1:24" ht="20.100000000000001" customHeight="1" x14ac:dyDescent="0.25">
      <c r="A16" s="17" t="str">
        <f>HYPERLINK("#'5.4.1.1-4 Atmos deposition'!A1", "5.4.1.1-4 Atmos deposition")</f>
        <v>5.4.1.1-4 Atmos deposition</v>
      </c>
      <c r="D16" s="6" t="s">
        <v>12</v>
      </c>
      <c r="N16" s="38"/>
      <c r="O16" s="38"/>
    </row>
    <row r="17" spans="1:25" ht="20.100000000000001" customHeight="1" x14ac:dyDescent="0.25">
      <c r="A17" s="17" t="str">
        <f>HYPERLINK("#'5.5.1.1-2 Leaching and runoff'!A1", "5.5.1.1-2 Leaching and runoff")</f>
        <v>5.5.1.1-2 Leaching and runoff</v>
      </c>
    </row>
    <row r="18" spans="1:25" ht="20.100000000000001" customHeight="1" x14ac:dyDescent="0.25">
      <c r="A18"/>
      <c r="D18" s="90" t="s">
        <v>14</v>
      </c>
      <c r="E18" s="85"/>
      <c r="F18" s="85"/>
      <c r="G18" s="81"/>
    </row>
    <row r="19" spans="1:25" ht="20.100000000000001" customHeight="1" x14ac:dyDescent="0.25">
      <c r="A19" s="18" t="s">
        <v>2</v>
      </c>
      <c r="D19" s="87" t="s">
        <v>66</v>
      </c>
      <c r="E19" s="84"/>
      <c r="F19" s="84"/>
      <c r="G19" s="82"/>
      <c r="N19" s="40"/>
    </row>
    <row r="20" spans="1:25" ht="20.100000000000001" customHeight="1" x14ac:dyDescent="0.25">
      <c r="A20" s="17" t="str">
        <f>HYPERLINK("#'Constants - Fertiliser'!A1", "Constants - Fertiliser")</f>
        <v>Constants - Fertiliser</v>
      </c>
      <c r="D20" s="1"/>
      <c r="E20" s="31"/>
      <c r="F20" s="2"/>
      <c r="N20" s="41"/>
    </row>
    <row r="21" spans="1:25" ht="20.100000000000001" customHeight="1" x14ac:dyDescent="0.25">
      <c r="A21" s="17" t="str">
        <f>HYPERLINK("#'Constants - Common'!A1", "Constants - Common")</f>
        <v>Constants - Common</v>
      </c>
      <c r="D21" s="1" t="s">
        <v>6</v>
      </c>
      <c r="E21" s="39" t="s">
        <v>100</v>
      </c>
      <c r="F21" s="2" t="s">
        <v>9</v>
      </c>
    </row>
    <row r="22" spans="1:25" ht="20.100000000000001" customHeight="1" x14ac:dyDescent="0.25">
      <c r="A22"/>
      <c r="D22" s="1" t="s">
        <v>21</v>
      </c>
      <c r="E22" s="39" t="s">
        <v>30</v>
      </c>
      <c r="F22" s="2" t="s">
        <v>9</v>
      </c>
      <c r="G22" s="1"/>
    </row>
    <row r="23" spans="1:25" ht="20.100000000000001" customHeight="1" x14ac:dyDescent="0.25">
      <c r="A23" s="17"/>
      <c r="D23" s="1" t="s">
        <v>7</v>
      </c>
      <c r="E23" s="39" t="s">
        <v>76</v>
      </c>
      <c r="F23" s="2" t="s">
        <v>9</v>
      </c>
    </row>
    <row r="24" spans="1:25" ht="20.100000000000001" customHeight="1" x14ac:dyDescent="0.25">
      <c r="A24"/>
      <c r="D24" s="1" t="s">
        <v>35</v>
      </c>
      <c r="E24" s="33">
        <v>307.7</v>
      </c>
      <c r="F24" s="2" t="s">
        <v>49</v>
      </c>
    </row>
    <row r="25" spans="1:25" ht="20.100000000000001" customHeight="1" x14ac:dyDescent="0.25">
      <c r="A25"/>
      <c r="D25" s="1" t="s">
        <v>57</v>
      </c>
      <c r="E25" s="33">
        <v>18</v>
      </c>
      <c r="F25" s="2" t="s">
        <v>10</v>
      </c>
      <c r="N25" s="41"/>
    </row>
    <row r="26" spans="1:25" ht="20.100000000000001" customHeight="1" x14ac:dyDescent="0.25">
      <c r="A26"/>
      <c r="D26" s="1" t="s">
        <v>58</v>
      </c>
      <c r="E26" s="33">
        <v>599</v>
      </c>
      <c r="F26" s="2" t="s">
        <v>11</v>
      </c>
    </row>
    <row r="27" spans="1:25" ht="20.100000000000001" customHeight="1" x14ac:dyDescent="0.25">
      <c r="A27"/>
      <c r="D27" s="10" t="s">
        <v>59</v>
      </c>
      <c r="E27" s="33">
        <v>1326</v>
      </c>
      <c r="F27" s="2" t="s">
        <v>11</v>
      </c>
    </row>
    <row r="28" spans="1:25" ht="20.100000000000001" customHeight="1" x14ac:dyDescent="0.25">
      <c r="A28"/>
      <c r="D28" s="1" t="s">
        <v>60</v>
      </c>
      <c r="E28" s="33">
        <v>7</v>
      </c>
      <c r="F28" s="2" t="s">
        <v>50</v>
      </c>
    </row>
    <row r="29" spans="1:25" ht="20.100000000000001" customHeight="1" x14ac:dyDescent="0.25">
      <c r="A29"/>
      <c r="D29" s="10" t="s">
        <v>56</v>
      </c>
      <c r="E29" s="50">
        <f>E26/E27</f>
        <v>0.45173453996983409</v>
      </c>
      <c r="F29" s="2"/>
    </row>
    <row r="30" spans="1:25" ht="20.100000000000001" customHeight="1" x14ac:dyDescent="0.25">
      <c r="A30"/>
      <c r="D30" s="10" t="s">
        <v>31</v>
      </c>
      <c r="E30" s="50" t="str">
        <f>Common_InputFunctions.Utility_LookupItemFromMinMax(E26,Table_SourceData_RainfallZones[Min rainfall],Table_SourceData_RainfallZones[Max rainfall],Table_SourceData_RainfallZones[Rainfall Zone])</f>
        <v>Low rainfall</v>
      </c>
      <c r="G30" s="32"/>
      <c r="L30" s="47"/>
      <c r="M30" s="47"/>
      <c r="N30" s="47"/>
      <c r="O30" s="47"/>
      <c r="P30" s="47"/>
      <c r="Q30" s="47"/>
      <c r="R30" s="47"/>
      <c r="S30" s="47"/>
      <c r="T30" s="47"/>
      <c r="U30" s="47"/>
      <c r="V30" s="47"/>
      <c r="W30" s="47"/>
      <c r="X30" s="47"/>
      <c r="Y30" s="47"/>
    </row>
    <row r="31" spans="1:25" ht="20.100000000000001" customHeight="1" x14ac:dyDescent="0.25">
      <c r="A31"/>
      <c r="D31" s="1" t="s">
        <v>8</v>
      </c>
      <c r="E31" s="50"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1"/>
      <c r="L31" s="45"/>
      <c r="M31" s="45"/>
      <c r="N31" s="45"/>
      <c r="O31" s="45"/>
      <c r="P31" s="45"/>
      <c r="Q31" s="45"/>
      <c r="R31" s="45"/>
      <c r="S31" s="45"/>
      <c r="T31" s="45"/>
      <c r="U31" s="45"/>
      <c r="V31" s="45"/>
      <c r="W31" s="45"/>
      <c r="X31" s="45"/>
      <c r="Y31" s="45"/>
    </row>
    <row r="32" spans="1:25" ht="20.100000000000001" customHeight="1" x14ac:dyDescent="0.25">
      <c r="A32"/>
      <c r="D32" s="1" t="s">
        <v>73</v>
      </c>
      <c r="E32" s="50" t="str">
        <f>Common_InputFunctions.Utility_LookupValueInTable($E$31,Table_SourceData_WetDryZones[Climate zone],Table_SourceData_WetDryZones[Wet or Dry Zone])</f>
        <v>Dry climate zone</v>
      </c>
      <c r="F32" s="1"/>
      <c r="G32" s="31"/>
      <c r="L32" s="45"/>
      <c r="M32" s="45"/>
      <c r="N32" s="45"/>
      <c r="O32" s="45"/>
      <c r="P32" s="45"/>
      <c r="Q32" s="45"/>
      <c r="R32" s="45"/>
      <c r="S32" s="45"/>
      <c r="T32" s="45"/>
      <c r="U32" s="45"/>
      <c r="V32" s="45"/>
      <c r="W32" s="45"/>
      <c r="X32" s="45"/>
      <c r="Y32" s="45"/>
    </row>
    <row r="33" spans="1:25" ht="20.100000000000001" customHeight="1" x14ac:dyDescent="0.25">
      <c r="A33"/>
      <c r="D33" s="1" t="s">
        <v>48</v>
      </c>
      <c r="E33" s="50" t="str">
        <f>Common_InputFunctions.Utility_LookupItemFromMinMax(E25,Table_SourceData_TemperatureZones[Min MAT],Table_SourceData_TemperatureZones[Max MAT],Table_SourceData_TemperatureZones[Temperature Zone])</f>
        <v>Temperate</v>
      </c>
      <c r="G33" s="65"/>
      <c r="L33" s="45"/>
      <c r="M33" s="45"/>
      <c r="N33" s="45"/>
      <c r="O33" s="45"/>
      <c r="P33" s="45"/>
      <c r="Q33" s="45"/>
      <c r="R33" s="45"/>
      <c r="S33" s="45"/>
      <c r="T33" s="45"/>
      <c r="U33" s="45"/>
      <c r="V33" s="45"/>
      <c r="W33" s="45"/>
      <c r="X33" s="45"/>
      <c r="Y33" s="45"/>
    </row>
    <row r="34" spans="1:25" ht="20.100000000000001" customHeight="1" x14ac:dyDescent="0.25">
      <c r="A34"/>
      <c r="J34" s="58"/>
      <c r="K34" s="68"/>
      <c r="L34" s="45"/>
      <c r="M34" s="45"/>
      <c r="N34" s="45"/>
      <c r="O34" s="45"/>
      <c r="P34" s="45"/>
      <c r="Q34" s="45"/>
      <c r="R34" s="45"/>
      <c r="S34" s="45"/>
      <c r="T34" s="45"/>
      <c r="U34" s="45"/>
      <c r="V34" s="45"/>
      <c r="W34" s="45"/>
      <c r="X34" s="45"/>
      <c r="Y34" s="45"/>
    </row>
    <row r="35" spans="1:25" ht="20.100000000000001" customHeight="1" x14ac:dyDescent="0.25">
      <c r="A35"/>
      <c r="J35" s="58"/>
      <c r="K35" s="68"/>
      <c r="L35" s="45"/>
      <c r="M35" s="45"/>
      <c r="N35" s="45"/>
      <c r="O35" s="45"/>
      <c r="P35" s="45"/>
      <c r="Q35" s="45"/>
      <c r="R35" s="45"/>
      <c r="S35" s="45"/>
      <c r="T35" s="45"/>
      <c r="U35" s="45"/>
      <c r="V35" s="45"/>
      <c r="W35" s="45"/>
      <c r="X35" s="45"/>
      <c r="Y35" s="45"/>
    </row>
    <row r="36" spans="1:25" ht="20.100000000000001" customHeight="1" x14ac:dyDescent="0.25">
      <c r="A36"/>
      <c r="D36" s="66"/>
      <c r="E36" s="66"/>
      <c r="F36" s="67"/>
      <c r="G36" s="58"/>
      <c r="H36" s="58"/>
      <c r="I36" s="59"/>
      <c r="J36" s="58"/>
      <c r="K36" s="68"/>
      <c r="L36" s="45"/>
      <c r="M36" s="45"/>
      <c r="N36" s="45"/>
      <c r="O36" s="45"/>
      <c r="P36" s="45"/>
      <c r="Q36" s="45"/>
      <c r="R36" s="45"/>
      <c r="S36" s="45"/>
      <c r="T36" s="45"/>
      <c r="U36" s="45"/>
      <c r="V36" s="45"/>
      <c r="W36" s="45"/>
      <c r="X36" s="45"/>
      <c r="Y36" s="45"/>
    </row>
    <row r="37" spans="1:25" ht="20.100000000000001" customHeight="1" x14ac:dyDescent="0.25">
      <c r="A37"/>
      <c r="D37" s="66"/>
      <c r="E37" s="66"/>
      <c r="F37" s="67"/>
      <c r="G37" s="58"/>
      <c r="H37" s="58"/>
      <c r="I37" s="59"/>
      <c r="J37" s="58"/>
      <c r="K37" s="68"/>
      <c r="L37" s="45"/>
      <c r="M37" s="45"/>
      <c r="N37" s="45"/>
      <c r="O37" s="45"/>
      <c r="P37" s="45"/>
      <c r="Q37" s="45"/>
      <c r="R37" s="45"/>
      <c r="S37" s="45"/>
      <c r="T37" s="45"/>
      <c r="U37" s="45"/>
      <c r="V37" s="45"/>
      <c r="W37" s="45"/>
      <c r="X37" s="45"/>
      <c r="Y37" s="45"/>
    </row>
    <row r="38" spans="1:25" ht="20.100000000000001" customHeight="1" x14ac:dyDescent="0.25">
      <c r="A38"/>
      <c r="D38" s="66"/>
      <c r="E38" s="66"/>
      <c r="F38" s="67"/>
      <c r="G38" s="58"/>
      <c r="H38" s="58"/>
      <c r="I38" s="59"/>
      <c r="J38" s="58"/>
      <c r="K38" s="68"/>
      <c r="L38" s="45"/>
      <c r="M38" s="45"/>
      <c r="N38" s="45"/>
      <c r="O38" s="45"/>
      <c r="P38" s="45"/>
      <c r="Q38" s="45"/>
      <c r="R38" s="45"/>
      <c r="S38" s="45"/>
      <c r="T38" s="45"/>
      <c r="U38" s="45"/>
      <c r="V38" s="45"/>
      <c r="W38" s="45"/>
      <c r="X38" s="45"/>
      <c r="Y38" s="45"/>
    </row>
    <row r="39" spans="1:25" ht="20.100000000000001" customHeight="1" x14ac:dyDescent="0.25">
      <c r="A39"/>
      <c r="D39" s="66"/>
      <c r="E39" s="66"/>
      <c r="F39" s="67"/>
      <c r="G39" s="58"/>
      <c r="H39" s="58"/>
      <c r="I39" s="59"/>
      <c r="J39" s="58"/>
      <c r="K39" s="68"/>
      <c r="L39" s="45"/>
      <c r="M39" s="45"/>
      <c r="N39" s="45"/>
      <c r="O39" s="45"/>
      <c r="P39" s="45"/>
      <c r="Q39" s="45"/>
      <c r="R39" s="45"/>
      <c r="S39" s="45"/>
      <c r="T39" s="45"/>
      <c r="U39" s="45"/>
      <c r="V39" s="45"/>
      <c r="W39" s="45"/>
      <c r="X39" s="45"/>
      <c r="Y39" s="45"/>
    </row>
    <row r="40" spans="1:25" ht="20.100000000000001" customHeight="1" x14ac:dyDescent="0.25">
      <c r="A40"/>
      <c r="D40" s="69"/>
      <c r="E40" s="69"/>
      <c r="F40" s="69"/>
      <c r="G40" s="70"/>
      <c r="H40" s="71"/>
      <c r="I40" s="71"/>
      <c r="J40" s="71"/>
      <c r="K40" s="71"/>
      <c r="L40" s="48"/>
      <c r="M40" s="48"/>
      <c r="N40" s="48"/>
      <c r="O40" s="48"/>
      <c r="P40" s="48"/>
      <c r="Q40" s="48"/>
      <c r="R40" s="48"/>
      <c r="S40" s="48"/>
      <c r="T40" s="48"/>
      <c r="U40" s="48"/>
      <c r="V40" s="48"/>
      <c r="W40" s="48"/>
      <c r="X40" s="48"/>
      <c r="Y40" s="48"/>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2"/>
      <c r="E47" s="72"/>
      <c r="F47" s="72"/>
      <c r="G47" s="72"/>
      <c r="H47" s="72"/>
    </row>
    <row r="48" spans="1:25" ht="20.100000000000001" customHeight="1" x14ac:dyDescent="0.25">
      <c r="D48" s="34"/>
      <c r="E48" s="34"/>
      <c r="F48" s="35"/>
      <c r="G48" s="35"/>
      <c r="H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73"/>
      <c r="E51" s="74"/>
      <c r="F51" s="74"/>
      <c r="G51" s="74"/>
      <c r="H51" s="75"/>
    </row>
    <row r="52" spans="4:8" ht="20.100000000000001" customHeight="1" x14ac:dyDescent="0.25"/>
    <row r="53" spans="4:8" ht="20.100000000000001" customHeight="1" x14ac:dyDescent="0.25"/>
    <row r="54" spans="4:8" ht="20.100000000000001" customHeight="1" x14ac:dyDescent="0.25">
      <c r="G54" s="76"/>
    </row>
    <row r="55" spans="4:8" ht="20.100000000000001" customHeight="1" x14ac:dyDescent="0.25">
      <c r="D55" s="6"/>
    </row>
    <row r="56" spans="4:8" ht="20.100000000000001" customHeight="1" x14ac:dyDescent="0.25"/>
    <row r="57" spans="4:8" ht="20.100000000000001" customHeight="1" x14ac:dyDescent="0.25">
      <c r="D57" s="21"/>
      <c r="F57" s="77"/>
    </row>
    <row r="58" spans="4:8" ht="20.100000000000001" customHeight="1" x14ac:dyDescent="0.25">
      <c r="D58" s="1"/>
      <c r="E58" s="78"/>
    </row>
    <row r="59" spans="4:8" ht="20.100000000000001" customHeight="1" x14ac:dyDescent="0.25">
      <c r="D59" s="1"/>
      <c r="E59" s="78"/>
    </row>
    <row r="60" spans="4:8" ht="20.100000000000001" customHeight="1" x14ac:dyDescent="0.25">
      <c r="D60" s="1"/>
      <c r="E60" s="79"/>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78"/>
    </row>
    <row r="65" spans="4:9" ht="20.100000000000001" customHeight="1" x14ac:dyDescent="0.25">
      <c r="D65" s="1"/>
      <c r="E65" s="78"/>
    </row>
    <row r="66" spans="4:9" ht="20.100000000000001" customHeight="1" x14ac:dyDescent="0.25">
      <c r="D66" s="1"/>
      <c r="E66" s="79"/>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0"/>
    </row>
    <row r="79" spans="4:9" ht="20.100000000000001" customHeight="1" x14ac:dyDescent="0.25">
      <c r="D79" s="80"/>
    </row>
    <row r="80" spans="4:9" ht="20.100000000000001" customHeight="1" x14ac:dyDescent="0.25">
      <c r="D80" s="80"/>
    </row>
    <row r="81" spans="4:4" ht="20.100000000000001" customHeight="1" x14ac:dyDescent="0.25">
      <c r="D81" s="80"/>
    </row>
    <row r="82" spans="4:4" ht="20.100000000000001" customHeight="1" x14ac:dyDescent="0.25">
      <c r="D82" s="80"/>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66"/>
  <sheetViews>
    <sheetView showGridLines="0" topLeftCell="A5" zoomScale="85" zoomScaleNormal="85" workbookViewId="0">
      <selection activeCell="D18" sqref="D18:D22"/>
    </sheetView>
  </sheetViews>
  <sheetFormatPr defaultRowHeight="15.75" x14ac:dyDescent="0.25"/>
  <cols>
    <col min="1" max="1" width="30.7109375" customWidth="1"/>
    <col min="2" max="2" width="4.7109375" customWidth="1"/>
    <col min="3" max="3" width="4.7109375" style="1" customWidth="1"/>
    <col min="4" max="4" width="52.140625" style="1" customWidth="1"/>
    <col min="5" max="5" width="30.7109375" style="1" customWidth="1"/>
    <col min="6" max="24" width="15.7109375" style="1" customWidth="1"/>
    <col min="25" max="25" width="4.7109375" style="1" customWidth="1"/>
    <col min="26" max="26" width="4.7109375" customWidth="1"/>
  </cols>
  <sheetData>
    <row r="1" spans="1:25" s="62" customFormat="1" ht="30" customHeight="1" x14ac:dyDescent="0.35">
      <c r="A1" s="62" t="e" vm="1">
        <v>#VALUE!</v>
      </c>
      <c r="C1" s="62" t="s">
        <v>305</v>
      </c>
    </row>
    <row r="2" spans="1:25" s="9" customFormat="1" ht="20.100000000000001" customHeight="1" x14ac:dyDescent="0.25"/>
    <row r="3" spans="1:25" ht="20.100000000000001" customHeight="1" x14ac:dyDescent="0.25">
      <c r="A3" s="17" t="str">
        <f>HYPERLINK("#'Home'!A1", "Home")</f>
        <v>Home</v>
      </c>
      <c r="C3" s="15"/>
      <c r="D3" s="15"/>
      <c r="E3" s="15"/>
      <c r="F3" s="15"/>
      <c r="G3" s="15"/>
      <c r="H3" s="15"/>
      <c r="I3" s="15"/>
      <c r="J3" s="15"/>
      <c r="K3" s="15"/>
      <c r="L3" s="15"/>
      <c r="M3" s="15"/>
      <c r="N3" s="15"/>
      <c r="O3" s="15"/>
      <c r="P3" s="15"/>
      <c r="Q3" s="15"/>
      <c r="R3" s="15"/>
      <c r="S3" s="15"/>
      <c r="T3" s="15"/>
      <c r="U3" s="15"/>
      <c r="V3" s="15"/>
      <c r="W3" s="15"/>
      <c r="X3" s="15"/>
      <c r="Y3" s="15"/>
    </row>
    <row r="4" spans="1:25" ht="20.100000000000001" customHeight="1" x14ac:dyDescent="0.25">
      <c r="A4" s="17" t="str">
        <f>HYPERLINK("#'Overview'!A1", "Overview")</f>
        <v>Overview</v>
      </c>
    </row>
    <row r="5" spans="1:25" ht="20.100000000000001" customHeight="1" x14ac:dyDescent="0.25">
      <c r="A5" s="17" t="str">
        <f>HYPERLINK("#'Results'!A1", "Results")</f>
        <v>Results</v>
      </c>
    </row>
    <row r="6" spans="1:25" ht="20.100000000000001" customHeight="1" x14ac:dyDescent="0.25">
      <c r="A6" s="16"/>
      <c r="D6" s="1" t="s">
        <v>87</v>
      </c>
      <c r="E6" s="39" t="s">
        <v>131</v>
      </c>
      <c r="F6" s="2" t="s">
        <v>9</v>
      </c>
    </row>
    <row r="7" spans="1:25" ht="20.100000000000001" customHeight="1" x14ac:dyDescent="0.25">
      <c r="A7" s="20" t="s">
        <v>1</v>
      </c>
      <c r="D7" s="1" t="s">
        <v>164</v>
      </c>
      <c r="E7" s="39" t="s">
        <v>141</v>
      </c>
      <c r="F7" s="2" t="s">
        <v>9</v>
      </c>
    </row>
    <row r="8" spans="1:25" ht="20.100000000000001" customHeight="1" x14ac:dyDescent="0.25">
      <c r="A8" s="17" t="str">
        <f>HYPERLINK("#'Input - Site'!A1", "Site")</f>
        <v>Site</v>
      </c>
      <c r="D8" s="1" t="s">
        <v>86</v>
      </c>
      <c r="E8" s="39" t="s">
        <v>132</v>
      </c>
      <c r="F8" s="2" t="s">
        <v>9</v>
      </c>
    </row>
    <row r="9" spans="1:25" ht="20.100000000000001" customHeight="1" x14ac:dyDescent="0.25">
      <c r="A9" s="108" t="str">
        <f>HYPERLINK("#'Input - Fertiliser'!A1", "Fertiliser")</f>
        <v>Fertiliser</v>
      </c>
      <c r="D9" s="1" t="s">
        <v>186</v>
      </c>
      <c r="E9" s="136">
        <v>100</v>
      </c>
      <c r="F9" s="2" t="s">
        <v>178</v>
      </c>
    </row>
    <row r="10" spans="1:25" ht="20.100000000000001" customHeight="1" x14ac:dyDescent="0.25">
      <c r="A10" s="17"/>
    </row>
    <row r="11" spans="1:25" ht="20.100000000000001" customHeight="1" x14ac:dyDescent="0.25">
      <c r="A11" s="19" t="s">
        <v>69</v>
      </c>
      <c r="D11" s="6" t="s">
        <v>146</v>
      </c>
      <c r="E11" s="3"/>
      <c r="F11" s="3"/>
      <c r="G11" s="3"/>
      <c r="H11" s="3"/>
      <c r="I11" s="3"/>
      <c r="J11" s="3"/>
      <c r="K11" s="3"/>
      <c r="L11" s="3"/>
      <c r="M11" s="3"/>
    </row>
    <row r="12" spans="1:25" ht="20.100000000000001" customHeight="1" x14ac:dyDescent="0.25">
      <c r="A12" s="17" t="str">
        <f>HYPERLINK("#'5.1.1.1-2 Inorganic Fert N2O'!A1", "5.1.1.1-2 Inorganic Fert N2O")</f>
        <v>5.1.1.1-2 Inorganic Fert N2O</v>
      </c>
      <c r="D12" s="22"/>
      <c r="E12" s="22"/>
      <c r="F12" s="22"/>
      <c r="G12" s="22"/>
      <c r="H12" s="22"/>
      <c r="I12" s="22"/>
      <c r="J12" s="22"/>
      <c r="K12" s="22"/>
      <c r="L12" s="22"/>
      <c r="M12" s="22"/>
    </row>
    <row r="13" spans="1:25" ht="20.100000000000001" customHeight="1" x14ac:dyDescent="0.25">
      <c r="A13" s="17" t="str">
        <f>HYPERLINK("#'5.1.1.3-4 Inorganic fert CO2'!A1", "5.1.1.3-4 Inorganic fert CO2")</f>
        <v>5.1.1.3-4 Inorganic fert CO2</v>
      </c>
      <c r="D13" s="106" t="s">
        <v>147</v>
      </c>
      <c r="E13" s="85"/>
      <c r="F13" s="85"/>
      <c r="G13" s="85"/>
      <c r="H13" s="81"/>
      <c r="I13" s="113"/>
      <c r="J13" s="114"/>
      <c r="K13" s="115"/>
      <c r="L13" s="115"/>
      <c r="M13" s="115"/>
    </row>
    <row r="14" spans="1:25" ht="20.100000000000001" customHeight="1" x14ac:dyDescent="0.25">
      <c r="A14" s="17" t="str">
        <f>HYPERLINK("#'5.2.1.1-2 Organic Fert N2O'!A1", "5.2.1.1-2 Organic Fert N2O")</f>
        <v>5.2.1.1-2 Organic Fert N2O</v>
      </c>
      <c r="D14" s="87" t="s">
        <v>148</v>
      </c>
      <c r="E14" s="84"/>
      <c r="F14" s="84"/>
      <c r="G14" s="82"/>
      <c r="H14" s="138"/>
      <c r="I14" s="22"/>
      <c r="J14" s="22"/>
      <c r="K14" s="22"/>
      <c r="L14" s="22"/>
      <c r="M14" s="22"/>
    </row>
    <row r="15" spans="1:25" ht="20.100000000000001" customHeight="1" x14ac:dyDescent="0.25">
      <c r="A15" s="17" t="str">
        <f>HYPERLINK("#'5.3.1.1-2 Lime CO2'!A1", "5.3.1.1-2 Lime CO2")</f>
        <v>5.3.1.1-2 Lime CO2</v>
      </c>
      <c r="D15" s="22"/>
      <c r="E15" s="22"/>
      <c r="F15" s="22"/>
      <c r="G15" s="22"/>
      <c r="H15" s="22"/>
      <c r="I15" s="22"/>
      <c r="J15" s="22"/>
      <c r="K15" s="22"/>
      <c r="L15" s="22"/>
      <c r="M15" s="22"/>
    </row>
    <row r="16" spans="1:25" ht="20.100000000000001" customHeight="1" x14ac:dyDescent="0.25">
      <c r="A16" s="17" t="str">
        <f>HYPERLINK("#'5.4.1.1-4 Atmos deposition'!A1", "5.4.1.1-4 Atmos deposition")</f>
        <v>5.4.1.1-4 Atmos deposition</v>
      </c>
      <c r="D16" s="46" t="s">
        <v>149</v>
      </c>
      <c r="E16" s="22"/>
      <c r="F16" s="22"/>
      <c r="G16" s="22"/>
      <c r="H16" s="22"/>
      <c r="I16" s="22"/>
      <c r="J16" s="22"/>
      <c r="K16" s="22"/>
      <c r="L16" s="22"/>
      <c r="M16" s="22"/>
    </row>
    <row r="17" spans="1:24" ht="36" customHeight="1" x14ac:dyDescent="0.25">
      <c r="A17" s="17" t="str">
        <f>HYPERLINK("#'5.5.1.1-2 Leaching and runoff'!A1", "5.5.1.1-2 Leaching and runoff")</f>
        <v>5.5.1.1-2 Leaching and runoff</v>
      </c>
      <c r="D17" s="116" t="s">
        <v>150</v>
      </c>
      <c r="E17" s="117" t="s">
        <v>320</v>
      </c>
      <c r="F17" s="179" t="s">
        <v>311</v>
      </c>
      <c r="G17" s="179" t="s">
        <v>312</v>
      </c>
      <c r="H17" s="117" t="s">
        <v>151</v>
      </c>
      <c r="I17" s="117" t="s">
        <v>152</v>
      </c>
      <c r="J17" s="116" t="s">
        <v>115</v>
      </c>
      <c r="K17" s="116" t="s">
        <v>116</v>
      </c>
      <c r="L17" s="116" t="s">
        <v>117</v>
      </c>
      <c r="M17" s="116" t="s">
        <v>118</v>
      </c>
      <c r="N17" s="116" t="s">
        <v>119</v>
      </c>
      <c r="O17" s="116" t="s">
        <v>120</v>
      </c>
      <c r="P17" s="116" t="s">
        <v>121</v>
      </c>
      <c r="Q17" s="116" t="s">
        <v>122</v>
      </c>
      <c r="R17" s="116" t="s">
        <v>123</v>
      </c>
      <c r="S17" s="116" t="s">
        <v>124</v>
      </c>
      <c r="T17" s="116" t="s">
        <v>125</v>
      </c>
      <c r="U17" s="116" t="s">
        <v>126</v>
      </c>
      <c r="V17" s="116" t="s">
        <v>165</v>
      </c>
      <c r="W17" s="178" t="s">
        <v>231</v>
      </c>
      <c r="X17" s="178" t="s">
        <v>232</v>
      </c>
    </row>
    <row r="18" spans="1:24" ht="36" customHeight="1" x14ac:dyDescent="0.25">
      <c r="D18" s="122" t="s">
        <v>301</v>
      </c>
      <c r="E18" s="123">
        <v>100</v>
      </c>
      <c r="F18" s="50" t="str">
        <f>_xlfn.XLOOKUP(Table_Input_InorganicFertiliser_Brands[[#This Row],[Product (select)]],FertiliserProducts[Product name],FertiliserProducts[Unit])</f>
        <v>L</v>
      </c>
      <c r="G18" s="50">
        <f>_xlfn.XLOOKUP(Table_Input_InorganicFertiliser_Brands[[#This Row],[Product (select)]],FertiliserProducts[Product name],FertiliserProducts[Density / gravity])</f>
        <v>1.26</v>
      </c>
      <c r="H18" s="123">
        <f>$E$9</f>
        <v>100</v>
      </c>
      <c r="I18" s="124">
        <f>(Table_Input_InorganicFertiliser_Brands[[#This Row],[Amount applied per hectare]]*Table_Input_InorganicFertiliser_Brands[[#This Row],[Density]])*Table_Input_InorganicFertiliser_Brands[[#This Row],[Application area (ha)]]</f>
        <v>12600</v>
      </c>
      <c r="J18" s="124" t="str" cm="1">
        <f t="array" ref="J18">Fertiliser_InputFunctions.Fertiliser_FertiliserProductLookup(Table_Input_InorganicFertiliser_Brands[[#This Row],[Product (select)]], Table_Input_InorganicFertiliser_Brands[[#Headers],[Ingredient 1]], FertiliserProducts[#Data], FertiliserProducts[Product name], FertiliserProducts[#Headers])</f>
        <v>Potassium - Generic</v>
      </c>
      <c r="K18" s="124" cm="1">
        <f t="array" ref="K18">Fertiliser_InputFunctions.Fertiliser_FertiliserProductLookup(Table_Input_InorganicFertiliser_Brands[[#This Row],[Product (select)]], Table_Input_InorganicFertiliser_Brands[[#Headers],[Ingredient 1 percent]], FertiliserProducts[#Data], FertiliserProducts[Product name], FertiliserProducts[#Headers])</f>
        <v>0.22500000000000001</v>
      </c>
      <c r="L18" s="124" t="str" cm="1">
        <f t="array" ref="L18">Fertiliser_InputFunctions.Fertiliser_FertiliserProductLookup(Table_Input_InorganicFertiliser_Brands[[#This Row],[Product (select)]], Table_Input_InorganicFertiliser_Brands[[#Headers],[Ingredient 2]], FertiliserProducts[#Data], FertiliserProducts[Product name], FertiliserProducts[#Headers])</f>
        <v>Phosphorus - Generic</v>
      </c>
      <c r="M18" s="124" cm="1">
        <f t="array" ref="M18">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8" s="124" t="str" cm="1">
        <f t="array" ref="N18">Fertiliser_InputFunctions.Fertiliser_FertiliserProductLookup(Table_Input_InorganicFertiliser_Brands[[#This Row],[Product (select)]], Table_Input_InorganicFertiliser_Brands[[#Headers],[Ingredient 3]], FertiliserProducts[#Data], FertiliserProducts[Product name], FertiliserProducts[#Headers])</f>
        <v>Nitrogen - Generic</v>
      </c>
      <c r="O18" s="124" cm="1">
        <f t="array" ref="O18">Fertiliser_InputFunctions.Fertiliser_FertiliserProductLookup(Table_Input_InorganicFertiliser_Brands[[#This Row],[Product (select)]], Table_Input_InorganicFertiliser_Brands[[#Headers],[Ingredient 3 percent]], FertiliserProducts[#Data], FertiliserProducts[Product name], FertiliserProducts[#Headers])</f>
        <v>2.5999999999999999E-2</v>
      </c>
      <c r="P18" s="124" t="str" cm="1">
        <f t="array" ref="P18">Fertiliser_InputFunctions.Fertiliser_FertiliserProductLookup(Table_Input_InorganicFertiliser_Brands[[#This Row],[Product (select)]], Table_Input_InorganicFertiliser_Brands[[#Headers],[Ingredient 4]], FertiliserProducts[#Data], FertiliserProducts[Product name], FertiliserProducts[#Headers])</f>
        <v/>
      </c>
      <c r="Q18" s="124" t="str" cm="1">
        <f t="array" ref="Q18">Fertiliser_InputFunctions.Fertiliser_FertiliserProductLookup(Table_Input_InorganicFertiliser_Brands[[#This Row],[Product (select)]], Table_Input_InorganicFertiliser_Brands[[#Headers],[Ingredient 4 percent]], FertiliserProducts[#Data], FertiliserProducts[Product name], FertiliserProducts[#Headers])</f>
        <v/>
      </c>
      <c r="R18" s="124" t="str" cm="1">
        <f t="array" ref="R18">Fertiliser_InputFunctions.Fertiliser_FertiliserProductLookup(Table_Input_InorganicFertiliser_Brands[[#This Row],[Product (select)]], Table_Input_InorganicFertiliser_Brands[[#Headers],[Ingredient 5]], FertiliserProducts[#Data], FertiliserProducts[Product name], FertiliserProducts[#Headers])</f>
        <v/>
      </c>
      <c r="S18" s="124" t="str" cm="1">
        <f t="array" ref="S18">Fertiliser_InputFunctions.Fertiliser_FertiliserProductLookup(Table_Input_InorganicFertiliser_Brands[[#This Row],[Product (select)]], Table_Input_InorganicFertiliser_Brands[[#Headers],[Ingredient 5 percent]], FertiliserProducts[#Data], FertiliserProducts[Product name], FertiliserProducts[#Headers])</f>
        <v/>
      </c>
      <c r="T18" s="124" t="str" cm="1">
        <f t="array" ref="T18">Fertiliser_InputFunctions.Fertiliser_FertiliserProductLookup(Table_Input_InorganicFertiliser_Brands[[#This Row],[Product (select)]], Table_Input_InorganicFertiliser_Brands[[#Headers],[Ingredient 6]], FertiliserProducts[#Data], FertiliserProducts[Product name], FertiliserProducts[#Headers])</f>
        <v/>
      </c>
      <c r="U18" s="124" t="str" cm="1">
        <f t="array" ref="U18">Fertiliser_InputFunctions.Fertiliser_FertiliserProductLookup(Table_Input_InorganicFertiliser_Brands[[#This Row],[Product (select)]], Table_Input_InorganicFertiliser_Brands[[#Headers],[Ingredient 6 percent]], FertiliserProducts[#Data], FertiliserProducts[Product name], FertiliserProducts[#Headers])</f>
        <v/>
      </c>
      <c r="V18" s="12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3.2759999999999998</v>
      </c>
      <c r="W18" s="50" t="str">
        <f>_xlfn.XLOOKUP(Table_Input_InorganicFertiliser_Brands[[#This Row],[Product (select)]],FertiliserProducts[Product name],FertiliserProducts[Urea source])</f>
        <v/>
      </c>
      <c r="X18" s="50" t="str">
        <f>_xlfn.XLOOKUP(Table_Input_InorganicFertiliser_Brands[[#This Row],[Product (select)]],FertiliserProducts[Product name],FertiliserProducts[Ammonia source])</f>
        <v/>
      </c>
    </row>
    <row r="19" spans="1:24" ht="36" customHeight="1" x14ac:dyDescent="0.25">
      <c r="A19" s="18" t="s">
        <v>2</v>
      </c>
      <c r="D19" s="122" t="s">
        <v>321</v>
      </c>
      <c r="E19" s="123">
        <v>100</v>
      </c>
      <c r="F19" s="50" t="str">
        <f>_xlfn.XLOOKUP(Table_Input_InorganicFertiliser_Brands[[#This Row],[Product (select)]],FertiliserProducts[Product name],FertiliserProducts[Unit])</f>
        <v>L</v>
      </c>
      <c r="G19" s="50">
        <f>_xlfn.XLOOKUP(Table_Input_InorganicFertiliser_Brands[[#This Row],[Product (select)]],FertiliserProducts[Product name],FertiliserProducts[Density / gravity])</f>
        <v>1.2849999999999999</v>
      </c>
      <c r="H19" s="123">
        <f>$E$9</f>
        <v>100</v>
      </c>
      <c r="I19" s="124">
        <f>(Table_Input_InorganicFertiliser_Brands[[#This Row],[Amount applied per hectare]]*Table_Input_InorganicFertiliser_Brands[[#This Row],[Density]])*Table_Input_InorganicFertiliser_Brands[[#This Row],[Application area (ha)]]</f>
        <v>12850</v>
      </c>
      <c r="J19" s="124" t="str" cm="1">
        <f t="array" ref="J19">Fertiliser_InputFunctions.Fertiliser_FertiliserProductLookup(Table_Input_InorganicFertiliser_Brands[[#This Row],[Product (select)]], Table_Input_InorganicFertiliser_Brands[[#Headers],[Ingredient 1]], FertiliserProducts[#Data], FertiliserProducts[Product name], FertiliserProducts[#Headers])</f>
        <v>Phosphorus - Generic</v>
      </c>
      <c r="K19" s="124" cm="1">
        <f t="array" ref="K19">Fertiliser_InputFunctions.Fertiliser_FertiliserProductLookup(Table_Input_InorganicFertiliser_Brands[[#This Row],[Product (select)]], Table_Input_InorganicFertiliser_Brands[[#Headers],[Ingredient 1 percent]], FertiliserProducts[#Data], FertiliserProducts[Product name], FertiliserProducts[#Headers])</f>
        <v>0.13500000000000001</v>
      </c>
      <c r="L19" s="124" t="str" cm="1">
        <f t="array" ref="L19">Fertiliser_InputFunctions.Fertiliser_FertiliserProductLookup(Table_Input_InorganicFertiliser_Brands[[#This Row],[Product (select)]], Table_Input_InorganicFertiliser_Brands[[#Headers],[Ingredient 2]], FertiliserProducts[#Data], FertiliserProducts[Product name], FertiliserProducts[#Headers])</f>
        <v>Calcium - Generic</v>
      </c>
      <c r="M19" s="124" cm="1">
        <f t="array" ref="M19">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9" s="124" t="str" cm="1">
        <f t="array" ref="N19">Fertiliser_InputFunctions.Fertiliser_FertiliserProductLookup(Table_Input_InorganicFertiliser_Brands[[#This Row],[Product (select)]], Table_Input_InorganicFertiliser_Brands[[#Headers],[Ingredient 3]], FertiliserProducts[#Data], FertiliserProducts[Product name], FertiliserProducts[#Headers])</f>
        <v/>
      </c>
      <c r="O19" s="124" t="str" cm="1">
        <f t="array" ref="O19">Fertiliser_InputFunctions.Fertiliser_FertiliserProductLookup(Table_Input_InorganicFertiliser_Brands[[#This Row],[Product (select)]], Table_Input_InorganicFertiliser_Brands[[#Headers],[Ingredient 3 percent]], FertiliserProducts[#Data], FertiliserProducts[Product name], FertiliserProducts[#Headers])</f>
        <v/>
      </c>
      <c r="P19" s="124" t="str" cm="1">
        <f t="array" ref="P19">Fertiliser_InputFunctions.Fertiliser_FertiliserProductLookup(Table_Input_InorganicFertiliser_Brands[[#This Row],[Product (select)]], Table_Input_InorganicFertiliser_Brands[[#Headers],[Ingredient 4]], FertiliserProducts[#Data], FertiliserProducts[Product name], FertiliserProducts[#Headers])</f>
        <v/>
      </c>
      <c r="Q19" s="124" t="str" cm="1">
        <f t="array" ref="Q19">Fertiliser_InputFunctions.Fertiliser_FertiliserProductLookup(Table_Input_InorganicFertiliser_Brands[[#This Row],[Product (select)]], Table_Input_InorganicFertiliser_Brands[[#Headers],[Ingredient 4 percent]], FertiliserProducts[#Data], FertiliserProducts[Product name], FertiliserProducts[#Headers])</f>
        <v/>
      </c>
      <c r="R19" s="124" t="str" cm="1">
        <f t="array" ref="R19">Fertiliser_InputFunctions.Fertiliser_FertiliserProductLookup(Table_Input_InorganicFertiliser_Brands[[#This Row],[Product (select)]], Table_Input_InorganicFertiliser_Brands[[#Headers],[Ingredient 5]], FertiliserProducts[#Data], FertiliserProducts[Product name], FertiliserProducts[#Headers])</f>
        <v/>
      </c>
      <c r="S19" s="124" t="str" cm="1">
        <f t="array" ref="S19">Fertiliser_InputFunctions.Fertiliser_FertiliserProductLookup(Table_Input_InorganicFertiliser_Brands[[#This Row],[Product (select)]], Table_Input_InorganicFertiliser_Brands[[#Headers],[Ingredient 5 percent]], FertiliserProducts[#Data], FertiliserProducts[Product name], FertiliserProducts[#Headers])</f>
        <v/>
      </c>
      <c r="T19" s="124" t="str" cm="1">
        <f t="array" ref="T19">Fertiliser_InputFunctions.Fertiliser_FertiliserProductLookup(Table_Input_InorganicFertiliser_Brands[[#This Row],[Product (select)]], Table_Input_InorganicFertiliser_Brands[[#Headers],[Ingredient 6]], FertiliserProducts[#Data], FertiliserProducts[Product name], FertiliserProducts[#Headers])</f>
        <v/>
      </c>
      <c r="U19" s="124" t="str" cm="1">
        <f t="array" ref="U19">Fertiliser_InputFunctions.Fertiliser_FertiliserProductLookup(Table_Input_InorganicFertiliser_Brands[[#This Row],[Product (select)]], Table_Input_InorganicFertiliser_Brands[[#Headers],[Ingredient 6 percent]], FertiliserProducts[#Data], FertiliserProducts[Product name], FertiliserProducts[#Headers])</f>
        <v/>
      </c>
      <c r="V19" s="12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9" s="124" t="str">
        <f>_xlfn.XLOOKUP(Table_Input_InorganicFertiliser_Brands[[#This Row],[Product (select)]],FertiliserProducts[Product name],FertiliserProducts[Urea source])</f>
        <v/>
      </c>
      <c r="X19" s="124" t="str">
        <f>_xlfn.XLOOKUP(Table_Input_InorganicFertiliser_Brands[[#This Row],[Product (select)]],FertiliserProducts[Product name],FertiliserProducts[Ammonia source])</f>
        <v/>
      </c>
    </row>
    <row r="20" spans="1:24" ht="36" customHeight="1" x14ac:dyDescent="0.25">
      <c r="A20" s="17" t="str">
        <f>HYPERLINK("#'Constants - Fertiliser'!A1", "Constants - Fertiliser")</f>
        <v>Constants - Fertiliser</v>
      </c>
      <c r="D20" s="122" t="s">
        <v>321</v>
      </c>
      <c r="E20" s="123">
        <v>100</v>
      </c>
      <c r="F20" s="50" t="str">
        <f>_xlfn.XLOOKUP(Table_Input_InorganicFertiliser_Brands[[#This Row],[Product (select)]],FertiliserProducts[Product name],FertiliserProducts[Unit])</f>
        <v>L</v>
      </c>
      <c r="G20" s="50">
        <f>_xlfn.XLOOKUP(Table_Input_InorganicFertiliser_Brands[[#This Row],[Product (select)]],FertiliserProducts[Product name],FertiliserProducts[Density / gravity])</f>
        <v>1.2849999999999999</v>
      </c>
      <c r="H20" s="123">
        <f>$E$9</f>
        <v>100</v>
      </c>
      <c r="I20" s="124">
        <f>(Table_Input_InorganicFertiliser_Brands[[#This Row],[Amount applied per hectare]]*Table_Input_InorganicFertiliser_Brands[[#This Row],[Density]])*Table_Input_InorganicFertiliser_Brands[[#This Row],[Application area (ha)]]</f>
        <v>12850</v>
      </c>
      <c r="J20" s="124" t="str" cm="1">
        <f t="array" ref="J20">Fertiliser_InputFunctions.Fertiliser_FertiliserProductLookup(Table_Input_InorganicFertiliser_Brands[[#This Row],[Product (select)]], Table_Input_InorganicFertiliser_Brands[[#Headers],[Ingredient 1]], FertiliserProducts[#Data], FertiliserProducts[Product name], FertiliserProducts[#Headers])</f>
        <v>Phosphorus - Generic</v>
      </c>
      <c r="K20" s="124" cm="1">
        <f t="array" ref="K20">Fertiliser_InputFunctions.Fertiliser_FertiliserProductLookup(Table_Input_InorganicFertiliser_Brands[[#This Row],[Product (select)]], Table_Input_InorganicFertiliser_Brands[[#Headers],[Ingredient 1 percent]], FertiliserProducts[#Data], FertiliserProducts[Product name], FertiliserProducts[#Headers])</f>
        <v>0.13500000000000001</v>
      </c>
      <c r="L20" s="124" t="str" cm="1">
        <f t="array" ref="L20">Fertiliser_InputFunctions.Fertiliser_FertiliserProductLookup(Table_Input_InorganicFertiliser_Brands[[#This Row],[Product (select)]], Table_Input_InorganicFertiliser_Brands[[#Headers],[Ingredient 2]], FertiliserProducts[#Data], FertiliserProducts[Product name], FertiliserProducts[#Headers])</f>
        <v>Calcium - Generic</v>
      </c>
      <c r="M20" s="124" cm="1">
        <f t="array" ref="M20">Fertiliser_InputFunctions.Fertiliser_FertiliserProductLookup(Table_Input_InorganicFertiliser_Brands[[#This Row],[Product (select)]], Table_Input_InorganicFertiliser_Brands[[#Headers],[Ingredient 2 percent]], FertiliserProducts[#Data], FertiliserProducts[Product name], FertiliserProducts[#Headers])</f>
        <v>0.04</v>
      </c>
      <c r="N20" s="124" t="str" cm="1">
        <f t="array" ref="N20">Fertiliser_InputFunctions.Fertiliser_FertiliserProductLookup(Table_Input_InorganicFertiliser_Brands[[#This Row],[Product (select)]], Table_Input_InorganicFertiliser_Brands[[#Headers],[Ingredient 3]], FertiliserProducts[#Data], FertiliserProducts[Product name], FertiliserProducts[#Headers])</f>
        <v/>
      </c>
      <c r="O20" s="124" t="str" cm="1">
        <f t="array" ref="O20">Fertiliser_InputFunctions.Fertiliser_FertiliserProductLookup(Table_Input_InorganicFertiliser_Brands[[#This Row],[Product (select)]], Table_Input_InorganicFertiliser_Brands[[#Headers],[Ingredient 3 percent]], FertiliserProducts[#Data], FertiliserProducts[Product name], FertiliserProducts[#Headers])</f>
        <v/>
      </c>
      <c r="P20" s="124" t="str" cm="1">
        <f t="array" ref="P20">Fertiliser_InputFunctions.Fertiliser_FertiliserProductLookup(Table_Input_InorganicFertiliser_Brands[[#This Row],[Product (select)]], Table_Input_InorganicFertiliser_Brands[[#Headers],[Ingredient 4]], FertiliserProducts[#Data], FertiliserProducts[Product name], FertiliserProducts[#Headers])</f>
        <v/>
      </c>
      <c r="Q20" s="124" t="str" cm="1">
        <f t="array" ref="Q20">Fertiliser_InputFunctions.Fertiliser_FertiliserProductLookup(Table_Input_InorganicFertiliser_Brands[[#This Row],[Product (select)]], Table_Input_InorganicFertiliser_Brands[[#Headers],[Ingredient 4 percent]], FertiliserProducts[#Data], FertiliserProducts[Product name], FertiliserProducts[#Headers])</f>
        <v/>
      </c>
      <c r="R20" s="124" t="str" cm="1">
        <f t="array" ref="R20">Fertiliser_InputFunctions.Fertiliser_FertiliserProductLookup(Table_Input_InorganicFertiliser_Brands[[#This Row],[Product (select)]], Table_Input_InorganicFertiliser_Brands[[#Headers],[Ingredient 5]], FertiliserProducts[#Data], FertiliserProducts[Product name], FertiliserProducts[#Headers])</f>
        <v/>
      </c>
      <c r="S20" s="124" t="str" cm="1">
        <f t="array" ref="S20">Fertiliser_InputFunctions.Fertiliser_FertiliserProductLookup(Table_Input_InorganicFertiliser_Brands[[#This Row],[Product (select)]], Table_Input_InorganicFertiliser_Brands[[#Headers],[Ingredient 5 percent]], FertiliserProducts[#Data], FertiliserProducts[Product name], FertiliserProducts[#Headers])</f>
        <v/>
      </c>
      <c r="T20" s="124" t="str" cm="1">
        <f t="array" ref="T20">Fertiliser_InputFunctions.Fertiliser_FertiliserProductLookup(Table_Input_InorganicFertiliser_Brands[[#This Row],[Product (select)]], Table_Input_InorganicFertiliser_Brands[[#Headers],[Ingredient 6]], FertiliserProducts[#Data], FertiliserProducts[Product name], FertiliserProducts[#Headers])</f>
        <v/>
      </c>
      <c r="U20" s="124" t="str" cm="1">
        <f t="array" ref="U20">Fertiliser_InputFunctions.Fertiliser_FertiliserProductLookup(Table_Input_InorganicFertiliser_Brands[[#This Row],[Product (select)]], Table_Input_InorganicFertiliser_Brands[[#Headers],[Ingredient 6 percent]], FertiliserProducts[#Data], FertiliserProducts[Product name], FertiliserProducts[#Headers])</f>
        <v/>
      </c>
      <c r="V20" s="12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0" s="124" t="str">
        <f>_xlfn.XLOOKUP(Table_Input_InorganicFertiliser_Brands[[#This Row],[Product (select)]],FertiliserProducts[Product name],FertiliserProducts[Urea source])</f>
        <v/>
      </c>
      <c r="X20" s="124" t="str">
        <f>_xlfn.XLOOKUP(Table_Input_InorganicFertiliser_Brands[[#This Row],[Product (select)]],FertiliserProducts[Product name],FertiliserProducts[Ammonia source])</f>
        <v/>
      </c>
    </row>
    <row r="21" spans="1:24" ht="36" customHeight="1" x14ac:dyDescent="0.25">
      <c r="A21" s="17" t="str">
        <f>HYPERLINK("#'Constants - Common'!A1", "Constants - Common")</f>
        <v>Constants - Common</v>
      </c>
      <c r="D21" s="122" t="s">
        <v>323</v>
      </c>
      <c r="E21" s="123">
        <v>100</v>
      </c>
      <c r="F21" s="50" t="str">
        <f>_xlfn.XLOOKUP(Table_Input_InorganicFertiliser_Brands[[#This Row],[Product (select)]],FertiliserProducts[Product name],FertiliserProducts[Unit])</f>
        <v>L</v>
      </c>
      <c r="G21" s="50">
        <f>_xlfn.XLOOKUP(Table_Input_InorganicFertiliser_Brands[[#This Row],[Product (select)]],FertiliserProducts[Product name],FertiliserProducts[Density / gravity])</f>
        <v>1.26</v>
      </c>
      <c r="H21" s="123">
        <f>$E$9</f>
        <v>100</v>
      </c>
      <c r="I21" s="124">
        <f>(Table_Input_InorganicFertiliser_Brands[[#This Row],[Amount applied per hectare]]*Table_Input_InorganicFertiliser_Brands[[#This Row],[Density]])*Table_Input_InorganicFertiliser_Brands[[#This Row],[Application area (ha)]]</f>
        <v>12600</v>
      </c>
      <c r="J21" s="124" t="str" cm="1">
        <f t="array" ref="J21">Fertiliser_InputFunctions.Fertiliser_FertiliserProductLookup(Table_Input_InorganicFertiliser_Brands[[#This Row],[Product (select)]], Table_Input_InorganicFertiliser_Brands[[#Headers],[Ingredient 1]], FertiliserProducts[#Data], FertiliserProducts[Product name], FertiliserProducts[#Headers])</f>
        <v>Potassium - Generic</v>
      </c>
      <c r="K21" s="124" cm="1">
        <f t="array" ref="K21">Fertiliser_InputFunctions.Fertiliser_FertiliserProductLookup(Table_Input_InorganicFertiliser_Brands[[#This Row],[Product (select)]], Table_Input_InorganicFertiliser_Brands[[#Headers],[Ingredient 1 percent]], FertiliserProducts[#Data], FertiliserProducts[Product name], FertiliserProducts[#Headers])</f>
        <v>0.105</v>
      </c>
      <c r="L21" s="124" t="str" cm="1">
        <f t="array" ref="L21">Fertiliser_InputFunctions.Fertiliser_FertiliserProductLookup(Table_Input_InorganicFertiliser_Brands[[#This Row],[Product (select)]], Table_Input_InorganicFertiliser_Brands[[#Headers],[Ingredient 2]], FertiliserProducts[#Data], FertiliserProducts[Product name], FertiliserProducts[#Headers])</f>
        <v>Nitrogen - Generic</v>
      </c>
      <c r="M21" s="124" cm="1">
        <f t="array" ref="M21">Fertiliser_InputFunctions.Fertiliser_FertiliserProductLookup(Table_Input_InorganicFertiliser_Brands[[#This Row],[Product (select)]], Table_Input_InorganicFertiliser_Brands[[#Headers],[Ingredient 2 percent]], FertiliserProducts[#Data], FertiliserProducts[Product name], FertiliserProducts[#Headers])</f>
        <v>9.6000000000000002E-2</v>
      </c>
      <c r="N21" s="124" t="str" cm="1">
        <f t="array" ref="N21">Fertiliser_InputFunctions.Fertiliser_FertiliserProductLookup(Table_Input_InorganicFertiliser_Brands[[#This Row],[Product (select)]], Table_Input_InorganicFertiliser_Brands[[#Headers],[Ingredient 3]], FertiliserProducts[#Data], FertiliserProducts[Product name], FertiliserProducts[#Headers])</f>
        <v>Phosphorus - Generic</v>
      </c>
      <c r="O21" s="124" cm="1">
        <f t="array" ref="O21">Fertiliser_InputFunctions.Fertiliser_FertiliserProductLookup(Table_Input_InorganicFertiliser_Brands[[#This Row],[Product (select)]], Table_Input_InorganicFertiliser_Brands[[#Headers],[Ingredient 3 percent]], FertiliserProducts[#Data], FertiliserProducts[Product name], FertiliserProducts[#Headers])</f>
        <v>0.05</v>
      </c>
      <c r="P21" s="124" t="str" cm="1">
        <f t="array" ref="P21">Fertiliser_InputFunctions.Fertiliser_FertiliserProductLookup(Table_Input_InorganicFertiliser_Brands[[#This Row],[Product (select)]], Table_Input_InorganicFertiliser_Brands[[#Headers],[Ingredient 4]], FertiliserProducts[#Data], FertiliserProducts[Product name], FertiliserProducts[#Headers])</f>
        <v/>
      </c>
      <c r="Q21" s="124" t="str" cm="1">
        <f t="array" ref="Q21">Fertiliser_InputFunctions.Fertiliser_FertiliserProductLookup(Table_Input_InorganicFertiliser_Brands[[#This Row],[Product (select)]], Table_Input_InorganicFertiliser_Brands[[#Headers],[Ingredient 4 percent]], FertiliserProducts[#Data], FertiliserProducts[Product name], FertiliserProducts[#Headers])</f>
        <v/>
      </c>
      <c r="R21" s="124" t="str" cm="1">
        <f t="array" ref="R21">Fertiliser_InputFunctions.Fertiliser_FertiliserProductLookup(Table_Input_InorganicFertiliser_Brands[[#This Row],[Product (select)]], Table_Input_InorganicFertiliser_Brands[[#Headers],[Ingredient 5]], FertiliserProducts[#Data], FertiliserProducts[Product name], FertiliserProducts[#Headers])</f>
        <v/>
      </c>
      <c r="S21" s="124" t="str" cm="1">
        <f t="array" ref="S21">Fertiliser_InputFunctions.Fertiliser_FertiliserProductLookup(Table_Input_InorganicFertiliser_Brands[[#This Row],[Product (select)]], Table_Input_InorganicFertiliser_Brands[[#Headers],[Ingredient 5 percent]], FertiliserProducts[#Data], FertiliserProducts[Product name], FertiliserProducts[#Headers])</f>
        <v/>
      </c>
      <c r="T21" s="124" t="str" cm="1">
        <f t="array" ref="T21">Fertiliser_InputFunctions.Fertiliser_FertiliserProductLookup(Table_Input_InorganicFertiliser_Brands[[#This Row],[Product (select)]], Table_Input_InorganicFertiliser_Brands[[#Headers],[Ingredient 6]], FertiliserProducts[#Data], FertiliserProducts[Product name], FertiliserProducts[#Headers])</f>
        <v/>
      </c>
      <c r="U21" s="124" t="str" cm="1">
        <f t="array" ref="U21">Fertiliser_InputFunctions.Fertiliser_FertiliserProductLookup(Table_Input_InorganicFertiliser_Brands[[#This Row],[Product (select)]], Table_Input_InorganicFertiliser_Brands[[#Headers],[Ingredient 6 percent]], FertiliserProducts[#Data], FertiliserProducts[Product name], FertiliserProducts[#Headers])</f>
        <v/>
      </c>
      <c r="V21" s="12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12.096</v>
      </c>
      <c r="W21" s="124" t="str">
        <f>_xlfn.XLOOKUP(Table_Input_InorganicFertiliser_Brands[[#This Row],[Product (select)]],FertiliserProducts[Product name],FertiliserProducts[Urea source])</f>
        <v/>
      </c>
      <c r="X21" s="124" t="str">
        <f>_xlfn.XLOOKUP(Table_Input_InorganicFertiliser_Brands[[#This Row],[Product (select)]],FertiliserProducts[Product name],FertiliserProducts[Ammonia source])</f>
        <v/>
      </c>
    </row>
    <row r="22" spans="1:24" ht="36" customHeight="1" x14ac:dyDescent="0.25">
      <c r="D22" s="122" t="s">
        <v>322</v>
      </c>
      <c r="E22" s="123">
        <v>100</v>
      </c>
      <c r="F22" s="50" t="str">
        <f>_xlfn.XLOOKUP(Table_Input_InorganicFertiliser_Brands[[#This Row],[Product (select)]],FertiliserProducts[Product name],FertiliserProducts[Unit])</f>
        <v>L</v>
      </c>
      <c r="G22" s="50">
        <f>_xlfn.XLOOKUP(Table_Input_InorganicFertiliser_Brands[[#This Row],[Product (select)]],FertiliserProducts[Product name],FertiliserProducts[Density / gravity])</f>
        <v>1.5</v>
      </c>
      <c r="H22" s="123">
        <f>$E$9</f>
        <v>100</v>
      </c>
      <c r="I22" s="124">
        <f>(Table_Input_InorganicFertiliser_Brands[[#This Row],[Amount applied per hectare]]*Table_Input_InorganicFertiliser_Brands[[#This Row],[Density]])*Table_Input_InorganicFertiliser_Brands[[#This Row],[Application area (ha)]]</f>
        <v>15000</v>
      </c>
      <c r="J22" s="124" t="str" cm="1">
        <f t="array" ref="J22">Fertiliser_InputFunctions.Fertiliser_FertiliserProductLookup(Table_Input_InorganicFertiliser_Brands[[#This Row],[Product (select)]], Table_Input_InorganicFertiliser_Brands[[#Headers],[Ingredient 1]], FertiliserProducts[#Data], FertiliserProducts[Product name], FertiliserProducts[#Headers])</f>
        <v>Calcium - Generic</v>
      </c>
      <c r="K22" s="124" cm="1">
        <f t="array" ref="K22">Fertiliser_InputFunctions.Fertiliser_FertiliserProductLookup(Table_Input_InorganicFertiliser_Brands[[#This Row],[Product (select)]], Table_Input_InorganicFertiliser_Brands[[#Headers],[Ingredient 1 percent]], FertiliserProducts[#Data], FertiliserProducts[Product name], FertiliserProducts[#Headers])</f>
        <v>0.16200000000000001</v>
      </c>
      <c r="L22" s="124" t="str" cm="1">
        <f t="array" ref="L22">Fertiliser_InputFunctions.Fertiliser_FertiliserProductLookup(Table_Input_InorganicFertiliser_Brands[[#This Row],[Product (select)]], Table_Input_InorganicFertiliser_Brands[[#Headers],[Ingredient 2]], FertiliserProducts[#Data], FertiliserProducts[Product name], FertiliserProducts[#Headers])</f>
        <v>Nitrogen - Nitrate</v>
      </c>
      <c r="M22" s="124" cm="1">
        <f t="array" ref="M22">Fertiliser_InputFunctions.Fertiliser_FertiliserProductLookup(Table_Input_InorganicFertiliser_Brands[[#This Row],[Product (select)]], Table_Input_InorganicFertiliser_Brands[[#Headers],[Ingredient 2 percent]], FertiliserProducts[#Data], FertiliserProducts[Product name], FertiliserProducts[#Headers])</f>
        <v>0.13200000000000001</v>
      </c>
      <c r="N22" s="124" t="str" cm="1">
        <f t="array" ref="N22">Fertiliser_InputFunctions.Fertiliser_FertiliserProductLookup(Table_Input_InorganicFertiliser_Brands[[#This Row],[Product (select)]], Table_Input_InorganicFertiliser_Brands[[#Headers],[Ingredient 3]], FertiliserProducts[#Data], FertiliserProducts[Product name], FertiliserProducts[#Headers])</f>
        <v/>
      </c>
      <c r="O22" s="124" t="str" cm="1">
        <f t="array" ref="O22">Fertiliser_InputFunctions.Fertiliser_FertiliserProductLookup(Table_Input_InorganicFertiliser_Brands[[#This Row],[Product (select)]], Table_Input_InorganicFertiliser_Brands[[#Headers],[Ingredient 3 percent]], FertiliserProducts[#Data], FertiliserProducts[Product name], FertiliserProducts[#Headers])</f>
        <v/>
      </c>
      <c r="P22" s="124" t="str" cm="1">
        <f t="array" ref="P22">Fertiliser_InputFunctions.Fertiliser_FertiliserProductLookup(Table_Input_InorganicFertiliser_Brands[[#This Row],[Product (select)]], Table_Input_InorganicFertiliser_Brands[[#Headers],[Ingredient 4]], FertiliserProducts[#Data], FertiliserProducts[Product name], FertiliserProducts[#Headers])</f>
        <v/>
      </c>
      <c r="Q22" s="124" t="str" cm="1">
        <f t="array" ref="Q22">Fertiliser_InputFunctions.Fertiliser_FertiliserProductLookup(Table_Input_InorganicFertiliser_Brands[[#This Row],[Product (select)]], Table_Input_InorganicFertiliser_Brands[[#Headers],[Ingredient 4 percent]], FertiliserProducts[#Data], FertiliserProducts[Product name], FertiliserProducts[#Headers])</f>
        <v/>
      </c>
      <c r="R22" s="124" t="str" cm="1">
        <f t="array" ref="R22">Fertiliser_InputFunctions.Fertiliser_FertiliserProductLookup(Table_Input_InorganicFertiliser_Brands[[#This Row],[Product (select)]], Table_Input_InorganicFertiliser_Brands[[#Headers],[Ingredient 5]], FertiliserProducts[#Data], FertiliserProducts[Product name], FertiliserProducts[#Headers])</f>
        <v/>
      </c>
      <c r="S22" s="124" t="str" cm="1">
        <f t="array" ref="S22">Fertiliser_InputFunctions.Fertiliser_FertiliserProductLookup(Table_Input_InorganicFertiliser_Brands[[#This Row],[Product (select)]], Table_Input_InorganicFertiliser_Brands[[#Headers],[Ingredient 5 percent]], FertiliserProducts[#Data], FertiliserProducts[Product name], FertiliserProducts[#Headers])</f>
        <v/>
      </c>
      <c r="T22" s="124" t="str" cm="1">
        <f t="array" ref="T22">Fertiliser_InputFunctions.Fertiliser_FertiliserProductLookup(Table_Input_InorganicFertiliser_Brands[[#This Row],[Product (select)]], Table_Input_InorganicFertiliser_Brands[[#Headers],[Ingredient 6]], FertiliserProducts[#Data], FertiliserProducts[Product name], FertiliserProducts[#Headers])</f>
        <v/>
      </c>
      <c r="U22" s="124" t="str" cm="1">
        <f t="array" ref="U22">Fertiliser_InputFunctions.Fertiliser_FertiliserProductLookup(Table_Input_InorganicFertiliser_Brands[[#This Row],[Product (select)]], Table_Input_InorganicFertiliser_Brands[[#Headers],[Ingredient 6 percent]], FertiliserProducts[#Data], FertiliserProducts[Product name], FertiliserProducts[#Headers])</f>
        <v/>
      </c>
      <c r="V22" s="12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19.8</v>
      </c>
      <c r="W22" s="124" t="str">
        <f>_xlfn.XLOOKUP(Table_Input_InorganicFertiliser_Brands[[#This Row],[Product (select)]],FertiliserProducts[Product name],FertiliserProducts[Urea source])</f>
        <v/>
      </c>
      <c r="X22" s="124" t="str">
        <f>_xlfn.XLOOKUP(Table_Input_InorganicFertiliser_Brands[[#This Row],[Product (select)]],FertiliserProducts[Product name],FertiliserProducts[Ammonia source])</f>
        <v/>
      </c>
    </row>
    <row r="23" spans="1:24" ht="36" customHeight="1" x14ac:dyDescent="0.25">
      <c r="A23" s="17"/>
      <c r="D23" s="125"/>
      <c r="E23" s="126"/>
      <c r="F23" s="127"/>
      <c r="G23" s="127"/>
      <c r="H23" s="127"/>
      <c r="I23" s="127"/>
      <c r="J23" s="128"/>
      <c r="K23" s="128"/>
      <c r="L23" s="129"/>
      <c r="M23" s="129"/>
      <c r="N23" s="130"/>
      <c r="O23" s="130"/>
      <c r="P23" s="130"/>
      <c r="Q23" s="130"/>
      <c r="R23" s="130"/>
      <c r="S23" s="130"/>
      <c r="T23" s="130"/>
      <c r="U23" s="130"/>
      <c r="V23" s="130"/>
      <c r="W23" s="130"/>
      <c r="X23" s="130"/>
    </row>
    <row r="24" spans="1:24" ht="36" customHeight="1" x14ac:dyDescent="0.25">
      <c r="D24" s="131" t="s">
        <v>153</v>
      </c>
      <c r="E24" s="132"/>
      <c r="F24" s="132"/>
      <c r="G24" s="132"/>
      <c r="H24" s="132"/>
      <c r="I24" s="132"/>
      <c r="J24" s="132"/>
      <c r="K24" s="132"/>
      <c r="L24" s="132"/>
      <c r="M24" s="132"/>
      <c r="N24" s="130"/>
      <c r="O24" s="130"/>
      <c r="P24" s="130"/>
      <c r="Q24" s="130"/>
      <c r="R24" s="130"/>
      <c r="S24" s="130"/>
      <c r="T24" s="130"/>
      <c r="V24" s="130"/>
      <c r="W24" s="130"/>
      <c r="X24" s="130"/>
    </row>
    <row r="25" spans="1:24" ht="36" customHeight="1" x14ac:dyDescent="0.25">
      <c r="D25" s="117" t="s">
        <v>154</v>
      </c>
      <c r="E25" s="117" t="s">
        <v>159</v>
      </c>
      <c r="F25" s="117" t="s">
        <v>151</v>
      </c>
      <c r="G25" s="117" t="s">
        <v>152</v>
      </c>
      <c r="H25" s="117" t="s">
        <v>155</v>
      </c>
      <c r="I25" s="117" t="s">
        <v>116</v>
      </c>
      <c r="J25" s="117" t="s">
        <v>117</v>
      </c>
      <c r="K25" s="117" t="s">
        <v>118</v>
      </c>
      <c r="L25" s="117" t="s">
        <v>119</v>
      </c>
      <c r="M25" s="117" t="s">
        <v>120</v>
      </c>
      <c r="N25" s="117" t="s">
        <v>121</v>
      </c>
      <c r="O25" s="117" t="s">
        <v>122</v>
      </c>
      <c r="P25" s="117" t="s">
        <v>165</v>
      </c>
      <c r="Q25" s="178" t="s">
        <v>313</v>
      </c>
      <c r="R25" s="178" t="s">
        <v>314</v>
      </c>
      <c r="S25" s="130"/>
      <c r="T25" s="130"/>
      <c r="V25" s="130"/>
      <c r="W25" s="130"/>
      <c r="X25" s="130"/>
    </row>
    <row r="26" spans="1:24" ht="36" customHeight="1" x14ac:dyDescent="0.25">
      <c r="D26" s="33" t="s">
        <v>156</v>
      </c>
      <c r="E26" s="117">
        <v>100</v>
      </c>
      <c r="F26" s="123">
        <f>$E$9</f>
        <v>100</v>
      </c>
      <c r="G26" s="124">
        <f>Table_Input_InorganicFertiliser_Custom[[#This Row],[Amount applied (kg / ha)]]*Table_Input_InorganicFertiliser_Custom[[#This Row],[Application area (ha)]]</f>
        <v>10000</v>
      </c>
      <c r="H26" s="134" t="s">
        <v>315</v>
      </c>
      <c r="I26" s="137">
        <v>0.5</v>
      </c>
      <c r="J26" s="134" t="s">
        <v>316</v>
      </c>
      <c r="K26" s="137">
        <v>0.2</v>
      </c>
      <c r="L26" s="134" t="s">
        <v>157</v>
      </c>
      <c r="M26" s="137">
        <v>0.2</v>
      </c>
      <c r="N26" s="135" t="s">
        <v>158</v>
      </c>
      <c r="O26" s="168">
        <v>0.1</v>
      </c>
      <c r="P26" s="12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7.75</v>
      </c>
      <c r="Q26" s="39"/>
      <c r="R26" s="39"/>
      <c r="T26" s="51"/>
    </row>
    <row r="27" spans="1:24" ht="20.100000000000001" customHeight="1" x14ac:dyDescent="0.25">
      <c r="D27" s="33" t="s">
        <v>318</v>
      </c>
      <c r="E27" s="117">
        <v>100</v>
      </c>
      <c r="F27" s="180">
        <f>$E$9</f>
        <v>100</v>
      </c>
      <c r="G27" s="124">
        <f>Table_Input_InorganicFertiliser_Custom[[#This Row],[Amount applied (kg / ha)]]*Table_Input_InorganicFertiliser_Custom[[#This Row],[Application area (ha)]]</f>
        <v>10000</v>
      </c>
      <c r="H27" s="134" t="s">
        <v>319</v>
      </c>
      <c r="I27" s="169">
        <v>1</v>
      </c>
      <c r="J27" s="134"/>
      <c r="K27" s="169"/>
      <c r="L27" s="134"/>
      <c r="M27" s="169"/>
      <c r="N27" s="135"/>
      <c r="O27" s="168"/>
      <c r="P27" s="12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46</v>
      </c>
      <c r="Q27" s="39"/>
      <c r="R27" s="39"/>
      <c r="W27" s="51"/>
    </row>
    <row r="28" spans="1:24" ht="20.100000000000001" customHeight="1" x14ac:dyDescent="0.25">
      <c r="D28" s="33" t="s">
        <v>325</v>
      </c>
      <c r="E28" s="117">
        <v>100</v>
      </c>
      <c r="F28" s="180">
        <f>$E$9</f>
        <v>100</v>
      </c>
      <c r="G28" s="124">
        <f>Table_Input_InorganicFertiliser_Custom[[#This Row],[Amount applied (kg / ha)]]*Table_Input_InorganicFertiliser_Custom[[#This Row],[Application area (ha)]]</f>
        <v>10000</v>
      </c>
      <c r="H28" s="134" t="s">
        <v>326</v>
      </c>
      <c r="I28" s="169">
        <v>0.5</v>
      </c>
      <c r="J28" s="134"/>
      <c r="K28" s="169"/>
      <c r="L28" s="134"/>
      <c r="M28" s="169"/>
      <c r="N28" s="135"/>
      <c r="O28" s="168"/>
      <c r="P28" s="12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41.174999999999997</v>
      </c>
      <c r="Q28" s="39"/>
      <c r="R28" s="39"/>
    </row>
    <row r="29" spans="1:24" ht="20.100000000000001" customHeight="1" x14ac:dyDescent="0.25">
      <c r="A29" s="17"/>
      <c r="V29" s="51"/>
    </row>
    <row r="30" spans="1:24" ht="20.100000000000001" customHeight="1" x14ac:dyDescent="0.25">
      <c r="A30" s="17"/>
      <c r="D30" s="6" t="s">
        <v>317</v>
      </c>
      <c r="E30" s="3"/>
      <c r="F30" s="3"/>
      <c r="G30" s="3"/>
      <c r="H30" s="3"/>
      <c r="I30" s="3"/>
      <c r="J30" s="3"/>
      <c r="K30" s="22"/>
      <c r="L30" s="22"/>
      <c r="M30" s="22"/>
    </row>
    <row r="31" spans="1:24" ht="20.100000000000001" customHeight="1" x14ac:dyDescent="0.25">
      <c r="A31" s="61"/>
      <c r="D31" s="22"/>
      <c r="E31" s="22"/>
      <c r="F31" s="22"/>
      <c r="G31" s="22"/>
      <c r="H31" s="22"/>
      <c r="I31" s="22"/>
      <c r="J31" s="22"/>
      <c r="K31" s="22"/>
      <c r="L31" s="22"/>
      <c r="M31" s="3"/>
    </row>
    <row r="32" spans="1:24" ht="30" customHeight="1" x14ac:dyDescent="0.25">
      <c r="A32" s="61"/>
      <c r="D32" s="106" t="s">
        <v>187</v>
      </c>
      <c r="E32" s="85"/>
      <c r="F32" s="81"/>
      <c r="G32" s="106"/>
      <c r="H32" s="81"/>
      <c r="I32" s="3"/>
      <c r="J32" s="3"/>
      <c r="K32" s="22"/>
      <c r="L32" s="22"/>
      <c r="M32" s="22"/>
    </row>
    <row r="33" spans="1:25" ht="36" customHeight="1" x14ac:dyDescent="0.25">
      <c r="A33" s="17"/>
      <c r="D33" s="161" t="s">
        <v>188</v>
      </c>
      <c r="E33" s="162"/>
      <c r="F33" s="163"/>
      <c r="G33" s="161"/>
      <c r="H33" s="163"/>
      <c r="I33" s="22"/>
      <c r="J33" s="22"/>
      <c r="K33" s="22"/>
      <c r="L33" s="22"/>
      <c r="M33" s="3"/>
    </row>
    <row r="34" spans="1:25" ht="36" customHeight="1" x14ac:dyDescent="0.25">
      <c r="D34" s="87" t="s">
        <v>148</v>
      </c>
      <c r="E34" s="84"/>
      <c r="F34" s="84"/>
      <c r="G34" s="84"/>
      <c r="H34" s="82"/>
      <c r="I34" s="22"/>
      <c r="J34" s="22"/>
      <c r="K34" s="22"/>
      <c r="L34" s="22"/>
      <c r="M34" s="3"/>
    </row>
    <row r="35" spans="1:25" ht="36" customHeight="1" x14ac:dyDescent="0.25">
      <c r="D35" s="99" t="str">
        <f>IF(MAX(Table_Input_Lime[Total]) &gt; 1, "There can not be more than 100% ingredients in a product. Check the table below.", "")</f>
        <v/>
      </c>
    </row>
    <row r="36" spans="1:25" ht="36" customHeight="1" x14ac:dyDescent="0.25">
      <c r="D36" s="140" t="s">
        <v>114</v>
      </c>
      <c r="E36" s="140" t="s">
        <v>189</v>
      </c>
      <c r="F36" s="140" t="s">
        <v>151</v>
      </c>
      <c r="G36" s="140" t="s">
        <v>190</v>
      </c>
      <c r="H36" s="140" t="s">
        <v>191</v>
      </c>
      <c r="I36" s="140" t="s">
        <v>192</v>
      </c>
      <c r="J36" s="140" t="s">
        <v>193</v>
      </c>
      <c r="K36" s="140" t="s">
        <v>88</v>
      </c>
    </row>
    <row r="37" spans="1:25" ht="20.100000000000001" customHeight="1" x14ac:dyDescent="0.25">
      <c r="D37" s="141" t="s">
        <v>264</v>
      </c>
      <c r="E37" s="123">
        <v>1</v>
      </c>
      <c r="F37" s="123">
        <f>$E$9</f>
        <v>100</v>
      </c>
      <c r="G37" s="124">
        <f>IFERROR(Table_Input_Lime[[#This Row],[Amount applied (t/hectare)]]*Table_Input_Lime[[#This Row],[Application area (ha)]], 0)</f>
        <v>100</v>
      </c>
      <c r="H37" s="142">
        <v>0.8</v>
      </c>
      <c r="I37" s="142">
        <v>0.1</v>
      </c>
      <c r="J37" s="142">
        <v>0.1</v>
      </c>
      <c r="K37" s="164">
        <f>SUM(Table_Input_Lime[[#This Row],[Percent Lime CaCO3]:[Percent Gypsum]])</f>
        <v>1</v>
      </c>
    </row>
    <row r="38" spans="1:25" ht="20.100000000000001" customHeight="1" x14ac:dyDescent="0.25">
      <c r="C38" s="130"/>
      <c r="D38" s="141" t="s">
        <v>265</v>
      </c>
      <c r="E38" s="123">
        <v>1</v>
      </c>
      <c r="F38" s="123">
        <f>$E$9</f>
        <v>100</v>
      </c>
      <c r="G38" s="124">
        <f>IFERROR(Table_Input_Lime[[#This Row],[Amount applied (t/hectare)]]*Table_Input_Lime[[#This Row],[Application area (ha)]], 0)</f>
        <v>100</v>
      </c>
      <c r="H38" s="142">
        <v>1</v>
      </c>
      <c r="I38" s="142"/>
      <c r="J38" s="142"/>
      <c r="K38" s="164">
        <f>SUM(Table_Input_Lime[[#This Row],[Percent Lime CaCO3]:[Percent Gypsum]])</f>
        <v>1</v>
      </c>
      <c r="L38" s="3"/>
    </row>
    <row r="39" spans="1:25" ht="20.100000000000001" customHeight="1" x14ac:dyDescent="0.25">
      <c r="A39" s="17"/>
      <c r="C39" s="130"/>
      <c r="D39" s="141" t="s">
        <v>327</v>
      </c>
      <c r="E39" s="123">
        <v>1</v>
      </c>
      <c r="F39" s="123">
        <f>$E$9</f>
        <v>100</v>
      </c>
      <c r="G39" s="124">
        <f>IFERROR(Table_Input_Lime[[#This Row],[Amount applied (t/hectare)]]*Table_Input_Lime[[#This Row],[Application area (ha)]], 0)</f>
        <v>100</v>
      </c>
      <c r="H39" s="142">
        <v>0</v>
      </c>
      <c r="I39" s="142"/>
      <c r="J39" s="142">
        <v>1</v>
      </c>
      <c r="K39" s="164">
        <f>SUM(Table_Input_Lime[[#This Row],[Percent Lime CaCO3]:[Percent Gypsum]])</f>
        <v>1</v>
      </c>
      <c r="L39" s="3"/>
      <c r="M39" s="3"/>
    </row>
    <row r="40" spans="1:25" s="133" customFormat="1" ht="20.100000000000001" customHeight="1" x14ac:dyDescent="0.25">
      <c r="C40" s="1"/>
      <c r="D40" s="22"/>
      <c r="E40" s="22"/>
      <c r="F40" s="22"/>
      <c r="G40" s="22"/>
      <c r="H40" s="22"/>
      <c r="I40" s="22"/>
      <c r="J40" s="22"/>
      <c r="K40" s="1"/>
      <c r="L40" s="22"/>
      <c r="M40" s="3"/>
      <c r="N40" s="1"/>
      <c r="O40" s="1"/>
      <c r="P40" s="1"/>
      <c r="Q40" s="1"/>
      <c r="R40" s="1"/>
      <c r="S40" s="1"/>
      <c r="T40" s="1"/>
      <c r="U40" s="1"/>
      <c r="V40" s="1"/>
      <c r="W40" s="1"/>
      <c r="X40" s="1"/>
      <c r="Y40" s="1"/>
    </row>
    <row r="41" spans="1:25" s="133" customFormat="1" ht="20.100000000000001" customHeight="1" x14ac:dyDescent="0.25">
      <c r="A41" s="143"/>
      <c r="C41" s="1"/>
      <c r="D41" s="22"/>
      <c r="E41" s="22"/>
      <c r="F41" s="22"/>
      <c r="G41" s="22"/>
      <c r="H41" s="22"/>
      <c r="I41" s="22"/>
      <c r="J41" s="139"/>
      <c r="K41" s="3"/>
      <c r="L41" s="22"/>
      <c r="M41" s="22"/>
      <c r="N41" s="1"/>
      <c r="O41" s="1"/>
      <c r="P41" s="1"/>
      <c r="Q41" s="1"/>
      <c r="R41" s="1"/>
      <c r="S41" s="1"/>
      <c r="T41" s="1"/>
      <c r="U41" s="1"/>
      <c r="V41" s="1"/>
      <c r="W41" s="1"/>
      <c r="X41" s="1"/>
      <c r="Y41" s="1"/>
    </row>
    <row r="42" spans="1:25" ht="30" customHeight="1" x14ac:dyDescent="0.25">
      <c r="D42" s="6" t="s">
        <v>194</v>
      </c>
      <c r="E42" s="3"/>
      <c r="F42" s="3"/>
      <c r="G42" s="3"/>
      <c r="H42" s="22"/>
      <c r="I42" s="22"/>
      <c r="J42" s="22"/>
      <c r="K42" s="22"/>
      <c r="L42" s="22"/>
      <c r="M42" s="22"/>
      <c r="S42" s="130"/>
    </row>
    <row r="43" spans="1:25" ht="36" customHeight="1" x14ac:dyDescent="0.25">
      <c r="D43" s="22"/>
      <c r="E43" s="22"/>
      <c r="F43" s="22"/>
      <c r="G43" s="22"/>
      <c r="H43" s="22"/>
      <c r="I43" s="22"/>
      <c r="J43" s="22"/>
      <c r="K43" s="22"/>
      <c r="L43" s="22"/>
      <c r="M43" s="22"/>
      <c r="Q43" s="130"/>
      <c r="R43" s="130"/>
      <c r="S43" s="130"/>
    </row>
    <row r="44" spans="1:25" ht="36" customHeight="1" x14ac:dyDescent="0.25">
      <c r="A44" s="157" t="str">
        <f>HYPERLINK("#A1", "▲ Back to top")</f>
        <v>▲ Back to top</v>
      </c>
      <c r="D44" s="106" t="s">
        <v>187</v>
      </c>
      <c r="E44" s="85"/>
      <c r="F44" s="85"/>
      <c r="G44" s="85"/>
      <c r="H44" s="81"/>
      <c r="I44" s="22"/>
      <c r="J44" s="22"/>
      <c r="K44" s="22"/>
      <c r="L44" s="22"/>
      <c r="M44" s="22"/>
      <c r="O44" s="130"/>
      <c r="P44" s="130"/>
      <c r="Q44" s="130"/>
      <c r="R44" s="130"/>
    </row>
    <row r="45" spans="1:25" ht="36" customHeight="1" x14ac:dyDescent="0.25">
      <c r="D45" s="87" t="s">
        <v>148</v>
      </c>
      <c r="E45" s="84"/>
      <c r="F45" s="84"/>
      <c r="G45" s="84"/>
      <c r="H45" s="82"/>
      <c r="I45" s="22"/>
      <c r="J45" s="22"/>
      <c r="K45" s="22"/>
      <c r="L45" s="132"/>
      <c r="M45" s="130"/>
      <c r="N45" s="130"/>
      <c r="O45" s="130"/>
      <c r="P45" s="130"/>
    </row>
    <row r="46" spans="1:25" ht="36" customHeight="1" x14ac:dyDescent="0.25">
      <c r="D46" s="22"/>
      <c r="E46" s="22"/>
      <c r="F46" s="22"/>
      <c r="G46" s="22"/>
      <c r="H46" s="22"/>
      <c r="I46" s="22"/>
      <c r="J46" s="22"/>
      <c r="K46" s="22"/>
      <c r="L46" s="132"/>
      <c r="M46" s="130"/>
      <c r="N46" s="130"/>
    </row>
    <row r="47" spans="1:25" ht="20.100000000000001" customHeight="1" x14ac:dyDescent="0.25">
      <c r="D47" s="140" t="s">
        <v>195</v>
      </c>
      <c r="E47" s="140" t="s">
        <v>196</v>
      </c>
      <c r="F47" s="140" t="s">
        <v>197</v>
      </c>
      <c r="G47" s="140" t="s">
        <v>198</v>
      </c>
      <c r="H47" s="140" t="s">
        <v>151</v>
      </c>
      <c r="I47" s="140" t="s">
        <v>199</v>
      </c>
      <c r="J47" s="140" t="s">
        <v>200</v>
      </c>
      <c r="K47" s="132"/>
    </row>
    <row r="48" spans="1:25" ht="20.100000000000001" customHeight="1" x14ac:dyDescent="0.25">
      <c r="D48" s="122" t="s">
        <v>241</v>
      </c>
      <c r="E48" s="142">
        <v>0.3</v>
      </c>
      <c r="F48" s="123">
        <v>10</v>
      </c>
      <c r="G48" s="124">
        <f>Table_Input_OrganicFertiliser[[#This Row],[Amount applied (kg/hectare)]]*Table_Input_OrganicFertiliser[[#This Row],[Percentage of N in fertiliser]]</f>
        <v>3</v>
      </c>
      <c r="H48" s="123">
        <f>$E$9</f>
        <v>100</v>
      </c>
      <c r="I48" s="124">
        <f>Table_Input_OrganicFertiliser[[#This Row],[Amount applied (kg/hectare)]]*Table_Input_OrganicFertiliser[[#This Row],[Application area (ha)]]</f>
        <v>1000</v>
      </c>
      <c r="J48" s="124">
        <f>IFERROR(Table_Input_OrganicFertiliser[[#This Row],[Amount N applied (kg/hectare)]]*Table_Input_OrganicFertiliser[[#This Row],[Application area (ha)]], 0)</f>
        <v>300</v>
      </c>
      <c r="K48" s="132"/>
    </row>
    <row r="49" spans="4:10" ht="20.100000000000001" customHeight="1" x14ac:dyDescent="0.25">
      <c r="D49" s="122" t="s">
        <v>239</v>
      </c>
      <c r="E49" s="142">
        <v>0.25</v>
      </c>
      <c r="F49" s="123">
        <v>10</v>
      </c>
      <c r="G49" s="124">
        <f>Table_Input_OrganicFertiliser[[#This Row],[Amount applied (kg/hectare)]]*Table_Input_OrganicFertiliser[[#This Row],[Percentage of N in fertiliser]]</f>
        <v>2.5</v>
      </c>
      <c r="H49" s="123">
        <f>$E$9</f>
        <v>100</v>
      </c>
      <c r="I49" s="124">
        <f>Table_Input_OrganicFertiliser[[#This Row],[Amount applied (kg/hectare)]]*Table_Input_OrganicFertiliser[[#This Row],[Application area (ha)]]</f>
        <v>1000</v>
      </c>
      <c r="J49" s="124">
        <f>IFERROR(Table_Input_OrganicFertiliser[[#This Row],[Amount N applied (kg/hectare)]]*Table_Input_OrganicFertiliser[[#This Row],[Application area (ha)]], 0)</f>
        <v>250</v>
      </c>
    </row>
    <row r="50" spans="4:10" ht="20.100000000000001" customHeight="1" x14ac:dyDescent="0.25">
      <c r="D50" s="122" t="s">
        <v>242</v>
      </c>
      <c r="E50" s="142">
        <v>0.16</v>
      </c>
      <c r="F50" s="123">
        <v>10</v>
      </c>
      <c r="G50" s="124">
        <f>Table_Input_OrganicFertiliser[[#This Row],[Amount applied (kg/hectare)]]*Table_Input_OrganicFertiliser[[#This Row],[Percentage of N in fertiliser]]</f>
        <v>1.6</v>
      </c>
      <c r="H50" s="123">
        <f>$E$9</f>
        <v>100</v>
      </c>
      <c r="I50" s="124">
        <f>Table_Input_OrganicFertiliser[[#This Row],[Amount applied (kg/hectare)]]*Table_Input_OrganicFertiliser[[#This Row],[Application area (ha)]]</f>
        <v>1000</v>
      </c>
      <c r="J50" s="124">
        <f>IFERROR(Table_Input_OrganicFertiliser[[#This Row],[Amount N applied (kg/hectare)]]*Table_Input_OrganicFertiliser[[#This Row],[Application area (ha)]], 0)</f>
        <v>160</v>
      </c>
    </row>
    <row r="51" spans="4:10" ht="20.100000000000001" customHeight="1" x14ac:dyDescent="0.25"/>
    <row r="52" spans="4:10" ht="20.100000000000001" customHeight="1" x14ac:dyDescent="0.25"/>
    <row r="53" spans="4:10" ht="20.100000000000001" customHeight="1" x14ac:dyDescent="0.25"/>
    <row r="54" spans="4:10" ht="20.100000000000001" customHeight="1" x14ac:dyDescent="0.25"/>
    <row r="55" spans="4:10" ht="20.100000000000001" customHeight="1" x14ac:dyDescent="0.25"/>
    <row r="56" spans="4:10" ht="20.100000000000001" customHeight="1" x14ac:dyDescent="0.25"/>
    <row r="57" spans="4:10" ht="20.100000000000001" customHeight="1" x14ac:dyDescent="0.25"/>
    <row r="58" spans="4:10" ht="20.100000000000001" customHeight="1" x14ac:dyDescent="0.25"/>
    <row r="59" spans="4:10" ht="20.100000000000001" customHeight="1" x14ac:dyDescent="0.25"/>
    <row r="60" spans="4:10" ht="20.100000000000001" customHeight="1" x14ac:dyDescent="0.25"/>
    <row r="61" spans="4:10" ht="20.100000000000001" customHeight="1" x14ac:dyDescent="0.25"/>
    <row r="62" spans="4:10" ht="20.100000000000001" customHeight="1" x14ac:dyDescent="0.25"/>
    <row r="63" spans="4:10" ht="20.100000000000001" customHeight="1" x14ac:dyDescent="0.25"/>
    <row r="64" spans="4:10"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spans="13:13" ht="20.100000000000001" customHeight="1" x14ac:dyDescent="0.25"/>
    <row r="114" spans="13:13" ht="20.100000000000001" customHeight="1" x14ac:dyDescent="0.25">
      <c r="M114" s="3"/>
    </row>
    <row r="115" spans="13:13" ht="20.100000000000001" customHeight="1" x14ac:dyDescent="0.25">
      <c r="M115" s="3"/>
    </row>
    <row r="116" spans="13:13" ht="20.100000000000001" customHeight="1" x14ac:dyDescent="0.25">
      <c r="M116" s="3"/>
    </row>
    <row r="117" spans="13:13" ht="20.100000000000001" customHeight="1" x14ac:dyDescent="0.25">
      <c r="M117" s="3"/>
    </row>
    <row r="118" spans="13:13" ht="20.100000000000001" customHeight="1" x14ac:dyDescent="0.25">
      <c r="M118" s="3"/>
    </row>
    <row r="119" spans="13:13" ht="20.100000000000001" customHeight="1" x14ac:dyDescent="0.25">
      <c r="M119" s="3"/>
    </row>
    <row r="120" spans="13:13" ht="20.100000000000001" customHeight="1" x14ac:dyDescent="0.25">
      <c r="M120" s="3"/>
    </row>
    <row r="121" spans="13:13" ht="20.100000000000001" customHeight="1" x14ac:dyDescent="0.25">
      <c r="M121" s="3"/>
    </row>
    <row r="122" spans="13:13" ht="20.100000000000001" customHeight="1" x14ac:dyDescent="0.25">
      <c r="M122" s="3"/>
    </row>
    <row r="123" spans="13:13" ht="20.100000000000001" customHeight="1" x14ac:dyDescent="0.25">
      <c r="M123" s="3"/>
    </row>
    <row r="124" spans="13:13" ht="20.100000000000001" customHeight="1" x14ac:dyDescent="0.25">
      <c r="M124" s="3"/>
    </row>
    <row r="125" spans="13:13" ht="20.100000000000001" customHeight="1" x14ac:dyDescent="0.25">
      <c r="M125" s="3"/>
    </row>
    <row r="126" spans="13:13" ht="20.100000000000001" customHeight="1" x14ac:dyDescent="0.25">
      <c r="M126" s="3"/>
    </row>
    <row r="127" spans="13:13" ht="20.100000000000001" customHeight="1" x14ac:dyDescent="0.25">
      <c r="M127" s="3"/>
    </row>
    <row r="128" spans="13:13" ht="20.100000000000001" customHeight="1" x14ac:dyDescent="0.25">
      <c r="M128" s="3"/>
    </row>
    <row r="129" spans="13:13" ht="20.100000000000001" customHeight="1" x14ac:dyDescent="0.25">
      <c r="M129" s="3"/>
    </row>
    <row r="130" spans="13:13" ht="20.100000000000001" customHeight="1" x14ac:dyDescent="0.25">
      <c r="M130" s="3"/>
    </row>
    <row r="131" spans="13:13" ht="20.100000000000001" customHeight="1" x14ac:dyDescent="0.25">
      <c r="M131" s="3"/>
    </row>
    <row r="132" spans="13:13" ht="20.100000000000001" customHeight="1" x14ac:dyDescent="0.25">
      <c r="M132" s="3"/>
    </row>
    <row r="133" spans="13:13" ht="20.100000000000001" customHeight="1" x14ac:dyDescent="0.25">
      <c r="M133" s="3"/>
    </row>
    <row r="134" spans="13:13" ht="20.100000000000001" customHeight="1" x14ac:dyDescent="0.25">
      <c r="M134" s="3"/>
    </row>
    <row r="135" spans="13:13" ht="20.100000000000001" customHeight="1" x14ac:dyDescent="0.25">
      <c r="M135" s="3"/>
    </row>
    <row r="136" spans="13:13" ht="20.100000000000001" customHeight="1" x14ac:dyDescent="0.25"/>
    <row r="137" spans="13:13" ht="20.100000000000001" customHeight="1" x14ac:dyDescent="0.25"/>
    <row r="138" spans="13:13" ht="20.100000000000001" customHeight="1" x14ac:dyDescent="0.25"/>
    <row r="139" spans="13:13" ht="20.100000000000001" customHeight="1" x14ac:dyDescent="0.25"/>
    <row r="140" spans="13:13" ht="20.100000000000001" customHeight="1" x14ac:dyDescent="0.25"/>
    <row r="141" spans="13:13" ht="20.100000000000001" customHeight="1" x14ac:dyDescent="0.25"/>
    <row r="142" spans="13:13" ht="20.100000000000001" customHeight="1" x14ac:dyDescent="0.25"/>
    <row r="143" spans="13:13" ht="20.100000000000001" customHeight="1" x14ac:dyDescent="0.25"/>
    <row r="144" spans="13:13"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12" spans="12:12" x14ac:dyDescent="0.25">
      <c r="L212" s="2"/>
    </row>
    <row r="213" spans="12:12" x14ac:dyDescent="0.25">
      <c r="L213" s="2"/>
    </row>
    <row r="214" spans="12:12" x14ac:dyDescent="0.25">
      <c r="L214" s="2"/>
    </row>
    <row r="215" spans="12:12" x14ac:dyDescent="0.25">
      <c r="L215" s="2"/>
    </row>
    <row r="216" spans="12:12" x14ac:dyDescent="0.25">
      <c r="L216" s="2"/>
    </row>
    <row r="218" spans="12:12" x14ac:dyDescent="0.25">
      <c r="L218" s="2"/>
    </row>
    <row r="220" spans="12:12" x14ac:dyDescent="0.25">
      <c r="L220" s="2"/>
    </row>
    <row r="221" spans="12:12" x14ac:dyDescent="0.25">
      <c r="L221" s="2"/>
    </row>
    <row r="222" spans="12:12" x14ac:dyDescent="0.25">
      <c r="L222" s="2"/>
    </row>
    <row r="223" spans="12:12" x14ac:dyDescent="0.25">
      <c r="L223" s="2"/>
    </row>
    <row r="225" spans="12:12" x14ac:dyDescent="0.25">
      <c r="L225" s="2"/>
    </row>
    <row r="233" spans="12:12" x14ac:dyDescent="0.25">
      <c r="L233" s="2"/>
    </row>
    <row r="234" spans="12:12" x14ac:dyDescent="0.25">
      <c r="L234" s="2"/>
    </row>
    <row r="235" spans="12:12" x14ac:dyDescent="0.25">
      <c r="L235" s="2"/>
    </row>
    <row r="238" spans="12:12" x14ac:dyDescent="0.25">
      <c r="L238" s="2"/>
    </row>
    <row r="239" spans="12:12" x14ac:dyDescent="0.25">
      <c r="L239" s="2"/>
    </row>
    <row r="240" spans="12:12" x14ac:dyDescent="0.25">
      <c r="L240" s="2"/>
    </row>
    <row r="243" spans="11:12" x14ac:dyDescent="0.25">
      <c r="L243" s="2"/>
    </row>
    <row r="244" spans="11:12" x14ac:dyDescent="0.25">
      <c r="L244" s="2"/>
    </row>
    <row r="245" spans="11:12" x14ac:dyDescent="0.25">
      <c r="L245" s="2"/>
    </row>
    <row r="248" spans="11:12" x14ac:dyDescent="0.25">
      <c r="L248" s="2"/>
    </row>
    <row r="249" spans="11:12" x14ac:dyDescent="0.25">
      <c r="L249" s="2"/>
    </row>
    <row r="250" spans="11:12" x14ac:dyDescent="0.25">
      <c r="L250" s="2"/>
    </row>
    <row r="251" spans="11:12" x14ac:dyDescent="0.25">
      <c r="K251" s="2"/>
    </row>
    <row r="256" spans="11:12" x14ac:dyDescent="0.25">
      <c r="K256" s="2"/>
    </row>
    <row r="257" spans="11:12" x14ac:dyDescent="0.25">
      <c r="L257" s="2"/>
    </row>
    <row r="258" spans="11:12" x14ac:dyDescent="0.25">
      <c r="L258" s="2"/>
    </row>
    <row r="259" spans="11:12" x14ac:dyDescent="0.25">
      <c r="L259" s="2"/>
    </row>
    <row r="261" spans="11:12" x14ac:dyDescent="0.25">
      <c r="K261" s="2"/>
    </row>
    <row r="262" spans="11:12" x14ac:dyDescent="0.25">
      <c r="L262" s="2"/>
    </row>
    <row r="263" spans="11:12" x14ac:dyDescent="0.25">
      <c r="L263" s="2"/>
    </row>
    <row r="264" spans="11:12" x14ac:dyDescent="0.25">
      <c r="L264" s="2"/>
    </row>
    <row r="266" spans="11:12" x14ac:dyDescent="0.25">
      <c r="K266" s="2"/>
    </row>
    <row r="267" spans="11:12" x14ac:dyDescent="0.25">
      <c r="K267" s="2"/>
      <c r="L267" s="2"/>
    </row>
    <row r="268" spans="11:12" x14ac:dyDescent="0.25">
      <c r="K268" s="2"/>
      <c r="L268" s="2"/>
    </row>
    <row r="269" spans="11:12" x14ac:dyDescent="0.25">
      <c r="K269" s="2"/>
      <c r="L269" s="2"/>
    </row>
    <row r="270" spans="11:12" x14ac:dyDescent="0.25">
      <c r="K270" s="2"/>
    </row>
    <row r="272" spans="11:12" x14ac:dyDescent="0.25">
      <c r="K272" s="2"/>
      <c r="L272" s="2"/>
    </row>
    <row r="273" spans="11:12" x14ac:dyDescent="0.25">
      <c r="L273" s="2"/>
    </row>
    <row r="274" spans="11:12" x14ac:dyDescent="0.25">
      <c r="K274" s="2"/>
      <c r="L274" s="2"/>
    </row>
    <row r="275" spans="11:12" x14ac:dyDescent="0.25">
      <c r="K275" s="2"/>
    </row>
    <row r="276" spans="11:12" x14ac:dyDescent="0.25">
      <c r="K276" s="2"/>
    </row>
    <row r="277" spans="11:12" x14ac:dyDescent="0.25">
      <c r="K277" s="2"/>
    </row>
    <row r="279" spans="11:12" x14ac:dyDescent="0.25">
      <c r="K279" s="2"/>
    </row>
    <row r="285" spans="11:12" x14ac:dyDescent="0.25">
      <c r="K285" s="2"/>
    </row>
    <row r="290" spans="11:11" x14ac:dyDescent="0.25">
      <c r="K290" s="2"/>
    </row>
    <row r="295" spans="11:11" x14ac:dyDescent="0.25">
      <c r="K295" s="2"/>
    </row>
    <row r="300" spans="11:11" x14ac:dyDescent="0.25">
      <c r="K300" s="2"/>
    </row>
    <row r="301" spans="11:11" x14ac:dyDescent="0.25">
      <c r="K301" s="2"/>
    </row>
    <row r="302" spans="11:11" x14ac:dyDescent="0.25">
      <c r="K302" s="2"/>
    </row>
    <row r="303" spans="11:11" x14ac:dyDescent="0.25">
      <c r="K303" s="2"/>
    </row>
    <row r="304" spans="11:11" x14ac:dyDescent="0.25">
      <c r="K304" s="2"/>
    </row>
    <row r="306" spans="11:11" x14ac:dyDescent="0.25">
      <c r="K306" s="2"/>
    </row>
    <row r="308" spans="11:11" x14ac:dyDescent="0.25">
      <c r="K308" s="2"/>
    </row>
    <row r="309" spans="11:11" x14ac:dyDescent="0.25">
      <c r="K309" s="2"/>
    </row>
    <row r="310" spans="11:11" x14ac:dyDescent="0.25">
      <c r="K310" s="2"/>
    </row>
    <row r="311" spans="11:11" x14ac:dyDescent="0.25">
      <c r="K311" s="2"/>
    </row>
    <row r="313" spans="11:11" x14ac:dyDescent="0.25">
      <c r="K313" s="2"/>
    </row>
    <row r="321" spans="11:11" x14ac:dyDescent="0.25">
      <c r="K321" s="2"/>
    </row>
    <row r="322" spans="11:11" x14ac:dyDescent="0.25">
      <c r="K322" s="2"/>
    </row>
    <row r="323" spans="11:11" x14ac:dyDescent="0.25">
      <c r="K323" s="2"/>
    </row>
    <row r="326" spans="11:11" x14ac:dyDescent="0.25">
      <c r="K326" s="2"/>
    </row>
    <row r="327" spans="11:11" x14ac:dyDescent="0.25">
      <c r="K327" s="2"/>
    </row>
    <row r="328" spans="11:11" x14ac:dyDescent="0.25">
      <c r="K328" s="2"/>
    </row>
    <row r="331" spans="11:11" x14ac:dyDescent="0.25">
      <c r="K331" s="2"/>
    </row>
    <row r="332" spans="11:11" x14ac:dyDescent="0.25">
      <c r="K332" s="2"/>
    </row>
    <row r="333" spans="11:11" x14ac:dyDescent="0.25">
      <c r="K333" s="2"/>
    </row>
    <row r="336" spans="11:11" x14ac:dyDescent="0.25">
      <c r="K336" s="2"/>
    </row>
    <row r="337" spans="11:11" x14ac:dyDescent="0.25">
      <c r="K337" s="2"/>
    </row>
    <row r="338" spans="11:11" x14ac:dyDescent="0.25">
      <c r="K338" s="2"/>
    </row>
    <row r="345" spans="11:11" x14ac:dyDescent="0.25">
      <c r="K345" s="2"/>
    </row>
    <row r="346" spans="11:11" x14ac:dyDescent="0.25">
      <c r="K346" s="2"/>
    </row>
    <row r="347" spans="11:11" x14ac:dyDescent="0.25">
      <c r="K347" s="2"/>
    </row>
    <row r="350" spans="11:11" x14ac:dyDescent="0.25">
      <c r="K350" s="2"/>
    </row>
    <row r="351" spans="11:11" x14ac:dyDescent="0.25">
      <c r="K351" s="2"/>
    </row>
    <row r="352" spans="11:11" x14ac:dyDescent="0.25">
      <c r="K352" s="2"/>
    </row>
    <row r="355" spans="4:11" x14ac:dyDescent="0.25">
      <c r="K355" s="2"/>
    </row>
    <row r="356" spans="4:11" x14ac:dyDescent="0.25">
      <c r="K356" s="2"/>
    </row>
    <row r="357" spans="4:11" x14ac:dyDescent="0.25">
      <c r="K357" s="2"/>
    </row>
    <row r="360" spans="4:11" x14ac:dyDescent="0.25">
      <c r="K360" s="2"/>
    </row>
    <row r="361" spans="4:11" x14ac:dyDescent="0.25">
      <c r="K361" s="2"/>
    </row>
    <row r="362" spans="4:11" x14ac:dyDescent="0.25">
      <c r="K362" s="2"/>
    </row>
    <row r="366" spans="4:11" x14ac:dyDescent="0.25">
      <c r="D366" s="99"/>
    </row>
  </sheetData>
  <conditionalFormatting sqref="F52 L186 K188 L190:L191 K192:K193 L194:L195 K196:K197 L200:L201 K202:K203 L204:L205 K206:K207 L211:L216 K213">
    <cfRule type="cellIs" dxfId="27" priority="62" operator="lessThan">
      <formula>0</formula>
    </cfRule>
  </conditionalFormatting>
  <conditionalFormatting sqref="F155:F156">
    <cfRule type="cellIs" dxfId="26" priority="19" operator="lessThan">
      <formula>0</formula>
    </cfRule>
  </conditionalFormatting>
  <conditionalFormatting sqref="F167:F168">
    <cfRule type="cellIs" dxfId="25" priority="18" operator="lessThan">
      <formula>0</formula>
    </cfRule>
  </conditionalFormatting>
  <conditionalFormatting sqref="F255:F256">
    <cfRule type="cellIs" dxfId="24" priority="93" operator="lessThan">
      <formula>0</formula>
    </cfRule>
  </conditionalFormatting>
  <conditionalFormatting sqref="F260:F261">
    <cfRule type="cellIs" dxfId="23" priority="92" operator="lessThan">
      <formula>0</formula>
    </cfRule>
  </conditionalFormatting>
  <conditionalFormatting sqref="F265:F266">
    <cfRule type="cellIs" dxfId="22" priority="91" operator="lessThan">
      <formula>0</formula>
    </cfRule>
  </conditionalFormatting>
  <conditionalFormatting sqref="F289:F290">
    <cfRule type="cellIs" dxfId="21" priority="85" operator="lessThan">
      <formula>0</formula>
    </cfRule>
  </conditionalFormatting>
  <conditionalFormatting sqref="F294:F295">
    <cfRule type="cellIs" dxfId="20" priority="84" operator="lessThan">
      <formula>0</formula>
    </cfRule>
  </conditionalFormatting>
  <conditionalFormatting sqref="F299:F300">
    <cfRule type="cellIs" dxfId="19" priority="83" operator="lessThan">
      <formula>0</formula>
    </cfRule>
  </conditionalFormatting>
  <conditionalFormatting sqref="H47:H50 F131:F132">
    <cfRule type="cellIs" dxfId="18" priority="21" operator="lessThan">
      <formula>0</formula>
    </cfRule>
  </conditionalFormatting>
  <conditionalFormatting sqref="I34 I45:I46 O47 N48 I51 I53:I55 I57:I58 I209:J209 E215:G215 I215:J215 K251 J253 K256 J258 K261 J263 K266:K270 J268:J272 K272 J274 K274:K277 J276:J279 K279 J281 K285 J287 K290 J292 K295 J297 K300:K304 J302:J306 K306 J308 K308:K311 J310:J313 K313 J315">
    <cfRule type="cellIs" dxfId="17" priority="79" operator="lessThan">
      <formula>0</formula>
    </cfRule>
  </conditionalFormatting>
  <conditionalFormatting sqref="I36:I41 F143:F144">
    <cfRule type="cellIs" dxfId="16" priority="20" operator="lessThan">
      <formula>0</formula>
    </cfRule>
  </conditionalFormatting>
  <conditionalFormatting sqref="I62:I66">
    <cfRule type="cellIs" dxfId="15" priority="5" operator="lessThan">
      <formula>0</formula>
    </cfRule>
  </conditionalFormatting>
  <conditionalFormatting sqref="I70 M107 I129:J129">
    <cfRule type="cellIs" dxfId="14" priority="74" operator="lessThan">
      <formula>0</formula>
    </cfRule>
  </conditionalFormatting>
  <conditionalFormatting sqref="I81:I83">
    <cfRule type="cellIs" dxfId="13" priority="4" operator="lessThan">
      <formula>0</formula>
    </cfRule>
  </conditionalFormatting>
  <conditionalFormatting sqref="I87:I90">
    <cfRule type="cellIs" dxfId="12" priority="3" operator="lessThan">
      <formula>0</formula>
    </cfRule>
  </conditionalFormatting>
  <conditionalFormatting sqref="I94:I98">
    <cfRule type="cellIs" dxfId="11" priority="1" operator="lessThan">
      <formula>0</formula>
    </cfRule>
  </conditionalFormatting>
  <conditionalFormatting sqref="J157">
    <cfRule type="cellIs" dxfId="10" priority="24" operator="lessThan">
      <formula>0</formula>
    </cfRule>
  </conditionalFormatting>
  <conditionalFormatting sqref="L119:L122">
    <cfRule type="cellIs" dxfId="9" priority="11" operator="lessThan">
      <formula>0</formula>
    </cfRule>
  </conditionalFormatting>
  <conditionalFormatting sqref="L125">
    <cfRule type="cellIs" dxfId="8" priority="17" operator="lessThan">
      <formula>0</formula>
    </cfRule>
  </conditionalFormatting>
  <conditionalFormatting sqref="L131:L134">
    <cfRule type="cellIs" dxfId="7" priority="10" operator="lessThan">
      <formula>0</formula>
    </cfRule>
  </conditionalFormatting>
  <conditionalFormatting sqref="L137">
    <cfRule type="cellIs" dxfId="6" priority="16" operator="lessThan">
      <formula>0</formula>
    </cfRule>
  </conditionalFormatting>
  <conditionalFormatting sqref="L143:L146">
    <cfRule type="cellIs" dxfId="5" priority="9" operator="lessThan">
      <formula>0</formula>
    </cfRule>
  </conditionalFormatting>
  <conditionalFormatting sqref="L149">
    <cfRule type="cellIs" dxfId="4" priority="15" operator="lessThan">
      <formula>0</formula>
    </cfRule>
  </conditionalFormatting>
  <conditionalFormatting sqref="L155:L158">
    <cfRule type="cellIs" dxfId="3" priority="8" operator="lessThan">
      <formula>0</formula>
    </cfRule>
  </conditionalFormatting>
  <conditionalFormatting sqref="L161">
    <cfRule type="cellIs" dxfId="2" priority="14" operator="lessThan">
      <formula>0</formula>
    </cfRule>
  </conditionalFormatting>
  <conditionalFormatting sqref="L165:L166">
    <cfRule type="cellIs" dxfId="1" priority="12" operator="lessThan">
      <formula>0</formula>
    </cfRule>
  </conditionalFormatting>
  <conditionalFormatting sqref="L218 L220:L223 L225 J233:J235 J238:J240">
    <cfRule type="cellIs" dxfId="0" priority="102" operator="lessThan">
      <formula>0</formula>
    </cfRule>
  </conditionalFormatting>
  <dataValidations count="12">
    <dataValidation type="list" allowBlank="1" showInputMessage="1" showErrorMessage="1" sqref="D282" xr:uid="{4E913AB3-F90B-4C35-BCE1-5DBB8FC05107}">
      <formula1>INDIRECT("Table_SourceData_PoultryMMSStage1[MMS]")</formula1>
    </dataValidation>
    <dataValidation type="list" allowBlank="1" showInputMessage="1" showErrorMessage="1" sqref="E230" xr:uid="{9FB53635-991F-44AA-A123-E8ABEF9EE0A6}">
      <formula1>INDIRECT("Table_SourceData_Dairy_ProductionSystemTemplates[Area]")</formula1>
    </dataValidation>
    <dataValidation type="list" allowBlank="1" showInputMessage="1" showErrorMessage="1" sqref="E254 E259 E264 E298 E293 E288 E166 E154 E130 E142" xr:uid="{00A4EA4C-90D3-4150-979D-4D71C7F37A31}">
      <formula1>"Yes, No"</formula1>
    </dataValidation>
    <dataValidation type="list" allowBlank="1" showInputMessage="1" showErrorMessage="1" sqref="E70" xr:uid="{DBA884B0-B52E-420E-8FD2-21B082EB75E2}">
      <formula1>INDIRECT("Table_SourceData_Swine_IrrigationMethods[Irrigation method]")</formula1>
    </dataValidation>
    <dataValidation type="list" allowBlank="1" showInputMessage="1" showErrorMessage="1" sqref="E69" xr:uid="{B95E29DC-96D0-4475-A29E-3F3A3B60CEA1}">
      <formula1>INDIRECT("Table_SourceData_Swine_CropProdSystems[Production system]")</formula1>
    </dataValidation>
    <dataValidation type="list" allowBlank="1" showInputMessage="1" showErrorMessage="1" sqref="E6" xr:uid="{0A0AE702-92B7-4071-9891-43CC75783AE0}">
      <formula1>INDIRECT("Table_SourceData_Fertiliser_CropProdSystems[Production system]")</formula1>
    </dataValidation>
    <dataValidation type="list" allowBlank="1" showInputMessage="1" showErrorMessage="1" sqref="E8" xr:uid="{A588F812-6D90-402D-B63E-4EE68B0D0E18}">
      <formula1>INDIRECT("Table_SourceData_Fertiliser_IrrigationMethods[Irrigation method]")</formula1>
    </dataValidation>
    <dataValidation type="list" allowBlank="1" showInputMessage="1" showErrorMessage="1" sqref="E7" xr:uid="{F72409F7-4F43-4214-A0C3-EC1C9D02F963}">
      <formula1>INDIRECT("Table_SourceData_Fertiliser_CropTypes[Production system]")</formula1>
    </dataValidation>
    <dataValidation type="list" allowBlank="1" showInputMessage="1" showErrorMessage="1" sqref="H26:H28 J26:J28 L26:L28 N26:N28" xr:uid="{4A7ED0FB-DC6D-4B9E-B043-37B0C0BD600A}">
      <formula1>INDIRECT("Table_Fertiliser_ChemicalCompounds[Fertiliser type f]")</formula1>
    </dataValidation>
    <dataValidation type="list" allowBlank="1" showInputMessage="1" showErrorMessage="1" sqref="D48:D50" xr:uid="{23F8C720-A764-46DD-9B01-B7EA3D86E5AB}">
      <formula1>INDIRECT("Table_SourceData_OrganicFertiliserTypes[Organic fertiliser type]")</formula1>
    </dataValidation>
    <dataValidation type="list" allowBlank="1" showInputMessage="1" showErrorMessage="1" sqref="D18:D22" xr:uid="{B23B57EC-703F-4AE4-9B1D-0AF66025057C}">
      <formula1>INDIRECT("FertiliserProducts[Product Name]")</formula1>
    </dataValidation>
    <dataValidation type="list" allowBlank="1" showInputMessage="1" showErrorMessage="1" sqref="Q26:R28" xr:uid="{6D99C1CC-E467-4127-AA10-A6BB1059614B}">
      <formula1>INDIRECT("Table_SourceData_Fertiliser_UreaAmmoniaSources[Source]")</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X342"/>
  <sheetViews>
    <sheetView showGridLines="0" topLeftCell="B46" zoomScaleNormal="100" workbookViewId="0">
      <selection activeCell="G77" sqref="G77"/>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23" width="30.7109375" style="1" customWidth="1"/>
    <col min="24" max="24" width="4.7109375" style="1" customWidth="1"/>
  </cols>
  <sheetData>
    <row r="1" spans="1:24" s="8" customFormat="1" ht="30" customHeight="1" x14ac:dyDescent="0.35">
      <c r="A1" s="62" t="e" vm="1">
        <v>#VALUE!</v>
      </c>
      <c r="C1" s="8" t="s">
        <v>202</v>
      </c>
      <c r="K1"/>
    </row>
    <row r="2" spans="1:24" s="9" customFormat="1" ht="20.100000000000001" customHeight="1" x14ac:dyDescent="0.25">
      <c r="K2"/>
    </row>
    <row r="3" spans="1:24" ht="20.100000000000001" customHeight="1" x14ac:dyDescent="0.25">
      <c r="A3" s="17" t="str">
        <f>HYPERLINK("#'Home'!A1", "Home")</f>
        <v>Home</v>
      </c>
      <c r="C3" s="4"/>
      <c r="D3" s="4" t="s">
        <v>80</v>
      </c>
      <c r="E3" s="4"/>
      <c r="F3" s="4"/>
      <c r="G3" s="4"/>
      <c r="H3" s="4"/>
      <c r="I3" s="4"/>
      <c r="J3" s="4"/>
      <c r="L3" s="4"/>
      <c r="M3" s="4" t="s">
        <v>81</v>
      </c>
      <c r="N3" s="4"/>
      <c r="O3" s="4"/>
      <c r="P3" s="4"/>
      <c r="Q3" s="4"/>
      <c r="R3" s="4"/>
      <c r="S3" s="4"/>
      <c r="T3" s="4"/>
      <c r="U3" s="4"/>
      <c r="V3" s="4"/>
      <c r="W3" s="4"/>
      <c r="X3" s="4"/>
    </row>
    <row r="4" spans="1:24" ht="20.100000000000001" customHeight="1" x14ac:dyDescent="0.25">
      <c r="A4" s="17" t="str">
        <f>HYPERLINK("#'Overview'!A1", "Overview")</f>
        <v>Overview</v>
      </c>
    </row>
    <row r="5" spans="1:24" ht="20.100000000000001" customHeight="1" x14ac:dyDescent="0.25">
      <c r="A5" s="17" t="str">
        <f>HYPERLINK("#'Results'!A1", "Results")</f>
        <v>Results</v>
      </c>
      <c r="D5" s="6" t="str" cm="1">
        <f t="array" ref="D5">Fertiliser_Equations_InorganicN2O.VEERG_5_1_1_1__2_MassOfNitrogenInInorganicFertiliser_Title()</f>
        <v>Mass of nitrogen in inorganic fertiliser applied to production system</v>
      </c>
      <c r="M5" s="6" t="str" cm="1">
        <f t="array" ref="M5">Fertiliser_Equations_InorganicN2O.VEERG_5_1_1_2__1_EmissionFactorIrrigatedMaize_Title()</f>
        <v>Emission factor for nitrous oxide for irrigated maize</v>
      </c>
    </row>
    <row r="6" spans="1:24" ht="20.100000000000001" customHeight="1" x14ac:dyDescent="0.25">
      <c r="A6" s="16"/>
      <c r="D6" s="5" t="str" cm="1">
        <f t="array" ref="D6">Fertiliser_Equations_InorganicN2O.VEERG_5_1_1_1__2_MassOfNitrogenInInorganicFertiliser_Source()</f>
        <v>VEERG 2026: 5.1.1.1, Equation (2)</v>
      </c>
      <c r="M6" s="5" t="str" cm="1">
        <f t="array" ref="M6">Fertiliser_Equations_InorganicN2O.VEERG_5_1_1_2__1_EmissionFactorIrrigatedMaize_Source()</f>
        <v>VEERG 2026: 5.1.1.2, Equation (1)</v>
      </c>
    </row>
    <row r="7" spans="1:24" ht="20.100000000000001" customHeight="1" x14ac:dyDescent="0.25">
      <c r="A7" s="20" t="s">
        <v>1</v>
      </c>
      <c r="D7" s="13" t="s">
        <v>22</v>
      </c>
      <c r="E7" s="13" t="str" cm="1">
        <f t="array" aca="1" ref="E7" ca="1">Common_InputFunctions.Utility_DisplayFunctionName(G19)</f>
        <v>=Fertiliser_Equations_InorganicN2O.VEERG_5_1_1_1__2_MassOfNitrogenInInorganicFertiliser</v>
      </c>
    </row>
    <row r="8" spans="1:24" ht="20.100000000000001" customHeight="1" x14ac:dyDescent="0.25">
      <c r="A8" s="17" t="str">
        <f>HYPERLINK("#'Input - Site'!A1", "Site")</f>
        <v>Site</v>
      </c>
    </row>
    <row r="9" spans="1:24" ht="20.100000000000001" customHeight="1" x14ac:dyDescent="0.25">
      <c r="A9" s="17" t="str">
        <f>HYPERLINK("#'Input - Fertiliser'!A1", "Fertiliser")</f>
        <v>Fertiliser</v>
      </c>
      <c r="M9" s="51" t="s">
        <v>25</v>
      </c>
      <c r="N9" s="1" t="str" cm="1">
        <f t="array" ref="N9">Fertiliser_Equations_InorganicN2O.VEERG_5_1_1_2__1_EmissionFactorIrrigatedMaize_Variable()</f>
        <v>EF_fjIrrigatedMaizeN2O</v>
      </c>
    </row>
    <row r="10" spans="1:24" ht="20.100000000000001" customHeight="1" x14ac:dyDescent="0.25">
      <c r="A10" s="17"/>
      <c r="D10" s="51" t="s">
        <v>25</v>
      </c>
      <c r="E10" s="1" t="str" cm="1">
        <f t="array" ref="E10">Fertiliser_Equations_InorganicN2O.VEERG_5_1_1_1__2_MassOfNitrogenInInorganicFertiliser_Variable()</f>
        <v>MN_jf</v>
      </c>
      <c r="M10" s="51" t="s">
        <v>16</v>
      </c>
      <c r="N10" s="52" t="str" cm="1">
        <f t="array" ref="N10">Fertiliser_Equations_InorganicN2O.VEERG_5_1_1_2__1_EmissionFactorIrrigatedMaize_Unit()</f>
        <v>kg N2O-N/kg N applied</v>
      </c>
    </row>
    <row r="11" spans="1:24" ht="20.100000000000001" customHeight="1" x14ac:dyDescent="0.25">
      <c r="A11" s="19" t="s">
        <v>69</v>
      </c>
      <c r="D11" s="51" t="s">
        <v>16</v>
      </c>
      <c r="E11" s="52" t="str" cm="1">
        <f t="array" ref="E11">Fertiliser_Equations_InorganicN2O.VEERG_5_1_1_1__2_MassOfNitrogenInInorganicFertiliser_Unit()</f>
        <v>kg N</v>
      </c>
    </row>
    <row r="12" spans="1:24" ht="20.100000000000001" customHeight="1" x14ac:dyDescent="0.25">
      <c r="A12" s="176" t="str">
        <f>HYPERLINK("#'5.1.1.1-2 Inorganic Fert N2O'!A1", "5.1.1.1-2 Inorganic Fert N2O")</f>
        <v>5.1.1.1-2 Inorganic Fert N2O</v>
      </c>
      <c r="M12" s="54" t="str" cm="1">
        <f t="array" ref="M12:N13">_xlfn.CHOOSECOLS(Fertiliser_Equations_InorganicN2O.VEERG_5_1_1_2__1_EmissionFactorIrrigatedMaize_Arguments(), 1, 2)</f>
        <v>N_fjIrrigatedMaize</v>
      </c>
      <c r="N12" s="55" t="str">
        <v>application rate of inorganic fertiliser type f in the irrigated maize crop</v>
      </c>
      <c r="O12" s="93"/>
      <c r="P12" s="54" t="str" cm="1">
        <f t="array" ref="P12:Q13">_xlfn.CHOOSECOLS(Fertiliser_Equations_InorganicN2O.VEERG_5_1_1_2__1_EmissionFactorIrrigatedMaize_Arguments(), 3,4)</f>
        <v>kg N/ha</v>
      </c>
      <c r="Q12" s="120" t="str">
        <v>Input</v>
      </c>
      <c r="R12" s="146" t="str" cm="1">
        <f t="array" aca="1" ref="R12" ca="1">HYPERLINK(Common_InputFunctions.Utility_SourceHyperlink($M$41), $M$41)</f>
        <v>M2_Table_FertApplications</v>
      </c>
      <c r="S12" s="121"/>
    </row>
    <row r="13" spans="1:24" ht="20.100000000000001" customHeight="1" x14ac:dyDescent="0.25">
      <c r="A13" s="17" t="str">
        <f>HYPERLINK("#'5.1.1.3-4 Inorganic fert CO2'!A1", "5.1.1.3-4 Inorganic fert CO2")</f>
        <v>5.1.1.3-4 Inorganic fert CO2</v>
      </c>
      <c r="D13" s="54" t="str" cm="1">
        <f t="array" ref="D13:E14">_xlfn.CHOOSECOLS(Fertiliser_Equations_InorganicN2O.VEERG_5_1_1_1__2_MassOfNitrogenInInorganicFertiliser_Arguments(), 1,2)</f>
        <v>TM_jf</v>
      </c>
      <c r="E13" s="54" t="str">
        <v>total mass of inorganic fertiliser type f applied to production system j</v>
      </c>
      <c r="F13" s="54"/>
      <c r="G13" s="54" t="str" cm="1">
        <f t="array" ref="G13:H14">_xlfn.CHOOSECOLS(Fertiliser_Equations_InorganicN2O.VEERG_5_1_1_1__2_MassOfNitrogenInInorganicFertiliser_Arguments(), 3,4)</f>
        <v>kg</v>
      </c>
      <c r="H13" s="120" t="str">
        <v>Input</v>
      </c>
      <c r="I13" s="145" t="str" cm="1">
        <f t="array" aca="1" ref="I13" ca="1">HYPERLINK(Common_InputFunctions.Utility_SourceHyperlink($D$16), $D$16)</f>
        <v>Table_MN_j_f</v>
      </c>
      <c r="M13" s="54" t="str">
        <v>f</v>
      </c>
      <c r="N13" s="55" t="str">
        <v>Inorganic fertiliser type</v>
      </c>
      <c r="O13" s="93"/>
      <c r="P13" s="54" t="str">
        <v/>
      </c>
      <c r="Q13" s="119" t="str">
        <v>Constant</v>
      </c>
      <c r="R13" s="55" t="s">
        <v>173</v>
      </c>
      <c r="S13" s="121"/>
    </row>
    <row r="14" spans="1:24" ht="20.100000000000001" customHeight="1" x14ac:dyDescent="0.25">
      <c r="A14" s="17" t="str">
        <f>HYPERLINK("#'5.2.1.1-2 Organic Fert N2O'!A1", "5.2.1.1-2 Organic Fert N2O")</f>
        <v>5.2.1.1-2 Organic Fert N2O</v>
      </c>
      <c r="D14" s="54" t="str">
        <v>FN_inorganicf</v>
      </c>
      <c r="E14" s="55" t="str">
        <v xml:space="preserve">fraction of nitrogen in inorganic fertiliser type f </v>
      </c>
      <c r="F14" s="56"/>
      <c r="G14" s="54" t="str">
        <v>kg N/kg</v>
      </c>
      <c r="H14" s="119" t="str">
        <v>Constant</v>
      </c>
      <c r="I14" s="145" t="str" cm="1">
        <f t="array" aca="1" ref="I14" ca="1">HYPERLINK(Common_InputFunctions.Utility_SourceHyperlink($D$16), $D$16)</f>
        <v>Table_MN_j_f</v>
      </c>
    </row>
    <row r="15" spans="1:24" ht="20.100000000000001" customHeight="1" x14ac:dyDescent="0.25">
      <c r="A15" s="17" t="str">
        <f>HYPERLINK("#'5.3.1.1-2 Lime CO2'!A1", "5.3.1.1-2 Lime CO2")</f>
        <v>5.3.1.1-2 Lime CO2</v>
      </c>
    </row>
    <row r="16" spans="1:24" ht="20.100000000000001" customHeight="1" x14ac:dyDescent="0.25">
      <c r="A16" s="17" t="str">
        <f>HYPERLINK("#'5.4.1.1-4 Atmos deposition'!A1", "5.4.1.1-4 Atmos deposition")</f>
        <v>5.4.1.1-4 Atmos deposition</v>
      </c>
      <c r="D16" s="92" t="s">
        <v>145</v>
      </c>
      <c r="M16" s="6" t="str" cm="1">
        <f t="array" ref="M16">Fertiliser_Equations_InorganicN2O.VEERG_5_1_1_2__2_EmissionFactorNonIrrigatedGrainsHighRainfall_Title()</f>
        <v>Emission factor for nitrous oxide for non-irrigated grains in high rainfall zone</v>
      </c>
    </row>
    <row r="17" spans="1:19" ht="20.100000000000001" customHeight="1" x14ac:dyDescent="0.25">
      <c r="A17" s="17" t="str">
        <f>HYPERLINK("#'5.5.1.1-2 Leaching and runoff'!A1", "5.5.1.1-2 Leaching and runoff")</f>
        <v>5.5.1.1-2 Leaching and runoff</v>
      </c>
      <c r="D17" s="91" t="s">
        <v>161</v>
      </c>
      <c r="M17" s="5" t="str" cm="1">
        <f t="array" ref="M17">Fertiliser_Equations_InorganicN2O.VEERG_5_1_1_2__2_EmissionFactorNonIrrigatedGrainsHighRainfall_Source()</f>
        <v>VEERG 2026: 5.1.1.2, Equation (2)</v>
      </c>
    </row>
    <row r="18" spans="1:19" ht="20.100000000000001" customHeight="1" x14ac:dyDescent="0.25">
      <c r="D18" s="49" t="s">
        <v>112</v>
      </c>
      <c r="E18" s="112" t="s">
        <v>144</v>
      </c>
      <c r="F18" s="49" t="s">
        <v>143</v>
      </c>
      <c r="G18" s="49" t="s">
        <v>160</v>
      </c>
    </row>
    <row r="19" spans="1:19" ht="20.100000000000001" customHeight="1" x14ac:dyDescent="0.25">
      <c r="A19" s="18" t="s">
        <v>2</v>
      </c>
      <c r="D19" s="50" t="str" cm="1">
        <f t="array" ref="D19:D37">Table_Fertiliser_ChemicalCompounds[Fertiliser type f]</f>
        <v>Monoammonium phosphate (MAP)</v>
      </c>
      <c r="E19" s="50"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50" cm="1">
        <f t="array" ref="F19">Common_InputFunctions.Utility_LookupValueInTableNumber(D19,Table_Fertiliser_ChemicalCompounds[Fertiliser type f],Table_Fertiliser_ChemicalCompounds[FNinorganic f])</f>
        <v>0.1</v>
      </c>
      <c r="G19" s="50" cm="1">
        <f t="array" ref="G19">Fertiliser_Equations_InorganicN2O.VEERG_5_1_1_1__2_MassOfNitrogenInInorganicFertiliser(E19,F19)</f>
        <v>0</v>
      </c>
    </row>
    <row r="20" spans="1:19" ht="20.100000000000001" customHeight="1" x14ac:dyDescent="0.25">
      <c r="A20" s="17" t="str">
        <f>HYPERLINK("#'Constants - Fertiliser'!A1", "Constants - Fertiliser")</f>
        <v>Constants - Fertiliser</v>
      </c>
      <c r="D20" s="50" t="str">
        <v>Diammonium phosphate (DAP)</v>
      </c>
      <c r="E20" s="50"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50" cm="1">
        <f t="array" ref="F20">Common_InputFunctions.Utility_LookupValueInTableNumber(D20,Table_Fertiliser_ChemicalCompounds[Fertiliser type f],Table_Fertiliser_ChemicalCompounds[FNinorganic f])</f>
        <v>0.18</v>
      </c>
      <c r="G20" s="50" cm="1">
        <f t="array" ref="G20">Fertiliser_Equations_InorganicN2O.VEERG_5_1_1_1__2_MassOfNitrogenInInorganicFertiliser(E20,F20)</f>
        <v>0</v>
      </c>
      <c r="M20" s="51" t="s">
        <v>25</v>
      </c>
      <c r="N20" s="1" t="str" cm="1">
        <f t="array" ref="N20">Fertiliser_Equations_InorganicN2O.VEERG_5_1_1_2__2_EmissionFactorNonIrrigatedGrainsHighRainfall_Variable()</f>
        <v>EF_fjNonIrrigatedGrainsN2O</v>
      </c>
    </row>
    <row r="21" spans="1:19" ht="20.100000000000001" customHeight="1" x14ac:dyDescent="0.25">
      <c r="A21" s="17" t="str">
        <f>HYPERLINK("#'Constants - Common'!A1", "Constants - Common")</f>
        <v>Constants - Common</v>
      </c>
      <c r="D21" s="50" t="str">
        <v>Urea</v>
      </c>
      <c r="E21" s="50"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21" s="50" cm="1">
        <f t="array" ref="F21">Common_InputFunctions.Utility_LookupValueInTableNumber(D21,Table_Fertiliser_ChemicalCompounds[Fertiliser type f],Table_Fertiliser_ChemicalCompounds[FNinorganic f])</f>
        <v>0.46</v>
      </c>
      <c r="G21" s="50" cm="1">
        <f t="array" ref="G21">Fertiliser_Equations_InorganicN2O.VEERG_5_1_1_1__2_MassOfNitrogenInInorganicFertiliser(E21,F21)</f>
        <v>4600</v>
      </c>
      <c r="M21" s="51" t="s">
        <v>16</v>
      </c>
      <c r="N21" s="52" t="str" cm="1">
        <f t="array" ref="N21">Fertiliser_Equations_InorganicN2O.VEERG_5_1_1_2__2_EmissionFactorNonIrrigatedGrainsHighRainfall_Unit()</f>
        <v>kg N2O-N/kg N applied</v>
      </c>
    </row>
    <row r="22" spans="1:19" ht="20.100000000000001" customHeight="1" x14ac:dyDescent="0.25">
      <c r="D22" s="50" t="str">
        <v>Sulphate of ammonia (SOA)</v>
      </c>
      <c r="E22" s="50"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50" cm="1">
        <f t="array" ref="F22">Common_InputFunctions.Utility_LookupValueInTableNumber(D22,Table_Fertiliser_ChemicalCompounds[Fertiliser type f],Table_Fertiliser_ChemicalCompounds[FNinorganic f])</f>
        <v>0.21</v>
      </c>
      <c r="G22" s="50" cm="1">
        <f t="array" ref="G22">Fertiliser_Equations_InorganicN2O.VEERG_5_1_1_1__2_MassOfNitrogenInInorganicFertiliser(E22,F22)</f>
        <v>0</v>
      </c>
    </row>
    <row r="23" spans="1:19" ht="20.100000000000001" customHeight="1" x14ac:dyDescent="0.25">
      <c r="A23" s="17"/>
      <c r="D23" s="50" t="str">
        <v>Urea-ammonium nitrate (UAN)</v>
      </c>
      <c r="E23" s="50"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50" cm="1">
        <f t="array" ref="F23">Common_InputFunctions.Utility_LookupValueInTableNumber(D23,Table_Fertiliser_ChemicalCompounds[Fertiliser type f],Table_Fertiliser_ChemicalCompounds[FNinorganic f])</f>
        <v>0.32</v>
      </c>
      <c r="G23" s="50" cm="1">
        <f t="array" ref="G23">Fertiliser_Equations_InorganicN2O.VEERG_5_1_1_1__2_MassOfNitrogenInInorganicFertiliser(E23,F23)</f>
        <v>0</v>
      </c>
      <c r="M23" s="54" t="str" cm="1">
        <f t="array" ref="M23:N24">_xlfn.CHOOSECOLS(Fertiliser_Equations_InorganicN2O.VEERG_5_1_1_2__2_EmissionFactorNonIrrigatedGrainsHighRainfall_Arguments(), 1, 2)</f>
        <v>N_fjNonIrrigatedGrains</v>
      </c>
      <c r="N23" s="55" t="str">
        <v>application rate of inorganic fertiliser type f in the grains crop</v>
      </c>
      <c r="O23" s="93"/>
      <c r="P23" s="54" t="str" cm="1">
        <f t="array" ref="P23:Q24">_xlfn.CHOOSECOLS(Fertiliser_Equations_InorganicN2O.VEERG_5_1_1_2__2_EmissionFactorNonIrrigatedGrainsHighRainfall_Arguments(), 3,4)</f>
        <v>kg N/ha</v>
      </c>
      <c r="Q23" s="120" t="str">
        <v>Input</v>
      </c>
      <c r="R23" s="146" t="str" cm="1">
        <f t="array" aca="1" ref="R23" ca="1">HYPERLINK(Common_InputFunctions.Utility_SourceHyperlink($M$41), $M$41)</f>
        <v>M2_Table_FertApplications</v>
      </c>
      <c r="S23" s="56"/>
    </row>
    <row r="24" spans="1:19" ht="20.100000000000001" customHeight="1" x14ac:dyDescent="0.25">
      <c r="D24" s="50" t="str">
        <v>Ammonium nitrate (AN)</v>
      </c>
      <c r="E24" s="50"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50" cm="1">
        <f t="array" ref="F24">Common_InputFunctions.Utility_LookupValueInTableNumber(D24,Table_Fertiliser_ChemicalCompounds[Fertiliser type f],Table_Fertiliser_ChemicalCompounds[FNinorganic f])</f>
        <v>0.33700000000000002</v>
      </c>
      <c r="G24" s="50" cm="1">
        <f t="array" ref="G24">Fertiliser_Equations_InorganicN2O.VEERG_5_1_1_1__2_MassOfNitrogenInInorganicFertiliser(E24,F24)</f>
        <v>0</v>
      </c>
      <c r="I24" s="2"/>
      <c r="M24" s="54" t="str">
        <v>f</v>
      </c>
      <c r="N24" s="55" t="str">
        <v>Inorganic fertiliser type</v>
      </c>
      <c r="O24" s="93"/>
      <c r="P24" s="54" t="str">
        <v/>
      </c>
      <c r="Q24" s="119" t="str">
        <v>Constant</v>
      </c>
      <c r="R24" s="55" t="s">
        <v>173</v>
      </c>
      <c r="S24" s="56"/>
    </row>
    <row r="25" spans="1:19" ht="20.100000000000001" customHeight="1" x14ac:dyDescent="0.25">
      <c r="D25" s="50" t="str">
        <v>Calcium ammonium nitrate (CAN)</v>
      </c>
      <c r="E25" s="50"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50" cm="1">
        <f t="array" ref="F25">Common_InputFunctions.Utility_LookupValueInTableNumber(D25,Table_Fertiliser_ChemicalCompounds[Fertiliser type f],Table_Fertiliser_ChemicalCompounds[FNinorganic f])</f>
        <v>0.27</v>
      </c>
      <c r="G25" s="50" cm="1">
        <f t="array" ref="G25">Fertiliser_Equations_InorganicN2O.VEERG_5_1_1_1__2_MassOfNitrogenInInorganicFertiliser(E25,F25)</f>
        <v>0</v>
      </c>
      <c r="I25" s="2"/>
    </row>
    <row r="26" spans="1:19" ht="20.100000000000001" customHeight="1" x14ac:dyDescent="0.25">
      <c r="D26" s="50" t="str">
        <v>Nitrogen - Ammoniacal</v>
      </c>
      <c r="E26" s="50"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50" cm="1">
        <f t="array" ref="F26">Common_InputFunctions.Utility_LookupValueInTableNumber(D26,Table_Fertiliser_ChemicalCompounds[Fertiliser type f],Table_Fertiliser_ChemicalCompounds[FNinorganic f])</f>
        <v>1</v>
      </c>
      <c r="G26" s="50" cm="1">
        <f t="array" ref="G26">Fertiliser_Equations_InorganicN2O.VEERG_5_1_1_1__2_MassOfNitrogenInInorganicFertiliser(E26,F26)</f>
        <v>0</v>
      </c>
      <c r="I26" s="2"/>
    </row>
    <row r="27" spans="1:19" ht="20.100000000000001" customHeight="1" x14ac:dyDescent="0.25">
      <c r="D27" s="50" t="str">
        <v>Nitrogen - Nitrate</v>
      </c>
      <c r="E27" s="50"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1980</v>
      </c>
      <c r="F27" s="50" cm="1">
        <f t="array" ref="F27">Common_InputFunctions.Utility_LookupValueInTableNumber(D27,Table_Fertiliser_ChemicalCompounds[Fertiliser type f],Table_Fertiliser_ChemicalCompounds[FNinorganic f])</f>
        <v>1</v>
      </c>
      <c r="G27" s="50" cm="1">
        <f t="array" ref="G27">Fertiliser_Equations_InorganicN2O.VEERG_5_1_1_1__2_MassOfNitrogenInInorganicFertiliser(E27,F27)</f>
        <v>1980</v>
      </c>
      <c r="I27" s="2"/>
      <c r="M27" s="6" t="str" cm="1">
        <f t="array" ref="M27">Fertiliser_Equations_InorganicN2O.VEERG_5_1_1_2__3_EmissionFactorCotton_Title()</f>
        <v>Emission factor for nitrous oxide for cotton</v>
      </c>
    </row>
    <row r="28" spans="1:19" ht="20.100000000000001" customHeight="1" x14ac:dyDescent="0.25">
      <c r="D28" s="50" t="str">
        <v>Nitrogen - Generic</v>
      </c>
      <c r="E28" s="50"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1537.2</v>
      </c>
      <c r="F28" s="50" cm="1">
        <f t="array" ref="F28">Common_InputFunctions.Utility_LookupValueInTableNumber(D28,Table_Fertiliser_ChemicalCompounds[Fertiliser type f],Table_Fertiliser_ChemicalCompounds[FNinorganic f])</f>
        <v>1</v>
      </c>
      <c r="G28" s="50" cm="1">
        <f t="array" ref="G28">Fertiliser_Equations_InorganicN2O.VEERG_5_1_1_1__2_MassOfNitrogenInInorganicFertiliser(E28,F28)</f>
        <v>1537.2</v>
      </c>
      <c r="I28" s="2"/>
      <c r="M28" s="5" t="str" cm="1">
        <f t="array" ref="M28">Fertiliser_Equations_InorganicN2O.VEERG_5_1_1_2__3_EmissionFactorCotton_Source()</f>
        <v>VEERG 2026: 5.1.1.2, Equation (3)</v>
      </c>
    </row>
    <row r="29" spans="1:19" ht="20.100000000000001" customHeight="1" x14ac:dyDescent="0.25">
      <c r="D29" s="50" t="str">
        <v>Phosphorus - Generic</v>
      </c>
      <c r="E29" s="50"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4603.5</v>
      </c>
      <c r="F29" s="50" cm="1">
        <f t="array" ref="F29">Common_InputFunctions.Utility_LookupValueInTableNumber(D29,Table_Fertiliser_ChemicalCompounds[Fertiliser type f],Table_Fertiliser_ChemicalCompounds[FNinorganic f])</f>
        <v>0</v>
      </c>
      <c r="G29" s="50" cm="1">
        <f t="array" ref="G29">Fertiliser_Equations_InorganicN2O.VEERG_5_1_1_1__2_MassOfNitrogenInInorganicFertiliser(E29,F29)</f>
        <v>0</v>
      </c>
      <c r="I29" s="2"/>
    </row>
    <row r="30" spans="1:19" ht="20.100000000000001" customHeight="1" x14ac:dyDescent="0.25">
      <c r="D30" s="50" t="str">
        <v>Potassium - Generic</v>
      </c>
      <c r="E30" s="50"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6158</v>
      </c>
      <c r="F30" s="50" cm="1">
        <f t="array" ref="F30">Common_InputFunctions.Utility_LookupValueInTableNumber(D30,Table_Fertiliser_ChemicalCompounds[Fertiliser type f],Table_Fertiliser_ChemicalCompounds[FNinorganic f])</f>
        <v>0</v>
      </c>
      <c r="G30" s="50" cm="1">
        <f t="array" ref="G30">Fertiliser_Equations_InorganicN2O.VEERG_5_1_1_1__2_MassOfNitrogenInInorganicFertiliser(E30,F30)</f>
        <v>0</v>
      </c>
      <c r="I30" s="2"/>
    </row>
    <row r="31" spans="1:19" ht="20.100000000000001" customHeight="1" x14ac:dyDescent="0.25">
      <c r="D31" s="50" t="str">
        <v>Sulfur - Generic</v>
      </c>
      <c r="E31" s="50"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F31" s="50" cm="1">
        <f t="array" ref="F31">Common_InputFunctions.Utility_LookupValueInTableNumber(D31,Table_Fertiliser_ChemicalCompounds[Fertiliser type f],Table_Fertiliser_ChemicalCompounds[FNinorganic f])</f>
        <v>0</v>
      </c>
      <c r="G31" s="50" cm="1">
        <f t="array" ref="G31">Fertiliser_Equations_InorganicN2O.VEERG_5_1_1_1__2_MassOfNitrogenInInorganicFertiliser(E31,F31)</f>
        <v>0</v>
      </c>
      <c r="I31" s="2"/>
    </row>
    <row r="32" spans="1:19" ht="20.100000000000001" customHeight="1" x14ac:dyDescent="0.25">
      <c r="D32" s="50" t="str">
        <v>Zinc - Generic</v>
      </c>
      <c r="E32" s="50"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50" cm="1">
        <f t="array" ref="F32">Common_InputFunctions.Utility_LookupValueInTableNumber(D32,Table_Fertiliser_ChemicalCompounds[Fertiliser type f],Table_Fertiliser_ChemicalCompounds[FNinorganic f])</f>
        <v>0</v>
      </c>
      <c r="G32" s="50" cm="1">
        <f t="array" ref="G32">Fertiliser_Equations_InorganicN2O.VEERG_5_1_1_1__2_MassOfNitrogenInInorganicFertiliser(E32,F32)</f>
        <v>0</v>
      </c>
      <c r="I32" s="2"/>
      <c r="M32" s="51" t="s">
        <v>25</v>
      </c>
      <c r="N32" s="1" t="str" cm="1">
        <f t="array" ref="N32">Fertiliser_Equations_InorganicN2O.VEERG_5_1_1_2__3_EmissionFactorCotton_Variable()</f>
        <v>EF_fjCottonN2O</v>
      </c>
    </row>
    <row r="33" spans="1:23" ht="20.100000000000001" customHeight="1" x14ac:dyDescent="0.25">
      <c r="D33" s="50" t="str">
        <v>Muriate of potash (MOP)</v>
      </c>
      <c r="E33" s="50"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50" cm="1">
        <f t="array" ref="F33">Common_InputFunctions.Utility_LookupValueInTableNumber(D33,Table_Fertiliser_ChemicalCompounds[Fertiliser type f],Table_Fertiliser_ChemicalCompounds[FNinorganic f])</f>
        <v>0</v>
      </c>
      <c r="G33" s="50" cm="1">
        <f t="array" ref="G33">Fertiliser_Equations_InorganicN2O.VEERG_5_1_1_1__2_MassOfNitrogenInInorganicFertiliser(E33,F33)</f>
        <v>0</v>
      </c>
      <c r="I33" s="2"/>
      <c r="M33" s="51" t="s">
        <v>16</v>
      </c>
      <c r="N33" s="52" t="str" cm="1">
        <f t="array" ref="N33">Fertiliser_Equations_InorganicN2O.VEERG_5_1_1_2__3_EmissionFactorCotton_Unit()</f>
        <v>kg N2O-N/kg N applied</v>
      </c>
    </row>
    <row r="34" spans="1:23" ht="20.100000000000001" customHeight="1" x14ac:dyDescent="0.25">
      <c r="D34" s="50" t="str">
        <v>Double superphosphate</v>
      </c>
      <c r="E34" s="50"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50" cm="1">
        <f t="array" ref="F34">Common_InputFunctions.Utility_LookupValueInTableNumber(D34,Table_Fertiliser_ChemicalCompounds[Fertiliser type f],Table_Fertiliser_ChemicalCompounds[FNinorganic f])</f>
        <v>0</v>
      </c>
      <c r="G34" s="50" cm="1">
        <f t="array" ref="G34">Fertiliser_Equations_InorganicN2O.VEERG_5_1_1_1__2_MassOfNitrogenInInorganicFertiliser(E34,F34)</f>
        <v>0</v>
      </c>
      <c r="I34" s="2"/>
    </row>
    <row r="35" spans="1:23" ht="20.100000000000001" customHeight="1" x14ac:dyDescent="0.25">
      <c r="D35" s="50" t="str">
        <v>Single superphosphate (SSP)</v>
      </c>
      <c r="E35" s="50"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50" cm="1">
        <f t="array" ref="F35">Common_InputFunctions.Utility_LookupValueInTableNumber(D35,Table_Fertiliser_ChemicalCompounds[Fertiliser type f],Table_Fertiliser_ChemicalCompounds[FNinorganic f])</f>
        <v>0</v>
      </c>
      <c r="G35" s="50" cm="1">
        <f t="array" ref="G35">Fertiliser_Equations_InorganicN2O.VEERG_5_1_1_1__2_MassOfNitrogenInInorganicFertiliser(E35,F35)</f>
        <v>0</v>
      </c>
      <c r="I35" s="2"/>
      <c r="M35" s="54" t="str" cm="1">
        <f t="array" ref="M35:N36">_xlfn.CHOOSECOLS(Fertiliser_Equations_InorganicN2O.VEERG_5_1_1_2__3_EmissionFactorCotton_Arguments(), 1, 2)</f>
        <v>N_fjCotton</v>
      </c>
      <c r="N35" s="55" t="str">
        <v>application rate of inorganic fertiliser type f in the cotton crop</v>
      </c>
      <c r="O35" s="93"/>
      <c r="P35" s="55" t="str" cm="1">
        <f t="array" ref="P35:Q36">_xlfn.CHOOSECOLS(Fertiliser_Equations_InorganicN2O.VEERG_5_1_1_2__3_EmissionFactorCotton_Arguments(), 3,4)</f>
        <v>kg N/ha</v>
      </c>
      <c r="Q35" s="120" t="str">
        <v>Input</v>
      </c>
      <c r="R35" s="146" t="str" cm="1">
        <f t="array" aca="1" ref="R35" ca="1">HYPERLINK(Common_InputFunctions.Utility_SourceHyperlink($M$41), $M$41)</f>
        <v>M2_Table_FertApplications</v>
      </c>
      <c r="S35" s="56"/>
    </row>
    <row r="36" spans="1:23" ht="20.100000000000001" customHeight="1" x14ac:dyDescent="0.25">
      <c r="D36" s="50" t="str">
        <v>Ammonia</v>
      </c>
      <c r="E36" s="50"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50" cm="1">
        <f t="array" ref="F36">Common_InputFunctions.Utility_LookupValueInTableNumber(D36,Table_Fertiliser_ChemicalCompounds[Fertiliser type f],Table_Fertiliser_ChemicalCompounds[FNinorganic f])</f>
        <v>0.82350000000000001</v>
      </c>
      <c r="G36" s="50" cm="1">
        <f t="array" ref="G36">Fertiliser_Equations_InorganicN2O.VEERG_5_1_1_1__2_MassOfNitrogenInInorganicFertiliser(E36,F36)</f>
        <v>4117.5</v>
      </c>
      <c r="I36" s="2"/>
      <c r="M36" s="54" t="str">
        <v>f</v>
      </c>
      <c r="N36" s="55" t="str">
        <v>Inorganic fertiliser type</v>
      </c>
      <c r="O36" s="93"/>
      <c r="P36" s="55" t="str">
        <v/>
      </c>
      <c r="Q36" s="119" t="str">
        <v>Constant</v>
      </c>
      <c r="R36" s="55" t="s">
        <v>173</v>
      </c>
      <c r="S36" s="56"/>
    </row>
    <row r="37" spans="1:23" ht="20.100000000000001" customHeight="1" x14ac:dyDescent="0.25">
      <c r="A37" s="157" t="str">
        <f>HYPERLINK("#A1", "▲ Back to top")</f>
        <v>▲ Back to top</v>
      </c>
      <c r="D37" s="50" t="str">
        <v>Calcium nitrate</v>
      </c>
      <c r="E37" s="50"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50" cm="1">
        <f t="array" ref="F37">Common_InputFunctions.Utility_LookupValueInTableNumber(D37,Table_Fertiliser_ChemicalCompounds[Fertiliser type f],Table_Fertiliser_ChemicalCompounds[FNinorganic f])</f>
        <v>0.155</v>
      </c>
      <c r="G37" s="50" cm="1">
        <f t="array" ref="G37">Fertiliser_Equations_InorganicN2O.VEERG_5_1_1_1__2_MassOfNitrogenInInorganicFertiliser(E37,F37)</f>
        <v>775</v>
      </c>
      <c r="H37" s="51"/>
      <c r="I37" s="2"/>
    </row>
    <row r="38" spans="1:23" ht="20.100000000000001" customHeight="1" x14ac:dyDescent="0.25">
      <c r="N38" s="99"/>
      <c r="O38" s="99"/>
      <c r="P38" s="99"/>
    </row>
    <row r="39" spans="1:23" ht="20.100000000000001" customHeight="1" x14ac:dyDescent="0.25">
      <c r="C39" s="44"/>
      <c r="D39" s="44"/>
      <c r="E39" s="44"/>
      <c r="F39" s="44"/>
      <c r="G39" s="44"/>
      <c r="H39" s="44"/>
      <c r="I39" s="44"/>
      <c r="J39" s="44"/>
      <c r="M39" s="99" t="s">
        <v>182</v>
      </c>
    </row>
    <row r="40" spans="1:23" ht="20.100000000000001" customHeight="1" x14ac:dyDescent="0.25">
      <c r="D40" s="6" t="str" cm="1">
        <f t="array" ref="D40">Fertiliser_Equations_InorganicN2O.VEERG_5_1_1_1__1_InorganicFertiliserApplicationN2OEmissions_Title()</f>
        <v>Nitrous oxide emissions from the application of all inorganic fertiliser types f to all production systems j</v>
      </c>
    </row>
    <row r="41" spans="1:23" ht="20.100000000000001" customHeight="1" x14ac:dyDescent="0.25">
      <c r="D41" s="5" t="str" cm="1">
        <f t="array" ref="D41">Fertiliser_Equations_InorganicN2O.VEERG_5_1_1_1__1_InorganicFertiliserApplicationN2OEmissions_Source()</f>
        <v>VEERG 2026: 5.1.1.1, Equation (1)</v>
      </c>
      <c r="M41" s="92" t="s">
        <v>174</v>
      </c>
      <c r="T41" s="100" t="s">
        <v>201</v>
      </c>
    </row>
    <row r="42" spans="1:23" ht="20.100000000000001" customHeight="1" x14ac:dyDescent="0.25">
      <c r="D42" s="13" t="s">
        <v>22</v>
      </c>
      <c r="E42" s="13" t="str" cm="1">
        <f t="array" aca="1" ref="E42" ca="1">Common_InputFunctions.Utility_DisplayFunctionName($E$60)</f>
        <v>=Fertiliser_Equations_InorganicN2O.VEERG_5_1_1_1__1_InorganicFertiliserApplicationN2OEmissions</v>
      </c>
      <c r="F42" s="2"/>
      <c r="M42" s="91" t="s">
        <v>172</v>
      </c>
    </row>
    <row r="43" spans="1:23" ht="20.100000000000001" customHeight="1" x14ac:dyDescent="0.25">
      <c r="F43" s="2"/>
      <c r="O43" s="118" t="s">
        <v>179</v>
      </c>
      <c r="P43" s="118" t="s">
        <v>178</v>
      </c>
      <c r="Q43" s="118" t="s">
        <v>142</v>
      </c>
      <c r="R43" s="118" t="str">
        <f>$N$10</f>
        <v>kg N2O-N/kg N applied</v>
      </c>
      <c r="S43" s="118" t="str">
        <f>$N$21</f>
        <v>kg N2O-N/kg N applied</v>
      </c>
      <c r="T43" s="118" t="s">
        <v>179</v>
      </c>
      <c r="U43" s="118" t="s">
        <v>142</v>
      </c>
      <c r="V43" s="118" t="str">
        <f>$N$33</f>
        <v>kg N2O-N/kg N applied</v>
      </c>
      <c r="W43" s="118" t="s">
        <v>180</v>
      </c>
    </row>
    <row r="44" spans="1:23" ht="20.100000000000001" customHeight="1" x14ac:dyDescent="0.25">
      <c r="F44" s="2"/>
      <c r="M44" s="49" t="s">
        <v>171</v>
      </c>
      <c r="N44" s="112" t="s">
        <v>171</v>
      </c>
      <c r="O44" s="112" t="s">
        <v>166</v>
      </c>
      <c r="P44" s="112" t="s">
        <v>167</v>
      </c>
      <c r="Q44" s="49" t="s">
        <v>168</v>
      </c>
      <c r="R44" s="49" t="str">
        <f>N9</f>
        <v>EF_fjIrrigatedMaizeN2O</v>
      </c>
      <c r="S44" s="49" t="str">
        <f>N20</f>
        <v>EF_fjNonIrrigatedGrainsN2O</v>
      </c>
      <c r="T44" s="49" t="s">
        <v>181</v>
      </c>
      <c r="U44" s="49" t="s">
        <v>177</v>
      </c>
      <c r="V44" s="49" t="str">
        <f>N32</f>
        <v>EF_fjCottonN2O</v>
      </c>
      <c r="W44" s="49" t="s">
        <v>233</v>
      </c>
    </row>
    <row r="45" spans="1:23" ht="20.100000000000001" customHeight="1" x14ac:dyDescent="0.25">
      <c r="F45" s="2"/>
      <c r="M45" s="50" t="s">
        <v>176</v>
      </c>
      <c r="N45" s="50" t="str" cm="1">
        <f t="array" ref="N45:N49">Table_Input_InorganicFertiliser_Brands[Product (select)]</f>
        <v>Aqua Finish</v>
      </c>
      <c r="O45" s="50" cm="1">
        <f t="array" ref="O45:O49">Table_Input_InorganicFertiliser_Brands[N application rate (kg/ha)]</f>
        <v>3.2759999999999998</v>
      </c>
      <c r="P45" s="50" cm="1">
        <f t="array" ref="P45:P49">Table_Input_InorganicFertiliser_Brands[Application area (ha)]</f>
        <v>100</v>
      </c>
      <c r="Q45" s="50">
        <f>O45*P45</f>
        <v>327.59999999999997</v>
      </c>
      <c r="R45" s="50" cm="1">
        <f t="array" ref="R45">IF(O45&gt;0, Fertiliser_Equations_InorganicN2O.VEERG_5_1_1_2__1_EmissionFactorIrrigatedMaize(O45), 0)</f>
        <v>-1.2741640000000002E-3</v>
      </c>
      <c r="S45" s="50" cm="1">
        <f t="array" ref="S45">IF(O45&gt;0, Fertiliser_Equations_InorganicN2O.VEERG_5_1_1_2__2_EmissionFactorNonIrrigatedGrainsHighRainfall(O45), 0)</f>
        <v>1.0267E-3</v>
      </c>
      <c r="T45" s="50">
        <f>IF(O45&gt;0, MIN(300, O45), 0)</f>
        <v>3.2759999999999998</v>
      </c>
      <c r="U45" s="50">
        <f>P45*T45</f>
        <v>327.59999999999997</v>
      </c>
      <c r="V45" s="50" cm="1">
        <f t="array" ref="V45">IF(O45&gt;0, Fertiliser_Equations_InorganicN2O.VEERG_5_1_1_2__3_EmissionFactorCotton(T45), 0)</f>
        <v>2.902753508679765E-5</v>
      </c>
      <c r="W45" s="50">
        <f>IF(O45&gt;0,Common_InputFunctions.Utility_LookupN2OEFFromProdIrrigationRainfall($S$70,$S$73,$S$74,Table_SourceData_Common_EFN2O[Production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6" spans="1:23" ht="20.100000000000001" customHeight="1" x14ac:dyDescent="0.25">
      <c r="D46" s="51" t="s">
        <v>25</v>
      </c>
      <c r="E46" s="1" t="str" cm="1">
        <f t="array" ref="E46">Fertiliser_Equations_InorganicN2O.VEERG_5_1_1_1__1_InorganicFertiliserApplicationN2OEmissions_Variable()</f>
        <v>E_N2O</v>
      </c>
      <c r="F46" s="2"/>
      <c r="M46" s="50" t="s">
        <v>176</v>
      </c>
      <c r="N46" s="50" t="str">
        <v>CalPhos</v>
      </c>
      <c r="O46" s="50">
        <v>0</v>
      </c>
      <c r="P46" s="50">
        <v>100</v>
      </c>
      <c r="Q46" s="50">
        <f>O46*P46</f>
        <v>0</v>
      </c>
      <c r="R46" s="50" cm="1">
        <f t="array" ref="R46">IF(O46&gt;0, Fertiliser_Equations_InorganicN2O.VEERG_5_1_1_2__1_EmissionFactorIrrigatedMaize(O46), 0)</f>
        <v>0</v>
      </c>
      <c r="S46" s="50" cm="1">
        <f t="array" ref="S46">IF(O46&gt;0, Fertiliser_Equations_InorganicN2O.VEERG_5_1_1_2__2_EmissionFactorNonIrrigatedGrainsHighRainfall(O46), 0)</f>
        <v>0</v>
      </c>
      <c r="T46" s="50">
        <f t="shared" ref="T46:T54" si="0">IF(O46&gt;0, MIN(300, O46), 0)</f>
        <v>0</v>
      </c>
      <c r="U46" s="50">
        <f t="shared" ref="U46:U54" si="1">P46*T46</f>
        <v>0</v>
      </c>
      <c r="V46" s="50" cm="1">
        <f t="array" ref="V46">IF(O46&gt;0, Fertiliser_Equations_InorganicN2O.VEERG_5_1_1_2__3_EmissionFactorCotton(T46), 0)</f>
        <v>0</v>
      </c>
      <c r="W46" s="50">
        <f>IF(O46&gt;0,Common_InputFunctions.Utility_LookupN2OEFFromProdIrrigationRainfall($S$70,$S$73,$S$74,Table_SourceData_Common_EFN2O[Production system only],Table_SourceData_Common_EFN2O[Irrigation method],Table_SourceData_Common_EFN2O[Rainfall zone],Table_SourceData_Common_EFN2O[EFN2O]), 0)</f>
        <v>0</v>
      </c>
    </row>
    <row r="47" spans="1:23" ht="20.100000000000001" customHeight="1" x14ac:dyDescent="0.25">
      <c r="D47" s="51" t="s">
        <v>16</v>
      </c>
      <c r="E47" s="52" t="str" cm="1">
        <f t="array" ref="E47">Fertiliser_Equations_InorganicN2O.VEERG_5_1_1_1__1_InorganicFertiliserApplicationN2OEmissions_Unit()</f>
        <v>t N2O</v>
      </c>
      <c r="F47" s="2"/>
      <c r="M47" s="50" t="s">
        <v>176</v>
      </c>
      <c r="N47" s="50" t="str">
        <v>CalPhos</v>
      </c>
      <c r="O47" s="50">
        <v>0</v>
      </c>
      <c r="P47" s="50">
        <v>100</v>
      </c>
      <c r="Q47" s="50">
        <f t="shared" ref="Q47:Q54" si="2">O47*P47</f>
        <v>0</v>
      </c>
      <c r="R47" s="50" cm="1">
        <f t="array" ref="R47">IF(O47&gt;0, Fertiliser_Equations_InorganicN2O.VEERG_5_1_1_2__1_EmissionFactorIrrigatedMaize(O47), 0)</f>
        <v>0</v>
      </c>
      <c r="S47" s="50" cm="1">
        <f t="array" ref="S47">IF(O47&gt;0, Fertiliser_Equations_InorganicN2O.VEERG_5_1_1_2__2_EmissionFactorNonIrrigatedGrainsHighRainfall(O47), 0)</f>
        <v>0</v>
      </c>
      <c r="T47" s="50">
        <f t="shared" si="0"/>
        <v>0</v>
      </c>
      <c r="U47" s="50">
        <f t="shared" si="1"/>
        <v>0</v>
      </c>
      <c r="V47" s="50" cm="1">
        <f t="array" ref="V47">IF(O47&gt;0, Fertiliser_Equations_InorganicN2O.VEERG_5_1_1_2__3_EmissionFactorCotton(T47), 0)</f>
        <v>0</v>
      </c>
      <c r="W47" s="50">
        <f>IF(O47&gt;0,Common_InputFunctions.Utility_LookupN2OEFFromProdIrrigationRainfall($S$70,$S$73,$S$74,Table_SourceData_Common_EFN2O[Production system only],Table_SourceData_Common_EFN2O[Irrigation method],Table_SourceData_Common_EFN2O[Rainfall zone],Table_SourceData_Common_EFN2O[EFN2O]), 0)</f>
        <v>0</v>
      </c>
    </row>
    <row r="48" spans="1:23" ht="20.100000000000001" customHeight="1" x14ac:dyDescent="0.25">
      <c r="F48" s="2"/>
      <c r="M48" s="50" t="s">
        <v>176</v>
      </c>
      <c r="N48" s="50" t="str">
        <v>Aqua Grow</v>
      </c>
      <c r="O48" s="50">
        <v>12.096</v>
      </c>
      <c r="P48" s="50">
        <v>100</v>
      </c>
      <c r="Q48" s="50">
        <f t="shared" si="2"/>
        <v>1209.5999999999999</v>
      </c>
      <c r="R48" s="50" cm="1">
        <f t="array" ref="R48">IF(O48&gt;0, Fertiliser_Equations_InorganicN2O.VEERG_5_1_1_2__1_EmissionFactorIrrigatedMaize(O48), 0)</f>
        <v>-7.3614399999999999E-4</v>
      </c>
      <c r="S48" s="50" cm="1">
        <f t="array" ref="S48">IF(O48&gt;0, Fertiliser_Equations_InorganicN2O.VEERG_5_1_1_2__2_EmissionFactorNonIrrigatedGrainsHighRainfall(O48), 0)</f>
        <v>1.6881999999999999E-3</v>
      </c>
      <c r="T48" s="50">
        <f t="shared" si="0"/>
        <v>12.096</v>
      </c>
      <c r="U48" s="50">
        <f t="shared" si="1"/>
        <v>1209.5999999999999</v>
      </c>
      <c r="V48" s="50" cm="1">
        <f t="array" ref="V48">IF(O48&gt;0, Fertiliser_Equations_InorganicN2O.VEERG_5_1_1_2__3_EmissionFactorCotton(T48), 0)</f>
        <v>2.903266653082426E-5</v>
      </c>
      <c r="W48" s="50">
        <f>IF(O48&gt;0,Common_InputFunctions.Utility_LookupN2OEFFromProdIrrigationRainfall($S$70,$S$73,$S$74,Table_SourceData_Common_EFN2O[Production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9" spans="4:24" ht="20.100000000000001" customHeight="1" x14ac:dyDescent="0.25">
      <c r="D49" s="54" t="str" cm="1">
        <f t="array" ref="D49:E55">_xlfn.CHOOSECOLS(Fertiliser_Equations_InorganicN2O.VEERG_5_1_1_1__1_InorganicFertiliserApplicationN2OEmissions_Arguments(), 1, 2)</f>
        <v>MN_jf</v>
      </c>
      <c r="E49" s="55" t="str">
        <v>mass of nitrogen in inorganic fertiliser type f applied to production system j</v>
      </c>
      <c r="F49" s="93"/>
      <c r="G49" s="54" t="str" cm="1">
        <f t="array" ref="G49:H55">_xlfn.CHOOSECOLS(Fertiliser_Equations_InorganicN2O.VEERG_5_1_1_1__1_InorganicFertiliserApplicationN2OEmissions_Arguments(), 3,4)</f>
        <v>kg N</v>
      </c>
      <c r="H49" s="119" t="str">
        <v>Calculated from 5.1.1.1 (2)</v>
      </c>
      <c r="I49" s="145" t="str" cm="1">
        <f t="array" aca="1" ref="I49" ca="1">HYPERLINK(Common_InputFunctions.Utility_SourceHyperlink(D16), D16)</f>
        <v>Table_MN_j_f</v>
      </c>
      <c r="M49" s="50" t="s">
        <v>176</v>
      </c>
      <c r="N49" s="50" t="str">
        <v>Aqua NitroCal</v>
      </c>
      <c r="O49" s="50">
        <v>19.8</v>
      </c>
      <c r="P49" s="50">
        <v>100</v>
      </c>
      <c r="Q49" s="50">
        <f t="shared" si="2"/>
        <v>1980</v>
      </c>
      <c r="R49" s="50" cm="1">
        <f t="array" ref="R49">IF(O49&gt;0, Fertiliser_Equations_InorganicN2O.VEERG_5_1_1_2__1_EmissionFactorIrrigatedMaize(O49), 0)</f>
        <v>-2.6619999999999991E-4</v>
      </c>
      <c r="S49" s="50" cm="1">
        <f t="array" ref="S49">IF(O49&gt;0, Fertiliser_Equations_InorganicN2O.VEERG_5_1_1_2__2_EmissionFactorNonIrrigatedGrainsHighRainfall(O49), 0)</f>
        <v>2.2660000000000002E-3</v>
      </c>
      <c r="T49" s="50">
        <f t="shared" si="0"/>
        <v>19.8</v>
      </c>
      <c r="U49" s="50">
        <f t="shared" si="1"/>
        <v>1980</v>
      </c>
      <c r="V49" s="50" cm="1">
        <f t="array" ref="V49">IF(O49&gt;0, Fertiliser_Equations_InorganicN2O.VEERG_5_1_1_2__3_EmissionFactorCotton(T49), 0)</f>
        <v>2.9038198888180622E-5</v>
      </c>
      <c r="W49" s="50">
        <f>IF(O49&gt;0,Common_InputFunctions.Utility_LookupN2OEFFromProdIrrigationRainfall($S$70,$S$73,$S$74,Table_SourceData_Common_EFN2O[Production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0" spans="4:24" ht="20.100000000000001" customHeight="1" x14ac:dyDescent="0.25">
      <c r="D50" s="54" t="str">
        <v>EF_jN2O</v>
      </c>
      <c r="E50" s="55" t="str">
        <v>emission factor for nitrous oxide for inorganic fertilisers</v>
      </c>
      <c r="F50" s="93"/>
      <c r="G50" s="54" t="str">
        <v>kg N2O-N/kg N applied</v>
      </c>
      <c r="H50" s="119" t="str">
        <v>Constant</v>
      </c>
      <c r="I50" s="54">
        <f>Common_InputFunctions.Utility_LookupN2OEFFromProdIrrigationRainfall(I52,I54,I55,Table_SourceData_Common_EFN2O[Production system only],Table_SourceData_Common_EFN2O[Irrigation method],Table_SourceData_Common_EFN2O[Rainfall zone],Table_SourceData_Common_EFN2O[EFN2O])</f>
        <v>7.0000000000000001E-3</v>
      </c>
      <c r="M50" s="50" t="s">
        <v>175</v>
      </c>
      <c r="N50" s="50" t="str" cm="1">
        <f t="array" ref="N50:N52">Table_Input_InorganicFertiliser_Custom[Custom blend name]</f>
        <v>My first custom blend</v>
      </c>
      <c r="O50" s="50" cm="1">
        <f t="array" ref="O50:O52">Table_Input_InorganicFertiliser_Custom[N application rate (kg/ha)]</f>
        <v>7.75</v>
      </c>
      <c r="P50" s="50" cm="1">
        <f t="array" ref="P50:P52">Table_Input_InorganicFertiliser_Custom[Application area (ha)]</f>
        <v>100</v>
      </c>
      <c r="Q50" s="50">
        <f t="shared" si="2"/>
        <v>775</v>
      </c>
      <c r="R50" s="50" cm="1">
        <f t="array" ref="R50">IF(O50&gt;0, Fertiliser_Equations_InorganicN2O.VEERG_5_1_1_2__1_EmissionFactorIrrigatedMaize(O50), 0)</f>
        <v>-1.00125E-3</v>
      </c>
      <c r="S50" s="50" cm="1">
        <f t="array" ref="S50">IF(O50&gt;0, Fertiliser_Equations_InorganicN2O.VEERG_5_1_1_2__2_EmissionFactorNonIrrigatedGrainsHighRainfall(O50), 0)</f>
        <v>1.36225E-3</v>
      </c>
      <c r="T50" s="50">
        <f t="shared" si="0"/>
        <v>7.75</v>
      </c>
      <c r="U50" s="50">
        <f t="shared" si="1"/>
        <v>775</v>
      </c>
      <c r="V50" s="50" cm="1">
        <f t="array" ref="V50">IF(O50&gt;0, Fertiliser_Equations_InorganicN2O.VEERG_5_1_1_2__3_EmissionFactorCotton(T50), 0)</f>
        <v>2.9029995329592254E-5</v>
      </c>
      <c r="W50" s="50">
        <f>IF(O50&gt;0,Common_InputFunctions.Utility_LookupN2OEFFromProdIrrigationRainfall($S$70,$S$73,$S$74,Table_SourceData_Common_EFN2O[Production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1" spans="4:24" ht="20.100000000000001" customHeight="1" x14ac:dyDescent="0.25">
      <c r="D51" s="54" t="str">
        <v>C_N2O</v>
      </c>
      <c r="E51" s="55" t="str">
        <v>factor to convert elemental mass of nitrous oxide to molecular mass</v>
      </c>
      <c r="F51" s="93"/>
      <c r="G51" s="54" t="str">
        <v/>
      </c>
      <c r="H51" s="119" t="str">
        <v>Constant</v>
      </c>
      <c r="I51" s="54">
        <f>Common_InputFunctions.Utility_LookupValueInTableNumber("N2O",Table_GasToMolecularConversionFactor[Gas],Table_GasToMolecularConversionFactor[Conversion factor combined])</f>
        <v>1.5714285714285714</v>
      </c>
      <c r="M51" s="50" t="s">
        <v>175</v>
      </c>
      <c r="N51" s="50" t="str">
        <v>My second custom blend</v>
      </c>
      <c r="O51" s="50">
        <v>46</v>
      </c>
      <c r="P51" s="50">
        <v>100</v>
      </c>
      <c r="Q51" s="50">
        <f t="shared" si="2"/>
        <v>4600</v>
      </c>
      <c r="R51" s="50" cm="1">
        <f t="array" ref="R51">IF(O51&gt;0, Fertiliser_Equations_InorganicN2O.VEERG_5_1_1_2__1_EmissionFactorIrrigatedMaize(O51), 0)</f>
        <v>1.3320000000000001E-3</v>
      </c>
      <c r="S51" s="50" cm="1">
        <f t="array" ref="S51">IF(O51&gt;0, Fertiliser_Equations_InorganicN2O.VEERG_5_1_1_2__2_EmissionFactorNonIrrigatedGrainsHighRainfall(O51), 0)</f>
        <v>4.2309999999999995E-3</v>
      </c>
      <c r="T51" s="50">
        <f t="shared" si="0"/>
        <v>46</v>
      </c>
      <c r="U51" s="50">
        <f t="shared" si="1"/>
        <v>4600</v>
      </c>
      <c r="V51" s="50" cm="1">
        <f t="array" ref="V51">IF(O51&gt;0, Fertiliser_Equations_InorganicN2O.VEERG_5_1_1_2__3_EmissionFactorCotton(T51), 0)</f>
        <v>2.9068248573243379E-5</v>
      </c>
      <c r="W51" s="50">
        <f>IF(O51&gt;0,Common_InputFunctions.Utility_LookupN2OEFFromProdIrrigationRainfall($S$70,$S$73,$S$74,Table_SourceData_Common_EFN2O[Production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2" spans="4:24" ht="20.100000000000001" customHeight="1" x14ac:dyDescent="0.25">
      <c r="D52" s="54" t="str">
        <v>j</v>
      </c>
      <c r="E52" s="55" t="str">
        <v>Production system</v>
      </c>
      <c r="F52" s="93"/>
      <c r="G52" s="54" t="str">
        <v/>
      </c>
      <c r="H52" s="120" t="str">
        <v>Input</v>
      </c>
      <c r="I52" s="54" t="str">
        <f>X_Cell_Fertiliser_ProductionSystem</f>
        <v>Crop</v>
      </c>
      <c r="M52" s="50" t="s">
        <v>175</v>
      </c>
      <c r="N52" s="50" t="str">
        <v>My third custom blend</v>
      </c>
      <c r="O52" s="50">
        <v>41.174999999999997</v>
      </c>
      <c r="P52" s="50">
        <v>100</v>
      </c>
      <c r="Q52" s="50">
        <f t="shared" si="2"/>
        <v>4117.5</v>
      </c>
      <c r="R52" s="50" cm="1">
        <f t="array" ref="R52">IF(O52&gt;0, Fertiliser_Equations_InorganicN2O.VEERG_5_1_1_2__1_EmissionFactorIrrigatedMaize(O52), 0)</f>
        <v>1.0376749999999998E-3</v>
      </c>
      <c r="S52" s="50" cm="1">
        <f t="array" ref="S52">IF(O52&gt;0, Fertiliser_Equations_InorganicN2O.VEERG_5_1_1_2__2_EmissionFactorNonIrrigatedGrainsHighRainfall(O52), 0)</f>
        <v>3.8691250000000002E-3</v>
      </c>
      <c r="T52" s="50">
        <f t="shared" si="0"/>
        <v>41.174999999999997</v>
      </c>
      <c r="U52" s="50">
        <f t="shared" si="1"/>
        <v>4117.5</v>
      </c>
      <c r="V52" s="50" cm="1">
        <f t="array" ref="V52">IF(O52&gt;0, Fertiliser_Equations_InorganicN2O.VEERG_5_1_1_2__3_EmissionFactorCotton(T52), 0)</f>
        <v>2.9061000580963132E-5</v>
      </c>
      <c r="W52" s="50">
        <f>IF(O52&gt;0,Common_InputFunctions.Utility_LookupN2OEFFromProdIrrigationRainfall($S$70,$S$73,$S$74,Table_SourceData_Common_EFN2O[Production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3" spans="4:24" ht="20.100000000000001" customHeight="1" x14ac:dyDescent="0.25">
      <c r="D53" s="54" t="str">
        <v>f</v>
      </c>
      <c r="E53" s="55" t="str">
        <v>Inorganic fertiliser type</v>
      </c>
      <c r="F53" s="93"/>
      <c r="G53" s="54" t="str">
        <v/>
      </c>
      <c r="H53" s="119" t="str">
        <v>Constant</v>
      </c>
      <c r="I53" s="54" t="str">
        <f>"See " &amp; D57</f>
        <v>See M1_Table_E_N2O</v>
      </c>
      <c r="M53" s="50" t="s">
        <v>175</v>
      </c>
      <c r="N53" s="50"/>
      <c r="O53" s="50"/>
      <c r="P53" s="50"/>
      <c r="Q53" s="50">
        <f t="shared" si="2"/>
        <v>0</v>
      </c>
      <c r="R53" s="50" cm="1">
        <f t="array" ref="R53">IF(O53&gt;0, Fertiliser_Equations_InorganicN2O.VEERG_5_1_1_2__1_EmissionFactorIrrigatedMaize(O53), 0)</f>
        <v>0</v>
      </c>
      <c r="S53" s="50" cm="1">
        <f t="array" ref="S53">IF(O53&gt;0, Fertiliser_Equations_InorganicN2O.VEERG_5_1_1_2__2_EmissionFactorNonIrrigatedGrainsHighRainfall(O53), 0)</f>
        <v>0</v>
      </c>
      <c r="T53" s="50">
        <f t="shared" si="0"/>
        <v>0</v>
      </c>
      <c r="U53" s="50">
        <f t="shared" si="1"/>
        <v>0</v>
      </c>
      <c r="V53" s="50" cm="1">
        <f t="array" ref="V53">IF(O53&gt;0, Fertiliser_Equations_InorganicN2O.VEERG_5_1_1_2__3_EmissionFactorCotton(T53), 0)</f>
        <v>0</v>
      </c>
      <c r="W53" s="50">
        <f>IF(O53&gt;0,Common_InputFunctions.Utility_LookupN2OEFFromProdIrrigationRainfall($S$70,$S$73,$S$74,Table_SourceData_Common_EFN2O[Production system only],Table_SourceData_Common_EFN2O[Irrigation method],Table_SourceData_Common_EFN2O[Rainfall zone],Table_SourceData_Common_EFN2O[EFN2O]), 0)</f>
        <v>0</v>
      </c>
    </row>
    <row r="54" spans="4:24" ht="20.100000000000001" customHeight="1" x14ac:dyDescent="0.25">
      <c r="D54" s="54" t="str">
        <v>ir</v>
      </c>
      <c r="E54" s="55" t="str">
        <v>irrigation method</v>
      </c>
      <c r="F54" s="93"/>
      <c r="G54" s="54" t="str">
        <v/>
      </c>
      <c r="H54" s="120" t="str">
        <v>Input</v>
      </c>
      <c r="I54" s="54" t="str">
        <f>X_Cell_Fertiliser_IrrigationMethod</f>
        <v>Sprinkler irrigation</v>
      </c>
      <c r="M54" s="50" t="s">
        <v>175</v>
      </c>
      <c r="N54" s="50"/>
      <c r="O54" s="50"/>
      <c r="P54" s="50"/>
      <c r="Q54" s="50">
        <f t="shared" si="2"/>
        <v>0</v>
      </c>
      <c r="R54" s="50" cm="1">
        <f t="array" ref="R54">IF(O54&gt;0, Fertiliser_Equations_InorganicN2O.VEERG_5_1_1_2__1_EmissionFactorIrrigatedMaize(O54), 0)</f>
        <v>0</v>
      </c>
      <c r="S54" s="50" cm="1">
        <f t="array" ref="S54">IF(O54&gt;0, Fertiliser_Equations_InorganicN2O.VEERG_5_1_1_2__2_EmissionFactorNonIrrigatedGrainsHighRainfall(O54), 0)</f>
        <v>0</v>
      </c>
      <c r="T54" s="50">
        <f t="shared" si="0"/>
        <v>0</v>
      </c>
      <c r="U54" s="50">
        <f t="shared" si="1"/>
        <v>0</v>
      </c>
      <c r="V54" s="50" cm="1">
        <f t="array" ref="V54">IF(O54&gt;0, Fertiliser_Equations_InorganicN2O.VEERG_5_1_1_2__3_EmissionFactorCotton(T54), 0)</f>
        <v>0</v>
      </c>
      <c r="W54" s="50">
        <f>IF(O54&gt;0,Common_InputFunctions.Utility_LookupN2OEFFromProdIrrigationRainfall($S$70,$S$73,$S$74,Table_SourceData_Common_EFN2O[Production system only],Table_SourceData_Common_EFN2O[Irrigation method],Table_SourceData_Common_EFN2O[Rainfall zone],Table_SourceData_Common_EFN2O[EFN2O]), 0)</f>
        <v>0</v>
      </c>
    </row>
    <row r="55" spans="4:24" ht="20.100000000000001" customHeight="1" x14ac:dyDescent="0.25">
      <c r="D55" s="54" t="str">
        <v>z</v>
      </c>
      <c r="E55" s="55" t="str">
        <v>rainfall zone</v>
      </c>
      <c r="F55" s="93"/>
      <c r="G55" s="54" t="str">
        <v/>
      </c>
      <c r="H55" s="120" t="str">
        <v>Input</v>
      </c>
      <c r="I55" s="54" t="str">
        <f>X_Cell_Site_RainfallZone</f>
        <v>Low rainfall</v>
      </c>
    </row>
    <row r="56" spans="4:24" ht="20.100000000000001" customHeight="1" x14ac:dyDescent="0.25">
      <c r="F56" s="2"/>
    </row>
    <row r="57" spans="4:24" ht="20.100000000000001" customHeight="1" x14ac:dyDescent="0.25">
      <c r="D57" s="92" t="s">
        <v>169</v>
      </c>
      <c r="F57" s="2"/>
      <c r="L57" s="44"/>
      <c r="M57" s="44"/>
      <c r="N57" s="44"/>
      <c r="O57" s="44"/>
      <c r="P57" s="44"/>
      <c r="Q57" s="44"/>
      <c r="R57" s="44"/>
      <c r="S57" s="44"/>
      <c r="T57" s="44"/>
      <c r="U57" s="44"/>
      <c r="V57" s="44"/>
      <c r="W57" s="44"/>
      <c r="X57" s="44"/>
    </row>
    <row r="58" spans="4:24" ht="20.100000000000001" customHeight="1" x14ac:dyDescent="0.25">
      <c r="D58" s="91" t="s">
        <v>170</v>
      </c>
      <c r="F58" s="2"/>
      <c r="M58" s="6" t="str" cm="1">
        <f t="array" ref="M58">Fertiliser_Equations_InorganicN2O.VEERG_5_1_1_1__1_InorganicFertiliserApplicationN2OEmissions_Title()</f>
        <v>Nitrous oxide emissions from the application of all inorganic fertiliser types f to all production systems j</v>
      </c>
    </row>
    <row r="59" spans="4:24" ht="20.100000000000001" customHeight="1" x14ac:dyDescent="0.25">
      <c r="D59" s="49" t="s">
        <v>112</v>
      </c>
      <c r="E59" s="49" t="s">
        <v>183</v>
      </c>
      <c r="M59" s="5" t="str" cm="1">
        <f t="array" ref="M59">Fertiliser_Equations_InorganicN2O.VEERG_5_1_1_1__1_InorganicFertiliserApplicationN2OEmissions_Source()</f>
        <v>VEERG 2026: 5.1.1.1, Equation (1)</v>
      </c>
    </row>
    <row r="60" spans="4:24" ht="20.100000000000001" customHeight="1" x14ac:dyDescent="0.25">
      <c r="D60" s="50" t="str" cm="1">
        <f t="array" ref="D60:D78">Table_Fertiliser_ChemicalCompounds[Fertiliser type f]</f>
        <v>Monoammonium phosphate (MAP)</v>
      </c>
      <c r="E60" s="50" cm="1">
        <f t="array" ref="E60">Fertiliser_Equations_InorganicN2O.VEERG_5_1_1_1__1_InorganicFertiliserApplicationN2OEmissions(G19,$I$50,$I$51)</f>
        <v>0</v>
      </c>
      <c r="F60" s="2" t="str">
        <f>E47</f>
        <v>t N2O</v>
      </c>
      <c r="M60" s="13" t="s">
        <v>22</v>
      </c>
      <c r="N60" s="13" t="str" cm="1">
        <f t="array" aca="1" ref="N60" ca="1">Common_InputFunctions.Utility_DisplayFunctionName($E$60)</f>
        <v>=Fertiliser_Equations_InorganicN2O.VEERG_5_1_1_1__1_InorganicFertiliserApplicationN2OEmissions</v>
      </c>
    </row>
    <row r="61" spans="4:24" ht="20.100000000000001" customHeight="1" x14ac:dyDescent="0.25">
      <c r="D61" s="50" t="str">
        <v>Diammonium phosphate (DAP)</v>
      </c>
      <c r="E61" s="50" cm="1">
        <f t="array" ref="E61">Fertiliser_Equations_InorganicN2O.VEERG_5_1_1_1__1_InorganicFertiliserApplicationN2OEmissions(G20,$I$50,$I$51)</f>
        <v>0</v>
      </c>
    </row>
    <row r="62" spans="4:24" ht="20.100000000000001" customHeight="1" x14ac:dyDescent="0.25">
      <c r="D62" s="50" t="str">
        <v>Urea</v>
      </c>
      <c r="E62" s="50" cm="1">
        <f t="array" ref="E62">Fertiliser_Equations_InorganicN2O.VEERG_5_1_1_1__1_InorganicFertiliserApplicationN2OEmissions(G21,$I$50,$I$51)</f>
        <v>5.0599999999999999E-2</v>
      </c>
    </row>
    <row r="63" spans="4:24" ht="20.100000000000001" customHeight="1" x14ac:dyDescent="0.25">
      <c r="D63" s="50" t="str">
        <v>Sulphate of ammonia (SOA)</v>
      </c>
      <c r="E63" s="50" cm="1">
        <f t="array" ref="E63">Fertiliser_Equations_InorganicN2O.VEERG_5_1_1_1__1_InorganicFertiliserApplicationN2OEmissions(G22,$I$50,$I$51)</f>
        <v>0</v>
      </c>
    </row>
    <row r="64" spans="4:24" ht="20.100000000000001" customHeight="1" x14ac:dyDescent="0.25">
      <c r="D64" s="50" t="str">
        <v>Urea-ammonium nitrate (UAN)</v>
      </c>
      <c r="E64" s="50" cm="1">
        <f t="array" ref="E64">Fertiliser_Equations_InorganicN2O.VEERG_5_1_1_1__1_InorganicFertiliserApplicationN2OEmissions(G23,$I$50,$I$51)</f>
        <v>0</v>
      </c>
      <c r="M64" s="51" t="s">
        <v>25</v>
      </c>
      <c r="N64" s="1" t="str" cm="1">
        <f t="array" ref="N64">Fertiliser_Equations_InorganicN2O.VEERG_5_1_1_1__1_InorganicFertiliserApplicationN2OEmissions_Variable()</f>
        <v>E_N2O</v>
      </c>
    </row>
    <row r="65" spans="4:19" ht="20.100000000000001" customHeight="1" x14ac:dyDescent="0.25">
      <c r="D65" s="50" t="str">
        <v>Ammonium nitrate (AN)</v>
      </c>
      <c r="E65" s="50" cm="1">
        <f t="array" ref="E65">Fertiliser_Equations_InorganicN2O.VEERG_5_1_1_1__1_InorganicFertiliserApplicationN2OEmissions(G24,$I$50,$I$51)</f>
        <v>0</v>
      </c>
      <c r="M65" s="51" t="s">
        <v>16</v>
      </c>
      <c r="N65" s="52" t="str" cm="1">
        <f t="array" ref="N65">Fertiliser_Equations_InorganicN2O.VEERG_5_1_1_1__1_InorganicFertiliserApplicationN2OEmissions_Unit()</f>
        <v>t N2O</v>
      </c>
    </row>
    <row r="66" spans="4:19" ht="20.100000000000001" customHeight="1" x14ac:dyDescent="0.25">
      <c r="D66" s="50" t="str">
        <v>Calcium ammonium nitrate (CAN)</v>
      </c>
      <c r="E66" s="50" cm="1">
        <f t="array" ref="E66">Fertiliser_Equations_InorganicN2O.VEERG_5_1_1_1__1_InorganicFertiliserApplicationN2OEmissions(G25,$I$50,$I$51)</f>
        <v>0</v>
      </c>
    </row>
    <row r="67" spans="4:19" ht="20.100000000000001" customHeight="1" x14ac:dyDescent="0.25">
      <c r="D67" s="50" t="str">
        <v>Nitrogen - Ammoniacal</v>
      </c>
      <c r="E67" s="50" cm="1">
        <f t="array" ref="E67">Fertiliser_Equations_InorganicN2O.VEERG_5_1_1_1__1_InorganicFertiliserApplicationN2OEmissions(G26,$I$50,$I$51)</f>
        <v>0</v>
      </c>
      <c r="M67" s="54" t="str" cm="1">
        <f t="array" ref="M67:N74">_xlfn.CHOOSECOLS(Fertiliser_Equations_InorganicN2O.VEERG_5_1_1_1__1_InorganicFertiliserApplicationN2OEmissions_Arguments_Method2(), 1, 2)</f>
        <v>MN_jf</v>
      </c>
      <c r="N67" s="55" t="str">
        <v>mass of nitrogen in inorganic fertiliser type f applied to production system j</v>
      </c>
      <c r="O67" s="93"/>
      <c r="P67" s="56"/>
      <c r="Q67" s="54" t="str" cm="1">
        <f t="array" ref="Q67:R74">_xlfn.CHOOSECOLS(Fertiliser_Equations_InorganicN2O.VEERG_5_1_1_1__1_InorganicFertiliserApplicationN2OEmissions_Arguments_Method2(), 3,4)</f>
        <v>kg N</v>
      </c>
      <c r="R67" s="119" t="str">
        <v>Calculated from 5.1.1.1 (2)</v>
      </c>
      <c r="S67" s="145" t="str" cm="1">
        <f t="array" aca="1" ref="S67" ca="1">HYPERLINK(Common_InputFunctions.Utility_SourceHyperlink(M41), M41)</f>
        <v>M2_Table_FertApplications</v>
      </c>
    </row>
    <row r="68" spans="4:19" ht="20.100000000000001" customHeight="1" x14ac:dyDescent="0.25">
      <c r="D68" s="50" t="str">
        <v>Nitrogen - Nitrate</v>
      </c>
      <c r="E68" s="50" cm="1">
        <f t="array" ref="E68">Fertiliser_Equations_InorganicN2O.VEERG_5_1_1_1__1_InorganicFertiliserApplicationN2OEmissions(G27,$I$50,$I$51)</f>
        <v>2.1779999999999997E-2</v>
      </c>
      <c r="M68" s="54" t="str">
        <v>EF_jN2O</v>
      </c>
      <c r="N68" s="55" t="str">
        <v>emission factor for nitrous oxide for inorganic fertilisers</v>
      </c>
      <c r="O68" s="93"/>
      <c r="P68" s="56"/>
      <c r="Q68" s="54" t="str">
        <v>kg N2O-N/kg N applied</v>
      </c>
      <c r="R68" s="119" t="str">
        <v>Calculated from 5.1.1.2 (1)(2)(3)</v>
      </c>
      <c r="S68" s="54" t="str" cm="1">
        <f t="array" ref="S68">_xlfn.IFS(
  AND(S70="crop", S71="grains", S73="not irrigated", S74="high rainfall"), $S$44,
  AND(S70="Crop", S71="maize", S73&lt;&gt;"not irrigated"), $R$44,
  AND(S70="Crop", S71="cotton"), $V$44,
  TRUE, $W$44
)</f>
        <v>EF_jN2O</v>
      </c>
    </row>
    <row r="69" spans="4:19" ht="20.100000000000001" customHeight="1" x14ac:dyDescent="0.25">
      <c r="D69" s="50" t="str">
        <v>Nitrogen - Generic</v>
      </c>
      <c r="E69" s="50" cm="1">
        <f t="array" ref="E69">Fertiliser_Equations_InorganicN2O.VEERG_5_1_1_1__1_InorganicFertiliserApplicationN2OEmissions(G28,$I$50,$I$51)</f>
        <v>1.6909200000000003E-2</v>
      </c>
      <c r="M69" s="54" t="str">
        <v>C_N2O</v>
      </c>
      <c r="N69" s="55" t="str">
        <v>factor to convert elemental mass of nitrous oxide to molecular mass</v>
      </c>
      <c r="O69" s="93"/>
      <c r="P69" s="56"/>
      <c r="Q69" s="54" t="str">
        <v/>
      </c>
      <c r="R69" s="119" t="str">
        <v>Constant</v>
      </c>
      <c r="S69" s="54">
        <f>Common_InputFunctions.Utility_LookupValueInTableNumber("N2O",Table_GasToMolecularConversionFactor[Gas],Table_GasToMolecularConversionFactor[Conversion factor combined])</f>
        <v>1.5714285714285714</v>
      </c>
    </row>
    <row r="70" spans="4:19" ht="20.100000000000001" customHeight="1" x14ac:dyDescent="0.25">
      <c r="D70" s="50" t="str">
        <v>Phosphorus - Generic</v>
      </c>
      <c r="E70" s="50" cm="1">
        <f t="array" ref="E70">Fertiliser_Equations_InorganicN2O.VEERG_5_1_1_1__1_InorganicFertiliserApplicationN2OEmissions(G29,$I$50,$I$51)</f>
        <v>0</v>
      </c>
      <c r="M70" s="54" t="str">
        <v>j</v>
      </c>
      <c r="N70" s="55" t="str">
        <v>Production system</v>
      </c>
      <c r="O70" s="93"/>
      <c r="P70" s="56"/>
      <c r="Q70" s="54" t="str">
        <v/>
      </c>
      <c r="R70" s="120" t="str">
        <v>Input</v>
      </c>
      <c r="S70" s="54" t="str">
        <f>X_Cell_Fertiliser_ProductionSystem</f>
        <v>Crop</v>
      </c>
    </row>
    <row r="71" spans="4:19" ht="20.100000000000001" customHeight="1" x14ac:dyDescent="0.25">
      <c r="D71" s="50" t="str">
        <v>Potassium - Generic</v>
      </c>
      <c r="E71" s="50" cm="1">
        <f t="array" ref="E71">Fertiliser_Equations_InorganicN2O.VEERG_5_1_1_1__1_InorganicFertiliserApplicationN2OEmissions(G30,$I$50,$I$51)</f>
        <v>0</v>
      </c>
      <c r="M71" s="54" t="str">
        <v>c</v>
      </c>
      <c r="N71" s="55" t="str">
        <v>Crop type</v>
      </c>
      <c r="O71" s="93"/>
      <c r="P71" s="56"/>
      <c r="Q71" s="54" t="str">
        <v/>
      </c>
      <c r="R71" s="120" t="str">
        <v>Input</v>
      </c>
      <c r="S71" s="54" t="str">
        <f>X_Cell_Fertiliser_CropType</f>
        <v>Grains</v>
      </c>
    </row>
    <row r="72" spans="4:19" ht="20.100000000000001" customHeight="1" x14ac:dyDescent="0.25">
      <c r="D72" s="50" t="str">
        <v>Sulfur - Generic</v>
      </c>
      <c r="E72" s="50" cm="1">
        <f t="array" ref="E72">Fertiliser_Equations_InorganicN2O.VEERG_5_1_1_1__1_InorganicFertiliserApplicationN2OEmissions(G31,$I$50,$I$51)</f>
        <v>0</v>
      </c>
      <c r="M72" s="54" t="str">
        <v>f</v>
      </c>
      <c r="N72" s="55" t="str">
        <v>Inorganic fertiliser type</v>
      </c>
      <c r="O72" s="93"/>
      <c r="P72" s="56"/>
      <c r="Q72" s="54" t="str">
        <v/>
      </c>
      <c r="R72" s="119" t="str">
        <v>Constant</v>
      </c>
      <c r="S72" s="54" t="s">
        <v>185</v>
      </c>
    </row>
    <row r="73" spans="4:19" ht="20.100000000000001" customHeight="1" x14ac:dyDescent="0.25">
      <c r="D73" s="50" t="str">
        <v>Zinc - Generic</v>
      </c>
      <c r="E73" s="50" cm="1">
        <f t="array" ref="E73">Fertiliser_Equations_InorganicN2O.VEERG_5_1_1_1__1_InorganicFertiliserApplicationN2OEmissions(G32,$I$50,$I$51)</f>
        <v>0</v>
      </c>
      <c r="M73" s="54" t="str">
        <v>ir</v>
      </c>
      <c r="N73" s="55" t="str">
        <v>irrigation method</v>
      </c>
      <c r="O73" s="93"/>
      <c r="P73" s="56"/>
      <c r="Q73" s="54" t="str">
        <v/>
      </c>
      <c r="R73" s="120" t="str">
        <v>Input</v>
      </c>
      <c r="S73" s="54" t="str">
        <f>X_Cell_Fertiliser_IrrigationMethod</f>
        <v>Sprinkler irrigation</v>
      </c>
    </row>
    <row r="74" spans="4:19" ht="20.100000000000001" customHeight="1" x14ac:dyDescent="0.25">
      <c r="D74" s="50" t="str">
        <v>Muriate of potash (MOP)</v>
      </c>
      <c r="E74" s="50" cm="1">
        <f t="array" ref="E74">Fertiliser_Equations_InorganicN2O.VEERG_5_1_1_1__1_InorganicFertiliserApplicationN2OEmissions(G33,$I$50,$I$51)</f>
        <v>0</v>
      </c>
      <c r="M74" s="55" t="str">
        <v>z</v>
      </c>
      <c r="N74" s="55" t="str">
        <v>rainfall zone</v>
      </c>
      <c r="O74" s="93"/>
      <c r="P74" s="93"/>
      <c r="Q74" s="54" t="str">
        <v/>
      </c>
      <c r="R74" s="120" t="str">
        <v>Input</v>
      </c>
      <c r="S74" s="54" t="str">
        <f>X_Cell_Site_RainfallZone</f>
        <v>Low rainfall</v>
      </c>
    </row>
    <row r="75" spans="4:19" ht="20.100000000000001" customHeight="1" x14ac:dyDescent="0.25">
      <c r="D75" s="50" t="str">
        <v>Double superphosphate</v>
      </c>
      <c r="E75" s="50" cm="1">
        <f t="array" ref="E75">Fertiliser_Equations_InorganicN2O.VEERG_5_1_1_1__1_InorganicFertiliserApplicationN2OEmissions(G34,$I$50,$I$51)</f>
        <v>0</v>
      </c>
    </row>
    <row r="76" spans="4:19" ht="20.100000000000001" customHeight="1" x14ac:dyDescent="0.25">
      <c r="D76" s="50" t="str">
        <v>Single superphosphate (SSP)</v>
      </c>
      <c r="E76" s="50" cm="1">
        <f t="array" ref="E76">Fertiliser_Equations_InorganicN2O.VEERG_5_1_1_1__1_InorganicFertiliserApplicationN2OEmissions(G35,$I$50,$I$51)</f>
        <v>0</v>
      </c>
      <c r="M76" s="49" t="s">
        <v>171</v>
      </c>
      <c r="N76" s="49" t="s">
        <v>171</v>
      </c>
      <c r="O76" s="49" t="s">
        <v>184</v>
      </c>
      <c r="P76" s="49" t="s">
        <v>183</v>
      </c>
    </row>
    <row r="77" spans="4:19" ht="20.100000000000001" customHeight="1" x14ac:dyDescent="0.25">
      <c r="D77" s="50" t="str">
        <v>Ammonia</v>
      </c>
      <c r="E77" s="50" cm="1">
        <f t="array" ref="E77">Fertiliser_Equations_InorganicN2O.VEERG_5_1_1_1__1_InorganicFertiliserApplicationN2OEmissions(G36,$I$50,$I$51)</f>
        <v>4.5292500000000006E-2</v>
      </c>
      <c r="M77" s="50" t="s">
        <v>176</v>
      </c>
      <c r="N77" s="50" t="str" cm="1">
        <f t="array" ref="N77:N81">Table_Input_InorganicFertiliser_Brands[Product (select)]</f>
        <v>Aqua Finish</v>
      </c>
      <c r="O77" s="50" cm="1">
        <f t="array" ref="O77">_xlfn.XLOOKUP(N77,$N$45:$N$54,_xlfn.XLOOKUP($S$68,$R$44:$W$44,$R$45:$W$54), "")</f>
        <v>7.0000000000000001E-3</v>
      </c>
      <c r="P77" s="50" cm="1">
        <f t="array" ref="P77">Fertiliser_Equations_InorganicN2O.VEERG_5_1_1_1__1_InorganicFertiliserApplicationN2OEmissions(Q45,O77,$S$69)</f>
        <v>3.6035999999999993E-3</v>
      </c>
    </row>
    <row r="78" spans="4:19" ht="20.100000000000001" customHeight="1" x14ac:dyDescent="0.25">
      <c r="D78" s="50" t="str">
        <v>Calcium nitrate</v>
      </c>
      <c r="E78" s="50" cm="1">
        <f t="array" ref="E78">Fertiliser_Equations_InorganicN2O.VEERG_5_1_1_1__1_InorganicFertiliserApplicationN2OEmissions(G37,$I$50,$I$51)</f>
        <v>8.5250000000000013E-3</v>
      </c>
      <c r="M78" s="50" t="s">
        <v>176</v>
      </c>
      <c r="N78" s="50" t="str">
        <v>CalPhos</v>
      </c>
      <c r="O78" s="50" cm="1">
        <f t="array" ref="O78">_xlfn.XLOOKUP(N78,$N$45:$N$54,_xlfn.XLOOKUP($S$68,$R$44:$W$44,$R$45:$W$54), FALSE)</f>
        <v>0</v>
      </c>
      <c r="P78" s="50" cm="1">
        <f t="array" ref="P78">Fertiliser_Equations_InorganicN2O.VEERG_5_1_1_1__1_InorganicFertiliserApplicationN2OEmissions(Q46,O78,$S$69)</f>
        <v>0</v>
      </c>
    </row>
    <row r="79" spans="4:19" ht="20.100000000000001" customHeight="1" x14ac:dyDescent="0.25">
      <c r="M79" s="50" t="s">
        <v>176</v>
      </c>
      <c r="N79" s="50" t="str">
        <v>CalPhos</v>
      </c>
      <c r="O79" s="50" cm="1">
        <f t="array" ref="O79">_xlfn.XLOOKUP(N79,$N$45:$N$54,_xlfn.XLOOKUP($S$68,$R$44:$W$44,$R$45:$W$54))</f>
        <v>0</v>
      </c>
      <c r="P79" s="50" cm="1">
        <f t="array" ref="P79">Fertiliser_Equations_InorganicN2O.VEERG_5_1_1_1__1_InorganicFertiliserApplicationN2OEmissions(Q47,O79,$S$69)</f>
        <v>0</v>
      </c>
    </row>
    <row r="80" spans="4:19" ht="20.100000000000001" customHeight="1" x14ac:dyDescent="0.25">
      <c r="D80" s="94" t="s">
        <v>162</v>
      </c>
      <c r="E80" s="95">
        <f>SUM(E60:E78)</f>
        <v>0.1431067</v>
      </c>
      <c r="F80" s="96" t="str">
        <f>$E$47</f>
        <v>t N2O</v>
      </c>
      <c r="M80" s="50" t="s">
        <v>176</v>
      </c>
      <c r="N80" s="50" t="str">
        <v>Aqua Grow</v>
      </c>
      <c r="O80" s="50" cm="1">
        <f t="array" ref="O80">_xlfn.XLOOKUP(N80,$N$45:$N$54,_xlfn.XLOOKUP($S$68,$R$44:$W$44,$R$45:$W$54))</f>
        <v>7.0000000000000001E-3</v>
      </c>
      <c r="P80" s="50" cm="1">
        <f t="array" ref="P80">Fertiliser_Equations_InorganicN2O.VEERG_5_1_1_1__1_InorganicFertiliserApplicationN2OEmissions(Q48,O80,$S$69)</f>
        <v>1.3305600000000001E-2</v>
      </c>
    </row>
    <row r="81" spans="1:16" ht="20.100000000000001" customHeight="1" x14ac:dyDescent="0.25">
      <c r="M81" s="50" t="s">
        <v>176</v>
      </c>
      <c r="N81" s="50" t="str">
        <v>Aqua NitroCal</v>
      </c>
      <c r="O81" s="50" cm="1">
        <f t="array" ref="O81">_xlfn.XLOOKUP(N81,$N$45:$N$54,_xlfn.XLOOKUP($S$68,$R$44:$W$44,$R$45:$W$54))</f>
        <v>7.0000000000000001E-3</v>
      </c>
      <c r="P81" s="50" cm="1">
        <f t="array" ref="P81">Fertiliser_Equations_InorganicN2O.VEERG_5_1_1_1__1_InorganicFertiliserApplicationN2OEmissions(Q49,O81,$S$69)</f>
        <v>2.1779999999999997E-2</v>
      </c>
    </row>
    <row r="82" spans="1:16" ht="20.100000000000001" customHeight="1" x14ac:dyDescent="0.25">
      <c r="D82" s="54" t="str" cm="1">
        <f t="array" ref="D82:E83">Common_Equations.Common_ConvertN2OToCO2e_Arguments()</f>
        <v>EN2O</v>
      </c>
      <c r="E82" s="55" t="str">
        <v>Nitrous oxide emissions (t N2O)</v>
      </c>
      <c r="F82" s="97"/>
      <c r="G82" s="50">
        <f>E80</f>
        <v>0.1431067</v>
      </c>
      <c r="M82" s="50" t="s">
        <v>175</v>
      </c>
      <c r="N82" s="50" t="str" cm="1">
        <f t="array" ref="N82:N84">Table_Input_InorganicFertiliser_Custom[Custom blend name]</f>
        <v>My first custom blend</v>
      </c>
      <c r="O82" s="50" cm="1">
        <f t="array" ref="O82">_xlfn.XLOOKUP(N82,$N$45:$N$54,_xlfn.XLOOKUP($S$68,$R$44:$W$44,$R$45:$W$54))</f>
        <v>7.0000000000000001E-3</v>
      </c>
      <c r="P82" s="50" cm="1">
        <f t="array" ref="P82">Fertiliser_Equations_InorganicN2O.VEERG_5_1_1_1__1_InorganicFertiliserApplicationN2OEmissions(Q50,O82,$S$69)</f>
        <v>8.5250000000000013E-3</v>
      </c>
    </row>
    <row r="83" spans="1:16" ht="20.100000000000001" customHeight="1" x14ac:dyDescent="0.25">
      <c r="A83" s="157" t="str">
        <f>HYPERLINK("#A1", "▲ Back to top")</f>
        <v>▲ Back to top</v>
      </c>
      <c r="D83" s="54" t="str">
        <v>GWPN2O</v>
      </c>
      <c r="E83" s="55" t="str">
        <v>Global warming potential for nitrous oxide (t CO2-e / t N2O)</v>
      </c>
      <c r="F83" s="97"/>
      <c r="G83" s="50">
        <f>Common_InputFunctions.Utility_LookupValueInTableNumber("N2O",Table_GWPData[Gas],Table_GWPData[CO2-e factor])</f>
        <v>265</v>
      </c>
      <c r="M83" s="50" t="s">
        <v>175</v>
      </c>
      <c r="N83" s="50" t="str">
        <v>My second custom blend</v>
      </c>
      <c r="O83" s="50" cm="1">
        <f t="array" ref="O83">_xlfn.XLOOKUP(N83,$N$45:$N$54,_xlfn.XLOOKUP($S$68,$R$44:$W$44,$R$45:$W$54))</f>
        <v>7.0000000000000001E-3</v>
      </c>
      <c r="P83" s="50" cm="1">
        <f t="array" ref="P83">Fertiliser_Equations_InorganicN2O.VEERG_5_1_1_1__1_InorganicFertiliserApplicationN2OEmissions(Q51,O83,$S$69)</f>
        <v>5.0599999999999999E-2</v>
      </c>
    </row>
    <row r="84" spans="1:16" ht="20.100000000000001" customHeight="1" x14ac:dyDescent="0.25">
      <c r="M84" s="50" t="s">
        <v>175</v>
      </c>
      <c r="N84" s="50" t="str">
        <v>My third custom blend</v>
      </c>
      <c r="O84" s="50" cm="1">
        <f t="array" ref="O84">_xlfn.XLOOKUP(N84,$N$45:$N$54,_xlfn.XLOOKUP($S$68,$R$44:$W$44,$R$45:$W$54))</f>
        <v>7.0000000000000001E-3</v>
      </c>
      <c r="P84" s="50" cm="1">
        <f t="array" ref="P84">Fertiliser_Equations_InorganicN2O.VEERG_5_1_1_1__1_InorganicFertiliserApplicationN2OEmissions(Q52,O84,$S$69)</f>
        <v>4.5292500000000006E-2</v>
      </c>
    </row>
    <row r="85" spans="1:16" ht="20.100000000000001" customHeight="1" x14ac:dyDescent="0.25">
      <c r="D85" s="44" t="s">
        <v>79</v>
      </c>
      <c r="E85" s="44" cm="1">
        <f t="array" ref="E85">Common_Equations.Common_ConvertN2OToCO2e(G82,G83)</f>
        <v>37.923275500000003</v>
      </c>
      <c r="F85" s="98" t="str" cm="1">
        <f t="array" ref="F85">Common_Equations.Common_ConvertN2OToCO2e_Unit()</f>
        <v>t CO2e</v>
      </c>
      <c r="M85" s="50" t="s">
        <v>175</v>
      </c>
      <c r="N85" s="50"/>
      <c r="O85" s="50" cm="1">
        <f t="array" ref="O85">_xlfn.XLOOKUP(N85,$N$45:$N$54,_xlfn.XLOOKUP($S$68,$R$44:$W$44,$R$45:$W$54))</f>
        <v>0</v>
      </c>
      <c r="P85" s="50" cm="1">
        <f t="array" ref="P85">Fertiliser_Equations_InorganicN2O.VEERG_5_1_1_1__1_InorganicFertiliserApplicationN2OEmissions(Q53,O85,$S$69)</f>
        <v>0</v>
      </c>
    </row>
    <row r="86" spans="1:16" ht="20.100000000000001" customHeight="1" x14ac:dyDescent="0.25">
      <c r="M86" s="50" t="s">
        <v>175</v>
      </c>
      <c r="N86" s="50"/>
      <c r="O86" s="50" cm="1">
        <f t="array" ref="O86">_xlfn.XLOOKUP(N86,$N$45:$N$54,_xlfn.XLOOKUP($S$68,$R$44:$W$44,$R$45:$W$54))</f>
        <v>0</v>
      </c>
      <c r="P86" s="50" cm="1">
        <f t="array" ref="P86">Fertiliser_Equations_InorganicN2O.VEERG_5_1_1_1__1_InorganicFertiliserApplicationN2OEmissions(Q54,O86,$S$69)</f>
        <v>0</v>
      </c>
    </row>
    <row r="87" spans="1:16" ht="20.100000000000001" customHeight="1" x14ac:dyDescent="0.25"/>
    <row r="88" spans="1:16" ht="20.100000000000001" customHeight="1" x14ac:dyDescent="0.25">
      <c r="M88" s="94" t="s">
        <v>162</v>
      </c>
      <c r="N88" s="95">
        <f>SUM(P77:P86)</f>
        <v>0.1431067</v>
      </c>
      <c r="O88" s="96" t="str">
        <f>$E$47</f>
        <v>t N2O</v>
      </c>
    </row>
    <row r="89" spans="1:16" ht="20.100000000000001" customHeight="1" x14ac:dyDescent="0.25"/>
    <row r="90" spans="1:16" ht="20.100000000000001" customHeight="1" x14ac:dyDescent="0.25">
      <c r="M90" s="54" t="str" cm="1">
        <f t="array" ref="M90:N91">Common_Equations.Common_ConvertN2OToCO2e_Arguments()</f>
        <v>EN2O</v>
      </c>
      <c r="N90" s="55" t="str">
        <v>Nitrous oxide emissions (t N2O)</v>
      </c>
      <c r="O90" s="97"/>
      <c r="P90" s="50">
        <f>N88</f>
        <v>0.1431067</v>
      </c>
    </row>
    <row r="91" spans="1:16" ht="20.100000000000001" customHeight="1" x14ac:dyDescent="0.25">
      <c r="M91" s="54" t="str">
        <v>GWPN2O</v>
      </c>
      <c r="N91" s="55" t="str">
        <v>Global warming potential for nitrous oxide (t CO2-e / t N2O)</v>
      </c>
      <c r="O91" s="97"/>
      <c r="P91" s="50">
        <f>Common_InputFunctions.Utility_LookupValueInTableNumber("N2O",Table_GWPData[Gas],Table_GWPData[CO2-e factor])</f>
        <v>265</v>
      </c>
    </row>
    <row r="92" spans="1:16" ht="20.100000000000001" customHeight="1" x14ac:dyDescent="0.25"/>
    <row r="93" spans="1:16" ht="20.100000000000001" customHeight="1" x14ac:dyDescent="0.25">
      <c r="M93" s="44" t="s">
        <v>79</v>
      </c>
      <c r="N93" s="44" cm="1">
        <f t="array" ref="N93">Common_Equations.Common_ConvertN2OToCO2e(P90,P91)</f>
        <v>37.923275500000003</v>
      </c>
      <c r="O93" s="98" t="str" cm="1">
        <f t="array" ref="O93">Common_Equations.Common_ConvertN2OToCO2e_Unit()</f>
        <v>t CO2e</v>
      </c>
    </row>
    <row r="94" spans="1:16" ht="20.100000000000001" customHeight="1" x14ac:dyDescent="0.25"/>
    <row r="95" spans="1:16" ht="20.100000000000001" customHeight="1" x14ac:dyDescent="0.25"/>
    <row r="96" spans="1:1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2"/>
    </row>
    <row r="342" spans="8:8" x14ac:dyDescent="0.25">
      <c r="H342" s="22"/>
    </row>
  </sheetData>
  <dataValidations disablePrompts="1" count="1">
    <dataValidation operator="equal" allowBlank="1" showInputMessage="1" showErrorMessage="1" sqref="N172:W172 O150:R150 E269 N166:W166 O143:W144 E228 O167:W167 G132 I129:I133 F134:I134 F129:F132 H128:H132 G129 F148:I148 I149 F150:I150 R149:W149"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51" workbookViewId="0">
      <selection activeCell="I53" sqref="I53"/>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203</v>
      </c>
    </row>
    <row r="2" spans="1:21" s="9" customFormat="1" ht="20.100000000000001" customHeight="1" x14ac:dyDescent="0.25">
      <c r="A2"/>
    </row>
    <row r="3" spans="1:21" ht="20.100000000000001" customHeight="1" x14ac:dyDescent="0.25">
      <c r="A3" s="17" t="str">
        <f>HYPERLINK("#'Home'!A1", "Home")</f>
        <v>Home</v>
      </c>
      <c r="C3" s="4"/>
      <c r="D3" s="4" t="s">
        <v>80</v>
      </c>
      <c r="E3" s="4"/>
      <c r="F3" s="4"/>
      <c r="G3" s="4"/>
      <c r="H3" s="4"/>
      <c r="I3" s="4"/>
      <c r="J3" s="4"/>
      <c r="K3" s="4"/>
      <c r="L3" s="4"/>
      <c r="N3" s="4"/>
      <c r="O3" s="4" t="s">
        <v>81</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Fertiliser_Equations_InorganicCO2.VEERG_5_1_1_3__2_MassOfUreaInInorganicFertiliser_Title()</f>
        <v>Mass of urea applied to production system</v>
      </c>
    </row>
    <row r="6" spans="1:21" ht="20.100000000000001" customHeight="1" x14ac:dyDescent="0.25">
      <c r="A6" s="16"/>
      <c r="D6" s="5" t="str" cm="1">
        <f t="array" ref="D6">Fertiliser_Equations_InorganicCO2.VEERG_5_1_1_3__2_MassOfUreaInInorganicFertiliser_Source()</f>
        <v>VEERG 2026: 5.1.1.3, Equation (2)</v>
      </c>
    </row>
    <row r="7" spans="1:21" ht="20.100000000000001" customHeight="1" x14ac:dyDescent="0.25">
      <c r="A7" s="20" t="s">
        <v>1</v>
      </c>
      <c r="D7" s="13" t="s">
        <v>22</v>
      </c>
      <c r="E7" s="13" t="str" cm="1">
        <f t="array" aca="1" ref="E7" ca="1">Common_InputFunctions.Utility_DisplayFunctionName(G19)</f>
        <v>=Fertiliser_Equations_InorganicCO2.VEERG_5_1_1_3__2_MassOfUreaInInorganicFertiliser</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25</v>
      </c>
      <c r="E10" s="1" t="str" cm="1">
        <f t="array" ref="E10">Fertiliser_Equations_InorganicCO2.VEERG_5_1_1_3__2_MassOfUreaInInorganicFertiliser_Variable()</f>
        <v>MU_jf</v>
      </c>
    </row>
    <row r="11" spans="1:21" ht="20.100000000000001" customHeight="1" x14ac:dyDescent="0.25">
      <c r="A11" s="19" t="s">
        <v>69</v>
      </c>
      <c r="D11" s="51" t="s">
        <v>16</v>
      </c>
      <c r="E11" s="52" t="str" cm="1">
        <f t="array" ref="E11">Fertiliser_Equations_InorganicCO2.VEERG_5_1_1_3__2_MassOfUreaInInorganicFertiliser_Unit()</f>
        <v>kg urea</v>
      </c>
    </row>
    <row r="12" spans="1:21" ht="20.100000000000001" customHeight="1" x14ac:dyDescent="0.25">
      <c r="A12" s="17" t="str">
        <f>HYPERLINK("#'5.1.1.1-2 Inorganic Fert N2O'!A1", "5.1.1.1-2 Inorganic Fert N2O")</f>
        <v>5.1.1.1-2 Inorganic Fert N2O</v>
      </c>
    </row>
    <row r="13" spans="1:21" ht="20.100000000000001" customHeight="1" x14ac:dyDescent="0.25">
      <c r="A13" s="176" t="str">
        <f>HYPERLINK("#'5.1.1.3-4 Inorganic fert CO2'!A1", "5.1.1.3-4 Inorganic fert CO2")</f>
        <v>5.1.1.3-4 Inorganic fert CO2</v>
      </c>
      <c r="D13" s="54" t="str" cm="1">
        <f t="array" ref="D13:E14">_xlfn.CHOOSECOLS(Fertiliser_Equations_InorganicCO2.VEERG_5_1_1_3__2_MassOfUreaInInorganicFertiliser_Arguments(), 1, 2)</f>
        <v>TM_jf</v>
      </c>
      <c r="E13" s="55" t="str">
        <v>total mass of inorganic fertiliser type f applied to production system j</v>
      </c>
      <c r="F13" s="56"/>
      <c r="G13" s="54" t="str" cm="1">
        <f t="array" ref="G13:H14">_xlfn.CHOOSECOLS(Fertiliser_Equations_InorganicCO2.VEERG_5_1_1_3__2_MassOfUreaInInorganicFertiliser_Arguments(), 3, 4)</f>
        <v>kg</v>
      </c>
      <c r="H13" s="120" t="str">
        <v>Input</v>
      </c>
      <c r="I13" s="145" t="str" cm="1">
        <f t="array" aca="1" ref="I13" ca="1">HYPERLINK(Common_InputFunctions.Utility_SourceHyperlink($D$16), $D$16)</f>
        <v>Table_MU_j_f</v>
      </c>
    </row>
    <row r="14" spans="1:21" ht="20.100000000000001" customHeight="1" x14ac:dyDescent="0.25">
      <c r="A14" s="17" t="str">
        <f>HYPERLINK("#'5.2.1.1-2 Organic Fert N2O'!A1", "5.2.1.1-2 Organic Fert N2O")</f>
        <v>5.2.1.1-2 Organic Fert N2O</v>
      </c>
      <c r="D14" s="54" t="str">
        <v>FU_f</v>
      </c>
      <c r="E14" s="55" t="str">
        <v>fraction of urea in fertiliser type f</v>
      </c>
      <c r="F14" s="56"/>
      <c r="G14" s="54" t="str">
        <v>kg urea/kg</v>
      </c>
      <c r="H14" s="119" t="str">
        <v>Lookup</v>
      </c>
      <c r="I14" s="145" t="str" cm="1">
        <f t="array" aca="1" ref="I14" ca="1">HYPERLINK(Common_InputFunctions.Utility_SourceHyperlink($D$16), $D$16)</f>
        <v>Table_MU_j_f</v>
      </c>
    </row>
    <row r="15" spans="1:21" ht="20.100000000000001" customHeight="1" x14ac:dyDescent="0.25">
      <c r="A15" s="17" t="str">
        <f>HYPERLINK("#'5.3.1.1-2 Lime CO2'!A1", "5.3.1.1-2 Lime CO2")</f>
        <v>5.3.1.1-2 Lime CO2</v>
      </c>
    </row>
    <row r="16" spans="1:21" ht="20.100000000000001" customHeight="1" x14ac:dyDescent="0.25">
      <c r="A16" s="17" t="str">
        <f>HYPERLINK("#'5.4.1.1-4 Atmos deposition'!A1", "5.4.1.1-4 Atmos deposition")</f>
        <v>5.4.1.1-4 Atmos deposition</v>
      </c>
      <c r="D16" s="92" t="s">
        <v>204</v>
      </c>
    </row>
    <row r="17" spans="1:7" ht="20.100000000000001" customHeight="1" x14ac:dyDescent="0.25">
      <c r="A17" s="17" t="str">
        <f>HYPERLINK("#'5.5.1.1-2 Leaching and runoff'!A1", "5.5.1.1-2 Leaching and runoff")</f>
        <v>5.5.1.1-2 Leaching and runoff</v>
      </c>
      <c r="D17" s="91" t="s">
        <v>205</v>
      </c>
    </row>
    <row r="18" spans="1:7" ht="20.100000000000001" customHeight="1" x14ac:dyDescent="0.25">
      <c r="D18" s="49" t="s">
        <v>112</v>
      </c>
      <c r="E18" s="112" t="s">
        <v>144</v>
      </c>
      <c r="F18" s="49" t="s">
        <v>206</v>
      </c>
      <c r="G18" s="49" t="s">
        <v>209</v>
      </c>
    </row>
    <row r="19" spans="1:7" ht="20.100000000000001" customHeight="1" x14ac:dyDescent="0.25">
      <c r="A19" s="18" t="s">
        <v>2</v>
      </c>
      <c r="D19" s="50" t="str" cm="1">
        <f t="array" ref="D19:D37">Table_Fertiliser_ChemicalCompounds[Fertiliser type f]</f>
        <v>Monoammonium phosphate (MAP)</v>
      </c>
      <c r="E19" s="50"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50" cm="1">
        <f t="array" ref="F19">Common_InputFunctions.Utility_LookupValueInTableNumber(D19,Table_Fertiliser_ChemicalCompounds[Fertiliser type f],Table_Fertiliser_ChemicalCompounds[FU f])</f>
        <v>0</v>
      </c>
      <c r="G19" s="50" cm="1">
        <f t="array" ref="G19">Fertiliser_Equations_InorganicCO2.VEERG_5_1_1_3__2_MassOfUreaInInorganicFertiliser(E19,F19)</f>
        <v>0</v>
      </c>
    </row>
    <row r="20" spans="1:7" ht="20.100000000000001" customHeight="1" x14ac:dyDescent="0.25">
      <c r="A20" s="17" t="str">
        <f>HYPERLINK("#'Constants - Fertiliser'!A1", "Constants - Fertiliser")</f>
        <v>Constants - Fertiliser</v>
      </c>
      <c r="D20" s="50" t="str">
        <v>Diammonium phosphate (DAP)</v>
      </c>
      <c r="E20" s="50"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50" cm="1">
        <f t="array" ref="F20">Common_InputFunctions.Utility_LookupValueInTableNumber(D20,Table_Fertiliser_ChemicalCompounds[Fertiliser type f],Table_Fertiliser_ChemicalCompounds[FU f])</f>
        <v>0</v>
      </c>
      <c r="G20" s="50" cm="1">
        <f t="array" ref="G20">Fertiliser_Equations_InorganicCO2.VEERG_5_1_1_3__2_MassOfUreaInInorganicFertiliser(E20,F20)</f>
        <v>0</v>
      </c>
    </row>
    <row r="21" spans="1:7" ht="20.100000000000001" customHeight="1" x14ac:dyDescent="0.25">
      <c r="A21" s="17" t="str">
        <f>HYPERLINK("#'Constants - Common'!A1", "Constants - Common")</f>
        <v>Constants - Common</v>
      </c>
      <c r="D21" s="50" t="str">
        <v>Urea</v>
      </c>
      <c r="E21" s="50"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21" s="50" cm="1">
        <f t="array" ref="F21">Common_InputFunctions.Utility_LookupValueInTableNumber(D21,Table_Fertiliser_ChemicalCompounds[Fertiliser type f],Table_Fertiliser_ChemicalCompounds[FU f])</f>
        <v>1</v>
      </c>
      <c r="G21" s="50" cm="1">
        <f t="array" ref="G21">Fertiliser_Equations_InorganicCO2.VEERG_5_1_1_3__2_MassOfUreaInInorganicFertiliser(E21,F21)</f>
        <v>10000</v>
      </c>
    </row>
    <row r="22" spans="1:7" ht="20.100000000000001" customHeight="1" x14ac:dyDescent="0.25">
      <c r="D22" s="50" t="str">
        <v>Sulphate of ammonia (SOA)</v>
      </c>
      <c r="E22" s="50"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50" cm="1">
        <f t="array" ref="F22">Common_InputFunctions.Utility_LookupValueInTableNumber(D22,Table_Fertiliser_ChemicalCompounds[Fertiliser type f],Table_Fertiliser_ChemicalCompounds[FU f])</f>
        <v>0</v>
      </c>
      <c r="G22" s="50" cm="1">
        <f t="array" ref="G22">Fertiliser_Equations_InorganicCO2.VEERG_5_1_1_3__2_MassOfUreaInInorganicFertiliser(E22,F22)</f>
        <v>0</v>
      </c>
    </row>
    <row r="23" spans="1:7" ht="20.100000000000001" customHeight="1" x14ac:dyDescent="0.25">
      <c r="A23" s="17"/>
      <c r="D23" s="50" t="str">
        <v>Urea-ammonium nitrate (UAN)</v>
      </c>
      <c r="E23" s="50"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50" cm="1">
        <f t="array" ref="F23">Common_InputFunctions.Utility_LookupValueInTableNumber(D23,Table_Fertiliser_ChemicalCompounds[Fertiliser type f],Table_Fertiliser_ChemicalCompounds[FU f])</f>
        <v>0.35</v>
      </c>
      <c r="G23" s="50" cm="1">
        <f t="array" ref="G23">Fertiliser_Equations_InorganicCO2.VEERG_5_1_1_3__2_MassOfUreaInInorganicFertiliser(E23,F23)</f>
        <v>0</v>
      </c>
    </row>
    <row r="24" spans="1:7" ht="20.100000000000001" customHeight="1" x14ac:dyDescent="0.25">
      <c r="D24" s="50" t="str">
        <v>Ammonium nitrate (AN)</v>
      </c>
      <c r="E24" s="50"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50" cm="1">
        <f t="array" ref="F24">Common_InputFunctions.Utility_LookupValueInTableNumber(D24,Table_Fertiliser_ChemicalCompounds[Fertiliser type f],Table_Fertiliser_ChemicalCompounds[FU f])</f>
        <v>0</v>
      </c>
      <c r="G24" s="50" cm="1">
        <f t="array" ref="G24">Fertiliser_Equations_InorganicCO2.VEERG_5_1_1_3__2_MassOfUreaInInorganicFertiliser(E24,F24)</f>
        <v>0</v>
      </c>
    </row>
    <row r="25" spans="1:7" ht="20.100000000000001" customHeight="1" x14ac:dyDescent="0.25">
      <c r="D25" s="50" t="str">
        <v>Calcium ammonium nitrate (CAN)</v>
      </c>
      <c r="E25" s="50"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50" cm="1">
        <f t="array" ref="F25">Common_InputFunctions.Utility_LookupValueInTableNumber(D25,Table_Fertiliser_ChemicalCompounds[Fertiliser type f],Table_Fertiliser_ChemicalCompounds[FU f])</f>
        <v>0</v>
      </c>
      <c r="G25" s="50" cm="1">
        <f t="array" ref="G25">Fertiliser_Equations_InorganicCO2.VEERG_5_1_1_3__2_MassOfUreaInInorganicFertiliser(E25,F25)</f>
        <v>0</v>
      </c>
    </row>
    <row r="26" spans="1:7" ht="20.100000000000001" customHeight="1" x14ac:dyDescent="0.25">
      <c r="D26" s="50" t="str">
        <v>Nitrogen - Ammoniacal</v>
      </c>
      <c r="E26" s="50"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50" cm="1">
        <f t="array" ref="F26">Common_InputFunctions.Utility_LookupValueInTableNumber(D26,Table_Fertiliser_ChemicalCompounds[Fertiliser type f],Table_Fertiliser_ChemicalCompounds[FU f])</f>
        <v>0</v>
      </c>
      <c r="G26" s="50" cm="1">
        <f t="array" ref="G26">Fertiliser_Equations_InorganicCO2.VEERG_5_1_1_3__2_MassOfUreaInInorganicFertiliser(E26,F26)</f>
        <v>0</v>
      </c>
    </row>
    <row r="27" spans="1:7" ht="20.100000000000001" customHeight="1" x14ac:dyDescent="0.25">
      <c r="D27" s="50" t="str">
        <v>Nitrogen - Nitrate</v>
      </c>
      <c r="E27" s="50"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2970</v>
      </c>
      <c r="F27" s="50" cm="1">
        <f t="array" ref="F27">Common_InputFunctions.Utility_LookupValueInTableNumber(D27,Table_Fertiliser_ChemicalCompounds[Fertiliser type f],Table_Fertiliser_ChemicalCompounds[FU f])</f>
        <v>0</v>
      </c>
      <c r="G27" s="50" cm="1">
        <f t="array" ref="G27">Fertiliser_Equations_InorganicCO2.VEERG_5_1_1_3__2_MassOfUreaInInorganicFertiliser(E27,F27)</f>
        <v>0</v>
      </c>
    </row>
    <row r="28" spans="1:7" ht="20.100000000000001" customHeight="1" x14ac:dyDescent="0.25">
      <c r="D28" s="50" t="str">
        <v>Nitrogen - Generic</v>
      </c>
      <c r="E28" s="50"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1936.8719999999998</v>
      </c>
      <c r="F28" s="50" cm="1">
        <f t="array" ref="F28">Common_InputFunctions.Utility_LookupValueInTableNumber(D28,Table_Fertiliser_ChemicalCompounds[Fertiliser type f],Table_Fertiliser_ChemicalCompounds[FU f])</f>
        <v>0</v>
      </c>
      <c r="G28" s="50" cm="1">
        <f t="array" ref="G28">Fertiliser_Equations_InorganicCO2.VEERG_5_1_1_3__2_MassOfUreaInInorganicFertiliser(E28,F28)</f>
        <v>0</v>
      </c>
    </row>
    <row r="29" spans="1:7" ht="20.100000000000001" customHeight="1" x14ac:dyDescent="0.25">
      <c r="D29" s="50" t="str">
        <v>Phosphorus - Generic</v>
      </c>
      <c r="E29" s="50"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5887.1475</v>
      </c>
      <c r="F29" s="50" cm="1">
        <f t="array" ref="F29">Common_InputFunctions.Utility_LookupValueInTableNumber(D29,Table_Fertiliser_ChemicalCompounds[Fertiliser type f],Table_Fertiliser_ChemicalCompounds[FU f])</f>
        <v>0</v>
      </c>
      <c r="G29" s="50" cm="1">
        <f t="array" ref="G29">Fertiliser_Equations_InorganicCO2.VEERG_5_1_1_3__2_MassOfUreaInInorganicFertiliser(E29,F29)</f>
        <v>0</v>
      </c>
    </row>
    <row r="30" spans="1:7" ht="20.100000000000001" customHeight="1" x14ac:dyDescent="0.25">
      <c r="D30" s="50" t="str">
        <v>Potassium - Generic</v>
      </c>
      <c r="E30" s="50"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7239.08</v>
      </c>
      <c r="F30" s="50" cm="1">
        <f t="array" ref="F30">Common_InputFunctions.Utility_LookupValueInTableNumber(D30,Table_Fertiliser_ChemicalCompounds[Fertiliser type f],Table_Fertiliser_ChemicalCompounds[FU f])</f>
        <v>0</v>
      </c>
      <c r="G30" s="50" cm="1">
        <f t="array" ref="G30">Fertiliser_Equations_InorganicCO2.VEERG_5_1_1_3__2_MassOfUreaInInorganicFertiliser(E30,F30)</f>
        <v>0</v>
      </c>
    </row>
    <row r="31" spans="1:7" ht="20.100000000000001" customHeight="1" x14ac:dyDescent="0.25">
      <c r="D31" s="50" t="str">
        <v>Sulfur - Generic</v>
      </c>
      <c r="E31" s="50"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F31" s="50" cm="1">
        <f t="array" ref="F31">Common_InputFunctions.Utility_LookupValueInTableNumber(D31,Table_Fertiliser_ChemicalCompounds[Fertiliser type f],Table_Fertiliser_ChemicalCompounds[FU f])</f>
        <v>0</v>
      </c>
      <c r="G31" s="50" cm="1">
        <f t="array" ref="G31">Fertiliser_Equations_InorganicCO2.VEERG_5_1_1_3__2_MassOfUreaInInorganicFertiliser(E31,F31)</f>
        <v>0</v>
      </c>
    </row>
    <row r="32" spans="1:7" ht="20.100000000000001" customHeight="1" x14ac:dyDescent="0.25">
      <c r="D32" s="50" t="str">
        <v>Zinc - Generic</v>
      </c>
      <c r="E32" s="50"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50" cm="1">
        <f t="array" ref="F32">Common_InputFunctions.Utility_LookupValueInTableNumber(D32,Table_Fertiliser_ChemicalCompounds[Fertiliser type f],Table_Fertiliser_ChemicalCompounds[FU f])</f>
        <v>0</v>
      </c>
      <c r="G32" s="50" cm="1">
        <f t="array" ref="G32">Fertiliser_Equations_InorganicCO2.VEERG_5_1_1_3__2_MassOfUreaInInorganicFertiliser(E32,F32)</f>
        <v>0</v>
      </c>
    </row>
    <row r="33" spans="1:12" ht="20.100000000000001" customHeight="1" x14ac:dyDescent="0.25">
      <c r="D33" s="50" t="str">
        <v>Muriate of potash (MOP)</v>
      </c>
      <c r="E33" s="50"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50" cm="1">
        <f t="array" ref="F33">Common_InputFunctions.Utility_LookupValueInTableNumber(D33,Table_Fertiliser_ChemicalCompounds[Fertiliser type f],Table_Fertiliser_ChemicalCompounds[FU f])</f>
        <v>0</v>
      </c>
      <c r="G33" s="50" cm="1">
        <f t="array" ref="G33">Fertiliser_Equations_InorganicCO2.VEERG_5_1_1_3__2_MassOfUreaInInorganicFertiliser(E33,F33)</f>
        <v>0</v>
      </c>
    </row>
    <row r="34" spans="1:12" ht="20.100000000000001" customHeight="1" x14ac:dyDescent="0.25">
      <c r="D34" s="50" t="str">
        <v>Double superphosphate</v>
      </c>
      <c r="E34" s="50"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50" cm="1">
        <f t="array" ref="F34">Common_InputFunctions.Utility_LookupValueInTableNumber(D34,Table_Fertiliser_ChemicalCompounds[Fertiliser type f],Table_Fertiliser_ChemicalCompounds[FU f])</f>
        <v>0</v>
      </c>
      <c r="G34" s="50" cm="1">
        <f t="array" ref="G34">Fertiliser_Equations_InorganicCO2.VEERG_5_1_1_3__2_MassOfUreaInInorganicFertiliser(E34,F34)</f>
        <v>0</v>
      </c>
    </row>
    <row r="35" spans="1:12" ht="20.100000000000001" customHeight="1" x14ac:dyDescent="0.25">
      <c r="D35" s="50" t="str">
        <v>Single superphosphate (SSP)</v>
      </c>
      <c r="E35" s="50"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50" cm="1">
        <f t="array" ref="F35">Common_InputFunctions.Utility_LookupValueInTableNumber(D35,Table_Fertiliser_ChemicalCompounds[Fertiliser type f],Table_Fertiliser_ChemicalCompounds[FU f])</f>
        <v>0</v>
      </c>
      <c r="G35" s="50" cm="1">
        <f t="array" ref="G35">Fertiliser_Equations_InorganicCO2.VEERG_5_1_1_3__2_MassOfUreaInInorganicFertiliser(E35,F35)</f>
        <v>0</v>
      </c>
    </row>
    <row r="36" spans="1:12" ht="20.100000000000001" customHeight="1" x14ac:dyDescent="0.25">
      <c r="D36" s="50" t="str">
        <v>Ammonia</v>
      </c>
      <c r="E36" s="50"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50" cm="1">
        <f t="array" ref="F36">Common_InputFunctions.Utility_LookupValueInTableNumber(D36,Table_Fertiliser_ChemicalCompounds[Fertiliser type f],Table_Fertiliser_ChemicalCompounds[FU f])</f>
        <v>0</v>
      </c>
      <c r="G36" s="50" cm="1">
        <f t="array" ref="G36">Fertiliser_Equations_InorganicCO2.VEERG_5_1_1_3__2_MassOfUreaInInorganicFertiliser(E36,F36)</f>
        <v>0</v>
      </c>
    </row>
    <row r="37" spans="1:12" ht="20.100000000000001" customHeight="1" x14ac:dyDescent="0.25">
      <c r="D37" s="50" t="str">
        <v>Calcium nitrate</v>
      </c>
      <c r="E37" s="50"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50" cm="1">
        <f t="array" ref="F37">Common_InputFunctions.Utility_LookupValueInTableNumber(D37,Table_Fertiliser_ChemicalCompounds[Fertiliser type f],Table_Fertiliser_ChemicalCompounds[FU f])</f>
        <v>0</v>
      </c>
      <c r="G37" s="50" cm="1">
        <f t="array" ref="G37">Fertiliser_Equations_InorganicCO2.VEERG_5_1_1_3__2_MassOfUreaInInorganicFertiliser(E37,F37)</f>
        <v>0</v>
      </c>
    </row>
    <row r="38" spans="1:12" ht="20.100000000000001" customHeight="1" x14ac:dyDescent="0.25">
      <c r="A38" s="157" t="str">
        <f>HYPERLINK("#A1", "▲ Back to top")</f>
        <v>▲ Back to top</v>
      </c>
    </row>
    <row r="39" spans="1:12" ht="20.100000000000001" customHeight="1" x14ac:dyDescent="0.25"/>
    <row r="40" spans="1:12" ht="20.100000000000001" customHeight="1" x14ac:dyDescent="0.25">
      <c r="C40" s="44"/>
      <c r="D40" s="44"/>
      <c r="E40" s="44"/>
      <c r="F40" s="44"/>
      <c r="G40" s="44"/>
      <c r="H40" s="44"/>
      <c r="I40" s="44"/>
      <c r="J40" s="44"/>
      <c r="K40" s="44"/>
      <c r="L40" s="44"/>
    </row>
    <row r="41" spans="1:12" ht="20.100000000000001" customHeight="1" x14ac:dyDescent="0.25">
      <c r="D41" s="6" t="str" cm="1">
        <f t="array" ref="D41">Fertiliser_Equations_InorganicCO2.VEERG_5_1_1_3__1_InorganicFertiliserApplicationCO2Emissions_Title()</f>
        <v>Carbon dioxide emissions resulting from the use of all inorganic, urea-based fertilisers</v>
      </c>
    </row>
    <row r="42" spans="1:12" ht="20.100000000000001" customHeight="1" x14ac:dyDescent="0.25">
      <c r="D42" s="5" t="str" cm="1">
        <f t="array" ref="D42">Fertiliser_Equations_InorganicCO2.VEERG_5_1_1_3__1_InorganicFertiliserApplicationCO2Emissions_Source()</f>
        <v>VEERG 2026: 5.1.1.3, Equation (1)</v>
      </c>
    </row>
    <row r="43" spans="1:12" ht="20.100000000000001" customHeight="1" x14ac:dyDescent="0.25">
      <c r="D43" s="13" t="s">
        <v>22</v>
      </c>
      <c r="E43" s="13" t="str" cm="1">
        <f t="array" aca="1" ref="E43" ca="1">Common_InputFunctions.Utility_DisplayFunctionName(E58)</f>
        <v>=Fertiliser_Equations_InorganicCO2.VEERG_5_1_1_3__1_InorganicFertiliserApplicationCO2Emissions</v>
      </c>
    </row>
    <row r="44" spans="1:12" ht="20.100000000000001" customHeight="1" x14ac:dyDescent="0.25"/>
    <row r="45" spans="1:12" ht="20.100000000000001" customHeight="1" x14ac:dyDescent="0.25"/>
    <row r="46" spans="1:12" ht="20.100000000000001" customHeight="1" x14ac:dyDescent="0.25">
      <c r="D46" s="51" t="s">
        <v>25</v>
      </c>
      <c r="E46" s="1" t="str" cm="1">
        <f t="array" ref="E46">Fertiliser_Equations_InorganicCO2.VEERG_5_1_1_3__1_InorganicFertiliserApplicationCO2Emissions_Variable()</f>
        <v>E_CO2</v>
      </c>
    </row>
    <row r="47" spans="1:12" ht="20.100000000000001" customHeight="1" x14ac:dyDescent="0.25">
      <c r="D47" s="51" t="s">
        <v>16</v>
      </c>
      <c r="E47" s="52" t="str" cm="1">
        <f t="array" ref="E47">Fertiliser_Equations_InorganicCO2.VEERG_5_1_1_3__1_InorganicFertiliserApplicationCO2Emissions_Unit()</f>
        <v>t CO2</v>
      </c>
    </row>
    <row r="48" spans="1:12" ht="20.100000000000001" customHeight="1" x14ac:dyDescent="0.25"/>
    <row r="49" spans="4:9" ht="20.100000000000001" customHeight="1" x14ac:dyDescent="0.25">
      <c r="D49" s="54" t="str" cm="1">
        <f t="array" ref="D49:E53">_xlfn.CHOOSECOLS(Fertiliser_Equations_InorganicCO2.VEERG_5_1_1_3__1_InorganicFertiliserApplicationCO2Emissions_Arguments(), 1, 2)</f>
        <v>MU_jf</v>
      </c>
      <c r="E49" s="55" t="str">
        <v>mass of urea of inorganic fertiliser type f applied to production system j</v>
      </c>
      <c r="F49" s="56"/>
      <c r="G49" s="54" t="str" cm="1">
        <f t="array" ref="G49:H53">_xlfn.CHOOSECOLS(Fertiliser_Equations_InorganicCO2.VEERG_5_1_1_3__1_InorganicFertiliserApplicationCO2Emissions_Arguments(), 3,4)</f>
        <v>kg urea</v>
      </c>
      <c r="H49" s="119" t="str">
        <v>Calculated</v>
      </c>
      <c r="I49" s="145" t="str" cm="1">
        <f t="array" aca="1" ref="I49" ca="1">HYPERLINK(Common_InputFunctions.Utility_SourceHyperlink($D$16), $D$16)</f>
        <v>Table_MU_j_f</v>
      </c>
    </row>
    <row r="50" spans="4:9" ht="20.100000000000001" customHeight="1" x14ac:dyDescent="0.25">
      <c r="D50" s="54" t="str">
        <v>EF_ureaCO2</v>
      </c>
      <c r="E50" s="55" t="str">
        <v>emission factor for carbon emissions from urea-based fertilisers</v>
      </c>
      <c r="F50" s="56"/>
      <c r="G50" s="54" t="str">
        <v>kg C/kg urea</v>
      </c>
      <c r="H50" s="119" t="str">
        <v>Constant</v>
      </c>
      <c r="I50" s="54">
        <f>'Constants - Fertiliser'!$E$60</f>
        <v>0.2</v>
      </c>
    </row>
    <row r="51" spans="4:9" ht="20.100000000000001" customHeight="1" x14ac:dyDescent="0.25">
      <c r="D51" s="54" t="str">
        <v>C_CO2</v>
      </c>
      <c r="E51" s="55" t="str">
        <v>factor to convert elemental mass of carbon to molecular mass of carbon dioxide</v>
      </c>
      <c r="F51" s="56"/>
      <c r="G51" s="54" t="str">
        <v/>
      </c>
      <c r="H51" s="119" t="str">
        <v>Constant</v>
      </c>
      <c r="I51" s="54">
        <f>Common_InputFunctions.Utility_LookupValueInTableNumber("CO2",Table_GasToMolecularConversionFactor[Gas], Table_GasToMolecularConversionFactor[Conversion factor combined])</f>
        <v>3.6666666666666665</v>
      </c>
    </row>
    <row r="52" spans="4:9" ht="20.100000000000001" customHeight="1" x14ac:dyDescent="0.25">
      <c r="D52" s="54" t="str">
        <v>j</v>
      </c>
      <c r="E52" s="55" t="str">
        <v>Production system</v>
      </c>
      <c r="F52" s="56"/>
      <c r="G52" s="54" t="str">
        <v/>
      </c>
      <c r="H52" s="120" t="str">
        <v>Input</v>
      </c>
      <c r="I52" s="54" t="str">
        <f>X_Cell_Fertiliser_ProductionSystem</f>
        <v>Crop</v>
      </c>
    </row>
    <row r="53" spans="4:9" ht="20.100000000000001" customHeight="1" x14ac:dyDescent="0.25">
      <c r="D53" s="54" t="str">
        <v>f</v>
      </c>
      <c r="E53" s="55" t="str">
        <v>Inorganic fertiliser type</v>
      </c>
      <c r="F53" s="56"/>
      <c r="G53" s="54" t="str">
        <v/>
      </c>
      <c r="H53" s="119" t="str">
        <v>Lookup</v>
      </c>
      <c r="I53" s="145" t="str" cm="1">
        <f t="array" aca="1" ref="I53" ca="1">HYPERLINK(Common_InputFunctions.Utility_SourceHyperlink($D$16), $D$16)</f>
        <v>Table_MU_j_f</v>
      </c>
    </row>
    <row r="54" spans="4:9" ht="20.100000000000001" customHeight="1" x14ac:dyDescent="0.25"/>
    <row r="55" spans="4:9" ht="20.100000000000001" customHeight="1" x14ac:dyDescent="0.25">
      <c r="D55" s="92" t="s">
        <v>207</v>
      </c>
    </row>
    <row r="56" spans="4:9" ht="20.100000000000001" customHeight="1" x14ac:dyDescent="0.25">
      <c r="D56" s="91" t="s">
        <v>208</v>
      </c>
    </row>
    <row r="57" spans="4:9" ht="20.100000000000001" customHeight="1" x14ac:dyDescent="0.25">
      <c r="D57" s="49" t="s">
        <v>112</v>
      </c>
      <c r="E57" s="49" t="s">
        <v>183</v>
      </c>
    </row>
    <row r="58" spans="4:9" ht="20.100000000000001" customHeight="1" x14ac:dyDescent="0.25">
      <c r="D58" s="50" t="str" cm="1">
        <f t="array" ref="D58:D76">Table_Fertiliser_ChemicalCompounds[Fertiliser type f]</f>
        <v>Monoammonium phosphate (MAP)</v>
      </c>
      <c r="E58" s="50" cm="1">
        <f t="array" ref="E58">Fertiliser_Equations_InorganicCO2.VEERG_5_1_1_3__1_InorganicFertiliserApplicationCO2Emissions(G19,$I$50,$I$51)</f>
        <v>0</v>
      </c>
      <c r="F58" s="2" t="str">
        <f>$E$47</f>
        <v>t CO2</v>
      </c>
    </row>
    <row r="59" spans="4:9" ht="20.100000000000001" customHeight="1" x14ac:dyDescent="0.25">
      <c r="D59" s="50" t="str">
        <v>Diammonium phosphate (DAP)</v>
      </c>
      <c r="E59" s="50" cm="1">
        <f t="array" ref="E59">Fertiliser_Equations_InorganicCO2.VEERG_5_1_1_3__1_InorganicFertiliserApplicationCO2Emissions(G20,$I$50,$I$51)</f>
        <v>0</v>
      </c>
    </row>
    <row r="60" spans="4:9" ht="20.100000000000001" customHeight="1" x14ac:dyDescent="0.25">
      <c r="D60" s="50" t="str">
        <v>Urea</v>
      </c>
      <c r="E60" s="50" cm="1">
        <f t="array" ref="E60">Fertiliser_Equations_InorganicCO2.VEERG_5_1_1_3__1_InorganicFertiliserApplicationCO2Emissions(G21,$I$50,$I$51)</f>
        <v>7.333333333333333</v>
      </c>
    </row>
    <row r="61" spans="4:9" ht="20.100000000000001" customHeight="1" x14ac:dyDescent="0.25">
      <c r="D61" s="50" t="str">
        <v>Sulphate of ammonia (SOA)</v>
      </c>
      <c r="E61" s="50" cm="1">
        <f t="array" ref="E61">Fertiliser_Equations_InorganicCO2.VEERG_5_1_1_3__1_InorganicFertiliserApplicationCO2Emissions(G22,$I$50,$I$51)</f>
        <v>0</v>
      </c>
    </row>
    <row r="62" spans="4:9" ht="20.100000000000001" customHeight="1" x14ac:dyDescent="0.25">
      <c r="D62" s="50" t="str">
        <v>Urea-ammonium nitrate (UAN)</v>
      </c>
      <c r="E62" s="50" cm="1">
        <f t="array" ref="E62">Fertiliser_Equations_InorganicCO2.VEERG_5_1_1_3__1_InorganicFertiliserApplicationCO2Emissions(G23,$I$50,$I$51)</f>
        <v>0</v>
      </c>
    </row>
    <row r="63" spans="4:9" ht="20.100000000000001" customHeight="1" x14ac:dyDescent="0.25">
      <c r="D63" s="50" t="str">
        <v>Ammonium nitrate (AN)</v>
      </c>
      <c r="E63" s="50" cm="1">
        <f t="array" ref="E63">Fertiliser_Equations_InorganicCO2.VEERG_5_1_1_3__1_InorganicFertiliserApplicationCO2Emissions(G24,$I$50,$I$51)</f>
        <v>0</v>
      </c>
    </row>
    <row r="64" spans="4:9" ht="20.100000000000001" customHeight="1" x14ac:dyDescent="0.25">
      <c r="D64" s="50" t="str">
        <v>Calcium ammonium nitrate (CAN)</v>
      </c>
      <c r="E64" s="50" cm="1">
        <f t="array" ref="E64">Fertiliser_Equations_InorganicCO2.VEERG_5_1_1_3__1_InorganicFertiliserApplicationCO2Emissions(G25,$I$50,$I$51)</f>
        <v>0</v>
      </c>
    </row>
    <row r="65" spans="1:6" ht="20.100000000000001" customHeight="1" x14ac:dyDescent="0.25">
      <c r="D65" s="50" t="str">
        <v>Nitrogen - Ammoniacal</v>
      </c>
      <c r="E65" s="50" cm="1">
        <f t="array" ref="E65">Fertiliser_Equations_InorganicCO2.VEERG_5_1_1_3__1_InorganicFertiliserApplicationCO2Emissions(G26,$I$50,$I$51)</f>
        <v>0</v>
      </c>
    </row>
    <row r="66" spans="1:6" ht="20.100000000000001" customHeight="1" x14ac:dyDescent="0.25">
      <c r="D66" s="50" t="str">
        <v>Nitrogen - Nitrate</v>
      </c>
      <c r="E66" s="50" cm="1">
        <f t="array" ref="E66">Fertiliser_Equations_InorganicCO2.VEERG_5_1_1_3__1_InorganicFertiliserApplicationCO2Emissions(G27,$I$50,$I$51)</f>
        <v>0</v>
      </c>
    </row>
    <row r="67" spans="1:6" ht="20.100000000000001" customHeight="1" x14ac:dyDescent="0.25">
      <c r="D67" s="50" t="str">
        <v>Nitrogen - Generic</v>
      </c>
      <c r="E67" s="50" cm="1">
        <f t="array" ref="E67">Fertiliser_Equations_InorganicCO2.VEERG_5_1_1_3__1_InorganicFertiliserApplicationCO2Emissions(G28,$I$50,$I$51)</f>
        <v>0</v>
      </c>
    </row>
    <row r="68" spans="1:6" ht="20.100000000000001" customHeight="1" x14ac:dyDescent="0.25">
      <c r="D68" s="50" t="str">
        <v>Phosphorus - Generic</v>
      </c>
      <c r="E68" s="50" cm="1">
        <f t="array" ref="E68">Fertiliser_Equations_InorganicCO2.VEERG_5_1_1_3__1_InorganicFertiliserApplicationCO2Emissions(G29,$I$50,$I$51)</f>
        <v>0</v>
      </c>
    </row>
    <row r="69" spans="1:6" ht="20.100000000000001" customHeight="1" x14ac:dyDescent="0.25">
      <c r="D69" s="50" t="str">
        <v>Potassium - Generic</v>
      </c>
      <c r="E69" s="50" cm="1">
        <f t="array" ref="E69">Fertiliser_Equations_InorganicCO2.VEERG_5_1_1_3__1_InorganicFertiliserApplicationCO2Emissions(G30,$I$50,$I$51)</f>
        <v>0</v>
      </c>
    </row>
    <row r="70" spans="1:6" ht="20.100000000000001" customHeight="1" x14ac:dyDescent="0.25">
      <c r="D70" s="50" t="str">
        <v>Sulfur - Generic</v>
      </c>
      <c r="E70" s="50" cm="1">
        <f t="array" ref="E70">Fertiliser_Equations_InorganicCO2.VEERG_5_1_1_3__1_InorganicFertiliserApplicationCO2Emissions(G31,$I$50,$I$51)</f>
        <v>0</v>
      </c>
    </row>
    <row r="71" spans="1:6" ht="20.100000000000001" customHeight="1" x14ac:dyDescent="0.25">
      <c r="D71" s="50" t="str">
        <v>Zinc - Generic</v>
      </c>
      <c r="E71" s="50" cm="1">
        <f t="array" ref="E71">Fertiliser_Equations_InorganicCO2.VEERG_5_1_1_3__1_InorganicFertiliserApplicationCO2Emissions(G32,$I$50,$I$51)</f>
        <v>0</v>
      </c>
    </row>
    <row r="72" spans="1:6" ht="20.100000000000001" customHeight="1" x14ac:dyDescent="0.25">
      <c r="D72" s="50" t="str">
        <v>Muriate of potash (MOP)</v>
      </c>
      <c r="E72" s="50" cm="1">
        <f t="array" ref="E72">Fertiliser_Equations_InorganicCO2.VEERG_5_1_1_3__1_InorganicFertiliserApplicationCO2Emissions(G33,$I$50,$I$51)</f>
        <v>0</v>
      </c>
    </row>
    <row r="73" spans="1:6" ht="20.100000000000001" customHeight="1" x14ac:dyDescent="0.25">
      <c r="D73" s="50" t="str">
        <v>Double superphosphate</v>
      </c>
      <c r="E73" s="50" cm="1">
        <f t="array" ref="E73">Fertiliser_Equations_InorganicCO2.VEERG_5_1_1_3__1_InorganicFertiliserApplicationCO2Emissions(G34,$I$50,$I$51)</f>
        <v>0</v>
      </c>
    </row>
    <row r="74" spans="1:6" ht="20.100000000000001" customHeight="1" x14ac:dyDescent="0.25">
      <c r="D74" s="50" t="str">
        <v>Single superphosphate (SSP)</v>
      </c>
      <c r="E74" s="50" cm="1">
        <f t="array" ref="E74">Fertiliser_Equations_InorganicCO2.VEERG_5_1_1_3__1_InorganicFertiliserApplicationCO2Emissions(G35,$I$50,$I$51)</f>
        <v>0</v>
      </c>
    </row>
    <row r="75" spans="1:6" ht="20.100000000000001" customHeight="1" x14ac:dyDescent="0.25">
      <c r="D75" s="50" t="str">
        <v>Ammonia</v>
      </c>
      <c r="E75" s="50" cm="1">
        <f t="array" ref="E75">Fertiliser_Equations_InorganicCO2.VEERG_5_1_1_3__1_InorganicFertiliserApplicationCO2Emissions(G36,$I$50,$I$51)</f>
        <v>0</v>
      </c>
    </row>
    <row r="76" spans="1:6" ht="20.100000000000001" customHeight="1" x14ac:dyDescent="0.25">
      <c r="A76" s="157" t="str">
        <f>HYPERLINK("#A1", "▲ Back to top")</f>
        <v>▲ Back to top</v>
      </c>
      <c r="D76" s="50" t="str">
        <v>Calcium nitrate</v>
      </c>
      <c r="E76" s="50" cm="1">
        <f t="array" ref="E76">Fertiliser_Equations_InorganicCO2.VEERG_5_1_1_3__1_InorganicFertiliserApplicationCO2Emissions(G37,$I$50,$I$51)</f>
        <v>0</v>
      </c>
    </row>
    <row r="77" spans="1:6" ht="20.100000000000001" customHeight="1" x14ac:dyDescent="0.25"/>
    <row r="78" spans="1:6" ht="20.100000000000001" customHeight="1" x14ac:dyDescent="0.25">
      <c r="D78" s="94" t="s">
        <v>234</v>
      </c>
      <c r="E78" s="95">
        <f>SUM(E58:E76)</f>
        <v>7.333333333333333</v>
      </c>
      <c r="F78" s="96" t="str">
        <f>$E$47</f>
        <v>t CO2</v>
      </c>
    </row>
    <row r="79" spans="1:6" ht="20.100000000000001" customHeight="1" x14ac:dyDescent="0.25"/>
    <row r="80" spans="1:6"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A8CA9-D23F-475C-A9E9-0EA77FA1C03E}">
  <dimension ref="A1:U165"/>
  <sheetViews>
    <sheetView showGridLines="0" topLeftCell="A39" workbookViewId="0">
      <selection activeCell="K49" sqref="K49"/>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235</v>
      </c>
    </row>
    <row r="2" spans="1:21" s="9" customFormat="1" ht="20.100000000000001" customHeight="1" x14ac:dyDescent="0.25">
      <c r="A2"/>
    </row>
    <row r="3" spans="1:21" ht="20.100000000000001" customHeight="1" x14ac:dyDescent="0.25">
      <c r="A3" s="17" t="str">
        <f>HYPERLINK("#'Home'!A1", "Home")</f>
        <v>Home</v>
      </c>
      <c r="C3" s="4"/>
      <c r="D3" s="4" t="s">
        <v>80</v>
      </c>
      <c r="E3" s="4"/>
      <c r="F3" s="4"/>
      <c r="G3" s="4"/>
      <c r="H3" s="4"/>
      <c r="I3" s="4"/>
      <c r="J3" s="4"/>
      <c r="K3" s="4"/>
      <c r="L3" s="4"/>
      <c r="N3" s="4"/>
      <c r="O3" s="4" t="s">
        <v>81</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Fertiliser_Equations_OrganicN2O.VEERG_5_2_1_1__2_MassOfNitrogenInOrganicFertiliser_Title()</f>
        <v>Mass of nitrogen in purchased organic fertilisers applied to production system</v>
      </c>
    </row>
    <row r="6" spans="1:21" ht="20.100000000000001" customHeight="1" x14ac:dyDescent="0.25">
      <c r="A6" s="16"/>
      <c r="D6" s="5" t="str" cm="1">
        <f t="array" ref="D6">Fertiliser_Equations_OrganicN2O.VEERG_5_2_1_1__2_MassOfNitrogenInOrganicFertiliser_Source()</f>
        <v>VEERG 2026: 5.2.1.1, Equation (2)</v>
      </c>
    </row>
    <row r="7" spans="1:21" ht="20.100000000000001" customHeight="1" x14ac:dyDescent="0.25">
      <c r="A7" s="20" t="s">
        <v>1</v>
      </c>
      <c r="D7" s="13" t="s">
        <v>22</v>
      </c>
      <c r="E7" s="13" t="str" cm="1">
        <f t="array" aca="1" ref="E7" ca="1">Common_InputFunctions.Utility_DisplayFunctionName($I$20)</f>
        <v>=Fertiliser_Equations_OrganicN2O.VEERG_5_2_1_1__2_MassOfNitrogenInOrganicFertiliser</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25</v>
      </c>
      <c r="E10" s="1" t="str" cm="1">
        <f t="array" ref="E10">Fertiliser_Equations_OrganicN2O.VEERG_5_2_1_1__2_MassOfNitrogenInOrganicFertiliser_Variable()</f>
        <v>MNSoil_jf</v>
      </c>
    </row>
    <row r="11" spans="1:21" ht="20.100000000000001" customHeight="1" x14ac:dyDescent="0.25">
      <c r="A11" s="19" t="s">
        <v>69</v>
      </c>
      <c r="D11" s="51" t="s">
        <v>16</v>
      </c>
      <c r="E11" s="52" t="str" cm="1">
        <f t="array" ref="E11">Fertiliser_Equations_OrganicN2O.VEERG_5_2_1_1__2_MassOfNitrogenInOrganicFertiliser_Unit()</f>
        <v>kg N</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54" t="str" cm="1">
        <f t="array" ref="D13:E15">_xlfn.CHOOSECOLS(Fertiliser_Equations_OrganicN2O.VEERG_5_2_1_1__2_MassOfNitrogenInOrganicFertiliser_Arguments(), 1, 2)</f>
        <v>M_organicjf</v>
      </c>
      <c r="E13" s="55" t="str">
        <v>mass of organic fertiliser type f applied to production system j</v>
      </c>
      <c r="F13" s="56"/>
      <c r="G13" s="147" t="str" cm="1">
        <f t="array" ref="G13:H15">_xlfn.CHOOSECOLS(Fertiliser_Equations_OrganicN2O.VEERG_5_2_1_1__2_MassOfNitrogenInOrganicFertiliser_Arguments(), 3,4)</f>
        <v>kg</v>
      </c>
      <c r="H13" s="120" t="str">
        <v>Input</v>
      </c>
      <c r="I13" s="145" t="str" cm="1">
        <f t="array" aca="1" ref="I13" ca="1">HYPERLINK(Common_InputFunctions.Utility_SourceHyperlink($D$17), $D$17)</f>
        <v>Table_MNSoil_j_f</v>
      </c>
    </row>
    <row r="14" spans="1:21" ht="20.100000000000001" customHeight="1" x14ac:dyDescent="0.25">
      <c r="A14" s="176" t="str">
        <f>HYPERLINK("#'5.2.1.1-2 Organic Fert N2O'!A1", "5.2.1.1-2 Organic Fert N2O")</f>
        <v>5.2.1.1-2 Organic Fert N2O</v>
      </c>
      <c r="D14" s="54" t="str">
        <v>FN_organicf</v>
      </c>
      <c r="E14" s="55" t="str">
        <v>nitrogen fraction of organic fertiliser type f</v>
      </c>
      <c r="F14" s="56"/>
      <c r="G14" s="147" t="str">
        <v>kg N/kg</v>
      </c>
      <c r="H14" s="120" t="str">
        <v>Input</v>
      </c>
      <c r="I14" s="145" t="str" cm="1">
        <f t="array" aca="1" ref="I14" ca="1">HYPERLINK(Common_InputFunctions.Utility_SourceHyperlink($D$17), $D$17)</f>
        <v>Table_MNSoil_j_f</v>
      </c>
    </row>
    <row r="15" spans="1:21" ht="20.100000000000001" customHeight="1" x14ac:dyDescent="0.25">
      <c r="A15" s="17" t="str">
        <f>HYPERLINK("#'5.3.1.1-2 Lime CO2'!A1", "5.3.1.1-2 Lime CO2")</f>
        <v>5.3.1.1-2 Lime CO2</v>
      </c>
      <c r="D15" s="54" t="str">
        <v>f</v>
      </c>
      <c r="E15" s="55" t="str">
        <v>Organic fertiliser type</v>
      </c>
      <c r="F15" s="56"/>
      <c r="G15" s="147" t="str">
        <v/>
      </c>
      <c r="H15" s="120" t="str">
        <v>Input</v>
      </c>
      <c r="I15" s="145" t="str" cm="1">
        <f t="array" aca="1" ref="I15" ca="1">HYPERLINK(Common_InputFunctions.Utility_SourceHyperlink($D$17), $D$17)</f>
        <v>Table_MNSoil_j_f</v>
      </c>
    </row>
    <row r="16" spans="1:21" ht="20.100000000000001" customHeight="1" x14ac:dyDescent="0.25">
      <c r="A16" s="17" t="str">
        <f>HYPERLINK("#'5.4.1.1-4 Atmos deposition'!A1", "5.4.1.1-4 Atmos deposition")</f>
        <v>5.4.1.1-4 Atmos deposition</v>
      </c>
    </row>
    <row r="17" spans="1:10" ht="20.100000000000001" customHeight="1" x14ac:dyDescent="0.25">
      <c r="A17" s="17" t="str">
        <f>HYPERLINK("#'5.5.1.1-2 Leaching and runoff'!A1", "5.5.1.1-2 Leaching and runoff")</f>
        <v>5.5.1.1-2 Leaching and runoff</v>
      </c>
      <c r="D17" s="92" t="s">
        <v>243</v>
      </c>
    </row>
    <row r="18" spans="1:10" ht="20.100000000000001" customHeight="1" x14ac:dyDescent="0.25">
      <c r="D18" s="91" t="s">
        <v>250</v>
      </c>
    </row>
    <row r="19" spans="1:10" ht="20.100000000000001" customHeight="1" x14ac:dyDescent="0.25">
      <c r="A19" s="18" t="s">
        <v>2</v>
      </c>
      <c r="D19" s="112" t="s">
        <v>244</v>
      </c>
      <c r="E19" s="112" t="s">
        <v>245</v>
      </c>
      <c r="F19" s="112" t="s">
        <v>151</v>
      </c>
      <c r="G19" s="148" t="s">
        <v>246</v>
      </c>
      <c r="H19" s="148" t="s">
        <v>247</v>
      </c>
      <c r="I19" s="148" t="s">
        <v>248</v>
      </c>
    </row>
    <row r="20" spans="1:10" ht="20.100000000000001" customHeight="1" x14ac:dyDescent="0.25">
      <c r="A20" s="17" t="str">
        <f>HYPERLINK("#'Constants - Fertiliser'!A1", "Constants - Fertiliser")</f>
        <v>Constants - Fertiliser</v>
      </c>
      <c r="D20" s="50" t="str" cm="1">
        <f t="array" ref="D20:D22">Table_Input_OrganicFertiliser[Organic fertiliser type (select)]</f>
        <v>Manure - Other</v>
      </c>
      <c r="E20" s="151" cm="1">
        <f t="array" ref="E20:E22">Table_Input_OrganicFertiliser[Amount applied (kg/hectare)]</f>
        <v>10</v>
      </c>
      <c r="F20" s="151" cm="1">
        <f t="array" ref="F20:F22">Table_Input_OrganicFertiliser[Application area (ha)]</f>
        <v>100</v>
      </c>
      <c r="G20" s="50" cm="1">
        <f t="array" ref="G20:G22">Table_Input_OrganicFertiliser[Amount applied (kg/hectare)]*Table_Input_OrganicFertiliser[Application area (ha)]</f>
        <v>1000</v>
      </c>
      <c r="H20" s="152" cm="1">
        <f t="array" ref="H20:H22">Table_Input_OrganicFertiliser[Percentage of N in fertiliser]</f>
        <v>0.3</v>
      </c>
      <c r="I20" s="50" cm="1">
        <f t="array" ref="I20">Fertiliser_Equations_OrganicN2O.VEERG_5_2_1_1__2_MassOfNitrogenInOrganicFertiliser(G20,H20)</f>
        <v>300</v>
      </c>
    </row>
    <row r="21" spans="1:10" ht="20.100000000000001" customHeight="1" x14ac:dyDescent="0.25">
      <c r="A21" s="17" t="str">
        <f>HYPERLINK("#'Constants - Common'!A1", "Constants - Common")</f>
        <v>Constants - Common</v>
      </c>
      <c r="D21" s="50" t="str">
        <v>Manure - Poultry</v>
      </c>
      <c r="E21" s="50">
        <v>10</v>
      </c>
      <c r="F21" s="50">
        <v>100</v>
      </c>
      <c r="G21" s="50">
        <v>1000</v>
      </c>
      <c r="H21" s="50">
        <v>0.25</v>
      </c>
      <c r="I21" s="50" cm="1">
        <f t="array" ref="I21">Fertiliser_Equations_Organic.VEERG_5_2_1_1__2_MassOfNitrogenInOrganicFertiliser(G21,H21)</f>
        <v>250</v>
      </c>
    </row>
    <row r="22" spans="1:10" ht="20.100000000000001" customHeight="1" x14ac:dyDescent="0.25">
      <c r="D22" s="50" t="str">
        <v>Other organic fertiliser</v>
      </c>
      <c r="E22" s="50">
        <v>10</v>
      </c>
      <c r="F22" s="50">
        <v>100</v>
      </c>
      <c r="G22" s="50">
        <v>1000</v>
      </c>
      <c r="H22" s="50">
        <v>0.16</v>
      </c>
      <c r="I22" s="50" cm="1">
        <f t="array" ref="I22">Fertiliser_Equations_Organic.VEERG_5_2_1_1__2_MassOfNitrogenInOrganicFertiliser(G22,H22)</f>
        <v>160</v>
      </c>
    </row>
    <row r="23" spans="1:10" ht="20.100000000000001" customHeight="1" x14ac:dyDescent="0.25">
      <c r="A23" s="17"/>
      <c r="D23" s="50"/>
      <c r="E23" s="50"/>
      <c r="F23" s="50"/>
      <c r="G23" s="50"/>
      <c r="H23" s="50"/>
      <c r="I23" s="50" cm="1">
        <f t="array" ref="I23">Fertiliser_Equations_Organic.VEERG_5_2_1_1__2_MassOfNitrogenInOrganicFertiliser(G23,H23)</f>
        <v>0</v>
      </c>
    </row>
    <row r="24" spans="1:10" ht="20.100000000000001" customHeight="1" x14ac:dyDescent="0.25">
      <c r="D24" s="50"/>
      <c r="E24" s="50"/>
      <c r="F24" s="50"/>
      <c r="G24" s="50"/>
      <c r="H24" s="50"/>
      <c r="I24" s="50" cm="1">
        <f t="array" ref="I24">Fertiliser_Equations_Organic.VEERG_5_2_1_1__2_MassOfNitrogenInOrganicFertiliser(G24,H24)</f>
        <v>0</v>
      </c>
    </row>
    <row r="25" spans="1:10" ht="20.100000000000001" customHeight="1" x14ac:dyDescent="0.25">
      <c r="D25" s="50"/>
      <c r="E25" s="50"/>
      <c r="F25" s="50"/>
      <c r="G25" s="50"/>
      <c r="H25" s="50"/>
      <c r="I25" s="50" cm="1">
        <f t="array" ref="I25">Fertiliser_Equations_Organic.VEERG_5_2_1_1__2_MassOfNitrogenInOrganicFertiliser(G25,H25)</f>
        <v>0</v>
      </c>
    </row>
    <row r="26" spans="1:10" ht="20.100000000000001" customHeight="1" x14ac:dyDescent="0.25">
      <c r="D26" s="50"/>
      <c r="E26" s="50"/>
      <c r="F26" s="50"/>
      <c r="G26" s="50"/>
      <c r="H26" s="50"/>
      <c r="I26" s="50" cm="1">
        <f t="array" ref="I26">Fertiliser_Equations_Organic.VEERG_5_2_1_1__2_MassOfNitrogenInOrganicFertiliser(G26,H26)</f>
        <v>0</v>
      </c>
    </row>
    <row r="27" spans="1:10" ht="20.100000000000001" customHeight="1" x14ac:dyDescent="0.25">
      <c r="D27" s="50"/>
      <c r="E27" s="50"/>
      <c r="F27" s="50"/>
      <c r="G27" s="50"/>
      <c r="H27" s="50"/>
      <c r="I27" s="50" cm="1">
        <f t="array" ref="I27">Fertiliser_Equations_Organic.VEERG_5_2_1_1__2_MassOfNitrogenInOrganicFertiliser(G27,H27)</f>
        <v>0</v>
      </c>
    </row>
    <row r="28" spans="1:10" ht="20.100000000000001" customHeight="1" x14ac:dyDescent="0.25">
      <c r="D28" s="50"/>
      <c r="E28" s="50"/>
      <c r="F28" s="50"/>
      <c r="G28" s="50"/>
      <c r="H28" s="50"/>
      <c r="I28" s="50" cm="1">
        <f t="array" ref="I28">Fertiliser_Equations_Organic.VEERG_5_2_1_1__2_MassOfNitrogenInOrganicFertiliser(G28,H28)</f>
        <v>0</v>
      </c>
    </row>
    <row r="29" spans="1:10" ht="20.100000000000001" customHeight="1" x14ac:dyDescent="0.25">
      <c r="D29" s="50"/>
      <c r="E29" s="50"/>
      <c r="F29" s="50"/>
      <c r="G29" s="50"/>
      <c r="H29" s="50"/>
      <c r="I29" s="50" cm="1">
        <f t="array" ref="I29">Fertiliser_Equations_Organic.VEERG_5_2_1_1__2_MassOfNitrogenInOrganicFertiliser(G29,H29)</f>
        <v>0</v>
      </c>
    </row>
    <row r="30" spans="1:10" ht="20.100000000000001" customHeight="1" x14ac:dyDescent="0.25">
      <c r="D30" s="50"/>
      <c r="E30" s="50"/>
      <c r="F30" s="50"/>
      <c r="G30" s="50"/>
      <c r="H30" s="50"/>
      <c r="I30" s="50" cm="1">
        <f t="array" ref="I30">Fertiliser_Equations_Organic.VEERG_5_2_1_1__2_MassOfNitrogenInOrganicFertiliser(G30,H30)</f>
        <v>0</v>
      </c>
    </row>
    <row r="31" spans="1:10" ht="20.100000000000001" customHeight="1" x14ac:dyDescent="0.25">
      <c r="D31" s="110"/>
      <c r="E31" s="110"/>
      <c r="F31" s="110"/>
      <c r="G31" s="110"/>
      <c r="H31" s="110"/>
      <c r="I31" s="110"/>
      <c r="J31" s="110"/>
    </row>
    <row r="32" spans="1:10" ht="20.100000000000001" customHeight="1" x14ac:dyDescent="0.25">
      <c r="D32" s="149" t="s">
        <v>249</v>
      </c>
      <c r="E32" s="149">
        <f>SUM(I20:I30)</f>
        <v>710</v>
      </c>
      <c r="F32" s="150" t="str">
        <f>$E$11</f>
        <v>kg N</v>
      </c>
      <c r="G32" s="110"/>
      <c r="H32" s="110"/>
      <c r="I32" s="110"/>
      <c r="J32" s="110"/>
    </row>
    <row r="33" spans="1:12" ht="20.100000000000001" customHeight="1" x14ac:dyDescent="0.25"/>
    <row r="34" spans="1:12" ht="20.100000000000001" customHeight="1" x14ac:dyDescent="0.25">
      <c r="A34" s="157" t="str">
        <f>HYPERLINK("#A1", "▲ Back to top")</f>
        <v>▲ Back to top</v>
      </c>
    </row>
    <row r="35" spans="1:12" ht="20.100000000000001" customHeight="1" x14ac:dyDescent="0.25">
      <c r="C35" s="156"/>
      <c r="D35" s="156"/>
      <c r="E35" s="156"/>
      <c r="F35" s="156"/>
      <c r="G35" s="156"/>
      <c r="H35" s="156"/>
      <c r="I35" s="156"/>
      <c r="J35" s="156"/>
      <c r="K35" s="156"/>
      <c r="L35" s="156"/>
    </row>
    <row r="36" spans="1:12" ht="20.100000000000001" customHeight="1" x14ac:dyDescent="0.25">
      <c r="D36" s="6" t="str" cm="1">
        <f t="array" ref="D36">Fertiliser_Equations_OrganicN2O.VEERG_5_2_1_1__1_OrganicFertiliserApplicationN2OEmissions_Title()</f>
        <v>Nitrous oxide emissions from the application of all organic fertiliser types f to all production systems j</v>
      </c>
    </row>
    <row r="37" spans="1:12" ht="20.100000000000001" customHeight="1" x14ac:dyDescent="0.25">
      <c r="D37" s="5" t="str" cm="1">
        <f t="array" ref="D37">Fertiliser_Equations_OrganicN2O.VEERG_5_2_1_1__1_OrganicFertiliserApplicationN2OEmissions_Source()</f>
        <v>VEERG 2026: 5.2.1.1, Equation (1)</v>
      </c>
    </row>
    <row r="38" spans="1:12" ht="20.100000000000001" customHeight="1" x14ac:dyDescent="0.25">
      <c r="D38" s="13" t="s">
        <v>22</v>
      </c>
      <c r="E38" s="13" t="str" cm="1">
        <f t="array" aca="1" ref="E38" ca="1">Common_InputFunctions.Utility_DisplayFunctionName($I$20)</f>
        <v>=Fertiliser_Equations_OrganicN2O.VEERG_5_2_1_1__2_MassOfNitrogenInOrganicFertiliser</v>
      </c>
    </row>
    <row r="39" spans="1:12" ht="20.100000000000001" customHeight="1" x14ac:dyDescent="0.25"/>
    <row r="40" spans="1:12" ht="20.100000000000001" customHeight="1" x14ac:dyDescent="0.25"/>
    <row r="41" spans="1:12" ht="20.100000000000001" customHeight="1" x14ac:dyDescent="0.25">
      <c r="D41" s="51" t="s">
        <v>25</v>
      </c>
      <c r="E41" s="1" t="str" cm="1">
        <f t="array" ref="E41">Fertiliser_Equations_OrganicN2O.VEERG_5_2_1_1__1_OrganicFertiliserApplicationN2OEmissions_Variable()</f>
        <v>E_N2O</v>
      </c>
    </row>
    <row r="42" spans="1:12" ht="20.100000000000001" customHeight="1" x14ac:dyDescent="0.25">
      <c r="D42" s="51" t="s">
        <v>16</v>
      </c>
      <c r="E42" s="52" t="str" cm="1">
        <f t="array" ref="E42">Fertiliser_Equations_OrganicN2O.VEERG_5_2_1_1__1_OrganicFertiliserApplicationN2OEmissions_Unit()</f>
        <v>t N2O</v>
      </c>
    </row>
    <row r="43" spans="1:12" ht="20.100000000000001" customHeight="1" x14ac:dyDescent="0.25"/>
    <row r="44" spans="1:12" ht="20.100000000000001" customHeight="1" x14ac:dyDescent="0.25">
      <c r="D44" s="147" t="str" cm="1">
        <f t="array" ref="D44:E48">_xlfn.CHOOSECOLS(Fertiliser_Equations_OrganicN2O.VEERG_5_2_1_1__1_OrganicFertiliserApplicationN2OEmissions_Arguments(), 1, 2)</f>
        <v>MNSoil_jf</v>
      </c>
      <c r="E44" s="154" t="str">
        <v>mass of nitrogen in organic fertiliser type f applied to production system j</v>
      </c>
      <c r="F44" s="155"/>
      <c r="G44" s="155"/>
      <c r="H44" s="153"/>
      <c r="I44" s="147" t="str" cm="1">
        <f t="array" ref="I44:J48">_xlfn.CHOOSECOLS(Fertiliser_Equations_OrganicN2O.VEERG_5_2_1_1__1_OrganicFertiliserApplicationN2OEmissions_Arguments(), 3,4)</f>
        <v>kg N</v>
      </c>
      <c r="J44" s="119" t="str">
        <v>Calculated from 5.2.1.1 (2)</v>
      </c>
      <c r="K44" s="147">
        <f>$E$32</f>
        <v>710</v>
      </c>
    </row>
    <row r="45" spans="1:12" ht="20.100000000000001" customHeight="1" x14ac:dyDescent="0.25">
      <c r="D45" s="147" t="str">
        <v>EF_N2Oi</v>
      </c>
      <c r="E45" s="154" t="str">
        <v>emission factor for direct nitrous oxide emissions from organic fertiliser applied to soils and aquatic systems in climate zone i</v>
      </c>
      <c r="F45" s="155"/>
      <c r="G45" s="155"/>
      <c r="H45" s="153"/>
      <c r="I45" s="147" t="str">
        <v>kg N2O-N/kg N</v>
      </c>
      <c r="J45" s="119" t="str">
        <v>Lookup</v>
      </c>
      <c r="K45" s="147">
        <f>Common_InputFunctions.Utility_LookupValueInTableNumber(K48, Table_SourceData_Common_EFOrganicFertCropResidues[Climate Zone],Table_SourceData_Common_EFOrganicFertCropResidues[EFNi &amp; EFN2Oi])</f>
        <v>5.0000000000000001E-3</v>
      </c>
    </row>
    <row r="46" spans="1:12" ht="20.100000000000001" customHeight="1" x14ac:dyDescent="0.25">
      <c r="D46" s="147" t="str">
        <v>C_N2O</v>
      </c>
      <c r="E46" s="154" t="str">
        <v>factor to convert elemental mass of nitrous oxide to molecular mass</v>
      </c>
      <c r="F46" s="155"/>
      <c r="G46" s="155"/>
      <c r="H46" s="153"/>
      <c r="I46" s="147" t="str">
        <v/>
      </c>
      <c r="J46" s="119" t="str">
        <v>Constant</v>
      </c>
      <c r="K46" s="54">
        <f>Common_InputFunctions.Utility_LookupValueInTableNumber("N2O",Table_GasToMolecularConversionFactor[Gas],Table_GasToMolecularConversionFactor[Conversion factor combined])</f>
        <v>1.5714285714285714</v>
      </c>
    </row>
    <row r="47" spans="1:12" ht="20.100000000000001" customHeight="1" x14ac:dyDescent="0.25">
      <c r="D47" s="147" t="str">
        <v>j</v>
      </c>
      <c r="E47" s="154" t="str">
        <v>Production system</v>
      </c>
      <c r="F47" s="155"/>
      <c r="G47" s="155"/>
      <c r="H47" s="153"/>
      <c r="I47" s="147" t="str">
        <v/>
      </c>
      <c r="J47" s="120" t="str">
        <v>Input</v>
      </c>
      <c r="K47" s="147" t="str">
        <f>X_Cell_Fertiliser_ProductionSystem</f>
        <v>Crop</v>
      </c>
    </row>
    <row r="48" spans="1:12" ht="20.100000000000001" customHeight="1" x14ac:dyDescent="0.25">
      <c r="D48" s="147" t="str">
        <v>i</v>
      </c>
      <c r="E48" s="154" t="str">
        <v>Wet or dry climate zone</v>
      </c>
      <c r="F48" s="155"/>
      <c r="G48" s="155"/>
      <c r="H48" s="153"/>
      <c r="I48" s="147" t="str">
        <v/>
      </c>
      <c r="J48" s="120" t="str">
        <v>Input</v>
      </c>
      <c r="K48" s="147" t="str">
        <f>X_Cell_Site_WetOrDryClimateZone</f>
        <v>Dry climate zone</v>
      </c>
    </row>
    <row r="49" spans="1:7" ht="20.100000000000001" customHeight="1" x14ac:dyDescent="0.25"/>
    <row r="50" spans="1:7" ht="20.100000000000001" customHeight="1" x14ac:dyDescent="0.25">
      <c r="D50" s="94" t="s">
        <v>162</v>
      </c>
      <c r="E50" s="95" cm="1">
        <f t="array" ref="E50">Fertiliser_Equations_OrganicN2O.VEERG_5_2_1_1__1_OrganicFertiliserApplicationN2OEmissions(K44,K45,K46)</f>
        <v>5.5785714285714293E-3</v>
      </c>
      <c r="F50" s="96" t="str">
        <f>$E$42</f>
        <v>t N2O</v>
      </c>
    </row>
    <row r="51" spans="1:7" ht="20.100000000000001" customHeight="1" x14ac:dyDescent="0.25"/>
    <row r="52" spans="1:7" ht="20.100000000000001" customHeight="1" x14ac:dyDescent="0.25">
      <c r="D52" s="54" t="str" cm="1">
        <f t="array" ref="D52:E53">Common_Equations.Common_ConvertN2OToCO2e_Arguments()</f>
        <v>EN2O</v>
      </c>
      <c r="E52" s="55" t="str">
        <v>Nitrous oxide emissions (t N2O)</v>
      </c>
      <c r="F52" s="97"/>
      <c r="G52" s="50">
        <f>E50</f>
        <v>5.5785714285714293E-3</v>
      </c>
    </row>
    <row r="53" spans="1:7" ht="20.100000000000001" customHeight="1" x14ac:dyDescent="0.25">
      <c r="D53" s="54" t="str">
        <v>GWPN2O</v>
      </c>
      <c r="E53" s="55" t="str">
        <v>Global warming potential for nitrous oxide (t CO2-e / t N2O)</v>
      </c>
      <c r="F53" s="97"/>
      <c r="G53" s="50">
        <f>Common_InputFunctions.Utility_LookupValueInTableNumber("N2O",Table_GWPData[Gas],Table_GWPData[CO2-e factor])</f>
        <v>265</v>
      </c>
    </row>
    <row r="54" spans="1:7" ht="20.100000000000001" customHeight="1" x14ac:dyDescent="0.25"/>
    <row r="55" spans="1:7" ht="20.100000000000001" customHeight="1" x14ac:dyDescent="0.25">
      <c r="A55" s="157" t="str">
        <f>HYPERLINK("#A1", "▲ Back to top")</f>
        <v>▲ Back to top</v>
      </c>
      <c r="D55" s="44" t="s">
        <v>79</v>
      </c>
      <c r="E55" s="44" cm="1">
        <f t="array" ref="E55">Common_Equations.Common_ConvertN2OToCO2e(G52,G53)</f>
        <v>1.4783214285714288</v>
      </c>
      <c r="F55" s="98" t="str" cm="1">
        <f t="array" ref="F55">Common_Equations.Common_ConvertN2OToCO2e_Unit()</f>
        <v>t CO2e</v>
      </c>
    </row>
    <row r="56" spans="1:7" ht="20.100000000000001" customHeight="1" x14ac:dyDescent="0.25"/>
    <row r="57" spans="1:7" ht="20.100000000000001" customHeight="1" x14ac:dyDescent="0.25"/>
    <row r="58" spans="1:7" ht="20.100000000000001" customHeight="1" x14ac:dyDescent="0.25"/>
    <row r="59" spans="1:7" ht="20.100000000000001" customHeight="1" x14ac:dyDescent="0.25"/>
    <row r="60" spans="1:7" ht="20.100000000000001" customHeight="1" x14ac:dyDescent="0.25"/>
    <row r="61" spans="1:7" ht="20.100000000000001" customHeight="1" x14ac:dyDescent="0.25"/>
    <row r="62" spans="1:7" ht="20.100000000000001" customHeight="1" x14ac:dyDescent="0.25"/>
    <row r="63" spans="1:7" ht="20.100000000000001" customHeight="1" x14ac:dyDescent="0.25"/>
    <row r="64" spans="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E3139-64BB-4C54-935D-87E1F188DF5D}">
  <dimension ref="A1:U165"/>
  <sheetViews>
    <sheetView showGridLines="0" topLeftCell="A9" workbookViewId="0">
      <selection activeCell="H25" sqref="H2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253</v>
      </c>
    </row>
    <row r="2" spans="1:21" s="9" customFormat="1" ht="20.100000000000001" customHeight="1" x14ac:dyDescent="0.25">
      <c r="A2"/>
    </row>
    <row r="3" spans="1:21" ht="20.100000000000001" customHeight="1" x14ac:dyDescent="0.25">
      <c r="A3" s="17" t="str">
        <f>HYPERLINK("#'Home'!A1", "Home")</f>
        <v>Home</v>
      </c>
      <c r="C3" s="4"/>
      <c r="D3" s="4" t="s">
        <v>80</v>
      </c>
      <c r="E3" s="4"/>
      <c r="F3" s="4"/>
      <c r="G3" s="4"/>
      <c r="H3" s="4"/>
      <c r="I3" s="4"/>
      <c r="J3" s="4"/>
      <c r="K3" s="4"/>
      <c r="L3" s="4"/>
      <c r="N3" s="4"/>
      <c r="O3" s="4" t="s">
        <v>81</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Fertiliser_Equations_Lime.VEERG_5_3_1_1__1_LimeApplicationCO2Emissions_Title()</f>
        <v>Emissions from the application of lime and dolomite to production systems</v>
      </c>
    </row>
    <row r="6" spans="1:21" ht="20.100000000000001" customHeight="1" x14ac:dyDescent="0.25">
      <c r="A6" s="16"/>
      <c r="D6" s="5" t="str" cm="1">
        <f t="array" ref="D6">Fertiliser_Equations_Lime.VEERG_5_3_1_1__1_LimeApplicationCO2Emissions_Source()</f>
        <v>VEERG 2026: 5.3.1.1, Equation (1)</v>
      </c>
    </row>
    <row r="7" spans="1:21" ht="20.100000000000001" customHeight="1" x14ac:dyDescent="0.25">
      <c r="A7" s="20" t="s">
        <v>1</v>
      </c>
      <c r="D7" s="13" t="s">
        <v>22</v>
      </c>
      <c r="E7" s="13" t="str" cm="1">
        <f t="array" aca="1" ref="E7" ca="1">Common_InputFunctions.Utility_DisplayFunctionName(H25)</f>
        <v>=Fertiliser_Equations_Lime.VEERG_5_3_1_1__1_LimeApplicationCO2Emissions</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25</v>
      </c>
      <c r="E10" s="1" t="str" cm="1">
        <f t="array" ref="E10">Fertiliser_Equations_Lime.VEERG_5_3_1_1__1_LimeApplicationCO2Emissions_Variable()</f>
        <v>E_lime</v>
      </c>
    </row>
    <row r="11" spans="1:21" ht="20.100000000000001" customHeight="1" x14ac:dyDescent="0.25">
      <c r="A11" s="19" t="s">
        <v>69</v>
      </c>
      <c r="D11" s="51" t="s">
        <v>16</v>
      </c>
      <c r="E11" s="52" t="str" cm="1">
        <f t="array" ref="E11">Fertiliser_Equations_Lime.VEERG_5_3_1_1__1_LimeApplicationCO2Emissions_Unit()</f>
        <v>t CO2</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147" t="str" cm="1">
        <f t="array" ref="D13:E20">_xlfn.CHOOSECOLS(Fertiliser_Equations_Lime.VEERG_5_3_1_1__1_LimeApplicationCO2Emissions_Arguments(), 1, 2)</f>
        <v>M_lime</v>
      </c>
      <c r="E13" s="154" t="str">
        <v>total mass of lime applied to production system</v>
      </c>
      <c r="F13" s="153"/>
      <c r="G13" s="147" t="str" cm="1">
        <f t="array" ref="G13:H20">_xlfn.CHOOSECOLS(Fertiliser_Equations_Lime.VEERG_5_3_1_1__1_LimeApplicationCO2Emissions_Arguments(), 3,4)</f>
        <v>kg</v>
      </c>
      <c r="H13" s="120" t="str">
        <v>Input</v>
      </c>
      <c r="I13" s="145" t="str" cm="1">
        <f t="array" aca="1" ref="I13" ca="1">HYPERLINK(Common_InputFunctions.Utility_SourceHyperlink($D$22), $D$22)</f>
        <v>Table_E_lime</v>
      </c>
    </row>
    <row r="14" spans="1:21" ht="20.100000000000001" customHeight="1" x14ac:dyDescent="0.25">
      <c r="A14" s="17" t="str">
        <f>HYPERLINK("#'5.2.1.1-2 Organic Fert N2O'!A1", "5.2.1.1-2 Organic Fert N2O")</f>
        <v>5.2.1.1-2 Organic Fert N2O</v>
      </c>
      <c r="D14" s="147" t="str">
        <v>FracLime</v>
      </c>
      <c r="E14" s="154" t="str">
        <v>fraction of lime as limestone (CaCO3)</v>
      </c>
      <c r="F14" s="153"/>
      <c r="G14" s="147" t="str">
        <v>fraction</v>
      </c>
      <c r="H14" s="120" t="str">
        <v>Input</v>
      </c>
      <c r="I14" s="145" t="str" cm="1">
        <f t="array" aca="1" ref="I14" ca="1">HYPERLINK(Common_InputFunctions.Utility_SourceHyperlink($D$22), $D$22)</f>
        <v>Table_E_lime</v>
      </c>
    </row>
    <row r="15" spans="1:21" ht="20.100000000000001" customHeight="1" x14ac:dyDescent="0.25">
      <c r="A15" s="176" t="str">
        <f>HYPERLINK("#'5.3.1.1-2 Lime CO2'!A1", "5.3.1.1-2 Lime CO2")</f>
        <v>5.3.1.1-2 Lime CO2</v>
      </c>
      <c r="D15" s="147" t="str">
        <v>P_lime</v>
      </c>
      <c r="E15" s="154" t="str">
        <v>fractional purity of limestone</v>
      </c>
      <c r="F15" s="153"/>
      <c r="G15" s="147" t="str">
        <v>fraction</v>
      </c>
      <c r="H15" s="119" t="str">
        <v>Constant</v>
      </c>
      <c r="I15" s="147">
        <f>'Constants - Fertiliser'!$E$66</f>
        <v>0.9</v>
      </c>
    </row>
    <row r="16" spans="1:21" ht="20.100000000000001" customHeight="1" x14ac:dyDescent="0.25">
      <c r="A16" s="17" t="str">
        <f>HYPERLINK("#'5.4.1.1-4 Atmos deposition'!A1", "5.4.1.1-4 Atmos deposition")</f>
        <v>5.4.1.1-4 Atmos deposition</v>
      </c>
      <c r="D16" s="147" t="str">
        <v>EF_lime</v>
      </c>
      <c r="E16" s="154" t="str">
        <v>emission factor for limestone fraction of lime</v>
      </c>
      <c r="F16" s="153"/>
      <c r="G16" s="147" t="str">
        <v>kg C/kg</v>
      </c>
      <c r="H16" s="119" t="str">
        <v>Constant</v>
      </c>
      <c r="I16" s="147">
        <f>'Constants - Fertiliser'!$F$66</f>
        <v>0.12</v>
      </c>
    </row>
    <row r="17" spans="1:9" ht="20.100000000000001" customHeight="1" x14ac:dyDescent="0.25">
      <c r="A17" s="17" t="str">
        <f>HYPERLINK("#'5.5.1.1-2 Leaching and runoff'!A1", "5.5.1.1-2 Leaching and runoff")</f>
        <v>5.5.1.1-2 Leaching and runoff</v>
      </c>
      <c r="D17" s="147" t="str">
        <v>FracDol</v>
      </c>
      <c r="E17" s="154" t="str">
        <v>fraction of lime as dolomite</v>
      </c>
      <c r="F17" s="153"/>
      <c r="G17" s="147" t="str">
        <v>fraction</v>
      </c>
      <c r="H17" s="120" t="str">
        <v>Input</v>
      </c>
      <c r="I17" s="145" t="str" cm="1">
        <f t="array" aca="1" ref="I17" ca="1">HYPERLINK(Common_InputFunctions.Utility_SourceHyperlink($D$22), $D$22)</f>
        <v>Table_E_lime</v>
      </c>
    </row>
    <row r="18" spans="1:9" ht="20.100000000000001" customHeight="1" x14ac:dyDescent="0.25">
      <c r="D18" s="147" t="str">
        <v>P_dol</v>
      </c>
      <c r="E18" s="154" t="str">
        <v>fractional purity of dolomite</v>
      </c>
      <c r="F18" s="153"/>
      <c r="G18" s="147" t="str">
        <v>fraction</v>
      </c>
      <c r="H18" s="119" t="str">
        <v>Constant</v>
      </c>
      <c r="I18" s="147">
        <f>'Constants - Fertiliser'!$E$67</f>
        <v>0.95</v>
      </c>
    </row>
    <row r="19" spans="1:9" ht="20.100000000000001" customHeight="1" x14ac:dyDescent="0.25">
      <c r="A19" s="18" t="s">
        <v>2</v>
      </c>
      <c r="D19" s="147" t="str">
        <v>EF_dol</v>
      </c>
      <c r="E19" s="154" t="str">
        <v>emission factor for dolomite fraction of lime</v>
      </c>
      <c r="F19" s="153"/>
      <c r="G19" s="147" t="str">
        <v>kg C/kg</v>
      </c>
      <c r="H19" s="119" t="str">
        <v>Constant</v>
      </c>
      <c r="I19" s="147">
        <f>'Constants - Fertiliser'!$F$67</f>
        <v>0.13</v>
      </c>
    </row>
    <row r="20" spans="1:9" ht="20.100000000000001" customHeight="1" x14ac:dyDescent="0.25">
      <c r="A20" s="17" t="str">
        <f>HYPERLINK("#'Constants - Fertiliser'!A1", "Constants - Fertiliser")</f>
        <v>Constants - Fertiliser</v>
      </c>
      <c r="D20" s="147" t="str">
        <v>C_CO2</v>
      </c>
      <c r="E20" s="154" t="str">
        <v>factor to convert elemental mass of carbon dioxide to molecular mass</v>
      </c>
      <c r="F20" s="153"/>
      <c r="G20" s="147" t="str">
        <v/>
      </c>
      <c r="H20" s="119" t="str">
        <v>Constant</v>
      </c>
      <c r="I20" s="54">
        <f>Common_InputFunctions.Utility_LookupValueInTableNumber("CO2",Table_GasToMolecularConversionFactor[Gas], Table_GasToMolecularConversionFactor[Conversion factor combined])</f>
        <v>3.6666666666666665</v>
      </c>
    </row>
    <row r="21" spans="1:9" ht="20.100000000000001" customHeight="1" x14ac:dyDescent="0.25">
      <c r="A21" s="17" t="str">
        <f>HYPERLINK("#'Constants - Common'!A1", "Constants - Common")</f>
        <v>Constants - Common</v>
      </c>
    </row>
    <row r="22" spans="1:9" ht="20.100000000000001" customHeight="1" x14ac:dyDescent="0.25">
      <c r="D22" s="92" t="s">
        <v>261</v>
      </c>
    </row>
    <row r="23" spans="1:9" ht="20.100000000000001" customHeight="1" x14ac:dyDescent="0.25">
      <c r="A23" s="17"/>
      <c r="D23" s="91" t="s">
        <v>266</v>
      </c>
    </row>
    <row r="24" spans="1:9" ht="20.100000000000001" customHeight="1" x14ac:dyDescent="0.25">
      <c r="D24" s="112" t="s">
        <v>254</v>
      </c>
      <c r="E24" s="112" t="s">
        <v>255</v>
      </c>
      <c r="F24" s="112" t="s">
        <v>256</v>
      </c>
      <c r="G24" s="112" t="s">
        <v>257</v>
      </c>
      <c r="H24" s="49" t="s">
        <v>258</v>
      </c>
    </row>
    <row r="25" spans="1:9" ht="20.100000000000001" customHeight="1" x14ac:dyDescent="0.25">
      <c r="D25" s="50" t="str" cm="1">
        <f t="array" ref="D25:D27">Table_Input_Lime[Product]</f>
        <v>Lime product 1</v>
      </c>
      <c r="E25" s="158" cm="1">
        <f t="array" ref="E25:E27">Table_Input_Lime[Total amount applied (t)]*10^3</f>
        <v>100000</v>
      </c>
      <c r="F25" s="159" cm="1">
        <f t="array" ref="F25:F27">Table_Input_Lime[Percent Lime CaCO3]</f>
        <v>0.8</v>
      </c>
      <c r="G25" s="159" cm="1">
        <f t="array" ref="G25:G27">Table_Input_Lime[Percent Dolomite CaMg(CO3)2]</f>
        <v>0.1</v>
      </c>
      <c r="H25" s="50" cm="1">
        <f t="array" ref="H25">Fertiliser_Equations_Lime.VEERG_5_3_1_1__1_LimeApplicationCO2Emissions(E25,F25,$I$15,$I$16,G25,$I$18,$I$19,$I$20)</f>
        <v>36.208333333333329</v>
      </c>
    </row>
    <row r="26" spans="1:9" ht="20.100000000000001" customHeight="1" x14ac:dyDescent="0.25">
      <c r="D26" s="50" t="str">
        <v>Lime product 2</v>
      </c>
      <c r="E26" s="50">
        <v>100000</v>
      </c>
      <c r="F26" s="50">
        <v>1</v>
      </c>
      <c r="G26" s="50">
        <v>0</v>
      </c>
      <c r="H26" s="50" cm="1">
        <f t="array" ref="H26">Fertiliser_Equations_Lime.VEERG_5_3_1_1__1_LimeApplicationCO2Emissions(E26,F26,$I$15,$I$16,G26,$I$18,$I$19,$I$20)</f>
        <v>39.6</v>
      </c>
    </row>
    <row r="27" spans="1:9" ht="20.100000000000001" customHeight="1" x14ac:dyDescent="0.25">
      <c r="D27" s="50" t="str">
        <v>Lime product 3</v>
      </c>
      <c r="E27" s="50">
        <v>100000</v>
      </c>
      <c r="F27" s="50">
        <v>0</v>
      </c>
      <c r="G27" s="50">
        <v>0</v>
      </c>
      <c r="H27" s="50" cm="1">
        <f t="array" ref="H27">Fertiliser_Equations_Lime.VEERG_5_3_1_1__1_LimeApplicationCO2Emissions(E27,F27,$I$15,$I$16,G27,$I$18,$I$19,$I$20)</f>
        <v>0</v>
      </c>
    </row>
    <row r="28" spans="1:9" ht="20.100000000000001" customHeight="1" x14ac:dyDescent="0.25">
      <c r="D28" s="50"/>
      <c r="E28" s="50"/>
      <c r="F28" s="50"/>
      <c r="G28" s="50"/>
      <c r="H28" s="50" cm="1">
        <f t="array" ref="H28">Fertiliser_Equations_Lime.VEERG_5_3_1_1__1_LimeApplicationCO2Emissions(E28,F28,$I$15,$I$16,G28,$I$18,$I$19,$I$20)</f>
        <v>0</v>
      </c>
    </row>
    <row r="29" spans="1:9" ht="20.100000000000001" customHeight="1" x14ac:dyDescent="0.25">
      <c r="D29" s="50"/>
      <c r="E29" s="50"/>
      <c r="F29" s="50"/>
      <c r="G29" s="50"/>
      <c r="H29" s="50" cm="1">
        <f t="array" ref="H29">Fertiliser_Equations_Lime.VEERG_5_3_1_1__1_LimeApplicationCO2Emissions(E29,F29,$I$15,$I$16,G29,$I$18,$I$19,$I$20)</f>
        <v>0</v>
      </c>
    </row>
    <row r="30" spans="1:9" ht="20.100000000000001" customHeight="1" x14ac:dyDescent="0.25"/>
    <row r="31" spans="1:9" ht="20.100000000000001" customHeight="1" x14ac:dyDescent="0.25">
      <c r="D31" s="94" t="s">
        <v>259</v>
      </c>
      <c r="E31" s="95">
        <f>SUM(H25:H29)</f>
        <v>75.808333333333337</v>
      </c>
      <c r="F31" s="160" t="s">
        <v>260</v>
      </c>
    </row>
    <row r="32" spans="1:9" ht="20.100000000000001" customHeight="1" x14ac:dyDescent="0.25"/>
    <row r="33" spans="1:1" ht="20.100000000000001" customHeight="1" x14ac:dyDescent="0.25"/>
    <row r="34" spans="1:1" ht="20.100000000000001" customHeight="1" x14ac:dyDescent="0.25">
      <c r="A34" s="157" t="str">
        <f>HYPERLINK("#A1", "▲ Back to top")</f>
        <v>▲ Back to top</v>
      </c>
    </row>
    <row r="35" spans="1:1" ht="20.100000000000001" customHeight="1" x14ac:dyDescent="0.25"/>
    <row r="36" spans="1:1" ht="20.100000000000001" customHeight="1" x14ac:dyDescent="0.25"/>
    <row r="37" spans="1:1" ht="20.100000000000001" customHeight="1" x14ac:dyDescent="0.25"/>
    <row r="38" spans="1:1" ht="20.100000000000001" customHeight="1" x14ac:dyDescent="0.25"/>
    <row r="39" spans="1:1" ht="20.100000000000001" customHeight="1" x14ac:dyDescent="0.25"/>
    <row r="40" spans="1:1" ht="20.100000000000001" customHeight="1" x14ac:dyDescent="0.25"/>
    <row r="41" spans="1:1" ht="20.100000000000001" customHeight="1" x14ac:dyDescent="0.25"/>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spans="1:1" ht="20.100000000000001" customHeight="1" x14ac:dyDescent="0.25"/>
    <row r="50" spans="1:1" ht="20.100000000000001" customHeight="1" x14ac:dyDescent="0.25"/>
    <row r="51" spans="1:1" ht="20.100000000000001" customHeight="1" x14ac:dyDescent="0.25"/>
    <row r="52" spans="1:1" ht="20.100000000000001" customHeight="1" x14ac:dyDescent="0.25"/>
    <row r="53" spans="1:1" ht="20.100000000000001" customHeight="1" x14ac:dyDescent="0.25"/>
    <row r="54" spans="1:1" ht="20.100000000000001" customHeight="1" x14ac:dyDescent="0.25"/>
    <row r="55" spans="1:1" ht="20.100000000000001" customHeight="1" x14ac:dyDescent="0.25">
      <c r="A55" s="157" t="str">
        <f>HYPERLINK("#A1", "▲ Back to top")</f>
        <v>▲ Back to top</v>
      </c>
    </row>
    <row r="56" spans="1:1" ht="20.100000000000001" customHeight="1" x14ac:dyDescent="0.25"/>
    <row r="57" spans="1:1" ht="20.100000000000001" customHeight="1" x14ac:dyDescent="0.25"/>
    <row r="58" spans="1:1" ht="20.100000000000001" customHeight="1" x14ac:dyDescent="0.25"/>
    <row r="59" spans="1:1" ht="20.100000000000001" customHeight="1" x14ac:dyDescent="0.25"/>
    <row r="60" spans="1:1" ht="20.100000000000001" customHeight="1" x14ac:dyDescent="0.25"/>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915A5-9E7A-48B1-BB4A-69314E8D064C}">
  <dimension ref="A1:U165"/>
  <sheetViews>
    <sheetView showGridLines="0" topLeftCell="A137" zoomScale="85" zoomScaleNormal="85" workbookViewId="0">
      <selection activeCell="I133" sqref="I133"/>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284</v>
      </c>
    </row>
    <row r="2" spans="1:21" s="9" customFormat="1" ht="20.100000000000001" customHeight="1" x14ac:dyDescent="0.25">
      <c r="A2"/>
    </row>
    <row r="3" spans="1:21" ht="20.100000000000001" customHeight="1" x14ac:dyDescent="0.25">
      <c r="A3" s="17" t="str">
        <f>HYPERLINK("#'Home'!A1", "Home")</f>
        <v>Home</v>
      </c>
      <c r="C3" s="4"/>
      <c r="D3" s="4" t="s">
        <v>80</v>
      </c>
      <c r="E3" s="4"/>
      <c r="F3" s="4"/>
      <c r="G3" s="4"/>
      <c r="H3" s="4"/>
      <c r="I3" s="4"/>
      <c r="J3" s="4"/>
      <c r="K3" s="4"/>
      <c r="L3" s="4"/>
      <c r="N3" s="4"/>
      <c r="O3" s="4" t="s">
        <v>81</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Fertiliser_Equations_AtmosphericDeposition.VEERG_5_4_1_1__2_MassOfNitrogenVolatilisedFromInorganicFertiliser_Title()</f>
        <v>Mass of nitrogen volatilised from inorganic fertiliser applied to production system</v>
      </c>
    </row>
    <row r="6" spans="1:21" ht="20.100000000000001" customHeight="1" x14ac:dyDescent="0.25">
      <c r="A6" s="16"/>
      <c r="D6" s="5" t="str" cm="1">
        <f t="array" ref="D6">Fertiliser_Equations_AtmosphericDeposition.VEERG_5_4_1_1__2_MassOfNitrogenVolatilisedFromInorganicFertiliser_Source()</f>
        <v>VEERG 2026: 5.4.1.1, Equation (2)</v>
      </c>
    </row>
    <row r="7" spans="1:21" ht="20.100000000000001" customHeight="1" x14ac:dyDescent="0.25">
      <c r="A7" s="20" t="s">
        <v>1</v>
      </c>
      <c r="D7" s="13" t="s">
        <v>22</v>
      </c>
      <c r="E7" s="13" t="str" cm="1">
        <f t="array" aca="1" ref="E7" ca="1">Common_InputFunctions.Utility_DisplayFunctionName(H19)</f>
        <v>=Fertiliser_Equations_AtmosphericDeposition.VEERG_5_4_1_1__2_MassOfNitrogenVolatilisedFromInorganicFertiliser</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25</v>
      </c>
      <c r="E10" s="1" t="str" cm="1">
        <f t="array" ref="E10">Fertiliser_Equations_AtmosphericDeposition.VEERG_5_4_1_1__2_MassOfNitrogenVolatilisedFromInorganicFertiliser_Variable()</f>
        <v>M_volinorganicjf</v>
      </c>
    </row>
    <row r="11" spans="1:21" ht="20.100000000000001" customHeight="1" x14ac:dyDescent="0.25">
      <c r="A11" s="19" t="s">
        <v>69</v>
      </c>
      <c r="D11" s="51" t="s">
        <v>16</v>
      </c>
      <c r="E11" s="52" t="str" cm="1">
        <f t="array" ref="E11">Fertiliser_Equations_AtmosphericDeposition.VEERG_5_4_1_1__2_MassOfNitrogenVolatilisedFromInorganicFertiliser_Unit()</f>
        <v>kg N</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147" t="str" cm="1">
        <f t="array" ref="D13:E14">_xlfn.CHOOSECOLS(Fertiliser_Equations_AtmosphericDeposition.VEERG_5_4_1_1__2_MassOfNitrogenVolatilisedFromInorganicFertiliser_Arguments(), 1, 2)</f>
        <v>MN_jf</v>
      </c>
      <c r="E13" s="154" t="str">
        <v>mass of nitrogen in inorganic fertiliser applied</v>
      </c>
      <c r="F13" s="153"/>
      <c r="G13" s="147" t="str" cm="1">
        <f t="array" ref="G13:H14">_xlfn.CHOOSECOLS(Fertiliser_Equations_AtmosphericDeposition.VEERG_5_4_1_1__2_MassOfNitrogenVolatilisedFromInorganicFertiliser_Arguments(), 3,4)</f>
        <v>kg N</v>
      </c>
      <c r="H13" s="119" t="str">
        <v>Calculated from 5.1.1.1 (2)</v>
      </c>
      <c r="I13" s="145" t="str" cm="1">
        <f t="array" aca="1" ref="I13" ca="1">HYPERLINK(Common_InputFunctions.Utility_SourceHyperlink($D$16),$D$16)</f>
        <v>Table_M_vol_inorganic_j_f</v>
      </c>
    </row>
    <row r="14" spans="1:21" ht="20.100000000000001" customHeight="1" x14ac:dyDescent="0.25">
      <c r="A14" s="17" t="str">
        <f>HYPERLINK("#'5.2.1.1-2 Organic Fert N2O'!A1", "5.2.1.1-2 Organic Fert N2O")</f>
        <v>5.2.1.1-2 Organic Fert N2O</v>
      </c>
      <c r="D14" s="147" t="str">
        <v>FracGASF_f</v>
      </c>
      <c r="E14" s="154" t="str">
        <v>fraction of inorganic fertiliser that volatilises</v>
      </c>
      <c r="F14" s="153"/>
      <c r="G14" s="147" t="str">
        <v>(kg NH3-N + NOx-N)/kg N</v>
      </c>
      <c r="H14" s="119" t="str">
        <v>Constant</v>
      </c>
      <c r="I14" s="145" t="str" cm="1">
        <f t="array" aca="1" ref="I14" ca="1">HYPERLINK(Common_InputFunctions.Utility_SourceHyperlink($D$16),$D$16)</f>
        <v>Table_M_vol_inorganic_j_f</v>
      </c>
    </row>
    <row r="15" spans="1:21" ht="20.100000000000001" customHeight="1" x14ac:dyDescent="0.25">
      <c r="A15" s="17" t="str">
        <f>HYPERLINK("#'5.3.1.1-2 Lime CO2'!A1", "5.3.1.1-2 Lime CO2")</f>
        <v>5.3.1.1-2 Lime CO2</v>
      </c>
    </row>
    <row r="16" spans="1:21" ht="20.100000000000001" customHeight="1" x14ac:dyDescent="0.25">
      <c r="A16" s="176" t="str">
        <f>HYPERLINK("#'5.4.1.1-4 Atmos deposition'!A1", "5.4.1.1-4 Atmos deposition")</f>
        <v>5.4.1.1-4 Atmos deposition</v>
      </c>
      <c r="D16" s="92" t="s">
        <v>271</v>
      </c>
    </row>
    <row r="17" spans="1:8" ht="20.100000000000001" customHeight="1" x14ac:dyDescent="0.25">
      <c r="A17" s="17" t="str">
        <f>HYPERLINK("#'5.5.1.1-2 Leaching and runoff'!A1", "5.5.1.1-2 Leaching and runoff")</f>
        <v>5.5.1.1-2 Leaching and runoff</v>
      </c>
      <c r="D17" s="91" t="s">
        <v>272</v>
      </c>
    </row>
    <row r="18" spans="1:8" ht="20.100000000000001" customHeight="1" x14ac:dyDescent="0.25">
      <c r="D18" s="49" t="s">
        <v>267</v>
      </c>
      <c r="E18" s="49" t="s">
        <v>268</v>
      </c>
      <c r="F18" s="49" t="s">
        <v>110</v>
      </c>
      <c r="G18" s="165" t="s">
        <v>269</v>
      </c>
      <c r="H18" s="165" t="s">
        <v>270</v>
      </c>
    </row>
    <row r="19" spans="1:8" ht="20.100000000000001" customHeight="1" x14ac:dyDescent="0.25">
      <c r="A19" s="18" t="s">
        <v>2</v>
      </c>
      <c r="D19" s="50" t="str" cm="1">
        <f t="array" ref="D19:D37">Table_Fertiliser_ChemicalCompounds[Fertiliser type f]</f>
        <v>Monoammonium phosphate (MAP)</v>
      </c>
      <c r="E19" s="50">
        <f>'5.1.1.1-2 Inorganic fert N2O'!G19</f>
        <v>0</v>
      </c>
      <c r="F19" s="50" t="str" cm="1">
        <f t="array" ref="F19">Common_InputFunctions.Utility_LookupValueInTable(D19, Table_Fertiliser_ChemicalCompounds[Fertiliser type f],Table_Fertiliser_ChemicalCompounds[Basis])</f>
        <v>Ammonium-based fertilisers</v>
      </c>
      <c r="G19" s="50" cm="1">
        <f t="array" ref="G19">Common_InputFunctions.Utility_LookupValueInTableNumber(F19, Table_SourceData_Fertiliser_FracGASF[Fertiliser type f],Table_SourceData_Fertiliser_FracGASF[FracGASF f])</f>
        <v>0.08</v>
      </c>
      <c r="H19" s="50" cm="1">
        <f t="array" ref="H19">Fertiliser_Equations_AtmosphericDeposition.VEERG_5_4_1_1__2_MassOfNitrogenVolatilisedFromInorganicFertiliser(E19,G19)</f>
        <v>0</v>
      </c>
    </row>
    <row r="20" spans="1:8" ht="20.100000000000001" customHeight="1" x14ac:dyDescent="0.25">
      <c r="A20" s="17" t="str">
        <f>HYPERLINK("#'Constants - Fertiliser'!A1", "Constants - Fertiliser")</f>
        <v>Constants - Fertiliser</v>
      </c>
      <c r="D20" s="50" t="str">
        <v>Diammonium phosphate (DAP)</v>
      </c>
      <c r="E20" s="50">
        <f>'5.1.1.1-2 Inorganic fert N2O'!G20</f>
        <v>0</v>
      </c>
      <c r="F20" s="50" t="str" cm="1">
        <f t="array" ref="F20">Common_InputFunctions.Utility_LookupValueInTable(D20, Table_Fertiliser_ChemicalCompounds[Fertiliser type f],Table_Fertiliser_ChemicalCompounds[Basis])</f>
        <v>Ammonium-based fertilisers</v>
      </c>
      <c r="G20" s="50" cm="1">
        <f t="array" ref="G20">Common_InputFunctions.Utility_LookupValueInTableNumber(F20, Table_SourceData_Fertiliser_FracGASF[Fertiliser type f],Table_SourceData_Fertiliser_FracGASF[FracGASF f])</f>
        <v>0.08</v>
      </c>
      <c r="H20" s="50" cm="1">
        <f t="array" ref="H20">Fertiliser_Equations_AtmosphericDeposition.VEERG_5_4_1_1__2_MassOfNitrogenVolatilisedFromInorganicFertiliser(E20,G20)</f>
        <v>0</v>
      </c>
    </row>
    <row r="21" spans="1:8" ht="20.100000000000001" customHeight="1" x14ac:dyDescent="0.25">
      <c r="A21" s="17" t="str">
        <f>HYPERLINK("#'Constants - Common'!A1", "Constants - Common")</f>
        <v>Constants - Common</v>
      </c>
      <c r="D21" s="50" t="str">
        <v>Urea</v>
      </c>
      <c r="E21" s="50">
        <f>'5.1.1.1-2 Inorganic fert N2O'!G21</f>
        <v>4600</v>
      </c>
      <c r="F21" s="50" t="str" cm="1">
        <f t="array" ref="F21">Common_InputFunctions.Utility_LookupValueInTable(D21, Table_Fertiliser_ChemicalCompounds[Fertiliser type f],Table_Fertiliser_ChemicalCompounds[Basis])</f>
        <v>Urea-based fertilisers</v>
      </c>
      <c r="G21" s="50" cm="1">
        <f t="array" ref="G21">Common_InputFunctions.Utility_LookupValueInTableNumber(F21, Table_SourceData_Fertiliser_FracGASF[Fertiliser type f],Table_SourceData_Fertiliser_FracGASF[FracGASF f])</f>
        <v>0.15</v>
      </c>
      <c r="H21" s="50" cm="1">
        <f t="array" ref="H21">Fertiliser_Equations_AtmosphericDeposition.VEERG_5_4_1_1__2_MassOfNitrogenVolatilisedFromInorganicFertiliser(E21,G21)</f>
        <v>690</v>
      </c>
    </row>
    <row r="22" spans="1:8" ht="20.100000000000001" customHeight="1" x14ac:dyDescent="0.25">
      <c r="D22" s="50" t="str">
        <v>Sulphate of ammonia (SOA)</v>
      </c>
      <c r="E22" s="50">
        <f>'5.1.1.1-2 Inorganic fert N2O'!G22</f>
        <v>0</v>
      </c>
      <c r="F22" s="50" t="str" cm="1">
        <f t="array" ref="F22">Common_InputFunctions.Utility_LookupValueInTable(D22, Table_Fertiliser_ChemicalCompounds[Fertiliser type f],Table_Fertiliser_ChemicalCompounds[Basis])</f>
        <v>Ammonium-based fertilisers</v>
      </c>
      <c r="G22" s="50" cm="1">
        <f t="array" ref="G22">Common_InputFunctions.Utility_LookupValueInTableNumber(F22, Table_SourceData_Fertiliser_FracGASF[Fertiliser type f],Table_SourceData_Fertiliser_FracGASF[FracGASF f])</f>
        <v>0.08</v>
      </c>
      <c r="H22" s="50" cm="1">
        <f t="array" ref="H22">Fertiliser_Equations_AtmosphericDeposition.VEERG_5_4_1_1__2_MassOfNitrogenVolatilisedFromInorganicFertiliser(E22,G22)</f>
        <v>0</v>
      </c>
    </row>
    <row r="23" spans="1:8" ht="20.100000000000001" customHeight="1" x14ac:dyDescent="0.25">
      <c r="A23" s="17"/>
      <c r="D23" s="50" t="str">
        <v>Urea-ammonium nitrate (UAN)</v>
      </c>
      <c r="E23" s="50">
        <f>'5.1.1.1-2 Inorganic fert N2O'!G23</f>
        <v>0</v>
      </c>
      <c r="F23" s="50" t="str" cm="1">
        <f t="array" ref="F23">Common_InputFunctions.Utility_LookupValueInTable(D23, Table_Fertiliser_ChemicalCompounds[Fertiliser type f],Table_Fertiliser_ChemicalCompounds[Basis])</f>
        <v>Urea-based fertilisers</v>
      </c>
      <c r="G23" s="50" cm="1">
        <f t="array" ref="G23">Common_InputFunctions.Utility_LookupValueInTableNumber(F23, Table_SourceData_Fertiliser_FracGASF[Fertiliser type f],Table_SourceData_Fertiliser_FracGASF[FracGASF f])</f>
        <v>0.15</v>
      </c>
      <c r="H23" s="50" cm="1">
        <f t="array" ref="H23">Fertiliser_Equations_AtmosphericDeposition.VEERG_5_4_1_1__2_MassOfNitrogenVolatilisedFromInorganicFertiliser(E23,G23)</f>
        <v>0</v>
      </c>
    </row>
    <row r="24" spans="1:8" ht="20.100000000000001" customHeight="1" x14ac:dyDescent="0.25">
      <c r="D24" s="50" t="str">
        <v>Ammonium nitrate (AN)</v>
      </c>
      <c r="E24" s="50">
        <f>'5.1.1.1-2 Inorganic fert N2O'!G24</f>
        <v>0</v>
      </c>
      <c r="F24" s="50" t="str" cm="1">
        <f t="array" ref="F24">Common_InputFunctions.Utility_LookupValueInTable(D24, Table_Fertiliser_ChemicalCompounds[Fertiliser type f],Table_Fertiliser_ChemicalCompounds[Basis])</f>
        <v>Ammonium-nitrate based fertilisers</v>
      </c>
      <c r="G24" s="50" cm="1">
        <f t="array" ref="G24">Common_InputFunctions.Utility_LookupValueInTableNumber(F24, Table_SourceData_Fertiliser_FracGASF[Fertiliser type f],Table_SourceData_Fertiliser_FracGASF[FracGASF f])</f>
        <v>0.05</v>
      </c>
      <c r="H24" s="50" cm="1">
        <f t="array" ref="H24">Fertiliser_Equations_AtmosphericDeposition.VEERG_5_4_1_1__2_MassOfNitrogenVolatilisedFromInorganicFertiliser(E24,G24)</f>
        <v>0</v>
      </c>
    </row>
    <row r="25" spans="1:8" ht="20.100000000000001" customHeight="1" x14ac:dyDescent="0.25">
      <c r="D25" s="50" t="str">
        <v>Calcium ammonium nitrate (CAN)</v>
      </c>
      <c r="E25" s="50">
        <f>'5.1.1.1-2 Inorganic fert N2O'!G25</f>
        <v>0</v>
      </c>
      <c r="F25" s="50" t="str" cm="1">
        <f t="array" ref="F25">Common_InputFunctions.Utility_LookupValueInTable(D25, Table_Fertiliser_ChemicalCompounds[Fertiliser type f],Table_Fertiliser_ChemicalCompounds[Basis])</f>
        <v>Ammonium-nitrate based fertilisers</v>
      </c>
      <c r="G25" s="50" cm="1">
        <f t="array" ref="G25">Common_InputFunctions.Utility_LookupValueInTableNumber(F25, Table_SourceData_Fertiliser_FracGASF[Fertiliser type f],Table_SourceData_Fertiliser_FracGASF[FracGASF f])</f>
        <v>0.05</v>
      </c>
      <c r="H25" s="50" cm="1">
        <f t="array" ref="H25">Fertiliser_Equations_AtmosphericDeposition.VEERG_5_4_1_1__2_MassOfNitrogenVolatilisedFromInorganicFertiliser(E25,G25)</f>
        <v>0</v>
      </c>
    </row>
    <row r="26" spans="1:8" ht="20.100000000000001" customHeight="1" x14ac:dyDescent="0.25">
      <c r="D26" s="50" t="str">
        <v>Nitrogen - Ammoniacal</v>
      </c>
      <c r="E26" s="50">
        <f>'5.1.1.1-2 Inorganic fert N2O'!G26</f>
        <v>0</v>
      </c>
      <c r="F26" s="50" t="str" cm="1">
        <f t="array" ref="F26">Common_InputFunctions.Utility_LookupValueInTable(D26, Table_Fertiliser_ChemicalCompounds[Fertiliser type f],Table_Fertiliser_ChemicalCompounds[Basis])</f>
        <v>Ammonium-based fertilisers</v>
      </c>
      <c r="G26" s="50" cm="1">
        <f t="array" ref="G26">Common_InputFunctions.Utility_LookupValueInTableNumber(F26, Table_SourceData_Fertiliser_FracGASF[Fertiliser type f],Table_SourceData_Fertiliser_FracGASF[FracGASF f])</f>
        <v>0.08</v>
      </c>
      <c r="H26" s="50" cm="1">
        <f t="array" ref="H26">Fertiliser_Equations_AtmosphericDeposition.VEERG_5_4_1_1__2_MassOfNitrogenVolatilisedFromInorganicFertiliser(E26,G26)</f>
        <v>0</v>
      </c>
    </row>
    <row r="27" spans="1:8" ht="20.100000000000001" customHeight="1" x14ac:dyDescent="0.25">
      <c r="D27" s="50" t="str">
        <v>Nitrogen - Nitrate</v>
      </c>
      <c r="E27" s="50">
        <f>'5.1.1.1-2 Inorganic fert N2O'!G27</f>
        <v>1980</v>
      </c>
      <c r="F27" s="50" t="str" cm="1">
        <f t="array" ref="F27">Common_InputFunctions.Utility_LookupValueInTable(D27, Table_Fertiliser_ChemicalCompounds[Fertiliser type f],Table_Fertiliser_ChemicalCompounds[Basis])</f>
        <v>Nitrate-based fertilisers</v>
      </c>
      <c r="G27" s="50" cm="1">
        <f t="array" ref="G27">Common_InputFunctions.Utility_LookupValueInTableNumber(F27, Table_SourceData_Fertiliser_FracGASF[Fertiliser type f],Table_SourceData_Fertiliser_FracGASF[FracGASF f])</f>
        <v>0.01</v>
      </c>
      <c r="H27" s="50" cm="1">
        <f t="array" ref="H27">Fertiliser_Equations_AtmosphericDeposition.VEERG_5_4_1_1__2_MassOfNitrogenVolatilisedFromInorganicFertiliser(E27,G27)</f>
        <v>19.8</v>
      </c>
    </row>
    <row r="28" spans="1:8" ht="20.100000000000001" customHeight="1" x14ac:dyDescent="0.25">
      <c r="D28" s="50" t="str">
        <v>Nitrogen - Generic</v>
      </c>
      <c r="E28" s="50">
        <f>'5.1.1.1-2 Inorganic fert N2O'!G28</f>
        <v>1537.2</v>
      </c>
      <c r="F28" s="50" t="str" cm="1">
        <f t="array" ref="F28">Common_InputFunctions.Utility_LookupValueInTable(D28, Table_Fertiliser_ChemicalCompounds[Fertiliser type f],Table_Fertiliser_ChemicalCompounds[Basis])</f>
        <v>Urea-based fertilisers</v>
      </c>
      <c r="G28" s="50" cm="1">
        <f t="array" ref="G28">Common_InputFunctions.Utility_LookupValueInTableNumber(F28, Table_SourceData_Fertiliser_FracGASF[Fertiliser type f],Table_SourceData_Fertiliser_FracGASF[FracGASF f])</f>
        <v>0.15</v>
      </c>
      <c r="H28" s="50" cm="1">
        <f t="array" ref="H28">Fertiliser_Equations_AtmosphericDeposition.VEERG_5_4_1_1__2_MassOfNitrogenVolatilisedFromInorganicFertiliser(E28,G28)</f>
        <v>230.57999999999998</v>
      </c>
    </row>
    <row r="29" spans="1:8" ht="20.100000000000001" customHeight="1" x14ac:dyDescent="0.25">
      <c r="D29" s="50" t="str">
        <v>Phosphorus - Generic</v>
      </c>
      <c r="E29" s="50">
        <f>'5.1.1.1-2 Inorganic fert N2O'!G29</f>
        <v>0</v>
      </c>
      <c r="F29" s="50" t="str" cm="1">
        <f t="array" ref="F29">Common_InputFunctions.Utility_LookupValueInTable(D29, Table_Fertiliser_ChemicalCompounds[Fertiliser type f],Table_Fertiliser_ChemicalCompounds[Basis])</f>
        <v>Other fertilisers</v>
      </c>
      <c r="G29" s="50" cm="1">
        <f t="array" ref="G29">Common_InputFunctions.Utility_LookupValueInTableNumber(F29, Table_SourceData_Fertiliser_FracGASF[Fertiliser type f],Table_SourceData_Fertiliser_FracGASF[FracGASF f])</f>
        <v>0.11</v>
      </c>
      <c r="H29" s="50" cm="1">
        <f t="array" ref="H29">Fertiliser_Equations_AtmosphericDeposition.VEERG_5_4_1_1__2_MassOfNitrogenVolatilisedFromInorganicFertiliser(E29,G29)</f>
        <v>0</v>
      </c>
    </row>
    <row r="30" spans="1:8" ht="20.100000000000001" customHeight="1" x14ac:dyDescent="0.25">
      <c r="D30" s="50" t="str">
        <v>Potassium - Generic</v>
      </c>
      <c r="E30" s="50">
        <f>'5.1.1.1-2 Inorganic fert N2O'!G30</f>
        <v>0</v>
      </c>
      <c r="F30" s="50" t="str" cm="1">
        <f t="array" ref="F30">Common_InputFunctions.Utility_LookupValueInTable(D30, Table_Fertiliser_ChemicalCompounds[Fertiliser type f],Table_Fertiliser_ChemicalCompounds[Basis])</f>
        <v>Other fertilisers</v>
      </c>
      <c r="G30" s="50" cm="1">
        <f t="array" ref="G30">Common_InputFunctions.Utility_LookupValueInTableNumber(F30, Table_SourceData_Fertiliser_FracGASF[Fertiliser type f],Table_SourceData_Fertiliser_FracGASF[FracGASF f])</f>
        <v>0.11</v>
      </c>
      <c r="H30" s="50" cm="1">
        <f t="array" ref="H30">Fertiliser_Equations_AtmosphericDeposition.VEERG_5_4_1_1__2_MassOfNitrogenVolatilisedFromInorganicFertiliser(E30,G30)</f>
        <v>0</v>
      </c>
    </row>
    <row r="31" spans="1:8" ht="20.100000000000001" customHeight="1" x14ac:dyDescent="0.25">
      <c r="D31" s="50" t="str">
        <v>Sulfur - Generic</v>
      </c>
      <c r="E31" s="50">
        <f>'5.1.1.1-2 Inorganic fert N2O'!G31</f>
        <v>0</v>
      </c>
      <c r="F31" s="50" t="str" cm="1">
        <f t="array" ref="F31">Common_InputFunctions.Utility_LookupValueInTable(D31, Table_Fertiliser_ChemicalCompounds[Fertiliser type f],Table_Fertiliser_ChemicalCompounds[Basis])</f>
        <v>Other fertilisers</v>
      </c>
      <c r="G31" s="50" cm="1">
        <f t="array" ref="G31">Common_InputFunctions.Utility_LookupValueInTableNumber(F31, Table_SourceData_Fertiliser_FracGASF[Fertiliser type f],Table_SourceData_Fertiliser_FracGASF[FracGASF f])</f>
        <v>0.11</v>
      </c>
      <c r="H31" s="50" cm="1">
        <f t="array" ref="H31">Fertiliser_Equations_AtmosphericDeposition.VEERG_5_4_1_1__2_MassOfNitrogenVolatilisedFromInorganicFertiliser(E31,G31)</f>
        <v>0</v>
      </c>
    </row>
    <row r="32" spans="1:8" ht="20.100000000000001" customHeight="1" x14ac:dyDescent="0.25">
      <c r="D32" s="50" t="str">
        <v>Zinc - Generic</v>
      </c>
      <c r="E32" s="50">
        <f>'5.1.1.1-2 Inorganic fert N2O'!G32</f>
        <v>0</v>
      </c>
      <c r="F32" s="50" t="str" cm="1">
        <f t="array" ref="F32">Common_InputFunctions.Utility_LookupValueInTable(D32, Table_Fertiliser_ChemicalCompounds[Fertiliser type f],Table_Fertiliser_ChemicalCompounds[Basis])</f>
        <v>Other fertilisers</v>
      </c>
      <c r="G32" s="50" cm="1">
        <f t="array" ref="G32">Common_InputFunctions.Utility_LookupValueInTableNumber(F32, Table_SourceData_Fertiliser_FracGASF[Fertiliser type f],Table_SourceData_Fertiliser_FracGASF[FracGASF f])</f>
        <v>0.11</v>
      </c>
      <c r="H32" s="50" cm="1">
        <f t="array" ref="H32">Fertiliser_Equations_AtmosphericDeposition.VEERG_5_4_1_1__2_MassOfNitrogenVolatilisedFromInorganicFertiliser(E32,G32)</f>
        <v>0</v>
      </c>
    </row>
    <row r="33" spans="1:12" ht="20.100000000000001" customHeight="1" x14ac:dyDescent="0.25">
      <c r="D33" s="50" t="str">
        <v>Muriate of potash (MOP)</v>
      </c>
      <c r="E33" s="50">
        <f>'5.1.1.1-2 Inorganic fert N2O'!G33</f>
        <v>0</v>
      </c>
      <c r="F33" s="50" t="str" cm="1">
        <f t="array" ref="F33">Common_InputFunctions.Utility_LookupValueInTable(D33, Table_Fertiliser_ChemicalCompounds[Fertiliser type f],Table_Fertiliser_ChemicalCompounds[Basis])</f>
        <v>Other fertilisers</v>
      </c>
      <c r="G33" s="50" cm="1">
        <f t="array" ref="G33">Common_InputFunctions.Utility_LookupValueInTableNumber(F33, Table_SourceData_Fertiliser_FracGASF[Fertiliser type f],Table_SourceData_Fertiliser_FracGASF[FracGASF f])</f>
        <v>0.11</v>
      </c>
      <c r="H33" s="50" cm="1">
        <f t="array" ref="H33">Fertiliser_Equations_AtmosphericDeposition.VEERG_5_4_1_1__2_MassOfNitrogenVolatilisedFromInorganicFertiliser(E33,G33)</f>
        <v>0</v>
      </c>
    </row>
    <row r="34" spans="1:12" ht="20.100000000000001" customHeight="1" x14ac:dyDescent="0.25">
      <c r="A34" s="157" t="str">
        <f>HYPERLINK("#A1", "▲ Back to top")</f>
        <v>▲ Back to top</v>
      </c>
      <c r="D34" s="50" t="str">
        <v>Double superphosphate</v>
      </c>
      <c r="E34" s="50">
        <f>'5.1.1.1-2 Inorganic fert N2O'!G34</f>
        <v>0</v>
      </c>
      <c r="F34" s="50" t="str" cm="1">
        <f t="array" ref="F34">Common_InputFunctions.Utility_LookupValueInTable(D34, Table_Fertiliser_ChemicalCompounds[Fertiliser type f],Table_Fertiliser_ChemicalCompounds[Basis])</f>
        <v>Other fertilisers</v>
      </c>
      <c r="G34" s="50" cm="1">
        <f t="array" ref="G34">Common_InputFunctions.Utility_LookupValueInTableNumber(F34, Table_SourceData_Fertiliser_FracGASF[Fertiliser type f],Table_SourceData_Fertiliser_FracGASF[FracGASF f])</f>
        <v>0.11</v>
      </c>
      <c r="H34" s="50" cm="1">
        <f t="array" ref="H34">Fertiliser_Equations_AtmosphericDeposition.VEERG_5_4_1_1__2_MassOfNitrogenVolatilisedFromInorganicFertiliser(E34,G34)</f>
        <v>0</v>
      </c>
    </row>
    <row r="35" spans="1:12" ht="20.100000000000001" customHeight="1" x14ac:dyDescent="0.25">
      <c r="D35" s="50" t="str">
        <v>Single superphosphate (SSP)</v>
      </c>
      <c r="E35" s="50">
        <f>'5.1.1.1-2 Inorganic fert N2O'!G35</f>
        <v>0</v>
      </c>
      <c r="F35" s="50" t="str" cm="1">
        <f t="array" ref="F35">Common_InputFunctions.Utility_LookupValueInTable(D35, Table_Fertiliser_ChemicalCompounds[Fertiliser type f],Table_Fertiliser_ChemicalCompounds[Basis])</f>
        <v>Other fertilisers</v>
      </c>
      <c r="G35" s="50" cm="1">
        <f t="array" ref="G35">Common_InputFunctions.Utility_LookupValueInTableNumber(F35, Table_SourceData_Fertiliser_FracGASF[Fertiliser type f],Table_SourceData_Fertiliser_FracGASF[FracGASF f])</f>
        <v>0.11</v>
      </c>
      <c r="H35" s="50" cm="1">
        <f t="array" ref="H35">Fertiliser_Equations_AtmosphericDeposition.VEERG_5_4_1_1__2_MassOfNitrogenVolatilisedFromInorganicFertiliser(E35,G35)</f>
        <v>0</v>
      </c>
    </row>
    <row r="36" spans="1:12" ht="20.100000000000001" customHeight="1" x14ac:dyDescent="0.25">
      <c r="D36" s="50" t="str">
        <v>Ammonia</v>
      </c>
      <c r="E36" s="50">
        <f>'5.1.1.1-2 Inorganic fert N2O'!G36</f>
        <v>4117.5</v>
      </c>
      <c r="F36" s="50" t="str" cm="1">
        <f t="array" ref="F36">Common_InputFunctions.Utility_LookupValueInTable(D36, Table_Fertiliser_ChemicalCompounds[Fertiliser type f],Table_Fertiliser_ChemicalCompounds[Basis])</f>
        <v>Ammonium-based fertilisers</v>
      </c>
      <c r="G36" s="50" cm="1">
        <f t="array" ref="G36">Common_InputFunctions.Utility_LookupValueInTableNumber(F36, Table_SourceData_Fertiliser_FracGASF[Fertiliser type f],Table_SourceData_Fertiliser_FracGASF[FracGASF f])</f>
        <v>0.08</v>
      </c>
      <c r="H36" s="50" cm="1">
        <f t="array" ref="H36">Fertiliser_Equations_AtmosphericDeposition.VEERG_5_4_1_1__2_MassOfNitrogenVolatilisedFromInorganicFertiliser(E36,G36)</f>
        <v>329.40000000000003</v>
      </c>
    </row>
    <row r="37" spans="1:12" ht="20.100000000000001" customHeight="1" x14ac:dyDescent="0.25">
      <c r="D37" s="50" t="str">
        <v>Calcium nitrate</v>
      </c>
      <c r="E37" s="50">
        <f>'5.1.1.1-2 Inorganic fert N2O'!G37</f>
        <v>775</v>
      </c>
      <c r="F37" s="50" t="str" cm="1">
        <f t="array" ref="F37">Common_InputFunctions.Utility_LookupValueInTable(D37, Table_Fertiliser_ChemicalCompounds[Fertiliser type f],Table_Fertiliser_ChemicalCompounds[Basis])</f>
        <v>Nitrate-based fertilisers</v>
      </c>
      <c r="G37" s="50" cm="1">
        <f t="array" ref="G37">Common_InputFunctions.Utility_LookupValueInTableNumber(F37, Table_SourceData_Fertiliser_FracGASF[Fertiliser type f],Table_SourceData_Fertiliser_FracGASF[FracGASF f])</f>
        <v>0.01</v>
      </c>
      <c r="H37" s="50" cm="1">
        <f t="array" ref="H37">Fertiliser_Equations_AtmosphericDeposition.VEERG_5_4_1_1__2_MassOfNitrogenVolatilisedFromInorganicFertiliser(E37,G37)</f>
        <v>7.75</v>
      </c>
    </row>
    <row r="38" spans="1:12" ht="20.100000000000001" customHeight="1" x14ac:dyDescent="0.25"/>
    <row r="39" spans="1:12" ht="20.100000000000001" customHeight="1" x14ac:dyDescent="0.25"/>
    <row r="40" spans="1:12" ht="20.100000000000001" customHeight="1" x14ac:dyDescent="0.25">
      <c r="C40" s="156"/>
      <c r="D40" s="156"/>
      <c r="E40" s="156"/>
      <c r="F40" s="156"/>
      <c r="G40" s="156"/>
      <c r="H40" s="156"/>
      <c r="I40" s="156"/>
      <c r="J40" s="156"/>
      <c r="K40" s="156"/>
      <c r="L40" s="156"/>
    </row>
    <row r="41" spans="1:12" ht="20.100000000000001" customHeight="1" x14ac:dyDescent="0.25">
      <c r="D41" s="6" t="str" cm="1">
        <f t="array" ref="D41">Fertiliser_Equations_AtmosphericDeposition.VEERG_5_4_1_1__1_InorganicFertiliserAtmosphericDepositionN2OEmissions_Title()</f>
        <v>Nitrous oxide emissions from atmospheric deposition from all inorganic fertiliser types f and all production systems j</v>
      </c>
    </row>
    <row r="42" spans="1:12" ht="20.100000000000001" customHeight="1" x14ac:dyDescent="0.25">
      <c r="D42" s="5" t="str" cm="1">
        <f t="array" ref="D42">Fertiliser_Equations_AtmosphericDeposition.VEERG_5_4_1_1__1_InorganicFertiliserAtmosphericDepositionN2OEmissions_Source()</f>
        <v>VEERG 2026: 5.4.1.1, Equation (1)</v>
      </c>
    </row>
    <row r="43" spans="1:12" ht="20.100000000000001" customHeight="1" x14ac:dyDescent="0.25">
      <c r="D43" s="13" t="s">
        <v>22</v>
      </c>
      <c r="E43" s="13" t="str" cm="1">
        <f t="array" aca="1" ref="E43" ca="1">Common_InputFunctions.Utility_DisplayFunctionName(F59)</f>
        <v>=Fertiliser_Equations_AtmosphericDeposition.VEERG_5_4_1_1__1_InorganicFertiliserAtmosphericDepositionN2OEmissions</v>
      </c>
    </row>
    <row r="44" spans="1:12" ht="20.100000000000001" customHeight="1" x14ac:dyDescent="0.25"/>
    <row r="45" spans="1:12" ht="20.100000000000001" customHeight="1" x14ac:dyDescent="0.25"/>
    <row r="46" spans="1:12" ht="20.100000000000001" customHeight="1" x14ac:dyDescent="0.25">
      <c r="D46" s="51" t="s">
        <v>25</v>
      </c>
      <c r="E46" s="1" t="str" cm="1">
        <f t="array" ref="E46">Fertiliser_Equations_AtmosphericDeposition.VEERG_5_4_1_1__1_InorganicFertiliserAtmosphericDepositionN2OEmissions_Variable()</f>
        <v>E_adinorganic</v>
      </c>
    </row>
    <row r="47" spans="1:12" ht="20.100000000000001" customHeight="1" x14ac:dyDescent="0.25">
      <c r="D47" s="51" t="s">
        <v>16</v>
      </c>
      <c r="E47" s="52" t="str" cm="1">
        <f t="array" ref="E47">Fertiliser_Equations_AtmosphericDeposition.VEERG_5_4_1_1__1_InorganicFertiliserAtmosphericDepositionN2OEmissions_Unit()</f>
        <v>t N2O</v>
      </c>
    </row>
    <row r="48" spans="1:12" ht="20.100000000000001" customHeight="1" x14ac:dyDescent="0.25"/>
    <row r="49" spans="1:10" ht="20.100000000000001" customHeight="1" x14ac:dyDescent="0.25">
      <c r="D49" s="147" t="str" cm="1">
        <f t="array" ref="D49:E54">_xlfn.CHOOSECOLS(Fertiliser_Equations_AtmosphericDeposition.VEERG_5_4_1_1__1_InorganicFertiliserAtmosphericDepositionN2OEmissions_Arguments(), 1, 2)</f>
        <v>M_volinorganicjf</v>
      </c>
      <c r="E49" s="154" t="str">
        <v>mass of nitrogen volatilised from inorganic fertiliser applied to production system</v>
      </c>
      <c r="F49" s="155"/>
      <c r="G49" s="153"/>
      <c r="H49" s="147" t="str" cm="1">
        <f t="array" ref="H49:I54">_xlfn.CHOOSECOLS(Fertiliser_Equations_AtmosphericDeposition.VEERG_5_4_1_1__1_InorganicFertiliserAtmosphericDepositionN2OEmissions_Arguments(), 3,4)</f>
        <v>kg N</v>
      </c>
      <c r="I49" s="119" t="str">
        <v>Calculated from 5.4.1.1 (2)</v>
      </c>
      <c r="J49" s="145" t="str" cm="1">
        <f t="array" aca="1" ref="J49" ca="1">HYPERLINK(Common_InputFunctions.Utility_SourceHyperlink($D$16),$D$16)</f>
        <v>Table_M_vol_inorganic_j_f</v>
      </c>
    </row>
    <row r="50" spans="1:10" ht="20.100000000000001" customHeight="1" x14ac:dyDescent="0.25">
      <c r="D50" s="147" t="str">
        <v>EF_N2Oj</v>
      </c>
      <c r="E50" s="154" t="str">
        <v>emission factor for atmospheric deposition</v>
      </c>
      <c r="F50" s="155"/>
      <c r="G50" s="153"/>
      <c r="H50" s="147" t="str">
        <v>kg N2O-N/kg N</v>
      </c>
      <c r="I50" s="119" t="str">
        <v>Constant</v>
      </c>
      <c r="J50" s="147">
        <f>Common_InputFunctions.Utility_LookupN2OEFFromProdIrrigationRainfall(J52,J53,J54,Table_SourceData_Common_EFN2O[Production system only],Table_SourceData_Common_EFN2O[Irrigation method],Table_SourceData_Common_EFN2O[Rainfall zone],Table_SourceData_Common_EFN2O[EFN2O])</f>
        <v>7.0000000000000001E-3</v>
      </c>
    </row>
    <row r="51" spans="1:10" ht="20.100000000000001" customHeight="1" x14ac:dyDescent="0.25">
      <c r="D51" s="147" t="str">
        <v>C_N2O</v>
      </c>
      <c r="E51" s="154" t="str">
        <v>factor to convert elemental mass of nitrous oxide to molecular mass</v>
      </c>
      <c r="F51" s="155"/>
      <c r="G51" s="153"/>
      <c r="H51" s="147" t="str">
        <v/>
      </c>
      <c r="I51" s="119" t="str">
        <v>Constant</v>
      </c>
      <c r="J51" s="54">
        <f>Common_InputFunctions.Utility_LookupValueInTableNumber("N2O",Table_GasToMolecularConversionFactor[Gas],Table_GasToMolecularConversionFactor[Conversion factor combined])</f>
        <v>1.5714285714285714</v>
      </c>
    </row>
    <row r="52" spans="1:10" ht="20.100000000000001" customHeight="1" x14ac:dyDescent="0.25">
      <c r="D52" s="147" t="str">
        <v>j</v>
      </c>
      <c r="E52" s="154" t="str">
        <v>Production system</v>
      </c>
      <c r="F52" s="155"/>
      <c r="G52" s="153"/>
      <c r="H52" s="147" t="str">
        <v/>
      </c>
      <c r="I52" s="120" t="str">
        <v>Input</v>
      </c>
      <c r="J52" s="147" t="str">
        <f>X_Cell_Fertiliser_ProductionSystem</f>
        <v>Crop</v>
      </c>
    </row>
    <row r="53" spans="1:10" ht="20.100000000000001" customHeight="1" x14ac:dyDescent="0.25">
      <c r="D53" s="147" t="str">
        <v>ir</v>
      </c>
      <c r="E53" s="154" t="str">
        <v>irrigation method</v>
      </c>
      <c r="F53" s="155"/>
      <c r="G53" s="153"/>
      <c r="H53" s="147" t="str">
        <v/>
      </c>
      <c r="I53" s="120" t="str">
        <v>Input</v>
      </c>
      <c r="J53" s="147" t="str">
        <f>X_Cell_Fertiliser_IrrigationMethod</f>
        <v>Sprinkler irrigation</v>
      </c>
    </row>
    <row r="54" spans="1:10" ht="20.100000000000001" customHeight="1" x14ac:dyDescent="0.25">
      <c r="D54" s="147" t="str">
        <v>r</v>
      </c>
      <c r="E54" s="154" t="str">
        <v>rainfall region</v>
      </c>
      <c r="F54" s="155"/>
      <c r="G54" s="153"/>
      <c r="H54" s="147" t="str">
        <v/>
      </c>
      <c r="I54" s="120" t="str">
        <v>Input</v>
      </c>
      <c r="J54" s="147" t="str">
        <f>X_Cell_Site_RainfallZone</f>
        <v>Low rainfall</v>
      </c>
    </row>
    <row r="55" spans="1:10" ht="20.100000000000001" customHeight="1" x14ac:dyDescent="0.25">
      <c r="A55" s="157" t="str">
        <f>HYPERLINK("#A1", "▲ Back to top")</f>
        <v>▲ Back to top</v>
      </c>
    </row>
    <row r="56" spans="1:10" ht="20.100000000000001" customHeight="1" x14ac:dyDescent="0.25">
      <c r="D56" s="92" t="s">
        <v>280</v>
      </c>
    </row>
    <row r="57" spans="1:10" ht="20.100000000000001" customHeight="1" x14ac:dyDescent="0.25">
      <c r="D57" s="91" t="s">
        <v>281</v>
      </c>
    </row>
    <row r="58" spans="1:10" ht="20.100000000000001" customHeight="1" x14ac:dyDescent="0.25">
      <c r="D58" s="49" t="s">
        <v>267</v>
      </c>
      <c r="E58" s="165" t="s">
        <v>270</v>
      </c>
      <c r="F58" s="165" t="s">
        <v>273</v>
      </c>
    </row>
    <row r="59" spans="1:10" ht="20.100000000000001" customHeight="1" x14ac:dyDescent="0.25">
      <c r="D59" s="50" t="str" cm="1">
        <f t="array" ref="D59:D77">Table_Fertiliser_ChemicalCompounds[Fertiliser type f]</f>
        <v>Monoammonium phosphate (MAP)</v>
      </c>
      <c r="E59" s="50">
        <f t="shared" ref="E59:E77" si="0">H19</f>
        <v>0</v>
      </c>
      <c r="F59" s="50" cm="1">
        <f t="array" ref="F59">Fertiliser_Equations_AtmosphericDeposition.VEERG_5_4_1_1__1_InorganicFertiliserAtmosphericDepositionN2OEmissions(E59,$J$50,$J$51)</f>
        <v>0</v>
      </c>
      <c r="G59" s="2" t="str">
        <f>E47</f>
        <v>t N2O</v>
      </c>
    </row>
    <row r="60" spans="1:10" ht="20.100000000000001" customHeight="1" x14ac:dyDescent="0.25">
      <c r="D60" s="50" t="str">
        <v>Diammonium phosphate (DAP)</v>
      </c>
      <c r="E60" s="50">
        <f t="shared" si="0"/>
        <v>0</v>
      </c>
      <c r="F60" s="50" cm="1">
        <f t="array" ref="F60">Fertiliser_Equations_AtmosphericDeposition.VEERG_5_4_1_1__1_InorganicFertiliserAtmosphericDepositionN2OEmissions(E60,$J$50,$J$51)</f>
        <v>0</v>
      </c>
    </row>
    <row r="61" spans="1:10" ht="20.100000000000001" customHeight="1" x14ac:dyDescent="0.25">
      <c r="D61" s="50" t="str">
        <v>Urea</v>
      </c>
      <c r="E61" s="50">
        <f t="shared" si="0"/>
        <v>690</v>
      </c>
      <c r="F61" s="50" cm="1">
        <f t="array" ref="F61">Fertiliser_Equations_AtmosphericDeposition.VEERG_5_4_1_1__1_InorganicFertiliserAtmosphericDepositionN2OEmissions(E61,$J$50,$J$51)</f>
        <v>7.5900000000000004E-3</v>
      </c>
    </row>
    <row r="62" spans="1:10" ht="20.100000000000001" customHeight="1" x14ac:dyDescent="0.25">
      <c r="D62" s="50" t="str">
        <v>Sulphate of ammonia (SOA)</v>
      </c>
      <c r="E62" s="50">
        <f t="shared" si="0"/>
        <v>0</v>
      </c>
      <c r="F62" s="50" cm="1">
        <f t="array" ref="F62">Fertiliser_Equations_AtmosphericDeposition.VEERG_5_4_1_1__1_InorganicFertiliserAtmosphericDepositionN2OEmissions(E62,$J$50,$J$51)</f>
        <v>0</v>
      </c>
    </row>
    <row r="63" spans="1:10" ht="20.100000000000001" customHeight="1" x14ac:dyDescent="0.25">
      <c r="D63" s="50" t="str">
        <v>Urea-ammonium nitrate (UAN)</v>
      </c>
      <c r="E63" s="50">
        <f t="shared" si="0"/>
        <v>0</v>
      </c>
      <c r="F63" s="50" cm="1">
        <f t="array" ref="F63">Fertiliser_Equations_AtmosphericDeposition.VEERG_5_4_1_1__1_InorganicFertiliserAtmosphericDepositionN2OEmissions(E63,$J$50,$J$51)</f>
        <v>0</v>
      </c>
    </row>
    <row r="64" spans="1:10" ht="20.100000000000001" customHeight="1" x14ac:dyDescent="0.25">
      <c r="D64" s="50" t="str">
        <v>Ammonium nitrate (AN)</v>
      </c>
      <c r="E64" s="50">
        <f t="shared" si="0"/>
        <v>0</v>
      </c>
      <c r="F64" s="50" cm="1">
        <f t="array" ref="F64">Fertiliser_Equations_AtmosphericDeposition.VEERG_5_4_1_1__1_InorganicFertiliserAtmosphericDepositionN2OEmissions(E64,$J$50,$J$51)</f>
        <v>0</v>
      </c>
    </row>
    <row r="65" spans="4:6" ht="20.100000000000001" customHeight="1" x14ac:dyDescent="0.25">
      <c r="D65" s="50" t="str">
        <v>Calcium ammonium nitrate (CAN)</v>
      </c>
      <c r="E65" s="50">
        <f t="shared" si="0"/>
        <v>0</v>
      </c>
      <c r="F65" s="50" cm="1">
        <f t="array" ref="F65">Fertiliser_Equations_AtmosphericDeposition.VEERG_5_4_1_1__1_InorganicFertiliserAtmosphericDepositionN2OEmissions(E65,$J$50,$J$51)</f>
        <v>0</v>
      </c>
    </row>
    <row r="66" spans="4:6" ht="20.100000000000001" customHeight="1" x14ac:dyDescent="0.25">
      <c r="D66" s="50" t="str">
        <v>Nitrogen - Ammoniacal</v>
      </c>
      <c r="E66" s="50">
        <f t="shared" si="0"/>
        <v>0</v>
      </c>
      <c r="F66" s="50" cm="1">
        <f t="array" ref="F66">Fertiliser_Equations_AtmosphericDeposition.VEERG_5_4_1_1__1_InorganicFertiliserAtmosphericDepositionN2OEmissions(E66,$J$50,$J$51)</f>
        <v>0</v>
      </c>
    </row>
    <row r="67" spans="4:6" ht="20.100000000000001" customHeight="1" x14ac:dyDescent="0.25">
      <c r="D67" s="50" t="str">
        <v>Nitrogen - Nitrate</v>
      </c>
      <c r="E67" s="50">
        <f t="shared" si="0"/>
        <v>19.8</v>
      </c>
      <c r="F67" s="50" cm="1">
        <f t="array" ref="F67">Fertiliser_Equations_AtmosphericDeposition.VEERG_5_4_1_1__1_InorganicFertiliserAtmosphericDepositionN2OEmissions(E67,$J$50,$J$51)</f>
        <v>2.1780000000000001E-4</v>
      </c>
    </row>
    <row r="68" spans="4:6" ht="20.100000000000001" customHeight="1" x14ac:dyDescent="0.25">
      <c r="D68" s="50" t="str">
        <v>Nitrogen - Generic</v>
      </c>
      <c r="E68" s="50">
        <f t="shared" si="0"/>
        <v>230.57999999999998</v>
      </c>
      <c r="F68" s="50" cm="1">
        <f t="array" ref="F68">Fertiliser_Equations_AtmosphericDeposition.VEERG_5_4_1_1__1_InorganicFertiliserAtmosphericDepositionN2OEmissions(E68,$J$50,$J$51)</f>
        <v>2.53638E-3</v>
      </c>
    </row>
    <row r="69" spans="4:6" ht="20.100000000000001" customHeight="1" x14ac:dyDescent="0.25">
      <c r="D69" s="50" t="str">
        <v>Phosphorus - Generic</v>
      </c>
      <c r="E69" s="50">
        <f t="shared" si="0"/>
        <v>0</v>
      </c>
      <c r="F69" s="50" cm="1">
        <f t="array" ref="F69">Fertiliser_Equations_AtmosphericDeposition.VEERG_5_4_1_1__1_InorganicFertiliserAtmosphericDepositionN2OEmissions(E69,$J$50,$J$51)</f>
        <v>0</v>
      </c>
    </row>
    <row r="70" spans="4:6" ht="20.100000000000001" customHeight="1" x14ac:dyDescent="0.25">
      <c r="D70" s="50" t="str">
        <v>Potassium - Generic</v>
      </c>
      <c r="E70" s="50">
        <f t="shared" si="0"/>
        <v>0</v>
      </c>
      <c r="F70" s="50" cm="1">
        <f t="array" ref="F70">Fertiliser_Equations_AtmosphericDeposition.VEERG_5_4_1_1__1_InorganicFertiliserAtmosphericDepositionN2OEmissions(E70,$J$50,$J$51)</f>
        <v>0</v>
      </c>
    </row>
    <row r="71" spans="4:6" ht="20.100000000000001" customHeight="1" x14ac:dyDescent="0.25">
      <c r="D71" s="50" t="str">
        <v>Sulfur - Generic</v>
      </c>
      <c r="E71" s="50">
        <f t="shared" si="0"/>
        <v>0</v>
      </c>
      <c r="F71" s="50" cm="1">
        <f t="array" ref="F71">Fertiliser_Equations_AtmosphericDeposition.VEERG_5_4_1_1__1_InorganicFertiliserAtmosphericDepositionN2OEmissions(E71,$J$50,$J$51)</f>
        <v>0</v>
      </c>
    </row>
    <row r="72" spans="4:6" ht="20.100000000000001" customHeight="1" x14ac:dyDescent="0.25">
      <c r="D72" s="50" t="str">
        <v>Zinc - Generic</v>
      </c>
      <c r="E72" s="50">
        <f t="shared" si="0"/>
        <v>0</v>
      </c>
      <c r="F72" s="50" cm="1">
        <f t="array" ref="F72">Fertiliser_Equations_AtmosphericDeposition.VEERG_5_4_1_1__1_InorganicFertiliserAtmosphericDepositionN2OEmissions(E72,$J$50,$J$51)</f>
        <v>0</v>
      </c>
    </row>
    <row r="73" spans="4:6" ht="20.100000000000001" customHeight="1" x14ac:dyDescent="0.25">
      <c r="D73" s="50" t="str">
        <v>Muriate of potash (MOP)</v>
      </c>
      <c r="E73" s="50">
        <f t="shared" si="0"/>
        <v>0</v>
      </c>
      <c r="F73" s="50" cm="1">
        <f t="array" ref="F73">Fertiliser_Equations_AtmosphericDeposition.VEERG_5_4_1_1__1_InorganicFertiliserAtmosphericDepositionN2OEmissions(E73,$J$50,$J$51)</f>
        <v>0</v>
      </c>
    </row>
    <row r="74" spans="4:6" ht="20.100000000000001" customHeight="1" x14ac:dyDescent="0.25">
      <c r="D74" s="50" t="str">
        <v>Double superphosphate</v>
      </c>
      <c r="E74" s="50">
        <f t="shared" si="0"/>
        <v>0</v>
      </c>
      <c r="F74" s="50" cm="1">
        <f t="array" ref="F74">Fertiliser_Equations_AtmosphericDeposition.VEERG_5_4_1_1__1_InorganicFertiliserAtmosphericDepositionN2OEmissions(E74,$J$50,$J$51)</f>
        <v>0</v>
      </c>
    </row>
    <row r="75" spans="4:6" ht="20.100000000000001" customHeight="1" x14ac:dyDescent="0.25">
      <c r="D75" s="50" t="str">
        <v>Single superphosphate (SSP)</v>
      </c>
      <c r="E75" s="50">
        <f t="shared" si="0"/>
        <v>0</v>
      </c>
      <c r="F75" s="50" cm="1">
        <f t="array" ref="F75">Fertiliser_Equations_AtmosphericDeposition.VEERG_5_4_1_1__1_InorganicFertiliserAtmosphericDepositionN2OEmissions(E75,$J$50,$J$51)</f>
        <v>0</v>
      </c>
    </row>
    <row r="76" spans="4:6" ht="20.100000000000001" customHeight="1" x14ac:dyDescent="0.25">
      <c r="D76" s="50" t="str">
        <v>Ammonia</v>
      </c>
      <c r="E76" s="50">
        <f t="shared" si="0"/>
        <v>329.40000000000003</v>
      </c>
      <c r="F76" s="50" cm="1">
        <f t="array" ref="F76">Fertiliser_Equations_AtmosphericDeposition.VEERG_5_4_1_1__1_InorganicFertiliserAtmosphericDepositionN2OEmissions(E76,$J$50,$J$51)</f>
        <v>3.6234000000000001E-3</v>
      </c>
    </row>
    <row r="77" spans="4:6" ht="20.100000000000001" customHeight="1" x14ac:dyDescent="0.25">
      <c r="D77" s="50" t="str">
        <v>Calcium nitrate</v>
      </c>
      <c r="E77" s="50">
        <f t="shared" si="0"/>
        <v>7.75</v>
      </c>
      <c r="F77" s="50" cm="1">
        <f t="array" ref="F77">Fertiliser_Equations_AtmosphericDeposition.VEERG_5_4_1_1__1_InorganicFertiliserAtmosphericDepositionN2OEmissions(E77,$J$50,$J$51)</f>
        <v>8.5249999999999999E-5</v>
      </c>
    </row>
    <row r="78" spans="4:6" ht="20.100000000000001" customHeight="1" x14ac:dyDescent="0.25"/>
    <row r="79" spans="4:6" ht="20.100000000000001" customHeight="1" x14ac:dyDescent="0.25">
      <c r="D79" s="94" t="s">
        <v>278</v>
      </c>
      <c r="E79" s="95">
        <f>SUM(F59:F77)</f>
        <v>1.4052830000000001E-2</v>
      </c>
      <c r="F79" s="96" t="str">
        <f>$E$47</f>
        <v>t N2O</v>
      </c>
    </row>
    <row r="80" spans="4:6" ht="20.100000000000001" customHeight="1" x14ac:dyDescent="0.25"/>
    <row r="81" spans="3:12" ht="20.100000000000001" customHeight="1" x14ac:dyDescent="0.25">
      <c r="D81" s="54" t="str" cm="1">
        <f t="array" ref="D81:E82">Common_Equations.Common_ConvertN2OToCO2e_Arguments()</f>
        <v>EN2O</v>
      </c>
      <c r="E81" s="55" t="str">
        <v>Nitrous oxide emissions (t N2O)</v>
      </c>
      <c r="F81" s="97"/>
      <c r="G81" s="50">
        <f>E79</f>
        <v>1.4052830000000001E-2</v>
      </c>
    </row>
    <row r="82" spans="3:12" ht="20.100000000000001" customHeight="1" x14ac:dyDescent="0.25">
      <c r="D82" s="54" t="str">
        <v>GWPN2O</v>
      </c>
      <c r="E82" s="55" t="str">
        <v>Global warming potential for nitrous oxide (t CO2-e / t N2O)</v>
      </c>
      <c r="F82" s="97"/>
      <c r="G82" s="50">
        <f>Common_InputFunctions.Utility_LookupValueInTableNumber("N2O",Table_GWPData[Gas],Table_GWPData[CO2-e factor])</f>
        <v>265</v>
      </c>
    </row>
    <row r="83" spans="3:12" ht="20.100000000000001" customHeight="1" x14ac:dyDescent="0.25"/>
    <row r="84" spans="3:12" ht="20.100000000000001" customHeight="1" x14ac:dyDescent="0.25">
      <c r="D84" s="44" t="s">
        <v>79</v>
      </c>
      <c r="E84" s="44" cm="1">
        <f t="array" ref="E84">Common_Equations.Common_ConvertN2OToCO2e(G81,G82)</f>
        <v>3.7239999500000001</v>
      </c>
      <c r="F84" s="98" t="str" cm="1">
        <f t="array" ref="F84">Common_Equations.Common_ConvertN2OToCO2e_Unit()</f>
        <v>t CO2e</v>
      </c>
    </row>
    <row r="85" spans="3:12" ht="20.100000000000001" customHeight="1" x14ac:dyDescent="0.25"/>
    <row r="86" spans="3:12" ht="20.100000000000001" customHeight="1" x14ac:dyDescent="0.25"/>
    <row r="87" spans="3:12" ht="20.100000000000001" customHeight="1" x14ac:dyDescent="0.25">
      <c r="C87" s="156"/>
      <c r="D87" s="156"/>
      <c r="E87" s="156"/>
      <c r="F87" s="156"/>
      <c r="G87" s="156"/>
      <c r="H87" s="156"/>
      <c r="I87" s="156"/>
      <c r="J87" s="156"/>
      <c r="K87" s="156"/>
      <c r="L87" s="156"/>
    </row>
    <row r="88" spans="3:12" ht="20.100000000000001" customHeight="1" x14ac:dyDescent="0.25">
      <c r="D88" s="6" t="str" cm="1">
        <f t="array" ref="D88">Fertiliser_Equations_AtmosphericDeposition.VEERG_5_4_1_3__2_MassOfNitrogenVolatilisedFromOrganicFertiliser_Title()</f>
        <v>Mass of nitrogen volatilised from organic fertiliser applied to production system</v>
      </c>
    </row>
    <row r="89" spans="3:12" ht="20.100000000000001" customHeight="1" x14ac:dyDescent="0.25">
      <c r="D89" s="5" t="str" cm="1">
        <f t="array" ref="D89">Fertiliser_Equations_AtmosphericDeposition.VEERG_5_4_1_3__2_MassOfNitrogenVolatilisedFromOrganicFertiliser_Source()</f>
        <v>VEERG 2026: 5.4.1.3, Equation (2)</v>
      </c>
    </row>
    <row r="90" spans="3:12" ht="20.100000000000001" customHeight="1" x14ac:dyDescent="0.25">
      <c r="D90" s="13" t="s">
        <v>22</v>
      </c>
      <c r="E90" s="13" t="str" cm="1">
        <f t="array" aca="1" ref="E90" ca="1">Common_InputFunctions.Utility_DisplayFunctionName(F102)</f>
        <v>=Fertiliser_Equations_AtmosphericDeposition.VEERG_5_4_1_3__2_MassOfNitrogenVolatilisedFromOrganicFertiliser</v>
      </c>
    </row>
    <row r="91" spans="3:12" ht="20.100000000000001" customHeight="1" x14ac:dyDescent="0.25"/>
    <row r="92" spans="3:12" ht="20.100000000000001" customHeight="1" x14ac:dyDescent="0.25"/>
    <row r="93" spans="3:12" ht="20.100000000000001" customHeight="1" x14ac:dyDescent="0.25">
      <c r="D93" s="51" t="s">
        <v>25</v>
      </c>
      <c r="E93" s="1" t="str" cm="1">
        <f t="array" ref="E93">Fertiliser_Equations_AtmosphericDeposition.VEERG_5_4_1_3__2_MassOfNitrogenVolatilisedFromOrganicFertiliser_Variable()</f>
        <v>M_volorganicjf</v>
      </c>
    </row>
    <row r="94" spans="3:12" ht="20.100000000000001" customHeight="1" x14ac:dyDescent="0.25">
      <c r="D94" s="51" t="s">
        <v>16</v>
      </c>
      <c r="E94" s="52" t="str" cm="1">
        <f t="array" ref="E94">Fertiliser_Equations_AtmosphericDeposition.VEERG_5_4_1_3__2_MassOfNitrogenVolatilisedFromOrganicFertiliser_Unit()</f>
        <v>kg N</v>
      </c>
    </row>
    <row r="95" spans="3:12" ht="20.100000000000001" customHeight="1" x14ac:dyDescent="0.25"/>
    <row r="96" spans="3:12" ht="20.100000000000001" customHeight="1" x14ac:dyDescent="0.25">
      <c r="D96" s="147" t="str" cm="1">
        <f t="array" ref="D96:E97">_xlfn.CHOOSECOLS(Fertiliser_Equations_AtmosphericDeposition.VEERG_5_4_1_3__2_MassOfNitrogenVolatilisedFromOrganicFertiliser_Arguments(), 1, 2)</f>
        <v>MNSoil_jf</v>
      </c>
      <c r="E96" s="147" t="str">
        <v>mass of nitrogen in organic fertiliser type f applied to production system j</v>
      </c>
      <c r="F96" s="147"/>
      <c r="G96" s="147" t="str" cm="1">
        <f t="array" ref="G96:H97">_xlfn.CHOOSECOLS(Fertiliser_Equations_AtmosphericDeposition.VEERG_5_4_1_3__2_MassOfNitrogenVolatilisedFromOrganicFertiliser_Arguments(), 3,4)</f>
        <v>kg N</v>
      </c>
      <c r="H96" s="119" t="str">
        <v>Calculated from 5.2.1.1 (2)</v>
      </c>
      <c r="I96" s="145" t="str" cm="1">
        <f t="array" aca="1" ref="I96" ca="1">HYPERLINK(Common_InputFunctions.Utility_SourceHyperlink($D$99), $D$99)</f>
        <v>Table_M_vol_organic_j_f</v>
      </c>
    </row>
    <row r="97" spans="4:9" ht="20.100000000000001" customHeight="1" x14ac:dyDescent="0.25">
      <c r="D97" s="147" t="str">
        <v>FracGASM_soil</v>
      </c>
      <c r="E97" s="147" t="str">
        <v>fraction of organic fertiliser N that volatilises</v>
      </c>
      <c r="F97" s="147"/>
      <c r="G97" s="147" t="str">
        <v>(kg NH3-N + NOx-N)/kg N</v>
      </c>
      <c r="H97" s="119" t="str">
        <v>Constant</v>
      </c>
      <c r="I97" s="147">
        <f>'Constants - Fertiliser'!$E$73</f>
        <v>0.21</v>
      </c>
    </row>
    <row r="98" spans="4:9" ht="20.100000000000001" customHeight="1" x14ac:dyDescent="0.25"/>
    <row r="99" spans="4:9" ht="20.100000000000001" customHeight="1" x14ac:dyDescent="0.25">
      <c r="D99" s="92" t="s">
        <v>274</v>
      </c>
    </row>
    <row r="100" spans="4:9" ht="20.100000000000001" customHeight="1" x14ac:dyDescent="0.25">
      <c r="D100" s="91" t="s">
        <v>275</v>
      </c>
    </row>
    <row r="101" spans="4:9" ht="20.100000000000001" customHeight="1" x14ac:dyDescent="0.25">
      <c r="D101" s="112" t="s">
        <v>244</v>
      </c>
      <c r="E101" s="148" t="s">
        <v>248</v>
      </c>
      <c r="F101" s="148" t="s">
        <v>277</v>
      </c>
    </row>
    <row r="102" spans="4:9" ht="20.100000000000001" customHeight="1" x14ac:dyDescent="0.25">
      <c r="D102" s="50" t="str" cm="1">
        <f t="array" ref="D102:D104">Table_Input_OrganicFertiliser[Organic fertiliser type (select)]</f>
        <v>Manure - Other</v>
      </c>
      <c r="E102" s="50">
        <f>'5.2.1.1-2 Organic Fert N2O'!I20</f>
        <v>300</v>
      </c>
      <c r="F102" s="50" cm="1">
        <f t="array" ref="F102">Fertiliser_Equations_AtmosphericDeposition.VEERG_5_4_1_3__2_MassOfNitrogenVolatilisedFromOrganicFertiliser(E102,$I$97)</f>
        <v>63</v>
      </c>
      <c r="G102" s="2" t="str">
        <f>$E$94</f>
        <v>kg N</v>
      </c>
    </row>
    <row r="103" spans="4:9" ht="20.100000000000001" customHeight="1" x14ac:dyDescent="0.25">
      <c r="D103" s="50" t="str">
        <v>Manure - Poultry</v>
      </c>
      <c r="E103" s="50">
        <f>'5.2.1.1-2 Organic Fert N2O'!I21</f>
        <v>250</v>
      </c>
      <c r="F103" s="50" cm="1">
        <f t="array" ref="F103">Fertiliser_Equations_AtmosphericDeposition.VEERG_5_4_1_3__2_MassOfNitrogenVolatilisedFromOrganicFertiliser(E103,$I$97)</f>
        <v>52.5</v>
      </c>
    </row>
    <row r="104" spans="4:9" ht="20.100000000000001" customHeight="1" x14ac:dyDescent="0.25">
      <c r="D104" s="50" t="str">
        <v>Other organic fertiliser</v>
      </c>
      <c r="E104" s="50">
        <f>'5.2.1.1-2 Organic Fert N2O'!I22</f>
        <v>160</v>
      </c>
      <c r="F104" s="50" cm="1">
        <f t="array" ref="F104">Fertiliser_Equations_AtmosphericDeposition.VEERG_5_4_1_3__2_MassOfNitrogenVolatilisedFromOrganicFertiliser(E104,$I$97)</f>
        <v>33.6</v>
      </c>
    </row>
    <row r="105" spans="4:9" ht="20.100000000000001" customHeight="1" x14ac:dyDescent="0.25">
      <c r="D105" s="50"/>
      <c r="E105" s="50">
        <f>'5.2.1.1-2 Organic Fert N2O'!I23</f>
        <v>0</v>
      </c>
      <c r="F105" s="50" cm="1">
        <f t="array" ref="F105">Fertiliser_Equations_AtmosphericDeposition.VEERG_5_4_1_3__2_MassOfNitrogenVolatilisedFromOrganicFertiliser(E105,$I$97)</f>
        <v>0</v>
      </c>
    </row>
    <row r="106" spans="4:9" ht="20.100000000000001" customHeight="1" x14ac:dyDescent="0.25">
      <c r="D106" s="50"/>
      <c r="E106" s="50">
        <f>'5.2.1.1-2 Organic Fert N2O'!I24</f>
        <v>0</v>
      </c>
      <c r="F106" s="50" cm="1">
        <f t="array" ref="F106">Fertiliser_Equations_AtmosphericDeposition.VEERG_5_4_1_3__2_MassOfNitrogenVolatilisedFromOrganicFertiliser(E106,$I$97)</f>
        <v>0</v>
      </c>
    </row>
    <row r="107" spans="4:9" ht="20.100000000000001" customHeight="1" x14ac:dyDescent="0.25">
      <c r="D107" s="50"/>
      <c r="E107" s="50">
        <f>'5.2.1.1-2 Organic Fert N2O'!I25</f>
        <v>0</v>
      </c>
      <c r="F107" s="50" cm="1">
        <f t="array" ref="F107">Fertiliser_Equations_AtmosphericDeposition.VEERG_5_4_1_3__2_MassOfNitrogenVolatilisedFromOrganicFertiliser(E107,$I$97)</f>
        <v>0</v>
      </c>
    </row>
    <row r="108" spans="4:9" ht="20.100000000000001" customHeight="1" x14ac:dyDescent="0.25">
      <c r="D108" s="50"/>
      <c r="E108" s="50">
        <f>'5.2.1.1-2 Organic Fert N2O'!I26</f>
        <v>0</v>
      </c>
      <c r="F108" s="50" cm="1">
        <f t="array" ref="F108">Fertiliser_Equations_AtmosphericDeposition.VEERG_5_4_1_3__2_MassOfNitrogenVolatilisedFromOrganicFertiliser(E108,$I$97)</f>
        <v>0</v>
      </c>
    </row>
    <row r="109" spans="4:9" ht="20.100000000000001" customHeight="1" x14ac:dyDescent="0.25">
      <c r="D109" s="50"/>
      <c r="E109" s="50">
        <f>'5.2.1.1-2 Organic Fert N2O'!I27</f>
        <v>0</v>
      </c>
      <c r="F109" s="50" cm="1">
        <f t="array" ref="F109">Fertiliser_Equations_AtmosphericDeposition.VEERG_5_4_1_3__2_MassOfNitrogenVolatilisedFromOrganicFertiliser(E109,$I$97)</f>
        <v>0</v>
      </c>
    </row>
    <row r="110" spans="4:9" ht="20.100000000000001" customHeight="1" x14ac:dyDescent="0.25">
      <c r="D110" s="50"/>
      <c r="E110" s="50">
        <f>'5.2.1.1-2 Organic Fert N2O'!I28</f>
        <v>0</v>
      </c>
      <c r="F110" s="50" cm="1">
        <f t="array" ref="F110">Fertiliser_Equations_AtmosphericDeposition.VEERG_5_4_1_3__2_MassOfNitrogenVolatilisedFromOrganicFertiliser(E110,$I$97)</f>
        <v>0</v>
      </c>
    </row>
    <row r="111" spans="4:9" ht="20.100000000000001" customHeight="1" x14ac:dyDescent="0.25">
      <c r="D111" s="50"/>
      <c r="E111" s="50">
        <f>'5.2.1.1-2 Organic Fert N2O'!I29</f>
        <v>0</v>
      </c>
      <c r="F111" s="50" cm="1">
        <f t="array" ref="F111">Fertiliser_Equations_AtmosphericDeposition.VEERG_5_4_1_3__2_MassOfNitrogenVolatilisedFromOrganicFertiliser(E111,$I$97)</f>
        <v>0</v>
      </c>
    </row>
    <row r="112" spans="4:9" ht="20.100000000000001" customHeight="1" x14ac:dyDescent="0.25">
      <c r="D112" s="50"/>
      <c r="E112" s="50">
        <f>'5.2.1.1-2 Organic Fert N2O'!I30</f>
        <v>0</v>
      </c>
      <c r="F112" s="50" cm="1">
        <f t="array" ref="F112">Fertiliser_Equations_AtmosphericDeposition.VEERG_5_4_1_3__2_MassOfNitrogenVolatilisedFromOrganicFertiliser(E112,$I$97)</f>
        <v>0</v>
      </c>
    </row>
    <row r="113" spans="3:12" ht="20.100000000000001" customHeight="1" x14ac:dyDescent="0.25"/>
    <row r="114" spans="3:12" ht="20.100000000000001" customHeight="1" x14ac:dyDescent="0.25"/>
    <row r="115" spans="3:12" ht="20.100000000000001" customHeight="1" x14ac:dyDescent="0.25">
      <c r="C115" s="156"/>
      <c r="D115" s="156"/>
      <c r="E115" s="156"/>
      <c r="F115" s="156"/>
      <c r="G115" s="156"/>
      <c r="H115" s="156"/>
      <c r="I115" s="156"/>
      <c r="J115" s="156"/>
      <c r="K115" s="156"/>
      <c r="L115" s="156"/>
    </row>
    <row r="116" spans="3:12" ht="20.100000000000001" customHeight="1" x14ac:dyDescent="0.25">
      <c r="D116" s="6" t="str" cm="1">
        <f t="array" ref="D116">Fertiliser_Equations_AtmosphericDeposition.VEERG_5_4_1_3__1_OrganicFertiliserAtmosphericDepositionN2OEmissions_Title()</f>
        <v>Nitrous oxide emissions from atmospheric deposition of all organic fertiliser types f and all production systems j</v>
      </c>
    </row>
    <row r="117" spans="3:12" ht="20.100000000000001" customHeight="1" x14ac:dyDescent="0.25">
      <c r="D117" s="5" t="str" cm="1">
        <f t="array" ref="D117">Fertiliser_Equations_AtmosphericDeposition.VEERG_5_4_1_3__1_OrganicFertiliserAtmosphericDepositionN2OEmissions_Source()</f>
        <v>VEERG 2026: 5.4.1.3, Equation (1)</v>
      </c>
    </row>
    <row r="118" spans="3:12" ht="20.100000000000001" customHeight="1" x14ac:dyDescent="0.25">
      <c r="D118" s="13" t="s">
        <v>22</v>
      </c>
      <c r="E118" s="13" t="str" cm="1">
        <f t="array" aca="1" ref="E118" ca="1">Common_InputFunctions.Utility_DisplayFunctionName(F134)</f>
        <v>=Fertiliser_Equations_AtmosphericDeposition.VEERG_5_4_1_3__1_OrganicFertiliserAtmosphericDepositionN2OEmissions</v>
      </c>
    </row>
    <row r="119" spans="3:12" ht="20.100000000000001" customHeight="1" x14ac:dyDescent="0.25"/>
    <row r="120" spans="3:12" ht="20.100000000000001" customHeight="1" x14ac:dyDescent="0.25"/>
    <row r="121" spans="3:12" ht="20.100000000000001" customHeight="1" x14ac:dyDescent="0.25">
      <c r="D121" s="51" t="s">
        <v>25</v>
      </c>
      <c r="E121" s="1" t="str" cm="1">
        <f t="array" ref="E121">Fertiliser_Equations_AtmosphericDeposition.VEERG_5_4_1_3__1_OrganicFertiliserAtmosphericDepositionN2OEmissions_Variable()</f>
        <v>E_adorganic</v>
      </c>
    </row>
    <row r="122" spans="3:12" ht="20.100000000000001" customHeight="1" x14ac:dyDescent="0.25">
      <c r="D122" s="51" t="s">
        <v>16</v>
      </c>
      <c r="E122" s="52" t="str" cm="1">
        <f t="array" ref="E122">Fertiliser_Equations_AtmosphericDeposition.VEERG_5_4_1_3__1_OrganicFertiliserAtmosphericDepositionN2OEmissions_Unit()</f>
        <v>t N2O</v>
      </c>
    </row>
    <row r="123" spans="3:12" ht="20.100000000000001" customHeight="1" x14ac:dyDescent="0.25"/>
    <row r="124" spans="3:12" ht="20.100000000000001" customHeight="1" x14ac:dyDescent="0.25">
      <c r="D124" s="147" t="str" cm="1">
        <f t="array" ref="D124:E129">_xlfn.CHOOSECOLS(Fertiliser_Equations_AtmosphericDeposition.VEERG_5_4_1_3__1_OrganicFertiliserAtmosphericDepositionN2OEmissions_Arguments(), 1, 2)</f>
        <v>M_volorganicjf</v>
      </c>
      <c r="E124" s="154" t="str">
        <v>mass of nitrogen volatilised from organic fertiliser applied to production system</v>
      </c>
      <c r="F124" s="153"/>
      <c r="G124" s="147" t="str" cm="1">
        <f t="array" ref="G124:H129">_xlfn.CHOOSECOLS(Fertiliser_Equations_AtmosphericDeposition.VEERG_5_4_1_3__1_OrganicFertiliserAtmosphericDepositionN2OEmissions_Arguments(), 3,4)</f>
        <v>kg N</v>
      </c>
      <c r="H124" s="119" t="str">
        <v>Calculated from 5.4.1.3 (2)</v>
      </c>
      <c r="I124" s="145" t="str" cm="1">
        <f t="array" aca="1" ref="I124" ca="1">HYPERLINK(Common_InputFunctions.Utility_SourceHyperlink($D$99), $D$99)</f>
        <v>Table_M_vol_organic_j_f</v>
      </c>
    </row>
    <row r="125" spans="3:12" ht="20.100000000000001" customHeight="1" x14ac:dyDescent="0.25">
      <c r="D125" s="147" t="str">
        <v>EF_N2Oj</v>
      </c>
      <c r="E125" s="154" t="str">
        <v>emission factor for atmospheric deposition in production system j</v>
      </c>
      <c r="F125" s="153"/>
      <c r="G125" s="147" t="str">
        <v>kg N2O-N/kg N</v>
      </c>
      <c r="H125" s="119" t="str">
        <v>Constant</v>
      </c>
      <c r="I125" s="147">
        <f>Common_InputFunctions.Utility_LookupN2OEFFromProdIrrigationRainfall(I127,I128,I129,Table_SourceData_Common_EFN2O[Production system only],Table_SourceData_Common_EFN2O[Irrigation method],Table_SourceData_Common_EFN2O[Rainfall zone],Table_SourceData_Common_EFN2O[EFN2O])</f>
        <v>7.0000000000000001E-3</v>
      </c>
    </row>
    <row r="126" spans="3:12" ht="20.100000000000001" customHeight="1" x14ac:dyDescent="0.25">
      <c r="D126" s="147" t="str">
        <v>C_N2O</v>
      </c>
      <c r="E126" s="154" t="str">
        <v>factor to convert elemental mass of nitrous oxide to molecular mass</v>
      </c>
      <c r="F126" s="153"/>
      <c r="G126" s="147" t="str">
        <v/>
      </c>
      <c r="H126" s="119" t="str">
        <v>Constant</v>
      </c>
      <c r="I126" s="54">
        <f>Common_InputFunctions.Utility_LookupValueInTableNumber("N2O",Table_GasToMolecularConversionFactor[Gas],Table_GasToMolecularConversionFactor[Conversion factor combined])</f>
        <v>1.5714285714285714</v>
      </c>
    </row>
    <row r="127" spans="3:12" ht="20.100000000000001" customHeight="1" x14ac:dyDescent="0.25">
      <c r="D127" s="147" t="str">
        <v>j</v>
      </c>
      <c r="E127" s="154" t="str">
        <v>Production system</v>
      </c>
      <c r="F127" s="153"/>
      <c r="G127" s="147" t="str">
        <v/>
      </c>
      <c r="H127" s="120" t="str">
        <v>Input</v>
      </c>
      <c r="I127" s="147" t="str">
        <f>X_Cell_Fertiliser_ProductionSystem</f>
        <v>Crop</v>
      </c>
    </row>
    <row r="128" spans="3:12" ht="20.100000000000001" customHeight="1" x14ac:dyDescent="0.25">
      <c r="D128" s="147" t="str">
        <v>ir</v>
      </c>
      <c r="E128" s="154" t="str">
        <v>irrigation method</v>
      </c>
      <c r="F128" s="153"/>
      <c r="G128" s="147" t="str">
        <v/>
      </c>
      <c r="H128" s="120" t="str">
        <v>Input</v>
      </c>
      <c r="I128" s="147" t="str">
        <f>X_Cell_Fertiliser_IrrigationMethod</f>
        <v>Sprinkler irrigation</v>
      </c>
    </row>
    <row r="129" spans="4:9" ht="20.100000000000001" customHeight="1" x14ac:dyDescent="0.25">
      <c r="D129" s="147" t="str">
        <v>r</v>
      </c>
      <c r="E129" s="154" t="str">
        <v>rainfall region</v>
      </c>
      <c r="F129" s="153"/>
      <c r="G129" s="147" t="str">
        <v/>
      </c>
      <c r="H129" s="120" t="str">
        <v>Input</v>
      </c>
      <c r="I129" s="147" t="str">
        <f>X_Cell_Site_RainfallZone</f>
        <v>Low rainfall</v>
      </c>
    </row>
    <row r="130" spans="4:9" ht="20.100000000000001" customHeight="1" x14ac:dyDescent="0.25"/>
    <row r="131" spans="4:9" ht="20.100000000000001" customHeight="1" x14ac:dyDescent="0.25">
      <c r="D131" s="92" t="s">
        <v>282</v>
      </c>
    </row>
    <row r="132" spans="4:9" ht="20.100000000000001" customHeight="1" x14ac:dyDescent="0.25">
      <c r="D132" s="91" t="s">
        <v>283</v>
      </c>
    </row>
    <row r="133" spans="4:9" ht="20.100000000000001" customHeight="1" x14ac:dyDescent="0.25">
      <c r="D133" s="112" t="s">
        <v>244</v>
      </c>
      <c r="E133" s="148" t="s">
        <v>277</v>
      </c>
      <c r="F133" s="148" t="s">
        <v>276</v>
      </c>
    </row>
    <row r="134" spans="4:9" ht="20.100000000000001" customHeight="1" x14ac:dyDescent="0.25">
      <c r="D134" s="50" t="str" cm="1">
        <f t="array" ref="D134:D136">Table_Input_OrganicFertiliser[Organic fertiliser type (select)]</f>
        <v>Manure - Other</v>
      </c>
      <c r="E134" s="50">
        <f>F102</f>
        <v>63</v>
      </c>
      <c r="F134" s="50" cm="1">
        <f t="array" ref="F134">Fertiliser_Equations_AtmosphericDeposition.VEERG_5_4_1_3__1_OrganicFertiliserAtmosphericDepositionN2OEmissions(E134,$I$125,$I$126)</f>
        <v>6.9299999999999993E-4</v>
      </c>
    </row>
    <row r="135" spans="4:9" ht="20.100000000000001" customHeight="1" x14ac:dyDescent="0.25">
      <c r="D135" s="50" t="str">
        <v>Manure - Poultry</v>
      </c>
      <c r="E135" s="50">
        <f t="shared" ref="E135:E144" si="1">F103</f>
        <v>52.5</v>
      </c>
      <c r="F135" s="50" cm="1">
        <f t="array" ref="F135">Fertiliser_Equations_AtmosphericDeposition.VEERG_5_4_1_3__1_OrganicFertiliserAtmosphericDepositionN2OEmissions(E135,$I$125,$I$126)</f>
        <v>5.775E-4</v>
      </c>
    </row>
    <row r="136" spans="4:9" ht="20.100000000000001" customHeight="1" x14ac:dyDescent="0.25">
      <c r="D136" s="50" t="str">
        <v>Other organic fertiliser</v>
      </c>
      <c r="E136" s="50">
        <f t="shared" si="1"/>
        <v>33.6</v>
      </c>
      <c r="F136" s="50" cm="1">
        <f t="array" ref="F136">Fertiliser_Equations_AtmosphericDeposition.VEERG_5_4_1_3__1_OrganicFertiliserAtmosphericDepositionN2OEmissions(E136,$I$125,$I$126)</f>
        <v>3.6960000000000004E-4</v>
      </c>
    </row>
    <row r="137" spans="4:9" ht="20.100000000000001" customHeight="1" x14ac:dyDescent="0.25">
      <c r="D137" s="50"/>
      <c r="E137" s="50">
        <f t="shared" si="1"/>
        <v>0</v>
      </c>
      <c r="F137" s="50" cm="1">
        <f t="array" ref="F137">Fertiliser_Equations_AtmosphericDeposition.VEERG_5_4_1_3__1_OrganicFertiliserAtmosphericDepositionN2OEmissions(E137,$I$125,$I$126)</f>
        <v>0</v>
      </c>
    </row>
    <row r="138" spans="4:9" ht="20.100000000000001" customHeight="1" x14ac:dyDescent="0.25">
      <c r="D138" s="50"/>
      <c r="E138" s="50">
        <f t="shared" si="1"/>
        <v>0</v>
      </c>
      <c r="F138" s="50" cm="1">
        <f t="array" ref="F138">Fertiliser_Equations_AtmosphericDeposition.VEERG_5_4_1_3__1_OrganicFertiliserAtmosphericDepositionN2OEmissions(E138,$I$125,$I$126)</f>
        <v>0</v>
      </c>
    </row>
    <row r="139" spans="4:9" ht="20.100000000000001" customHeight="1" x14ac:dyDescent="0.25">
      <c r="D139" s="50"/>
      <c r="E139" s="50">
        <f t="shared" si="1"/>
        <v>0</v>
      </c>
      <c r="F139" s="50" cm="1">
        <f t="array" ref="F139">Fertiliser_Equations_AtmosphericDeposition.VEERG_5_4_1_3__1_OrganicFertiliserAtmosphericDepositionN2OEmissions(E139,$I$125,$I$126)</f>
        <v>0</v>
      </c>
    </row>
    <row r="140" spans="4:9" ht="20.100000000000001" customHeight="1" x14ac:dyDescent="0.25">
      <c r="D140" s="50"/>
      <c r="E140" s="50">
        <f t="shared" si="1"/>
        <v>0</v>
      </c>
      <c r="F140" s="50" cm="1">
        <f t="array" ref="F140">Fertiliser_Equations_AtmosphericDeposition.VEERG_5_4_1_3__1_OrganicFertiliserAtmosphericDepositionN2OEmissions(E140,$I$125,$I$126)</f>
        <v>0</v>
      </c>
    </row>
    <row r="141" spans="4:9" ht="20.100000000000001" customHeight="1" x14ac:dyDescent="0.25">
      <c r="D141" s="50"/>
      <c r="E141" s="50">
        <f t="shared" si="1"/>
        <v>0</v>
      </c>
      <c r="F141" s="50" cm="1">
        <f t="array" ref="F141">Fertiliser_Equations_AtmosphericDeposition.VEERG_5_4_1_3__1_OrganicFertiliserAtmosphericDepositionN2OEmissions(E141,$I$125,$I$126)</f>
        <v>0</v>
      </c>
    </row>
    <row r="142" spans="4:9" ht="20.100000000000001" customHeight="1" x14ac:dyDescent="0.25">
      <c r="D142" s="50"/>
      <c r="E142" s="50">
        <f t="shared" si="1"/>
        <v>0</v>
      </c>
      <c r="F142" s="50" cm="1">
        <f t="array" ref="F142">Fertiliser_Equations_AtmosphericDeposition.VEERG_5_4_1_3__1_OrganicFertiliserAtmosphericDepositionN2OEmissions(E142,$I$125,$I$126)</f>
        <v>0</v>
      </c>
    </row>
    <row r="143" spans="4:9" ht="20.100000000000001" customHeight="1" x14ac:dyDescent="0.25">
      <c r="D143" s="50"/>
      <c r="E143" s="50">
        <f t="shared" si="1"/>
        <v>0</v>
      </c>
      <c r="F143" s="50" cm="1">
        <f t="array" ref="F143">Fertiliser_Equations_AtmosphericDeposition.VEERG_5_4_1_3__1_OrganicFertiliserAtmosphericDepositionN2OEmissions(E143,$I$125,$I$126)</f>
        <v>0</v>
      </c>
    </row>
    <row r="144" spans="4:9" ht="20.100000000000001" customHeight="1" x14ac:dyDescent="0.25">
      <c r="D144" s="50"/>
      <c r="E144" s="50">
        <f t="shared" si="1"/>
        <v>0</v>
      </c>
      <c r="F144" s="50" cm="1">
        <f t="array" ref="F144">Fertiliser_Equations_AtmosphericDeposition.VEERG_5_4_1_3__1_OrganicFertiliserAtmosphericDepositionN2OEmissions(E144,$I$125,$I$126)</f>
        <v>0</v>
      </c>
    </row>
    <row r="145" spans="4:7" ht="20.100000000000001" customHeight="1" x14ac:dyDescent="0.25"/>
    <row r="146" spans="4:7" ht="20.100000000000001" customHeight="1" x14ac:dyDescent="0.25">
      <c r="D146" s="94" t="s">
        <v>279</v>
      </c>
      <c r="E146" s="95">
        <f>SUM(F134:F144)</f>
        <v>1.6401E-3</v>
      </c>
      <c r="F146" s="96" t="str">
        <f>$E$122</f>
        <v>t N2O</v>
      </c>
    </row>
    <row r="147" spans="4:7" ht="20.100000000000001" customHeight="1" x14ac:dyDescent="0.25"/>
    <row r="148" spans="4:7" ht="20.100000000000001" customHeight="1" x14ac:dyDescent="0.25">
      <c r="D148" s="54" t="str" cm="1">
        <f t="array" ref="D148:E149">Common_Equations.Common_ConvertN2OToCO2e_Arguments()</f>
        <v>EN2O</v>
      </c>
      <c r="E148" s="55" t="str">
        <v>Nitrous oxide emissions (t N2O)</v>
      </c>
      <c r="F148" s="97"/>
      <c r="G148" s="50">
        <f>E146</f>
        <v>1.6401E-3</v>
      </c>
    </row>
    <row r="149" spans="4:7" ht="20.100000000000001" customHeight="1" x14ac:dyDescent="0.25">
      <c r="D149" s="54" t="str">
        <v>GWPN2O</v>
      </c>
      <c r="E149" s="55" t="str">
        <v>Global warming potential for nitrous oxide (t CO2-e / t N2O)</v>
      </c>
      <c r="F149" s="97"/>
      <c r="G149" s="50">
        <f>Common_InputFunctions.Utility_LookupValueInTableNumber("N2O",Table_GWPData[Gas],Table_GWPData[CO2-e factor])</f>
        <v>265</v>
      </c>
    </row>
    <row r="150" spans="4:7" ht="20.100000000000001" customHeight="1" x14ac:dyDescent="0.25"/>
    <row r="151" spans="4:7" ht="20.100000000000001" customHeight="1" x14ac:dyDescent="0.25">
      <c r="D151" s="44" t="s">
        <v>79</v>
      </c>
      <c r="E151" s="44" cm="1">
        <f t="array" ref="E151">Common_Equations.Common_ConvertN2OToCO2e(G148,G149)</f>
        <v>0.43462650000000003</v>
      </c>
      <c r="F151" s="98" t="str" cm="1">
        <f t="array" ref="F151">Common_Equations.Common_ConvertN2OToCO2e_Unit()</f>
        <v>t CO2e</v>
      </c>
    </row>
    <row r="152" spans="4:7" ht="20.100000000000001" customHeight="1" x14ac:dyDescent="0.25"/>
    <row r="153" spans="4:7" ht="20.100000000000001" customHeight="1" x14ac:dyDescent="0.25"/>
    <row r="154" spans="4:7" ht="20.100000000000001" customHeight="1" x14ac:dyDescent="0.25"/>
    <row r="155" spans="4:7" ht="20.100000000000001" customHeight="1" x14ac:dyDescent="0.25"/>
    <row r="156" spans="4:7" ht="20.100000000000001" customHeight="1" x14ac:dyDescent="0.25"/>
    <row r="157" spans="4:7" ht="20.100000000000001" customHeight="1" x14ac:dyDescent="0.25"/>
    <row r="158" spans="4:7" ht="20.100000000000001" customHeight="1" x14ac:dyDescent="0.25"/>
    <row r="159" spans="4:7" ht="20.100000000000001" customHeight="1" x14ac:dyDescent="0.25"/>
    <row r="160" spans="4:7"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58851-D6B4-4BB9-8BBB-54962A7BE4C3}">
  <dimension ref="A1:T165"/>
  <sheetViews>
    <sheetView showGridLines="0" tabSelected="1" topLeftCell="A17" zoomScaleNormal="100" workbookViewId="0">
      <selection activeCell="D65" sqref="D65"/>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8" t="e" vm="1">
        <v>#VALUE!</v>
      </c>
      <c r="C1" s="8" t="s">
        <v>285</v>
      </c>
    </row>
    <row r="2" spans="1:20" s="9" customFormat="1" ht="20.100000000000001" customHeight="1" x14ac:dyDescent="0.25">
      <c r="A2"/>
    </row>
    <row r="3" spans="1:20" ht="20.100000000000001" customHeight="1" x14ac:dyDescent="0.25">
      <c r="A3" s="17" t="str">
        <f>HYPERLINK("#'Home'!A1", "Home")</f>
        <v>Home</v>
      </c>
      <c r="C3" s="4"/>
      <c r="D3" s="4" t="s">
        <v>80</v>
      </c>
      <c r="E3" s="4"/>
      <c r="F3" s="4"/>
      <c r="G3" s="4"/>
      <c r="H3" s="4"/>
      <c r="I3" s="4"/>
      <c r="J3" s="4"/>
      <c r="K3" s="4"/>
      <c r="M3" s="4"/>
      <c r="N3" s="4" t="s">
        <v>81</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Fertiliser_Equations_LeachingAndRunoff.VEERG_5_5_1_1__2_MassOfNitrogenLeachedFromInorganicFertiliser_Title()</f>
        <v>Mass of nitrogen lost through leaching and runoff from inorganic fertiliser application in production system j</v>
      </c>
    </row>
    <row r="6" spans="1:20" ht="20.100000000000001" customHeight="1" x14ac:dyDescent="0.25">
      <c r="A6" s="16"/>
      <c r="D6" s="5" t="str" cm="1">
        <f t="array" ref="D6">Fertiliser_Equations_LeachingAndRunoff.VEERG_5_5_1_1__2_MassOfNitrogenLeachedFromInorganicFertiliser_Source()</f>
        <v>VEERG 2026: 5.5, Equation (2)</v>
      </c>
    </row>
    <row r="7" spans="1:20" ht="20.100000000000001" customHeight="1" x14ac:dyDescent="0.25">
      <c r="A7" s="20" t="s">
        <v>1</v>
      </c>
      <c r="D7" s="13" t="s">
        <v>22</v>
      </c>
      <c r="E7" s="13" t="str" cm="1">
        <f t="array" aca="1" ref="E7" ca="1">Common_InputFunctions.Utility_DisplayFunctionName(F23)</f>
        <v>=Fertiliser_Equations_LeachingAndRunoff.VEERG_5_5_1_1__2_MassOfNitrogenLeachedFromInorganicFertiliser</v>
      </c>
    </row>
    <row r="8" spans="1:20" ht="20.100000000000001" customHeight="1" x14ac:dyDescent="0.25">
      <c r="A8" s="17" t="str">
        <f>HYPERLINK("#'Input - Site'!A1", "Site")</f>
        <v>Site</v>
      </c>
    </row>
    <row r="9" spans="1:20" ht="20.100000000000001" customHeight="1" x14ac:dyDescent="0.25">
      <c r="A9" s="17" t="str">
        <f>HYPERLINK("#'Input - Fertiliser'!A1", "Fertiliser")</f>
        <v>Fertiliser</v>
      </c>
    </row>
    <row r="10" spans="1:20" ht="20.100000000000001" customHeight="1" x14ac:dyDescent="0.25">
      <c r="A10" s="17"/>
      <c r="D10" s="51" t="s">
        <v>25</v>
      </c>
      <c r="E10" s="1" t="str" cm="1">
        <f t="array" ref="E10">Fertiliser_Equations_LeachingAndRunoff.VEERG_5_5_1_1__2_MassOfNitrogenLeachedFromInorganicFertiliser_Variable()</f>
        <v>M_leachinorganicj</v>
      </c>
    </row>
    <row r="11" spans="1:20" ht="20.100000000000001" customHeight="1" x14ac:dyDescent="0.25">
      <c r="A11" s="19" t="s">
        <v>69</v>
      </c>
      <c r="D11" s="51" t="s">
        <v>16</v>
      </c>
      <c r="E11" s="52" t="str" cm="1">
        <f t="array" ref="E11">Fertiliser_Equations_LeachingAndRunoff.VEERG_5_5_1_1__2_MassOfNitrogenLeachedFromInorganicFertiliser_Unit()</f>
        <v>kg N</v>
      </c>
    </row>
    <row r="12" spans="1:20" ht="20.100000000000001" customHeight="1" x14ac:dyDescent="0.25">
      <c r="A12" s="17" t="str">
        <f>HYPERLINK("#'5.1.1.1-2 Inorganic Fert N2O'!A1", "5.1.1.1-2 Inorganic Fert N2O")</f>
        <v>5.1.1.1-2 Inorganic Fert N2O</v>
      </c>
    </row>
    <row r="13" spans="1:20" ht="20.100000000000001" customHeight="1" x14ac:dyDescent="0.25">
      <c r="A13" s="17" t="str">
        <f>HYPERLINK("#'5.1.1.3-4 Inorganic fert CO2'!A1", "5.1.1.3-4 Inorganic fert CO2")</f>
        <v>5.1.1.3-4 Inorganic fert CO2</v>
      </c>
      <c r="D13" s="147" t="str" cm="1">
        <f t="array" ref="D13:E18">_xlfn.CHOOSECOLS(Fertiliser_Equations_LeachingAndRunoff.VEERG_5_5_1_1__2_MassOfNitrogenLeachedFromInorganicFertiliser_Arguments(), 1, 2)</f>
        <v>MN_jf</v>
      </c>
      <c r="E13" s="154" t="str">
        <v>mass of nitrogen in inorganic fertiliser</v>
      </c>
      <c r="F13" s="153"/>
      <c r="G13" s="147" t="str" cm="1">
        <f t="array" ref="G13:H18">_xlfn.CHOOSECOLS(Fertiliser_Equations_LeachingAndRunoff.VEERG_5_5_1_1__2_MassOfNitrogenLeachedFromInorganicFertiliser_Arguments(), 3,4)</f>
        <v>kg N</v>
      </c>
      <c r="H13" s="119" t="str">
        <v>Calculated from 5.1.1.1 (2)</v>
      </c>
      <c r="I13" s="145" t="str" cm="1">
        <f t="array" aca="1" ref="I13" ca="1">HYPERLINK(Common_InputFunctions.Utility_SourceHyperlink(D20), D20)</f>
        <v>Table_M_leach_inorganic_j</v>
      </c>
    </row>
    <row r="14" spans="1:20" ht="20.100000000000001" customHeight="1" x14ac:dyDescent="0.25">
      <c r="A14" s="17" t="str">
        <f>HYPERLINK("#'5.2.1.1-2 Organic Fert N2O'!A1", "5.2.1.1-2 Organic Fert N2O")</f>
        <v>5.2.1.1-2 Organic Fert N2O</v>
      </c>
      <c r="D14" s="147" t="str">
        <v>FracWETj</v>
      </c>
      <c r="E14" s="154" t="str">
        <v>fraction of N available for leaching and runoff</v>
      </c>
      <c r="F14" s="153"/>
      <c r="G14" s="147" t="str">
        <v>fraction</v>
      </c>
      <c r="H14" s="119" t="str">
        <v>Constant</v>
      </c>
      <c r="I14" s="147">
        <f>Common_InputFunctions.CommonCropping_GetFracWET(I16,I18,#REF!,#REF!,Table_SourceData_FracWETIrrigation[Irrigation type i],Table_SourceData_FracWETIrrigation[FracWET])</f>
        <v>1</v>
      </c>
    </row>
    <row r="15" spans="1:20" ht="20.100000000000001" customHeight="1" x14ac:dyDescent="0.25">
      <c r="A15" s="17" t="str">
        <f>HYPERLINK("#'5.3.1.1-2 Lime CO2'!A1", "5.3.1.1-2 Lime CO2")</f>
        <v>5.3.1.1-2 Lime CO2</v>
      </c>
      <c r="D15" s="147" t="str">
        <v>FracLEACH</v>
      </c>
      <c r="E15" s="154" t="str">
        <v>fraction of N that is lost through leaching and runoff</v>
      </c>
      <c r="F15" s="153"/>
      <c r="G15" s="147" t="str">
        <v>fraction</v>
      </c>
      <c r="H15" s="119" t="str">
        <v>Constant</v>
      </c>
      <c r="I15" s="147">
        <f>'Constants - Fertiliser'!$E$78</f>
        <v>0.24</v>
      </c>
    </row>
    <row r="16" spans="1:20" ht="20.100000000000001" customHeight="1" x14ac:dyDescent="0.25">
      <c r="A16" s="17" t="str">
        <f>HYPERLINK("#'5.4.1.1-4 Atmos deposition'!A1", "5.4.1.1-4 Atmos deposition")</f>
        <v>5.4.1.1-4 Atmos deposition</v>
      </c>
      <c r="D16" s="147" t="str">
        <v>z</v>
      </c>
      <c r="E16" s="154" t="str">
        <v>location in leaching zone</v>
      </c>
      <c r="F16" s="153"/>
      <c r="G16" s="147" t="str">
        <v/>
      </c>
      <c r="H16" s="120" t="str">
        <v>Input</v>
      </c>
      <c r="I16" s="147" t="str">
        <f>X_Cell_Site_LeachingZone</f>
        <v>NO - Not in leaching zone</v>
      </c>
    </row>
    <row r="17" spans="1:9" ht="20.100000000000001" customHeight="1" x14ac:dyDescent="0.25">
      <c r="A17" s="176" t="str">
        <f>HYPERLINK("#'5.5.1.1-2 Leaching and runoff'!A1", "5.5.1.1-2 Leaching and runoff")</f>
        <v>5.5.1.1-2 Leaching and runoff</v>
      </c>
      <c r="D17" s="147" t="str">
        <v>j</v>
      </c>
      <c r="E17" s="154" t="str">
        <v>production system</v>
      </c>
      <c r="F17" s="153"/>
      <c r="G17" s="147" t="str">
        <v/>
      </c>
      <c r="H17" s="120" t="str">
        <v>Input</v>
      </c>
      <c r="I17" s="147" t="str">
        <f>X_Cell_Fertiliser_ProductionSystem</f>
        <v>Crop</v>
      </c>
    </row>
    <row r="18" spans="1:9" ht="20.100000000000001" customHeight="1" x14ac:dyDescent="0.25">
      <c r="D18" s="147" t="str">
        <v>ir</v>
      </c>
      <c r="E18" s="154" t="str">
        <v>irrigation method</v>
      </c>
      <c r="F18" s="153"/>
      <c r="G18" s="147" t="str">
        <v/>
      </c>
      <c r="H18" s="120" t="str">
        <v>Input</v>
      </c>
      <c r="I18" s="147" t="str">
        <f>X_Cell_Fertiliser_IrrigationMethod</f>
        <v>Sprinkler irrigation</v>
      </c>
    </row>
    <row r="19" spans="1:9" ht="20.100000000000001" customHeight="1" x14ac:dyDescent="0.25">
      <c r="A19" s="18" t="s">
        <v>2</v>
      </c>
    </row>
    <row r="20" spans="1:9" ht="20.100000000000001" customHeight="1" x14ac:dyDescent="0.25">
      <c r="A20" s="17" t="str">
        <f>HYPERLINK("#'Constants - Fertiliser'!A1", "Constants - Fertiliser")</f>
        <v>Constants - Fertiliser</v>
      </c>
      <c r="D20" s="92" t="s">
        <v>287</v>
      </c>
    </row>
    <row r="21" spans="1:9" ht="20.100000000000001" customHeight="1" x14ac:dyDescent="0.25">
      <c r="A21" s="17" t="str">
        <f>HYPERLINK("#'Constants - Common'!A1", "Constants - Common")</f>
        <v>Constants - Common</v>
      </c>
      <c r="D21" s="91" t="s">
        <v>290</v>
      </c>
    </row>
    <row r="22" spans="1:9" ht="20.100000000000001" customHeight="1" x14ac:dyDescent="0.25">
      <c r="D22" s="49" t="s">
        <v>112</v>
      </c>
      <c r="E22" s="49" t="s">
        <v>268</v>
      </c>
      <c r="F22" s="49" t="s">
        <v>286</v>
      </c>
    </row>
    <row r="23" spans="1:9" ht="20.100000000000001" customHeight="1" x14ac:dyDescent="0.25">
      <c r="A23" s="17"/>
      <c r="D23" s="50" t="str" cm="1">
        <f t="array" ref="D23:D41">Table_Fertiliser_ChemicalCompounds[Fertiliser type f]</f>
        <v>Monoammonium phosphate (MAP)</v>
      </c>
      <c r="E23" s="50">
        <f>'5.1.1.1-2 Inorganic fert N2O'!G19</f>
        <v>0</v>
      </c>
      <c r="F23" s="50" cm="1">
        <f t="array" ref="F23">Fertiliser_Equations_LeachingAndRunoff.VEERG_5_5_1_1__2_MassOfNitrogenLeachedFromInorganicFertiliser(E23, $I$14, $I$15)</f>
        <v>0</v>
      </c>
    </row>
    <row r="24" spans="1:9" ht="20.100000000000001" customHeight="1" x14ac:dyDescent="0.25">
      <c r="D24" s="50" t="str">
        <v>Diammonium phosphate (DAP)</v>
      </c>
      <c r="E24" s="50">
        <f>'5.1.1.1-2 Inorganic fert N2O'!G20</f>
        <v>0</v>
      </c>
      <c r="F24" s="50" cm="1">
        <f t="array" ref="F24">Fertiliser_Equations_LeachingAndRunoff.VEERG_5_5_1_1__2_MassOfNitrogenLeachedFromInorganicFertiliser(E24, $I$14, $I$15)</f>
        <v>0</v>
      </c>
    </row>
    <row r="25" spans="1:9" ht="20.100000000000001" customHeight="1" x14ac:dyDescent="0.25">
      <c r="D25" s="50" t="str">
        <v>Urea</v>
      </c>
      <c r="E25" s="50">
        <f>'5.1.1.1-2 Inorganic fert N2O'!G21</f>
        <v>4600</v>
      </c>
      <c r="F25" s="50" cm="1">
        <f t="array" ref="F25">Fertiliser_Equations_LeachingAndRunoff.VEERG_5_5_1_1__2_MassOfNitrogenLeachedFromInorganicFertiliser(E25, $I$14, $I$15)</f>
        <v>1104</v>
      </c>
    </row>
    <row r="26" spans="1:9" ht="20.100000000000001" customHeight="1" x14ac:dyDescent="0.25">
      <c r="D26" s="50" t="str">
        <v>Sulphate of ammonia (SOA)</v>
      </c>
      <c r="E26" s="50">
        <f>'5.1.1.1-2 Inorganic fert N2O'!G22</f>
        <v>0</v>
      </c>
      <c r="F26" s="50" cm="1">
        <f t="array" ref="F26">Fertiliser_Equations_LeachingAndRunoff.VEERG_5_5_1_1__2_MassOfNitrogenLeachedFromInorganicFertiliser(E26, $I$14, $I$15)</f>
        <v>0</v>
      </c>
    </row>
    <row r="27" spans="1:9" ht="20.100000000000001" customHeight="1" x14ac:dyDescent="0.25">
      <c r="D27" s="50" t="str">
        <v>Urea-ammonium nitrate (UAN)</v>
      </c>
      <c r="E27" s="50">
        <f>'5.1.1.1-2 Inorganic fert N2O'!G23</f>
        <v>0</v>
      </c>
      <c r="F27" s="50" cm="1">
        <f t="array" ref="F27">Fertiliser_Equations_LeachingAndRunoff.VEERG_5_5_1_1__2_MassOfNitrogenLeachedFromInorganicFertiliser(E27, $I$14, $I$15)</f>
        <v>0</v>
      </c>
    </row>
    <row r="28" spans="1:9" ht="20.100000000000001" customHeight="1" x14ac:dyDescent="0.25">
      <c r="D28" s="50" t="str">
        <v>Ammonium nitrate (AN)</v>
      </c>
      <c r="E28" s="50">
        <f>'5.1.1.1-2 Inorganic fert N2O'!G24</f>
        <v>0</v>
      </c>
      <c r="F28" s="50" cm="1">
        <f t="array" ref="F28">Fertiliser_Equations_LeachingAndRunoff.VEERG_5_5_1_1__2_MassOfNitrogenLeachedFromInorganicFertiliser(E28, $I$14, $I$15)</f>
        <v>0</v>
      </c>
    </row>
    <row r="29" spans="1:9" ht="20.100000000000001" customHeight="1" x14ac:dyDescent="0.25">
      <c r="D29" s="50" t="str">
        <v>Calcium ammonium nitrate (CAN)</v>
      </c>
      <c r="E29" s="50">
        <f>'5.1.1.1-2 Inorganic fert N2O'!G25</f>
        <v>0</v>
      </c>
      <c r="F29" s="50" cm="1">
        <f t="array" ref="F29">Fertiliser_Equations_LeachingAndRunoff.VEERG_5_5_1_1__2_MassOfNitrogenLeachedFromInorganicFertiliser(E29, $I$14, $I$15)</f>
        <v>0</v>
      </c>
    </row>
    <row r="30" spans="1:9" ht="20.100000000000001" customHeight="1" x14ac:dyDescent="0.25">
      <c r="D30" s="50" t="str">
        <v>Nitrogen - Ammoniacal</v>
      </c>
      <c r="E30" s="50">
        <f>'5.1.1.1-2 Inorganic fert N2O'!G26</f>
        <v>0</v>
      </c>
      <c r="F30" s="50" cm="1">
        <f t="array" ref="F30">Fertiliser_Equations_LeachingAndRunoff.VEERG_5_5_1_1__2_MassOfNitrogenLeachedFromInorganicFertiliser(E30, $I$14, $I$15)</f>
        <v>0</v>
      </c>
    </row>
    <row r="31" spans="1:9" ht="20.100000000000001" customHeight="1" x14ac:dyDescent="0.25">
      <c r="D31" s="50" t="str">
        <v>Nitrogen - Nitrate</v>
      </c>
      <c r="E31" s="50">
        <f>'5.1.1.1-2 Inorganic fert N2O'!G27</f>
        <v>1980</v>
      </c>
      <c r="F31" s="50" cm="1">
        <f t="array" ref="F31">Fertiliser_Equations_LeachingAndRunoff.VEERG_5_5_1_1__2_MassOfNitrogenLeachedFromInorganicFertiliser(E31, $I$14, $I$15)</f>
        <v>475.2</v>
      </c>
    </row>
    <row r="32" spans="1:9" ht="20.100000000000001" customHeight="1" x14ac:dyDescent="0.25">
      <c r="D32" s="50" t="str">
        <v>Nitrogen - Generic</v>
      </c>
      <c r="E32" s="50">
        <f>'5.1.1.1-2 Inorganic fert N2O'!G28</f>
        <v>1537.2</v>
      </c>
      <c r="F32" s="50" cm="1">
        <f t="array" ref="F32">Fertiliser_Equations_LeachingAndRunoff.VEERG_5_5_1_1__2_MassOfNitrogenLeachedFromInorganicFertiliser(E32, $I$14, $I$15)</f>
        <v>368.928</v>
      </c>
    </row>
    <row r="33" spans="1:11" ht="20.100000000000001" customHeight="1" x14ac:dyDescent="0.25">
      <c r="D33" s="50" t="str">
        <v>Phosphorus - Generic</v>
      </c>
      <c r="E33" s="50">
        <f>'5.1.1.1-2 Inorganic fert N2O'!G29</f>
        <v>0</v>
      </c>
      <c r="F33" s="50" cm="1">
        <f t="array" ref="F33">Fertiliser_Equations_LeachingAndRunoff.VEERG_5_5_1_1__2_MassOfNitrogenLeachedFromInorganicFertiliser(E33, $I$14, $I$15)</f>
        <v>0</v>
      </c>
    </row>
    <row r="34" spans="1:11" ht="20.100000000000001" customHeight="1" x14ac:dyDescent="0.25">
      <c r="D34" s="50" t="str">
        <v>Potassium - Generic</v>
      </c>
      <c r="E34" s="50">
        <f>'5.1.1.1-2 Inorganic fert N2O'!G30</f>
        <v>0</v>
      </c>
      <c r="F34" s="50" cm="1">
        <f t="array" ref="F34">Fertiliser_Equations_LeachingAndRunoff.VEERG_5_5_1_1__2_MassOfNitrogenLeachedFromInorganicFertiliser(E34, $I$14, $I$15)</f>
        <v>0</v>
      </c>
    </row>
    <row r="35" spans="1:11" ht="20.100000000000001" customHeight="1" x14ac:dyDescent="0.25">
      <c r="D35" s="50" t="str">
        <v>Sulfur - Generic</v>
      </c>
      <c r="E35" s="50">
        <f>'5.1.1.1-2 Inorganic fert N2O'!G31</f>
        <v>0</v>
      </c>
      <c r="F35" s="50" cm="1">
        <f t="array" ref="F35">Fertiliser_Equations_LeachingAndRunoff.VEERG_5_5_1_1__2_MassOfNitrogenLeachedFromInorganicFertiliser(E35, $I$14, $I$15)</f>
        <v>0</v>
      </c>
    </row>
    <row r="36" spans="1:11" ht="20.100000000000001" customHeight="1" x14ac:dyDescent="0.25">
      <c r="D36" s="50" t="str">
        <v>Zinc - Generic</v>
      </c>
      <c r="E36" s="50">
        <f>'5.1.1.1-2 Inorganic fert N2O'!G32</f>
        <v>0</v>
      </c>
      <c r="F36" s="50" cm="1">
        <f t="array" ref="F36">Fertiliser_Equations_LeachingAndRunoff.VEERG_5_5_1_1__2_MassOfNitrogenLeachedFromInorganicFertiliser(E36, $I$14, $I$15)</f>
        <v>0</v>
      </c>
    </row>
    <row r="37" spans="1:11" ht="20.100000000000001" customHeight="1" x14ac:dyDescent="0.25">
      <c r="D37" s="50" t="str">
        <v>Muriate of potash (MOP)</v>
      </c>
      <c r="E37" s="50">
        <f>'5.1.1.1-2 Inorganic fert N2O'!G33</f>
        <v>0</v>
      </c>
      <c r="F37" s="50" cm="1">
        <f t="array" ref="F37">Fertiliser_Equations_LeachingAndRunoff.VEERG_5_5_1_1__2_MassOfNitrogenLeachedFromInorganicFertiliser(E37, $I$14, $I$15)</f>
        <v>0</v>
      </c>
    </row>
    <row r="38" spans="1:11" ht="20.100000000000001" customHeight="1" x14ac:dyDescent="0.25">
      <c r="D38" s="50" t="str">
        <v>Double superphosphate</v>
      </c>
      <c r="E38" s="50">
        <f>'5.1.1.1-2 Inorganic fert N2O'!G34</f>
        <v>0</v>
      </c>
      <c r="F38" s="50" cm="1">
        <f t="array" ref="F38">Fertiliser_Equations_LeachingAndRunoff.VEERG_5_5_1_1__2_MassOfNitrogenLeachedFromInorganicFertiliser(E38, $I$14, $I$15)</f>
        <v>0</v>
      </c>
    </row>
    <row r="39" spans="1:11" ht="20.100000000000001" customHeight="1" x14ac:dyDescent="0.25">
      <c r="D39" s="50" t="str">
        <v>Single superphosphate (SSP)</v>
      </c>
      <c r="E39" s="50">
        <f>'5.1.1.1-2 Inorganic fert N2O'!G35</f>
        <v>0</v>
      </c>
      <c r="F39" s="50" cm="1">
        <f t="array" ref="F39">Fertiliser_Equations_LeachingAndRunoff.VEERG_5_5_1_1__2_MassOfNitrogenLeachedFromInorganicFertiliser(E39, $I$14, $I$15)</f>
        <v>0</v>
      </c>
    </row>
    <row r="40" spans="1:11" ht="20.100000000000001" customHeight="1" x14ac:dyDescent="0.25">
      <c r="D40" s="50" t="str">
        <v>Ammonia</v>
      </c>
      <c r="E40" s="50">
        <f>'5.1.1.1-2 Inorganic fert N2O'!G36</f>
        <v>4117.5</v>
      </c>
      <c r="F40" s="50" cm="1">
        <f t="array" ref="F40">Fertiliser_Equations_LeachingAndRunoff.VEERG_5_5_1_1__2_MassOfNitrogenLeachedFromInorganicFertiliser(E40, $I$14, $I$15)</f>
        <v>988.19999999999993</v>
      </c>
    </row>
    <row r="41" spans="1:11" ht="20.100000000000001" customHeight="1" x14ac:dyDescent="0.25">
      <c r="D41" s="50" t="str">
        <v>Calcium nitrate</v>
      </c>
      <c r="E41" s="50">
        <f>'5.1.1.1-2 Inorganic fert N2O'!G37</f>
        <v>775</v>
      </c>
      <c r="F41" s="50" cm="1">
        <f t="array" ref="F41">Fertiliser_Equations_LeachingAndRunoff.VEERG_5_5_1_1__2_MassOfNitrogenLeachedFromInorganicFertiliser(E41, $I$14, $I$15)</f>
        <v>186</v>
      </c>
    </row>
    <row r="42" spans="1:11" ht="20.100000000000001" customHeight="1" x14ac:dyDescent="0.25"/>
    <row r="43" spans="1:11" ht="20.100000000000001" customHeight="1" x14ac:dyDescent="0.25">
      <c r="D43" s="149" t="s">
        <v>288</v>
      </c>
      <c r="E43" s="44">
        <f>SUM(F23:F41)</f>
        <v>3122.328</v>
      </c>
      <c r="F43" s="98" t="str">
        <f>$E$11</f>
        <v>kg N</v>
      </c>
    </row>
    <row r="44" spans="1:11" ht="20.100000000000001" customHeight="1" x14ac:dyDescent="0.25">
      <c r="A44" s="157" t="str">
        <f>HYPERLINK("#A1", "▲ Back to top")</f>
        <v>▲ Back to top</v>
      </c>
    </row>
    <row r="45" spans="1:11" ht="20.100000000000001" customHeight="1" x14ac:dyDescent="0.25">
      <c r="C45" s="166"/>
      <c r="D45" s="166"/>
      <c r="E45" s="166"/>
      <c r="F45" s="166"/>
      <c r="G45" s="166"/>
      <c r="H45" s="166"/>
      <c r="I45" s="166"/>
      <c r="J45" s="166"/>
      <c r="K45" s="166"/>
    </row>
    <row r="46" spans="1:11" ht="20.100000000000001" customHeight="1" x14ac:dyDescent="0.25"/>
    <row r="47" spans="1:11" ht="20.100000000000001" customHeight="1" x14ac:dyDescent="0.25">
      <c r="D47" s="6" t="str" cm="1">
        <f t="array" ref="D47">Fertiliser_Equations_LeachingAndRunoff.VEERG_5_5_1_1__3_MassOfNitrogenLeachedFromOrganicFertiliser_Title()</f>
        <v>Mass of nitrogen lost through leaching and runoff from organic fertiliser application in production system j</v>
      </c>
    </row>
    <row r="48" spans="1:11" ht="20.100000000000001" customHeight="1" x14ac:dyDescent="0.25">
      <c r="D48" s="5" t="str" cm="1">
        <f t="array" ref="D48">Fertiliser_Equations_LeachingAndRunoff.VEERG_5_5_1_1__3_MassOfNitrogenLeachedFromOrganicFertiliser_Source()</f>
        <v>VEERG 2026: 5.5, Equation (3)</v>
      </c>
    </row>
    <row r="49" spans="4:9" ht="20.100000000000001" customHeight="1" x14ac:dyDescent="0.25">
      <c r="D49" s="13" t="s">
        <v>22</v>
      </c>
      <c r="E49" s="13" t="str" cm="1">
        <f t="array" aca="1" ref="E49" ca="1">Common_InputFunctions.Utility_DisplayFunctionName(F65)</f>
        <v>=Fertiliser_Equations_LeachingAndRunoff.VEERG_5_5_1_1__3_MassOfNitrogenLeachedFromOrganicFertiliser</v>
      </c>
    </row>
    <row r="50" spans="4:9" ht="20.100000000000001" customHeight="1" x14ac:dyDescent="0.25"/>
    <row r="51" spans="4:9" ht="20.100000000000001" customHeight="1" x14ac:dyDescent="0.25"/>
    <row r="52" spans="4:9" ht="20.100000000000001" customHeight="1" x14ac:dyDescent="0.25">
      <c r="D52" s="51" t="s">
        <v>25</v>
      </c>
      <c r="E52" s="1" t="str" cm="1">
        <f t="array" ref="E52">Fertiliser_Equations_LeachingAndRunoff.VEERG_5_5_1_1__3_MassOfNitrogenLeachedFromOrganicFertiliser_Variable()</f>
        <v>M_leachorganicj</v>
      </c>
    </row>
    <row r="53" spans="4:9" ht="20.100000000000001" customHeight="1" x14ac:dyDescent="0.25">
      <c r="D53" s="51" t="s">
        <v>16</v>
      </c>
      <c r="E53" s="52" t="str" cm="1">
        <f t="array" ref="E53">Fertiliser_Equations_LeachingAndRunoff.VEERG_5_5_1_1__3_MassOfNitrogenLeachedFromOrganicFertiliser_Unit()</f>
        <v>kg N</v>
      </c>
    </row>
    <row r="54" spans="4:9" ht="20.100000000000001" customHeight="1" x14ac:dyDescent="0.25"/>
    <row r="55" spans="4:9" ht="20.100000000000001" customHeight="1" x14ac:dyDescent="0.25">
      <c r="D55" s="147" t="str" cm="1">
        <f t="array" ref="D55:E60">_xlfn.CHOOSECOLS(Fertiliser_Equations_LeachingAndRunoff.VEERG_5_5_1_1__3_MassOfNitrogenLeachedFromOrganicFertiliser_Arguments(), 1, 2)</f>
        <v>MNSoil_jf</v>
      </c>
      <c r="E55" s="154" t="str">
        <v>mass of nitrogen in organic fertiliser</v>
      </c>
      <c r="F55" s="153"/>
      <c r="G55" s="147" t="str" cm="1">
        <f t="array" ref="G55:H60">_xlfn.CHOOSECOLS(Fertiliser_Equations_LeachingAndRunoff.VEERG_5_5_1_1__3_MassOfNitrogenLeachedFromOrganicFertiliser_Arguments(), 3,4)</f>
        <v>kg N</v>
      </c>
      <c r="H55" s="119" t="str">
        <v>Calculated from 5.2.1.1 (2)</v>
      </c>
      <c r="I55" s="145" t="str" cm="1">
        <f t="array" aca="1" ref="I55" ca="1">HYPERLINK(Common_InputFunctions.Utility_SourceHyperlink(D62), D62)</f>
        <v>Table_M_leach_organic_j</v>
      </c>
    </row>
    <row r="56" spans="4:9" ht="20.100000000000001" customHeight="1" x14ac:dyDescent="0.25">
      <c r="D56" s="147" t="str">
        <v>FracWETj</v>
      </c>
      <c r="E56" s="154" t="str">
        <v>fraction of N available for leaching and runoff</v>
      </c>
      <c r="F56" s="153"/>
      <c r="G56" s="147" t="str">
        <v>fraction</v>
      </c>
      <c r="H56" s="119" t="str">
        <v>Constant</v>
      </c>
      <c r="I56" s="147">
        <f>Common_InputFunctions.CommonCropping_GetFracWET(I58,I60,#REF!,#REF!,Table_SourceData_FracWETIrrigation[Irrigation type i],Table_SourceData_FracWETIrrigation[FracWET])</f>
        <v>1</v>
      </c>
    </row>
    <row r="57" spans="4:9" ht="20.100000000000001" customHeight="1" x14ac:dyDescent="0.25">
      <c r="D57" s="147" t="str">
        <v>FracLEACH</v>
      </c>
      <c r="E57" s="154" t="str">
        <v>fraction of N that is lost through leaching and runoff</v>
      </c>
      <c r="F57" s="153"/>
      <c r="G57" s="147" t="str">
        <v>fraction</v>
      </c>
      <c r="H57" s="119" t="str">
        <v>Constant</v>
      </c>
      <c r="I57" s="147">
        <f>'Constants - Fertiliser'!$E$78</f>
        <v>0.24</v>
      </c>
    </row>
    <row r="58" spans="4:9" ht="20.100000000000001" customHeight="1" x14ac:dyDescent="0.25">
      <c r="D58" s="147" t="str">
        <v>z</v>
      </c>
      <c r="E58" s="154" t="str">
        <v>location in leaching zone</v>
      </c>
      <c r="F58" s="153"/>
      <c r="G58" s="147" t="str">
        <v/>
      </c>
      <c r="H58" s="120" t="str">
        <v>Input</v>
      </c>
      <c r="I58" s="147" t="str">
        <f>X_Cell_Site_LeachingZone</f>
        <v>NO - Not in leaching zone</v>
      </c>
    </row>
    <row r="59" spans="4:9" ht="20.100000000000001" customHeight="1" x14ac:dyDescent="0.25">
      <c r="D59" s="147" t="str">
        <v>j</v>
      </c>
      <c r="E59" s="154" t="str">
        <v>production system</v>
      </c>
      <c r="F59" s="153"/>
      <c r="G59" s="147" t="str">
        <v/>
      </c>
      <c r="H59" s="120" t="str">
        <v>Input</v>
      </c>
      <c r="I59" s="147" t="str">
        <f>X_Cell_Fertiliser_ProductionSystem</f>
        <v>Crop</v>
      </c>
    </row>
    <row r="60" spans="4:9" ht="20.100000000000001" customHeight="1" x14ac:dyDescent="0.25">
      <c r="D60" s="147" t="str">
        <v>ir</v>
      </c>
      <c r="E60" s="154" t="str">
        <v>irrigation method</v>
      </c>
      <c r="F60" s="153"/>
      <c r="G60" s="147" t="str">
        <v/>
      </c>
      <c r="H60" s="120" t="str">
        <v>Input</v>
      </c>
      <c r="I60" s="147" t="str">
        <f>X_Cell_Fertiliser_IrrigationMethod</f>
        <v>Sprinkler irrigation</v>
      </c>
    </row>
    <row r="61" spans="4:9" ht="20.100000000000001" customHeight="1" x14ac:dyDescent="0.25"/>
    <row r="62" spans="4:9" ht="20.100000000000001" customHeight="1" x14ac:dyDescent="0.25">
      <c r="D62" s="92" t="s">
        <v>289</v>
      </c>
    </row>
    <row r="63" spans="4:9" ht="20.100000000000001" customHeight="1" x14ac:dyDescent="0.25">
      <c r="D63" s="91" t="s">
        <v>291</v>
      </c>
    </row>
    <row r="64" spans="4:9" ht="20.100000000000001" customHeight="1" x14ac:dyDescent="0.25">
      <c r="D64" s="112" t="s">
        <v>244</v>
      </c>
      <c r="E64" s="167" t="s">
        <v>248</v>
      </c>
      <c r="F64" s="49" t="s">
        <v>292</v>
      </c>
    </row>
    <row r="65" spans="1:11" ht="20.100000000000001" customHeight="1" x14ac:dyDescent="0.25">
      <c r="D65" s="50" t="str">
        <f>'5.2.1.1-2 Organic Fert N2O'!D20</f>
        <v>Manure - Other</v>
      </c>
      <c r="E65" s="50">
        <f>'5.2.1.1-2 Organic Fert N2O'!I20</f>
        <v>300</v>
      </c>
      <c r="F65" s="50" cm="1">
        <f t="array" ref="F65">Fertiliser_Equations_LeachingAndRunoff.VEERG_5_5_1_1__3_MassOfNitrogenLeachedFromOrganicFertiliser(E65,$I$56, $I$57)</f>
        <v>72</v>
      </c>
    </row>
    <row r="66" spans="1:11" ht="20.100000000000001" customHeight="1" x14ac:dyDescent="0.25">
      <c r="D66" s="50" t="str">
        <f>'5.2.1.1-2 Organic Fert N2O'!D21</f>
        <v>Manure - Poultry</v>
      </c>
      <c r="E66" s="50">
        <f>'5.2.1.1-2 Organic Fert N2O'!I21</f>
        <v>250</v>
      </c>
      <c r="F66" s="50" cm="1">
        <f t="array" ref="F66">Fertiliser_Equations_LeachingAndRunoff.VEERG_5_5_1_1__3_MassOfNitrogenLeachedFromOrganicFertiliser(E66,$I$56, $I$57)</f>
        <v>60</v>
      </c>
    </row>
    <row r="67" spans="1:11" ht="20.100000000000001" customHeight="1" x14ac:dyDescent="0.25">
      <c r="D67" s="50" t="str">
        <f>'5.2.1.1-2 Organic Fert N2O'!D22</f>
        <v>Other organic fertiliser</v>
      </c>
      <c r="E67" s="50">
        <f>'5.2.1.1-2 Organic Fert N2O'!I22</f>
        <v>160</v>
      </c>
      <c r="F67" s="50" cm="1">
        <f t="array" ref="F67">Fertiliser_Equations_LeachingAndRunoff.VEERG_5_5_1_1__3_MassOfNitrogenLeachedFromOrganicFertiliser(E67,$I$56, $I$57)</f>
        <v>38.4</v>
      </c>
    </row>
    <row r="68" spans="1:11" ht="20.100000000000001" customHeight="1" x14ac:dyDescent="0.25">
      <c r="D68" s="50">
        <f>'5.2.1.1-2 Organic Fert N2O'!D23</f>
        <v>0</v>
      </c>
      <c r="E68" s="50">
        <f>'5.2.1.1-2 Organic Fert N2O'!I23</f>
        <v>0</v>
      </c>
      <c r="F68" s="50" cm="1">
        <f t="array" ref="F68">Fertiliser_Equations_LeachingAndRunoff.VEERG_5_5_1_1__3_MassOfNitrogenLeachedFromOrganicFertiliser(E68,$I$56, $I$57)</f>
        <v>0</v>
      </c>
    </row>
    <row r="69" spans="1:11" ht="20.100000000000001" customHeight="1" x14ac:dyDescent="0.25">
      <c r="D69" s="50">
        <f>'5.2.1.1-2 Organic Fert N2O'!D24</f>
        <v>0</v>
      </c>
      <c r="E69" s="50">
        <f>'5.2.1.1-2 Organic Fert N2O'!I24</f>
        <v>0</v>
      </c>
      <c r="F69" s="50" cm="1">
        <f t="array" ref="F69">Fertiliser_Equations_LeachingAndRunoff.VEERG_5_5_1_1__3_MassOfNitrogenLeachedFromOrganicFertiliser(E69,$I$56, $I$57)</f>
        <v>0</v>
      </c>
    </row>
    <row r="70" spans="1:11" ht="20.100000000000001" customHeight="1" x14ac:dyDescent="0.25">
      <c r="D70" s="50">
        <f>'5.2.1.1-2 Organic Fert N2O'!D25</f>
        <v>0</v>
      </c>
      <c r="E70" s="50">
        <f>'5.2.1.1-2 Organic Fert N2O'!I25</f>
        <v>0</v>
      </c>
      <c r="F70" s="50" cm="1">
        <f t="array" ref="F70">Fertiliser_Equations_LeachingAndRunoff.VEERG_5_5_1_1__3_MassOfNitrogenLeachedFromOrganicFertiliser(E70,$I$56, $I$57)</f>
        <v>0</v>
      </c>
    </row>
    <row r="71" spans="1:11" ht="20.100000000000001" customHeight="1" x14ac:dyDescent="0.25">
      <c r="D71" s="50">
        <f>'5.2.1.1-2 Organic Fert N2O'!D26</f>
        <v>0</v>
      </c>
      <c r="E71" s="50">
        <f>'5.2.1.1-2 Organic Fert N2O'!I26</f>
        <v>0</v>
      </c>
      <c r="F71" s="50" cm="1">
        <f t="array" ref="F71">Fertiliser_Equations_LeachingAndRunoff.VEERG_5_5_1_1__3_MassOfNitrogenLeachedFromOrganicFertiliser(E71,$I$56, $I$57)</f>
        <v>0</v>
      </c>
    </row>
    <row r="72" spans="1:11" ht="20.100000000000001" customHeight="1" x14ac:dyDescent="0.25">
      <c r="D72" s="50">
        <f>'5.2.1.1-2 Organic Fert N2O'!D27</f>
        <v>0</v>
      </c>
      <c r="E72" s="50">
        <f>'5.2.1.1-2 Organic Fert N2O'!I27</f>
        <v>0</v>
      </c>
      <c r="F72" s="50" cm="1">
        <f t="array" ref="F72">Fertiliser_Equations_LeachingAndRunoff.VEERG_5_5_1_1__3_MassOfNitrogenLeachedFromOrganicFertiliser(E72,$I$56, $I$57)</f>
        <v>0</v>
      </c>
    </row>
    <row r="73" spans="1:11" ht="20.100000000000001" customHeight="1" x14ac:dyDescent="0.25">
      <c r="D73" s="50">
        <f>'5.2.1.1-2 Organic Fert N2O'!D28</f>
        <v>0</v>
      </c>
      <c r="E73" s="50">
        <f>'5.2.1.1-2 Organic Fert N2O'!I28</f>
        <v>0</v>
      </c>
      <c r="F73" s="50" cm="1">
        <f t="array" ref="F73">Fertiliser_Equations_LeachingAndRunoff.VEERG_5_5_1_1__3_MassOfNitrogenLeachedFromOrganicFertiliser(E73,$I$56, $I$57)</f>
        <v>0</v>
      </c>
    </row>
    <row r="74" spans="1:11" ht="20.100000000000001" customHeight="1" x14ac:dyDescent="0.25">
      <c r="D74" s="50">
        <f>'5.2.1.1-2 Organic Fert N2O'!D29</f>
        <v>0</v>
      </c>
      <c r="E74" s="50">
        <f>'5.2.1.1-2 Organic Fert N2O'!I29</f>
        <v>0</v>
      </c>
      <c r="F74" s="50" cm="1">
        <f t="array" ref="F74">Fertiliser_Equations_LeachingAndRunoff.VEERG_5_5_1_1__3_MassOfNitrogenLeachedFromOrganicFertiliser(E74,$I$56, $I$57)</f>
        <v>0</v>
      </c>
    </row>
    <row r="75" spans="1:11" ht="20.100000000000001" customHeight="1" x14ac:dyDescent="0.25">
      <c r="D75" s="50">
        <f>'5.2.1.1-2 Organic Fert N2O'!D30</f>
        <v>0</v>
      </c>
      <c r="E75" s="50">
        <f>'5.2.1.1-2 Organic Fert N2O'!I30</f>
        <v>0</v>
      </c>
      <c r="F75" s="50" cm="1">
        <f t="array" ref="F75">Fertiliser_Equations_LeachingAndRunoff.VEERG_5_5_1_1__3_MassOfNitrogenLeachedFromOrganicFertiliser(E75,$I$56, $I$57)</f>
        <v>0</v>
      </c>
    </row>
    <row r="76" spans="1:11" ht="20.100000000000001" customHeight="1" x14ac:dyDescent="0.25"/>
    <row r="77" spans="1:11" ht="20.100000000000001" customHeight="1" x14ac:dyDescent="0.25">
      <c r="D77" s="149" t="s">
        <v>293</v>
      </c>
      <c r="E77" s="44">
        <f>SUM(F65:F75)</f>
        <v>170.4</v>
      </c>
      <c r="F77" s="98" t="str">
        <f>$E$53</f>
        <v>kg N</v>
      </c>
    </row>
    <row r="78" spans="1:11" ht="20.100000000000001" customHeight="1" x14ac:dyDescent="0.25">
      <c r="A78" s="157" t="str">
        <f>HYPERLINK("#A1", "▲ Back to top")</f>
        <v>▲ Back to top</v>
      </c>
    </row>
    <row r="79" spans="1:11" ht="20.100000000000001" customHeight="1" x14ac:dyDescent="0.25">
      <c r="C79" s="166"/>
      <c r="D79" s="166"/>
      <c r="E79" s="166"/>
      <c r="F79" s="166"/>
      <c r="G79" s="166"/>
      <c r="H79" s="166"/>
      <c r="I79" s="166"/>
      <c r="J79" s="166"/>
      <c r="K79" s="166"/>
    </row>
    <row r="80" spans="1:11" ht="20.100000000000001" customHeight="1" x14ac:dyDescent="0.25"/>
    <row r="81" spans="4:10" ht="20.100000000000001" customHeight="1" x14ac:dyDescent="0.25">
      <c r="D81" s="6" t="str" cm="1">
        <f t="array" ref="D81">Fertiliser_Equations_LeachingAndRunoff.VEERG_5_5_1_1__1_FertiliserLeachingAndRunoffN2OEmissions_Title()</f>
        <v>Nitrous oxide emissions from nitrogen leaching and runoff from the application of all fertilisers across all production systems j</v>
      </c>
    </row>
    <row r="82" spans="4:10" ht="20.100000000000001" customHeight="1" x14ac:dyDescent="0.25">
      <c r="D82" s="5" t="str" cm="1">
        <f t="array" ref="D82">Fertiliser_Equations_LeachingAndRunoff.VEERG_5_5_1_1__1_FertiliserLeachingAndRunoffN2OEmissions_Source()</f>
        <v>VEERG 2026: 5.5, Equation (1)</v>
      </c>
    </row>
    <row r="83" spans="4:10" ht="20.100000000000001" customHeight="1" x14ac:dyDescent="0.25">
      <c r="D83" s="13" t="s">
        <v>22</v>
      </c>
      <c r="E83" s="13" t="str" cm="1">
        <f t="array" aca="1" ref="E83" ca="1">Common_InputFunctions.Utility_DisplayFunctionName(E94)</f>
        <v>=Fertiliser_Equations_LeachingAndRunoff.VEERG_5_5_1_1__1_FertiliserLeachingAndRunoffN2OEmissions</v>
      </c>
    </row>
    <row r="84" spans="4:10" ht="20.100000000000001" customHeight="1" x14ac:dyDescent="0.25"/>
    <row r="85" spans="4:10" ht="20.100000000000001" customHeight="1" x14ac:dyDescent="0.25"/>
    <row r="86" spans="4:10" ht="20.100000000000001" customHeight="1" x14ac:dyDescent="0.25">
      <c r="D86" s="51" t="s">
        <v>25</v>
      </c>
      <c r="E86" s="1" t="str" cm="1">
        <f t="array" ref="E86">Fertiliser_Equations_LeachingAndRunoff.VEERG_5_5_1_1__1_FertiliserLeachingAndRunoffN2OEmissions_Variable()</f>
        <v>E_fertleach</v>
      </c>
    </row>
    <row r="87" spans="4:10" ht="20.100000000000001" customHeight="1" x14ac:dyDescent="0.25">
      <c r="D87" s="51" t="s">
        <v>16</v>
      </c>
      <c r="E87" s="52" t="str" cm="1">
        <f t="array" ref="E87">Fertiliser_Equations_LeachingAndRunoff.VEERG_5_5_1_1__1_FertiliserLeachingAndRunoffN2OEmissions_Unit()</f>
        <v>t N2O</v>
      </c>
    </row>
    <row r="88" spans="4:10" ht="20.100000000000001" customHeight="1" x14ac:dyDescent="0.25"/>
    <row r="89" spans="4:10" ht="20.100000000000001" customHeight="1" x14ac:dyDescent="0.25">
      <c r="D89" s="147" t="str" cm="1">
        <f t="array" ref="D89:E92">_xlfn.CHOOSECOLS(Fertiliser_Equations_LeachingAndRunoff.VEERG_5_5_1_1__1_FertiliserLeachingAndRunoffN2OEmissions_Arguments(), 1, 2)</f>
        <v>M_leachinorganicj</v>
      </c>
      <c r="E89" s="154" t="str">
        <v>mass of nitrogen lost through leaching and runoff from inorganic fertiliser application in production system j</v>
      </c>
      <c r="F89" s="155"/>
      <c r="G89" s="153"/>
      <c r="H89" s="147" t="str" cm="1">
        <f t="array" ref="H89:I92">_xlfn.CHOOSECOLS(Fertiliser_Equations_LeachingAndRunoff.VEERG_5_5_1_1__1_FertiliserLeachingAndRunoffN2OEmissions_Arguments(), 3,4)</f>
        <v>kg N</v>
      </c>
      <c r="I89" s="119" t="str">
        <v>Calculated from 5.5.1.1 (2)</v>
      </c>
      <c r="J89" s="147">
        <f>$E$43</f>
        <v>3122.328</v>
      </c>
    </row>
    <row r="90" spans="4:10" ht="20.100000000000001" customHeight="1" x14ac:dyDescent="0.25">
      <c r="D90" s="147" t="str">
        <v>M_leachorganicj</v>
      </c>
      <c r="E90" s="154" t="str">
        <v>mass of nitrogen lost through leaching and runoff from organic fertiliser application</v>
      </c>
      <c r="F90" s="155"/>
      <c r="G90" s="153"/>
      <c r="H90" s="147" t="str">
        <v>kg N</v>
      </c>
      <c r="I90" s="119" t="str">
        <v>Calculated from 5.5.1.1 (3)</v>
      </c>
      <c r="J90" s="147">
        <f>$E$77</f>
        <v>170.4</v>
      </c>
    </row>
    <row r="91" spans="4:10" ht="20.100000000000001" customHeight="1" x14ac:dyDescent="0.25">
      <c r="D91" s="147" t="str">
        <v>EF_leach</v>
      </c>
      <c r="E91" s="154" t="str">
        <v>emission factor for nitrogen leaching and runoff</v>
      </c>
      <c r="F91" s="155"/>
      <c r="G91" s="153"/>
      <c r="H91" s="147" t="str">
        <v>kg N2O-N/kg N</v>
      </c>
      <c r="I91" s="119" t="str">
        <v>Constant</v>
      </c>
      <c r="J91" s="147">
        <f>'Constants - Fertiliser'!$E$83</f>
        <v>1.0999999999999999E-2</v>
      </c>
    </row>
    <row r="92" spans="4:10" ht="20.100000000000001" customHeight="1" x14ac:dyDescent="0.25">
      <c r="D92" s="147" t="str">
        <v>C_N2O</v>
      </c>
      <c r="E92" s="154" t="str">
        <v>factor to convert elemental mass of nitrous oxide to molecular mass</v>
      </c>
      <c r="F92" s="155"/>
      <c r="G92" s="153"/>
      <c r="H92" s="147" t="str">
        <v/>
      </c>
      <c r="I92" s="119" t="str">
        <v>Constant</v>
      </c>
      <c r="J92" s="54">
        <f>Common_InputFunctions.Utility_LookupValueInTableNumber("N2O",Table_GasToMolecularConversionFactor[Gas],Table_GasToMolecularConversionFactor[Conversion factor combined])</f>
        <v>1.5714285714285714</v>
      </c>
    </row>
    <row r="93" spans="4:10" ht="20.100000000000001" customHeight="1" x14ac:dyDescent="0.25"/>
    <row r="94" spans="4:10" ht="20.100000000000001" customHeight="1" x14ac:dyDescent="0.25">
      <c r="D94" s="94" t="s">
        <v>294</v>
      </c>
      <c r="E94" s="95" cm="1">
        <f t="array" ref="E94">Fertiliser_Equations_LeachingAndRunoff.VEERG_5_5_1_1__1_FertiliserLeachingAndRunoffN2OEmissions(J89,J90,J91,J92)</f>
        <v>5.6917155428571425E-2</v>
      </c>
      <c r="F94" s="96" t="str">
        <f>$E$87</f>
        <v>t N2O</v>
      </c>
    </row>
    <row r="95" spans="4:10" ht="20.100000000000001" customHeight="1" x14ac:dyDescent="0.25"/>
    <row r="96" spans="4:10" ht="20.100000000000001" customHeight="1" x14ac:dyDescent="0.25">
      <c r="D96" s="54" t="str" cm="1">
        <f t="array" ref="D96:E97">Common_Equations.Common_ConvertN2OToCO2e_Arguments()</f>
        <v>EN2O</v>
      </c>
      <c r="E96" s="55" t="str">
        <v>Nitrous oxide emissions (t N2O)</v>
      </c>
      <c r="F96" s="97"/>
      <c r="G96" s="50">
        <f>E94</f>
        <v>5.6917155428571425E-2</v>
      </c>
    </row>
    <row r="97" spans="4:7" ht="20.100000000000001" customHeight="1" x14ac:dyDescent="0.25">
      <c r="D97" s="54" t="str">
        <v>GWPN2O</v>
      </c>
      <c r="E97" s="55" t="str">
        <v>Global warming potential for nitrous oxide (t CO2-e / t N2O)</v>
      </c>
      <c r="F97" s="97"/>
      <c r="G97" s="50">
        <f>Common_InputFunctions.Utility_LookupValueInTableNumber("N2O",Table_GWPData[Gas],Table_GWPData[CO2-e factor])</f>
        <v>265</v>
      </c>
    </row>
    <row r="98" spans="4:7" ht="20.100000000000001" customHeight="1" x14ac:dyDescent="0.25"/>
    <row r="99" spans="4:7" ht="20.100000000000001" customHeight="1" x14ac:dyDescent="0.25">
      <c r="D99" s="44" t="s">
        <v>79</v>
      </c>
      <c r="E99" s="44" cm="1">
        <f t="array" ref="E99">Common_Equations.Common_ConvertN2OToCO2e(G96,G97)</f>
        <v>15.083046188571428</v>
      </c>
      <c r="F99" s="98" t="str" cm="1">
        <f t="array" ref="F99">Common_Equations.Common_ConvertN2OToCO2e_Unit()</f>
        <v>t CO2e</v>
      </c>
    </row>
    <row r="100" spans="4:7" ht="20.100000000000001" customHeight="1" x14ac:dyDescent="0.25"/>
    <row r="101" spans="4:7" ht="20.100000000000001" customHeight="1" x14ac:dyDescent="0.25"/>
    <row r="102" spans="4:7" ht="20.100000000000001" customHeight="1" x14ac:dyDescent="0.25"/>
    <row r="103" spans="4:7" ht="20.100000000000001" customHeight="1" x14ac:dyDescent="0.25"/>
    <row r="104" spans="4:7" ht="20.100000000000001" customHeight="1" x14ac:dyDescent="0.25"/>
    <row r="105" spans="4:7" ht="20.100000000000001" customHeight="1" x14ac:dyDescent="0.25"/>
    <row r="106" spans="4:7" ht="20.100000000000001" customHeight="1" x14ac:dyDescent="0.25"/>
    <row r="107" spans="4:7" ht="20.100000000000001" customHeight="1" x14ac:dyDescent="0.25"/>
    <row r="108" spans="4:7" ht="20.100000000000001" customHeight="1" x14ac:dyDescent="0.25"/>
    <row r="109" spans="4:7" ht="20.100000000000001" customHeight="1" x14ac:dyDescent="0.25"/>
    <row r="110" spans="4:7" ht="20.100000000000001" customHeight="1" x14ac:dyDescent="0.25"/>
    <row r="111" spans="4:7" ht="20.100000000000001" customHeight="1" x14ac:dyDescent="0.25"/>
    <row r="112" spans="4:7"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topLeftCell="E17" zoomScaleNormal="100" workbookViewId="0">
      <selection activeCell="J42" sqref="J42:J46"/>
    </sheetView>
  </sheetViews>
  <sheetFormatPr defaultRowHeight="15.75" x14ac:dyDescent="0.25"/>
  <cols>
    <col min="1" max="1" width="30.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8" customFormat="1" ht="30" customHeight="1" x14ac:dyDescent="0.35">
      <c r="A1" s="8" t="e" vm="1">
        <v>#VALUE!</v>
      </c>
      <c r="C1" s="8" t="s">
        <v>109</v>
      </c>
      <c r="AG1"/>
      <c r="AH1"/>
      <c r="AI1"/>
    </row>
    <row r="2" spans="1:35" s="9" customFormat="1" ht="20.100000000000001" customHeight="1" x14ac:dyDescent="0.25">
      <c r="A2"/>
      <c r="AG2"/>
      <c r="AH2"/>
      <c r="AI2"/>
    </row>
    <row r="3" spans="1:35" ht="20.100000000000001" customHeight="1" x14ac:dyDescent="0.25">
      <c r="A3" s="17"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7" t="str">
        <f>HYPERLINK("#'Overview'!A1", "Overview")</f>
        <v>Overview</v>
      </c>
    </row>
    <row r="5" spans="1:35" ht="20.100000000000001" customHeight="1" x14ac:dyDescent="0.25">
      <c r="A5" s="17" t="str">
        <f>HYPERLINK("#'Results'!A1", "Results")</f>
        <v>Results</v>
      </c>
      <c r="D5" s="6" t="str" cm="1">
        <f t="array" ref="D5">Fertiliser_SourceData.Fertiliser_ChemicalCompoundElements_Title()</f>
        <v>Common inorganic fertilisers</v>
      </c>
      <c r="E5" s="110"/>
      <c r="F5" s="110"/>
      <c r="G5" s="110"/>
      <c r="H5" s="110"/>
      <c r="I5" s="110"/>
      <c r="J5" s="110"/>
    </row>
    <row r="6" spans="1:35" ht="20.100000000000001" customHeight="1" x14ac:dyDescent="0.25">
      <c r="A6" s="16"/>
      <c r="D6" s="5"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A7" s="20" t="s">
        <v>1</v>
      </c>
      <c r="D7" s="53" t="str" cm="1">
        <f t="array" ref="D7:D18">Fertiliser_SourceData.Fertiliser_ChemicalCompoundElements_Variation()</f>
        <v>VARIATION ON SOURCE</v>
      </c>
    </row>
    <row r="8" spans="1:35" ht="20.100000000000001" customHeight="1" x14ac:dyDescent="0.25">
      <c r="A8" s="17" t="str">
        <f>HYPERLINK("#'Input - Site'!A1", "Site")</f>
        <v>Site</v>
      </c>
      <c r="D8" s="53" t="str">
        <v>Added 'Basis' column to allow cross-referencing with table Table A.2.2.6: Fraction of inorganic fertiliser f that volatilises as NH3 and NOx ((kg NH3-N + NOx-N)/kg N) (FracGASFf)</v>
      </c>
    </row>
    <row r="9" spans="1:35" ht="20.100000000000001" customHeight="1" x14ac:dyDescent="0.25">
      <c r="A9" s="17" t="str">
        <f>HYPERLINK("#'Input - Fertiliser'!A1", "Fertiliser")</f>
        <v>Fertiliser</v>
      </c>
      <c r="D9" s="53" t="str">
        <v>Added extra fertiliser types and generic chemical compounds to allow for custom NPKS blends</v>
      </c>
    </row>
    <row r="10" spans="1:35" ht="20.100000000000001" customHeight="1" x14ac:dyDescent="0.25">
      <c r="A10" s="17"/>
      <c r="D10" s="53" t="str">
        <v>Added extra 'Scope 3 definition' column to allow mapping with scope 3 data</v>
      </c>
    </row>
    <row r="11" spans="1:35" ht="20.100000000000001" customHeight="1" x14ac:dyDescent="0.25">
      <c r="A11" s="19" t="s">
        <v>69</v>
      </c>
      <c r="D11" s="53" t="str">
        <v>Added 'Source' column</v>
      </c>
    </row>
    <row r="12" spans="1:35" ht="20.100000000000001" customHeight="1" x14ac:dyDescent="0.25">
      <c r="A12" s="17" t="str">
        <f>HYPERLINK("#'5.1.1.1-2 Inorganic Fert N2O'!A1", "5.1.1.1-2 Inorganic Fert N2O")</f>
        <v>5.1.1.1-2 Inorganic Fert N2O</v>
      </c>
      <c r="D12" s="53" t="str">
        <v>Combined data from Table A.2.2.3 and Table A.2.2.4 into one table to aid lookup.</v>
      </c>
    </row>
    <row r="13" spans="1:35" ht="20.100000000000001" customHeight="1" x14ac:dyDescent="0.25">
      <c r="A13" s="17" t="str">
        <f>HYPERLINK("#'5.1.1.3-4 Inorganic fert CO2'!A1", "5.1.1.3-4 Inorganic fert CO2")</f>
        <v>5.1.1.3-4 Inorganic fert CO2</v>
      </c>
      <c r="D13" s="53" t="str">
        <v>Excluded 'References' column</v>
      </c>
    </row>
    <row r="14" spans="1:35" ht="20.100000000000001" customHeight="1" x14ac:dyDescent="0.25">
      <c r="A14" s="17" t="str">
        <f>HYPERLINK("#'5.2.1.1-2 Organic Fert N2O'!A1", "5.2.1.1-2 Organic Fert N2O")</f>
        <v>5.2.1.1-2 Organic Fert N2O</v>
      </c>
      <c r="D14" s="53" t="str">
        <v>Excluded 'Ammonium sulfate' as it is a duplicate of 'Sulphate of ammonia (SOA)'</v>
      </c>
    </row>
    <row r="15" spans="1:35" ht="20.100000000000001" customHeight="1" x14ac:dyDescent="0.25">
      <c r="A15" s="17" t="str">
        <f>HYPERLINK("#'5.3.1.1-2 Lime CO2'!A1", "5.3.1.1-2 Lime CO2")</f>
        <v>5.3.1.1-2 Lime CO2</v>
      </c>
      <c r="D15" s="53" t="str">
        <v>Excluded 'Calcium nitrate' as no scope 3 value available.</v>
      </c>
    </row>
    <row r="16" spans="1:35" ht="20.100000000000001" customHeight="1" x14ac:dyDescent="0.25">
      <c r="A16" s="17" t="str">
        <f>HYPERLINK("#'5.4.1.1-4 Atmos deposition'!A1", "5.4.1.1-4 Atmos deposition")</f>
        <v>5.4.1.1-4 Atmos deposition</v>
      </c>
      <c r="D16" s="53" t="str">
        <v>Set 'Nitrogen - Generic' basis as 'Urea-based fertilisers, as urea is the most commonly used form of nitrogen in Australian fertilisers</v>
      </c>
    </row>
    <row r="17" spans="1:22" ht="20.100000000000001" customHeight="1" x14ac:dyDescent="0.25">
      <c r="A17" s="17" t="str">
        <f>HYPERLINK("#'5.5.1.1-2 Leaching and runoff'!A1", "5.5.1.1-2 Leaching and runoff")</f>
        <v>5.5.1.1-2 Leaching and runoff</v>
      </c>
      <c r="D17" s="53" t="str">
        <v>Set 'Urea-ammonium nitrate' basis as 'Urea-based fertiliser'</v>
      </c>
      <c r="K17" s="6" t="str" cm="1">
        <f t="array" ref="K17">Fertiliser_SourceData.Fertiliser_FractionNCommonFertilisers_Title()</f>
        <v>Fraction of nitrogen in common inorganic fertilisers (kgN/kg) (FNorganic,f)</v>
      </c>
      <c r="Q17" s="6" t="str" cm="1">
        <f t="array" ref="Q17">Fertiliser_SourceData.Fertiliser_FractionUreaCommonFertilisers_Title()</f>
        <v>Fraction of urea in common inorganic fertilisers (kg urea/kg) (FUf)</v>
      </c>
      <c r="V17" s="6" t="str" cm="1">
        <f t="array" ref="V17">Fertiliser_SourceData.Fertiliser_UreaAmmoniaSourceRegions_Title()</f>
        <v>Source regions for urea and ammonia</v>
      </c>
    </row>
    <row r="18" spans="1:22" ht="20.100000000000001" customHeight="1" x14ac:dyDescent="0.25">
      <c r="D18" s="53" t="str">
        <v>Ammonia has an FN value of 0.8235 based on (14/17)x100, where 14 is the mass of nitrogen in ammonia and 17 is the molar mass of ammonia.</v>
      </c>
      <c r="K18" s="5" t="str" cm="1">
        <f t="array" ref="K18">Fertiliser_SourceData.Fertiliser_FractionNCommonFertilisers_Source()</f>
        <v>VEERG 2026: Table A.2.2.3</v>
      </c>
      <c r="Q18" s="5" t="str" cm="1">
        <f t="array" ref="Q18">Fertiliser_SourceData.Fertiliser_FractionUreaCommonFertilisers_Source()</f>
        <v>VEERG 2026: Table A.2.2.4</v>
      </c>
      <c r="V18" s="5"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18" t="s">
        <v>2</v>
      </c>
      <c r="D19" t="s">
        <v>112</v>
      </c>
      <c r="E19" t="s">
        <v>128</v>
      </c>
      <c r="F19" t="s">
        <v>127</v>
      </c>
      <c r="G19" t="s">
        <v>110</v>
      </c>
      <c r="H19" t="s">
        <v>129</v>
      </c>
      <c r="I19" t="s">
        <v>111</v>
      </c>
      <c r="K19" s="37" t="s">
        <v>112</v>
      </c>
      <c r="L19" s="37" t="s">
        <v>128</v>
      </c>
      <c r="Q19" s="37" t="s">
        <v>112</v>
      </c>
      <c r="R19" s="37" t="s">
        <v>128</v>
      </c>
      <c r="V19" s="37" t="s">
        <v>111</v>
      </c>
    </row>
    <row r="20" spans="1:22" ht="20.100000000000001" customHeight="1" x14ac:dyDescent="0.25">
      <c r="A20" s="177" t="str">
        <f>HYPERLINK("#'Constants - Fertiliser'!A1", "Constants - Fertiliser")</f>
        <v>Constants - Fertiliser</v>
      </c>
      <c r="D20" s="111" t="str" cm="1">
        <f t="array" ref="D20">Common_InputFunctions.Utility_DisplayArrayInTable(Fertiliser_SourceData.Fertiliser_ChemicalCompoundElements_Data(),Table_Fertiliser_ChemicalCompounds[[#Headers],[Fertiliser type f]], 0)</f>
        <v>Monoammonium phosphate (MAP)</v>
      </c>
      <c r="E20" s="111" cm="1">
        <f t="array" ref="E20">Common_InputFunctions.Utility_DisplayArrayInTable(Fertiliser_SourceData.Fertiliser_ChemicalCompoundElements_Data(),Table_Fertiliser_ChemicalCompounds[[#Headers],[Fertiliser type f]], 0)</f>
        <v>0.1</v>
      </c>
      <c r="F20" s="111" cm="1">
        <f t="array" ref="F20">Common_InputFunctions.Utility_DisplayArrayInTable(Fertiliser_SourceData.Fertiliser_ChemicalCompoundElements_Data(),Table_Fertiliser_ChemicalCompounds[[#Headers],[Fertiliser type f]], 0)</f>
        <v>0</v>
      </c>
      <c r="G20" s="111" t="str" cm="1">
        <f t="array" ref="G20">Common_InputFunctions.Utility_DisplayArrayInTable(Fertiliser_SourceData.Fertiliser_ChemicalCompoundElements_Data(),Table_Fertiliser_ChemicalCompounds[[#Headers],[Fertiliser type f]], 0)</f>
        <v>Ammonium-based fertilisers</v>
      </c>
      <c r="H20" s="111" t="str" cm="1">
        <f t="array" ref="H20">Common_InputFunctions.Utility_DisplayArrayInTable(Fertiliser_SourceData.Fertiliser_ChemicalCompoundElements_Data(),Table_Fertiliser_ChemicalCompounds[[#Headers],[Fertiliser type f]], 0)</f>
        <v>Monoammonium phosphate (MAP)</v>
      </c>
      <c r="I20" s="111" t="str" cm="1">
        <f t="array" ref="I20">Common_InputFunctions.Utility_DisplayArrayInTable(Fertiliser_SourceData.Fertiliser_ChemicalCompoundElements_Data(),Table_Fertiliser_ChemicalCompounds[[#Headers],[Fertiliser type f]], 0)</f>
        <v>VEERG</v>
      </c>
      <c r="K20" s="37" t="str" cm="1">
        <f t="array" ref="K20">Common_InputFunctions.Utility_DisplayArrayInTable(Fertiliser_SourceData.Fertiliser_FractionNCommonFertilisers_Data(), Table2[[#Headers],[Fertiliser type f]], 0)</f>
        <v>Monoammonium phosphate (MAP)</v>
      </c>
      <c r="L20" s="37" cm="1">
        <f t="array" ref="L20">Common_InputFunctions.Utility_DisplayArrayInTable(Fertiliser_SourceData.Fertiliser_FractionNCommonFertilisers_Data(), Table2[[#Headers],[Fertiliser type f]], 0)</f>
        <v>0.1</v>
      </c>
      <c r="Q20" s="37" t="str" cm="1">
        <f t="array" ref="Q20">Common_InputFunctions.Utility_DisplayArrayInTable(Fertiliser_SourceData.Fertiliser_FractionUreaCommonFertilisers_Data(), Table28[[#Headers],[Fertiliser type f]], 0)</f>
        <v>Monoammonium phosphate (MAP)</v>
      </c>
      <c r="R20" s="37" cm="1">
        <f t="array" ref="R20">Common_InputFunctions.Utility_DisplayArrayInTable(Fertiliser_SourceData.Fertiliser_FractionUreaCommonFertilisers_Data(), Table28[[#Headers],[Fertiliser type f]], 0)</f>
        <v>0</v>
      </c>
      <c r="V20" s="37"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A21" s="17" t="str">
        <f>HYPERLINK("#'Constants - Common'!A1", "Constants - Common")</f>
        <v>Constants - Common</v>
      </c>
      <c r="D21" s="111" t="str" cm="1">
        <f t="array" ref="D21">Common_InputFunctions.Utility_DisplayArrayInTable(Fertiliser_SourceData.Fertiliser_ChemicalCompoundElements_Data(),Table_Fertiliser_ChemicalCompounds[[#Headers],[Fertiliser type f]], 0)</f>
        <v>Diammonium phosphate (DAP)</v>
      </c>
      <c r="E21" s="111" cm="1">
        <f t="array" ref="E21">Common_InputFunctions.Utility_DisplayArrayInTable(Fertiliser_SourceData.Fertiliser_ChemicalCompoundElements_Data(),Table_Fertiliser_ChemicalCompounds[[#Headers],[Fertiliser type f]], 0)</f>
        <v>0.18</v>
      </c>
      <c r="F21" s="111" cm="1">
        <f t="array" ref="F21">Common_InputFunctions.Utility_DisplayArrayInTable(Fertiliser_SourceData.Fertiliser_ChemicalCompoundElements_Data(),Table_Fertiliser_ChemicalCompounds[[#Headers],[Fertiliser type f]], 0)</f>
        <v>0</v>
      </c>
      <c r="G21" s="111" t="str" cm="1">
        <f t="array" ref="G21">Common_InputFunctions.Utility_DisplayArrayInTable(Fertiliser_SourceData.Fertiliser_ChemicalCompoundElements_Data(),Table_Fertiliser_ChemicalCompounds[[#Headers],[Fertiliser type f]], 0)</f>
        <v>Ammonium-based fertilisers</v>
      </c>
      <c r="H21" s="111" t="str" cm="1">
        <f t="array" ref="H21">Common_InputFunctions.Utility_DisplayArrayInTable(Fertiliser_SourceData.Fertiliser_ChemicalCompoundElements_Data(),Table_Fertiliser_ChemicalCompounds[[#Headers],[Fertiliser type f]], 0)</f>
        <v>Diammonium phosphate (DAP)</v>
      </c>
      <c r="I21" s="111" t="str" cm="1">
        <f t="array" ref="I21">Common_InputFunctions.Utility_DisplayArrayInTable(Fertiliser_SourceData.Fertiliser_ChemicalCompoundElements_Data(),Table_Fertiliser_ChemicalCompounds[[#Headers],[Fertiliser type f]], 0)</f>
        <v>VEERG</v>
      </c>
      <c r="K21" s="37" t="str" cm="1">
        <f t="array" ref="K21">Common_InputFunctions.Utility_DisplayArrayInTable(Fertiliser_SourceData.Fertiliser_FractionNCommonFertilisers_Data(), Table2[[#Headers],[Fertiliser type f]], 0)</f>
        <v>Diammonium phosphate (DAP)</v>
      </c>
      <c r="L21" s="37" cm="1">
        <f t="array" ref="L21">Common_InputFunctions.Utility_DisplayArrayInTable(Fertiliser_SourceData.Fertiliser_FractionNCommonFertilisers_Data(), Table2[[#Headers],[Fertiliser type f]], 0)</f>
        <v>0.18</v>
      </c>
      <c r="Q21" s="37" t="str" cm="1">
        <f t="array" ref="Q21">Common_InputFunctions.Utility_DisplayArrayInTable(Fertiliser_SourceData.Fertiliser_FractionUreaCommonFertilisers_Data(), Table28[[#Headers],[Fertiliser type f]], 0)</f>
        <v>Diammonium phosphate (DAP)</v>
      </c>
      <c r="R21" s="37" cm="1">
        <f t="array" ref="R21">Common_InputFunctions.Utility_DisplayArrayInTable(Fertiliser_SourceData.Fertiliser_FractionUreaCommonFertilisers_Data(), Table28[[#Headers],[Fertiliser type f]], 0)</f>
        <v>0</v>
      </c>
      <c r="V21" s="37"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D22" s="111" t="str" cm="1">
        <f t="array" ref="D22">Common_InputFunctions.Utility_DisplayArrayInTable(Fertiliser_SourceData.Fertiliser_ChemicalCompoundElements_Data(),Table_Fertiliser_ChemicalCompounds[[#Headers],[Fertiliser type f]], 0)</f>
        <v>Urea</v>
      </c>
      <c r="E22" s="111" cm="1">
        <f t="array" ref="E22">Common_InputFunctions.Utility_DisplayArrayInTable(Fertiliser_SourceData.Fertiliser_ChemicalCompoundElements_Data(),Table_Fertiliser_ChemicalCompounds[[#Headers],[Fertiliser type f]], 0)</f>
        <v>0.46</v>
      </c>
      <c r="F22" s="111" cm="1">
        <f t="array" ref="F22">Common_InputFunctions.Utility_DisplayArrayInTable(Fertiliser_SourceData.Fertiliser_ChemicalCompoundElements_Data(),Table_Fertiliser_ChemicalCompounds[[#Headers],[Fertiliser type f]], 0)</f>
        <v>1</v>
      </c>
      <c r="G22" s="111" t="str" cm="1">
        <f t="array" ref="G22">Common_InputFunctions.Utility_DisplayArrayInTable(Fertiliser_SourceData.Fertiliser_ChemicalCompoundElements_Data(),Table_Fertiliser_ChemicalCompounds[[#Headers],[Fertiliser type f]], 0)</f>
        <v>Urea-based fertilisers</v>
      </c>
      <c r="H22" s="111" t="str" cm="1">
        <f t="array" ref="H22">Common_InputFunctions.Utility_DisplayArrayInTable(Fertiliser_SourceData.Fertiliser_ChemicalCompoundElements_Data(),Table_Fertiliser_ChemicalCompounds[[#Headers],[Fertiliser type f]], 0)</f>
        <v>Urea</v>
      </c>
      <c r="I22" s="111" t="str" cm="1">
        <f t="array" ref="I22">Common_InputFunctions.Utility_DisplayArrayInTable(Fertiliser_SourceData.Fertiliser_ChemicalCompoundElements_Data(),Table_Fertiliser_ChemicalCompounds[[#Headers],[Fertiliser type f]], 0)</f>
        <v>VEERG</v>
      </c>
      <c r="K22" s="37" t="str" cm="1">
        <f t="array" ref="K22">Common_InputFunctions.Utility_DisplayArrayInTable(Fertiliser_SourceData.Fertiliser_FractionNCommonFertilisers_Data(), Table2[[#Headers],[Fertiliser type f]], 0)</f>
        <v>Urea</v>
      </c>
      <c r="L22" s="37" cm="1">
        <f t="array" ref="L22">Common_InputFunctions.Utility_DisplayArrayInTable(Fertiliser_SourceData.Fertiliser_FractionNCommonFertilisers_Data(), Table2[[#Headers],[Fertiliser type f]], 0)</f>
        <v>0.46</v>
      </c>
      <c r="Q22" s="37" t="str" cm="1">
        <f t="array" ref="Q22">Common_InputFunctions.Utility_DisplayArrayInTable(Fertiliser_SourceData.Fertiliser_FractionUreaCommonFertilisers_Data(), Table28[[#Headers],[Fertiliser type f]], 0)</f>
        <v>Urea</v>
      </c>
      <c r="R22" s="37" cm="1">
        <f t="array" ref="R22">Common_InputFunctions.Utility_DisplayArrayInTable(Fertiliser_SourceData.Fertiliser_FractionUreaCommonFertilisers_Data(), Table28[[#Headers],[Fertiliser type f]], 0)</f>
        <v>1</v>
      </c>
      <c r="V22" s="37"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17"/>
      <c r="D23" s="111" t="str" cm="1">
        <f t="array" ref="D23">Common_InputFunctions.Utility_DisplayArrayInTable(Fertiliser_SourceData.Fertiliser_ChemicalCompoundElements_Data(),Table_Fertiliser_ChemicalCompounds[[#Headers],[Fertiliser type f]], 0)</f>
        <v>Sulphate of ammonia (SOA)</v>
      </c>
      <c r="E23" s="111" cm="1">
        <f t="array" ref="E23">Common_InputFunctions.Utility_DisplayArrayInTable(Fertiliser_SourceData.Fertiliser_ChemicalCompoundElements_Data(),Table_Fertiliser_ChemicalCompounds[[#Headers],[Fertiliser type f]], 0)</f>
        <v>0.21</v>
      </c>
      <c r="F23" s="111" cm="1">
        <f t="array" ref="F23">Common_InputFunctions.Utility_DisplayArrayInTable(Fertiliser_SourceData.Fertiliser_ChemicalCompoundElements_Data(),Table_Fertiliser_ChemicalCompounds[[#Headers],[Fertiliser type f]], 0)</f>
        <v>0</v>
      </c>
      <c r="G23" s="111" t="str" cm="1">
        <f t="array" ref="G23">Common_InputFunctions.Utility_DisplayArrayInTable(Fertiliser_SourceData.Fertiliser_ChemicalCompoundElements_Data(),Table_Fertiliser_ChemicalCompounds[[#Headers],[Fertiliser type f]], 0)</f>
        <v>Ammonium-based fertilisers</v>
      </c>
      <c r="H23" s="111" t="str" cm="1">
        <f t="array" ref="H23">Common_InputFunctions.Utility_DisplayArrayInTable(Fertiliser_SourceData.Fertiliser_ChemicalCompoundElements_Data(),Table_Fertiliser_ChemicalCompounds[[#Headers],[Fertiliser type f]], 0)</f>
        <v>Sulphate of ammonia (SOA)</v>
      </c>
      <c r="I23" s="111" t="str" cm="1">
        <f t="array" ref="I23">Common_InputFunctions.Utility_DisplayArrayInTable(Fertiliser_SourceData.Fertiliser_ChemicalCompoundElements_Data(),Table_Fertiliser_ChemicalCompounds[[#Headers],[Fertiliser type f]], 0)</f>
        <v>VEERG</v>
      </c>
      <c r="K23" s="37" t="str" cm="1">
        <f t="array" ref="K23">Common_InputFunctions.Utility_DisplayArrayInTable(Fertiliser_SourceData.Fertiliser_FractionNCommonFertilisers_Data(), Table2[[#Headers],[Fertiliser type f]], 0)</f>
        <v>Sulphate of ammonia (SOA)</v>
      </c>
      <c r="L23" s="37" cm="1">
        <f t="array" ref="L23">Common_InputFunctions.Utility_DisplayArrayInTable(Fertiliser_SourceData.Fertiliser_FractionNCommonFertilisers_Data(), Table2[[#Headers],[Fertiliser type f]], 0)</f>
        <v>0.21</v>
      </c>
      <c r="Q23" s="37" t="str" cm="1">
        <f t="array" ref="Q23">Common_InputFunctions.Utility_DisplayArrayInTable(Fertiliser_SourceData.Fertiliser_FractionUreaCommonFertilisers_Data(), Table28[[#Headers],[Fertiliser type f]], 0)</f>
        <v>Sulphate of ammonia (SOA)</v>
      </c>
      <c r="R23" s="37" cm="1">
        <f t="array" ref="R23">Common_InputFunctions.Utility_DisplayArrayInTable(Fertiliser_SourceData.Fertiliser_FractionUreaCommonFertilisers_Data(), Table28[[#Headers],[Fertiliser type f]], 0)</f>
        <v>0</v>
      </c>
      <c r="V23" s="37"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D24" s="111" t="str" cm="1">
        <f t="array" ref="D24">Common_InputFunctions.Utility_DisplayArrayInTable(Fertiliser_SourceData.Fertiliser_ChemicalCompoundElements_Data(),Table_Fertiliser_ChemicalCompounds[[#Headers],[Fertiliser type f]], 0)</f>
        <v>Urea-ammonium nitrate (UAN)</v>
      </c>
      <c r="E24" s="111" cm="1">
        <f t="array" ref="E24">Common_InputFunctions.Utility_DisplayArrayInTable(Fertiliser_SourceData.Fertiliser_ChemicalCompoundElements_Data(),Table_Fertiliser_ChemicalCompounds[[#Headers],[Fertiliser type f]], 0)</f>
        <v>0.32</v>
      </c>
      <c r="F24" s="111" cm="1">
        <f t="array" ref="F24">Common_InputFunctions.Utility_DisplayArrayInTable(Fertiliser_SourceData.Fertiliser_ChemicalCompoundElements_Data(),Table_Fertiliser_ChemicalCompounds[[#Headers],[Fertiliser type f]], 0)</f>
        <v>0.35</v>
      </c>
      <c r="G24" s="111" t="str" cm="1">
        <f t="array" ref="G24">Common_InputFunctions.Utility_DisplayArrayInTable(Fertiliser_SourceData.Fertiliser_ChemicalCompoundElements_Data(),Table_Fertiliser_ChemicalCompounds[[#Headers],[Fertiliser type f]], 0)</f>
        <v>Urea-based fertilisers</v>
      </c>
      <c r="H24" s="111" t="str" cm="1">
        <f t="array" ref="H24">Common_InputFunctions.Utility_DisplayArrayInTable(Fertiliser_SourceData.Fertiliser_ChemicalCompoundElements_Data(),Table_Fertiliser_ChemicalCompounds[[#Headers],[Fertiliser type f]], 0)</f>
        <v>Urea-ammonium nitrate (UAN)</v>
      </c>
      <c r="I24" s="111" t="str" cm="1">
        <f t="array" ref="I24">Common_InputFunctions.Utility_DisplayArrayInTable(Fertiliser_SourceData.Fertiliser_ChemicalCompoundElements_Data(),Table_Fertiliser_ChemicalCompounds[[#Headers],[Fertiliser type f]], 0)</f>
        <v>VEERG</v>
      </c>
      <c r="K24" s="37" t="str" cm="1">
        <f t="array" ref="K24">Common_InputFunctions.Utility_DisplayArrayInTable(Fertiliser_SourceData.Fertiliser_FractionNCommonFertilisers_Data(), Table2[[#Headers],[Fertiliser type f]], 0)</f>
        <v>Urea-ammonium nitrate (UAN)</v>
      </c>
      <c r="L24" s="37" cm="1">
        <f t="array" ref="L24">Common_InputFunctions.Utility_DisplayArrayInTable(Fertiliser_SourceData.Fertiliser_FractionNCommonFertilisers_Data(), Table2[[#Headers],[Fertiliser type f]], 0)</f>
        <v>0.32</v>
      </c>
      <c r="Q24" s="37" t="str" cm="1">
        <f t="array" ref="Q24">Common_InputFunctions.Utility_DisplayArrayInTable(Fertiliser_SourceData.Fertiliser_FractionUreaCommonFertilisers_Data(), Table28[[#Headers],[Fertiliser type f]], 0)</f>
        <v>Urea-ammonium nitrate (UAN)</v>
      </c>
      <c r="R24" s="37" cm="1">
        <f t="array" ref="R24">Common_InputFunctions.Utility_DisplayArrayInTable(Fertiliser_SourceData.Fertiliser_FractionUreaCommonFertilisers_Data(), Table28[[#Headers],[Fertiliser type f]], 0)</f>
        <v>0.35</v>
      </c>
    </row>
    <row r="25" spans="1:22" ht="20.100000000000001" customHeight="1" x14ac:dyDescent="0.25">
      <c r="D25" s="111" t="str" cm="1">
        <f t="array" ref="D25">Common_InputFunctions.Utility_DisplayArrayInTable(Fertiliser_SourceData.Fertiliser_ChemicalCompoundElements_Data(),Table_Fertiliser_ChemicalCompounds[[#Headers],[Fertiliser type f]], 0)</f>
        <v>Ammonium nitrate (AN)</v>
      </c>
      <c r="E25" s="111" cm="1">
        <f t="array" ref="E25">Common_InputFunctions.Utility_DisplayArrayInTable(Fertiliser_SourceData.Fertiliser_ChemicalCompoundElements_Data(),Table_Fertiliser_ChemicalCompounds[[#Headers],[Fertiliser type f]], 0)</f>
        <v>0.33700000000000002</v>
      </c>
      <c r="F25" s="111" cm="1">
        <f t="array" ref="F25">Common_InputFunctions.Utility_DisplayArrayInTable(Fertiliser_SourceData.Fertiliser_ChemicalCompoundElements_Data(),Table_Fertiliser_ChemicalCompounds[[#Headers],[Fertiliser type f]], 0)</f>
        <v>0</v>
      </c>
      <c r="G25" s="111" t="str" cm="1">
        <f t="array" ref="G25">Common_InputFunctions.Utility_DisplayArrayInTable(Fertiliser_SourceData.Fertiliser_ChemicalCompoundElements_Data(),Table_Fertiliser_ChemicalCompounds[[#Headers],[Fertiliser type f]], 0)</f>
        <v>Ammonium-nitrate based fertilisers</v>
      </c>
      <c r="H25" s="111" t="str" cm="1">
        <f t="array" ref="H25">Common_InputFunctions.Utility_DisplayArrayInTable(Fertiliser_SourceData.Fertiliser_ChemicalCompoundElements_Data(),Table_Fertiliser_ChemicalCompounds[[#Headers],[Fertiliser type f]], 0)</f>
        <v>Ammonium nitrate (AN)</v>
      </c>
      <c r="I25" s="111" t="str" cm="1">
        <f t="array" ref="I25">Common_InputFunctions.Utility_DisplayArrayInTable(Fertiliser_SourceData.Fertiliser_ChemicalCompoundElements_Data(),Table_Fertiliser_ChemicalCompounds[[#Headers],[Fertiliser type f]], 0)</f>
        <v>VEERG</v>
      </c>
      <c r="K25" s="37" t="str" cm="1">
        <f t="array" ref="K25">Common_InputFunctions.Utility_DisplayArrayInTable(Fertiliser_SourceData.Fertiliser_FractionNCommonFertilisers_Data(), Table2[[#Headers],[Fertiliser type f]], 0)</f>
        <v>Ammonium nitrate (AN)</v>
      </c>
      <c r="L25" s="37" cm="1">
        <f t="array" ref="L25">Common_InputFunctions.Utility_DisplayArrayInTable(Fertiliser_SourceData.Fertiliser_FractionNCommonFertilisers_Data(), Table2[[#Headers],[Fertiliser type f]], 0)</f>
        <v>0.33700000000000002</v>
      </c>
      <c r="Q25" s="37" t="str" cm="1">
        <f t="array" ref="Q25">Common_InputFunctions.Utility_DisplayArrayInTable(Fertiliser_SourceData.Fertiliser_FractionUreaCommonFertilisers_Data(), Table28[[#Headers],[Fertiliser type f]], 0)</f>
        <v>Ammonium nitrate (AN)</v>
      </c>
      <c r="R25" s="37" cm="1">
        <f t="array" ref="R25">Common_InputFunctions.Utility_DisplayArrayInTable(Fertiliser_SourceData.Fertiliser_FractionUreaCommonFertilisers_Data(), Table28[[#Headers],[Fertiliser type f]], 0)</f>
        <v>0</v>
      </c>
    </row>
    <row r="26" spans="1:22" ht="20.100000000000001" customHeight="1" x14ac:dyDescent="0.25">
      <c r="D26" s="111" t="str" cm="1">
        <f t="array" ref="D26">Common_InputFunctions.Utility_DisplayArrayInTable(Fertiliser_SourceData.Fertiliser_ChemicalCompoundElements_Data(),Table_Fertiliser_ChemicalCompounds[[#Headers],[Fertiliser type f]], 0)</f>
        <v>Calcium ammonium nitrate (CAN)</v>
      </c>
      <c r="E26" s="111" cm="1">
        <f t="array" ref="E26">Common_InputFunctions.Utility_DisplayArrayInTable(Fertiliser_SourceData.Fertiliser_ChemicalCompoundElements_Data(),Table_Fertiliser_ChemicalCompounds[[#Headers],[Fertiliser type f]], 0)</f>
        <v>0.27</v>
      </c>
      <c r="F26" s="111" cm="1">
        <f t="array" ref="F26">Common_InputFunctions.Utility_DisplayArrayInTable(Fertiliser_SourceData.Fertiliser_ChemicalCompoundElements_Data(),Table_Fertiliser_ChemicalCompounds[[#Headers],[Fertiliser type f]], 0)</f>
        <v>0</v>
      </c>
      <c r="G26" s="111" t="str" cm="1">
        <f t="array" ref="G26">Common_InputFunctions.Utility_DisplayArrayInTable(Fertiliser_SourceData.Fertiliser_ChemicalCompoundElements_Data(),Table_Fertiliser_ChemicalCompounds[[#Headers],[Fertiliser type f]], 0)</f>
        <v>Ammonium-nitrate based fertilisers</v>
      </c>
      <c r="H26" s="111" t="str" cm="1">
        <f t="array" ref="H26">Common_InputFunctions.Utility_DisplayArrayInTable(Fertiliser_SourceData.Fertiliser_ChemicalCompoundElements_Data(),Table_Fertiliser_ChemicalCompounds[[#Headers],[Fertiliser type f]], 0)</f>
        <v>Calcium ammonium nitrate (CAN)</v>
      </c>
      <c r="I26" s="111" t="str" cm="1">
        <f t="array" ref="I26">Common_InputFunctions.Utility_DisplayArrayInTable(Fertiliser_SourceData.Fertiliser_ChemicalCompoundElements_Data(),Table_Fertiliser_ChemicalCompounds[[#Headers],[Fertiliser type f]], 0)</f>
        <v>VEERG</v>
      </c>
      <c r="K26" s="37" t="str" cm="1">
        <f t="array" ref="K26">Common_InputFunctions.Utility_DisplayArrayInTable(Fertiliser_SourceData.Fertiliser_FractionNCommonFertilisers_Data(), Table2[[#Headers],[Fertiliser type f]], 0)</f>
        <v>Calcium ammonium nitrate (CAN)</v>
      </c>
      <c r="L26" s="37" cm="1">
        <f t="array" ref="L26">Common_InputFunctions.Utility_DisplayArrayInTable(Fertiliser_SourceData.Fertiliser_FractionNCommonFertilisers_Data(), Table2[[#Headers],[Fertiliser type f]], 0)</f>
        <v>0.27</v>
      </c>
      <c r="Q26" s="37" t="str" cm="1">
        <f t="array" ref="Q26">Common_InputFunctions.Utility_DisplayArrayInTable(Fertiliser_SourceData.Fertiliser_FractionUreaCommonFertilisers_Data(), Table28[[#Headers],[Fertiliser type f]], 0)</f>
        <v>Calcium ammonium nitrate (CAN)</v>
      </c>
      <c r="R26" s="37" cm="1">
        <f t="array" ref="R26">Common_InputFunctions.Utility_DisplayArrayInTable(Fertiliser_SourceData.Fertiliser_FractionUreaCommonFertilisers_Data(), Table28[[#Headers],[Fertiliser type f]], 0)</f>
        <v>0</v>
      </c>
    </row>
    <row r="27" spans="1:22" ht="20.100000000000001" customHeight="1" x14ac:dyDescent="0.25">
      <c r="D27" s="111" t="str" cm="1">
        <f t="array" ref="D27">Common_InputFunctions.Utility_DisplayArrayInTable(Fertiliser_SourceData.Fertiliser_ChemicalCompoundElements_Data(),Table_Fertiliser_ChemicalCompounds[[#Headers],[Fertiliser type f]], 0)</f>
        <v>Nitrogen - Ammoniacal</v>
      </c>
      <c r="E27" s="111" cm="1">
        <f t="array" ref="E27">Common_InputFunctions.Utility_DisplayArrayInTable(Fertiliser_SourceData.Fertiliser_ChemicalCompoundElements_Data(),Table_Fertiliser_ChemicalCompounds[[#Headers],[Fertiliser type f]], 0)</f>
        <v>1</v>
      </c>
      <c r="F27" s="111" cm="1">
        <f t="array" ref="F27">Common_InputFunctions.Utility_DisplayArrayInTable(Fertiliser_SourceData.Fertiliser_ChemicalCompoundElements_Data(),Table_Fertiliser_ChemicalCompounds[[#Headers],[Fertiliser type f]], 0)</f>
        <v>0</v>
      </c>
      <c r="G27" s="111" t="str" cm="1">
        <f t="array" ref="G27">Common_InputFunctions.Utility_DisplayArrayInTable(Fertiliser_SourceData.Fertiliser_ChemicalCompoundElements_Data(),Table_Fertiliser_ChemicalCompounds[[#Headers],[Fertiliser type f]], 0)</f>
        <v>Ammonium-based fertilisers</v>
      </c>
      <c r="H27" s="111" t="str" cm="1">
        <f t="array" ref="H27">Common_InputFunctions.Utility_DisplayArrayInTable(Fertiliser_SourceData.Fertiliser_ChemicalCompoundElements_Data(),Table_Fertiliser_ChemicalCompounds[[#Headers],[Fertiliser type f]], 0)</f>
        <v>Nitrogen - Ammoniacal</v>
      </c>
      <c r="I27" s="111" t="str" cm="1">
        <f t="array" ref="I27">Common_InputFunctions.Utility_DisplayArrayInTable(Fertiliser_SourceData.Fertiliser_ChemicalCompoundElements_Data(),Table_Fertiliser_ChemicalCompounds[[#Headers],[Fertiliser type f]], 0)</f>
        <v>LifeCycles</v>
      </c>
      <c r="K27" s="37" t="str" cm="1">
        <f t="array" ref="K27">Common_InputFunctions.Utility_DisplayArrayInTable(Fertiliser_SourceData.Fertiliser_FractionNCommonFertilisers_Data(), Table2[[#Headers],[Fertiliser type f]], 0)</f>
        <v>Ammonium Sulfate</v>
      </c>
      <c r="L27" s="37" cm="1">
        <f t="array" ref="L27">Common_InputFunctions.Utility_DisplayArrayInTable(Fertiliser_SourceData.Fertiliser_FractionNCommonFertilisers_Data(), Table2[[#Headers],[Fertiliser type f]], 0)</f>
        <v>0.21</v>
      </c>
      <c r="Q27" s="37" t="str" cm="1">
        <f t="array" ref="Q27">Common_InputFunctions.Utility_DisplayArrayInTable(Fertiliser_SourceData.Fertiliser_FractionUreaCommonFertilisers_Data(), Table28[[#Headers],[Fertiliser type f]], 0)</f>
        <v>Ammonium Sulfate</v>
      </c>
      <c r="R27" s="37" cm="1">
        <f t="array" ref="R27">Common_InputFunctions.Utility_DisplayArrayInTable(Fertiliser_SourceData.Fertiliser_FractionUreaCommonFertilisers_Data(), Table28[[#Headers],[Fertiliser type f]], 0)</f>
        <v>0</v>
      </c>
    </row>
    <row r="28" spans="1:22" ht="20.100000000000001" customHeight="1" x14ac:dyDescent="0.25">
      <c r="D28" s="111" t="str" cm="1">
        <f t="array" ref="D28">Common_InputFunctions.Utility_DisplayArrayInTable(Fertiliser_SourceData.Fertiliser_ChemicalCompoundElements_Data(),Table_Fertiliser_ChemicalCompounds[[#Headers],[Fertiliser type f]], 0)</f>
        <v>Nitrogen - Nitrate</v>
      </c>
      <c r="E28" s="111" cm="1">
        <f t="array" ref="E28">Common_InputFunctions.Utility_DisplayArrayInTable(Fertiliser_SourceData.Fertiliser_ChemicalCompoundElements_Data(),Table_Fertiliser_ChemicalCompounds[[#Headers],[Fertiliser type f]], 0)</f>
        <v>1</v>
      </c>
      <c r="F28" s="111" cm="1">
        <f t="array" ref="F28">Common_InputFunctions.Utility_DisplayArrayInTable(Fertiliser_SourceData.Fertiliser_ChemicalCompoundElements_Data(),Table_Fertiliser_ChemicalCompounds[[#Headers],[Fertiliser type f]], 0)</f>
        <v>0</v>
      </c>
      <c r="G28" s="111" t="str" cm="1">
        <f t="array" ref="G28">Common_InputFunctions.Utility_DisplayArrayInTable(Fertiliser_SourceData.Fertiliser_ChemicalCompoundElements_Data(),Table_Fertiliser_ChemicalCompounds[[#Headers],[Fertiliser type f]], 0)</f>
        <v>Nitrate-based fertilisers</v>
      </c>
      <c r="H28" s="111" t="str" cm="1">
        <f t="array" ref="H28">Common_InputFunctions.Utility_DisplayArrayInTable(Fertiliser_SourceData.Fertiliser_ChemicalCompoundElements_Data(),Table_Fertiliser_ChemicalCompounds[[#Headers],[Fertiliser type f]], 0)</f>
        <v>Nitrogen from Nitrate</v>
      </c>
      <c r="I28" s="111" t="str" cm="1">
        <f t="array" ref="I28">Common_InputFunctions.Utility_DisplayArrayInTable(Fertiliser_SourceData.Fertiliser_ChemicalCompoundElements_Data(),Table_Fertiliser_ChemicalCompounds[[#Headers],[Fertiliser type f]], 0)</f>
        <v>LifeCycles</v>
      </c>
      <c r="K28" s="37" t="str" cm="1">
        <f t="array" ref="K28">Common_InputFunctions.Utility_DisplayArrayInTable(Fertiliser_SourceData.Fertiliser_FractionNCommonFertilisers_Data(), Table2[[#Headers],[Fertiliser type f]], 0)</f>
        <v>Calcium Nitrate</v>
      </c>
      <c r="L28" s="37" cm="1">
        <f t="array" ref="L28">Common_InputFunctions.Utility_DisplayArrayInTable(Fertiliser_SourceData.Fertiliser_FractionNCommonFertilisers_Data(), Table2[[#Headers],[Fertiliser type f]], 0)</f>
        <v>0.155</v>
      </c>
      <c r="Q28" s="37" t="str" cm="1">
        <f t="array" ref="Q28">Common_InputFunctions.Utility_DisplayArrayInTable(Fertiliser_SourceData.Fertiliser_FractionUreaCommonFertilisers_Data(), Table28[[#Headers],[Fertiliser type f]], 0)</f>
        <v>Calcium Nitrate</v>
      </c>
      <c r="R28" s="37" cm="1">
        <f t="array" ref="R28">Common_InputFunctions.Utility_DisplayArrayInTable(Fertiliser_SourceData.Fertiliser_FractionUreaCommonFertilisers_Data(), Table28[[#Headers],[Fertiliser type f]], 0)</f>
        <v>0</v>
      </c>
    </row>
    <row r="29" spans="1:22" ht="20.100000000000001" customHeight="1" x14ac:dyDescent="0.25">
      <c r="D29" s="111" t="str" cm="1">
        <f t="array" ref="D29">Common_InputFunctions.Utility_DisplayArrayInTable(Fertiliser_SourceData.Fertiliser_ChemicalCompoundElements_Data(),Table_Fertiliser_ChemicalCompounds[[#Headers],[Fertiliser type f]], 0)</f>
        <v>Nitrogen - Generic</v>
      </c>
      <c r="E29" s="111" cm="1">
        <f t="array" ref="E29">Common_InputFunctions.Utility_DisplayArrayInTable(Fertiliser_SourceData.Fertiliser_ChemicalCompoundElements_Data(),Table_Fertiliser_ChemicalCompounds[[#Headers],[Fertiliser type f]], 0)</f>
        <v>1</v>
      </c>
      <c r="F29" s="111" cm="1">
        <f t="array" ref="F29">Common_InputFunctions.Utility_DisplayArrayInTable(Fertiliser_SourceData.Fertiliser_ChemicalCompoundElements_Data(),Table_Fertiliser_ChemicalCompounds[[#Headers],[Fertiliser type f]], 0)</f>
        <v>0</v>
      </c>
      <c r="G29" s="111" t="str" cm="1">
        <f t="array" ref="G29">Common_InputFunctions.Utility_DisplayArrayInTable(Fertiliser_SourceData.Fertiliser_ChemicalCompoundElements_Data(),Table_Fertiliser_ChemicalCompounds[[#Headers],[Fertiliser type f]], 0)</f>
        <v>Urea-based fertilisers</v>
      </c>
      <c r="H29" s="111" t="str" cm="1">
        <f t="array" ref="H29">Common_InputFunctions.Utility_DisplayArrayInTable(Fertiliser_SourceData.Fertiliser_ChemicalCompoundElements_Data(),Table_Fertiliser_ChemicalCompounds[[#Headers],[Fertiliser type f]], 0)</f>
        <v>Nitrogen from fertiliser</v>
      </c>
      <c r="I29" s="111"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D30" s="111" t="str" cm="1">
        <f t="array" ref="D30">Common_InputFunctions.Utility_DisplayArrayInTable(Fertiliser_SourceData.Fertiliser_ChemicalCompoundElements_Data(),Table_Fertiliser_ChemicalCompounds[[#Headers],[Fertiliser type f]], 0)</f>
        <v>Phosphorus - Generic</v>
      </c>
      <c r="E30" s="111" cm="1">
        <f t="array" ref="E30">Common_InputFunctions.Utility_DisplayArrayInTable(Fertiliser_SourceData.Fertiliser_ChemicalCompoundElements_Data(),Table_Fertiliser_ChemicalCompounds[[#Headers],[Fertiliser type f]], 0)</f>
        <v>0</v>
      </c>
      <c r="F30" s="111" cm="1">
        <f t="array" ref="F30">Common_InputFunctions.Utility_DisplayArrayInTable(Fertiliser_SourceData.Fertiliser_ChemicalCompoundElements_Data(),Table_Fertiliser_ChemicalCompounds[[#Headers],[Fertiliser type f]], 0)</f>
        <v>0</v>
      </c>
      <c r="G30" s="111" t="str" cm="1">
        <f t="array" ref="G30">Common_InputFunctions.Utility_DisplayArrayInTable(Fertiliser_SourceData.Fertiliser_ChemicalCompoundElements_Data(),Table_Fertiliser_ChemicalCompounds[[#Headers],[Fertiliser type f]], 0)</f>
        <v>Other fertilisers</v>
      </c>
      <c r="H30" s="111" t="str" cm="1">
        <f t="array" ref="H30">Common_InputFunctions.Utility_DisplayArrayInTable(Fertiliser_SourceData.Fertiliser_ChemicalCompoundElements_Data(),Table_Fertiliser_ChemicalCompounds[[#Headers],[Fertiliser type f]], 0)</f>
        <v>Phosphorus from fertiliser</v>
      </c>
      <c r="I30" s="111"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D31" s="111" t="str" cm="1">
        <f t="array" ref="D31">Common_InputFunctions.Utility_DisplayArrayInTable(Fertiliser_SourceData.Fertiliser_ChemicalCompoundElements_Data(),Table_Fertiliser_ChemicalCompounds[[#Headers],[Fertiliser type f]], 0)</f>
        <v>Potassium - Generic</v>
      </c>
      <c r="E31" s="111" cm="1">
        <f t="array" ref="E31">Common_InputFunctions.Utility_DisplayArrayInTable(Fertiliser_SourceData.Fertiliser_ChemicalCompoundElements_Data(),Table_Fertiliser_ChemicalCompounds[[#Headers],[Fertiliser type f]], 0)</f>
        <v>0</v>
      </c>
      <c r="F31" s="111" cm="1">
        <f t="array" ref="F31">Common_InputFunctions.Utility_DisplayArrayInTable(Fertiliser_SourceData.Fertiliser_ChemicalCompoundElements_Data(),Table_Fertiliser_ChemicalCompounds[[#Headers],[Fertiliser type f]], 0)</f>
        <v>0</v>
      </c>
      <c r="G31" s="111" t="str" cm="1">
        <f t="array" ref="G31">Common_InputFunctions.Utility_DisplayArrayInTable(Fertiliser_SourceData.Fertiliser_ChemicalCompoundElements_Data(),Table_Fertiliser_ChemicalCompounds[[#Headers],[Fertiliser type f]], 0)</f>
        <v>Other fertilisers</v>
      </c>
      <c r="H31" s="111" t="str" cm="1">
        <f t="array" ref="H31">Common_InputFunctions.Utility_DisplayArrayInTable(Fertiliser_SourceData.Fertiliser_ChemicalCompoundElements_Data(),Table_Fertiliser_ChemicalCompounds[[#Headers],[Fertiliser type f]], 0)</f>
        <v>Potassium from fertiliser</v>
      </c>
      <c r="I31" s="111"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D32" s="111" t="str" cm="1">
        <f t="array" ref="D32">Common_InputFunctions.Utility_DisplayArrayInTable(Fertiliser_SourceData.Fertiliser_ChemicalCompoundElements_Data(),Table_Fertiliser_ChemicalCompounds[[#Headers],[Fertiliser type f]], 0)</f>
        <v>Sulfur - Generic</v>
      </c>
      <c r="E32" s="111" cm="1">
        <f t="array" ref="E32">Common_InputFunctions.Utility_DisplayArrayInTable(Fertiliser_SourceData.Fertiliser_ChemicalCompoundElements_Data(),Table_Fertiliser_ChemicalCompounds[[#Headers],[Fertiliser type f]], 0)</f>
        <v>0</v>
      </c>
      <c r="F32" s="111" cm="1">
        <f t="array" ref="F32">Common_InputFunctions.Utility_DisplayArrayInTable(Fertiliser_SourceData.Fertiliser_ChemicalCompoundElements_Data(),Table_Fertiliser_ChemicalCompounds[[#Headers],[Fertiliser type f]], 0)</f>
        <v>0</v>
      </c>
      <c r="G32" s="111" t="str" cm="1">
        <f t="array" ref="G32">Common_InputFunctions.Utility_DisplayArrayInTable(Fertiliser_SourceData.Fertiliser_ChemicalCompoundElements_Data(),Table_Fertiliser_ChemicalCompounds[[#Headers],[Fertiliser type f]], 0)</f>
        <v>Other fertilisers</v>
      </c>
      <c r="H32" s="111" t="str" cm="1">
        <f t="array" ref="H32">Common_InputFunctions.Utility_DisplayArrayInTable(Fertiliser_SourceData.Fertiliser_ChemicalCompoundElements_Data(),Table_Fertiliser_ChemicalCompounds[[#Headers],[Fertiliser type f]], 0)</f>
        <v>Sulfur from fertiliser</v>
      </c>
      <c r="I32" s="111" t="str" cm="1">
        <f t="array" ref="I32">Common_InputFunctions.Utility_DisplayArrayInTable(Fertiliser_SourceData.Fertiliser_ChemicalCompoundElements_Data(),Table_Fertiliser_ChemicalCompounds[[#Headers],[Fertiliser type f]], 0)</f>
        <v>LifeCycles</v>
      </c>
    </row>
    <row r="33" spans="4:10" ht="20.100000000000001" customHeight="1" x14ac:dyDescent="0.25">
      <c r="D33" s="111" t="str" cm="1">
        <f t="array" ref="D33">Common_InputFunctions.Utility_DisplayArrayInTable(Fertiliser_SourceData.Fertiliser_ChemicalCompoundElements_Data(),Table_Fertiliser_ChemicalCompounds[[#Headers],[Fertiliser type f]], 0)</f>
        <v>Zinc - Generic</v>
      </c>
      <c r="E33" s="111" cm="1">
        <f t="array" ref="E33">Common_InputFunctions.Utility_DisplayArrayInTable(Fertiliser_SourceData.Fertiliser_ChemicalCompoundElements_Data(),Table_Fertiliser_ChemicalCompounds[[#Headers],[Fertiliser type f]], 0)</f>
        <v>0</v>
      </c>
      <c r="F33" s="111" cm="1">
        <f t="array" ref="F33">Common_InputFunctions.Utility_DisplayArrayInTable(Fertiliser_SourceData.Fertiliser_ChemicalCompoundElements_Data(),Table_Fertiliser_ChemicalCompounds[[#Headers],[Fertiliser type f]], 0)</f>
        <v>0</v>
      </c>
      <c r="G33" s="111" t="str" cm="1">
        <f t="array" ref="G33">Common_InputFunctions.Utility_DisplayArrayInTable(Fertiliser_SourceData.Fertiliser_ChemicalCompoundElements_Data(),Table_Fertiliser_ChemicalCompounds[[#Headers],[Fertiliser type f]], 0)</f>
        <v>Other fertilisers</v>
      </c>
      <c r="H33" s="111" t="str" cm="1">
        <f t="array" ref="H33">Common_InputFunctions.Utility_DisplayArrayInTable(Fertiliser_SourceData.Fertiliser_ChemicalCompoundElements_Data(),Table_Fertiliser_ChemicalCompounds[[#Headers],[Fertiliser type f]], 0)</f>
        <v>Zinc from fertiliser</v>
      </c>
      <c r="I33" s="111" t="str" cm="1">
        <f t="array" ref="I33">Common_InputFunctions.Utility_DisplayArrayInTable(Fertiliser_SourceData.Fertiliser_ChemicalCompoundElements_Data(),Table_Fertiliser_ChemicalCompounds[[#Headers],[Fertiliser type f]], 0)</f>
        <v>LifeCycles</v>
      </c>
    </row>
    <row r="34" spans="4:10" ht="20.100000000000001" customHeight="1" x14ac:dyDescent="0.25">
      <c r="D34" s="111" t="str" cm="1">
        <f t="array" ref="D34">Common_InputFunctions.Utility_DisplayArrayInTable(Fertiliser_SourceData.Fertiliser_ChemicalCompoundElements_Data(),Table_Fertiliser_ChemicalCompounds[[#Headers],[Fertiliser type f]], 0)</f>
        <v>Muriate of potash (MOP)</v>
      </c>
      <c r="E34" s="111" cm="1">
        <f t="array" ref="E34">Common_InputFunctions.Utility_DisplayArrayInTable(Fertiliser_SourceData.Fertiliser_ChemicalCompoundElements_Data(),Table_Fertiliser_ChemicalCompounds[[#Headers],[Fertiliser type f]], 0)</f>
        <v>0</v>
      </c>
      <c r="F34" s="111" cm="1">
        <f t="array" ref="F34">Common_InputFunctions.Utility_DisplayArrayInTable(Fertiliser_SourceData.Fertiliser_ChemicalCompoundElements_Data(),Table_Fertiliser_ChemicalCompounds[[#Headers],[Fertiliser type f]], 0)</f>
        <v>0</v>
      </c>
      <c r="G34" s="111" t="str" cm="1">
        <f t="array" ref="G34">Common_InputFunctions.Utility_DisplayArrayInTable(Fertiliser_SourceData.Fertiliser_ChemicalCompoundElements_Data(),Table_Fertiliser_ChemicalCompounds[[#Headers],[Fertiliser type f]], 0)</f>
        <v>Other fertilisers</v>
      </c>
      <c r="H34" s="111" t="str" cm="1">
        <f t="array" ref="H34">Common_InputFunctions.Utility_DisplayArrayInTable(Fertiliser_SourceData.Fertiliser_ChemicalCompoundElements_Data(),Table_Fertiliser_ChemicalCompounds[[#Headers],[Fertiliser type f]], 0)</f>
        <v>Muriate of potash (MOP)</v>
      </c>
      <c r="I34" s="111" t="str" cm="1">
        <f t="array" ref="I34">Common_InputFunctions.Utility_DisplayArrayInTable(Fertiliser_SourceData.Fertiliser_ChemicalCompoundElements_Data(),Table_Fertiliser_ChemicalCompounds[[#Headers],[Fertiliser type f]], 0)</f>
        <v>LifeCycles</v>
      </c>
    </row>
    <row r="35" spans="4:10" ht="20.100000000000001" customHeight="1" x14ac:dyDescent="0.25">
      <c r="D35" s="111" t="str" cm="1">
        <f t="array" ref="D35">Common_InputFunctions.Utility_DisplayArrayInTable(Fertiliser_SourceData.Fertiliser_ChemicalCompoundElements_Data(),Table_Fertiliser_ChemicalCompounds[[#Headers],[Fertiliser type f]], 0)</f>
        <v>Double superphosphate</v>
      </c>
      <c r="E35" s="111" cm="1">
        <f t="array" ref="E35">Common_InputFunctions.Utility_DisplayArrayInTable(Fertiliser_SourceData.Fertiliser_ChemicalCompoundElements_Data(),Table_Fertiliser_ChemicalCompounds[[#Headers],[Fertiliser type f]], 0)</f>
        <v>0</v>
      </c>
      <c r="F35" s="111" cm="1">
        <f t="array" ref="F35">Common_InputFunctions.Utility_DisplayArrayInTable(Fertiliser_SourceData.Fertiliser_ChemicalCompoundElements_Data(),Table_Fertiliser_ChemicalCompounds[[#Headers],[Fertiliser type f]], 0)</f>
        <v>0</v>
      </c>
      <c r="G35" s="111" t="str" cm="1">
        <f t="array" ref="G35">Common_InputFunctions.Utility_DisplayArrayInTable(Fertiliser_SourceData.Fertiliser_ChemicalCompoundElements_Data(),Table_Fertiliser_ChemicalCompounds[[#Headers],[Fertiliser type f]], 0)</f>
        <v>Other fertilisers</v>
      </c>
      <c r="H35" s="111" t="str" cm="1">
        <f t="array" ref="H35">Common_InputFunctions.Utility_DisplayArrayInTable(Fertiliser_SourceData.Fertiliser_ChemicalCompoundElements_Data(),Table_Fertiliser_ChemicalCompounds[[#Headers],[Fertiliser type f]], 0)</f>
        <v>Double superphosphate</v>
      </c>
      <c r="I35" s="111" t="str" cm="1">
        <f t="array" ref="I35">Common_InputFunctions.Utility_DisplayArrayInTable(Fertiliser_SourceData.Fertiliser_ChemicalCompoundElements_Data(),Table_Fertiliser_ChemicalCompounds[[#Headers],[Fertiliser type f]], 0)</f>
        <v>LifeCycles</v>
      </c>
    </row>
    <row r="36" spans="4:10" ht="20.100000000000001" customHeight="1" x14ac:dyDescent="0.25">
      <c r="D36" s="111" t="str" cm="1">
        <f t="array" ref="D36">Common_InputFunctions.Utility_DisplayArrayInTable(Fertiliser_SourceData.Fertiliser_ChemicalCompoundElements_Data(),Table_Fertiliser_ChemicalCompounds[[#Headers],[Fertiliser type f]], 0)</f>
        <v>Single superphosphate (SSP)</v>
      </c>
      <c r="E36" s="111" cm="1">
        <f t="array" ref="E36">Common_InputFunctions.Utility_DisplayArrayInTable(Fertiliser_SourceData.Fertiliser_ChemicalCompoundElements_Data(),Table_Fertiliser_ChemicalCompounds[[#Headers],[Fertiliser type f]], 0)</f>
        <v>0</v>
      </c>
      <c r="F36" s="111" cm="1">
        <f t="array" ref="F36">Common_InputFunctions.Utility_DisplayArrayInTable(Fertiliser_SourceData.Fertiliser_ChemicalCompoundElements_Data(),Table_Fertiliser_ChemicalCompounds[[#Headers],[Fertiliser type f]], 0)</f>
        <v>0</v>
      </c>
      <c r="G36" s="111" t="str" cm="1">
        <f t="array" ref="G36">Common_InputFunctions.Utility_DisplayArrayInTable(Fertiliser_SourceData.Fertiliser_ChemicalCompoundElements_Data(),Table_Fertiliser_ChemicalCompounds[[#Headers],[Fertiliser type f]], 0)</f>
        <v>Other fertilisers</v>
      </c>
      <c r="H36" s="111" t="str" cm="1">
        <f t="array" ref="H36">Common_InputFunctions.Utility_DisplayArrayInTable(Fertiliser_SourceData.Fertiliser_ChemicalCompoundElements_Data(),Table_Fertiliser_ChemicalCompounds[[#Headers],[Fertiliser type f]], 0)</f>
        <v>Single superphosphate (SSP)</v>
      </c>
      <c r="I36" s="111" t="str" cm="1">
        <f t="array" ref="I36">Common_InputFunctions.Utility_DisplayArrayInTable(Fertiliser_SourceData.Fertiliser_ChemicalCompoundElements_Data(),Table_Fertiliser_ChemicalCompounds[[#Headers],[Fertiliser type f]], 0)</f>
        <v>LifeCycles</v>
      </c>
    </row>
    <row r="37" spans="4:10" ht="20.100000000000001" customHeight="1" x14ac:dyDescent="0.25">
      <c r="D37" s="111" t="str" cm="1">
        <f t="array" ref="D37">Common_InputFunctions.Utility_DisplayArrayInTable(Fertiliser_SourceData.Fertiliser_ChemicalCompoundElements_Data(),Table_Fertiliser_ChemicalCompounds[[#Headers],[Fertiliser type f]], 0)</f>
        <v>Ammonia</v>
      </c>
      <c r="E37" s="111" cm="1">
        <f t="array" ref="E37">Common_InputFunctions.Utility_DisplayArrayInTable(Fertiliser_SourceData.Fertiliser_ChemicalCompoundElements_Data(),Table_Fertiliser_ChemicalCompounds[[#Headers],[Fertiliser type f]], 0)</f>
        <v>0.82350000000000001</v>
      </c>
      <c r="F37" s="111" cm="1">
        <f t="array" ref="F37">Common_InputFunctions.Utility_DisplayArrayInTable(Fertiliser_SourceData.Fertiliser_ChemicalCompoundElements_Data(),Table_Fertiliser_ChemicalCompounds[[#Headers],[Fertiliser type f]], 0)</f>
        <v>0</v>
      </c>
      <c r="G37" s="111" t="str" cm="1">
        <f t="array" ref="G37">Common_InputFunctions.Utility_DisplayArrayInTable(Fertiliser_SourceData.Fertiliser_ChemicalCompoundElements_Data(),Table_Fertiliser_ChemicalCompounds[[#Headers],[Fertiliser type f]], 0)</f>
        <v>Ammonium-based fertilisers</v>
      </c>
      <c r="H37" s="111" t="str" cm="1">
        <f t="array" ref="H37">Common_InputFunctions.Utility_DisplayArrayInTable(Fertiliser_SourceData.Fertiliser_ChemicalCompoundElements_Data(),Table_Fertiliser_ChemicalCompounds[[#Headers],[Fertiliser type f]], 0)</f>
        <v>Ammonia</v>
      </c>
      <c r="I37" s="111" t="str" cm="1">
        <f t="array" ref="I37">Common_InputFunctions.Utility_DisplayArrayInTable(Fertiliser_SourceData.Fertiliser_ChemicalCompoundElements_Data(),Table_Fertiliser_ChemicalCompounds[[#Headers],[Fertiliser type f]], 0)</f>
        <v>LifeCycles</v>
      </c>
    </row>
    <row r="38" spans="4:10" ht="20.100000000000001" customHeight="1" x14ac:dyDescent="0.25">
      <c r="D38" s="37" t="str" cm="1">
        <f t="array" ref="D38">Common_InputFunctions.Utility_DisplayArrayInTable(Fertiliser_SourceData.Fertiliser_ChemicalCompoundElements_Data(),Table_Fertiliser_ChemicalCompounds[[#Headers],[Fertiliser type f]], 0)</f>
        <v>Calcium nitrate</v>
      </c>
      <c r="E38" s="37" cm="1">
        <f t="array" ref="E38">Common_InputFunctions.Utility_DisplayArrayInTable(Fertiliser_SourceData.Fertiliser_ChemicalCompoundElements_Data(),Table_Fertiliser_ChemicalCompounds[[#Headers],[Fertiliser type f]], 0)</f>
        <v>0.155</v>
      </c>
      <c r="F38" s="37" cm="1">
        <f t="array" ref="F38">Common_InputFunctions.Utility_DisplayArrayInTable(Fertiliser_SourceData.Fertiliser_ChemicalCompoundElements_Data(),Table_Fertiliser_ChemicalCompounds[[#Headers],[Fertiliser type f]], 0)</f>
        <v>0</v>
      </c>
      <c r="G38" s="37" t="str" cm="1">
        <f t="array" ref="G38">Common_InputFunctions.Utility_DisplayArrayInTable(Fertiliser_SourceData.Fertiliser_ChemicalCompoundElements_Data(),Table_Fertiliser_ChemicalCompounds[[#Headers],[Fertiliser type f]], 0)</f>
        <v>Nitrate-based fertilisers</v>
      </c>
      <c r="H38" s="37" t="str" cm="1">
        <f t="array" ref="H38">Common_InputFunctions.Utility_DisplayArrayInTable(Fertiliser_SourceData.Fertiliser_ChemicalCompoundElements_Data(),Table_Fertiliser_ChemicalCompounds[[#Headers],[Fertiliser type f]], 0)</f>
        <v>Calcium nitrate</v>
      </c>
      <c r="I38" s="37" t="str" cm="1">
        <f t="array" ref="I38">Common_InputFunctions.Utility_DisplayArrayInTable(Fertiliser_SourceData.Fertiliser_ChemicalCompoundElements_Data(),Table_Fertiliser_ChemicalCompounds[[#Headers],[Fertiliser type f]], 0)</f>
        <v>VEERG</v>
      </c>
    </row>
    <row r="39" spans="4:10" ht="20.100000000000001" customHeight="1" x14ac:dyDescent="0.25"/>
    <row r="40" spans="4:10" ht="20.100000000000001" customHeight="1" x14ac:dyDescent="0.25">
      <c r="D40" s="6" t="s">
        <v>310</v>
      </c>
      <c r="F40" s="6" t="s">
        <v>163</v>
      </c>
      <c r="H40" s="6" t="s">
        <v>133</v>
      </c>
      <c r="J40" s="6" t="s">
        <v>236</v>
      </c>
    </row>
    <row r="41" spans="4:10" ht="20.100000000000001" customHeight="1" x14ac:dyDescent="0.25">
      <c r="D41" s="37" t="s">
        <v>87</v>
      </c>
      <c r="F41" s="37" t="s">
        <v>87</v>
      </c>
      <c r="H41" s="37" t="s">
        <v>86</v>
      </c>
      <c r="J41" s="37" t="s">
        <v>237</v>
      </c>
    </row>
    <row r="42" spans="4:10" ht="20.100000000000001" customHeight="1" x14ac:dyDescent="0.25">
      <c r="D42" s="37" t="s">
        <v>134</v>
      </c>
      <c r="F42" s="37" t="s">
        <v>134</v>
      </c>
      <c r="H42" s="37" t="s">
        <v>135</v>
      </c>
      <c r="J42" s="37" t="s">
        <v>238</v>
      </c>
    </row>
    <row r="43" spans="4:10" ht="20.100000000000001" customHeight="1" x14ac:dyDescent="0.25">
      <c r="D43" s="1" t="s">
        <v>131</v>
      </c>
      <c r="F43" s="1" t="s">
        <v>141</v>
      </c>
      <c r="H43" s="37" t="s">
        <v>136</v>
      </c>
      <c r="J43" s="1" t="s">
        <v>239</v>
      </c>
    </row>
    <row r="44" spans="4:10" ht="20.100000000000001" customHeight="1" x14ac:dyDescent="0.25">
      <c r="F44" s="1" t="s">
        <v>139</v>
      </c>
      <c r="H44" s="1" t="s">
        <v>132</v>
      </c>
      <c r="J44" s="1" t="s">
        <v>240</v>
      </c>
    </row>
    <row r="45" spans="4:10" ht="20.100000000000001" customHeight="1" x14ac:dyDescent="0.25">
      <c r="F45" s="1" t="s">
        <v>140</v>
      </c>
      <c r="H45" s="1" t="s">
        <v>137</v>
      </c>
      <c r="J45" s="1" t="s">
        <v>241</v>
      </c>
    </row>
    <row r="46" spans="4:10" ht="20.100000000000001" customHeight="1" x14ac:dyDescent="0.25">
      <c r="H46" s="1" t="s">
        <v>138</v>
      </c>
      <c r="J46" s="1" t="s">
        <v>242</v>
      </c>
    </row>
    <row r="47" spans="4:10" ht="20.100000000000001" customHeight="1" x14ac:dyDescent="0.25"/>
    <row r="48" spans="4:10" ht="20.100000000000001" customHeight="1" x14ac:dyDescent="0.25">
      <c r="D48" s="6" t="str" cm="1">
        <f t="array" ref="D48">Fertiliser_SourceData.Fertiliser_FracGASF_Title()</f>
        <v>Fraction of inorganic fertiliser that volatilises as NH3 and NOx</v>
      </c>
      <c r="G48" s="110"/>
    </row>
    <row r="49" spans="4:8" ht="20.100000000000001" customHeight="1" x14ac:dyDescent="0.25">
      <c r="D49" s="5" t="str" cm="1">
        <f t="array" ref="D49">Fertiliser_SourceData.Fertiliser_FracGASF_Source()</f>
        <v>Table A.2.2.6: Fraction of inorganic fertiliser f that volatilises as NH3 and NOx ((kg NH3â€“N + NOxâ€“N)/kg N) (FracGASFf)</v>
      </c>
      <c r="G49" s="110"/>
    </row>
    <row r="50" spans="4:8" ht="20.100000000000001" customHeight="1" x14ac:dyDescent="0.25">
      <c r="D50" s="37" t="s">
        <v>112</v>
      </c>
      <c r="E50" s="37" t="s">
        <v>130</v>
      </c>
      <c r="G50" s="110"/>
    </row>
    <row r="51" spans="4:8" ht="20.100000000000001" customHeight="1" x14ac:dyDescent="0.25">
      <c r="D51" s="37" t="str" cm="1">
        <f t="array" ref="D51">Common_InputFunctions.Utility_DisplayArrayInTable(Fertiliser_SourceData.Fertiliser_FracGASF_Data(), Table_SourceData_Fertiliser_FracGASF[[#Headers],[Fertiliser type f]], 0)</f>
        <v>Urea-based fertilisers</v>
      </c>
      <c r="E51" s="37" cm="1">
        <f t="array" ref="E51">Common_InputFunctions.Utility_DisplayArrayInTable(Fertiliser_SourceData.Fertiliser_FracGASF_Data(), Table_SourceData_Fertiliser_FracGASF[[#Headers],[Fertiliser type f]], 0)</f>
        <v>0.15</v>
      </c>
      <c r="G51" s="110"/>
    </row>
    <row r="52" spans="4:8" ht="20.100000000000001" customHeight="1" x14ac:dyDescent="0.25">
      <c r="D52" s="1" t="str" cm="1">
        <f t="array" ref="D52">Common_InputFunctions.Utility_DisplayArrayInTable(Fertiliser_SourceData.Fertiliser_FracGASF_Data(), Table_SourceData_Fertiliser_FracGASF[[#Headers],[Fertiliser type f]], 0)</f>
        <v>Ammonium-based fertilisers</v>
      </c>
      <c r="E52" s="37" cm="1">
        <f t="array" ref="E52">Common_InputFunctions.Utility_DisplayArrayInTable(Fertiliser_SourceData.Fertiliser_FracGASF_Data(), Table_SourceData_Fertiliser_FracGASF[[#Headers],[Fertiliser type f]], 0)</f>
        <v>0.08</v>
      </c>
      <c r="G52" s="110"/>
    </row>
    <row r="53" spans="4:8" ht="20.100000000000001" customHeight="1" x14ac:dyDescent="0.25">
      <c r="D53" s="1" t="str" cm="1">
        <f t="array" ref="D53">Common_InputFunctions.Utility_DisplayArrayInTable(Fertiliser_SourceData.Fertiliser_FracGASF_Data(), Table_SourceData_Fertiliser_FracGASF[[#Headers],[Fertiliser type f]], 0)</f>
        <v>Nitrate-based fertilisers</v>
      </c>
      <c r="E53" s="37" cm="1">
        <f t="array" ref="E53">Common_InputFunctions.Utility_DisplayArrayInTable(Fertiliser_SourceData.Fertiliser_FracGASF_Data(), Table_SourceData_Fertiliser_FracGASF[[#Headers],[Fertiliser type f]], 0)</f>
        <v>0.01</v>
      </c>
      <c r="G53" s="110"/>
    </row>
    <row r="54" spans="4:8" ht="20.100000000000001" customHeight="1" x14ac:dyDescent="0.25">
      <c r="D54" s="1" t="str" cm="1">
        <f t="array" ref="D54">Common_InputFunctions.Utility_DisplayArrayInTable(Fertiliser_SourceData.Fertiliser_FracGASF_Data(), Table_SourceData_Fertiliser_FracGASF[[#Headers],[Fertiliser type f]], 0)</f>
        <v>Ammonium-nitrate based fertilisers</v>
      </c>
      <c r="E54" s="37" cm="1">
        <f t="array" ref="E54">Common_InputFunctions.Utility_DisplayArrayInTable(Fertiliser_SourceData.Fertiliser_FracGASF_Data(), Table_SourceData_Fertiliser_FracGASF[[#Headers],[Fertiliser type f]], 0)</f>
        <v>0.05</v>
      </c>
      <c r="G54" s="110"/>
      <c r="H54" s="110"/>
    </row>
    <row r="55" spans="4:8" ht="20.100000000000001" customHeight="1" x14ac:dyDescent="0.25">
      <c r="D55" s="1" t="str" cm="1">
        <f t="array" ref="D55">Common_InputFunctions.Utility_DisplayArrayInTable(Fertiliser_SourceData.Fertiliser_FracGASF_Data(), Table_SourceData_Fertiliser_FracGASF[[#Headers],[Fertiliser type f]], 0)</f>
        <v>Other fertilisers</v>
      </c>
      <c r="E55" s="37" cm="1">
        <f t="array" ref="E55">Common_InputFunctions.Utility_DisplayArrayInTable(Fertiliser_SourceData.Fertiliser_FracGASF_Data(), Table_SourceData_Fertiliser_FracGASF[[#Headers],[Fertiliser type f]], 0)</f>
        <v>0.11</v>
      </c>
      <c r="G55" s="110"/>
      <c r="H55" s="110"/>
    </row>
    <row r="56" spans="4:8" ht="20.100000000000001" customHeight="1" x14ac:dyDescent="0.25"/>
    <row r="57" spans="4:8" ht="20.100000000000001" customHeight="1" x14ac:dyDescent="0.25"/>
    <row r="58" spans="4:8" ht="20.100000000000001" customHeight="1" x14ac:dyDescent="0.25">
      <c r="D58" s="6" t="str" cm="1">
        <f t="array" ref="D58">Fertiliser_SourceData.Fertiliser_EFUreaCO2_Title()</f>
        <v>Emission factor for carbon emissions from urea application</v>
      </c>
    </row>
    <row r="59" spans="4:8" ht="20.100000000000001" customHeight="1" x14ac:dyDescent="0.25">
      <c r="D59" s="5" t="str" cm="1">
        <f t="array" ref="D59">Fertiliser_SourceData.Fertiliser_EFUreaCO2_Source()</f>
        <v>VEERG 2026: 5.1.2.2 Constant Parameters</v>
      </c>
    </row>
    <row r="60" spans="4:8" ht="20.100000000000001" customHeight="1" x14ac:dyDescent="0.25">
      <c r="D60" s="51" t="str" cm="1">
        <f t="array" ref="D60">Fertiliser_SourceData.Fertiliser_EFUreaCO2_Variable()</f>
        <v>EFureaCO2</v>
      </c>
      <c r="E60" s="1" cm="1">
        <f t="array" ref="E60">Fertiliser_SourceData.Fertiliser_EFUreaCO2_Data()</f>
        <v>0.2</v>
      </c>
      <c r="F60" s="52" t="str" cm="1">
        <f t="array" ref="F60">Fertiliser_SourceData.Fertiliser_EFUreaCO2_Unit()</f>
        <v>kg C/kg urea</v>
      </c>
    </row>
    <row r="61" spans="4:8" ht="20.100000000000001" customHeight="1" x14ac:dyDescent="0.25"/>
    <row r="62" spans="4:8" ht="20.100000000000001" customHeight="1" x14ac:dyDescent="0.25"/>
    <row r="63" spans="4:8" ht="20.100000000000001" customHeight="1" x14ac:dyDescent="0.25">
      <c r="D63" s="6" t="str" cm="1">
        <f t="array" ref="D63">Fertiliser_SourceData.Fertiliser_LimeDolomiteGypsumConstants_Title()</f>
        <v>Constants for lime, dolomite and gypsum</v>
      </c>
    </row>
    <row r="64" spans="4:8" ht="20.100000000000001" customHeight="1" x14ac:dyDescent="0.25">
      <c r="D64" s="5" t="str" cm="1">
        <f t="array" ref="D64">Fertiliser_SourceData.Fertiliser_LimeDolomiteGypsumConstants_Source()</f>
        <v>VEERG 2026: 5.3.2.3 Constant Parameters</v>
      </c>
    </row>
    <row r="65" spans="4:6" ht="20.100000000000001" customHeight="1" x14ac:dyDescent="0.25">
      <c r="D65" s="37" t="s">
        <v>254</v>
      </c>
      <c r="E65" s="37" t="s">
        <v>262</v>
      </c>
      <c r="F65" s="37" t="s">
        <v>263</v>
      </c>
    </row>
    <row r="66" spans="4:6" ht="20.100000000000001" customHeight="1" x14ac:dyDescent="0.25">
      <c r="D66" s="37" t="str" cm="1">
        <f t="array" ref="D66">Common_InputFunctions.Utility_DisplayArrayInTable(Fertiliser_SourceData.Fertiliser_LimeDolomiteGypsumConstants_Data(), Table_SourceData_Fertiliser_LimeDolomiteConstants[[#Headers],[Element]], 0)</f>
        <v>Lime (Calcium carbonate)</v>
      </c>
      <c r="E66" s="37" cm="1">
        <f t="array" ref="E66">Common_InputFunctions.Utility_DisplayArrayInTable(Fertiliser_SourceData.Fertiliser_LimeDolomiteGypsumConstants_Data(), Table_SourceData_Fertiliser_LimeDolomiteConstants[[#Headers],[Element]], 0)</f>
        <v>0.9</v>
      </c>
      <c r="F66" s="37" cm="1">
        <f t="array" ref="F66">Common_InputFunctions.Utility_DisplayArrayInTable(Fertiliser_SourceData.Fertiliser_LimeDolomiteGypsumConstants_Data(), Table_SourceData_Fertiliser_LimeDolomiteConstants[[#Headers],[Element]], 0)</f>
        <v>0.12</v>
      </c>
    </row>
    <row r="67" spans="4:6" ht="20.100000000000001" customHeight="1" x14ac:dyDescent="0.25">
      <c r="D67" s="1" t="str" cm="1">
        <f t="array" ref="D67">Common_InputFunctions.Utility_DisplayArrayInTable(Fertiliser_SourceData.Fertiliser_LimeDolomiteGypsumConstants_Data(), Table_SourceData_Fertiliser_LimeDolomiteConstants[[#Headers],[Element]], 0)</f>
        <v>Dolomite (Magnesium carbonate)</v>
      </c>
      <c r="E67" s="37" cm="1">
        <f t="array" ref="E67">Common_InputFunctions.Utility_DisplayArrayInTable(Fertiliser_SourceData.Fertiliser_LimeDolomiteGypsumConstants_Data(), Table_SourceData_Fertiliser_LimeDolomiteConstants[[#Headers],[Element]], 0)</f>
        <v>0.95</v>
      </c>
      <c r="F67" s="37" cm="1">
        <f t="array" ref="F67">Common_InputFunctions.Utility_DisplayArrayInTable(Fertiliser_SourceData.Fertiliser_LimeDolomiteGypsumConstants_Data(), Table_SourceData_Fertiliser_LimeDolomiteConstants[[#Headers],[Element]], 0)</f>
        <v>0.13</v>
      </c>
    </row>
    <row r="68" spans="4:6" ht="20.100000000000001" customHeight="1" x14ac:dyDescent="0.25">
      <c r="D68" s="1" t="str" cm="1">
        <f t="array" ref="D68">Common_InputFunctions.Utility_DisplayArrayInTable(Fertiliser_SourceData.Fertiliser_LimeDolomiteGypsumConstants_Data(), Table_SourceData_Fertiliser_LimeDolomiteConstants[[#Headers],[Element]], 0)</f>
        <v>Gypsum</v>
      </c>
      <c r="E68" s="37" cm="1">
        <f t="array" ref="E68">Common_InputFunctions.Utility_DisplayArrayInTable(Fertiliser_SourceData.Fertiliser_LimeDolomiteGypsumConstants_Data(), Table_SourceData_Fertiliser_LimeDolomiteConstants[[#Headers],[Element]], 0)</f>
        <v>0</v>
      </c>
      <c r="F68" s="37" cm="1">
        <f t="array" ref="F68">Common_InputFunctions.Utility_DisplayArrayInTable(Fertiliser_SourceData.Fertiliser_LimeDolomiteGypsumConstants_Data(), Table_SourceData_Fertiliser_LimeDolomiteConstants[[#Headers],[Element]], 0)</f>
        <v>0</v>
      </c>
    </row>
    <row r="69" spans="4:6" ht="20.100000000000001" customHeight="1" x14ac:dyDescent="0.25"/>
    <row r="70" spans="4:6" ht="20.100000000000001" customHeight="1" x14ac:dyDescent="0.25"/>
    <row r="71" spans="4:6" ht="20.100000000000001" customHeight="1" x14ac:dyDescent="0.25">
      <c r="D71" s="6" t="str" cm="1">
        <f t="array" ref="D71">Fertiliser_SourceData.Fertiliser_FracGASMSoil_Title()</f>
        <v>Fraction of organic fertiliser that volatilises as NH3 and NOx</v>
      </c>
    </row>
    <row r="72" spans="4:6" ht="20.100000000000001" customHeight="1" x14ac:dyDescent="0.25">
      <c r="D72" s="5" t="str" cm="1">
        <f t="array" ref="D72">Fertiliser_SourceData.Fertiliser_FracGASMSoil_Source()</f>
        <v>VEERG 2026: 5.4.2.3 Constant Parameters</v>
      </c>
    </row>
    <row r="73" spans="4:6" ht="20.100000000000001" customHeight="1" x14ac:dyDescent="0.25">
      <c r="D73" s="51" t="str" cm="1">
        <f t="array" ref="D73">Fertiliser_SourceData.Fertiliser_FracGASMSoil_Variable()</f>
        <v>FracGASMsoil</v>
      </c>
      <c r="E73" s="1" cm="1">
        <f t="array" ref="E73">Fertiliser_SourceData.Fertiliser_FracGASMSoil_Data()</f>
        <v>0.21</v>
      </c>
      <c r="F73" s="52" t="str" cm="1">
        <f t="array" ref="F73">Fertiliser_SourceData.Fertiliser_FracGASMSoil_Unit()</f>
        <v>(kg NH3-N + NOx-N)/kg N</v>
      </c>
    </row>
    <row r="74" spans="4:6" ht="20.100000000000001" customHeight="1" x14ac:dyDescent="0.25"/>
    <row r="75" spans="4:6" ht="20.100000000000001" customHeight="1" x14ac:dyDescent="0.25"/>
    <row r="76" spans="4:6" ht="20.100000000000001" customHeight="1" x14ac:dyDescent="0.25">
      <c r="D76" s="6" t="str" cm="1">
        <f t="array" ref="D76">Fertiliser_SourceData.Fertiliser_FracLEACH_Title()</f>
        <v>Fraction of nitrogen that is lost through leaching and runoff</v>
      </c>
    </row>
    <row r="77" spans="4:6" ht="20.100000000000001" customHeight="1" x14ac:dyDescent="0.25">
      <c r="D77" s="5" t="str" cm="1">
        <f t="array" ref="D77">Fertiliser_SourceData.Fertiliser_FracLEACH_Source()</f>
        <v>VEERG 2026: 5.5.2.3 Constant Parameters</v>
      </c>
    </row>
    <row r="78" spans="4:6" ht="20.100000000000001" customHeight="1" x14ac:dyDescent="0.25">
      <c r="D78" s="51" t="str" cm="1">
        <f t="array" ref="D78">Fertiliser_SourceData.Fertiliser_FracLEACH_Variable()</f>
        <v>FracLEACH</v>
      </c>
      <c r="E78" s="1" cm="1">
        <f t="array" ref="E78">Fertiliser_SourceData.Fertiliser_FracLEACH_Data()</f>
        <v>0.24</v>
      </c>
      <c r="F78" s="52" t="str" cm="1">
        <f t="array" ref="F78">Fertiliser_SourceData.Fertiliser_FracLEACH_Unit()</f>
        <v>fraction</v>
      </c>
    </row>
    <row r="79" spans="4:6" ht="20.100000000000001" customHeight="1" x14ac:dyDescent="0.25"/>
    <row r="80" spans="4:6" ht="20.100000000000001" customHeight="1" x14ac:dyDescent="0.25"/>
    <row r="81" spans="4:31" ht="20.100000000000001" customHeight="1" x14ac:dyDescent="0.25">
      <c r="D81" s="6" t="str" cm="1">
        <f t="array" ref="D81">Fertiliser_SourceData.Fertiliser_EFLeach_Title()</f>
        <v>Emission factor for nitrogen leaching and runoff</v>
      </c>
    </row>
    <row r="82" spans="4:31" ht="20.100000000000001" customHeight="1" x14ac:dyDescent="0.25">
      <c r="D82" s="5" t="str" cm="1">
        <f t="array" ref="D82">Fertiliser_SourceData.Fertiliser_EFLeach_Source()</f>
        <v>VEERG 2026: 5.5.2.3 Constant Parameters</v>
      </c>
    </row>
    <row r="83" spans="4:31" ht="20.100000000000001" customHeight="1" x14ac:dyDescent="0.25">
      <c r="D83" s="51" t="str" cm="1">
        <f t="array" ref="D83">Fertiliser_SourceData.Fertiliser_EFLeach_Variable()</f>
        <v>EFLeach</v>
      </c>
      <c r="E83" s="1" cm="1">
        <f t="array" ref="E83">Fertiliser_SourceData.Fertiliser_EFLeach_Data()</f>
        <v>1.0999999999999999E-2</v>
      </c>
      <c r="F83" s="52" t="str" cm="1">
        <f t="array" ref="F83">Fertiliser_SourceData.Fertiliser_EFLeach_Unit()</f>
        <v>kg N2O-N / kg N</v>
      </c>
    </row>
    <row r="84" spans="4:31" ht="20.100000000000001" customHeight="1" x14ac:dyDescent="0.25"/>
    <row r="85" spans="4:31" ht="20.100000000000001" customHeight="1" x14ac:dyDescent="0.25"/>
    <row r="86" spans="4:31" ht="20.100000000000001" customHeight="1" x14ac:dyDescent="0.25">
      <c r="N86" s="1" t="s">
        <v>324</v>
      </c>
    </row>
    <row r="87" spans="4:31" ht="20.100000000000001" customHeight="1" x14ac:dyDescent="0.25">
      <c r="D87" s="6" t="s">
        <v>113</v>
      </c>
      <c r="E87" s="110"/>
      <c r="F87" s="110"/>
      <c r="G87" s="110"/>
      <c r="H87" s="110"/>
      <c r="I87" s="110"/>
      <c r="J87" s="110"/>
      <c r="K87" s="110"/>
      <c r="L87" s="110"/>
      <c r="N87" s="110" t="s">
        <v>324</v>
      </c>
      <c r="O87" s="110"/>
      <c r="P87" s="110"/>
      <c r="Q87" s="110"/>
      <c r="R87" s="110"/>
      <c r="S87" s="110"/>
      <c r="T87" s="110"/>
      <c r="U87" s="110"/>
    </row>
    <row r="88" spans="4:31" ht="20.100000000000001" customHeight="1" x14ac:dyDescent="0.25">
      <c r="D88" s="110"/>
    </row>
    <row r="89" spans="4:31" ht="20.100000000000001" customHeight="1" x14ac:dyDescent="0.25">
      <c r="D89" s="144" t="s">
        <v>226</v>
      </c>
      <c r="E89" s="37" t="s">
        <v>227</v>
      </c>
      <c r="F89" s="37" t="s">
        <v>228</v>
      </c>
      <c r="G89" s="117" t="s">
        <v>229</v>
      </c>
      <c r="H89" s="117" t="s">
        <v>16</v>
      </c>
      <c r="I89" s="117" t="s">
        <v>230</v>
      </c>
      <c r="J89" s="117" t="s">
        <v>231</v>
      </c>
      <c r="K89" s="117" t="s">
        <v>232</v>
      </c>
      <c r="L89" s="117" t="s">
        <v>115</v>
      </c>
      <c r="M89" s="117" t="s">
        <v>116</v>
      </c>
      <c r="N89" s="117" t="s">
        <v>117</v>
      </c>
      <c r="O89" s="37" t="s">
        <v>118</v>
      </c>
      <c r="P89" s="37" t="s">
        <v>119</v>
      </c>
      <c r="Q89" s="37" t="s">
        <v>120</v>
      </c>
      <c r="R89" s="117" t="s">
        <v>121</v>
      </c>
      <c r="S89" s="117" t="s">
        <v>122</v>
      </c>
      <c r="T89" s="37" t="s">
        <v>123</v>
      </c>
      <c r="U89" s="117" t="s">
        <v>124</v>
      </c>
      <c r="V89" s="117" t="s">
        <v>125</v>
      </c>
      <c r="W89" s="117" t="s">
        <v>126</v>
      </c>
      <c r="X89" s="117" t="s">
        <v>218</v>
      </c>
      <c r="Y89" s="117" t="s">
        <v>219</v>
      </c>
      <c r="Z89" s="37" t="s">
        <v>220</v>
      </c>
      <c r="AA89" s="37" t="s">
        <v>221</v>
      </c>
      <c r="AB89" s="37" t="s">
        <v>222</v>
      </c>
      <c r="AC89" s="37" t="s">
        <v>223</v>
      </c>
      <c r="AD89" s="37" t="s">
        <v>224</v>
      </c>
      <c r="AE89" s="37" t="s">
        <v>225</v>
      </c>
    </row>
    <row r="90" spans="4:31" ht="20.100000000000001" customHeight="1" x14ac:dyDescent="0.25">
      <c r="D90" s="111" t="str" cm="1">
        <f t="array" ref="D90">Common_InputFunctions.Utility_DisplayArrayInTable(Fertiliser_SourceData.Fertiliser_Products_Data1(),FertiliserProducts[[#Headers],[Include or Exclude]], -1)</f>
        <v>Include</v>
      </c>
      <c r="E90" s="111" t="str" cm="1">
        <f t="array" ref="E90">Common_InputFunctions.Utility_DisplayArrayInTable(Fertiliser_SourceData.Fertiliser_Products_Data1(),FertiliserProducts[[#Headers],[Include or Exclude]], 0)</f>
        <v/>
      </c>
      <c r="F90" s="111" t="str" cm="1">
        <f t="array" ref="F90">Common_InputFunctions.Utility_DisplayArrayInTable(Fertiliser_SourceData.Fertiliser_Products_Data1(),FertiliserProducts[[#Headers],[Include or Exclude]], 0)</f>
        <v>Campbells fertilisers Australia</v>
      </c>
      <c r="G90" s="111" t="str" cm="1">
        <f t="array" ref="G90">Common_InputFunctions.Utility_DisplayArrayInTable(Fertiliser_SourceData.Fertiliser_Products_Data1(),FertiliserProducts[[#Headers],[Include or Exclude]], 0)</f>
        <v>Aqua Finish</v>
      </c>
      <c r="H90" s="111" t="str" cm="1">
        <f t="array" ref="H90">Common_InputFunctions.Utility_DisplayArrayInTable(Fertiliser_SourceData.Fertiliser_Products_Data1(),FertiliserProducts[[#Headers],[Include or Exclude]], 0,4)</f>
        <v>L</v>
      </c>
      <c r="I90" s="111" cm="1">
        <f t="array" ref="I90">Common_InputFunctions.Utility_DisplayArrayInTable(Fertiliser_SourceData.Fertiliser_Products_Data1(),FertiliserProducts[[#Headers],[Include or Exclude]], 0,4)</f>
        <v>1.26</v>
      </c>
      <c r="J90" s="111" t="str" cm="1">
        <f t="array" ref="J90">Common_InputFunctions.Utility_DisplayArrayInTable(Fertiliser_SourceData.Fertiliser_Products_Data1(),FertiliserProducts[[#Headers],[Include or Exclude]], 0,4)</f>
        <v/>
      </c>
      <c r="K90" s="111" t="str" cm="1">
        <f t="array" ref="K90">Common_InputFunctions.Utility_DisplayArrayInTable(Fertiliser_SourceData.Fertiliser_Products_Data1(),FertiliserProducts[[#Headers],[Include or Exclude]], 0,4)</f>
        <v/>
      </c>
      <c r="L90" s="111" t="str" cm="1">
        <f t="array" ref="L90">Common_InputFunctions.Utility_DisplayArrayInTable(Fertiliser_SourceData.Fertiliser_Products_Data1(),FertiliserProducts[[#Headers],[Include or Exclude]], 0,4)</f>
        <v>Potassium - Generic</v>
      </c>
      <c r="M90" s="111" cm="1">
        <f t="array" ref="M90">Common_InputFunctions.Utility_DisplayArrayInTable(Fertiliser_SourceData.Fertiliser_Products_Data1(),FertiliserProducts[[#Headers],[Include or Exclude]], 0,4)</f>
        <v>0.22500000000000001</v>
      </c>
      <c r="N90" s="111" t="str" cm="1">
        <f t="array" ref="N90">Common_InputFunctions.Utility_DisplayArrayInTable(Fertiliser_SourceData.Fertiliser_Products_Data1(),FertiliserProducts[[#Headers],[Include or Exclude]], 0,4)</f>
        <v>Phosphorus - Generic</v>
      </c>
      <c r="O90" s="111" cm="1">
        <f t="array" ref="O90">Common_InputFunctions.Utility_DisplayArrayInTable(Fertiliser_SourceData.Fertiliser_Products_Data1(),FertiliserProducts[[#Headers],[Include or Exclude]], 0,4)</f>
        <v>0.04</v>
      </c>
      <c r="P90" s="111" t="str" cm="1">
        <f t="array" ref="P90">Common_InputFunctions.Utility_DisplayArrayInTable(Fertiliser_SourceData.Fertiliser_Products_Data1(),FertiliserProducts[[#Headers],[Include or Exclude]], 0,4)</f>
        <v>Nitrogen - Generic</v>
      </c>
      <c r="Q90" s="111" cm="1">
        <f t="array" ref="Q90">Common_InputFunctions.Utility_DisplayArrayInTable(Fertiliser_SourceData.Fertiliser_Products_Data1(),FertiliserProducts[[#Headers],[Include or Exclude]], 0,4)</f>
        <v>2.5999999999999999E-2</v>
      </c>
      <c r="R90" s="111" t="str" cm="1">
        <f t="array" ref="R90">Common_InputFunctions.Utility_DisplayArrayInTable(Fertiliser_SourceData.Fertiliser_Products_Data1(),FertiliserProducts[[#Headers],[Include or Exclude]], 0,4)</f>
        <v/>
      </c>
      <c r="S90" s="111" t="str" cm="1">
        <f t="array" ref="S90">Common_InputFunctions.Utility_DisplayArrayInTable(Fertiliser_SourceData.Fertiliser_Products_Data1(),FertiliserProducts[[#Headers],[Include or Exclude]], 0,4)</f>
        <v/>
      </c>
      <c r="T90" s="111" t="str" cm="1">
        <f t="array" ref="T90">Common_InputFunctions.Utility_DisplayArrayInTable(Fertiliser_SourceData.Fertiliser_Products_Data1(),FertiliserProducts[[#Headers],[Include or Exclude]], 0,4)</f>
        <v/>
      </c>
      <c r="U90" s="111" t="str" cm="1">
        <f t="array" ref="U90">Common_InputFunctions.Utility_DisplayArrayInTable(Fertiliser_SourceData.Fertiliser_Products_Data1(),FertiliserProducts[[#Headers],[Include or Exclude]], 0,4)</f>
        <v/>
      </c>
      <c r="V90" s="111" t="str" cm="1">
        <f t="array" ref="V90">Common_InputFunctions.Utility_DisplayArrayInTable(Fertiliser_SourceData.Fertiliser_Products_Data1(),FertiliserProducts[[#Headers],[Include or Exclude]], 0,4)</f>
        <v/>
      </c>
      <c r="W90" s="111" t="str" cm="1">
        <f t="array" ref="W90">Common_InputFunctions.Utility_DisplayArrayInTable(Fertiliser_SourceData.Fertiliser_Products_Data1(),FertiliserProducts[[#Headers],[Include or Exclude]], 0,4)</f>
        <v/>
      </c>
      <c r="X90" s="111" t="str" cm="1">
        <f t="array" ref="X90">Common_InputFunctions.Utility_DisplayArrayInTable(Fertiliser_SourceData.Fertiliser_Products_Data1(),FertiliserProducts[[#Headers],[Include or Exclude]], 0,4)</f>
        <v/>
      </c>
      <c r="Y90" s="111" t="str" cm="1">
        <f t="array" ref="Y90">Common_InputFunctions.Utility_DisplayArrayInTable(Fertiliser_SourceData.Fertiliser_Products_Data1(),FertiliserProducts[[#Headers],[Include or Exclude]], 0,4)</f>
        <v/>
      </c>
      <c r="Z90" s="111" t="str" cm="1">
        <f t="array" ref="Z90">Common_InputFunctions.Utility_DisplayArrayInTable(Fertiliser_SourceData.Fertiliser_Products_Data1(),FertiliserProducts[[#Headers],[Include or Exclude]], 0,4)</f>
        <v/>
      </c>
      <c r="AA90" s="111" t="str" cm="1">
        <f t="array" ref="AA90">Common_InputFunctions.Utility_DisplayArrayInTable(Fertiliser_SourceData.Fertiliser_Products_Data1(),FertiliserProducts[[#Headers],[Include or Exclude]], 0,4)</f>
        <v/>
      </c>
      <c r="AB90" s="111" t="str" cm="1">
        <f t="array" ref="AB90">Common_InputFunctions.Utility_DisplayArrayInTable(Fertiliser_SourceData.Fertiliser_Products_Data1(),FertiliserProducts[[#Headers],[Include or Exclude]], 0,4)</f>
        <v/>
      </c>
      <c r="AC90" s="111" t="str" cm="1">
        <f t="array" ref="AC90">Common_InputFunctions.Utility_DisplayArrayInTable(Fertiliser_SourceData.Fertiliser_Products_Data1(),FertiliserProducts[[#Headers],[Include or Exclude]], 0,4)</f>
        <v/>
      </c>
      <c r="AD90" s="111" t="str" cm="1">
        <f t="array" ref="AD90">Common_InputFunctions.Utility_DisplayArrayInTable(Fertiliser_SourceData.Fertiliser_Products_Data1(),FertiliserProducts[[#Headers],[Include or Exclude]], 0,4)</f>
        <v/>
      </c>
      <c r="AE90" s="111" t="str" cm="1">
        <f t="array" ref="AE90">Common_InputFunctions.Utility_DisplayArrayInTable(Fertiliser_SourceData.Fertiliser_Products_Data1(),FertiliserProducts[[#Headers],[Include or Exclude]], 0,4)</f>
        <v/>
      </c>
    </row>
    <row r="91" spans="4:31" ht="20.100000000000001" customHeight="1" x14ac:dyDescent="0.25">
      <c r="D91" s="111" t="str" cm="1">
        <f t="array" ref="D91">Common_InputFunctions.Utility_DisplayArrayInTable(Fertiliser_SourceData.Fertiliser_Products_Data1(),FertiliserProducts[[#Headers],[Include or Exclude]], -1)</f>
        <v>Include</v>
      </c>
      <c r="E91" s="111" t="str" cm="1">
        <f t="array" ref="E91">Common_InputFunctions.Utility_DisplayArrayInTable(Fertiliser_SourceData.Fertiliser_Products_Data1(),FertiliserProducts[[#Headers],[Include or Exclude]], 0)</f>
        <v/>
      </c>
      <c r="F91" s="111" t="str" cm="1">
        <f t="array" ref="F91">Common_InputFunctions.Utility_DisplayArrayInTable(Fertiliser_SourceData.Fertiliser_Products_Data1(),FertiliserProducts[[#Headers],[Include or Exclude]], 0)</f>
        <v>Campbells fertilisers Australia</v>
      </c>
      <c r="G91" s="111" t="str" cm="1">
        <f t="array" ref="G91">Common_InputFunctions.Utility_DisplayArrayInTable(Fertiliser_SourceData.Fertiliser_Products_Data1(),FertiliserProducts[[#Headers],[Include or Exclude]], 0)</f>
        <v>Aqua Grow</v>
      </c>
      <c r="H91" s="111" t="str" cm="1">
        <f t="array" ref="H91">Common_InputFunctions.Utility_DisplayArrayInTable(Fertiliser_SourceData.Fertiliser_Products_Data1(),FertiliserProducts[[#Headers],[Include or Exclude]], 0,4)</f>
        <v>L</v>
      </c>
      <c r="I91" s="111" cm="1">
        <f t="array" ref="I91">Common_InputFunctions.Utility_DisplayArrayInTable(Fertiliser_SourceData.Fertiliser_Products_Data1(),FertiliserProducts[[#Headers],[Include or Exclude]], 0,4)</f>
        <v>1.26</v>
      </c>
      <c r="J91" s="111" t="str" cm="1">
        <f t="array" ref="J91">Common_InputFunctions.Utility_DisplayArrayInTable(Fertiliser_SourceData.Fertiliser_Products_Data1(),FertiliserProducts[[#Headers],[Include or Exclude]], 0,4)</f>
        <v/>
      </c>
      <c r="K91" s="111" t="str" cm="1">
        <f t="array" ref="K91">Common_InputFunctions.Utility_DisplayArrayInTable(Fertiliser_SourceData.Fertiliser_Products_Data1(),FertiliserProducts[[#Headers],[Include or Exclude]], 0,4)</f>
        <v/>
      </c>
      <c r="L91" s="111" t="str" cm="1">
        <f t="array" ref="L91">Common_InputFunctions.Utility_DisplayArrayInTable(Fertiliser_SourceData.Fertiliser_Products_Data1(),FertiliserProducts[[#Headers],[Include or Exclude]], 0,4)</f>
        <v>Potassium - Generic</v>
      </c>
      <c r="M91" s="111" cm="1">
        <f t="array" ref="M91">Common_InputFunctions.Utility_DisplayArrayInTable(Fertiliser_SourceData.Fertiliser_Products_Data1(),FertiliserProducts[[#Headers],[Include or Exclude]], 0,4)</f>
        <v>0.105</v>
      </c>
      <c r="N91" s="111" t="str" cm="1">
        <f t="array" ref="N91">Common_InputFunctions.Utility_DisplayArrayInTable(Fertiliser_SourceData.Fertiliser_Products_Data1(),FertiliserProducts[[#Headers],[Include or Exclude]], 0,4)</f>
        <v>Nitrogen - Generic</v>
      </c>
      <c r="O91" s="111" cm="1">
        <f t="array" ref="O91">Common_InputFunctions.Utility_DisplayArrayInTable(Fertiliser_SourceData.Fertiliser_Products_Data1(),FertiliserProducts[[#Headers],[Include or Exclude]], 0,4)</f>
        <v>9.6000000000000002E-2</v>
      </c>
      <c r="P91" s="111" t="str" cm="1">
        <f t="array" ref="P91">Common_InputFunctions.Utility_DisplayArrayInTable(Fertiliser_SourceData.Fertiliser_Products_Data1(),FertiliserProducts[[#Headers],[Include or Exclude]], 0,4)</f>
        <v>Phosphorus - Generic</v>
      </c>
      <c r="Q91" s="111" cm="1">
        <f t="array" ref="Q91">Common_InputFunctions.Utility_DisplayArrayInTable(Fertiliser_SourceData.Fertiliser_Products_Data1(),FertiliserProducts[[#Headers],[Include or Exclude]], 0,4)</f>
        <v>0.05</v>
      </c>
      <c r="R91" s="111" t="str" cm="1">
        <f t="array" ref="R91">Common_InputFunctions.Utility_DisplayArrayInTable(Fertiliser_SourceData.Fertiliser_Products_Data1(),FertiliserProducts[[#Headers],[Include or Exclude]], 0,4)</f>
        <v/>
      </c>
      <c r="S91" s="111" t="str" cm="1">
        <f t="array" ref="S91">Common_InputFunctions.Utility_DisplayArrayInTable(Fertiliser_SourceData.Fertiliser_Products_Data1(),FertiliserProducts[[#Headers],[Include or Exclude]], 0,4)</f>
        <v/>
      </c>
      <c r="T91" s="111" t="str" cm="1">
        <f t="array" ref="T91">Common_InputFunctions.Utility_DisplayArrayInTable(Fertiliser_SourceData.Fertiliser_Products_Data1(),FertiliserProducts[[#Headers],[Include or Exclude]], 0,4)</f>
        <v/>
      </c>
      <c r="U91" s="111" t="str" cm="1">
        <f t="array" ref="U91">Common_InputFunctions.Utility_DisplayArrayInTable(Fertiliser_SourceData.Fertiliser_Products_Data1(),FertiliserProducts[[#Headers],[Include or Exclude]], 0,4)</f>
        <v/>
      </c>
      <c r="V91" s="111" t="str" cm="1">
        <f t="array" ref="V91">Common_InputFunctions.Utility_DisplayArrayInTable(Fertiliser_SourceData.Fertiliser_Products_Data1(),FertiliserProducts[[#Headers],[Include or Exclude]], 0,4)</f>
        <v/>
      </c>
      <c r="W91" s="111" t="str" cm="1">
        <f t="array" ref="W91">Common_InputFunctions.Utility_DisplayArrayInTable(Fertiliser_SourceData.Fertiliser_Products_Data1(),FertiliserProducts[[#Headers],[Include or Exclude]], 0,4)</f>
        <v/>
      </c>
      <c r="X91" s="111" t="str" cm="1">
        <f t="array" ref="X91">Common_InputFunctions.Utility_DisplayArrayInTable(Fertiliser_SourceData.Fertiliser_Products_Data1(),FertiliserProducts[[#Headers],[Include or Exclude]], 0,4)</f>
        <v/>
      </c>
      <c r="Y91" s="111" t="str" cm="1">
        <f t="array" ref="Y91">Common_InputFunctions.Utility_DisplayArrayInTable(Fertiliser_SourceData.Fertiliser_Products_Data1(),FertiliserProducts[[#Headers],[Include or Exclude]], 0,4)</f>
        <v/>
      </c>
      <c r="Z91" s="111" t="str" cm="1">
        <f t="array" ref="Z91">Common_InputFunctions.Utility_DisplayArrayInTable(Fertiliser_SourceData.Fertiliser_Products_Data1(),FertiliserProducts[[#Headers],[Include or Exclude]], 0,4)</f>
        <v/>
      </c>
      <c r="AA91" s="111" t="str" cm="1">
        <f t="array" ref="AA91">Common_InputFunctions.Utility_DisplayArrayInTable(Fertiliser_SourceData.Fertiliser_Products_Data1(),FertiliserProducts[[#Headers],[Include or Exclude]], 0,4)</f>
        <v/>
      </c>
      <c r="AB91" s="111" t="str" cm="1">
        <f t="array" ref="AB91">Common_InputFunctions.Utility_DisplayArrayInTable(Fertiliser_SourceData.Fertiliser_Products_Data1(),FertiliserProducts[[#Headers],[Include or Exclude]], 0,4)</f>
        <v/>
      </c>
      <c r="AC91" s="111" t="str" cm="1">
        <f t="array" ref="AC91">Common_InputFunctions.Utility_DisplayArrayInTable(Fertiliser_SourceData.Fertiliser_Products_Data1(),FertiliserProducts[[#Headers],[Include or Exclude]], 0,4)</f>
        <v/>
      </c>
      <c r="AD91" s="111" t="str" cm="1">
        <f t="array" ref="AD91">Common_InputFunctions.Utility_DisplayArrayInTable(Fertiliser_SourceData.Fertiliser_Products_Data1(),FertiliserProducts[[#Headers],[Include or Exclude]], 0,4)</f>
        <v/>
      </c>
      <c r="AE91" s="111" t="str" cm="1">
        <f t="array" ref="AE91">Common_InputFunctions.Utility_DisplayArrayInTable(Fertiliser_SourceData.Fertiliser_Products_Data1(),FertiliserProducts[[#Headers],[Include or Exclude]], 0,4)</f>
        <v/>
      </c>
    </row>
    <row r="92" spans="4:31" ht="20.100000000000001" customHeight="1" x14ac:dyDescent="0.25">
      <c r="D92" s="111" t="str" cm="1">
        <f t="array" ref="D92">Common_InputFunctions.Utility_DisplayArrayInTable(Fertiliser_SourceData.Fertiliser_Products_Data1(),FertiliserProducts[[#Headers],[Include or Exclude]], -1)</f>
        <v>Include</v>
      </c>
      <c r="E92" s="111" t="str" cm="1">
        <f t="array" ref="E92">Common_InputFunctions.Utility_DisplayArrayInTable(Fertiliser_SourceData.Fertiliser_Products_Data1(),FertiliserProducts[[#Headers],[Include or Exclude]], 0)</f>
        <v/>
      </c>
      <c r="F92" s="111" t="str" cm="1">
        <f t="array" ref="F92">Common_InputFunctions.Utility_DisplayArrayInTable(Fertiliser_SourceData.Fertiliser_Products_Data1(),FertiliserProducts[[#Headers],[Include or Exclude]], 0)</f>
        <v>Campbells fertilisers Australia</v>
      </c>
      <c r="G92" s="111" t="str" cm="1">
        <f t="array" ref="G92">Common_InputFunctions.Utility_DisplayArrayInTable(Fertiliser_SourceData.Fertiliser_Products_Data1(),FertiliserProducts[[#Headers],[Include or Exclude]], 0)</f>
        <v>Aqua Nitro AN</v>
      </c>
      <c r="H92" s="111" t="str" cm="1">
        <f t="array" ref="H92">Common_InputFunctions.Utility_DisplayArrayInTable(Fertiliser_SourceData.Fertiliser_Products_Data1(),FertiliserProducts[[#Headers],[Include or Exclude]], 0,4)</f>
        <v>L</v>
      </c>
      <c r="I92" s="111" cm="1">
        <f t="array" ref="I92">Common_InputFunctions.Utility_DisplayArrayInTable(Fertiliser_SourceData.Fertiliser_Products_Data1(),FertiliserProducts[[#Headers],[Include or Exclude]], 0,4)</f>
        <v>1.24</v>
      </c>
      <c r="J92" s="111" t="str" cm="1">
        <f t="array" ref="J92">Common_InputFunctions.Utility_DisplayArrayInTable(Fertiliser_SourceData.Fertiliser_Products_Data1(),FertiliserProducts[[#Headers],[Include or Exclude]], 0,4)</f>
        <v/>
      </c>
      <c r="K92" s="111" t="str" cm="1">
        <f t="array" ref="K92">Common_InputFunctions.Utility_DisplayArrayInTable(Fertiliser_SourceData.Fertiliser_Products_Data1(),FertiliserProducts[[#Headers],[Include or Exclude]], 0,4)</f>
        <v/>
      </c>
      <c r="L92" s="111" t="str" cm="1">
        <f t="array" ref="L92">Common_InputFunctions.Utility_DisplayArrayInTable(Fertiliser_SourceData.Fertiliser_Products_Data1(),FertiliserProducts[[#Headers],[Include or Exclude]], 0,4)</f>
        <v>Nitrogen - Ammoniacal</v>
      </c>
      <c r="M92" s="111" cm="1">
        <f t="array" ref="M92">Common_InputFunctions.Utility_DisplayArrayInTable(Fertiliser_SourceData.Fertiliser_Products_Data1(),FertiliserProducts[[#Headers],[Include or Exclude]], 0,4)</f>
        <v>0.223</v>
      </c>
      <c r="N92" s="111" t="str" cm="1">
        <f t="array" ref="N92">Common_InputFunctions.Utility_DisplayArrayInTable(Fertiliser_SourceData.Fertiliser_Products_Data1(),FertiliserProducts[[#Headers],[Include or Exclude]], 0,4)</f>
        <v/>
      </c>
      <c r="O92" s="111" t="str" cm="1">
        <f t="array" ref="O92">Common_InputFunctions.Utility_DisplayArrayInTable(Fertiliser_SourceData.Fertiliser_Products_Data1(),FertiliserProducts[[#Headers],[Include or Exclude]], 0,4)</f>
        <v/>
      </c>
      <c r="P92" s="111" t="str" cm="1">
        <f t="array" ref="P92">Common_InputFunctions.Utility_DisplayArrayInTable(Fertiliser_SourceData.Fertiliser_Products_Data1(),FertiliserProducts[[#Headers],[Include or Exclude]], 0,4)</f>
        <v/>
      </c>
      <c r="Q92" s="111" t="str" cm="1">
        <f t="array" ref="Q92">Common_InputFunctions.Utility_DisplayArrayInTable(Fertiliser_SourceData.Fertiliser_Products_Data1(),FertiliserProducts[[#Headers],[Include or Exclude]], 0,4)</f>
        <v/>
      </c>
      <c r="R92" s="111" t="str" cm="1">
        <f t="array" ref="R92">Common_InputFunctions.Utility_DisplayArrayInTable(Fertiliser_SourceData.Fertiliser_Products_Data1(),FertiliserProducts[[#Headers],[Include or Exclude]], 0,4)</f>
        <v/>
      </c>
      <c r="S92" s="111" t="str" cm="1">
        <f t="array" ref="S92">Common_InputFunctions.Utility_DisplayArrayInTable(Fertiliser_SourceData.Fertiliser_Products_Data1(),FertiliserProducts[[#Headers],[Include or Exclude]], 0,4)</f>
        <v/>
      </c>
      <c r="T92" s="111" t="str" cm="1">
        <f t="array" ref="T92">Common_InputFunctions.Utility_DisplayArrayInTable(Fertiliser_SourceData.Fertiliser_Products_Data1(),FertiliserProducts[[#Headers],[Include or Exclude]], 0,4)</f>
        <v/>
      </c>
      <c r="U92" s="111" t="str" cm="1">
        <f t="array" ref="U92">Common_InputFunctions.Utility_DisplayArrayInTable(Fertiliser_SourceData.Fertiliser_Products_Data1(),FertiliserProducts[[#Headers],[Include or Exclude]], 0,4)</f>
        <v/>
      </c>
      <c r="V92" s="111" t="str" cm="1">
        <f t="array" ref="V92">Common_InputFunctions.Utility_DisplayArrayInTable(Fertiliser_SourceData.Fertiliser_Products_Data1(),FertiliserProducts[[#Headers],[Include or Exclude]], 0,4)</f>
        <v/>
      </c>
      <c r="W92" s="111" t="str" cm="1">
        <f t="array" ref="W92">Common_InputFunctions.Utility_DisplayArrayInTable(Fertiliser_SourceData.Fertiliser_Products_Data1(),FertiliserProducts[[#Headers],[Include or Exclude]], 0,4)</f>
        <v/>
      </c>
      <c r="X92" s="111" t="str" cm="1">
        <f t="array" ref="X92">Common_InputFunctions.Utility_DisplayArrayInTable(Fertiliser_SourceData.Fertiliser_Products_Data1(),FertiliserProducts[[#Headers],[Include or Exclude]], 0,4)</f>
        <v/>
      </c>
      <c r="Y92" s="111" t="str" cm="1">
        <f t="array" ref="Y92">Common_InputFunctions.Utility_DisplayArrayInTable(Fertiliser_SourceData.Fertiliser_Products_Data1(),FertiliserProducts[[#Headers],[Include or Exclude]], 0,4)</f>
        <v/>
      </c>
      <c r="Z92" s="111" t="str" cm="1">
        <f t="array" ref="Z92">Common_InputFunctions.Utility_DisplayArrayInTable(Fertiliser_SourceData.Fertiliser_Products_Data1(),FertiliserProducts[[#Headers],[Include or Exclude]], 0,4)</f>
        <v/>
      </c>
      <c r="AA92" s="111" t="str" cm="1">
        <f t="array" ref="AA92">Common_InputFunctions.Utility_DisplayArrayInTable(Fertiliser_SourceData.Fertiliser_Products_Data1(),FertiliserProducts[[#Headers],[Include or Exclude]], 0,4)</f>
        <v/>
      </c>
      <c r="AB92" s="111" t="str" cm="1">
        <f t="array" ref="AB92">Common_InputFunctions.Utility_DisplayArrayInTable(Fertiliser_SourceData.Fertiliser_Products_Data1(),FertiliserProducts[[#Headers],[Include or Exclude]], 0,4)</f>
        <v/>
      </c>
      <c r="AC92" s="111" t="str" cm="1">
        <f t="array" ref="AC92">Common_InputFunctions.Utility_DisplayArrayInTable(Fertiliser_SourceData.Fertiliser_Products_Data1(),FertiliserProducts[[#Headers],[Include or Exclude]], 0,4)</f>
        <v/>
      </c>
      <c r="AD92" s="111" t="str" cm="1">
        <f t="array" ref="AD92">Common_InputFunctions.Utility_DisplayArrayInTable(Fertiliser_SourceData.Fertiliser_Products_Data1(),FertiliserProducts[[#Headers],[Include or Exclude]], 0,4)</f>
        <v/>
      </c>
      <c r="AE92" s="111" t="str" cm="1">
        <f t="array" ref="AE92">Common_InputFunctions.Utility_DisplayArrayInTable(Fertiliser_SourceData.Fertiliser_Products_Data1(),FertiliserProducts[[#Headers],[Include or Exclude]], 0,4)</f>
        <v/>
      </c>
    </row>
    <row r="93" spans="4:31" ht="20.100000000000001" customHeight="1" x14ac:dyDescent="0.25">
      <c r="D93" s="111" t="str" cm="1">
        <f t="array" ref="D93">Common_InputFunctions.Utility_DisplayArrayInTable(Fertiliser_SourceData.Fertiliser_Products_Data1(),FertiliserProducts[[#Headers],[Include or Exclude]], -1)</f>
        <v>Include</v>
      </c>
      <c r="E93" s="111" t="str" cm="1">
        <f t="array" ref="E93">Common_InputFunctions.Utility_DisplayArrayInTable(Fertiliser_SourceData.Fertiliser_Products_Data1(),FertiliserProducts[[#Headers],[Include or Exclude]], 0)</f>
        <v>Use Lime EF for calcium</v>
      </c>
      <c r="F93" s="111" t="str" cm="1">
        <f t="array" ref="F93">Common_InputFunctions.Utility_DisplayArrayInTable(Fertiliser_SourceData.Fertiliser_Products_Data1(),FertiliserProducts[[#Headers],[Include or Exclude]], 0)</f>
        <v>Campbells fertilisers Australia</v>
      </c>
      <c r="G93" s="111" t="str" cm="1">
        <f t="array" ref="G93">Common_InputFunctions.Utility_DisplayArrayInTable(Fertiliser_SourceData.Fertiliser_Products_Data1(),FertiliserProducts[[#Headers],[Include or Exclude]], 0)</f>
        <v>Aqua NitroCal</v>
      </c>
      <c r="H93" s="111" t="str" cm="1">
        <f t="array" ref="H93">Common_InputFunctions.Utility_DisplayArrayInTable(Fertiliser_SourceData.Fertiliser_Products_Data1(),FertiliserProducts[[#Headers],[Include or Exclude]], 0,4)</f>
        <v>L</v>
      </c>
      <c r="I93" s="111" cm="1">
        <f t="array" ref="I93">Common_InputFunctions.Utility_DisplayArrayInTable(Fertiliser_SourceData.Fertiliser_Products_Data1(),FertiliserProducts[[#Headers],[Include or Exclude]], 0,4)</f>
        <v>1.5</v>
      </c>
      <c r="J93" s="111" t="str" cm="1">
        <f t="array" ref="J93">Common_InputFunctions.Utility_DisplayArrayInTable(Fertiliser_SourceData.Fertiliser_Products_Data1(),FertiliserProducts[[#Headers],[Include or Exclude]], 0,4)</f>
        <v/>
      </c>
      <c r="K93" s="111" t="str" cm="1">
        <f t="array" ref="K93">Common_InputFunctions.Utility_DisplayArrayInTable(Fertiliser_SourceData.Fertiliser_Products_Data1(),FertiliserProducts[[#Headers],[Include or Exclude]], 0,4)</f>
        <v/>
      </c>
      <c r="L93" s="111" t="str" cm="1">
        <f t="array" ref="L93">Common_InputFunctions.Utility_DisplayArrayInTable(Fertiliser_SourceData.Fertiliser_Products_Data1(),FertiliserProducts[[#Headers],[Include or Exclude]], 0,4)</f>
        <v>Calcium - Generic</v>
      </c>
      <c r="M93" s="111" cm="1">
        <f t="array" ref="M93">Common_InputFunctions.Utility_DisplayArrayInTable(Fertiliser_SourceData.Fertiliser_Products_Data1(),FertiliserProducts[[#Headers],[Include or Exclude]], 0,4)</f>
        <v>0.16200000000000001</v>
      </c>
      <c r="N93" s="111" t="str" cm="1">
        <f t="array" ref="N93">Common_InputFunctions.Utility_DisplayArrayInTable(Fertiliser_SourceData.Fertiliser_Products_Data1(),FertiliserProducts[[#Headers],[Include or Exclude]], 0,4)</f>
        <v>Nitrogen - Nitrate</v>
      </c>
      <c r="O93" s="111" cm="1">
        <f t="array" ref="O93">Common_InputFunctions.Utility_DisplayArrayInTable(Fertiliser_SourceData.Fertiliser_Products_Data1(),FertiliserProducts[[#Headers],[Include or Exclude]], 0,4)</f>
        <v>0.13200000000000001</v>
      </c>
      <c r="P93" s="111" t="str" cm="1">
        <f t="array" ref="P93">Common_InputFunctions.Utility_DisplayArrayInTable(Fertiliser_SourceData.Fertiliser_Products_Data1(),FertiliserProducts[[#Headers],[Include or Exclude]], 0,4)</f>
        <v/>
      </c>
      <c r="Q93" s="111" t="str" cm="1">
        <f t="array" ref="Q93">Common_InputFunctions.Utility_DisplayArrayInTable(Fertiliser_SourceData.Fertiliser_Products_Data1(),FertiliserProducts[[#Headers],[Include or Exclude]], 0,4)</f>
        <v/>
      </c>
      <c r="R93" s="111" t="str" cm="1">
        <f t="array" ref="R93">Common_InputFunctions.Utility_DisplayArrayInTable(Fertiliser_SourceData.Fertiliser_Products_Data1(),FertiliserProducts[[#Headers],[Include or Exclude]], 0,4)</f>
        <v/>
      </c>
      <c r="S93" s="111" t="str" cm="1">
        <f t="array" ref="S93">Common_InputFunctions.Utility_DisplayArrayInTable(Fertiliser_SourceData.Fertiliser_Products_Data1(),FertiliserProducts[[#Headers],[Include or Exclude]], 0,4)</f>
        <v/>
      </c>
      <c r="T93" s="111" t="str" cm="1">
        <f t="array" ref="T93">Common_InputFunctions.Utility_DisplayArrayInTable(Fertiliser_SourceData.Fertiliser_Products_Data1(),FertiliserProducts[[#Headers],[Include or Exclude]], 0,4)</f>
        <v/>
      </c>
      <c r="U93" s="111" t="str" cm="1">
        <f t="array" ref="U93">Common_InputFunctions.Utility_DisplayArrayInTable(Fertiliser_SourceData.Fertiliser_Products_Data1(),FertiliserProducts[[#Headers],[Include or Exclude]], 0,4)</f>
        <v/>
      </c>
      <c r="V93" s="111" t="str" cm="1">
        <f t="array" ref="V93">Common_InputFunctions.Utility_DisplayArrayInTable(Fertiliser_SourceData.Fertiliser_Products_Data1(),FertiliserProducts[[#Headers],[Include or Exclude]], 0,4)</f>
        <v/>
      </c>
      <c r="W93" s="111" t="str" cm="1">
        <f t="array" ref="W93">Common_InputFunctions.Utility_DisplayArrayInTable(Fertiliser_SourceData.Fertiliser_Products_Data1(),FertiliserProducts[[#Headers],[Include or Exclude]], 0,4)</f>
        <v/>
      </c>
      <c r="X93" s="111" t="str" cm="1">
        <f t="array" ref="X93">Common_InputFunctions.Utility_DisplayArrayInTable(Fertiliser_SourceData.Fertiliser_Products_Data1(),FertiliserProducts[[#Headers],[Include or Exclude]], 0,4)</f>
        <v/>
      </c>
      <c r="Y93" s="111" t="str" cm="1">
        <f t="array" ref="Y93">Common_InputFunctions.Utility_DisplayArrayInTable(Fertiliser_SourceData.Fertiliser_Products_Data1(),FertiliserProducts[[#Headers],[Include or Exclude]], 0,4)</f>
        <v/>
      </c>
      <c r="Z93" s="111" t="str" cm="1">
        <f t="array" ref="Z93">Common_InputFunctions.Utility_DisplayArrayInTable(Fertiliser_SourceData.Fertiliser_Products_Data1(),FertiliserProducts[[#Headers],[Include or Exclude]], 0,4)</f>
        <v/>
      </c>
      <c r="AA93" s="111" t="str" cm="1">
        <f t="array" ref="AA93">Common_InputFunctions.Utility_DisplayArrayInTable(Fertiliser_SourceData.Fertiliser_Products_Data1(),FertiliserProducts[[#Headers],[Include or Exclude]], 0,4)</f>
        <v/>
      </c>
      <c r="AB93" s="111" t="str" cm="1">
        <f t="array" ref="AB93">Common_InputFunctions.Utility_DisplayArrayInTable(Fertiliser_SourceData.Fertiliser_Products_Data1(),FertiliserProducts[[#Headers],[Include or Exclude]], 0,4)</f>
        <v/>
      </c>
      <c r="AC93" s="111" t="str" cm="1">
        <f t="array" ref="AC93">Common_InputFunctions.Utility_DisplayArrayInTable(Fertiliser_SourceData.Fertiliser_Products_Data1(),FertiliserProducts[[#Headers],[Include or Exclude]], 0,4)</f>
        <v/>
      </c>
      <c r="AD93" s="111" t="str" cm="1">
        <f t="array" ref="AD93">Common_InputFunctions.Utility_DisplayArrayInTable(Fertiliser_SourceData.Fertiliser_Products_Data1(),FertiliserProducts[[#Headers],[Include or Exclude]], 0,4)</f>
        <v/>
      </c>
      <c r="AE93" s="111" t="str" cm="1">
        <f t="array" ref="AE93">Common_InputFunctions.Utility_DisplayArrayInTable(Fertiliser_SourceData.Fertiliser_Products_Data1(),FertiliserProducts[[#Headers],[Include or Exclude]], 0,4)</f>
        <v/>
      </c>
    </row>
    <row r="94" spans="4:31" ht="20.100000000000001" customHeight="1" x14ac:dyDescent="0.25">
      <c r="D94" s="111" t="str" cm="1">
        <f t="array" ref="D94">Common_InputFunctions.Utility_DisplayArrayInTable(Fertiliser_SourceData.Fertiliser_Products_Data1(),FertiliserProducts[[#Headers],[Include or Exclude]], -1)</f>
        <v>Include</v>
      </c>
      <c r="E94" s="111" t="str" cm="1">
        <f t="array" ref="E94">Common_InputFunctions.Utility_DisplayArrayInTable(Fertiliser_SourceData.Fertiliser_Products_Data1(),FertiliserProducts[[#Headers],[Include or Exclude]], 0)</f>
        <v>Use Lime EF for calcium</v>
      </c>
      <c r="F94" s="111" t="str" cm="1">
        <f t="array" ref="F94">Common_InputFunctions.Utility_DisplayArrayInTable(Fertiliser_SourceData.Fertiliser_Products_Data1(),FertiliserProducts[[#Headers],[Include or Exclude]], 0)</f>
        <v>Campbells fertilisers Australia</v>
      </c>
      <c r="G94" s="111" t="str" cm="1">
        <f t="array" ref="G94">Common_InputFunctions.Utility_DisplayArrayInTable(Fertiliser_SourceData.Fertiliser_Products_Data1(),FertiliserProducts[[#Headers],[Include or Exclude]], 0)</f>
        <v>Aqua NitroCal (VI)</v>
      </c>
      <c r="H94" s="111" t="str" cm="1">
        <f t="array" ref="H94">Common_InputFunctions.Utility_DisplayArrayInTable(Fertiliser_SourceData.Fertiliser_Products_Data1(),FertiliserProducts[[#Headers],[Include or Exclude]], 0,4)</f>
        <v>L</v>
      </c>
      <c r="I94" s="111" cm="1">
        <f t="array" ref="I94">Common_InputFunctions.Utility_DisplayArrayInTable(Fertiliser_SourceData.Fertiliser_Products_Data1(),FertiliserProducts[[#Headers],[Include or Exclude]], 0,4)</f>
        <v>1.5</v>
      </c>
      <c r="J94" s="111" t="str" cm="1">
        <f t="array" ref="J94">Common_InputFunctions.Utility_DisplayArrayInTable(Fertiliser_SourceData.Fertiliser_Products_Data1(),FertiliserProducts[[#Headers],[Include or Exclude]], 0,4)</f>
        <v/>
      </c>
      <c r="K94" s="111" t="str" cm="1">
        <f t="array" ref="K94">Common_InputFunctions.Utility_DisplayArrayInTable(Fertiliser_SourceData.Fertiliser_Products_Data1(),FertiliserProducts[[#Headers],[Include or Exclude]], 0,4)</f>
        <v/>
      </c>
      <c r="L94" s="111" t="str" cm="1">
        <f t="array" ref="L94">Common_InputFunctions.Utility_DisplayArrayInTable(Fertiliser_SourceData.Fertiliser_Products_Data1(),FertiliserProducts[[#Headers],[Include or Exclude]], 0,4)</f>
        <v>Calcium - Generic</v>
      </c>
      <c r="M94" s="111" cm="1">
        <f t="array" ref="M94">Common_InputFunctions.Utility_DisplayArrayInTable(Fertiliser_SourceData.Fertiliser_Products_Data1(),FertiliserProducts[[#Headers],[Include or Exclude]], 0,4)</f>
        <v>0.187</v>
      </c>
      <c r="N94" s="111" t="str" cm="1">
        <f t="array" ref="N94">Common_InputFunctions.Utility_DisplayArrayInTable(Fertiliser_SourceData.Fertiliser_Products_Data1(),FertiliserProducts[[#Headers],[Include or Exclude]], 0,4)</f>
        <v>Nitrogen - Nitrate</v>
      </c>
      <c r="O94" s="111" cm="1">
        <f t="array" ref="O94">Common_InputFunctions.Utility_DisplayArrayInTable(Fertiliser_SourceData.Fertiliser_Products_Data1(),FertiliserProducts[[#Headers],[Include or Exclude]], 0,4)</f>
        <v>0.13200000000000001</v>
      </c>
      <c r="P94" s="111" t="str" cm="1">
        <f t="array" ref="P94">Common_InputFunctions.Utility_DisplayArrayInTable(Fertiliser_SourceData.Fertiliser_Products_Data1(),FertiliserProducts[[#Headers],[Include or Exclude]], 0,4)</f>
        <v/>
      </c>
      <c r="Q94" s="111" t="str" cm="1">
        <f t="array" ref="Q94">Common_InputFunctions.Utility_DisplayArrayInTable(Fertiliser_SourceData.Fertiliser_Products_Data1(),FertiliserProducts[[#Headers],[Include or Exclude]], 0,4)</f>
        <v/>
      </c>
      <c r="R94" s="111" t="str" cm="1">
        <f t="array" ref="R94">Common_InputFunctions.Utility_DisplayArrayInTable(Fertiliser_SourceData.Fertiliser_Products_Data1(),FertiliserProducts[[#Headers],[Include or Exclude]], 0,4)</f>
        <v/>
      </c>
      <c r="S94" s="111" t="str" cm="1">
        <f t="array" ref="S94">Common_InputFunctions.Utility_DisplayArrayInTable(Fertiliser_SourceData.Fertiliser_Products_Data1(),FertiliserProducts[[#Headers],[Include or Exclude]], 0,4)</f>
        <v/>
      </c>
      <c r="T94" s="111" t="str" cm="1">
        <f t="array" ref="T94">Common_InputFunctions.Utility_DisplayArrayInTable(Fertiliser_SourceData.Fertiliser_Products_Data1(),FertiliserProducts[[#Headers],[Include or Exclude]], 0,4)</f>
        <v/>
      </c>
      <c r="U94" s="111" t="str" cm="1">
        <f t="array" ref="U94">Common_InputFunctions.Utility_DisplayArrayInTable(Fertiliser_SourceData.Fertiliser_Products_Data1(),FertiliserProducts[[#Headers],[Include or Exclude]], 0,4)</f>
        <v/>
      </c>
      <c r="V94" s="111" t="str" cm="1">
        <f t="array" ref="V94">Common_InputFunctions.Utility_DisplayArrayInTable(Fertiliser_SourceData.Fertiliser_Products_Data1(),FertiliserProducts[[#Headers],[Include or Exclude]], 0,4)</f>
        <v/>
      </c>
      <c r="W94" s="111" t="str" cm="1">
        <f t="array" ref="W94">Common_InputFunctions.Utility_DisplayArrayInTable(Fertiliser_SourceData.Fertiliser_Products_Data1(),FertiliserProducts[[#Headers],[Include or Exclude]], 0,4)</f>
        <v/>
      </c>
      <c r="X94" s="111" t="str" cm="1">
        <f t="array" ref="X94">Common_InputFunctions.Utility_DisplayArrayInTable(Fertiliser_SourceData.Fertiliser_Products_Data1(),FertiliserProducts[[#Headers],[Include or Exclude]], 0,4)</f>
        <v/>
      </c>
      <c r="Y94" s="111" t="str" cm="1">
        <f t="array" ref="Y94">Common_InputFunctions.Utility_DisplayArrayInTable(Fertiliser_SourceData.Fertiliser_Products_Data1(),FertiliserProducts[[#Headers],[Include or Exclude]], 0,4)</f>
        <v/>
      </c>
      <c r="Z94" s="111" t="str" cm="1">
        <f t="array" ref="Z94">Common_InputFunctions.Utility_DisplayArrayInTable(Fertiliser_SourceData.Fertiliser_Products_Data1(),FertiliserProducts[[#Headers],[Include or Exclude]], 0,4)</f>
        <v/>
      </c>
      <c r="AA94" s="111" t="str" cm="1">
        <f t="array" ref="AA94">Common_InputFunctions.Utility_DisplayArrayInTable(Fertiliser_SourceData.Fertiliser_Products_Data1(),FertiliserProducts[[#Headers],[Include or Exclude]], 0,4)</f>
        <v/>
      </c>
      <c r="AB94" s="111" t="str" cm="1">
        <f t="array" ref="AB94">Common_InputFunctions.Utility_DisplayArrayInTable(Fertiliser_SourceData.Fertiliser_Products_Data1(),FertiliserProducts[[#Headers],[Include or Exclude]], 0,4)</f>
        <v/>
      </c>
      <c r="AC94" s="111" t="str" cm="1">
        <f t="array" ref="AC94">Common_InputFunctions.Utility_DisplayArrayInTable(Fertiliser_SourceData.Fertiliser_Products_Data1(),FertiliserProducts[[#Headers],[Include or Exclude]], 0,4)</f>
        <v/>
      </c>
      <c r="AD94" s="111" t="str" cm="1">
        <f t="array" ref="AD94">Common_InputFunctions.Utility_DisplayArrayInTable(Fertiliser_SourceData.Fertiliser_Products_Data1(),FertiliserProducts[[#Headers],[Include or Exclude]], 0,4)</f>
        <v/>
      </c>
      <c r="AE94" s="111" t="str" cm="1">
        <f t="array" ref="AE94">Common_InputFunctions.Utility_DisplayArrayInTable(Fertiliser_SourceData.Fertiliser_Products_Data1(),FertiliserProducts[[#Headers],[Include or Exclude]], 0,4)</f>
        <v/>
      </c>
    </row>
    <row r="95" spans="4:31" ht="20.100000000000001" customHeight="1" x14ac:dyDescent="0.25">
      <c r="D95" s="111" t="str" cm="1">
        <f t="array" ref="D95">Common_InputFunctions.Utility_DisplayArrayInTable(Fertiliser_SourceData.Fertiliser_Products_Data1(),FertiliserProducts[[#Headers],[Include or Exclude]], -1)</f>
        <v>Include</v>
      </c>
      <c r="E95" s="111" t="str" cm="1">
        <f t="array" ref="E95">Common_InputFunctions.Utility_DisplayArrayInTable(Fertiliser_SourceData.Fertiliser_Products_Data1(),FertiliserProducts[[#Headers],[Include or Exclude]], 0)</f>
        <v>Use Lime EF for calcium</v>
      </c>
      <c r="F95" s="111" t="str" cm="1">
        <f t="array" ref="F95">Common_InputFunctions.Utility_DisplayArrayInTable(Fertiliser_SourceData.Fertiliser_Products_Data1(),FertiliserProducts[[#Headers],[Include or Exclude]], 0)</f>
        <v>Campbells fertilisers Australia</v>
      </c>
      <c r="G95" s="111" t="str" cm="1">
        <f t="array" ref="G95">Common_InputFunctions.Utility_DisplayArrayInTable(Fertiliser_SourceData.Fertiliser_Products_Data1(),FertiliserProducts[[#Headers],[Include or Exclude]], 0)</f>
        <v>Aqua NitroCal Ultimate</v>
      </c>
      <c r="H95" s="111" t="str" cm="1">
        <f t="array" ref="H95">Common_InputFunctions.Utility_DisplayArrayInTable(Fertiliser_SourceData.Fertiliser_Products_Data1(),FertiliserProducts[[#Headers],[Include or Exclude]], 0,4)</f>
        <v>L</v>
      </c>
      <c r="I95" s="111" cm="1">
        <f t="array" ref="I95">Common_InputFunctions.Utility_DisplayArrayInTable(Fertiliser_SourceData.Fertiliser_Products_Data1(),FertiliserProducts[[#Headers],[Include or Exclude]], 0,4)</f>
        <v>1.5</v>
      </c>
      <c r="J95" s="111" t="str" cm="1">
        <f t="array" ref="J95">Common_InputFunctions.Utility_DisplayArrayInTable(Fertiliser_SourceData.Fertiliser_Products_Data1(),FertiliserProducts[[#Headers],[Include or Exclude]], 0,4)</f>
        <v/>
      </c>
      <c r="K95" s="111" t="str" cm="1">
        <f t="array" ref="K95">Common_InputFunctions.Utility_DisplayArrayInTable(Fertiliser_SourceData.Fertiliser_Products_Data1(),FertiliserProducts[[#Headers],[Include or Exclude]], 0,4)</f>
        <v/>
      </c>
      <c r="L95" s="111" t="str" cm="1">
        <f t="array" ref="L95">Common_InputFunctions.Utility_DisplayArrayInTable(Fertiliser_SourceData.Fertiliser_Products_Data1(),FertiliserProducts[[#Headers],[Include or Exclude]], 0,4)</f>
        <v>Calcium - Generic</v>
      </c>
      <c r="M95" s="111" cm="1">
        <f t="array" ref="M95">Common_InputFunctions.Utility_DisplayArrayInTable(Fertiliser_SourceData.Fertiliser_Products_Data1(),FertiliserProducts[[#Headers],[Include or Exclude]], 0,4)</f>
        <v>0.183</v>
      </c>
      <c r="N95" s="111" t="str" cm="1">
        <f t="array" ref="N95">Common_InputFunctions.Utility_DisplayArrayInTable(Fertiliser_SourceData.Fertiliser_Products_Data1(),FertiliserProducts[[#Headers],[Include or Exclude]], 0,4)</f>
        <v>Nitrogen  - Nitrate</v>
      </c>
      <c r="O95" s="111" cm="1">
        <f t="array" ref="O95">Common_InputFunctions.Utility_DisplayArrayInTable(Fertiliser_SourceData.Fertiliser_Products_Data1(),FertiliserProducts[[#Headers],[Include or Exclude]], 0,4)</f>
        <v>0.13200000000000001</v>
      </c>
      <c r="P95" s="111" t="str" cm="1">
        <f t="array" ref="P95">Common_InputFunctions.Utility_DisplayArrayInTable(Fertiliser_SourceData.Fertiliser_Products_Data1(),FertiliserProducts[[#Headers],[Include or Exclude]], 0,4)</f>
        <v/>
      </c>
      <c r="Q95" s="111" t="str" cm="1">
        <f t="array" ref="Q95">Common_InputFunctions.Utility_DisplayArrayInTable(Fertiliser_SourceData.Fertiliser_Products_Data1(),FertiliserProducts[[#Headers],[Include or Exclude]], 0,4)</f>
        <v/>
      </c>
      <c r="R95" s="111" t="str" cm="1">
        <f t="array" ref="R95">Common_InputFunctions.Utility_DisplayArrayInTable(Fertiliser_SourceData.Fertiliser_Products_Data1(),FertiliserProducts[[#Headers],[Include or Exclude]], 0,4)</f>
        <v/>
      </c>
      <c r="S95" s="111" t="str" cm="1">
        <f t="array" ref="S95">Common_InputFunctions.Utility_DisplayArrayInTable(Fertiliser_SourceData.Fertiliser_Products_Data1(),FertiliserProducts[[#Headers],[Include or Exclude]], 0,4)</f>
        <v/>
      </c>
      <c r="T95" s="111" t="str" cm="1">
        <f t="array" ref="T95">Common_InputFunctions.Utility_DisplayArrayInTable(Fertiliser_SourceData.Fertiliser_Products_Data1(),FertiliserProducts[[#Headers],[Include or Exclude]], 0,4)</f>
        <v/>
      </c>
      <c r="U95" s="111" t="str" cm="1">
        <f t="array" ref="U95">Common_InputFunctions.Utility_DisplayArrayInTable(Fertiliser_SourceData.Fertiliser_Products_Data1(),FertiliserProducts[[#Headers],[Include or Exclude]], 0,4)</f>
        <v/>
      </c>
      <c r="V95" s="111" t="str" cm="1">
        <f t="array" ref="V95">Common_InputFunctions.Utility_DisplayArrayInTable(Fertiliser_SourceData.Fertiliser_Products_Data1(),FertiliserProducts[[#Headers],[Include or Exclude]], 0,4)</f>
        <v/>
      </c>
      <c r="W95" s="111" t="str" cm="1">
        <f t="array" ref="W95">Common_InputFunctions.Utility_DisplayArrayInTable(Fertiliser_SourceData.Fertiliser_Products_Data1(),FertiliserProducts[[#Headers],[Include or Exclude]], 0,4)</f>
        <v/>
      </c>
      <c r="X95" s="111" t="str" cm="1">
        <f t="array" ref="X95">Common_InputFunctions.Utility_DisplayArrayInTable(Fertiliser_SourceData.Fertiliser_Products_Data1(),FertiliserProducts[[#Headers],[Include or Exclude]], 0,4)</f>
        <v/>
      </c>
      <c r="Y95" s="111" t="str" cm="1">
        <f t="array" ref="Y95">Common_InputFunctions.Utility_DisplayArrayInTable(Fertiliser_SourceData.Fertiliser_Products_Data1(),FertiliserProducts[[#Headers],[Include or Exclude]], 0,4)</f>
        <v/>
      </c>
      <c r="Z95" s="111" t="str" cm="1">
        <f t="array" ref="Z95">Common_InputFunctions.Utility_DisplayArrayInTable(Fertiliser_SourceData.Fertiliser_Products_Data1(),FertiliserProducts[[#Headers],[Include or Exclude]], 0,4)</f>
        <v/>
      </c>
      <c r="AA95" s="111" t="str" cm="1">
        <f t="array" ref="AA95">Common_InputFunctions.Utility_DisplayArrayInTable(Fertiliser_SourceData.Fertiliser_Products_Data1(),FertiliserProducts[[#Headers],[Include or Exclude]], 0,4)</f>
        <v/>
      </c>
      <c r="AB95" s="111" t="str" cm="1">
        <f t="array" ref="AB95">Common_InputFunctions.Utility_DisplayArrayInTable(Fertiliser_SourceData.Fertiliser_Products_Data1(),FertiliserProducts[[#Headers],[Include or Exclude]], 0,4)</f>
        <v/>
      </c>
      <c r="AC95" s="111" t="str" cm="1">
        <f t="array" ref="AC95">Common_InputFunctions.Utility_DisplayArrayInTable(Fertiliser_SourceData.Fertiliser_Products_Data1(),FertiliserProducts[[#Headers],[Include or Exclude]], 0,4)</f>
        <v/>
      </c>
      <c r="AD95" s="111" t="str" cm="1">
        <f t="array" ref="AD95">Common_InputFunctions.Utility_DisplayArrayInTable(Fertiliser_SourceData.Fertiliser_Products_Data1(),FertiliserProducts[[#Headers],[Include or Exclude]], 0,4)</f>
        <v/>
      </c>
      <c r="AE95" s="111" t="str" cm="1">
        <f t="array" ref="AE95">Common_InputFunctions.Utility_DisplayArrayInTable(Fertiliser_SourceData.Fertiliser_Products_Data1(),FertiliserProducts[[#Headers],[Include or Exclude]], 0,4)</f>
        <v/>
      </c>
    </row>
    <row r="96" spans="4:31" ht="20.100000000000001" customHeight="1" x14ac:dyDescent="0.25">
      <c r="D96" s="111" t="str" cm="1">
        <f t="array" ref="D96">Common_InputFunctions.Utility_DisplayArrayInTable(Fertiliser_SourceData.Fertiliser_Products_Data1(),FertiliserProducts[[#Headers],[Include or Exclude]], -1)</f>
        <v>Include</v>
      </c>
      <c r="E96" s="111" t="str" cm="1">
        <f t="array" ref="E96">Common_InputFunctions.Utility_DisplayArrayInTable(Fertiliser_SourceData.Fertiliser_Products_Data1(),FertiliserProducts[[#Headers],[Include or Exclude]], 0)</f>
        <v/>
      </c>
      <c r="F96" s="111" t="str" cm="1">
        <f t="array" ref="F96">Common_InputFunctions.Utility_DisplayArrayInTable(Fertiliser_SourceData.Fertiliser_Products_Data1(),FertiliserProducts[[#Headers],[Include or Exclude]], 0)</f>
        <v>Campbells fertilisers Australia</v>
      </c>
      <c r="G96" s="111" t="str" cm="1">
        <f t="array" ref="G96">Common_InputFunctions.Utility_DisplayArrayInTable(Fertiliser_SourceData.Fertiliser_Products_Data1(),FertiliserProducts[[#Headers],[Include or Exclude]], 0)</f>
        <v>Aqua Start</v>
      </c>
      <c r="H96" s="111" t="str" cm="1">
        <f t="array" ref="H96">Common_InputFunctions.Utility_DisplayArrayInTable(Fertiliser_SourceData.Fertiliser_Products_Data1(),FertiliserProducts[[#Headers],[Include or Exclude]], 0,4)</f>
        <v>L</v>
      </c>
      <c r="I96" s="111" cm="1">
        <f t="array" ref="I96">Common_InputFunctions.Utility_DisplayArrayInTable(Fertiliser_SourceData.Fertiliser_Products_Data1(),FertiliserProducts[[#Headers],[Include or Exclude]], 0,4)</f>
        <v>1.25</v>
      </c>
      <c r="J96" s="111" t="str" cm="1">
        <f t="array" ref="J96">Common_InputFunctions.Utility_DisplayArrayInTable(Fertiliser_SourceData.Fertiliser_Products_Data1(),FertiliserProducts[[#Headers],[Include or Exclude]], 0,4)</f>
        <v/>
      </c>
      <c r="K96" s="111" t="str" cm="1">
        <f t="array" ref="K96">Common_InputFunctions.Utility_DisplayArrayInTable(Fertiliser_SourceData.Fertiliser_Products_Data1(),FertiliserProducts[[#Headers],[Include or Exclude]], 0,4)</f>
        <v/>
      </c>
      <c r="L96" s="111" t="str" cm="1">
        <f t="array" ref="L96">Common_InputFunctions.Utility_DisplayArrayInTable(Fertiliser_SourceData.Fertiliser_Products_Data1(),FertiliserProducts[[#Headers],[Include or Exclude]], 0,4)</f>
        <v>Nitrogen - Generic</v>
      </c>
      <c r="M96" s="111" cm="1">
        <f t="array" ref="M96">Common_InputFunctions.Utility_DisplayArrayInTable(Fertiliser_SourceData.Fertiliser_Products_Data1(),FertiliserProducts[[#Headers],[Include or Exclude]], 0,4)</f>
        <v>0.10299999999999999</v>
      </c>
      <c r="N96" s="111" t="str" cm="1">
        <f t="array" ref="N96">Common_InputFunctions.Utility_DisplayArrayInTable(Fertiliser_SourceData.Fertiliser_Products_Data1(),FertiliserProducts[[#Headers],[Include or Exclude]], 0,4)</f>
        <v>Phosphorus - Generic</v>
      </c>
      <c r="O96" s="111" cm="1">
        <f t="array" ref="O96">Common_InputFunctions.Utility_DisplayArrayInTable(Fertiliser_SourceData.Fertiliser_Products_Data1(),FertiliserProducts[[#Headers],[Include or Exclude]], 0,4)</f>
        <v>0.1</v>
      </c>
      <c r="P96" s="111" t="str" cm="1">
        <f t="array" ref="P96">Common_InputFunctions.Utility_DisplayArrayInTable(Fertiliser_SourceData.Fertiliser_Products_Data1(),FertiliserProducts[[#Headers],[Include or Exclude]], 0,4)</f>
        <v>Potassium - Generic</v>
      </c>
      <c r="Q96" s="111" cm="1">
        <f t="array" ref="Q96">Common_InputFunctions.Utility_DisplayArrayInTable(Fertiliser_SourceData.Fertiliser_Products_Data1(),FertiliserProducts[[#Headers],[Include or Exclude]], 0,4)</f>
        <v>3.4000000000000002E-2</v>
      </c>
      <c r="R96" s="111" t="str" cm="1">
        <f t="array" ref="R96">Common_InputFunctions.Utility_DisplayArrayInTable(Fertiliser_SourceData.Fertiliser_Products_Data1(),FertiliserProducts[[#Headers],[Include or Exclude]], 0,4)</f>
        <v/>
      </c>
      <c r="S96" s="111" t="str" cm="1">
        <f t="array" ref="S96">Common_InputFunctions.Utility_DisplayArrayInTable(Fertiliser_SourceData.Fertiliser_Products_Data1(),FertiliserProducts[[#Headers],[Include or Exclude]], 0,4)</f>
        <v/>
      </c>
      <c r="T96" s="111" t="str" cm="1">
        <f t="array" ref="T96">Common_InputFunctions.Utility_DisplayArrayInTable(Fertiliser_SourceData.Fertiliser_Products_Data1(),FertiliserProducts[[#Headers],[Include or Exclude]], 0,4)</f>
        <v/>
      </c>
      <c r="U96" s="111" t="str" cm="1">
        <f t="array" ref="U96">Common_InputFunctions.Utility_DisplayArrayInTable(Fertiliser_SourceData.Fertiliser_Products_Data1(),FertiliserProducts[[#Headers],[Include or Exclude]], 0,4)</f>
        <v/>
      </c>
      <c r="V96" s="111" t="str" cm="1">
        <f t="array" ref="V96">Common_InputFunctions.Utility_DisplayArrayInTable(Fertiliser_SourceData.Fertiliser_Products_Data1(),FertiliserProducts[[#Headers],[Include or Exclude]], 0,4)</f>
        <v/>
      </c>
      <c r="W96" s="111" t="str" cm="1">
        <f t="array" ref="W96">Common_InputFunctions.Utility_DisplayArrayInTable(Fertiliser_SourceData.Fertiliser_Products_Data1(),FertiliserProducts[[#Headers],[Include or Exclude]], 0,4)</f>
        <v/>
      </c>
      <c r="X96" s="111" t="str" cm="1">
        <f t="array" ref="X96">Common_InputFunctions.Utility_DisplayArrayInTable(Fertiliser_SourceData.Fertiliser_Products_Data1(),FertiliserProducts[[#Headers],[Include or Exclude]], 0,4)</f>
        <v/>
      </c>
      <c r="Y96" s="111" t="str" cm="1">
        <f t="array" ref="Y96">Common_InputFunctions.Utility_DisplayArrayInTable(Fertiliser_SourceData.Fertiliser_Products_Data1(),FertiliserProducts[[#Headers],[Include or Exclude]], 0,4)</f>
        <v/>
      </c>
      <c r="Z96" s="111" t="str" cm="1">
        <f t="array" ref="Z96">Common_InputFunctions.Utility_DisplayArrayInTable(Fertiliser_SourceData.Fertiliser_Products_Data1(),FertiliserProducts[[#Headers],[Include or Exclude]], 0,4)</f>
        <v/>
      </c>
      <c r="AA96" s="111" t="str" cm="1">
        <f t="array" ref="AA96">Common_InputFunctions.Utility_DisplayArrayInTable(Fertiliser_SourceData.Fertiliser_Products_Data1(),FertiliserProducts[[#Headers],[Include or Exclude]], 0,4)</f>
        <v/>
      </c>
      <c r="AB96" s="111" t="str" cm="1">
        <f t="array" ref="AB96">Common_InputFunctions.Utility_DisplayArrayInTable(Fertiliser_SourceData.Fertiliser_Products_Data1(),FertiliserProducts[[#Headers],[Include or Exclude]], 0,4)</f>
        <v/>
      </c>
      <c r="AC96" s="111" t="str" cm="1">
        <f t="array" ref="AC96">Common_InputFunctions.Utility_DisplayArrayInTable(Fertiliser_SourceData.Fertiliser_Products_Data1(),FertiliserProducts[[#Headers],[Include or Exclude]], 0,4)</f>
        <v/>
      </c>
      <c r="AD96" s="111" t="str" cm="1">
        <f t="array" ref="AD96">Common_InputFunctions.Utility_DisplayArrayInTable(Fertiliser_SourceData.Fertiliser_Products_Data1(),FertiliserProducts[[#Headers],[Include or Exclude]], 0,4)</f>
        <v/>
      </c>
      <c r="AE96" s="111" t="str" cm="1">
        <f t="array" ref="AE96">Common_InputFunctions.Utility_DisplayArrayInTable(Fertiliser_SourceData.Fertiliser_Products_Data1(),FertiliserProducts[[#Headers],[Include or Exclude]], 0,4)</f>
        <v/>
      </c>
    </row>
    <row r="97" spans="4:31" ht="20.100000000000001" customHeight="1" x14ac:dyDescent="0.25">
      <c r="D97" s="111" t="str" cm="1">
        <f t="array" ref="D97">Common_InputFunctions.Utility_DisplayArrayInTable(Fertiliser_SourceData.Fertiliser_Products_Data1(),FertiliserProducts[[#Headers],[Include or Exclude]], -1)</f>
        <v>Include</v>
      </c>
      <c r="E97" s="111" t="str" cm="1">
        <f t="array" ref="E97">Common_InputFunctions.Utility_DisplayArrayInTable(Fertiliser_SourceData.Fertiliser_Products_Data1(),FertiliserProducts[[#Headers],[Include or Exclude]], 0)</f>
        <v/>
      </c>
      <c r="F97" s="111" t="str" cm="1">
        <f t="array" ref="F97">Common_InputFunctions.Utility_DisplayArrayInTable(Fertiliser_SourceData.Fertiliser_Products_Data1(),FertiliserProducts[[#Headers],[Include or Exclude]], 0)</f>
        <v>Campbells fertilisers Australia</v>
      </c>
      <c r="G97" s="111" t="str" cm="1">
        <f t="array" ref="G97">Common_InputFunctions.Utility_DisplayArrayInTable(Fertiliser_SourceData.Fertiliser_Products_Data1(),FertiliserProducts[[#Headers],[Include or Exclude]], 0)</f>
        <v>Aqua Thio-Complete</v>
      </c>
      <c r="H97" s="111" t="str" cm="1">
        <f t="array" ref="H97">Common_InputFunctions.Utility_DisplayArrayInTable(Fertiliser_SourceData.Fertiliser_Products_Data1(),FertiliserProducts[[#Headers],[Include or Exclude]], 0,4)</f>
        <v>L</v>
      </c>
      <c r="I97" s="111" cm="1">
        <f t="array" ref="I97">Common_InputFunctions.Utility_DisplayArrayInTable(Fertiliser_SourceData.Fertiliser_Products_Data1(),FertiliserProducts[[#Headers],[Include or Exclude]], 0,4)</f>
        <v>1.43</v>
      </c>
      <c r="J97" s="111" t="str" cm="1">
        <f t="array" ref="J97">Common_InputFunctions.Utility_DisplayArrayInTable(Fertiliser_SourceData.Fertiliser_Products_Data1(),FertiliserProducts[[#Headers],[Include or Exclude]], 0,4)</f>
        <v/>
      </c>
      <c r="K97" s="111" t="str" cm="1">
        <f t="array" ref="K97">Common_InputFunctions.Utility_DisplayArrayInTable(Fertiliser_SourceData.Fertiliser_Products_Data1(),FertiliserProducts[[#Headers],[Include or Exclude]], 0,4)</f>
        <v/>
      </c>
      <c r="L97" s="111" t="str" cm="1">
        <f t="array" ref="L97">Common_InputFunctions.Utility_DisplayArrayInTable(Fertiliser_SourceData.Fertiliser_Products_Data1(),FertiliserProducts[[#Headers],[Include or Exclude]], 0,4)</f>
        <v>Potassium - Generic</v>
      </c>
      <c r="M97" s="111" cm="1">
        <f t="array" ref="M97">Common_InputFunctions.Utility_DisplayArrayInTable(Fertiliser_SourceData.Fertiliser_Products_Data1(),FertiliserProducts[[#Headers],[Include or Exclude]], 0,4)</f>
        <v>0.22500000000000001</v>
      </c>
      <c r="N97" s="111" t="str" cm="1">
        <f t="array" ref="N97">Common_InputFunctions.Utility_DisplayArrayInTable(Fertiliser_SourceData.Fertiliser_Products_Data1(),FertiliserProducts[[#Headers],[Include or Exclude]], 0,4)</f>
        <v>Phosphorus - Generic</v>
      </c>
      <c r="O97" s="111" cm="1">
        <f t="array" ref="O97">Common_InputFunctions.Utility_DisplayArrayInTable(Fertiliser_SourceData.Fertiliser_Products_Data1(),FertiliserProducts[[#Headers],[Include or Exclude]], 0,4)</f>
        <v>3.7999999999999999E-2</v>
      </c>
      <c r="P97" s="111" t="str" cm="1">
        <f t="array" ref="P97">Common_InputFunctions.Utility_DisplayArrayInTable(Fertiliser_SourceData.Fertiliser_Products_Data1(),FertiliserProducts[[#Headers],[Include or Exclude]], 0,4)</f>
        <v>Nitrogen - Generic</v>
      </c>
      <c r="Q97" s="111" cm="1">
        <f t="array" ref="Q97">Common_InputFunctions.Utility_DisplayArrayInTable(Fertiliser_SourceData.Fertiliser_Products_Data1(),FertiliserProducts[[#Headers],[Include or Exclude]], 0,4)</f>
        <v>2.5000000000000001E-2</v>
      </c>
      <c r="R97" s="111" t="str" cm="1">
        <f t="array" ref="R97">Common_InputFunctions.Utility_DisplayArrayInTable(Fertiliser_SourceData.Fertiliser_Products_Data1(),FertiliserProducts[[#Headers],[Include or Exclude]], 0,4)</f>
        <v/>
      </c>
      <c r="S97" s="111" t="str" cm="1">
        <f t="array" ref="S97">Common_InputFunctions.Utility_DisplayArrayInTable(Fertiliser_SourceData.Fertiliser_Products_Data1(),FertiliserProducts[[#Headers],[Include or Exclude]], 0,4)</f>
        <v/>
      </c>
      <c r="T97" s="111" t="str" cm="1">
        <f t="array" ref="T97">Common_InputFunctions.Utility_DisplayArrayInTable(Fertiliser_SourceData.Fertiliser_Products_Data1(),FertiliserProducts[[#Headers],[Include or Exclude]], 0,4)</f>
        <v/>
      </c>
      <c r="U97" s="111" t="str" cm="1">
        <f t="array" ref="U97">Common_InputFunctions.Utility_DisplayArrayInTable(Fertiliser_SourceData.Fertiliser_Products_Data1(),FertiliserProducts[[#Headers],[Include or Exclude]], 0,4)</f>
        <v/>
      </c>
      <c r="V97" s="111" t="str" cm="1">
        <f t="array" ref="V97">Common_InputFunctions.Utility_DisplayArrayInTable(Fertiliser_SourceData.Fertiliser_Products_Data1(),FertiliserProducts[[#Headers],[Include or Exclude]], 0,4)</f>
        <v/>
      </c>
      <c r="W97" s="111" t="str" cm="1">
        <f t="array" ref="W97">Common_InputFunctions.Utility_DisplayArrayInTable(Fertiliser_SourceData.Fertiliser_Products_Data1(),FertiliserProducts[[#Headers],[Include or Exclude]], 0,4)</f>
        <v/>
      </c>
      <c r="X97" s="111" t="str" cm="1">
        <f t="array" ref="X97">Common_InputFunctions.Utility_DisplayArrayInTable(Fertiliser_SourceData.Fertiliser_Products_Data1(),FertiliserProducts[[#Headers],[Include or Exclude]], 0,4)</f>
        <v/>
      </c>
      <c r="Y97" s="111" t="str" cm="1">
        <f t="array" ref="Y97">Common_InputFunctions.Utility_DisplayArrayInTable(Fertiliser_SourceData.Fertiliser_Products_Data1(),FertiliserProducts[[#Headers],[Include or Exclude]], 0,4)</f>
        <v/>
      </c>
      <c r="Z97" s="111" t="str" cm="1">
        <f t="array" ref="Z97">Common_InputFunctions.Utility_DisplayArrayInTable(Fertiliser_SourceData.Fertiliser_Products_Data1(),FertiliserProducts[[#Headers],[Include or Exclude]], 0,4)</f>
        <v/>
      </c>
      <c r="AA97" s="111" t="str" cm="1">
        <f t="array" ref="AA97">Common_InputFunctions.Utility_DisplayArrayInTable(Fertiliser_SourceData.Fertiliser_Products_Data1(),FertiliserProducts[[#Headers],[Include or Exclude]], 0,4)</f>
        <v/>
      </c>
      <c r="AB97" s="111" t="str" cm="1">
        <f t="array" ref="AB97">Common_InputFunctions.Utility_DisplayArrayInTable(Fertiliser_SourceData.Fertiliser_Products_Data1(),FertiliserProducts[[#Headers],[Include or Exclude]], 0,4)</f>
        <v/>
      </c>
      <c r="AC97" s="111" t="str" cm="1">
        <f t="array" ref="AC97">Common_InputFunctions.Utility_DisplayArrayInTable(Fertiliser_SourceData.Fertiliser_Products_Data1(),FertiliserProducts[[#Headers],[Include or Exclude]], 0,4)</f>
        <v/>
      </c>
      <c r="AD97" s="111" t="str" cm="1">
        <f t="array" ref="AD97">Common_InputFunctions.Utility_DisplayArrayInTable(Fertiliser_SourceData.Fertiliser_Products_Data1(),FertiliserProducts[[#Headers],[Include or Exclude]], 0,4)</f>
        <v/>
      </c>
      <c r="AE97" s="111" t="str" cm="1">
        <f t="array" ref="AE97">Common_InputFunctions.Utility_DisplayArrayInTable(Fertiliser_SourceData.Fertiliser_Products_Data1(),FertiliserProducts[[#Headers],[Include or Exclude]], 0,4)</f>
        <v/>
      </c>
    </row>
    <row r="98" spans="4:31" ht="20.100000000000001" customHeight="1" x14ac:dyDescent="0.25">
      <c r="D98" s="111" t="str" cm="1">
        <f t="array" ref="D98">Common_InputFunctions.Utility_DisplayArrayInTable(Fertiliser_SourceData.Fertiliser_Products_Data1(),FertiliserProducts[[#Headers],[Include or Exclude]], -1)</f>
        <v>Include</v>
      </c>
      <c r="E98" s="111" t="str" cm="1">
        <f t="array" ref="E98">Common_InputFunctions.Utility_DisplayArrayInTable(Fertiliser_SourceData.Fertiliser_Products_Data1(),FertiliserProducts[[#Headers],[Include or Exclude]], 0)</f>
        <v/>
      </c>
      <c r="F98" s="111" t="str" cm="1">
        <f t="array" ref="F98">Common_InputFunctions.Utility_DisplayArrayInTable(Fertiliser_SourceData.Fertiliser_Products_Data1(),FertiliserProducts[[#Headers],[Include or Exclude]], 0)</f>
        <v>Campbells fertilisers Australia</v>
      </c>
      <c r="G98" s="111" t="str" cm="1">
        <f t="array" ref="G98">Common_InputFunctions.Utility_DisplayArrayInTable(Fertiliser_SourceData.Fertiliser_Products_Data1(),FertiliserProducts[[#Headers],[Include or Exclude]], 0)</f>
        <v>Aqua Thio-Emerge</v>
      </c>
      <c r="H98" s="111" t="str" cm="1">
        <f t="array" ref="H98">Common_InputFunctions.Utility_DisplayArrayInTable(Fertiliser_SourceData.Fertiliser_Products_Data1(),FertiliserProducts[[#Headers],[Include or Exclude]], 0,4)</f>
        <v>L</v>
      </c>
      <c r="I98" s="111" cm="1">
        <f t="array" ref="I98">Common_InputFunctions.Utility_DisplayArrayInTable(Fertiliser_SourceData.Fertiliser_Products_Data1(),FertiliserProducts[[#Headers],[Include or Exclude]], 0,4)</f>
        <v>1.29</v>
      </c>
      <c r="J98" s="111" t="str" cm="1">
        <f t="array" ref="J98">Common_InputFunctions.Utility_DisplayArrayInTable(Fertiliser_SourceData.Fertiliser_Products_Data1(),FertiliserProducts[[#Headers],[Include or Exclude]], 0,4)</f>
        <v/>
      </c>
      <c r="K98" s="111" t="str" cm="1">
        <f t="array" ref="K98">Common_InputFunctions.Utility_DisplayArrayInTable(Fertiliser_SourceData.Fertiliser_Products_Data1(),FertiliserProducts[[#Headers],[Include or Exclude]], 0,4)</f>
        <v/>
      </c>
      <c r="L98" s="111" t="str" cm="1">
        <f t="array" ref="L98">Common_InputFunctions.Utility_DisplayArrayInTable(Fertiliser_SourceData.Fertiliser_Products_Data1(),FertiliserProducts[[#Headers],[Include or Exclude]], 0,4)</f>
        <v>Nitrogen - Generic</v>
      </c>
      <c r="M98" s="111" cm="1">
        <f t="array" ref="M98">Common_InputFunctions.Utility_DisplayArrayInTable(Fertiliser_SourceData.Fertiliser_Products_Data1(),FertiliserProducts[[#Headers],[Include or Exclude]], 0,4)</f>
        <v>0.105</v>
      </c>
      <c r="N98" s="111" t="str" cm="1">
        <f t="array" ref="N98">Common_InputFunctions.Utility_DisplayArrayInTable(Fertiliser_SourceData.Fertiliser_Products_Data1(),FertiliserProducts[[#Headers],[Include or Exclude]], 0,4)</f>
        <v>Phosphorus - Generic</v>
      </c>
      <c r="O98" s="111" cm="1">
        <f t="array" ref="O98">Common_InputFunctions.Utility_DisplayArrayInTable(Fertiliser_SourceData.Fertiliser_Products_Data1(),FertiliserProducts[[#Headers],[Include or Exclude]], 0,4)</f>
        <v>9.4E-2</v>
      </c>
      <c r="P98" s="111" t="str" cm="1">
        <f t="array" ref="P98">Common_InputFunctions.Utility_DisplayArrayInTable(Fertiliser_SourceData.Fertiliser_Products_Data1(),FertiliserProducts[[#Headers],[Include or Exclude]], 0,4)</f>
        <v>Potassium - Generic</v>
      </c>
      <c r="Q98" s="111" cm="1">
        <f t="array" ref="Q98">Common_InputFunctions.Utility_DisplayArrayInTable(Fertiliser_SourceData.Fertiliser_Products_Data1(),FertiliserProducts[[#Headers],[Include or Exclude]], 0,4)</f>
        <v>0.04</v>
      </c>
      <c r="R98" s="111" t="str" cm="1">
        <f t="array" ref="R98">Common_InputFunctions.Utility_DisplayArrayInTable(Fertiliser_SourceData.Fertiliser_Products_Data1(),FertiliserProducts[[#Headers],[Include or Exclude]], 0,4)</f>
        <v>Sulfur - Generic</v>
      </c>
      <c r="S98" s="111" cm="1">
        <f t="array" ref="S98">Common_InputFunctions.Utility_DisplayArrayInTable(Fertiliser_SourceData.Fertiliser_Products_Data1(),FertiliserProducts[[#Headers],[Include or Exclude]], 0,4)</f>
        <v>0.03</v>
      </c>
      <c r="T98" s="111" t="str" cm="1">
        <f t="array" ref="T98">Common_InputFunctions.Utility_DisplayArrayInTable(Fertiliser_SourceData.Fertiliser_Products_Data1(),FertiliserProducts[[#Headers],[Include or Exclude]], 0,4)</f>
        <v/>
      </c>
      <c r="U98" s="111" t="str" cm="1">
        <f t="array" ref="U98">Common_InputFunctions.Utility_DisplayArrayInTable(Fertiliser_SourceData.Fertiliser_Products_Data1(),FertiliserProducts[[#Headers],[Include or Exclude]], 0,4)</f>
        <v/>
      </c>
      <c r="V98" s="111" t="str" cm="1">
        <f t="array" ref="V98">Common_InputFunctions.Utility_DisplayArrayInTable(Fertiliser_SourceData.Fertiliser_Products_Data1(),FertiliserProducts[[#Headers],[Include or Exclude]], 0,4)</f>
        <v/>
      </c>
      <c r="W98" s="111" t="str" cm="1">
        <f t="array" ref="W98">Common_InputFunctions.Utility_DisplayArrayInTable(Fertiliser_SourceData.Fertiliser_Products_Data1(),FertiliserProducts[[#Headers],[Include or Exclude]], 0,4)</f>
        <v/>
      </c>
      <c r="X98" s="111" t="str" cm="1">
        <f t="array" ref="X98">Common_InputFunctions.Utility_DisplayArrayInTable(Fertiliser_SourceData.Fertiliser_Products_Data1(),FertiliserProducts[[#Headers],[Include or Exclude]], 0,4)</f>
        <v/>
      </c>
      <c r="Y98" s="111" t="str" cm="1">
        <f t="array" ref="Y98">Common_InputFunctions.Utility_DisplayArrayInTable(Fertiliser_SourceData.Fertiliser_Products_Data1(),FertiliserProducts[[#Headers],[Include or Exclude]], 0,4)</f>
        <v/>
      </c>
      <c r="Z98" s="111" t="str" cm="1">
        <f t="array" ref="Z98">Common_InputFunctions.Utility_DisplayArrayInTable(Fertiliser_SourceData.Fertiliser_Products_Data1(),FertiliserProducts[[#Headers],[Include or Exclude]], 0,4)</f>
        <v/>
      </c>
      <c r="AA98" s="111" t="str" cm="1">
        <f t="array" ref="AA98">Common_InputFunctions.Utility_DisplayArrayInTable(Fertiliser_SourceData.Fertiliser_Products_Data1(),FertiliserProducts[[#Headers],[Include or Exclude]], 0,4)</f>
        <v/>
      </c>
      <c r="AB98" s="111" t="str" cm="1">
        <f t="array" ref="AB98">Common_InputFunctions.Utility_DisplayArrayInTable(Fertiliser_SourceData.Fertiliser_Products_Data1(),FertiliserProducts[[#Headers],[Include or Exclude]], 0,4)</f>
        <v/>
      </c>
      <c r="AC98" s="111" t="str" cm="1">
        <f t="array" ref="AC98">Common_InputFunctions.Utility_DisplayArrayInTable(Fertiliser_SourceData.Fertiliser_Products_Data1(),FertiliserProducts[[#Headers],[Include or Exclude]], 0,4)</f>
        <v/>
      </c>
      <c r="AD98" s="111" t="str" cm="1">
        <f t="array" ref="AD98">Common_InputFunctions.Utility_DisplayArrayInTable(Fertiliser_SourceData.Fertiliser_Products_Data1(),FertiliserProducts[[#Headers],[Include or Exclude]], 0,4)</f>
        <v/>
      </c>
      <c r="AE98" s="111" t="str" cm="1">
        <f t="array" ref="AE98">Common_InputFunctions.Utility_DisplayArrayInTable(Fertiliser_SourceData.Fertiliser_Products_Data1(),FertiliserProducts[[#Headers],[Include or Exclude]], 0,4)</f>
        <v/>
      </c>
    </row>
    <row r="99" spans="4:31" ht="20.100000000000001" customHeight="1" x14ac:dyDescent="0.25">
      <c r="D99" s="111" t="str" cm="1">
        <f t="array" ref="D99">Common_InputFunctions.Utility_DisplayArrayInTable(Fertiliser_SourceData.Fertiliser_Products_Data1(),FertiliserProducts[[#Headers],[Include or Exclude]], -1)</f>
        <v>Exclude - Not relevant</v>
      </c>
      <c r="E99" s="111" t="str" cm="1">
        <f t="array" ref="E99">Common_InputFunctions.Utility_DisplayArrayInTable(Fertiliser_SourceData.Fertiliser_Products_Data1(),FertiliserProducts[[#Headers],[Include or Exclude]], 0)</f>
        <v/>
      </c>
      <c r="F99" s="111" t="str" cm="1">
        <f t="array" ref="F99">Common_InputFunctions.Utility_DisplayArrayInTable(Fertiliser_SourceData.Fertiliser_Products_Data1(),FertiliserProducts[[#Headers],[Include or Exclude]], 0)</f>
        <v>Campbells fertilisers Australia</v>
      </c>
      <c r="G99" s="111" t="str" cm="1">
        <f t="array" ref="G99">Common_InputFunctions.Utility_DisplayArrayInTable(Fertiliser_SourceData.Fertiliser_Products_Data1(),FertiliserProducts[[#Headers],[Include or Exclude]], 0)</f>
        <v>Aqua Thio-Flourish</v>
      </c>
      <c r="H99" s="111" t="str" cm="1">
        <f t="array" ref="H99">Common_InputFunctions.Utility_DisplayArrayInTable(Fertiliser_SourceData.Fertiliser_Products_Data1(),FertiliserProducts[[#Headers],[Include or Exclude]], 0,4)</f>
        <v>L</v>
      </c>
      <c r="I99" s="111" cm="1">
        <f t="array" ref="I99">Common_InputFunctions.Utility_DisplayArrayInTable(Fertiliser_SourceData.Fertiliser_Products_Data1(),FertiliserProducts[[#Headers],[Include or Exclude]], 0,4)</f>
        <v>1.32</v>
      </c>
      <c r="J99" s="111" t="str" cm="1">
        <f t="array" ref="J99">Common_InputFunctions.Utility_DisplayArrayInTable(Fertiliser_SourceData.Fertiliser_Products_Data1(),FertiliserProducts[[#Headers],[Include or Exclude]], 0,4)</f>
        <v/>
      </c>
      <c r="K99" s="111" t="str" cm="1">
        <f t="array" ref="K99">Common_InputFunctions.Utility_DisplayArrayInTable(Fertiliser_SourceData.Fertiliser_Products_Data1(),FertiliserProducts[[#Headers],[Include or Exclude]], 0,4)</f>
        <v/>
      </c>
      <c r="L99" s="111" t="str" cm="1">
        <f t="array" ref="L99">Common_InputFunctions.Utility_DisplayArrayInTable(Fertiliser_SourceData.Fertiliser_Products_Data1(),FertiliserProducts[[#Headers],[Include or Exclude]], 0,4)</f>
        <v>Potassium - Generic</v>
      </c>
      <c r="M99" s="111" cm="1">
        <f t="array" ref="M99">Common_InputFunctions.Utility_DisplayArrayInTable(Fertiliser_SourceData.Fertiliser_Products_Data1(),FertiliserProducts[[#Headers],[Include or Exclude]], 0,4)</f>
        <v>0.108</v>
      </c>
      <c r="N99" s="111" t="str" cm="1">
        <f t="array" ref="N99">Common_InputFunctions.Utility_DisplayArrayInTable(Fertiliser_SourceData.Fertiliser_Products_Data1(),FertiliserProducts[[#Headers],[Include or Exclude]], 0,4)</f>
        <v>Nitrogen - Generic</v>
      </c>
      <c r="O99" s="111" cm="1">
        <f t="array" ref="O99">Common_InputFunctions.Utility_DisplayArrayInTable(Fertiliser_SourceData.Fertiliser_Products_Data1(),FertiliserProducts[[#Headers],[Include or Exclude]], 0,4)</f>
        <v>9.5000000000000001E-2</v>
      </c>
      <c r="P99" s="111" t="str" cm="1">
        <f t="array" ref="P99">Common_InputFunctions.Utility_DisplayArrayInTable(Fertiliser_SourceData.Fertiliser_Products_Data1(),FertiliserProducts[[#Headers],[Include or Exclude]], 0,4)</f>
        <v>Sulfur - Generic</v>
      </c>
      <c r="Q99" s="111" cm="1">
        <f t="array" ref="Q99">Common_InputFunctions.Utility_DisplayArrayInTable(Fertiliser_SourceData.Fertiliser_Products_Data1(),FertiliserProducts[[#Headers],[Include or Exclude]], 0,4)</f>
        <v>8.1000000000000003E-2</v>
      </c>
      <c r="R99" s="111" t="str" cm="1">
        <f t="array" ref="R99">Common_InputFunctions.Utility_DisplayArrayInTable(Fertiliser_SourceData.Fertiliser_Products_Data1(),FertiliserProducts[[#Headers],[Include or Exclude]], 0,4)</f>
        <v>Phosphorus - Generic</v>
      </c>
      <c r="S99" s="111" cm="1">
        <f t="array" ref="S99">Common_InputFunctions.Utility_DisplayArrayInTable(Fertiliser_SourceData.Fertiliser_Products_Data1(),FertiliserProducts[[#Headers],[Include or Exclude]], 0,4)</f>
        <v>4.7E-2</v>
      </c>
      <c r="T99" s="111" t="str" cm="1">
        <f t="array" ref="T99">Common_InputFunctions.Utility_DisplayArrayInTable(Fertiliser_SourceData.Fertiliser_Products_Data1(),FertiliserProducts[[#Headers],[Include or Exclude]], 0,4)</f>
        <v/>
      </c>
      <c r="U99" s="111" t="str" cm="1">
        <f t="array" ref="U99">Common_InputFunctions.Utility_DisplayArrayInTable(Fertiliser_SourceData.Fertiliser_Products_Data1(),FertiliserProducts[[#Headers],[Include or Exclude]], 0,4)</f>
        <v/>
      </c>
      <c r="V99" s="111" t="str" cm="1">
        <f t="array" ref="V99">Common_InputFunctions.Utility_DisplayArrayInTable(Fertiliser_SourceData.Fertiliser_Products_Data1(),FertiliserProducts[[#Headers],[Include or Exclude]], 0,4)</f>
        <v/>
      </c>
      <c r="W99" s="111" t="str" cm="1">
        <f t="array" ref="W99">Common_InputFunctions.Utility_DisplayArrayInTable(Fertiliser_SourceData.Fertiliser_Products_Data1(),FertiliserProducts[[#Headers],[Include or Exclude]], 0,4)</f>
        <v/>
      </c>
      <c r="X99" s="111" t="str" cm="1">
        <f t="array" ref="X99">Common_InputFunctions.Utility_DisplayArrayInTable(Fertiliser_SourceData.Fertiliser_Products_Data1(),FertiliserProducts[[#Headers],[Include or Exclude]], 0,4)</f>
        <v/>
      </c>
      <c r="Y99" s="111" t="str" cm="1">
        <f t="array" ref="Y99">Common_InputFunctions.Utility_DisplayArrayInTable(Fertiliser_SourceData.Fertiliser_Products_Data1(),FertiliserProducts[[#Headers],[Include or Exclude]], 0,4)</f>
        <v/>
      </c>
      <c r="Z99" s="111" t="str" cm="1">
        <f t="array" ref="Z99">Common_InputFunctions.Utility_DisplayArrayInTable(Fertiliser_SourceData.Fertiliser_Products_Data1(),FertiliserProducts[[#Headers],[Include or Exclude]], 0,4)</f>
        <v/>
      </c>
      <c r="AA99" s="111" t="str" cm="1">
        <f t="array" ref="AA99">Common_InputFunctions.Utility_DisplayArrayInTable(Fertiliser_SourceData.Fertiliser_Products_Data1(),FertiliserProducts[[#Headers],[Include or Exclude]], 0,4)</f>
        <v/>
      </c>
      <c r="AB99" s="111" t="str" cm="1">
        <f t="array" ref="AB99">Common_InputFunctions.Utility_DisplayArrayInTable(Fertiliser_SourceData.Fertiliser_Products_Data1(),FertiliserProducts[[#Headers],[Include or Exclude]], 0,4)</f>
        <v/>
      </c>
      <c r="AC99" s="111" t="str" cm="1">
        <f t="array" ref="AC99">Common_InputFunctions.Utility_DisplayArrayInTable(Fertiliser_SourceData.Fertiliser_Products_Data1(),FertiliserProducts[[#Headers],[Include or Exclude]], 0,4)</f>
        <v/>
      </c>
      <c r="AD99" s="111" t="str" cm="1">
        <f t="array" ref="AD99">Common_InputFunctions.Utility_DisplayArrayInTable(Fertiliser_SourceData.Fertiliser_Products_Data1(),FertiliserProducts[[#Headers],[Include or Exclude]], 0,4)</f>
        <v/>
      </c>
      <c r="AE99" s="111" t="str" cm="1">
        <f t="array" ref="AE99">Common_InputFunctions.Utility_DisplayArrayInTable(Fertiliser_SourceData.Fertiliser_Products_Data1(),FertiliserProducts[[#Headers],[Include or Exclude]], 0,4)</f>
        <v/>
      </c>
    </row>
    <row r="100" spans="4:31" ht="20.100000000000001" customHeight="1" x14ac:dyDescent="0.25">
      <c r="D100" s="111" t="str" cm="1">
        <f t="array" ref="D100">Common_InputFunctions.Utility_DisplayArrayInTable(Fertiliser_SourceData.Fertiliser_Products_Data1(),FertiliserProducts[[#Headers],[Include or Exclude]], -1)</f>
        <v>Exclude - Not relevant</v>
      </c>
      <c r="E100" s="111" t="str" cm="1">
        <f t="array" ref="E100">Common_InputFunctions.Utility_DisplayArrayInTable(Fertiliser_SourceData.Fertiliser_Products_Data1(),FertiliserProducts[[#Headers],[Include or Exclude]], 0)</f>
        <v/>
      </c>
      <c r="F100" s="111" t="str" cm="1">
        <f t="array" ref="F100">Common_InputFunctions.Utility_DisplayArrayInTable(Fertiliser_SourceData.Fertiliser_Products_Data1(),FertiliserProducts[[#Headers],[Include or Exclude]], 0)</f>
        <v>Campbells fertilisers Australia</v>
      </c>
      <c r="G100" s="111" t="str" cm="1">
        <f t="array" ref="G100">Common_InputFunctions.Utility_DisplayArrayInTable(Fertiliser_SourceData.Fertiliser_Products_Data1(),FertiliserProducts[[#Headers],[Include or Exclude]], 0)</f>
        <v>Asco Fol Plus</v>
      </c>
      <c r="H100" s="111" t="str" cm="1">
        <f t="array" ref="H100">Common_InputFunctions.Utility_DisplayArrayInTable(Fertiliser_SourceData.Fertiliser_Products_Data1(),FertiliserProducts[[#Headers],[Include or Exclude]], 0,4)</f>
        <v/>
      </c>
      <c r="I100" s="111" t="str" cm="1">
        <f t="array" ref="I100">Common_InputFunctions.Utility_DisplayArrayInTable(Fertiliser_SourceData.Fertiliser_Products_Data1(),FertiliserProducts[[#Headers],[Include or Exclude]], 0,4)</f>
        <v/>
      </c>
      <c r="J100" s="111" t="str" cm="1">
        <f t="array" ref="J100">Common_InputFunctions.Utility_DisplayArrayInTable(Fertiliser_SourceData.Fertiliser_Products_Data1(),FertiliserProducts[[#Headers],[Include or Exclude]], 0,4)</f>
        <v/>
      </c>
      <c r="K100" s="111" t="str" cm="1">
        <f t="array" ref="K100">Common_InputFunctions.Utility_DisplayArrayInTable(Fertiliser_SourceData.Fertiliser_Products_Data1(),FertiliserProducts[[#Headers],[Include or Exclude]], 0,4)</f>
        <v/>
      </c>
      <c r="L100" s="111" t="str" cm="1">
        <f t="array" ref="L100">Common_InputFunctions.Utility_DisplayArrayInTable(Fertiliser_SourceData.Fertiliser_Products_Data1(),FertiliserProducts[[#Headers],[Include or Exclude]], 0,4)</f>
        <v/>
      </c>
      <c r="M100" s="111" t="str" cm="1">
        <f t="array" ref="M100">Common_InputFunctions.Utility_DisplayArrayInTable(Fertiliser_SourceData.Fertiliser_Products_Data1(),FertiliserProducts[[#Headers],[Include or Exclude]], 0,4)</f>
        <v/>
      </c>
      <c r="N100" s="111" t="str" cm="1">
        <f t="array" ref="N100">Common_InputFunctions.Utility_DisplayArrayInTable(Fertiliser_SourceData.Fertiliser_Products_Data1(),FertiliserProducts[[#Headers],[Include or Exclude]], 0,4)</f>
        <v/>
      </c>
      <c r="O100" s="111" t="str" cm="1">
        <f t="array" ref="O100">Common_InputFunctions.Utility_DisplayArrayInTable(Fertiliser_SourceData.Fertiliser_Products_Data1(),FertiliserProducts[[#Headers],[Include or Exclude]], 0,4)</f>
        <v/>
      </c>
      <c r="P100" s="111" t="str" cm="1">
        <f t="array" ref="P100">Common_InputFunctions.Utility_DisplayArrayInTable(Fertiliser_SourceData.Fertiliser_Products_Data1(),FertiliserProducts[[#Headers],[Include or Exclude]], 0,4)</f>
        <v/>
      </c>
      <c r="Q100" s="111" t="str" cm="1">
        <f t="array" ref="Q100">Common_InputFunctions.Utility_DisplayArrayInTable(Fertiliser_SourceData.Fertiliser_Products_Data1(),FertiliserProducts[[#Headers],[Include or Exclude]], 0,4)</f>
        <v/>
      </c>
      <c r="R100" s="111" t="str" cm="1">
        <f t="array" ref="R100">Common_InputFunctions.Utility_DisplayArrayInTable(Fertiliser_SourceData.Fertiliser_Products_Data1(),FertiliserProducts[[#Headers],[Include or Exclude]], 0,4)</f>
        <v/>
      </c>
      <c r="S100" s="111" t="str" cm="1">
        <f t="array" ref="S100">Common_InputFunctions.Utility_DisplayArrayInTable(Fertiliser_SourceData.Fertiliser_Products_Data1(),FertiliserProducts[[#Headers],[Include or Exclude]], 0,4)</f>
        <v/>
      </c>
      <c r="T100" s="111" t="str" cm="1">
        <f t="array" ref="T100">Common_InputFunctions.Utility_DisplayArrayInTable(Fertiliser_SourceData.Fertiliser_Products_Data1(),FertiliserProducts[[#Headers],[Include or Exclude]], 0,4)</f>
        <v/>
      </c>
      <c r="U100" s="111" t="str" cm="1">
        <f t="array" ref="U100">Common_InputFunctions.Utility_DisplayArrayInTable(Fertiliser_SourceData.Fertiliser_Products_Data1(),FertiliserProducts[[#Headers],[Include or Exclude]], 0,4)</f>
        <v/>
      </c>
      <c r="V100" s="111" t="str" cm="1">
        <f t="array" ref="V100">Common_InputFunctions.Utility_DisplayArrayInTable(Fertiliser_SourceData.Fertiliser_Products_Data1(),FertiliserProducts[[#Headers],[Include or Exclude]], 0,4)</f>
        <v/>
      </c>
      <c r="W100" s="111" t="str" cm="1">
        <f t="array" ref="W100">Common_InputFunctions.Utility_DisplayArrayInTable(Fertiliser_SourceData.Fertiliser_Products_Data1(),FertiliserProducts[[#Headers],[Include or Exclude]], 0,4)</f>
        <v/>
      </c>
      <c r="X100" s="111" t="str" cm="1">
        <f t="array" ref="X100">Common_InputFunctions.Utility_DisplayArrayInTable(Fertiliser_SourceData.Fertiliser_Products_Data1(),FertiliserProducts[[#Headers],[Include or Exclude]], 0,4)</f>
        <v/>
      </c>
      <c r="Y100" s="111" t="str" cm="1">
        <f t="array" ref="Y100">Common_InputFunctions.Utility_DisplayArrayInTable(Fertiliser_SourceData.Fertiliser_Products_Data1(),FertiliserProducts[[#Headers],[Include or Exclude]], 0,4)</f>
        <v/>
      </c>
      <c r="Z100" s="111" t="str" cm="1">
        <f t="array" ref="Z100">Common_InputFunctions.Utility_DisplayArrayInTable(Fertiliser_SourceData.Fertiliser_Products_Data1(),FertiliserProducts[[#Headers],[Include or Exclude]], 0,4)</f>
        <v/>
      </c>
      <c r="AA100" s="111" t="str" cm="1">
        <f t="array" ref="AA100">Common_InputFunctions.Utility_DisplayArrayInTable(Fertiliser_SourceData.Fertiliser_Products_Data1(),FertiliserProducts[[#Headers],[Include or Exclude]], 0,4)</f>
        <v/>
      </c>
      <c r="AB100" s="111" t="str" cm="1">
        <f t="array" ref="AB100">Common_InputFunctions.Utility_DisplayArrayInTable(Fertiliser_SourceData.Fertiliser_Products_Data1(),FertiliserProducts[[#Headers],[Include or Exclude]], 0,4)</f>
        <v/>
      </c>
      <c r="AC100" s="111" t="str" cm="1">
        <f t="array" ref="AC100">Common_InputFunctions.Utility_DisplayArrayInTable(Fertiliser_SourceData.Fertiliser_Products_Data1(),FertiliserProducts[[#Headers],[Include or Exclude]], 0,4)</f>
        <v/>
      </c>
      <c r="AD100" s="111" t="str" cm="1">
        <f t="array" ref="AD100">Common_InputFunctions.Utility_DisplayArrayInTable(Fertiliser_SourceData.Fertiliser_Products_Data1(),FertiliserProducts[[#Headers],[Include or Exclude]], 0,4)</f>
        <v/>
      </c>
      <c r="AE100" s="111" t="str" cm="1">
        <f t="array" ref="AE100">Common_InputFunctions.Utility_DisplayArrayInTable(Fertiliser_SourceData.Fertiliser_Products_Data1(),FertiliserProducts[[#Headers],[Include or Exclude]], 0,4)</f>
        <v/>
      </c>
    </row>
    <row r="101" spans="4:31" ht="20.100000000000001" customHeight="1" x14ac:dyDescent="0.25">
      <c r="D101" s="111" t="str" cm="1">
        <f t="array" ref="D101">Common_InputFunctions.Utility_DisplayArrayInTable(Fertiliser_SourceData.Fertiliser_Products_Data1(),FertiliserProducts[[#Headers],[Include or Exclude]], -1)</f>
        <v>Exclude - Not relevant</v>
      </c>
      <c r="E101" s="111" t="str" cm="1">
        <f t="array" ref="E101">Common_InputFunctions.Utility_DisplayArrayInTable(Fertiliser_SourceData.Fertiliser_Products_Data1(),FertiliserProducts[[#Headers],[Include or Exclude]], 0)</f>
        <v/>
      </c>
      <c r="F101" s="111" t="str" cm="1">
        <f t="array" ref="F101">Common_InputFunctions.Utility_DisplayArrayInTable(Fertiliser_SourceData.Fertiliser_Products_Data1(),FertiliserProducts[[#Headers],[Include or Exclude]], 0)</f>
        <v>Campbells fertilisers Australia</v>
      </c>
      <c r="G101" s="111" t="str" cm="1">
        <f t="array" ref="G101">Common_InputFunctions.Utility_DisplayArrayInTable(Fertiliser_SourceData.Fertiliser_Products_Data1(),FertiliserProducts[[#Headers],[Include or Exclude]], 0)</f>
        <v>Asco Plus</v>
      </c>
      <c r="H101" s="111" t="str" cm="1">
        <f t="array" ref="H101">Common_InputFunctions.Utility_DisplayArrayInTable(Fertiliser_SourceData.Fertiliser_Products_Data1(),FertiliserProducts[[#Headers],[Include or Exclude]], 0,4)</f>
        <v/>
      </c>
      <c r="I101" s="111" t="str" cm="1">
        <f t="array" ref="I101">Common_InputFunctions.Utility_DisplayArrayInTable(Fertiliser_SourceData.Fertiliser_Products_Data1(),FertiliserProducts[[#Headers],[Include or Exclude]], 0,4)</f>
        <v/>
      </c>
      <c r="J101" s="111" t="str" cm="1">
        <f t="array" ref="J101">Common_InputFunctions.Utility_DisplayArrayInTable(Fertiliser_SourceData.Fertiliser_Products_Data1(),FertiliserProducts[[#Headers],[Include or Exclude]], 0,4)</f>
        <v/>
      </c>
      <c r="K101" s="111" t="str" cm="1">
        <f t="array" ref="K101">Common_InputFunctions.Utility_DisplayArrayInTable(Fertiliser_SourceData.Fertiliser_Products_Data1(),FertiliserProducts[[#Headers],[Include or Exclude]], 0,4)</f>
        <v/>
      </c>
      <c r="L101" s="111" t="str" cm="1">
        <f t="array" ref="L101">Common_InputFunctions.Utility_DisplayArrayInTable(Fertiliser_SourceData.Fertiliser_Products_Data1(),FertiliserProducts[[#Headers],[Include or Exclude]], 0,4)</f>
        <v/>
      </c>
      <c r="M101" s="111" t="str" cm="1">
        <f t="array" ref="M101">Common_InputFunctions.Utility_DisplayArrayInTable(Fertiliser_SourceData.Fertiliser_Products_Data1(),FertiliserProducts[[#Headers],[Include or Exclude]], 0,4)</f>
        <v/>
      </c>
      <c r="N101" s="111" t="str" cm="1">
        <f t="array" ref="N101">Common_InputFunctions.Utility_DisplayArrayInTable(Fertiliser_SourceData.Fertiliser_Products_Data1(),FertiliserProducts[[#Headers],[Include or Exclude]], 0,4)</f>
        <v/>
      </c>
      <c r="O101" s="111" t="str" cm="1">
        <f t="array" ref="O101">Common_InputFunctions.Utility_DisplayArrayInTable(Fertiliser_SourceData.Fertiliser_Products_Data1(),FertiliserProducts[[#Headers],[Include or Exclude]], 0,4)</f>
        <v/>
      </c>
      <c r="P101" s="111" t="str" cm="1">
        <f t="array" ref="P101">Common_InputFunctions.Utility_DisplayArrayInTable(Fertiliser_SourceData.Fertiliser_Products_Data1(),FertiliserProducts[[#Headers],[Include or Exclude]], 0,4)</f>
        <v/>
      </c>
      <c r="Q101" s="111" t="str" cm="1">
        <f t="array" ref="Q101">Common_InputFunctions.Utility_DisplayArrayInTable(Fertiliser_SourceData.Fertiliser_Products_Data1(),FertiliserProducts[[#Headers],[Include or Exclude]], 0,4)</f>
        <v/>
      </c>
      <c r="R101" s="111" t="str" cm="1">
        <f t="array" ref="R101">Common_InputFunctions.Utility_DisplayArrayInTable(Fertiliser_SourceData.Fertiliser_Products_Data1(),FertiliserProducts[[#Headers],[Include or Exclude]], 0,4)</f>
        <v/>
      </c>
      <c r="S101" s="111" t="str" cm="1">
        <f t="array" ref="S101">Common_InputFunctions.Utility_DisplayArrayInTable(Fertiliser_SourceData.Fertiliser_Products_Data1(),FertiliserProducts[[#Headers],[Include or Exclude]], 0,4)</f>
        <v/>
      </c>
      <c r="T101" s="111" t="str" cm="1">
        <f t="array" ref="T101">Common_InputFunctions.Utility_DisplayArrayInTable(Fertiliser_SourceData.Fertiliser_Products_Data1(),FertiliserProducts[[#Headers],[Include or Exclude]], 0,4)</f>
        <v/>
      </c>
      <c r="U101" s="111" t="str" cm="1">
        <f t="array" ref="U101">Common_InputFunctions.Utility_DisplayArrayInTable(Fertiliser_SourceData.Fertiliser_Products_Data1(),FertiliserProducts[[#Headers],[Include or Exclude]], 0,4)</f>
        <v/>
      </c>
      <c r="V101" s="111" t="str" cm="1">
        <f t="array" ref="V101">Common_InputFunctions.Utility_DisplayArrayInTable(Fertiliser_SourceData.Fertiliser_Products_Data1(),FertiliserProducts[[#Headers],[Include or Exclude]], 0,4)</f>
        <v/>
      </c>
      <c r="W101" s="111" t="str" cm="1">
        <f t="array" ref="W101">Common_InputFunctions.Utility_DisplayArrayInTable(Fertiliser_SourceData.Fertiliser_Products_Data1(),FertiliserProducts[[#Headers],[Include or Exclude]], 0,4)</f>
        <v/>
      </c>
      <c r="X101" s="111" t="str" cm="1">
        <f t="array" ref="X101">Common_InputFunctions.Utility_DisplayArrayInTable(Fertiliser_SourceData.Fertiliser_Products_Data1(),FertiliserProducts[[#Headers],[Include or Exclude]], 0,4)</f>
        <v/>
      </c>
      <c r="Y101" s="111" t="str" cm="1">
        <f t="array" ref="Y101">Common_InputFunctions.Utility_DisplayArrayInTable(Fertiliser_SourceData.Fertiliser_Products_Data1(),FertiliserProducts[[#Headers],[Include or Exclude]], 0,4)</f>
        <v/>
      </c>
      <c r="Z101" s="111" t="str" cm="1">
        <f t="array" ref="Z101">Common_InputFunctions.Utility_DisplayArrayInTable(Fertiliser_SourceData.Fertiliser_Products_Data1(),FertiliserProducts[[#Headers],[Include or Exclude]], 0,4)</f>
        <v/>
      </c>
      <c r="AA101" s="111" t="str" cm="1">
        <f t="array" ref="AA101">Common_InputFunctions.Utility_DisplayArrayInTable(Fertiliser_SourceData.Fertiliser_Products_Data1(),FertiliserProducts[[#Headers],[Include or Exclude]], 0,4)</f>
        <v/>
      </c>
      <c r="AB101" s="111" t="str" cm="1">
        <f t="array" ref="AB101">Common_InputFunctions.Utility_DisplayArrayInTable(Fertiliser_SourceData.Fertiliser_Products_Data1(),FertiliserProducts[[#Headers],[Include or Exclude]], 0,4)</f>
        <v/>
      </c>
      <c r="AC101" s="111" t="str" cm="1">
        <f t="array" ref="AC101">Common_InputFunctions.Utility_DisplayArrayInTable(Fertiliser_SourceData.Fertiliser_Products_Data1(),FertiliserProducts[[#Headers],[Include or Exclude]], 0,4)</f>
        <v/>
      </c>
      <c r="AD101" s="111" t="str" cm="1">
        <f t="array" ref="AD101">Common_InputFunctions.Utility_DisplayArrayInTable(Fertiliser_SourceData.Fertiliser_Products_Data1(),FertiliserProducts[[#Headers],[Include or Exclude]], 0,4)</f>
        <v/>
      </c>
      <c r="AE101" s="111" t="str" cm="1">
        <f t="array" ref="AE101">Common_InputFunctions.Utility_DisplayArrayInTable(Fertiliser_SourceData.Fertiliser_Products_Data1(),FertiliserProducts[[#Headers],[Include or Exclude]], 0,4)</f>
        <v/>
      </c>
    </row>
    <row r="102" spans="4:31" ht="20.100000000000001" customHeight="1" x14ac:dyDescent="0.25">
      <c r="D102" s="111" t="str" cm="1">
        <f t="array" ref="D102">Common_InputFunctions.Utility_DisplayArrayInTable(Fertiliser_SourceData.Fertiliser_Products_Data1(),FertiliserProducts[[#Headers],[Include or Exclude]], -1)</f>
        <v>Exclude - Not relevant</v>
      </c>
      <c r="E102" s="111" t="str" cm="1">
        <f t="array" ref="E102">Common_InputFunctions.Utility_DisplayArrayInTable(Fertiliser_SourceData.Fertiliser_Products_Data1(),FertiliserProducts[[#Headers],[Include or Exclude]], 0)</f>
        <v/>
      </c>
      <c r="F102" s="111" t="str" cm="1">
        <f t="array" ref="F102">Common_InputFunctions.Utility_DisplayArrayInTable(Fertiliser_SourceData.Fertiliser_Products_Data1(),FertiliserProducts[[#Headers],[Include or Exclude]], 0)</f>
        <v>Campbells fertilisers Australia</v>
      </c>
      <c r="G102" s="111" t="str" cm="1">
        <f t="array" ref="G102">Common_InputFunctions.Utility_DisplayArrayInTable(Fertiliser_SourceData.Fertiliser_Products_Data1(),FertiliserProducts[[#Headers],[Include or Exclude]], 0)</f>
        <v>Asco Rhizo Plus</v>
      </c>
      <c r="H102" s="111" t="str" cm="1">
        <f t="array" ref="H102">Common_InputFunctions.Utility_DisplayArrayInTable(Fertiliser_SourceData.Fertiliser_Products_Data1(),FertiliserProducts[[#Headers],[Include or Exclude]], 0,4)</f>
        <v/>
      </c>
      <c r="I102" s="111" t="str" cm="1">
        <f t="array" ref="I102">Common_InputFunctions.Utility_DisplayArrayInTable(Fertiliser_SourceData.Fertiliser_Products_Data1(),FertiliserProducts[[#Headers],[Include or Exclude]], 0,4)</f>
        <v/>
      </c>
      <c r="J102" s="111" t="str" cm="1">
        <f t="array" ref="J102">Common_InputFunctions.Utility_DisplayArrayInTable(Fertiliser_SourceData.Fertiliser_Products_Data1(),FertiliserProducts[[#Headers],[Include or Exclude]], 0,4)</f>
        <v/>
      </c>
      <c r="K102" s="111" t="str" cm="1">
        <f t="array" ref="K102">Common_InputFunctions.Utility_DisplayArrayInTable(Fertiliser_SourceData.Fertiliser_Products_Data1(),FertiliserProducts[[#Headers],[Include or Exclude]], 0,4)</f>
        <v/>
      </c>
      <c r="L102" s="111" t="str" cm="1">
        <f t="array" ref="L102">Common_InputFunctions.Utility_DisplayArrayInTable(Fertiliser_SourceData.Fertiliser_Products_Data1(),FertiliserProducts[[#Headers],[Include or Exclude]], 0,4)</f>
        <v/>
      </c>
      <c r="M102" s="111" t="str" cm="1">
        <f t="array" ref="M102">Common_InputFunctions.Utility_DisplayArrayInTable(Fertiliser_SourceData.Fertiliser_Products_Data1(),FertiliserProducts[[#Headers],[Include or Exclude]], 0,4)</f>
        <v/>
      </c>
      <c r="N102" s="111" t="str" cm="1">
        <f t="array" ref="N102">Common_InputFunctions.Utility_DisplayArrayInTable(Fertiliser_SourceData.Fertiliser_Products_Data1(),FertiliserProducts[[#Headers],[Include or Exclude]], 0,4)</f>
        <v/>
      </c>
      <c r="O102" s="111" t="str" cm="1">
        <f t="array" ref="O102">Common_InputFunctions.Utility_DisplayArrayInTable(Fertiliser_SourceData.Fertiliser_Products_Data1(),FertiliserProducts[[#Headers],[Include or Exclude]], 0,4)</f>
        <v/>
      </c>
      <c r="P102" s="111" t="str" cm="1">
        <f t="array" ref="P102">Common_InputFunctions.Utility_DisplayArrayInTable(Fertiliser_SourceData.Fertiliser_Products_Data1(),FertiliserProducts[[#Headers],[Include or Exclude]], 0,4)</f>
        <v/>
      </c>
      <c r="Q102" s="111" t="str" cm="1">
        <f t="array" ref="Q102">Common_InputFunctions.Utility_DisplayArrayInTable(Fertiliser_SourceData.Fertiliser_Products_Data1(),FertiliserProducts[[#Headers],[Include or Exclude]], 0,4)</f>
        <v/>
      </c>
      <c r="R102" s="111" t="str" cm="1">
        <f t="array" ref="R102">Common_InputFunctions.Utility_DisplayArrayInTable(Fertiliser_SourceData.Fertiliser_Products_Data1(),FertiliserProducts[[#Headers],[Include or Exclude]], 0,4)</f>
        <v/>
      </c>
      <c r="S102" s="111" t="str" cm="1">
        <f t="array" ref="S102">Common_InputFunctions.Utility_DisplayArrayInTable(Fertiliser_SourceData.Fertiliser_Products_Data1(),FertiliserProducts[[#Headers],[Include or Exclude]], 0,4)</f>
        <v/>
      </c>
      <c r="T102" s="111" t="str" cm="1">
        <f t="array" ref="T102">Common_InputFunctions.Utility_DisplayArrayInTable(Fertiliser_SourceData.Fertiliser_Products_Data1(),FertiliserProducts[[#Headers],[Include or Exclude]], 0,4)</f>
        <v/>
      </c>
      <c r="U102" s="111" t="str" cm="1">
        <f t="array" ref="U102">Common_InputFunctions.Utility_DisplayArrayInTable(Fertiliser_SourceData.Fertiliser_Products_Data1(),FertiliserProducts[[#Headers],[Include or Exclude]], 0,4)</f>
        <v/>
      </c>
      <c r="V102" s="111" t="str" cm="1">
        <f t="array" ref="V102">Common_InputFunctions.Utility_DisplayArrayInTable(Fertiliser_SourceData.Fertiliser_Products_Data1(),FertiliserProducts[[#Headers],[Include or Exclude]], 0,4)</f>
        <v/>
      </c>
      <c r="W102" s="111" t="str" cm="1">
        <f t="array" ref="W102">Common_InputFunctions.Utility_DisplayArrayInTable(Fertiliser_SourceData.Fertiliser_Products_Data1(),FertiliserProducts[[#Headers],[Include or Exclude]], 0,4)</f>
        <v/>
      </c>
      <c r="X102" s="111" t="str" cm="1">
        <f t="array" ref="X102">Common_InputFunctions.Utility_DisplayArrayInTable(Fertiliser_SourceData.Fertiliser_Products_Data1(),FertiliserProducts[[#Headers],[Include or Exclude]], 0,4)</f>
        <v/>
      </c>
      <c r="Y102" s="111" t="str" cm="1">
        <f t="array" ref="Y102">Common_InputFunctions.Utility_DisplayArrayInTable(Fertiliser_SourceData.Fertiliser_Products_Data1(),FertiliserProducts[[#Headers],[Include or Exclude]], 0,4)</f>
        <v/>
      </c>
      <c r="Z102" s="111" t="str" cm="1">
        <f t="array" ref="Z102">Common_InputFunctions.Utility_DisplayArrayInTable(Fertiliser_SourceData.Fertiliser_Products_Data1(),FertiliserProducts[[#Headers],[Include or Exclude]], 0,4)</f>
        <v/>
      </c>
      <c r="AA102" s="111" t="str" cm="1">
        <f t="array" ref="AA102">Common_InputFunctions.Utility_DisplayArrayInTable(Fertiliser_SourceData.Fertiliser_Products_Data1(),FertiliserProducts[[#Headers],[Include or Exclude]], 0,4)</f>
        <v/>
      </c>
      <c r="AB102" s="111" t="str" cm="1">
        <f t="array" ref="AB102">Common_InputFunctions.Utility_DisplayArrayInTable(Fertiliser_SourceData.Fertiliser_Products_Data1(),FertiliserProducts[[#Headers],[Include or Exclude]], 0,4)</f>
        <v/>
      </c>
      <c r="AC102" s="111" t="str" cm="1">
        <f t="array" ref="AC102">Common_InputFunctions.Utility_DisplayArrayInTable(Fertiliser_SourceData.Fertiliser_Products_Data1(),FertiliserProducts[[#Headers],[Include or Exclude]], 0,4)</f>
        <v/>
      </c>
      <c r="AD102" s="111" t="str" cm="1">
        <f t="array" ref="AD102">Common_InputFunctions.Utility_DisplayArrayInTable(Fertiliser_SourceData.Fertiliser_Products_Data1(),FertiliserProducts[[#Headers],[Include or Exclude]], 0,4)</f>
        <v/>
      </c>
      <c r="AE102" s="111" t="str" cm="1">
        <f t="array" ref="AE102">Common_InputFunctions.Utility_DisplayArrayInTable(Fertiliser_SourceData.Fertiliser_Products_Data1(),FertiliserProducts[[#Headers],[Include or Exclude]], 0,4)</f>
        <v/>
      </c>
    </row>
    <row r="103" spans="4:31" ht="20.100000000000001" customHeight="1" x14ac:dyDescent="0.25">
      <c r="D103" s="111" t="str" cm="1">
        <f t="array" ref="D103">Common_InputFunctions.Utility_DisplayArrayInTable(Fertiliser_SourceData.Fertiliser_Products_Data1(),FertiliserProducts[[#Headers],[Include or Exclude]], -1)</f>
        <v>Include - Absent ingredients &lt; 2%</v>
      </c>
      <c r="E103" s="111" t="str" cm="1">
        <f t="array" ref="E103">Common_InputFunctions.Utility_DisplayArrayInTable(Fertiliser_SourceData.Fertiliser_Products_Data1(),FertiliserProducts[[#Headers],[Include or Exclude]], 0)</f>
        <v/>
      </c>
      <c r="F103" s="111" t="str" cm="1">
        <f t="array" ref="F103">Common_InputFunctions.Utility_DisplayArrayInTable(Fertiliser_SourceData.Fertiliser_Products_Data1(),FertiliserProducts[[#Headers],[Include or Exclude]], 0)</f>
        <v>Campbells fertilisers Australia</v>
      </c>
      <c r="G103" s="111" t="str" cm="1">
        <f t="array" ref="G103">Common_InputFunctions.Utility_DisplayArrayInTable(Fertiliser_SourceData.Fertiliser_Products_Data1(),FertiliserProducts[[#Headers],[Include or Exclude]], 0)</f>
        <v>Benefit PZ</v>
      </c>
      <c r="H103" s="111" t="str" cm="1">
        <f t="array" ref="H103">Common_InputFunctions.Utility_DisplayArrayInTable(Fertiliser_SourceData.Fertiliser_Products_Data1(),FertiliserProducts[[#Headers],[Include or Exclude]], 0,4)</f>
        <v/>
      </c>
      <c r="I103" s="111" t="str" cm="1">
        <f t="array" ref="I103">Common_InputFunctions.Utility_DisplayArrayInTable(Fertiliser_SourceData.Fertiliser_Products_Data1(),FertiliserProducts[[#Headers],[Include or Exclude]], 0,4)</f>
        <v/>
      </c>
      <c r="J103" s="111" t="str" cm="1">
        <f t="array" ref="J103">Common_InputFunctions.Utility_DisplayArrayInTable(Fertiliser_SourceData.Fertiliser_Products_Data1(),FertiliserProducts[[#Headers],[Include or Exclude]], 0,4)</f>
        <v/>
      </c>
      <c r="K103" s="111" t="str" cm="1">
        <f t="array" ref="K103">Common_InputFunctions.Utility_DisplayArrayInTable(Fertiliser_SourceData.Fertiliser_Products_Data1(),FertiliserProducts[[#Headers],[Include or Exclude]], 0,4)</f>
        <v/>
      </c>
      <c r="L103" s="111" t="str" cm="1">
        <f t="array" ref="L103">Common_InputFunctions.Utility_DisplayArrayInTable(Fertiliser_SourceData.Fertiliser_Products_Data1(),FertiliserProducts[[#Headers],[Include or Exclude]], 0,4)</f>
        <v/>
      </c>
      <c r="M103" s="111" t="str" cm="1">
        <f t="array" ref="M103">Common_InputFunctions.Utility_DisplayArrayInTable(Fertiliser_SourceData.Fertiliser_Products_Data1(),FertiliserProducts[[#Headers],[Include or Exclude]], 0,4)</f>
        <v/>
      </c>
      <c r="N103" s="111" t="str" cm="1">
        <f t="array" ref="N103">Common_InputFunctions.Utility_DisplayArrayInTable(Fertiliser_SourceData.Fertiliser_Products_Data1(),FertiliserProducts[[#Headers],[Include or Exclude]], 0,4)</f>
        <v/>
      </c>
      <c r="O103" s="111" t="str" cm="1">
        <f t="array" ref="O103">Common_InputFunctions.Utility_DisplayArrayInTable(Fertiliser_SourceData.Fertiliser_Products_Data1(),FertiliserProducts[[#Headers],[Include or Exclude]], 0,4)</f>
        <v/>
      </c>
      <c r="P103" s="111" t="str" cm="1">
        <f t="array" ref="P103">Common_InputFunctions.Utility_DisplayArrayInTable(Fertiliser_SourceData.Fertiliser_Products_Data1(),FertiliserProducts[[#Headers],[Include or Exclude]], 0,4)</f>
        <v/>
      </c>
      <c r="Q103" s="111" t="str" cm="1">
        <f t="array" ref="Q103">Common_InputFunctions.Utility_DisplayArrayInTable(Fertiliser_SourceData.Fertiliser_Products_Data1(),FertiliserProducts[[#Headers],[Include or Exclude]], 0,4)</f>
        <v/>
      </c>
      <c r="R103" s="111" t="str" cm="1">
        <f t="array" ref="R103">Common_InputFunctions.Utility_DisplayArrayInTable(Fertiliser_SourceData.Fertiliser_Products_Data1(),FertiliserProducts[[#Headers],[Include or Exclude]], 0,4)</f>
        <v/>
      </c>
      <c r="S103" s="111" t="str" cm="1">
        <f t="array" ref="S103">Common_InputFunctions.Utility_DisplayArrayInTable(Fertiliser_SourceData.Fertiliser_Products_Data1(),FertiliserProducts[[#Headers],[Include or Exclude]], 0,4)</f>
        <v/>
      </c>
      <c r="T103" s="111" t="str" cm="1">
        <f t="array" ref="T103">Common_InputFunctions.Utility_DisplayArrayInTable(Fertiliser_SourceData.Fertiliser_Products_Data1(),FertiliserProducts[[#Headers],[Include or Exclude]], 0,4)</f>
        <v/>
      </c>
      <c r="U103" s="111" t="str" cm="1">
        <f t="array" ref="U103">Common_InputFunctions.Utility_DisplayArrayInTable(Fertiliser_SourceData.Fertiliser_Products_Data1(),FertiliserProducts[[#Headers],[Include or Exclude]], 0,4)</f>
        <v/>
      </c>
      <c r="V103" s="111" t="str" cm="1">
        <f t="array" ref="V103">Common_InputFunctions.Utility_DisplayArrayInTable(Fertiliser_SourceData.Fertiliser_Products_Data1(),FertiliserProducts[[#Headers],[Include or Exclude]], 0,4)</f>
        <v/>
      </c>
      <c r="W103" s="111" t="str" cm="1">
        <f t="array" ref="W103">Common_InputFunctions.Utility_DisplayArrayInTable(Fertiliser_SourceData.Fertiliser_Products_Data1(),FertiliserProducts[[#Headers],[Include or Exclude]], 0,4)</f>
        <v/>
      </c>
      <c r="X103" s="111" t="str" cm="1">
        <f t="array" ref="X103">Common_InputFunctions.Utility_DisplayArrayInTable(Fertiliser_SourceData.Fertiliser_Products_Data1(),FertiliserProducts[[#Headers],[Include or Exclude]], 0,4)</f>
        <v/>
      </c>
      <c r="Y103" s="111" t="str" cm="1">
        <f t="array" ref="Y103">Common_InputFunctions.Utility_DisplayArrayInTable(Fertiliser_SourceData.Fertiliser_Products_Data1(),FertiliserProducts[[#Headers],[Include or Exclude]], 0,4)</f>
        <v/>
      </c>
      <c r="Z103" s="111" t="str" cm="1">
        <f t="array" ref="Z103">Common_InputFunctions.Utility_DisplayArrayInTable(Fertiliser_SourceData.Fertiliser_Products_Data1(),FertiliserProducts[[#Headers],[Include or Exclude]], 0,4)</f>
        <v/>
      </c>
      <c r="AA103" s="111" t="str" cm="1">
        <f t="array" ref="AA103">Common_InputFunctions.Utility_DisplayArrayInTable(Fertiliser_SourceData.Fertiliser_Products_Data1(),FertiliserProducts[[#Headers],[Include or Exclude]], 0,4)</f>
        <v/>
      </c>
      <c r="AB103" s="111" t="str" cm="1">
        <f t="array" ref="AB103">Common_InputFunctions.Utility_DisplayArrayInTable(Fertiliser_SourceData.Fertiliser_Products_Data1(),FertiliserProducts[[#Headers],[Include or Exclude]], 0,4)</f>
        <v/>
      </c>
      <c r="AC103" s="111" t="str" cm="1">
        <f t="array" ref="AC103">Common_InputFunctions.Utility_DisplayArrayInTable(Fertiliser_SourceData.Fertiliser_Products_Data1(),FertiliserProducts[[#Headers],[Include or Exclude]], 0,4)</f>
        <v/>
      </c>
      <c r="AD103" s="111" t="str" cm="1">
        <f t="array" ref="AD103">Common_InputFunctions.Utility_DisplayArrayInTable(Fertiliser_SourceData.Fertiliser_Products_Data1(),FertiliserProducts[[#Headers],[Include or Exclude]], 0,4)</f>
        <v/>
      </c>
      <c r="AE103" s="111" t="str" cm="1">
        <f t="array" ref="AE103">Common_InputFunctions.Utility_DisplayArrayInTable(Fertiliser_SourceData.Fertiliser_Products_Data1(),FertiliserProducts[[#Headers],[Include or Exclude]], 0,4)</f>
        <v/>
      </c>
    </row>
    <row r="104" spans="4:31" ht="20.100000000000001" customHeight="1" x14ac:dyDescent="0.25">
      <c r="D104" s="111" t="str" cm="1">
        <f t="array" ref="D104">Common_InputFunctions.Utility_DisplayArrayInTable(Fertiliser_SourceData.Fertiliser_Products_Data1(),FertiliserProducts[[#Headers],[Include or Exclude]], -1)</f>
        <v>Exclude - Not relevant</v>
      </c>
      <c r="E104" s="111" t="str" cm="1">
        <f t="array" ref="E104">Common_InputFunctions.Utility_DisplayArrayInTable(Fertiliser_SourceData.Fertiliser_Products_Data1(),FertiliserProducts[[#Headers],[Include or Exclude]], 0)</f>
        <v>Amount of urea calculated from urea nitrogen amount</v>
      </c>
      <c r="F104" s="111" t="str" cm="1">
        <f t="array" ref="F104">Common_InputFunctions.Utility_DisplayArrayInTable(Fertiliser_SourceData.Fertiliser_Products_Data1(),FertiliserProducts[[#Headers],[Include or Exclude]], 0)</f>
        <v>Campbells fertilisers Australia</v>
      </c>
      <c r="G104" s="111" t="str" cm="1">
        <f t="array" ref="G104">Common_InputFunctions.Utility_DisplayArrayInTable(Fertiliser_SourceData.Fertiliser_Products_Data1(),FertiliserProducts[[#Headers],[Include or Exclude]], 0)</f>
        <v>Boost-It</v>
      </c>
      <c r="H104" s="111" t="str" cm="1">
        <f t="array" ref="H104">Common_InputFunctions.Utility_DisplayArrayInTable(Fertiliser_SourceData.Fertiliser_Products_Data1(),FertiliserProducts[[#Headers],[Include or Exclude]], 0,4)</f>
        <v>kg</v>
      </c>
      <c r="I104" s="111" cm="1">
        <f t="array" ref="I104">Common_InputFunctions.Utility_DisplayArrayInTable(Fertiliser_SourceData.Fertiliser_Products_Data1(),FertiliserProducts[[#Headers],[Include or Exclude]], 0,4)</f>
        <v>1</v>
      </c>
      <c r="J104" s="111" t="str" cm="1">
        <f t="array" ref="J104">Common_InputFunctions.Utility_DisplayArrayInTable(Fertiliser_SourceData.Fertiliser_Products_Data1(),FertiliserProducts[[#Headers],[Include or Exclude]], 0,4)</f>
        <v/>
      </c>
      <c r="K104" s="111" t="str" cm="1">
        <f t="array" ref="K104">Common_InputFunctions.Utility_DisplayArrayInTable(Fertiliser_SourceData.Fertiliser_Products_Data1(),FertiliserProducts[[#Headers],[Include or Exclude]], 0,4)</f>
        <v/>
      </c>
      <c r="L104" s="111" t="str" cm="1">
        <f t="array" ref="L104">Common_InputFunctions.Utility_DisplayArrayInTable(Fertiliser_SourceData.Fertiliser_Products_Data1(),FertiliserProducts[[#Headers],[Include or Exclude]], 0,4)</f>
        <v>Urea</v>
      </c>
      <c r="M104" s="111" cm="1">
        <f t="array" ref="M104">Common_InputFunctions.Utility_DisplayArrayInTable(Fertiliser_SourceData.Fertiliser_Products_Data1(),FertiliserProducts[[#Headers],[Include or Exclude]], 0,4)</f>
        <v>0.52173913000000005</v>
      </c>
      <c r="N104" s="111" t="str" cm="1">
        <f t="array" ref="N104">Common_InputFunctions.Utility_DisplayArrayInTable(Fertiliser_SourceData.Fertiliser_Products_Data1(),FertiliserProducts[[#Headers],[Include or Exclude]], 0,4)</f>
        <v>Potassium - Generic</v>
      </c>
      <c r="O104" s="111" cm="1">
        <f t="array" ref="O104">Common_InputFunctions.Utility_DisplayArrayInTable(Fertiliser_SourceData.Fertiliser_Products_Data1(),FertiliserProducts[[#Headers],[Include or Exclude]], 0,4)</f>
        <v>0.08</v>
      </c>
      <c r="P104" s="111" t="str" cm="1">
        <f t="array" ref="P104">Common_InputFunctions.Utility_DisplayArrayInTable(Fertiliser_SourceData.Fertiliser_Products_Data1(),FertiliserProducts[[#Headers],[Include or Exclude]], 0,4)</f>
        <v>Sulfur - Generic</v>
      </c>
      <c r="Q104" s="111" cm="1">
        <f t="array" ref="Q104">Common_InputFunctions.Utility_DisplayArrayInTable(Fertiliser_SourceData.Fertiliser_Products_Data1(),FertiliserProducts[[#Headers],[Include or Exclude]], 0,4)</f>
        <v>5.2999999999999999E-2</v>
      </c>
      <c r="R104" s="111" t="str" cm="1">
        <f t="array" ref="R104">Common_InputFunctions.Utility_DisplayArrayInTable(Fertiliser_SourceData.Fertiliser_Products_Data1(),FertiliserProducts[[#Headers],[Include or Exclude]], 0,4)</f>
        <v>Phosphorus - Generic</v>
      </c>
      <c r="S104" s="111" cm="1">
        <f t="array" ref="S104">Common_InputFunctions.Utility_DisplayArrayInTable(Fertiliser_SourceData.Fertiliser_Products_Data1(),FertiliserProducts[[#Headers],[Include or Exclude]], 0,4)</f>
        <v>5.1999999999999998E-2</v>
      </c>
      <c r="T104" s="111" t="str" cm="1">
        <f t="array" ref="T104">Common_InputFunctions.Utility_DisplayArrayInTable(Fertiliser_SourceData.Fertiliser_Products_Data1(),FertiliserProducts[[#Headers],[Include or Exclude]], 0,4)</f>
        <v>Magnesium</v>
      </c>
      <c r="U104" s="111" cm="1">
        <f t="array" ref="U104">Common_InputFunctions.Utility_DisplayArrayInTable(Fertiliser_SourceData.Fertiliser_Products_Data1(),FertiliserProducts[[#Headers],[Include or Exclude]], 0,4)</f>
        <v>1.2999999999999999E-2</v>
      </c>
      <c r="V104" s="111" t="str" cm="1">
        <f t="array" ref="V104">Common_InputFunctions.Utility_DisplayArrayInTable(Fertiliser_SourceData.Fertiliser_Products_Data1(),FertiliserProducts[[#Headers],[Include or Exclude]], 0,4)</f>
        <v>Zinc</v>
      </c>
      <c r="W104" s="111" cm="1">
        <f t="array" ref="W104">Common_InputFunctions.Utility_DisplayArrayInTable(Fertiliser_SourceData.Fertiliser_Products_Data1(),FertiliserProducts[[#Headers],[Include or Exclude]], 0,4)</f>
        <v>2E-3</v>
      </c>
      <c r="X104" s="111" t="str" cm="1">
        <f t="array" ref="X104">Common_InputFunctions.Utility_DisplayArrayInTable(Fertiliser_SourceData.Fertiliser_Products_Data1(),FertiliserProducts[[#Headers],[Include or Exclude]], 0,4)</f>
        <v>Manganese</v>
      </c>
      <c r="Y104" s="111" cm="1">
        <f t="array" ref="Y104">Common_InputFunctions.Utility_DisplayArrayInTable(Fertiliser_SourceData.Fertiliser_Products_Data1(),FertiliserProducts[[#Headers],[Include or Exclude]], 0,4)</f>
        <v>3.5000000000000001E-3</v>
      </c>
      <c r="Z104" s="111" t="str" cm="1">
        <f t="array" ref="Z104">Common_InputFunctions.Utility_DisplayArrayInTable(Fertiliser_SourceData.Fertiliser_Products_Data1(),FertiliserProducts[[#Headers],[Include or Exclude]], 0,4)</f>
        <v>Iron</v>
      </c>
      <c r="AA104" s="111" cm="1">
        <f t="array" ref="AA104">Common_InputFunctions.Utility_DisplayArrayInTable(Fertiliser_SourceData.Fertiliser_Products_Data1(),FertiliserProducts[[#Headers],[Include or Exclude]], 0,4)</f>
        <v>1.2999999999999999E-3</v>
      </c>
      <c r="AB104" s="111" t="str" cm="1">
        <f t="array" ref="AB104">Common_InputFunctions.Utility_DisplayArrayInTable(Fertiliser_SourceData.Fertiliser_Products_Data1(),FertiliserProducts[[#Headers],[Include or Exclude]], 0,4)</f>
        <v>Copper</v>
      </c>
      <c r="AC104" s="111" cm="1">
        <f t="array" ref="AC104">Common_InputFunctions.Utility_DisplayArrayInTable(Fertiliser_SourceData.Fertiliser_Products_Data1(),FertiliserProducts[[#Headers],[Include or Exclude]], 0,4)</f>
        <v>6.9999999999999999E-4</v>
      </c>
      <c r="AD104" s="111" t="str" cm="1">
        <f t="array" ref="AD104">Common_InputFunctions.Utility_DisplayArrayInTable(Fertiliser_SourceData.Fertiliser_Products_Data1(),FertiliserProducts[[#Headers],[Include or Exclude]], 0,4)</f>
        <v>Boron</v>
      </c>
      <c r="AE104" s="111" cm="1">
        <f t="array" ref="AE104">Common_InputFunctions.Utility_DisplayArrayInTable(Fertiliser_SourceData.Fertiliser_Products_Data1(),FertiliserProducts[[#Headers],[Include or Exclude]], 0,4)</f>
        <v>6.9999999999999999E-4</v>
      </c>
    </row>
    <row r="105" spans="4:31" ht="20.100000000000001" customHeight="1" x14ac:dyDescent="0.25">
      <c r="D105" s="111" t="str" cm="1">
        <f t="array" ref="D105">Common_InputFunctions.Utility_DisplayArrayInTable(Fertiliser_SourceData.Fertiliser_Products_Data1(),FertiliserProducts[[#Headers],[Include or Exclude]], -1)</f>
        <v>Exclude - Not relevant</v>
      </c>
      <c r="E105" s="111" t="str" cm="1">
        <f t="array" ref="E105">Common_InputFunctions.Utility_DisplayArrayInTable(Fertiliser_SourceData.Fertiliser_Products_Data1(),FertiliserProducts[[#Headers],[Include or Exclude]], 0)</f>
        <v/>
      </c>
      <c r="F105" s="111" t="str" cm="1">
        <f t="array" ref="F105">Common_InputFunctions.Utility_DisplayArrayInTable(Fertiliser_SourceData.Fertiliser_Products_Data1(),FertiliserProducts[[#Headers],[Include or Exclude]], 0)</f>
        <v>Campbells fertilisers Australia</v>
      </c>
      <c r="G105" s="111" t="str" cm="1">
        <f t="array" ref="G105">Common_InputFunctions.Utility_DisplayArrayInTable(Fertiliser_SourceData.Fertiliser_Products_Data1(),FertiliserProducts[[#Headers],[Include or Exclude]], 0)</f>
        <v>Boroplus</v>
      </c>
      <c r="H105" s="111" t="str" cm="1">
        <f t="array" ref="H105">Common_InputFunctions.Utility_DisplayArrayInTable(Fertiliser_SourceData.Fertiliser_Products_Data1(),FertiliserProducts[[#Headers],[Include or Exclude]], 0,4)</f>
        <v/>
      </c>
      <c r="I105" s="111" t="str" cm="1">
        <f t="array" ref="I105">Common_InputFunctions.Utility_DisplayArrayInTable(Fertiliser_SourceData.Fertiliser_Products_Data1(),FertiliserProducts[[#Headers],[Include or Exclude]], 0,4)</f>
        <v/>
      </c>
      <c r="J105" s="111" t="str" cm="1">
        <f t="array" ref="J105">Common_InputFunctions.Utility_DisplayArrayInTable(Fertiliser_SourceData.Fertiliser_Products_Data1(),FertiliserProducts[[#Headers],[Include or Exclude]], 0,4)</f>
        <v/>
      </c>
      <c r="K105" s="111" t="str" cm="1">
        <f t="array" ref="K105">Common_InputFunctions.Utility_DisplayArrayInTable(Fertiliser_SourceData.Fertiliser_Products_Data1(),FertiliserProducts[[#Headers],[Include or Exclude]], 0,4)</f>
        <v/>
      </c>
      <c r="L105" s="111" t="str" cm="1">
        <f t="array" ref="L105">Common_InputFunctions.Utility_DisplayArrayInTable(Fertiliser_SourceData.Fertiliser_Products_Data1(),FertiliserProducts[[#Headers],[Include or Exclude]], 0,4)</f>
        <v/>
      </c>
      <c r="M105" s="111" t="str" cm="1">
        <f t="array" ref="M105">Common_InputFunctions.Utility_DisplayArrayInTable(Fertiliser_SourceData.Fertiliser_Products_Data1(),FertiliserProducts[[#Headers],[Include or Exclude]], 0,4)</f>
        <v/>
      </c>
      <c r="N105" s="111" t="str" cm="1">
        <f t="array" ref="N105">Common_InputFunctions.Utility_DisplayArrayInTable(Fertiliser_SourceData.Fertiliser_Products_Data1(),FertiliserProducts[[#Headers],[Include or Exclude]], 0,4)</f>
        <v/>
      </c>
      <c r="O105" s="111" t="str" cm="1">
        <f t="array" ref="O105">Common_InputFunctions.Utility_DisplayArrayInTable(Fertiliser_SourceData.Fertiliser_Products_Data1(),FertiliserProducts[[#Headers],[Include or Exclude]], 0,4)</f>
        <v/>
      </c>
      <c r="P105" s="111" t="str" cm="1">
        <f t="array" ref="P105">Common_InputFunctions.Utility_DisplayArrayInTable(Fertiliser_SourceData.Fertiliser_Products_Data1(),FertiliserProducts[[#Headers],[Include or Exclude]], 0,4)</f>
        <v/>
      </c>
      <c r="Q105" s="111" t="str" cm="1">
        <f t="array" ref="Q105">Common_InputFunctions.Utility_DisplayArrayInTable(Fertiliser_SourceData.Fertiliser_Products_Data1(),FertiliserProducts[[#Headers],[Include or Exclude]], 0,4)</f>
        <v/>
      </c>
      <c r="R105" s="111" t="str" cm="1">
        <f t="array" ref="R105">Common_InputFunctions.Utility_DisplayArrayInTable(Fertiliser_SourceData.Fertiliser_Products_Data1(),FertiliserProducts[[#Headers],[Include or Exclude]], 0,4)</f>
        <v/>
      </c>
      <c r="S105" s="111" t="str" cm="1">
        <f t="array" ref="S105">Common_InputFunctions.Utility_DisplayArrayInTable(Fertiliser_SourceData.Fertiliser_Products_Data1(),FertiliserProducts[[#Headers],[Include or Exclude]], 0,4)</f>
        <v/>
      </c>
      <c r="T105" s="111" t="str" cm="1">
        <f t="array" ref="T105">Common_InputFunctions.Utility_DisplayArrayInTable(Fertiliser_SourceData.Fertiliser_Products_Data1(),FertiliserProducts[[#Headers],[Include or Exclude]], 0,4)</f>
        <v/>
      </c>
      <c r="U105" s="111" t="str" cm="1">
        <f t="array" ref="U105">Common_InputFunctions.Utility_DisplayArrayInTable(Fertiliser_SourceData.Fertiliser_Products_Data1(),FertiliserProducts[[#Headers],[Include or Exclude]], 0,4)</f>
        <v/>
      </c>
      <c r="V105" s="111" t="str" cm="1">
        <f t="array" ref="V105">Common_InputFunctions.Utility_DisplayArrayInTable(Fertiliser_SourceData.Fertiliser_Products_Data1(),FertiliserProducts[[#Headers],[Include or Exclude]], 0,4)</f>
        <v/>
      </c>
      <c r="W105" s="111" t="str" cm="1">
        <f t="array" ref="W105">Common_InputFunctions.Utility_DisplayArrayInTable(Fertiliser_SourceData.Fertiliser_Products_Data1(),FertiliserProducts[[#Headers],[Include or Exclude]], 0,4)</f>
        <v/>
      </c>
      <c r="X105" s="111" t="str" cm="1">
        <f t="array" ref="X105">Common_InputFunctions.Utility_DisplayArrayInTable(Fertiliser_SourceData.Fertiliser_Products_Data1(),FertiliserProducts[[#Headers],[Include or Exclude]], 0,4)</f>
        <v/>
      </c>
      <c r="Y105" s="111" t="str" cm="1">
        <f t="array" ref="Y105">Common_InputFunctions.Utility_DisplayArrayInTable(Fertiliser_SourceData.Fertiliser_Products_Data1(),FertiliserProducts[[#Headers],[Include or Exclude]], 0,4)</f>
        <v/>
      </c>
      <c r="Z105" s="111" t="str" cm="1">
        <f t="array" ref="Z105">Common_InputFunctions.Utility_DisplayArrayInTable(Fertiliser_SourceData.Fertiliser_Products_Data1(),FertiliserProducts[[#Headers],[Include or Exclude]], 0,4)</f>
        <v/>
      </c>
      <c r="AA105" s="111" t="str" cm="1">
        <f t="array" ref="AA105">Common_InputFunctions.Utility_DisplayArrayInTable(Fertiliser_SourceData.Fertiliser_Products_Data1(),FertiliserProducts[[#Headers],[Include or Exclude]], 0,4)</f>
        <v/>
      </c>
      <c r="AB105" s="111" t="str" cm="1">
        <f t="array" ref="AB105">Common_InputFunctions.Utility_DisplayArrayInTable(Fertiliser_SourceData.Fertiliser_Products_Data1(),FertiliserProducts[[#Headers],[Include or Exclude]], 0,4)</f>
        <v/>
      </c>
      <c r="AC105" s="111" t="str" cm="1">
        <f t="array" ref="AC105">Common_InputFunctions.Utility_DisplayArrayInTable(Fertiliser_SourceData.Fertiliser_Products_Data1(),FertiliserProducts[[#Headers],[Include or Exclude]], 0,4)</f>
        <v/>
      </c>
      <c r="AD105" s="111" t="str" cm="1">
        <f t="array" ref="AD105">Common_InputFunctions.Utility_DisplayArrayInTable(Fertiliser_SourceData.Fertiliser_Products_Data1(),FertiliserProducts[[#Headers],[Include or Exclude]], 0,4)</f>
        <v/>
      </c>
      <c r="AE105" s="111" t="str" cm="1">
        <f t="array" ref="AE105">Common_InputFunctions.Utility_DisplayArrayInTable(Fertiliser_SourceData.Fertiliser_Products_Data1(),FertiliserProducts[[#Headers],[Include or Exclude]], 0,4)</f>
        <v/>
      </c>
    </row>
    <row r="106" spans="4:31" ht="20.100000000000001" customHeight="1" x14ac:dyDescent="0.25">
      <c r="D106" s="111" t="str" cm="1">
        <f t="array" ref="D106">Common_InputFunctions.Utility_DisplayArrayInTable(Fertiliser_SourceData.Fertiliser_Products_Data1(),FertiliserProducts[[#Headers],[Include or Exclude]], -1)</f>
        <v>Exclude - Not relevant</v>
      </c>
      <c r="E106" s="111" t="str" cm="1">
        <f t="array" ref="E106">Common_InputFunctions.Utility_DisplayArrayInTable(Fertiliser_SourceData.Fertiliser_Products_Data1(),FertiliserProducts[[#Headers],[Include or Exclude]], 0)</f>
        <v/>
      </c>
      <c r="F106" s="111" t="str" cm="1">
        <f t="array" ref="F106">Common_InputFunctions.Utility_DisplayArrayInTable(Fertiliser_SourceData.Fertiliser_Products_Data1(),FertiliserProducts[[#Headers],[Include or Exclude]], 0)</f>
        <v>Campbells fertilisers Australia</v>
      </c>
      <c r="G106" s="111" t="str" cm="1">
        <f t="array" ref="G106">Common_InputFunctions.Utility_DisplayArrayInTable(Fertiliser_SourceData.Fertiliser_Products_Data1(),FertiliserProducts[[#Headers],[Include or Exclude]], 0)</f>
        <v>Brevisol Range</v>
      </c>
      <c r="H106" s="111" t="str" cm="1">
        <f t="array" ref="H106">Common_InputFunctions.Utility_DisplayArrayInTable(Fertiliser_SourceData.Fertiliser_Products_Data1(),FertiliserProducts[[#Headers],[Include or Exclude]], 0,4)</f>
        <v/>
      </c>
      <c r="I106" s="111" t="str" cm="1">
        <f t="array" ref="I106">Common_InputFunctions.Utility_DisplayArrayInTable(Fertiliser_SourceData.Fertiliser_Products_Data1(),FertiliserProducts[[#Headers],[Include or Exclude]], 0,4)</f>
        <v/>
      </c>
      <c r="J106" s="111" t="str" cm="1">
        <f t="array" ref="J106">Common_InputFunctions.Utility_DisplayArrayInTable(Fertiliser_SourceData.Fertiliser_Products_Data1(),FertiliserProducts[[#Headers],[Include or Exclude]], 0,4)</f>
        <v/>
      </c>
      <c r="K106" s="111" t="str" cm="1">
        <f t="array" ref="K106">Common_InputFunctions.Utility_DisplayArrayInTable(Fertiliser_SourceData.Fertiliser_Products_Data1(),FertiliserProducts[[#Headers],[Include or Exclude]], 0,4)</f>
        <v/>
      </c>
      <c r="L106" s="111" t="str" cm="1">
        <f t="array" ref="L106">Common_InputFunctions.Utility_DisplayArrayInTable(Fertiliser_SourceData.Fertiliser_Products_Data1(),FertiliserProducts[[#Headers],[Include or Exclude]], 0,4)</f>
        <v/>
      </c>
      <c r="M106" s="111" t="str" cm="1">
        <f t="array" ref="M106">Common_InputFunctions.Utility_DisplayArrayInTable(Fertiliser_SourceData.Fertiliser_Products_Data1(),FertiliserProducts[[#Headers],[Include or Exclude]], 0,4)</f>
        <v/>
      </c>
      <c r="N106" s="111" t="str" cm="1">
        <f t="array" ref="N106">Common_InputFunctions.Utility_DisplayArrayInTable(Fertiliser_SourceData.Fertiliser_Products_Data1(),FertiliserProducts[[#Headers],[Include or Exclude]], 0,4)</f>
        <v/>
      </c>
      <c r="O106" s="111" t="str" cm="1">
        <f t="array" ref="O106">Common_InputFunctions.Utility_DisplayArrayInTable(Fertiliser_SourceData.Fertiliser_Products_Data1(),FertiliserProducts[[#Headers],[Include or Exclude]], 0,4)</f>
        <v/>
      </c>
      <c r="P106" s="111" t="str" cm="1">
        <f t="array" ref="P106">Common_InputFunctions.Utility_DisplayArrayInTable(Fertiliser_SourceData.Fertiliser_Products_Data1(),FertiliserProducts[[#Headers],[Include or Exclude]], 0,4)</f>
        <v/>
      </c>
      <c r="Q106" s="111" t="str" cm="1">
        <f t="array" ref="Q106">Common_InputFunctions.Utility_DisplayArrayInTable(Fertiliser_SourceData.Fertiliser_Products_Data1(),FertiliserProducts[[#Headers],[Include or Exclude]], 0,4)</f>
        <v/>
      </c>
      <c r="R106" s="111" t="str" cm="1">
        <f t="array" ref="R106">Common_InputFunctions.Utility_DisplayArrayInTable(Fertiliser_SourceData.Fertiliser_Products_Data1(),FertiliserProducts[[#Headers],[Include or Exclude]], 0,4)</f>
        <v/>
      </c>
      <c r="S106" s="111" t="str" cm="1">
        <f t="array" ref="S106">Common_InputFunctions.Utility_DisplayArrayInTable(Fertiliser_SourceData.Fertiliser_Products_Data1(),FertiliserProducts[[#Headers],[Include or Exclude]], 0,4)</f>
        <v/>
      </c>
      <c r="T106" s="111" t="str" cm="1">
        <f t="array" ref="T106">Common_InputFunctions.Utility_DisplayArrayInTable(Fertiliser_SourceData.Fertiliser_Products_Data1(),FertiliserProducts[[#Headers],[Include or Exclude]], 0,4)</f>
        <v/>
      </c>
      <c r="U106" s="111" t="str" cm="1">
        <f t="array" ref="U106">Common_InputFunctions.Utility_DisplayArrayInTable(Fertiliser_SourceData.Fertiliser_Products_Data1(),FertiliserProducts[[#Headers],[Include or Exclude]], 0,4)</f>
        <v/>
      </c>
      <c r="V106" s="111" t="str" cm="1">
        <f t="array" ref="V106">Common_InputFunctions.Utility_DisplayArrayInTable(Fertiliser_SourceData.Fertiliser_Products_Data1(),FertiliserProducts[[#Headers],[Include or Exclude]], 0,4)</f>
        <v/>
      </c>
      <c r="W106" s="111" t="str" cm="1">
        <f t="array" ref="W106">Common_InputFunctions.Utility_DisplayArrayInTable(Fertiliser_SourceData.Fertiliser_Products_Data1(),FertiliserProducts[[#Headers],[Include or Exclude]], 0,4)</f>
        <v/>
      </c>
      <c r="X106" s="111" t="str" cm="1">
        <f t="array" ref="X106">Common_InputFunctions.Utility_DisplayArrayInTable(Fertiliser_SourceData.Fertiliser_Products_Data1(),FertiliserProducts[[#Headers],[Include or Exclude]], 0,4)</f>
        <v/>
      </c>
      <c r="Y106" s="111" t="str" cm="1">
        <f t="array" ref="Y106">Common_InputFunctions.Utility_DisplayArrayInTable(Fertiliser_SourceData.Fertiliser_Products_Data1(),FertiliserProducts[[#Headers],[Include or Exclude]], 0,4)</f>
        <v/>
      </c>
      <c r="Z106" s="111" t="str" cm="1">
        <f t="array" ref="Z106">Common_InputFunctions.Utility_DisplayArrayInTable(Fertiliser_SourceData.Fertiliser_Products_Data1(),FertiliserProducts[[#Headers],[Include or Exclude]], 0,4)</f>
        <v/>
      </c>
      <c r="AA106" s="111" t="str" cm="1">
        <f t="array" ref="AA106">Common_InputFunctions.Utility_DisplayArrayInTable(Fertiliser_SourceData.Fertiliser_Products_Data1(),FertiliserProducts[[#Headers],[Include or Exclude]], 0,4)</f>
        <v/>
      </c>
      <c r="AB106" s="111" t="str" cm="1">
        <f t="array" ref="AB106">Common_InputFunctions.Utility_DisplayArrayInTable(Fertiliser_SourceData.Fertiliser_Products_Data1(),FertiliserProducts[[#Headers],[Include or Exclude]], 0,4)</f>
        <v/>
      </c>
      <c r="AC106" s="111" t="str" cm="1">
        <f t="array" ref="AC106">Common_InputFunctions.Utility_DisplayArrayInTable(Fertiliser_SourceData.Fertiliser_Products_Data1(),FertiliserProducts[[#Headers],[Include or Exclude]], 0,4)</f>
        <v/>
      </c>
      <c r="AD106" s="111" t="str" cm="1">
        <f t="array" ref="AD106">Common_InputFunctions.Utility_DisplayArrayInTable(Fertiliser_SourceData.Fertiliser_Products_Data1(),FertiliserProducts[[#Headers],[Include or Exclude]], 0,4)</f>
        <v/>
      </c>
      <c r="AE106" s="111" t="str" cm="1">
        <f t="array" ref="AE106">Common_InputFunctions.Utility_DisplayArrayInTable(Fertiliser_SourceData.Fertiliser_Products_Data1(),FertiliserProducts[[#Headers],[Include or Exclude]], 0,4)</f>
        <v/>
      </c>
    </row>
    <row r="107" spans="4:31" ht="20.100000000000001" customHeight="1" x14ac:dyDescent="0.25">
      <c r="D107" s="111" t="str" cm="1">
        <f t="array" ref="D107">Common_InputFunctions.Utility_DisplayArrayInTable(Fertiliser_SourceData.Fertiliser_Products_Data1(),FertiliserProducts[[#Headers],[Include or Exclude]], -1)</f>
        <v>Include</v>
      </c>
      <c r="E107" s="111" t="str" cm="1">
        <f t="array" ref="E107">Common_InputFunctions.Utility_DisplayArrayInTable(Fertiliser_SourceData.Fertiliser_Products_Data1(),FertiliserProducts[[#Headers],[Include or Exclude]], 0)</f>
        <v/>
      </c>
      <c r="F107" s="111" t="str" cm="1">
        <f t="array" ref="F107">Common_InputFunctions.Utility_DisplayArrayInTable(Fertiliser_SourceData.Fertiliser_Products_Data1(),FertiliserProducts[[#Headers],[Include or Exclude]], 0)</f>
        <v>Campbells fertilisers Australia</v>
      </c>
      <c r="G107" s="111" t="str" cm="1">
        <f t="array" ref="G107">Common_InputFunctions.Utility_DisplayArrayInTable(Fertiliser_SourceData.Fertiliser_Products_Data1(),FertiliserProducts[[#Headers],[Include or Exclude]], 0)</f>
        <v>Brexil Line</v>
      </c>
      <c r="H107" s="111" t="str" cm="1">
        <f t="array" ref="H107">Common_InputFunctions.Utility_DisplayArrayInTable(Fertiliser_SourceData.Fertiliser_Products_Data1(),FertiliserProducts[[#Headers],[Include or Exclude]], 0,4)</f>
        <v/>
      </c>
      <c r="I107" s="111" t="str" cm="1">
        <f t="array" ref="I107">Common_InputFunctions.Utility_DisplayArrayInTable(Fertiliser_SourceData.Fertiliser_Products_Data1(),FertiliserProducts[[#Headers],[Include or Exclude]], 0,4)</f>
        <v/>
      </c>
      <c r="J107" s="111" t="str" cm="1">
        <f t="array" ref="J107">Common_InputFunctions.Utility_DisplayArrayInTable(Fertiliser_SourceData.Fertiliser_Products_Data1(),FertiliserProducts[[#Headers],[Include or Exclude]], 0,4)</f>
        <v/>
      </c>
      <c r="K107" s="111" t="str" cm="1">
        <f t="array" ref="K107">Common_InputFunctions.Utility_DisplayArrayInTable(Fertiliser_SourceData.Fertiliser_Products_Data1(),FertiliserProducts[[#Headers],[Include or Exclude]], 0,4)</f>
        <v/>
      </c>
      <c r="L107" s="111" t="str" cm="1">
        <f t="array" ref="L107">Common_InputFunctions.Utility_DisplayArrayInTable(Fertiliser_SourceData.Fertiliser_Products_Data1(),FertiliserProducts[[#Headers],[Include or Exclude]], 0,4)</f>
        <v/>
      </c>
      <c r="M107" s="111" t="str" cm="1">
        <f t="array" ref="M107">Common_InputFunctions.Utility_DisplayArrayInTable(Fertiliser_SourceData.Fertiliser_Products_Data1(),FertiliserProducts[[#Headers],[Include or Exclude]], 0,4)</f>
        <v/>
      </c>
      <c r="N107" s="111" t="str" cm="1">
        <f t="array" ref="N107">Common_InputFunctions.Utility_DisplayArrayInTable(Fertiliser_SourceData.Fertiliser_Products_Data1(),FertiliserProducts[[#Headers],[Include or Exclude]], 0,4)</f>
        <v/>
      </c>
      <c r="O107" s="111" t="str" cm="1">
        <f t="array" ref="O107">Common_InputFunctions.Utility_DisplayArrayInTable(Fertiliser_SourceData.Fertiliser_Products_Data1(),FertiliserProducts[[#Headers],[Include or Exclude]], 0,4)</f>
        <v/>
      </c>
      <c r="P107" s="111" t="str" cm="1">
        <f t="array" ref="P107">Common_InputFunctions.Utility_DisplayArrayInTable(Fertiliser_SourceData.Fertiliser_Products_Data1(),FertiliserProducts[[#Headers],[Include or Exclude]], 0,4)</f>
        <v/>
      </c>
      <c r="Q107" s="111" t="str" cm="1">
        <f t="array" ref="Q107">Common_InputFunctions.Utility_DisplayArrayInTable(Fertiliser_SourceData.Fertiliser_Products_Data1(),FertiliserProducts[[#Headers],[Include or Exclude]], 0,4)</f>
        <v/>
      </c>
      <c r="R107" s="111" t="str" cm="1">
        <f t="array" ref="R107">Common_InputFunctions.Utility_DisplayArrayInTable(Fertiliser_SourceData.Fertiliser_Products_Data1(),FertiliserProducts[[#Headers],[Include or Exclude]], 0,4)</f>
        <v/>
      </c>
      <c r="S107" s="111" t="str" cm="1">
        <f t="array" ref="S107">Common_InputFunctions.Utility_DisplayArrayInTable(Fertiliser_SourceData.Fertiliser_Products_Data1(),FertiliserProducts[[#Headers],[Include or Exclude]], 0,4)</f>
        <v/>
      </c>
      <c r="T107" s="111" t="str" cm="1">
        <f t="array" ref="T107">Common_InputFunctions.Utility_DisplayArrayInTable(Fertiliser_SourceData.Fertiliser_Products_Data1(),FertiliserProducts[[#Headers],[Include or Exclude]], 0,4)</f>
        <v/>
      </c>
      <c r="U107" s="111" t="str" cm="1">
        <f t="array" ref="U107">Common_InputFunctions.Utility_DisplayArrayInTable(Fertiliser_SourceData.Fertiliser_Products_Data1(),FertiliserProducts[[#Headers],[Include or Exclude]], 0,4)</f>
        <v/>
      </c>
      <c r="V107" s="111" t="str" cm="1">
        <f t="array" ref="V107">Common_InputFunctions.Utility_DisplayArrayInTable(Fertiliser_SourceData.Fertiliser_Products_Data1(),FertiliserProducts[[#Headers],[Include or Exclude]], 0,4)</f>
        <v/>
      </c>
      <c r="W107" s="111" t="str" cm="1">
        <f t="array" ref="W107">Common_InputFunctions.Utility_DisplayArrayInTable(Fertiliser_SourceData.Fertiliser_Products_Data1(),FertiliserProducts[[#Headers],[Include or Exclude]], 0,4)</f>
        <v/>
      </c>
      <c r="X107" s="111" t="str" cm="1">
        <f t="array" ref="X107">Common_InputFunctions.Utility_DisplayArrayInTable(Fertiliser_SourceData.Fertiliser_Products_Data1(),FertiliserProducts[[#Headers],[Include or Exclude]], 0,4)</f>
        <v/>
      </c>
      <c r="Y107" s="111" t="str" cm="1">
        <f t="array" ref="Y107">Common_InputFunctions.Utility_DisplayArrayInTable(Fertiliser_SourceData.Fertiliser_Products_Data1(),FertiliserProducts[[#Headers],[Include or Exclude]], 0,4)</f>
        <v/>
      </c>
      <c r="Z107" s="111" t="str" cm="1">
        <f t="array" ref="Z107">Common_InputFunctions.Utility_DisplayArrayInTable(Fertiliser_SourceData.Fertiliser_Products_Data1(),FertiliserProducts[[#Headers],[Include or Exclude]], 0,4)</f>
        <v/>
      </c>
      <c r="AA107" s="111" t="str" cm="1">
        <f t="array" ref="AA107">Common_InputFunctions.Utility_DisplayArrayInTable(Fertiliser_SourceData.Fertiliser_Products_Data1(),FertiliserProducts[[#Headers],[Include or Exclude]], 0,4)</f>
        <v/>
      </c>
      <c r="AB107" s="111" t="str" cm="1">
        <f t="array" ref="AB107">Common_InputFunctions.Utility_DisplayArrayInTable(Fertiliser_SourceData.Fertiliser_Products_Data1(),FertiliserProducts[[#Headers],[Include or Exclude]], 0,4)</f>
        <v/>
      </c>
      <c r="AC107" s="111" t="str" cm="1">
        <f t="array" ref="AC107">Common_InputFunctions.Utility_DisplayArrayInTable(Fertiliser_SourceData.Fertiliser_Products_Data1(),FertiliserProducts[[#Headers],[Include or Exclude]], 0,4)</f>
        <v/>
      </c>
      <c r="AD107" s="111" t="str" cm="1">
        <f t="array" ref="AD107">Common_InputFunctions.Utility_DisplayArrayInTable(Fertiliser_SourceData.Fertiliser_Products_Data1(),FertiliserProducts[[#Headers],[Include or Exclude]], 0,4)</f>
        <v/>
      </c>
      <c r="AE107" s="111" t="str" cm="1">
        <f t="array" ref="AE107">Common_InputFunctions.Utility_DisplayArrayInTable(Fertiliser_SourceData.Fertiliser_Products_Data1(),FertiliserProducts[[#Headers],[Include or Exclude]], 0,4)</f>
        <v/>
      </c>
    </row>
    <row r="108" spans="4:31" ht="20.100000000000001" customHeight="1" x14ac:dyDescent="0.25">
      <c r="D108" s="111" t="str" cm="1">
        <f t="array" ref="D108">Common_InputFunctions.Utility_DisplayArrayInTable(Fertiliser_SourceData.Fertiliser_Products_Data1(),FertiliserProducts[[#Headers],[Include or Exclude]], -1)</f>
        <v>Exclude - Absent ingredients &gt; 2%</v>
      </c>
      <c r="E108" s="111" t="str" cm="1">
        <f t="array" ref="E108">Common_InputFunctions.Utility_DisplayArrayInTable(Fertiliser_SourceData.Fertiliser_Products_Data1(),FertiliserProducts[[#Headers],[Include or Exclude]], 0)</f>
        <v/>
      </c>
      <c r="F108" s="111" t="str" cm="1">
        <f t="array" ref="F108">Common_InputFunctions.Utility_DisplayArrayInTable(Fertiliser_SourceData.Fertiliser_Products_Data1(),FertiliserProducts[[#Headers],[Include or Exclude]], 0)</f>
        <v>Campbells fertilisers Australia</v>
      </c>
      <c r="G108" s="111" t="str" cm="1">
        <f t="array" ref="G108">Common_InputFunctions.Utility_DisplayArrayInTable(Fertiliser_SourceData.Fertiliser_Products_Data1(),FertiliserProducts[[#Headers],[Include or Exclude]], 0)</f>
        <v>Bronze</v>
      </c>
      <c r="H108" s="111" t="str" cm="1">
        <f t="array" ref="H108">Common_InputFunctions.Utility_DisplayArrayInTable(Fertiliser_SourceData.Fertiliser_Products_Data1(),FertiliserProducts[[#Headers],[Include or Exclude]], 0,4)</f>
        <v>kg</v>
      </c>
      <c r="I108" s="111" t="str" cm="1">
        <f t="array" ref="I108">Common_InputFunctions.Utility_DisplayArrayInTable(Fertiliser_SourceData.Fertiliser_Products_Data1(),FertiliserProducts[[#Headers],[Include or Exclude]], 0,4)</f>
        <v/>
      </c>
      <c r="J108" s="111" t="str" cm="1">
        <f t="array" ref="J108">Common_InputFunctions.Utility_DisplayArrayInTable(Fertiliser_SourceData.Fertiliser_Products_Data1(),FertiliserProducts[[#Headers],[Include or Exclude]], 0,4)</f>
        <v/>
      </c>
      <c r="K108" s="111" t="str" cm="1">
        <f t="array" ref="K108">Common_InputFunctions.Utility_DisplayArrayInTable(Fertiliser_SourceData.Fertiliser_Products_Data1(),FertiliserProducts[[#Headers],[Include or Exclude]], 0,4)</f>
        <v/>
      </c>
      <c r="L108" s="111" t="str" cm="1">
        <f t="array" ref="L108">Common_InputFunctions.Utility_DisplayArrayInTable(Fertiliser_SourceData.Fertiliser_Products_Data1(),FertiliserProducts[[#Headers],[Include or Exclude]], 0,4)</f>
        <v>Muriate of Potash (MOP)</v>
      </c>
      <c r="M108" s="111" cm="1">
        <f t="array" ref="M108">Common_InputFunctions.Utility_DisplayArrayInTable(Fertiliser_SourceData.Fertiliser_Products_Data1(),FertiliserProducts[[#Headers],[Include or Exclude]], 0,4)</f>
        <v>0.23200000000000001</v>
      </c>
      <c r="N108" s="111" t="str" cm="1">
        <f t="array" ref="N108">Common_InputFunctions.Utility_DisplayArrayInTable(Fertiliser_SourceData.Fertiliser_Products_Data1(),FertiliserProducts[[#Headers],[Include or Exclude]], 0,4)</f>
        <v>Nitrogen - Generic</v>
      </c>
      <c r="O108" s="111" cm="1">
        <f t="array" ref="O108">Common_InputFunctions.Utility_DisplayArrayInTable(Fertiliser_SourceData.Fertiliser_Products_Data1(),FertiliserProducts[[#Headers],[Include or Exclude]], 0,4)</f>
        <v>0.17</v>
      </c>
      <c r="P108" s="111" t="str" cm="1">
        <f t="array" ref="P108">Common_InputFunctions.Utility_DisplayArrayInTable(Fertiliser_SourceData.Fertiliser_Products_Data1(),FertiliserProducts[[#Headers],[Include or Exclude]], 0,4)</f>
        <v>Sulfur - Generic</v>
      </c>
      <c r="Q108" s="111" cm="1">
        <f t="array" ref="Q108">Common_InputFunctions.Utility_DisplayArrayInTable(Fertiliser_SourceData.Fertiliser_Products_Data1(),FertiliserProducts[[#Headers],[Include or Exclude]], 0,4)</f>
        <v>5.0000000000000001E-3</v>
      </c>
      <c r="R108" s="111" t="str" cm="1">
        <f t="array" ref="R108">Common_InputFunctions.Utility_DisplayArrayInTable(Fertiliser_SourceData.Fertiliser_Products_Data1(),FertiliserProducts[[#Headers],[Include or Exclude]], 0,4)</f>
        <v>Magnesium</v>
      </c>
      <c r="S108" s="111" cm="1">
        <f t="array" ref="S108">Common_InputFunctions.Utility_DisplayArrayInTable(Fertiliser_SourceData.Fertiliser_Products_Data1(),FertiliserProducts[[#Headers],[Include or Exclude]], 0,4)</f>
        <v>2.3999999999999998E-3</v>
      </c>
      <c r="T108" s="111" t="str" cm="1">
        <f t="array" ref="T108">Common_InputFunctions.Utility_DisplayArrayInTable(Fertiliser_SourceData.Fertiliser_Products_Data1(),FertiliserProducts[[#Headers],[Include or Exclude]], 0,4)</f>
        <v>Phosphorus - Generic</v>
      </c>
      <c r="U108" s="111" cm="1">
        <f t="array" ref="U108">Common_InputFunctions.Utility_DisplayArrayInTable(Fertiliser_SourceData.Fertiliser_Products_Data1(),FertiliserProducts[[#Headers],[Include or Exclude]], 0,4)</f>
        <v>4.0000000000000002E-4</v>
      </c>
      <c r="V108" s="111" t="str" cm="1">
        <f t="array" ref="V108">Common_InputFunctions.Utility_DisplayArrayInTable(Fertiliser_SourceData.Fertiliser_Products_Data1(),FertiliserProducts[[#Headers],[Include or Exclude]], 0,4)</f>
        <v/>
      </c>
      <c r="W108" s="111" t="str" cm="1">
        <f t="array" ref="W108">Common_InputFunctions.Utility_DisplayArrayInTable(Fertiliser_SourceData.Fertiliser_Products_Data1(),FertiliserProducts[[#Headers],[Include or Exclude]], 0,4)</f>
        <v/>
      </c>
      <c r="X108" s="111" t="str" cm="1">
        <f t="array" ref="X108">Common_InputFunctions.Utility_DisplayArrayInTable(Fertiliser_SourceData.Fertiliser_Products_Data1(),FertiliserProducts[[#Headers],[Include or Exclude]], 0,4)</f>
        <v/>
      </c>
      <c r="Y108" s="111" t="str" cm="1">
        <f t="array" ref="Y108">Common_InputFunctions.Utility_DisplayArrayInTable(Fertiliser_SourceData.Fertiliser_Products_Data1(),FertiliserProducts[[#Headers],[Include or Exclude]], 0,4)</f>
        <v/>
      </c>
      <c r="Z108" s="111" t="str" cm="1">
        <f t="array" ref="Z108">Common_InputFunctions.Utility_DisplayArrayInTable(Fertiliser_SourceData.Fertiliser_Products_Data1(),FertiliserProducts[[#Headers],[Include or Exclude]], 0,4)</f>
        <v/>
      </c>
      <c r="AA108" s="111" t="str" cm="1">
        <f t="array" ref="AA108">Common_InputFunctions.Utility_DisplayArrayInTable(Fertiliser_SourceData.Fertiliser_Products_Data1(),FertiliserProducts[[#Headers],[Include or Exclude]], 0,4)</f>
        <v/>
      </c>
      <c r="AB108" s="111" t="str" cm="1">
        <f t="array" ref="AB108">Common_InputFunctions.Utility_DisplayArrayInTable(Fertiliser_SourceData.Fertiliser_Products_Data1(),FertiliserProducts[[#Headers],[Include or Exclude]], 0,4)</f>
        <v/>
      </c>
      <c r="AC108" s="111" t="str" cm="1">
        <f t="array" ref="AC108">Common_InputFunctions.Utility_DisplayArrayInTable(Fertiliser_SourceData.Fertiliser_Products_Data1(),FertiliserProducts[[#Headers],[Include or Exclude]], 0,4)</f>
        <v/>
      </c>
      <c r="AD108" s="111" t="str" cm="1">
        <f t="array" ref="AD108">Common_InputFunctions.Utility_DisplayArrayInTable(Fertiliser_SourceData.Fertiliser_Products_Data1(),FertiliserProducts[[#Headers],[Include or Exclude]], 0,4)</f>
        <v/>
      </c>
      <c r="AE108" s="111" t="str" cm="1">
        <f t="array" ref="AE108">Common_InputFunctions.Utility_DisplayArrayInTable(Fertiliser_SourceData.Fertiliser_Products_Data1(),FertiliserProducts[[#Headers],[Include or Exclude]], 0,4)</f>
        <v/>
      </c>
    </row>
    <row r="109" spans="4:31" ht="20.100000000000001" customHeight="1" x14ac:dyDescent="0.25">
      <c r="D109" s="111" t="str" cm="1">
        <f t="array" ref="D109">Common_InputFunctions.Utility_DisplayArrayInTable(Fertiliser_SourceData.Fertiliser_Products_Data1(),FertiliserProducts[[#Headers],[Include or Exclude]], -1)</f>
        <v>Exclude - Not relevant</v>
      </c>
      <c r="E109" s="111" t="str" cm="1">
        <f t="array" ref="E109">Common_InputFunctions.Utility_DisplayArrayInTable(Fertiliser_SourceData.Fertiliser_Products_Data1(),FertiliserProducts[[#Headers],[Include or Exclude]], 0)</f>
        <v/>
      </c>
      <c r="F109" s="111" t="str" cm="1">
        <f t="array" ref="F109">Common_InputFunctions.Utility_DisplayArrayInTable(Fertiliser_SourceData.Fertiliser_Products_Data1(),FertiliserProducts[[#Headers],[Include or Exclude]], 0)</f>
        <v>Campbells fertilisers Australia</v>
      </c>
      <c r="G109" s="111" t="str" cm="1">
        <f t="array" ref="G109">Common_InputFunctions.Utility_DisplayArrayInTable(Fertiliser_SourceData.Fertiliser_Products_Data1(),FertiliserProducts[[#Headers],[Include or Exclude]], 0)</f>
        <v>Bud-Wiser Dry</v>
      </c>
      <c r="H109" s="111" t="str" cm="1">
        <f t="array" ref="H109">Common_InputFunctions.Utility_DisplayArrayInTable(Fertiliser_SourceData.Fertiliser_Products_Data1(),FertiliserProducts[[#Headers],[Include or Exclude]], 0,4)</f>
        <v>kg</v>
      </c>
      <c r="I109" s="111" t="str" cm="1">
        <f t="array" ref="I109">Common_InputFunctions.Utility_DisplayArrayInTable(Fertiliser_SourceData.Fertiliser_Products_Data1(),FertiliserProducts[[#Headers],[Include or Exclude]], 0,4)</f>
        <v/>
      </c>
      <c r="J109" s="111" t="str" cm="1">
        <f t="array" ref="J109">Common_InputFunctions.Utility_DisplayArrayInTable(Fertiliser_SourceData.Fertiliser_Products_Data1(),FertiliserProducts[[#Headers],[Include or Exclude]], 0,4)</f>
        <v/>
      </c>
      <c r="K109" s="111" t="str" cm="1">
        <f t="array" ref="K109">Common_InputFunctions.Utility_DisplayArrayInTable(Fertiliser_SourceData.Fertiliser_Products_Data1(),FertiliserProducts[[#Headers],[Include or Exclude]], 0,4)</f>
        <v/>
      </c>
      <c r="L109" s="111" t="str" cm="1">
        <f t="array" ref="L109">Common_InputFunctions.Utility_DisplayArrayInTable(Fertiliser_SourceData.Fertiliser_Products_Data1(),FertiliserProducts[[#Headers],[Include or Exclude]], 0,4)</f>
        <v>Sulfur - Generic</v>
      </c>
      <c r="M109" s="111" cm="1">
        <f t="array" ref="M109">Common_InputFunctions.Utility_DisplayArrayInTable(Fertiliser_SourceData.Fertiliser_Products_Data1(),FertiliserProducts[[#Headers],[Include or Exclude]], 0,4)</f>
        <v>9.4E-2</v>
      </c>
      <c r="N109" s="111" t="str" cm="1">
        <f t="array" ref="N109">Common_InputFunctions.Utility_DisplayArrayInTable(Fertiliser_SourceData.Fertiliser_Products_Data1(),FertiliserProducts[[#Headers],[Include or Exclude]], 0,4)</f>
        <v>Magnesium</v>
      </c>
      <c r="O109" s="111" cm="1">
        <f t="array" ref="O109">Common_InputFunctions.Utility_DisplayArrayInTable(Fertiliser_SourceData.Fertiliser_Products_Data1(),FertiliserProducts[[#Headers],[Include or Exclude]], 0,4)</f>
        <v>0.06</v>
      </c>
      <c r="P109" s="111" t="str" cm="1">
        <f t="array" ref="P109">Common_InputFunctions.Utility_DisplayArrayInTable(Fertiliser_SourceData.Fertiliser_Products_Data1(),FertiliserProducts[[#Headers],[Include or Exclude]], 0,4)</f>
        <v>Boron</v>
      </c>
      <c r="Q109" s="111" cm="1">
        <f t="array" ref="Q109">Common_InputFunctions.Utility_DisplayArrayInTable(Fertiliser_SourceData.Fertiliser_Products_Data1(),FertiliserProducts[[#Headers],[Include or Exclude]], 0,4)</f>
        <v>4.4999999999999998E-2</v>
      </c>
      <c r="R109" s="111" t="str" cm="1">
        <f t="array" ref="R109">Common_InputFunctions.Utility_DisplayArrayInTable(Fertiliser_SourceData.Fertiliser_Products_Data1(),FertiliserProducts[[#Headers],[Include or Exclude]], 0,4)</f>
        <v>Zinc</v>
      </c>
      <c r="S109" s="111" cm="1">
        <f t="array" ref="S109">Common_InputFunctions.Utility_DisplayArrayInTable(Fertiliser_SourceData.Fertiliser_Products_Data1(),FertiliserProducts[[#Headers],[Include or Exclude]], 0,4)</f>
        <v>2.7E-2</v>
      </c>
      <c r="T109" s="111" t="str" cm="1">
        <f t="array" ref="T109">Common_InputFunctions.Utility_DisplayArrayInTable(Fertiliser_SourceData.Fertiliser_Products_Data1(),FertiliserProducts[[#Headers],[Include or Exclude]], 0,4)</f>
        <v/>
      </c>
      <c r="U109" s="111" t="str" cm="1">
        <f t="array" ref="U109">Common_InputFunctions.Utility_DisplayArrayInTable(Fertiliser_SourceData.Fertiliser_Products_Data1(),FertiliserProducts[[#Headers],[Include or Exclude]], 0,4)</f>
        <v/>
      </c>
      <c r="V109" s="111" t="str" cm="1">
        <f t="array" ref="V109">Common_InputFunctions.Utility_DisplayArrayInTable(Fertiliser_SourceData.Fertiliser_Products_Data1(),FertiliserProducts[[#Headers],[Include or Exclude]], 0,4)</f>
        <v/>
      </c>
      <c r="W109" s="111" t="str" cm="1">
        <f t="array" ref="W109">Common_InputFunctions.Utility_DisplayArrayInTable(Fertiliser_SourceData.Fertiliser_Products_Data1(),FertiliserProducts[[#Headers],[Include or Exclude]], 0,4)</f>
        <v/>
      </c>
      <c r="X109" s="111" t="str" cm="1">
        <f t="array" ref="X109">Common_InputFunctions.Utility_DisplayArrayInTable(Fertiliser_SourceData.Fertiliser_Products_Data1(),FertiliserProducts[[#Headers],[Include or Exclude]], 0,4)</f>
        <v/>
      </c>
      <c r="Y109" s="111" t="str" cm="1">
        <f t="array" ref="Y109">Common_InputFunctions.Utility_DisplayArrayInTable(Fertiliser_SourceData.Fertiliser_Products_Data1(),FertiliserProducts[[#Headers],[Include or Exclude]], 0,4)</f>
        <v/>
      </c>
      <c r="Z109" s="111" t="str" cm="1">
        <f t="array" ref="Z109">Common_InputFunctions.Utility_DisplayArrayInTable(Fertiliser_SourceData.Fertiliser_Products_Data1(),FertiliserProducts[[#Headers],[Include or Exclude]], 0,4)</f>
        <v/>
      </c>
      <c r="AA109" s="111" t="str" cm="1">
        <f t="array" ref="AA109">Common_InputFunctions.Utility_DisplayArrayInTable(Fertiliser_SourceData.Fertiliser_Products_Data1(),FertiliserProducts[[#Headers],[Include or Exclude]], 0,4)</f>
        <v/>
      </c>
      <c r="AB109" s="111" t="str" cm="1">
        <f t="array" ref="AB109">Common_InputFunctions.Utility_DisplayArrayInTable(Fertiliser_SourceData.Fertiliser_Products_Data1(),FertiliserProducts[[#Headers],[Include or Exclude]], 0,4)</f>
        <v/>
      </c>
      <c r="AC109" s="111" t="str" cm="1">
        <f t="array" ref="AC109">Common_InputFunctions.Utility_DisplayArrayInTable(Fertiliser_SourceData.Fertiliser_Products_Data1(),FertiliserProducts[[#Headers],[Include or Exclude]], 0,4)</f>
        <v/>
      </c>
      <c r="AD109" s="111" t="str" cm="1">
        <f t="array" ref="AD109">Common_InputFunctions.Utility_DisplayArrayInTable(Fertiliser_SourceData.Fertiliser_Products_Data1(),FertiliserProducts[[#Headers],[Include or Exclude]], 0,4)</f>
        <v/>
      </c>
      <c r="AE109" s="111" t="str" cm="1">
        <f t="array" ref="AE109">Common_InputFunctions.Utility_DisplayArrayInTable(Fertiliser_SourceData.Fertiliser_Products_Data1(),FertiliserProducts[[#Headers],[Include or Exclude]], 0,4)</f>
        <v/>
      </c>
    </row>
    <row r="110" spans="4:31" ht="20.100000000000001" customHeight="1" x14ac:dyDescent="0.25">
      <c r="D110" s="111" t="str" cm="1">
        <f t="array" ref="D110">Common_InputFunctions.Utility_DisplayArrayInTable(Fertiliser_SourceData.Fertiliser_Products_Data1(),FertiliserProducts[[#Headers],[Include or Exclude]], -1)</f>
        <v>Exclude - Not relevant</v>
      </c>
      <c r="E110" s="111" t="str" cm="1">
        <f t="array" ref="E110">Common_InputFunctions.Utility_DisplayArrayInTable(Fertiliser_SourceData.Fertiliser_Products_Data1(),FertiliserProducts[[#Headers],[Include or Exclude]], 0)</f>
        <v/>
      </c>
      <c r="F110" s="111" t="str" cm="1">
        <f t="array" ref="F110">Common_InputFunctions.Utility_DisplayArrayInTable(Fertiliser_SourceData.Fertiliser_Products_Data1(),FertiliserProducts[[#Headers],[Include or Exclude]], 0)</f>
        <v>Campbells fertilisers Australia</v>
      </c>
      <c r="G110" s="111" t="str" cm="1">
        <f t="array" ref="G110">Common_InputFunctions.Utility_DisplayArrayInTable(Fertiliser_SourceData.Fertiliser_Products_Data1(),FertiliserProducts[[#Headers],[Include or Exclude]], 0)</f>
        <v>Calbit C</v>
      </c>
      <c r="H110" s="111" t="str" cm="1">
        <f t="array" ref="H110">Common_InputFunctions.Utility_DisplayArrayInTable(Fertiliser_SourceData.Fertiliser_Products_Data1(),FertiliserProducts[[#Headers],[Include or Exclude]], 0,4)</f>
        <v>L</v>
      </c>
      <c r="I110" s="111" t="str" cm="1">
        <f t="array" ref="I110">Common_InputFunctions.Utility_DisplayArrayInTable(Fertiliser_SourceData.Fertiliser_Products_Data1(),FertiliserProducts[[#Headers],[Include or Exclude]], 0,4)</f>
        <v/>
      </c>
      <c r="J110" s="111" t="str" cm="1">
        <f t="array" ref="J110">Common_InputFunctions.Utility_DisplayArrayInTable(Fertiliser_SourceData.Fertiliser_Products_Data1(),FertiliserProducts[[#Headers],[Include or Exclude]], 0,4)</f>
        <v/>
      </c>
      <c r="K110" s="111" t="str" cm="1">
        <f t="array" ref="K110">Common_InputFunctions.Utility_DisplayArrayInTable(Fertiliser_SourceData.Fertiliser_Products_Data1(),FertiliserProducts[[#Headers],[Include or Exclude]], 0,4)</f>
        <v/>
      </c>
      <c r="L110" s="111" t="str" cm="1">
        <f t="array" ref="L110">Common_InputFunctions.Utility_DisplayArrayInTable(Fertiliser_SourceData.Fertiliser_Products_Data1(),FertiliserProducts[[#Headers],[Include or Exclude]], 0,4)</f>
        <v/>
      </c>
      <c r="M110" s="111" t="str" cm="1">
        <f t="array" ref="M110">Common_InputFunctions.Utility_DisplayArrayInTable(Fertiliser_SourceData.Fertiliser_Products_Data1(),FertiliserProducts[[#Headers],[Include or Exclude]], 0,4)</f>
        <v/>
      </c>
      <c r="N110" s="111" t="str" cm="1">
        <f t="array" ref="N110">Common_InputFunctions.Utility_DisplayArrayInTable(Fertiliser_SourceData.Fertiliser_Products_Data1(),FertiliserProducts[[#Headers],[Include or Exclude]], 0,4)</f>
        <v/>
      </c>
      <c r="O110" s="111" t="str" cm="1">
        <f t="array" ref="O110">Common_InputFunctions.Utility_DisplayArrayInTable(Fertiliser_SourceData.Fertiliser_Products_Data1(),FertiliserProducts[[#Headers],[Include or Exclude]], 0,4)</f>
        <v/>
      </c>
      <c r="P110" s="111" t="str" cm="1">
        <f t="array" ref="P110">Common_InputFunctions.Utility_DisplayArrayInTable(Fertiliser_SourceData.Fertiliser_Products_Data1(),FertiliserProducts[[#Headers],[Include or Exclude]], 0,4)</f>
        <v/>
      </c>
      <c r="Q110" s="111" t="str" cm="1">
        <f t="array" ref="Q110">Common_InputFunctions.Utility_DisplayArrayInTable(Fertiliser_SourceData.Fertiliser_Products_Data1(),FertiliserProducts[[#Headers],[Include or Exclude]], 0,4)</f>
        <v/>
      </c>
      <c r="R110" s="111" t="str" cm="1">
        <f t="array" ref="R110">Common_InputFunctions.Utility_DisplayArrayInTable(Fertiliser_SourceData.Fertiliser_Products_Data1(),FertiliserProducts[[#Headers],[Include or Exclude]], 0,4)</f>
        <v/>
      </c>
      <c r="S110" s="111" t="str" cm="1">
        <f t="array" ref="S110">Common_InputFunctions.Utility_DisplayArrayInTable(Fertiliser_SourceData.Fertiliser_Products_Data1(),FertiliserProducts[[#Headers],[Include or Exclude]], 0,4)</f>
        <v/>
      </c>
      <c r="T110" s="111" t="str" cm="1">
        <f t="array" ref="T110">Common_InputFunctions.Utility_DisplayArrayInTable(Fertiliser_SourceData.Fertiliser_Products_Data1(),FertiliserProducts[[#Headers],[Include or Exclude]], 0,4)</f>
        <v/>
      </c>
      <c r="U110" s="111" t="str" cm="1">
        <f t="array" ref="U110">Common_InputFunctions.Utility_DisplayArrayInTable(Fertiliser_SourceData.Fertiliser_Products_Data1(),FertiliserProducts[[#Headers],[Include or Exclude]], 0,4)</f>
        <v/>
      </c>
      <c r="V110" s="111" t="str" cm="1">
        <f t="array" ref="V110">Common_InputFunctions.Utility_DisplayArrayInTable(Fertiliser_SourceData.Fertiliser_Products_Data1(),FertiliserProducts[[#Headers],[Include or Exclude]], 0,4)</f>
        <v/>
      </c>
      <c r="W110" s="111" t="str" cm="1">
        <f t="array" ref="W110">Common_InputFunctions.Utility_DisplayArrayInTable(Fertiliser_SourceData.Fertiliser_Products_Data1(),FertiliserProducts[[#Headers],[Include or Exclude]], 0,4)</f>
        <v/>
      </c>
      <c r="X110" s="111" t="str" cm="1">
        <f t="array" ref="X110">Common_InputFunctions.Utility_DisplayArrayInTable(Fertiliser_SourceData.Fertiliser_Products_Data1(),FertiliserProducts[[#Headers],[Include or Exclude]], 0,4)</f>
        <v/>
      </c>
      <c r="Y110" s="111" t="str" cm="1">
        <f t="array" ref="Y110">Common_InputFunctions.Utility_DisplayArrayInTable(Fertiliser_SourceData.Fertiliser_Products_Data1(),FertiliserProducts[[#Headers],[Include or Exclude]], 0,4)</f>
        <v/>
      </c>
      <c r="Z110" s="111" t="str" cm="1">
        <f t="array" ref="Z110">Common_InputFunctions.Utility_DisplayArrayInTable(Fertiliser_SourceData.Fertiliser_Products_Data1(),FertiliserProducts[[#Headers],[Include or Exclude]], 0,4)</f>
        <v/>
      </c>
      <c r="AA110" s="111" t="str" cm="1">
        <f t="array" ref="AA110">Common_InputFunctions.Utility_DisplayArrayInTable(Fertiliser_SourceData.Fertiliser_Products_Data1(),FertiliserProducts[[#Headers],[Include or Exclude]], 0,4)</f>
        <v/>
      </c>
      <c r="AB110" s="111" t="str" cm="1">
        <f t="array" ref="AB110">Common_InputFunctions.Utility_DisplayArrayInTable(Fertiliser_SourceData.Fertiliser_Products_Data1(),FertiliserProducts[[#Headers],[Include or Exclude]], 0,4)</f>
        <v/>
      </c>
      <c r="AC110" s="111" t="str" cm="1">
        <f t="array" ref="AC110">Common_InputFunctions.Utility_DisplayArrayInTable(Fertiliser_SourceData.Fertiliser_Products_Data1(),FertiliserProducts[[#Headers],[Include or Exclude]], 0,4)</f>
        <v/>
      </c>
      <c r="AD110" s="111" t="str" cm="1">
        <f t="array" ref="AD110">Common_InputFunctions.Utility_DisplayArrayInTable(Fertiliser_SourceData.Fertiliser_Products_Data1(),FertiliserProducts[[#Headers],[Include or Exclude]], 0,4)</f>
        <v/>
      </c>
      <c r="AE110" s="111" t="str" cm="1">
        <f t="array" ref="AE110">Common_InputFunctions.Utility_DisplayArrayInTable(Fertiliser_SourceData.Fertiliser_Products_Data1(),FertiliserProducts[[#Headers],[Include or Exclude]], 0,4)</f>
        <v/>
      </c>
    </row>
    <row r="111" spans="4:31" ht="20.100000000000001" customHeight="1" x14ac:dyDescent="0.25">
      <c r="D111" s="111" t="str" cm="1">
        <f t="array" ref="D111">Common_InputFunctions.Utility_DisplayArrayInTable(Fertiliser_SourceData.Fertiliser_Products_Data1(),FertiliserProducts[[#Headers],[Include or Exclude]], -1)</f>
        <v>Include</v>
      </c>
      <c r="E111" s="111" t="str" cm="1">
        <f t="array" ref="E111">Common_InputFunctions.Utility_DisplayArrayInTable(Fertiliser_SourceData.Fertiliser_Products_Data1(),FertiliserProducts[[#Headers],[Include or Exclude]], 0)</f>
        <v/>
      </c>
      <c r="F111" s="111" t="str" cm="1">
        <f t="array" ref="F111">Common_InputFunctions.Utility_DisplayArrayInTable(Fertiliser_SourceData.Fertiliser_Products_Data1(),FertiliserProducts[[#Headers],[Include or Exclude]], 0)</f>
        <v>Campbells fertilisers Australia</v>
      </c>
      <c r="G111" s="111" t="str" cm="1">
        <f t="array" ref="G111">Common_InputFunctions.Utility_DisplayArrayInTable(Fertiliser_SourceData.Fertiliser_Products_Data1(),FertiliserProducts[[#Headers],[Include or Exclude]], 0)</f>
        <v>Calcium 175</v>
      </c>
      <c r="H111" s="111" t="str" cm="1">
        <f t="array" ref="H111">Common_InputFunctions.Utility_DisplayArrayInTable(Fertiliser_SourceData.Fertiliser_Products_Data1(),FertiliserProducts[[#Headers],[Include or Exclude]], 0,4)</f>
        <v>L</v>
      </c>
      <c r="I111" s="111" t="str" cm="1">
        <f t="array" ref="I111">Common_InputFunctions.Utility_DisplayArrayInTable(Fertiliser_SourceData.Fertiliser_Products_Data1(),FertiliserProducts[[#Headers],[Include or Exclude]], 0,4)</f>
        <v/>
      </c>
      <c r="J111" s="111" t="str" cm="1">
        <f t="array" ref="J111">Common_InputFunctions.Utility_DisplayArrayInTable(Fertiliser_SourceData.Fertiliser_Products_Data1(),FertiliserProducts[[#Headers],[Include or Exclude]], 0,4)</f>
        <v/>
      </c>
      <c r="K111" s="111" t="str" cm="1">
        <f t="array" ref="K111">Common_InputFunctions.Utility_DisplayArrayInTable(Fertiliser_SourceData.Fertiliser_Products_Data1(),FertiliserProducts[[#Headers],[Include or Exclude]], 0,4)</f>
        <v/>
      </c>
      <c r="L111" s="111" t="str" cm="1">
        <f t="array" ref="L111">Common_InputFunctions.Utility_DisplayArrayInTable(Fertiliser_SourceData.Fertiliser_Products_Data1(),FertiliserProducts[[#Headers],[Include or Exclude]], 0,4)</f>
        <v/>
      </c>
      <c r="M111" s="111" t="str" cm="1">
        <f t="array" ref="M111">Common_InputFunctions.Utility_DisplayArrayInTable(Fertiliser_SourceData.Fertiliser_Products_Data1(),FertiliserProducts[[#Headers],[Include or Exclude]], 0,4)</f>
        <v/>
      </c>
      <c r="N111" s="111" t="str" cm="1">
        <f t="array" ref="N111">Common_InputFunctions.Utility_DisplayArrayInTable(Fertiliser_SourceData.Fertiliser_Products_Data1(),FertiliserProducts[[#Headers],[Include or Exclude]], 0,4)</f>
        <v/>
      </c>
      <c r="O111" s="111" t="str" cm="1">
        <f t="array" ref="O111">Common_InputFunctions.Utility_DisplayArrayInTable(Fertiliser_SourceData.Fertiliser_Products_Data1(),FertiliserProducts[[#Headers],[Include or Exclude]], 0,4)</f>
        <v/>
      </c>
      <c r="P111" s="111" t="str" cm="1">
        <f t="array" ref="P111">Common_InputFunctions.Utility_DisplayArrayInTable(Fertiliser_SourceData.Fertiliser_Products_Data1(),FertiliserProducts[[#Headers],[Include or Exclude]], 0,4)</f>
        <v/>
      </c>
      <c r="Q111" s="111" t="str" cm="1">
        <f t="array" ref="Q111">Common_InputFunctions.Utility_DisplayArrayInTable(Fertiliser_SourceData.Fertiliser_Products_Data1(),FertiliserProducts[[#Headers],[Include or Exclude]], 0,4)</f>
        <v/>
      </c>
      <c r="R111" s="111" t="str" cm="1">
        <f t="array" ref="R111">Common_InputFunctions.Utility_DisplayArrayInTable(Fertiliser_SourceData.Fertiliser_Products_Data1(),FertiliserProducts[[#Headers],[Include or Exclude]], 0,4)</f>
        <v/>
      </c>
      <c r="S111" s="111" t="str" cm="1">
        <f t="array" ref="S111">Common_InputFunctions.Utility_DisplayArrayInTable(Fertiliser_SourceData.Fertiliser_Products_Data1(),FertiliserProducts[[#Headers],[Include or Exclude]], 0,4)</f>
        <v/>
      </c>
      <c r="T111" s="111" t="str" cm="1">
        <f t="array" ref="T111">Common_InputFunctions.Utility_DisplayArrayInTable(Fertiliser_SourceData.Fertiliser_Products_Data1(),FertiliserProducts[[#Headers],[Include or Exclude]], 0,4)</f>
        <v/>
      </c>
      <c r="U111" s="111" t="str" cm="1">
        <f t="array" ref="U111">Common_InputFunctions.Utility_DisplayArrayInTable(Fertiliser_SourceData.Fertiliser_Products_Data1(),FertiliserProducts[[#Headers],[Include or Exclude]], 0,4)</f>
        <v/>
      </c>
      <c r="V111" s="111" t="str" cm="1">
        <f t="array" ref="V111">Common_InputFunctions.Utility_DisplayArrayInTable(Fertiliser_SourceData.Fertiliser_Products_Data1(),FertiliserProducts[[#Headers],[Include or Exclude]], 0,4)</f>
        <v/>
      </c>
      <c r="W111" s="111" t="str" cm="1">
        <f t="array" ref="W111">Common_InputFunctions.Utility_DisplayArrayInTable(Fertiliser_SourceData.Fertiliser_Products_Data1(),FertiliserProducts[[#Headers],[Include or Exclude]], 0,4)</f>
        <v/>
      </c>
      <c r="X111" s="111" t="str" cm="1">
        <f t="array" ref="X111">Common_InputFunctions.Utility_DisplayArrayInTable(Fertiliser_SourceData.Fertiliser_Products_Data1(),FertiliserProducts[[#Headers],[Include or Exclude]], 0,4)</f>
        <v/>
      </c>
      <c r="Y111" s="111" t="str" cm="1">
        <f t="array" ref="Y111">Common_InputFunctions.Utility_DisplayArrayInTable(Fertiliser_SourceData.Fertiliser_Products_Data1(),FertiliserProducts[[#Headers],[Include or Exclude]], 0,4)</f>
        <v/>
      </c>
      <c r="Z111" s="111" t="str" cm="1">
        <f t="array" ref="Z111">Common_InputFunctions.Utility_DisplayArrayInTable(Fertiliser_SourceData.Fertiliser_Products_Data1(),FertiliserProducts[[#Headers],[Include or Exclude]], 0,4)</f>
        <v/>
      </c>
      <c r="AA111" s="111" t="str" cm="1">
        <f t="array" ref="AA111">Common_InputFunctions.Utility_DisplayArrayInTable(Fertiliser_SourceData.Fertiliser_Products_Data1(),FertiliserProducts[[#Headers],[Include or Exclude]], 0,4)</f>
        <v/>
      </c>
      <c r="AB111" s="111" t="str" cm="1">
        <f t="array" ref="AB111">Common_InputFunctions.Utility_DisplayArrayInTable(Fertiliser_SourceData.Fertiliser_Products_Data1(),FertiliserProducts[[#Headers],[Include or Exclude]], 0,4)</f>
        <v/>
      </c>
      <c r="AC111" s="111" t="str" cm="1">
        <f t="array" ref="AC111">Common_InputFunctions.Utility_DisplayArrayInTable(Fertiliser_SourceData.Fertiliser_Products_Data1(),FertiliserProducts[[#Headers],[Include or Exclude]], 0,4)</f>
        <v/>
      </c>
      <c r="AD111" s="111" t="str" cm="1">
        <f t="array" ref="AD111">Common_InputFunctions.Utility_DisplayArrayInTable(Fertiliser_SourceData.Fertiliser_Products_Data1(),FertiliserProducts[[#Headers],[Include or Exclude]], 0,4)</f>
        <v/>
      </c>
      <c r="AE111" s="111" t="str" cm="1">
        <f t="array" ref="AE111">Common_InputFunctions.Utility_DisplayArrayInTable(Fertiliser_SourceData.Fertiliser_Products_Data1(),FertiliserProducts[[#Headers],[Include or Exclude]], 0,4)</f>
        <v/>
      </c>
    </row>
    <row r="112" spans="4:31" ht="20.100000000000001" customHeight="1" x14ac:dyDescent="0.25">
      <c r="D112" s="111" t="str" cm="1">
        <f t="array" ref="D112">Common_InputFunctions.Utility_DisplayArrayInTable(Fertiliser_SourceData.Fertiliser_Products_Data1(),FertiliserProducts[[#Headers],[Include or Exclude]], -1)</f>
        <v/>
      </c>
      <c r="E112" s="111" t="str" cm="1">
        <f t="array" ref="E112">Common_InputFunctions.Utility_DisplayArrayInTable(Fertiliser_SourceData.Fertiliser_Products_Data1(),FertiliserProducts[[#Headers],[Include or Exclude]], 0)</f>
        <v>Use Lime EF for calcium</v>
      </c>
      <c r="F112" s="111" t="str" cm="1">
        <f t="array" ref="F112">Common_InputFunctions.Utility_DisplayArrayInTable(Fertiliser_SourceData.Fertiliser_Products_Data1(),FertiliserProducts[[#Headers],[Include or Exclude]], 0)</f>
        <v>Campbells fertilisers Australia</v>
      </c>
      <c r="G112" s="111" t="str" cm="1">
        <f t="array" ref="G112">Common_InputFunctions.Utility_DisplayArrayInTable(Fertiliser_SourceData.Fertiliser_Products_Data1(),FertiliserProducts[[#Headers],[Include or Exclude]], 0)</f>
        <v>CalPhos</v>
      </c>
      <c r="H112" s="111" t="str" cm="1">
        <f t="array" ref="H112">Common_InputFunctions.Utility_DisplayArrayInTable(Fertiliser_SourceData.Fertiliser_Products_Data1(),FertiliserProducts[[#Headers],[Include or Exclude]], 0,4)</f>
        <v>L</v>
      </c>
      <c r="I112" s="111" cm="1">
        <f t="array" ref="I112">Common_InputFunctions.Utility_DisplayArrayInTable(Fertiliser_SourceData.Fertiliser_Products_Data1(),FertiliserProducts[[#Headers],[Include or Exclude]], 0,4)</f>
        <v>1.2849999999999999</v>
      </c>
      <c r="J112" s="111" t="str" cm="1">
        <f t="array" ref="J112">Common_InputFunctions.Utility_DisplayArrayInTable(Fertiliser_SourceData.Fertiliser_Products_Data1(),FertiliserProducts[[#Headers],[Include or Exclude]], 0,4)</f>
        <v/>
      </c>
      <c r="K112" s="111" t="str" cm="1">
        <f t="array" ref="K112">Common_InputFunctions.Utility_DisplayArrayInTable(Fertiliser_SourceData.Fertiliser_Products_Data1(),FertiliserProducts[[#Headers],[Include or Exclude]], 0,4)</f>
        <v/>
      </c>
      <c r="L112" s="111" t="str" cm="1">
        <f t="array" ref="L112">Common_InputFunctions.Utility_DisplayArrayInTable(Fertiliser_SourceData.Fertiliser_Products_Data1(),FertiliserProducts[[#Headers],[Include or Exclude]], 0,4)</f>
        <v>Phosphorus - Generic</v>
      </c>
      <c r="M112" s="111" cm="1">
        <f t="array" ref="M112">Common_InputFunctions.Utility_DisplayArrayInTable(Fertiliser_SourceData.Fertiliser_Products_Data1(),FertiliserProducts[[#Headers],[Include or Exclude]], 0,4)</f>
        <v>0.13500000000000001</v>
      </c>
      <c r="N112" s="111" t="str" cm="1">
        <f t="array" ref="N112">Common_InputFunctions.Utility_DisplayArrayInTable(Fertiliser_SourceData.Fertiliser_Products_Data1(),FertiliserProducts[[#Headers],[Include or Exclude]], 0,4)</f>
        <v>Calcium - Generic</v>
      </c>
      <c r="O112" s="111" cm="1">
        <f t="array" ref="O112">Common_InputFunctions.Utility_DisplayArrayInTable(Fertiliser_SourceData.Fertiliser_Products_Data1(),FertiliserProducts[[#Headers],[Include or Exclude]], 0,4)</f>
        <v>0.04</v>
      </c>
      <c r="P112" s="111" t="str" cm="1">
        <f t="array" ref="P112">Common_InputFunctions.Utility_DisplayArrayInTable(Fertiliser_SourceData.Fertiliser_Products_Data1(),FertiliserProducts[[#Headers],[Include or Exclude]], 0,4)</f>
        <v/>
      </c>
      <c r="Q112" s="111" t="str" cm="1">
        <f t="array" ref="Q112">Common_InputFunctions.Utility_DisplayArrayInTable(Fertiliser_SourceData.Fertiliser_Products_Data1(),FertiliserProducts[[#Headers],[Include or Exclude]], 0,4)</f>
        <v/>
      </c>
      <c r="R112" s="111" t="str" cm="1">
        <f t="array" ref="R112">Common_InputFunctions.Utility_DisplayArrayInTable(Fertiliser_SourceData.Fertiliser_Products_Data1(),FertiliserProducts[[#Headers],[Include or Exclude]], 0,4)</f>
        <v/>
      </c>
      <c r="S112" s="111" t="str" cm="1">
        <f t="array" ref="S112">Common_InputFunctions.Utility_DisplayArrayInTable(Fertiliser_SourceData.Fertiliser_Products_Data1(),FertiliserProducts[[#Headers],[Include or Exclude]], 0,4)</f>
        <v/>
      </c>
      <c r="T112" s="111" t="str" cm="1">
        <f t="array" ref="T112">Common_InputFunctions.Utility_DisplayArrayInTable(Fertiliser_SourceData.Fertiliser_Products_Data1(),FertiliserProducts[[#Headers],[Include or Exclude]], 0,4)</f>
        <v/>
      </c>
      <c r="U112" s="111" t="str" cm="1">
        <f t="array" ref="U112">Common_InputFunctions.Utility_DisplayArrayInTable(Fertiliser_SourceData.Fertiliser_Products_Data1(),FertiliserProducts[[#Headers],[Include or Exclude]], 0,4)</f>
        <v/>
      </c>
      <c r="V112" s="111" t="str" cm="1">
        <f t="array" ref="V112">Common_InputFunctions.Utility_DisplayArrayInTable(Fertiliser_SourceData.Fertiliser_Products_Data1(),FertiliserProducts[[#Headers],[Include or Exclude]], 0,4)</f>
        <v/>
      </c>
      <c r="W112" s="111" t="str" cm="1">
        <f t="array" ref="W112">Common_InputFunctions.Utility_DisplayArrayInTable(Fertiliser_SourceData.Fertiliser_Products_Data1(),FertiliserProducts[[#Headers],[Include or Exclude]], 0,4)</f>
        <v/>
      </c>
      <c r="X112" s="111" t="str" cm="1">
        <f t="array" ref="X112">Common_InputFunctions.Utility_DisplayArrayInTable(Fertiliser_SourceData.Fertiliser_Products_Data1(),FertiliserProducts[[#Headers],[Include or Exclude]], 0,4)</f>
        <v/>
      </c>
      <c r="Y112" s="111" t="str" cm="1">
        <f t="array" ref="Y112">Common_InputFunctions.Utility_DisplayArrayInTable(Fertiliser_SourceData.Fertiliser_Products_Data1(),FertiliserProducts[[#Headers],[Include or Exclude]], 0,4)</f>
        <v/>
      </c>
      <c r="Z112" s="111" t="str" cm="1">
        <f t="array" ref="Z112">Common_InputFunctions.Utility_DisplayArrayInTable(Fertiliser_SourceData.Fertiliser_Products_Data1(),FertiliserProducts[[#Headers],[Include or Exclude]], 0,4)</f>
        <v/>
      </c>
      <c r="AA112" s="111" t="str" cm="1">
        <f t="array" ref="AA112">Common_InputFunctions.Utility_DisplayArrayInTable(Fertiliser_SourceData.Fertiliser_Products_Data1(),FertiliserProducts[[#Headers],[Include or Exclude]], 0,4)</f>
        <v/>
      </c>
      <c r="AB112" s="111" t="str" cm="1">
        <f t="array" ref="AB112">Common_InputFunctions.Utility_DisplayArrayInTable(Fertiliser_SourceData.Fertiliser_Products_Data1(),FertiliserProducts[[#Headers],[Include or Exclude]], 0,4)</f>
        <v/>
      </c>
      <c r="AC112" s="111" t="str" cm="1">
        <f t="array" ref="AC112">Common_InputFunctions.Utility_DisplayArrayInTable(Fertiliser_SourceData.Fertiliser_Products_Data1(),FertiliserProducts[[#Headers],[Include or Exclude]], 0,4)</f>
        <v/>
      </c>
      <c r="AD112" s="111" t="str" cm="1">
        <f t="array" ref="AD112">Common_InputFunctions.Utility_DisplayArrayInTable(Fertiliser_SourceData.Fertiliser_Products_Data1(),FertiliserProducts[[#Headers],[Include or Exclude]], 0,4)</f>
        <v/>
      </c>
      <c r="AE112" s="111" t="str" cm="1">
        <f t="array" ref="AE112">Common_InputFunctions.Utility_DisplayArrayInTable(Fertiliser_SourceData.Fertiliser_Products_Data1(),FertiliserProducts[[#Headers],[Include or Exclude]], 0,4)</f>
        <v/>
      </c>
    </row>
    <row r="113" spans="4:31" ht="20.100000000000001" customHeight="1" x14ac:dyDescent="0.25">
      <c r="D113" s="111" t="str" cm="1">
        <f t="array" ref="D113">Common_InputFunctions.Utility_DisplayArrayInTable(Fertiliser_SourceData.Fertiliser_Products_Data1(),FertiliserProducts[[#Headers],[Include or Exclude]], -1)</f>
        <v/>
      </c>
      <c r="E113" s="111" t="str" cm="1">
        <f t="array" ref="E113">Common_InputFunctions.Utility_DisplayArrayInTable(Fertiliser_SourceData.Fertiliser_Products_Data1(),FertiliserProducts[[#Headers],[Include or Exclude]], 0)</f>
        <v/>
      </c>
      <c r="F113" s="111" t="str" cm="1">
        <f t="array" ref="F113">Common_InputFunctions.Utility_DisplayArrayInTable(Fertiliser_SourceData.Fertiliser_Products_Data1(),FertiliserProducts[[#Headers],[Include or Exclude]], 0)</f>
        <v/>
      </c>
      <c r="G113" s="111" t="str" cm="1">
        <f t="array" ref="G113">Common_InputFunctions.Utility_DisplayArrayInTable(Fertiliser_SourceData.Fertiliser_Products_Data1(),FertiliserProducts[[#Headers],[Include or Exclude]], 0)</f>
        <v/>
      </c>
      <c r="H113" s="111" t="str" cm="1">
        <f t="array" ref="H113">Common_InputFunctions.Utility_DisplayArrayInTable(Fertiliser_SourceData.Fertiliser_Products_Data1(),FertiliserProducts[[#Headers],[Include or Exclude]], 0,4)</f>
        <v/>
      </c>
      <c r="I113" s="111" t="str" cm="1">
        <f t="array" ref="I113">Common_InputFunctions.Utility_DisplayArrayInTable(Fertiliser_SourceData.Fertiliser_Products_Data1(),FertiliserProducts[[#Headers],[Include or Exclude]], 0,4)</f>
        <v/>
      </c>
      <c r="J113" s="111" t="str" cm="1">
        <f t="array" ref="J113">Common_InputFunctions.Utility_DisplayArrayInTable(Fertiliser_SourceData.Fertiliser_Products_Data1(),FertiliserProducts[[#Headers],[Include or Exclude]], 0,4)</f>
        <v/>
      </c>
      <c r="K113" s="111" t="str" cm="1">
        <f t="array" ref="K113">Common_InputFunctions.Utility_DisplayArrayInTable(Fertiliser_SourceData.Fertiliser_Products_Data1(),FertiliserProducts[[#Headers],[Include or Exclude]], 0,4)</f>
        <v/>
      </c>
      <c r="L113" s="111" t="str" cm="1">
        <f t="array" ref="L113">Common_InputFunctions.Utility_DisplayArrayInTable(Fertiliser_SourceData.Fertiliser_Products_Data1(),FertiliserProducts[[#Headers],[Include or Exclude]], 0,4)</f>
        <v/>
      </c>
      <c r="M113" s="111" t="str" cm="1">
        <f t="array" ref="M113">Common_InputFunctions.Utility_DisplayArrayInTable(Fertiliser_SourceData.Fertiliser_Products_Data1(),FertiliserProducts[[#Headers],[Include or Exclude]], 0,4)</f>
        <v/>
      </c>
      <c r="N113" s="111" t="str" cm="1">
        <f t="array" ref="N113">Common_InputFunctions.Utility_DisplayArrayInTable(Fertiliser_SourceData.Fertiliser_Products_Data1(),FertiliserProducts[[#Headers],[Include or Exclude]], 0,4)</f>
        <v/>
      </c>
      <c r="O113" s="111" t="str" cm="1">
        <f t="array" ref="O113">Common_InputFunctions.Utility_DisplayArrayInTable(Fertiliser_SourceData.Fertiliser_Products_Data1(),FertiliserProducts[[#Headers],[Include or Exclude]], 0,4)</f>
        <v/>
      </c>
      <c r="P113" s="111" t="str" cm="1">
        <f t="array" ref="P113">Common_InputFunctions.Utility_DisplayArrayInTable(Fertiliser_SourceData.Fertiliser_Products_Data1(),FertiliserProducts[[#Headers],[Include or Exclude]], 0,4)</f>
        <v/>
      </c>
      <c r="Q113" s="111" t="str" cm="1">
        <f t="array" ref="Q113">Common_InputFunctions.Utility_DisplayArrayInTable(Fertiliser_SourceData.Fertiliser_Products_Data1(),FertiliserProducts[[#Headers],[Include or Exclude]], 0,4)</f>
        <v/>
      </c>
      <c r="R113" s="111" t="str" cm="1">
        <f t="array" ref="R113">Common_InputFunctions.Utility_DisplayArrayInTable(Fertiliser_SourceData.Fertiliser_Products_Data1(),FertiliserProducts[[#Headers],[Include or Exclude]], 0,4)</f>
        <v/>
      </c>
      <c r="S113" s="111" t="str" cm="1">
        <f t="array" ref="S113">Common_InputFunctions.Utility_DisplayArrayInTable(Fertiliser_SourceData.Fertiliser_Products_Data1(),FertiliserProducts[[#Headers],[Include or Exclude]], 0,4)</f>
        <v/>
      </c>
      <c r="T113" s="111" t="str" cm="1">
        <f t="array" ref="T113">Common_InputFunctions.Utility_DisplayArrayInTable(Fertiliser_SourceData.Fertiliser_Products_Data1(),FertiliserProducts[[#Headers],[Include or Exclude]], 0,4)</f>
        <v/>
      </c>
      <c r="U113" s="111" t="str" cm="1">
        <f t="array" ref="U113">Common_InputFunctions.Utility_DisplayArrayInTable(Fertiliser_SourceData.Fertiliser_Products_Data1(),FertiliserProducts[[#Headers],[Include or Exclude]], 0,4)</f>
        <v/>
      </c>
      <c r="V113" s="111" t="str" cm="1">
        <f t="array" ref="V113">Common_InputFunctions.Utility_DisplayArrayInTable(Fertiliser_SourceData.Fertiliser_Products_Data1(),FertiliserProducts[[#Headers],[Include or Exclude]], 0,4)</f>
        <v/>
      </c>
      <c r="W113" s="111" t="str" cm="1">
        <f t="array" ref="W113">Common_InputFunctions.Utility_DisplayArrayInTable(Fertiliser_SourceData.Fertiliser_Products_Data1(),FertiliserProducts[[#Headers],[Include or Exclude]], 0,4)</f>
        <v/>
      </c>
      <c r="X113" s="111" t="str" cm="1">
        <f t="array" ref="X113">Common_InputFunctions.Utility_DisplayArrayInTable(Fertiliser_SourceData.Fertiliser_Products_Data1(),FertiliserProducts[[#Headers],[Include or Exclude]], 0,4)</f>
        <v/>
      </c>
      <c r="Y113" s="111" t="str" cm="1">
        <f t="array" ref="Y113">Common_InputFunctions.Utility_DisplayArrayInTable(Fertiliser_SourceData.Fertiliser_Products_Data1(),FertiliserProducts[[#Headers],[Include or Exclude]], 0,4)</f>
        <v/>
      </c>
      <c r="Z113" s="111" t="str" cm="1">
        <f t="array" ref="Z113">Common_InputFunctions.Utility_DisplayArrayInTable(Fertiliser_SourceData.Fertiliser_Products_Data1(),FertiliserProducts[[#Headers],[Include or Exclude]], 0,4)</f>
        <v/>
      </c>
      <c r="AA113" s="111" t="str" cm="1">
        <f t="array" ref="AA113">Common_InputFunctions.Utility_DisplayArrayInTable(Fertiliser_SourceData.Fertiliser_Products_Data1(),FertiliserProducts[[#Headers],[Include or Exclude]], 0,4)</f>
        <v/>
      </c>
      <c r="AB113" s="111" t="str" cm="1">
        <f t="array" ref="AB113">Common_InputFunctions.Utility_DisplayArrayInTable(Fertiliser_SourceData.Fertiliser_Products_Data1(),FertiliserProducts[[#Headers],[Include or Exclude]], 0,4)</f>
        <v/>
      </c>
      <c r="AC113" s="111" t="str" cm="1">
        <f t="array" ref="AC113">Common_InputFunctions.Utility_DisplayArrayInTable(Fertiliser_SourceData.Fertiliser_Products_Data1(),FertiliserProducts[[#Headers],[Include or Exclude]], 0,4)</f>
        <v/>
      </c>
      <c r="AD113" s="111" t="str" cm="1">
        <f t="array" ref="AD113">Common_InputFunctions.Utility_DisplayArrayInTable(Fertiliser_SourceData.Fertiliser_Products_Data1(),FertiliserProducts[[#Headers],[Include or Exclude]], 0,4)</f>
        <v/>
      </c>
      <c r="AE113" s="111" t="str" cm="1">
        <f t="array" ref="AE113">Common_InputFunctions.Utility_DisplayArrayInTable(Fertiliser_SourceData.Fertiliser_Products_Data1(),FertiliserProducts[[#Headers],[Include or Exclude]], 0,4)</f>
        <v/>
      </c>
    </row>
    <row r="114" spans="4:31" ht="20.100000000000001" customHeight="1" x14ac:dyDescent="0.25">
      <c r="D114" s="111" t="str" cm="1">
        <f t="array" ref="D114">Common_InputFunctions.Utility_DisplayArrayInTable(Fertiliser_SourceData.Fertiliser_Products_Data1(),FertiliserProducts[[#Headers],[Include or Exclude]], -1)</f>
        <v/>
      </c>
      <c r="E114" s="111" t="str" cm="1">
        <f t="array" ref="E114">Common_InputFunctions.Utility_DisplayArrayInTable(Fertiliser_SourceData.Fertiliser_Products_Data1(),FertiliserProducts[[#Headers],[Include or Exclude]], 0)</f>
        <v/>
      </c>
      <c r="F114" s="111" t="str" cm="1">
        <f t="array" ref="F114">Common_InputFunctions.Utility_DisplayArrayInTable(Fertiliser_SourceData.Fertiliser_Products_Data1(),FertiliserProducts[[#Headers],[Include or Exclude]], 0)</f>
        <v/>
      </c>
      <c r="G114" s="111" t="str" cm="1">
        <f t="array" ref="G114">Common_InputFunctions.Utility_DisplayArrayInTable(Fertiliser_SourceData.Fertiliser_Products_Data1(),FertiliserProducts[[#Headers],[Include or Exclude]], 0)</f>
        <v/>
      </c>
      <c r="H114" s="111" t="str" cm="1">
        <f t="array" ref="H114">Common_InputFunctions.Utility_DisplayArrayInTable(Fertiliser_SourceData.Fertiliser_Products_Data1(),FertiliserProducts[[#Headers],[Include or Exclude]], 0,4)</f>
        <v/>
      </c>
      <c r="I114" s="111" t="str" cm="1">
        <f t="array" ref="I114">Common_InputFunctions.Utility_DisplayArrayInTable(Fertiliser_SourceData.Fertiliser_Products_Data1(),FertiliserProducts[[#Headers],[Include or Exclude]], 0,4)</f>
        <v/>
      </c>
      <c r="J114" s="111" t="str" cm="1">
        <f t="array" ref="J114">Common_InputFunctions.Utility_DisplayArrayInTable(Fertiliser_SourceData.Fertiliser_Products_Data1(),FertiliserProducts[[#Headers],[Include or Exclude]], 0,4)</f>
        <v/>
      </c>
      <c r="K114" s="111" t="str" cm="1">
        <f t="array" ref="K114">Common_InputFunctions.Utility_DisplayArrayInTable(Fertiliser_SourceData.Fertiliser_Products_Data1(),FertiliserProducts[[#Headers],[Include or Exclude]], 0,4)</f>
        <v/>
      </c>
      <c r="L114" s="111" t="str" cm="1">
        <f t="array" ref="L114">Common_InputFunctions.Utility_DisplayArrayInTable(Fertiliser_SourceData.Fertiliser_Products_Data1(),FertiliserProducts[[#Headers],[Include or Exclude]], 0,4)</f>
        <v/>
      </c>
      <c r="M114" s="111" t="str" cm="1">
        <f t="array" ref="M114">Common_InputFunctions.Utility_DisplayArrayInTable(Fertiliser_SourceData.Fertiliser_Products_Data1(),FertiliserProducts[[#Headers],[Include or Exclude]], 0,4)</f>
        <v/>
      </c>
      <c r="N114" s="111" t="str" cm="1">
        <f t="array" ref="N114">Common_InputFunctions.Utility_DisplayArrayInTable(Fertiliser_SourceData.Fertiliser_Products_Data1(),FertiliserProducts[[#Headers],[Include or Exclude]], 0,4)</f>
        <v/>
      </c>
      <c r="O114" s="111" t="str" cm="1">
        <f t="array" ref="O114">Common_InputFunctions.Utility_DisplayArrayInTable(Fertiliser_SourceData.Fertiliser_Products_Data1(),FertiliserProducts[[#Headers],[Include or Exclude]], 0,4)</f>
        <v/>
      </c>
      <c r="P114" s="111" t="str" cm="1">
        <f t="array" ref="P114">Common_InputFunctions.Utility_DisplayArrayInTable(Fertiliser_SourceData.Fertiliser_Products_Data1(),FertiliserProducts[[#Headers],[Include or Exclude]], 0,4)</f>
        <v/>
      </c>
      <c r="Q114" s="111" t="str" cm="1">
        <f t="array" ref="Q114">Common_InputFunctions.Utility_DisplayArrayInTable(Fertiliser_SourceData.Fertiliser_Products_Data1(),FertiliserProducts[[#Headers],[Include or Exclude]], 0,4)</f>
        <v/>
      </c>
      <c r="R114" s="111" t="str" cm="1">
        <f t="array" ref="R114">Common_InputFunctions.Utility_DisplayArrayInTable(Fertiliser_SourceData.Fertiliser_Products_Data1(),FertiliserProducts[[#Headers],[Include or Exclude]], 0,4)</f>
        <v/>
      </c>
      <c r="S114" s="111" t="str" cm="1">
        <f t="array" ref="S114">Common_InputFunctions.Utility_DisplayArrayInTable(Fertiliser_SourceData.Fertiliser_Products_Data1(),FertiliserProducts[[#Headers],[Include or Exclude]], 0,4)</f>
        <v/>
      </c>
      <c r="T114" s="111" t="str" cm="1">
        <f t="array" ref="T114">Common_InputFunctions.Utility_DisplayArrayInTable(Fertiliser_SourceData.Fertiliser_Products_Data1(),FertiliserProducts[[#Headers],[Include or Exclude]], 0,4)</f>
        <v/>
      </c>
      <c r="U114" s="111" t="str" cm="1">
        <f t="array" ref="U114">Common_InputFunctions.Utility_DisplayArrayInTable(Fertiliser_SourceData.Fertiliser_Products_Data1(),FertiliserProducts[[#Headers],[Include or Exclude]], 0,4)</f>
        <v/>
      </c>
      <c r="V114" s="111" t="str" cm="1">
        <f t="array" ref="V114">Common_InputFunctions.Utility_DisplayArrayInTable(Fertiliser_SourceData.Fertiliser_Products_Data1(),FertiliserProducts[[#Headers],[Include or Exclude]], 0,4)</f>
        <v/>
      </c>
      <c r="W114" s="111" t="str" cm="1">
        <f t="array" ref="W114">Common_InputFunctions.Utility_DisplayArrayInTable(Fertiliser_SourceData.Fertiliser_Products_Data1(),FertiliserProducts[[#Headers],[Include or Exclude]], 0,4)</f>
        <v/>
      </c>
      <c r="X114" s="111" t="str" cm="1">
        <f t="array" ref="X114">Common_InputFunctions.Utility_DisplayArrayInTable(Fertiliser_SourceData.Fertiliser_Products_Data1(),FertiliserProducts[[#Headers],[Include or Exclude]], 0,4)</f>
        <v/>
      </c>
      <c r="Y114" s="111" t="str" cm="1">
        <f t="array" ref="Y114">Common_InputFunctions.Utility_DisplayArrayInTable(Fertiliser_SourceData.Fertiliser_Products_Data1(),FertiliserProducts[[#Headers],[Include or Exclude]], 0,4)</f>
        <v/>
      </c>
      <c r="Z114" s="111" t="str" cm="1">
        <f t="array" ref="Z114">Common_InputFunctions.Utility_DisplayArrayInTable(Fertiliser_SourceData.Fertiliser_Products_Data1(),FertiliserProducts[[#Headers],[Include or Exclude]], 0,4)</f>
        <v/>
      </c>
      <c r="AA114" s="111" t="str" cm="1">
        <f t="array" ref="AA114">Common_InputFunctions.Utility_DisplayArrayInTable(Fertiliser_SourceData.Fertiliser_Products_Data1(),FertiliserProducts[[#Headers],[Include or Exclude]], 0,4)</f>
        <v/>
      </c>
      <c r="AB114" s="111" t="str" cm="1">
        <f t="array" ref="AB114">Common_InputFunctions.Utility_DisplayArrayInTable(Fertiliser_SourceData.Fertiliser_Products_Data1(),FertiliserProducts[[#Headers],[Include or Exclude]], 0,4)</f>
        <v/>
      </c>
      <c r="AC114" s="111" t="str" cm="1">
        <f t="array" ref="AC114">Common_InputFunctions.Utility_DisplayArrayInTable(Fertiliser_SourceData.Fertiliser_Products_Data1(),FertiliserProducts[[#Headers],[Include or Exclude]], 0,4)</f>
        <v/>
      </c>
      <c r="AD114" s="111" t="str" cm="1">
        <f t="array" ref="AD114">Common_InputFunctions.Utility_DisplayArrayInTable(Fertiliser_SourceData.Fertiliser_Products_Data1(),FertiliserProducts[[#Headers],[Include or Exclude]], 0,4)</f>
        <v/>
      </c>
      <c r="AE114" s="111" t="str" cm="1">
        <f t="array" ref="AE114">Common_InputFunctions.Utility_DisplayArrayInTable(Fertiliser_SourceData.Fertiliser_Products_Data1(),FertiliserProducts[[#Headers],[Include or Exclude]], 0,4)</f>
        <v/>
      </c>
    </row>
    <row r="115" spans="4:31" ht="20.100000000000001" customHeight="1" x14ac:dyDescent="0.25">
      <c r="D115" s="111" t="str" cm="1">
        <f t="array" ref="D115">Common_InputFunctions.Utility_DisplayArrayInTable(Fertiliser_SourceData.Fertiliser_Products_Data1(),FertiliserProducts[[#Headers],[Include or Exclude]], -1)</f>
        <v/>
      </c>
      <c r="E115" s="111" t="str" cm="1">
        <f t="array" ref="E115">Common_InputFunctions.Utility_DisplayArrayInTable(Fertiliser_SourceData.Fertiliser_Products_Data1(),FertiliserProducts[[#Headers],[Include or Exclude]], 0)</f>
        <v/>
      </c>
      <c r="F115" s="111" t="str" cm="1">
        <f t="array" ref="F115">Common_InputFunctions.Utility_DisplayArrayInTable(Fertiliser_SourceData.Fertiliser_Products_Data1(),FertiliserProducts[[#Headers],[Include or Exclude]], 0)</f>
        <v/>
      </c>
      <c r="G115" s="111" t="str" cm="1">
        <f t="array" ref="G115">Common_InputFunctions.Utility_DisplayArrayInTable(Fertiliser_SourceData.Fertiliser_Products_Data1(),FertiliserProducts[[#Headers],[Include or Exclude]], 0)</f>
        <v/>
      </c>
      <c r="H115" s="111" t="str" cm="1">
        <f t="array" ref="H115">Common_InputFunctions.Utility_DisplayArrayInTable(Fertiliser_SourceData.Fertiliser_Products_Data1(),FertiliserProducts[[#Headers],[Include or Exclude]], 0,4)</f>
        <v/>
      </c>
      <c r="I115" s="111" t="str" cm="1">
        <f t="array" ref="I115">Common_InputFunctions.Utility_DisplayArrayInTable(Fertiliser_SourceData.Fertiliser_Products_Data1(),FertiliserProducts[[#Headers],[Include or Exclude]], 0,4)</f>
        <v/>
      </c>
      <c r="J115" s="111" t="str" cm="1">
        <f t="array" ref="J115">Common_InputFunctions.Utility_DisplayArrayInTable(Fertiliser_SourceData.Fertiliser_Products_Data1(),FertiliserProducts[[#Headers],[Include or Exclude]], 0,4)</f>
        <v/>
      </c>
      <c r="K115" s="111" t="str" cm="1">
        <f t="array" ref="K115">Common_InputFunctions.Utility_DisplayArrayInTable(Fertiliser_SourceData.Fertiliser_Products_Data1(),FertiliserProducts[[#Headers],[Include or Exclude]], 0,4)</f>
        <v/>
      </c>
      <c r="L115" s="111" t="str" cm="1">
        <f t="array" ref="L115">Common_InputFunctions.Utility_DisplayArrayInTable(Fertiliser_SourceData.Fertiliser_Products_Data1(),FertiliserProducts[[#Headers],[Include or Exclude]], 0,4)</f>
        <v/>
      </c>
      <c r="M115" s="111" t="str" cm="1">
        <f t="array" ref="M115">Common_InputFunctions.Utility_DisplayArrayInTable(Fertiliser_SourceData.Fertiliser_Products_Data1(),FertiliserProducts[[#Headers],[Include or Exclude]], 0,4)</f>
        <v/>
      </c>
      <c r="N115" s="111" t="str" cm="1">
        <f t="array" ref="N115">Common_InputFunctions.Utility_DisplayArrayInTable(Fertiliser_SourceData.Fertiliser_Products_Data1(),FertiliserProducts[[#Headers],[Include or Exclude]], 0,4)</f>
        <v/>
      </c>
      <c r="O115" s="111" t="str" cm="1">
        <f t="array" ref="O115">Common_InputFunctions.Utility_DisplayArrayInTable(Fertiliser_SourceData.Fertiliser_Products_Data1(),FertiliserProducts[[#Headers],[Include or Exclude]], 0,4)</f>
        <v/>
      </c>
      <c r="P115" s="111" t="str" cm="1">
        <f t="array" ref="P115">Common_InputFunctions.Utility_DisplayArrayInTable(Fertiliser_SourceData.Fertiliser_Products_Data1(),FertiliserProducts[[#Headers],[Include or Exclude]], 0,4)</f>
        <v/>
      </c>
      <c r="Q115" s="111" t="str" cm="1">
        <f t="array" ref="Q115">Common_InputFunctions.Utility_DisplayArrayInTable(Fertiliser_SourceData.Fertiliser_Products_Data1(),FertiliserProducts[[#Headers],[Include or Exclude]], 0,4)</f>
        <v/>
      </c>
      <c r="R115" s="111" t="str" cm="1">
        <f t="array" ref="R115">Common_InputFunctions.Utility_DisplayArrayInTable(Fertiliser_SourceData.Fertiliser_Products_Data1(),FertiliserProducts[[#Headers],[Include or Exclude]], 0,4)</f>
        <v/>
      </c>
      <c r="S115" s="111" t="str" cm="1">
        <f t="array" ref="S115">Common_InputFunctions.Utility_DisplayArrayInTable(Fertiliser_SourceData.Fertiliser_Products_Data1(),FertiliserProducts[[#Headers],[Include or Exclude]], 0,4)</f>
        <v/>
      </c>
      <c r="T115" s="111" t="str" cm="1">
        <f t="array" ref="T115">Common_InputFunctions.Utility_DisplayArrayInTable(Fertiliser_SourceData.Fertiliser_Products_Data1(),FertiliserProducts[[#Headers],[Include or Exclude]], 0,4)</f>
        <v/>
      </c>
      <c r="U115" s="111" t="str" cm="1">
        <f t="array" ref="U115">Common_InputFunctions.Utility_DisplayArrayInTable(Fertiliser_SourceData.Fertiliser_Products_Data1(),FertiliserProducts[[#Headers],[Include or Exclude]], 0,4)</f>
        <v/>
      </c>
      <c r="V115" s="111" t="str" cm="1">
        <f t="array" ref="V115">Common_InputFunctions.Utility_DisplayArrayInTable(Fertiliser_SourceData.Fertiliser_Products_Data1(),FertiliserProducts[[#Headers],[Include or Exclude]], 0,4)</f>
        <v/>
      </c>
      <c r="W115" s="111" t="str" cm="1">
        <f t="array" ref="W115">Common_InputFunctions.Utility_DisplayArrayInTable(Fertiliser_SourceData.Fertiliser_Products_Data1(),FertiliserProducts[[#Headers],[Include or Exclude]], 0,4)</f>
        <v/>
      </c>
      <c r="X115" s="111" t="str" cm="1">
        <f t="array" ref="X115">Common_InputFunctions.Utility_DisplayArrayInTable(Fertiliser_SourceData.Fertiliser_Products_Data1(),FertiliserProducts[[#Headers],[Include or Exclude]], 0,4)</f>
        <v/>
      </c>
      <c r="Y115" s="111" t="str" cm="1">
        <f t="array" ref="Y115">Common_InputFunctions.Utility_DisplayArrayInTable(Fertiliser_SourceData.Fertiliser_Products_Data1(),FertiliserProducts[[#Headers],[Include or Exclude]], 0,4)</f>
        <v/>
      </c>
      <c r="Z115" s="111" t="str" cm="1">
        <f t="array" ref="Z115">Common_InputFunctions.Utility_DisplayArrayInTable(Fertiliser_SourceData.Fertiliser_Products_Data1(),FertiliserProducts[[#Headers],[Include or Exclude]], 0,4)</f>
        <v/>
      </c>
      <c r="AA115" s="111" t="str" cm="1">
        <f t="array" ref="AA115">Common_InputFunctions.Utility_DisplayArrayInTable(Fertiliser_SourceData.Fertiliser_Products_Data1(),FertiliserProducts[[#Headers],[Include or Exclude]], 0,4)</f>
        <v/>
      </c>
      <c r="AB115" s="111" t="str" cm="1">
        <f t="array" ref="AB115">Common_InputFunctions.Utility_DisplayArrayInTable(Fertiliser_SourceData.Fertiliser_Products_Data1(),FertiliserProducts[[#Headers],[Include or Exclude]], 0,4)</f>
        <v/>
      </c>
      <c r="AC115" s="111" t="str" cm="1">
        <f t="array" ref="AC115">Common_InputFunctions.Utility_DisplayArrayInTable(Fertiliser_SourceData.Fertiliser_Products_Data1(),FertiliserProducts[[#Headers],[Include or Exclude]], 0,4)</f>
        <v/>
      </c>
      <c r="AD115" s="111" t="str" cm="1">
        <f t="array" ref="AD115">Common_InputFunctions.Utility_DisplayArrayInTable(Fertiliser_SourceData.Fertiliser_Products_Data1(),FertiliserProducts[[#Headers],[Include or Exclude]], 0,4)</f>
        <v/>
      </c>
      <c r="AE115" s="111" t="str" cm="1">
        <f t="array" ref="AE115">Common_InputFunctions.Utility_DisplayArrayInTable(Fertiliser_SourceData.Fertiliser_Products_Data1(),FertiliserProducts[[#Headers],[Include or Exclude]], 0,4)</f>
        <v/>
      </c>
    </row>
    <row r="116" spans="4:31" ht="20.100000000000001" customHeight="1" x14ac:dyDescent="0.25">
      <c r="D116" s="111" t="str" cm="1">
        <f t="array" ref="D116">Common_InputFunctions.Utility_DisplayArrayInTable(Fertiliser_SourceData.Fertiliser_Products_Data1(),FertiliserProducts[[#Headers],[Include or Exclude]], -1)</f>
        <v/>
      </c>
      <c r="E116" s="111" t="str" cm="1">
        <f t="array" ref="E116">Common_InputFunctions.Utility_DisplayArrayInTable(Fertiliser_SourceData.Fertiliser_Products_Data1(),FertiliserProducts[[#Headers],[Include or Exclude]], 0)</f>
        <v/>
      </c>
      <c r="F116" s="111" t="str" cm="1">
        <f t="array" ref="F116">Common_InputFunctions.Utility_DisplayArrayInTable(Fertiliser_SourceData.Fertiliser_Products_Data1(),FertiliserProducts[[#Headers],[Include or Exclude]], 0)</f>
        <v/>
      </c>
      <c r="G116" s="111" t="str" cm="1">
        <f t="array" ref="G116">Common_InputFunctions.Utility_DisplayArrayInTable(Fertiliser_SourceData.Fertiliser_Products_Data1(),FertiliserProducts[[#Headers],[Include or Exclude]], 0)</f>
        <v/>
      </c>
      <c r="H116" s="111" t="str" cm="1">
        <f t="array" ref="H116">Common_InputFunctions.Utility_DisplayArrayInTable(Fertiliser_SourceData.Fertiliser_Products_Data1(),FertiliserProducts[[#Headers],[Include or Exclude]], 0,4)</f>
        <v/>
      </c>
      <c r="I116" s="111" t="str" cm="1">
        <f t="array" ref="I116">Common_InputFunctions.Utility_DisplayArrayInTable(Fertiliser_SourceData.Fertiliser_Products_Data1(),FertiliserProducts[[#Headers],[Include or Exclude]], 0,4)</f>
        <v/>
      </c>
      <c r="J116" s="111" t="str" cm="1">
        <f t="array" ref="J116">Common_InputFunctions.Utility_DisplayArrayInTable(Fertiliser_SourceData.Fertiliser_Products_Data1(),FertiliserProducts[[#Headers],[Include or Exclude]], 0,4)</f>
        <v/>
      </c>
      <c r="K116" s="111" t="str" cm="1">
        <f t="array" ref="K116">Common_InputFunctions.Utility_DisplayArrayInTable(Fertiliser_SourceData.Fertiliser_Products_Data1(),FertiliserProducts[[#Headers],[Include or Exclude]], 0,4)</f>
        <v/>
      </c>
      <c r="L116" s="111" t="str" cm="1">
        <f t="array" ref="L116">Common_InputFunctions.Utility_DisplayArrayInTable(Fertiliser_SourceData.Fertiliser_Products_Data1(),FertiliserProducts[[#Headers],[Include or Exclude]], 0,4)</f>
        <v/>
      </c>
      <c r="M116" s="111" t="str" cm="1">
        <f t="array" ref="M116">Common_InputFunctions.Utility_DisplayArrayInTable(Fertiliser_SourceData.Fertiliser_Products_Data1(),FertiliserProducts[[#Headers],[Include or Exclude]], 0,4)</f>
        <v/>
      </c>
      <c r="N116" s="111" t="str" cm="1">
        <f t="array" ref="N116">Common_InputFunctions.Utility_DisplayArrayInTable(Fertiliser_SourceData.Fertiliser_Products_Data1(),FertiliserProducts[[#Headers],[Include or Exclude]], 0,4)</f>
        <v/>
      </c>
      <c r="O116" s="111" t="str" cm="1">
        <f t="array" ref="O116">Common_InputFunctions.Utility_DisplayArrayInTable(Fertiliser_SourceData.Fertiliser_Products_Data1(),FertiliserProducts[[#Headers],[Include or Exclude]], 0,4)</f>
        <v/>
      </c>
      <c r="P116" s="111" t="str" cm="1">
        <f t="array" ref="P116">Common_InputFunctions.Utility_DisplayArrayInTable(Fertiliser_SourceData.Fertiliser_Products_Data1(),FertiliserProducts[[#Headers],[Include or Exclude]], 0,4)</f>
        <v/>
      </c>
      <c r="Q116" s="111" t="str" cm="1">
        <f t="array" ref="Q116">Common_InputFunctions.Utility_DisplayArrayInTable(Fertiliser_SourceData.Fertiliser_Products_Data1(),FertiliserProducts[[#Headers],[Include or Exclude]], 0,4)</f>
        <v/>
      </c>
      <c r="R116" s="111" t="str" cm="1">
        <f t="array" ref="R116">Common_InputFunctions.Utility_DisplayArrayInTable(Fertiliser_SourceData.Fertiliser_Products_Data1(),FertiliserProducts[[#Headers],[Include or Exclude]], 0,4)</f>
        <v/>
      </c>
      <c r="S116" s="111" t="str" cm="1">
        <f t="array" ref="S116">Common_InputFunctions.Utility_DisplayArrayInTable(Fertiliser_SourceData.Fertiliser_Products_Data1(),FertiliserProducts[[#Headers],[Include or Exclude]], 0,4)</f>
        <v/>
      </c>
      <c r="T116" s="111" t="str" cm="1">
        <f t="array" ref="T116">Common_InputFunctions.Utility_DisplayArrayInTable(Fertiliser_SourceData.Fertiliser_Products_Data1(),FertiliserProducts[[#Headers],[Include or Exclude]], 0,4)</f>
        <v/>
      </c>
      <c r="U116" s="111" t="str" cm="1">
        <f t="array" ref="U116">Common_InputFunctions.Utility_DisplayArrayInTable(Fertiliser_SourceData.Fertiliser_Products_Data1(),FertiliserProducts[[#Headers],[Include or Exclude]], 0,4)</f>
        <v/>
      </c>
      <c r="V116" s="111" t="str" cm="1">
        <f t="array" ref="V116">Common_InputFunctions.Utility_DisplayArrayInTable(Fertiliser_SourceData.Fertiliser_Products_Data1(),FertiliserProducts[[#Headers],[Include or Exclude]], 0,4)</f>
        <v/>
      </c>
      <c r="W116" s="111" t="str" cm="1">
        <f t="array" ref="W116">Common_InputFunctions.Utility_DisplayArrayInTable(Fertiliser_SourceData.Fertiliser_Products_Data1(),FertiliserProducts[[#Headers],[Include or Exclude]], 0,4)</f>
        <v/>
      </c>
      <c r="X116" s="111" t="str" cm="1">
        <f t="array" ref="X116">Common_InputFunctions.Utility_DisplayArrayInTable(Fertiliser_SourceData.Fertiliser_Products_Data1(),FertiliserProducts[[#Headers],[Include or Exclude]], 0,4)</f>
        <v/>
      </c>
      <c r="Y116" s="111" t="str" cm="1">
        <f t="array" ref="Y116">Common_InputFunctions.Utility_DisplayArrayInTable(Fertiliser_SourceData.Fertiliser_Products_Data1(),FertiliserProducts[[#Headers],[Include or Exclude]], 0,4)</f>
        <v/>
      </c>
      <c r="Z116" s="111" t="str" cm="1">
        <f t="array" ref="Z116">Common_InputFunctions.Utility_DisplayArrayInTable(Fertiliser_SourceData.Fertiliser_Products_Data1(),FertiliserProducts[[#Headers],[Include or Exclude]], 0,4)</f>
        <v/>
      </c>
      <c r="AA116" s="111" t="str" cm="1">
        <f t="array" ref="AA116">Common_InputFunctions.Utility_DisplayArrayInTable(Fertiliser_SourceData.Fertiliser_Products_Data1(),FertiliserProducts[[#Headers],[Include or Exclude]], 0,4)</f>
        <v/>
      </c>
      <c r="AB116" s="111" t="str" cm="1">
        <f t="array" ref="AB116">Common_InputFunctions.Utility_DisplayArrayInTable(Fertiliser_SourceData.Fertiliser_Products_Data1(),FertiliserProducts[[#Headers],[Include or Exclude]], 0,4)</f>
        <v/>
      </c>
      <c r="AC116" s="111" t="str" cm="1">
        <f t="array" ref="AC116">Common_InputFunctions.Utility_DisplayArrayInTable(Fertiliser_SourceData.Fertiliser_Products_Data1(),FertiliserProducts[[#Headers],[Include or Exclude]], 0,4)</f>
        <v/>
      </c>
      <c r="AD116" s="111" t="str" cm="1">
        <f t="array" ref="AD116">Common_InputFunctions.Utility_DisplayArrayInTable(Fertiliser_SourceData.Fertiliser_Products_Data1(),FertiliserProducts[[#Headers],[Include or Exclude]], 0,4)</f>
        <v/>
      </c>
      <c r="AE116" s="111" t="str" cm="1">
        <f t="array" ref="AE116">Common_InputFunctions.Utility_DisplayArrayInTable(Fertiliser_SourceData.Fertiliser_Products_Data1(),FertiliserProducts[[#Headers],[Include or Exclude]], 0,4)</f>
        <v/>
      </c>
    </row>
    <row r="117" spans="4:31" ht="20.100000000000001" customHeight="1" x14ac:dyDescent="0.25">
      <c r="D117" s="111" t="str" cm="1">
        <f t="array" ref="D117">Common_InputFunctions.Utility_DisplayArrayInTable(Fertiliser_SourceData.Fertiliser_Products_Data1(),FertiliserProducts[[#Headers],[Include or Exclude]], -1)</f>
        <v/>
      </c>
      <c r="E117" s="111" t="str" cm="1">
        <f t="array" ref="E117">Common_InputFunctions.Utility_DisplayArrayInTable(Fertiliser_SourceData.Fertiliser_Products_Data1(),FertiliserProducts[[#Headers],[Include or Exclude]], 0)</f>
        <v/>
      </c>
      <c r="F117" s="111" t="str" cm="1">
        <f t="array" ref="F117">Common_InputFunctions.Utility_DisplayArrayInTable(Fertiliser_SourceData.Fertiliser_Products_Data1(),FertiliserProducts[[#Headers],[Include or Exclude]], 0)</f>
        <v/>
      </c>
      <c r="G117" s="111" t="str" cm="1">
        <f t="array" ref="G117">Common_InputFunctions.Utility_DisplayArrayInTable(Fertiliser_SourceData.Fertiliser_Products_Data1(),FertiliserProducts[[#Headers],[Include or Exclude]], 0)</f>
        <v/>
      </c>
      <c r="H117" s="111" t="str" cm="1">
        <f t="array" ref="H117">Common_InputFunctions.Utility_DisplayArrayInTable(Fertiliser_SourceData.Fertiliser_Products_Data1(),FertiliserProducts[[#Headers],[Include or Exclude]], 0,4)</f>
        <v/>
      </c>
      <c r="I117" s="111" t="str" cm="1">
        <f t="array" ref="I117">Common_InputFunctions.Utility_DisplayArrayInTable(Fertiliser_SourceData.Fertiliser_Products_Data1(),FertiliserProducts[[#Headers],[Include or Exclude]], 0,4)</f>
        <v/>
      </c>
      <c r="J117" s="111" t="str" cm="1">
        <f t="array" ref="J117">Common_InputFunctions.Utility_DisplayArrayInTable(Fertiliser_SourceData.Fertiliser_Products_Data1(),FertiliserProducts[[#Headers],[Include or Exclude]], 0,4)</f>
        <v/>
      </c>
      <c r="K117" s="111" t="str" cm="1">
        <f t="array" ref="K117">Common_InputFunctions.Utility_DisplayArrayInTable(Fertiliser_SourceData.Fertiliser_Products_Data1(),FertiliserProducts[[#Headers],[Include or Exclude]], 0,4)</f>
        <v/>
      </c>
      <c r="L117" s="111" t="str" cm="1">
        <f t="array" ref="L117">Common_InputFunctions.Utility_DisplayArrayInTable(Fertiliser_SourceData.Fertiliser_Products_Data1(),FertiliserProducts[[#Headers],[Include or Exclude]], 0,4)</f>
        <v/>
      </c>
      <c r="M117" s="111" t="str" cm="1">
        <f t="array" ref="M117">Common_InputFunctions.Utility_DisplayArrayInTable(Fertiliser_SourceData.Fertiliser_Products_Data1(),FertiliserProducts[[#Headers],[Include or Exclude]], 0,4)</f>
        <v/>
      </c>
      <c r="N117" s="111" t="str" cm="1">
        <f t="array" ref="N117">Common_InputFunctions.Utility_DisplayArrayInTable(Fertiliser_SourceData.Fertiliser_Products_Data1(),FertiliserProducts[[#Headers],[Include or Exclude]], 0,4)</f>
        <v/>
      </c>
      <c r="O117" s="111" t="str" cm="1">
        <f t="array" ref="O117">Common_InputFunctions.Utility_DisplayArrayInTable(Fertiliser_SourceData.Fertiliser_Products_Data1(),FertiliserProducts[[#Headers],[Include or Exclude]], 0,4)</f>
        <v/>
      </c>
      <c r="P117" s="111" t="str" cm="1">
        <f t="array" ref="P117">Common_InputFunctions.Utility_DisplayArrayInTable(Fertiliser_SourceData.Fertiliser_Products_Data1(),FertiliserProducts[[#Headers],[Include or Exclude]], 0,4)</f>
        <v/>
      </c>
      <c r="Q117" s="111" t="str" cm="1">
        <f t="array" ref="Q117">Common_InputFunctions.Utility_DisplayArrayInTable(Fertiliser_SourceData.Fertiliser_Products_Data1(),FertiliserProducts[[#Headers],[Include or Exclude]], 0,4)</f>
        <v/>
      </c>
      <c r="R117" s="111" t="str" cm="1">
        <f t="array" ref="R117">Common_InputFunctions.Utility_DisplayArrayInTable(Fertiliser_SourceData.Fertiliser_Products_Data1(),FertiliserProducts[[#Headers],[Include or Exclude]], 0,4)</f>
        <v/>
      </c>
      <c r="S117" s="111" t="str" cm="1">
        <f t="array" ref="S117">Common_InputFunctions.Utility_DisplayArrayInTable(Fertiliser_SourceData.Fertiliser_Products_Data1(),FertiliserProducts[[#Headers],[Include or Exclude]], 0,4)</f>
        <v/>
      </c>
      <c r="T117" s="111" t="str" cm="1">
        <f t="array" ref="T117">Common_InputFunctions.Utility_DisplayArrayInTable(Fertiliser_SourceData.Fertiliser_Products_Data1(),FertiliserProducts[[#Headers],[Include or Exclude]], 0,4)</f>
        <v/>
      </c>
      <c r="U117" s="111" t="str" cm="1">
        <f t="array" ref="U117">Common_InputFunctions.Utility_DisplayArrayInTable(Fertiliser_SourceData.Fertiliser_Products_Data1(),FertiliserProducts[[#Headers],[Include or Exclude]], 0,4)</f>
        <v/>
      </c>
      <c r="V117" s="111" t="str" cm="1">
        <f t="array" ref="V117">Common_InputFunctions.Utility_DisplayArrayInTable(Fertiliser_SourceData.Fertiliser_Products_Data1(),FertiliserProducts[[#Headers],[Include or Exclude]], 0,4)</f>
        <v/>
      </c>
      <c r="W117" s="111" t="str" cm="1">
        <f t="array" ref="W117">Common_InputFunctions.Utility_DisplayArrayInTable(Fertiliser_SourceData.Fertiliser_Products_Data1(),FertiliserProducts[[#Headers],[Include or Exclude]], 0,4)</f>
        <v/>
      </c>
      <c r="X117" s="111" t="str" cm="1">
        <f t="array" ref="X117">Common_InputFunctions.Utility_DisplayArrayInTable(Fertiliser_SourceData.Fertiliser_Products_Data1(),FertiliserProducts[[#Headers],[Include or Exclude]], 0,4)</f>
        <v/>
      </c>
      <c r="Y117" s="111" t="str" cm="1">
        <f t="array" ref="Y117">Common_InputFunctions.Utility_DisplayArrayInTable(Fertiliser_SourceData.Fertiliser_Products_Data1(),FertiliserProducts[[#Headers],[Include or Exclude]], 0,4)</f>
        <v/>
      </c>
      <c r="Z117" s="111" t="str" cm="1">
        <f t="array" ref="Z117">Common_InputFunctions.Utility_DisplayArrayInTable(Fertiliser_SourceData.Fertiliser_Products_Data1(),FertiliserProducts[[#Headers],[Include or Exclude]], 0,4)</f>
        <v/>
      </c>
      <c r="AA117" s="111" t="str" cm="1">
        <f t="array" ref="AA117">Common_InputFunctions.Utility_DisplayArrayInTable(Fertiliser_SourceData.Fertiliser_Products_Data1(),FertiliserProducts[[#Headers],[Include or Exclude]], 0,4)</f>
        <v/>
      </c>
      <c r="AB117" s="111" t="str" cm="1">
        <f t="array" ref="AB117">Common_InputFunctions.Utility_DisplayArrayInTable(Fertiliser_SourceData.Fertiliser_Products_Data1(),FertiliserProducts[[#Headers],[Include or Exclude]], 0,4)</f>
        <v/>
      </c>
      <c r="AC117" s="111" t="str" cm="1">
        <f t="array" ref="AC117">Common_InputFunctions.Utility_DisplayArrayInTable(Fertiliser_SourceData.Fertiliser_Products_Data1(),FertiliserProducts[[#Headers],[Include or Exclude]], 0,4)</f>
        <v/>
      </c>
      <c r="AD117" s="111" t="str" cm="1">
        <f t="array" ref="AD117">Common_InputFunctions.Utility_DisplayArrayInTable(Fertiliser_SourceData.Fertiliser_Products_Data1(),FertiliserProducts[[#Headers],[Include or Exclude]], 0,4)</f>
        <v/>
      </c>
      <c r="AE117" s="111" t="str" cm="1">
        <f t="array" ref="AE117">Common_InputFunctions.Utility_DisplayArrayInTable(Fertiliser_SourceData.Fertiliser_Products_Data1(),FertiliserProducts[[#Headers],[Include or Exclude]], 0,4)</f>
        <v/>
      </c>
    </row>
    <row r="118" spans="4:31" ht="20.100000000000001" customHeight="1" x14ac:dyDescent="0.25">
      <c r="D118" s="111" t="str" cm="1">
        <f t="array" ref="D118">Common_InputFunctions.Utility_DisplayArrayInTable(Fertiliser_SourceData.Fertiliser_Products_Data1(),FertiliserProducts[[#Headers],[Include or Exclude]], -1)</f>
        <v/>
      </c>
      <c r="E118" s="111" t="str" cm="1">
        <f t="array" ref="E118">Common_InputFunctions.Utility_DisplayArrayInTable(Fertiliser_SourceData.Fertiliser_Products_Data1(),FertiliserProducts[[#Headers],[Include or Exclude]], 0)</f>
        <v/>
      </c>
      <c r="F118" s="111" t="str" cm="1">
        <f t="array" ref="F118">Common_InputFunctions.Utility_DisplayArrayInTable(Fertiliser_SourceData.Fertiliser_Products_Data1(),FertiliserProducts[[#Headers],[Include or Exclude]], 0)</f>
        <v/>
      </c>
      <c r="G118" s="111" t="str" cm="1">
        <f t="array" ref="G118">Common_InputFunctions.Utility_DisplayArrayInTable(Fertiliser_SourceData.Fertiliser_Products_Data1(),FertiliserProducts[[#Headers],[Include or Exclude]], 0)</f>
        <v/>
      </c>
      <c r="H118" s="111" t="str" cm="1">
        <f t="array" ref="H118">Common_InputFunctions.Utility_DisplayArrayInTable(Fertiliser_SourceData.Fertiliser_Products_Data1(),FertiliserProducts[[#Headers],[Include or Exclude]], 0,4)</f>
        <v/>
      </c>
      <c r="I118" s="111" t="str" cm="1">
        <f t="array" ref="I118">Common_InputFunctions.Utility_DisplayArrayInTable(Fertiliser_SourceData.Fertiliser_Products_Data1(),FertiliserProducts[[#Headers],[Include or Exclude]], 0,4)</f>
        <v/>
      </c>
      <c r="J118" s="111" t="str" cm="1">
        <f t="array" ref="J118">Common_InputFunctions.Utility_DisplayArrayInTable(Fertiliser_SourceData.Fertiliser_Products_Data1(),FertiliserProducts[[#Headers],[Include or Exclude]], 0,4)</f>
        <v/>
      </c>
      <c r="K118" s="111" t="str" cm="1">
        <f t="array" ref="K118">Common_InputFunctions.Utility_DisplayArrayInTable(Fertiliser_SourceData.Fertiliser_Products_Data1(),FertiliserProducts[[#Headers],[Include or Exclude]], 0,4)</f>
        <v/>
      </c>
      <c r="L118" s="111" t="str" cm="1">
        <f t="array" ref="L118">Common_InputFunctions.Utility_DisplayArrayInTable(Fertiliser_SourceData.Fertiliser_Products_Data1(),FertiliserProducts[[#Headers],[Include or Exclude]], 0,4)</f>
        <v/>
      </c>
      <c r="M118" s="111" t="str" cm="1">
        <f t="array" ref="M118">Common_InputFunctions.Utility_DisplayArrayInTable(Fertiliser_SourceData.Fertiliser_Products_Data1(),FertiliserProducts[[#Headers],[Include or Exclude]], 0,4)</f>
        <v/>
      </c>
      <c r="N118" s="111" t="str" cm="1">
        <f t="array" ref="N118">Common_InputFunctions.Utility_DisplayArrayInTable(Fertiliser_SourceData.Fertiliser_Products_Data1(),FertiliserProducts[[#Headers],[Include or Exclude]], 0,4)</f>
        <v/>
      </c>
      <c r="O118" s="111" t="str" cm="1">
        <f t="array" ref="O118">Common_InputFunctions.Utility_DisplayArrayInTable(Fertiliser_SourceData.Fertiliser_Products_Data1(),FertiliserProducts[[#Headers],[Include or Exclude]], 0,4)</f>
        <v/>
      </c>
      <c r="P118" s="111" t="str" cm="1">
        <f t="array" ref="P118">Common_InputFunctions.Utility_DisplayArrayInTable(Fertiliser_SourceData.Fertiliser_Products_Data1(),FertiliserProducts[[#Headers],[Include or Exclude]], 0,4)</f>
        <v/>
      </c>
      <c r="Q118" s="111" t="str" cm="1">
        <f t="array" ref="Q118">Common_InputFunctions.Utility_DisplayArrayInTable(Fertiliser_SourceData.Fertiliser_Products_Data1(),FertiliserProducts[[#Headers],[Include or Exclude]], 0,4)</f>
        <v/>
      </c>
      <c r="R118" s="111" t="str" cm="1">
        <f t="array" ref="R118">Common_InputFunctions.Utility_DisplayArrayInTable(Fertiliser_SourceData.Fertiliser_Products_Data1(),FertiliserProducts[[#Headers],[Include or Exclude]], 0,4)</f>
        <v/>
      </c>
      <c r="S118" s="111" t="str" cm="1">
        <f t="array" ref="S118">Common_InputFunctions.Utility_DisplayArrayInTable(Fertiliser_SourceData.Fertiliser_Products_Data1(),FertiliserProducts[[#Headers],[Include or Exclude]], 0,4)</f>
        <v/>
      </c>
      <c r="T118" s="111" t="str" cm="1">
        <f t="array" ref="T118">Common_InputFunctions.Utility_DisplayArrayInTable(Fertiliser_SourceData.Fertiliser_Products_Data1(),FertiliserProducts[[#Headers],[Include or Exclude]], 0,4)</f>
        <v/>
      </c>
      <c r="U118" s="111" t="str" cm="1">
        <f t="array" ref="U118">Common_InputFunctions.Utility_DisplayArrayInTable(Fertiliser_SourceData.Fertiliser_Products_Data1(),FertiliserProducts[[#Headers],[Include or Exclude]], 0,4)</f>
        <v/>
      </c>
      <c r="V118" s="111" t="str" cm="1">
        <f t="array" ref="V118">Common_InputFunctions.Utility_DisplayArrayInTable(Fertiliser_SourceData.Fertiliser_Products_Data1(),FertiliserProducts[[#Headers],[Include or Exclude]], 0,4)</f>
        <v/>
      </c>
      <c r="W118" s="111" t="str" cm="1">
        <f t="array" ref="W118">Common_InputFunctions.Utility_DisplayArrayInTable(Fertiliser_SourceData.Fertiliser_Products_Data1(),FertiliserProducts[[#Headers],[Include or Exclude]], 0,4)</f>
        <v/>
      </c>
      <c r="X118" s="111" t="str" cm="1">
        <f t="array" ref="X118">Common_InputFunctions.Utility_DisplayArrayInTable(Fertiliser_SourceData.Fertiliser_Products_Data1(),FertiliserProducts[[#Headers],[Include or Exclude]], 0,4)</f>
        <v/>
      </c>
      <c r="Y118" s="111" t="str" cm="1">
        <f t="array" ref="Y118">Common_InputFunctions.Utility_DisplayArrayInTable(Fertiliser_SourceData.Fertiliser_Products_Data1(),FertiliserProducts[[#Headers],[Include or Exclude]], 0,4)</f>
        <v/>
      </c>
      <c r="Z118" s="111" t="str" cm="1">
        <f t="array" ref="Z118">Common_InputFunctions.Utility_DisplayArrayInTable(Fertiliser_SourceData.Fertiliser_Products_Data1(),FertiliserProducts[[#Headers],[Include or Exclude]], 0,4)</f>
        <v/>
      </c>
      <c r="AA118" s="111" t="str" cm="1">
        <f t="array" ref="AA118">Common_InputFunctions.Utility_DisplayArrayInTable(Fertiliser_SourceData.Fertiliser_Products_Data1(),FertiliserProducts[[#Headers],[Include or Exclude]], 0,4)</f>
        <v/>
      </c>
      <c r="AB118" s="111" t="str" cm="1">
        <f t="array" ref="AB118">Common_InputFunctions.Utility_DisplayArrayInTable(Fertiliser_SourceData.Fertiliser_Products_Data1(),FertiliserProducts[[#Headers],[Include or Exclude]], 0,4)</f>
        <v/>
      </c>
      <c r="AC118" s="111" t="str" cm="1">
        <f t="array" ref="AC118">Common_InputFunctions.Utility_DisplayArrayInTable(Fertiliser_SourceData.Fertiliser_Products_Data1(),FertiliserProducts[[#Headers],[Include or Exclude]], 0,4)</f>
        <v/>
      </c>
      <c r="AD118" s="111" t="str" cm="1">
        <f t="array" ref="AD118">Common_InputFunctions.Utility_DisplayArrayInTable(Fertiliser_SourceData.Fertiliser_Products_Data1(),FertiliserProducts[[#Headers],[Include or Exclude]], 0,4)</f>
        <v/>
      </c>
      <c r="AE118" s="111" t="str" cm="1">
        <f t="array" ref="AE118">Common_InputFunctions.Utility_DisplayArrayInTable(Fertiliser_SourceData.Fertiliser_Products_Data1(),FertiliserProducts[[#Headers],[Include or Exclude]], 0,4)</f>
        <v/>
      </c>
    </row>
    <row r="119" spans="4:31" ht="20.100000000000001" customHeight="1" x14ac:dyDescent="0.25">
      <c r="D119" s="111" t="str" cm="1">
        <f t="array" ref="D119">Common_InputFunctions.Utility_DisplayArrayInTable(Fertiliser_SourceData.Fertiliser_Products_Data1(),FertiliserProducts[[#Headers],[Include or Exclude]], -1)</f>
        <v/>
      </c>
      <c r="E119" s="111" t="str" cm="1">
        <f t="array" ref="E119">Common_InputFunctions.Utility_DisplayArrayInTable(Fertiliser_SourceData.Fertiliser_Products_Data1(),FertiliserProducts[[#Headers],[Include or Exclude]], 0)</f>
        <v/>
      </c>
      <c r="F119" s="111" t="str" cm="1">
        <f t="array" ref="F119">Common_InputFunctions.Utility_DisplayArrayInTable(Fertiliser_SourceData.Fertiliser_Products_Data1(),FertiliserProducts[[#Headers],[Include or Exclude]], 0)</f>
        <v/>
      </c>
      <c r="G119" s="111" t="str" cm="1">
        <f t="array" ref="G119">Common_InputFunctions.Utility_DisplayArrayInTable(Fertiliser_SourceData.Fertiliser_Products_Data1(),FertiliserProducts[[#Headers],[Include or Exclude]], 0)</f>
        <v/>
      </c>
      <c r="H119" s="111" t="str" cm="1">
        <f t="array" ref="H119">Common_InputFunctions.Utility_DisplayArrayInTable(Fertiliser_SourceData.Fertiliser_Products_Data1(),FertiliserProducts[[#Headers],[Include or Exclude]], 0,4)</f>
        <v/>
      </c>
      <c r="I119" s="111" t="str" cm="1">
        <f t="array" ref="I119">Common_InputFunctions.Utility_DisplayArrayInTable(Fertiliser_SourceData.Fertiliser_Products_Data1(),FertiliserProducts[[#Headers],[Include or Exclude]], 0,4)</f>
        <v/>
      </c>
      <c r="J119" s="111" t="str" cm="1">
        <f t="array" ref="J119">Common_InputFunctions.Utility_DisplayArrayInTable(Fertiliser_SourceData.Fertiliser_Products_Data1(),FertiliserProducts[[#Headers],[Include or Exclude]], 0,4)</f>
        <v/>
      </c>
      <c r="K119" s="111" t="str" cm="1">
        <f t="array" ref="K119">Common_InputFunctions.Utility_DisplayArrayInTable(Fertiliser_SourceData.Fertiliser_Products_Data1(),FertiliserProducts[[#Headers],[Include or Exclude]], 0,4)</f>
        <v/>
      </c>
      <c r="L119" s="111" t="str" cm="1">
        <f t="array" ref="L119">Common_InputFunctions.Utility_DisplayArrayInTable(Fertiliser_SourceData.Fertiliser_Products_Data1(),FertiliserProducts[[#Headers],[Include or Exclude]], 0,4)</f>
        <v/>
      </c>
      <c r="M119" s="111" t="str" cm="1">
        <f t="array" ref="M119">Common_InputFunctions.Utility_DisplayArrayInTable(Fertiliser_SourceData.Fertiliser_Products_Data1(),FertiliserProducts[[#Headers],[Include or Exclude]], 0,4)</f>
        <v/>
      </c>
      <c r="N119" s="111" t="str" cm="1">
        <f t="array" ref="N119">Common_InputFunctions.Utility_DisplayArrayInTable(Fertiliser_SourceData.Fertiliser_Products_Data1(),FertiliserProducts[[#Headers],[Include or Exclude]], 0,4)</f>
        <v/>
      </c>
      <c r="O119" s="111" t="str" cm="1">
        <f t="array" ref="O119">Common_InputFunctions.Utility_DisplayArrayInTable(Fertiliser_SourceData.Fertiliser_Products_Data1(),FertiliserProducts[[#Headers],[Include or Exclude]], 0,4)</f>
        <v/>
      </c>
      <c r="P119" s="111" t="str" cm="1">
        <f t="array" ref="P119">Common_InputFunctions.Utility_DisplayArrayInTable(Fertiliser_SourceData.Fertiliser_Products_Data1(),FertiliserProducts[[#Headers],[Include or Exclude]], 0,4)</f>
        <v/>
      </c>
      <c r="Q119" s="111" t="str" cm="1">
        <f t="array" ref="Q119">Common_InputFunctions.Utility_DisplayArrayInTable(Fertiliser_SourceData.Fertiliser_Products_Data1(),FertiliserProducts[[#Headers],[Include or Exclude]], 0,4)</f>
        <v/>
      </c>
      <c r="R119" s="111" t="str" cm="1">
        <f t="array" ref="R119">Common_InputFunctions.Utility_DisplayArrayInTable(Fertiliser_SourceData.Fertiliser_Products_Data1(),FertiliserProducts[[#Headers],[Include or Exclude]], 0,4)</f>
        <v/>
      </c>
      <c r="S119" s="111" t="str" cm="1">
        <f t="array" ref="S119">Common_InputFunctions.Utility_DisplayArrayInTable(Fertiliser_SourceData.Fertiliser_Products_Data1(),FertiliserProducts[[#Headers],[Include or Exclude]], 0,4)</f>
        <v/>
      </c>
      <c r="T119" s="111" t="str" cm="1">
        <f t="array" ref="T119">Common_InputFunctions.Utility_DisplayArrayInTable(Fertiliser_SourceData.Fertiliser_Products_Data1(),FertiliserProducts[[#Headers],[Include or Exclude]], 0,4)</f>
        <v/>
      </c>
      <c r="U119" s="111" t="str" cm="1">
        <f t="array" ref="U119">Common_InputFunctions.Utility_DisplayArrayInTable(Fertiliser_SourceData.Fertiliser_Products_Data1(),FertiliserProducts[[#Headers],[Include or Exclude]], 0,4)</f>
        <v/>
      </c>
      <c r="V119" s="111" t="str" cm="1">
        <f t="array" ref="V119">Common_InputFunctions.Utility_DisplayArrayInTable(Fertiliser_SourceData.Fertiliser_Products_Data1(),FertiliserProducts[[#Headers],[Include or Exclude]], 0,4)</f>
        <v/>
      </c>
      <c r="W119" s="111" t="str" cm="1">
        <f t="array" ref="W119">Common_InputFunctions.Utility_DisplayArrayInTable(Fertiliser_SourceData.Fertiliser_Products_Data1(),FertiliserProducts[[#Headers],[Include or Exclude]], 0,4)</f>
        <v/>
      </c>
      <c r="X119" s="111" t="str" cm="1">
        <f t="array" ref="X119">Common_InputFunctions.Utility_DisplayArrayInTable(Fertiliser_SourceData.Fertiliser_Products_Data1(),FertiliserProducts[[#Headers],[Include or Exclude]], 0,4)</f>
        <v/>
      </c>
      <c r="Y119" s="111" t="str" cm="1">
        <f t="array" ref="Y119">Common_InputFunctions.Utility_DisplayArrayInTable(Fertiliser_SourceData.Fertiliser_Products_Data1(),FertiliserProducts[[#Headers],[Include or Exclude]], 0,4)</f>
        <v/>
      </c>
      <c r="Z119" s="111" t="str" cm="1">
        <f t="array" ref="Z119">Common_InputFunctions.Utility_DisplayArrayInTable(Fertiliser_SourceData.Fertiliser_Products_Data1(),FertiliserProducts[[#Headers],[Include or Exclude]], 0,4)</f>
        <v/>
      </c>
      <c r="AA119" s="111" t="str" cm="1">
        <f t="array" ref="AA119">Common_InputFunctions.Utility_DisplayArrayInTable(Fertiliser_SourceData.Fertiliser_Products_Data1(),FertiliserProducts[[#Headers],[Include or Exclude]], 0,4)</f>
        <v/>
      </c>
      <c r="AB119" s="111" t="str" cm="1">
        <f t="array" ref="AB119">Common_InputFunctions.Utility_DisplayArrayInTable(Fertiliser_SourceData.Fertiliser_Products_Data1(),FertiliserProducts[[#Headers],[Include or Exclude]], 0,4)</f>
        <v/>
      </c>
      <c r="AC119" s="111" t="str" cm="1">
        <f t="array" ref="AC119">Common_InputFunctions.Utility_DisplayArrayInTable(Fertiliser_SourceData.Fertiliser_Products_Data1(),FertiliserProducts[[#Headers],[Include or Exclude]], 0,4)</f>
        <v/>
      </c>
      <c r="AD119" s="111" t="str" cm="1">
        <f t="array" ref="AD119">Common_InputFunctions.Utility_DisplayArrayInTable(Fertiliser_SourceData.Fertiliser_Products_Data1(),FertiliserProducts[[#Headers],[Include or Exclude]], 0,4)</f>
        <v/>
      </c>
      <c r="AE119" s="111" t="str" cm="1">
        <f t="array" ref="AE119">Common_InputFunctions.Utility_DisplayArrayInTable(Fertiliser_SourceData.Fertiliser_Products_Data1(),FertiliserProducts[[#Headers],[Include or Exclude]], 0,4)</f>
        <v/>
      </c>
    </row>
    <row r="120" spans="4:31" ht="20.100000000000001" customHeight="1" x14ac:dyDescent="0.25">
      <c r="D120" s="111" t="str" cm="1">
        <f t="array" ref="D120">Common_InputFunctions.Utility_DisplayArrayInTable(Fertiliser_SourceData.Fertiliser_Products_Data1(),FertiliserProducts[[#Headers],[Include or Exclude]], -1)</f>
        <v/>
      </c>
      <c r="E120" s="111" t="str" cm="1">
        <f t="array" ref="E120">Common_InputFunctions.Utility_DisplayArrayInTable(Fertiliser_SourceData.Fertiliser_Products_Data1(),FertiliserProducts[[#Headers],[Include or Exclude]], 0)</f>
        <v/>
      </c>
      <c r="F120" s="111" t="str" cm="1">
        <f t="array" ref="F120">Common_InputFunctions.Utility_DisplayArrayInTable(Fertiliser_SourceData.Fertiliser_Products_Data1(),FertiliserProducts[[#Headers],[Include or Exclude]], 0)</f>
        <v/>
      </c>
      <c r="G120" s="111" t="str" cm="1">
        <f t="array" ref="G120">Common_InputFunctions.Utility_DisplayArrayInTable(Fertiliser_SourceData.Fertiliser_Products_Data1(),FertiliserProducts[[#Headers],[Include or Exclude]], 0)</f>
        <v/>
      </c>
      <c r="H120" s="111" t="str" cm="1">
        <f t="array" ref="H120">Common_InputFunctions.Utility_DisplayArrayInTable(Fertiliser_SourceData.Fertiliser_Products_Data1(),FertiliserProducts[[#Headers],[Include or Exclude]], 0,4)</f>
        <v/>
      </c>
      <c r="I120" s="111" t="str" cm="1">
        <f t="array" ref="I120">Common_InputFunctions.Utility_DisplayArrayInTable(Fertiliser_SourceData.Fertiliser_Products_Data1(),FertiliserProducts[[#Headers],[Include or Exclude]], 0,4)</f>
        <v/>
      </c>
      <c r="J120" s="111" t="str" cm="1">
        <f t="array" ref="J120">Common_InputFunctions.Utility_DisplayArrayInTable(Fertiliser_SourceData.Fertiliser_Products_Data1(),FertiliserProducts[[#Headers],[Include or Exclude]], 0,4)</f>
        <v/>
      </c>
      <c r="K120" s="111" t="str" cm="1">
        <f t="array" ref="K120">Common_InputFunctions.Utility_DisplayArrayInTable(Fertiliser_SourceData.Fertiliser_Products_Data1(),FertiliserProducts[[#Headers],[Include or Exclude]], 0,4)</f>
        <v/>
      </c>
      <c r="L120" s="111" t="str" cm="1">
        <f t="array" ref="L120">Common_InputFunctions.Utility_DisplayArrayInTable(Fertiliser_SourceData.Fertiliser_Products_Data1(),FertiliserProducts[[#Headers],[Include or Exclude]], 0,4)</f>
        <v/>
      </c>
      <c r="M120" s="111" t="str" cm="1">
        <f t="array" ref="M120">Common_InputFunctions.Utility_DisplayArrayInTable(Fertiliser_SourceData.Fertiliser_Products_Data1(),FertiliserProducts[[#Headers],[Include or Exclude]], 0,4)</f>
        <v/>
      </c>
      <c r="N120" s="111" t="str" cm="1">
        <f t="array" ref="N120">Common_InputFunctions.Utility_DisplayArrayInTable(Fertiliser_SourceData.Fertiliser_Products_Data1(),FertiliserProducts[[#Headers],[Include or Exclude]], 0,4)</f>
        <v/>
      </c>
      <c r="O120" s="111" t="str" cm="1">
        <f t="array" ref="O120">Common_InputFunctions.Utility_DisplayArrayInTable(Fertiliser_SourceData.Fertiliser_Products_Data1(),FertiliserProducts[[#Headers],[Include or Exclude]], 0,4)</f>
        <v/>
      </c>
      <c r="P120" s="111" t="str" cm="1">
        <f t="array" ref="P120">Common_InputFunctions.Utility_DisplayArrayInTable(Fertiliser_SourceData.Fertiliser_Products_Data1(),FertiliserProducts[[#Headers],[Include or Exclude]], 0,4)</f>
        <v/>
      </c>
      <c r="Q120" s="111" t="str" cm="1">
        <f t="array" ref="Q120">Common_InputFunctions.Utility_DisplayArrayInTable(Fertiliser_SourceData.Fertiliser_Products_Data1(),FertiliserProducts[[#Headers],[Include or Exclude]], 0,4)</f>
        <v/>
      </c>
      <c r="R120" s="111" t="str" cm="1">
        <f t="array" ref="R120">Common_InputFunctions.Utility_DisplayArrayInTable(Fertiliser_SourceData.Fertiliser_Products_Data1(),FertiliserProducts[[#Headers],[Include or Exclude]], 0,4)</f>
        <v/>
      </c>
      <c r="S120" s="111" t="str" cm="1">
        <f t="array" ref="S120">Common_InputFunctions.Utility_DisplayArrayInTable(Fertiliser_SourceData.Fertiliser_Products_Data1(),FertiliserProducts[[#Headers],[Include or Exclude]], 0,4)</f>
        <v/>
      </c>
      <c r="T120" s="111" t="str" cm="1">
        <f t="array" ref="T120">Common_InputFunctions.Utility_DisplayArrayInTable(Fertiliser_SourceData.Fertiliser_Products_Data1(),FertiliserProducts[[#Headers],[Include or Exclude]], 0,4)</f>
        <v/>
      </c>
      <c r="U120" s="111" t="str" cm="1">
        <f t="array" ref="U120">Common_InputFunctions.Utility_DisplayArrayInTable(Fertiliser_SourceData.Fertiliser_Products_Data1(),FertiliserProducts[[#Headers],[Include or Exclude]], 0,4)</f>
        <v/>
      </c>
      <c r="V120" s="111" t="str" cm="1">
        <f t="array" ref="V120">Common_InputFunctions.Utility_DisplayArrayInTable(Fertiliser_SourceData.Fertiliser_Products_Data1(),FertiliserProducts[[#Headers],[Include or Exclude]], 0,4)</f>
        <v/>
      </c>
      <c r="W120" s="111" t="str" cm="1">
        <f t="array" ref="W120">Common_InputFunctions.Utility_DisplayArrayInTable(Fertiliser_SourceData.Fertiliser_Products_Data1(),FertiliserProducts[[#Headers],[Include or Exclude]], 0,4)</f>
        <v/>
      </c>
      <c r="X120" s="111" t="str" cm="1">
        <f t="array" ref="X120">Common_InputFunctions.Utility_DisplayArrayInTable(Fertiliser_SourceData.Fertiliser_Products_Data1(),FertiliserProducts[[#Headers],[Include or Exclude]], 0,4)</f>
        <v/>
      </c>
      <c r="Y120" s="111" t="str" cm="1">
        <f t="array" ref="Y120">Common_InputFunctions.Utility_DisplayArrayInTable(Fertiliser_SourceData.Fertiliser_Products_Data1(),FertiliserProducts[[#Headers],[Include or Exclude]], 0,4)</f>
        <v/>
      </c>
      <c r="Z120" s="111" t="str" cm="1">
        <f t="array" ref="Z120">Common_InputFunctions.Utility_DisplayArrayInTable(Fertiliser_SourceData.Fertiliser_Products_Data1(),FertiliserProducts[[#Headers],[Include or Exclude]], 0,4)</f>
        <v/>
      </c>
      <c r="AA120" s="111" t="str" cm="1">
        <f t="array" ref="AA120">Common_InputFunctions.Utility_DisplayArrayInTable(Fertiliser_SourceData.Fertiliser_Products_Data1(),FertiliserProducts[[#Headers],[Include or Exclude]], 0,4)</f>
        <v/>
      </c>
      <c r="AB120" s="111" t="str" cm="1">
        <f t="array" ref="AB120">Common_InputFunctions.Utility_DisplayArrayInTable(Fertiliser_SourceData.Fertiliser_Products_Data1(),FertiliserProducts[[#Headers],[Include or Exclude]], 0,4)</f>
        <v/>
      </c>
      <c r="AC120" s="111" t="str" cm="1">
        <f t="array" ref="AC120">Common_InputFunctions.Utility_DisplayArrayInTable(Fertiliser_SourceData.Fertiliser_Products_Data1(),FertiliserProducts[[#Headers],[Include or Exclude]], 0,4)</f>
        <v/>
      </c>
      <c r="AD120" s="111" t="str" cm="1">
        <f t="array" ref="AD120">Common_InputFunctions.Utility_DisplayArrayInTable(Fertiliser_SourceData.Fertiliser_Products_Data1(),FertiliserProducts[[#Headers],[Include or Exclude]], 0,4)</f>
        <v/>
      </c>
      <c r="AE120" s="111" t="str" cm="1">
        <f t="array" ref="AE120">Common_InputFunctions.Utility_DisplayArrayInTable(Fertiliser_SourceData.Fertiliser_Products_Data1(),FertiliserProducts[[#Headers],[Include or Exclude]], 0,4)</f>
        <v/>
      </c>
    </row>
    <row r="121" spans="4:31" ht="20.100000000000001" customHeight="1" x14ac:dyDescent="0.25">
      <c r="D121" s="111" t="str" cm="1">
        <f t="array" ref="D121">Common_InputFunctions.Utility_DisplayArrayInTable(Fertiliser_SourceData.Fertiliser_Products_Data1(),FertiliserProducts[[#Headers],[Include or Exclude]], -1)</f>
        <v/>
      </c>
      <c r="E121" s="111" t="str" cm="1">
        <f t="array" ref="E121">Common_InputFunctions.Utility_DisplayArrayInTable(Fertiliser_SourceData.Fertiliser_Products_Data1(),FertiliserProducts[[#Headers],[Include or Exclude]], 0)</f>
        <v/>
      </c>
      <c r="F121" s="111" t="str" cm="1">
        <f t="array" ref="F121">Common_InputFunctions.Utility_DisplayArrayInTable(Fertiliser_SourceData.Fertiliser_Products_Data1(),FertiliserProducts[[#Headers],[Include or Exclude]], 0)</f>
        <v/>
      </c>
      <c r="G121" s="111" t="str" cm="1">
        <f t="array" ref="G121">Common_InputFunctions.Utility_DisplayArrayInTable(Fertiliser_SourceData.Fertiliser_Products_Data1(),FertiliserProducts[[#Headers],[Include or Exclude]], 0)</f>
        <v/>
      </c>
      <c r="H121" s="111" t="str" cm="1">
        <f t="array" ref="H121">Common_InputFunctions.Utility_DisplayArrayInTable(Fertiliser_SourceData.Fertiliser_Products_Data1(),FertiliserProducts[[#Headers],[Include or Exclude]], 0,4)</f>
        <v/>
      </c>
      <c r="I121" s="111" t="str" cm="1">
        <f t="array" ref="I121">Common_InputFunctions.Utility_DisplayArrayInTable(Fertiliser_SourceData.Fertiliser_Products_Data1(),FertiliserProducts[[#Headers],[Include or Exclude]], 0,4)</f>
        <v/>
      </c>
      <c r="J121" s="111" t="str" cm="1">
        <f t="array" ref="J121">Common_InputFunctions.Utility_DisplayArrayInTable(Fertiliser_SourceData.Fertiliser_Products_Data1(),FertiliserProducts[[#Headers],[Include or Exclude]], 0,4)</f>
        <v/>
      </c>
      <c r="K121" s="111" t="str" cm="1">
        <f t="array" ref="K121">Common_InputFunctions.Utility_DisplayArrayInTable(Fertiliser_SourceData.Fertiliser_Products_Data1(),FertiliserProducts[[#Headers],[Include or Exclude]], 0,4)</f>
        <v/>
      </c>
      <c r="L121" s="111" t="str" cm="1">
        <f t="array" ref="L121">Common_InputFunctions.Utility_DisplayArrayInTable(Fertiliser_SourceData.Fertiliser_Products_Data1(),FertiliserProducts[[#Headers],[Include or Exclude]], 0,4)</f>
        <v/>
      </c>
      <c r="M121" s="111" t="str" cm="1">
        <f t="array" ref="M121">Common_InputFunctions.Utility_DisplayArrayInTable(Fertiliser_SourceData.Fertiliser_Products_Data1(),FertiliserProducts[[#Headers],[Include or Exclude]], 0,4)</f>
        <v/>
      </c>
      <c r="N121" s="111" t="str" cm="1">
        <f t="array" ref="N121">Common_InputFunctions.Utility_DisplayArrayInTable(Fertiliser_SourceData.Fertiliser_Products_Data1(),FertiliserProducts[[#Headers],[Include or Exclude]], 0,4)</f>
        <v/>
      </c>
      <c r="O121" s="111" t="str" cm="1">
        <f t="array" ref="O121">Common_InputFunctions.Utility_DisplayArrayInTable(Fertiliser_SourceData.Fertiliser_Products_Data1(),FertiliserProducts[[#Headers],[Include or Exclude]], 0,4)</f>
        <v/>
      </c>
      <c r="P121" s="111" t="str" cm="1">
        <f t="array" ref="P121">Common_InputFunctions.Utility_DisplayArrayInTable(Fertiliser_SourceData.Fertiliser_Products_Data1(),FertiliserProducts[[#Headers],[Include or Exclude]], 0,4)</f>
        <v/>
      </c>
      <c r="Q121" s="111" t="str" cm="1">
        <f t="array" ref="Q121">Common_InputFunctions.Utility_DisplayArrayInTable(Fertiliser_SourceData.Fertiliser_Products_Data1(),FertiliserProducts[[#Headers],[Include or Exclude]], 0,4)</f>
        <v/>
      </c>
      <c r="R121" s="111" t="str" cm="1">
        <f t="array" ref="R121">Common_InputFunctions.Utility_DisplayArrayInTable(Fertiliser_SourceData.Fertiliser_Products_Data1(),FertiliserProducts[[#Headers],[Include or Exclude]], 0,4)</f>
        <v/>
      </c>
      <c r="S121" s="111" t="str" cm="1">
        <f t="array" ref="S121">Common_InputFunctions.Utility_DisplayArrayInTable(Fertiliser_SourceData.Fertiliser_Products_Data1(),FertiliserProducts[[#Headers],[Include or Exclude]], 0,4)</f>
        <v/>
      </c>
      <c r="T121" s="111" t="str" cm="1">
        <f t="array" ref="T121">Common_InputFunctions.Utility_DisplayArrayInTable(Fertiliser_SourceData.Fertiliser_Products_Data1(),FertiliserProducts[[#Headers],[Include or Exclude]], 0,4)</f>
        <v/>
      </c>
      <c r="U121" s="111" t="str" cm="1">
        <f t="array" ref="U121">Common_InputFunctions.Utility_DisplayArrayInTable(Fertiliser_SourceData.Fertiliser_Products_Data1(),FertiliserProducts[[#Headers],[Include or Exclude]], 0,4)</f>
        <v/>
      </c>
      <c r="V121" s="111" t="str" cm="1">
        <f t="array" ref="V121">Common_InputFunctions.Utility_DisplayArrayInTable(Fertiliser_SourceData.Fertiliser_Products_Data1(),FertiliserProducts[[#Headers],[Include or Exclude]], 0,4)</f>
        <v/>
      </c>
      <c r="W121" s="111" t="str" cm="1">
        <f t="array" ref="W121">Common_InputFunctions.Utility_DisplayArrayInTable(Fertiliser_SourceData.Fertiliser_Products_Data1(),FertiliserProducts[[#Headers],[Include or Exclude]], 0,4)</f>
        <v/>
      </c>
      <c r="X121" s="111" t="str" cm="1">
        <f t="array" ref="X121">Common_InputFunctions.Utility_DisplayArrayInTable(Fertiliser_SourceData.Fertiliser_Products_Data1(),FertiliserProducts[[#Headers],[Include or Exclude]], 0,4)</f>
        <v/>
      </c>
      <c r="Y121" s="111" t="str" cm="1">
        <f t="array" ref="Y121">Common_InputFunctions.Utility_DisplayArrayInTable(Fertiliser_SourceData.Fertiliser_Products_Data1(),FertiliserProducts[[#Headers],[Include or Exclude]], 0,4)</f>
        <v/>
      </c>
      <c r="Z121" s="111" t="str" cm="1">
        <f t="array" ref="Z121">Common_InputFunctions.Utility_DisplayArrayInTable(Fertiliser_SourceData.Fertiliser_Products_Data1(),FertiliserProducts[[#Headers],[Include or Exclude]], 0,4)</f>
        <v/>
      </c>
      <c r="AA121" s="111" t="str" cm="1">
        <f t="array" ref="AA121">Common_InputFunctions.Utility_DisplayArrayInTable(Fertiliser_SourceData.Fertiliser_Products_Data1(),FertiliserProducts[[#Headers],[Include or Exclude]], 0,4)</f>
        <v/>
      </c>
      <c r="AB121" s="111" t="str" cm="1">
        <f t="array" ref="AB121">Common_InputFunctions.Utility_DisplayArrayInTable(Fertiliser_SourceData.Fertiliser_Products_Data1(),FertiliserProducts[[#Headers],[Include or Exclude]], 0,4)</f>
        <v/>
      </c>
      <c r="AC121" s="111" t="str" cm="1">
        <f t="array" ref="AC121">Common_InputFunctions.Utility_DisplayArrayInTable(Fertiliser_SourceData.Fertiliser_Products_Data1(),FertiliserProducts[[#Headers],[Include or Exclude]], 0,4)</f>
        <v/>
      </c>
      <c r="AD121" s="111" t="str" cm="1">
        <f t="array" ref="AD121">Common_InputFunctions.Utility_DisplayArrayInTable(Fertiliser_SourceData.Fertiliser_Products_Data1(),FertiliserProducts[[#Headers],[Include or Exclude]], 0,4)</f>
        <v/>
      </c>
      <c r="AE121" s="111" t="str" cm="1">
        <f t="array" ref="AE121">Common_InputFunctions.Utility_DisplayArrayInTable(Fertiliser_SourceData.Fertiliser_Products_Data1(),FertiliserProducts[[#Headers],[Include or Exclude]], 0,4)</f>
        <v/>
      </c>
    </row>
    <row r="122" spans="4:31" ht="20.100000000000001" customHeight="1" x14ac:dyDescent="0.25">
      <c r="D122" s="111" t="str" cm="1">
        <f t="array" ref="D122">Common_InputFunctions.Utility_DisplayArrayInTable(Fertiliser_SourceData.Fertiliser_Products_Data1(),FertiliserProducts[[#Headers],[Include or Exclude]], -1)</f>
        <v/>
      </c>
      <c r="E122" s="111" t="str" cm="1">
        <f t="array" ref="E122">Common_InputFunctions.Utility_DisplayArrayInTable(Fertiliser_SourceData.Fertiliser_Products_Data1(),FertiliserProducts[[#Headers],[Include or Exclude]], 0)</f>
        <v/>
      </c>
      <c r="F122" s="111" t="str" cm="1">
        <f t="array" ref="F122">Common_InputFunctions.Utility_DisplayArrayInTable(Fertiliser_SourceData.Fertiliser_Products_Data1(),FertiliserProducts[[#Headers],[Include or Exclude]], 0)</f>
        <v/>
      </c>
      <c r="G122" s="111" t="str" cm="1">
        <f t="array" ref="G122">Common_InputFunctions.Utility_DisplayArrayInTable(Fertiliser_SourceData.Fertiliser_Products_Data1(),FertiliserProducts[[#Headers],[Include or Exclude]], 0)</f>
        <v/>
      </c>
      <c r="H122" s="111" t="str" cm="1">
        <f t="array" ref="H122">Common_InputFunctions.Utility_DisplayArrayInTable(Fertiliser_SourceData.Fertiliser_Products_Data1(),FertiliserProducts[[#Headers],[Include or Exclude]], 0,4)</f>
        <v/>
      </c>
      <c r="I122" s="111" t="str" cm="1">
        <f t="array" ref="I122">Common_InputFunctions.Utility_DisplayArrayInTable(Fertiliser_SourceData.Fertiliser_Products_Data1(),FertiliserProducts[[#Headers],[Include or Exclude]], 0,4)</f>
        <v/>
      </c>
      <c r="J122" s="111" t="str" cm="1">
        <f t="array" ref="J122">Common_InputFunctions.Utility_DisplayArrayInTable(Fertiliser_SourceData.Fertiliser_Products_Data1(),FertiliserProducts[[#Headers],[Include or Exclude]], 0,4)</f>
        <v/>
      </c>
      <c r="K122" s="111" t="str" cm="1">
        <f t="array" ref="K122">Common_InputFunctions.Utility_DisplayArrayInTable(Fertiliser_SourceData.Fertiliser_Products_Data1(),FertiliserProducts[[#Headers],[Include or Exclude]], 0,4)</f>
        <v/>
      </c>
      <c r="L122" s="111" t="str" cm="1">
        <f t="array" ref="L122">Common_InputFunctions.Utility_DisplayArrayInTable(Fertiliser_SourceData.Fertiliser_Products_Data1(),FertiliserProducts[[#Headers],[Include or Exclude]], 0,4)</f>
        <v/>
      </c>
      <c r="M122" s="111" t="str" cm="1">
        <f t="array" ref="M122">Common_InputFunctions.Utility_DisplayArrayInTable(Fertiliser_SourceData.Fertiliser_Products_Data1(),FertiliserProducts[[#Headers],[Include or Exclude]], 0,4)</f>
        <v/>
      </c>
      <c r="N122" s="111" t="str" cm="1">
        <f t="array" ref="N122">Common_InputFunctions.Utility_DisplayArrayInTable(Fertiliser_SourceData.Fertiliser_Products_Data1(),FertiliserProducts[[#Headers],[Include or Exclude]], 0,4)</f>
        <v/>
      </c>
      <c r="O122" s="111" t="str" cm="1">
        <f t="array" ref="O122">Common_InputFunctions.Utility_DisplayArrayInTable(Fertiliser_SourceData.Fertiliser_Products_Data1(),FertiliserProducts[[#Headers],[Include or Exclude]], 0,4)</f>
        <v/>
      </c>
      <c r="P122" s="111" t="str" cm="1">
        <f t="array" ref="P122">Common_InputFunctions.Utility_DisplayArrayInTable(Fertiliser_SourceData.Fertiliser_Products_Data1(),FertiliserProducts[[#Headers],[Include or Exclude]], 0,4)</f>
        <v/>
      </c>
      <c r="Q122" s="111" t="str" cm="1">
        <f t="array" ref="Q122">Common_InputFunctions.Utility_DisplayArrayInTable(Fertiliser_SourceData.Fertiliser_Products_Data1(),FertiliserProducts[[#Headers],[Include or Exclude]], 0,4)</f>
        <v/>
      </c>
      <c r="R122" s="111" t="str" cm="1">
        <f t="array" ref="R122">Common_InputFunctions.Utility_DisplayArrayInTable(Fertiliser_SourceData.Fertiliser_Products_Data1(),FertiliserProducts[[#Headers],[Include or Exclude]], 0,4)</f>
        <v/>
      </c>
      <c r="S122" s="111" t="str" cm="1">
        <f t="array" ref="S122">Common_InputFunctions.Utility_DisplayArrayInTable(Fertiliser_SourceData.Fertiliser_Products_Data1(),FertiliserProducts[[#Headers],[Include or Exclude]], 0,4)</f>
        <v/>
      </c>
      <c r="T122" s="111" t="str" cm="1">
        <f t="array" ref="T122">Common_InputFunctions.Utility_DisplayArrayInTable(Fertiliser_SourceData.Fertiliser_Products_Data1(),FertiliserProducts[[#Headers],[Include or Exclude]], 0,4)</f>
        <v/>
      </c>
      <c r="U122" s="111" t="str" cm="1">
        <f t="array" ref="U122">Common_InputFunctions.Utility_DisplayArrayInTable(Fertiliser_SourceData.Fertiliser_Products_Data1(),FertiliserProducts[[#Headers],[Include or Exclude]], 0,4)</f>
        <v/>
      </c>
      <c r="V122" s="111" t="str" cm="1">
        <f t="array" ref="V122">Common_InputFunctions.Utility_DisplayArrayInTable(Fertiliser_SourceData.Fertiliser_Products_Data1(),FertiliserProducts[[#Headers],[Include or Exclude]], 0,4)</f>
        <v/>
      </c>
      <c r="W122" s="111" t="str" cm="1">
        <f t="array" ref="W122">Common_InputFunctions.Utility_DisplayArrayInTable(Fertiliser_SourceData.Fertiliser_Products_Data1(),FertiliserProducts[[#Headers],[Include or Exclude]], 0,4)</f>
        <v/>
      </c>
      <c r="X122" s="111" t="str" cm="1">
        <f t="array" ref="X122">Common_InputFunctions.Utility_DisplayArrayInTable(Fertiliser_SourceData.Fertiliser_Products_Data1(),FertiliserProducts[[#Headers],[Include or Exclude]], 0,4)</f>
        <v/>
      </c>
      <c r="Y122" s="111" t="str" cm="1">
        <f t="array" ref="Y122">Common_InputFunctions.Utility_DisplayArrayInTable(Fertiliser_SourceData.Fertiliser_Products_Data1(),FertiliserProducts[[#Headers],[Include or Exclude]], 0,4)</f>
        <v/>
      </c>
      <c r="Z122" s="111" t="str" cm="1">
        <f t="array" ref="Z122">Common_InputFunctions.Utility_DisplayArrayInTable(Fertiliser_SourceData.Fertiliser_Products_Data1(),FertiliserProducts[[#Headers],[Include or Exclude]], 0,4)</f>
        <v/>
      </c>
      <c r="AA122" s="111" t="str" cm="1">
        <f t="array" ref="AA122">Common_InputFunctions.Utility_DisplayArrayInTable(Fertiliser_SourceData.Fertiliser_Products_Data1(),FertiliserProducts[[#Headers],[Include or Exclude]], 0,4)</f>
        <v/>
      </c>
      <c r="AB122" s="111" t="str" cm="1">
        <f t="array" ref="AB122">Common_InputFunctions.Utility_DisplayArrayInTable(Fertiliser_SourceData.Fertiliser_Products_Data1(),FertiliserProducts[[#Headers],[Include or Exclude]], 0,4)</f>
        <v/>
      </c>
      <c r="AC122" s="111" t="str" cm="1">
        <f t="array" ref="AC122">Common_InputFunctions.Utility_DisplayArrayInTable(Fertiliser_SourceData.Fertiliser_Products_Data1(),FertiliserProducts[[#Headers],[Include or Exclude]], 0,4)</f>
        <v/>
      </c>
      <c r="AD122" s="111" t="str" cm="1">
        <f t="array" ref="AD122">Common_InputFunctions.Utility_DisplayArrayInTable(Fertiliser_SourceData.Fertiliser_Products_Data1(),FertiliserProducts[[#Headers],[Include or Exclude]], 0,4)</f>
        <v/>
      </c>
      <c r="AE122" s="111" t="str" cm="1">
        <f t="array" ref="AE122">Common_InputFunctions.Utility_DisplayArrayInTable(Fertiliser_SourceData.Fertiliser_Products_Data1(),FertiliserProducts[[#Headers],[Include or Exclude]], 0,4)</f>
        <v/>
      </c>
    </row>
    <row r="123" spans="4:31" ht="20.100000000000001" customHeight="1" x14ac:dyDescent="0.25">
      <c r="D123" s="111" t="str" cm="1">
        <f t="array" ref="D123">Common_InputFunctions.Utility_DisplayArrayInTable(Fertiliser_SourceData.Fertiliser_Products_Data1(),FertiliserProducts[[#Headers],[Include or Exclude]], -1)</f>
        <v/>
      </c>
      <c r="E123" s="111" t="str" cm="1">
        <f t="array" ref="E123">Common_InputFunctions.Utility_DisplayArrayInTable(Fertiliser_SourceData.Fertiliser_Products_Data1(),FertiliserProducts[[#Headers],[Include or Exclude]], 0)</f>
        <v/>
      </c>
      <c r="F123" s="111" t="str" cm="1">
        <f t="array" ref="F123">Common_InputFunctions.Utility_DisplayArrayInTable(Fertiliser_SourceData.Fertiliser_Products_Data1(),FertiliserProducts[[#Headers],[Include or Exclude]], 0)</f>
        <v/>
      </c>
      <c r="G123" s="111" t="str" cm="1">
        <f t="array" ref="G123">Common_InputFunctions.Utility_DisplayArrayInTable(Fertiliser_SourceData.Fertiliser_Products_Data1(),FertiliserProducts[[#Headers],[Include or Exclude]], 0)</f>
        <v/>
      </c>
      <c r="H123" s="111" t="str" cm="1">
        <f t="array" ref="H123">Common_InputFunctions.Utility_DisplayArrayInTable(Fertiliser_SourceData.Fertiliser_Products_Data1(),FertiliserProducts[[#Headers],[Include or Exclude]], 0,4)</f>
        <v/>
      </c>
      <c r="I123" s="111" t="str" cm="1">
        <f t="array" ref="I123">Common_InputFunctions.Utility_DisplayArrayInTable(Fertiliser_SourceData.Fertiliser_Products_Data1(),FertiliserProducts[[#Headers],[Include or Exclude]], 0,4)</f>
        <v/>
      </c>
      <c r="J123" s="111" t="str" cm="1">
        <f t="array" ref="J123">Common_InputFunctions.Utility_DisplayArrayInTable(Fertiliser_SourceData.Fertiliser_Products_Data1(),FertiliserProducts[[#Headers],[Include or Exclude]], 0,4)</f>
        <v/>
      </c>
      <c r="K123" s="111" t="str" cm="1">
        <f t="array" ref="K123">Common_InputFunctions.Utility_DisplayArrayInTable(Fertiliser_SourceData.Fertiliser_Products_Data1(),FertiliserProducts[[#Headers],[Include or Exclude]], 0,4)</f>
        <v/>
      </c>
      <c r="L123" s="111" t="str" cm="1">
        <f t="array" ref="L123">Common_InputFunctions.Utility_DisplayArrayInTable(Fertiliser_SourceData.Fertiliser_Products_Data1(),FertiliserProducts[[#Headers],[Include or Exclude]], 0,4)</f>
        <v/>
      </c>
      <c r="M123" s="111" t="str" cm="1">
        <f t="array" ref="M123">Common_InputFunctions.Utility_DisplayArrayInTable(Fertiliser_SourceData.Fertiliser_Products_Data1(),FertiliserProducts[[#Headers],[Include or Exclude]], 0,4)</f>
        <v/>
      </c>
      <c r="N123" s="111" t="str" cm="1">
        <f t="array" ref="N123">Common_InputFunctions.Utility_DisplayArrayInTable(Fertiliser_SourceData.Fertiliser_Products_Data1(),FertiliserProducts[[#Headers],[Include or Exclude]], 0,4)</f>
        <v/>
      </c>
      <c r="O123" s="111" t="str" cm="1">
        <f t="array" ref="O123">Common_InputFunctions.Utility_DisplayArrayInTable(Fertiliser_SourceData.Fertiliser_Products_Data1(),FertiliserProducts[[#Headers],[Include or Exclude]], 0,4)</f>
        <v/>
      </c>
      <c r="P123" s="111" t="str" cm="1">
        <f t="array" ref="P123">Common_InputFunctions.Utility_DisplayArrayInTable(Fertiliser_SourceData.Fertiliser_Products_Data1(),FertiliserProducts[[#Headers],[Include or Exclude]], 0,4)</f>
        <v/>
      </c>
      <c r="Q123" s="111" t="str" cm="1">
        <f t="array" ref="Q123">Common_InputFunctions.Utility_DisplayArrayInTable(Fertiliser_SourceData.Fertiliser_Products_Data1(),FertiliserProducts[[#Headers],[Include or Exclude]], 0,4)</f>
        <v/>
      </c>
      <c r="R123" s="111" t="str" cm="1">
        <f t="array" ref="R123">Common_InputFunctions.Utility_DisplayArrayInTable(Fertiliser_SourceData.Fertiliser_Products_Data1(),FertiliserProducts[[#Headers],[Include or Exclude]], 0,4)</f>
        <v/>
      </c>
      <c r="S123" s="111" t="str" cm="1">
        <f t="array" ref="S123">Common_InputFunctions.Utility_DisplayArrayInTable(Fertiliser_SourceData.Fertiliser_Products_Data1(),FertiliserProducts[[#Headers],[Include or Exclude]], 0,4)</f>
        <v/>
      </c>
      <c r="T123" s="111" t="str" cm="1">
        <f t="array" ref="T123">Common_InputFunctions.Utility_DisplayArrayInTable(Fertiliser_SourceData.Fertiliser_Products_Data1(),FertiliserProducts[[#Headers],[Include or Exclude]], 0,4)</f>
        <v/>
      </c>
      <c r="U123" s="111" t="str" cm="1">
        <f t="array" ref="U123">Common_InputFunctions.Utility_DisplayArrayInTable(Fertiliser_SourceData.Fertiliser_Products_Data1(),FertiliserProducts[[#Headers],[Include or Exclude]], 0,4)</f>
        <v/>
      </c>
      <c r="V123" s="111" t="str" cm="1">
        <f t="array" ref="V123">Common_InputFunctions.Utility_DisplayArrayInTable(Fertiliser_SourceData.Fertiliser_Products_Data1(),FertiliserProducts[[#Headers],[Include or Exclude]], 0,4)</f>
        <v/>
      </c>
      <c r="W123" s="111" t="str" cm="1">
        <f t="array" ref="W123">Common_InputFunctions.Utility_DisplayArrayInTable(Fertiliser_SourceData.Fertiliser_Products_Data1(),FertiliserProducts[[#Headers],[Include or Exclude]], 0,4)</f>
        <v/>
      </c>
      <c r="X123" s="111" t="str" cm="1">
        <f t="array" ref="X123">Common_InputFunctions.Utility_DisplayArrayInTable(Fertiliser_SourceData.Fertiliser_Products_Data1(),FertiliserProducts[[#Headers],[Include or Exclude]], 0,4)</f>
        <v/>
      </c>
      <c r="Y123" s="111" t="str" cm="1">
        <f t="array" ref="Y123">Common_InputFunctions.Utility_DisplayArrayInTable(Fertiliser_SourceData.Fertiliser_Products_Data1(),FertiliserProducts[[#Headers],[Include or Exclude]], 0,4)</f>
        <v/>
      </c>
      <c r="Z123" s="111" t="str" cm="1">
        <f t="array" ref="Z123">Common_InputFunctions.Utility_DisplayArrayInTable(Fertiliser_SourceData.Fertiliser_Products_Data1(),FertiliserProducts[[#Headers],[Include or Exclude]], 0,4)</f>
        <v/>
      </c>
      <c r="AA123" s="111" t="str" cm="1">
        <f t="array" ref="AA123">Common_InputFunctions.Utility_DisplayArrayInTable(Fertiliser_SourceData.Fertiliser_Products_Data1(),FertiliserProducts[[#Headers],[Include or Exclude]], 0,4)</f>
        <v/>
      </c>
      <c r="AB123" s="111" t="str" cm="1">
        <f t="array" ref="AB123">Common_InputFunctions.Utility_DisplayArrayInTable(Fertiliser_SourceData.Fertiliser_Products_Data1(),FertiliserProducts[[#Headers],[Include or Exclude]], 0,4)</f>
        <v/>
      </c>
      <c r="AC123" s="111" t="str" cm="1">
        <f t="array" ref="AC123">Common_InputFunctions.Utility_DisplayArrayInTable(Fertiliser_SourceData.Fertiliser_Products_Data1(),FertiliserProducts[[#Headers],[Include or Exclude]], 0,4)</f>
        <v/>
      </c>
      <c r="AD123" s="111" t="str" cm="1">
        <f t="array" ref="AD123">Common_InputFunctions.Utility_DisplayArrayInTable(Fertiliser_SourceData.Fertiliser_Products_Data1(),FertiliserProducts[[#Headers],[Include or Exclude]], 0,4)</f>
        <v/>
      </c>
      <c r="AE123" s="111" t="str" cm="1">
        <f t="array" ref="AE123">Common_InputFunctions.Utility_DisplayArrayInTable(Fertiliser_SourceData.Fertiliser_Products_Data1(),FertiliserProducts[[#Headers],[Include or Exclude]], 0,4)</f>
        <v/>
      </c>
    </row>
    <row r="124" spans="4:31" ht="20.100000000000001" customHeight="1" x14ac:dyDescent="0.25">
      <c r="D124" s="111" t="str" cm="1">
        <f t="array" ref="D124">Common_InputFunctions.Utility_DisplayArrayInTable(Fertiliser_SourceData.Fertiliser_Products_Data1(),FertiliserProducts[[#Headers],[Include or Exclude]], -1)</f>
        <v/>
      </c>
      <c r="E124" s="111" t="str" cm="1">
        <f t="array" ref="E124">Common_InputFunctions.Utility_DisplayArrayInTable(Fertiliser_SourceData.Fertiliser_Products_Data1(),FertiliserProducts[[#Headers],[Include or Exclude]], 0)</f>
        <v/>
      </c>
      <c r="F124" s="111" t="str" cm="1">
        <f t="array" ref="F124">Common_InputFunctions.Utility_DisplayArrayInTable(Fertiliser_SourceData.Fertiliser_Products_Data1(),FertiliserProducts[[#Headers],[Include or Exclude]], 0)</f>
        <v/>
      </c>
      <c r="G124" s="111" t="str" cm="1">
        <f t="array" ref="G124">Common_InputFunctions.Utility_DisplayArrayInTable(Fertiliser_SourceData.Fertiliser_Products_Data1(),FertiliserProducts[[#Headers],[Include or Exclude]], 0)</f>
        <v/>
      </c>
      <c r="H124" s="111" t="str" cm="1">
        <f t="array" ref="H124">Common_InputFunctions.Utility_DisplayArrayInTable(Fertiliser_SourceData.Fertiliser_Products_Data1(),FertiliserProducts[[#Headers],[Include or Exclude]], 0,4)</f>
        <v/>
      </c>
      <c r="I124" s="111" t="str" cm="1">
        <f t="array" ref="I124">Common_InputFunctions.Utility_DisplayArrayInTable(Fertiliser_SourceData.Fertiliser_Products_Data1(),FertiliserProducts[[#Headers],[Include or Exclude]], 0,4)</f>
        <v/>
      </c>
      <c r="J124" s="111" t="str" cm="1">
        <f t="array" ref="J124">Common_InputFunctions.Utility_DisplayArrayInTable(Fertiliser_SourceData.Fertiliser_Products_Data1(),FertiliserProducts[[#Headers],[Include or Exclude]], 0,4)</f>
        <v/>
      </c>
      <c r="K124" s="111" t="str" cm="1">
        <f t="array" ref="K124">Common_InputFunctions.Utility_DisplayArrayInTable(Fertiliser_SourceData.Fertiliser_Products_Data1(),FertiliserProducts[[#Headers],[Include or Exclude]], 0,4)</f>
        <v/>
      </c>
      <c r="L124" s="111" t="str" cm="1">
        <f t="array" ref="L124">Common_InputFunctions.Utility_DisplayArrayInTable(Fertiliser_SourceData.Fertiliser_Products_Data1(),FertiliserProducts[[#Headers],[Include or Exclude]], 0,4)</f>
        <v/>
      </c>
      <c r="M124" s="111" t="str" cm="1">
        <f t="array" ref="M124">Common_InputFunctions.Utility_DisplayArrayInTable(Fertiliser_SourceData.Fertiliser_Products_Data1(),FertiliserProducts[[#Headers],[Include or Exclude]], 0,4)</f>
        <v/>
      </c>
      <c r="N124" s="111" t="str" cm="1">
        <f t="array" ref="N124">Common_InputFunctions.Utility_DisplayArrayInTable(Fertiliser_SourceData.Fertiliser_Products_Data1(),FertiliserProducts[[#Headers],[Include or Exclude]], 0,4)</f>
        <v/>
      </c>
      <c r="O124" s="111" t="str" cm="1">
        <f t="array" ref="O124">Common_InputFunctions.Utility_DisplayArrayInTable(Fertiliser_SourceData.Fertiliser_Products_Data1(),FertiliserProducts[[#Headers],[Include or Exclude]], 0,4)</f>
        <v/>
      </c>
      <c r="P124" s="111" t="str" cm="1">
        <f t="array" ref="P124">Common_InputFunctions.Utility_DisplayArrayInTable(Fertiliser_SourceData.Fertiliser_Products_Data1(),FertiliserProducts[[#Headers],[Include or Exclude]], 0,4)</f>
        <v/>
      </c>
      <c r="Q124" s="111" t="str" cm="1">
        <f t="array" ref="Q124">Common_InputFunctions.Utility_DisplayArrayInTable(Fertiliser_SourceData.Fertiliser_Products_Data1(),FertiliserProducts[[#Headers],[Include or Exclude]], 0,4)</f>
        <v/>
      </c>
      <c r="R124" s="111" t="str" cm="1">
        <f t="array" ref="R124">Common_InputFunctions.Utility_DisplayArrayInTable(Fertiliser_SourceData.Fertiliser_Products_Data1(),FertiliserProducts[[#Headers],[Include or Exclude]], 0,4)</f>
        <v/>
      </c>
      <c r="S124" s="111" t="str" cm="1">
        <f t="array" ref="S124">Common_InputFunctions.Utility_DisplayArrayInTable(Fertiliser_SourceData.Fertiliser_Products_Data1(),FertiliserProducts[[#Headers],[Include or Exclude]], 0,4)</f>
        <v/>
      </c>
      <c r="T124" s="111" t="str" cm="1">
        <f t="array" ref="T124">Common_InputFunctions.Utility_DisplayArrayInTable(Fertiliser_SourceData.Fertiliser_Products_Data1(),FertiliserProducts[[#Headers],[Include or Exclude]], 0,4)</f>
        <v/>
      </c>
      <c r="U124" s="111" t="str" cm="1">
        <f t="array" ref="U124">Common_InputFunctions.Utility_DisplayArrayInTable(Fertiliser_SourceData.Fertiliser_Products_Data1(),FertiliserProducts[[#Headers],[Include or Exclude]], 0,4)</f>
        <v/>
      </c>
      <c r="V124" s="111" t="str" cm="1">
        <f t="array" ref="V124">Common_InputFunctions.Utility_DisplayArrayInTable(Fertiliser_SourceData.Fertiliser_Products_Data1(),FertiliserProducts[[#Headers],[Include or Exclude]], 0,4)</f>
        <v/>
      </c>
      <c r="W124" s="111" t="str" cm="1">
        <f t="array" ref="W124">Common_InputFunctions.Utility_DisplayArrayInTable(Fertiliser_SourceData.Fertiliser_Products_Data1(),FertiliserProducts[[#Headers],[Include or Exclude]], 0,4)</f>
        <v/>
      </c>
      <c r="X124" s="111" t="str" cm="1">
        <f t="array" ref="X124">Common_InputFunctions.Utility_DisplayArrayInTable(Fertiliser_SourceData.Fertiliser_Products_Data1(),FertiliserProducts[[#Headers],[Include or Exclude]], 0,4)</f>
        <v/>
      </c>
      <c r="Y124" s="111" t="str" cm="1">
        <f t="array" ref="Y124">Common_InputFunctions.Utility_DisplayArrayInTable(Fertiliser_SourceData.Fertiliser_Products_Data1(),FertiliserProducts[[#Headers],[Include or Exclude]], 0,4)</f>
        <v/>
      </c>
      <c r="Z124" s="111" t="str" cm="1">
        <f t="array" ref="Z124">Common_InputFunctions.Utility_DisplayArrayInTable(Fertiliser_SourceData.Fertiliser_Products_Data1(),FertiliserProducts[[#Headers],[Include or Exclude]], 0,4)</f>
        <v/>
      </c>
      <c r="AA124" s="111" t="str" cm="1">
        <f t="array" ref="AA124">Common_InputFunctions.Utility_DisplayArrayInTable(Fertiliser_SourceData.Fertiliser_Products_Data1(),FertiliserProducts[[#Headers],[Include or Exclude]], 0,4)</f>
        <v/>
      </c>
      <c r="AB124" s="111" t="str" cm="1">
        <f t="array" ref="AB124">Common_InputFunctions.Utility_DisplayArrayInTable(Fertiliser_SourceData.Fertiliser_Products_Data1(),FertiliserProducts[[#Headers],[Include or Exclude]], 0,4)</f>
        <v/>
      </c>
      <c r="AC124" s="111" t="str" cm="1">
        <f t="array" ref="AC124">Common_InputFunctions.Utility_DisplayArrayInTable(Fertiliser_SourceData.Fertiliser_Products_Data1(),FertiliserProducts[[#Headers],[Include or Exclude]], 0,4)</f>
        <v/>
      </c>
      <c r="AD124" s="111" t="str" cm="1">
        <f t="array" ref="AD124">Common_InputFunctions.Utility_DisplayArrayInTable(Fertiliser_SourceData.Fertiliser_Products_Data1(),FertiliserProducts[[#Headers],[Include or Exclude]], 0,4)</f>
        <v/>
      </c>
      <c r="AE124" s="111" t="str" cm="1">
        <f t="array" ref="AE124">Common_InputFunctions.Utility_DisplayArrayInTable(Fertiliser_SourceData.Fertiliser_Products_Data1(),FertiliserProducts[[#Headers],[Include or Exclude]], 0,4)</f>
        <v/>
      </c>
    </row>
    <row r="125" spans="4:31" ht="20.100000000000001" customHeight="1" x14ac:dyDescent="0.25">
      <c r="D125" s="111" t="str" cm="1">
        <f t="array" ref="D125">Common_InputFunctions.Utility_DisplayArrayInTable(Fertiliser_SourceData.Fertiliser_Products_Data1(),FertiliserProducts[[#Headers],[Include or Exclude]], -1)</f>
        <v/>
      </c>
      <c r="E125" s="111" t="str" cm="1">
        <f t="array" ref="E125">Common_InputFunctions.Utility_DisplayArrayInTable(Fertiliser_SourceData.Fertiliser_Products_Data1(),FertiliserProducts[[#Headers],[Include or Exclude]], 0)</f>
        <v/>
      </c>
      <c r="F125" s="111" t="str" cm="1">
        <f t="array" ref="F125">Common_InputFunctions.Utility_DisplayArrayInTable(Fertiliser_SourceData.Fertiliser_Products_Data1(),FertiliserProducts[[#Headers],[Include or Exclude]], 0)</f>
        <v/>
      </c>
      <c r="G125" s="111" t="str" cm="1">
        <f t="array" ref="G125">Common_InputFunctions.Utility_DisplayArrayInTable(Fertiliser_SourceData.Fertiliser_Products_Data1(),FertiliserProducts[[#Headers],[Include or Exclude]], 0)</f>
        <v/>
      </c>
      <c r="H125" s="111" t="str" cm="1">
        <f t="array" ref="H125">Common_InputFunctions.Utility_DisplayArrayInTable(Fertiliser_SourceData.Fertiliser_Products_Data1(),FertiliserProducts[[#Headers],[Include or Exclude]], 0,4)</f>
        <v/>
      </c>
      <c r="I125" s="111" t="str" cm="1">
        <f t="array" ref="I125">Common_InputFunctions.Utility_DisplayArrayInTable(Fertiliser_SourceData.Fertiliser_Products_Data1(),FertiliserProducts[[#Headers],[Include or Exclude]], 0,4)</f>
        <v/>
      </c>
      <c r="J125" s="111" t="str" cm="1">
        <f t="array" ref="J125">Common_InputFunctions.Utility_DisplayArrayInTable(Fertiliser_SourceData.Fertiliser_Products_Data1(),FertiliserProducts[[#Headers],[Include or Exclude]], 0,4)</f>
        <v/>
      </c>
      <c r="K125" s="111" t="str" cm="1">
        <f t="array" ref="K125">Common_InputFunctions.Utility_DisplayArrayInTable(Fertiliser_SourceData.Fertiliser_Products_Data1(),FertiliserProducts[[#Headers],[Include or Exclude]], 0,4)</f>
        <v/>
      </c>
      <c r="L125" s="111" t="str" cm="1">
        <f t="array" ref="L125">Common_InputFunctions.Utility_DisplayArrayInTable(Fertiliser_SourceData.Fertiliser_Products_Data1(),FertiliserProducts[[#Headers],[Include or Exclude]], 0,4)</f>
        <v/>
      </c>
      <c r="M125" s="111" t="str" cm="1">
        <f t="array" ref="M125">Common_InputFunctions.Utility_DisplayArrayInTable(Fertiliser_SourceData.Fertiliser_Products_Data1(),FertiliserProducts[[#Headers],[Include or Exclude]], 0,4)</f>
        <v/>
      </c>
      <c r="N125" s="111" t="str" cm="1">
        <f t="array" ref="N125">Common_InputFunctions.Utility_DisplayArrayInTable(Fertiliser_SourceData.Fertiliser_Products_Data1(),FertiliserProducts[[#Headers],[Include or Exclude]], 0,4)</f>
        <v/>
      </c>
      <c r="O125" s="111" t="str" cm="1">
        <f t="array" ref="O125">Common_InputFunctions.Utility_DisplayArrayInTable(Fertiliser_SourceData.Fertiliser_Products_Data1(),FertiliserProducts[[#Headers],[Include or Exclude]], 0,4)</f>
        <v/>
      </c>
      <c r="P125" s="111" t="str" cm="1">
        <f t="array" ref="P125">Common_InputFunctions.Utility_DisplayArrayInTable(Fertiliser_SourceData.Fertiliser_Products_Data1(),FertiliserProducts[[#Headers],[Include or Exclude]], 0,4)</f>
        <v/>
      </c>
      <c r="Q125" s="111" t="str" cm="1">
        <f t="array" ref="Q125">Common_InputFunctions.Utility_DisplayArrayInTable(Fertiliser_SourceData.Fertiliser_Products_Data1(),FertiliserProducts[[#Headers],[Include or Exclude]], 0,4)</f>
        <v/>
      </c>
      <c r="R125" s="111" t="str" cm="1">
        <f t="array" ref="R125">Common_InputFunctions.Utility_DisplayArrayInTable(Fertiliser_SourceData.Fertiliser_Products_Data1(),FertiliserProducts[[#Headers],[Include or Exclude]], 0,4)</f>
        <v/>
      </c>
      <c r="S125" s="111" t="str" cm="1">
        <f t="array" ref="S125">Common_InputFunctions.Utility_DisplayArrayInTable(Fertiliser_SourceData.Fertiliser_Products_Data1(),FertiliserProducts[[#Headers],[Include or Exclude]], 0,4)</f>
        <v/>
      </c>
      <c r="T125" s="111" t="str" cm="1">
        <f t="array" ref="T125">Common_InputFunctions.Utility_DisplayArrayInTable(Fertiliser_SourceData.Fertiliser_Products_Data1(),FertiliserProducts[[#Headers],[Include or Exclude]], 0,4)</f>
        <v/>
      </c>
      <c r="U125" s="111" t="str" cm="1">
        <f t="array" ref="U125">Common_InputFunctions.Utility_DisplayArrayInTable(Fertiliser_SourceData.Fertiliser_Products_Data1(),FertiliserProducts[[#Headers],[Include or Exclude]], 0,4)</f>
        <v/>
      </c>
      <c r="V125" s="111" t="str" cm="1">
        <f t="array" ref="V125">Common_InputFunctions.Utility_DisplayArrayInTable(Fertiliser_SourceData.Fertiliser_Products_Data1(),FertiliserProducts[[#Headers],[Include or Exclude]], 0,4)</f>
        <v/>
      </c>
      <c r="W125" s="111" t="str" cm="1">
        <f t="array" ref="W125">Common_InputFunctions.Utility_DisplayArrayInTable(Fertiliser_SourceData.Fertiliser_Products_Data1(),FertiliserProducts[[#Headers],[Include or Exclude]], 0,4)</f>
        <v/>
      </c>
      <c r="X125" s="111" t="str" cm="1">
        <f t="array" ref="X125">Common_InputFunctions.Utility_DisplayArrayInTable(Fertiliser_SourceData.Fertiliser_Products_Data1(),FertiliserProducts[[#Headers],[Include or Exclude]], 0,4)</f>
        <v/>
      </c>
      <c r="Y125" s="111" t="str" cm="1">
        <f t="array" ref="Y125">Common_InputFunctions.Utility_DisplayArrayInTable(Fertiliser_SourceData.Fertiliser_Products_Data1(),FertiliserProducts[[#Headers],[Include or Exclude]], 0,4)</f>
        <v/>
      </c>
      <c r="Z125" s="111" t="str" cm="1">
        <f t="array" ref="Z125">Common_InputFunctions.Utility_DisplayArrayInTable(Fertiliser_SourceData.Fertiliser_Products_Data1(),FertiliserProducts[[#Headers],[Include or Exclude]], 0,4)</f>
        <v/>
      </c>
      <c r="AA125" s="111" t="str" cm="1">
        <f t="array" ref="AA125">Common_InputFunctions.Utility_DisplayArrayInTable(Fertiliser_SourceData.Fertiliser_Products_Data1(),FertiliserProducts[[#Headers],[Include or Exclude]], 0,4)</f>
        <v/>
      </c>
      <c r="AB125" s="111" t="str" cm="1">
        <f t="array" ref="AB125">Common_InputFunctions.Utility_DisplayArrayInTable(Fertiliser_SourceData.Fertiliser_Products_Data1(),FertiliserProducts[[#Headers],[Include or Exclude]], 0,4)</f>
        <v/>
      </c>
      <c r="AC125" s="111" t="str" cm="1">
        <f t="array" ref="AC125">Common_InputFunctions.Utility_DisplayArrayInTable(Fertiliser_SourceData.Fertiliser_Products_Data1(),FertiliserProducts[[#Headers],[Include or Exclude]], 0,4)</f>
        <v/>
      </c>
      <c r="AD125" s="111" t="str" cm="1">
        <f t="array" ref="AD125">Common_InputFunctions.Utility_DisplayArrayInTable(Fertiliser_SourceData.Fertiliser_Products_Data1(),FertiliserProducts[[#Headers],[Include or Exclude]], 0,4)</f>
        <v/>
      </c>
      <c r="AE125" s="111" t="str" cm="1">
        <f t="array" ref="AE125">Common_InputFunctions.Utility_DisplayArrayInTable(Fertiliser_SourceData.Fertiliser_Products_Data1(),FertiliserProducts[[#Headers],[Include or Exclude]], 0,4)</f>
        <v/>
      </c>
    </row>
    <row r="126" spans="4:31" ht="20.100000000000001" customHeight="1" x14ac:dyDescent="0.25">
      <c r="D126" s="111" t="str" cm="1">
        <f t="array" ref="D126">Common_InputFunctions.Utility_DisplayArrayInTable(Fertiliser_SourceData.Fertiliser_Products_Data1(),FertiliserProducts[[#Headers],[Include or Exclude]], -1)</f>
        <v/>
      </c>
      <c r="E126" s="111" t="str" cm="1">
        <f t="array" ref="E126">Common_InputFunctions.Utility_DisplayArrayInTable(Fertiliser_SourceData.Fertiliser_Products_Data1(),FertiliserProducts[[#Headers],[Include or Exclude]], 0)</f>
        <v/>
      </c>
      <c r="F126" s="111" t="str" cm="1">
        <f t="array" ref="F126">Common_InputFunctions.Utility_DisplayArrayInTable(Fertiliser_SourceData.Fertiliser_Products_Data1(),FertiliserProducts[[#Headers],[Include or Exclude]], 0)</f>
        <v/>
      </c>
      <c r="G126" s="111" t="str" cm="1">
        <f t="array" ref="G126">Common_InputFunctions.Utility_DisplayArrayInTable(Fertiliser_SourceData.Fertiliser_Products_Data1(),FertiliserProducts[[#Headers],[Include or Exclude]], 0)</f>
        <v/>
      </c>
      <c r="H126" s="111" t="str" cm="1">
        <f t="array" ref="H126">Common_InputFunctions.Utility_DisplayArrayInTable(Fertiliser_SourceData.Fertiliser_Products_Data1(),FertiliserProducts[[#Headers],[Include or Exclude]], 0,4)</f>
        <v/>
      </c>
      <c r="I126" s="111" t="str" cm="1">
        <f t="array" ref="I126">Common_InputFunctions.Utility_DisplayArrayInTable(Fertiliser_SourceData.Fertiliser_Products_Data1(),FertiliserProducts[[#Headers],[Include or Exclude]], 0,4)</f>
        <v/>
      </c>
      <c r="J126" s="111" t="str" cm="1">
        <f t="array" ref="J126">Common_InputFunctions.Utility_DisplayArrayInTable(Fertiliser_SourceData.Fertiliser_Products_Data1(),FertiliserProducts[[#Headers],[Include or Exclude]], 0,4)</f>
        <v/>
      </c>
      <c r="K126" s="111" t="str" cm="1">
        <f t="array" ref="K126">Common_InputFunctions.Utility_DisplayArrayInTable(Fertiliser_SourceData.Fertiliser_Products_Data1(),FertiliserProducts[[#Headers],[Include or Exclude]], 0,4)</f>
        <v/>
      </c>
      <c r="L126" s="111" t="str" cm="1">
        <f t="array" ref="L126">Common_InputFunctions.Utility_DisplayArrayInTable(Fertiliser_SourceData.Fertiliser_Products_Data1(),FertiliserProducts[[#Headers],[Include or Exclude]], 0,4)</f>
        <v/>
      </c>
      <c r="M126" s="111" t="str" cm="1">
        <f t="array" ref="M126">Common_InputFunctions.Utility_DisplayArrayInTable(Fertiliser_SourceData.Fertiliser_Products_Data1(),FertiliserProducts[[#Headers],[Include or Exclude]], 0,4)</f>
        <v/>
      </c>
      <c r="N126" s="111" t="str" cm="1">
        <f t="array" ref="N126">Common_InputFunctions.Utility_DisplayArrayInTable(Fertiliser_SourceData.Fertiliser_Products_Data1(),FertiliserProducts[[#Headers],[Include or Exclude]], 0,4)</f>
        <v/>
      </c>
      <c r="O126" s="111" t="str" cm="1">
        <f t="array" ref="O126">Common_InputFunctions.Utility_DisplayArrayInTable(Fertiliser_SourceData.Fertiliser_Products_Data1(),FertiliserProducts[[#Headers],[Include or Exclude]], 0,4)</f>
        <v/>
      </c>
      <c r="P126" s="111" t="str" cm="1">
        <f t="array" ref="P126">Common_InputFunctions.Utility_DisplayArrayInTable(Fertiliser_SourceData.Fertiliser_Products_Data1(),FertiliserProducts[[#Headers],[Include or Exclude]], 0,4)</f>
        <v/>
      </c>
      <c r="Q126" s="111" t="str" cm="1">
        <f t="array" ref="Q126">Common_InputFunctions.Utility_DisplayArrayInTable(Fertiliser_SourceData.Fertiliser_Products_Data1(),FertiliserProducts[[#Headers],[Include or Exclude]], 0,4)</f>
        <v/>
      </c>
      <c r="R126" s="111" t="str" cm="1">
        <f t="array" ref="R126">Common_InputFunctions.Utility_DisplayArrayInTable(Fertiliser_SourceData.Fertiliser_Products_Data1(),FertiliserProducts[[#Headers],[Include or Exclude]], 0,4)</f>
        <v/>
      </c>
      <c r="S126" s="111" t="str" cm="1">
        <f t="array" ref="S126">Common_InputFunctions.Utility_DisplayArrayInTable(Fertiliser_SourceData.Fertiliser_Products_Data1(),FertiliserProducts[[#Headers],[Include or Exclude]], 0,4)</f>
        <v/>
      </c>
      <c r="T126" s="111" t="str" cm="1">
        <f t="array" ref="T126">Common_InputFunctions.Utility_DisplayArrayInTable(Fertiliser_SourceData.Fertiliser_Products_Data1(),FertiliserProducts[[#Headers],[Include or Exclude]], 0,4)</f>
        <v/>
      </c>
      <c r="U126" s="111" t="str" cm="1">
        <f t="array" ref="U126">Common_InputFunctions.Utility_DisplayArrayInTable(Fertiliser_SourceData.Fertiliser_Products_Data1(),FertiliserProducts[[#Headers],[Include or Exclude]], 0,4)</f>
        <v/>
      </c>
      <c r="V126" s="111" t="str" cm="1">
        <f t="array" ref="V126">Common_InputFunctions.Utility_DisplayArrayInTable(Fertiliser_SourceData.Fertiliser_Products_Data1(),FertiliserProducts[[#Headers],[Include or Exclude]], 0,4)</f>
        <v/>
      </c>
      <c r="W126" s="111" t="str" cm="1">
        <f t="array" ref="W126">Common_InputFunctions.Utility_DisplayArrayInTable(Fertiliser_SourceData.Fertiliser_Products_Data1(),FertiliserProducts[[#Headers],[Include or Exclude]], 0,4)</f>
        <v/>
      </c>
      <c r="X126" s="111" t="str" cm="1">
        <f t="array" ref="X126">Common_InputFunctions.Utility_DisplayArrayInTable(Fertiliser_SourceData.Fertiliser_Products_Data1(),FertiliserProducts[[#Headers],[Include or Exclude]], 0,4)</f>
        <v/>
      </c>
      <c r="Y126" s="111" t="str" cm="1">
        <f t="array" ref="Y126">Common_InputFunctions.Utility_DisplayArrayInTable(Fertiliser_SourceData.Fertiliser_Products_Data1(),FertiliserProducts[[#Headers],[Include or Exclude]], 0,4)</f>
        <v/>
      </c>
      <c r="Z126" s="111" t="str" cm="1">
        <f t="array" ref="Z126">Common_InputFunctions.Utility_DisplayArrayInTable(Fertiliser_SourceData.Fertiliser_Products_Data1(),FertiliserProducts[[#Headers],[Include or Exclude]], 0,4)</f>
        <v/>
      </c>
      <c r="AA126" s="111" t="str" cm="1">
        <f t="array" ref="AA126">Common_InputFunctions.Utility_DisplayArrayInTable(Fertiliser_SourceData.Fertiliser_Products_Data1(),FertiliserProducts[[#Headers],[Include or Exclude]], 0,4)</f>
        <v/>
      </c>
      <c r="AB126" s="111" t="str" cm="1">
        <f t="array" ref="AB126">Common_InputFunctions.Utility_DisplayArrayInTable(Fertiliser_SourceData.Fertiliser_Products_Data1(),FertiliserProducts[[#Headers],[Include or Exclude]], 0,4)</f>
        <v/>
      </c>
      <c r="AC126" s="111" t="str" cm="1">
        <f t="array" ref="AC126">Common_InputFunctions.Utility_DisplayArrayInTable(Fertiliser_SourceData.Fertiliser_Products_Data1(),FertiliserProducts[[#Headers],[Include or Exclude]], 0,4)</f>
        <v/>
      </c>
      <c r="AD126" s="111" t="str" cm="1">
        <f t="array" ref="AD126">Common_InputFunctions.Utility_DisplayArrayInTable(Fertiliser_SourceData.Fertiliser_Products_Data1(),FertiliserProducts[[#Headers],[Include or Exclude]], 0,4)</f>
        <v/>
      </c>
      <c r="AE126" s="111" t="str" cm="1">
        <f t="array" ref="AE126">Common_InputFunctions.Utility_DisplayArrayInTable(Fertiliser_SourceData.Fertiliser_Products_Data1(),FertiliserProducts[[#Headers],[Include or Exclude]], 0,4)</f>
        <v/>
      </c>
    </row>
    <row r="127" spans="4:31" ht="20.100000000000001" customHeight="1" x14ac:dyDescent="0.25">
      <c r="D127" s="111" t="str" cm="1">
        <f t="array" ref="D127">Common_InputFunctions.Utility_DisplayArrayInTable(Fertiliser_SourceData.Fertiliser_Products_Data1(),FertiliserProducts[[#Headers],[Include or Exclude]], -1)</f>
        <v/>
      </c>
      <c r="E127" s="111" t="str" cm="1">
        <f t="array" ref="E127">Common_InputFunctions.Utility_DisplayArrayInTable(Fertiliser_SourceData.Fertiliser_Products_Data1(),FertiliserProducts[[#Headers],[Include or Exclude]], 0)</f>
        <v/>
      </c>
      <c r="F127" s="111" t="str" cm="1">
        <f t="array" ref="F127">Common_InputFunctions.Utility_DisplayArrayInTable(Fertiliser_SourceData.Fertiliser_Products_Data1(),FertiliserProducts[[#Headers],[Include or Exclude]], 0)</f>
        <v/>
      </c>
      <c r="G127" s="111" t="str" cm="1">
        <f t="array" ref="G127">Common_InputFunctions.Utility_DisplayArrayInTable(Fertiliser_SourceData.Fertiliser_Products_Data1(),FertiliserProducts[[#Headers],[Include or Exclude]], 0)</f>
        <v/>
      </c>
      <c r="H127" s="111" t="str" cm="1">
        <f t="array" ref="H127">Common_InputFunctions.Utility_DisplayArrayInTable(Fertiliser_SourceData.Fertiliser_Products_Data1(),FertiliserProducts[[#Headers],[Include or Exclude]], 0,4)</f>
        <v/>
      </c>
      <c r="I127" s="111" t="str" cm="1">
        <f t="array" ref="I127">Common_InputFunctions.Utility_DisplayArrayInTable(Fertiliser_SourceData.Fertiliser_Products_Data1(),FertiliserProducts[[#Headers],[Include or Exclude]], 0,4)</f>
        <v/>
      </c>
      <c r="J127" s="111" t="str" cm="1">
        <f t="array" ref="J127">Common_InputFunctions.Utility_DisplayArrayInTable(Fertiliser_SourceData.Fertiliser_Products_Data1(),FertiliserProducts[[#Headers],[Include or Exclude]], 0,4)</f>
        <v/>
      </c>
      <c r="K127" s="111" t="str" cm="1">
        <f t="array" ref="K127">Common_InputFunctions.Utility_DisplayArrayInTable(Fertiliser_SourceData.Fertiliser_Products_Data1(),FertiliserProducts[[#Headers],[Include or Exclude]], 0,4)</f>
        <v/>
      </c>
      <c r="L127" s="111" t="str" cm="1">
        <f t="array" ref="L127">Common_InputFunctions.Utility_DisplayArrayInTable(Fertiliser_SourceData.Fertiliser_Products_Data1(),FertiliserProducts[[#Headers],[Include or Exclude]], 0,4)</f>
        <v/>
      </c>
      <c r="M127" s="111" t="str" cm="1">
        <f t="array" ref="M127">Common_InputFunctions.Utility_DisplayArrayInTable(Fertiliser_SourceData.Fertiliser_Products_Data1(),FertiliserProducts[[#Headers],[Include or Exclude]], 0,4)</f>
        <v/>
      </c>
      <c r="N127" s="111" t="str" cm="1">
        <f t="array" ref="N127">Common_InputFunctions.Utility_DisplayArrayInTable(Fertiliser_SourceData.Fertiliser_Products_Data1(),FertiliserProducts[[#Headers],[Include or Exclude]], 0,4)</f>
        <v/>
      </c>
      <c r="O127" s="111" t="str" cm="1">
        <f t="array" ref="O127">Common_InputFunctions.Utility_DisplayArrayInTable(Fertiliser_SourceData.Fertiliser_Products_Data1(),FertiliserProducts[[#Headers],[Include or Exclude]], 0,4)</f>
        <v/>
      </c>
      <c r="P127" s="111" t="str" cm="1">
        <f t="array" ref="P127">Common_InputFunctions.Utility_DisplayArrayInTable(Fertiliser_SourceData.Fertiliser_Products_Data1(),FertiliserProducts[[#Headers],[Include or Exclude]], 0,4)</f>
        <v/>
      </c>
      <c r="Q127" s="111" t="str" cm="1">
        <f t="array" ref="Q127">Common_InputFunctions.Utility_DisplayArrayInTable(Fertiliser_SourceData.Fertiliser_Products_Data1(),FertiliserProducts[[#Headers],[Include or Exclude]], 0,4)</f>
        <v/>
      </c>
      <c r="R127" s="111" t="str" cm="1">
        <f t="array" ref="R127">Common_InputFunctions.Utility_DisplayArrayInTable(Fertiliser_SourceData.Fertiliser_Products_Data1(),FertiliserProducts[[#Headers],[Include or Exclude]], 0,4)</f>
        <v/>
      </c>
      <c r="S127" s="111" t="str" cm="1">
        <f t="array" ref="S127">Common_InputFunctions.Utility_DisplayArrayInTable(Fertiliser_SourceData.Fertiliser_Products_Data1(),FertiliserProducts[[#Headers],[Include or Exclude]], 0,4)</f>
        <v/>
      </c>
      <c r="T127" s="111" t="str" cm="1">
        <f t="array" ref="T127">Common_InputFunctions.Utility_DisplayArrayInTable(Fertiliser_SourceData.Fertiliser_Products_Data1(),FertiliserProducts[[#Headers],[Include or Exclude]], 0,4)</f>
        <v/>
      </c>
      <c r="U127" s="111" t="str" cm="1">
        <f t="array" ref="U127">Common_InputFunctions.Utility_DisplayArrayInTable(Fertiliser_SourceData.Fertiliser_Products_Data1(),FertiliserProducts[[#Headers],[Include or Exclude]], 0,4)</f>
        <v/>
      </c>
      <c r="V127" s="111" t="str" cm="1">
        <f t="array" ref="V127">Common_InputFunctions.Utility_DisplayArrayInTable(Fertiliser_SourceData.Fertiliser_Products_Data1(),FertiliserProducts[[#Headers],[Include or Exclude]], 0,4)</f>
        <v/>
      </c>
      <c r="W127" s="111" t="str" cm="1">
        <f t="array" ref="W127">Common_InputFunctions.Utility_DisplayArrayInTable(Fertiliser_SourceData.Fertiliser_Products_Data1(),FertiliserProducts[[#Headers],[Include or Exclude]], 0,4)</f>
        <v/>
      </c>
      <c r="X127" s="111" t="str" cm="1">
        <f t="array" ref="X127">Common_InputFunctions.Utility_DisplayArrayInTable(Fertiliser_SourceData.Fertiliser_Products_Data1(),FertiliserProducts[[#Headers],[Include or Exclude]], 0,4)</f>
        <v/>
      </c>
      <c r="Y127" s="111" t="str" cm="1">
        <f t="array" ref="Y127">Common_InputFunctions.Utility_DisplayArrayInTable(Fertiliser_SourceData.Fertiliser_Products_Data1(),FertiliserProducts[[#Headers],[Include or Exclude]], 0,4)</f>
        <v/>
      </c>
      <c r="Z127" s="111" t="str" cm="1">
        <f t="array" ref="Z127">Common_InputFunctions.Utility_DisplayArrayInTable(Fertiliser_SourceData.Fertiliser_Products_Data1(),FertiliserProducts[[#Headers],[Include or Exclude]], 0,4)</f>
        <v/>
      </c>
      <c r="AA127" s="111" t="str" cm="1">
        <f t="array" ref="AA127">Common_InputFunctions.Utility_DisplayArrayInTable(Fertiliser_SourceData.Fertiliser_Products_Data1(),FertiliserProducts[[#Headers],[Include or Exclude]], 0,4)</f>
        <v/>
      </c>
      <c r="AB127" s="111" t="str" cm="1">
        <f t="array" ref="AB127">Common_InputFunctions.Utility_DisplayArrayInTable(Fertiliser_SourceData.Fertiliser_Products_Data1(),FertiliserProducts[[#Headers],[Include or Exclude]], 0,4)</f>
        <v/>
      </c>
      <c r="AC127" s="111" t="str" cm="1">
        <f t="array" ref="AC127">Common_InputFunctions.Utility_DisplayArrayInTable(Fertiliser_SourceData.Fertiliser_Products_Data1(),FertiliserProducts[[#Headers],[Include or Exclude]], 0,4)</f>
        <v/>
      </c>
      <c r="AD127" s="111" t="str" cm="1">
        <f t="array" ref="AD127">Common_InputFunctions.Utility_DisplayArrayInTable(Fertiliser_SourceData.Fertiliser_Products_Data1(),FertiliserProducts[[#Headers],[Include or Exclude]], 0,4)</f>
        <v/>
      </c>
      <c r="AE127" s="111" t="str" cm="1">
        <f t="array" ref="AE127">Common_InputFunctions.Utility_DisplayArrayInTable(Fertiliser_SourceData.Fertiliser_Products_Data1(),FertiliserProducts[[#Headers],[Include or Exclude]], 0,4)</f>
        <v/>
      </c>
    </row>
    <row r="128" spans="4:31" ht="20.100000000000001" customHeight="1" x14ac:dyDescent="0.25">
      <c r="D128" s="111" t="str" cm="1">
        <f t="array" ref="D128">Common_InputFunctions.Utility_DisplayArrayInTable(Fertiliser_SourceData.Fertiliser_Products_Data1(),FertiliserProducts[[#Headers],[Include or Exclude]], -1)</f>
        <v/>
      </c>
      <c r="E128" s="111" t="str" cm="1">
        <f t="array" ref="E128">Common_InputFunctions.Utility_DisplayArrayInTable(Fertiliser_SourceData.Fertiliser_Products_Data1(),FertiliserProducts[[#Headers],[Include or Exclude]], 0)</f>
        <v/>
      </c>
      <c r="F128" s="111" t="str" cm="1">
        <f t="array" ref="F128">Common_InputFunctions.Utility_DisplayArrayInTable(Fertiliser_SourceData.Fertiliser_Products_Data1(),FertiliserProducts[[#Headers],[Include or Exclude]], 0)</f>
        <v/>
      </c>
      <c r="G128" s="111" t="str" cm="1">
        <f t="array" ref="G128">Common_InputFunctions.Utility_DisplayArrayInTable(Fertiliser_SourceData.Fertiliser_Products_Data1(),FertiliserProducts[[#Headers],[Include or Exclude]], 0)</f>
        <v/>
      </c>
      <c r="H128" s="111" t="str" cm="1">
        <f t="array" ref="H128">Common_InputFunctions.Utility_DisplayArrayInTable(Fertiliser_SourceData.Fertiliser_Products_Data1(),FertiliserProducts[[#Headers],[Include or Exclude]], 0,4)</f>
        <v/>
      </c>
      <c r="I128" s="111" t="str" cm="1">
        <f t="array" ref="I128">Common_InputFunctions.Utility_DisplayArrayInTable(Fertiliser_SourceData.Fertiliser_Products_Data1(),FertiliserProducts[[#Headers],[Include or Exclude]], 0,4)</f>
        <v/>
      </c>
      <c r="J128" s="111" t="str" cm="1">
        <f t="array" ref="J128">Common_InputFunctions.Utility_DisplayArrayInTable(Fertiliser_SourceData.Fertiliser_Products_Data1(),FertiliserProducts[[#Headers],[Include or Exclude]], 0,4)</f>
        <v/>
      </c>
      <c r="K128" s="111" t="str" cm="1">
        <f t="array" ref="K128">Common_InputFunctions.Utility_DisplayArrayInTable(Fertiliser_SourceData.Fertiliser_Products_Data1(),FertiliserProducts[[#Headers],[Include or Exclude]], 0,4)</f>
        <v/>
      </c>
      <c r="L128" s="111" t="str" cm="1">
        <f t="array" ref="L128">Common_InputFunctions.Utility_DisplayArrayInTable(Fertiliser_SourceData.Fertiliser_Products_Data1(),FertiliserProducts[[#Headers],[Include or Exclude]], 0,4)</f>
        <v/>
      </c>
      <c r="M128" s="111" t="str" cm="1">
        <f t="array" ref="M128">Common_InputFunctions.Utility_DisplayArrayInTable(Fertiliser_SourceData.Fertiliser_Products_Data1(),FertiliserProducts[[#Headers],[Include or Exclude]], 0,4)</f>
        <v/>
      </c>
      <c r="N128" s="111" t="str" cm="1">
        <f t="array" ref="N128">Common_InputFunctions.Utility_DisplayArrayInTable(Fertiliser_SourceData.Fertiliser_Products_Data1(),FertiliserProducts[[#Headers],[Include or Exclude]], 0,4)</f>
        <v/>
      </c>
      <c r="O128" s="111" t="str" cm="1">
        <f t="array" ref="O128">Common_InputFunctions.Utility_DisplayArrayInTable(Fertiliser_SourceData.Fertiliser_Products_Data1(),FertiliserProducts[[#Headers],[Include or Exclude]], 0,4)</f>
        <v/>
      </c>
      <c r="P128" s="111" t="str" cm="1">
        <f t="array" ref="P128">Common_InputFunctions.Utility_DisplayArrayInTable(Fertiliser_SourceData.Fertiliser_Products_Data1(),FertiliserProducts[[#Headers],[Include or Exclude]], 0,4)</f>
        <v/>
      </c>
      <c r="Q128" s="111" t="str" cm="1">
        <f t="array" ref="Q128">Common_InputFunctions.Utility_DisplayArrayInTable(Fertiliser_SourceData.Fertiliser_Products_Data1(),FertiliserProducts[[#Headers],[Include or Exclude]], 0,4)</f>
        <v/>
      </c>
      <c r="R128" s="111" t="str" cm="1">
        <f t="array" ref="R128">Common_InputFunctions.Utility_DisplayArrayInTable(Fertiliser_SourceData.Fertiliser_Products_Data1(),FertiliserProducts[[#Headers],[Include or Exclude]], 0,4)</f>
        <v/>
      </c>
      <c r="S128" s="111" t="str" cm="1">
        <f t="array" ref="S128">Common_InputFunctions.Utility_DisplayArrayInTable(Fertiliser_SourceData.Fertiliser_Products_Data1(),FertiliserProducts[[#Headers],[Include or Exclude]], 0,4)</f>
        <v/>
      </c>
      <c r="T128" s="111" t="str" cm="1">
        <f t="array" ref="T128">Common_InputFunctions.Utility_DisplayArrayInTable(Fertiliser_SourceData.Fertiliser_Products_Data1(),FertiliserProducts[[#Headers],[Include or Exclude]], 0,4)</f>
        <v/>
      </c>
      <c r="U128" s="111" t="str" cm="1">
        <f t="array" ref="U128">Common_InputFunctions.Utility_DisplayArrayInTable(Fertiliser_SourceData.Fertiliser_Products_Data1(),FertiliserProducts[[#Headers],[Include or Exclude]], 0,4)</f>
        <v/>
      </c>
      <c r="V128" s="111" t="str" cm="1">
        <f t="array" ref="V128">Common_InputFunctions.Utility_DisplayArrayInTable(Fertiliser_SourceData.Fertiliser_Products_Data1(),FertiliserProducts[[#Headers],[Include or Exclude]], 0,4)</f>
        <v/>
      </c>
      <c r="W128" s="111" t="str" cm="1">
        <f t="array" ref="W128">Common_InputFunctions.Utility_DisplayArrayInTable(Fertiliser_SourceData.Fertiliser_Products_Data1(),FertiliserProducts[[#Headers],[Include or Exclude]], 0,4)</f>
        <v/>
      </c>
      <c r="X128" s="111" t="str" cm="1">
        <f t="array" ref="X128">Common_InputFunctions.Utility_DisplayArrayInTable(Fertiliser_SourceData.Fertiliser_Products_Data1(),FertiliserProducts[[#Headers],[Include or Exclude]], 0,4)</f>
        <v/>
      </c>
      <c r="Y128" s="111" t="str" cm="1">
        <f t="array" ref="Y128">Common_InputFunctions.Utility_DisplayArrayInTable(Fertiliser_SourceData.Fertiliser_Products_Data1(),FertiliserProducts[[#Headers],[Include or Exclude]], 0,4)</f>
        <v/>
      </c>
      <c r="Z128" s="111" t="str" cm="1">
        <f t="array" ref="Z128">Common_InputFunctions.Utility_DisplayArrayInTable(Fertiliser_SourceData.Fertiliser_Products_Data1(),FertiliserProducts[[#Headers],[Include or Exclude]], 0,4)</f>
        <v/>
      </c>
      <c r="AA128" s="111" t="str" cm="1">
        <f t="array" ref="AA128">Common_InputFunctions.Utility_DisplayArrayInTable(Fertiliser_SourceData.Fertiliser_Products_Data1(),FertiliserProducts[[#Headers],[Include or Exclude]], 0,4)</f>
        <v/>
      </c>
      <c r="AB128" s="111" t="str" cm="1">
        <f t="array" ref="AB128">Common_InputFunctions.Utility_DisplayArrayInTable(Fertiliser_SourceData.Fertiliser_Products_Data1(),FertiliserProducts[[#Headers],[Include or Exclude]], 0,4)</f>
        <v/>
      </c>
      <c r="AC128" s="111" t="str" cm="1">
        <f t="array" ref="AC128">Common_InputFunctions.Utility_DisplayArrayInTable(Fertiliser_SourceData.Fertiliser_Products_Data1(),FertiliserProducts[[#Headers],[Include or Exclude]], 0,4)</f>
        <v/>
      </c>
      <c r="AD128" s="111" t="str" cm="1">
        <f t="array" ref="AD128">Common_InputFunctions.Utility_DisplayArrayInTable(Fertiliser_SourceData.Fertiliser_Products_Data1(),FertiliserProducts[[#Headers],[Include or Exclude]], 0,4)</f>
        <v/>
      </c>
      <c r="AE128" s="111" t="str" cm="1">
        <f t="array" ref="AE128">Common_InputFunctions.Utility_DisplayArrayInTable(Fertiliser_SourceData.Fertiliser_Products_Data1(),FertiliserProducts[[#Headers],[Include or Exclude]], 0,4)</f>
        <v/>
      </c>
    </row>
    <row r="129" spans="4:31" ht="20.100000000000001" customHeight="1" x14ac:dyDescent="0.25">
      <c r="D129" s="111" t="str" cm="1">
        <f t="array" ref="D129">Common_InputFunctions.Utility_DisplayArrayInTable(Fertiliser_SourceData.Fertiliser_Products_Data1(),FertiliserProducts[[#Headers],[Include or Exclude]], -1)</f>
        <v/>
      </c>
      <c r="E129" s="111" t="str" cm="1">
        <f t="array" ref="E129">Common_InputFunctions.Utility_DisplayArrayInTable(Fertiliser_SourceData.Fertiliser_Products_Data1(),FertiliserProducts[[#Headers],[Include or Exclude]], 0)</f>
        <v/>
      </c>
      <c r="F129" s="111" t="str" cm="1">
        <f t="array" ref="F129">Common_InputFunctions.Utility_DisplayArrayInTable(Fertiliser_SourceData.Fertiliser_Products_Data1(),FertiliserProducts[[#Headers],[Include or Exclude]], 0)</f>
        <v/>
      </c>
      <c r="G129" s="111" t="str" cm="1">
        <f t="array" ref="G129">Common_InputFunctions.Utility_DisplayArrayInTable(Fertiliser_SourceData.Fertiliser_Products_Data1(),FertiliserProducts[[#Headers],[Include or Exclude]], 0)</f>
        <v/>
      </c>
      <c r="H129" s="111" t="str" cm="1">
        <f t="array" ref="H129">Common_InputFunctions.Utility_DisplayArrayInTable(Fertiliser_SourceData.Fertiliser_Products_Data1(),FertiliserProducts[[#Headers],[Include or Exclude]], 0,4)</f>
        <v/>
      </c>
      <c r="I129" s="111" t="str" cm="1">
        <f t="array" ref="I129">Common_InputFunctions.Utility_DisplayArrayInTable(Fertiliser_SourceData.Fertiliser_Products_Data1(),FertiliserProducts[[#Headers],[Include or Exclude]], 0,4)</f>
        <v/>
      </c>
      <c r="J129" s="111" t="str" cm="1">
        <f t="array" ref="J129">Common_InputFunctions.Utility_DisplayArrayInTable(Fertiliser_SourceData.Fertiliser_Products_Data1(),FertiliserProducts[[#Headers],[Include or Exclude]], 0,4)</f>
        <v/>
      </c>
      <c r="K129" s="111" t="str" cm="1">
        <f t="array" ref="K129">Common_InputFunctions.Utility_DisplayArrayInTable(Fertiliser_SourceData.Fertiliser_Products_Data1(),FertiliserProducts[[#Headers],[Include or Exclude]], 0,4)</f>
        <v/>
      </c>
      <c r="L129" s="111" t="str" cm="1">
        <f t="array" ref="L129">Common_InputFunctions.Utility_DisplayArrayInTable(Fertiliser_SourceData.Fertiliser_Products_Data1(),FertiliserProducts[[#Headers],[Include or Exclude]], 0,4)</f>
        <v/>
      </c>
      <c r="M129" s="111" t="str" cm="1">
        <f t="array" ref="M129">Common_InputFunctions.Utility_DisplayArrayInTable(Fertiliser_SourceData.Fertiliser_Products_Data1(),FertiliserProducts[[#Headers],[Include or Exclude]], 0,4)</f>
        <v/>
      </c>
      <c r="N129" s="111" t="str" cm="1">
        <f t="array" ref="N129">Common_InputFunctions.Utility_DisplayArrayInTable(Fertiliser_SourceData.Fertiliser_Products_Data1(),FertiliserProducts[[#Headers],[Include or Exclude]], 0,4)</f>
        <v/>
      </c>
      <c r="O129" s="111" t="str" cm="1">
        <f t="array" ref="O129">Common_InputFunctions.Utility_DisplayArrayInTable(Fertiliser_SourceData.Fertiliser_Products_Data1(),FertiliserProducts[[#Headers],[Include or Exclude]], 0,4)</f>
        <v/>
      </c>
      <c r="P129" s="111" t="str" cm="1">
        <f t="array" ref="P129">Common_InputFunctions.Utility_DisplayArrayInTable(Fertiliser_SourceData.Fertiliser_Products_Data1(),FertiliserProducts[[#Headers],[Include or Exclude]], 0,4)</f>
        <v/>
      </c>
      <c r="Q129" s="111" t="str" cm="1">
        <f t="array" ref="Q129">Common_InputFunctions.Utility_DisplayArrayInTable(Fertiliser_SourceData.Fertiliser_Products_Data1(),FertiliserProducts[[#Headers],[Include or Exclude]], 0,4)</f>
        <v/>
      </c>
      <c r="R129" s="111" t="str" cm="1">
        <f t="array" ref="R129">Common_InputFunctions.Utility_DisplayArrayInTable(Fertiliser_SourceData.Fertiliser_Products_Data1(),FertiliserProducts[[#Headers],[Include or Exclude]], 0,4)</f>
        <v/>
      </c>
      <c r="S129" s="111" t="str" cm="1">
        <f t="array" ref="S129">Common_InputFunctions.Utility_DisplayArrayInTable(Fertiliser_SourceData.Fertiliser_Products_Data1(),FertiliserProducts[[#Headers],[Include or Exclude]], 0,4)</f>
        <v/>
      </c>
      <c r="T129" s="111" t="str" cm="1">
        <f t="array" ref="T129">Common_InputFunctions.Utility_DisplayArrayInTable(Fertiliser_SourceData.Fertiliser_Products_Data1(),FertiliserProducts[[#Headers],[Include or Exclude]], 0,4)</f>
        <v/>
      </c>
      <c r="U129" s="111" t="str" cm="1">
        <f t="array" ref="U129">Common_InputFunctions.Utility_DisplayArrayInTable(Fertiliser_SourceData.Fertiliser_Products_Data1(),FertiliserProducts[[#Headers],[Include or Exclude]], 0,4)</f>
        <v/>
      </c>
      <c r="V129" s="111" t="str" cm="1">
        <f t="array" ref="V129">Common_InputFunctions.Utility_DisplayArrayInTable(Fertiliser_SourceData.Fertiliser_Products_Data1(),FertiliserProducts[[#Headers],[Include or Exclude]], 0,4)</f>
        <v/>
      </c>
      <c r="W129" s="111" t="str" cm="1">
        <f t="array" ref="W129">Common_InputFunctions.Utility_DisplayArrayInTable(Fertiliser_SourceData.Fertiliser_Products_Data1(),FertiliserProducts[[#Headers],[Include or Exclude]], 0,4)</f>
        <v/>
      </c>
      <c r="X129" s="111" t="str" cm="1">
        <f t="array" ref="X129">Common_InputFunctions.Utility_DisplayArrayInTable(Fertiliser_SourceData.Fertiliser_Products_Data1(),FertiliserProducts[[#Headers],[Include or Exclude]], 0,4)</f>
        <v/>
      </c>
      <c r="Y129" s="111" t="str" cm="1">
        <f t="array" ref="Y129">Common_InputFunctions.Utility_DisplayArrayInTable(Fertiliser_SourceData.Fertiliser_Products_Data1(),FertiliserProducts[[#Headers],[Include or Exclude]], 0,4)</f>
        <v/>
      </c>
      <c r="Z129" s="111" t="str" cm="1">
        <f t="array" ref="Z129">Common_InputFunctions.Utility_DisplayArrayInTable(Fertiliser_SourceData.Fertiliser_Products_Data1(),FertiliserProducts[[#Headers],[Include or Exclude]], 0,4)</f>
        <v/>
      </c>
      <c r="AA129" s="111" t="str" cm="1">
        <f t="array" ref="AA129">Common_InputFunctions.Utility_DisplayArrayInTable(Fertiliser_SourceData.Fertiliser_Products_Data1(),FertiliserProducts[[#Headers],[Include or Exclude]], 0,4)</f>
        <v/>
      </c>
      <c r="AB129" s="111" t="str" cm="1">
        <f t="array" ref="AB129">Common_InputFunctions.Utility_DisplayArrayInTable(Fertiliser_SourceData.Fertiliser_Products_Data1(),FertiliserProducts[[#Headers],[Include or Exclude]], 0,4)</f>
        <v/>
      </c>
      <c r="AC129" s="111" t="str" cm="1">
        <f t="array" ref="AC129">Common_InputFunctions.Utility_DisplayArrayInTable(Fertiliser_SourceData.Fertiliser_Products_Data1(),FertiliserProducts[[#Headers],[Include or Exclude]], 0,4)</f>
        <v/>
      </c>
      <c r="AD129" s="111" t="str" cm="1">
        <f t="array" ref="AD129">Common_InputFunctions.Utility_DisplayArrayInTable(Fertiliser_SourceData.Fertiliser_Products_Data1(),FertiliserProducts[[#Headers],[Include or Exclude]], 0,4)</f>
        <v/>
      </c>
      <c r="AE129" s="111" t="str" cm="1">
        <f t="array" ref="AE129">Common_InputFunctions.Utility_DisplayArrayInTable(Fertiliser_SourceData.Fertiliser_Products_Data1(),FertiliserProducts[[#Headers],[Include or Exclude]], 0,4)</f>
        <v/>
      </c>
    </row>
    <row r="130" spans="4:31" ht="20.100000000000001" customHeight="1" x14ac:dyDescent="0.25">
      <c r="D130" s="111" t="str" cm="1">
        <f t="array" ref="D130">Common_InputFunctions.Utility_DisplayArrayInTable(Fertiliser_SourceData.Fertiliser_Products_Data1(),FertiliserProducts[[#Headers],[Include or Exclude]], -1)</f>
        <v/>
      </c>
      <c r="E130" s="111" t="str" cm="1">
        <f t="array" ref="E130">Common_InputFunctions.Utility_DisplayArrayInTable(Fertiliser_SourceData.Fertiliser_Products_Data1(),FertiliserProducts[[#Headers],[Include or Exclude]], 0)</f>
        <v/>
      </c>
      <c r="F130" s="111" t="str" cm="1">
        <f t="array" ref="F130">Common_InputFunctions.Utility_DisplayArrayInTable(Fertiliser_SourceData.Fertiliser_Products_Data1(),FertiliserProducts[[#Headers],[Include or Exclude]], 0)</f>
        <v/>
      </c>
      <c r="G130" s="111" t="str" cm="1">
        <f t="array" ref="G130">Common_InputFunctions.Utility_DisplayArrayInTable(Fertiliser_SourceData.Fertiliser_Products_Data1(),FertiliserProducts[[#Headers],[Include or Exclude]], 0)</f>
        <v/>
      </c>
      <c r="H130" s="111" t="str" cm="1">
        <f t="array" ref="H130">Common_InputFunctions.Utility_DisplayArrayInTable(Fertiliser_SourceData.Fertiliser_Products_Data1(),FertiliserProducts[[#Headers],[Include or Exclude]], 0,4)</f>
        <v/>
      </c>
      <c r="I130" s="111" t="str" cm="1">
        <f t="array" ref="I130">Common_InputFunctions.Utility_DisplayArrayInTable(Fertiliser_SourceData.Fertiliser_Products_Data1(),FertiliserProducts[[#Headers],[Include or Exclude]], 0,4)</f>
        <v/>
      </c>
      <c r="J130" s="111" t="str" cm="1">
        <f t="array" ref="J130">Common_InputFunctions.Utility_DisplayArrayInTable(Fertiliser_SourceData.Fertiliser_Products_Data1(),FertiliserProducts[[#Headers],[Include or Exclude]], 0,4)</f>
        <v/>
      </c>
      <c r="K130" s="111" t="str" cm="1">
        <f t="array" ref="K130">Common_InputFunctions.Utility_DisplayArrayInTable(Fertiliser_SourceData.Fertiliser_Products_Data1(),FertiliserProducts[[#Headers],[Include or Exclude]], 0,4)</f>
        <v/>
      </c>
      <c r="L130" s="111" t="str" cm="1">
        <f t="array" ref="L130">Common_InputFunctions.Utility_DisplayArrayInTable(Fertiliser_SourceData.Fertiliser_Products_Data1(),FertiliserProducts[[#Headers],[Include or Exclude]], 0,4)</f>
        <v/>
      </c>
      <c r="M130" s="111" t="str" cm="1">
        <f t="array" ref="M130">Common_InputFunctions.Utility_DisplayArrayInTable(Fertiliser_SourceData.Fertiliser_Products_Data1(),FertiliserProducts[[#Headers],[Include or Exclude]], 0,4)</f>
        <v/>
      </c>
      <c r="N130" s="111" t="str" cm="1">
        <f t="array" ref="N130">Common_InputFunctions.Utility_DisplayArrayInTable(Fertiliser_SourceData.Fertiliser_Products_Data1(),FertiliserProducts[[#Headers],[Include or Exclude]], 0,4)</f>
        <v/>
      </c>
      <c r="O130" s="111" t="str" cm="1">
        <f t="array" ref="O130">Common_InputFunctions.Utility_DisplayArrayInTable(Fertiliser_SourceData.Fertiliser_Products_Data1(),FertiliserProducts[[#Headers],[Include or Exclude]], 0,4)</f>
        <v/>
      </c>
      <c r="P130" s="111" t="str" cm="1">
        <f t="array" ref="P130">Common_InputFunctions.Utility_DisplayArrayInTable(Fertiliser_SourceData.Fertiliser_Products_Data1(),FertiliserProducts[[#Headers],[Include or Exclude]], 0,4)</f>
        <v/>
      </c>
      <c r="Q130" s="111" t="str" cm="1">
        <f t="array" ref="Q130">Common_InputFunctions.Utility_DisplayArrayInTable(Fertiliser_SourceData.Fertiliser_Products_Data1(),FertiliserProducts[[#Headers],[Include or Exclude]], 0,4)</f>
        <v/>
      </c>
      <c r="R130" s="111" t="str" cm="1">
        <f t="array" ref="R130">Common_InputFunctions.Utility_DisplayArrayInTable(Fertiliser_SourceData.Fertiliser_Products_Data1(),FertiliserProducts[[#Headers],[Include or Exclude]], 0,4)</f>
        <v/>
      </c>
      <c r="S130" s="111" t="str" cm="1">
        <f t="array" ref="S130">Common_InputFunctions.Utility_DisplayArrayInTable(Fertiliser_SourceData.Fertiliser_Products_Data1(),FertiliserProducts[[#Headers],[Include or Exclude]], 0,4)</f>
        <v/>
      </c>
      <c r="T130" s="111" t="str" cm="1">
        <f t="array" ref="T130">Common_InputFunctions.Utility_DisplayArrayInTable(Fertiliser_SourceData.Fertiliser_Products_Data1(),FertiliserProducts[[#Headers],[Include or Exclude]], 0,4)</f>
        <v/>
      </c>
      <c r="U130" s="111" t="str" cm="1">
        <f t="array" ref="U130">Common_InputFunctions.Utility_DisplayArrayInTable(Fertiliser_SourceData.Fertiliser_Products_Data1(),FertiliserProducts[[#Headers],[Include or Exclude]], 0,4)</f>
        <v/>
      </c>
      <c r="V130" s="111" t="str" cm="1">
        <f t="array" ref="V130">Common_InputFunctions.Utility_DisplayArrayInTable(Fertiliser_SourceData.Fertiliser_Products_Data1(),FertiliserProducts[[#Headers],[Include or Exclude]], 0,4)</f>
        <v/>
      </c>
      <c r="W130" s="111" t="str" cm="1">
        <f t="array" ref="W130">Common_InputFunctions.Utility_DisplayArrayInTable(Fertiliser_SourceData.Fertiliser_Products_Data1(),FertiliserProducts[[#Headers],[Include or Exclude]], 0,4)</f>
        <v/>
      </c>
      <c r="X130" s="111" t="str" cm="1">
        <f t="array" ref="X130">Common_InputFunctions.Utility_DisplayArrayInTable(Fertiliser_SourceData.Fertiliser_Products_Data1(),FertiliserProducts[[#Headers],[Include or Exclude]], 0,4)</f>
        <v/>
      </c>
      <c r="Y130" s="111" t="str" cm="1">
        <f t="array" ref="Y130">Common_InputFunctions.Utility_DisplayArrayInTable(Fertiliser_SourceData.Fertiliser_Products_Data1(),FertiliserProducts[[#Headers],[Include or Exclude]], 0,4)</f>
        <v/>
      </c>
      <c r="Z130" s="111" t="str" cm="1">
        <f t="array" ref="Z130">Common_InputFunctions.Utility_DisplayArrayInTable(Fertiliser_SourceData.Fertiliser_Products_Data1(),FertiliserProducts[[#Headers],[Include or Exclude]], 0,4)</f>
        <v/>
      </c>
      <c r="AA130" s="111" t="str" cm="1">
        <f t="array" ref="AA130">Common_InputFunctions.Utility_DisplayArrayInTable(Fertiliser_SourceData.Fertiliser_Products_Data1(),FertiliserProducts[[#Headers],[Include or Exclude]], 0,4)</f>
        <v/>
      </c>
      <c r="AB130" s="111" t="str" cm="1">
        <f t="array" ref="AB130">Common_InputFunctions.Utility_DisplayArrayInTable(Fertiliser_SourceData.Fertiliser_Products_Data1(),FertiliserProducts[[#Headers],[Include or Exclude]], 0,4)</f>
        <v/>
      </c>
      <c r="AC130" s="111" t="str" cm="1">
        <f t="array" ref="AC130">Common_InputFunctions.Utility_DisplayArrayInTable(Fertiliser_SourceData.Fertiliser_Products_Data1(),FertiliserProducts[[#Headers],[Include or Exclude]], 0,4)</f>
        <v/>
      </c>
      <c r="AD130" s="111" t="str" cm="1">
        <f t="array" ref="AD130">Common_InputFunctions.Utility_DisplayArrayInTable(Fertiliser_SourceData.Fertiliser_Products_Data1(),FertiliserProducts[[#Headers],[Include or Exclude]], 0,4)</f>
        <v/>
      </c>
      <c r="AE130" s="111" t="str" cm="1">
        <f t="array" ref="AE130">Common_InputFunctions.Utility_DisplayArrayInTable(Fertiliser_SourceData.Fertiliser_Products_Data1(),FertiliserProducts[[#Headers],[Include or Exclude]], 0,4)</f>
        <v/>
      </c>
    </row>
    <row r="131" spans="4:31" ht="20.100000000000001" customHeight="1" x14ac:dyDescent="0.25">
      <c r="D131" s="111" t="str" cm="1">
        <f t="array" ref="D131">Common_InputFunctions.Utility_DisplayArrayInTable(Fertiliser_SourceData.Fertiliser_Products_Data1(),FertiliserProducts[[#Headers],[Include or Exclude]], -1)</f>
        <v/>
      </c>
      <c r="E131" s="111" t="str" cm="1">
        <f t="array" ref="E131">Common_InputFunctions.Utility_DisplayArrayInTable(Fertiliser_SourceData.Fertiliser_Products_Data1(),FertiliserProducts[[#Headers],[Include or Exclude]], 0)</f>
        <v/>
      </c>
      <c r="F131" s="111" t="str" cm="1">
        <f t="array" ref="F131">Common_InputFunctions.Utility_DisplayArrayInTable(Fertiliser_SourceData.Fertiliser_Products_Data1(),FertiliserProducts[[#Headers],[Include or Exclude]], 0)</f>
        <v/>
      </c>
      <c r="G131" s="111" t="str" cm="1">
        <f t="array" ref="G131">Common_InputFunctions.Utility_DisplayArrayInTable(Fertiliser_SourceData.Fertiliser_Products_Data1(),FertiliserProducts[[#Headers],[Include or Exclude]], 0)</f>
        <v/>
      </c>
      <c r="H131" s="111" t="str" cm="1">
        <f t="array" ref="H131">Common_InputFunctions.Utility_DisplayArrayInTable(Fertiliser_SourceData.Fertiliser_Products_Data1(),FertiliserProducts[[#Headers],[Include or Exclude]], 0,4)</f>
        <v/>
      </c>
      <c r="I131" s="111" t="str" cm="1">
        <f t="array" ref="I131">Common_InputFunctions.Utility_DisplayArrayInTable(Fertiliser_SourceData.Fertiliser_Products_Data1(),FertiliserProducts[[#Headers],[Include or Exclude]], 0,4)</f>
        <v/>
      </c>
      <c r="J131" s="111" t="str" cm="1">
        <f t="array" ref="J131">Common_InputFunctions.Utility_DisplayArrayInTable(Fertiliser_SourceData.Fertiliser_Products_Data1(),FertiliserProducts[[#Headers],[Include or Exclude]], 0,4)</f>
        <v/>
      </c>
      <c r="K131" s="111" t="str" cm="1">
        <f t="array" ref="K131">Common_InputFunctions.Utility_DisplayArrayInTable(Fertiliser_SourceData.Fertiliser_Products_Data1(),FertiliserProducts[[#Headers],[Include or Exclude]], 0,4)</f>
        <v/>
      </c>
      <c r="L131" s="111" t="str" cm="1">
        <f t="array" ref="L131">Common_InputFunctions.Utility_DisplayArrayInTable(Fertiliser_SourceData.Fertiliser_Products_Data1(),FertiliserProducts[[#Headers],[Include or Exclude]], 0,4)</f>
        <v/>
      </c>
      <c r="M131" s="111" t="str" cm="1">
        <f t="array" ref="M131">Common_InputFunctions.Utility_DisplayArrayInTable(Fertiliser_SourceData.Fertiliser_Products_Data1(),FertiliserProducts[[#Headers],[Include or Exclude]], 0,4)</f>
        <v/>
      </c>
      <c r="N131" s="111" t="str" cm="1">
        <f t="array" ref="N131">Common_InputFunctions.Utility_DisplayArrayInTable(Fertiliser_SourceData.Fertiliser_Products_Data1(),FertiliserProducts[[#Headers],[Include or Exclude]], 0,4)</f>
        <v/>
      </c>
      <c r="O131" s="111" t="str" cm="1">
        <f t="array" ref="O131">Common_InputFunctions.Utility_DisplayArrayInTable(Fertiliser_SourceData.Fertiliser_Products_Data1(),FertiliserProducts[[#Headers],[Include or Exclude]], 0,4)</f>
        <v/>
      </c>
      <c r="P131" s="111" t="str" cm="1">
        <f t="array" ref="P131">Common_InputFunctions.Utility_DisplayArrayInTable(Fertiliser_SourceData.Fertiliser_Products_Data1(),FertiliserProducts[[#Headers],[Include or Exclude]], 0,4)</f>
        <v/>
      </c>
      <c r="Q131" s="111" t="str" cm="1">
        <f t="array" ref="Q131">Common_InputFunctions.Utility_DisplayArrayInTable(Fertiliser_SourceData.Fertiliser_Products_Data1(),FertiliserProducts[[#Headers],[Include or Exclude]], 0,4)</f>
        <v/>
      </c>
      <c r="R131" s="111" t="str" cm="1">
        <f t="array" ref="R131">Common_InputFunctions.Utility_DisplayArrayInTable(Fertiliser_SourceData.Fertiliser_Products_Data1(),FertiliserProducts[[#Headers],[Include or Exclude]], 0,4)</f>
        <v/>
      </c>
      <c r="S131" s="111" t="str" cm="1">
        <f t="array" ref="S131">Common_InputFunctions.Utility_DisplayArrayInTable(Fertiliser_SourceData.Fertiliser_Products_Data1(),FertiliserProducts[[#Headers],[Include or Exclude]], 0,4)</f>
        <v/>
      </c>
      <c r="T131" s="111" t="str" cm="1">
        <f t="array" ref="T131">Common_InputFunctions.Utility_DisplayArrayInTable(Fertiliser_SourceData.Fertiliser_Products_Data1(),FertiliserProducts[[#Headers],[Include or Exclude]], 0,4)</f>
        <v/>
      </c>
      <c r="U131" s="111" t="str" cm="1">
        <f t="array" ref="U131">Common_InputFunctions.Utility_DisplayArrayInTable(Fertiliser_SourceData.Fertiliser_Products_Data1(),FertiliserProducts[[#Headers],[Include or Exclude]], 0,4)</f>
        <v/>
      </c>
      <c r="V131" s="111" t="str" cm="1">
        <f t="array" ref="V131">Common_InputFunctions.Utility_DisplayArrayInTable(Fertiliser_SourceData.Fertiliser_Products_Data1(),FertiliserProducts[[#Headers],[Include or Exclude]], 0,4)</f>
        <v/>
      </c>
      <c r="W131" s="111" t="str" cm="1">
        <f t="array" ref="W131">Common_InputFunctions.Utility_DisplayArrayInTable(Fertiliser_SourceData.Fertiliser_Products_Data1(),FertiliserProducts[[#Headers],[Include or Exclude]], 0,4)</f>
        <v/>
      </c>
      <c r="X131" s="111" t="str" cm="1">
        <f t="array" ref="X131">Common_InputFunctions.Utility_DisplayArrayInTable(Fertiliser_SourceData.Fertiliser_Products_Data1(),FertiliserProducts[[#Headers],[Include or Exclude]], 0,4)</f>
        <v/>
      </c>
      <c r="Y131" s="111" t="str" cm="1">
        <f t="array" ref="Y131">Common_InputFunctions.Utility_DisplayArrayInTable(Fertiliser_SourceData.Fertiliser_Products_Data1(),FertiliserProducts[[#Headers],[Include or Exclude]], 0,4)</f>
        <v/>
      </c>
      <c r="Z131" s="111" t="str" cm="1">
        <f t="array" ref="Z131">Common_InputFunctions.Utility_DisplayArrayInTable(Fertiliser_SourceData.Fertiliser_Products_Data1(),FertiliserProducts[[#Headers],[Include or Exclude]], 0,4)</f>
        <v/>
      </c>
      <c r="AA131" s="111" t="str" cm="1">
        <f t="array" ref="AA131">Common_InputFunctions.Utility_DisplayArrayInTable(Fertiliser_SourceData.Fertiliser_Products_Data1(),FertiliserProducts[[#Headers],[Include or Exclude]], 0,4)</f>
        <v/>
      </c>
      <c r="AB131" s="111" t="str" cm="1">
        <f t="array" ref="AB131">Common_InputFunctions.Utility_DisplayArrayInTable(Fertiliser_SourceData.Fertiliser_Products_Data1(),FertiliserProducts[[#Headers],[Include or Exclude]], 0,4)</f>
        <v/>
      </c>
      <c r="AC131" s="111" t="str" cm="1">
        <f t="array" ref="AC131">Common_InputFunctions.Utility_DisplayArrayInTable(Fertiliser_SourceData.Fertiliser_Products_Data1(),FertiliserProducts[[#Headers],[Include or Exclude]], 0,4)</f>
        <v/>
      </c>
      <c r="AD131" s="111" t="str" cm="1">
        <f t="array" ref="AD131">Common_InputFunctions.Utility_DisplayArrayInTable(Fertiliser_SourceData.Fertiliser_Products_Data1(),FertiliserProducts[[#Headers],[Include or Exclude]], 0,4)</f>
        <v/>
      </c>
      <c r="AE131" s="111" t="str" cm="1">
        <f t="array" ref="AE131">Common_InputFunctions.Utility_DisplayArrayInTable(Fertiliser_SourceData.Fertiliser_Products_Data1(),FertiliserProducts[[#Headers],[Include or Exclude]], 0,4)</f>
        <v/>
      </c>
    </row>
    <row r="132" spans="4:31" ht="20.100000000000001" customHeight="1" x14ac:dyDescent="0.25">
      <c r="D132" s="111" t="str" cm="1">
        <f t="array" ref="D132">Common_InputFunctions.Utility_DisplayArrayInTable(Fertiliser_SourceData.Fertiliser_Products_Data1(),FertiliserProducts[[#Headers],[Include or Exclude]], -1)</f>
        <v/>
      </c>
      <c r="E132" s="111" t="str" cm="1">
        <f t="array" ref="E132">Common_InputFunctions.Utility_DisplayArrayInTable(Fertiliser_SourceData.Fertiliser_Products_Data1(),FertiliserProducts[[#Headers],[Include or Exclude]], 0)</f>
        <v/>
      </c>
      <c r="F132" s="111" t="str" cm="1">
        <f t="array" ref="F132">Common_InputFunctions.Utility_DisplayArrayInTable(Fertiliser_SourceData.Fertiliser_Products_Data1(),FertiliserProducts[[#Headers],[Include or Exclude]], 0)</f>
        <v/>
      </c>
      <c r="G132" s="111" t="str" cm="1">
        <f t="array" ref="G132">Common_InputFunctions.Utility_DisplayArrayInTable(Fertiliser_SourceData.Fertiliser_Products_Data1(),FertiliserProducts[[#Headers],[Include or Exclude]], 0)</f>
        <v/>
      </c>
      <c r="H132" s="111" t="str" cm="1">
        <f t="array" ref="H132">Common_InputFunctions.Utility_DisplayArrayInTable(Fertiliser_SourceData.Fertiliser_Products_Data1(),FertiliserProducts[[#Headers],[Include or Exclude]], 0,4)</f>
        <v/>
      </c>
      <c r="I132" s="111" t="str" cm="1">
        <f t="array" ref="I132">Common_InputFunctions.Utility_DisplayArrayInTable(Fertiliser_SourceData.Fertiliser_Products_Data1(),FertiliserProducts[[#Headers],[Include or Exclude]], 0,4)</f>
        <v/>
      </c>
      <c r="J132" s="111" t="str" cm="1">
        <f t="array" ref="J132">Common_InputFunctions.Utility_DisplayArrayInTable(Fertiliser_SourceData.Fertiliser_Products_Data1(),FertiliserProducts[[#Headers],[Include or Exclude]], 0,4)</f>
        <v/>
      </c>
      <c r="K132" s="111" t="str" cm="1">
        <f t="array" ref="K132">Common_InputFunctions.Utility_DisplayArrayInTable(Fertiliser_SourceData.Fertiliser_Products_Data1(),FertiliserProducts[[#Headers],[Include or Exclude]], 0,4)</f>
        <v/>
      </c>
      <c r="L132" s="111" t="str" cm="1">
        <f t="array" ref="L132">Common_InputFunctions.Utility_DisplayArrayInTable(Fertiliser_SourceData.Fertiliser_Products_Data1(),FertiliserProducts[[#Headers],[Include or Exclude]], 0,4)</f>
        <v/>
      </c>
      <c r="M132" s="111" t="str" cm="1">
        <f t="array" ref="M132">Common_InputFunctions.Utility_DisplayArrayInTable(Fertiliser_SourceData.Fertiliser_Products_Data1(),FertiliserProducts[[#Headers],[Include or Exclude]], 0,4)</f>
        <v/>
      </c>
      <c r="N132" s="111" t="str" cm="1">
        <f t="array" ref="N132">Common_InputFunctions.Utility_DisplayArrayInTable(Fertiliser_SourceData.Fertiliser_Products_Data1(),FertiliserProducts[[#Headers],[Include or Exclude]], 0,4)</f>
        <v/>
      </c>
      <c r="O132" s="111" t="str" cm="1">
        <f t="array" ref="O132">Common_InputFunctions.Utility_DisplayArrayInTable(Fertiliser_SourceData.Fertiliser_Products_Data1(),FertiliserProducts[[#Headers],[Include or Exclude]], 0,4)</f>
        <v/>
      </c>
      <c r="P132" s="111" t="str" cm="1">
        <f t="array" ref="P132">Common_InputFunctions.Utility_DisplayArrayInTable(Fertiliser_SourceData.Fertiliser_Products_Data1(),FertiliserProducts[[#Headers],[Include or Exclude]], 0,4)</f>
        <v/>
      </c>
      <c r="Q132" s="111" t="str" cm="1">
        <f t="array" ref="Q132">Common_InputFunctions.Utility_DisplayArrayInTable(Fertiliser_SourceData.Fertiliser_Products_Data1(),FertiliserProducts[[#Headers],[Include or Exclude]], 0,4)</f>
        <v/>
      </c>
      <c r="R132" s="111" t="str" cm="1">
        <f t="array" ref="R132">Common_InputFunctions.Utility_DisplayArrayInTable(Fertiliser_SourceData.Fertiliser_Products_Data1(),FertiliserProducts[[#Headers],[Include or Exclude]], 0,4)</f>
        <v/>
      </c>
      <c r="S132" s="111" t="str" cm="1">
        <f t="array" ref="S132">Common_InputFunctions.Utility_DisplayArrayInTable(Fertiliser_SourceData.Fertiliser_Products_Data1(),FertiliserProducts[[#Headers],[Include or Exclude]], 0,4)</f>
        <v/>
      </c>
      <c r="T132" s="111" t="str" cm="1">
        <f t="array" ref="T132">Common_InputFunctions.Utility_DisplayArrayInTable(Fertiliser_SourceData.Fertiliser_Products_Data1(),FertiliserProducts[[#Headers],[Include or Exclude]], 0,4)</f>
        <v/>
      </c>
      <c r="U132" s="111" t="str" cm="1">
        <f t="array" ref="U132">Common_InputFunctions.Utility_DisplayArrayInTable(Fertiliser_SourceData.Fertiliser_Products_Data1(),FertiliserProducts[[#Headers],[Include or Exclude]], 0,4)</f>
        <v/>
      </c>
      <c r="V132" s="111" t="str" cm="1">
        <f t="array" ref="V132">Common_InputFunctions.Utility_DisplayArrayInTable(Fertiliser_SourceData.Fertiliser_Products_Data1(),FertiliserProducts[[#Headers],[Include or Exclude]], 0,4)</f>
        <v/>
      </c>
      <c r="W132" s="111" t="str" cm="1">
        <f t="array" ref="W132">Common_InputFunctions.Utility_DisplayArrayInTable(Fertiliser_SourceData.Fertiliser_Products_Data1(),FertiliserProducts[[#Headers],[Include or Exclude]], 0,4)</f>
        <v/>
      </c>
      <c r="X132" s="111" t="str" cm="1">
        <f t="array" ref="X132">Common_InputFunctions.Utility_DisplayArrayInTable(Fertiliser_SourceData.Fertiliser_Products_Data1(),FertiliserProducts[[#Headers],[Include or Exclude]], 0,4)</f>
        <v/>
      </c>
      <c r="Y132" s="111" t="str" cm="1">
        <f t="array" ref="Y132">Common_InputFunctions.Utility_DisplayArrayInTable(Fertiliser_SourceData.Fertiliser_Products_Data1(),FertiliserProducts[[#Headers],[Include or Exclude]], 0,4)</f>
        <v/>
      </c>
      <c r="Z132" s="111" t="str" cm="1">
        <f t="array" ref="Z132">Common_InputFunctions.Utility_DisplayArrayInTable(Fertiliser_SourceData.Fertiliser_Products_Data1(),FertiliserProducts[[#Headers],[Include or Exclude]], 0,4)</f>
        <v/>
      </c>
      <c r="AA132" s="111" t="str" cm="1">
        <f t="array" ref="AA132">Common_InputFunctions.Utility_DisplayArrayInTable(Fertiliser_SourceData.Fertiliser_Products_Data1(),FertiliserProducts[[#Headers],[Include or Exclude]], 0,4)</f>
        <v/>
      </c>
      <c r="AB132" s="111" t="str" cm="1">
        <f t="array" ref="AB132">Common_InputFunctions.Utility_DisplayArrayInTable(Fertiliser_SourceData.Fertiliser_Products_Data1(),FertiliserProducts[[#Headers],[Include or Exclude]], 0,4)</f>
        <v/>
      </c>
      <c r="AC132" s="111" t="str" cm="1">
        <f t="array" ref="AC132">Common_InputFunctions.Utility_DisplayArrayInTable(Fertiliser_SourceData.Fertiliser_Products_Data1(),FertiliserProducts[[#Headers],[Include or Exclude]], 0,4)</f>
        <v/>
      </c>
      <c r="AD132" s="111" t="str" cm="1">
        <f t="array" ref="AD132">Common_InputFunctions.Utility_DisplayArrayInTable(Fertiliser_SourceData.Fertiliser_Products_Data1(),FertiliserProducts[[#Headers],[Include or Exclude]], 0,4)</f>
        <v/>
      </c>
      <c r="AE132" s="111" t="str" cm="1">
        <f t="array" ref="AE132">Common_InputFunctions.Utility_DisplayArrayInTable(Fertiliser_SourceData.Fertiliser_Products_Data1(),FertiliserProducts[[#Headers],[Include or Exclude]], 0,4)</f>
        <v/>
      </c>
    </row>
    <row r="133" spans="4:31" ht="20.100000000000001" customHeight="1" x14ac:dyDescent="0.25">
      <c r="D133" s="111" t="str" cm="1">
        <f t="array" ref="D133">Common_InputFunctions.Utility_DisplayArrayInTable(Fertiliser_SourceData.Fertiliser_Products_Data1(),FertiliserProducts[[#Headers],[Include or Exclude]], -1)</f>
        <v/>
      </c>
      <c r="E133" s="111" t="str" cm="1">
        <f t="array" ref="E133">Common_InputFunctions.Utility_DisplayArrayInTable(Fertiliser_SourceData.Fertiliser_Products_Data1(),FertiliserProducts[[#Headers],[Include or Exclude]], 0)</f>
        <v/>
      </c>
      <c r="F133" s="111" t="str" cm="1">
        <f t="array" ref="F133">Common_InputFunctions.Utility_DisplayArrayInTable(Fertiliser_SourceData.Fertiliser_Products_Data1(),FertiliserProducts[[#Headers],[Include or Exclude]], 0)</f>
        <v/>
      </c>
      <c r="G133" s="111" t="str" cm="1">
        <f t="array" ref="G133">Common_InputFunctions.Utility_DisplayArrayInTable(Fertiliser_SourceData.Fertiliser_Products_Data1(),FertiliserProducts[[#Headers],[Include or Exclude]], 0)</f>
        <v/>
      </c>
      <c r="H133" s="111" t="str" cm="1">
        <f t="array" ref="H133">Common_InputFunctions.Utility_DisplayArrayInTable(Fertiliser_SourceData.Fertiliser_Products_Data1(),FertiliserProducts[[#Headers],[Include or Exclude]], 0,4)</f>
        <v/>
      </c>
      <c r="I133" s="111" t="str" cm="1">
        <f t="array" ref="I133">Common_InputFunctions.Utility_DisplayArrayInTable(Fertiliser_SourceData.Fertiliser_Products_Data1(),FertiliserProducts[[#Headers],[Include or Exclude]], 0,4)</f>
        <v/>
      </c>
      <c r="J133" s="111" t="str" cm="1">
        <f t="array" ref="J133">Common_InputFunctions.Utility_DisplayArrayInTable(Fertiliser_SourceData.Fertiliser_Products_Data1(),FertiliserProducts[[#Headers],[Include or Exclude]], 0,4)</f>
        <v/>
      </c>
      <c r="K133" s="111" t="str" cm="1">
        <f t="array" ref="K133">Common_InputFunctions.Utility_DisplayArrayInTable(Fertiliser_SourceData.Fertiliser_Products_Data1(),FertiliserProducts[[#Headers],[Include or Exclude]], 0,4)</f>
        <v/>
      </c>
      <c r="L133" s="111" t="str" cm="1">
        <f t="array" ref="L133">Common_InputFunctions.Utility_DisplayArrayInTable(Fertiliser_SourceData.Fertiliser_Products_Data1(),FertiliserProducts[[#Headers],[Include or Exclude]], 0,4)</f>
        <v/>
      </c>
      <c r="M133" s="111" t="str" cm="1">
        <f t="array" ref="M133">Common_InputFunctions.Utility_DisplayArrayInTable(Fertiliser_SourceData.Fertiliser_Products_Data1(),FertiliserProducts[[#Headers],[Include or Exclude]], 0,4)</f>
        <v/>
      </c>
      <c r="N133" s="111" t="str" cm="1">
        <f t="array" ref="N133">Common_InputFunctions.Utility_DisplayArrayInTable(Fertiliser_SourceData.Fertiliser_Products_Data1(),FertiliserProducts[[#Headers],[Include or Exclude]], 0,4)</f>
        <v/>
      </c>
      <c r="O133" s="111" t="str" cm="1">
        <f t="array" ref="O133">Common_InputFunctions.Utility_DisplayArrayInTable(Fertiliser_SourceData.Fertiliser_Products_Data1(),FertiliserProducts[[#Headers],[Include or Exclude]], 0,4)</f>
        <v/>
      </c>
      <c r="P133" s="111" t="str" cm="1">
        <f t="array" ref="P133">Common_InputFunctions.Utility_DisplayArrayInTable(Fertiliser_SourceData.Fertiliser_Products_Data1(),FertiliserProducts[[#Headers],[Include or Exclude]], 0,4)</f>
        <v/>
      </c>
      <c r="Q133" s="111" t="str" cm="1">
        <f t="array" ref="Q133">Common_InputFunctions.Utility_DisplayArrayInTable(Fertiliser_SourceData.Fertiliser_Products_Data1(),FertiliserProducts[[#Headers],[Include or Exclude]], 0,4)</f>
        <v/>
      </c>
      <c r="R133" s="111" t="str" cm="1">
        <f t="array" ref="R133">Common_InputFunctions.Utility_DisplayArrayInTable(Fertiliser_SourceData.Fertiliser_Products_Data1(),FertiliserProducts[[#Headers],[Include or Exclude]], 0,4)</f>
        <v/>
      </c>
      <c r="S133" s="111" t="str" cm="1">
        <f t="array" ref="S133">Common_InputFunctions.Utility_DisplayArrayInTable(Fertiliser_SourceData.Fertiliser_Products_Data1(),FertiliserProducts[[#Headers],[Include or Exclude]], 0,4)</f>
        <v/>
      </c>
      <c r="T133" s="111" t="str" cm="1">
        <f t="array" ref="T133">Common_InputFunctions.Utility_DisplayArrayInTable(Fertiliser_SourceData.Fertiliser_Products_Data1(),FertiliserProducts[[#Headers],[Include or Exclude]], 0,4)</f>
        <v/>
      </c>
      <c r="U133" s="111" t="str" cm="1">
        <f t="array" ref="U133">Common_InputFunctions.Utility_DisplayArrayInTable(Fertiliser_SourceData.Fertiliser_Products_Data1(),FertiliserProducts[[#Headers],[Include or Exclude]], 0,4)</f>
        <v/>
      </c>
      <c r="V133" s="111" t="str" cm="1">
        <f t="array" ref="V133">Common_InputFunctions.Utility_DisplayArrayInTable(Fertiliser_SourceData.Fertiliser_Products_Data1(),FertiliserProducts[[#Headers],[Include or Exclude]], 0,4)</f>
        <v/>
      </c>
      <c r="W133" s="111" t="str" cm="1">
        <f t="array" ref="W133">Common_InputFunctions.Utility_DisplayArrayInTable(Fertiliser_SourceData.Fertiliser_Products_Data1(),FertiliserProducts[[#Headers],[Include or Exclude]], 0,4)</f>
        <v/>
      </c>
      <c r="X133" s="111" t="str" cm="1">
        <f t="array" ref="X133">Common_InputFunctions.Utility_DisplayArrayInTable(Fertiliser_SourceData.Fertiliser_Products_Data1(),FertiliserProducts[[#Headers],[Include or Exclude]], 0,4)</f>
        <v/>
      </c>
      <c r="Y133" s="111" t="str" cm="1">
        <f t="array" ref="Y133">Common_InputFunctions.Utility_DisplayArrayInTable(Fertiliser_SourceData.Fertiliser_Products_Data1(),FertiliserProducts[[#Headers],[Include or Exclude]], 0,4)</f>
        <v/>
      </c>
      <c r="Z133" s="111" t="str" cm="1">
        <f t="array" ref="Z133">Common_InputFunctions.Utility_DisplayArrayInTable(Fertiliser_SourceData.Fertiliser_Products_Data1(),FertiliserProducts[[#Headers],[Include or Exclude]], 0,4)</f>
        <v/>
      </c>
      <c r="AA133" s="111" t="str" cm="1">
        <f t="array" ref="AA133">Common_InputFunctions.Utility_DisplayArrayInTable(Fertiliser_SourceData.Fertiliser_Products_Data1(),FertiliserProducts[[#Headers],[Include or Exclude]], 0,4)</f>
        <v/>
      </c>
      <c r="AB133" s="111" t="str" cm="1">
        <f t="array" ref="AB133">Common_InputFunctions.Utility_DisplayArrayInTable(Fertiliser_SourceData.Fertiliser_Products_Data1(),FertiliserProducts[[#Headers],[Include or Exclude]], 0,4)</f>
        <v/>
      </c>
      <c r="AC133" s="111" t="str" cm="1">
        <f t="array" ref="AC133">Common_InputFunctions.Utility_DisplayArrayInTable(Fertiliser_SourceData.Fertiliser_Products_Data1(),FertiliserProducts[[#Headers],[Include or Exclude]], 0,4)</f>
        <v/>
      </c>
      <c r="AD133" s="111" t="str" cm="1">
        <f t="array" ref="AD133">Common_InputFunctions.Utility_DisplayArrayInTable(Fertiliser_SourceData.Fertiliser_Products_Data1(),FertiliserProducts[[#Headers],[Include or Exclude]], 0,4)</f>
        <v/>
      </c>
      <c r="AE133" s="111" t="str" cm="1">
        <f t="array" ref="AE133">Common_InputFunctions.Utility_DisplayArrayInTable(Fertiliser_SourceData.Fertiliser_Products_Data1(),FertiliserProducts[[#Headers],[Include or Exclude]], 0,4)</f>
        <v/>
      </c>
    </row>
    <row r="134" spans="4:31" ht="20.100000000000001" customHeight="1" x14ac:dyDescent="0.25">
      <c r="D134" s="111" t="str" cm="1">
        <f t="array" ref="D134">Common_InputFunctions.Utility_DisplayArrayInTable(Fertiliser_SourceData.Fertiliser_Products_Data1(),FertiliserProducts[[#Headers],[Include or Exclude]], -1)</f>
        <v/>
      </c>
      <c r="E134" s="111" t="str" cm="1">
        <f t="array" ref="E134">Common_InputFunctions.Utility_DisplayArrayInTable(Fertiliser_SourceData.Fertiliser_Products_Data1(),FertiliserProducts[[#Headers],[Include or Exclude]], 0)</f>
        <v/>
      </c>
      <c r="F134" s="111" t="str" cm="1">
        <f t="array" ref="F134">Common_InputFunctions.Utility_DisplayArrayInTable(Fertiliser_SourceData.Fertiliser_Products_Data1(),FertiliserProducts[[#Headers],[Include or Exclude]], 0)</f>
        <v/>
      </c>
      <c r="G134" s="111" t="str" cm="1">
        <f t="array" ref="G134">Common_InputFunctions.Utility_DisplayArrayInTable(Fertiliser_SourceData.Fertiliser_Products_Data1(),FertiliserProducts[[#Headers],[Include or Exclude]], 0)</f>
        <v/>
      </c>
      <c r="H134" s="111" t="str" cm="1">
        <f t="array" ref="H134">Common_InputFunctions.Utility_DisplayArrayInTable(Fertiliser_SourceData.Fertiliser_Products_Data1(),FertiliserProducts[[#Headers],[Include or Exclude]], 0,4)</f>
        <v/>
      </c>
      <c r="I134" s="111" t="str" cm="1">
        <f t="array" ref="I134">Common_InputFunctions.Utility_DisplayArrayInTable(Fertiliser_SourceData.Fertiliser_Products_Data1(),FertiliserProducts[[#Headers],[Include or Exclude]], 0,4)</f>
        <v/>
      </c>
      <c r="J134" s="111" t="str" cm="1">
        <f t="array" ref="J134">Common_InputFunctions.Utility_DisplayArrayInTable(Fertiliser_SourceData.Fertiliser_Products_Data1(),FertiliserProducts[[#Headers],[Include or Exclude]], 0,4)</f>
        <v/>
      </c>
      <c r="K134" s="111" t="str" cm="1">
        <f t="array" ref="K134">Common_InputFunctions.Utility_DisplayArrayInTable(Fertiliser_SourceData.Fertiliser_Products_Data1(),FertiliserProducts[[#Headers],[Include or Exclude]], 0,4)</f>
        <v/>
      </c>
      <c r="L134" s="111" t="str" cm="1">
        <f t="array" ref="L134">Common_InputFunctions.Utility_DisplayArrayInTable(Fertiliser_SourceData.Fertiliser_Products_Data1(),FertiliserProducts[[#Headers],[Include or Exclude]], 0,4)</f>
        <v/>
      </c>
      <c r="M134" s="111" t="str" cm="1">
        <f t="array" ref="M134">Common_InputFunctions.Utility_DisplayArrayInTable(Fertiliser_SourceData.Fertiliser_Products_Data1(),FertiliserProducts[[#Headers],[Include or Exclude]], 0,4)</f>
        <v/>
      </c>
      <c r="N134" s="111" t="str" cm="1">
        <f t="array" ref="N134">Common_InputFunctions.Utility_DisplayArrayInTable(Fertiliser_SourceData.Fertiliser_Products_Data1(),FertiliserProducts[[#Headers],[Include or Exclude]], 0,4)</f>
        <v/>
      </c>
      <c r="O134" s="111" t="str" cm="1">
        <f t="array" ref="O134">Common_InputFunctions.Utility_DisplayArrayInTable(Fertiliser_SourceData.Fertiliser_Products_Data1(),FertiliserProducts[[#Headers],[Include or Exclude]], 0,4)</f>
        <v/>
      </c>
      <c r="P134" s="111" t="str" cm="1">
        <f t="array" ref="P134">Common_InputFunctions.Utility_DisplayArrayInTable(Fertiliser_SourceData.Fertiliser_Products_Data1(),FertiliserProducts[[#Headers],[Include or Exclude]], 0,4)</f>
        <v/>
      </c>
      <c r="Q134" s="111" t="str" cm="1">
        <f t="array" ref="Q134">Common_InputFunctions.Utility_DisplayArrayInTable(Fertiliser_SourceData.Fertiliser_Products_Data1(),FertiliserProducts[[#Headers],[Include or Exclude]], 0,4)</f>
        <v/>
      </c>
      <c r="R134" s="111" t="str" cm="1">
        <f t="array" ref="R134">Common_InputFunctions.Utility_DisplayArrayInTable(Fertiliser_SourceData.Fertiliser_Products_Data1(),FertiliserProducts[[#Headers],[Include or Exclude]], 0,4)</f>
        <v/>
      </c>
      <c r="S134" s="111" t="str" cm="1">
        <f t="array" ref="S134">Common_InputFunctions.Utility_DisplayArrayInTable(Fertiliser_SourceData.Fertiliser_Products_Data1(),FertiliserProducts[[#Headers],[Include or Exclude]], 0,4)</f>
        <v/>
      </c>
      <c r="T134" s="111" t="str" cm="1">
        <f t="array" ref="T134">Common_InputFunctions.Utility_DisplayArrayInTable(Fertiliser_SourceData.Fertiliser_Products_Data1(),FertiliserProducts[[#Headers],[Include or Exclude]], 0,4)</f>
        <v/>
      </c>
      <c r="U134" s="111" t="str" cm="1">
        <f t="array" ref="U134">Common_InputFunctions.Utility_DisplayArrayInTable(Fertiliser_SourceData.Fertiliser_Products_Data1(),FertiliserProducts[[#Headers],[Include or Exclude]], 0,4)</f>
        <v/>
      </c>
      <c r="V134" s="111" t="str" cm="1">
        <f t="array" ref="V134">Common_InputFunctions.Utility_DisplayArrayInTable(Fertiliser_SourceData.Fertiliser_Products_Data1(),FertiliserProducts[[#Headers],[Include or Exclude]], 0,4)</f>
        <v/>
      </c>
      <c r="W134" s="111" t="str" cm="1">
        <f t="array" ref="W134">Common_InputFunctions.Utility_DisplayArrayInTable(Fertiliser_SourceData.Fertiliser_Products_Data1(),FertiliserProducts[[#Headers],[Include or Exclude]], 0,4)</f>
        <v/>
      </c>
      <c r="X134" s="111" t="str" cm="1">
        <f t="array" ref="X134">Common_InputFunctions.Utility_DisplayArrayInTable(Fertiliser_SourceData.Fertiliser_Products_Data1(),FertiliserProducts[[#Headers],[Include or Exclude]], 0,4)</f>
        <v/>
      </c>
      <c r="Y134" s="111" t="str" cm="1">
        <f t="array" ref="Y134">Common_InputFunctions.Utility_DisplayArrayInTable(Fertiliser_SourceData.Fertiliser_Products_Data1(),FertiliserProducts[[#Headers],[Include or Exclude]], 0,4)</f>
        <v/>
      </c>
      <c r="Z134" s="111" t="str" cm="1">
        <f t="array" ref="Z134">Common_InputFunctions.Utility_DisplayArrayInTable(Fertiliser_SourceData.Fertiliser_Products_Data1(),FertiliserProducts[[#Headers],[Include or Exclude]], 0,4)</f>
        <v/>
      </c>
      <c r="AA134" s="111" t="str" cm="1">
        <f t="array" ref="AA134">Common_InputFunctions.Utility_DisplayArrayInTable(Fertiliser_SourceData.Fertiliser_Products_Data1(),FertiliserProducts[[#Headers],[Include or Exclude]], 0,4)</f>
        <v/>
      </c>
      <c r="AB134" s="111" t="str" cm="1">
        <f t="array" ref="AB134">Common_InputFunctions.Utility_DisplayArrayInTable(Fertiliser_SourceData.Fertiliser_Products_Data1(),FertiliserProducts[[#Headers],[Include or Exclude]], 0,4)</f>
        <v/>
      </c>
      <c r="AC134" s="111" t="str" cm="1">
        <f t="array" ref="AC134">Common_InputFunctions.Utility_DisplayArrayInTable(Fertiliser_SourceData.Fertiliser_Products_Data1(),FertiliserProducts[[#Headers],[Include or Exclude]], 0,4)</f>
        <v/>
      </c>
      <c r="AD134" s="111" t="str" cm="1">
        <f t="array" ref="AD134">Common_InputFunctions.Utility_DisplayArrayInTable(Fertiliser_SourceData.Fertiliser_Products_Data1(),FertiliserProducts[[#Headers],[Include or Exclude]], 0,4)</f>
        <v/>
      </c>
      <c r="AE134" s="111" t="str" cm="1">
        <f t="array" ref="AE134">Common_InputFunctions.Utility_DisplayArrayInTable(Fertiliser_SourceData.Fertiliser_Products_Data1(),FertiliserProducts[[#Headers],[Include or Exclude]], 0,4)</f>
        <v/>
      </c>
    </row>
    <row r="135" spans="4:31" ht="20.100000000000001" customHeight="1" x14ac:dyDescent="0.25">
      <c r="D135" s="111" t="str" cm="1">
        <f t="array" ref="D135">Common_InputFunctions.Utility_DisplayArrayInTable(Fertiliser_SourceData.Fertiliser_Products_Data1(),FertiliserProducts[[#Headers],[Include or Exclude]], -1)</f>
        <v/>
      </c>
      <c r="E135" s="111" t="str" cm="1">
        <f t="array" ref="E135">Common_InputFunctions.Utility_DisplayArrayInTable(Fertiliser_SourceData.Fertiliser_Products_Data1(),FertiliserProducts[[#Headers],[Include or Exclude]], 0)</f>
        <v/>
      </c>
      <c r="F135" s="111" t="str" cm="1">
        <f t="array" ref="F135">Common_InputFunctions.Utility_DisplayArrayInTable(Fertiliser_SourceData.Fertiliser_Products_Data1(),FertiliserProducts[[#Headers],[Include or Exclude]], 0)</f>
        <v/>
      </c>
      <c r="G135" s="111" t="str" cm="1">
        <f t="array" ref="G135">Common_InputFunctions.Utility_DisplayArrayInTable(Fertiliser_SourceData.Fertiliser_Products_Data1(),FertiliserProducts[[#Headers],[Include or Exclude]], 0)</f>
        <v/>
      </c>
      <c r="H135" s="111" t="str" cm="1">
        <f t="array" ref="H135">Common_InputFunctions.Utility_DisplayArrayInTable(Fertiliser_SourceData.Fertiliser_Products_Data1(),FertiliserProducts[[#Headers],[Include or Exclude]], 0,4)</f>
        <v/>
      </c>
      <c r="I135" s="111" t="str" cm="1">
        <f t="array" ref="I135">Common_InputFunctions.Utility_DisplayArrayInTable(Fertiliser_SourceData.Fertiliser_Products_Data1(),FertiliserProducts[[#Headers],[Include or Exclude]], 0,4)</f>
        <v/>
      </c>
      <c r="J135" s="111" t="str" cm="1">
        <f t="array" ref="J135">Common_InputFunctions.Utility_DisplayArrayInTable(Fertiliser_SourceData.Fertiliser_Products_Data1(),FertiliserProducts[[#Headers],[Include or Exclude]], 0,4)</f>
        <v/>
      </c>
      <c r="K135" s="111" t="str" cm="1">
        <f t="array" ref="K135">Common_InputFunctions.Utility_DisplayArrayInTable(Fertiliser_SourceData.Fertiliser_Products_Data1(),FertiliserProducts[[#Headers],[Include or Exclude]], 0,4)</f>
        <v/>
      </c>
      <c r="L135" s="111" t="str" cm="1">
        <f t="array" ref="L135">Common_InputFunctions.Utility_DisplayArrayInTable(Fertiliser_SourceData.Fertiliser_Products_Data1(),FertiliserProducts[[#Headers],[Include or Exclude]], 0,4)</f>
        <v/>
      </c>
      <c r="M135" s="111" t="str" cm="1">
        <f t="array" ref="M135">Common_InputFunctions.Utility_DisplayArrayInTable(Fertiliser_SourceData.Fertiliser_Products_Data1(),FertiliserProducts[[#Headers],[Include or Exclude]], 0,4)</f>
        <v/>
      </c>
      <c r="N135" s="111" t="str" cm="1">
        <f t="array" ref="N135">Common_InputFunctions.Utility_DisplayArrayInTable(Fertiliser_SourceData.Fertiliser_Products_Data1(),FertiliserProducts[[#Headers],[Include or Exclude]], 0,4)</f>
        <v/>
      </c>
      <c r="O135" s="111" t="str" cm="1">
        <f t="array" ref="O135">Common_InputFunctions.Utility_DisplayArrayInTable(Fertiliser_SourceData.Fertiliser_Products_Data1(),FertiliserProducts[[#Headers],[Include or Exclude]], 0,4)</f>
        <v/>
      </c>
      <c r="P135" s="111" t="str" cm="1">
        <f t="array" ref="P135">Common_InputFunctions.Utility_DisplayArrayInTable(Fertiliser_SourceData.Fertiliser_Products_Data1(),FertiliserProducts[[#Headers],[Include or Exclude]], 0,4)</f>
        <v/>
      </c>
      <c r="Q135" s="111" t="str" cm="1">
        <f t="array" ref="Q135">Common_InputFunctions.Utility_DisplayArrayInTable(Fertiliser_SourceData.Fertiliser_Products_Data1(),FertiliserProducts[[#Headers],[Include or Exclude]], 0,4)</f>
        <v/>
      </c>
      <c r="R135" s="111" t="str" cm="1">
        <f t="array" ref="R135">Common_InputFunctions.Utility_DisplayArrayInTable(Fertiliser_SourceData.Fertiliser_Products_Data1(),FertiliserProducts[[#Headers],[Include or Exclude]], 0,4)</f>
        <v/>
      </c>
      <c r="S135" s="111" t="str" cm="1">
        <f t="array" ref="S135">Common_InputFunctions.Utility_DisplayArrayInTable(Fertiliser_SourceData.Fertiliser_Products_Data1(),FertiliserProducts[[#Headers],[Include or Exclude]], 0,4)</f>
        <v/>
      </c>
      <c r="T135" s="111" t="str" cm="1">
        <f t="array" ref="T135">Common_InputFunctions.Utility_DisplayArrayInTable(Fertiliser_SourceData.Fertiliser_Products_Data1(),FertiliserProducts[[#Headers],[Include or Exclude]], 0,4)</f>
        <v/>
      </c>
      <c r="U135" s="111" t="str" cm="1">
        <f t="array" ref="U135">Common_InputFunctions.Utility_DisplayArrayInTable(Fertiliser_SourceData.Fertiliser_Products_Data1(),FertiliserProducts[[#Headers],[Include or Exclude]], 0,4)</f>
        <v/>
      </c>
      <c r="V135" s="111" t="str" cm="1">
        <f t="array" ref="V135">Common_InputFunctions.Utility_DisplayArrayInTable(Fertiliser_SourceData.Fertiliser_Products_Data1(),FertiliserProducts[[#Headers],[Include or Exclude]], 0,4)</f>
        <v/>
      </c>
      <c r="W135" s="111" t="str" cm="1">
        <f t="array" ref="W135">Common_InputFunctions.Utility_DisplayArrayInTable(Fertiliser_SourceData.Fertiliser_Products_Data1(),FertiliserProducts[[#Headers],[Include or Exclude]], 0,4)</f>
        <v/>
      </c>
      <c r="X135" s="111" t="str" cm="1">
        <f t="array" ref="X135">Common_InputFunctions.Utility_DisplayArrayInTable(Fertiliser_SourceData.Fertiliser_Products_Data1(),FertiliserProducts[[#Headers],[Include or Exclude]], 0,4)</f>
        <v/>
      </c>
      <c r="Y135" s="111" t="str" cm="1">
        <f t="array" ref="Y135">Common_InputFunctions.Utility_DisplayArrayInTable(Fertiliser_SourceData.Fertiliser_Products_Data1(),FertiliserProducts[[#Headers],[Include or Exclude]], 0,4)</f>
        <v/>
      </c>
      <c r="Z135" s="111" t="str" cm="1">
        <f t="array" ref="Z135">Common_InputFunctions.Utility_DisplayArrayInTable(Fertiliser_SourceData.Fertiliser_Products_Data1(),FertiliserProducts[[#Headers],[Include or Exclude]], 0,4)</f>
        <v/>
      </c>
      <c r="AA135" s="111" t="str" cm="1">
        <f t="array" ref="AA135">Common_InputFunctions.Utility_DisplayArrayInTable(Fertiliser_SourceData.Fertiliser_Products_Data1(),FertiliserProducts[[#Headers],[Include or Exclude]], 0,4)</f>
        <v/>
      </c>
      <c r="AB135" s="111" t="str" cm="1">
        <f t="array" ref="AB135">Common_InputFunctions.Utility_DisplayArrayInTable(Fertiliser_SourceData.Fertiliser_Products_Data1(),FertiliserProducts[[#Headers],[Include or Exclude]], 0,4)</f>
        <v/>
      </c>
      <c r="AC135" s="111" t="str" cm="1">
        <f t="array" ref="AC135">Common_InputFunctions.Utility_DisplayArrayInTable(Fertiliser_SourceData.Fertiliser_Products_Data1(),FertiliserProducts[[#Headers],[Include or Exclude]], 0,4)</f>
        <v/>
      </c>
      <c r="AD135" s="111" t="str" cm="1">
        <f t="array" ref="AD135">Common_InputFunctions.Utility_DisplayArrayInTable(Fertiliser_SourceData.Fertiliser_Products_Data1(),FertiliserProducts[[#Headers],[Include or Exclude]], 0,4)</f>
        <v/>
      </c>
      <c r="AE135" s="111" t="str" cm="1">
        <f t="array" ref="AE135">Common_InputFunctions.Utility_DisplayArrayInTable(Fertiliser_SourceData.Fertiliser_Products_Data1(),FertiliserProducts[[#Headers],[Include or Exclude]], 0,4)</f>
        <v/>
      </c>
    </row>
    <row r="136" spans="4:31" ht="20.100000000000001" customHeight="1" x14ac:dyDescent="0.25">
      <c r="D136" s="111" t="str" cm="1">
        <f t="array" ref="D136">Common_InputFunctions.Utility_DisplayArrayInTable(Fertiliser_SourceData.Fertiliser_Products_Data1(),FertiliserProducts[[#Headers],[Include or Exclude]], -1)</f>
        <v/>
      </c>
      <c r="E136" s="111" t="str" cm="1">
        <f t="array" ref="E136">Common_InputFunctions.Utility_DisplayArrayInTable(Fertiliser_SourceData.Fertiliser_Products_Data1(),FertiliserProducts[[#Headers],[Include or Exclude]], 0)</f>
        <v/>
      </c>
      <c r="F136" s="111" t="str" cm="1">
        <f t="array" ref="F136">Common_InputFunctions.Utility_DisplayArrayInTable(Fertiliser_SourceData.Fertiliser_Products_Data1(),FertiliserProducts[[#Headers],[Include or Exclude]], 0)</f>
        <v/>
      </c>
      <c r="G136" s="111" t="str" cm="1">
        <f t="array" ref="G136">Common_InputFunctions.Utility_DisplayArrayInTable(Fertiliser_SourceData.Fertiliser_Products_Data1(),FertiliserProducts[[#Headers],[Include or Exclude]], 0)</f>
        <v/>
      </c>
      <c r="H136" s="111" t="str" cm="1">
        <f t="array" ref="H136">Common_InputFunctions.Utility_DisplayArrayInTable(Fertiliser_SourceData.Fertiliser_Products_Data1(),FertiliserProducts[[#Headers],[Include or Exclude]], 0,4)</f>
        <v/>
      </c>
      <c r="I136" s="111" t="str" cm="1">
        <f t="array" ref="I136">Common_InputFunctions.Utility_DisplayArrayInTable(Fertiliser_SourceData.Fertiliser_Products_Data1(),FertiliserProducts[[#Headers],[Include or Exclude]], 0,4)</f>
        <v/>
      </c>
      <c r="J136" s="111" t="str" cm="1">
        <f t="array" ref="J136">Common_InputFunctions.Utility_DisplayArrayInTable(Fertiliser_SourceData.Fertiliser_Products_Data1(),FertiliserProducts[[#Headers],[Include or Exclude]], 0,4)</f>
        <v/>
      </c>
      <c r="K136" s="111" t="str" cm="1">
        <f t="array" ref="K136">Common_InputFunctions.Utility_DisplayArrayInTable(Fertiliser_SourceData.Fertiliser_Products_Data1(),FertiliserProducts[[#Headers],[Include or Exclude]], 0,4)</f>
        <v/>
      </c>
      <c r="L136" s="111" t="str" cm="1">
        <f t="array" ref="L136">Common_InputFunctions.Utility_DisplayArrayInTable(Fertiliser_SourceData.Fertiliser_Products_Data1(),FertiliserProducts[[#Headers],[Include or Exclude]], 0,4)</f>
        <v/>
      </c>
      <c r="M136" s="111" t="str" cm="1">
        <f t="array" ref="M136">Common_InputFunctions.Utility_DisplayArrayInTable(Fertiliser_SourceData.Fertiliser_Products_Data1(),FertiliserProducts[[#Headers],[Include or Exclude]], 0,4)</f>
        <v/>
      </c>
      <c r="N136" s="111" t="str" cm="1">
        <f t="array" ref="N136">Common_InputFunctions.Utility_DisplayArrayInTable(Fertiliser_SourceData.Fertiliser_Products_Data1(),FertiliserProducts[[#Headers],[Include or Exclude]], 0,4)</f>
        <v/>
      </c>
      <c r="O136" s="111" t="str" cm="1">
        <f t="array" ref="O136">Common_InputFunctions.Utility_DisplayArrayInTable(Fertiliser_SourceData.Fertiliser_Products_Data1(),FertiliserProducts[[#Headers],[Include or Exclude]], 0,4)</f>
        <v/>
      </c>
      <c r="P136" s="111" t="str" cm="1">
        <f t="array" ref="P136">Common_InputFunctions.Utility_DisplayArrayInTable(Fertiliser_SourceData.Fertiliser_Products_Data1(),FertiliserProducts[[#Headers],[Include or Exclude]], 0,4)</f>
        <v/>
      </c>
      <c r="Q136" s="111" t="str" cm="1">
        <f t="array" ref="Q136">Common_InputFunctions.Utility_DisplayArrayInTable(Fertiliser_SourceData.Fertiliser_Products_Data1(),FertiliserProducts[[#Headers],[Include or Exclude]], 0,4)</f>
        <v/>
      </c>
      <c r="R136" s="111" t="str" cm="1">
        <f t="array" ref="R136">Common_InputFunctions.Utility_DisplayArrayInTable(Fertiliser_SourceData.Fertiliser_Products_Data1(),FertiliserProducts[[#Headers],[Include or Exclude]], 0,4)</f>
        <v/>
      </c>
      <c r="S136" s="111" t="str" cm="1">
        <f t="array" ref="S136">Common_InputFunctions.Utility_DisplayArrayInTable(Fertiliser_SourceData.Fertiliser_Products_Data1(),FertiliserProducts[[#Headers],[Include or Exclude]], 0,4)</f>
        <v/>
      </c>
      <c r="T136" s="111" t="str" cm="1">
        <f t="array" ref="T136">Common_InputFunctions.Utility_DisplayArrayInTable(Fertiliser_SourceData.Fertiliser_Products_Data1(),FertiliserProducts[[#Headers],[Include or Exclude]], 0,4)</f>
        <v/>
      </c>
      <c r="U136" s="111" t="str" cm="1">
        <f t="array" ref="U136">Common_InputFunctions.Utility_DisplayArrayInTable(Fertiliser_SourceData.Fertiliser_Products_Data1(),FertiliserProducts[[#Headers],[Include or Exclude]], 0,4)</f>
        <v/>
      </c>
      <c r="V136" s="111" t="str" cm="1">
        <f t="array" ref="V136">Common_InputFunctions.Utility_DisplayArrayInTable(Fertiliser_SourceData.Fertiliser_Products_Data1(),FertiliserProducts[[#Headers],[Include or Exclude]], 0,4)</f>
        <v/>
      </c>
      <c r="W136" s="111" t="str" cm="1">
        <f t="array" ref="W136">Common_InputFunctions.Utility_DisplayArrayInTable(Fertiliser_SourceData.Fertiliser_Products_Data1(),FertiliserProducts[[#Headers],[Include or Exclude]], 0,4)</f>
        <v/>
      </c>
      <c r="X136" s="111" t="str" cm="1">
        <f t="array" ref="X136">Common_InputFunctions.Utility_DisplayArrayInTable(Fertiliser_SourceData.Fertiliser_Products_Data1(),FertiliserProducts[[#Headers],[Include or Exclude]], 0,4)</f>
        <v/>
      </c>
      <c r="Y136" s="111" t="str" cm="1">
        <f t="array" ref="Y136">Common_InputFunctions.Utility_DisplayArrayInTable(Fertiliser_SourceData.Fertiliser_Products_Data1(),FertiliserProducts[[#Headers],[Include or Exclude]], 0,4)</f>
        <v/>
      </c>
      <c r="Z136" s="111" t="str" cm="1">
        <f t="array" ref="Z136">Common_InputFunctions.Utility_DisplayArrayInTable(Fertiliser_SourceData.Fertiliser_Products_Data1(),FertiliserProducts[[#Headers],[Include or Exclude]], 0,4)</f>
        <v/>
      </c>
      <c r="AA136" s="111" t="str" cm="1">
        <f t="array" ref="AA136">Common_InputFunctions.Utility_DisplayArrayInTable(Fertiliser_SourceData.Fertiliser_Products_Data1(),FertiliserProducts[[#Headers],[Include or Exclude]], 0,4)</f>
        <v/>
      </c>
      <c r="AB136" s="111" t="str" cm="1">
        <f t="array" ref="AB136">Common_InputFunctions.Utility_DisplayArrayInTable(Fertiliser_SourceData.Fertiliser_Products_Data1(),FertiliserProducts[[#Headers],[Include or Exclude]], 0,4)</f>
        <v/>
      </c>
      <c r="AC136" s="111" t="str" cm="1">
        <f t="array" ref="AC136">Common_InputFunctions.Utility_DisplayArrayInTable(Fertiliser_SourceData.Fertiliser_Products_Data1(),FertiliserProducts[[#Headers],[Include or Exclude]], 0,4)</f>
        <v/>
      </c>
      <c r="AD136" s="111" t="str" cm="1">
        <f t="array" ref="AD136">Common_InputFunctions.Utility_DisplayArrayInTable(Fertiliser_SourceData.Fertiliser_Products_Data1(),FertiliserProducts[[#Headers],[Include or Exclude]], 0,4)</f>
        <v/>
      </c>
      <c r="AE136" s="111" t="str" cm="1">
        <f t="array" ref="AE136">Common_InputFunctions.Utility_DisplayArrayInTable(Fertiliser_SourceData.Fertiliser_Products_Data1(),FertiliserProducts[[#Headers],[Include or Exclude]], 0,4)</f>
        <v/>
      </c>
    </row>
    <row r="137" spans="4:31" ht="20.100000000000001" customHeight="1" x14ac:dyDescent="0.25">
      <c r="D137" s="111" t="str" cm="1">
        <f t="array" ref="D137">Common_InputFunctions.Utility_DisplayArrayInTable(Fertiliser_SourceData.Fertiliser_Products_Data1(),FertiliserProducts[[#Headers],[Include or Exclude]], -1)</f>
        <v/>
      </c>
      <c r="E137" s="111" t="str" cm="1">
        <f t="array" ref="E137">Common_InputFunctions.Utility_DisplayArrayInTable(Fertiliser_SourceData.Fertiliser_Products_Data1(),FertiliserProducts[[#Headers],[Include or Exclude]], 0)</f>
        <v/>
      </c>
      <c r="F137" s="111" t="str" cm="1">
        <f t="array" ref="F137">Common_InputFunctions.Utility_DisplayArrayInTable(Fertiliser_SourceData.Fertiliser_Products_Data1(),FertiliserProducts[[#Headers],[Include or Exclude]], 0)</f>
        <v/>
      </c>
      <c r="G137" s="111" t="str" cm="1">
        <f t="array" ref="G137">Common_InputFunctions.Utility_DisplayArrayInTable(Fertiliser_SourceData.Fertiliser_Products_Data1(),FertiliserProducts[[#Headers],[Include or Exclude]], 0)</f>
        <v/>
      </c>
      <c r="H137" s="111" t="str" cm="1">
        <f t="array" ref="H137">Common_InputFunctions.Utility_DisplayArrayInTable(Fertiliser_SourceData.Fertiliser_Products_Data1(),FertiliserProducts[[#Headers],[Include or Exclude]], 0,4)</f>
        <v/>
      </c>
      <c r="I137" s="111" t="str" cm="1">
        <f t="array" ref="I137">Common_InputFunctions.Utility_DisplayArrayInTable(Fertiliser_SourceData.Fertiliser_Products_Data1(),FertiliserProducts[[#Headers],[Include or Exclude]], 0,4)</f>
        <v/>
      </c>
      <c r="J137" s="111" t="str" cm="1">
        <f t="array" ref="J137">Common_InputFunctions.Utility_DisplayArrayInTable(Fertiliser_SourceData.Fertiliser_Products_Data1(),FertiliserProducts[[#Headers],[Include or Exclude]], 0,4)</f>
        <v/>
      </c>
      <c r="K137" s="111" t="str" cm="1">
        <f t="array" ref="K137">Common_InputFunctions.Utility_DisplayArrayInTable(Fertiliser_SourceData.Fertiliser_Products_Data1(),FertiliserProducts[[#Headers],[Include or Exclude]], 0,4)</f>
        <v/>
      </c>
      <c r="L137" s="111" t="str" cm="1">
        <f t="array" ref="L137">Common_InputFunctions.Utility_DisplayArrayInTable(Fertiliser_SourceData.Fertiliser_Products_Data1(),FertiliserProducts[[#Headers],[Include or Exclude]], 0,4)</f>
        <v/>
      </c>
      <c r="M137" s="111" t="str" cm="1">
        <f t="array" ref="M137">Common_InputFunctions.Utility_DisplayArrayInTable(Fertiliser_SourceData.Fertiliser_Products_Data1(),FertiliserProducts[[#Headers],[Include or Exclude]], 0,4)</f>
        <v/>
      </c>
      <c r="N137" s="111" t="str" cm="1">
        <f t="array" ref="N137">Common_InputFunctions.Utility_DisplayArrayInTable(Fertiliser_SourceData.Fertiliser_Products_Data1(),FertiliserProducts[[#Headers],[Include or Exclude]], 0,4)</f>
        <v/>
      </c>
      <c r="O137" s="111" t="str" cm="1">
        <f t="array" ref="O137">Common_InputFunctions.Utility_DisplayArrayInTable(Fertiliser_SourceData.Fertiliser_Products_Data1(),FertiliserProducts[[#Headers],[Include or Exclude]], 0,4)</f>
        <v/>
      </c>
      <c r="P137" s="111" t="str" cm="1">
        <f t="array" ref="P137">Common_InputFunctions.Utility_DisplayArrayInTable(Fertiliser_SourceData.Fertiliser_Products_Data1(),FertiliserProducts[[#Headers],[Include or Exclude]], 0,4)</f>
        <v/>
      </c>
      <c r="Q137" s="111" t="str" cm="1">
        <f t="array" ref="Q137">Common_InputFunctions.Utility_DisplayArrayInTable(Fertiliser_SourceData.Fertiliser_Products_Data1(),FertiliserProducts[[#Headers],[Include or Exclude]], 0,4)</f>
        <v/>
      </c>
      <c r="R137" s="111" t="str" cm="1">
        <f t="array" ref="R137">Common_InputFunctions.Utility_DisplayArrayInTable(Fertiliser_SourceData.Fertiliser_Products_Data1(),FertiliserProducts[[#Headers],[Include or Exclude]], 0,4)</f>
        <v/>
      </c>
      <c r="S137" s="111" t="str" cm="1">
        <f t="array" ref="S137">Common_InputFunctions.Utility_DisplayArrayInTable(Fertiliser_SourceData.Fertiliser_Products_Data1(),FertiliserProducts[[#Headers],[Include or Exclude]], 0,4)</f>
        <v/>
      </c>
      <c r="T137" s="111" t="str" cm="1">
        <f t="array" ref="T137">Common_InputFunctions.Utility_DisplayArrayInTable(Fertiliser_SourceData.Fertiliser_Products_Data1(),FertiliserProducts[[#Headers],[Include or Exclude]], 0,4)</f>
        <v/>
      </c>
      <c r="U137" s="111" t="str" cm="1">
        <f t="array" ref="U137">Common_InputFunctions.Utility_DisplayArrayInTable(Fertiliser_SourceData.Fertiliser_Products_Data1(),FertiliserProducts[[#Headers],[Include or Exclude]], 0,4)</f>
        <v/>
      </c>
      <c r="V137" s="111" t="str" cm="1">
        <f t="array" ref="V137">Common_InputFunctions.Utility_DisplayArrayInTable(Fertiliser_SourceData.Fertiliser_Products_Data1(),FertiliserProducts[[#Headers],[Include or Exclude]], 0,4)</f>
        <v/>
      </c>
      <c r="W137" s="111" t="str" cm="1">
        <f t="array" ref="W137">Common_InputFunctions.Utility_DisplayArrayInTable(Fertiliser_SourceData.Fertiliser_Products_Data1(),FertiliserProducts[[#Headers],[Include or Exclude]], 0,4)</f>
        <v/>
      </c>
      <c r="X137" s="111" t="str" cm="1">
        <f t="array" ref="X137">Common_InputFunctions.Utility_DisplayArrayInTable(Fertiliser_SourceData.Fertiliser_Products_Data1(),FertiliserProducts[[#Headers],[Include or Exclude]], 0,4)</f>
        <v/>
      </c>
      <c r="Y137" s="111" t="str" cm="1">
        <f t="array" ref="Y137">Common_InputFunctions.Utility_DisplayArrayInTable(Fertiliser_SourceData.Fertiliser_Products_Data1(),FertiliserProducts[[#Headers],[Include or Exclude]], 0,4)</f>
        <v/>
      </c>
      <c r="Z137" s="111" t="str" cm="1">
        <f t="array" ref="Z137">Common_InputFunctions.Utility_DisplayArrayInTable(Fertiliser_SourceData.Fertiliser_Products_Data1(),FertiliserProducts[[#Headers],[Include or Exclude]], 0,4)</f>
        <v/>
      </c>
      <c r="AA137" s="111" t="str" cm="1">
        <f t="array" ref="AA137">Common_InputFunctions.Utility_DisplayArrayInTable(Fertiliser_SourceData.Fertiliser_Products_Data1(),FertiliserProducts[[#Headers],[Include or Exclude]], 0,4)</f>
        <v/>
      </c>
      <c r="AB137" s="111" t="str" cm="1">
        <f t="array" ref="AB137">Common_InputFunctions.Utility_DisplayArrayInTable(Fertiliser_SourceData.Fertiliser_Products_Data1(),FertiliserProducts[[#Headers],[Include or Exclude]], 0,4)</f>
        <v/>
      </c>
      <c r="AC137" s="111" t="str" cm="1">
        <f t="array" ref="AC137">Common_InputFunctions.Utility_DisplayArrayInTable(Fertiliser_SourceData.Fertiliser_Products_Data1(),FertiliserProducts[[#Headers],[Include or Exclude]], 0,4)</f>
        <v/>
      </c>
      <c r="AD137" s="111" t="str" cm="1">
        <f t="array" ref="AD137">Common_InputFunctions.Utility_DisplayArrayInTable(Fertiliser_SourceData.Fertiliser_Products_Data1(),FertiliserProducts[[#Headers],[Include or Exclude]], 0,4)</f>
        <v/>
      </c>
      <c r="AE137" s="111" t="str" cm="1">
        <f t="array" ref="AE137">Common_InputFunctions.Utility_DisplayArrayInTable(Fertiliser_SourceData.Fertiliser_Products_Data1(),FertiliserProducts[[#Headers],[Include or Exclude]], 0,4)</f>
        <v/>
      </c>
    </row>
    <row r="138" spans="4:31" ht="20.100000000000001" customHeight="1" x14ac:dyDescent="0.25">
      <c r="D138" s="111" t="str" cm="1">
        <f t="array" ref="D138">Common_InputFunctions.Utility_DisplayArrayInTable(Fertiliser_SourceData.Fertiliser_Products_Data1(),FertiliserProducts[[#Headers],[Include or Exclude]], -1)</f>
        <v/>
      </c>
      <c r="E138" s="111" t="str" cm="1">
        <f t="array" ref="E138">Common_InputFunctions.Utility_DisplayArrayInTable(Fertiliser_SourceData.Fertiliser_Products_Data1(),FertiliserProducts[[#Headers],[Include or Exclude]], 0)</f>
        <v/>
      </c>
      <c r="F138" s="111" t="str" cm="1">
        <f t="array" ref="F138">Common_InputFunctions.Utility_DisplayArrayInTable(Fertiliser_SourceData.Fertiliser_Products_Data1(),FertiliserProducts[[#Headers],[Include or Exclude]], 0)</f>
        <v/>
      </c>
      <c r="G138" s="111" t="str" cm="1">
        <f t="array" ref="G138">Common_InputFunctions.Utility_DisplayArrayInTable(Fertiliser_SourceData.Fertiliser_Products_Data1(),FertiliserProducts[[#Headers],[Include or Exclude]], 0)</f>
        <v/>
      </c>
      <c r="H138" s="111" t="str" cm="1">
        <f t="array" ref="H138">Common_InputFunctions.Utility_DisplayArrayInTable(Fertiliser_SourceData.Fertiliser_Products_Data1(),FertiliserProducts[[#Headers],[Include or Exclude]], 0,4)</f>
        <v/>
      </c>
      <c r="I138" s="111" t="str" cm="1">
        <f t="array" ref="I138">Common_InputFunctions.Utility_DisplayArrayInTable(Fertiliser_SourceData.Fertiliser_Products_Data1(),FertiliserProducts[[#Headers],[Include or Exclude]], 0,4)</f>
        <v/>
      </c>
      <c r="J138" s="111" t="str" cm="1">
        <f t="array" ref="J138">Common_InputFunctions.Utility_DisplayArrayInTable(Fertiliser_SourceData.Fertiliser_Products_Data1(),FertiliserProducts[[#Headers],[Include or Exclude]], 0,4)</f>
        <v/>
      </c>
      <c r="K138" s="111" t="str" cm="1">
        <f t="array" ref="K138">Common_InputFunctions.Utility_DisplayArrayInTable(Fertiliser_SourceData.Fertiliser_Products_Data1(),FertiliserProducts[[#Headers],[Include or Exclude]], 0,4)</f>
        <v/>
      </c>
      <c r="L138" s="111" t="str" cm="1">
        <f t="array" ref="L138">Common_InputFunctions.Utility_DisplayArrayInTable(Fertiliser_SourceData.Fertiliser_Products_Data1(),FertiliserProducts[[#Headers],[Include or Exclude]], 0,4)</f>
        <v/>
      </c>
      <c r="M138" s="111" t="str" cm="1">
        <f t="array" ref="M138">Common_InputFunctions.Utility_DisplayArrayInTable(Fertiliser_SourceData.Fertiliser_Products_Data1(),FertiliserProducts[[#Headers],[Include or Exclude]], 0,4)</f>
        <v/>
      </c>
      <c r="N138" s="111" t="str" cm="1">
        <f t="array" ref="N138">Common_InputFunctions.Utility_DisplayArrayInTable(Fertiliser_SourceData.Fertiliser_Products_Data1(),FertiliserProducts[[#Headers],[Include or Exclude]], 0,4)</f>
        <v/>
      </c>
      <c r="O138" s="111" t="str" cm="1">
        <f t="array" ref="O138">Common_InputFunctions.Utility_DisplayArrayInTable(Fertiliser_SourceData.Fertiliser_Products_Data1(),FertiliserProducts[[#Headers],[Include or Exclude]], 0,4)</f>
        <v/>
      </c>
      <c r="P138" s="111" t="str" cm="1">
        <f t="array" ref="P138">Common_InputFunctions.Utility_DisplayArrayInTable(Fertiliser_SourceData.Fertiliser_Products_Data1(),FertiliserProducts[[#Headers],[Include or Exclude]], 0,4)</f>
        <v/>
      </c>
      <c r="Q138" s="111" t="str" cm="1">
        <f t="array" ref="Q138">Common_InputFunctions.Utility_DisplayArrayInTable(Fertiliser_SourceData.Fertiliser_Products_Data1(),FertiliserProducts[[#Headers],[Include or Exclude]], 0,4)</f>
        <v/>
      </c>
      <c r="R138" s="111" t="str" cm="1">
        <f t="array" ref="R138">Common_InputFunctions.Utility_DisplayArrayInTable(Fertiliser_SourceData.Fertiliser_Products_Data1(),FertiliserProducts[[#Headers],[Include or Exclude]], 0,4)</f>
        <v/>
      </c>
      <c r="S138" s="111" t="str" cm="1">
        <f t="array" ref="S138">Common_InputFunctions.Utility_DisplayArrayInTable(Fertiliser_SourceData.Fertiliser_Products_Data1(),FertiliserProducts[[#Headers],[Include or Exclude]], 0,4)</f>
        <v/>
      </c>
      <c r="T138" s="111" t="str" cm="1">
        <f t="array" ref="T138">Common_InputFunctions.Utility_DisplayArrayInTable(Fertiliser_SourceData.Fertiliser_Products_Data1(),FertiliserProducts[[#Headers],[Include or Exclude]], 0,4)</f>
        <v/>
      </c>
      <c r="U138" s="111" t="str" cm="1">
        <f t="array" ref="U138">Common_InputFunctions.Utility_DisplayArrayInTable(Fertiliser_SourceData.Fertiliser_Products_Data1(),FertiliserProducts[[#Headers],[Include or Exclude]], 0,4)</f>
        <v/>
      </c>
      <c r="V138" s="111" t="str" cm="1">
        <f t="array" ref="V138">Common_InputFunctions.Utility_DisplayArrayInTable(Fertiliser_SourceData.Fertiliser_Products_Data1(),FertiliserProducts[[#Headers],[Include or Exclude]], 0,4)</f>
        <v/>
      </c>
      <c r="W138" s="111" t="str" cm="1">
        <f t="array" ref="W138">Common_InputFunctions.Utility_DisplayArrayInTable(Fertiliser_SourceData.Fertiliser_Products_Data1(),FertiliserProducts[[#Headers],[Include or Exclude]], 0,4)</f>
        <v/>
      </c>
      <c r="X138" s="111" t="str" cm="1">
        <f t="array" ref="X138">Common_InputFunctions.Utility_DisplayArrayInTable(Fertiliser_SourceData.Fertiliser_Products_Data1(),FertiliserProducts[[#Headers],[Include or Exclude]], 0,4)</f>
        <v/>
      </c>
      <c r="Y138" s="111" t="str" cm="1">
        <f t="array" ref="Y138">Common_InputFunctions.Utility_DisplayArrayInTable(Fertiliser_SourceData.Fertiliser_Products_Data1(),FertiliserProducts[[#Headers],[Include or Exclude]], 0,4)</f>
        <v/>
      </c>
      <c r="Z138" s="111" t="str" cm="1">
        <f t="array" ref="Z138">Common_InputFunctions.Utility_DisplayArrayInTable(Fertiliser_SourceData.Fertiliser_Products_Data1(),FertiliserProducts[[#Headers],[Include or Exclude]], 0,4)</f>
        <v/>
      </c>
      <c r="AA138" s="111" t="str" cm="1">
        <f t="array" ref="AA138">Common_InputFunctions.Utility_DisplayArrayInTable(Fertiliser_SourceData.Fertiliser_Products_Data1(),FertiliserProducts[[#Headers],[Include or Exclude]], 0,4)</f>
        <v/>
      </c>
      <c r="AB138" s="111" t="str" cm="1">
        <f t="array" ref="AB138">Common_InputFunctions.Utility_DisplayArrayInTable(Fertiliser_SourceData.Fertiliser_Products_Data1(),FertiliserProducts[[#Headers],[Include or Exclude]], 0,4)</f>
        <v/>
      </c>
      <c r="AC138" s="111" t="str" cm="1">
        <f t="array" ref="AC138">Common_InputFunctions.Utility_DisplayArrayInTable(Fertiliser_SourceData.Fertiliser_Products_Data1(),FertiliserProducts[[#Headers],[Include or Exclude]], 0,4)</f>
        <v/>
      </c>
      <c r="AD138" s="111" t="str" cm="1">
        <f t="array" ref="AD138">Common_InputFunctions.Utility_DisplayArrayInTable(Fertiliser_SourceData.Fertiliser_Products_Data1(),FertiliserProducts[[#Headers],[Include or Exclude]], 0,4)</f>
        <v/>
      </c>
      <c r="AE138" s="111" t="str" cm="1">
        <f t="array" ref="AE138">Common_InputFunctions.Utility_DisplayArrayInTable(Fertiliser_SourceData.Fertiliser_Products_Data1(),FertiliserProducts[[#Headers],[Include or Exclude]], 0,4)</f>
        <v/>
      </c>
    </row>
    <row r="139" spans="4:31" ht="20.100000000000001" customHeight="1" x14ac:dyDescent="0.25">
      <c r="D139" s="111" t="str" cm="1">
        <f t="array" ref="D139">Common_InputFunctions.Utility_DisplayArrayInTable(Fertiliser_SourceData.Fertiliser_Products_Data1(),FertiliserProducts[[#Headers],[Include or Exclude]], -1)</f>
        <v/>
      </c>
      <c r="E139" s="111" t="str" cm="1">
        <f t="array" ref="E139">Common_InputFunctions.Utility_DisplayArrayInTable(Fertiliser_SourceData.Fertiliser_Products_Data1(),FertiliserProducts[[#Headers],[Include or Exclude]], 0)</f>
        <v/>
      </c>
      <c r="F139" s="111" t="str" cm="1">
        <f t="array" ref="F139">Common_InputFunctions.Utility_DisplayArrayInTable(Fertiliser_SourceData.Fertiliser_Products_Data1(),FertiliserProducts[[#Headers],[Include or Exclude]], 0)</f>
        <v/>
      </c>
      <c r="G139" s="111" t="str" cm="1">
        <f t="array" ref="G139">Common_InputFunctions.Utility_DisplayArrayInTable(Fertiliser_SourceData.Fertiliser_Products_Data1(),FertiliserProducts[[#Headers],[Include or Exclude]], 0)</f>
        <v/>
      </c>
      <c r="H139" s="111" t="str" cm="1">
        <f t="array" ref="H139">Common_InputFunctions.Utility_DisplayArrayInTable(Fertiliser_SourceData.Fertiliser_Products_Data1(),FertiliserProducts[[#Headers],[Include or Exclude]], 0,4)</f>
        <v/>
      </c>
      <c r="I139" s="111" t="str" cm="1">
        <f t="array" ref="I139">Common_InputFunctions.Utility_DisplayArrayInTable(Fertiliser_SourceData.Fertiliser_Products_Data1(),FertiliserProducts[[#Headers],[Include or Exclude]], 0,4)</f>
        <v/>
      </c>
      <c r="J139" s="111" t="str" cm="1">
        <f t="array" ref="J139">Common_InputFunctions.Utility_DisplayArrayInTable(Fertiliser_SourceData.Fertiliser_Products_Data1(),FertiliserProducts[[#Headers],[Include or Exclude]], 0,4)</f>
        <v/>
      </c>
      <c r="K139" s="111" t="str" cm="1">
        <f t="array" ref="K139">Common_InputFunctions.Utility_DisplayArrayInTable(Fertiliser_SourceData.Fertiliser_Products_Data1(),FertiliserProducts[[#Headers],[Include or Exclude]], 0,4)</f>
        <v/>
      </c>
      <c r="L139" s="111" t="str" cm="1">
        <f t="array" ref="L139">Common_InputFunctions.Utility_DisplayArrayInTable(Fertiliser_SourceData.Fertiliser_Products_Data1(),FertiliserProducts[[#Headers],[Include or Exclude]], 0,4)</f>
        <v/>
      </c>
      <c r="M139" s="111" t="str" cm="1">
        <f t="array" ref="M139">Common_InputFunctions.Utility_DisplayArrayInTable(Fertiliser_SourceData.Fertiliser_Products_Data1(),FertiliserProducts[[#Headers],[Include or Exclude]], 0,4)</f>
        <v/>
      </c>
      <c r="N139" s="111" t="str" cm="1">
        <f t="array" ref="N139">Common_InputFunctions.Utility_DisplayArrayInTable(Fertiliser_SourceData.Fertiliser_Products_Data1(),FertiliserProducts[[#Headers],[Include or Exclude]], 0,4)</f>
        <v/>
      </c>
      <c r="O139" s="111" t="str" cm="1">
        <f t="array" ref="O139">Common_InputFunctions.Utility_DisplayArrayInTable(Fertiliser_SourceData.Fertiliser_Products_Data1(),FertiliserProducts[[#Headers],[Include or Exclude]], 0,4)</f>
        <v/>
      </c>
      <c r="P139" s="111" t="str" cm="1">
        <f t="array" ref="P139">Common_InputFunctions.Utility_DisplayArrayInTable(Fertiliser_SourceData.Fertiliser_Products_Data1(),FertiliserProducts[[#Headers],[Include or Exclude]], 0,4)</f>
        <v/>
      </c>
      <c r="Q139" s="111" t="str" cm="1">
        <f t="array" ref="Q139">Common_InputFunctions.Utility_DisplayArrayInTable(Fertiliser_SourceData.Fertiliser_Products_Data1(),FertiliserProducts[[#Headers],[Include or Exclude]], 0,4)</f>
        <v/>
      </c>
      <c r="R139" s="111" t="str" cm="1">
        <f t="array" ref="R139">Common_InputFunctions.Utility_DisplayArrayInTable(Fertiliser_SourceData.Fertiliser_Products_Data1(),FertiliserProducts[[#Headers],[Include or Exclude]], 0,4)</f>
        <v/>
      </c>
      <c r="S139" s="111" t="str" cm="1">
        <f t="array" ref="S139">Common_InputFunctions.Utility_DisplayArrayInTable(Fertiliser_SourceData.Fertiliser_Products_Data1(),FertiliserProducts[[#Headers],[Include or Exclude]], 0,4)</f>
        <v/>
      </c>
      <c r="T139" s="111" t="str" cm="1">
        <f t="array" ref="T139">Common_InputFunctions.Utility_DisplayArrayInTable(Fertiliser_SourceData.Fertiliser_Products_Data1(),FertiliserProducts[[#Headers],[Include or Exclude]], 0,4)</f>
        <v/>
      </c>
      <c r="U139" s="111" t="str" cm="1">
        <f t="array" ref="U139">Common_InputFunctions.Utility_DisplayArrayInTable(Fertiliser_SourceData.Fertiliser_Products_Data1(),FertiliserProducts[[#Headers],[Include or Exclude]], 0,4)</f>
        <v/>
      </c>
      <c r="V139" s="111" t="str" cm="1">
        <f t="array" ref="V139">Common_InputFunctions.Utility_DisplayArrayInTable(Fertiliser_SourceData.Fertiliser_Products_Data1(),FertiliserProducts[[#Headers],[Include or Exclude]], 0,4)</f>
        <v/>
      </c>
      <c r="W139" s="111" t="str" cm="1">
        <f t="array" ref="W139">Common_InputFunctions.Utility_DisplayArrayInTable(Fertiliser_SourceData.Fertiliser_Products_Data1(),FertiliserProducts[[#Headers],[Include or Exclude]], 0,4)</f>
        <v/>
      </c>
      <c r="X139" s="111" t="str" cm="1">
        <f t="array" ref="X139">Common_InputFunctions.Utility_DisplayArrayInTable(Fertiliser_SourceData.Fertiliser_Products_Data1(),FertiliserProducts[[#Headers],[Include or Exclude]], 0,4)</f>
        <v/>
      </c>
      <c r="Y139" s="111" t="str" cm="1">
        <f t="array" ref="Y139">Common_InputFunctions.Utility_DisplayArrayInTable(Fertiliser_SourceData.Fertiliser_Products_Data1(),FertiliserProducts[[#Headers],[Include or Exclude]], 0,4)</f>
        <v/>
      </c>
      <c r="Z139" s="111" t="str" cm="1">
        <f t="array" ref="Z139">Common_InputFunctions.Utility_DisplayArrayInTable(Fertiliser_SourceData.Fertiliser_Products_Data1(),FertiliserProducts[[#Headers],[Include or Exclude]], 0,4)</f>
        <v/>
      </c>
      <c r="AA139" s="111" t="str" cm="1">
        <f t="array" ref="AA139">Common_InputFunctions.Utility_DisplayArrayInTable(Fertiliser_SourceData.Fertiliser_Products_Data1(),FertiliserProducts[[#Headers],[Include or Exclude]], 0,4)</f>
        <v/>
      </c>
      <c r="AB139" s="111" t="str" cm="1">
        <f t="array" ref="AB139">Common_InputFunctions.Utility_DisplayArrayInTable(Fertiliser_SourceData.Fertiliser_Products_Data1(),FertiliserProducts[[#Headers],[Include or Exclude]], 0,4)</f>
        <v/>
      </c>
      <c r="AC139" s="111" t="str" cm="1">
        <f t="array" ref="AC139">Common_InputFunctions.Utility_DisplayArrayInTable(Fertiliser_SourceData.Fertiliser_Products_Data1(),FertiliserProducts[[#Headers],[Include or Exclude]], 0,4)</f>
        <v/>
      </c>
      <c r="AD139" s="111" t="str" cm="1">
        <f t="array" ref="AD139">Common_InputFunctions.Utility_DisplayArrayInTable(Fertiliser_SourceData.Fertiliser_Products_Data1(),FertiliserProducts[[#Headers],[Include or Exclude]], 0,4)</f>
        <v/>
      </c>
      <c r="AE139" s="111" t="str" cm="1">
        <f t="array" ref="AE139">Common_InputFunctions.Utility_DisplayArrayInTable(Fertiliser_SourceData.Fertiliser_Products_Data1(),FertiliserProducts[[#Headers],[Include or Exclude]], 0,4)</f>
        <v/>
      </c>
    </row>
    <row r="140" spans="4:31" ht="20.100000000000001" customHeight="1" x14ac:dyDescent="0.25">
      <c r="D140" s="111" t="str" cm="1">
        <f t="array" ref="D140">Common_InputFunctions.Utility_DisplayArrayInTable(Fertiliser_SourceData.Fertiliser_Products_Data1(),FertiliserProducts[[#Headers],[Include or Exclude]], -1)</f>
        <v/>
      </c>
      <c r="E140" s="111" t="str" cm="1">
        <f t="array" ref="E140">Common_InputFunctions.Utility_DisplayArrayInTable(Fertiliser_SourceData.Fertiliser_Products_Data1(),FertiliserProducts[[#Headers],[Include or Exclude]], 0)</f>
        <v/>
      </c>
      <c r="F140" s="111" t="str" cm="1">
        <f t="array" ref="F140">Common_InputFunctions.Utility_DisplayArrayInTable(Fertiliser_SourceData.Fertiliser_Products_Data1(),FertiliserProducts[[#Headers],[Include or Exclude]], 0)</f>
        <v/>
      </c>
      <c r="G140" s="111" t="str" cm="1">
        <f t="array" ref="G140">Common_InputFunctions.Utility_DisplayArrayInTable(Fertiliser_SourceData.Fertiliser_Products_Data1(),FertiliserProducts[[#Headers],[Include or Exclude]], 0)</f>
        <v/>
      </c>
      <c r="H140" s="111" t="str" cm="1">
        <f t="array" ref="H140">Common_InputFunctions.Utility_DisplayArrayInTable(Fertiliser_SourceData.Fertiliser_Products_Data1(),FertiliserProducts[[#Headers],[Include or Exclude]], 0,4)</f>
        <v/>
      </c>
      <c r="I140" s="111" t="str" cm="1">
        <f t="array" ref="I140">Common_InputFunctions.Utility_DisplayArrayInTable(Fertiliser_SourceData.Fertiliser_Products_Data1(),FertiliserProducts[[#Headers],[Include or Exclude]], 0,4)</f>
        <v/>
      </c>
      <c r="J140" s="111" t="str" cm="1">
        <f t="array" ref="J140">Common_InputFunctions.Utility_DisplayArrayInTable(Fertiliser_SourceData.Fertiliser_Products_Data1(),FertiliserProducts[[#Headers],[Include or Exclude]], 0,4)</f>
        <v/>
      </c>
      <c r="K140" s="111" t="str" cm="1">
        <f t="array" ref="K140">Common_InputFunctions.Utility_DisplayArrayInTable(Fertiliser_SourceData.Fertiliser_Products_Data1(),FertiliserProducts[[#Headers],[Include or Exclude]], 0,4)</f>
        <v/>
      </c>
      <c r="L140" s="111" t="str" cm="1">
        <f t="array" ref="L140">Common_InputFunctions.Utility_DisplayArrayInTable(Fertiliser_SourceData.Fertiliser_Products_Data1(),FertiliserProducts[[#Headers],[Include or Exclude]], 0,4)</f>
        <v/>
      </c>
      <c r="M140" s="111" t="str" cm="1">
        <f t="array" ref="M140">Common_InputFunctions.Utility_DisplayArrayInTable(Fertiliser_SourceData.Fertiliser_Products_Data1(),FertiliserProducts[[#Headers],[Include or Exclude]], 0,4)</f>
        <v/>
      </c>
      <c r="N140" s="111" t="str" cm="1">
        <f t="array" ref="N140">Common_InputFunctions.Utility_DisplayArrayInTable(Fertiliser_SourceData.Fertiliser_Products_Data1(),FertiliserProducts[[#Headers],[Include or Exclude]], 0,4)</f>
        <v/>
      </c>
      <c r="O140" s="111" t="str" cm="1">
        <f t="array" ref="O140">Common_InputFunctions.Utility_DisplayArrayInTable(Fertiliser_SourceData.Fertiliser_Products_Data1(),FertiliserProducts[[#Headers],[Include or Exclude]], 0,4)</f>
        <v/>
      </c>
      <c r="P140" s="111" t="str" cm="1">
        <f t="array" ref="P140">Common_InputFunctions.Utility_DisplayArrayInTable(Fertiliser_SourceData.Fertiliser_Products_Data1(),FertiliserProducts[[#Headers],[Include or Exclude]], 0,4)</f>
        <v/>
      </c>
      <c r="Q140" s="111" t="str" cm="1">
        <f t="array" ref="Q140">Common_InputFunctions.Utility_DisplayArrayInTable(Fertiliser_SourceData.Fertiliser_Products_Data1(),FertiliserProducts[[#Headers],[Include or Exclude]], 0,4)</f>
        <v/>
      </c>
      <c r="R140" s="111" t="str" cm="1">
        <f t="array" ref="R140">Common_InputFunctions.Utility_DisplayArrayInTable(Fertiliser_SourceData.Fertiliser_Products_Data1(),FertiliserProducts[[#Headers],[Include or Exclude]], 0,4)</f>
        <v/>
      </c>
      <c r="S140" s="111" t="str" cm="1">
        <f t="array" ref="S140">Common_InputFunctions.Utility_DisplayArrayInTable(Fertiliser_SourceData.Fertiliser_Products_Data1(),FertiliserProducts[[#Headers],[Include or Exclude]], 0,4)</f>
        <v/>
      </c>
      <c r="T140" s="111" t="str" cm="1">
        <f t="array" ref="T140">Common_InputFunctions.Utility_DisplayArrayInTable(Fertiliser_SourceData.Fertiliser_Products_Data1(),FertiliserProducts[[#Headers],[Include or Exclude]], 0,4)</f>
        <v/>
      </c>
      <c r="U140" s="111" t="str" cm="1">
        <f t="array" ref="U140">Common_InputFunctions.Utility_DisplayArrayInTable(Fertiliser_SourceData.Fertiliser_Products_Data1(),FertiliserProducts[[#Headers],[Include or Exclude]], 0,4)</f>
        <v/>
      </c>
      <c r="V140" s="111" t="str" cm="1">
        <f t="array" ref="V140">Common_InputFunctions.Utility_DisplayArrayInTable(Fertiliser_SourceData.Fertiliser_Products_Data1(),FertiliserProducts[[#Headers],[Include or Exclude]], 0,4)</f>
        <v/>
      </c>
      <c r="W140" s="111" t="str" cm="1">
        <f t="array" ref="W140">Common_InputFunctions.Utility_DisplayArrayInTable(Fertiliser_SourceData.Fertiliser_Products_Data1(),FertiliserProducts[[#Headers],[Include or Exclude]], 0,4)</f>
        <v/>
      </c>
      <c r="X140" s="111" t="str" cm="1">
        <f t="array" ref="X140">Common_InputFunctions.Utility_DisplayArrayInTable(Fertiliser_SourceData.Fertiliser_Products_Data1(),FertiliserProducts[[#Headers],[Include or Exclude]], 0,4)</f>
        <v/>
      </c>
      <c r="Y140" s="111" t="str" cm="1">
        <f t="array" ref="Y140">Common_InputFunctions.Utility_DisplayArrayInTable(Fertiliser_SourceData.Fertiliser_Products_Data1(),FertiliserProducts[[#Headers],[Include or Exclude]], 0,4)</f>
        <v/>
      </c>
      <c r="Z140" s="111" t="str" cm="1">
        <f t="array" ref="Z140">Common_InputFunctions.Utility_DisplayArrayInTable(Fertiliser_SourceData.Fertiliser_Products_Data1(),FertiliserProducts[[#Headers],[Include or Exclude]], 0,4)</f>
        <v/>
      </c>
      <c r="AA140" s="111" t="str" cm="1">
        <f t="array" ref="AA140">Common_InputFunctions.Utility_DisplayArrayInTable(Fertiliser_SourceData.Fertiliser_Products_Data1(),FertiliserProducts[[#Headers],[Include or Exclude]], 0,4)</f>
        <v/>
      </c>
      <c r="AB140" s="111" t="str" cm="1">
        <f t="array" ref="AB140">Common_InputFunctions.Utility_DisplayArrayInTable(Fertiliser_SourceData.Fertiliser_Products_Data1(),FertiliserProducts[[#Headers],[Include or Exclude]], 0,4)</f>
        <v/>
      </c>
      <c r="AC140" s="111" t="str" cm="1">
        <f t="array" ref="AC140">Common_InputFunctions.Utility_DisplayArrayInTable(Fertiliser_SourceData.Fertiliser_Products_Data1(),FertiliserProducts[[#Headers],[Include or Exclude]], 0,4)</f>
        <v/>
      </c>
      <c r="AD140" s="111" t="str" cm="1">
        <f t="array" ref="AD140">Common_InputFunctions.Utility_DisplayArrayInTable(Fertiliser_SourceData.Fertiliser_Products_Data1(),FertiliserProducts[[#Headers],[Include or Exclude]], 0,4)</f>
        <v/>
      </c>
      <c r="AE140" s="111" t="str" cm="1">
        <f t="array" ref="AE140">Common_InputFunctions.Utility_DisplayArrayInTable(Fertiliser_SourceData.Fertiliser_Products_Data1(),FertiliserProducts[[#Headers],[Include or Exclude]], 0,4)</f>
        <v/>
      </c>
    </row>
    <row r="141" spans="4:31" ht="20.100000000000001" customHeight="1" x14ac:dyDescent="0.25">
      <c r="D141" s="111" t="str" cm="1">
        <f t="array" ref="D141">Common_InputFunctions.Utility_DisplayArrayInTable(Fertiliser_SourceData.Fertiliser_Products_Data1(),FertiliserProducts[[#Headers],[Include or Exclude]], -1)</f>
        <v/>
      </c>
      <c r="E141" s="111" t="str" cm="1">
        <f t="array" ref="E141">Common_InputFunctions.Utility_DisplayArrayInTable(Fertiliser_SourceData.Fertiliser_Products_Data1(),FertiliserProducts[[#Headers],[Include or Exclude]], 0)</f>
        <v/>
      </c>
      <c r="F141" s="111" t="str" cm="1">
        <f t="array" ref="F141">Common_InputFunctions.Utility_DisplayArrayInTable(Fertiliser_SourceData.Fertiliser_Products_Data1(),FertiliserProducts[[#Headers],[Include or Exclude]], 0)</f>
        <v/>
      </c>
      <c r="G141" s="111" t="str" cm="1">
        <f t="array" ref="G141">Common_InputFunctions.Utility_DisplayArrayInTable(Fertiliser_SourceData.Fertiliser_Products_Data1(),FertiliserProducts[[#Headers],[Include or Exclude]], 0)</f>
        <v/>
      </c>
      <c r="H141" s="111" t="str" cm="1">
        <f t="array" ref="H141">Common_InputFunctions.Utility_DisplayArrayInTable(Fertiliser_SourceData.Fertiliser_Products_Data1(),FertiliserProducts[[#Headers],[Include or Exclude]], 0,4)</f>
        <v/>
      </c>
      <c r="I141" s="111" t="str" cm="1">
        <f t="array" ref="I141">Common_InputFunctions.Utility_DisplayArrayInTable(Fertiliser_SourceData.Fertiliser_Products_Data1(),FertiliserProducts[[#Headers],[Include or Exclude]], 0,4)</f>
        <v/>
      </c>
      <c r="J141" s="111" t="str" cm="1">
        <f t="array" ref="J141">Common_InputFunctions.Utility_DisplayArrayInTable(Fertiliser_SourceData.Fertiliser_Products_Data1(),FertiliserProducts[[#Headers],[Include or Exclude]], 0,4)</f>
        <v/>
      </c>
      <c r="K141" s="111" t="str" cm="1">
        <f t="array" ref="K141">Common_InputFunctions.Utility_DisplayArrayInTable(Fertiliser_SourceData.Fertiliser_Products_Data1(),FertiliserProducts[[#Headers],[Include or Exclude]], 0,4)</f>
        <v/>
      </c>
      <c r="L141" s="111" t="str" cm="1">
        <f t="array" ref="L141">Common_InputFunctions.Utility_DisplayArrayInTable(Fertiliser_SourceData.Fertiliser_Products_Data1(),FertiliserProducts[[#Headers],[Include or Exclude]], 0,4)</f>
        <v/>
      </c>
      <c r="M141" s="111" t="str" cm="1">
        <f t="array" ref="M141">Common_InputFunctions.Utility_DisplayArrayInTable(Fertiliser_SourceData.Fertiliser_Products_Data1(),FertiliserProducts[[#Headers],[Include or Exclude]], 0,4)</f>
        <v/>
      </c>
      <c r="N141" s="111" t="str" cm="1">
        <f t="array" ref="N141">Common_InputFunctions.Utility_DisplayArrayInTable(Fertiliser_SourceData.Fertiliser_Products_Data1(),FertiliserProducts[[#Headers],[Include or Exclude]], 0,4)</f>
        <v/>
      </c>
      <c r="O141" s="111" t="str" cm="1">
        <f t="array" ref="O141">Common_InputFunctions.Utility_DisplayArrayInTable(Fertiliser_SourceData.Fertiliser_Products_Data1(),FertiliserProducts[[#Headers],[Include or Exclude]], 0,4)</f>
        <v/>
      </c>
      <c r="P141" s="111" t="str" cm="1">
        <f t="array" ref="P141">Common_InputFunctions.Utility_DisplayArrayInTable(Fertiliser_SourceData.Fertiliser_Products_Data1(),FertiliserProducts[[#Headers],[Include or Exclude]], 0,4)</f>
        <v/>
      </c>
      <c r="Q141" s="111" t="str" cm="1">
        <f t="array" ref="Q141">Common_InputFunctions.Utility_DisplayArrayInTable(Fertiliser_SourceData.Fertiliser_Products_Data1(),FertiliserProducts[[#Headers],[Include or Exclude]], 0,4)</f>
        <v/>
      </c>
      <c r="R141" s="111" t="str" cm="1">
        <f t="array" ref="R141">Common_InputFunctions.Utility_DisplayArrayInTable(Fertiliser_SourceData.Fertiliser_Products_Data1(),FertiliserProducts[[#Headers],[Include or Exclude]], 0,4)</f>
        <v/>
      </c>
      <c r="S141" s="111" t="str" cm="1">
        <f t="array" ref="S141">Common_InputFunctions.Utility_DisplayArrayInTable(Fertiliser_SourceData.Fertiliser_Products_Data1(),FertiliserProducts[[#Headers],[Include or Exclude]], 0,4)</f>
        <v/>
      </c>
      <c r="T141" s="111" t="str" cm="1">
        <f t="array" ref="T141">Common_InputFunctions.Utility_DisplayArrayInTable(Fertiliser_SourceData.Fertiliser_Products_Data1(),FertiliserProducts[[#Headers],[Include or Exclude]], 0,4)</f>
        <v/>
      </c>
      <c r="U141" s="111" t="str" cm="1">
        <f t="array" ref="U141">Common_InputFunctions.Utility_DisplayArrayInTable(Fertiliser_SourceData.Fertiliser_Products_Data1(),FertiliserProducts[[#Headers],[Include or Exclude]], 0,4)</f>
        <v/>
      </c>
      <c r="V141" s="111" t="str" cm="1">
        <f t="array" ref="V141">Common_InputFunctions.Utility_DisplayArrayInTable(Fertiliser_SourceData.Fertiliser_Products_Data1(),FertiliserProducts[[#Headers],[Include or Exclude]], 0,4)</f>
        <v/>
      </c>
      <c r="W141" s="111" t="str" cm="1">
        <f t="array" ref="W141">Common_InputFunctions.Utility_DisplayArrayInTable(Fertiliser_SourceData.Fertiliser_Products_Data1(),FertiliserProducts[[#Headers],[Include or Exclude]], 0,4)</f>
        <v/>
      </c>
      <c r="X141" s="111" t="str" cm="1">
        <f t="array" ref="X141">Common_InputFunctions.Utility_DisplayArrayInTable(Fertiliser_SourceData.Fertiliser_Products_Data1(),FertiliserProducts[[#Headers],[Include or Exclude]], 0,4)</f>
        <v/>
      </c>
      <c r="Y141" s="111" t="str" cm="1">
        <f t="array" ref="Y141">Common_InputFunctions.Utility_DisplayArrayInTable(Fertiliser_SourceData.Fertiliser_Products_Data1(),FertiliserProducts[[#Headers],[Include or Exclude]], 0,4)</f>
        <v/>
      </c>
      <c r="Z141" s="111" t="str" cm="1">
        <f t="array" ref="Z141">Common_InputFunctions.Utility_DisplayArrayInTable(Fertiliser_SourceData.Fertiliser_Products_Data1(),FertiliserProducts[[#Headers],[Include or Exclude]], 0,4)</f>
        <v/>
      </c>
      <c r="AA141" s="111" t="str" cm="1">
        <f t="array" ref="AA141">Common_InputFunctions.Utility_DisplayArrayInTable(Fertiliser_SourceData.Fertiliser_Products_Data1(),FertiliserProducts[[#Headers],[Include or Exclude]], 0,4)</f>
        <v/>
      </c>
      <c r="AB141" s="111" t="str" cm="1">
        <f t="array" ref="AB141">Common_InputFunctions.Utility_DisplayArrayInTable(Fertiliser_SourceData.Fertiliser_Products_Data1(),FertiliserProducts[[#Headers],[Include or Exclude]], 0,4)</f>
        <v/>
      </c>
      <c r="AC141" s="111" t="str" cm="1">
        <f t="array" ref="AC141">Common_InputFunctions.Utility_DisplayArrayInTable(Fertiliser_SourceData.Fertiliser_Products_Data1(),FertiliserProducts[[#Headers],[Include or Exclude]], 0,4)</f>
        <v/>
      </c>
      <c r="AD141" s="111" t="str" cm="1">
        <f t="array" ref="AD141">Common_InputFunctions.Utility_DisplayArrayInTable(Fertiliser_SourceData.Fertiliser_Products_Data1(),FertiliserProducts[[#Headers],[Include or Exclude]], 0,4)</f>
        <v/>
      </c>
      <c r="AE141" s="111" t="str" cm="1">
        <f t="array" ref="AE141">Common_InputFunctions.Utility_DisplayArrayInTable(Fertiliser_SourceData.Fertiliser_Products_Data1(),FertiliserProducts[[#Headers],[Include or Exclude]], 0,4)</f>
        <v/>
      </c>
    </row>
    <row r="142" spans="4:31" ht="20.100000000000001" customHeight="1" x14ac:dyDescent="0.25">
      <c r="D142" s="111" t="str" cm="1">
        <f t="array" ref="D142">Common_InputFunctions.Utility_DisplayArrayInTable(Fertiliser_SourceData.Fertiliser_Products_Data1(),FertiliserProducts[[#Headers],[Include or Exclude]], -1)</f>
        <v/>
      </c>
      <c r="E142" s="111" t="str" cm="1">
        <f t="array" ref="E142">Common_InputFunctions.Utility_DisplayArrayInTable(Fertiliser_SourceData.Fertiliser_Products_Data1(),FertiliserProducts[[#Headers],[Include or Exclude]], 0)</f>
        <v/>
      </c>
      <c r="F142" s="111" t="str" cm="1">
        <f t="array" ref="F142">Common_InputFunctions.Utility_DisplayArrayInTable(Fertiliser_SourceData.Fertiliser_Products_Data1(),FertiliserProducts[[#Headers],[Include or Exclude]], 0)</f>
        <v/>
      </c>
      <c r="G142" s="111" t="str" cm="1">
        <f t="array" ref="G142">Common_InputFunctions.Utility_DisplayArrayInTable(Fertiliser_SourceData.Fertiliser_Products_Data1(),FertiliserProducts[[#Headers],[Include or Exclude]], 0)</f>
        <v/>
      </c>
      <c r="H142" s="111" t="str" cm="1">
        <f t="array" ref="H142">Common_InputFunctions.Utility_DisplayArrayInTable(Fertiliser_SourceData.Fertiliser_Products_Data1(),FertiliserProducts[[#Headers],[Include or Exclude]], 0,4)</f>
        <v/>
      </c>
      <c r="I142" s="111" t="str" cm="1">
        <f t="array" ref="I142">Common_InputFunctions.Utility_DisplayArrayInTable(Fertiliser_SourceData.Fertiliser_Products_Data1(),FertiliserProducts[[#Headers],[Include or Exclude]], 0,4)</f>
        <v/>
      </c>
      <c r="J142" s="111" t="str" cm="1">
        <f t="array" ref="J142">Common_InputFunctions.Utility_DisplayArrayInTable(Fertiliser_SourceData.Fertiliser_Products_Data1(),FertiliserProducts[[#Headers],[Include or Exclude]], 0,4)</f>
        <v/>
      </c>
      <c r="K142" s="111" t="str" cm="1">
        <f t="array" ref="K142">Common_InputFunctions.Utility_DisplayArrayInTable(Fertiliser_SourceData.Fertiliser_Products_Data1(),FertiliserProducts[[#Headers],[Include or Exclude]], 0,4)</f>
        <v/>
      </c>
      <c r="L142" s="111" t="str" cm="1">
        <f t="array" ref="L142">Common_InputFunctions.Utility_DisplayArrayInTable(Fertiliser_SourceData.Fertiliser_Products_Data1(),FertiliserProducts[[#Headers],[Include or Exclude]], 0,4)</f>
        <v/>
      </c>
      <c r="M142" s="111" t="str" cm="1">
        <f t="array" ref="M142">Common_InputFunctions.Utility_DisplayArrayInTable(Fertiliser_SourceData.Fertiliser_Products_Data1(),FertiliserProducts[[#Headers],[Include or Exclude]], 0,4)</f>
        <v/>
      </c>
      <c r="N142" s="111" t="str" cm="1">
        <f t="array" ref="N142">Common_InputFunctions.Utility_DisplayArrayInTable(Fertiliser_SourceData.Fertiliser_Products_Data1(),FertiliserProducts[[#Headers],[Include or Exclude]], 0,4)</f>
        <v/>
      </c>
      <c r="O142" s="111" t="str" cm="1">
        <f t="array" ref="O142">Common_InputFunctions.Utility_DisplayArrayInTable(Fertiliser_SourceData.Fertiliser_Products_Data1(),FertiliserProducts[[#Headers],[Include or Exclude]], 0,4)</f>
        <v/>
      </c>
      <c r="P142" s="111" t="str" cm="1">
        <f t="array" ref="P142">Common_InputFunctions.Utility_DisplayArrayInTable(Fertiliser_SourceData.Fertiliser_Products_Data1(),FertiliserProducts[[#Headers],[Include or Exclude]], 0,4)</f>
        <v/>
      </c>
      <c r="Q142" s="111" t="str" cm="1">
        <f t="array" ref="Q142">Common_InputFunctions.Utility_DisplayArrayInTable(Fertiliser_SourceData.Fertiliser_Products_Data1(),FertiliserProducts[[#Headers],[Include or Exclude]], 0,4)</f>
        <v/>
      </c>
      <c r="R142" s="111" t="str" cm="1">
        <f t="array" ref="R142">Common_InputFunctions.Utility_DisplayArrayInTable(Fertiliser_SourceData.Fertiliser_Products_Data1(),FertiliserProducts[[#Headers],[Include or Exclude]], 0,4)</f>
        <v/>
      </c>
      <c r="S142" s="111" t="str" cm="1">
        <f t="array" ref="S142">Common_InputFunctions.Utility_DisplayArrayInTable(Fertiliser_SourceData.Fertiliser_Products_Data1(),FertiliserProducts[[#Headers],[Include or Exclude]], 0,4)</f>
        <v/>
      </c>
      <c r="T142" s="111" t="str" cm="1">
        <f t="array" ref="T142">Common_InputFunctions.Utility_DisplayArrayInTable(Fertiliser_SourceData.Fertiliser_Products_Data1(),FertiliserProducts[[#Headers],[Include or Exclude]], 0,4)</f>
        <v/>
      </c>
      <c r="U142" s="111" t="str" cm="1">
        <f t="array" ref="U142">Common_InputFunctions.Utility_DisplayArrayInTable(Fertiliser_SourceData.Fertiliser_Products_Data1(),FertiliserProducts[[#Headers],[Include or Exclude]], 0,4)</f>
        <v/>
      </c>
      <c r="V142" s="111" t="str" cm="1">
        <f t="array" ref="V142">Common_InputFunctions.Utility_DisplayArrayInTable(Fertiliser_SourceData.Fertiliser_Products_Data1(),FertiliserProducts[[#Headers],[Include or Exclude]], 0,4)</f>
        <v/>
      </c>
      <c r="W142" s="111" t="str" cm="1">
        <f t="array" ref="W142">Common_InputFunctions.Utility_DisplayArrayInTable(Fertiliser_SourceData.Fertiliser_Products_Data1(),FertiliserProducts[[#Headers],[Include or Exclude]], 0,4)</f>
        <v/>
      </c>
      <c r="X142" s="111" t="str" cm="1">
        <f t="array" ref="X142">Common_InputFunctions.Utility_DisplayArrayInTable(Fertiliser_SourceData.Fertiliser_Products_Data1(),FertiliserProducts[[#Headers],[Include or Exclude]], 0,4)</f>
        <v/>
      </c>
      <c r="Y142" s="111" t="str" cm="1">
        <f t="array" ref="Y142">Common_InputFunctions.Utility_DisplayArrayInTable(Fertiliser_SourceData.Fertiliser_Products_Data1(),FertiliserProducts[[#Headers],[Include or Exclude]], 0,4)</f>
        <v/>
      </c>
      <c r="Z142" s="111" t="str" cm="1">
        <f t="array" ref="Z142">Common_InputFunctions.Utility_DisplayArrayInTable(Fertiliser_SourceData.Fertiliser_Products_Data1(),FertiliserProducts[[#Headers],[Include or Exclude]], 0,4)</f>
        <v/>
      </c>
      <c r="AA142" s="111" t="str" cm="1">
        <f t="array" ref="AA142">Common_InputFunctions.Utility_DisplayArrayInTable(Fertiliser_SourceData.Fertiliser_Products_Data1(),FertiliserProducts[[#Headers],[Include or Exclude]], 0,4)</f>
        <v/>
      </c>
      <c r="AB142" s="111" t="str" cm="1">
        <f t="array" ref="AB142">Common_InputFunctions.Utility_DisplayArrayInTable(Fertiliser_SourceData.Fertiliser_Products_Data1(),FertiliserProducts[[#Headers],[Include or Exclude]], 0,4)</f>
        <v/>
      </c>
      <c r="AC142" s="111" t="str" cm="1">
        <f t="array" ref="AC142">Common_InputFunctions.Utility_DisplayArrayInTable(Fertiliser_SourceData.Fertiliser_Products_Data1(),FertiliserProducts[[#Headers],[Include or Exclude]], 0,4)</f>
        <v/>
      </c>
      <c r="AD142" s="111" t="str" cm="1">
        <f t="array" ref="AD142">Common_InputFunctions.Utility_DisplayArrayInTable(Fertiliser_SourceData.Fertiliser_Products_Data1(),FertiliserProducts[[#Headers],[Include or Exclude]], 0,4)</f>
        <v/>
      </c>
      <c r="AE142" s="111" t="str" cm="1">
        <f t="array" ref="AE142">Common_InputFunctions.Utility_DisplayArrayInTable(Fertiliser_SourceData.Fertiliser_Products_Data1(),FertiliserProducts[[#Headers],[Include or Exclude]], 0,4)</f>
        <v/>
      </c>
    </row>
    <row r="143" spans="4:31" ht="20.100000000000001" customHeight="1" x14ac:dyDescent="0.25">
      <c r="D143" s="111" t="str" cm="1">
        <f t="array" ref="D143">Common_InputFunctions.Utility_DisplayArrayInTable(Fertiliser_SourceData.Fertiliser_Products_Data1(),FertiliserProducts[[#Headers],[Include or Exclude]], -1)</f>
        <v/>
      </c>
      <c r="E143" s="111" t="str" cm="1">
        <f t="array" ref="E143">Common_InputFunctions.Utility_DisplayArrayInTable(Fertiliser_SourceData.Fertiliser_Products_Data1(),FertiliserProducts[[#Headers],[Include or Exclude]], 0)</f>
        <v/>
      </c>
      <c r="F143" s="111" t="str" cm="1">
        <f t="array" ref="F143">Common_InputFunctions.Utility_DisplayArrayInTable(Fertiliser_SourceData.Fertiliser_Products_Data1(),FertiliserProducts[[#Headers],[Include or Exclude]], 0)</f>
        <v/>
      </c>
      <c r="G143" s="111" t="str" cm="1">
        <f t="array" ref="G143">Common_InputFunctions.Utility_DisplayArrayInTable(Fertiliser_SourceData.Fertiliser_Products_Data1(),FertiliserProducts[[#Headers],[Include or Exclude]], 0)</f>
        <v/>
      </c>
      <c r="H143" s="111" t="str" cm="1">
        <f t="array" ref="H143">Common_InputFunctions.Utility_DisplayArrayInTable(Fertiliser_SourceData.Fertiliser_Products_Data1(),FertiliserProducts[[#Headers],[Include or Exclude]], 0,4)</f>
        <v/>
      </c>
      <c r="I143" s="111" t="str" cm="1">
        <f t="array" ref="I143">Common_InputFunctions.Utility_DisplayArrayInTable(Fertiliser_SourceData.Fertiliser_Products_Data1(),FertiliserProducts[[#Headers],[Include or Exclude]], 0,4)</f>
        <v/>
      </c>
      <c r="J143" s="111" t="str" cm="1">
        <f t="array" ref="J143">Common_InputFunctions.Utility_DisplayArrayInTable(Fertiliser_SourceData.Fertiliser_Products_Data1(),FertiliserProducts[[#Headers],[Include or Exclude]], 0,4)</f>
        <v/>
      </c>
      <c r="K143" s="111" t="str" cm="1">
        <f t="array" ref="K143">Common_InputFunctions.Utility_DisplayArrayInTable(Fertiliser_SourceData.Fertiliser_Products_Data1(),FertiliserProducts[[#Headers],[Include or Exclude]], 0,4)</f>
        <v/>
      </c>
      <c r="L143" s="111" t="str" cm="1">
        <f t="array" ref="L143">Common_InputFunctions.Utility_DisplayArrayInTable(Fertiliser_SourceData.Fertiliser_Products_Data1(),FertiliserProducts[[#Headers],[Include or Exclude]], 0,4)</f>
        <v/>
      </c>
      <c r="M143" s="111" t="str" cm="1">
        <f t="array" ref="M143">Common_InputFunctions.Utility_DisplayArrayInTable(Fertiliser_SourceData.Fertiliser_Products_Data1(),FertiliserProducts[[#Headers],[Include or Exclude]], 0,4)</f>
        <v/>
      </c>
      <c r="N143" s="111" t="str" cm="1">
        <f t="array" ref="N143">Common_InputFunctions.Utility_DisplayArrayInTable(Fertiliser_SourceData.Fertiliser_Products_Data1(),FertiliserProducts[[#Headers],[Include or Exclude]], 0,4)</f>
        <v/>
      </c>
      <c r="O143" s="111" t="str" cm="1">
        <f t="array" ref="O143">Common_InputFunctions.Utility_DisplayArrayInTable(Fertiliser_SourceData.Fertiliser_Products_Data1(),FertiliserProducts[[#Headers],[Include or Exclude]], 0,4)</f>
        <v/>
      </c>
      <c r="P143" s="111" t="str" cm="1">
        <f t="array" ref="P143">Common_InputFunctions.Utility_DisplayArrayInTable(Fertiliser_SourceData.Fertiliser_Products_Data1(),FertiliserProducts[[#Headers],[Include or Exclude]], 0,4)</f>
        <v/>
      </c>
      <c r="Q143" s="111" t="str" cm="1">
        <f t="array" ref="Q143">Common_InputFunctions.Utility_DisplayArrayInTable(Fertiliser_SourceData.Fertiliser_Products_Data1(),FertiliserProducts[[#Headers],[Include or Exclude]], 0,4)</f>
        <v/>
      </c>
      <c r="R143" s="111" t="str" cm="1">
        <f t="array" ref="R143">Common_InputFunctions.Utility_DisplayArrayInTable(Fertiliser_SourceData.Fertiliser_Products_Data1(),FertiliserProducts[[#Headers],[Include or Exclude]], 0,4)</f>
        <v/>
      </c>
      <c r="S143" s="111" t="str" cm="1">
        <f t="array" ref="S143">Common_InputFunctions.Utility_DisplayArrayInTable(Fertiliser_SourceData.Fertiliser_Products_Data1(),FertiliserProducts[[#Headers],[Include or Exclude]], 0,4)</f>
        <v/>
      </c>
      <c r="T143" s="111" t="str" cm="1">
        <f t="array" ref="T143">Common_InputFunctions.Utility_DisplayArrayInTable(Fertiliser_SourceData.Fertiliser_Products_Data1(),FertiliserProducts[[#Headers],[Include or Exclude]], 0,4)</f>
        <v/>
      </c>
      <c r="U143" s="111" t="str" cm="1">
        <f t="array" ref="U143">Common_InputFunctions.Utility_DisplayArrayInTable(Fertiliser_SourceData.Fertiliser_Products_Data1(),FertiliserProducts[[#Headers],[Include or Exclude]], 0,4)</f>
        <v/>
      </c>
      <c r="V143" s="111" t="str" cm="1">
        <f t="array" ref="V143">Common_InputFunctions.Utility_DisplayArrayInTable(Fertiliser_SourceData.Fertiliser_Products_Data1(),FertiliserProducts[[#Headers],[Include or Exclude]], 0,4)</f>
        <v/>
      </c>
      <c r="W143" s="111" t="str" cm="1">
        <f t="array" ref="W143">Common_InputFunctions.Utility_DisplayArrayInTable(Fertiliser_SourceData.Fertiliser_Products_Data1(),FertiliserProducts[[#Headers],[Include or Exclude]], 0,4)</f>
        <v/>
      </c>
      <c r="X143" s="111" t="str" cm="1">
        <f t="array" ref="X143">Common_InputFunctions.Utility_DisplayArrayInTable(Fertiliser_SourceData.Fertiliser_Products_Data1(),FertiliserProducts[[#Headers],[Include or Exclude]], 0,4)</f>
        <v/>
      </c>
      <c r="Y143" s="111" t="str" cm="1">
        <f t="array" ref="Y143">Common_InputFunctions.Utility_DisplayArrayInTable(Fertiliser_SourceData.Fertiliser_Products_Data1(),FertiliserProducts[[#Headers],[Include or Exclude]], 0,4)</f>
        <v/>
      </c>
      <c r="Z143" s="111" t="str" cm="1">
        <f t="array" ref="Z143">Common_InputFunctions.Utility_DisplayArrayInTable(Fertiliser_SourceData.Fertiliser_Products_Data1(),FertiliserProducts[[#Headers],[Include or Exclude]], 0,4)</f>
        <v/>
      </c>
      <c r="AA143" s="111" t="str" cm="1">
        <f t="array" ref="AA143">Common_InputFunctions.Utility_DisplayArrayInTable(Fertiliser_SourceData.Fertiliser_Products_Data1(),FertiliserProducts[[#Headers],[Include or Exclude]], 0,4)</f>
        <v/>
      </c>
      <c r="AB143" s="111" t="str" cm="1">
        <f t="array" ref="AB143">Common_InputFunctions.Utility_DisplayArrayInTable(Fertiliser_SourceData.Fertiliser_Products_Data1(),FertiliserProducts[[#Headers],[Include or Exclude]], 0,4)</f>
        <v/>
      </c>
      <c r="AC143" s="111" t="str" cm="1">
        <f t="array" ref="AC143">Common_InputFunctions.Utility_DisplayArrayInTable(Fertiliser_SourceData.Fertiliser_Products_Data1(),FertiliserProducts[[#Headers],[Include or Exclude]], 0,4)</f>
        <v/>
      </c>
      <c r="AD143" s="111" t="str" cm="1">
        <f t="array" ref="AD143">Common_InputFunctions.Utility_DisplayArrayInTable(Fertiliser_SourceData.Fertiliser_Products_Data1(),FertiliserProducts[[#Headers],[Include or Exclude]], 0,4)</f>
        <v/>
      </c>
      <c r="AE143" s="111" t="str" cm="1">
        <f t="array" ref="AE143">Common_InputFunctions.Utility_DisplayArrayInTable(Fertiliser_SourceData.Fertiliser_Products_Data1(),FertiliserProducts[[#Headers],[Include or Exclude]], 0,4)</f>
        <v/>
      </c>
    </row>
    <row r="144" spans="4:31" ht="20.100000000000001" customHeight="1" x14ac:dyDescent="0.25">
      <c r="D144" s="111" t="str" cm="1">
        <f t="array" ref="D144">Common_InputFunctions.Utility_DisplayArrayInTable(Fertiliser_SourceData.Fertiliser_Products_Data1(),FertiliserProducts[[#Headers],[Include or Exclude]], -1)</f>
        <v/>
      </c>
      <c r="E144" s="111" t="str" cm="1">
        <f t="array" ref="E144">Common_InputFunctions.Utility_DisplayArrayInTable(Fertiliser_SourceData.Fertiliser_Products_Data1(),FertiliserProducts[[#Headers],[Include or Exclude]], 0)</f>
        <v/>
      </c>
      <c r="F144" s="111" t="str" cm="1">
        <f t="array" ref="F144">Common_InputFunctions.Utility_DisplayArrayInTable(Fertiliser_SourceData.Fertiliser_Products_Data1(),FertiliserProducts[[#Headers],[Include or Exclude]], 0)</f>
        <v/>
      </c>
      <c r="G144" s="111" t="str" cm="1">
        <f t="array" ref="G144">Common_InputFunctions.Utility_DisplayArrayInTable(Fertiliser_SourceData.Fertiliser_Products_Data1(),FertiliserProducts[[#Headers],[Include or Exclude]], 0)</f>
        <v/>
      </c>
      <c r="H144" s="111" t="str" cm="1">
        <f t="array" ref="H144">Common_InputFunctions.Utility_DisplayArrayInTable(Fertiliser_SourceData.Fertiliser_Products_Data1(),FertiliserProducts[[#Headers],[Include or Exclude]], 0,4)</f>
        <v/>
      </c>
      <c r="I144" s="111" t="str" cm="1">
        <f t="array" ref="I144">Common_InputFunctions.Utility_DisplayArrayInTable(Fertiliser_SourceData.Fertiliser_Products_Data1(),FertiliserProducts[[#Headers],[Include or Exclude]], 0,4)</f>
        <v/>
      </c>
      <c r="J144" s="111" t="str" cm="1">
        <f t="array" ref="J144">Common_InputFunctions.Utility_DisplayArrayInTable(Fertiliser_SourceData.Fertiliser_Products_Data1(),FertiliserProducts[[#Headers],[Include or Exclude]], 0,4)</f>
        <v/>
      </c>
      <c r="K144" s="111" t="str" cm="1">
        <f t="array" ref="K144">Common_InputFunctions.Utility_DisplayArrayInTable(Fertiliser_SourceData.Fertiliser_Products_Data1(),FertiliserProducts[[#Headers],[Include or Exclude]], 0,4)</f>
        <v/>
      </c>
      <c r="L144" s="111" t="str" cm="1">
        <f t="array" ref="L144">Common_InputFunctions.Utility_DisplayArrayInTable(Fertiliser_SourceData.Fertiliser_Products_Data1(),FertiliserProducts[[#Headers],[Include or Exclude]], 0,4)</f>
        <v/>
      </c>
      <c r="M144" s="111" t="str" cm="1">
        <f t="array" ref="M144">Common_InputFunctions.Utility_DisplayArrayInTable(Fertiliser_SourceData.Fertiliser_Products_Data1(),FertiliserProducts[[#Headers],[Include or Exclude]], 0,4)</f>
        <v/>
      </c>
      <c r="N144" s="111" t="str" cm="1">
        <f t="array" ref="N144">Common_InputFunctions.Utility_DisplayArrayInTable(Fertiliser_SourceData.Fertiliser_Products_Data1(),FertiliserProducts[[#Headers],[Include or Exclude]], 0,4)</f>
        <v/>
      </c>
      <c r="O144" s="111" t="str" cm="1">
        <f t="array" ref="O144">Common_InputFunctions.Utility_DisplayArrayInTable(Fertiliser_SourceData.Fertiliser_Products_Data1(),FertiliserProducts[[#Headers],[Include or Exclude]], 0,4)</f>
        <v/>
      </c>
      <c r="P144" s="111" t="str" cm="1">
        <f t="array" ref="P144">Common_InputFunctions.Utility_DisplayArrayInTable(Fertiliser_SourceData.Fertiliser_Products_Data1(),FertiliserProducts[[#Headers],[Include or Exclude]], 0,4)</f>
        <v/>
      </c>
      <c r="Q144" s="111" t="str" cm="1">
        <f t="array" ref="Q144">Common_InputFunctions.Utility_DisplayArrayInTable(Fertiliser_SourceData.Fertiliser_Products_Data1(),FertiliserProducts[[#Headers],[Include or Exclude]], 0,4)</f>
        <v/>
      </c>
      <c r="R144" s="111" t="str" cm="1">
        <f t="array" ref="R144">Common_InputFunctions.Utility_DisplayArrayInTable(Fertiliser_SourceData.Fertiliser_Products_Data1(),FertiliserProducts[[#Headers],[Include or Exclude]], 0,4)</f>
        <v/>
      </c>
      <c r="S144" s="111" t="str" cm="1">
        <f t="array" ref="S144">Common_InputFunctions.Utility_DisplayArrayInTable(Fertiliser_SourceData.Fertiliser_Products_Data1(),FertiliserProducts[[#Headers],[Include or Exclude]], 0,4)</f>
        <v/>
      </c>
      <c r="T144" s="111" t="str" cm="1">
        <f t="array" ref="T144">Common_InputFunctions.Utility_DisplayArrayInTable(Fertiliser_SourceData.Fertiliser_Products_Data1(),FertiliserProducts[[#Headers],[Include or Exclude]], 0,4)</f>
        <v/>
      </c>
      <c r="U144" s="111" t="str" cm="1">
        <f t="array" ref="U144">Common_InputFunctions.Utility_DisplayArrayInTable(Fertiliser_SourceData.Fertiliser_Products_Data1(),FertiliserProducts[[#Headers],[Include or Exclude]], 0,4)</f>
        <v/>
      </c>
      <c r="V144" s="111" t="str" cm="1">
        <f t="array" ref="V144">Common_InputFunctions.Utility_DisplayArrayInTable(Fertiliser_SourceData.Fertiliser_Products_Data1(),FertiliserProducts[[#Headers],[Include or Exclude]], 0,4)</f>
        <v/>
      </c>
      <c r="W144" s="111" t="str" cm="1">
        <f t="array" ref="W144">Common_InputFunctions.Utility_DisplayArrayInTable(Fertiliser_SourceData.Fertiliser_Products_Data1(),FertiliserProducts[[#Headers],[Include or Exclude]], 0,4)</f>
        <v/>
      </c>
      <c r="X144" s="111" t="str" cm="1">
        <f t="array" ref="X144">Common_InputFunctions.Utility_DisplayArrayInTable(Fertiliser_SourceData.Fertiliser_Products_Data1(),FertiliserProducts[[#Headers],[Include or Exclude]], 0,4)</f>
        <v/>
      </c>
      <c r="Y144" s="111" t="str" cm="1">
        <f t="array" ref="Y144">Common_InputFunctions.Utility_DisplayArrayInTable(Fertiliser_SourceData.Fertiliser_Products_Data1(),FertiliserProducts[[#Headers],[Include or Exclude]], 0,4)</f>
        <v/>
      </c>
      <c r="Z144" s="111" t="str" cm="1">
        <f t="array" ref="Z144">Common_InputFunctions.Utility_DisplayArrayInTable(Fertiliser_SourceData.Fertiliser_Products_Data1(),FertiliserProducts[[#Headers],[Include or Exclude]], 0,4)</f>
        <v/>
      </c>
      <c r="AA144" s="111" t="str" cm="1">
        <f t="array" ref="AA144">Common_InputFunctions.Utility_DisplayArrayInTable(Fertiliser_SourceData.Fertiliser_Products_Data1(),FertiliserProducts[[#Headers],[Include or Exclude]], 0,4)</f>
        <v/>
      </c>
      <c r="AB144" s="111" t="str" cm="1">
        <f t="array" ref="AB144">Common_InputFunctions.Utility_DisplayArrayInTable(Fertiliser_SourceData.Fertiliser_Products_Data1(),FertiliserProducts[[#Headers],[Include or Exclude]], 0,4)</f>
        <v/>
      </c>
      <c r="AC144" s="111" t="str" cm="1">
        <f t="array" ref="AC144">Common_InputFunctions.Utility_DisplayArrayInTable(Fertiliser_SourceData.Fertiliser_Products_Data1(),FertiliserProducts[[#Headers],[Include or Exclude]], 0,4)</f>
        <v/>
      </c>
      <c r="AD144" s="111" t="str" cm="1">
        <f t="array" ref="AD144">Common_InputFunctions.Utility_DisplayArrayInTable(Fertiliser_SourceData.Fertiliser_Products_Data1(),FertiliserProducts[[#Headers],[Include or Exclude]], 0,4)</f>
        <v/>
      </c>
      <c r="AE144" s="111" t="str" cm="1">
        <f t="array" ref="AE144">Common_InputFunctions.Utility_DisplayArrayInTable(Fertiliser_SourceData.Fertiliser_Products_Data1(),FertiliserProducts[[#Headers],[Include or Exclude]], 0,4)</f>
        <v/>
      </c>
    </row>
    <row r="145" spans="4:31" ht="20.100000000000001" customHeight="1" x14ac:dyDescent="0.25">
      <c r="D145" s="111" t="str" cm="1">
        <f t="array" ref="D145">Common_InputFunctions.Utility_DisplayArrayInTable(Fertiliser_SourceData.Fertiliser_Products_Data1(),FertiliserProducts[[#Headers],[Include or Exclude]], -1)</f>
        <v/>
      </c>
      <c r="E145" s="111" t="str" cm="1">
        <f t="array" ref="E145">Common_InputFunctions.Utility_DisplayArrayInTable(Fertiliser_SourceData.Fertiliser_Products_Data1(),FertiliserProducts[[#Headers],[Include or Exclude]], 0)</f>
        <v/>
      </c>
      <c r="F145" s="111" t="str" cm="1">
        <f t="array" ref="F145">Common_InputFunctions.Utility_DisplayArrayInTable(Fertiliser_SourceData.Fertiliser_Products_Data1(),FertiliserProducts[[#Headers],[Include or Exclude]], 0)</f>
        <v/>
      </c>
      <c r="G145" s="111" t="str" cm="1">
        <f t="array" ref="G145">Common_InputFunctions.Utility_DisplayArrayInTable(Fertiliser_SourceData.Fertiliser_Products_Data1(),FertiliserProducts[[#Headers],[Include or Exclude]], 0)</f>
        <v/>
      </c>
      <c r="H145" s="111" t="str" cm="1">
        <f t="array" ref="H145">Common_InputFunctions.Utility_DisplayArrayInTable(Fertiliser_SourceData.Fertiliser_Products_Data1(),FertiliserProducts[[#Headers],[Include or Exclude]], 0,4)</f>
        <v/>
      </c>
      <c r="I145" s="111" t="str" cm="1">
        <f t="array" ref="I145">Common_InputFunctions.Utility_DisplayArrayInTable(Fertiliser_SourceData.Fertiliser_Products_Data1(),FertiliserProducts[[#Headers],[Include or Exclude]], 0,4)</f>
        <v/>
      </c>
      <c r="J145" s="111" t="str" cm="1">
        <f t="array" ref="J145">Common_InputFunctions.Utility_DisplayArrayInTable(Fertiliser_SourceData.Fertiliser_Products_Data1(),FertiliserProducts[[#Headers],[Include or Exclude]], 0,4)</f>
        <v/>
      </c>
      <c r="K145" s="111" t="str" cm="1">
        <f t="array" ref="K145">Common_InputFunctions.Utility_DisplayArrayInTable(Fertiliser_SourceData.Fertiliser_Products_Data1(),FertiliserProducts[[#Headers],[Include or Exclude]], 0,4)</f>
        <v/>
      </c>
      <c r="L145" s="111" t="str" cm="1">
        <f t="array" ref="L145">Common_InputFunctions.Utility_DisplayArrayInTable(Fertiliser_SourceData.Fertiliser_Products_Data1(),FertiliserProducts[[#Headers],[Include or Exclude]], 0,4)</f>
        <v/>
      </c>
      <c r="M145" s="111" t="str" cm="1">
        <f t="array" ref="M145">Common_InputFunctions.Utility_DisplayArrayInTable(Fertiliser_SourceData.Fertiliser_Products_Data1(),FertiliserProducts[[#Headers],[Include or Exclude]], 0,4)</f>
        <v/>
      </c>
      <c r="N145" s="111" t="str" cm="1">
        <f t="array" ref="N145">Common_InputFunctions.Utility_DisplayArrayInTable(Fertiliser_SourceData.Fertiliser_Products_Data1(),FertiliserProducts[[#Headers],[Include or Exclude]], 0,4)</f>
        <v/>
      </c>
      <c r="O145" s="111" t="str" cm="1">
        <f t="array" ref="O145">Common_InputFunctions.Utility_DisplayArrayInTable(Fertiliser_SourceData.Fertiliser_Products_Data1(),FertiliserProducts[[#Headers],[Include or Exclude]], 0,4)</f>
        <v/>
      </c>
      <c r="P145" s="111" t="str" cm="1">
        <f t="array" ref="P145">Common_InputFunctions.Utility_DisplayArrayInTable(Fertiliser_SourceData.Fertiliser_Products_Data1(),FertiliserProducts[[#Headers],[Include or Exclude]], 0,4)</f>
        <v/>
      </c>
      <c r="Q145" s="111" t="str" cm="1">
        <f t="array" ref="Q145">Common_InputFunctions.Utility_DisplayArrayInTable(Fertiliser_SourceData.Fertiliser_Products_Data1(),FertiliserProducts[[#Headers],[Include or Exclude]], 0,4)</f>
        <v/>
      </c>
      <c r="R145" s="111" t="str" cm="1">
        <f t="array" ref="R145">Common_InputFunctions.Utility_DisplayArrayInTable(Fertiliser_SourceData.Fertiliser_Products_Data1(),FertiliserProducts[[#Headers],[Include or Exclude]], 0,4)</f>
        <v/>
      </c>
      <c r="S145" s="111" t="str" cm="1">
        <f t="array" ref="S145">Common_InputFunctions.Utility_DisplayArrayInTable(Fertiliser_SourceData.Fertiliser_Products_Data1(),FertiliserProducts[[#Headers],[Include or Exclude]], 0,4)</f>
        <v/>
      </c>
      <c r="T145" s="111" t="str" cm="1">
        <f t="array" ref="T145">Common_InputFunctions.Utility_DisplayArrayInTable(Fertiliser_SourceData.Fertiliser_Products_Data1(),FertiliserProducts[[#Headers],[Include or Exclude]], 0,4)</f>
        <v/>
      </c>
      <c r="U145" s="111" t="str" cm="1">
        <f t="array" ref="U145">Common_InputFunctions.Utility_DisplayArrayInTable(Fertiliser_SourceData.Fertiliser_Products_Data1(),FertiliserProducts[[#Headers],[Include or Exclude]], 0,4)</f>
        <v/>
      </c>
      <c r="V145" s="111" t="str" cm="1">
        <f t="array" ref="V145">Common_InputFunctions.Utility_DisplayArrayInTable(Fertiliser_SourceData.Fertiliser_Products_Data1(),FertiliserProducts[[#Headers],[Include or Exclude]], 0,4)</f>
        <v/>
      </c>
      <c r="W145" s="111" t="str" cm="1">
        <f t="array" ref="W145">Common_InputFunctions.Utility_DisplayArrayInTable(Fertiliser_SourceData.Fertiliser_Products_Data1(),FertiliserProducts[[#Headers],[Include or Exclude]], 0,4)</f>
        <v/>
      </c>
      <c r="X145" s="111" t="str" cm="1">
        <f t="array" ref="X145">Common_InputFunctions.Utility_DisplayArrayInTable(Fertiliser_SourceData.Fertiliser_Products_Data1(),FertiliserProducts[[#Headers],[Include or Exclude]], 0,4)</f>
        <v/>
      </c>
      <c r="Y145" s="111" t="str" cm="1">
        <f t="array" ref="Y145">Common_InputFunctions.Utility_DisplayArrayInTable(Fertiliser_SourceData.Fertiliser_Products_Data1(),FertiliserProducts[[#Headers],[Include or Exclude]], 0,4)</f>
        <v/>
      </c>
      <c r="Z145" s="111" t="str" cm="1">
        <f t="array" ref="Z145">Common_InputFunctions.Utility_DisplayArrayInTable(Fertiliser_SourceData.Fertiliser_Products_Data1(),FertiliserProducts[[#Headers],[Include or Exclude]], 0,4)</f>
        <v/>
      </c>
      <c r="AA145" s="111" t="str" cm="1">
        <f t="array" ref="AA145">Common_InputFunctions.Utility_DisplayArrayInTable(Fertiliser_SourceData.Fertiliser_Products_Data1(),FertiliserProducts[[#Headers],[Include or Exclude]], 0,4)</f>
        <v/>
      </c>
      <c r="AB145" s="111" t="str" cm="1">
        <f t="array" ref="AB145">Common_InputFunctions.Utility_DisplayArrayInTable(Fertiliser_SourceData.Fertiliser_Products_Data1(),FertiliserProducts[[#Headers],[Include or Exclude]], 0,4)</f>
        <v/>
      </c>
      <c r="AC145" s="111" t="str" cm="1">
        <f t="array" ref="AC145">Common_InputFunctions.Utility_DisplayArrayInTable(Fertiliser_SourceData.Fertiliser_Products_Data1(),FertiliserProducts[[#Headers],[Include or Exclude]], 0,4)</f>
        <v/>
      </c>
      <c r="AD145" s="111" t="str" cm="1">
        <f t="array" ref="AD145">Common_InputFunctions.Utility_DisplayArrayInTable(Fertiliser_SourceData.Fertiliser_Products_Data1(),FertiliserProducts[[#Headers],[Include or Exclude]], 0,4)</f>
        <v/>
      </c>
      <c r="AE145" s="111" t="str" cm="1">
        <f t="array" ref="AE145">Common_InputFunctions.Utility_DisplayArrayInTable(Fertiliser_SourceData.Fertiliser_Products_Data1(),FertiliserProducts[[#Headers],[Include or Exclude]], 0,4)</f>
        <v/>
      </c>
    </row>
    <row r="146" spans="4:31" ht="20.100000000000001" customHeight="1" x14ac:dyDescent="0.25">
      <c r="D146" s="111" t="str" cm="1">
        <f t="array" ref="D146">Common_InputFunctions.Utility_DisplayArrayInTable(Fertiliser_SourceData.Fertiliser_Products_Data1(),FertiliserProducts[[#Headers],[Include or Exclude]], -1)</f>
        <v/>
      </c>
      <c r="E146" s="111" t="str" cm="1">
        <f t="array" ref="E146">Common_InputFunctions.Utility_DisplayArrayInTable(Fertiliser_SourceData.Fertiliser_Products_Data1(),FertiliserProducts[[#Headers],[Include or Exclude]], 0)</f>
        <v/>
      </c>
      <c r="F146" s="111" t="str" cm="1">
        <f t="array" ref="F146">Common_InputFunctions.Utility_DisplayArrayInTable(Fertiliser_SourceData.Fertiliser_Products_Data1(),FertiliserProducts[[#Headers],[Include or Exclude]], 0)</f>
        <v/>
      </c>
      <c r="G146" s="111" t="str" cm="1">
        <f t="array" ref="G146">Common_InputFunctions.Utility_DisplayArrayInTable(Fertiliser_SourceData.Fertiliser_Products_Data1(),FertiliserProducts[[#Headers],[Include or Exclude]], 0)</f>
        <v/>
      </c>
      <c r="H146" s="111" t="str" cm="1">
        <f t="array" ref="H146">Common_InputFunctions.Utility_DisplayArrayInTable(Fertiliser_SourceData.Fertiliser_Products_Data1(),FertiliserProducts[[#Headers],[Include or Exclude]], 0,4)</f>
        <v/>
      </c>
      <c r="I146" s="111" t="str" cm="1">
        <f t="array" ref="I146">Common_InputFunctions.Utility_DisplayArrayInTable(Fertiliser_SourceData.Fertiliser_Products_Data1(),FertiliserProducts[[#Headers],[Include or Exclude]], 0,4)</f>
        <v/>
      </c>
      <c r="J146" s="111" t="str" cm="1">
        <f t="array" ref="J146">Common_InputFunctions.Utility_DisplayArrayInTable(Fertiliser_SourceData.Fertiliser_Products_Data1(),FertiliserProducts[[#Headers],[Include or Exclude]], 0,4)</f>
        <v/>
      </c>
      <c r="K146" s="111" t="str" cm="1">
        <f t="array" ref="K146">Common_InputFunctions.Utility_DisplayArrayInTable(Fertiliser_SourceData.Fertiliser_Products_Data1(),FertiliserProducts[[#Headers],[Include or Exclude]], 0,4)</f>
        <v/>
      </c>
      <c r="L146" s="111" t="str" cm="1">
        <f t="array" ref="L146">Common_InputFunctions.Utility_DisplayArrayInTable(Fertiliser_SourceData.Fertiliser_Products_Data1(),FertiliserProducts[[#Headers],[Include or Exclude]], 0,4)</f>
        <v/>
      </c>
      <c r="M146" s="111" t="str" cm="1">
        <f t="array" ref="M146">Common_InputFunctions.Utility_DisplayArrayInTable(Fertiliser_SourceData.Fertiliser_Products_Data1(),FertiliserProducts[[#Headers],[Include or Exclude]], 0,4)</f>
        <v/>
      </c>
      <c r="N146" s="111" t="str" cm="1">
        <f t="array" ref="N146">Common_InputFunctions.Utility_DisplayArrayInTable(Fertiliser_SourceData.Fertiliser_Products_Data1(),FertiliserProducts[[#Headers],[Include or Exclude]], 0,4)</f>
        <v/>
      </c>
      <c r="O146" s="111" t="str" cm="1">
        <f t="array" ref="O146">Common_InputFunctions.Utility_DisplayArrayInTable(Fertiliser_SourceData.Fertiliser_Products_Data1(),FertiliserProducts[[#Headers],[Include or Exclude]], 0,4)</f>
        <v/>
      </c>
      <c r="P146" s="111" t="str" cm="1">
        <f t="array" ref="P146">Common_InputFunctions.Utility_DisplayArrayInTable(Fertiliser_SourceData.Fertiliser_Products_Data1(),FertiliserProducts[[#Headers],[Include or Exclude]], 0,4)</f>
        <v/>
      </c>
      <c r="Q146" s="111" t="str" cm="1">
        <f t="array" ref="Q146">Common_InputFunctions.Utility_DisplayArrayInTable(Fertiliser_SourceData.Fertiliser_Products_Data1(),FertiliserProducts[[#Headers],[Include or Exclude]], 0,4)</f>
        <v/>
      </c>
      <c r="R146" s="111" t="str" cm="1">
        <f t="array" ref="R146">Common_InputFunctions.Utility_DisplayArrayInTable(Fertiliser_SourceData.Fertiliser_Products_Data1(),FertiliserProducts[[#Headers],[Include or Exclude]], 0,4)</f>
        <v/>
      </c>
      <c r="S146" s="111" t="str" cm="1">
        <f t="array" ref="S146">Common_InputFunctions.Utility_DisplayArrayInTable(Fertiliser_SourceData.Fertiliser_Products_Data1(),FertiliserProducts[[#Headers],[Include or Exclude]], 0,4)</f>
        <v/>
      </c>
      <c r="T146" s="111" t="str" cm="1">
        <f t="array" ref="T146">Common_InputFunctions.Utility_DisplayArrayInTable(Fertiliser_SourceData.Fertiliser_Products_Data1(),FertiliserProducts[[#Headers],[Include or Exclude]], 0,4)</f>
        <v/>
      </c>
      <c r="U146" s="111" t="str" cm="1">
        <f t="array" ref="U146">Common_InputFunctions.Utility_DisplayArrayInTable(Fertiliser_SourceData.Fertiliser_Products_Data1(),FertiliserProducts[[#Headers],[Include or Exclude]], 0,4)</f>
        <v/>
      </c>
      <c r="V146" s="111" t="str" cm="1">
        <f t="array" ref="V146">Common_InputFunctions.Utility_DisplayArrayInTable(Fertiliser_SourceData.Fertiliser_Products_Data1(),FertiliserProducts[[#Headers],[Include or Exclude]], 0,4)</f>
        <v/>
      </c>
      <c r="W146" s="111" t="str" cm="1">
        <f t="array" ref="W146">Common_InputFunctions.Utility_DisplayArrayInTable(Fertiliser_SourceData.Fertiliser_Products_Data1(),FertiliserProducts[[#Headers],[Include or Exclude]], 0,4)</f>
        <v/>
      </c>
      <c r="X146" s="111" t="str" cm="1">
        <f t="array" ref="X146">Common_InputFunctions.Utility_DisplayArrayInTable(Fertiliser_SourceData.Fertiliser_Products_Data1(),FertiliserProducts[[#Headers],[Include or Exclude]], 0,4)</f>
        <v/>
      </c>
      <c r="Y146" s="111" t="str" cm="1">
        <f t="array" ref="Y146">Common_InputFunctions.Utility_DisplayArrayInTable(Fertiliser_SourceData.Fertiliser_Products_Data1(),FertiliserProducts[[#Headers],[Include or Exclude]], 0,4)</f>
        <v/>
      </c>
      <c r="Z146" s="111" t="str" cm="1">
        <f t="array" ref="Z146">Common_InputFunctions.Utility_DisplayArrayInTable(Fertiliser_SourceData.Fertiliser_Products_Data1(),FertiliserProducts[[#Headers],[Include or Exclude]], 0,4)</f>
        <v/>
      </c>
      <c r="AA146" s="111" t="str" cm="1">
        <f t="array" ref="AA146">Common_InputFunctions.Utility_DisplayArrayInTable(Fertiliser_SourceData.Fertiliser_Products_Data1(),FertiliserProducts[[#Headers],[Include or Exclude]], 0,4)</f>
        <v/>
      </c>
      <c r="AB146" s="111" t="str" cm="1">
        <f t="array" ref="AB146">Common_InputFunctions.Utility_DisplayArrayInTable(Fertiliser_SourceData.Fertiliser_Products_Data1(),FertiliserProducts[[#Headers],[Include or Exclude]], 0,4)</f>
        <v/>
      </c>
      <c r="AC146" s="111" t="str" cm="1">
        <f t="array" ref="AC146">Common_InputFunctions.Utility_DisplayArrayInTable(Fertiliser_SourceData.Fertiliser_Products_Data1(),FertiliserProducts[[#Headers],[Include or Exclude]], 0,4)</f>
        <v/>
      </c>
      <c r="AD146" s="111" t="str" cm="1">
        <f t="array" ref="AD146">Common_InputFunctions.Utility_DisplayArrayInTable(Fertiliser_SourceData.Fertiliser_Products_Data1(),FertiliserProducts[[#Headers],[Include or Exclude]], 0,4)</f>
        <v/>
      </c>
      <c r="AE146" s="111" t="str" cm="1">
        <f t="array" ref="AE146">Common_InputFunctions.Utility_DisplayArrayInTable(Fertiliser_SourceData.Fertiliser_Products_Data1(),FertiliserProducts[[#Headers],[Include or Exclude]], 0,4)</f>
        <v/>
      </c>
    </row>
    <row r="147" spans="4:31" ht="20.100000000000001" customHeight="1" x14ac:dyDescent="0.25">
      <c r="D147" s="111" t="str" cm="1">
        <f t="array" ref="D147">Common_InputFunctions.Utility_DisplayArrayInTable(Fertiliser_SourceData.Fertiliser_Products_Data1(),FertiliserProducts[[#Headers],[Include or Exclude]], -1)</f>
        <v/>
      </c>
      <c r="E147" s="111" t="str" cm="1">
        <f t="array" ref="E147">Common_InputFunctions.Utility_DisplayArrayInTable(Fertiliser_SourceData.Fertiliser_Products_Data1(),FertiliserProducts[[#Headers],[Include or Exclude]], 0)</f>
        <v/>
      </c>
      <c r="F147" s="111" t="str" cm="1">
        <f t="array" ref="F147">Common_InputFunctions.Utility_DisplayArrayInTable(Fertiliser_SourceData.Fertiliser_Products_Data1(),FertiliserProducts[[#Headers],[Include or Exclude]], 0)</f>
        <v/>
      </c>
      <c r="G147" s="111" t="str" cm="1">
        <f t="array" ref="G147">Common_InputFunctions.Utility_DisplayArrayInTable(Fertiliser_SourceData.Fertiliser_Products_Data1(),FertiliserProducts[[#Headers],[Include or Exclude]], 0)</f>
        <v/>
      </c>
      <c r="H147" s="111" t="str" cm="1">
        <f t="array" ref="H147">Common_InputFunctions.Utility_DisplayArrayInTable(Fertiliser_SourceData.Fertiliser_Products_Data1(),FertiliserProducts[[#Headers],[Include or Exclude]], 0,4)</f>
        <v/>
      </c>
      <c r="I147" s="111" t="str" cm="1">
        <f t="array" ref="I147">Common_InputFunctions.Utility_DisplayArrayInTable(Fertiliser_SourceData.Fertiliser_Products_Data1(),FertiliserProducts[[#Headers],[Include or Exclude]], 0,4)</f>
        <v/>
      </c>
      <c r="J147" s="111" t="str" cm="1">
        <f t="array" ref="J147">Common_InputFunctions.Utility_DisplayArrayInTable(Fertiliser_SourceData.Fertiliser_Products_Data1(),FertiliserProducts[[#Headers],[Include or Exclude]], 0,4)</f>
        <v/>
      </c>
      <c r="K147" s="111" t="str" cm="1">
        <f t="array" ref="K147">Common_InputFunctions.Utility_DisplayArrayInTable(Fertiliser_SourceData.Fertiliser_Products_Data1(),FertiliserProducts[[#Headers],[Include or Exclude]], 0,4)</f>
        <v/>
      </c>
      <c r="L147" s="111" t="str" cm="1">
        <f t="array" ref="L147">Common_InputFunctions.Utility_DisplayArrayInTable(Fertiliser_SourceData.Fertiliser_Products_Data1(),FertiliserProducts[[#Headers],[Include or Exclude]], 0,4)</f>
        <v/>
      </c>
      <c r="M147" s="111" t="str" cm="1">
        <f t="array" ref="M147">Common_InputFunctions.Utility_DisplayArrayInTable(Fertiliser_SourceData.Fertiliser_Products_Data1(),FertiliserProducts[[#Headers],[Include or Exclude]], 0,4)</f>
        <v/>
      </c>
      <c r="N147" s="111" t="str" cm="1">
        <f t="array" ref="N147">Common_InputFunctions.Utility_DisplayArrayInTable(Fertiliser_SourceData.Fertiliser_Products_Data1(),FertiliserProducts[[#Headers],[Include or Exclude]], 0,4)</f>
        <v/>
      </c>
      <c r="O147" s="111" t="str" cm="1">
        <f t="array" ref="O147">Common_InputFunctions.Utility_DisplayArrayInTable(Fertiliser_SourceData.Fertiliser_Products_Data1(),FertiliserProducts[[#Headers],[Include or Exclude]], 0,4)</f>
        <v/>
      </c>
      <c r="P147" s="111" t="str" cm="1">
        <f t="array" ref="P147">Common_InputFunctions.Utility_DisplayArrayInTable(Fertiliser_SourceData.Fertiliser_Products_Data1(),FertiliserProducts[[#Headers],[Include or Exclude]], 0,4)</f>
        <v/>
      </c>
      <c r="Q147" s="111" t="str" cm="1">
        <f t="array" ref="Q147">Common_InputFunctions.Utility_DisplayArrayInTable(Fertiliser_SourceData.Fertiliser_Products_Data1(),FertiliserProducts[[#Headers],[Include or Exclude]], 0,4)</f>
        <v/>
      </c>
      <c r="R147" s="111" t="str" cm="1">
        <f t="array" ref="R147">Common_InputFunctions.Utility_DisplayArrayInTable(Fertiliser_SourceData.Fertiliser_Products_Data1(),FertiliserProducts[[#Headers],[Include or Exclude]], 0,4)</f>
        <v/>
      </c>
      <c r="S147" s="111" t="str" cm="1">
        <f t="array" ref="S147">Common_InputFunctions.Utility_DisplayArrayInTable(Fertiliser_SourceData.Fertiliser_Products_Data1(),FertiliserProducts[[#Headers],[Include or Exclude]], 0,4)</f>
        <v/>
      </c>
      <c r="T147" s="111" t="str" cm="1">
        <f t="array" ref="T147">Common_InputFunctions.Utility_DisplayArrayInTable(Fertiliser_SourceData.Fertiliser_Products_Data1(),FertiliserProducts[[#Headers],[Include or Exclude]], 0,4)</f>
        <v/>
      </c>
      <c r="U147" s="111" t="str" cm="1">
        <f t="array" ref="U147">Common_InputFunctions.Utility_DisplayArrayInTable(Fertiliser_SourceData.Fertiliser_Products_Data1(),FertiliserProducts[[#Headers],[Include or Exclude]], 0,4)</f>
        <v/>
      </c>
      <c r="V147" s="111" t="str" cm="1">
        <f t="array" ref="V147">Common_InputFunctions.Utility_DisplayArrayInTable(Fertiliser_SourceData.Fertiliser_Products_Data1(),FertiliserProducts[[#Headers],[Include or Exclude]], 0,4)</f>
        <v/>
      </c>
      <c r="W147" s="111" t="str" cm="1">
        <f t="array" ref="W147">Common_InputFunctions.Utility_DisplayArrayInTable(Fertiliser_SourceData.Fertiliser_Products_Data1(),FertiliserProducts[[#Headers],[Include or Exclude]], 0,4)</f>
        <v/>
      </c>
      <c r="X147" s="111" t="str" cm="1">
        <f t="array" ref="X147">Common_InputFunctions.Utility_DisplayArrayInTable(Fertiliser_SourceData.Fertiliser_Products_Data1(),FertiliserProducts[[#Headers],[Include or Exclude]], 0,4)</f>
        <v/>
      </c>
      <c r="Y147" s="111" t="str" cm="1">
        <f t="array" ref="Y147">Common_InputFunctions.Utility_DisplayArrayInTable(Fertiliser_SourceData.Fertiliser_Products_Data1(),FertiliserProducts[[#Headers],[Include or Exclude]], 0,4)</f>
        <v/>
      </c>
      <c r="Z147" s="111" t="str" cm="1">
        <f t="array" ref="Z147">Common_InputFunctions.Utility_DisplayArrayInTable(Fertiliser_SourceData.Fertiliser_Products_Data1(),FertiliserProducts[[#Headers],[Include or Exclude]], 0,4)</f>
        <v/>
      </c>
      <c r="AA147" s="111" t="str" cm="1">
        <f t="array" ref="AA147">Common_InputFunctions.Utility_DisplayArrayInTable(Fertiliser_SourceData.Fertiliser_Products_Data1(),FertiliserProducts[[#Headers],[Include or Exclude]], 0,4)</f>
        <v/>
      </c>
      <c r="AB147" s="111" t="str" cm="1">
        <f t="array" ref="AB147">Common_InputFunctions.Utility_DisplayArrayInTable(Fertiliser_SourceData.Fertiliser_Products_Data1(),FertiliserProducts[[#Headers],[Include or Exclude]], 0,4)</f>
        <v/>
      </c>
      <c r="AC147" s="111" t="str" cm="1">
        <f t="array" ref="AC147">Common_InputFunctions.Utility_DisplayArrayInTable(Fertiliser_SourceData.Fertiliser_Products_Data1(),FertiliserProducts[[#Headers],[Include or Exclude]], 0,4)</f>
        <v/>
      </c>
      <c r="AD147" s="111" t="str" cm="1">
        <f t="array" ref="AD147">Common_InputFunctions.Utility_DisplayArrayInTable(Fertiliser_SourceData.Fertiliser_Products_Data1(),FertiliserProducts[[#Headers],[Include or Exclude]], 0,4)</f>
        <v/>
      </c>
      <c r="AE147" s="111" t="str" cm="1">
        <f t="array" ref="AE147">Common_InputFunctions.Utility_DisplayArrayInTable(Fertiliser_SourceData.Fertiliser_Products_Data1(),FertiliserProducts[[#Headers],[Include or Exclude]], 0,4)</f>
        <v/>
      </c>
    </row>
    <row r="148" spans="4:31" ht="20.100000000000001" customHeight="1" x14ac:dyDescent="0.25">
      <c r="D148" s="111" t="str" cm="1">
        <f t="array" ref="D148">Common_InputFunctions.Utility_DisplayArrayInTable(Fertiliser_SourceData.Fertiliser_Products_Data1(),FertiliserProducts[[#Headers],[Include or Exclude]], -1)</f>
        <v/>
      </c>
      <c r="E148" s="111" t="str" cm="1">
        <f t="array" ref="E148">Common_InputFunctions.Utility_DisplayArrayInTable(Fertiliser_SourceData.Fertiliser_Products_Data1(),FertiliserProducts[[#Headers],[Include or Exclude]], 0)</f>
        <v/>
      </c>
      <c r="F148" s="111" t="str" cm="1">
        <f t="array" ref="F148">Common_InputFunctions.Utility_DisplayArrayInTable(Fertiliser_SourceData.Fertiliser_Products_Data1(),FertiliserProducts[[#Headers],[Include or Exclude]], 0)</f>
        <v/>
      </c>
      <c r="G148" s="111" t="str" cm="1">
        <f t="array" ref="G148">Common_InputFunctions.Utility_DisplayArrayInTable(Fertiliser_SourceData.Fertiliser_Products_Data1(),FertiliserProducts[[#Headers],[Include or Exclude]], 0)</f>
        <v/>
      </c>
      <c r="H148" s="111" t="str" cm="1">
        <f t="array" ref="H148">Common_InputFunctions.Utility_DisplayArrayInTable(Fertiliser_SourceData.Fertiliser_Products_Data1(),FertiliserProducts[[#Headers],[Include or Exclude]], 0,4)</f>
        <v/>
      </c>
      <c r="I148" s="111" t="str" cm="1">
        <f t="array" ref="I148">Common_InputFunctions.Utility_DisplayArrayInTable(Fertiliser_SourceData.Fertiliser_Products_Data1(),FertiliserProducts[[#Headers],[Include or Exclude]], 0,4)</f>
        <v/>
      </c>
      <c r="J148" s="111" t="str" cm="1">
        <f t="array" ref="J148">Common_InputFunctions.Utility_DisplayArrayInTable(Fertiliser_SourceData.Fertiliser_Products_Data1(),FertiliserProducts[[#Headers],[Include or Exclude]], 0,4)</f>
        <v/>
      </c>
      <c r="K148" s="111" t="str" cm="1">
        <f t="array" ref="K148">Common_InputFunctions.Utility_DisplayArrayInTable(Fertiliser_SourceData.Fertiliser_Products_Data1(),FertiliserProducts[[#Headers],[Include or Exclude]], 0,4)</f>
        <v/>
      </c>
      <c r="L148" s="111" t="str" cm="1">
        <f t="array" ref="L148">Common_InputFunctions.Utility_DisplayArrayInTable(Fertiliser_SourceData.Fertiliser_Products_Data1(),FertiliserProducts[[#Headers],[Include or Exclude]], 0,4)</f>
        <v/>
      </c>
      <c r="M148" s="111" t="str" cm="1">
        <f t="array" ref="M148">Common_InputFunctions.Utility_DisplayArrayInTable(Fertiliser_SourceData.Fertiliser_Products_Data1(),FertiliserProducts[[#Headers],[Include or Exclude]], 0,4)</f>
        <v/>
      </c>
      <c r="N148" s="111" t="str" cm="1">
        <f t="array" ref="N148">Common_InputFunctions.Utility_DisplayArrayInTable(Fertiliser_SourceData.Fertiliser_Products_Data1(),FertiliserProducts[[#Headers],[Include or Exclude]], 0,4)</f>
        <v/>
      </c>
      <c r="O148" s="111" t="str" cm="1">
        <f t="array" ref="O148">Common_InputFunctions.Utility_DisplayArrayInTable(Fertiliser_SourceData.Fertiliser_Products_Data1(),FertiliserProducts[[#Headers],[Include or Exclude]], 0,4)</f>
        <v/>
      </c>
      <c r="P148" s="111" t="str" cm="1">
        <f t="array" ref="P148">Common_InputFunctions.Utility_DisplayArrayInTable(Fertiliser_SourceData.Fertiliser_Products_Data1(),FertiliserProducts[[#Headers],[Include or Exclude]], 0,4)</f>
        <v/>
      </c>
      <c r="Q148" s="111" t="str" cm="1">
        <f t="array" ref="Q148">Common_InputFunctions.Utility_DisplayArrayInTable(Fertiliser_SourceData.Fertiliser_Products_Data1(),FertiliserProducts[[#Headers],[Include or Exclude]], 0,4)</f>
        <v/>
      </c>
      <c r="R148" s="111" t="str" cm="1">
        <f t="array" ref="R148">Common_InputFunctions.Utility_DisplayArrayInTable(Fertiliser_SourceData.Fertiliser_Products_Data1(),FertiliserProducts[[#Headers],[Include or Exclude]], 0,4)</f>
        <v/>
      </c>
      <c r="S148" s="111" t="str" cm="1">
        <f t="array" ref="S148">Common_InputFunctions.Utility_DisplayArrayInTable(Fertiliser_SourceData.Fertiliser_Products_Data1(),FertiliserProducts[[#Headers],[Include or Exclude]], 0,4)</f>
        <v/>
      </c>
      <c r="T148" s="111" t="str" cm="1">
        <f t="array" ref="T148">Common_InputFunctions.Utility_DisplayArrayInTable(Fertiliser_SourceData.Fertiliser_Products_Data1(),FertiliserProducts[[#Headers],[Include or Exclude]], 0,4)</f>
        <v/>
      </c>
      <c r="U148" s="111" t="str" cm="1">
        <f t="array" ref="U148">Common_InputFunctions.Utility_DisplayArrayInTable(Fertiliser_SourceData.Fertiliser_Products_Data1(),FertiliserProducts[[#Headers],[Include or Exclude]], 0,4)</f>
        <v/>
      </c>
      <c r="V148" s="111" t="str" cm="1">
        <f t="array" ref="V148">Common_InputFunctions.Utility_DisplayArrayInTable(Fertiliser_SourceData.Fertiliser_Products_Data1(),FertiliserProducts[[#Headers],[Include or Exclude]], 0,4)</f>
        <v/>
      </c>
      <c r="W148" s="111" t="str" cm="1">
        <f t="array" ref="W148">Common_InputFunctions.Utility_DisplayArrayInTable(Fertiliser_SourceData.Fertiliser_Products_Data1(),FertiliserProducts[[#Headers],[Include or Exclude]], 0,4)</f>
        <v/>
      </c>
      <c r="X148" s="111" t="str" cm="1">
        <f t="array" ref="X148">Common_InputFunctions.Utility_DisplayArrayInTable(Fertiliser_SourceData.Fertiliser_Products_Data1(),FertiliserProducts[[#Headers],[Include or Exclude]], 0,4)</f>
        <v/>
      </c>
      <c r="Y148" s="111" t="str" cm="1">
        <f t="array" ref="Y148">Common_InputFunctions.Utility_DisplayArrayInTable(Fertiliser_SourceData.Fertiliser_Products_Data1(),FertiliserProducts[[#Headers],[Include or Exclude]], 0,4)</f>
        <v/>
      </c>
      <c r="Z148" s="111" t="str" cm="1">
        <f t="array" ref="Z148">Common_InputFunctions.Utility_DisplayArrayInTable(Fertiliser_SourceData.Fertiliser_Products_Data1(),FertiliserProducts[[#Headers],[Include or Exclude]], 0,4)</f>
        <v/>
      </c>
      <c r="AA148" s="111" t="str" cm="1">
        <f t="array" ref="AA148">Common_InputFunctions.Utility_DisplayArrayInTable(Fertiliser_SourceData.Fertiliser_Products_Data1(),FertiliserProducts[[#Headers],[Include or Exclude]], 0,4)</f>
        <v/>
      </c>
      <c r="AB148" s="111" t="str" cm="1">
        <f t="array" ref="AB148">Common_InputFunctions.Utility_DisplayArrayInTable(Fertiliser_SourceData.Fertiliser_Products_Data1(),FertiliserProducts[[#Headers],[Include or Exclude]], 0,4)</f>
        <v/>
      </c>
      <c r="AC148" s="111" t="str" cm="1">
        <f t="array" ref="AC148">Common_InputFunctions.Utility_DisplayArrayInTable(Fertiliser_SourceData.Fertiliser_Products_Data1(),FertiliserProducts[[#Headers],[Include or Exclude]], 0,4)</f>
        <v/>
      </c>
      <c r="AD148" s="111" t="str" cm="1">
        <f t="array" ref="AD148">Common_InputFunctions.Utility_DisplayArrayInTable(Fertiliser_SourceData.Fertiliser_Products_Data1(),FertiliserProducts[[#Headers],[Include or Exclude]], 0,4)</f>
        <v/>
      </c>
      <c r="AE148" s="111" t="str" cm="1">
        <f t="array" ref="AE148">Common_InputFunctions.Utility_DisplayArrayInTable(Fertiliser_SourceData.Fertiliser_Products_Data1(),FertiliserProducts[[#Headers],[Include or Exclude]], 0,4)</f>
        <v/>
      </c>
    </row>
    <row r="149" spans="4:31" ht="20.100000000000001" customHeight="1" x14ac:dyDescent="0.25">
      <c r="D149" s="111" t="str" cm="1">
        <f t="array" ref="D149">Common_InputFunctions.Utility_DisplayArrayInTable(Fertiliser_SourceData.Fertiliser_Products_Data1(),FertiliserProducts[[#Headers],[Include or Exclude]], -1)</f>
        <v/>
      </c>
      <c r="E149" s="111" t="str" cm="1">
        <f t="array" ref="E149">Common_InputFunctions.Utility_DisplayArrayInTable(Fertiliser_SourceData.Fertiliser_Products_Data1(),FertiliserProducts[[#Headers],[Include or Exclude]], 0)</f>
        <v/>
      </c>
      <c r="F149" s="111" t="str" cm="1">
        <f t="array" ref="F149">Common_InputFunctions.Utility_DisplayArrayInTable(Fertiliser_SourceData.Fertiliser_Products_Data1(),FertiliserProducts[[#Headers],[Include or Exclude]], 0)</f>
        <v/>
      </c>
      <c r="G149" s="111" t="str" cm="1">
        <f t="array" ref="G149">Common_InputFunctions.Utility_DisplayArrayInTable(Fertiliser_SourceData.Fertiliser_Products_Data1(),FertiliserProducts[[#Headers],[Include or Exclude]], 0)</f>
        <v/>
      </c>
      <c r="H149" s="111" t="str" cm="1">
        <f t="array" ref="H149">Common_InputFunctions.Utility_DisplayArrayInTable(Fertiliser_SourceData.Fertiliser_Products_Data1(),FertiliserProducts[[#Headers],[Include or Exclude]], 0,4)</f>
        <v/>
      </c>
      <c r="I149" s="111" t="str" cm="1">
        <f t="array" ref="I149">Common_InputFunctions.Utility_DisplayArrayInTable(Fertiliser_SourceData.Fertiliser_Products_Data1(),FertiliserProducts[[#Headers],[Include or Exclude]], 0,4)</f>
        <v/>
      </c>
      <c r="J149" s="111" t="str" cm="1">
        <f t="array" ref="J149">Common_InputFunctions.Utility_DisplayArrayInTable(Fertiliser_SourceData.Fertiliser_Products_Data1(),FertiliserProducts[[#Headers],[Include or Exclude]], 0,4)</f>
        <v/>
      </c>
      <c r="K149" s="111" t="str" cm="1">
        <f t="array" ref="K149">Common_InputFunctions.Utility_DisplayArrayInTable(Fertiliser_SourceData.Fertiliser_Products_Data1(),FertiliserProducts[[#Headers],[Include or Exclude]], 0,4)</f>
        <v/>
      </c>
      <c r="L149" s="111" t="str" cm="1">
        <f t="array" ref="L149">Common_InputFunctions.Utility_DisplayArrayInTable(Fertiliser_SourceData.Fertiliser_Products_Data1(),FertiliserProducts[[#Headers],[Include or Exclude]], 0,4)</f>
        <v/>
      </c>
      <c r="M149" s="111" t="str" cm="1">
        <f t="array" ref="M149">Common_InputFunctions.Utility_DisplayArrayInTable(Fertiliser_SourceData.Fertiliser_Products_Data1(),FertiliserProducts[[#Headers],[Include or Exclude]], 0,4)</f>
        <v/>
      </c>
      <c r="N149" s="111" t="str" cm="1">
        <f t="array" ref="N149">Common_InputFunctions.Utility_DisplayArrayInTable(Fertiliser_SourceData.Fertiliser_Products_Data1(),FertiliserProducts[[#Headers],[Include or Exclude]], 0,4)</f>
        <v/>
      </c>
      <c r="O149" s="111" t="str" cm="1">
        <f t="array" ref="O149">Common_InputFunctions.Utility_DisplayArrayInTable(Fertiliser_SourceData.Fertiliser_Products_Data1(),FertiliserProducts[[#Headers],[Include or Exclude]], 0,4)</f>
        <v/>
      </c>
      <c r="P149" s="111" t="str" cm="1">
        <f t="array" ref="P149">Common_InputFunctions.Utility_DisplayArrayInTable(Fertiliser_SourceData.Fertiliser_Products_Data1(),FertiliserProducts[[#Headers],[Include or Exclude]], 0,4)</f>
        <v/>
      </c>
      <c r="Q149" s="111" t="str" cm="1">
        <f t="array" ref="Q149">Common_InputFunctions.Utility_DisplayArrayInTable(Fertiliser_SourceData.Fertiliser_Products_Data1(),FertiliserProducts[[#Headers],[Include or Exclude]], 0,4)</f>
        <v/>
      </c>
      <c r="R149" s="111" t="str" cm="1">
        <f t="array" ref="R149">Common_InputFunctions.Utility_DisplayArrayInTable(Fertiliser_SourceData.Fertiliser_Products_Data1(),FertiliserProducts[[#Headers],[Include or Exclude]], 0,4)</f>
        <v/>
      </c>
      <c r="S149" s="111" t="str" cm="1">
        <f t="array" ref="S149">Common_InputFunctions.Utility_DisplayArrayInTable(Fertiliser_SourceData.Fertiliser_Products_Data1(),FertiliserProducts[[#Headers],[Include or Exclude]], 0,4)</f>
        <v/>
      </c>
      <c r="T149" s="111" t="str" cm="1">
        <f t="array" ref="T149">Common_InputFunctions.Utility_DisplayArrayInTable(Fertiliser_SourceData.Fertiliser_Products_Data1(),FertiliserProducts[[#Headers],[Include or Exclude]], 0,4)</f>
        <v/>
      </c>
      <c r="U149" s="111" t="str" cm="1">
        <f t="array" ref="U149">Common_InputFunctions.Utility_DisplayArrayInTable(Fertiliser_SourceData.Fertiliser_Products_Data1(),FertiliserProducts[[#Headers],[Include or Exclude]], 0,4)</f>
        <v/>
      </c>
      <c r="V149" s="111" t="str" cm="1">
        <f t="array" ref="V149">Common_InputFunctions.Utility_DisplayArrayInTable(Fertiliser_SourceData.Fertiliser_Products_Data1(),FertiliserProducts[[#Headers],[Include or Exclude]], 0,4)</f>
        <v/>
      </c>
      <c r="W149" s="111" t="str" cm="1">
        <f t="array" ref="W149">Common_InputFunctions.Utility_DisplayArrayInTable(Fertiliser_SourceData.Fertiliser_Products_Data1(),FertiliserProducts[[#Headers],[Include or Exclude]], 0,4)</f>
        <v/>
      </c>
      <c r="X149" s="111" t="str" cm="1">
        <f t="array" ref="X149">Common_InputFunctions.Utility_DisplayArrayInTable(Fertiliser_SourceData.Fertiliser_Products_Data1(),FertiliserProducts[[#Headers],[Include or Exclude]], 0,4)</f>
        <v/>
      </c>
      <c r="Y149" s="111" t="str" cm="1">
        <f t="array" ref="Y149">Common_InputFunctions.Utility_DisplayArrayInTable(Fertiliser_SourceData.Fertiliser_Products_Data1(),FertiliserProducts[[#Headers],[Include or Exclude]], 0,4)</f>
        <v/>
      </c>
      <c r="Z149" s="111" t="str" cm="1">
        <f t="array" ref="Z149">Common_InputFunctions.Utility_DisplayArrayInTable(Fertiliser_SourceData.Fertiliser_Products_Data1(),FertiliserProducts[[#Headers],[Include or Exclude]], 0,4)</f>
        <v/>
      </c>
      <c r="AA149" s="111" t="str" cm="1">
        <f t="array" ref="AA149">Common_InputFunctions.Utility_DisplayArrayInTable(Fertiliser_SourceData.Fertiliser_Products_Data1(),FertiliserProducts[[#Headers],[Include or Exclude]], 0,4)</f>
        <v/>
      </c>
      <c r="AB149" s="111" t="str" cm="1">
        <f t="array" ref="AB149">Common_InputFunctions.Utility_DisplayArrayInTable(Fertiliser_SourceData.Fertiliser_Products_Data1(),FertiliserProducts[[#Headers],[Include or Exclude]], 0,4)</f>
        <v/>
      </c>
      <c r="AC149" s="111" t="str" cm="1">
        <f t="array" ref="AC149">Common_InputFunctions.Utility_DisplayArrayInTable(Fertiliser_SourceData.Fertiliser_Products_Data1(),FertiliserProducts[[#Headers],[Include or Exclude]], 0,4)</f>
        <v/>
      </c>
      <c r="AD149" s="111" t="str" cm="1">
        <f t="array" ref="AD149">Common_InputFunctions.Utility_DisplayArrayInTable(Fertiliser_SourceData.Fertiliser_Products_Data1(),FertiliserProducts[[#Headers],[Include or Exclude]], 0,4)</f>
        <v/>
      </c>
      <c r="AE149" s="111" t="str" cm="1">
        <f t="array" ref="AE149">Common_InputFunctions.Utility_DisplayArrayInTable(Fertiliser_SourceData.Fertiliser_Products_Data1(),FertiliserProducts[[#Headers],[Include or Exclude]], 0,4)</f>
        <v/>
      </c>
    </row>
    <row r="150" spans="4:31" ht="20.100000000000001" customHeight="1" x14ac:dyDescent="0.25">
      <c r="D150" s="111" t="str" cm="1">
        <f t="array" ref="D150">Common_InputFunctions.Utility_DisplayArrayInTable(Fertiliser_SourceData.Fertiliser_Products_Data1(),FertiliserProducts[[#Headers],[Include or Exclude]], -1)</f>
        <v/>
      </c>
      <c r="E150" s="111" t="str" cm="1">
        <f t="array" ref="E150">Common_InputFunctions.Utility_DisplayArrayInTable(Fertiliser_SourceData.Fertiliser_Products_Data1(),FertiliserProducts[[#Headers],[Include or Exclude]], 0)</f>
        <v/>
      </c>
      <c r="F150" s="111" t="str" cm="1">
        <f t="array" ref="F150">Common_InputFunctions.Utility_DisplayArrayInTable(Fertiliser_SourceData.Fertiliser_Products_Data1(),FertiliserProducts[[#Headers],[Include or Exclude]], 0)</f>
        <v/>
      </c>
      <c r="G150" s="111" t="str" cm="1">
        <f t="array" ref="G150">Common_InputFunctions.Utility_DisplayArrayInTable(Fertiliser_SourceData.Fertiliser_Products_Data1(),FertiliserProducts[[#Headers],[Include or Exclude]], 0)</f>
        <v/>
      </c>
      <c r="H150" s="111" t="str" cm="1">
        <f t="array" ref="H150">Common_InputFunctions.Utility_DisplayArrayInTable(Fertiliser_SourceData.Fertiliser_Products_Data1(),FertiliserProducts[[#Headers],[Include or Exclude]], 0,4)</f>
        <v/>
      </c>
      <c r="I150" s="111" t="str" cm="1">
        <f t="array" ref="I150">Common_InputFunctions.Utility_DisplayArrayInTable(Fertiliser_SourceData.Fertiliser_Products_Data1(),FertiliserProducts[[#Headers],[Include or Exclude]], 0,4)</f>
        <v/>
      </c>
      <c r="J150" s="111" t="str" cm="1">
        <f t="array" ref="J150">Common_InputFunctions.Utility_DisplayArrayInTable(Fertiliser_SourceData.Fertiliser_Products_Data1(),FertiliserProducts[[#Headers],[Include or Exclude]], 0,4)</f>
        <v/>
      </c>
      <c r="K150" s="111" t="str" cm="1">
        <f t="array" ref="K150">Common_InputFunctions.Utility_DisplayArrayInTable(Fertiliser_SourceData.Fertiliser_Products_Data1(),FertiliserProducts[[#Headers],[Include or Exclude]], 0,4)</f>
        <v/>
      </c>
      <c r="L150" s="111" t="str" cm="1">
        <f t="array" ref="L150">Common_InputFunctions.Utility_DisplayArrayInTable(Fertiliser_SourceData.Fertiliser_Products_Data1(),FertiliserProducts[[#Headers],[Include or Exclude]], 0,4)</f>
        <v/>
      </c>
      <c r="M150" s="111" t="str" cm="1">
        <f t="array" ref="M150">Common_InputFunctions.Utility_DisplayArrayInTable(Fertiliser_SourceData.Fertiliser_Products_Data1(),FertiliserProducts[[#Headers],[Include or Exclude]], 0,4)</f>
        <v/>
      </c>
      <c r="N150" s="111" t="str" cm="1">
        <f t="array" ref="N150">Common_InputFunctions.Utility_DisplayArrayInTable(Fertiliser_SourceData.Fertiliser_Products_Data1(),FertiliserProducts[[#Headers],[Include or Exclude]], 0,4)</f>
        <v/>
      </c>
      <c r="O150" s="111" t="str" cm="1">
        <f t="array" ref="O150">Common_InputFunctions.Utility_DisplayArrayInTable(Fertiliser_SourceData.Fertiliser_Products_Data1(),FertiliserProducts[[#Headers],[Include or Exclude]], 0,4)</f>
        <v/>
      </c>
      <c r="P150" s="111" t="str" cm="1">
        <f t="array" ref="P150">Common_InputFunctions.Utility_DisplayArrayInTable(Fertiliser_SourceData.Fertiliser_Products_Data1(),FertiliserProducts[[#Headers],[Include or Exclude]], 0,4)</f>
        <v/>
      </c>
      <c r="Q150" s="111" t="str" cm="1">
        <f t="array" ref="Q150">Common_InputFunctions.Utility_DisplayArrayInTable(Fertiliser_SourceData.Fertiliser_Products_Data1(),FertiliserProducts[[#Headers],[Include or Exclude]], 0,4)</f>
        <v/>
      </c>
      <c r="R150" s="111" t="str" cm="1">
        <f t="array" ref="R150">Common_InputFunctions.Utility_DisplayArrayInTable(Fertiliser_SourceData.Fertiliser_Products_Data1(),FertiliserProducts[[#Headers],[Include or Exclude]], 0,4)</f>
        <v/>
      </c>
      <c r="S150" s="111" t="str" cm="1">
        <f t="array" ref="S150">Common_InputFunctions.Utility_DisplayArrayInTable(Fertiliser_SourceData.Fertiliser_Products_Data1(),FertiliserProducts[[#Headers],[Include or Exclude]], 0,4)</f>
        <v/>
      </c>
      <c r="T150" s="111" t="str" cm="1">
        <f t="array" ref="T150">Common_InputFunctions.Utility_DisplayArrayInTable(Fertiliser_SourceData.Fertiliser_Products_Data1(),FertiliserProducts[[#Headers],[Include or Exclude]], 0,4)</f>
        <v/>
      </c>
      <c r="U150" s="111" t="str" cm="1">
        <f t="array" ref="U150">Common_InputFunctions.Utility_DisplayArrayInTable(Fertiliser_SourceData.Fertiliser_Products_Data1(),FertiliserProducts[[#Headers],[Include or Exclude]], 0,4)</f>
        <v/>
      </c>
      <c r="V150" s="111" t="str" cm="1">
        <f t="array" ref="V150">Common_InputFunctions.Utility_DisplayArrayInTable(Fertiliser_SourceData.Fertiliser_Products_Data1(),FertiliserProducts[[#Headers],[Include or Exclude]], 0,4)</f>
        <v/>
      </c>
      <c r="W150" s="111" t="str" cm="1">
        <f t="array" ref="W150">Common_InputFunctions.Utility_DisplayArrayInTable(Fertiliser_SourceData.Fertiliser_Products_Data1(),FertiliserProducts[[#Headers],[Include or Exclude]], 0,4)</f>
        <v/>
      </c>
      <c r="X150" s="111" t="str" cm="1">
        <f t="array" ref="X150">Common_InputFunctions.Utility_DisplayArrayInTable(Fertiliser_SourceData.Fertiliser_Products_Data1(),FertiliserProducts[[#Headers],[Include or Exclude]], 0,4)</f>
        <v/>
      </c>
      <c r="Y150" s="111" t="str" cm="1">
        <f t="array" ref="Y150">Common_InputFunctions.Utility_DisplayArrayInTable(Fertiliser_SourceData.Fertiliser_Products_Data1(),FertiliserProducts[[#Headers],[Include or Exclude]], 0,4)</f>
        <v/>
      </c>
      <c r="Z150" s="111" t="str" cm="1">
        <f t="array" ref="Z150">Common_InputFunctions.Utility_DisplayArrayInTable(Fertiliser_SourceData.Fertiliser_Products_Data1(),FertiliserProducts[[#Headers],[Include or Exclude]], 0,4)</f>
        <v/>
      </c>
      <c r="AA150" s="111" t="str" cm="1">
        <f t="array" ref="AA150">Common_InputFunctions.Utility_DisplayArrayInTable(Fertiliser_SourceData.Fertiliser_Products_Data1(),FertiliserProducts[[#Headers],[Include or Exclude]], 0,4)</f>
        <v/>
      </c>
      <c r="AB150" s="111" t="str" cm="1">
        <f t="array" ref="AB150">Common_InputFunctions.Utility_DisplayArrayInTable(Fertiliser_SourceData.Fertiliser_Products_Data1(),FertiliserProducts[[#Headers],[Include or Exclude]], 0,4)</f>
        <v/>
      </c>
      <c r="AC150" s="111" t="str" cm="1">
        <f t="array" ref="AC150">Common_InputFunctions.Utility_DisplayArrayInTable(Fertiliser_SourceData.Fertiliser_Products_Data1(),FertiliserProducts[[#Headers],[Include or Exclude]], 0,4)</f>
        <v/>
      </c>
      <c r="AD150" s="111" t="str" cm="1">
        <f t="array" ref="AD150">Common_InputFunctions.Utility_DisplayArrayInTable(Fertiliser_SourceData.Fertiliser_Products_Data1(),FertiliserProducts[[#Headers],[Include or Exclude]], 0,4)</f>
        <v/>
      </c>
      <c r="AE150" s="111" t="str" cm="1">
        <f t="array" ref="AE150">Common_InputFunctions.Utility_DisplayArrayInTable(Fertiliser_SourceData.Fertiliser_Products_Data1(),FertiliserProducts[[#Headers],[Include or Exclude]], 0,4)</f>
        <v/>
      </c>
    </row>
    <row r="151" spans="4:31" ht="20.100000000000001" customHeight="1" x14ac:dyDescent="0.25">
      <c r="D151" s="111" t="str" cm="1">
        <f t="array" ref="D151">Common_InputFunctions.Utility_DisplayArrayInTable(Fertiliser_SourceData.Fertiliser_Products_Data1(),FertiliserProducts[[#Headers],[Include or Exclude]], -1)</f>
        <v/>
      </c>
      <c r="E151" s="111" t="str" cm="1">
        <f t="array" ref="E151">Common_InputFunctions.Utility_DisplayArrayInTable(Fertiliser_SourceData.Fertiliser_Products_Data1(),FertiliserProducts[[#Headers],[Include or Exclude]], 0)</f>
        <v/>
      </c>
      <c r="F151" s="111" t="str" cm="1">
        <f t="array" ref="F151">Common_InputFunctions.Utility_DisplayArrayInTable(Fertiliser_SourceData.Fertiliser_Products_Data1(),FertiliserProducts[[#Headers],[Include or Exclude]], 0)</f>
        <v/>
      </c>
      <c r="G151" s="111" t="str" cm="1">
        <f t="array" ref="G151">Common_InputFunctions.Utility_DisplayArrayInTable(Fertiliser_SourceData.Fertiliser_Products_Data1(),FertiliserProducts[[#Headers],[Include or Exclude]], 0)</f>
        <v/>
      </c>
      <c r="H151" s="111" t="str" cm="1">
        <f t="array" ref="H151">Common_InputFunctions.Utility_DisplayArrayInTable(Fertiliser_SourceData.Fertiliser_Products_Data1(),FertiliserProducts[[#Headers],[Include or Exclude]], 0,4)</f>
        <v/>
      </c>
      <c r="I151" s="111" t="str" cm="1">
        <f t="array" ref="I151">Common_InputFunctions.Utility_DisplayArrayInTable(Fertiliser_SourceData.Fertiliser_Products_Data1(),FertiliserProducts[[#Headers],[Include or Exclude]], 0,4)</f>
        <v/>
      </c>
      <c r="J151" s="111" t="str" cm="1">
        <f t="array" ref="J151">Common_InputFunctions.Utility_DisplayArrayInTable(Fertiliser_SourceData.Fertiliser_Products_Data1(),FertiliserProducts[[#Headers],[Include or Exclude]], 0,4)</f>
        <v/>
      </c>
      <c r="K151" s="111" t="str" cm="1">
        <f t="array" ref="K151">Common_InputFunctions.Utility_DisplayArrayInTable(Fertiliser_SourceData.Fertiliser_Products_Data1(),FertiliserProducts[[#Headers],[Include or Exclude]], 0,4)</f>
        <v/>
      </c>
      <c r="L151" s="111" t="str" cm="1">
        <f t="array" ref="L151">Common_InputFunctions.Utility_DisplayArrayInTable(Fertiliser_SourceData.Fertiliser_Products_Data1(),FertiliserProducts[[#Headers],[Include or Exclude]], 0,4)</f>
        <v/>
      </c>
      <c r="M151" s="111" t="str" cm="1">
        <f t="array" ref="M151">Common_InputFunctions.Utility_DisplayArrayInTable(Fertiliser_SourceData.Fertiliser_Products_Data1(),FertiliserProducts[[#Headers],[Include or Exclude]], 0,4)</f>
        <v/>
      </c>
      <c r="N151" s="111" t="str" cm="1">
        <f t="array" ref="N151">Common_InputFunctions.Utility_DisplayArrayInTable(Fertiliser_SourceData.Fertiliser_Products_Data1(),FertiliserProducts[[#Headers],[Include or Exclude]], 0,4)</f>
        <v/>
      </c>
      <c r="O151" s="111" t="str" cm="1">
        <f t="array" ref="O151">Common_InputFunctions.Utility_DisplayArrayInTable(Fertiliser_SourceData.Fertiliser_Products_Data1(),FertiliserProducts[[#Headers],[Include or Exclude]], 0,4)</f>
        <v/>
      </c>
      <c r="P151" s="111" t="str" cm="1">
        <f t="array" ref="P151">Common_InputFunctions.Utility_DisplayArrayInTable(Fertiliser_SourceData.Fertiliser_Products_Data1(),FertiliserProducts[[#Headers],[Include or Exclude]], 0,4)</f>
        <v/>
      </c>
      <c r="Q151" s="111" t="str" cm="1">
        <f t="array" ref="Q151">Common_InputFunctions.Utility_DisplayArrayInTable(Fertiliser_SourceData.Fertiliser_Products_Data1(),FertiliserProducts[[#Headers],[Include or Exclude]], 0,4)</f>
        <v/>
      </c>
      <c r="R151" s="111" t="str" cm="1">
        <f t="array" ref="R151">Common_InputFunctions.Utility_DisplayArrayInTable(Fertiliser_SourceData.Fertiliser_Products_Data1(),FertiliserProducts[[#Headers],[Include or Exclude]], 0,4)</f>
        <v/>
      </c>
      <c r="S151" s="111" t="str" cm="1">
        <f t="array" ref="S151">Common_InputFunctions.Utility_DisplayArrayInTable(Fertiliser_SourceData.Fertiliser_Products_Data1(),FertiliserProducts[[#Headers],[Include or Exclude]], 0,4)</f>
        <v/>
      </c>
      <c r="T151" s="111" t="str" cm="1">
        <f t="array" ref="T151">Common_InputFunctions.Utility_DisplayArrayInTable(Fertiliser_SourceData.Fertiliser_Products_Data1(),FertiliserProducts[[#Headers],[Include or Exclude]], 0,4)</f>
        <v/>
      </c>
      <c r="U151" s="111" t="str" cm="1">
        <f t="array" ref="U151">Common_InputFunctions.Utility_DisplayArrayInTable(Fertiliser_SourceData.Fertiliser_Products_Data1(),FertiliserProducts[[#Headers],[Include or Exclude]], 0,4)</f>
        <v/>
      </c>
      <c r="V151" s="111" t="str" cm="1">
        <f t="array" ref="V151">Common_InputFunctions.Utility_DisplayArrayInTable(Fertiliser_SourceData.Fertiliser_Products_Data1(),FertiliserProducts[[#Headers],[Include or Exclude]], 0,4)</f>
        <v/>
      </c>
      <c r="W151" s="111" t="str" cm="1">
        <f t="array" ref="W151">Common_InputFunctions.Utility_DisplayArrayInTable(Fertiliser_SourceData.Fertiliser_Products_Data1(),FertiliserProducts[[#Headers],[Include or Exclude]], 0,4)</f>
        <v/>
      </c>
      <c r="X151" s="111" t="str" cm="1">
        <f t="array" ref="X151">Common_InputFunctions.Utility_DisplayArrayInTable(Fertiliser_SourceData.Fertiliser_Products_Data1(),FertiliserProducts[[#Headers],[Include or Exclude]], 0,4)</f>
        <v/>
      </c>
      <c r="Y151" s="111" t="str" cm="1">
        <f t="array" ref="Y151">Common_InputFunctions.Utility_DisplayArrayInTable(Fertiliser_SourceData.Fertiliser_Products_Data1(),FertiliserProducts[[#Headers],[Include or Exclude]], 0,4)</f>
        <v/>
      </c>
      <c r="Z151" s="111" t="str" cm="1">
        <f t="array" ref="Z151">Common_InputFunctions.Utility_DisplayArrayInTable(Fertiliser_SourceData.Fertiliser_Products_Data1(),FertiliserProducts[[#Headers],[Include or Exclude]], 0,4)</f>
        <v/>
      </c>
      <c r="AA151" s="111" t="str" cm="1">
        <f t="array" ref="AA151">Common_InputFunctions.Utility_DisplayArrayInTable(Fertiliser_SourceData.Fertiliser_Products_Data1(),FertiliserProducts[[#Headers],[Include or Exclude]], 0,4)</f>
        <v/>
      </c>
      <c r="AB151" s="111" t="str" cm="1">
        <f t="array" ref="AB151">Common_InputFunctions.Utility_DisplayArrayInTable(Fertiliser_SourceData.Fertiliser_Products_Data1(),FertiliserProducts[[#Headers],[Include or Exclude]], 0,4)</f>
        <v/>
      </c>
      <c r="AC151" s="111" t="str" cm="1">
        <f t="array" ref="AC151">Common_InputFunctions.Utility_DisplayArrayInTable(Fertiliser_SourceData.Fertiliser_Products_Data1(),FertiliserProducts[[#Headers],[Include or Exclude]], 0,4)</f>
        <v/>
      </c>
      <c r="AD151" s="111" t="str" cm="1">
        <f t="array" ref="AD151">Common_InputFunctions.Utility_DisplayArrayInTable(Fertiliser_SourceData.Fertiliser_Products_Data1(),FertiliserProducts[[#Headers],[Include or Exclude]], 0,4)</f>
        <v/>
      </c>
      <c r="AE151" s="111" t="str" cm="1">
        <f t="array" ref="AE151">Common_InputFunctions.Utility_DisplayArrayInTable(Fertiliser_SourceData.Fertiliser_Products_Data1(),FertiliserProducts[[#Headers],[Include or Exclude]], 0,4)</f>
        <v/>
      </c>
    </row>
    <row r="152" spans="4:31" ht="20.100000000000001" customHeight="1" x14ac:dyDescent="0.25">
      <c r="D152" s="111" t="str" cm="1">
        <f t="array" ref="D152">Common_InputFunctions.Utility_DisplayArrayInTable(Fertiliser_SourceData.Fertiliser_Products_Data1(),FertiliserProducts[[#Headers],[Include or Exclude]], -1)</f>
        <v/>
      </c>
      <c r="E152" s="111" t="str" cm="1">
        <f t="array" ref="E152">Common_InputFunctions.Utility_DisplayArrayInTable(Fertiliser_SourceData.Fertiliser_Products_Data1(),FertiliserProducts[[#Headers],[Include or Exclude]], 0)</f>
        <v/>
      </c>
      <c r="F152" s="111" t="str" cm="1">
        <f t="array" ref="F152">Common_InputFunctions.Utility_DisplayArrayInTable(Fertiliser_SourceData.Fertiliser_Products_Data1(),FertiliserProducts[[#Headers],[Include or Exclude]], 0)</f>
        <v/>
      </c>
      <c r="G152" s="111" t="str" cm="1">
        <f t="array" ref="G152">Common_InputFunctions.Utility_DisplayArrayInTable(Fertiliser_SourceData.Fertiliser_Products_Data1(),FertiliserProducts[[#Headers],[Include or Exclude]], 0)</f>
        <v/>
      </c>
      <c r="H152" s="111" t="str" cm="1">
        <f t="array" ref="H152">Common_InputFunctions.Utility_DisplayArrayInTable(Fertiliser_SourceData.Fertiliser_Products_Data1(),FertiliserProducts[[#Headers],[Include or Exclude]], 0,4)</f>
        <v/>
      </c>
      <c r="I152" s="111" t="str" cm="1">
        <f t="array" ref="I152">Common_InputFunctions.Utility_DisplayArrayInTable(Fertiliser_SourceData.Fertiliser_Products_Data1(),FertiliserProducts[[#Headers],[Include or Exclude]], 0,4)</f>
        <v/>
      </c>
      <c r="J152" s="111" t="str" cm="1">
        <f t="array" ref="J152">Common_InputFunctions.Utility_DisplayArrayInTable(Fertiliser_SourceData.Fertiliser_Products_Data1(),FertiliserProducts[[#Headers],[Include or Exclude]], 0,4)</f>
        <v/>
      </c>
      <c r="K152" s="111" t="str" cm="1">
        <f t="array" ref="K152">Common_InputFunctions.Utility_DisplayArrayInTable(Fertiliser_SourceData.Fertiliser_Products_Data1(),FertiliserProducts[[#Headers],[Include or Exclude]], 0,4)</f>
        <v/>
      </c>
      <c r="L152" s="111" t="str" cm="1">
        <f t="array" ref="L152">Common_InputFunctions.Utility_DisplayArrayInTable(Fertiliser_SourceData.Fertiliser_Products_Data1(),FertiliserProducts[[#Headers],[Include or Exclude]], 0,4)</f>
        <v/>
      </c>
      <c r="M152" s="111" t="str" cm="1">
        <f t="array" ref="M152">Common_InputFunctions.Utility_DisplayArrayInTable(Fertiliser_SourceData.Fertiliser_Products_Data1(),FertiliserProducts[[#Headers],[Include or Exclude]], 0,4)</f>
        <v/>
      </c>
      <c r="N152" s="111" t="str" cm="1">
        <f t="array" ref="N152">Common_InputFunctions.Utility_DisplayArrayInTable(Fertiliser_SourceData.Fertiliser_Products_Data1(),FertiliserProducts[[#Headers],[Include or Exclude]], 0,4)</f>
        <v/>
      </c>
      <c r="O152" s="111" t="str" cm="1">
        <f t="array" ref="O152">Common_InputFunctions.Utility_DisplayArrayInTable(Fertiliser_SourceData.Fertiliser_Products_Data1(),FertiliserProducts[[#Headers],[Include or Exclude]], 0,4)</f>
        <v/>
      </c>
      <c r="P152" s="111" t="str" cm="1">
        <f t="array" ref="P152">Common_InputFunctions.Utility_DisplayArrayInTable(Fertiliser_SourceData.Fertiliser_Products_Data1(),FertiliserProducts[[#Headers],[Include or Exclude]], 0,4)</f>
        <v/>
      </c>
      <c r="Q152" s="111" t="str" cm="1">
        <f t="array" ref="Q152">Common_InputFunctions.Utility_DisplayArrayInTable(Fertiliser_SourceData.Fertiliser_Products_Data1(),FertiliserProducts[[#Headers],[Include or Exclude]], 0,4)</f>
        <v/>
      </c>
      <c r="R152" s="111" t="str" cm="1">
        <f t="array" ref="R152">Common_InputFunctions.Utility_DisplayArrayInTable(Fertiliser_SourceData.Fertiliser_Products_Data1(),FertiliserProducts[[#Headers],[Include or Exclude]], 0,4)</f>
        <v/>
      </c>
      <c r="S152" s="111" t="str" cm="1">
        <f t="array" ref="S152">Common_InputFunctions.Utility_DisplayArrayInTable(Fertiliser_SourceData.Fertiliser_Products_Data1(),FertiliserProducts[[#Headers],[Include or Exclude]], 0,4)</f>
        <v/>
      </c>
      <c r="T152" s="111" t="str" cm="1">
        <f t="array" ref="T152">Common_InputFunctions.Utility_DisplayArrayInTable(Fertiliser_SourceData.Fertiliser_Products_Data1(),FertiliserProducts[[#Headers],[Include or Exclude]], 0,4)</f>
        <v/>
      </c>
      <c r="U152" s="111" t="str" cm="1">
        <f t="array" ref="U152">Common_InputFunctions.Utility_DisplayArrayInTable(Fertiliser_SourceData.Fertiliser_Products_Data1(),FertiliserProducts[[#Headers],[Include or Exclude]], 0,4)</f>
        <v/>
      </c>
      <c r="V152" s="111" t="str" cm="1">
        <f t="array" ref="V152">Common_InputFunctions.Utility_DisplayArrayInTable(Fertiliser_SourceData.Fertiliser_Products_Data1(),FertiliserProducts[[#Headers],[Include or Exclude]], 0,4)</f>
        <v/>
      </c>
      <c r="W152" s="111" t="str" cm="1">
        <f t="array" ref="W152">Common_InputFunctions.Utility_DisplayArrayInTable(Fertiliser_SourceData.Fertiliser_Products_Data1(),FertiliserProducts[[#Headers],[Include or Exclude]], 0,4)</f>
        <v/>
      </c>
      <c r="X152" s="111" t="str" cm="1">
        <f t="array" ref="X152">Common_InputFunctions.Utility_DisplayArrayInTable(Fertiliser_SourceData.Fertiliser_Products_Data1(),FertiliserProducts[[#Headers],[Include or Exclude]], 0,4)</f>
        <v/>
      </c>
      <c r="Y152" s="111" t="str" cm="1">
        <f t="array" ref="Y152">Common_InputFunctions.Utility_DisplayArrayInTable(Fertiliser_SourceData.Fertiliser_Products_Data1(),FertiliserProducts[[#Headers],[Include or Exclude]], 0,4)</f>
        <v/>
      </c>
      <c r="Z152" s="111" t="str" cm="1">
        <f t="array" ref="Z152">Common_InputFunctions.Utility_DisplayArrayInTable(Fertiliser_SourceData.Fertiliser_Products_Data1(),FertiliserProducts[[#Headers],[Include or Exclude]], 0,4)</f>
        <v/>
      </c>
      <c r="AA152" s="111" t="str" cm="1">
        <f t="array" ref="AA152">Common_InputFunctions.Utility_DisplayArrayInTable(Fertiliser_SourceData.Fertiliser_Products_Data1(),FertiliserProducts[[#Headers],[Include or Exclude]], 0,4)</f>
        <v/>
      </c>
      <c r="AB152" s="111" t="str" cm="1">
        <f t="array" ref="AB152">Common_InputFunctions.Utility_DisplayArrayInTable(Fertiliser_SourceData.Fertiliser_Products_Data1(),FertiliserProducts[[#Headers],[Include or Exclude]], 0,4)</f>
        <v/>
      </c>
      <c r="AC152" s="111" t="str" cm="1">
        <f t="array" ref="AC152">Common_InputFunctions.Utility_DisplayArrayInTable(Fertiliser_SourceData.Fertiliser_Products_Data1(),FertiliserProducts[[#Headers],[Include or Exclude]], 0,4)</f>
        <v/>
      </c>
      <c r="AD152" s="111" t="str" cm="1">
        <f t="array" ref="AD152">Common_InputFunctions.Utility_DisplayArrayInTable(Fertiliser_SourceData.Fertiliser_Products_Data1(),FertiliserProducts[[#Headers],[Include or Exclude]], 0,4)</f>
        <v/>
      </c>
      <c r="AE152" s="111" t="str" cm="1">
        <f t="array" ref="AE152">Common_InputFunctions.Utility_DisplayArrayInTable(Fertiliser_SourceData.Fertiliser_Products_Data1(),FertiliserProducts[[#Headers],[Include or Exclude]], 0,4)</f>
        <v/>
      </c>
    </row>
    <row r="153" spans="4:31" ht="20.100000000000001" customHeight="1" x14ac:dyDescent="0.25">
      <c r="D153" s="111" t="str" cm="1">
        <f t="array" ref="D153">Common_InputFunctions.Utility_DisplayArrayInTable(Fertiliser_SourceData.Fertiliser_Products_Data1(),FertiliserProducts[[#Headers],[Include or Exclude]], -1)</f>
        <v/>
      </c>
      <c r="E153" s="111" t="str" cm="1">
        <f t="array" ref="E153">Common_InputFunctions.Utility_DisplayArrayInTable(Fertiliser_SourceData.Fertiliser_Products_Data1(),FertiliserProducts[[#Headers],[Include or Exclude]], 0)</f>
        <v/>
      </c>
      <c r="F153" s="111" t="str" cm="1">
        <f t="array" ref="F153">Common_InputFunctions.Utility_DisplayArrayInTable(Fertiliser_SourceData.Fertiliser_Products_Data1(),FertiliserProducts[[#Headers],[Include or Exclude]], 0)</f>
        <v/>
      </c>
      <c r="G153" s="111" t="str" cm="1">
        <f t="array" ref="G153">Common_InputFunctions.Utility_DisplayArrayInTable(Fertiliser_SourceData.Fertiliser_Products_Data1(),FertiliserProducts[[#Headers],[Include or Exclude]], 0)</f>
        <v/>
      </c>
      <c r="H153" s="111" t="str" cm="1">
        <f t="array" ref="H153">Common_InputFunctions.Utility_DisplayArrayInTable(Fertiliser_SourceData.Fertiliser_Products_Data1(),FertiliserProducts[[#Headers],[Include or Exclude]], 0,4)</f>
        <v/>
      </c>
      <c r="I153" s="111" t="str" cm="1">
        <f t="array" ref="I153">Common_InputFunctions.Utility_DisplayArrayInTable(Fertiliser_SourceData.Fertiliser_Products_Data1(),FertiliserProducts[[#Headers],[Include or Exclude]], 0,4)</f>
        <v/>
      </c>
      <c r="J153" s="111" t="str" cm="1">
        <f t="array" ref="J153">Common_InputFunctions.Utility_DisplayArrayInTable(Fertiliser_SourceData.Fertiliser_Products_Data1(),FertiliserProducts[[#Headers],[Include or Exclude]], 0,4)</f>
        <v/>
      </c>
      <c r="K153" s="111" t="str" cm="1">
        <f t="array" ref="K153">Common_InputFunctions.Utility_DisplayArrayInTable(Fertiliser_SourceData.Fertiliser_Products_Data1(),FertiliserProducts[[#Headers],[Include or Exclude]], 0,4)</f>
        <v/>
      </c>
      <c r="L153" s="111" t="str" cm="1">
        <f t="array" ref="L153">Common_InputFunctions.Utility_DisplayArrayInTable(Fertiliser_SourceData.Fertiliser_Products_Data1(),FertiliserProducts[[#Headers],[Include or Exclude]], 0,4)</f>
        <v/>
      </c>
      <c r="M153" s="111" t="str" cm="1">
        <f t="array" ref="M153">Common_InputFunctions.Utility_DisplayArrayInTable(Fertiliser_SourceData.Fertiliser_Products_Data1(),FertiliserProducts[[#Headers],[Include or Exclude]], 0,4)</f>
        <v/>
      </c>
      <c r="N153" s="111" t="str" cm="1">
        <f t="array" ref="N153">Common_InputFunctions.Utility_DisplayArrayInTable(Fertiliser_SourceData.Fertiliser_Products_Data1(),FertiliserProducts[[#Headers],[Include or Exclude]], 0,4)</f>
        <v/>
      </c>
      <c r="O153" s="111" t="str" cm="1">
        <f t="array" ref="O153">Common_InputFunctions.Utility_DisplayArrayInTable(Fertiliser_SourceData.Fertiliser_Products_Data1(),FertiliserProducts[[#Headers],[Include or Exclude]], 0,4)</f>
        <v/>
      </c>
      <c r="P153" s="111" t="str" cm="1">
        <f t="array" ref="P153">Common_InputFunctions.Utility_DisplayArrayInTable(Fertiliser_SourceData.Fertiliser_Products_Data1(),FertiliserProducts[[#Headers],[Include or Exclude]], 0,4)</f>
        <v/>
      </c>
      <c r="Q153" s="111" t="str" cm="1">
        <f t="array" ref="Q153">Common_InputFunctions.Utility_DisplayArrayInTable(Fertiliser_SourceData.Fertiliser_Products_Data1(),FertiliserProducts[[#Headers],[Include or Exclude]], 0,4)</f>
        <v/>
      </c>
      <c r="R153" s="111" t="str" cm="1">
        <f t="array" ref="R153">Common_InputFunctions.Utility_DisplayArrayInTable(Fertiliser_SourceData.Fertiliser_Products_Data1(),FertiliserProducts[[#Headers],[Include or Exclude]], 0,4)</f>
        <v/>
      </c>
      <c r="S153" s="111" t="str" cm="1">
        <f t="array" ref="S153">Common_InputFunctions.Utility_DisplayArrayInTable(Fertiliser_SourceData.Fertiliser_Products_Data1(),FertiliserProducts[[#Headers],[Include or Exclude]], 0,4)</f>
        <v/>
      </c>
      <c r="T153" s="111" t="str" cm="1">
        <f t="array" ref="T153">Common_InputFunctions.Utility_DisplayArrayInTable(Fertiliser_SourceData.Fertiliser_Products_Data1(),FertiliserProducts[[#Headers],[Include or Exclude]], 0,4)</f>
        <v/>
      </c>
      <c r="U153" s="111" t="str" cm="1">
        <f t="array" ref="U153">Common_InputFunctions.Utility_DisplayArrayInTable(Fertiliser_SourceData.Fertiliser_Products_Data1(),FertiliserProducts[[#Headers],[Include or Exclude]], 0,4)</f>
        <v/>
      </c>
      <c r="V153" s="111" t="str" cm="1">
        <f t="array" ref="V153">Common_InputFunctions.Utility_DisplayArrayInTable(Fertiliser_SourceData.Fertiliser_Products_Data1(),FertiliserProducts[[#Headers],[Include or Exclude]], 0,4)</f>
        <v/>
      </c>
      <c r="W153" s="111" t="str" cm="1">
        <f t="array" ref="W153">Common_InputFunctions.Utility_DisplayArrayInTable(Fertiliser_SourceData.Fertiliser_Products_Data1(),FertiliserProducts[[#Headers],[Include or Exclude]], 0,4)</f>
        <v/>
      </c>
      <c r="X153" s="111" t="str" cm="1">
        <f t="array" ref="X153">Common_InputFunctions.Utility_DisplayArrayInTable(Fertiliser_SourceData.Fertiliser_Products_Data1(),FertiliserProducts[[#Headers],[Include or Exclude]], 0,4)</f>
        <v/>
      </c>
      <c r="Y153" s="111" t="str" cm="1">
        <f t="array" ref="Y153">Common_InputFunctions.Utility_DisplayArrayInTable(Fertiliser_SourceData.Fertiliser_Products_Data1(),FertiliserProducts[[#Headers],[Include or Exclude]], 0,4)</f>
        <v/>
      </c>
      <c r="Z153" s="111" t="str" cm="1">
        <f t="array" ref="Z153">Common_InputFunctions.Utility_DisplayArrayInTable(Fertiliser_SourceData.Fertiliser_Products_Data1(),FertiliserProducts[[#Headers],[Include or Exclude]], 0,4)</f>
        <v/>
      </c>
      <c r="AA153" s="111" t="str" cm="1">
        <f t="array" ref="AA153">Common_InputFunctions.Utility_DisplayArrayInTable(Fertiliser_SourceData.Fertiliser_Products_Data1(),FertiliserProducts[[#Headers],[Include or Exclude]], 0,4)</f>
        <v/>
      </c>
      <c r="AB153" s="111" t="str" cm="1">
        <f t="array" ref="AB153">Common_InputFunctions.Utility_DisplayArrayInTable(Fertiliser_SourceData.Fertiliser_Products_Data1(),FertiliserProducts[[#Headers],[Include or Exclude]], 0,4)</f>
        <v/>
      </c>
      <c r="AC153" s="111" t="str" cm="1">
        <f t="array" ref="AC153">Common_InputFunctions.Utility_DisplayArrayInTable(Fertiliser_SourceData.Fertiliser_Products_Data1(),FertiliserProducts[[#Headers],[Include or Exclude]], 0,4)</f>
        <v/>
      </c>
      <c r="AD153" s="111" t="str" cm="1">
        <f t="array" ref="AD153">Common_InputFunctions.Utility_DisplayArrayInTable(Fertiliser_SourceData.Fertiliser_Products_Data1(),FertiliserProducts[[#Headers],[Include or Exclude]], 0,4)</f>
        <v/>
      </c>
      <c r="AE153" s="111" t="str" cm="1">
        <f t="array" ref="AE153">Common_InputFunctions.Utility_DisplayArrayInTable(Fertiliser_SourceData.Fertiliser_Products_Data1(),FertiliserProducts[[#Headers],[Include or Exclude]], 0,4)</f>
        <v/>
      </c>
    </row>
    <row r="154" spans="4:31" ht="20.100000000000001" customHeight="1" x14ac:dyDescent="0.25"/>
    <row r="155" spans="4:31" ht="20.100000000000001" customHeight="1" x14ac:dyDescent="0.25"/>
    <row r="156" spans="4:31" ht="20.100000000000001" customHeight="1" x14ac:dyDescent="0.25"/>
    <row r="157" spans="4:31" ht="20.100000000000001" customHeight="1" x14ac:dyDescent="0.25"/>
    <row r="158" spans="4:31" ht="20.100000000000001" customHeight="1" x14ac:dyDescent="0.25"/>
    <row r="159" spans="4:31" ht="20.100000000000001" customHeight="1" x14ac:dyDescent="0.25"/>
    <row r="160" spans="4:31"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honeticPr fontId="23" type="noConversion"/>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E6C86-3575-4401-8297-289E0384C5A2}">
  <dimension ref="A1:BY259"/>
  <sheetViews>
    <sheetView showGridLines="0" zoomScale="85" zoomScaleNormal="85" workbookViewId="0">
      <selection activeCell="D21" sqref="D21:D30"/>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70</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17</v>
      </c>
      <c r="E6" s="37" t="s">
        <v>18</v>
      </c>
      <c r="F6" s="37" t="s">
        <v>19</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20</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23</v>
      </c>
      <c r="E36" s="37" t="s">
        <v>24</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23</v>
      </c>
      <c r="E47" s="37" t="s">
        <v>26</v>
      </c>
      <c r="F47" s="37" t="s">
        <v>27</v>
      </c>
      <c r="G47" s="37" t="s">
        <v>28</v>
      </c>
      <c r="H47" s="37" t="s">
        <v>29</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8</v>
      </c>
      <c r="E63" s="37" t="s">
        <v>44</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8</v>
      </c>
      <c r="E89" s="37" t="s">
        <v>32</v>
      </c>
      <c r="F89" s="37" t="s">
        <v>33</v>
      </c>
      <c r="G89" s="37" t="s">
        <v>34</v>
      </c>
      <c r="H89" s="37" t="s">
        <v>35</v>
      </c>
      <c r="I89" s="37" t="s">
        <v>36</v>
      </c>
      <c r="J89" s="37" t="s">
        <v>37</v>
      </c>
      <c r="K89" s="37" t="s">
        <v>38</v>
      </c>
      <c r="L89" s="37" t="s">
        <v>39</v>
      </c>
      <c r="M89" s="37" t="s">
        <v>40</v>
      </c>
      <c r="N89" s="37" t="s">
        <v>41</v>
      </c>
      <c r="O89" s="37" t="s">
        <v>45</v>
      </c>
      <c r="P89" s="37" t="s">
        <v>42</v>
      </c>
      <c r="Q89" s="37" t="s">
        <v>46</v>
      </c>
      <c r="R89" s="37" t="s">
        <v>43</v>
      </c>
      <c r="S89" s="37" t="s">
        <v>47</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2" t="str" cm="1">
        <f t="array" ref="D99:D102">Common_SourceData.Common_SourceData_ClimateZones_Appendices()</f>
        <v>Note:</v>
      </c>
    </row>
    <row r="100" spans="4:20" ht="20.100000000000001" customHeight="1" x14ac:dyDescent="0.25">
      <c r="D100" s="52" t="str">
        <v>MAT = mean annual temperature</v>
      </c>
    </row>
    <row r="101" spans="4:20" ht="20.100000000000001" customHeight="1" x14ac:dyDescent="0.25">
      <c r="D101" s="52" t="str">
        <v>MAP = mean annual precipitation</v>
      </c>
    </row>
    <row r="102" spans="4:20" ht="20.100000000000001" customHeight="1" x14ac:dyDescent="0.25">
      <c r="D102" s="52" t="str">
        <v>PET = potential evapotranspiration</v>
      </c>
    </row>
    <row r="103" spans="4:20" ht="20.100000000000001" customHeight="1" x14ac:dyDescent="0.25">
      <c r="D103" s="52"/>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51</v>
      </c>
      <c r="E109" s="37" t="s">
        <v>32</v>
      </c>
      <c r="F109" s="37" t="s">
        <v>52</v>
      </c>
      <c r="G109" s="37" t="s">
        <v>53</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54</v>
      </c>
      <c r="E119" s="37" t="s">
        <v>55</v>
      </c>
      <c r="F119" s="37" t="s">
        <v>39</v>
      </c>
      <c r="G119" s="37" t="s">
        <v>40</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61</v>
      </c>
      <c r="E127" s="37" t="s">
        <v>62</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74</v>
      </c>
      <c r="E134" t="s">
        <v>75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92</v>
      </c>
      <c r="E142" s="37" t="s">
        <v>75</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63</v>
      </c>
      <c r="E153" s="37" t="s">
        <v>64</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7" t="s">
        <v>83</v>
      </c>
      <c r="E186" s="37" t="s">
        <v>84</v>
      </c>
      <c r="F186" s="37" t="s">
        <v>85</v>
      </c>
      <c r="G186" s="37" t="s">
        <v>86</v>
      </c>
      <c r="H186" s="37" t="s">
        <v>31</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7" t="s">
        <v>8</v>
      </c>
      <c r="E206" s="37" t="s">
        <v>94</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91</v>
      </c>
      <c r="E212" s="37" t="s">
        <v>99</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48</v>
      </c>
      <c r="E231" s="37" t="s">
        <v>210</v>
      </c>
      <c r="F231" s="36" t="s">
        <v>211</v>
      </c>
      <c r="G231" s="37" t="s">
        <v>105</v>
      </c>
      <c r="H231" s="37" t="s">
        <v>212</v>
      </c>
      <c r="I231" s="37" t="s">
        <v>213</v>
      </c>
      <c r="J231" s="37" t="s">
        <v>104</v>
      </c>
      <c r="K231" s="37" t="s">
        <v>103</v>
      </c>
      <c r="L231" s="37" t="s">
        <v>214</v>
      </c>
      <c r="M231" s="37" t="s">
        <v>215</v>
      </c>
      <c r="N231" s="37" t="s">
        <v>102</v>
      </c>
      <c r="O231" s="37" t="s">
        <v>216</v>
      </c>
      <c r="P231" s="37" t="s">
        <v>107</v>
      </c>
      <c r="Q231" s="37" t="s">
        <v>108</v>
      </c>
      <c r="R231" s="37" t="s">
        <v>106</v>
      </c>
      <c r="S231" s="37" t="s">
        <v>217</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7" t="s">
        <v>251</v>
      </c>
      <c r="E257" s="37" t="s">
        <v>252</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ADwAcwA+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JwBcACIAIAAmACAAcwBoACAAJgAgAFwAIgAnACEAXAAiACAAJ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J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JgAgAFwAIgAgAFwAIgAgACYAIABUAGkAdABsAGUAQwBlAGwAbABcAG4AKQA7ACIAfQAsAHsAIgBwAGEAdABoACIAOgAiAC8AcAByAG8AagBlAGMAdABzAC8AQwBvAG0AbQBvAG4AQwByAG8AcABwAGkAbgBnAF8ASQBuAHAAdQB0AEYAdQBuAGMAdABpAG8AbgBzACIALAAiAHQAZQB4AHQAIgA6ACI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A+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YAZQByAHQAaQBsAGkAcwBlAHIAXwBTAG8AdQByAGMAZQBEAGEAdABhACIALAAiAHQAZQB4AHQAIgA6ACIALwAqAFwAbgA9AD0APQA9AD0APQA9AD0APQA9AD0APQA9AD0APQA9AD0APQA9AD0APQA9AD0APQA9AD0APQA9AD0APQA9AD0APQA9AD0APQA9AD0APQA9AD0APQA9AD0APQA9AD0APQA9AD0APQA9AD0APQA9AD0APQA9AD0APQA9AD0APQA9AD0APQA9AD0APQA9AD0APQA9AD0APQA9AFwAbgBGAGUAcgB0AGkAbABpAHMAZQByACAAYwBoAGUAbQBpAGMAYQBsACAAYwBvAG0AcABvAHUAbgBkAHMAXABuAD0APQA9AD0APQA9AD0APQA9AD0APQA9AD0APQA9AD0APQA9AD0APQA9AD0APQA9AD0APQA9AD0APQA9AD0APQA9AD0APQA9AD0APQA9AD0APQA9AD0APQA9AD0APQA9AD0APQA9AD0APQA9AD0APQA9AD0APQA9AD0APQA9AD0APQA9AD0APQA9AD0APQA9AD0APQA9AD0AXABuACoALwBcAG4AXABuAEYAZQByAHQAaQBsAGkAcwBlAHIAXwBDAGgAZQBtAGkAYwBhAGwAQwBvAG0AcABvAHUAbgBkAEUAbABlAG0AZQBuAHQAcwBfAFQAaQB0AGwAZQBcAG4APQBMAEEATQBCAEQAQQAoACgAXAAiAEMAbwBtAG0AbwBuACAAaQBuAG8AcgBnAGEAbgBpAGMAIABmAGUAcgB0AGkAbABpAHMAZQByAHMAXAAiACkAKQA7AFwAbgBcAG4ARgBlAHIAdABpAGwAaQBzAGUAcgBfAEMAaABlAG0AaQBjAGEAbABDAG8AbQBwAG8AdQBuAGQARQBsAGUAbQBlAG4AdABzAF8AUwBvAHUAcgBjAGUAXABuAD0ATABBAE0AQgBEAEEAKAAoAFwAIgBUAGEAYgBsAGUAIABBAC4AMgAuADIALgAzADoAIABGAHIAYQBjAHQAaQBvAG4AIABvAGYAIABuAGkAdAByAG8AZwBlAG4AIABpAG4AIABjAG8AbQBtAG8AbgAgAGkAbgBvAHIAZwBhAG4AaQBjACAAZgBlAHIAdABpAGwAaQBzAGUAcgBzACAAKABrAGcATgAvAGsAZwApACAAKABGAE4AbwByAGcAYQBuAGkAYwAsAGYAKQAgAEEATgBEACAAVABhAGIAbABlACAAQQAuADIALgAyAC4ANAA6ACAARgByAGEAYwB0AGkAbwBuACAAbwBmACAAdQByAGUAYQAgAGkAbgAgAGMAbwBtAG0AbwBuACAAaQBuAG8AcgBnAGEAbgBpAGMAIABmAGUAcgB0AGkAbABpAHMAZQByAHMAIAAoAGsAZwAgAHUAcgBlAGEALwBrAGcAKQAgACgARgBVAGYAKQBcACIAKQApADsAXABuAFwAbgBGAGUAcgB0AGkAbABpAHMAZQByAF8AQwBoAGUAbQBpAGMAYQBsAEMAbwBtAHAAbwB1AG4AZABFAGwAZQBtAGUAbgB0AHMAXwBEAGEAdABhAFwAbgA9AEwAQQBNAEIARABBACgAXABuACAATQBBAEsARQBBAFIAUgBBAFkAKAAyADAALAAgADYALABcAG4AIABMAEEATQBCAEQAQQAoAHIALABjACwAXABuACAAIABJAE4ARABFAFgAKAB7AFwAbgAgACAAXAAiAEYAZQByAHQAaQBsAGkAcwBlAHIAIABUAHkAcABlACAAZgBcACIALAAgAFwAIgBGAE4AaQBuAG8AcgBnAGEAbgBpAGMALABmAFwAIgAsACAAXAAiAEYAVQBmAFwAIgAsACAAXAAiAEIAYQBzAGkAcwBcACIALAAgAFwAIgBMAGkAZgBlAEMAeQBjAGwAZQBzACAAUwBjAG8AcABlACAAMwAgAGQAZQBmAGkAbgBpAHQAaQBvAG4AXAAiACwAIABcACIAUwBvAHUAcgBjAGUAXAAiADsAXABuACAAIABcACIATQBvAG4AbwBhAG0AbQBvAG4AaQB1AG0AIABwAGgAbwBzAHAAaABhAHQAZQAgACgATQBBAFAAKQBcACIALAAgADAALgAxADAALAAgADAALAAgAFwAIgBBAG0AbQBvAG4AaQB1AG0ALQBiAGEAcwBlAGQAIABmAGUAcgB0AGkAbABpAHMAZQByAHMAXAAiACwAIABcACIATQBvAG4AbwBhAG0AbQBvAG4AaQB1AG0AIABwAGgAbwBzAHAAaABhAHQAZQAgACgATQBBAFAAKQBcACIALAAgAFwAIgBWAEUARQBSAEcAXAAiADsAXABuACAAIABcACIARABpAGEAbQBtAG8AbgBpAHUAbQAgAHAAaABvAHMAcABoAGEAdABlACAAKABEAEEAUAApAFwAIgAsACAAMAAuADEAOAAsACAAMAAsACAAXAAiAEEAbQBtAG8AbgBpAHUAbQAtAGIAYQBzAGUAZAAgAGYAZQByAHQAaQBsAGkAcwBlAHIAcwBcACIALAAgAFwAIgBEAGkAYQBtAG0AbwBuAGkAdQBtACAAcABoAG8AcwBwAGgAYQB0AGUAIAAoAEQAQQBQACkAXAAiACwAIABcACIAVgBFAEUAUgBHAFwAIgA7AFwAbgAgACAAXAAiAFUAcgBlAGEAXAAiACwAIAAwAC4ANAA2ACwAIAAxACwAIABcACIAVQByAGUAYQAtAGIAYQBzAGUAZAAgAGYAZQByAHQAaQBsAGkAcwBlAHIAcwBcACIALAAgAFwAIgBVAHIAZQBhAFwAIgAsACAAXAAiAFYARQBFAFIARwBcACIAOwBcAG4AIAAgAFwAIgBTAHUAbABwAGgAYQB0AGUAIABvAGYAIABhAG0AbQBvAG4AaQBhACAAKABTAE8AQQApAFwAIgAsACAAMAAuADIAMQAsACAAMAAsACAAXAAiAEEAbQBtAG8AbgBpAHUAbQAtAGIAYQBzAGUAZAAgAGYAZQByAHQAaQBsAGkAcwBlAHIAcwBcACIALAAgAFwAIgBTAHUAbABwAGgAYQB0AGUAIABvAGYAIABhAG0AbQBvAG4AaQBhACAAKABTAE8AQQApAFwAIgAsACAAXAAiAFYARQBFAFIARwBcACIAOwBcAG4AIAAgAFwAIgBVAHIAZQBhAC0AYQBtAG0AbwBuAGkAdQBtACAAbgBpAHQAcgBhAHQAZQAgACgAVQBBAE4AKQBcACIALAAgADAALgAzADIALAAgADAALgAzADUALAAgAFwAIgBVAHIAZQBhAC0AYgBhAHMAZQBkACAAZgBlAHIAdABpAGwAaQBzAGUAcgBzAFwAIgAsACAAXAAiAFUAcgBlAGEALQBhAG0AbQBvAG4AaQB1AG0AIABuAGkAdAByAGEAdABlACAAKABVAEEATgApAFwAIgAsACAAXAAiAFYARQBFAFIARwBcACIAOwBcAG4AIAAgAFwAIgBBAG0AbQBvAG4AaQB1AG0AIABuAGkAdAByAGEAdABlACAAKABBAE4AKQBcACIALAAgADAALgAzADMANwAsACAAMAAsACAAXAAiAEEAbQBtAG8AbgBpAHUAbQAtAG4AaQB0AHIAYQB0AGUAIABiAGEAcwBlAGQAIABmAGUAcgB0AGkAbABpAHMAZQByAHMAXAAiACwAIABcACIAQQBtAG0AbwBuAGkAdQBtACAAbgBpAHQAcgBhAHQAZQAgACgAQQBOACkAXAAiACwAIABcACIAVgBFAEUAUgBHAFwAIgA7AFwAbgAgACAAXAAiAEMAYQBsAGMAaQB1AG0AIABhAG0AbQBvAG4AaQB1AG0AIABuAGkAdAByAGEAdABlACAAKABDAEEATgApAFwAIgAsACAAMAAuADIANwAsACAAMAAsACAAXAAiAEEAbQBtAG8AbgBpAHUAbQAtAG4AaQB0AHIAYQB0AGUAIABiAGEAcwBlAGQAIABmAGUAcgB0AGkAbABpAHMAZQByAHMAXAAiACwAIABcACIAQwBhAGwAYwBpAHUAbQAgAGEAbQBtAG8AbgBpAHUAbQAgAG4AaQB0AHIAYQB0AGUAIAAoAEMAQQBOACkAXAAiACwAIABcACIAVgBFAEUAUgBHAFwAIgA7AFwAbgAgACAAXAAiAE4AaQB0AHIAbwBnAGUAbgAgAC0AIABBAG0AbQBvAG4AaQBhAGMAYQBsAFwAIgAsACAAMQAsACAAMAAsACAAXAAiAEEAbQBtAG8AbgBpAHUAbQAtAGIAYQBzAGUAZAAgAGYAZQByAHQAaQBsAGkAcwBlAHIAcwBcACIALAAgAFwAIgBOAGkAdAByAG8AZwBlAG4AIAAtACAAQQBtAG0AbwBuAGkAYQBjAGEAbABcACIALAAgAFwAIgBMAGkAZgBlAEMAeQBjAGwAZQBzAFwAIgA7AFwAbgAgACAAXAAiAE4AaQB0AHIAbwBnAGUAbgAgAC0AIABOAGkAdAByAGEAdABlAFwAIgAsACAAMQAsACAAMAAsACAAXAAiAE4AaQB0AHIAYQB0AGUALQBiAGEAcwBlAGQAIABmAGUAcgB0AGkAbABpAHMAZQByAHMAXAAiACwAIABcACIATgBpAHQAcgBvAGcAZQBuACAAZgByAG8AbQAgAE4AaQB0AHIAYQB0AGUAXAAiACwAIABcACIATABpAGYAZQBDAHkAYwBsAGUAcwBcACIAOwBcAG4AIAAgAFwAIgBOAGkAdAByAG8AZwBlAG4AIAAtACAARwBlAG4AZQByAGkAYwBcACIALAAgADEALAAgADAALAAgAFwAIgBVAHIAZQBhAC0AYgBhAHMAZQBkACAAZgBlAHIAdABpAGwAaQBzAGUAcgBzAFwAIgAsACAAXAAiAE4AaQB0AHIAbwBnAGUAbgAgAGYAcgBvAG0AIABmAGUAcgB0AGkAbABpAHMAZQByAFwAIgAsACAAXAAiAEwAaQBmAGUAQwB5AGMAbABlAHMAXAAiADsAXABuACAAIABcACIAUABoAG8AcwBwAGgAbwByAHUAcwAgAC0AIABHAGUAbgBlAHIAaQBjAFwAIgAsACAAMAAsACAAMAAsACAAXAAiAE8AdABoAGUAcgAgAGYAZQByAHQAaQBsAGkAcwBlAHIAcwBcACIALAAgAFwAIgBQAGgAbwBzAHAAaABvAHIAdQBzACAAZgByAG8AbQAgAGYAZQByAHQAaQBsAGkAcwBlAHIAXAAiACwAIABcACIATABpAGYAZQBDAHkAYwBsAGUAcwBcACIAOwBcAG4AIAAgAFwAIgBQAG8AdABhAHMAcwBpAHUAbQAgAC0AIABHAGUAbgBlAHIAaQBjAFwAIgAsACAAMAAsACAAMAAsACAAXAAiAE8AdABoAGUAcgAgAGYAZQByAHQAaQBsAGkAcwBlAHIAcwBcACIALAAgAFwAIgBQAG8AdABhAHMAcwBpAHUAbQAgAGYAcgBvAG0AIABmAGUAcgB0AGkAbABpAHMAZQByAFwAIgAsACAAXAAiAEwAaQBmAGUAQwB5AGMAbABlAHMAXAAiADsAXABuACAAIABcACIAUwB1AGwAZgB1AHIAIAAtACAARwBlAG4AZQByAGkAYwBcACIALAAgADAALAAgADAALAAgAFwAIgBPAHQAaABlAHIAIABmAGUAcgB0AGkAbABpAHMAZQByAHMAXAAiACwAIABcACIAUwB1AGwAZgB1AHIAIABmAHIAbwBtACAAZgBlAHIAdABpAGwAaQBzAGUAcgBcACIALAAgAFwAIgBMAGkAZgBlAEMAeQBjAGwAZQBzAFwAIgA7AFwAbgAgACAAXAAiAFoAaQBuAGMAIAAtACAARwBlAG4AZQByAGkAYwBcACIALAAgADAALAAgADAALAAgAFwAIgBPAHQAaABlAHIAIABmAGUAcgB0AGkAbABpAHMAZQByAHMAXAAiACwAIABcACIAWgBpAG4AYwAgAGYAcgBvAG0AIABmAGUAcgB0AGkAbABpAHMAZQByAFwAIgAsACAAXAAiAEwAaQBmAGUAQwB5AGMAbABlAHMAXAAiADsAXABuACAAIABcACIATQB1AHIAaQBhAHQAZQAgAG8AZgAgAHAAbwB0AGEAcwBoACAAKABNAE8AUAApAFwAIgAsACAAMAAsACAAMAAsACAAXAAiAE8AdABoAGUAcgAgAGYAZQByAHQAaQBsAGkAcwBlAHIAcwBcACIALAAgAFwAIgBNAHUAcgBpAGEAdABlACAAbwBmACAAcABvAHQAYQBzAGgAIAAoAE0ATwBQACkAXAAiACwAIABcACIATABpAGYAZQBDAHkAYwBsAGUAcwBcACIAOwBcAG4AIAAgAFwAIgBEAG8AdQBiAGwAZQAgAHMAdQBwAGUAcgBwAGgAbwBzAHAAaABhAHQAZQBcACIALAAgADAALAAgADAALAAgAFwAIgBPAHQAaABlAHIAIABmAGUAcgB0AGkAbABpAHMAZQByAHMAXAAiACwAIABcACIARABvAHUAYgBsAGUAIABzAHUAcABlAHIAcABoAG8AcwBwAGgAYQB0AGUAXAAiACwAIABcACIATABpAGYAZQBDAHkAYwBsAGUAcwBcACIAOwBcAG4AIAAgAFwAIgBTAGkAbgBnAGwAZQAgAHMAdQBwAGUAcgBwAGgAbwBzAHAAaABhAHQAZQAgACgAUwBTAFAAKQBcACIALAAgADAALAAgADAALAAgAFwAIgBPAHQAaABlAHIAIABmAGUAcgB0AGkAbABpAHMAZQByAHMAXAAiACwAIABcACIAUwBpAG4AZwBsAGUAIABzAHUAcABlAHIAcABoAG8AcwBwAGgAYQB0AGUAIAAoAFMAUwBQACkAXAAiACwAIABcACIATABpAGYAZQBDAHkAYwBsAGUAcwBcACIAOwBcAG4AIAAgAFwAIgBBAG0AbQBvAG4AaQBhAFwAIgAsACAAMAAuADgAMgAzADUALAAgADAALAAgAFwAIgBBAG0AbQBvAG4AaQB1AG0ALQBiAGEAcwBlAGQAIABmAGUAcgB0AGkAbABpAHMAZQByAHMAXAAiACwAIABcACIAQQBtAG0AbwBuAGkAYQBcACIALAAgAFwAIgBMAGkAZgBlAEMAeQBjAGwAZQBzAFwAIgA7AFwAbgAgACAAXAAiAEMAYQBsAGMAaQB1AG0AIABuAGkAdAByAGEAdABlAFwAIgAsACAAMAAuADEANQA1ACwAIAAwACwAIABcACIATgBpAHQAcgBhAHQAZQAtAGIAYQBzAGUAZAAgAGYAZQByAHQAaQBsAGkAcwBlAHIAcwBcACIALAAgAFwAIgBDAGEAbABjAGkAdQBtACAAbgBpAHQAcgBhAHQAZQBcACIALAAgAFwAIgBWAEUARQBSAEcAXAAiAFwAbgAgACAAfQAsACAAcgAsACAAYwApAFwAbgApACkAKQA7AFwAbgBcAG4ARgBlAHIAdABpAGwAaQBzAGUAcgBfAEMAaABlAG0AaQBjAGEAbABDAG8AbQBwAG8AdQBuAGQARQBsAGUAbQBlAG4AdABzAF8AVgBhAHIAaQBhAHQAaQBvAG4AXABuAD0ATABBAE0AQgBEAEEAKABcAG4AIABNAEEASwBFAEEAUgBSAEEAWQAoADEAMgAsACAAMQAsAFwAbgAgAEwAQQBNAEIARABBACgAcgAsAGMALABcAG4AIAAgAEkATgBEAEUAWAAoAHsAXABuACAAIABcACIAVgBBAFIASQBBAFQASQBPAE4AIABPAE4AIABTAE8AVQBSAEMARQBcACIAOwBcAG4AIAAgAFwAIgBBAGQAZABlAGQAIAAnAEIAYQBzAGkAcwAnACAAYwBvAGwAdQBtAG4AIAB0AG8AIABhAGwAbABvAHcAIABjAHIAbwBzAHMALQByAGUAZgBlAHIAZQBuAGMAaQBuAGcAIAB3AGkAdABoACAAdABhAGIAbABlACAAVABhAGIAbABlACAAQQAuADIALgAyAC4ANgA6ACAARgByAGEAYwB0AGkAbwBuACAAbwBmACAAaQBuAG8AcgBnAGEAbgBpAGMAIABmAGUAcgB0AGkAbABpAHMAZQByACAAZgAgAHQAaABhAHQAIAB2AG8AbABhAHQAaQBsAGkAcwBlAHMAIABhAHMAIABOAEgAMwAgAGEAbgBkACAATgBPAHgAIAAoACgAawBnACAATgBIADMALQBOACAAKwAgAE4ATwB4AC0ATgApAC8AawBnACAATgApACAAKABGAHIAYQBjAEcAQQBTAEYAZgApAFwAIgA7AFwAbgAgACAAXAAiAEEAZABkAGUAZAAgAGUAeAB0AHIAYQAgAGYAZQByAHQAaQBsAGkAcwBlAHIAIAB0AHkAcABlAHMAIABhAG4AZAAgAGcAZQBuAGUAcgBpAGMAIABjAGgAZQBtAGkAYwBhAGwAIABjAG8AbQBwAG8AdQBuAGQAcwAgAHQAbwAgAGEAbABsAG8AdwAgAGYAbwByACAAYwB1AHMAdABvAG0AIABOAFAASwBTACAAYgBsAGUAbgBkAHMAXAAiADsAXABuACAAIABcACIAQQBkAGQAZQBkACAAZQB4AHQAcgBhACAAJwBTAGMAbwBwAGUAIAAzACAAZABlAGYAaQBuAGkAdABpAG8AbgAnACAAYwBvAGwAdQBtAG4AIAB0AG8AIABhAGwAbABvAHcAIABtAGEAcABwAGkAbgBnACAAdwBpAHQAaAAgAHMAYwBvAHAAZQAgADMAIABkAGEAdABhAFwAIgA7AFwAbgAgACAAXAAiAEEAZABkAGUAZAAgACcAUwBvAHUAcgBjAGUAJwAgAGMAbwBsAHUAbQBuAFwAIgA7AFwAbgAgACAAXAAiAEMAbwBtAGIAaQBuAGUAZAAgAGQAYQB0AGEAIABmAHIAbwBtACAAVABhAGIAbABlACAAQQAuADIALgAyAC4AMwAgAGEAbgBkACAAVABhAGIAbABlACAAQQAuADIALgAyAC4ANAAgAGkAbgB0AG8AIABvAG4AZQAgAHQAYQBiAGwAZQAgAHQAbwAgAGEAaQBkACAAbABvAG8AawB1AHAALgBcACIAOwBcAG4AIAAgAFwAIgBFAHgAYwBsAHUAZABlAGQAIAAnAFIAZQBmAGUAcgBlAG4AYwBlAHMAJwAgAGMAbwBsAHUAbQBuAFwAIgA7AFwAbgAgACAAXAAiAEUAeABjAGwAdQBkAGUAZAAgACcAQQBtAG0AbwBuAGkAdQBtACAAcwB1AGwAZgBhAHQAZQAnACAAYQBzACAAaQB0ACAAaQBzACAAYQAgAGQAdQBwAGwAaQBjAGEAdABlACAAbwBmACAAJwBTAHUAbABwAGgAYQB0AGUAIABvAGYAIABhAG0AbQBvAG4AaQBhACAAKABTAE8AQQApACcAXAAiADsAXABuACAAIABcACIARQB4AGMAbAB1AGQAZQBkACAAJwBDAGEAbABjAGkAdQBtACAAbgBpAHQAcgBhAHQAZQAnACAAYQBzACAAbgBvACAAcwBjAG8AcABlACAAMwAgAHYAYQBsAHUAZQAgAGEAdgBhAGkAbABhAGIAbABlAC4AXAAiADsAXABuACAAIABcACIAUwBlAHQAIAAnAE4AaQB0AHIAbwBnAGUAbgAgAC0AIABHAGUAbgBlAHIAaQBjACcAIABiAGEAcwBpAHMAIABhAHMAIAAnAFUAcgBlAGEALQBiAGEAcwBlAGQAIABmAGUAcgB0AGkAbABpAHMAZQByAHMALAAgAGEAcwAgAHUAcgBlAGEAIABpAHMAIAB0AGgAZQAgAG0AbwBzAHQAIABjAG8AbQBtAG8AbgBsAHkAIAB1AHMAZQBkACAAZgBvAHIAbQAgAG8AZgAgAG4AaQB0AHIAbwBnAGUAbgAgAGkAbgAgAEEAdQBzAHQAcgBhAGwAaQBhAG4AIABmAGUAcgB0AGkAbABpAHMAZQByAHMAXAAiADsAXABuACAAIABcACIAUwBlAHQAIAAnAFUAcgBlAGEALQBhAG0AbQBvAG4AaQB1AG0AIABuAGkAdAByAGEAdABlACcAIABiAGEAcwBpAHMAIABhAHMAIAAnAFUAcgBlAGEALQBiAGEAcwBlAGQAIABmAGUAcgB0AGkAbABpAHMAZQByACcAXAAiADsAXABuACAAIABcACIAQQBtAG0AbwBuAGkAYQAgAGgAYQBzACAAYQBuACAARgBOACAAdgBhAGwAdQBlACAAbwBmACAAMAAuADgAMgAzADUAIABiAGEAcwBlAGQAIABvAG4AIAAoADEANAAvADEANwApAHgAMQAwADAALAAgAHcAaABlAHIAZQAgADEANAAgAGkAcwAgAHQAaABlACAAbQBhAHMAcwAgAG8AZgAgAG4AaQB0AHIAbwBnAGUAbgAgAGkAbgAgAGEAbQBtAG8AbgBpAGEAIABhAG4AZAAgADEANwAgAGkAcwAgAHQAaABlACAAbQBvAGwAYQByACAAbQBhAHMAcwAgAG8AZgAgAGEAbQBtAG8AbgBpAGEALgBcACIAXABu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IAYQBjAHQAaQBvAG4AIABvAGYAIABpAG4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GAF8AVABpAHQAbABlAFwAbgA9AEwAQQBNAEIARABBACgAKABcACIARgByAGEAYwB0AGkAbwBuACAAbwBmACAAaQBuAG8AcgBnAGEAbgBpAGMAIABmAGUAcgB0AGkAbABpAHMAZQByACAAdABoAGEAdAAgAHYAbwBsAGEAdABpAGwAaQBzAGUAcwAgAGEAcwAgAE4ASAAzACAAYQBuAGQAIABOAE8AeABcACIAKQApADsAXABuAFwAbgBGAGUAcgB0AGkAbABpAHMAZQByAF8ARgByAGEAYwBHAEEAUwBGAF8AUwBvAHUAcgBjAGUAXABuAD0ATABBAE0AQgBEAEEAKAAoAFwAIgBUAGEAYgBsAGUAIABBAC4AMgAuADIALgA2ADoAIABGAHIAYQBjAHQAaQBvAG4AIABvAGYAIABpAG4AbwByAGcAYQBuAGkAYwAgAGYAZQByAHQAaQBsAGkAcwBlAHIAIABmACAAdABoAGEAdAAgAHYAbwBsAGEAdABpAGwAaQBzAGUAcwAgAGEAcwAgAE4ASAAzACAAYQBuAGQAIABOAE8AeAAgACgAKABrAGcAIABOAEgAMwDiAKwgHCBOACAAKwAgAE4ATwB4AOIArCAcIE4AKQAvAGsAZwAgAE4AKQAgACgARgByAGEAYwBHAEEAUwBGAGYAKQBcACIAKQApADsAXABuAFwAbgBGAGUAcgB0AGkAbABpAHMAZQByAF8ARgByAGEAYwBHAEEAUwBGAF8ARABhAHQAYQBcAG4APQBMAEEATQBCAEQAQQAoAFwAbgAgAE0AQQBLAEUAQQBSAFIAQQBZACgANgAsACAAMgAsAFwAbgAgAEwAQQBNAEIARABBACgAcgAsAGMALABcAG4AIAAgAEkATgBEAEUAWAAoAHsAXABuACAAIABcACIARgBlAHIAdABpAGwAaQBzAGUAcgAgAHQAeQBwAGUAIABmAFwAIgAsACAAXAAiAEYAcgBhAGMARwBBAFMARgBmAFwAIgA7AFwAbgAgACAAXAAiAFUAcgBlAGEALQBiAGEAcwBlAGQAIABmAGUAcgB0AGkAbABpAHMAZQByAHMAXAAiACwAIAAwAC4AMQA1ADsAXABuACAAIABcACIAQQBtAG0AbwBuAGkAdQBtAC0AYgBhAHMAZQBkACAAZgBlAHIAdABpAGwAaQBzAGUAcgBzAFwAIgAsACAAMAAuADAAOAA7AFwAbgAgACAAXAAiAE4AaQB0AHIAYQB0AGUALQBiAGEAcwBlAGQAIABmAGUAcgB0AGkAbABpAHMAZQByAHMAXAAiACwAIAAwAC4AMAAxADsAXABuACAAIABcACIAQQBtAG0AbwBuAGkAdQBtAC0AbgBpAHQAcgBhAHQAZQAgAGIAYQBzAGUAZAAgAGYAZQByAHQAaQBsAGkAcwBlAHIAcwBcACIALAAgADAALgAwADUAOwBcAG4AIAAgAFwAIgBPAHQAaABlAHIAIABmAGUAcgB0AGkAbABpAHMAZQByAHMAXAAiACwAIAAwAC4AMQAxAFwAbgAgACAAfQAsACAAcgAsACAAYwApAFwAbgApACkAKQA7AFwAbgBcAG4ARgBlAHIAdABpAGwAaQBzAGUAcgBfAEYAcgBhAGMARwBBAFMAR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YwBhAHIAYgBvAG4AIABlAG0AaQBzAHMAaQBvAG4AcwAgAGYAcgBvAG0AIAB1AHIAZQBhACAAYQBwAHAAbABpAGMAYQB0AGkAbwBuAFwAbgA9AD0APQA9AD0APQA9AD0APQA9AD0APQA9AD0APQA9AD0APQA9AD0APQA9AD0APQA9AD0APQA9AD0APQA9AD0APQA9AD0APQA9AD0APQA9AD0APQA9AD0APQA9AD0APQA9AD0APQA9AD0APQA9AD0APQA9AD0APQA9AD0APQA9AD0APQA9AD0APQA9AD0APQA9AD0APQA9AFwAbgAqAC8AXABuAFwAbgBGAGUAcgB0AGkAbABpAHMAZQByAF8ARQBGAFUAcgBlAGEAQwBPADIAXwBUAGkAdABsAGUAXABuAD0ATABBAE0AQgBEAEEAKAAoAFwAIgBFAG0AaQBzAHMAaQBvAG4AIABmAGEAYwB0AG8AcgAgAGYAbwByACAAYwBhAHIAYgBvAG4AIABlAG0AaQBzAHMAaQBvAG4AcwAgAGYAcgBvAG0AIAB1AHIAZQBhACAAYQBwAHAAbABpAGMAYQB0AGkAbwBuAFwAIgApACkAOwBcAG4AXABuAEYAZQByAHQAaQBsAGkAcwBlAHIAXwBFAEYAVQByAGUAYQBDAE8AMgBfAFMAbwB1AHIAYwBlAFwAbgA9AEwAQQBNAEIARABBACgAKABcACIAVgBFAEUAUgBHACAAMgAwADIANgA6ACAANQAuADEALgAyAC4AMgAgAEMAbwBuAHMAdABhAG4AdAAgAFAAYQByAGEAbQBlAHQAZQByAHMAXAAiACkAKQA7AFwAbgBcAG4ARgBlAHIAdABpAGwAaQBzAGUAcgBfAEUARgBVAHIAZQBhAEMATwAyAF8AVgBhAHIAaQBhAGIAbABlAFwAbgA9AEwAQQBNAEIARABBACgAKABcACIARQBGAHUAcgBlAGEAQwBPADIAXAAiACkAKQA7AFwAbgBcAG4ARgBlAHIAdABpAGwAaQBzAGUAcgBfAEUARgBVAHIAZQBhAEMATwAyAF8AVQBuAGkAdABcAG4APQBMAEEATQBCAEQAQQAoACgAXAAiAGsAZwAgAEMALwBrAGcAIAB1AHIAZQBhAFwAIgApACkAOwBcAG4AXABuAEYAZQByAHQAaQBsAGkAcwBlAHIAXwBFAEYAVQByAGUAYQBDAE8AMgBfAEQAYQB0AGEAXABuAD0ATABBAE0AQgBEAEEAKAAwAC4AMgApADsAXABuAFwAbgBGAGUAcgB0AGkAbABpAHMAZQByAF8ARQBGAFUAcgBlAGEAQwBPADI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NAFMAbwBpAGwAXwBUAGkAdABsAGUAXABuAD0ATABBAE0AQgBEAEEAKAAoAFwAIgBGAHIAYQBjAHQAaQBvAG4AIABvAGYAIABvAHIAZwBhAG4AaQBjACAAZgBlAHIAdABpAGwAaQBzAGUAcgAgAHQAaABhAHQAIAB2AG8AbABhAHQAaQBsAGkAcwBlAHMAIABhAHMAIABOAEgAMwAgAGEAbgBkACAATgBPAHgAXAAiACkAKQA7AFwAbgBcAG4ARgBlAHIAdABpAGwAaQBzAGUAcgBfAEYAcgBhAGMARwBBAFMATQBTAG8AaQBsAF8AUwBvAHUAcgBjAGUAXABuAD0ATABBAE0AQgBEAEEAKAAoAFwAIgBWAEUARQBSAEcAIAAyADAAMgA2ADoAIAA1AC4ANAAuADIALgAzACAAQwBvAG4AcwB0AGEAbgB0ACAAUABhAHIAYQBtAGUAdABlAHIAcwBcACIAKQApADsAXABuAFwAbgBGAGUAcgB0AGkAbABpAHMAZQByAF8ARgByAGEAYwBHAEEAUwBNAFMAbwBpAGwAXwBWAGEAcgBpAGEAYgBsAGUAXABuAD0ATABBAE0AQgBEAEEAKAAoAFwAIgBGAHIAYQBjAEcAQQBTAE0AcwBvAGkAbABcACIAKQApADsAXABuAFwAbgBGAGUAcgB0AGkAbABpAHMAZQByAF8ARgByAGEAYwBHAEEAUwBNAFMAbwBpAGwAXwBVAG4AaQB0AFwAbgA9AEwAQQBNAEIARABBACgAKABcACIAKABrAGcAIABOAEgAMwAtAE4AIAArACAATgBPAHgALQBOACkALwBrAGcAIABOAFwAIgApACkAOwBcAG4AXABuAEYAZQByAHQAaQBsAGkAcwBlAHIAXwBGAHIAYQBjAEcAQQBTAE0AUwBvAGkAbABfAEQAYQB0AGEAXABuAD0ATABBAE0AQgBEAEEAKAAwAC4AMgAxACkAOwBcAG4AXABuAEYAZQByAHQAaQBsAGkAcwBlAHIAXwBGAHIAYQBjAEcAQQBTAE0AUwBvAGkAb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0AGgAYQB0ACAAaQBzACAAbABvAHMAdAAgAHQAaAByAG8AdQBnAGg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gByAGEAYwBMAEUAQQBDAEgAXwBUAGkAdABsAGUAXABuAD0ATABBAE0AQgBEAEEAKAAoAFwAIgBGAHIAYQBjAHQAaQBvAG4AIABvAGYAIABuAGkAdAByAG8AZwBlAG4AIAB0AGgAYQB0ACAAaQBzACAAbABvAHMAdAAgAHQAaAByAG8AdQBnAGgAIABsAGUAYQBjAGgAaQBuAGcAIABhAG4AZAAgAHIAdQBuAG8AZgBmAFwAIgApACkAOwBcAG4AXABuAEYAZQByAHQAaQBsAGkAcwBlAHIAXwBGAHIAYQBjAEwARQBBAEMASABfAFMAbwB1AHIAYwBlAFwAbgA9AEwAQQBNAEIARABBACgAKABcACIAVgBFAEUAUgBHACAAMgAwADIANgA6ACAANQAuADUALgAyAC4AMwAgAEMAbwBuAHMAdABhAG4AdAAgAFAAYQByAGEAbQBlAHQAZQByAHMAXAAiACkAKQA7AFwAbgBcAG4ARgBlAHIAdABpAGwAaQBzAGUAcgBfAEYAcgBhAGMATABFAEEAQwBIAF8AVgBhAHIAaQBhAGIAbABlAFwAbgA9AEwAQQBNAEIARABBACgAKABcACIARgByAGEAYwBMAEUAQQBDAEgAXAAiACkAKQA7AFwAbgBcAG4ARgBlAHIAdABpAGwAaQBzAGUAcgBfAEYAcgBhAGMATABFAEEAQwBIAF8AVQBuAGkAdABcAG4APQBMAEEATQBCAEQAQQAoACgAXAAiAGYAcgBhAGMAdABpAG8AbgBcACIAKQApADsAXABuAFwAbgBGAGUAcgB0AGkAbABpAHMAZQByAF8ARgByAGEAYwBMAEUAQQBDAEgAXwBEAGEAdABhAFwAbgA9AEwAQQBNAEIARABBACgAMAAuADIANAApADsAXABuAFwAbgBGAGUAcgB0AGkAbABpAHMAZQByAF8ARgByAGEAYwBMAEUAQQBDAEg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4AaQB0AHIAbwBnAGUAbg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FAEYATABlAGEAYwBoAF8AVABpAHQAbABlAFwAbgA9AEwAQQBNAEIARABBACgAKABcACIARQBtAGkAcwBzAGkAbwBuACAAZgBhAGMAdABvAHIAIABmAG8AcgAgAG4AaQB0AHIAbwBnAGUAbgAgAGwAZQBhAGMAaABpAG4AZwAgAGEAbgBkACAAcgB1AG4AbwBmAGYAXAAiACkAKQA7AFwAbgBcAG4ARgBlAHIAdABpAGwAaQBzAGUAcgBfAEUARgBMAGUAYQBjAGgAXwBTAG8AdQByAGMAZQBcAG4APQBMAEEATQBCAEQAQQAoACgAXAAiAFYARQBFAFIARwAgADIAMAAyADYAOgAgADUALgA1AC4AMgAuADMAIABDAG8AbgBzAHQAYQBuAHQAIABQAGEAcgBhAG0AZQB0AGUAcgBzAFwAIgApACkAOwBcAG4AXABuAEYAZQByAHQAaQBsAGkAcwBlAHIAXwBFAEYATABlAGEAYwBoAF8AVgBhAHIAaQBhAGIAbABlAFwAbgA9AEwAQQBNAEIARABBACgAKABcACIARQBGAEwAZQBhAGMAaABcACIAKQApADsAXABuAFwAbgBGAGUAcgB0AGkAbABpAHMAZQByAF8ARQBGAEwAZQBhAGMAaABfAFUAbgBpAHQAXABuAD0ATABBAE0AQgBEAEEAKAAoAFwAIgBrAGcAIABOADIATwAtAE4AIAAvACAAawBnACAATgBcACIAKQApADsAXABuAFwAbgBGAGUAcgB0AGkAbABpAHMAZQByAF8ARQBGAEwAZQBhAGMAaABfAEQAYQB0AGEAXABuAD0ATABBAE0AQgBEAEEAKAAwAC4AMAAxADEAKQA7AFwAbgBcAG4ARgBlAHIAdABpAGwAaQBzAGUAcgBfAEUARgBMAGUAYQBjAGgAXwBWAGEAcgBpAGEAdABpAG8AbgBcAG4APQBMAEEATQBCAEQAQQAoAFwAIgBcACIAKQA7AFwAbgBcAG4AXABuAFwAbgAvACoAXABuAD0APQA9AD0APQA9AD0APQA9AD0APQA9AD0APQA9AD0APQA9AD0APQA9AD0APQA9AD0APQA9AD0APQA9AD0APQA9AD0APQA9AD0APQA9AD0APQA9AD0APQA9AD0APQA9AD0APQA9AD0APQA9AD0APQA9AD0APQA9AD0APQA9AD0APQA9AD0APQA9AD0APQA9AD0APQA9AD0AXABuAEwAaQBtAGUALAAgAGQAbwBsAG8AbQBpAHQAZQAgAGEAbgBkACAAZwB5AHAAcwB1AG0AXABuAD0APQA9AD0APQA9AD0APQA9AD0APQA9AD0APQA9AD0APQA9AD0APQA9AD0APQA9AD0APQA9AD0APQA9AD0APQA9AD0APQA9AD0APQA9AD0APQA9AD0APQA9AD0APQA9AD0APQA9AD0APQA9AD0APQA9AD0APQA9AD0APQA9AD0APQA9AD0APQA9AD0APQA9AD0APQA9AD0AXABuACoALwBcAG4AXABuAEYAZQByAHQAaQBsAGkAcwBlAHIAXwBMAGkAbQBlAEQAbwBsAG8AbQBpAHQAZQBHAHkAcABzAHUAbQBDAG8AbgBzAHQAYQBuAHQAcwBfAFQAaQB0AGwAZQBcAG4APQBMAEEATQBCAEQAQQAoACgAXAAiAEMAbwBuAHMAdABhAG4AdABzACAAZgBvAHIAIABsAGkAbQBlACwAIABkAG8AbABvAG0AaQB0AGUAIABhAG4AZAAgAGcAeQBwAHMAdQBtAFwAIgApACkAOwBcAG4AXABuAEYAZQByAHQAaQBsAGkAcwBlAHIAXwBMAGkAbQBlAEQAbwBsAG8AbQBpAHQAZQBHAHkAcABzAHUAbQBDAG8AbgBzAHQAYQBuAHQAcwBfAEQAZQBzAGMAcgBpAHAAdABpAG8AbgBcAG4APQBMAEEATQBCAEQAQQAoACgAXAAiAEMAbwBuAHMAdABhAG4AdABzACAAZgBvAHIAIABsAGkAbQBlACwAIABkAG8AbABvAG0AaQB0AGUAIABhAG4AZAAgAGcAeQBwAHMAdQBtAFwAIgApACkAOwBcAG4AXABuAEYAZQByAHQAaQBsAGkAcwBlAHIAXwBMAGkAbQBlAEQAbwBsAG8AbQBpAHQAZQBHAHkAcABzAHUAbQBDAG8AbgBzAHQAYQBuAHQAcwBfAFMAbwB1AHIAYwBlAFwAbgA9AEwAQQBNAEIARABBACgAKABcACIAVgBFAEUAUgBHACAAMgAwADIANgA6ACAANQAuADMALgAyAC4AMwAgAEMAbwBuAHMAdABhAG4AdAAgAFAAYQByAGEAbQBlAHQAZQByAHMAXAAiACkAKQA7AFwAbgBcAG4ARgBlAHIAdABpAGwAaQBzAGUAcgBfAEwAaQBtAGUARABvAGwAbwBtAGkAdABlAEcAeQBwAHMAdQBtAEMAbwBuAHMAdABhAG4AdABzAF8ARABhAHQAYQBcAG4APQBMAEEATQBCAEQAQQAoAFwAbgAgAE0AQQBLAEUAQQBSAFIAQQBZACgANAAsACAAMwAsAFwAbgAgAEwAQQBNAEIARABBACgAcgAsAGMALABcAG4AIAAgAEkATgBEAEUAWAAoAHsAXABuACAAIABcACIARQBsAGUAbQBlAG4AdABcACIALAAgAFwAIgBQAFwAIgAsACAAXAAiAEUARgBcACIAOwBcAG4AIAAgAFwAIgBMAGkAbQBlACAAKABDAGEAbABjAGkAdQBtACAAYwBhAHIAYgBvAG4AYQB0AGUAKQBcACIALAAgADAALgA5ACwAIAAwAC4AMQAyADsAXABuACAAIABcACIARABvAGwAbwBtAGkAdABlACAAKABNAGEAZwBuAGUAcwBpAHUAbQAgAGMAYQByAGIAbwBuAGEAdABlACkAXAAiACwAIAAwAC4AOQA1ACwAIAAwAC4AMQAzADsAXABuACAAIABcACIARwB5AHAAcwB1AG0AXAAiACwAIAAwACwAIAAwAFwAbgAgACAAfQAsACAAcgAsACAAYwApAFwAbgApACkAKQA7AFwAbgBcAG4ARgBlAHIAdABpAGwAaQBzAGUAcgBfAEwAaQBtAGUARABvAGwAbwBtAGkAdABlAEcAeQBwAHMAdQBtAEMAbwBuAHMAdABhAG4AdABzAF8AVgBhAHIAaQBhAHQAaQBvAG4AXABuAD0ATABBAE0AQgBEAEEAKAAoAFwAIgBWAEEAUgBJAEEAVABJAE8ATgAgAEYAUgBPAE0AIABTAE8AVQBSAEMARQAgAEQAQQBUAEEAOgAgAEcAeQBwAHMAdQBtACAAaABhAHMAIABiAGUAZQBuACAAYQBkAGQAZQBkACAAdwBpAHQAaAAgAHAAbABhAGMAZQBoAG8AbABkAGUAcgAgAHYAYQBsAHUAZQBzACAAbwBmACAAMAAgAGYAbwByACAAUAAgAGEAbgBkACAARQBGAC4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OAEMAbwBtAG0AbwBuAEYAZQByAHQAaQBsAGkAcwBlAHIAcwBfAFQAaQB0AGwAZQBcAG4APQBMAEEATQBCAEQAQQAoACgAXAAiAEYAcgBhAGMAdABpAG8AbgAgAG8AZgAgAG4AaQB0AHIAbwBnAGUAbgAgAGkAbgAgAGMAbwBtAG0AbwBuACAAaQBuAG8AcgBnAGEAbgBpAGMAIABmAGUAcgB0AGkAbABpAHMAZQByAHMAIAAoAGsAZwBOAC8AawBnACkAIAAoAEYATgBvAHIAZwBhAG4AaQBjACwAZgApAFwAIgApACkAOwBcAG4AXABuAEYAZQByAHQAaQBsAGkAcwBlAHIAXwBGAHIAYQBjAHQAaQBvAG4ATgBDAG8AbQBtAG8AbgBGAGUAcgB0AGkAbABpAHMAZQByAHMAXwBTAG8AdQByAGMAZQBcAG4APQBMAEEATQBCAEQAQQAoACgAXAAiAFYARQBFAFIARwAgADIAMAAyADYAOgAgAFQAYQBiAGwAZQAgAEEALgAyAC4AMgAuADMAXAAiACkAKQA7AFwAbgBcAG4ARgBlAHIAdABpAGwAaQBzAGUAcgBfAEYAcgBhAGMAdABpAG8AbgBO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TgBpAG4AbwByAGcAYQBuAGkAYwBmAFwAIgA7AFwAbgAgACAAXAAiAE0AbwBuAG8AYQBtAG0AbwBuAGkAdQBtACAAcABoAG8AcwBwAGgAYQB0AGUAIAAoAE0AQQBQACkAXAAiACwAIAAwAC4AMQAwADsAXABuACAAIABcACIARABpAGEAbQBtAG8AbgBpAHUAbQAgAHAAaABvAHMAcABoAGEAdABlACAAKABEAEEAUAApAFwAIgAsACAAMAAuADEAOAA7AFwAbgAgACAAXAAiAFUAcgBlAGEAXAAiACwAIAAwAC4ANAA2ADsAXABuACAAIABcACIAUwB1AGwAcABoAGEAdABlACAAbwBmACAAYQBtAG0AbwBuAGkAYQAgACgAUwBPAEEAKQBcACIALAAgADAALgAyADEAOwBcAG4AIAAgAFwAIgBVAHIAZQBhAC0AYQBtAG0AbwBuAGkAdQBtACAAbgBpAHQAcgBhAHQAZQAgACgAVQBBAE4AKQBcACIALAAgADAALgAzADIAOwBcAG4AIAAgAFwAIgBBAG0AbQBvAG4AaQB1AG0AIABuAGkAdAByAGEAdABlACAAKABBAE4AKQBcACIALAAgADAALgAzADMANwA7AFwAbgAgACAAXAAiAEMAYQBsAGMAaQB1AG0AIABhAG0AbQBvAG4AaQB1AG0AIABuAGkAdAByAGEAdABlACAAKABDAEEATgApAFwAIgAsACAAMAAuADIANwA7AFwAbgAgACAAXAAiAEEAbQBtAG8AbgBpAHUAbQAgAFMAdQBsAGYAYQB0AGUAXAAiACwAIAAwAC4AMgAxADsAXABuACAAIABcACIAQwBhAGwAYwBpAHUAbQAgAE4AaQB0AHIAYQB0AGUAXAAiACwAIAAwAC4AMQA1ADUAXABuACAAIAB9ACwAIAByACwAIABjACkAXABuACkAKQApADsAXABuAFwAbgBGAGUAcgB0AGkAbABpAHMAZQByAF8ARgByAGEAYwB0AGkAbwBuAE4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1AHIAZQBh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VAHIAZQBhAEMAbwBtAG0AbwBuAEYAZQByAHQAaQBsAGkAcwBlAHIAcwBfAFQAaQB0AGwAZQBcAG4APQBMAEEATQBCAEQAQQAoACgAXAAiAEYAcgBhAGMAdABpAG8AbgAgAG8AZgAgAHUAcgBlAGEAIABpAG4AIABjAG8AbQBtAG8AbgAgAGkAbgBvAHIAZwBhAG4AaQBjACAAZgBlAHIAdABpAGwAaQBzAGUAcgBzACAAKABrAGcAIAB1AHIAZQBhAC8AawBnACkAIAAoAEYAVQBmACkAXAAiACkAKQA7AFwAbgBcAG4ARgBlAHIAdABpAGwAaQBzAGUAcgBfAEYAcgBhAGMAdABpAG8AbgBVAHIAZQBhAEMAbwBtAG0AbwBuAEYAZQByAHQAaQBsAGkAcwBlAHIAcwBfAFMAbwB1AHIAYwBlAFwAbgA9AEwAQQBNAEIARABBACgAKABcACIAVgBFAEUAUgBHACAAMgAwADIANgA6ACAAVABhAGIAbABlACAAQQAuADIALgAyAC4ANABcACIAKQApADsAXABuAFwAbgBGAGUAcgB0AGkAbABpAHMAZQByAF8ARgByAGEAYwB0AGkAbwBuAFUAcgBlAGE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VAGYAXAAiADsAXABuACAAIABcACIATQBvAG4AbwBhAG0AbQBvAG4AaQB1AG0AIABwAGgAbwBzAHAAaABhAHQAZQAgACgATQBBAFAAKQBcACIALAAgADAAOwBcAG4AIAAgAFwAIgBEAGkAYQBtAG0AbwBuAGkAdQBtACAAcABoAG8AcwBwAGgAYQB0AGUAIAAoAEQAQQBQACkAXAAiACwAIAAwADsAXABuACAAIABcACIAVQByAGUAYQBcACIALAAgADEAOwBcAG4AIAAgAFwAIgBTAHUAbABwAGgAYQB0AGUAIABvAGYAIABhAG0AbQBvAG4AaQBhACAAKABTAE8AQQApAFwAIgAsACAAMAA7AFwAbgAgACAAXAAiAFUAcgBlAGEALQBhAG0AbQBvAG4AaQB1AG0AIABuAGkAdAByAGEAdABlACAAKABVAEEATgApAFwAIgAsACAAMAAuADMANQA7AFwAbgAgACAAXAAiAEEAbQBtAG8AbgBpAHUAbQAgAG4AaQB0AHIAYQB0AGUAIAAoAEEATgApAFwAIgAsACAAMAA7AFwAbgAgACAAXAAiAEMAYQBsAGMAaQB1AG0AIABhAG0AbQBvAG4AaQB1AG0AIABuAGkAdAByAGEAdABlACAAKABDAEEATgApAFwAIgAsACAAMAA7AFwAbgAgACAAXAAiAEEAbQBtAG8AbgBpAHUAbQAgAFMAdQBsAGYAYQB0AGUAXAAiACwAIAAwADsAXABuACAAIABcACIAQwBhAGwAYwBpAHUAbQAgAE4AaQB0AHIAYQB0AGUAXAAiACwAIAAwAFwAbgAgACAAfQAsACAAcgAsACAAYwApAFwAbgApACkAKQA7AFwAbgBcAG4ARgBlAHIAdABpAGwAaQBzAGUAcgBfAEYAcgBhAGMAdABpAG8AbgBVAHIAZQBh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UwBvAHUAcgBjAGUAIAByAGUAZwBpAG8AbgBzACAAZgBvAHIAIAB1AHIAZQBhACAAYQBuAGQAIABhAG0AbQBvAG4AaQBhAFwAbgA9AD0APQA9AD0APQA9AD0APQA9AD0APQA9AD0APQA9AD0APQA9AD0APQA9AD0APQA9AD0APQA9AD0APQA9AD0APQA9AD0APQA9AD0APQA9AD0APQA9AD0APQA9AD0APQA9AD0APQA9AD0APQA9AD0APQA9AD0APQA9AD0APQA9AD0APQA9AD0APQA9AD0APQA9AD0APQA9AFwAbgAqAC8AXABuAFwAbgBGAGUAcgB0AGkAbABpAHMAZQByAF8AVQByAGUAYQBBAG0AbQBvAG4AaQBhAFMAbwB1AHIAYwBlAFIAZQBnAGkAbwBuAHMAXwBUAGkAdABsAGUAXABuAD0ATABBAE0AQgBEAEEAKABcACIAUwBvAHUAcgBjAGUAIAByAGUAZwBpAG8AbgBzACAAZgBvAHIAIAB1AHIAZQBhACAAYQBuAGQAIABhAG0AbQBvAG4AaQBhAFwAIgApADsAXABuAFwAbgBGAGUAcgB0AGkAbABpAHMAZQByAF8AVQByAGUAYQBBAG0AbQBvAG4AaQBhAFMAbwB1AHIAYwBlAFIAZQBnAGkAbwBuAHMAXwBTAG8AdQByAGMAZQBcAG4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GAGUAcgB0AGkAbABpAHMAZQByAF8AVQByAGUAYQBBAG0AbQBvAG4AaQBhAFMAbwB1AHIAYwBlAFIAZQBnAGkAbwBuAHMAXwBEAGEAdABhAFwAbgA9AEwAQQBNAEIARABBACgAXABuACAATQBBAEsARQBBAFIAUgBBAFkAKAA1ACwAIAAxACwAXABuACAATABBAE0AQgBEAEEAKAByACwAYwAsAFwAbgAgACAASQBOAEQARQBYACgAewBcAG4AIAAgAFwAIgBTAG8AdQByAGMAZQBcACIAOwBcAG4AIAAgAFwAIgBHAGwAbwBiAGEAbABcACIAOwBcAG4AIAAgAFwAIgBDAGEAbgBhAGQAYQBcACIAOwBcAG4AIAAgAFwAIgBDAGgAaQBuAGEAXAAiADsAXABuACAAIABcACIAWQBlAG0AZQBuAFwAIgBcAG4AIAAgAH0ALAAgAHIALAAgAGMAKQBcAG4AKQApACkAOwBcAG4AXABuAC8AKgBcAG4APQA9AD0APQA9AD0APQA9AD0APQA9AD0APQA9AD0APQA9AD0APQA9AD0APQA9AD0APQA9AD0APQA9AD0APQA9AD0APQA9AD0APQA9AD0APQA9AD0APQA9AD0APQA9AD0APQA9AD0APQA9AD0APQA9AD0APQA9AD0APQA9AD0APQA9AD0APQA9AD0APQA9AD0APQA9AD0APQBcAG4AQgByAGEAbgBkAGUAZAAgAGYAZQByAHQAaQBsAGkAcwBlAHIAIABwAHIAbwBkAHUAYwB0AHMAXABuAD0APQA9AD0APQA9AD0APQA9AD0APQA9AD0APQA9AD0APQA9AD0APQA9AD0APQA9AD0APQA9AD0APQA9AD0APQA9AD0APQA9AD0APQA9AD0APQA9AD0APQA9AD0APQA9AD0APQA9AD0APQA9AD0APQA9AD0APQA9AD0APQA9AD0APQA9AD0APQA9AD0APQA9AD0APQA9AD0AXABuACoALwBcAG4AXABuAEYAZQByAHQAaQBsAGkAcwBlAHIAXwBQAHIAbwBkAHUAYwB0AHMAXwBUAGkAdABsAGUAXABuAD0ATABBAE0AQgBEAEEAKAAoAFwAIgBCAHIAYQBuAGQAZQBkACAAZgBlAHIAdABpAGwAaQBzAGUAcgAgAHAAcgBvAGQAdQBjAHQAcwAgAGEAbgBkACAAdABoAGUAaQByACAAYwBoAGUAbQBpAGMAYQBsACAAYwBvAG0AcABvAHMAaQB0AGkAbwBuAFwAIgApACkAOwBcAG4AXABuAEYAZQByAHQAaQBsAGkAcwBlAHIAXwBQAHIAbwBkAHUAYwB0AHMAXwBTAG8AdQByAGMAZQBcAG4APQBMAEEATQBCAEQAQQAoACgAXAAiAFwAIgApACkAOwBcAG4AXABuAEYAZQByAHQAaQBsAGkAcwBlAHIAXwBQAHIAbwBkAHUAYwB0AHMAXwBEAGEAdABhADEAXABuAD0ATABBAE0AQgBEAEEAKABcAG4AIABNAEEASwBFAEEAUgBSAEEAWQAoADMAOQAsACAAMwAyACwAXABuACAATABBAE0AQgBEAEEAKAByACwAYwAsAFwAbgAgACAASQBOAEQARQBYACgAewBcAG4AXABuAFwAIgBJAG4AYwBsAHUAZABlACAAbwByACAAZQB4AGMAbAB1AGQAZQBcACIALABcACIATgBvAHQAZQBzAFwAIgAsAFwAIgBDAG8AbQBwAGEAbgB5AFwAIgAsAFwAIgBQAHIAbwBkAHUAYwB0ACAATgBhAG0AZQBcACIALABcACIATABpAG4AawBcACIALABcACIARABhAHQAYQAgAHMAbwB1AHIAYwBlAFwAIgAsAFwAIgBTAG8AdQByAGMAZQAgAGkAbQBhAGcAZQBzAFwAIgAsAFwAIgBVAG4AaQB0AFwAIgAsAFwAIgBEAGUAbgBzAGkAdAB5ACAAKABsACAAdABvACAAawBnACkAXAAiACwAXAAiAFUAcgBlAGEAIABzAG8AdQByAGMAZQBcACIALABcACIAQQBtAG0AbwBuAGkAYQAgAHMAbwB1AHIAYwBlAFwAIgAsAFwAIgBJAG4AZwByAGUAZABpAGUAbgB0ACAAMQBcACIALABcACIASQBuAGcAcgBlAGQAaQBlAG4AdAAgADEAIABwAGUAcgBjAGUAbgB0AFwAIgAsAFwAIgBJAG4AZwByAGUAZABpAGUAbgB0ACAAMgBcACIALABcACIASQBuAGcAcgBlAGQAaQBlAG4AdAAgADIAIABwAGUAcgBjAGUAbgB0AFwAIgAsAFwAIgBJAG4AZwByAGUAZABpAGUAbgB0ACAAMwBcACIALABcACIASQBuAGcAcgBlAGQAaQBlAG4AdAAgADMAIABwAGUAcgBjAGUAbgB0AFwAIgAsAFwAIgBJAG4AZwByAGUAZABpAGUAbgB0ACAANABcACIALABcACIASQBuAGcAcgBlAGQAaQBlAG4AdAAgADQAIABwAGUAcgBjAGUAbgB0AFwAIgAsAFwAIgBJAG4AZwByAGUAZABpAGUAbgB0ACAANQBcACIALABcACIASQBuAGcAcgBlAGQAaQBlAG4AdAAgADUAIABwAGUAcgBjAGUAbgB0AFwAIgAsAFwAIgBJAG4AZwByAGUAZABpAGUAbgB0ACAANgBcACIALABcACIASQBuAGcAcgBlAGQAaQBlAG4AdAAgADYAIABwAGUAcgBjAGUAbgB0AFwAIgAsAFwAIgBJAG4AZwByAGUAZABpAGUAbgB0ACAANwBcACIALABcACIASQBuAGcAcgBlAGQAaQBlAG4AdAAgADcAIABwAGUAcgBjAGUAbgB0AFwAIgAsAFwAIgBJAG4AZwByAGUAZABpAGUAbgB0ACAAOABcACIALABcACIASQBuAGcAcgBlAGQAaQBlAG4AdAAgADgAIABwAGUAcgBjAGUAbgB0AFwAIgAsAFwAIgBJAG4AZwByAGUAZABpAGUAbgB0ACAAOQBcACIALABcACIASQBuAGcAcgBlAGQAaQBlAG4AdAAgADkAIABwAGUAcgBjAGUAbgB0AFwAIgAsAFwAIgBJAG4AZwByAGUAZABpAGUAbgB0ACAAMQAwAFwAIgAsAFwAIgBJAG4AZwByAGUAZABpAGUAbgB0ACAAMQAwACAAcABlAHIAYwBlAG4AdABcACIALABcACIARQBOAEQAIABSAE8AVwBcACIAOwBcAG4AXAAiAEkAbgBjAGwAdQBkAGUAXAAiACwAXAAiAFwAIgAsAFwAIgBDAGEAbQBwAGIAZQBsAGwAcwAgAGYAZQByAHQAaQBsAGkAcwBlAHIAcwAgAEEAdQBzAHQAcgBhAGwAaQBhAFwAIgAsAFwAIgBBAHEAdQBhACAARgBpAG4AaQBzAGgAXAAiACwAXAAiAEEAcQB1AGEAIABGAGkAbgBpAHMAaAAgAC0AIABDAGEAbQBwAGIAZQBsAGwAcwAgAEYAZQByAHQAaQBsAGkAcwBlAHIAcwAgAEEAdQBzAHQAcgBhAGwAYQBzAGkAYQBcACIALABcACIAVwBlAGIAcwBpAHQAZQBcACIALABcACIAXAAiACwAXAAiAEwAXAAiACwAMQAuADIANgAsAFwAIgBcACIALABcACIAXAAiACwAXAAiAFAAbwB0AGEAcwBzAGkAdQBtACAALQAgAEcAZQBuAGUAcgBpAGMAXAAiACwAMAAuADIAMgA1ACwAXAAiAFAAaABvAHMAcABoAG8AcgB1AHMAIAAtACAARwBlAG4AZQByAGkAYwBcACIALAAwAC4AMAA0ACwAXAAiAE4AaQB0AHIAbwBnAGUAbgAgAC0AIABHAGUAbgBlAHIAaQBjAFwAIgAsADAALgAwADIAN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EcAcgBvAHcAXAAiACwAXAAiAEEAcQB1AGEAIABHAHIAbwB3ACAALQAgAEMAYQBtAHAAYgBlAGwAbABzACAARgBlAHIAdABpAGwAaQBzAGUAcgBzACAAQQB1AHMAdAByAGEAbABhAHMAaQBhAFwAIgAsAFwAIgBXAGUAYgBzAGkAdABlAFwAIgAsAFwAIgBcACIALABcACIATABcACIALAAxAC4AMgA2ACwAXAAiAFwAIgAsAFwAIgBcACIALABcACIAUABvAHQAYQBzAHMAaQB1AG0AIAAtACAARwBlAG4AZQByAGkAYwBcACIALAAwAC4AMQAwADUALABcACIATgBpAHQAcgBvAGcAZQBuACAALQAgAEcAZQBuAGUAcgBpAGMAXAAiACwAMAAuADAAOQA2ACwAXAAiAFAAaABvAHMAcABoAG8AcgB1AHMAIAAtACAARwBlAG4AZQByAGkAYwBcACIALAAwAC4AMAA1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TgBpAHQAcgBvACAAQQBOAFwAIgAsAFwAIgBBAHEAdQBhACAATgBpAHQAcgBvACAAQQBOACAALQAgAEMAYQBtAHAAYgBlAGwAbABzACAARgBlAHIAdABpAGwAaQBzAGUAcgBzACAAQQB1AHMAdAByAGEAbABhAHMAaQBhAFwAIgAsAFwAIgBXAGUAYgBzAGkAdABlAC4AIABCAHIAbwBjAGgAdQByAGUAXAAiACwAXAAiAFwAIgAsAFwAIgBMAFwAIgAsADEALgAyADQALABcACIAXAAiACwAXAAiAFwAIgAsAFwAIgBOAGkAdAByAG8AZwBlAG4AIAAtACAAQQBtAG0AbwBuAGkAYQBjAGEAbABcACIALAAwAC4AMgAyADM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BcACIALABcACIAQQBxAHUAYQAgAE4AaQB0AHIAbwBDAGEAbA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2ADI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BAHEAdQBhACAATgBpAHQAcgBvAEMAYQBsACAAKABWAEkAKQBcACIALABcACIAQQBxAHUAYQAgAE4AaQB0AHIAbwBDAGEAbAAgACgAVgBJACkAIAAtACAAQwBhAG0AcABiAGUAbABsAHMAIABGAGUAcgB0AGkAbABpAHMAZQByAHMAIABBAHUAcwB0AHIAYQBsAGEAcwBpAGEAXAAiACwAXAAiAFcAZQBiAHMAaQB0AGUAIABTAEQAUwBcACIALABcACIAXAAiACwAXAAiAEwAXAAiACwAMQAuADUALABcACIAXAAiACwAXAAiAFwAIgAsAFwAIgBDAGEAbABjAGkAdQBtACAALQAgAEcAZQBuAGUAcgBpAGMAXAAiACwAMAAuADEAOAA3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AgAFUAbAB0AGkAbQBhAHQAZQBcACIALABcACIAQQBxAHUAYQAgAE4AaQB0AHIAbwBDAGEAbAAgAFUAbAB0AGkAbQBhAHQAZQ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4ADMALABcACIATgBpAHQAcgBvAGcAZQBuACAAIAAtACAATgBpAHQAcgBhAHQAZQBcACIALAAwAC4AMQAz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MAdABhAHIAdABcACIALABcACIAQQBxAHUAYQAgAFMAdABhAHIAdAAgAC0AIABDAGEAbQBwAGIAZQBsAGwAcwAgAEYAZQByAHQAaQBsAGkAcwBlAHIAcwAgAEEAdQBzAHQAcgBhAGwAYQBzAGkAYQBcACIALABcACIAVwBlAGIAcwBpAHQAZQAgAFMARABTAFwAIgAsAFwAIgBcACIALABcACIATABcACIALAAxAC4AMgA1ACwAXAAiAFwAIgAsAFwAIgBcACIALABcACIATgBpAHQAcgBvAGcAZQBuACAALQAgAEcAZQBuAGUAcgBpAGMAXAAiACwAMAAuADEAMAAzACwAXAAiAFAAaABvAHMAcABoAG8AcgB1AHMAIAAtACAARwBlAG4AZQByAGkAYwBcACIALAAwAC4AMQAsAFwAIgBQAG8AdABhAHMAcwBpAHUAbQAgAC0AIABHAGUAbgBlAHIAaQBjAFwAIgAsADAALgAwADMANA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DAG8AbQBwAGwAZQB0AGUAXAAiACwAXAAiAEEAcQB1AGEAIABUAGgAaQBvAC0AQwBvAG0AcABsAGUAdABlACAALQAgAEMAYQBtAHAAYgBlAGwAbABzACAARgBlAHIAdABpAGwAaQBzAGUAcgBzACAAQQB1AHMAdAByAGEAbABhAHMAaQBhAFwAIgAsAFwAIgBXAGUAYgBzAGkAdABlACAAUwBEAFMAXAAiACwAXAAiAFwAIgAsAFwAIgBMAFwAIgAsADEALgA0ADMALABcACIAXAAiACwAXAAiAFwAIgAsAFwAIgBQAG8AdABhAHMAcwBpAHUAbQAgAC0AIABHAGUAbgBlAHIAaQBjAFwAIgAsADAALgAyADIANQAsAFwAIgBQAGgAbwBzAHAAaABvAHIAdQBzACAALQAgAEcAZQBuAGUAcgBpAGMAXAAiACwAMAAuADAAMwA4ACwAXAAiAE4AaQB0AHIAbwBnAGUAbgAgAC0AIABHAGUAbgBlAHIAaQBjAFwAIgAsADAALgAwADIANQ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FAG0AZQByAGcAZQBcACIALABcACIAQQBxAHUAYQAgAFQAaABpAG8ALQBFAG0AZQByAGcAZQAgAC0AIABDAGEAbQBwAGIAZQBsAGwAcwAgAEYAZQByAHQAaQBsAGkAcwBlAHIAcwAgAEEAdQBzAHQAcgBhAGwAYQBzAGkAYQBcACIALABcACIAVwBlAGIAcwBpAHQAZQAgAFMARABTAFwAIgAsAFwAIgBcACIALABcACIATABcACIALAAxAC4AMgA5ACwAXAAiAFwAIgAsAFwAIgBcACIALABcACIATgBpAHQAcgBvAGcAZQBuACAALQAgAEcAZQBuAGUAcgBpAGMAXAAiACwAMAAuADEAMAA1ACwAXAAiAFAAaABvAHMAcABoAG8AcgB1AHMAIAAtACAARwBlAG4AZQByAGkAYwBcACIALAAwAC4AMAA5ADQALABcACIAUABvAHQAYQBzAHMAaQB1AG0AIAAtACAARwBlAG4AZQByAGkAYwBcACIALAAwAC4AMAA0ACwAXAAiAFMAdQBsAGYAdQByACAALQAgAEcAZQBuAGUAcgBpAGMAXAAiACwAMAAuADAAMw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UAGgAaQBvAC0ARgBsAG8AdQByAGkAcwBoAFwAIgAsAFwAIgBBAHEAdQBhACAAVABoAGkAbwAtAEYAbABvAHUAcgBpAHMAaAAgAC0AIABDAGEAbQBwAGIAZQBsAGwAcwAgAEYAZQByAHQAaQBsAGkAcwBlAHIAcwAgAEEAdQBzAHQAcgBhAGwAYQBzAGkAYQBcACIALABcACIAVwBlAGIAcwBpAHQAZQAgAFMARABTAFwAIgAsAFwAIgBcACIALABcACIATABcACIALAAxAC4AMwAyACwAXAAiAFwAIgAsAFwAIgBcACIALABcACIAUABvAHQAYQBzAHMAaQB1AG0AIAAtACAARwBlAG4AZQByAGkAYwBcACIALAAwAC4AMQAwADgALABcACIATgBpAHQAcgBvAGcAZQBuACAALQAgAEcAZQBuAGUAcgBpAGMAXAAiACwAMAAuADAAOQA1ACwAXAAiAFMAdQBsAGYAdQByACAALQAgAEcAZQBuAGUAcgBpAGMAXAAiACwAMAAuADAAOAAxACwAXAAiAFAAaABvAHMAcABoAG8AcgB1AHMAIAAtACAARwBlAG4AZQByAGkAYwBcACIALAAwAC4AMAA0ADc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BAHMAYwBvACAARgBvAGwAIABQAGwAdQBzAFwAIgAsAFwAIgBBAHMAYwBvACAARgBvAGw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AAbAB1AHMAXAAiACwAXAAiAEEAcwBjAG8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IAaABpAHoAbwAgAFAAbAB1AHMAXAAiACwAXAAiAEEAcwBjAG8AIABSAGgAaQB6AG8AIABQAGwAdQBzACAALQAgAEMAYQBtAHAAYgBlAGwAbABzACAARgBlAHIAdABpAGwAaQBzAGUAcgBzACAAQQB1AHMAdAByAGEAbABhAHMAaQBhAFwAIgAsAFwAIgBcACIALABcACIAQgBpAG8AcwB0AGkAbQB1AGwAYQBuAHQ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ZQBuAGUAZgBpAHQAIABQAFoAXAAiACwAXAAiAEIAZQBuAGUAZgBpAHQAIABQAFo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AgAC0AIABBAGIAcwBlAG4AdAAgAGkAbgBnAHIAZQBkAGkAZQBuAHQAcwAgADwAIAAyACUAXAAiACwAXAAiAEEAbQBvAHUAbgB0ACAAbwBmACAAdQByAGUAYQAgAGMAYQBsAGMAdQBsAGEAdABlAGQAIABmAHIAbwBtACAAdQByAGUAYQAgAG4AaQB0AHIAbwBnAGUAbgAgAGEAbQBvAHUAbgB0AFwAIgAsAFwAIgBDAGEAbQBwAGIAZQBsAGwAcwAgAGYAZQByAHQAaQBsAGkAcwBlAHIAcwAgAEEAdQBzAHQAcgBhAGwAaQBhAFwAIgAsAFwAIgBCAG8AbwBzAHQALQBJAHQAXAAiACwAXAAiAEIAbwBvAHMAdAAtAEkAdAAgAC0AIABDAGEAbQBwAGIAZQBsAGwAcwAgAEYAZQByAHQAaQBsAGkAcwBlAHIAcwAgAEEAdQBzAHQAcgBhAGwAYQBzAGkAYQBcACIALABcACIAVwBlAGIAcwBpAHQAZQAgAFMARABTAFwAIgAsAFwAIgBcACIALABcACIAawBnAFwAIgAsADEALABcACIAXAAiACwAXAAiAFwAIgAsAFwAIgBVAHIAZQBhAFwAIgAsADAALgA1ADIAMQA3ADMAOQAxADMALABcACIAUABvAHQAYQBzAHMAaQB1AG0AIAAtACAARwBlAG4AZQByAGkAYwBcACIALAAwAC4AMAA4ACwAXAAiAFMAdQBsAGYAdQByACAALQAgAEcAZQBuAGUAcgBpAGMAXAAiACwAMAAuADAANQAzACwAXAAiAFAAaABvAHMAcABoAG8AcgB1AHMAIAAtACAARwBlAG4AZQByAGkAYwBcACIALAAwAC4AMAA1ADIALABcACIATQBhAGcAbgBlAHMAaQB1AG0AXAAiACwAMAAuADAAMQAzACwAXAAiAFoAaQBuAGMAXAAiACwAMAAuADAAMAAyACwAXAAiAE0AYQBuAGcAYQBuAGUAcwBlAFwAIgAsADAALgAwADAAMwA1ACwAXAAiAEkAcgBvAG4AXAAiACwAMAAuADAAMAAxADMALABcACIAQwBvAHAAcABlAHIAXAAiACwAMAAuADAAMAAwADcALABcACIAQgBvAHIAbwBuAFwAIgAsADAALgAwADAAMAA3ACwAXAAiAEUATgBEACAAUgBPAFcAXAAiADsAXABuAFwAIgBFAHgAYwBsAHUAZABlACAALQAgAE4AbwB0ACAAcgBlAGwAZQB2AGEAbgB0AFwAIgAsAFwAIgBcACIALABcACIAQwBhAG0AcABiAGUAbABsAHMAIABmAGUAcgB0AGkAbABpAHMAZQByAHMAIABBAHUAcwB0AHIAYQBsAGkAYQBcACIALABcACIAQgBvAHIAbwBwAGwAdQBzAFwAIgAsAFwAIgBCAG8AcgBvAHAAbAB1AHM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cgBlAHYAaQBzAG8AbAAgAFIAYQBuAGcAZQBcACIALABcACIAQgByAGUAdgBpAFMAbwBsACAAUgBhAG4AZwBlACAALQAgAEMAYQBtAHAAYgBlAGwAbABzACAARgBlAHIAdABpAGwAaQBzAGUAcgBzACAAQQB1AHMAdAByAGEAbABhAHMAaQBhAFwAIgAsAFwAIgBcACIALABcACIATgBvAHQAIABmAGUAcgB0AGkAbABpAHMAZQBy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CAHIAZQB4AGkAbAAgAEwAaQBuAGUAXAAiACwAXAAiAEIAcgBlAHgAaQBsACAATABpAG4AZQ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gByAG8AbgB6AGUAXAAiACwAXAAiAEIAcgBvAG4AegBlACAALQAgAEMAYQBtAHAAYgBlAGwAbABzACAARgBlAHIAdABpAGwAaQBzAGUAcgBzACAAQQB1AHMAdAByAGEAbABhAHMAaQBhAFwAIgAsAFwAIgBXAGUAYgBzAGkAdABlAFwAIgAsAFwAIgBcACIALABcACIAawBnAFwAIgAsAFwAIgBcACIALABcACIAXAAiACwAXAAiAFwAIgAsAFwAIgBNAHUAcgBpAGEAdABlACAAbwBmACAAUABvAHQAYQBzAGgAIAAoAE0ATwBQACkAXAAiACwAMAAuADIAMwAyACwAXAAiAE4AaQB0AHIAbwBnAGUAbgAgAC0AIABHAGUAbgBlAHIAaQBjAFwAIgAsADAALgAxADcALABcACIAUwB1AGwAZgB1AHIAIAAtACAARwBlAG4AZQByAGkAYwBcACIALAAwAC4AMAAwADUALABcACIATQBhAGcAbgBlAHMAaQB1AG0AXAAiACwAMAAuADAAMAAyADQALABcACIAUABoAG8AcwBwAGgAbwByAHUAcwAgAC0AIABHAGUAbgBlAHIAaQBjAFwAIgAsADAALgAwADAAMAA0ACwAXAAiAFwAIgAsAFwAIgBcACIALABcACIAXAAiACwAXAAiAFwAIgAsAFwAIgBcACIALABcACIAXAAiACwAXAAiAFwAIgAsAFwAIgBcACIALABcACIAXAAiACwAXAAiAFwAIgAsAFwAIgBFAE4ARAAgAFIATwBXAFwAIgA7AFwAbgBcACIARQB4AGMAbAB1AGQAZQAgAC0AIABBAGIAcwBlAG4AdAAgAGkAbgBnAHIAZQBkAGkAZQBuAHQAcwAgAD4AIAAyACUAXAAiACwAXAAiAFwAIgAsAFwAIgBDAGEAbQBwAGIAZQBsAGwAcwAgAGYAZQByAHQAaQBsAGkAcwBlAHIAcwAgAEEAdQBzAHQAcgBhAGwAaQBhAFwAIgAsAFwAIgBCAHUAZAAtAFcAaQBzAGUAcgAgAEQAcgB5AFwAIgAsAFwAIgBCAHUAZAAtAFcAaQBzAGUAcgAgAEQAcgB5ACAALQAgAEMAYQBtAHAAYgBlAGwAbABzACAARgBlAHIAdABpAGwAaQBzAGUAcgBzACAAQQB1AHMAdAByAGEAbABhAHMAaQBhAFwAIgAsAFwAIgBcACIALABcACIAXAAiACwAXAAiAGsAZwBcACIALABcACIAXAAiACwAXAAiAFwAIgAsAFwAIgBcACIALABcACIAUwB1AGwAZgB1AHIAIAAtACAARwBlAG4AZQByAGkAYwBcACIALAAwAC4AMAA5ADQALABcACIATQBhAGcAbgBlAHMAaQB1AG0AXAAiACwAMAAuADAANgAsAFwAIgBCAG8AcgBvAG4AXAAiACwAMAAuADAANAA1ACwAXAAiAFoAaQBuAGMAXAAiACwAMAAuADAAMgA3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wBhAGwAYgBpAHQAIABDAFwAIgAsAFwAIgBDAGEAbABiAGkAdAAgAEMAIAAtACAAQwBhAG0AcABiAGUAbABsAHMAIABGAGUAcgB0AGkAbABpAHMAZQByAHMAIABBAHUAcwB0AHIAYQBsAGEAcwBpAGEAXAAiACwAXAAiAFwAIgAsAFwAIgBOAG8AdAAgAGYAZQByAHQAaQBsAGkAcwBlAHIAIAAtACAARABvACAAbgBvAHQAIABpAG4AYwBsAHUAZABl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wBhAGwAYwBpAHUAbQAgADEANwA1AFwAIgAsAFwAIgBDAGEAbABjAGkAdQBtACAAMQA3ADUAIAAtACAAQwBhAG0AcABiAGUAbABsAHMAIABGAGUAcgB0AGkAbABpAHMAZQByAHMAIABBAHUAcwB0AHIAYQBsAGEAcwBpAGEAXAAiACwAXAAiAFwAIgAsAFwAIgBOAG8AdAAgAGYAZQByAHQAaQBsAGkAcwBlAHIAIAAtACAARABvACAAbgBvAHQAIABpAG4AYwBsAHUAZABl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VAHMAZQAgAEwAaQBtAGUAIABFAEYAIABmAG8AcgAgAGMAYQBsAGMAaQB1AG0AXAAiACwAXAAiAEMAYQBtAHAAYgBlAGwAbABzACAAZgBlAHIAdABpAGwAaQBzAGUAcgBzACAAQQB1AHMAdAByAGEAbABpAGEAXAAiACwAXAAiAEMAYQBsAFAAaABvAHMAXAAiACwAXAAiAEMAYQBsAHAAaABvAHMAIAAtACAAQwBhAG0AcABiAGUAbABsAHMAIABGAGUAcgB0AGkAbABpAHMAZQByAHMAIABBAHUAcwB0AHIAYQBsAGEAcwBpAGEAXAAiACwAXAAiAFcAZQBiAHMAaQB0AGUAXAAiACwAXAAiAFwAIgAsAFwAIgBMAFwAIgAsADEALgAyADgANQAsAFwAIgBcACIALABcACIAXAAiACwAXAAiAFAAaABvAHMAcABoAG8AcgB1AHMAIAAtACAARwBlAG4AZQByAGkAYwBcACIALAAwAC4AMQAzADUALABcACIAQwBhAGwAYwBpAHUAbQAgAC0AIABHAGUAbgBlAHIAaQBjAFwAIgAsADAALgAwADQALABcACIAXAAiACwAXAAiAFwAIgAsAFwAIgBcACIALABcACIAXAAiACwAXAAiAFwAIgAsAFwAIgBcACIALABcACIAXAAiACwAXAAiAFwAIgAsAFwAIgBcACIALABcACIAXAAiACwAXAAiAFwAIgAsAFwAIgBcACIALABcACIAXAAiACwAXAAiAFwAIgAsAFwAIgBcACIALABcACIAXAAiACwAXAAiAEUATgBEACAAUgBPAFcAXAAiAFwAbgAgACAAfQAsACAAcgAsACAAYwApAFwAbgApACkAKQA7AFwAbgBcAG4AXABuAFwAbgAiAH0ALAB7ACIAcABhAHQAaAAiADoAIgAvAHAAcgBvAGoAZQBjAHQAcwAvAEYAZQByAHQAaQBsAGkAcwBlAHIAXwBJAG4AcAB1AHQARgB1AG4AYwB0AGkAbwBuAHMAIgAsACIAdABlAHgAdAAiADoAIgBGAGUAcgB0AGkAbABpAHMAZQByAF8ARgBlAHIAdABpAGwAaQBzAGUAcgBQAHIAbwBkAHUAYwB0AEwAbwBvAGsAdQBwAFwAbgA9AEwAQQBNAEIARABBACgAXABuACAAIABQAHIAbwBkAHUAYwB0ACwAXABuACAAIABQAHIAbwBkAHUAYwB0AEEAdAB0AHIAaQBiAHUAdABlACwAXABuACAAIABQAHIAbwBkAHUAYwB0AEEAcgByAGEAeQAsAFwAbgAgACAAUAByAG8AZAB1AGMAdABBAHIAcgBhAHkAQwBvAGwAdQBtAG4ALABcAG4AIAAgAFAAcgBvAGQAdQBjAHQAQQByAHIAYQB5AEgAZQBhAGQAZQByAHMALABcAG4AIAAgAEkARgBFAFIAUgBPAFIAKABcAG4AIAAgACAAIABJAE4ARABFAFgAKABcAG4AIAAgACAAIAAgACAAUAByAG8AZAB1AGMAdABBAHIAcgBhAHkALABcAG4AIAAgACAAIAAgACAAWABNAEEAVABDAEgAKABcAG4AIAAgACAAIAAgACAAIAAgAFQAUgBJAE0AKABcAG4AIAAgACAAIAAgACAAIAAgACAAIABQAHIAbwBkAHUAYwB0AFwAbgAgACAAIAAgACAAIAAgACAAKQAsAFwAbgAgACAAIAAgACAAIAAgACAAUAByAG8AZAB1AGMAdABBAHIAcgBhAHkAQwBvAGwAdQBtAG4ALABcAG4AIAAgACAAIAAgACAAIAAgADAAXABuACAAIAAgACAAIAAgACkALABcAG4AIAAgACAAIAAgACAAWABNAEEAVABDAEgAKABcAG4AIAAgACAAIAAgACAAIAAgAFQAUgBJAE0AKABcAG4AIAAgACAAIAAgACAAIAAgACAAIABQAHIAbwBkAHUAYwB0AEEAdAB0AHIAaQBiAHUAdABlAFwAbgAgACAAIAAgACAAIAAgACAAKQAsAFwAbgAgACAAIAAgACAAIAAgACAAUAByAG8AZAB1AGMAdABBAHIAcgBhAHkASABlAGEAZABlAHIAcwAsAFwAbgAgACAAIAAgACAAIAAgACAAMABcAG4AIAAgACAAIAAgACAAKQBcAG4AIAAgACAAIAApACwAXABuACAAIAAgACAAXAAiAFwAIgBcAG4AIAAgACkAXABuACkAOwBcAG4AXABuAEYAZQByAHQAaQBsAGkAcwBlAHIAXwBTAHUAbQBQAHIAbwBkAHUAYwB0AEEAcABwAGwAaQBlAGQAXABuAD0ATABBAE0AQgBEAEEAKABcAG4AIAAgAEwAbwBvAGsAdQBwAFQAYQByAGcAZQB0ADEALABcAG4AIAAgAEwAbwBvAGsAdQBwAEEAcgByAGEAeQAxACwAXABuACAAIABBAG0AbwB1AG4AdABBAHAAcABsAGkAZQBkACwAXABuACAAIABbAEwAbwBvAGsAdQBwAFQAYQByAGcAZQB0ADIAXQAsAFwAbgAgACAAWwBMAG8AbwBrAHUAcABBAHIAcgBhAHkAMgBdACwAXABuACAAIABMAEUAVAAoAFwAbgAgACAAIAAgAGMAcgBpAHQAZQByAGkAYQAxACwAXABuACAAIAAgACAALQAtACgAXABuACAAIAAgACAAIAAgAEwAbwBvAGsAdQBwAEEAcgByAGEAeQAxACAAPQAgAEwAbwBvAGsAdQBwAFQAYQByAGcAZQB0ADEAXABuACAAIAAgACAAKQAsAFwAbgAgACAAIAAgAGMAcgBpAHQAZQByAGkAYQAyACwAXABuACAAIAAgACAASQBGACgAXABuACAAIAAgACAAIAAgAEkAUwBPAE0ASQBUAFQARQBEACgAXABuACAAIAAgACAAIAAgACAAIABMAG8AbwBrAHUAcABUAGEAcgBnAGUAdAAyAFwAbgAgACAAIAAgACAAIAApACwAXABuACAAIAAgACAAIAAgADEALABcAG4AIAAgACAAIAAgACAALQAtACgAXABuACAAIAAgACAAIAAgACAAIABMAG8AbwBrAHUAcABBAHIAcgBhAHkAMgAgAD0AIABMAG8AbwBrAHUAcABUAGEAcgBnAGUAdAAyAFwAbgAgACAAIAAgACAAIAApAFwAbgAgACAAIAAgACkALABcAG4AIAAgACAAIABTAFUATQBQAFIATwBEAFUAQwBUACgAXABuACAAIAAgACAAIAAgAEkARgBFAFIAUgBPAFIAKABjAHIAaQB0AGUAcgBpAGEAMQAgACoAIABjAHIAaQB0AGUAcgBpAGEAMgAgACoAIABBAG0AbwB1AG4AdABBAHAAcABsAGkAZQBkACwAIAAwACkAXABuACAAIAAgACAAKQBcAG4AIAAgACkAXABuACkAOwBcAG4AXABuAEYAZQByAHQAaQBsAGkAcwBlAHIAXwBUAG8AdABhAGwAUwBvAGkAbABBAG0AZQBuAGQAbQBlAG4AdABBAHAAcABsAGkAZQBkAFwAbgA9AEwAQQBNAEIARABBACgAXABuACAAIABBAG0AbwB1AG4AdABBAHAAcABsAGkAZQBkACwAXABuACAAIABBAG0AZQBuAGQAbQBlAG4AdABQAGUAcgBjAGUAbgB0ACwAXABuACAAIABTAFUATQBQAFIATwBEAFUAQwBUACgAXABuACAAIAAgACAAQQBtAG8AdQBuAHQAQQBwAHAAbABpAGUAZAAgACoAIABBAG0AZQBuAGQAbQBlAG4AdABQAGUAcgBjAGUAbgB0AFwAbgAgACAAKQBcAG4AKQA7AFwAbgBcAG4ARgBlAHIAdABpAGwAaQBzAGUAcgBfAFQAbwB0AGEAbABDAGgAZQBtAGkAYwBhAGwAQwBvAG0AcABvAHUAbgBk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AAZQByAGMAZQBuAHQAM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XABuACAAIAAgACAAIAAgACkALABcAG4AIAAgACAAIAAgACAAMABcAG4AIAAgACAAIAApAFwAbgAgACAAKQBcAG4AKQA7AFwAbgBcAG4ARgBlAHIAdABpAGwAaQBzAGUAcgBfAFQAbwB0AGEAbABDAGgAZQBtAGkAYwBhAGwAQwBvAG0AcABvAHUAbgBkAHQAQQBwAHAAbABpAGUAZABCAHkAUwBvAHUAcgBjAGUAQQBsAGwASQBuAGcAcgBlAGQAaQBlAG4AdABzAFwAbgA9AEwAQQBNAEIARABBACgAXABuACAAIABDAGgAZQBtAGkAYwBhAGwAQwBvAG0AcABvAHUAbgBkACwAXABuACAAIABTAG8AdQByAGMAZQAsAFwAbgAgACAAQQBtAG8AdQBuAHQAQQBwAHAAbABpAGUAZAAsAFwAbgAgACAAUAByAG8AZAB1AGMAdABJAG4AZwByAGUAZABpAGUAbgB0ADEALABcAG4AIAAgAFAAcgBvAGQAdQBjAHQASQBuAGcAcgBlAGQAaQBlAG4AdABQAGUAcgBjAGUAbgB0ADEALABcAG4AIAAgAFsAUAByAG8AZAB1AGMAdABJAG4AZwByAGUAZABpAGUAbgB0AFMAbwB1AHIAYwBlAF0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XABuACAAIAAgACAAKABcAG4AIAAgACAAIAAgACAAQQBtAG8AdQBuAHQAQQBwAHAAbABpAGUAZAAgACoAIABQAHIAbwBkAHUAYwB0AEkAbgBnAHIAZQBkAGkAZQBuAHQAUABlAHIAYwBlAG4AdAAxAFwAbgAgACAAIAAgACkALABcAG4AIAAgACAAIABjAGEAbABjAHUAbABhAHQAZQBkAEEAbQBvAHUAbgB0ADIALABcAG4AIAAgACAAIAAoAFwAbgAgACAAIAAgACAAIABBAG0AbwB1AG4AdABBAHAAcABsAGkAZQBkACAAKgAgAFAAcgBvAGQAdQBjAHQASQBuAGcAcgBlAGQAaQBlAG4AdABQAGUAcgBjAGUAbgB0ADIAXABuACAAIAAgACAAKQAsAFwAbgAgACAAIAAgAGMAYQBsAGMAdQBsAGEAdABlAGQAQQBtAG8AdQBuAHQAMwAsAFwAbgAgACAAIAAgACgAXABuACAAIAAgACAAIAAgAEEAbQBvAHUAbgB0AEEAcABwAGwAaQBlAGQAIAAqACAAUAByAG8AZAB1AGMAdABJAG4AZwByAGUAZABpAGUAbgB0AFAAZQByAGMAZQBuAHQAMwBcAG4AIAAgACAAIAApACwAXABuACAAIAAgACAAYwBhAGwAYwB1AGwAYQB0AGUAZABBAG0AbwB1AG4AdAA0ACwAXABuACAAIAAgACAAKABcAG4AIAAgACAAIAAgACAAQQBtAG8AdQBuAHQAQQBwAHAAbABpAGUAZAAgACoAIABQAHIAbwBkAHUAYwB0AEkAbgBnAHIAZQBkAGkAZQBuAHQAUABlAHIAYwBlAG4AdAA0AFwAbgAgACAAIAAgACkALABcAG4AIAAgACAAIABjAGEAbABjAHUAbABhAHQAZQBkAEEAbQBvAHUAbgB0ADUALABcAG4AIAAgACAAIAAoAFwAbgAgACAAIAAgACAAIABBAG0AbwB1AG4AdABBAHAAcABsAGkAZQBkACAAKgAgAFAAcgBvAGQAdQBjAHQASQBuAGcAcgBlAGQAaQBlAG4AdABQAGUAcgBjAGUAbgB0ADUAXABuACAAIAAgACAAKQAsAFwAbgAgACAAIAAgAGMAYQBsAGMAdQBsAGEAdABlAGQAQQBtAG8AdQBuAHQANgAsAFwAbgAgACAAIAAgACgAXABuACAAIAAgACAAIAAgAEEAbQBvAHUAbgB0AEEAcABwAGwAaQBlAGQAIAAqACAAUAByAG8AZAB1AGMAdABJAG4AZwByAGUAZABpAGUAbgB0AFAAZQByAGMAZQBuAHQANgBcAG4AIAAgACAAIAApACwAXABuACAAIAAgACAAUAByAG8AZAB1AGMAdABJAG4AZwByAGUAZABpAGUAbgB0AFMAbwB1AHIAYwBlACwAXABuACAAIAAgACAASQBGACgAXABuACAAIAAgACAAIAAgAFAAcgBvAGQAdQBjAHQASQBuAGcAcgBlAGQAaQBlAG4AdABTAG8AdQByAGMAZQAgAD0AIABcACIAXAAiACwAXABuACAAIAAgACAAIAAgAFwAIgBHAGwAbwBiAGEAbABcACIALABcAG4AIAAgACAAIAAgACAAUAByAG8AZAB1AGMAdABJAG4AZwByAGUAZABpAGUAbgB0AFMAbwB1AHIAYwBl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CwAXABuACAAIAAgACAAIAAgAFMAbwB1AHIAYwBlACwAXABuACAAIAAgACAAIAAgAFAAcgBvAGQAdQBjAHQASQBuAGcAcgBlAGQAaQBlAG4AdABTAG8AdQByAGMAZQ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0ACwAXABuACAAIAAgACAAIAAgACAAIABjAGEAbABjAHUAbABhAHQAZQBkAEEAbQBvAHUAbgB0ADQ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UALABcAG4AIAAgACAAIAAgACAAIAAgAGMAYQBsAGMAdQBsAGEAdABlAGQAQQBtAG8AdQBuAHQANQ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gAsAFwAbgAgACAAIAAgACAAIAAgACAAYwBhAGwAYwB1AGwAYQB0AGUAZABBAG0AbwB1AG4AdAA2ACwAXABuACAAIAAgACAAIAAgACAAIABTAG8AdQByAGMAZQAsAFwAbgAgACAAIAAgACAAIAAgACAAUAByAG8AZAB1AGMAdABJAG4AZwByAGUAZABpAGUAbgB0AFMAbwB1AHIAYwBlAFwAbgAgACAAIAAgACAAIAApACwAXABuACAAIAAgACAAIAAgADAAXABuACAAIAAgACAAKQBcAG4AIAAgACkAXABuACkAOwBcAG4AXABuAEYAZQByAHQAaQBsAGkAcwBlAHIAXwBHAGUAdABTAGMAbwBwAGUAMwBFAEYAXABuAD0ATABBAE0AQgBEAEEAKABcAG4AIAAgAEMAaABlAG0AaQBjAGEAbABDAG8AbQBwAG8AdQBuAGQALABcAG4AIAAgAFMAYwBvAHAAZQAzAEEAcgByAGEAeQAsAFwAbgAgACAAQwBoAGUAbQBpAGMAYQBsAEMAbwBtAHAAbwB1AG4AZABDAG8AbAB1AG0AbgAsAFwAbgAgACAAUwBvAHUAcgBjAGUALABcAG4AIAAgAFMAbwB1AHIAYwBlAFIAbwB3ACwAXABuACAAIABJAE4ARABFAFgAKABcAG4AIAAgACAAIABTAGMAbwBwAGUAMw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TAG8AdQByAGMAZQAsAFwAbgAgACAAIAAgACAAIABTAG8AdQByAGMAZQBSAG8AdwAsAFwAbgAgACAAIAAgACAAIAAwAFwAbgAgACAAIAAgACkAXABuACAAIAApAFwAbgApADsAXABuAFwAbgBGAGUAcgB0AGkAbABpAHMAZQByAF8ARwBlAHQAQwBoAGUAbQBpAGMAYQBsAEMAbwBtAHAAbwB1AG4AZABFAGwAZQBtAGUAbgB0AEYAcgBhAGMAdABpAG8AbgBcAG4APQBMAEEATQBCAEQAQQAoAFwAbgAgACAAQwBoAGUAbQBpAGMAYQBsAEMAbwBtAHAAbwB1AG4AZAAsAFwAbgAgACAARQBsAGUAbQBlAG4AdAAsAFwAbgAgACAAQwBoAGUAbQBpAGMAYQBsAEMAbwBtAHAAbwB1AG4AZABBAHIAcgBhAHkALABcAG4AIAAgAEMAaABlAG0AaQBjAGEAbABDAG8AbQBwAG8AdQBuAGQAQwBvAGwAdQBtAG4ALABcAG4AIAAgAEUAbABlAG0AZQBuAHQAUgBvAHcALABcAG4AIAAgAEkATgBEAEUAWAAoAFwAbgAgACAAIAAgAEMAaABlAG0AaQBjAGEAbABDAG8AbQBwAG8AdQBuAGQAQQByAHIAYQB5ACwAXABuACAAIAAgACAATQBBAFQAQwBIACgAXABuACAAIAAgACAAIAAgAEMAaABlAG0AaQBjAGEAbABDAG8AbQBwAG8AdQBuAGQALABcAG4AIAAgACAAIAAgACAAQwBoAGUAbQBpAGMAYQBsAEMAbwBtAHAAbwB1AG4AZABDAG8AbAB1AG0AbgAsAFwAbgAgACAAIAAgACAAIAAwAFwAbgAgACAAIAAgACkALABcAG4AIAAgACAAIABNAEEAVABDAEgAKABcAG4AIAAgACAAIAAgACAARQBsAGUAbQBlAG4AdAAsAFwAbgAgACAAIAAgACAAIABFAGwAZQBtAGUAbgB0AFIAbwB3ACwAXABuACAAIAAgACAAIAAgADAAXABuACAAIAAgACAAKQBcAG4AIAAgACkAXABuACkAOwBcAG4AXABuAEYAZQByAHQAaQBsAGkAcwBlAHIAXwBUAG8AdABhAGwAQQBjAHQAaQB2AGUASQBuAGcAcgBlAGQAaQBlAG4Ad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VAG4AaQB0ADEALABcAG4AIAAgAFAAcgBvAGQAdQBjAHQASQBuAGcAcgBlAGQAaQBlAG4AdABQAGUAcgBjAGUAbgB0ADEALABcAG4AIAAgAFsAUAByAG8AZAB1AGMAdABJAG4AZwByAGUAZABpAGUAbgB0ADIAXQAsAFwAbgAgACAAWwBQAHIAbwBkAHUAYwB0AEkAbgBnAHIAZQBkAGkAZQBuAHQAVQBuAGkAdAAyAF0ALABcAG4AIAAgAFsAUAByAG8AZAB1AGMAdABJAG4AZwByAGUAZABpAGUAbgB0AFAAZQByAGMAZQBuAHQAMgBdACwAXABuACAAIABbAFAAcgBvAGQAdQBjAHQASQBuAGcAcgBlAGQAaQBlAG4AdAAzAF0ALABcAG4AIAAgAFsAUAByAG8AZAB1AGMAdABJAG4AZwByAGUAZABpAGUAbgB0AFUAbgBpAHQAMwBdACwAXABuACAAIABbAFAAcgBvAGQAdQBjAHQASQBuAGcAcgBlAGQAaQBlAG4AdABQAGUAcgBjAGUAbgB0ADMAXQAsAFwAbgAgACAATABFAFQAKABcAG4AIAAgACAAIABjAGEAbABjAHUAbABhAHQAZQBkAEEAbQBvAHUAbgB0ADE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xACwAXABuACAAIAAgACAAIAAgACAAIABBAG0AbwB1AG4AdABBAHAAcABsAGkAZQBkACAAKgAoAFwAbgAgACAAIAAgACAAIAAgACAAIAAgAFAAcgBvAGQAdQBjAHQASQBuAGcAcgBlAGQAaQBlAG4AdABQAGUAcgBjAGUAbgB0ADEAIAAqACAAMQAwACAAXgAgAC0AIAAzAFwAbgAgACAAIAAgACAAIAAgACAAKQBcAG4AIAAgACAAIAAgACAAKQBcAG4AIAAgACAAIAApACwAXABuACAAIAAgACAAYwBhAGwAYwB1AGwAYQB0AGUAZABBAG0AbwB1AG4AdAAy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gAsAFwAbgAgACAAIAAgACAAIAAgACAAQQBtAG8AdQBuAHQAQQBwAHAAbABpAGUAZAAgACoAKABcAG4AIAAgACAAIAAgACAAIAAgACAAIABQAHIAbwBkAHUAYwB0AEkAbgBnAHIAZQBkAGkAZQBuAHQAUABlAHIAYwBlAG4AdAAyACAAKgAgADEAMAAgAF4AIAAtACAAMwBcAG4AIAAgACAAIAAgACAAIAAgACkAXABuACAAIAAgACAAIAAgACkAXABuACAAIAAgACAAKQAsAFwAbgAgACAAIAAgAGMAYQBsAGMAdQBsAGEAdABlAGQAQQBtAG8AdQBuAHQAMw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MALABcAG4AIAAgACAAIAAgACAAIAAgAEEAbQBvAHUAbgB0AEEAcABwAGwAaQBlAGQAIAAqACgAXABuACAAIAAgACAAIAAgACAAIAAgACAAUAByAG8AZAB1AGMAdABJAG4AZwByAGUAZABpAGUAbgB0AFAAZQByAGMAZQBuAHQAMwAgACoAIAAxADAAIABeACAALQAgADMAXABuACAAIAAgACAAIAAgACAAIAApAFwAbgAgACAAIAAgACAAIAApAFwAbgAgACAAIAAgACkALABcAG4AIAAgACAAIABGAGUAcgB0AGkAbABpAHMAZQByAF8ASQBuAHAAdQB0AEYAdQBuAGMAdABpAG8AbgBzAC4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FwAbgAgACAAKQBcAG4AKQAiAH0ALAB7ACIAcABhAHQAaAAiADoAIgAvAHAAcgBvAGoAZQBjAHQAcwAvAEYAZQByAHQAaQBsAGkAcwBlAHIAXwBFAHEAdQBhAHQAaQBvAG4AcwBfAEkAbgBv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QAgAEkAbgBv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QBfADEAXwAxAF8AXwAxAF8ASQBuAG8AcgBnAGEAbgBpAGMARgBlAHIAdABpAGwAaQBzAGUAcgBBAHAAcABsAGkAYwBhAHQAaQBvAG4ATgAyAE8ARQBtAGkAcwBzAGkAbwBuAHMAXABu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bgBFAF8ATgAyAE8AXABuAHQAIABOADIATwBcAG4AXABcAHMAdQBtAF8AewBqAH0AXABcAHMAdQBtAF8AewBmAH0AKAAoAE0ATgBfAHsAagBmAH0AXABcAHQAaQBtAGUAcwAgAEUARgBfAHsAagAsAE4AMgBPAH0AXABcAHQAaQBtAGUAcwAgAEMAXwB7AE4AMgBPAH0AKQBcAFwAdABpAG0AZQBzACAAMQAwAF4AewAtADMAfQApAFwAbgBNAE4AXwBqAGYAXABuAEUARgBfAGoATgAyAE8AXABuAEMAXwBOADIATwBcAG4AagBcAG4AZgBcAG4ALQAtAC0ALQAtAC0ALQAtAC0ALQAtAC0ALQAtAC0ALQAtAC0ALQAtAC0ALQAtAC0ALQAtAC0ALQAtAC0ALQAtAC0ALQAtAC0ALQAtAFwAbgAqAC8AXABuAFwAbgBWAEUARQBSAEcAXwA1AF8AMQBfADEAXwAxAF8AXwAxAF8ASQBuAG8AcgBnAGEAbgBpAGMARgBlAHIAdABpAGwAaQBzAGUAcgBBAHAAcABsAGkAYwBhAHQAaQBvAG4ATgAyAE8ARQBtAGkAcwBzAGkAbwBuAHMAXABuACAAIAA9AEwAQQBNAEIARABBACgAXABuACAAIAAgACAATQBOAF8AagBmACwAIABFAEYAXwBqAE4AMgBPACwAIABDAF8ATgAyAE8ALABcAG4AIAAgACAAIAAoAE0ATgBfAGoAZgAgACoAIABFAEYAXwBqAE4AMgBPACAAKgAgAEMAXwBOADIATwApACAAKgAgADEAMAAgAF4AIAAtADMAXABuACAAIAApADsAXABuAFwAbgBWAEUARQBSAEcAXwA1AF8AMQBfADEAXwAxAF8AXwAxAF8ASQBuAG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IgApADsAXABuAFwAbgBWAEUARQBSAEcAXwA1AF8AMQBfADEAXwAxAF8AXwAxAF8ASQBuAG8AcgBnAGEAbgBpAGMARgBlAHIAdABpAGwAaQBzAGUAcgBBAHAAcABsAGkAYwBhAHQAaQBvAG4ATgAyAE8ARQBtAGkAcwBzAGkAbwBuAHMAXwBWAGEAcgBpAGEAYgBsAGUAXABuACAAIAA9AEwAQQBNAEIARABBACgAXAAiAEUAXwBOADIATwBcACIAKQA7AFwAbgBcAG4AVgBFAEUAUgBHAF8ANQBfADEAXwAxAF8AMQBfAF8AMQBfAEkAbgBvAHIAZwBhAG4AaQBjAEYAZQByAHQAaQBsAGkAcwBlAHIAQQBwAHAAbABpAGMAYQB0AGkAbwBuAE4AMgBPAEUAbQBpAHMAcwBpAG8AbgBzAF8AVQBuAGkAdABcAG4AIAAgAD0ATABBAE0AQgBEAEEAKABcACIAdAAgAE4AMgBPAFwAIgApADsAXABuAFwAbgBWAEUARQBSAEcAXwA1AF8AMQBfADEAXwAxAF8AXwAxAF8ASQBuAG8AcgBnAGEAbgBpAGMARgBlAHIAdABpAGwAaQBzAGUAcgBBAHAAcABsAGkAYwBhAHQAaQBvAG4ATgAyAE8ARQBtAGkAcwBzAGkAbwBuAHMAXwBTAG8AdQByAGMAZQBcAG4AIAAgAD0ATABBAE0AQgBEAEEAKABcACIAVgBFAEUAUgBHACAAMgAwADIANgA6ACAANQAuADEALgAxAC4AMQAsACAARQBxAHUAYQB0AGkAbwBuACAAKAAxACkAXAAiACkAOwBcAG4AXABuAFYARQBFAFIARwBfADUAXwAxAF8AMQBfADEAXwBfADEAXwBJAG4AbwByAGcAYQBuAGkAYwBGAGUAcgB0AGkAbABpAHMAZQByAEEAcABwAGwAaQBjAGEAdABpAG8AbgBOADIATwBFAG0AaQBzAHMAaQBvAG4AcwBfAE4ASQBSAFIAZQBmAGUAcgBlAG4AYwBlAFwAbgAgACAAPQBMAEEATQBCAEQAQQAoAFwAIgBcACIAKQA7AFwAbgBcAG4AVgBFAEUAUgBHAF8ANQBfADEAXwAxAF8AMQBfAF8AMQBfAEkAbgBvAHIAZwBhAG4AaQBjAEYAZQByAHQAaQBsAGkAcwBlAHIAQQBwAHAAbABpAGMAYQB0AGkAbwBuAE4AMgBPAEUAbQBpAHMAcwBpAG8AbgBzAF8ATABhAHQAZQB4AEUAcQB1AGEAdABpAG8AbgBcAG4AIAAgAD0ATABBAE0AQgBEAEEAKABcACIARQBfAHsATgAyAE8AfQA9AFwAXABzAHUAbQBfAHsAagB9AFwAXABzAHUAbQBfAHsAZgB9ACgAKABNAE4AXwB7AGoAZgB9AFwAXAB0AGkAbQBlAHMAIABFAEYAXwB7AGoALABOADIATwB9AFwAXAB0AGkAbQBlAHMAIABDAF8AewBOADIATwB9ACkAXABcAHQAaQBtAGUAcwAgADEAMABeAHsALQAzAH0AKQBcACIAKQA7AFwAbgBcAG4AVgBFAEUAUgBHAF8ANQBfADEAXwAxAF8AMQBfAF8AMQBfAEkAbgBvAHIAZwBhAG4AaQBjAEYAZQByAHQAaQBsAGkAcwBlAHIAQQBwAHAAbABpAGMAYQB0AGkAbwBuAE4AMgBPAEUAbQBpAHMAcwBpAG8AbgBzAF8AQQByAGcAdQBtAGUAbgB0AHMAXABuACAAIAA9AEwAQQBNAEIARABBACgAXABuACAAIAAgACAATQBBAEsARQBBAFIAUgBBAFkAKAA3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0AHkAcABlACAAZgAgAGEAcABwAGwAaQBlAGQAIAB0AG8AIABwAHIAbwBkAHUAYwB0AGkAbwBuACAAcwB5AHMAdABlAG0AIABqAFwAIgAsACAAXAAiAGsAZwAgAE4AXAAiACwAIABcACIAQwBhAGwAYwB1AGwAYQB0AGUAZAAgAGYAcgBvAG0AIAA1AC4AMQAuADEALgAxACAAKAAyACkAXAAiADsAXABuACAAIAAgACAAIAAgACAAIAAgACAAXAAiAEUARgBfAGoATgAyAE8AXAAiACwAXAAiAGUAbQBpAHMAcwBpAG8AbgAgAGYAYQBjAHQAbwByACAAZgBvAHIAIABuAGkAdAByAG8AdQBzACAAbwB4AGkAZABlACAAZgBvAHIAIABpAG4AbwByAGcAYQBuAGkAYwAgAGYAZQByAHQAaQBsAGkAcwBlAHIAcwBcACIALAAgAFwAIgBrAGcAIABOADIATwAtAE4ALwBrAGcAIABOACAAYQBwAHAAbABpAGUAZ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FYARQBFAFIARwBfADUAXwAxAF8AMQBfADEAXwBfADEAXwBJAG4AbwByAGcAYQBuAGkAYwBGAGUAcgB0AGkAbABpAHMAZQByAEEAcABwAGwAaQBjAGEAdABpAG8AbgBOADIATwBFAG0AaQBzAHMAaQBvAG4AcwBfAEEAcgBnAHUAbQBlAG4AdABzAF8ATQBlAHQAaABvAGQAMgBcAG4AIAAgAD0ATABBAE0AQgBEAEEAKABcAG4AIAAgACAAIABNAEEASwBFAEEAUgBSAEEAWQAoADg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YQBsAGMAdQBsAGEAdABlAGQAIABmAHIAbwBtACAANQAuADEALgAxAC4AMgAgACgAMQApACgAMgApACgAMwAp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jAFwAIgAsAFwAIgBDAHIAbwBwACAAdAB5AHAAZ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xAF8AMQBfADEAXwBfADIAXwBNAGEAcwBzAE8AZgBOAGkAdAByAG8AZwBlAG4ASQBuAEkAbgBvAHIAZwBhAG4AaQBjAEYAZQByAHQAaQBsAGkAcwBlAHIAXABuAE0AYQBzAHMAIABvAGYAIABuAGkAdAByAG8AZwBlAG4AIABpAG4AIABpAG4AbwByAGcAYQBuAGkAYwAgAGYAZQByAHQAaQBsAGkAcwBlAHIAIABhAHAAcABsAGkAZQBkACAAdABvACAAcAByAG8AZAB1AGMAdABpAG8AbgAgAHMAeQBzAHQAZQBtAFwAbgBNAE4AXwBqAGYAXABuAGsAZwAgAE4AXABuAHsATQBOAH0AXwB7AGoAZgB9AD0AVABNAF8AewBqAGYAfQBcAFwAdABpAG0AZQBzACAARgBOAF8AewBpAG4AbwByAGcAYQBuAGkAYwAsAGYAfQBcAG4AVABNAF8AagBmAFwAbgBGAE4AXwBpAG4AbwByAGcAYQBuAGkAYwBmAFwAbgBqAFwAbgBpAG4AbwByAGcAYQBuAGkAYwBcAG4AZgBcAG4ALQAtAC0ALQAtAC0ALQAtAC0ALQAtAC0ALQAtAC0ALQAtAC0ALQAtAC0ALQAtAC0ALQAtAC0ALQAtAC0ALQAtAC0ALQAtAC0ALQAtAFwAbgAqAC8AXABuAFwAbgBWAEUARQBSAEcAXwA1AF8AMQBfADEAXwAxAF8AXwAyAF8ATQBhAHMAcwBPAGYATgBpAHQAcgBvAGcAZQBuAEkAbgBJAG4AbwByAGcAYQBuAGkAYwBGAGUAcgB0AGkAbABpAHMAZQByAFwAbgAgACAAPQBMAEEATQBCAEQAQQAoAFwAbgAgACAAIAAgAFQATQBfAGoAZgAsACAARgBOAF8AaQBuAG8AcgBnAGEAbgBpAGMAZgAsAFwAbgAgACAAIAAgAFQATQBfAGoAZgAgACoAIABGAE4AXwBpAG4AbwByAGcAYQBuAGkAYwBmAFwAbgAgACAAKQA7AFwAbgBcAG4AVgBFAEUAUgBHAF8ANQBfADEAXwAxAF8AMQBfAF8AMgBfAE0AYQBzAHMATwBmAE4AaQB0AHIAbwBnAGUAbgBJAG4ASQBuAG8AcgBnAGEAbgBpAGMARgBlAHIAdABpAGwAaQBzAGUAcgBfAFQAaQB0AGwAZQBcAG4AIAAgAD0ATABBAE0AQgBEAEEAKABcACIATQBhAHMAcwAgAG8AZgAgAG4AaQB0AHIAbwBnAGUAbgAgAGkAbgAgAGkAbgBvAHIAZwBhAG4AaQBjACAAZgBlAHIAdABpAGwAaQBzAGUAcgAgAGEAcABwAGwAaQBlAGQAIAB0AG8AIABwAHIAbwBkAHUAYwB0AGkAbwBuACAAcwB5AHMAdABlAG0AXAAiACkAOwBcAG4AXABuAFYARQBFAFIARwBfADUAXwAxAF8AMQBfADEAXwBfADIAXwBNAGEAcwBzAE8AZgBOAGkAdAByAG8AZwBlAG4ASQBuAEkAbgBvAHIAZwBhAG4AaQBjAEYAZQByAHQAaQBsAGkAcwBlAHIAXwBWAGEAcgBpAGEAYgBsAGUAXABuACAAIAA9AEwAQQBNAEIARABBACgAXAAiAE0ATgBfAGoAZgBcACIAKQA7AFwAbgBcAG4AVgBFAEUAUgBHAF8ANQBfADEAXwAxAF8AMQBfAF8AMgBfAE0AYQBzAHMATwBmAE4AaQB0AHIAbwBnAGUAbgBJAG4ASQBuAG8AcgBnAGEAbgBpAGMARgBlAHIAdABpAGwAaQBzAGUAcgBfAFUAbgBpAHQAXABuACAAIAA9AEwAQQBNAEIARABBACgAXAAiAGsAZwAgAE4AXAAiACkAOwBcAG4AXABuAFYARQBFAFIARwBfADUAXwAxAF8AMQBfADEAXwBfADIAXwBNAGEAcwBzAE8AZgBOAGkAdAByAG8AZwBlAG4ASQBuAEkAbgBvAHIAZwBhAG4AaQBjAEYAZQByAHQAaQBsAGkAcwBlAHIAXwBTAG8AdQByAGMAZQBcAG4AIAAgAD0ATABBAE0AQgBEAEEAKABcACIAVgBFAEUAUgBHACAAMgAwADIANgA6ACAANQAuADEALgAxAC4AMQAsACAARQBxAHUAYQB0AGkAbwBuACAAKAAyACkAXAAiACkAOwBcAG4AXABuAFYARQBFAFIARwBfADUAXwAxAF8AMQBfADEAXwBfADIAXwBNAGEAcwBzAE8AZgBOAGkAdAByAG8AZwBlAG4ASQBuAEkAbgBvAHIAZwBhAG4AaQBjAEYAZQByAHQAaQBsAGkAcwBlAHIAXwBOAEkAUgBSAGUAZgBlAHIAZQBuAGMAZQBcAG4AIAAgAD0ATABBAE0AQgBEAEEAKABcACIAXAAiACkAOwBcAG4AXABuAFYARQBFAFIARwBfADUAXwAxAF8AMQBfADEAXwBfADIAXwBNAGEAcwBzAE8AZgBOAGkAdAByAG8AZwBlAG4ASQBuAEkAbgBvAHIAZwBhAG4AaQBjAEYAZQByAHQAaQBsAGkAcwBlAHIAXwBMAGEAdABlAHgARQBxAHUAYQB0AGkAbwBuAFwAbgAgACAAPQBMAEEATQBCAEQAQQAoAFwAIgB7AE0ATgB9AF8AewBqAGYAfQA9AFQATQBfAHsAagBmAH0AXABcAHQAaQBtAGUAcwAgAEYATgBfAHsAaQBuAG8AcgBnAGEAbgBpAGMALABmAH0AXAAiACkAOwBcAG4AXABuAFYARQBFAFIARwBfADUAXwAxAF8AMQBfADEAXwBfADIAXwBNAGEAcwBzAE8AZgBOAGkAdAByAG8AZwBlAG4ASQBu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FQATQBfAGoAZgBcACIALABcACIAdABvAHQAYQBsACAAbQBhAHMAcwAgAG8AZgAgAGkAbgBvAHIAZwBhAG4AaQBjACAAZgBlAHIAdABpAGwAaQBzAGUAcgAgAHQAeQBwAGUAIABmACAAYQBwAHAAbABpAGUAZAAgAHQAbwAgAHAAcgBvAGQAdQBjAHQAaQBvAG4AIABzAHkAcwB0AGUAbQAgAGoAXAAiACwAIABcACIAawBnAFwAIgAsACAAXAAiAEkAbgBwAHUAdABcACIAOwBcAG4AIAAgACAAIAAgACAAIAAgACAAIABcACIARgBOAF8AaQBuAG8AcgBnAGEAbgBpAGMAZgBcACIALABcACIAZgByAGEAYwB0AGkAbwBuACAAbwBmACAAbgBpAHQAcgBvAGcAZQBuACAAaQBuACAAaQBuAG8AcgBnAGEAbgBpAGMAIABmAGUAcgB0AGkAbABpAHMAZQByACAAdAB5AHAAZQAgAGYAIABcACIALAAgAFwAIgBrAGcAIABOAC8AawBn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MQBfADEAXwAyAF8AXwAxAF8ARQBtAGkAcwBzAGkAbwBuAEYAYQBjAHQAbwByAEkAcgByAGkAZwBhAHQAZQBkAE0AYQBpAHoAZQBcAG4ARQBtAGkAcwBzAGkAbwBuACAAZgBhAGMAdABvAHIAIABmAG8AcgAgAG4AaQB0AHIAbwB1AHMAIABvAHgAaQBkAGUAIABmAG8AcgAgAGkAcgByAGkAZwBhAHQAZQBkACAAbQBhAGkAegBlAFwAbgBFAEYAXwBmAGoASQByAHIAaQBnAGEAdABlAGQATQBhAGkAegBlAE4AMgBPAFwAbgBrAGcAIABOADIATwAtAE4ALwBrAGcAIABOACAAYQBwAHAAbABpAGUAZABcAG4ARQBGAF8AewBmAGoAPQBpAHIAcgBpAGcAYQB0AGUAZABtAGEAaQB6AGUALABOADIATwB9AD0AKAAtADAALgAxADQANwA0ACsAKAAwAC4AMAAwADYAMQBcAFwAdABpAG0AZQBzACAATgBfAHsAZgBqAD0AaQByAHIAaQBnAGEAdABlAGQAbQBhAGkAegBlAH0AKQApAFwAXAB0AGkAbQBlAHMAIAAxADAAXgB7AC0AMgB9AFwAbgBOAF8AZgBqAEkAcgByAGkAZwBhAHQAZQBkAE0AYQBpAHoAZQBcAG4AZgBcAG4ALQAtAC0ALQAtAC0ALQAtAC0ALQAtAC0ALQAtAC0ALQAtAC0ALQAtAC0ALQAtAC0ALQAtAC0ALQAtAC0ALQAtAC0ALQAtAC0ALQAtAFwAbgAqAC8AXABuAFwAbgBWAEUARQBSAEcAXwA1AF8AMQBfADEAXwAyAF8AXwAxAF8ARQBtAGkAcwBzAGkAbwBuAEYAYQBjAHQAbwByAEkAcgByAGkAZwBhAHQAZQBkAE0AYQBpAHoAZQBcAG4AIAAgAD0ATABBAE0AQgBEAEEAKABcAG4AIAAgACAAIABOAF8AZgBqAEkAcgByAGkAZwBhAHQAZQBkAE0AYQBpAHoAZQAsAFwAbgAgACAAIAAgACgALQAwAC4AMQA0ADcANAAgACsAIAAoADAALgAwADAANgAxACAAKgAgAE4AXwBmAGoASQByAHIAaQBnAGEAdABlAGQATQBhAGkAegBlACkAKQAgACoAIAAxADAAIABeACAALQAyAFwAbgAgACAAKQA7AFwAbgBcAG4AVgBFAEUAUgBHAF8ANQBfADEAXwAxAF8AMgBfAF8AMQBfAEUAbQBpAHMAcwBpAG8AbgBGAGEAYwB0AG8AcgBJAHIAcgBpAGcAYQB0AGUAZABNAGEAaQB6AGUAXwBUAGkAdABsAGUAXABuACAAIAA9AEwAQQBNAEIARABBACgAXAAiAEUAbQBpAHMAcwBpAG8AbgAgAGYAYQBjAHQAbwByACAAZgBvAHIAIABuAGkAdAByAG8AdQBzACAAbwB4AGkAZABlACAAZgBvAHIAIABpAHIAcgBpAGcAYQB0AGUAZAAgAG0AYQBpAHoAZQBcACIAKQA7AFwAbgBcAG4AVgBFAEUAUgBHAF8ANQBfADEAXwAxAF8AMgBfAF8AMQBfAEUAbQBpAHMAcwBpAG8AbgBGAGEAYwB0AG8AcgBJAHIAcgBpAGcAYQB0AGUAZABNAGEAaQB6AGUAXwBWAGEAcgBpAGEAYgBsAGUAXABuACAAIAA9AEwAQQBNAEIARABBACgAXAAiAEUARgBfAGYAagBJAHIAcgBpAGcAYQB0AGUAZABNAGEAaQB6AGUATgAyAE8AXAAiACkAOwBcAG4AXABuAFYARQBFAFIARwBfADUAXwAxAF8AMQBfADIAXwBfADEAXwBFAG0AaQBzAHMAaQBvAG4ARgBhAGMAdABvAHIASQByAHIAaQBnAGEAdABlAGQATQBhAGkAegBlAF8AVQBuAGkAdABcAG4AIAAgAD0ATABBAE0AQgBEAEEAKABcACIAawBnACAATgAyAE8ALQBOAC8AawBnACAATgAgAGEAcABwAGwAaQBlAGQAXAAiACkAOwBcAG4AXABuAFYARQBFAFIARwBfADUAXwAxAF8AMQBfADIAXwBfADEAXwBFAG0AaQBzAHMAaQBvAG4ARgBhAGMAdABvAHIASQByAHIAaQBnAGEAdABlAGQATQBhAGkAegBlAF8AUwBvAHUAcgBjAGUAXABuACAAIAA9AEwAQQBNAEIARABBACgAXAAiAFYARQBFAFIARwAgADIAMAAyADYAOgAgADUALgAxAC4AMQAuADIALAAgAEUAcQB1AGEAdABpAG8AbgAgACgAMQApAFwAIgApADsAXABuAFwAbgBWAEUARQBSAEcAXwA1AF8AMQBfADEAXwAyAF8AXwAxAF8ARQBtAGkAcwBzAGkAbwBuAEYAYQBjAHQAbwByAEkAcgByAGkAZwBhAHQAZQBkAE0AYQBpAHoAZQBfAE4ASQBSAFIAZQBmAGUAcgBlAG4AYwBlAFwAbgAgACAAPQBMAEEATQBCAEQAQQAoAFwAIgBcACIAKQA7AFwAbgBcAG4AVgBFAEUAUgBHAF8ANQBfADEAXwAxAF8AMgBfAF8AMQBfAEUAbQBpAHMAcwBpAG8AbgBGAGEAYwB0AG8AcgBJAHIAcgBpAGcAYQB0AGUAZABNAGEAaQB6AGUAXwBMAGEAdABlAHgARQBxAHUAYQB0AGkAbwBuAFwAbgAgACAAPQBMAEEATQBCAEQAQQAoAFwAIgBFAEYAXwB7AGYAagA9AGkAcgByAGkAZwBhAHQAZQBkAG0AYQBpAHoAZQAsAE4AMgBPAH0APQAoAC0AMAAuADEANAA3ADQAKwAoADAALgAwADAANgAxAFwAXAB0AGkAbQBlAHMAIABOAF8AewBmAGoAPQBpAHIAcgBpAGcAYQB0AGUAZABtAGEAaQB6AGUAfQApACkAXABcAHQAaQBtAGUAcwAgADEAMABeAHsALQAyAH0AXAAiACkAOwBcAG4AXABuAFYARQBFAFIARwBfADUAXwAxAF8AMQBfADIAXwBfADEAXwBFAG0AaQBzAHMAaQBvAG4ARgBhAGMAdABvAHIASQByAHIAaQBnAGEAdABlAGQATQBhAGkAegBlAF8AQQByAGcAdQBtAGUAbgB0AHMAXABuACAAIAA9AEwAQQBNAEIARABBACgAXABuACAAIAAgACAATQBBAEsARQBBAFIAUgBBAFkAKAAyACwAIAA0ACwAIABcAG4AIAAgACAAIAAgACAATABBAE0AQgBEAEEAKAByACwAYwAsACAAXABuACAAIAAgACAAIAAgACAAIABJAE4ARABFAFgAKAB7AFwAbgAgACAAIAAgACAAIAAgACAAIAAgAFwAIgBOAF8AZgBqAEkAcgByAGkAZwBhAHQAZQBkAE0AYQBpAHoAZQBcACIALABcACIAYQBwAHAAbABpAGMAYQB0AGkAbwBuACAAcgBhAHQAZQAgAG8AZgAgAGkAbgBvAHIAZwBhAG4AaQBjACAAZgBlAHIAdABpAGwAaQBzAGUAcgAgAHQAeQBwAGUAIABmACAAaQBuACAAdABoAGUAIABpAHIAcgBpAGcAYQB0AGUAZAAgAG0AYQBpAHoAZQ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gBfAEUAbQBpAHMAcwBpAG8AbgBGAGEAYwB0AG8AcgBOAG8AbgBJAHIAcgBpAGcAYQB0AGUAZABHAHIAYQBpAG4AcwBIAGkAZwBoAFIAYQBpAG4AZgBhAGwAbABcAG4ARQBtAGkAcwBzAGkAbwBuACAAZgBhAGMAdABvAHIAIABmAG8AcgAgAG4AaQB0AHIAbwB1AHMAIABvAHgAaQBkAGUAIABmAG8AcgAgAG4AbwBuAC0AaQByAHIAaQBnAGEAdABlAGQAIABnAHIAYQBpAG4AcwAgAGkAbgAgAGgAaQBnAGgAIAByAGEAaQBuAGYAYQBsAGwAIAB6AG8AbgBlAFwAbgBFAEYAXwBmAGoATgBvAG4ASQByAHIAaQBnAGEAdABlAGQARwByAGEAaQBuAHMATgAyAE8AXABuAGsAZwAgAE4AMgBPAC0ATgAvAGsAZwAgAE4AIABhAHAAcABsAGkAZQBkAFwAbgBFAEYAXwB7AGYAagA9AG4AbwBuAGkAcgByAGkAZwBhAHQAZQBkAGcAcgBhAGkAbgBzACwATgAyAE8AfQA9ACgAMAAuADAANwA4ADEAKwAoADAALgAwADAANwA1AFwAXAB0AGkAbQBlAHMAIABOAF8AewBmAGoAPQBuAG8AbgBpAHIAcgBpAGcAYQB0AGUAZABnAHIAYQBpAG4AcwB9ACkAKQBcAFwAdABpAG0AZQBzACAAMQAwAF4AewAtADIAfQBcAG4ATgBfAGYAagBOAG8AbgBJAHIAcgBpAGcAYQB0AGUAZABHAHIAYQBpAG4AcwBcAG4AZgBcAG4ALQAtAC0ALQAtAC0ALQAtAC0ALQAtAC0ALQAtAC0ALQAtAC0ALQAtAC0ALQAtAC0ALQAtAC0ALQAtAC0ALQAtAC0ALQAtAC0ALQAtAFwAbgAqAC8AXABuAFwAbgBWAEUARQBSAEcAXwA1AF8AMQBfADEAXwAyAF8AXwAyAF8ARQBtAGkAcwBzAGkAbwBuAEYAYQBjAHQAbwByAE4AbwBuAEkAcgByAGkAZwBhAHQAZQBkAEcAcgBhAGkAbgBzAEgAaQBnAGgAUgBhAGkAbgBmAGEAbABsAFwAbgAgACAAPQBMAEEATQBCAEQAQQAoAFwAbgAgACAAIAAgAE4AXwBmAGoATgBvAG4ASQByAHIAaQBnAGEAdABlAGQARwByAGEAaQBuAHMALABcAG4AIAAgACAAIAAoADAALgAwADcAOAAxACAAKwAgACgAMAAuADAAMAA3ADUAIAAqACAATgBfAGYAagBOAG8AbgBJAHIAcgBpAGcAYQB0AGUAZABHAHIAYQBpAG4AcwApACkAIAAqACAAMQAwACAAXgAgAC0AMgBcAG4AIAAgACkAOwBcAG4AXABuAFYARQBFAFIARwBfADUAXwAxAF8AMQBfADIAXwBfADIAXwBFAG0AaQBzAHMAaQBvAG4ARgBhAGMAdABvAHIATgBvAG4ASQByAHIAaQBnAGEAdABlAGQARwByAGEAaQBuAHMASABpAGcAaABSAGEAaQBuAGYAYQBsAGwAXwBUAGkAdABsAGUAXABuACAAIAA9AEwAQQBNAEIARABBACgAXAAiAEUAbQBpAHMAcwBpAG8AbgAgAGYAYQBjAHQAbwByACAAZgBvAHIAIABuAGkAdAByAG8AdQBzACAAbwB4AGkAZABlACAAZgBvAHIAIABuAG8AbgAtAGkAcgByAGkAZwBhAHQAZQBkACAAZwByAGEAaQBuAHMAIABpAG4AIABoAGkAZwBoACAAcgBhAGkAbgBmAGEAbABsACAAegBvAG4AZQBcACIAKQA7AFwAbgBcAG4AVgBFAEUAUgBHAF8ANQBfADEAXwAxAF8AMgBfAF8AMgBfAEUAbQBpAHMAcwBpAG8AbgBGAGEAYwB0AG8AcgBOAG8AbgBJAHIAcgBpAGcAYQB0AGUAZABHAHIAYQBpAG4AcwBIAGkAZwBoAFIAYQBpAG4AZgBhAGwAbABfAFYAYQByAGkAYQBiAGwAZQBcAG4AIAAgAD0ATABBAE0AQgBEAEEAKABcACIARQBGAF8AZgBqAE4AbwBuAEkAcgByAGkAZwBhAHQAZQBkAEcAcgBhAGkAbgBzAE4AMgBPAFwAIgApADsAXABuAFwAbgBWAEUARQBSAEcAXwA1AF8AMQBfADEAXwAyAF8AXwAyAF8ARQBtAGkAcwBzAGkAbwBuAEYAYQBjAHQAbwByAE4AbwBuAEkAcgByAGkAZwBhAHQAZQBkAEcAcgBhAGkAbgBzAEgAaQBnAGgAUgBhAGkAbgBmAGEAbABsAF8AVQBuAGkAdABcAG4AIAAgAD0ATABBAE0AQgBEAEEAKABcACIAawBnACAATgAyAE8ALQBOAC8AawBnACAATgAgAGEAcABwAGwAaQBlAGQAXAAiACkAOwBcAG4AXABuAFYARQBFAFIARwBfADUAXwAxAF8AMQBfADIAXwBfADIAXwBFAG0AaQBzAHMAaQBvAG4ARgBhAGMAdABvAHIATgBvAG4ASQByAHIAaQBnAGEAdABlAGQARwByAGEAaQBuAHMASABpAGcAaABSAGEAaQBuAGYAYQBsAGwAXwBTAG8AdQByAGMAZQBcAG4AIAAgAD0ATABBAE0AQgBEAEEAKABcACIAVgBFAEUAUgBHACAAMgAwADIANgA6ACAANQAuADEALgAxAC4AMgAsACAARQBxAHUAYQB0AGkAbwBuACAAKAAyACkAXAAiACkAOwBcAG4AXABuAFYARQBFAFIARwBfADUAXwAxAF8AMQBfADIAXwBfADIAXwBFAG0AaQBzAHMAaQBvAG4ARgBhAGMAdABvAHIATgBvAG4ASQByAHIAaQBnAGEAdABlAGQARwByAGEAaQBuAHMASABpAGcAaABSAGEAaQBuAGYAYQBsAGwAXwBOAEkAUgBSAGUAZgBlAHIAZQBuAGMAZQBcAG4AIAAgAD0ATABBAE0AQgBEAEEAKABcACIAXAAiACkAOwBcAG4AXABuAFYARQBFAFIARwBfADUAXwAxAF8AMQBfADIAXwBfADIAXwBFAG0AaQBzAHMAaQBvAG4ARgBhAGMAdABvAHIATgBvAG4ASQByAHIAaQBnAGEAdABlAGQARwByAGEAaQBuAHMASABpAGcAaABSAGEAaQBuAGYAYQBsAGwAXwBMAGEAdABlAHgARQBxAHUAYQB0AGkAbwBuAFwAbgAgACAAPQBMAEEATQBCAEQAQQAoAFwAIgBFAEYAXwB7AGYAagA9AG4AbwBuAGkAcgByAGkAZwBhAHQAZQBkAGcAcgBhAGkAbgBzACwATgAyAE8AfQA9ACgAMAAuADAANwA4ADEAKwAoADAALgAwADAANwA1AFwAXAB0AGkAbQBlAHMAIABOAF8AewBmAGoAPQBuAG8AbgBpAHIAcgBpAGcAYQB0AGUAZABnAHIAYQBpAG4AcwB9ACkAKQBcAFwAdABpAG0AZQBzACAAMQAwAF4AewAtADIAfQBcACIAKQA7AFwAbgBcAG4AVgBFAEUAUgBHAF8ANQBfADEAXwAxAF8AMgBfAF8AMgBfAEUAbQBpAHMAcwBpAG8AbgBGAGEAYwB0AG8AcgBOAG8AbgBJAHIAcgBpAGcAYQB0AGUAZABHAHIAYQBpAG4AcwBIAGkAZwBoAFIAYQBpAG4AZgBhAGwAbABfAEEAcgBnAHUAbQBlAG4AdABzAFwAbgAgACAAPQBMAEEATQBCAEQAQQAoAFwAbgAgACAAIAAgAE0AQQBLAEUAQQBSAFIAQQBZACgAMgAsACAANAAsACAAXABuACAAIAAgACAAIAAgAEwAQQBNAEIARABBACgAcgAsAGMALAAgAFwAbgAgACAAIAAgACAAIAAgACAASQBOAEQARQBYACgAewBcAG4AIAAgACAAIAAgACAAIAAgACAAIABcACIATgBfAGYAagBOAG8AbgBJAHIAcgBpAGcAYQB0AGUAZABHAHIAYQBpAG4AcwBcACIALABcACIAYQBwAHAAbABpAGMAYQB0AGkAbwBuACAAcgBhAHQAZQAgAG8AZgAgAGkAbgBvAHIAZwBhAG4AaQBjACAAZgBlAHIAdABpAGwAaQBzAGUAcgAgAHQAeQBwAGUAIABmACAAaQBuACAAdABoAGUAIABnAHIAYQBpAG4Acw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wBfAEUAbQBpAHMAcwBpAG8AbgBGAGEAYwB0AG8AcgBDAG8AdAB0AG8AbgBcAG4ARQBtAGkAcwBzAGkAbwBuACAAZgBhAGMAdABvAHIAIABmAG8AcgAgAG4AaQB0AHIAbwB1AHMAIABvAHgAaQBkAGUAIABmAG8AcgAgAGMAbwB0AHQAbwBuAFwAbgBFAEYAXwBmAGoAQwBvAHQAdABvAG4ATgAyAE8AXABuAGsAZwAgAE4AMgBPAC0ATgAvAGsAZwAgAE4AIABhAHAAcABsAGkAZQBkAFwAbgBFAEYAXwB7AGYAagA9AGMAbwB0AHQAbwBuACwATgAyAE8AfQA9AFwAXABtAGkAbgBcAFwAbABlAGYAdAAoACgAMAAuADAAMQBcAFwAdABpAG0AZQBzACgAMAAuADIAOQArADAALgAwADAANwBcAFwAdABpAG0AZQBzACgAKABlAF4AewAoADAALgAwADMANwBcAFwAdABpAG0AZQBzACAATgBfAHsAZgBqAD0AYwBvAHQAdABvAG4AfQApAH0ALQAxACkALwBOAF8AewBmAGoAPQBjAG8AdAB0AG8AbgB9ACkAKQApAFwAXAB0AGkAbQBlAHMAIAAxADAAXgB7AC0AMgB9ACwAMAAuADAAMQA4ADMAXABcAHIAaQBnAGgAdAApAFwAbgBOAF8AZgBqAEMAbwB0AHQAbwBuAFwAbgBmAFwAbgAtAC0ALQAtAC0ALQAtAC0ALQAtAC0ALQAtAC0ALQAtAC0ALQAtAC0ALQAtAC0ALQAtAC0ALQAtAC0ALQAtAC0ALQAtAC0ALQAtAC0AXABuACoALwBcAG4AXABuAFYARQBFAFIARwBfADUAXwAxAF8AMQBfADIAXwBfADMAXwBFAG0AaQBzAHMAaQBvAG4ARgBhAGMAdABvAHIAQwBvAHQAdABvAG4AXABuACAAIAA9AEwAQQBNAEIARABBACgAXABuACAAIAAgACAATgBfAGYAagBDAG8AdAB0AG8AbgAsAFwAbgAgACAAIAAgACgAMAAuADAAMQAgACoAIAAoADAALgAyADkAIAArACAAKAAgACAAKAAwAC4AMAAwADcAIAAqACAAKABFAFgAUAAoADAALgAwADMANwAgACoAIABOAF8AZgBqAEMAbwB0AHQAbwBuACkAIAAtACAAMQApACkAIAAvACAATgBfAGYAagBDAG8AdAB0AG8AbgAgACAAKQAgACkAKQAgACoAIAAxADAAIABeACAALQAyAFwAbgAgACAAKQA7AFwAbgBcAG4AVgBFAEUAUgBHAF8ANQBfADEAXwAxAF8AMgBfAF8AMwBfAEUAbQBpAHMAcwBpAG8AbgBGAGEAYwB0AG8AcgBDAG8AdAB0AG8AbgBfAFQAaQB0AGwAZQBcAG4AIAAgAD0ATABBAE0AQgBEAEEAKABcACIARQBtAGkAcwBzAGkAbwBuACAAZgBhAGMAdABvAHIAIABmAG8AcgAgAG4AaQB0AHIAbwB1AHMAIABvAHgAaQBkAGUAIABmAG8AcgAgAGMAbwB0AHQAbwBuAFwAIgApADsAXABuAFwAbgBWAEUARQBSAEcAXwA1AF8AMQBfADEAXwAyAF8AXwAzAF8ARQBtAGkAcwBzAGkAbwBuAEYAYQBjAHQAbwByAEMAbwB0AHQAbwBuAF8AVgBhAHIAaQBhAGIAbABlAFwAbgAgACAAPQBMAEEATQBCAEQAQQAoAFwAIgBFAEYAXwBmAGoAQwBvAHQAdABvAG4ATgAyAE8AXAAiACkAOwBcAG4AXABuAFYARQBFAFIARwBfADUAXwAxAF8AMQBfADIAXwBfADMAXwBFAG0AaQBzAHMAaQBvAG4ARgBhAGMAdABvAHIAQwBvAHQAdABvAG4AXwBVAG4AaQB0AFwAbgAgACAAPQBMAEEATQBCAEQAQQAoAFwAIgBrAGcAIABOADIATwAtAE4ALwBrAGcAIABOACAAYQBwAHAAbABpAGUAZABcACIAKQA7AFwAbgBcAG4AVgBFAEUAUgBHAF8ANQBfADEAXwAxAF8AMgBfAF8AMwBfAEUAbQBpAHMAcwBpAG8AbgBGAGEAYwB0AG8AcgBDAG8AdAB0AG8AbgBfAFMAbwB1AHIAYwBlAFwAbgAgACAAPQBMAEEATQBCAEQAQQAoAFwAIgBWAEUARQBSAEcAIAAyADAAMgA2ADoAIAA1AC4AMQAuADEALgAyACwAIABFAHEAdQBhAHQAaQBvAG4AIAAoADMAKQBcACIAKQA7AFwAbgBcAG4AVgBFAEUAUgBHAF8ANQBfADEAXwAxAF8AMgBfAF8AMwBfAEUAbQBpAHMAcwBpAG8AbgBGAGEAYwB0AG8AcgBDAG8AdAB0AG8AbgBfAE4ASQBSAFIAZQBmAGUAcgBlAG4AYwBlAFwAbgAgACAAPQBMAEEATQBCAEQAQQAoAFwAIgBcACIAKQA7AFwAbgBcAG4AVgBFAEUAUgBHAF8ANQBfADEAXwAxAF8AMgBfAF8AMwBfAEUAbQBpAHMAcwBpAG8AbgBGAGEAYwB0AG8AcgBDAG8AdAB0AG8AbgBfAEwAYQB0AGUAeABFAHEAdQBhAHQAaQBvAG4AXABuACAAIAA9AEwAQQBNAEIARABBACgAXAAiAEUARgBfAHsAZgBqAD0AYwBvAHQAdABvAG4ALABOADIATwB9AD0AKAAwAC4AMAAxACAAXABcAHQAaQBtAGUAcwAgACgAMAAuADIAOQAgACsAIABcAFwAZgByAGEAYwB7ADAALgAwADAANwAoAGUAXgB7ADAALgAwADMANwAgAFwAXAB0AGkAbQBlAHMAIABOAF8AewBmAGoAPQBjAG8AdAB0AG8AbgB9AH0ALQAxACkAfQB7AE4AXwB7AGYAagA9AGMAbwB0AHQAbwBuAH0AfQApACkAIABcAFwAdABpAG0AZQBzACAAMQAwAF4AewAtADIAfQBcAG4AXAAiACkAOwBcAG4AXABuAFYARQBFAFIARwBfADUAXwAxAF8AMQBfADIAXwBfADMAXwBFAG0AaQBzAHMAaQBvAG4ARgBhAGMAdABvAHIAQwBvAHQAdABvAG4AXwBBAHIAZwB1AG0AZQBuAHQAcwBcAG4AIAAgAD0ATABBAE0AQgBEAEEAKABcAG4AIAAgACAAIABNAEEASwBFAEEAUgBSAEEAWQAoADIALAAgADQALAAgAFwAbgAgACAAIAAgACAAIABMAEEATQBCAEQAQQAoAHIALABjACwAIABcAG4AIAAgACAAIAAgACAAIAAgAEkATgBEAEUAWAAoAHsAXABuACAAIAAgACAAIAAgACAAIAAgACAAXAAiAE4AXwBmAGoAQwBvAHQAdABvAG4AXAAiACwAXAAiAGEAcABwAGwAaQBjAGEAdABpAG8AbgAgAHIAYQB0AGUAIABvAGYAIABpAG4AbwByAGcAYQBuAGkAYwAgAGYAZQByAHQAaQBsAGkAcwBlAHIAIAB0AHkAcABlACAAZgAgAGkAbgAgAHQAaABlACAAYwBvAHQAdABvAG4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IAfQAsAHsAIgBwAGEAdABoACIAOgAiAC8AcAByAG8AagBlAGMAdABzAC8ARgBlAHIAdABpAGwAaQBzAGUAcgBfAEUAcQB1AGEAdABpAG8AbgBzAF8ASQBuAG8AcgBnAGEAbgBpAGMAQwBPADI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MAXwBfADEAXwBJAG4AbwByAGcAYQBuAGkAYwBGAGUAcgB0AGkAbABpAHMAZQByAEEAcABwAGwAaQBjAGEAdABpAG8AbgBDAE8AMgBFAG0AaQBzAHMAaQBvAG4AcwBcAG4AQwBhAHIAYgBvAG4AIABkAGkAbwB4AGkAZABlACAAZQBtAGkAcwBzAGkAbwBuAHMAIAByAGUAcwB1AGwAdABpAG4AZwAgAGYAcgBvAG0AIAB0AGgAZQAgAHUAcwBlACAAbwBmACAAYQBsAGwAIABpAG4AbwByAGcAYQBuAGkAYwAsACAAdQByAGUAYQAtAGIAYQBzAGUAZAAgAGYAZQByAHQAaQBsAGkAcwBlAHIAcwBcAG4ARQBfAEMATwAyAFwAbgB0ACAAQwBPADIAXABuAEUAXwB7AEMATwAyAH0APQBcAFwAcwB1AG0AXwB7AGoAfQBcAFwAcwB1AG0AXwB7AGYAfQAoACgATQBVAF8AewBqAGYAfQBcAFwAdABpAG0AZQBzACAARQBGAF8AewB1AHIAZQBhACwAQwBPADIAfQBcAFwAdABpAG0AZQBzACAAQwBfAHsAQwBPADIAfQApAFwAXAB0AGkAbQBlAHMAIAAxADAAXgB7AC0AMwB9ACkAXABuAE0AVQBfAGoAZgBcAG4ARQBGAF8AdQByAGUAYQBDAE8AMgBcAG4AQwBfAEMATwAyAFwAbgBqAFwAbgBmAFwAbgAtAC0ALQAtAC0ALQAtAC0ALQAtAC0ALQAtAC0ALQAtAC0ALQAtAC0ALQAtAC0ALQAtAC0ALQAtAC0ALQAtAC0ALQAtAC0ALQAtAC0AXABuACoALwBcAG4AXABuAFYARQBFAFIARwBfADUAXwAxAF8AMQBfADMAXwBfADEAXwBJAG4AbwByAGcAYQBuAGkAYwBGAGUAcgB0AGkAbABpAHMAZQByAEEAcABwAGwAaQBjAGEAdABpAG8AbgBDAE8AMgBFAG0AaQBzAHMAaQBvAG4AcwBcAG4AIAAgAD0ATABBAE0AQgBEAEEAKABcAG4AIAAgACAAIABNAFUAXwBqAGYALAAgAEUARgBfAHUAcgBlAGEAQwBPADIALAAgAEMAXwBDAE8AMgAsAFwAbgAgACAAIAAgACgATQBVAF8AagBmACAAKgAgAEUARgBfAHUAcgBlAGEAQwBPADIAIAAqACAAQwBfAEMATwAyACkAIAAqACAAMQAwACAAXgAgAC0AMwBcAG4AIAAgACkAOwBcAG4AXABuAFYARQBFAFIARwBfADUAXwAxAF8AMQBfADMAXwBfADEAXwBJAG4AbwByAGcAYQBuAGkAYwBGAGUAcgB0AGkAbABpAHMAZQByAEEAcABwAGwAaQBjAGEAdABpAG8AbgBDAE8AMgBFAG0AaQBzAHMAaQBvAG4AcwBfAFQAaQB0AGwAZQBcAG4AIAAgAD0ATABBAE0AQgBEAEEAKABcACIAQwBhAHIAYgBvAG4AIABkAGkAbwB4AGkAZABlACAAZQBtAGkAcwBzAGkAbwBuAHMAIAByAGUAcwB1AGwAdABpAG4AZwAgAGYAcgBvAG0AIAB0AGgAZQAgAHUAcwBlACAAbwBmACAAYQBsAGwAIABpAG4AbwByAGcAYQBuAGkAYwAsACAAdQByAGUAYQAtAGIAYQBzAGUAZAAgAGYAZQByAHQAaQBsAGkAcwBlAHIAcwBcACIAKQA7AFwAbgBcAG4AVgBFAEUAUgBHAF8ANQBfADEAXwAxAF8AMwBfAF8AMQBfAEkAbgBvAHIAZwBhAG4AaQBjAEYAZQByAHQAaQBsAGkAcwBlAHIAQQBwAHAAbABpAGMAYQB0AGkAbwBuAEMATwAyAEUAbQBpAHMAcwBpAG8AbgBzAF8AVgBhAHIAaQBhAGIAbABlAFwAbgAgACAAPQBMAEEATQBCAEQAQQAoAFwAIgBFAF8AQwBPADIAXAAiACkAOwBcAG4AXABuAFYARQBFAFIARwBfADUAXwAxAF8AMQBfADMAXwBfADEAXwBJAG4AbwByAGcAYQBuAGkAYwBGAGUAcgB0AGkAbABpAHMAZQByAEEAcABwAGwAaQBjAGEAdABpAG8AbgBDAE8AMgBFAG0AaQBzAHMAaQBvAG4AcwBfAFUAbgBpAHQAXABuACAAIAA9AEwAQQBNAEIARABBACgAXAAiAHQAIABDAE8AMgBcACIAKQA7AFwAbgBcAG4AVgBFAEUAUgBHAF8ANQBfADEAXwAxAF8AMwBfAF8AMQBfAEkAbgBvAHIAZwBhAG4AaQBjAEYAZQByAHQAaQBsAGkAcwBlAHIAQQBwAHAAbABpAGMAYQB0AGkAbwBuAEMATwAyAEUAbQBpAHMAcwBpAG8AbgBzAF8AUwBvAHUAcgBjAGUAXABuACAAIAA9AEwAQQBNAEIARABBACgAXAAiAFYARQBFAFIARwAgADIAMAAyADYAOgAgADUALgAxAC4AMQAuADMALAAgAEUAcQB1AGEAdABpAG8AbgAgACgAMQApAFwAIgApADsAXABuAFwAbgBWAEUARQBSAEcAXwA1AF8AMQBfADEAXwAzAF8AXwAxAF8ASQBuAG8AcgBnAGEAbgBpAGMARgBlAHIAdABpAGwAaQBzAGUAcgBBAHAAcABsAGkAYwBhAHQAaQBvAG4AQwBPADIARQBtAGkAcwBzAGkAbwBuAHMAXwBOAEkAUgBSAGUAZgBlAHIAZQBuAGMAZQBcAG4AIAAgAD0ATABBAE0AQgBEAEEAKABcACIAXAAiACkAOwBcAG4AXABuAFYARQBFAFIARwBfADUAXwAxAF8AMQBfADMAXwBfADEAXwBJAG4AbwByAGcAYQBuAGkAYwBGAGUAcgB0AGkAbABpAHMAZQByAEEAcABwAGwAaQBjAGEAdABpAG8AbgBDAE8AMgBFAG0AaQBzAHMAaQBvAG4AcwBfAEwAYQB0AGUAeABFAHEAdQBhAHQAaQBvAG4AXABuACAAIAA9AEwAQQBNAEIARABBACgAXAAiAEUAXwB7AEMATwAyAH0APQBcAFwAcwB1AG0AXwB7AGoAfQBcAFwAcwB1AG0AXwB7AGYAfQAoACgATQBVAF8AewBqAGYAfQBcAFwAdABpAG0AZQBzACAARQBGAF8AewB1AHIAZQBhACwAQwBPADIAfQBcAFwAdABpAG0AZQBzACAAQwBfAHsAQwBPADIAfQApAFwAXAB0AGkAbQBlAHMAIAAxADAAXgB7AC0AMwB9ACkAXAAiACkAOwBcAG4AXABuAFYARQBFAFIARwBfADUAXwAxAF8AMQBfADMAXwBfADEAXwBJAG4AbwByAGcAYQBuAGkAYwBGAGUAcgB0AGkAbABpAHMAZQByAEEAcABwAGwAaQBjAGEAdABpAG8AbgBDAE8AMg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VAF8AagBmAFwAIgAsAFwAIgBtAGEAcwBzACAAbwBmACAAdQByAGUAYQAgAG8AZgAgAGkAbgBvAHIAZwBhAG4AaQBjACAAZgBlAHIAdABpAGwAaQBzAGUAcgAgAHQAeQBwAGUAIABmACAAYQBwAHAAbABpAGUAZAAgAHQAbwAgAHAAcgBvAGQAdQBjAHQAaQBvAG4AIABzAHkAcwB0AGUAbQAgAGoAXAAiACwAIABcACIAawBnACAAdQByAGUAYQBcACIALAAgAFwAIgBDAGEAbABjAHUAbABhAHQAZQBkAFwAIgA7AFwAbgAgACAAIAAgACAAIAAgACAAIAAgAFwAIgBFAEYAXwB1AHIAZQBhAEMATwAyAFwAIgAsAFwAIgBlAG0AaQBzAHMAaQBvAG4AIABmAGEAYwB0AG8AcgAgAGYAbwByACAAYwBhAHIAYgBvAG4AIABlAG0AaQBzAHMAaQBvAG4AcwAgAGYAcgBvAG0AIAB1AHIAZQBhAC0AYgBhAHMAZQBkACAAZgBlAHIAdABpAGwAaQBzAGUAcgBzAFwAIgAsACAAXAAiAGsAZwAgAEMALwBrAGcAIAB1AHIAZQBhAFwAIgAsACAAXAAiAEMAbwBuAHMAdABhAG4AdABcACIAOwBcAG4AIAAgACAAIAAgACAAIAAgACAAIABcACIAQwBfAEMATwAyAFwAIgAsAFwAIgBmAGEAYwB0AG8AcgAgAHQAbwAgAGMAbwBuAHYAZQByAHQAIABlAGwAZQBtAGUAbgB0AGEAbAAgAG0AYQBzAHMAIABvAGYAIABjAGEAcgBiAG8AbgAgAHQAbwAgAG0AbwBsAGUAYwB1AGwAYQByACAAbQBhAHMAcwAgAG8AZgAgAGMAYQByAGIAbwBuACAAZABpAG8AeABpAGQAZQ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TABvAG8AawB1AHAAXAAiAFwAbgAgACAAIAAgACAAIAAgACAAfQAsACAAcgAsACAAYwApAFwAbgAgACAAIAAgACAAIAApAFwAbgAgACAAIAAgACkAXABuACAAIAApADsAXABuAFwAbgAvACoAIABcAG4ALQAtAC0ALQAtAC0ALQAtAC0ALQAtAC0ALQAtAC0ALQAtAC0ALQAtAC0ALQAtAC0ALQAtAC0ALQAtAC0ALQAtAC0ALQAtAC0ALQAtAFwAbgBWAEUARQBSAEcAXwA1AF8AMQBfADEAXwAzAF8AXwAyAF8ATQBhAHMAcwBPAGYAVQByAGUAYQBJAG4ASQBuAG8AcgBnAGEAbgBpAGMARgBlAHIAdABpAGwAaQBzAGUAcgBcAG4ATQBhAHMAcwAgAG8AZgAgAHUAcgBlAGEAIABhAHAAcABsAGkAZQBkACAAdABvACAAcAByAG8AZAB1AGMAdABpAG8AbgAgAHMAeQBzAHQAZQBtAFwAbgBNAFUAXwBqAGYAXABuAGsAZwAgAHUAcgBlAGEAXABuAHsATQBVAH0AXwB7AGoAZgB9AD0AVABNAF8AewBqAGYAfQBcAFwAdABpAG0AZQBzACAARgBVAF8AZgBcAG4AVABNAF8AagBmAFwAbgBGAFUAXwBmAFwAbgBqAFwAbgBmAFwAbgAtAC0ALQAtAC0ALQAtAC0ALQAtAC0ALQAtAC0ALQAtAC0ALQAtAC0ALQAtAC0ALQAtAC0ALQAtAC0ALQAtAC0ALQAtAC0ALQAtAC0AXABuACoALwBcAG4AXABuAFYARQBFAFIARwBfADUAXwAxAF8AMQBfADMAXwBfADIAXwBNAGEAcwBzAE8AZgBVAHIAZQBhAEkAbgBJAG4AbwByAGcAYQBuAGkAYwBGAGUAcgB0AGkAbABpAHMAZQByAFwAbgAgACAAPQBMAEEATQBCAEQAQQAoAFwAbgAgACAAIAAgAFQATQBfAGoAZgAsACAARgBVAF8AZgAsAFwAbgAgACAAIAAgAFQATQBfAGoAZgAgACoAIABGAFUAXwBmAFwAbgAgACAAKQA7AFwAbgBcAG4AVgBFAEUAUgBHAF8ANQBfADEAXwAxAF8AMwBfAF8AMgBfAE0AYQBzAHMATwBmAFUAcgBlAGEASQBuAEkAbgBvAHIAZwBhAG4AaQBjAEYAZQByAHQAaQBsAGkAcwBlAHIAXwBUAGkAdABsAGUAXABuACAAIAA9AEwAQQBNAEIARABBACgAXAAiAE0AYQBzAHMAIABvAGYAIAB1AHIAZQBhACAAYQBwAHAAbABpAGUAZAAgAHQAbwAgAHAAcgBvAGQAdQBjAHQAaQBvAG4AIABzAHkAcwB0AGUAbQBcACIAKQA7AFwAbgBcAG4AVgBFAEUAUgBHAF8ANQBfADEAXwAxAF8AMwBfAF8AMgBfAE0AYQBzAHMATwBmAFUAcgBlAGEASQBuAEkAbgBvAHIAZwBhAG4AaQBjAEYAZQByAHQAaQBsAGkAcwBlAHIAXwBWAGEAcgBpAGEAYgBsAGUAXABuACAAIAA9AEwAQQBNAEIARABBACgAXAAiAE0AVQBfAGoAZgBcACIAKQA7AFwAbgBcAG4AVgBFAEUAUgBHAF8ANQBfADEAXwAxAF8AMwBfAF8AMgBfAE0AYQBzAHMATwBmAFUAcgBlAGEASQBuAEkAbgBvAHIAZwBhAG4AaQBjAEYAZQByAHQAaQBsAGkAcwBlAHIAXwBVAG4AaQB0AFwAbgAgACAAPQBMAEEATQBCAEQAQQAoAFwAIgBrAGcAIAB1AHIAZQBhAFwAIgApADsAXABuAFwAbgBWAEUARQBSAEcAXwA1AF8AMQBfADEAXwAzAF8AXwAyAF8ATQBhAHMAcwBPAGYAVQByAGUAYQBJAG4ASQBuAG8AcgBnAGEAbgBpAGMARgBlAHIAdABpAGwAaQBzAGUAcgBfAFMAbwB1AHIAYwBlAFwAbgAgACAAPQBMAEEATQBCAEQAQQAoAFwAIgBWAEUARQBSAEcAIAAyADAAMgA2ADoAIAA1AC4AMQAuADEALgAzACwAIABFAHEAdQBhAHQAaQBvAG4AIAAoADIAKQBcACIAKQA7AFwAbgBcAG4AVgBFAEUAUgBHAF8ANQBfADEAXwAxAF8AMwBfAF8AMgBfAE0AYQBzAHMATwBmAFUAcgBlAGEASQBuAEkAbgBvAHIAZwBhAG4AaQBjAEYAZQByAHQAaQBsAGkAcwBlAHIAXwBOAEkAUgBSAGUAZgBlAHIAZQBuAGMAZQBcAG4AIAAgAD0ATABBAE0AQgBEAEEAKABcACIAXAAiACkAOwBcAG4AXABuAFYARQBFAFIARwBfADUAXwAxAF8AMQBfADMAXwBfADIAXwBNAGEAcwBzAE8AZgBVAHIAZQBhAEkAbgBJAG4AbwByAGcAYQBuAGkAYwBGAGUAcgB0AGkAbABpAHMAZQByAF8ATABhAHQAZQB4AEUAcQB1AGEAdABpAG8AbgBcAG4AIAAgAD0ATABBAE0AQgBEAEEAKABcACIAewBNAFUAfQBfAHsAagBmAH0APQBUAE0AXwB7AGoAZgB9AFwAXAB0AGkAbQBlAHMAIABGAFUAXwBmAFwAIgApADsAXABuAFwAbgBWAEUARQBSAEcAXwA1AF8AMQBfADEAXwAzAF8AXwAyAF8ATQBhAHMAcwBPAGYAVQByAGUAYQ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BcACIAawBnAFwAIgAsACAAXAAiAEkAbgBwAHUAdABcACIAOwBcAG4AIAAgACAAIAAgACAAIAAgACAAIABcACIARgBVAF8AZgBcACIALABcACIAZgByAGEAYwB0AGkAbwBuACAAbwBmACAAdQByAGUAYQAgAGkAbgAgAGYAZQByAHQAaQBsAGkAcwBlAHIAIAB0AHkAcABlACAAZgBcACIALABcACIAawBnACAAdQByAGUAYQAvAGsAZwBcACIALAAgAFwAIgBMAG8AbwBrAHUAcABcACIAXABuACAAIAAgACAAIAAgACAAIAB9ACwAIAByACwAIABjACkAXABuACAAIAAgACAAIAAgACkAXABuACAAIAAgACAAKQBcAG4AIAAgACkAOwBcAG4AIgB9ACwAewAiAHAAYQB0AGgAIgA6ACIALwBwAHIAbwBqAGUAYwB0AHMALwBGAGUAcgB0AGkAbABpAHMAZQByAF8ARQBxAHUAYQB0AGkAbwBuAHMAXwBP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gAgAE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yAF8AMQBfADEAXwBfADEAXwBPAHIAZwBhAG4AaQBjAEYAZQByAHQAaQBsAGkAcwBlAHIAQQBwAHAAbABpAGMAYQB0AGkAbwBuAE4AMgBPAEUAbQBpAHMAcwBpAG8AbgBzAFwAb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bgBFAF8ATgAyAE8AXABuAHQAIABOADIATwBcAG4ARQBfAHsATgAyAE8AfQA9AFwAXABzAHUAbQBfAHsAagB9AFwAXABzAHUAbQBfAHsAZgB9ACgAKABNAE4AUwBvAGkAbABfAHsAagBmAH0AXABcAHQAaQBtAGUAcwAgAEUARgBfAHsATgAyAE8ALABpAH0AXABcAHQAaQBtAGUAcwAgAEMAXwB7AE4AMgBPAH0AKQBcAFwAdABpAG0AZQBzACAAMQAwAF4AewAtADMAfQApAFwAbgBNAE4AUwBvAGkAbABfAGoAZgBcAG4ARQBGAF8ATgAyAE8AaQBcAG4AQwBfAE4AMgBPAFwAbgBqAFwAbgBpAFwAbgBmAFwAbgAtAC0ALQAtAC0ALQAtAC0ALQAtAC0ALQAtAC0ALQAtAC0ALQAtAC0ALQAtAC0ALQAtAC0ALQAtAC0ALQAtAC0ALQAtAC0ALQAtAC0AXABuACoALwBcAG4AXABuAFYARQBFAFIARwBfADUAXwAyAF8AMQBfADEAXwBfADEAXwBPAHIAZwBhAG4AaQBjAEYAZQByAHQAaQBsAGkAcwBlAHIAQQBwAHAAbABpAGMAYQB0AGkAbwBuAE4AMgBPAEUAbQBpAHMAcwBpAG8AbgBzAFwAbgAgACAAPQBMAEEATQBCAEQAQQAoAFwAbgAgACAAIAAgAE0ATgBTAG8AaQBsAF8AagBmACwAIABFAEYAXwBOADIATwBpACwAIABDAF8ATgAyAE8ALABcAG4AIAAgACAAIAAoAE0ATgBTAG8AaQBsAF8AagBmACAAKgAgAEUARgBfAE4AMgBPAGkAIAAqACAAQwBfAE4AMgBPACkAIAAqACAAMQAwACAAXgAgAC0AMwBcAG4AIAAgACkAOwBcAG4AXABuAFYARQBFAFIARwBfADUAXwAyAF8AMQBfADEAXwBfADEAXwBP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IgApADsAXABuAFwAbgBWAEUARQBSAEcAXwA1AF8AMgBfADEAXwAxAF8AXwAxAF8ATwByAGcAYQBuAGkAYwBGAGUAcgB0AGkAbABpAHMAZQByAEEAcABwAGwAaQBjAGEAdABpAG8AbgBOADIATwBFAG0AaQBzAHMAaQBvAG4AcwBfAFYAYQByAGkAYQBiAGwAZQBcAG4AIAAgAD0ATABBAE0AQgBEAEEAKABcACIARQBfAE4AMgBPAFwAIgApADsAXABuAFwAbgBWAEUARQBSAEcAXwA1AF8AMgBfADEAXwAxAF8AXwAxAF8ATwByAGcAYQBuAGkAYwBGAGUAcgB0AGkAbABpAHMAZQByAEEAcABwAGwAaQBjAGEAdABpAG8AbgBOADIATwBFAG0AaQBzAHMAaQBvAG4AcwBfAFUAbgBpAHQAXABuACAAIAA9AEwAQQBNAEIARABBACgAXAAiAHQAIABOADIATwBcACIAKQA7AFwAbgBcAG4AVgBFAEUAUgBHAF8ANQBfADIAXwAxAF8AMQBfAF8AMQBfAE8AcgBnAGEAbgBpAGMARgBlAHIAdABpAGwAaQBzAGUAcgBBAHAAcABsAGkAYwBhAHQAaQBvAG4ATgAyAE8ARQBtAGkAcwBzAGkAbwBuAHMAXwBTAG8AdQByAGMAZQBcAG4AIAAgAD0ATABBAE0AQgBEAEEAKABcACIAVgBFAEUAUgBHACAAMgAwADIANgA6ACAANQAuADIALgAxAC4AMQAsACAARQBxAHUAYQB0AGkAbwBuACAAKAAxACkAXAAiACkAOwBcAG4AXABuAFYARQBFAFIARwBfADUAXwAyAF8AMQBfADEAXwBfADEAXwBPAHIAZwBhAG4AaQBjAEYAZQByAHQAaQBsAGkAcwBlAHIAQQBwAHAAbABpAGMAYQB0AGkAbwBuAE4AMgBPAEUAbQBpAHMAcwBpAG8AbgBzAF8ATgBJAFIAUgBlAGYAZQByAGUAbgBjAGUAXABuACAAIAA9AEwAQQBNAEIARABBACgAXAAiAFwAIgApADsAXABuAFwAbgBWAEUARQBSAEcAXwA1AF8AMgBfADEAXwAxAF8AXwAxAF8ATwByAGcAYQBuAGkAYwBGAGUAcgB0AGkAbABpAHMAZQByAEEAcABwAGwAaQBjAGEAdABpAG8AbgBOADIATwBFAG0AaQBzAHMAaQBvAG4AcwBfAEwAYQB0AGUAeABFAHEAdQBhAHQAaQBvAG4AXABuACAAIAA9AEwAQQBNAEIARABBACgAXAAiAEUAXwB7AE4AMgBPAH0APQBcAFwAcwB1AG0AXwB7AGoAfQBcAFwAcwB1AG0AXwB7AGYAfQAoACgATQBOAFMAbwBpAGwAXwB7AGoAZgB9AFwAXAB0AGkAbQBlAHMAIABFAEYAXwB7AE4AMgBPACwAaQB9AFwAXAB0AGkAbQBlAHMAIABDAF8AewBOADIATwB9ACkAXABcAHQAaQBtAGUAcwAgADEAMABeAHsALQAzAH0AKQBcACIAKQA7AFwAbgBcAG4AVgBFAEUAUgBHAF8ANQBfADIAXwAxAF8AMQBfAF8AMQBfAE8AcgBnAGEAbgBpAGMARgBlAHIAdABpAGwAaQBzAGUAcgBBAHAAcABsAGkAYwBhAHQAaQBvAG4ATgAyAE8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UARgBfAE4AMgBPAGkAXAAiACwAXAAiAGUAbQBpAHMAcwBpAG8AbgAgAGYAYQBjAHQAbwByACAAZgBvAHIAIABkAGkAcgBlAGMAdAAgAG4AaQB0AHIAbwB1AHMAIABvAHgAaQBkAGUAIABlAG0AaQBzAHMAaQBvAG4AcwAgAGYAcgBvAG0AIABvAHIAZwBhAG4AaQBjACAAZgBlAHIAdABpAGwAaQBzAGUAcgAgAGEAcABwAGwAaQBlAGQAIAB0AG8AIABzAG8AaQBsAHMAIABhAG4AZAAgAGEAcQB1AGEAdABpAGMAIABzAHkAcwB0AGUAbQBzACAAaQBuACAAYwBsAGkAbQBhAHQAZQAgAHoAbwBuAGUAIABpAFwAIgAsACAAXAAiAGsAZwAgAE4AMgBPAC0ATgAvAGsAZwAgAE4AXAAiACwAIABcACIATABvAG8AawB1AHA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gBfADEAXwAxAF8AXwAyAF8ATQBhAHMAcwBPAGYATgBpAHQAcgBvAGcAZQBuAEkAbgBPAHIAZwBhAG4AaQBjAEYAZQByAHQAaQBsAGkAcwBlAHIAXABuAE0AYQBzAHMAIABvAGYAIABuAGkAdAByAG8AZwBlAG4AIABpAG4AIABwAHUAcgBjAGgAYQBzAGUAZAAgAG8AcgBnAGEAbgBpAGMAIABmAGUAcgB0AGkAbABpAHMAZQByAHMAIABhAHAAcABsAGkAZQBkACAAdABvACAAcAByAG8AZAB1AGMAdABpAG8AbgAgAHMAeQBzAHQAZQBtAFwAbgBNAE4AUwBvAGkAbABfAGoAZgBcAG4AawBnACAATgBcAG4ATQBOAFMAbwBpAGwAXwB7AGoAZgB9AD0ATQBfAHsAbwByAGcAYQBuAGkAYwAsAGoAZgB9AFwAXAB0AGkAbQBlAHMAIABGAE4AXwB7AG8AcgBnAGEAbgBpAGMALABmAH0AXABuAE0AXwBvAHIAZwBhAG4AaQBjAGoAZgBcAG4ARgBOAF8AbwByAGcAYQBuAGkAYwBmAFwAbgBqAFwAbgBmAFwAbgAtAC0ALQAtAC0ALQAtAC0ALQAtAC0ALQAtAC0ALQAtAC0ALQAtAC0ALQAtAC0ALQAtAC0ALQAtAC0ALQAtAC0ALQAtAC0ALQAtAC0AXABuACoALwBcAG4AXABuAFYARQBFAFIARwBfADUAXwAyAF8AMQBfADEAXwBfADIAXwBNAGEAcwBzAE8AZgBOAGkAdAByAG8AZwBlAG4ASQBuAE8AcgBnAGEAbgBpAGMARgBlAHIAdABpAGwAaQBzAGUAcgBcAG4AIAAgAD0ATABBAE0AQgBEAEEAKABcAG4AIAAgACAAIABNAF8AbwByAGcAYQBuAGkAYwBqAGYALAAgAEYATgBfAG8AcgBnAGEAbgBpAGMAZgAsAFwAbgAgACAAIAAgAE0AXwBvAHIAZwBhAG4AaQBjAGoAZgAgACoAIABGAE4AXwBvAHIAZwBhAG4AaQBjAGYAXABuACAAIAApADsAXABuAFwAbgBWAEUARQBSAEcAXwA1AF8AMgBfADEAXwAxAF8AXwAyAF8ATQBhAHMAcwBPAGYATgBpAHQAcgBvAGcAZQBuAEkAbgBPAHIAZwBhAG4AaQBjAEYAZQByAHQAaQBsAGkAcwBlAHIAXwBUAGkAdABsAGUAXABuACAAIAA9AEwAQQBNAEIARABBACgAXAAiAE0AYQBzAHMAIABvAGYAIABuAGkAdAByAG8AZwBlAG4AIABpAG4AIABwAHUAcgBjAGgAYQBzAGUAZAAgAG8AcgBnAGEAbgBpAGMAIABmAGUAcgB0AGkAbABpAHMAZQByAHMAIABhAHAAcABsAGkAZQBkACAAdABvACAAcAByAG8AZAB1AGMAdABpAG8AbgAgAHMAeQBzAHQAZQBtAFwAIgApADsAXABuAFwAbgBWAEUARQBSAEcAXwA1AF8AMgBfADEAXwAxAF8AXwAyAF8ATQBhAHMAcwBPAGYATgBpAHQAcgBvAGcAZQBuAEkAbgBPAHIAZwBhAG4AaQBjAEYAZQByAHQAaQBsAGkAcwBlAHIAXwBWAGEAcgBpAGEAYgBsAGUAXABuACAAIAA9AEwAQQBNAEIARABBACgAXAAiAE0ATgBTAG8AaQBsAF8AagBmAFwAIgApADsAXABuAFwAbgBWAEUARQBSAEcAXwA1AF8AMgBfADEAXwAxAF8AXwAyAF8ATQBhAHMAcwBPAGYATgBpAHQAcgBvAGcAZQBuAEkAbgBPAHIAZwBhAG4AaQBjAEYAZQByAHQAaQBsAGkAcwBlAHIAXwBVAG4AaQB0AFwAbgAgACAAPQBMAEEATQBCAEQAQQAoAFwAIgBrAGcAIABOAFwAIgApADsAXABuAFwAbgBWAEUARQBSAEcAXwA1AF8AMgBfADEAXwAxAF8AXwAyAF8ATQBhAHMAcwBPAGYATgBpAHQAcgBvAGcAZQBuAEkAbgBPAHIAZwBhAG4AaQBjAEYAZQByAHQAaQBsAGkAcwBlAHIAXwBTAG8AdQByAGMAZQBcAG4AIAAgAD0ATABBAE0AQgBEAEEAKABcACIAVgBFAEUAUgBHACAAMgAwADIANgA6ACAANQAuADIALgAxAC4AMQAsACAARQBxAHUAYQB0AGkAbwBuACAAKAAyACkAXAAiACkAOwBcAG4AXABuAFYARQBFAFIARwBfADUAXwAyAF8AMQBfADEAXwBfADIAXwBNAGEAcwBzAE8AZgBOAGkAdAByAG8AZwBlAG4ASQBuAE8AcgBnAGEAbgBpAGMARgBlAHIAdABpAGwAaQBzAGUAcgBfAE4ASQBSAFIAZQBmAGUAcgBlAG4AYwBlAFwAbgAgACAAPQBMAEEATQBCAEQAQQAoAFwAIgBcACIAKQA7AFwAbgBcAG4AVgBFAEUAUgBHAF8ANQBfADIAXwAxAF8AMQBfAF8AMgBfAE0AYQBzAHMATwBmAE4AaQB0AHIAbwBnAGUAbgBJAG4ATwByAGcAYQBuAGkAYwBGAGUAcgB0AGkAbABpAHMAZQByAF8ATABhAHQAZQB4AEUAcQB1AGEAdABpAG8AbgBcAG4AIAAgAD0ATABBAE0AQgBEAEEAKABcACIATQBOAFMAbwBpAGwAXwB7AGoAZgB9AD0ATQBfAHsAbwByAGcAYQBuAGkAYwAsAGoAZgB9AFwAXAB0AGkAbQBlAHMAIABGAE4AXwB7AG8AcgBnAGEAbgBpAGMALABmAH0AXAAiACkAOwBcAG4AXABuAFYARQBFAFIARwBfADUAXwAyAF8AMQBfADEAXwBfADIAXwBNAGEAcwBzAE8AZgBOAGkAdAByAG8AZwBlAG4ASQBuAE8AcgBnAGEAbgBpAGMARgBlAHIAdABpAGwAaQBzAGUAcgBfAEEAcgBnAHUAbQBlAG4AdABzAFwAbgAgACAAPQBMAEEATQBCAEQAQQAoAFwAbgAgACAAIAAgAE0AQQBLAEUAQQBSAFIAQQBZACgAMwAsACAANAAsACAAXABuACAAIAAgACAAIAAgAEwAQQBNAEIARABBACgAcgAsAGMALAAgAFwAbgAgACAAIAAgACAAIAAgACAASQBOAEQARQBYACgAewBcAG4AIAAgACAAIAAgACAAIAAgACAAIABcACIATQBfAG8AcgBnAGEAbgBpAGMAagBmAFwAIgAsAFwAIgBtAGEAcwBzACAAbwBmACAAbwByAGcAYQBuAGkAYwAgAGYAZQByAHQAaQBsAGkAcwBlAHIAIAB0AHkAcABlACAAZgAgAGEAcABwAGwAaQBlAGQAIAB0AG8AIABwAHIAbwBkAHUAYwB0AGkAbwBuACAAcwB5AHMAdABlAG0AIABqAFwAIgAsACAAXAAiAGsAZwBcACIALAAgAFwAIgBJAG4AcAB1AHQAXAAiADsAXABuACAAIAAgACAAIAAgACAAIAAgACAAXAAiAEYATgBfAG8AcgBnAGEAbgBpAGMAZgBcACIALABcACIAbgBpAHQAcgBvAGcAZQBuACAAZgByAGEAYwB0AGkAbwBuACAAbwBmACAAbwByAGcAYQBuAGkAYwAgAGYAZQByAHQAaQBsAGkAcwBlAHIAIAB0AHkAcABlACAAZgBcACIALAAgAFwAIgBrAGcAIABOAC8AawBnAFwAIgAsACAAXAAiAEkAbgBwAHUAdABcACIAOwBcAG4AIAAgACAAIAAgACAAIAAgACAAIABcACIAZgBcACIALABcACIATwByAGcAYQBuAGkAYwAgAGYAZQByAHQAaQBsAGkAcwBlAHIAIAB0AHkAcABlAFwAIgAsACAAXAAiAFwAIgAsACAAXAAiAEkAbgBwAHUAdABcACIAXABuACAAIAAgACAAIAAgACAAIAB9ACwAIAByACwAIABjACkAXABuACAAIAAgACAAIAAgACkAXABuACAAIAAgACAAKQBcAG4AIAAgACkAOwBcAG4AIgB9ACwAewAiAHAAYQB0AGgAIgA6ACIALwBwAHIAbwBqAGUAYwB0AHMALwBGAGUAcgB0AGkAbABpAHMAZQByAF8ARQBxAHUAYQB0AGkAbwBuAHMAXwBMAGkAbQBl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wAgAEwAaQBtAGU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MAXwAxAF8AMQBfAF8AMQBfAEwAaQBtAGUAQQBwAHAAbABpAGMAYQB0AGkAbwBuAEMATwAyAEUAbQBpAHMAcwBpAG8AbgBzAFwAbgBFAG0AaQBzAHMAaQBvAG4AcwAgAGYAcgBvAG0AIAB0AGgAZQAgAGEAcABwAGwAaQBjAGEAdABpAG8AbgAgAG8AZgAgAGwAaQBtAGUAIABhAG4AZAAgAGQAbwBsAG8AbQBpAHQAZQAgAHQAbwAgAHAAcgBvAGQAdQBjAHQAaQBvAG4AIABzAHkAcwB0AGUAbQBzAFwAbgBFAF8AbABpAG0AZQBcAG4AdAAgAEMATwAyAFwAbgBFAF8AewBsAGkAbQBlAH0APQBbACgATQBfAHsAbABpAG0AZQB9AFwAXAB0AGkAbQBlAHMAIABGAHIAYQBjAEwAaQBtAGUAXABcAHQAaQBtAGUAcwAgAFAAXwB7AGwAaQBtAGUAfQBcAFwAdABpAG0AZQBzACAARQBGAF8AewBsAGkAbQBlAH0AKQArACgATQBfAHsAbABpAG0AZQB9AFwAXAB0AGkAbQBlAHMAIABGAHIAYQBjAEQAbwBsAFwAXAB0AGkAbQBlAHMAIABQAF8AewBkAG8AbAB9AFwAXAB0AGkAbQBlAHMAIABFAEYAXwB7AGQAbwBsAH0AKQBdAFwAXAB0AGkAbQBlAHMAIABDAF8AewBDAE8AMgB9AFwAXAB0AGkAbQBlAHMAIAAxADAAXgB7AC0AMwB9AFwAbgBNAF8AbABpAG0AZQBcAG4ARgByAGEAYwBMAGkAbQBlAFwAbgBQAF8AbABpAG0AZQBcAG4ARQBGAF8AbABpAG0AZQBcAG4ARgByAGEAYwBEAG8AbABcAG4AUABfAGQAbwBsAFwAbgBFAEYAXwBkAG8AbABcAG4AQwBfAEMATwAyAFwAbgAtAC0ALQAtAC0ALQAtAC0ALQAtAC0ALQAtAC0ALQAtAC0ALQAtAC0ALQAtAC0ALQAtAC0ALQAtAC0ALQAtAC0ALQAtAC0ALQAtAC0AXABuACoALwBcAG4AXABuAFYARQBFAFIARwBfADUAXwAzAF8AMQBfADEAXwBfADEAXwBMAGkAbQBlAEEAcABwAGwAaQBjAGEAdABpAG8AbgBDAE8AMgBFAG0AaQBzAHMAaQBvAG4AcwBcAG4AIAAgAD0ATABBAE0AQgBEAEEAKABcAG4AIAAgACAAIABNAF8AbABpAG0AZQAsACAARgByAGEAYwBMAGkAbQBlACwAIABQAF8AbABpAG0AZQAsACAARQBGAF8AbABpAG0AZQAsACAARgByAGEAYwBEAG8AbAAsACAAUABfAGQAbwBsACwAIABFAEYAXwBkAG8AbAAsACAAQwBfAEMATwAyACwAXABuACAAIAAgACAAKAAoAE0AXwBsAGkAbQBlACAAKgAgAEYAcgBhAGMATABpAG0AZQAgACoAIABQAF8AbABpAG0AZQAgACoAIABFAEYAXwBsAGkAbQBlACkAIAArACAAKABNAF8AbABpAG0AZQAgACoAIABGAHIAYQBjAEQAbwBsACAAKgAgAFAAXwBkAG8AbAAgACoAIABFAEYAXwBkAG8AbAApACkAIAAqACAAQwBfAEMATwAyACAAKgAgADEAMAAgAF4AIAAtADMAXABuACAAIAApADsAXABuAFwAbgBWAEUARQBSAEcAXwA1AF8AMwBfADEAXwAxAF8AXwAxAF8ATABpAG0AZQBBAHAAcABsAGkAYwBhAHQAaQBvAG4AQwBPADIARQBtAGkAcwBzAGkAbwBuAHMAXwBUAGkAdABsAGUAXABuACAAIAA9AEwAQQBNAEIARABBACgAXAAiAEUAbQBpAHMAcwBpAG8AbgBzACAAZgByAG8AbQAgAHQAaABlACAAYQBwAHAAbABpAGMAYQB0AGkAbwBuACAAbwBmACAAbABpAG0AZQAgAGEAbgBkACAAZABvAGwAbwBtAGkAdABlACAAdABvACAAcAByAG8AZAB1AGMAdABpAG8AbgAgAHMAeQBzAHQAZQBtAHMAXAAiACkAOwBcAG4AXABuAFYARQBFAFIARwBfADUAXwAzAF8AMQBfADEAXwBfADEAXwBMAGkAbQBlAEEAcABwAGwAaQBjAGEAdABpAG8AbgBDAE8AMgBFAG0AaQBzAHMAaQBvAG4AcwBfAFYAYQByAGkAYQBiAGwAZQBcAG4AIAAgAD0ATABBAE0AQgBEAEEAKABcACIARQBfAGwAaQBtAGUAXAAiACkAOwBcAG4AXABuAFYARQBFAFIARwBfADUAXwAzAF8AMQBfADEAXwBfADEAXwBMAGkAbQBlAEEAcABwAGwAaQBjAGEAdABpAG8AbgBDAE8AMgBFAG0AaQBzAHMAaQBvAG4AcwBfAFUAbgBpAHQAXABuACAAIAA9AEwAQQBNAEIARABBACgAXAAiAHQAIABDAE8AMgBcACIAKQA7AFwAbgBcAG4AVgBFAEUAUgBHAF8ANQBfADMAXwAxAF8AMQBfAF8AMQBfAEwAaQBtAGUAQQBwAHAAbABpAGMAYQB0AGkAbwBuAEMATwAyAEUAbQBpAHMAcwBpAG8AbgBzAF8AUwBvAHUAcgBjAGUAXABuACAAIAA9AEwAQQBNAEIARABBACgAXAAiAFYARQBFAFIARwAgADIAMAAyADYAOgAgADUALgAzAC4AMQAuADEALAAgAEUAcQB1AGEAdABpAG8AbgAgACgAMQApAFwAIgApADsAXABuAFwAbgBWAEUARQBSAEcAXwA1AF8AMwBfADEAXwAxAF8AXwAxAF8ATABpAG0AZQBBAHAAcABsAGkAYwBhAHQAaQBvAG4AQwBPADIARQBtAGkAcwBzAGkAbwBuAHMAXwBOAEkAUgBSAGUAZgBlAHIAZQBuAGMAZQBcAG4AIAAgAD0ATABBAE0AQgBEAEEAKABcACIAXAAiACkAOwBcAG4AXABuAFYARQBFAFIARwBfADUAXwAzAF8AMQBfADEAXwBfADEAXwBMAGkAbQBlAEEAcABwAGwAaQBjAGEAdABpAG8AbgBDAE8AMgBFAG0AaQBzAHMAaQBvAG4AcwBfAEwAYQB0AGUAeABFAHEAdQBhAHQAaQBvAG4AXABuACAAIAA9AEwAQQBNAEIARABBACgAXAAi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AiACkAOwBcAG4AXABuAFYARQBFAFIARwBfADUAXwAzAF8AMQBfADEAXwBfADEAXwBMAGkAbQBlAEEAcABwAGwAaQBjAGEAdABpAG8AbgBDAE8AMgBFAG0AaQBzAHMAaQBvAG4AcwBfAEEAcgBnAHUAbQBlAG4AdABzAFwAbgAgACAAPQBMAEEATQBCAEQAQQAoAFwAbgAgACAAIAAgAE0AQQBLAEUAQQBSAFIAQQBZACgAOAAsACAANAAsACAAXABuACAAIAAgACAAIAAgAEwAQQBNAEIARABBACgAcgAsAGMALAAgAFwAbgAgACAAIAAgACAAIAAgACAASQBOAEQARQBYACgAewBcAG4AIAAgACAAIAAgACAAIAAgACAAIABcACIATQBfAGwAaQBtAGUAXAAiACwAXAAiAHQAbwB0AGEAbAAgAG0AYQBzAHMAIABvAGYAIABsAGkAbQBlACAAYQBwAHAAbABpAGUAZAAgAHQAbwAgAHAAcgBvAGQAdQBjAHQAaQBvAG4AIABzAHkAcwB0AGUAbQBcACIALAAgAFwAIgBrAGcAXAAiACwAIABcACIASQBuAHAAdQB0AFwAIgA7AFwAbgAgACAAIAAgACAAIAAgACAAIAAgAFwAIgBGAHIAYQBjAEwAaQBtAGUAXAAiACwAXAAiAGYAcgBhAGMAdABpAG8AbgAgAG8AZgAgAGwAaQBtAGUAIABhAHMAIABsAGkAbQBlAHMAdABvAG4AZQAgACgAQwBhAEMATwAzACkAXAAiACwAIABcACIAZgByAGEAYwB0AGkAbwBuAFwAIgAsACAAXAAiAEkAbgBwAHUAdABcACIAOwBcAG4AIAAgACAAIAAgACAAIAAgACAAIABcACIAUABfAGwAaQBtAGUAXAAiACwAXAAiAGYAcgBhAGMAdABpAG8AbgBhAGwAIABwAHUAcgBpAHQAeQAgAG8AZgAgAGwAaQBtAGUAcwB0AG8AbgBlAFwAIgAsACAAXAAiAGYAcgBhAGMAdABpAG8AbgBcACIALAAgAFwAIgBDAG8AbgBzAHQAYQBuAHQAXAAiADsAXABuACAAIAAgACAAIAAgACAAIAAgACAAXAAiAEUARgBfAGwAaQBtAGUAXAAiACwAXAAiAGUAbQBpAHMAcwBpAG8AbgAgAGYAYQBjAHQAbwByACAAZgBvAHIAIABsAGkAbQBlAHMAdABvAG4AZQAgAGYAcgBhAGMAdABpAG8AbgAgAG8AZgAgAGwAaQBtAGUAXAAiACwAIABcACIAawBnACAAQwAvAGsAZwBcACIALAAgAFwAIgBDAG8AbgBzAHQAYQBuAHQAXAAiADsAXABuACAAIAAgACAAIAAgACAAIAAgACAAXAAiAEYAcgBhAGMARABvAGwAXAAiACwAXAAiAGYAcgBhAGMAdABpAG8AbgAgAG8AZgAgAGwAaQBtAGUAIABhAHMAIABkAG8AbABvAG0AaQB0AGUAXAAiACwAIABcACIAZgByAGEAYwB0AGkAbwBuAFwAIgAsACAAXAAiAEkAbgBwAHUAdABcACIAOwBcAG4AIAAgACAAIAAgACAAIAAgACAAIABcACIAUABfAGQAbwBsAFwAIgAsAFwAIgBmAHIAYQBjAHQAaQBvAG4AYQBsACAAcAB1AHIAaQB0AHkAIABvAGYAIABkAG8AbABvAG0AaQB0AGUAXAAiACwAIABcACIAZgByAGEAYwB0AGkAbwBuAFwAIgAsACAAXAAiAEMAbwBuAHMAdABhAG4AdABcACIAOwBcAG4AIAAgACAAIAAgACAAIAAgACAAIABcACIARQBGAF8AZABvAGwAXAAiACwAXAAiAGUAbQBpAHMAcwBpAG8AbgAgAGYAYQBjAHQAbwByACAAZgBvAHIAIABkAG8AbABvAG0AaQB0AGUAIABmAHIAYQBjAHQAaQBvAG4AIABvAGYAIABsAGkAbQBlAFwAIgAsACAAXAAiAGsAZwAgAEMALwBrAGcAXAAiACwAIABcACIAQwBvAG4AcwB0AGEAbgB0AFwAIgA7AFwAbgAgACAAIAAgACAAIAAgACAAIAAgAFwAIgBDAF8AQwBPADIAXAAiACwAXAAiAGYAYQBjAHQAbwByACAAdABvACAAYwBvAG4AdgBlAHIAdAAgAGUAbABlAG0AZQBuAHQAYQBsACAAbQBhAHMAcwAgAG8AZgAgAGMAYQByAGIAbwBuACAAZABpAG8AeABpAGQAZQAgAHQAbwAgAG0AbwBsAGUAYwB1AGwAYQByACAAbQBhAHMAcwBcACIALAAgAFwAIgBcACIALAAgAFwAIgBDAG8AbgBzAHQAYQBuAHQAXAAiAFwAbgAgACAAIAAgACAAIAAgACAAfQAsACAAcgAsACAAYwApAFwAbgAgACAAIAAgACAAIAApAFwAbgAgACAAIAAgACkAXABuACAAIAApADsAXABuAFwAbgBcAG4AIgB9ACwAewAiAHAAYQB0AGgAIgA6ACIALwBwAHIAbwBqAGUAYwB0AHMALwBGAGUAcgB0AGkAbABpAHMAZQByAF8ARQBxAHUAYQB0AGkAbwBuAHMAXwBBAHQAbQBvAHMAcABoAGUAcgBpAGMARABlAHAAbwBzAGkAdABpAG8Ab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QAIABJAG4AbwByAGcAYQBuAGkAYwAgAGYAZQByAHQAaQBsAGkAcwBlAHIAIABhAHQAbQBvAHMAcABoAGUAcgBpAGMAIABkAGUAcABvAHMAa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0AF8AMQBfADEAXwBfADEAXwBJAG4AbwByAGcAYQBuAGkAYwBGAGUAcgB0AGkAbABpAHMAZQByAEEAdABtAG8AcwBwAGgAZQByAGkAYwBEAGUAcABvAHMAaQB0AGkAbwBuAE4AMgBPAEUAbQBpAHMAcwBpAG8AbgBzAFwAb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bgBFAF8AYQBkAGkAbgBvAHIAZwBhAG4AaQBjAFwAbgB0ACAATgAyAE8AXABuAEUAXwB7AGEAZAAsAGkAbgBvAHIAZwBhAG4AaQBjAH0APQBcAFwAcwB1AG0AXwB7AGoAfQBcAFwAcwB1AG0AXwB7AGYAfQAoACgATQBfAHsAdgBvAGwALABpAG4AbwByAGcAYQBuAGkAYwAsAGoAZgB9AFwAXAB0AGkAbQBlAHMAIABFAEYAXwB7AE4AMgBPACwAagB9ACkAXABcAHQAaQBtAGUAcwAgAEMAXwB7AE4AMgBPAH0AXABcAHQAaQBtAGUAcwAgADEAMABeAHsALQAzAH0AKQBcAG4ATQBfAHYAbwBsAGkAbgBvAHIAZwBhAG4AaQBjAGoAZgBcAG4ARQBGAF8ATgAyAE8AagBcAG4AQwBfAE4AMgBPAFwAbgBqAFwAbgBmAFwAbgAtAC0ALQAtAC0ALQAtAC0ALQAtAC0ALQAtAC0ALQAtAC0ALQAtAC0ALQAtAC0ALQAtAC0ALQAtAC0ALQAtAC0ALQAtAC0ALQAtAC0AXABuACoALwBcAG4AXABuAFYARQBFAFIARwBfADUAXwA0AF8AMQBfADEAXwBfADEAXwBJAG4AbwByAGcAYQBuAGkAYwBGAGUAcgB0AGkAbABpAHMAZQByAEEAdABtAG8AcwBwAGgAZQByAGkAYwBEAGUAcABvAHMAaQB0AGkAbwBuAE4AMgBPAEUAbQBpAHMAcwBpAG8AbgBzAFwAbgAgACAAPQBMAEEATQBCAEQAQQAoAFwAbgAgACAAIAAgAE0AXwB2AG8AbABpAG4AbwByAGcAYQBuAGkAYwBqAGYALAAgAEUARgBfAE4AMgBPAGoALAAgAEMAXwBOADIATwAsAFwAbgAgACAAIAAgACgATQBfAHYAbwBsAGkAbgBvAHIAZwBhAG4AaQBjAGoAZgAgACoAIABFAEYAXwBOADIATwBqACkAIAAqACAAQwBfAE4AMgBPACAAKgAgADEAMAAgAF4AIAAtADMAXABuACAAIAApADsAXABuAFwAbgBWAEUARQBSAEcAXwA1AF8ANABfADEAXwAxAF8AXwAxAF8ASQBuAG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CIAKQA7AFwAbgBcAG4AVgBFAEUAUgBHAF8ANQBfADQAXwAxAF8AMQBfAF8AMQBfAEkAbgBvAHIAZwBhAG4AaQBjAEYAZQByAHQAaQBsAGkAcwBlAHIAQQB0AG0AbwBzAHAAaABlAHIAaQBjAEQAZQBwAG8AcwBpAHQAaQBvAG4ATgAyAE8ARQBtAGkAcwBzAGkAbwBuAHMAXwBWAGEAcgBpAGEAYgBsAGUAXABuACAAIAA9AEwAQQBNAEIARABBACgAXAAiAEUAXwBhAGQAaQBuAG8AcgBnAGEAbgBpAGMAXAAiACkAOwBcAG4AXABuAFYARQBFAFIARwBfADUAXwA0AF8AMQBfADEAXwBfADEAXwBJAG4AbwByAGcAYQBuAGkAYwBGAGUAcgB0AGkAbABpAHMAZQByAEEAdABtAG8AcwBwAGgAZQByAGkAYwBEAGUAcABvAHMAaQB0AGkAbwBuAE4AMgBPAEUAbQBpAHMAcwBpAG8AbgBzAF8AVQBuAGkAdABcAG4AIAAgAD0ATABBAE0AQgBEAEEAKABcACIAdAAgAE4AMgBPAFwAIgApADsAXABuAFwAbgBWAEUARQBSAEcAXwA1AF8ANABfADEAXwAxAF8AXwAxAF8ASQBuAG8AcgBnAGEAbgBpAGMARgBlAHIAdABpAGwAaQBzAGUAcgBBAHQAbQBvAHMAcABoAGUAcgBpAGMARABlAHAAbwBzAGkAdABpAG8AbgBOADIATwBFAG0AaQBzAHMAaQBvAG4AcwBfAFMAbwB1AHIAYwBlAFwAbgAgACAAPQBMAEEATQBCAEQAQQAoAFwAIgBWAEUARQBSAEcAIAAyADAAMgA2ADoAIAA1AC4ANAAuADEALgAxACwAIABFAHEAdQBhAHQAaQBvAG4AIAAoADEAKQBcACIAKQA7AFwAbgBcAG4AVgBFAEUAUgBHAF8ANQBfADQAXwAxAF8AMQBfAF8AMQBfAEkAbgBvAHIAZwBhAG4AaQBjAEYAZQByAHQAaQBsAGkAcwBlAHIAQQB0AG0AbwBzAHAAaABlAHIAaQBjAEQAZQBwAG8AcwBpAHQAaQBvAG4ATgAyAE8ARQBtAGkAcwBzAGkAbwBuAHMAXwBOAEkAUgBSAGUAZgBlAHIAZQBuAGMAZQBcAG4AIAAgAD0ATABBAE0AQgBEAEEAKABcACIAXAAiACkAOwBcAG4AXABuAFYARQBFAFIARwBfADUAXwA0AF8AMQBfADEAXwBfADEAXwBJAG4AbwByAGcAYQBuAGkAYwBGAGUAcgB0AGkAbABpAHMAZQByAEEAdABtAG8AcwBwAGgAZQByAGkAYwBEAGUAcABvAHMAaQB0AGkAbwBuAE4AMgBPAEUAbQBpAHMAcwBpAG8AbgBzAF8ATABhAHQAZQB4AEUAcQB1AGEAdABpAG8AbgBcAG4AIAAgAD0ATABBAE0AQgBEAEEAKABcACIARQBfAHsAYQBkACwAaQBuAG8AcgBnAGEAbgBpAGMAfQA9AFwAXABzAHUAbQBcAFwAbgBvAGwAaQBtAGkAdABzAF8AewBqAH0AXABcAHMAdQBtAFwAXABuAG8AbABpAG0AaQB0AHMAXwB7AGYAfQAoACgATQBfAHsAdgBvAGwALABpAG4AbwByAGcAYQBuAGkAYwAsAGoAZgB9AFwAXAB0AGkAbQBlAHMAIABFAEYAXwB7AE4AMgBPACwAagB9ACkAXABcAHQAaQBtAGUAcwAgAEMAXwB7AE4AMgBPAH0AXABcAHQAaQBtAGUAcwAgADEAMABeAHsALQAzAH0AKQBcACIAKQA7AFwAbgBcAG4AVgBFAEUAUgBHAF8ANQBfADQAXwAxAF8AMQBfAF8AMQBfAEkAbgBv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pAG4AbwByAGcAYQBuAGkAYwBqAGYAXAAiACwAXAAiAG0AYQBzAHMAIABvAGYAIABuAGkAdAByAG8AZwBlAG4AIAB2AG8AbABhAHQAaQBsAGkAcwBlAGQAIABmAHIAbwBtACAAaQBuAG8AcgBnAGEAbgBpAGMAIABmAGUAcgB0AGkAbABpAHMAZQByACAAYQBwAHAAbABpAGUAZAAgAHQAbwAgAHAAcgBvAGQAdQBjAHQAaQBvAG4AIABzAHkAcwB0AGUAbQBcACIALAAgAFwAIgBrAGcAIABOAFwAIgAsACAAXAAiAEMAYQBsAGMAdQBsAGEAdABlAGQAIABmAHIAbwBtACAANQAuADQALgAxAC4AMQAgACgAMgApAFwAIgA7AFwAbgAgACAAIAAgACAAIAAgACAAIAAgAFwAIgBFAEYAXwBOADIATwBqAFwAIgAsAFwAIg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xAF8AXwAyAF8ATQBhAHMAcwBPAGYATgBpAHQAcgBvAGcAZQBuAFYAbwBsAGEAdABpAGwAaQBzAGUAZABGAHIAbwBtAEkAbgBvAHIAZwBhAG4AaQBjAEYAZQByAHQAaQBsAGkAcwBlAHIAXABuAE0AYQBzAHMAIABvAGYAIABuAGkAdAByAG8AZwBlAG4AIAB2AG8AbABhAHQAaQBsAGkAcwBlAGQAIABmAHIAbwBtACAAaQBuAG8AcgBnAGEAbgBpAGMAIABmAGUAcgB0AGkAbABpAHMAZQByACAAYQBwAHAAbABpAGUAZAAgAHQAbwAgAHAAcgBvAGQAdQBjAHQAaQBvAG4AIABzAHkAcwB0AGUAbQBcAG4ATQBfAHYAbwBsAGkAbgBvAHIAZwBhAG4AaQBjAGoAZgBcAG4AawBnACAATgBcAG4ATQBfAHsAdgBvAGwALABpAG4AbwByAGcAYQBuAGkAYwAsAGoAZgB9AD0AewBNAE4AfQBfAHsAagBmAH0AXABcAHQAaQBtAGUAcwAgAEYAcgBhAGMARwBBAFMARgBfAHsAZgB9AFwAbgBNAE4AXwBqAGYAXABuAEYAcgBhAGMARwBBAFMARgBfAGYAXABuAGoAXABuAGYAXABuAC0ALQAtAC0ALQAtAC0ALQAtAC0ALQAtAC0ALQAtAC0ALQAtAC0ALQAtAC0ALQAtAC0ALQAtAC0ALQAtAC0ALQAtAC0ALQAtAC0ALQBcAG4AKgAvAFwAbgBcAG4AVgBFAEUAUgBHAF8ANQBfADQAXwAxAF8AMQBfAF8AMgBfAE0AYQBzAHMATwBmAE4AaQB0AHIAbwBnAGUAbgBWAG8AbABhAHQAaQBsAGkAcwBlAGQARgByAG8AbQBJAG4AbwByAGcAYQBuAGkAYwBGAGUAcgB0AGkAbABpAHMAZQByAFwAbgAgACAAPQBMAEEATQBCAEQAQQAoAFwAbgAgACAAIAAgAE0ATgBfAGoAZgAsACAARgByAGEAYwBHAEEAUwBGAF8AZgAsAFwAbgAgACAAIAAgAE0ATgBfAGoAZgAgACoAIABGAHIAYQBjAEcAQQBTAEYAXwBmAFwAbgAgACAAKQA7AFwAbgBcAG4AVgBFAEUAUgBHAF8ANQBfADQAXwAxAF8AMQBfAF8AMgBfAE0AYQBzAHMATwBmAE4AaQB0AHIAbwBnAGUAbgBWAG8AbABhAHQAaQBsAGkAcwBlAGQARgByAG8AbQBJAG4AbwByAGcAYQBuAGkAYwBGAGUAcgB0AGkAbABpAHMAZQByAF8AVABpAHQAbABlAFwAbgAgACAAPQBMAEEATQBCAEQAQQAoAFwAIgBNAGEAcwBzACAAbwBmACAAbgBpAHQAcgBvAGcAZQBuACAAdgBvAGwAYQB0AGkAbABpAHMAZQBkACAAZgByAG8AbQAgAGkAbgBvAHIAZwBhAG4AaQBjACAAZgBlAHIAdABpAGwAaQBzAGUAcgAgAGEAcABwAGwAaQBlAGQAIAB0AG8AIABwAHIAbwBkAHUAYwB0AGkAbwBuACAAcwB5AHMAdABlAG0AXAAiACkAOwBcAG4AXABuAFYARQBFAFIARwBfADUAXwA0AF8AMQBfADEAXwBfADIAXwBNAGEAcwBzAE8AZgBOAGkAdAByAG8AZwBlAG4AVgBvAGwAYQB0AGkAbABpAHMAZQBkAEYAcgBvAG0ASQBuAG8AcgBnAGEAbgBpAGMARgBlAHIAdABpAGwAaQBzAGUAcgBfAFYAYQByAGkAYQBiAGwAZQBcAG4AIAAgAD0ATABBAE0AQgBEAEEAKABcACIATQBfAHYAbwBsAGkAbgBvAHIAZwBhAG4AaQBjAGoAZgBcACIAKQA7AFwAbgBcAG4AVgBFAEUAUgBHAF8ANQBfADQAXwAxAF8AMQBfAF8AMgBfAE0AYQBzAHMATwBmAE4AaQB0AHIAbwBnAGUAbgBWAG8AbABhAHQAaQBsAGkAcwBlAGQARgByAG8AbQBJAG4AbwByAGcAYQBuAGkAYwBGAGUAcgB0AGkAbABpAHMAZQByAF8AVQBuAGkAdABcAG4AIAAgAD0ATABBAE0AQgBEAEEAKABcACIAawBnACAATgBcACIAKQA7AFwAbgBcAG4AVgBFAEUAUgBHAF8ANQBfADQAXwAxAF8AMQBfAF8AMgBfAE0AYQBzAHMATwBmAE4AaQB0AHIAbwBnAGUAbgBWAG8AbABhAHQAaQBsAGkAcwBlAGQARgByAG8AbQBJAG4AbwByAGcAYQBuAGkAYwBGAGUAcgB0AGkAbABpAHMAZQByAF8AUwBvAHUAcgBjAGUAXABuACAAIAA9AEwAQQBNAEIARABBACgAXAAiAFYARQBFAFIARwAgADIAMAAyADYAOgAgADUALgA0AC4AMQAuADEALAAgAEUAcQB1AGEAdABpAG8AbgAgACgAMgApAFwAIgApADsAXABuAFwAbgBWAEUARQBSAEcAXwA1AF8ANABfADEAXwAxAF8AXwAyAF8ATQBhAHMAcwBPAGYATgBpAHQAcgBvAGcAZQBuAFYAbwBsAGEAdABpAGwAaQBzAGUAZABGAHIAbwBtAEkAbgBvAHIAZwBhAG4AaQBjAEYAZQByAHQAaQBsAGkAcwBlAHIAXwBOAEkAUgBSAGUAZgBlAHIAZQBuAGMAZQBcAG4AIAAgAD0ATABBAE0AQgBEAEEAKABcACIAXAAiACkAOwBcAG4AXABuAFYARQBFAFIARwBfADUAXwA0AF8AMQBfADEAXwBfADIAXwBNAGEAcwBzAE8AZgBOAGkAdAByAG8AZwBlAG4AVgBvAGwAYQB0AGkAbABpAHMAZQBkAEYAcgBvAG0ASQBuAG8AcgBnAGEAbgBpAGMARgBlAHIAdABpAGwAaQBzAGUAcgBfAEwAYQB0AGUAeABFAHEAdQBhAHQAaQBvAG4AXABuACAAIAA9AEwAQQBNAEIARABBACgAXAAiAE0AXwB7AHYAbwBsACwAaQBuAG8AcgBnAGEAbgBpAGMALABqAGYAfQA9AHsATQBOAH0AXwB7AGoAZgB9AFwAXAB0AGkAbQBlAHMAIABGAHIAYQBjAEcAQQBTAEYAXwB7AGYAfQBcACIAKQA7AFwAbgBcAG4AVgBFAEUAUgBHAF8ANQBfADQAXwAxAF8AMQBfAF8AMgBfAE0AYQBzAHMATwBmAE4AaQB0AHIAbwBnAGUAbgBWAG8AbABhAHQAaQBsAGkAcwBlAGQARgByAG8AbQ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hAHAAcABsAGkAZQBkAFwAIgAsACAAXAAiAGsAZwAgAE4AXAAiACwAIABcACIAQwBhAGwAYwB1AGwAYQB0AGUAZAAgAGYAcgBvAG0AIAA1AC4AMQAuADEALgAxACAAKAAyACkAXAAiADsAXABuACAAIAAgACAAIAAgACAAIAAgACAAXAAiAEYAcgBhAGMARwBBAFMARgBfAGYAXAAiACwAXAAiAGYAcgBhAGMAdABpAG8AbgAgAG8AZgAgAGkAbgBvAHIAZwBhAG4AaQBjACAAZgBlAHIAdABpAGwAaQBzAGUAcgAgAHQAaABhAHQAIAB2AG8AbABhAHQAaQBsAGkAcwBlAHMAXAAiACwAIABcACIAKABrAGcAIABOAEgAMwAtAE4AIAArACAATgBPAHgALQBOACkALwBrAGcAIABO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NABfADEAXwAzAF8AXwAxAF8ATwByAGcAYQBuAGkAYwBGAGUAcgB0AGkAbABpAHMAZQByAEEAdABtAG8AcwBwAGgAZQByAGkAYwBEAGUAcABvAHMAaQB0AGkAbwBuAE4AMgBPAEUAbQBpAHMAcwBpAG8AbgBzAFwAb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G4ARQBfAGEAZABvAHIAZwBhAG4AaQBjAFwAbgB0ACAATgAyAE8AXABuAEUAXwB7AGEAZAAsAG8AcgBnAGEAbgBpAGMAfQA9AFwAXABzAHUAbQBfAHsAagB9AFwAXABzAHUAbQBfAHsAZgB9ACgAKABNAF8AewB2AG8AbAAsAG8AcgBnAGEAbgBpAGMALABqAGYAfQBcAFwAdABpAG0AZQBzACAARQBGAF8AewBOADIATwAsAGoAfQApAFwAXAB0AGkAbQBlAHMAIABDAF8AewBOADIATwB9AFwAXAB0AGkAbQBlAHMAIAAxADAAXgB7AC0AMwB9ACkAXABuAE0AXwB2AG8AbABvAHIAZwBhAG4AaQBjAGoAZgBcAG4ARQBGAF8ATgAyAE8AagBcAG4AQwBfAE4AMgBPAFwAbgBqAFwAbgBmAFwAbgAtAC0ALQAtAC0ALQAtAC0ALQAtAC0ALQAtAC0ALQAtAC0ALQAtAC0ALQAtAC0ALQAtAC0ALQAtAC0ALQAtAC0ALQAtAC0ALQAtAC0AXABuACoALwBcAG4AXABuAFYARQBFAFIARwBfADUAXwA0AF8AMQBfADMAXwBfADEAXwBPAHIAZwBhAG4AaQBjAEYAZQByAHQAaQBsAGkAcwBlAHIAQQB0AG0AbwBzAHAAaABlAHIAaQBjAEQAZQBwAG8AcwBpAHQAaQBvAG4ATgAyAE8ARQBtAGkAcwBzAGkAbwBuAHMAXABuACAAIAA9AEwAQQBNAEIARABBACgAXABuACAAIAAgACAATQBfAHYAbwBsAG8AcgBnAGEAbgBpAGMAagBmACwAIABFAEYAXwBOADIATwBqACwAIABDAF8ATgAyAE8ALABcAG4AIAAgACAAIAAoAE0AXwB2AG8AbABvAHIAZwBhAG4AaQBjAGoAZgAgACoAIABFAEYAXwBOADIATwBqACkAIAAqACAAQwBfAE4AMgBPACAAKgAgADEAMAAgAF4AIAAtADMAXABuACAAIAApADsAXABuAFwAbgBWAEUARQBSAEcAXwA1AF8ANABfADEAXwAzAF8AXwAxAF8AT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CIAKQA7AFwAbgBcAG4AVgBFAEUAUgBHAF8ANQBfADQAXwAxAF8AMwBfAF8AMQBfAE8AcgBnAGEAbgBpAGMARgBlAHIAdABpAGwAaQBzAGUAcgBBAHQAbQBvAHMAcABoAGUAcgBpAGMARABlAHAAbwBzAGkAdABpAG8AbgBOADIATwBFAG0AaQBzAHMAaQBvAG4AcwBfAFYAYQByAGkAYQBiAGwAZQBcAG4AIAAgAD0ATABBAE0AQgBEAEEAKABcACIARQBfAGEAZABvAHIAZwBhAG4AaQBjAFwAIgApADsAXABuAFwAbgBWAEUARQBSAEcAXwA1AF8ANABfADEAXwAzAF8AXwAxAF8ATwByAGcAYQBuAGkAYwBGAGUAcgB0AGkAbABpAHMAZQByAEEAdABtAG8AcwBwAGgAZQByAGkAYwBEAGUAcABvAHMAaQB0AGkAbwBuAE4AMgBPAEUAbQBpAHMAcwBpAG8AbgBzAF8AVQBuAGkAdABcAG4AIAAgAD0ATABBAE0AQgBEAEEAKABcACIAdAAgAE4AMgBPAFwAIgApADsAXABuAFwAbgBWAEUARQBSAEcAXwA1AF8ANABfADEAXwAzAF8AXwAxAF8ATwByAGcAYQBuAGkAYwBGAGUAcgB0AGkAbABpAHMAZQByAEEAdABtAG8AcwBwAGgAZQByAGkAYwBEAGUAcABvAHMAaQB0AGkAbwBuAE4AMgBPAEUAbQBpAHMAcwBpAG8AbgBzAF8AUwBvAHUAcgBjAGUAXABuACAAIAA9AEwAQQBNAEIARABBACgAXAAiAFYARQBFAFIARwAgADIAMAAyADYAOgAgADUALgA0AC4AMQAuADMALAAgAEUAcQB1AGEAdABpAG8AbgAgACgAMQApAFwAIgApADsAXABuAFwAbgBWAEUARQBSAEcAXwA1AF8ANABfADEAXwAzAF8AXwAxAF8ATwByAGcAYQBuAGkAYwBGAGUAcgB0AGkAbABpAHMAZQByAEEAdABtAG8AcwBwAGgAZQByAGkAYwBEAGUAcABvAHMAaQB0AGkAbwBuAE4AMgBPAEUAbQBpAHMAcwBpAG8AbgBzAF8ATgBJAFIAUgBlAGYAZQByAGUAbgBjAGUAXABuACAAIAA9AEwAQQBNAEIARABBACgAXAAiAFwAIgApADsAXABuAFwAbgBWAEUARQBSAEcAXwA1AF8ANABfADEAXwAzAF8AXwAxAF8ATwByAGcAYQBuAGkAYwBGAGUAcgB0AGkAbABpAHMAZQByAEEAdABtAG8AcwBwAGgAZQByAGkAYwBEAGUAcABvAHMAaQB0AGkAbwBuAE4AMgBPAEUAbQBpAHMAcwBpAG8AbgBzAF8ATABhAHQAZQB4AEUAcQB1AGEAdABpAG8AbgBcAG4AIAAgAD0ATABBAE0AQgBEAEEAKABcACIARQBfAHsAYQBkACwAbwByAGcAYQBuAGkAYwB9AD0AXABcAHMAdQBtAFwAXABuAG8AbABpAG0AaQB0AHMAXwB7AGoAfQBcAFwAcwB1AG0AXABcAG4AbwBsAGkAbQBpAHQAcwBfAHsAZgB9ACgAKABNAF8AewB2AG8AbAAsAG8AcgBnAGEAbgBpAGMALABqAGYAfQBcAFwAdABpAG0AZQBzACAARQBGAF8AewBOADIATwAsAGoAfQApAFwAXAB0AGkAbQBlAHMAIABDAF8AewBOADIATwB9AFwAXAB0AGkAbQBlAHMAIAAxADAAXgB7AC0AMwB9ACkAXAAiACkAOwBcAG4AXABuAFYARQBFAFIARwBfADUAXwA0AF8AMQBfADMAXwBfADEAXwBP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vAHIAZwBhAG4AaQBjAGoAZgBcACIALABcACIAbQBhAHMAcwAgAG8AZgAgAG4AaQB0AHIAbwBnAGUAbgAgAHYAbwBsAGEAdABpAGwAaQBzAGUAZAAgAGYAcgBvAG0AIABvAHIAZwBhAG4AaQBjACAAZgBlAHIAdABpAGwAaQBzAGUAcgAgAGEAcABwAGwAaQBlAGQAIAB0AG8AIABwAHIAbwBkAHUAYwB0AGkAbwBuACAAcwB5AHMAdABlAG0AXAAiACwAIABcACIAawBnACAATgBcACIALAAgAFwAIgBDAGEAbABjAHUAbABhAHQAZQBkACAAZgByAG8AbQAgADUALgA0AC4AMQAuADMAIAAoADIAKQBcACIAOwBcAG4AIAAgACAAIAAgACAAIAAgACAAIABcACIARQBGAF8ATgAyAE8AagBcACIALABcACIAZQBtAGkAcwBzAGkAbwBuACAAZgBhAGMAdABvAHIAIABmAG8AcgAgAGEAdABtAG8AcwBwAGgAZQByAGkAYwAgAGQAZQBwAG8AcwBpAHQAaQBvAG4AIABpAG4AIABwAHIAbwBkAHUAYwB0AGkAbwBuACAAcwB5AHMAdABlAG0AIABq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MAXwBfADIAXwBNAGEAcwBzAE8AZgBOAGkAdAByAG8AZwBlAG4AVgBvAGwAYQB0AGkAbABpAHMAZQBkAEYAcgBvAG0ATwByAGcAYQBuAGkAYwBGAGUAcgB0AGkAbABpAHMAZQByAFwAbgBNAGEAcwBzACAAbwBmACAAbgBpAHQAcgBvAGcAZQBuACAAdgBvAGwAYQB0AGkAbABpAHMAZQBkACAAZgByAG8AbQAgAG8AcgBnAGEAbgBpAGMAIABmAGUAcgB0AGkAbABpAHMAZQByACAAYQBwAHAAbABpAGUAZAAgAHQAbwAgAHAAcgBvAGQAdQBjAHQAaQBvAG4AIABzAHkAcwB0AGUAbQBcAG4ATQBfAHYAbwBsAG8AcgBnAGEAbgBpAGMAagBmAFwAbgBrAGcAIABOAFwAbgBNAF8AewB2AG8AbAAsAG8AcgBnAGEAbgBpAGMALABqAGYAfQA9AE0ATgBTAG8AaQBsAF8AewBqAGYAfQBcAFwAdABpAG0AZQBzACAARgByAGEAYwBHAEEAUwBNAF8AewBzAG8AaQBsAH0AXABuAE0ATgBTAG8AaQBsAF8AagBmAFwAbgBGAHIAYQBjAEcAQQBTAE0AXwBzAG8AaQBsAFwAbgBqAFwAbgBmAFwAbgAtAC0ALQAtAC0ALQAtAC0ALQAtAC0ALQAtAC0ALQAtAC0ALQAtAC0ALQAtAC0ALQAtAC0ALQAtAC0ALQAtAC0ALQAtAC0ALQAtAC0AXABuACoALwBcAG4AXABuAFYARQBFAFIARwBfADUAXwA0AF8AMQBfADMAXwBfADIAXwBNAGEAcwBzAE8AZgBOAGkAdAByAG8AZwBlAG4AVgBvAGwAYQB0AGkAbABpAHMAZQBkAEYAcgBvAG0ATwByAGcAYQBuAGkAYwBGAGUAcgB0AGkAbABpAHMAZQByAFwAbgAgACAAPQBMAEEATQBCAEQAQQAoAFwAbgAgACAAIAAgAE0ATgBTAG8AaQBsAF8AagBmACwAIABGAHIAYQBjAEcAQQBTAE0AXwBzAG8AaQBsACwAXABuACAAIAAgACAATQBOAFMAbwBpAGwAXwBqAGYAIAAqACAARgByAGEAYwBHAEEAUwBNAF8AcwBvAGkAbABcAG4AIAAgACkAOwBcAG4AXABuAFYARQBFAFIARwBfADUAXwA0AF8AMQBfADMAXwBfADIAXwBNAGEAcwBzAE8AZgBOAGkAdAByAG8AZwBlAG4AVgBvAGwAYQB0AGkAbABpAHMAZQBkAEYAcgBvAG0ATwByAGcAYQBuAGkAYwBGAGUAcgB0AGkAbABpAHMAZQByAF8AVABpAHQAbABlAFwAbgAgACAAPQBMAEEATQBCAEQAQQAoAFwAIgBNAGEAcwBzACAAbwBmACAAbgBpAHQAcgBvAGcAZQBuACAAdgBvAGwAYQB0AGkAbABpAHMAZQBkACAAZgByAG8AbQAgAG8AcgBnAGEAbgBpAGMAIABmAGUAcgB0AGkAbABpAHMAZQByACAAYQBwAHAAbABpAGUAZAAgAHQAbwAgAHAAcgBvAGQAdQBjAHQAaQBvAG4AIABzAHkAcwB0AGUAbQBcACIAKQA7AFwAbgBcAG4AVgBFAEUAUgBHAF8ANQBfADQAXwAxAF8AMwBfAF8AMgBfAE0AYQBzAHMATwBmAE4AaQB0AHIAbwBnAGUAbgBWAG8AbABhAHQAaQBsAGkAcwBlAGQARgByAG8AbQBPAHIAZwBhAG4AaQBjAEYAZQByAHQAaQBsAGkAcwBlAHIAXwBWAGEAcgBpAGEAYgBsAGUAXABuACAAIAA9AEwAQQBNAEIARABBACgAXAAiAE0AXwB2AG8AbABvAHIAZwBhAG4AaQBjAGoAZgBcACIAKQA7AFwAbgBcAG4AVgBFAEUAUgBHAF8ANQBfADQAXwAxAF8AMwBfAF8AMgBfAE0AYQBzAHMATwBmAE4AaQB0AHIAbwBnAGUAbgBWAG8AbABhAHQAaQBsAGkAcwBlAGQARgByAG8AbQBPAHIAZwBhAG4AaQBjAEYAZQByAHQAaQBsAGkAcwBlAHIAXwBVAG4AaQB0AFwAbgAgACAAPQBMAEEATQBCAEQAQQAoAFwAIgBrAGcAIABOAFwAIgApADsAXABuAFwAbgBWAEUARQBSAEcAXwA1AF8ANABfADEAXwAzAF8AXwAyAF8ATQBhAHMAcwBPAGYATgBpAHQAcgBvAGcAZQBuAFYAbwBsAGEAdABpAGwAaQBzAGUAZABGAHIAbwBtAE8AcgBnAGEAbgBpAGMARgBlAHIAdABpAGwAaQBzAGUAcgBfAFMAbwB1AHIAYwBlAFwAbgAgACAAPQBMAEEATQBCAEQAQQAoAFwAIgBWAEUARQBSAEcAIAAyADAAMgA2ADoAIAA1AC4ANAAuADEALgAzACwAIABFAHEAdQBhAHQAaQBvAG4AIAAoADIAKQBcACIAKQA7AFwAbgBcAG4AVgBFAEUAUgBHAF8ANQBfADQAXwAxAF8AMwBfAF8AMgBfAE0AYQBzAHMATwBmAE4AaQB0AHIAbwBnAGUAbgBWAG8AbABhAHQAaQBsAGkAcwBlAGQARgByAG8AbQBPAHIAZwBhAG4AaQBjAEYAZQByAHQAaQBsAGkAcwBlAHIAXwBOAEkAUgBSAGUAZgBlAHIAZQBuAGMAZQBcAG4AIAAgAD0ATABBAE0AQgBEAEEAKABcACIAXAAiACkAOwBcAG4AXABuAFYARQBFAFIARwBfADUAXwA0AF8AMQBfADMAXwBfADIAXwBNAGEAcwBzAE8AZgBOAGkAdAByAG8AZwBlAG4AVgBvAGwAYQB0AGkAbABpAHMAZQBkAEYAcgBvAG0ATwByAGcAYQBuAGkAYwBGAGUAcgB0AGkAbABpAHMAZQByAF8ATABhAHQAZQB4AEUAcQB1AGEAdABpAG8AbgBcAG4AIAAgAD0ATABBAE0AQgBEAEEAKABcACIATQBfAHsAdgBvAGwALABvAHIAZwBhAG4AaQBjACwAagBmAH0APQBNAE4AUwBvAGkAbABfAHsAagBmAH0AXABcAHQAaQBtAGUAcwAgAEYAcgBhAGMARwBBAFMATQBfAHsAcwBvAGkAbAB9AFwAIgApADsAXABuAFwAbgBWAEUARQBSAEcAXwA1AF8ANABfADEAXwAzAF8AXwAyAF8ATQBhAHMAcwBPAGYATgBpAHQAcgBvAGcAZQBuAFYAbwBsAGEAdABpAGwAaQBzAGUAZABGAHIAbwBtAE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gByAGEAYwBHAEEAUwBNAF8AcwBvAGkAbABcACIALABcACIAZgByAGEAYwB0AGkAbwBuACAAbwBmACAAbwByAGcAYQBuAGkAYwAgAGYAZQByAHQAaQBsAGkAcwBlAHIAIABOACAAdABoAGEAdAAgAHYAbwBsAGEAdABpAGwAaQBzAGUAc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YAZQByAHQAaQBsAGkAcwBlAHIAXwBFAHEAdQBhAHQAaQBvAG4AcwBfAEwAZQBhAGMAaABpAG4AZwBBAG4AZABSAHUAbgBvAGYAZ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UAIABMAGUAYQBjAGgAaQBuAGcAIABhAG4AZAAgAHIAdQBuAC0AbwBmAGYAIAByAGUAcwB1AGwAdABpAG4AZwAgAGYAcgBvAG0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1AF8AMQBfADEAXwBfADEAXwBGAGUAcgB0AGkAbABpAHMAZQByAEwAZQBhAGMAaABpAG4AZwBBAG4AZABSAHUAbgBvAGYAZgBOADIATwBFAG0AaQBzAHMAaQBvAG4AcwBcAG4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BuAEUAXwBmAGUAcgB0AGwAZQBhAGMAaABcAG4AdAAgAE4AMgBPAFwAb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G4ATQBfAGwAZQBhAGMAaABpAG4AbwByAGcAYQBuAGkAYwBqAFwAbgBNAF8AbABlAGEAYwBoAG8AcgBnAGEAbgBpAGMAagBcAG4ARQBGAF8AbABlAGEAYwBoAFwAbgBDAF8ATgAyAE8AXABuAGoAXABuAC0ALQAtAC0ALQAtAC0ALQAtAC0ALQAtAC0ALQAtAC0ALQAtAC0ALQAtAC0ALQAtAC0ALQAtAC0ALQAtAC0ALQAtAC0ALQAtAC0ALQBcAG4AKgAvAFwAbgBcAG4AVgBFAEUAUgBHAF8ANQBfADUAXwAxAF8AMQBfAF8AMQBfAEYAZQByAHQAaQBsAGkAcwBlAHIATABlAGEAYwBoAGkAbgBnAEEAbgBkAFIAdQBuAG8AZgBmAE4AMgBPAEUAbQBpAHMAcwBpAG8AbgBzAFwAbgAgACAAPQBMAEEATQBCAEQAQQAoAFwAbgAgACAAIAAgAE0AXwBsAGUAYQBjAGgAaQBuAG8AcgBnAGEAbgBpAGMAagAsACAATQBfAGwAZQBhAGMAaABvAHIAZwBhAG4AaQBjAGoALAAgAEUARgBfAGwAZQBhAGMAaAAsACAAQwBfAE4AMgBPACwAXABuACAAIAAgACAAKABNAF8AbABlAGEAYwBoAGkAbgBvAHIAZwBhAG4AaQBjAGoAIAArACAATQBfAGwAZQBhAGMAaABvAHIAZwBhAG4AaQBjAGoAKQAgACoAIABFAEYAXwBsAGUAYQBjAGgAIAAqACAAQwBfAE4AMgBPACAAKgAgADEAMAAgAF4AIAAtADMAXABuACAAIAApADsAXABuAFwAbgBWAEUARQBSAEcAXwA1AF8ANQBfADEAXwAxAF8AXwAxAF8ARgBlAHIAdABpAGwAaQBzAGUAcgBMAGUAYQBjAGgAaQBuAGcAQQBuAGQAUgB1AG4AbwBmAGYATgAyAE8ARQBtAGkAcwBzAGkAbwBuAHMAXwBUAGkAdABsAGUAXABuACAAIAA9AEwAQQBNAEIARABBACgAXAAi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IgApADsAXABuAFwAbgBWAEUARQBSAEcAXwA1AF8ANQBfADEAXwAxAF8AXwAxAF8ARgBlAHIAdABpAGwAaQBzAGUAcgBMAGUAYQBjAGgAaQBuAGcAQQBuAGQAUgB1AG4AbwBmAGYATgAyAE8ARQBtAGkAcwBzAGkAbwBuAHMAXwBWAGEAcgBpAGEAYgBsAGUAXABuACAAIAA9AEwAQQBNAEIARABBACgAXAAiAEUAXwBmAGUAcgB0AGwAZQBhAGMAaABcACIAKQA7AFwAbgBcAG4AVgBFAEUAUgBHAF8ANQBfADUAXwAxAF8AMQBfAF8AMQBfAEYAZQByAHQAaQBsAGkAcwBlAHIATABlAGEAYwBoAGkAbgBnAEEAbgBkAFIAdQBuAG8AZgBmAE4AMgBPAEUAbQBpAHMAcwBpAG8AbgBzAF8AVQBuAGkAdABcAG4AIAAgAD0ATABBAE0AQgBEAEEAKABcACIAdAAgAE4AMgBPAFwAIgApADsAXABuAFwAbgBWAEUARQBSAEcAXwA1AF8ANQBfADEAXwAxAF8AXwAxAF8ARgBlAHIAdABpAGwAaQBzAGUAcgBMAGUAYQBjAGgAaQBuAGcAQQBuAGQAUgB1AG4AbwBmAGYATgAyAE8ARQBtAGkAcwBzAGkAbwBuAHMAXwBTAG8AdQByAGMAZQBcAG4AIAAgAD0ATABBAE0AQgBEAEEAKABcACIAVgBFAEUAUgBHACAAMgAwADIANgA6ACAANQAuADUALAAgAEUAcQB1AGEAdABpAG8AbgAgACgAMQApAFwAIgApADsAXABuAFwAbgBWAEUARQBSAEcAXwA1AF8ANQBfADEAXwAxAF8AXwAxAF8ARgBlAHIAdABpAGwAaQBzAGUAcgBMAGUAYQBjAGgAaQBuAGcAQQBuAGQAUgB1AG4AbwBmAGYATgAyAE8ARQBtAGkAcwBzAGkAbwBuAHMAXwBOAEkAUgBSAGUAZgBlAHIAZQBuAGMAZQBcAG4AIAAgAD0ATABBAE0AQgBEAEEAKABcACIAXAAiACkAOwBcAG4AXABuAFYARQBFAFIARwBfADUAXwA1AF8AMQBfADEAXwBfADEAXwBGAGUAcgB0AGkAbABpAHMAZQByAEwAZQBhAGMAaABpAG4AZwBBAG4AZABSAHUAbgBvAGYAZgBOADIATwBFAG0AaQBzAHMAaQBvAG4AcwBfAEwAYQB0AGUAeABFAHEAdQBhAHQAaQBvAG4AXABuACAAIAA9AEwAQQBNAEIARABBACgAXAAi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IgApADsAXABuAFwAbgBWAEUARQBSAEcAXwA1AF8ANQBfADEAXwAxAF8AXwAxAF8ARgBlAHIAdABpAGwAaQBzAGUAcgBMAGUAYQBjAGgAaQBuAGcAQQBuAGQAUgB1AG4AbwBmAGYATgAyAE8ARQBtAGkAcwBzAGkAbwBuAHMAXwBBAHIAZwB1AG0AZQBuAHQAcwBcAG4AIAAgAD0ATABBAE0AQgBEAEEAKABcAG4AIAAgACAAIABNAEEASwBFAEEAUgBSAEEAWQAoADQALAAgADQALAAgAFwAbgAgACAAIAAgACAAIABMAEEATQBCAEQAQQAoAHIALABjACwAIABcAG4AIAAgACAAIAAgACAAIAAgAEkATgBEAEUAWAAoAHsAXABuACAAIAAgACAAIAAgACAAIAAgACAAXAAiAE0AXwBsAGUAYQBjAGgAaQBuAG8AcgBnAGEAbgBpAGMAagBcACIALABcACIAb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sACAAXAAiAGsAZwAgAE4AXAAiACwAIABcACIAQwBhAGwAYwB1AGwAYQB0AGUAZAAgAGYAcgBvAG0AIAA1AC4ANQAuADEALgAxACAAKAAyACkAXAAiADsAXABuACAAIAAgACAAIAAgACAAIAAgACAAXAAiAE0AXwBsAGUAYQBjAGgAbwByAGcAYQBuAGkAYwBqAFwAIgAsAFwAIgBtAGEAcwBzACAAbwBmACAAbgBpAHQAcgBvAGcAZQBuACAAbABvAHMAdAAgAHQAaAByAG8AdQBnAGgAIABsAGUAYQBjAGgAaQBuAGcAIABhAG4AZAAgAHIAdQBuAG8AZgBmACAAZgByAG8AbQAgAG8AcgBnAGEAbgBpAGMAIABmAGUAcgB0AGkAbABpAHMAZQByACAAYQBwAHAAbABpAGMAYQB0AGkAbwBuAFwAIgAsACAAXAAiAGsAZwAgAE4AXAAiACwAIABcACIAQwBhAGwAYwB1AGwAYQB0AGUAZAAgAGYAcgBvAG0AIAA1AC4ANQAuADEALgAxACAAKAAzACkAXAAiADsAXABuACAAIAAgACAAIAAgACAAIAAgACAAXAAiAEUARgBfAGwAZQBhAGMAaABcACIALABcACIAZQBtAGkAcwBzAGkAbwBuACAAZgBhAGMAdABvAHIAIABmAG8AcgAgAG4AaQB0AHIAbwBnAGUAb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yAF8ATQBhAHMAcwBPAGYATgBpAHQAcgBvAGcAZQBuAEwAZQBhAGMAaABlAGQARgByAG8AbQBJAG4AbwByAGcAYQBuAGkAYwBGAGUAcgB0AGkAbABpAHMAZQByAFwAb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BuAE0AXwBsAGUAYQBjAGgAaQBuAG8AcgBnAGEAbgBpAGMAagBcAG4AawBnACAATgBcAG4ATQBfAHsAbABlAGEAYwBoACwAaQBuAG8AcgBnAGEAbgBpAGMALABqAH0APQBcAFwAcwB1AG0AXwB7AGYAfQAoAHsATQBOAH0AXwB7AGoAZgB9AFwAXAB0AGkAbQBlAHMAIABGAHIAYQBjAF8AewBXAEUAVAAsAGoAfQBcAFwAdABpAG0AZQBzACAARgByAGEAYwBfAHsATABFAEEAQwBIAH0AKQBcAG4ATQBOAF8AagBmAFwAbgBGAHIAYQBjAFcARQBUAGoAXABuAEYAcgBhAGMATABFAEEAQwBIAFwAbgBqAFwAbgBmAFwAbgAtAC0ALQAtAC0ALQAtAC0ALQAtAC0ALQAtAC0ALQAtAC0ALQAtAC0ALQAtAC0ALQAtAC0ALQAtAC0ALQAtAC0ALQAtAC0ALQAtAC0AXABuACoALwBcAG4AXABuAFYARQBFAFIARwBfADUAXwA1AF8AMQBfADEAXwBfADIAXwBNAGEAcwBzAE8AZgBOAGkAdAByAG8AZwBlAG4ATABlAGEAYwBoAGUAZABGAHIAbwBtAEkAbgBvAHIAZwBhAG4AaQBjAEYAZQByAHQAaQBsAGkAcwBlAHIAXABuACAAIAA9AEwAQQBNAEIARABBACgAXABuACAAIAAgACAATQBOAF8AagBmACwAIABGAHIAYQBjAFcARQBUAGoALAAgAEYAcgBhAGMATABFAEEAQwBIACwAXABuACAAIAAgACAATQBOAF8AagBmACAAKgAgAEYAcgBhAGMAVwBFAFQAagAgACoAIABGAHIAYQBjAEwARQBBAEMASABcAG4AIAAgACkAOwBcAG4AXABuAFYARQBFAFIARwBfADUAXwA1AF8AMQBfADEAXwBfADIAXwBNAGEAcwBzAE8AZgBOAGkAdAByAG8AZwBlAG4ATABlAGEAYwBoAGUAZABGAHIAbwBtAEkAbgBvAHIAZwBhAG4AaQBjAEYAZQByAHQAaQBsAGkAcwBlAHIAXwBUAGkAdABsAGUAXABuACAAIAA9AEwAQQBNAEIARABBACgAXAAi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KQA7AFwAbgBcAG4AVgBFAEUAUgBHAF8ANQBfADUAXwAxAF8AMQBfAF8AMgBfAE0AYQBzAHMATwBmAE4AaQB0AHIAbwBnAGUAbgBMAGUAYQBjAGgAZQBkAEYAcgBvAG0ASQBuAG8AcgBnAGEAbgBpAGMARgBlAHIAdABpAGwAaQBzAGUAcgBfAFYAYQByAGkAYQBiAGwAZQBcAG4AIAAgAD0ATABBAE0AQgBEAEEAKABcACIATQBfAGwAZQBhAGMAaABpAG4AbwByAGcAYQBuAGkAYwBqAFwAIgApADsAXABuAFwAbgBWAEUARQBSAEcAXwA1AF8ANQBfADEAXwAxAF8AXwAyAF8ATQBhAHMAcwBPAGYATgBpAHQAcgBvAGcAZQBuAEwAZQBhAGMAaABlAGQARgByAG8AbQBJAG4AbwByAGcAYQBuAGkAYwBGAGUAcgB0AGkAbABpAHMAZQByAF8AVQBuAGkAdABcAG4AIAAgAD0ATABBAE0AQgBEAEEAKABcACIAawBnACAATgBcACIAKQA7AFwAbgBcAG4AVgBFAEUAUgBHAF8ANQBfADUAXwAxAF8AMQBfAF8AMgBfAE0AYQBzAHMATwBmAE4AaQB0AHIAbwBnAGUAbgBMAGUAYQBjAGgAZQBkAEYAcgBvAG0ASQBuAG8AcgBnAGEAbgBpAGMARgBlAHIAdABpAGwAaQBzAGUAcgBfAFMAbwB1AHIAYwBlAFwAbgAgACAAPQBMAEEATQBCAEQAQQAoAFwAIgBWAEUARQBSAEcAIAAyADAAMgA2ADoAIAA1AC4ANQAsACAARQBxAHUAYQB0AGkAbwBuACAAKAAyACkAXAAiACkAOwBcAG4AXABuAFYARQBFAFIARwBfADUAXwA1AF8AMQBfADEAXwBfADIAXwBNAGEAcwBzAE8AZgBOAGkAdAByAG8AZwBlAG4ATABlAGEAYwBoAGUAZABGAHIAbwBtAEkAbgBvAHIAZwBhAG4AaQBjAEYAZQByAHQAaQBsAGkAcwBlAHIAXwBOAEkAUgBSAGUAZgBlAHIAZQBuAGMAZQBcAG4AIAAgAD0ATABBAE0AQgBEAEEAKABcACIAXAAiACkAOwBcAG4AXABuAFYARQBFAFIARwBfADUAXwA1AF8AMQBfADEAXwBfADIAXwBNAGEAcwBzAE8AZgBOAGkAdAByAG8AZwBlAG4ATABlAGEAYwBoAGUAZABGAHIAbwBtAEkAbgBvAHIAZwBhAG4AaQBjAEYAZQByAHQAaQBsAGkAcwBlAHIAXwBMAGEAdABlAHgARQBxAHUAYQB0AGkAbwBuAFwAbgAgACAAPQBMAEEATQBCAEQAQQAoAFwAIgBNAF8AewBsAGUAYQBjAGgALABpAG4AbwByAGcAYQBuAGkAYwAsAGoAfQA9AFwAXABzAHUAbQBcAFwAbgBvAGwAaQBtAGkAdABzAF8AewBmAH0AXABcAGwAZQBmAHQAKAB7AE0ATgB9AF8AewBqAGYAfQBcAFwAdABpAG0AZQBzACAARgByAGEAYwBfAHsAVwBFAFQALABqAH0AXABcAHQAaQBtAGUAcwAgAEYAcgBhAGMAXwB7AEwARQBBAEMASAB9AFwAXAByAGkAZwBoAHQAKQBcACIAKQA7AFwAbgBcAG4AVgBFAEUAUgBHAF8ANQBfADUAXwAxAF8AMQBfAF8AMgBfAE0AYQBzAHMATwBmAE4AaQB0AHIAbwBnAGUAbgBMAGUAYQBjAGgAZQBkAEYAcgBvAG0ASQBuAG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FwAIgAsACAAXAAiAGsAZwAgAE4AXAAiACwAIABcACIAQwBhAGwAYwB1AGwAYQB0AGUAZAAgAGYAcgBvAG0AIAA1AC4AMQ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CAAIABcACIAegBcACIALABcACIAbABvAGMAYQB0AGkAbwBuACAAaQBuACAAbABlAGEAYwBoAGkAbgBnACAAegBvAG4AZQBcACIALAAgAFwAIgBcACIALAAgAFwAIgBJAG4AcAB1AHQAXAAiADsAXABuACAAIAAgACAAIAAgACAAIAAgACAAIAAgAFwAIgBqAFwAIgAsAFwAIgBwAHIAbwBkAHUAYwB0AGkAbwBuACAAcwB5AHMAdABlAG0AXAAiACwAIABcACIAXAAiACwAIABcACIASQBuAHAAdQB0AFwAIgA7AFwAbgAgACAAIAAgACAAIAAgACAAIAAgACAAIABcACIAaQByAFwAIgAsAFwAIgBpAHIAcgBpAGcAYQB0AGkAbwBuACAAbQBlAHQAaABvAGQ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wBfAE0AYQBzAHMATwBmAE4AaQB0AHIAbwBnAGUAbgBMAGUAYQBjAGgAZQBkAEYAcgBvAG0ATwByAGcAYQBuAGkAYwBGAGUAcgB0AGkAbABpAHMAZQByAFwAb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G4ATQBfAGwAZQBhAGMAaABvAHIAZwBhAG4AaQBjAGoAXABuAGsAZwAgAE4AXABuAE0AXwB7AGwAZQBhAGMAaAAsAG8AcgBnAGEAbgBpAGMALABqAH0APQBcAFwAcwB1AG0AXwB7AGYAfQAoAHsATQBOAFMAbwBpAGwAfQBfAHsAagBmAH0AXABcAHQAaQBtAGUAcwAgAEYAcgBhAGMAXwB7AFcARQBUACwAagB9AFwAXAB0AGkAbQBlAHMAIABGAHIAYQBjAF8AewBMAEUAQQBDAEgAfQApAFwAbgBNAE4AUwBvAGkAbABfAGoAZgBcAG4ARgByAGEAYwBXAEUAVABqAFwAbgBGAHIAYQBjAEwARQBBAEMASABcAG4AagBcAG4AZgBcAG4ALQAtAC0ALQAtAC0ALQAtAC0ALQAtAC0ALQAtAC0ALQAtAC0ALQAtAC0ALQAtAC0ALQAtAC0ALQAtAC0ALQAtAC0ALQAtAC0ALQAtAFwAbgAqAC8AXABuAFwAbgBWAEUARQBSAEcAXwA1AF8ANQBfADEAXwAxAF8AXwAzAF8ATQBhAHMAcwBPAGYATgBpAHQAcgBvAGcAZQBuAEwAZQBhAGMAaABlAGQARgByAG8AbQBPAHIAZwBhAG4AaQBjAEYAZQByAHQAaQBsAGkAcwBlAHIAXABuACAAIAA9AEwAQQBNAEIARABBACgAXABuACAAIAAgACAATQBOAFMAbwBpAGwAXwBqAGYALAAgAEYAcgBhAGMAVwBFAFQAagAsACAARgByAGEAYwBMAEUAQQBDAEgALABcAG4AIAAgACAAIABNAE4AUwBvAGkAbABfAGoAZgAgACoAIABGAHIAYQBjAFcARQBUAGoAIAAqACAARgByAGEAYwBMAEUAQQBDAEgAXABuACAAIAApADsAXABuAFwAbgBWAEUARQBSAEcAXwA1AF8ANQBfADEAXwAxAF8AXwAzAF8ATQBhAHMAcwBPAGYATgBpAHQAcgBvAGcAZQBuAEwAZQBhAGMAaABlAGQARgByAG8AbQBPAHIAZwBhAG4AaQBjAEYAZQByAHQAaQBsAGkAcwBlAHIAXwBUAGkAdABsAGUAXABuACAAIAA9AEwAQQBNAEIARABBACgAXAAi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IgApADsAXABuAFwAbgBWAEUARQBSAEcAXwA1AF8ANQBfADEAXwAxAF8AXwAzAF8ATQBhAHMAcwBPAGYATgBpAHQAcgBvAGcAZQBuAEwAZQBhAGMAaABlAGQARgByAG8AbQBPAHIAZwBhAG4AaQBjAEYAZQByAHQAaQBsAGkAcwBlAHIAXwBWAGEAcgBpAGEAYgBsAGUAXABuACAAIAA9AEwAQQBNAEIARABBACgAXAAiAE0AXwBsAGUAYQBjAGgAbwByAGcAYQBuAGkAYwBqAFwAIgApADsAXABuAFwAbgBWAEUARQBSAEcAXwA1AF8ANQBfADEAXwAxAF8AXwAzAF8ATQBhAHMAcwBPAGYATgBpAHQAcgBvAGcAZQBuAEwAZQBhAGMAaABlAGQARgByAG8AbQBPAHIAZwBhAG4AaQBjAEYAZQByAHQAaQBsAGkAcwBlAHIAXwBVAG4AaQB0AFwAbgAgACAAPQBMAEEATQBCAEQAQQAoAFwAIgBrAGcAIABOAFwAIgApADsAXABuAFwAbgBWAEUARQBSAEcAXwA1AF8ANQBfADEAXwAxAF8AXwAzAF8ATQBhAHMAcwBPAGYATgBpAHQAcgBvAGcAZQBuAEwAZQBhAGMAaABlAGQARgByAG8AbQBPAHIAZwBhAG4AaQBjAEYAZQByAHQAaQBsAGkAcwBlAHIAXwBTAG8AdQByAGMAZQBcAG4AIAAgAD0ATABBAE0AQgBEAEEAKABcACIAVgBFAEUAUgBHACAAMgAwADIANgA6ACAANQAuADUALAAgAEUAcQB1AGEAdABpAG8AbgAgACgAMwApAFwAIgApADsAXABuAFwAbgBWAEUARQBSAEcAXwA1AF8ANQBfADEAXwAxAF8AXwAzAF8ATQBhAHMAcwBPAGYATgBpAHQAcgBvAGcAZQBuAEwAZQBhAGMAaABlAGQARgByAG8AbQBPAHIAZwBhAG4AaQBjAEYAZQByAHQAaQBsAGkAcwBlAHIAXwBOAEkAUgBSAGUAZgBlAHIAZQBuAGMAZQBcAG4AIAAgAD0ATABBAE0AQgBEAEEAKABcACIAXAAiACkAOwBcAG4AXABuAFYARQBFAFIARwBfADUAXwA1AF8AMQBfADEAXwBfADMAXwBNAGEAcwBzAE8AZgBOAGkAdAByAG8AZwBlAG4ATABlAGEAYwBoAGUAZABGAHIAbwBtAE8AcgBnAGEAbgBpAGMARgBlAHIAdABpAGwAaQBzAGUAcgBfAEwAYQB0AGUAeABFAHEAdQBhAHQAaQBvAG4AXABuACAAIAA9AEwAQQBNAEIARABBACgAXAAiAE0AXwB7AGwAZQBhAGMAaAAsAG8AcgBnAGEAbgBpAGMALABqAH0APQBcAFwAcwB1AG0AXABcAG4AbwBsAGkAbQBpAHQAcwBfAHsAZgB9AFwAXABsAGUAZgB0ACgAewBNAE4AUwBvAGkAbAB9AF8AewBqAGYAfQBcAFwAdABpAG0AZQBzACAARgByAGEAYwBfAHsAVwBFAFQALABqAH0AXABcAHQAaQBtAGUAcwAgAEYAcgBhAGMAXwB7AEwARQBBAEMASAB9AFwAXAByAGkAZwBoAHQAKQBcACIAKQA7AFwAbgBcAG4AVgBFAEUAUgBHAF8ANQBfADUAXwAxAF8AMQBfAF8AMwBfAE0AYQBzAHMATwBmAE4AaQB0AHIAbwBnAGUAbgBMAGUAYQBjAGgAZQBkAEYAcgBvAG0AT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FwAIgAsACAAXAAiAGsAZwAgAE4AXAAiACwAIABcACIAQwBhAGwAYwB1AGwAYQB0AGUAZAAgAGYAcgBvAG0AIAA1AC4AMg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FwAIgBsAG8AYwBhAHQAaQBvAG4AIABpAG4AIABsAGUAYQBjAGgAaQBuAGcAIAB6AG8AbgBlAFwAIgAsACAAXAAiAFwAIgAsACAAXAAiAEkAbgBwAHUAdABcACIAOwBcAG4AIAAgACAAIAAgACAAIAAgACAAIABcACIAagBcACIALABcACIAcAByAG8AZAB1AGMAdABpAG8AbgAgAHMAeQBzAHQAZQBtAFwAIgAsACAAXAAiAFwAIgAsACAAXAAiAEkAbgBwAHUAdABcACIAOwBcAG4AIAAgACAAIAAgACAAIAAgACAAIABcACIAaQByAFwAIgAsAFwAIgBpAHIAcgBpAGcAYQB0AGkAbwBuACAAbQBlAHQAaABvAGQAXAAiACwAIABcACI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MAGkAdgBlAHMAdABvAGMAawBfAFMAbwB1AHIAYwBlAEQAYQB0AGEALgBTAG8AdQByAGMAZQBEAGEAdABhAF8ATABpAHYAZQBzAHQAbwBjAGsAXwBQAHIAbwBkAHUAYwB0AF8AQgBlAGUAZgBDAGEAdAB0AGwAZQBfAFQAaQB0AGwAZQAiACwAIgBDAG8AbQBtAG8AbgBMAGkAdgBlAHMAdABvAGMAawBfAFMAbwB1AHIAYwBlAEQAYQB0AGEALgBTAG8AdQByAGMAZQBEAGEAdABhAF8ATABpAHYAZQBzAHQAbwBjAGsAXwBQAHIAbwBkAHUAYwB0AF8AQgBlAGUAZgBDAGEAdAB0AGwAZQBfAFYAYQBpAHIAYQBiAGwAZQAiACwAIgBDAG8AbQBtAG8AbgBMAGkAdgBlAHMAdABvAGMAawBfAFMAbwB1AHIAYwBlAEQAYQB0AGEALgBTAG8AdQByAGMAZQBEAGEAdABhAF8ATABpAHYAZQBzAHQAbwBjAGsAXwBQAHIAbwBkAHUAYwB0AF8AQgBlAGUAZgBDAGEAdAB0AGwAZQBfAFUAbgBpAHQAIgAsACIAQwBvAG0AbQBvAG4ATABpAHYAZQBzAHQAbwBjAGsAXwBTAG8AdQByAGMAZQBEAGEAdABhAC4AUwBvAHUAcgBjAGUARABhAHQAYQBfAEwAaQB2AGUAcwB0AG8AYwBrAF8AUAByAG8AZAB1AGMAdABfAEIAZQBlAGYAQwBhAHQAdABsAGUAXwBTAG8AdQByAGMAZQAiACwAIgBDAG8AbQBtAG8AbgBMAGkAdgBlAHMAdABvAGMAawBfAFMAbwB1AHIAYwBlAEQAYQB0AGEALgBTAG8AdQByAGMAZQBEAGEAdABhAF8ATABpAHYAZQBzAHQAbwBjAGsAXwBQAHIAbwBkAHUAYwB0AF8AQgBlAGUAZgBDAGEAdAB0AGwAZQBfAEQAYQB0AGEAIgAsACIAQwBvAG0AbQBvAG4ATABpAHYAZQBzAHQAbwBjAGsAXwBTAG8AdQByAGMAZQBEAGEAdABhAC4AUwBvAHUAcgBjAGUARABhAHQAYQBfAEwAaQB2AGUAcwB0AG8AYwBrAF8AUAByAG8AZAB1AGMAdABfAEMAaABpAGMAawBlAG4AcwBfAFQAaQB0AGwAZQAiACwAIgBDAG8AbQBtAG8AbgBMAGkAdgBlAHMAdABvAGMAawBfAFMAbwB1AHIAYwBlAEQAYQB0AGEALgBTAG8AdQByAGMAZQBEAGEAdABhAF8ATABpAHYAZQBzAHQAbwBjAGsAXwBQAHIAbwBkAHUAYwB0AF8AQwBoAGkAYwBrAGUAbgBzAF8AVgBhAGkAcgBhAGIAbABlACIALAAiAEMAbwBtAG0AbwBuAEwAaQB2AGUAcwB0AG8AYwBrAF8AUwBvAHUAcgBjAGUARABhAHQAYQAuAFMAbwB1AHIAYwBlAEQAYQB0AGEAXwBMAGkAdgBlAHMAdABvAGMAawBfAFAAcgBvAGQAdQBjAHQAXwBDAGgAaQBjAGsAZQBuAHMAXwBVAG4AaQB0ACIALAAiAEMAbwBtAG0AbwBuAEwAaQB2AGUAcwB0AG8AYwBrAF8AUwBvAHUAcgBjAGUARABhAHQAYQAuAFMAbwB1AHIAYwBlAEQAYQB0AGEAXwBMAGkAdgBlAHMAdABvAGMAawBfAFAAcgBvAGQAdQBjAHQAXwBDAGgAaQBjAGsAZQBuAHMAXwBTAG8AdQByAGMAZQAiACwAIgBDAG8AbQBtAG8AbgBMAGkAdgBlAHMAdABvAGMAawBfAFMAbwB1AHIAYwBlAEQAYQB0AGEALgBTAG8AdQByAGMAZQBEAGEAdABhAF8ATABpAHYAZQBzAHQAbwBjAGsAXwBQAHIAbwBkAHUAYwB0AF8AQwBoAGkAYwBrAGUAbgBzAF8ARABhAHQAYQAiACwAIgBDAG8AbQBtAG8AbgBMAGkAdgBlAHMAdABvAGMAawBfAFMAbwB1AHIAYwBlAEQAYQB0AGEALgBTAG8AdQByAGMAZQBEAGEAdABhAF8ATABpAHYAZQBzAHQAbwBjAGsAXwBQAHIAbwBkAHUAYwB0AF8ARABhAGkAcgB5AGMAYQB0AHQAbABlAF8AVABpAHQAbABlACIALAAiAEMAbwBtAG0AbwBuAEwAaQB2AGUAcwB0AG8AYwBrAF8AUwBvAHUAcgBjAGUARABhAHQAYQAuAFMAbwB1AHIAYwBlAEQAYQB0AGEAXwBMAGkAdgBlAHMAdABvAGMAawBfAFAAcgBvAGQAdQBjAHQAXwBEAGEAaQByAHkAYwBhAHQAdABsAGUAXwBWAGEAaQByAGEAYgBsAGUAIgAsACIAQwBvAG0AbQBvAG4ATABpAHYAZQBzAHQAbwBjAGsAXwBTAG8AdQByAGMAZQBEAGEAdABhAC4AUwBvAHUAcgBjAGUARABhAHQAYQBfAEwAaQB2AGUAcwB0AG8AYwBrAF8AUAByAG8AZAB1AGMAdABfAEQAYQBpAHIAeQBjAGEAdAB0AGwAZQBfAFUAbgBpAHQAIgAsACIAQwBvAG0AbQBvAG4ATABpAHYAZQBzAHQAbwBjAGsAXwBTAG8AdQByAGMAZQBEAGEAdABhAC4AUwBvAHUAcgBjAGUARABhAHQAYQBfAEwAaQB2AGUAcwB0AG8AYwBrAF8AUAByAG8AZAB1AGMAdABfAEQAYQBpAHIAeQBjAGEAdAB0AGwAZQBfAFMAbwB1AHIAYwBlACIALAAiAEMAbwBtAG0AbwBuAEwAaQB2AGUAcwB0AG8AYwBrAF8AUwBvAHUAcgBjAGUARABhAHQAYQAuAFMAbwB1AHIAYwBlAEQAYQB0AGEAXwBMAGkAdgBlAHMAdABvAGMAawBfAFAAcgBvAGQAdQBjAHQAXwBEAGEAaQByAHkAYwBhAHQAdABsAGUAXwBEAGEAdABhACIALAAiAEMAbwBtAG0AbwBuAEwAaQB2AGUAcwB0AG8AYwBrAF8AUwBvAHUAcgBjAGUARABhAHQAYQAuAFMAbwB1AHIAYwBlAEQAYQB0AGEAXwBMAGkAdgBlAHMAdABvAGMAawBfAFAAcgBvAGQAdQBjAHQAXwBQAGkAZwBzAF8AVABpAHQAbABlACIALAAiAEMAbwBtAG0AbwBuAEwAaQB2AGUAcwB0AG8AYwBrAF8AUwBvAHUAcgBjAGUARABhAHQAYQAuAFMAbwB1AHIAYwBlAEQAYQB0AGEAXwBMAGkAdgBlAHMAdABvAGMAawBfAFAAcgBvAGQAdQBjAHQAXwBQAGkAZwBzAF8AVgBhAGkAcgBhAGIAbABlACIALAAiAEMAbwBtAG0AbwBuAEwAaQB2AGUAcwB0AG8AYwBrAF8AUwBvAHUAcgBjAGUARABhAHQAYQAuAFMAbwB1AHIAYwBlAEQAYQB0AGEAXwBMAGkAdgBlAHMAdABvAGMAawBfAFAAcgBvAGQAdQBjAHQAXwBQAGkAZwBzAF8AVQBuAGkAdAAiACwAIgBDAG8AbQBtAG8AbgBMAGkAdgBlAHMAdABvAGMAawBfAFMAbwB1AHIAYwBlAEQAYQB0AGEALgBTAG8AdQByAGMAZQBEAGEAdABhAF8ATABpAHYAZQBzAHQAbwBjAGsAXwBQAHIAbwBkAHUAYwB0AF8AUABpAGcAcwBfAFMAbwB1AHIAYwBlACIALAAiAEMAbwBtAG0AbwBuAEwAaQB2AGUAcwB0AG8AYwBrAF8AUwBvAHUAcgBjAGUARABhAHQAYQAuAFMAbwB1AHIAYwBlAEQAYQB0AGEAXwBMAGkAdgBlAHMAdABvAGMAawBfAFAAcgBvAGQAdQBjAHQAXwBQAGkAZwBzAF8ARABhAHQAYQAiACwAIgBDAG8AbQBtAG8AbgBMAGkAdgBlAHMAdABvAGMAawBfAFMAbwB1AHIAYwBlAEQAYQB0AGEALgBTAG8AdQByAGMAZQBEAGEAdABhAF8ATABpAHYAZQBzAHQAbwBjAGsAXwBQAHIAbwBkAHUAYwB0AF8AUwBoAGUAZQBwAF8AVABpAHQAbABlACIALAAiAEMAbwBtAG0AbwBuAEwAaQB2AGUAcwB0AG8AYwBrAF8AUwBvAHUAcgBjAGUARABhAHQAYQAuAFMAbwB1AHIAYwBlAEQAYQB0AGEAXwBMAGkAdgBlAHMAdABvAGMAawBfAFAAcgBvAGQAdQBjAHQAXwBTAGgAZQBlAHAAXwBWAGEAaQByAGEAYgBsAGUAIgAsACIAQwBvAG0AbQBvAG4ATABpAHYAZQBzAHQAbwBjAGsAXwBTAG8AdQByAGMAZQBEAGEAdABhAC4AUwBvAHUAcgBjAGUARABhAHQAYQBfAEwAaQB2AGUAcwB0AG8AYwBrAF8AUAByAG8AZAB1AGMAdABfAFMAaABlAGUAcABfAFUAbgBpAHQAIgAsACIAQwBvAG0AbQBvAG4ATABpAHYAZQBzAHQAbwBjAGsAXwBTAG8AdQByAGMAZQBEAGEAdABhAC4AUwBvAHUAcgBjAGUARABhAHQAYQBfAEwAaQB2AGUAcwB0AG8AYwBrAF8AUAByAG8AZAB1AGMAdABfAFMAaABlAGUAcABfAFMAbwB1AHIAYwBlACIALAAiAEMAbwBtAG0AbwBuAEwAaQB2AGUAcwB0AG8AYwBrAF8AUwBvAHUAcgBjAGUARABhAHQAYQAuAFMAbwB1AHIAYwBlAEQAYQB0AGEAXwBMAGkAdgBlAHMAdABvAGMAawBfAFAAcgBvAGQAdQBjAHQAXwBTAGgAZQBlAHA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YAZQByAHQAaQBsAGkAcwBlAHIAXwBTAG8AdQByAGMAZQBEAGEAdABhAC4ARgBlAHIAdABpAGwAaQBzAGUAcgBfAEMAaABlAG0AaQBjAGEAbABDAG8AbQBwAG8AdQBuAGQARQBsAGUAbQBlAG4AdABzAF8AVABpAHQAbABlACIALAAiAEYAZQByAHQAaQBsAGkAcwBlAHIAXwBTAG8AdQByAGMAZQBEAGEAdABhAC4ARgBlAHIAdABpAGwAaQBzAGUAcgBfAEMAaABlAG0AaQBjAGEAbABDAG8AbQBwAG8AdQBuAGQARQBsAGUAbQBlAG4AdABzAF8AUwBvAHUAcgBjAGUAIgAsACIARgBlAHIAdABpAGwAaQBzAGUAcgBfAFMAbwB1AHIAYwBlAEQAYQB0AGEALgBGAGUAcgB0AGkAbABpAHMAZQByAF8AQwBoAGUAbQBpAGMAYQBsAEMAbwBtAHAAbwB1AG4AZABFAGwAZQBtAGUAbgB0AHMAXwBEAGEAdABhACIALAAiAEYAZQByAHQAaQBsAGkAcwBlAHIAXwBTAG8AdQByAGMAZQBEAGEAdABhAC4ARgBlAHIAdABpAGwAaQBzAGUAcgBfAEMAaABlAG0AaQBjAGEAbABDAG8AbQBwAG8AdQBuAGQARQBsAGUAbQBlAG4AdABzAF8AVgBhAHIAaQBhAHQAaQBvAG4AIgAsACIARgBlAHIAdABpAGwAaQBzAGUAcgBfAFMAbwB1AHIAYwBlAEQAYQB0AGEALgBGAGUAcgB0AGkAbABpAHMAZQByAF8ARgByAGEAYwBHAEEAUwBGAF8AVABpAHQAbABlACIALAAiAEYAZQByAHQAaQBsAGkAcwBlAHIAXwBTAG8AdQByAGMAZQBEAGEAdABhAC4ARgBlAHIAdABpAGwAaQBzAGUAcgBfAEYAcgBhAGMARwBBAFMARgBfAFMAbwB1AHIAYwBlACIALAAiAEYAZQByAHQAaQBsAGkAcwBlAHIAXwBTAG8AdQByAGMAZQBEAGEAdABhAC4ARgBlAHIAdABpAGwAaQBzAGUAcgBfAEYAcgBhAGMARwBBAFMARgBfAEQAYQB0AGEAIgAsACIARgBlAHIAdABpAGwAaQBzAGUAcgBfAFMAbwB1AHIAYwBlAEQAYQB0AGEALgBGAGUAcgB0AGkAbABpAHMAZQByAF8ARgByAGEAYwBHAEEAUwBGAF8AVgBhAHIAaQBhAHQAaQBvAG4AIgAsACIARgBlAHIAdABpAGwAaQBzAGUAcgBfAFMAbwB1AHIAYwBlAEQAYQB0AGEALgBGAGUAcgB0AGkAbABpAHMAZQByAF8ARQBGAFUAcgBlAGEAQwBPADIAXwBUAGkAdABsAGUAIgAsACIARgBlAHIAdABpAGwAaQBzAGUAcgBfAFMAbwB1AHIAYwBlAEQAYQB0AGEALgBGAGUAcgB0AGkAbABpAHMAZQByAF8ARQBGAFUAcgBlAGEAQwBPADIAXwBTAG8AdQByAGMAZQAiACwAIgBGAGUAcgB0AGkAbABpAHMAZQByAF8AUwBvAHUAcgBjAGUARABhAHQAYQAuAEYAZQByAHQAaQBsAGkAcwBlAHIAXwBFAEYAVQByAGUAYQBDAE8AMgBfAFYAYQByAGkAYQBiAGwAZQAiACwAIgBGAGUAcgB0AGkAbABpAHMAZQByAF8AUwBvAHUAcgBjAGUARABhAHQAYQAuAEYAZQByAHQAaQBsAGkAcwBlAHIAXwBFAEYAVQByAGUAYQBDAE8AMgBfAFUAbgBpAHQAIgAsACIARgBlAHIAdABpAGwAaQBzAGUAcgBfAFMAbwB1AHIAYwBlAEQAYQB0AGEALgBGAGUAcgB0AGkAbABpAHMAZQByAF8ARQBGAFUAcgBlAGEAQwBPADIAXwBEAGEAdABhACIALAAiAEYAZQByAHQAaQBsAGkAcwBlAHIAXwBTAG8AdQByAGMAZQBEAGEAdABhAC4ARgBlAHIAdABpAGwAaQBzAGUAcgBfAEUARgBVAHIAZQBhAEMATwAyAF8AVgBhAHIAaQBhAHQAaQBvAG4AIgAsACIARgBlAHIAdABpAGwAaQBzAGUAcgBfAFMAbwB1AHIAYwBlAEQAYQB0AGEALgBGAGUAcgB0AGkAbABpAHMAZQByAF8ARgByAGEAYwBHAEEAUwBNAFMAbwBpAGwAXwBUAGkAdABsAGUAIgAsACIARgBlAHIAdABpAGwAaQBzAGUAcgBfAFMAbwB1AHIAYwBlAEQAYQB0AGEALgBGAGUAcgB0AGkAbABpAHMAZQByAF8ARgByAGEAYwBHAEEAUwBNAFMAbwBpAGwAXwBTAG8AdQByAGMAZQAiACwAIgBGAGUAcgB0AGkAbABpAHMAZQByAF8AUwBvAHUAcgBjAGUARABhAHQAYQAuAEYAZQByAHQAaQBsAGkAcwBlAHIAXwBGAHIAYQBjAEcAQQBTAE0AUwBvAGkAbABfAFYAYQByAGkAYQBiAGwAZQAiACwAIgBGAGUAcgB0AGkAbABpAHMAZQByAF8AUwBvAHUAcgBjAGUARABhAHQAYQAuAEYAZQByAHQAaQBsAGkAcwBlAHIAXwBGAHIAYQBjAEcAQQBTAE0AUwBvAGkAbABfAFUAbgBpAHQAIgAsACIARgBlAHIAdABpAGwAaQBzAGUAcgBfAFMAbwB1AHIAYwBlAEQAYQB0AGEALgBGAGUAcgB0AGkAbABpAHMAZQByAF8ARgByAGEAYwBHAEEAUwBNAFMAbwBpAGwAXwBEAGEAdABhACIALAAiAEYAZQByAHQAaQBsAGkAcwBlAHIAXwBTAG8AdQByAGMAZQBEAGEAdABhAC4ARgBlAHIAdABpAGwAaQBzAGUAcgBfAEYAcgBhAGMARwBBAFMATQBTAG8AaQBsAF8AVgBhAHIAaQBhAHQAaQBvAG4AIgAsACIARgBlAHIAdABpAGwAaQBzAGUAcgBfAFMAbwB1AHIAYwBlAEQAYQB0AGEALgBGAGUAcgB0AGkAbABpAHMAZQByAF8ARgByAGEAYwBMAEUAQQBDAEgAXwBUAGkAdABsAGUAIgAsACIARgBlAHIAdABpAGwAaQBzAGUAcgBfAFMAbwB1AHIAYwBlAEQAYQB0AGEALgBGAGUAcgB0AGkAbABpAHMAZQByAF8ARgByAGEAYwBMAEUAQQBDAEgAXwBTAG8AdQByAGMAZQAiACwAIgBGAGUAcgB0AGkAbABpAHMAZQByAF8AUwBvAHUAcgBjAGUARABhAHQAYQAuAEYAZQByAHQAaQBsAGkAcwBlAHIAXwBGAHIAYQBjAEwARQBBAEMASABfAFYAYQByAGkAYQBiAGwAZQAiACwAIgBGAGUAcgB0AGkAbABpAHMAZQByAF8AUwBvAHUAcgBjAGUARABhAHQAYQAuAEYAZQByAHQAaQBsAGkAcwBlAHIAXwBGAHIAYQBjAEwARQBBAEMASABfAFUAbgBpAHQAIgAsACIARgBlAHIAdABpAGwAaQBzAGUAcgBfAFMAbwB1AHIAYwBlAEQAYQB0AGEALgBGAGUAcgB0AGkAbABpAHMAZQByAF8ARgByAGEAYwBMAEUAQQBDAEgAXwBEAGEAdABhACIALAAiAEYAZQByAHQAaQBsAGkAcwBlAHIAXwBTAG8AdQByAGMAZQBEAGEAdABhAC4ARgBlAHIAdABpAGwAaQBzAGUAcgBfAEYAcgBhAGMATABFAEEAQwBIAF8AVgBhAHIAaQBhAHQAaQBvAG4AIgAsACIARgBlAHIAdABpAGwAaQBzAGUAcgBfAFMAbwB1AHIAYwBlAEQAYQB0AGEALgBGAGUAcgB0AGkAbABpAHMAZQByAF8ARQBGAEwAZQBhAGMAaABfAFQAaQB0AGwAZQAiACwAIgBGAGUAcgB0AGkAbABpAHMAZQByAF8AUwBvAHUAcgBjAGUARABhAHQAYQAuAEYAZQByAHQAaQBsAGkAcwBlAHIAXwBFAEYATABlAGEAYwBoAF8AUwBvAHUAcgBjAGUAIgAsACIARgBlAHIAdABpAGwAaQBzAGUAcgBfAFMAbwB1AHIAYwBlAEQAYQB0AGEALgBGAGUAcgB0AGkAbABpAHMAZQByAF8ARQBGAEwAZQBhAGMAaABfAFYAYQByAGkAYQBiAGwAZQAiACwAIgBGAGUAcgB0AGkAbABpAHMAZQByAF8AUwBvAHUAcgBjAGUARABhAHQAYQAuAEYAZQByAHQAaQBsAGkAcwBlAHIAXwBFAEYATABlAGEAYwBoAF8AVQBuAGkAdAAiACwAIgBGAGUAcgB0AGkAbABpAHMAZQByAF8AUwBvAHUAcgBjAGUARABhAHQAYQAuAEYAZQByAHQAaQBsAGkAcwBlAHIAXwBFAEYATABlAGEAYwBoAF8ARABhAHQAYQAiACwAIgBGAGUAcgB0AGkAbABpAHMAZQByAF8AUwBvAHUAcgBjAGUARABhAHQAYQAuAEYAZQByAHQAaQBsAGkAcwBlAHIAXwBFAEYATABlAGEAYwBoAF8AVgBhAHIAaQBhAHQAaQBvAG4AIgAsACIARgBlAHIAdABpAGwAaQBzAGUAcgBfAFMAbwB1AHIAYwBlAEQAYQB0AGEALgBGAGUAcgB0AGkAbABpAHMAZQByAF8ATABpAG0AZQBEAG8AbABvAG0AaQB0AGUARwB5AHAAcwB1AG0AQwBvAG4AcwB0AGEAbgB0AHMAXwBUAGkAdABsAGUAIgAsACIARgBlAHIAdABpAGwAaQBzAGUAcgBfAFMAbwB1AHIAYwBlAEQAYQB0AGEALgBGAGUAcgB0AGkAbABpAHMAZQByAF8ATABpAG0AZQBEAG8AbABvAG0AaQB0AGUARwB5AHAAcwB1AG0AQwBvAG4AcwB0AGEAbgB0AHMAXwBEAGUAcwBjAHIAaQBwAHQAaQBvAG4AIgAsACIARgBlAHIAdABpAGwAaQBzAGUAcgBfAFMAbwB1AHIAYwBlAEQAYQB0AGEALgBGAGUAcgB0AGkAbABpAHMAZQByAF8ATABpAG0AZQBEAG8AbABvAG0AaQB0AGUARwB5AHAAcwB1AG0AQwBvAG4AcwB0AGEAbgB0AHMAXwBTAG8AdQByAGMAZQAiACwAIgBGAGUAcgB0AGkAbABpAHMAZQByAF8AUwBvAHUAcgBjAGUARABhAHQAYQAuAEYAZQByAHQAaQBsAGkAcwBlAHIAXwBMAGkAbQBlAEQAbwBsAG8AbQBpAHQAZQBHAHkAcABzAHUAbQBDAG8AbgBzAHQAYQBuAHQAcwBfAEQAYQB0AGEAIgAsACIARgBlAHIAdABpAGwAaQBzAGUAcgBfAFMAbwB1AHIAYwBlAEQAYQB0AGEALgBGAGUAcgB0AGkAbABpAHMAZQByAF8ATABpAG0AZQBEAG8AbABvAG0AaQB0AGUARwB5AHAAcwB1AG0AQwBvAG4AcwB0AGEAbgB0AHMAXwBWAGEAcgBpAGEAdABpAG8AbgAiACwAIgBGAGUAcgB0AGkAbABpAHMAZQByAF8AUwBvAHUAcgBjAGUARABhAHQAYQAuAEYAZQByAHQAaQBsAGkAcwBlAHIAXwBGAHIAYQBjAHQAaQBvAG4ATgBDAG8AbQBtAG8AbgBGAGUAcgB0AGkAbABpAHMAZQByAHMAXwBUAGkAdABsAGUAIgAsACIARgBlAHIAdABpAGwAaQBzAGUAcgBfAFMAbwB1AHIAYwBlAEQAYQB0AGEALgBGAGUAcgB0AGkAbABpAHMAZQByAF8ARgByAGEAYwB0AGkAbwBuAE4AQwBvAG0AbQBvAG4ARgBlAHIAdABpAGwAaQBzAGUAcgBzAF8AUwBvAHUAcgBjAGUAIgAsACIARgBlAHIAdABpAGwAaQBzAGUAcgBfAFMAbwB1AHIAYwBlAEQAYQB0AGEALgBGAGUAcgB0AGkAbABpAHMAZQByAF8ARgByAGEAYwB0AGkAbwBuAE4AQwBvAG0AbQBvAG4ARgBlAHIAdABpAGwAaQBzAGUAcgBzAF8ARABhAHQAYQAiACwAIgBGAGUAcgB0AGkAbABpAHMAZQByAF8AUwBvAHUAcgBjAGUARABhAHQAYQAuAEYAZQByAHQAaQBsAGkAcwBlAHIAXwBGAHIAYQBjAHQAaQBvAG4ATgBDAG8AbQBtAG8AbgBGAGUAcgB0AGkAbABpAHMAZQByAHMAXwBWAGEAcgBpAGEAdABpAG8AbgAiACwAIgBGAGUAcgB0AGkAbABpAHMAZQByAF8AUwBvAHUAcgBjAGUARABhAHQAYQAuAEYAZQByAHQAaQBsAGkAcwBlAHIAXwBGAHIAYQBjAHQAaQBvAG4AVQByAGUAYQBDAG8AbQBtAG8AbgBGAGUAcgB0AGkAbABpAHMAZQByAHMAXwBUAGkAdABsAGUAIgAsACIARgBlAHIAdABpAGwAaQBzAGUAcgBfAFMAbwB1AHIAYwBlAEQAYQB0AGEALgBGAGUAcgB0AGkAbABpAHMAZQByAF8ARgByAGEAYwB0AGkAbwBuAFUAcgBlAGEAQwBvAG0AbQBvAG4ARgBlAHIAdABpAGwAaQBzAGUAcgBzAF8AUwBvAHUAcgBjAGUAIgAsACIARgBlAHIAdABpAGwAaQBzAGUAcgBfAFMAbwB1AHIAYwBlAEQAYQB0AGEALgBGAGUAcgB0AGkAbABpAHMAZQByAF8ARgByAGEAYwB0AGkAbwBuAFUAcgBlAGEAQwBvAG0AbQBvAG4ARgBlAHIAdABpAGwAaQBzAGUAcgBzAF8ARABhAHQAYQAiACwAIgBGAGUAcgB0AGkAbABpAHMAZQByAF8AUwBvAHUAcgBjAGUARABhAHQAYQAuAEYAZQByAHQAaQBsAGkAcwBlAHIAXwBGAHIAYQBjAHQAaQBvAG4AVQByAGUAYQBDAG8AbQBtAG8AbgBGAGUAcgB0AGkAbABpAHMAZQByAHMAXwBWAGEAcgBpAGEAdABpAG8AbgAiACwAIgBGAGUAcgB0AGkAbABpAHMAZQByAF8AUwBvAHUAcgBjAGUARABhAHQAYQAuAEYAZQByAHQAaQBsAGkAcwBlAHIAXwBVAHIAZQBhAEEAbQBtAG8AbgBpAGEAUwBvAHUAcgBjAGUAUgBlAGcAaQBvAG4AcwBfAFQAaQB0AGwAZQAiACwAIgBGAGUAcgB0AGkAbABpAHMAZQByAF8AUwBvAHUAcgBjAGUARABhAHQAYQAuAEYAZQByAHQAaQBsAGkAcwBlAHIAXwBVAHIAZQBhAEEAbQBtAG8AbgBpAGEAUwBvAHUAcgBjAGUAUgBlAGcAaQBvAG4AcwBfAFMAbwB1AHIAYwBlACIALAAiAEYAZQByAHQAaQBsAGkAcwBlAHIAXwBTAG8AdQByAGMAZQBEAGEAdABhAC4ARgBlAHIAdABpAGwAaQBzAGUAcgBfAFUAcgBlAGEAQQBtAG0AbwBuAGkAYQBTAG8AdQByAGMAZQBSAGUAZwBpAG8AbgBzAF8ARABhAHQAYQAiACwAIgBGAGUAcgB0AGkAbABpAHMAZQByAF8AUwBvAHUAcgBjAGUARABhAHQAYQAuAEYAZQByAHQAaQBsAGkAcwBlAHIAXwBQAHIAbwBkAHUAYwB0AHMAXwBUAGkAdABsAGUAIgAsACIARgBlAHIAdABpAGwAaQBzAGUAcgBfAFMAbwB1AHIAYwBlAEQAYQB0AGEALgBGAGUAcgB0AGkAbABpAHMAZQByAF8AUAByAG8AZAB1AGMAdABzAF8AUwBvAHUAcgBjAGUAIgAsACIARgBlAHIAdABpAGwAaQBzAGUAcgBfAFMAbwB1AHIAYwBlAEQAYQB0AGEALgBGAGUAcgB0AGkAbABpAHMAZQByAF8AUAByAG8AZAB1AGMAdABzAF8ARABhAHQAYQAxACIALAAiAEYAZQByAHQAaQBsAGkAcwBlAHIAXwBJAG4AcAB1AHQARgB1AG4AYwB0AGkAbwBuAHMALgBGAGUAcgB0AGkAbABpAHMAZQByAF8ARgBlAHIAdABpAGwAaQBzAGUAcgBQAHIAbwBkAHUAYwB0AEwAbwBvAGsAdQBwACIALAAiAEYAZQByAHQAaQBsAGkAcwBlAHIAXwBJAG4AcAB1AHQARgB1AG4AYwB0AGkAbwBuAHMALgBGAGUAcgB0AGkAbABpAHMAZQByAF8AUwB1AG0AUAByAG8AZAB1AGMAdABBAHAAcABsAGkAZQBkACIALAAiAEYAZQByAHQAaQBsAGkAcwBlAHIAXwBJAG4AcAB1AHQARgB1AG4AYwB0AGkAbwBuAHMALgBGAGUAcgB0AGkAbABpAHMAZQByAF8AVABvAHQAYQBsAFMAbwBpAGwAQQBtAGUAbgBkAG0AZQBuAHQAQQBwAHAAbABpAGUAZAAiACwAIgBGAGUAcgB0AGkAbABpAHMAZQByAF8ASQBuAHAAdQB0AEYAdQBuAGMAdABpAG8AbgBzAC4ARgBlAHIAdABpAGwAaQBzAGUAcgBfAFQAbwB0AGEAbABDAGgAZQBtAGkAYwBhAGwAQwBvAG0AcABvAHUAbgBkAEEAcABwAGwAaQBlAGQAQQBsAGwASQBuAGcAcgBlAGQAaQBlAG4AdABzACIALAAiAEYAZQByAHQAaQBsAGkAcwBlAHIAXwBJAG4AcAB1AHQARgB1AG4AYwB0AGkAbwBuAHMALgBGAGUAcgB0AGkAbABpAHMAZQByAF8AVABvAHQAYQBsAEMAaABlAG0AaQBjAGEAbABDAG8AbQBwAG8AdQBuAGQAdABBAHAAcABsAGkAZQBkAEIAeQBTAG8AdQByAGMAZQBBAGwAbABJAG4AZwByAGUAZABpAGUAbgB0AHMAIgAsACIARgBlAHIAdABpAGwAaQBzAGUAcgBfAEkAbgBwAHUAdABGAHUAbgBjAHQAaQBvAG4AcwAuAEYAZQByAHQAaQBsAGkAcwBlAHIAXwBHAGUAdABTAGMAbwBwAGUAMwBFAEYAIgAsACIARgBlAHIAdABpAGwAaQBzAGUAcgBfAEkAbgBwAHUAdABGAHUAbgBjAHQAaQBvAG4AcwAuAEYAZQByAHQAaQBsAGkAcwBlAHIAXwBHAGUAdABDAGgAZQBtAGkAYwBhAGwAQwBvAG0AcABvAHUAbgBkAEUAbABlAG0AZQBuAHQARgByAGEAYwB0AGkAbwBuACIALAAiAEYAZQByAHQAaQBsAGkAcwBlAHIAXwBJAG4AcAB1AHQARgB1AG4AYwB0AGkAbwBuAHMALgBGAGUAcgB0AGkAbABpAHMAZQByAF8AVABvAHQAYQBsAEEAYwB0AGkAdgBlAEkAbgBnAHIAZQBkAGkAZQBuAHQAQQBwAHAAbABpAGUAZABBAGwAbABJAG4AZwByAGUAZABpAGUAbgB0AHMAIgAsACIARgBlAHIAdABpAGwAaQBzAGUAcgBfAEUAcQB1AGEAdABpAG8AbgBzAF8ASQBuAG8AcgBnAGEAbgBpAGMATgAyAE8ALgBWAEUARQBSAEcAXwA1AF8AMQBfADEAXwAxAF8AXwAxAF8ASQBuAG8AcgBnAGEAbgBpAGMARgBlAHIAdABpAGwAaQBzAGUAcgBBAHAAcABsAGkAYwBhAHQAaQBvAG4ATgAyAE8ARQBtAGkAcwBzAGkAbwBuAHMAIgAsACIARgBlAHIAdABpAGwAaQBzAGUAcgBfAEUAcQB1AGEAdABpAG8AbgBzAF8ASQBuAG8AcgBnAGEAbgBpAGMATgAyAE8ALgBWAEUARQBSAEcAXwA1AF8AMQBfADEAXwAxAF8AXwAxAF8ASQBuAG8AcgBnAGEAbgBpAGMARgBlAHIAdABpAGwAaQBzAGUAcgBBAHAAcABsAGkAYwBhAHQAaQBvAG4ATgAyAE8ARQBtAGkAcwBzAGkAbwBuAHMAXwBUAGkAdABsAGUAIgAsACIARgBlAHIAdABpAGwAaQBzAGUAcgBfAEUAcQB1AGEAdABpAG8AbgBzAF8ASQBuAG8AcgBnAGEAbgBpAGMATgAyAE8ALgBWAEUARQBSAEcAXwA1AF8AMQBfADEAXwAxAF8AXwAxAF8ASQBuAG8AcgBnAGEAbgBpAGMARgBlAHIAdABpAGwAaQBzAGUAcgBBAHAAcABsAGkAYwBhAHQAaQBvAG4ATgAyAE8ARQBtAGkAcwBzAGkAbwBuAHMAXwBWAGEAcgBpAGEAYgBsAGUAIgAsACIARgBlAHIAdABpAGwAaQBzAGUAcgBfAEUAcQB1AGEAdABpAG8AbgBzAF8ASQBuAG8AcgBnAGEAbgBpAGMATgAyAE8ALgBWAEUARQBSAEcAXwA1AF8AMQBfADEAXwAxAF8AXwAxAF8ASQBuAG8AcgBnAGEAbgBpAGMARgBlAHIAdABpAGwAaQBzAGUAcgBBAHAAcABsAGkAYwBhAHQAaQBvAG4ATgAyAE8ARQBtAGkAcwBzAGkAbwBuAHMAXwBVAG4AaQB0ACIALAAiAEYAZQByAHQAaQBsAGkAcwBlAHIAXwBFAHEAdQBhAHQAaQBvAG4AcwBfAEkAbgBvAHIAZwBhAG4AaQBjAE4AMgBPAC4AVgBFAEUAUgBHAF8ANQBfADEAXwAxAF8AMQBfAF8AMQBfAEkAbgBvAHIAZwBhAG4AaQBjAEYAZQByAHQAaQBsAGkAcwBlAHIAQQBwAHAAbABpAGMAYQB0AGkAbwBuAE4AMgBPAEUAbQBpAHMAcwBpAG8AbgBzAF8AUwBvAHUAcgBjAGUAIgAsACIARgBlAHIAdABpAGwAaQBzAGUAcgBfAEUAcQB1AGEAdABpAG8AbgBzAF8ASQBuAG8AcgBnAGEAbgBpAGMATgAyAE8ALgBWAEUARQBSAEcAXwA1AF8AMQBfADEAXwAxAF8AXwAxAF8ASQBuAG8AcgBnAGEAbgBpAGMARgBlAHIAdABpAGwAaQBzAGUAcgBBAHAAcABsAGkAYwBhAHQAaQBvAG4ATgAyAE8ARQBtAGkAcwBzAGkAbwBuAHMAXwBOAEkAUgBSAGUAZgBlAHIAZQBuAGMAZQAiACwAIgBGAGUAcgB0AGkAbABpAHMAZQByAF8ARQBxAHUAYQB0AGkAbwBuAHMAXwBJAG4AbwByAGcAYQBuAGkAYwBOADIATwAuAFYARQBFAFIARwBfADUAXwAxAF8AMQBfADEAXwBfADEAXwBJAG4AbwByAGcAYQBuAGkAYwBGAGUAcgB0AGkAbABpAHMAZQByAEEAcABwAGwAaQBjAGEAdABpAG8AbgBOADIATwBFAG0AaQBzAHMAaQBvAG4AcwBfAEwAYQB0AGUAeABFAHEAdQBhAHQAaQBvAG4AIgAsACIARgBlAHIAdABpAGwAaQBzAGUAcgBfAEUAcQB1AGEAdABpAG8AbgBzAF8ASQBuAG8AcgBnAGEAbgBpAGMATgAyAE8ALgBWAEUARQBSAEcAXwA1AF8AMQBfADEAXwAxAF8AXwAxAF8ASQBuAG8AcgBnAGEAbgBpAGMARgBlAHIAdABpAGwAaQBzAGUAcgBBAHAAcABsAGkAYwBhAHQAaQBvAG4ATgAyAE8ARQBtAGkAcwBzAGkAbwBuAHMAXwBBAHIAZwB1AG0AZQBuAHQAcwAiACwAIgBGAGUAcgB0AGkAbABpAHMAZQByAF8ARQBxAHUAYQB0AGkAbwBuAHMAXwBJAG4AbwByAGcAYQBuAGkAYwBOADIATwAuAFYARQBFAFIARwBfADUAXwAxAF8AMQBfADEAXwBfADEAXwBJAG4AbwByAGcAYQBuAGkAYwBGAGUAcgB0AGkAbABpAHMAZQByAEEAcABwAGwAaQBjAGEAdABpAG8AbgBOADIATwBFAG0AaQBzAHMAaQBvAG4AcwBfAEEAcgBnAHUAbQBlAG4AdABzAF8ATQBlAHQAaABvAGQAMgAiACwAIgBGAGUAcgB0AGkAbABpAHMAZQByAF8ARQBxAHUAYQB0AGkAbwBuAHMAXwBJAG4AbwByAGcAYQBuAGkAYwBOADIATwAuAFYARQBFAFIARwBfADUAXwAxAF8AMQBfADEAXwBfADIAXwBNAGEAcwBzAE8AZgBOAGkAdAByAG8AZwBlAG4ASQBuAEkAbgBvAHIAZwBhAG4AaQBjAEYAZQByAHQAaQBsAGkAcwBlAHIAIgAsACIARgBlAHIAdABpAGwAaQBzAGUAcgBfAEUAcQB1AGEAdABpAG8AbgBzAF8ASQBuAG8AcgBnAGEAbgBpAGMATgAyAE8ALgBWAEUARQBSAEcAXwA1AF8AMQBfADEAXwAxAF8AXwAyAF8ATQBhAHMAcwBPAGYATgBpAHQAcgBvAGcAZQBuAEkAbgBJAG4AbwByAGcAYQBuAGkAYwBGAGUAcgB0AGkAbABpAHMAZQByAF8AVABpAHQAbABlACIALAAiAEYAZQByAHQAaQBsAGkAcwBlAHIAXwBFAHEAdQBhAHQAaQBvAG4AcwBfAEkAbgBvAHIAZwBhAG4AaQBjAE4AMgBPAC4AVgBFAEUAUgBHAF8ANQBfADEAXwAxAF8AMQBfAF8AMgBfAE0AYQBzAHMATwBmAE4AaQB0AHIAbwBnAGUAbgBJAG4ASQBuAG8AcgBnAGEAbgBpAGMARgBlAHIAdABpAGwAaQBzAGUAcgBfAFYAYQByAGkAYQBiAGwAZQAiACwAIgBGAGUAcgB0AGkAbABpAHMAZQByAF8ARQBxAHUAYQB0AGkAbwBuAHMAXwBJAG4AbwByAGcAYQBuAGkAYwBOADIATwAuAFYARQBFAFIARwBfADUAXwAxAF8AMQBfADEAXwBfADIAXwBNAGEAcwBzAE8AZgBOAGkAdAByAG8AZwBlAG4ASQBuAEkAbgBvAHIAZwBhAG4AaQBjAEYAZQByAHQAaQBsAGkAcwBlAHIAXwBVAG4AaQB0ACIALAAiAEYAZQByAHQAaQBsAGkAcwBlAHIAXwBFAHEAdQBhAHQAaQBvAG4AcwBfAEkAbgBvAHIAZwBhAG4AaQBjAE4AMgBPAC4AVgBFAEUAUgBHAF8ANQBfADEAXwAxAF8AMQBfAF8AMgBfAE0AYQBzAHMATwBmAE4AaQB0AHIAbwBnAGUAbgBJAG4ASQBuAG8AcgBnAGEAbgBpAGMARgBlAHIAdABpAGwAaQBzAGUAcgBfAFMAbwB1AHIAYwBlACIALAAiAEYAZQByAHQAaQBsAGkAcwBlAHIAXwBFAHEAdQBhAHQAaQBvAG4AcwBfAEkAbgBvAHIAZwBhAG4AaQBjAE4AMgBPAC4AVgBFAEUAUgBHAF8ANQBfADEAXwAxAF8AMQBfAF8AMgBfAE0AYQBzAHMATwBmAE4AaQB0AHIAbwBnAGUAbgBJAG4ASQBuAG8AcgBnAGEAbgBpAGMARgBlAHIAdABpAGwAaQBzAGUAcgBfAE4ASQBSAFIAZQBmAGUAcgBlAG4AYwBlACIALAAiAEYAZQByAHQAaQBsAGkAcwBlAHIAXwBFAHEAdQBhAHQAaQBvAG4AcwBfAEkAbgBvAHIAZwBhAG4AaQBjAE4AMgBPAC4AVgBFAEUAUgBHAF8ANQBfADEAXwAxAF8AMQBfAF8AMgBfAE0AYQBzAHMATwBmAE4AaQB0AHIAbwBnAGUAbgBJAG4ASQBuAG8AcgBnAGEAbgBpAGMARgBlAHIAdABpAGwAaQBzAGUAcgBfAEwAYQB0AGUAeABFAHEAdQBhAHQAaQBvAG4AIgAsACIARgBlAHIAdABpAGwAaQBzAGUAcgBfAEUAcQB1AGEAdABpAG8AbgBzAF8ASQBuAG8AcgBnAGEAbgBpAGMATgAyAE8ALgBWAEUARQBSAEcAXwA1AF8AMQBfADEAXwAxAF8AXwAyAF8ATQBhAHMAcwBPAGYATgBpAHQAcgBvAGcAZQBuAEkAbgBJAG4AbwByAGcAYQBuAGkAYwBGAGUAcgB0AGkAbABpAHMAZQByAF8AQQByAGcAdQBtAGUAbgB0AHMAIgAsACIARgBlAHIAdABpAGwAaQBzAGUAcgBfAEUAcQB1AGEAdABpAG8AbgBzAF8ASQBuAG8AcgBnAGEAbgBpAGMATgAyAE8ALgBWAEUARQBSAEcAXwA1AF8AMQBfADEAXwAyAF8AXwAxAF8ARQBtAGkAcwBzAGkAbwBuAEYAYQBjAHQAbwByAEkAcgByAGkAZwBhAHQAZQBkAE0AYQBpAHoAZQAiACwAIgBGAGUAcgB0AGkAbABpAHMAZQByAF8ARQBxAHUAYQB0AGkAbwBuAHMAXwBJAG4AbwByAGcAYQBuAGkAYwBOADIATwAuAFYARQBFAFIARwBfADUAXwAxAF8AMQBfADIAXwBfADEAXwBFAG0AaQBzAHMAaQBvAG4ARgBhAGMAdABvAHIASQByAHIAaQBnAGEAdABlAGQATQBhAGkAegBlAF8AVABpAHQAbABlACIALAAiAEYAZQByAHQAaQBsAGkAcwBlAHIAXwBFAHEAdQBhAHQAaQBvAG4AcwBfAEkAbgBvAHIAZwBhAG4AaQBjAE4AMgBPAC4AVgBFAEUAUgBHAF8ANQBfADEAXwAxAF8AMgBfAF8AMQBfAEUAbQBpAHMAcwBpAG8AbgBGAGEAYwB0AG8AcgBJAHIAcgBpAGcAYQB0AGUAZABNAGEAaQB6AGUAXwBWAGEAcgBpAGEAYgBsAGUAIgAsACIARgBlAHIAdABpAGwAaQBzAGUAcgBfAEUAcQB1AGEAdABpAG8AbgBzAF8ASQBuAG8AcgBnAGEAbgBpAGMATgAyAE8ALgBWAEUARQBSAEcAXwA1AF8AMQBfADEAXwAyAF8AXwAxAF8ARQBtAGkAcwBzAGkAbwBuAEYAYQBjAHQAbwByAEkAcgByAGkAZwBhAHQAZQBkAE0AYQBpAHoAZQBfAFUAbgBpAHQAIgAsACIARgBlAHIAdABpAGwAaQBzAGUAcgBfAEUAcQB1AGEAdABpAG8AbgBzAF8ASQBuAG8AcgBnAGEAbgBpAGMATgAyAE8ALgBWAEUARQBSAEcAXwA1AF8AMQBfADEAXwAyAF8AXwAxAF8ARQBtAGkAcwBzAGkAbwBuAEYAYQBjAHQAbwByAEkAcgByAGkAZwBhAHQAZQBkAE0AYQBpAHoAZQBfAFMAbwB1AHIAYwBlACIALAAiAEYAZQByAHQAaQBsAGkAcwBlAHIAXwBFAHEAdQBhAHQAaQBvAG4AcwBfAEkAbgBvAHIAZwBhAG4AaQBjAE4AMgBPAC4AVgBFAEUAUgBHAF8ANQBfADEAXwAxAF8AMgBfAF8AMQBfAEUAbQBpAHMAcwBpAG8AbgBGAGEAYwB0AG8AcgBJAHIAcgBpAGcAYQB0AGUAZABNAGEAaQB6AGUAXwBOAEkAUgBSAGUAZgBlAHIAZQBuAGMAZQAiACwAIgBGAGUAcgB0AGkAbABpAHMAZQByAF8ARQBxAHUAYQB0AGkAbwBuAHMAXwBJAG4AbwByAGcAYQBuAGkAYwBOADIATwAuAFYARQBFAFIARwBfADUAXwAxAF8AMQBfADIAXwBfADEAXwBFAG0AaQBzAHMAaQBvAG4ARgBhAGMAdABvAHIASQByAHIAaQBnAGEAdABlAGQATQBhAGkAegBlAF8ATABhAHQAZQB4AEUAcQB1AGEAdABpAG8AbgAiACwAIgBGAGUAcgB0AGkAbABpAHMAZQByAF8ARQBxAHUAYQB0AGkAbwBuAHMAXwBJAG4AbwByAGcAYQBuAGkAYwBOADIATwAuAFYARQBFAFIARwBfADUAXwAxAF8AMQBfADIAXwBfADEAXwBFAG0AaQBzAHMAaQBvAG4ARgBhAGMAdABvAHIASQByAHIAaQBnAGEAdABlAGQATQBhAGkAegBlAF8AQQByAGcAdQBtAGUAbgB0AHMAIgAsACIARgBlAHIAdABpAGwAaQBzAGUAcgBfAEUAcQB1AGEAdABpAG8AbgBzAF8ASQBuAG8AcgBnAGEAbgBpAGMATgAyAE8ALgBWAEUARQBSAEcAXwA1AF8AMQBfADEAXwAyAF8AXwAyAF8ARQBtAGkAcwBzAGkAbwBuAEYAYQBjAHQAbwByAE4AbwBuAEkAcgByAGkAZwBhAHQAZQBkAEcAcgBhAGkAbgBzAEgAaQBnAGgAUgBhAGkAbgBmAGEAbABsACIALAAiAEYAZQByAHQAaQBsAGkAcwBlAHIAXwBFAHEAdQBhAHQAaQBvAG4AcwBfAEkAbgBvAHIAZwBhAG4AaQBjAE4AMgBPAC4AVgBFAEUAUgBHAF8ANQBfADEAXwAxAF8AMgBfAF8AMgBfAEUAbQBpAHMAcwBpAG8AbgBGAGEAYwB0AG8AcgBOAG8AbgBJAHIAcgBpAGcAYQB0AGUAZABHAHIAYQBpAG4AcwBIAGkAZwBoAFIAYQBpAG4AZgBhAGwAbABfAFQAaQB0AGwAZQAiACwAIgBGAGUAcgB0AGkAbABpAHMAZQByAF8ARQBxAHUAYQB0AGkAbwBuAHMAXwBJAG4AbwByAGcAYQBuAGkAYwBOADIATwAuAFYARQBFAFIARwBfADUAXwAxAF8AMQBfADIAXwBfADIAXwBFAG0AaQBzAHMAaQBvAG4ARgBhAGMAdABvAHIATgBvAG4ASQByAHIAaQBnAGEAdABlAGQARwByAGEAaQBuAHMASABpAGcAaABSAGEAaQBuAGYAYQBsAGwAXwBWAGEAcgBpAGEAYgBsAGUAIgAsACIARgBlAHIAdABpAGwAaQBzAGUAcgBfAEUAcQB1AGEAdABpAG8AbgBzAF8ASQBuAG8AcgBnAGEAbgBpAGMATgAyAE8ALgBWAEUARQBSAEcAXwA1AF8AMQBfADEAXwAyAF8AXwAyAF8ARQBtAGkAcwBzAGkAbwBuAEYAYQBjAHQAbwByAE4AbwBuAEkAcgByAGkAZwBhAHQAZQBkAEcAcgBhAGkAbgBzAEgAaQBnAGgAUgBhAGkAbgBmAGEAbABsAF8AVQBuAGkAdAAiACwAIgBGAGUAcgB0AGkAbABpAHMAZQByAF8ARQBxAHUAYQB0AGkAbwBuAHMAXwBJAG4AbwByAGcAYQBuAGkAYwBOADIATwAuAFYARQBFAFIARwBfADUAXwAxAF8AMQBfADIAXwBfADIAXwBFAG0AaQBzAHMAaQBvAG4ARgBhAGMAdABvAHIATgBvAG4ASQByAHIAaQBnAGEAdABlAGQARwByAGEAaQBuAHMASABpAGcAaABSAGEAaQBuAGYAYQBsAGwAXwBTAG8AdQByAGMAZQAiACwAIgBGAGUAcgB0AGkAbABpAHMAZQByAF8ARQBxAHUAYQB0AGkAbwBuAHMAXwBJAG4AbwByAGcAYQBuAGkAYwBOADIATwAuAFYARQBFAFIARwBfADUAXwAxAF8AMQBfADIAXwBfADIAXwBFAG0AaQBzAHMAaQBvAG4ARgBhAGMAdABvAHIATgBvAG4ASQByAHIAaQBnAGEAdABlAGQARwByAGEAaQBuAHMASABpAGcAaABSAGEAaQBuAGYAYQBsAGwAXwBOAEkAUgBSAGUAZgBlAHIAZQBuAGMAZQAiACwAIgBGAGUAcgB0AGkAbABpAHMAZQByAF8ARQBxAHUAYQB0AGkAbwBuAHMAXwBJAG4AbwByAGcAYQBuAGkAYwBOADIATwAuAFYARQBFAFIARwBfADUAXwAxAF8AMQBfADIAXwBfADIAXwBFAG0AaQBzAHMAaQBvAG4ARgBhAGMAdABvAHIATgBvAG4ASQByAHIAaQBnAGEAdABlAGQARwByAGEAaQBuAHMASABpAGcAaABSAGEAaQBuAGYAYQBsAGwAXwBMAGEAdABlAHgARQBxAHUAYQB0AGkAbwBuACIALAAiAEYAZQByAHQAaQBsAGkAcwBlAHIAXwBFAHEAdQBhAHQAaQBvAG4AcwBfAEkAbgBvAHIAZwBhAG4AaQBjAE4AMgBPAC4AVgBFAEUAUgBHAF8ANQBfADEAXwAxAF8AMgBfAF8AMgBfAEUAbQBpAHMAcwBpAG8AbgBGAGEAYwB0AG8AcgBOAG8AbgBJAHIAcgBpAGcAYQB0AGUAZABHAHIAYQBpAG4AcwBIAGkAZwBoAFIAYQBpAG4AZgBhAGwAbABfAEEAcgBnAHUAbQBlAG4AdABzACIALAAiAEYAZQByAHQAaQBsAGkAcwBlAHIAXwBFAHEAdQBhAHQAaQBvAG4AcwBfAEkAbgBvAHIAZwBhAG4AaQBjAE4AMgBPAC4AVgBFAEUAUgBHAF8ANQBfADEAXwAxAF8AMgBfAF8AMwBfAEUAbQBpAHMAcwBpAG8AbgBGAGEAYwB0AG8AcgBDAG8AdAB0AG8AbgAiACwAIgBGAGUAcgB0AGkAbABpAHMAZQByAF8ARQBxAHUAYQB0AGkAbwBuAHMAXwBJAG4AbwByAGcAYQBuAGkAYwBOADIATwAuAFYARQBFAFIARwBfADUAXwAxAF8AMQBfADIAXwBfADMAXwBFAG0AaQBzAHMAaQBvAG4ARgBhAGMAdABvAHIAQwBvAHQAdABvAG4AXwBUAGkAdABsAGUAIgAsACIARgBlAHIAdABpAGwAaQBzAGUAcgBfAEUAcQB1AGEAdABpAG8AbgBzAF8ASQBuAG8AcgBnAGEAbgBpAGMATgAyAE8ALgBWAEUARQBSAEcAXwA1AF8AMQBfADEAXwAyAF8AXwAzAF8ARQBtAGkAcwBzAGkAbwBuAEYAYQBjAHQAbwByAEMAbwB0AHQAbwBuAF8AVgBhAHIAaQBhAGIAbABlACIALAAiAEYAZQByAHQAaQBsAGkAcwBlAHIAXwBFAHEAdQBhAHQAaQBvAG4AcwBfAEkAbgBvAHIAZwBhAG4AaQBjAE4AMgBPAC4AVgBFAEUAUgBHAF8ANQBfADEAXwAxAF8AMgBfAF8AMwBfAEUAbQBpAHMAcwBpAG8AbgBGAGEAYwB0AG8AcgBDAG8AdAB0AG8AbgBfAFUAbgBpAHQAIgAsACIARgBlAHIAdABpAGwAaQBzAGUAcgBfAEUAcQB1AGEAdABpAG8AbgBzAF8ASQBuAG8AcgBnAGEAbgBpAGMATgAyAE8ALgBWAEUARQBSAEcAXwA1AF8AMQBfADEAXwAyAF8AXwAzAF8ARQBtAGkAcwBzAGkAbwBuAEYAYQBjAHQAbwByAEMAbwB0AHQAbwBuAF8AUwBvAHUAcgBjAGUAIgAsACIARgBlAHIAdABpAGwAaQBzAGUAcgBfAEUAcQB1AGEAdABpAG8AbgBzAF8ASQBuAG8AcgBnAGEAbgBpAGMATgAyAE8ALgBWAEUARQBSAEcAXwA1AF8AMQBfADEAXwAyAF8AXwAzAF8ARQBtAGkAcwBzAGkAbwBuAEYAYQBjAHQAbwByAEMAbwB0AHQAbwBuAF8ATgBJAFIAUgBlAGYAZQByAGUAbgBjAGUAIgAsACIARgBlAHIAdABpAGwAaQBzAGUAcgBfAEUAcQB1AGEAdABpAG8AbgBzAF8ASQBuAG8AcgBnAGEAbgBpAGMATgAyAE8ALgBWAEUARQBSAEcAXwA1AF8AMQBfADEAXwAyAF8AXwAzAF8ARQBtAGkAcwBzAGkAbwBuAEYAYQBjAHQAbwByAEMAbwB0AHQAbwBuAF8ATABhAHQAZQB4AEUAcQB1AGEAdABpAG8AbgAiACwAIgBGAGUAcgB0AGkAbABpAHMAZQByAF8ARQBxAHUAYQB0AGkAbwBuAHMAXwBJAG4AbwByAGcAYQBuAGkAYwBOADIATwAuAFYARQBFAFIARwBfADUAXwAxAF8AMQBfADIAXwBfADMAXwBFAG0AaQBzAHMAaQBvAG4ARgBhAGMAdABvAHIAQwBvAHQAdABvAG4AXwBBAHIAZwB1AG0AZQBuAHQAcwAiACwAIgBGAGUAcgB0AGkAbABpAHMAZQByAF8ARQBxAHUAYQB0AGkAbwBuAHMAXwBJAG4AbwByAGcAYQBuAGkAYwBDAE8AMgAuAFYARQBFAFIARwBfADUAXwAxAF8AMQBfADMAXwBfADEAXwBJAG4AbwByAGcAYQBuAGkAYwBGAGUAcgB0AGkAbABpAHMAZQByAEEAcABwAGwAaQBjAGEAdABpAG8AbgBDAE8AMgBFAG0AaQBzAHMAaQBvAG4AcwAiACwAIgBGAGUAcgB0AGkAbABpAHMAZQByAF8ARQBxAHUAYQB0AGkAbwBuAHMAXwBJAG4AbwByAGcAYQBuAGkAYwBDAE8AMgAuAFYARQBFAFIARwBfADUAXwAxAF8AMQBfADMAXwBfADEAXwBJAG4AbwByAGcAYQBuAGkAYwBGAGUAcgB0AGkAbABpAHMAZQByAEEAcABwAGwAaQBjAGEAdABpAG8AbgBDAE8AMgBFAG0AaQBzAHMAaQBvAG4AcwBfAFQAaQB0AGwAZQAiACwAIgBGAGUAcgB0AGkAbABpAHMAZQByAF8ARQBxAHUAYQB0AGkAbwBuAHMAXwBJAG4AbwByAGcAYQBuAGkAYwBDAE8AMgAuAFYARQBFAFIARwBfADUAXwAxAF8AMQBfADMAXwBfADEAXwBJAG4AbwByAGcAYQBuAGkAYwBGAGUAcgB0AGkAbABpAHMAZQByAEEAcABwAGwAaQBjAGEAdABpAG8AbgBDAE8AMgBFAG0AaQBzAHMAaQBvAG4AcwBfAFYAYQByAGkAYQBiAGwAZQAiACwAIgBGAGUAcgB0AGkAbABpAHMAZQByAF8ARQBxAHUAYQB0AGkAbwBuAHMAXwBJAG4AbwByAGcAYQBuAGkAYwBDAE8AMgAuAFYARQBFAFIARwBfADUAXwAxAF8AMQBfADMAXwBfADEAXwBJAG4AbwByAGcAYQBuAGkAYwBGAGUAcgB0AGkAbABpAHMAZQByAEEAcABwAGwAaQBjAGEAdABpAG8AbgBDAE8AMgBFAG0AaQBzAHMAaQBvAG4AcwBfAFUAbgBpAHQAIgAsACIARgBlAHIAdABpAGwAaQBzAGUAcgBfAEUAcQB1AGEAdABpAG8AbgBzAF8ASQBuAG8AcgBnAGEAbgBpAGMAQwBPADIALgBWAEUARQBSAEcAXwA1AF8AMQBfADEAXwAzAF8AXwAxAF8ASQBuAG8AcgBnAGEAbgBpAGMARgBlAHIAdABpAGwAaQBzAGUAcgBBAHAAcABsAGkAYwBhAHQAaQBvAG4AQwBPADIARQBtAGkAcwBzAGkAbwBuAHMAXwBTAG8AdQByAGMAZQAiACwAIgBGAGUAcgB0AGkAbABpAHMAZQByAF8ARQBxAHUAYQB0AGkAbwBuAHMAXwBJAG4AbwByAGcAYQBuAGkAYwBDAE8AMgAuAFYARQBFAFIARwBfADUAXwAxAF8AMQBfADMAXwBfADEAXwBJAG4AbwByAGcAYQBuAGkAYwBGAGUAcgB0AGkAbABpAHMAZQByAEEAcABwAGwAaQBjAGEAdABpAG8AbgBDAE8AMgBFAG0AaQBzAHMAaQBvAG4AcwBfAE4ASQBSAFIAZQBmAGUAcgBlAG4AYwBlACIALAAiAEYAZQByAHQAaQBsAGkAcwBlAHIAXwBFAHEAdQBhAHQAaQBvAG4AcwBfAEkAbgBvAHIAZwBhAG4AaQBjAEMATwAyAC4AVgBFAEUAUgBHAF8ANQBfADEAXwAxAF8AMwBfAF8AMQBfAEkAbgBvAHIAZwBhAG4AaQBjAEYAZQByAHQAaQBsAGkAcwBlAHIAQQBwAHAAbABpAGMAYQB0AGkAbwBuAEMATwAyAEUAbQBpAHMAcwBpAG8AbgBzAF8ATABhAHQAZQB4AEUAcQB1AGEAdABpAG8AbgAiACwAIgBGAGUAcgB0AGkAbABpAHMAZQByAF8ARQBxAHUAYQB0AGkAbwBuAHMAXwBJAG4AbwByAGcAYQBuAGkAYwBDAE8AMgAuAFYARQBFAFIARwBfADUAXwAxAF8AMQBfADMAXwBfADEAXwBJAG4AbwByAGcAYQBuAGkAYwBGAGUAcgB0AGkAbABpAHMAZQByAEEAcABwAGwAaQBjAGEAdABpAG8AbgBDAE8AMgBFAG0AaQBzAHMAaQBvAG4AcwBfAEEAcgBnAHUAbQBlAG4AdABzACIALAAiAEYAZQByAHQAaQBsAGkAcwBlAHIAXwBFAHEAdQBhAHQAaQBvAG4AcwBfAEkAbgBvAHIAZwBhAG4AaQBjAEMATwAyAC4AVgBFAEUAUgBHAF8ANQBfADEAXwAxAF8AMwBfAF8AMgBfAE0AYQBzAHMATwBmAFUAcgBlAGEASQBuAEkAbgBvAHIAZwBhAG4AaQBjAEYAZQByAHQAaQBsAGkAcwBlAHIAIgAsACIARgBlAHIAdABpAGwAaQBzAGUAcgBfAEUAcQB1AGEAdABpAG8AbgBzAF8ASQBuAG8AcgBnAGEAbgBpAGMAQwBPADIALgBWAEUARQBSAEcAXwA1AF8AMQBfADEAXwAzAF8AXwAyAF8ATQBhAHMAcwBPAGYAVQByAGUAYQBJAG4ASQBuAG8AcgBnAGEAbgBpAGMARgBlAHIAdABpAGwAaQBzAGUAcgBfAFQAaQB0AGwAZQAiACwAIgBGAGUAcgB0AGkAbABpAHMAZQByAF8ARQBxAHUAYQB0AGkAbwBuAHMAXwBJAG4AbwByAGcAYQBuAGkAYwBDAE8AMgAuAFYARQBFAFIARwBfADUAXwAxAF8AMQBfADMAXwBfADIAXwBNAGEAcwBzAE8AZgBVAHIAZQBhAEkAbgBJAG4AbwByAGcAYQBuAGkAYwBGAGUAcgB0AGkAbABpAHMAZQByAF8AVgBhAHIAaQBhAGIAbABlACIALAAiAEYAZQByAHQAaQBsAGkAcwBlAHIAXwBFAHEAdQBhAHQAaQBvAG4AcwBfAEkAbgBvAHIAZwBhAG4AaQBjAEMATwAyAC4AVgBFAEUAUgBHAF8ANQBfADEAXwAxAF8AMwBfAF8AMgBfAE0AYQBzAHMATwBmAFUAcgBlAGEASQBuAEkAbgBvAHIAZwBhAG4AaQBjAEYAZQByAHQAaQBsAGkAcwBlAHIAXwBVAG4AaQB0ACIALAAiAEYAZQByAHQAaQBsAGkAcwBlAHIAXwBFAHEAdQBhAHQAaQBvAG4AcwBfAEkAbgBvAHIAZwBhAG4AaQBjAEMATwAyAC4AVgBFAEUAUgBHAF8ANQBfADEAXwAxAF8AMwBfAF8AMgBfAE0AYQBzAHMATwBmAFUAcgBlAGEASQBuAEkAbgBvAHIAZwBhAG4AaQBjAEYAZQByAHQAaQBsAGkAcwBlAHIAXwBTAG8AdQByAGMAZQAiACwAIgBGAGUAcgB0AGkAbABpAHMAZQByAF8ARQBxAHUAYQB0AGkAbwBuAHMAXwBJAG4AbwByAGcAYQBuAGkAYwBDAE8AMgAuAFYARQBFAFIARwBfADUAXwAxAF8AMQBfADMAXwBfADIAXwBNAGEAcwBzAE8AZgBVAHIAZQBhAEkAbgBJAG4AbwByAGcAYQBuAGkAYwBGAGUAcgB0AGkAbABpAHMAZQByAF8ATgBJAFIAUgBlAGYAZQByAGUAbgBjAGUAIgAsACIARgBlAHIAdABpAGwAaQBzAGUAcgBfAEUAcQB1AGEAdABpAG8AbgBzAF8ASQBuAG8AcgBnAGEAbgBpAGMAQwBPADIALgBWAEUARQBSAEcAXwA1AF8AMQBfADEAXwAzAF8AXwAyAF8ATQBhAHMAcwBPAGYAVQByAGUAYQBJAG4ASQBuAG8AcgBnAGEAbgBpAGMARgBlAHIAdABpAGwAaQBzAGUAcgBfAEwAYQB0AGUAeABFAHEAdQBhAHQAaQBvAG4AIgAsACIARgBlAHIAdABpAGwAaQBzAGUAcgBfAEUAcQB1AGEAdABpAG8AbgBzAF8ASQBuAG8AcgBnAGEAbgBpAGMAQwBPADIALgBWAEUARQBSAEcAXwA1AF8AMQBfADEAXwAzAF8AXwAyAF8ATQBhAHMAcwBPAGYAVQByAGUAYQBJAG4ASQBuAG8AcgBnAGEAbgBpAGMARgBlAHIAdABpAGwAaQBzAGUAcgBfAEEAcgBnAHUAbQBlAG4AdABzACIALAAiAEYAZQByAHQAaQBsAGkAcwBlAHIAXwBFAHEAdQBhAHQAaQBvAG4AcwBfAE8AcgBnAGEAbgBpAGMATgAyAE8ALgBWAEUARQBSAEcAXwA1AF8AMgBfADEAXwAxAF8AXwAxAF8ATwByAGcAYQBuAGkAYwBGAGUAcgB0AGkAbABpAHMAZQByAEEAcABwAGwAaQBjAGEAdABpAG8AbgBOADIATwBFAG0AaQBzAHMAaQBvAG4AcwAiACwAIgBGAGUAcgB0AGkAbABpAHMAZQByAF8ARQBxAHUAYQB0AGkAbwBuAHMAXwBPAHIAZwBhAG4AaQBjAE4AMgBPAC4AVgBFAEUAUgBHAF8ANQBfADIAXwAxAF8AMQBfAF8AMQBfAE8AcgBnAGEAbgBpAGMARgBlAHIAdABpAGwAaQBzAGUAcgBBAHAAcABsAGkAYwBhAHQAaQBvAG4ATgAyAE8ARQBtAGkAcwBzAGkAbwBuAHMAXwBUAGkAdABsAGUAIgAsACIARgBlAHIAdABpAGwAaQBzAGUAcgBfAEUAcQB1AGEAdABpAG8AbgBzAF8ATwByAGcAYQBuAGkAYwBOADIATwAuAFYARQBFAFIARwBfADUAXwAyAF8AMQBfADEAXwBfADEAXwBPAHIAZwBhAG4AaQBjAEYAZQByAHQAaQBsAGkAcwBlAHIAQQBwAHAAbABpAGMAYQB0AGkAbwBuAE4AMgBPAEUAbQBpAHMAcwBpAG8AbgBzAF8AVgBhAHIAaQBhAGIAbABlACIALAAiAEYAZQByAHQAaQBsAGkAcwBlAHIAXwBFAHEAdQBhAHQAaQBvAG4AcwBfAE8AcgBnAGEAbgBpAGMATgAyAE8ALgBWAEUARQBSAEcAXwA1AF8AMgBfADEAXwAxAF8AXwAxAF8ATwByAGcAYQBuAGkAYwBGAGUAcgB0AGkAbABpAHMAZQByAEEAcABwAGwAaQBjAGEAdABpAG8AbgBOADIATwBFAG0AaQBzAHMAaQBvAG4AcwBfAFUAbgBpAHQAIgAsACIARgBlAHIAdABpAGwAaQBzAGUAcgBfAEUAcQB1AGEAdABpAG8AbgBzAF8ATwByAGcAYQBuAGkAYwBOADIATwAuAFYARQBFAFIARwBfADUAXwAyAF8AMQBfADEAXwBfADEAXwBPAHIAZwBhAG4AaQBjAEYAZQByAHQAaQBsAGkAcwBlAHIAQQBwAHAAbABpAGMAYQB0AGkAbwBuAE4AMgBPAEUAbQBpAHMAcwBpAG8AbgBzAF8AUwBvAHUAcgBjAGUAIgAsACIARgBlAHIAdABpAGwAaQBzAGUAcgBfAEUAcQB1AGEAdABpAG8AbgBzAF8ATwByAGcAYQBuAGkAYwBOADIATwAuAFYARQBFAFIARwBfADUAXwAyAF8AMQBfADEAXwBfADEAXwBPAHIAZwBhAG4AaQBjAEYAZQByAHQAaQBsAGkAcwBlAHIAQQBwAHAAbABpAGMAYQB0AGkAbwBuAE4AMgBPAEUAbQBpAHMAcwBpAG8AbgBzAF8ATgBJAFIAUgBlAGYAZQByAGUAbgBjAGUAIgAsACIARgBlAHIAdABpAGwAaQBzAGUAcgBfAEUAcQB1AGEAdABpAG8AbgBzAF8ATwByAGcAYQBuAGkAYwBOADIATwAuAFYARQBFAFIARwBfADUAXwAyAF8AMQBfADEAXwBfADEAXwBPAHIAZwBhAG4AaQBjAEYAZQByAHQAaQBsAGkAcwBlAHIAQQBwAHAAbABpAGMAYQB0AGkAbwBuAE4AMgBPAEUAbQBpAHMAcwBpAG8AbgBzAF8ATABhAHQAZQB4AEUAcQB1AGEAdABpAG8AbgAiACwAIgBGAGUAcgB0AGkAbABpAHMAZQByAF8ARQBxAHUAYQB0AGkAbwBuAHMAXwBPAHIAZwBhAG4AaQBjAE4AMgBPAC4AVgBFAEUAUgBHAF8ANQBfADIAXwAxAF8AMQBfAF8AMQBfAE8AcgBnAGEAbgBpAGMARgBlAHIAdABpAGwAaQBzAGUAcgBBAHAAcABsAGkAYwBhAHQAaQBvAG4ATgAyAE8ARQBtAGkAcwBzAGkAbwBuAHMAXwBBAHIAZwB1AG0AZQBuAHQAcwAiACwAIgBGAGUAcgB0AGkAbABpAHMAZQByAF8ARQBxAHUAYQB0AGkAbwBuAHMAXwBPAHIAZwBhAG4AaQBjAE4AMgBPAC4AVgBFAEUAUgBHAF8ANQBfADIAXwAxAF8AMQBfAF8AMgBfAE0AYQBzAHMATwBmAE4AaQB0AHIAbwBnAGUAbgBJAG4ATwByAGcAYQBuAGkAYwBGAGUAcgB0AGkAbABpAHMAZQByACIALAAiAEYAZQByAHQAaQBsAGkAcwBlAHIAXwBFAHEAdQBhAHQAaQBvAG4AcwBfAE8AcgBnAGEAbgBpAGMATgAyAE8ALgBWAEUARQBSAEcAXwA1AF8AMgBfADEAXwAxAF8AXwAyAF8ATQBhAHMAcwBPAGYATgBpAHQAcgBvAGcAZQBuAEkAbgBPAHIAZwBhAG4AaQBjAEYAZQByAHQAaQBsAGkAcwBlAHIAXwBUAGkAdABsAGUAIgAsACIARgBlAHIAdABpAGwAaQBzAGUAcgBfAEUAcQB1AGEAdABpAG8AbgBzAF8ATwByAGcAYQBuAGkAYwBOADIATwAuAFYARQBFAFIARwBfADUAXwAyAF8AMQBfADEAXwBfADIAXwBNAGEAcwBzAE8AZgBOAGkAdAByAG8AZwBlAG4ASQBuAE8AcgBnAGEAbgBpAGMARgBlAHIAdABpAGwAaQBzAGUAcgBfAFYAYQByAGkAYQBiAGwAZQAiACwAIgBGAGUAcgB0AGkAbABpAHMAZQByAF8ARQBxAHUAYQB0AGkAbwBuAHMAXwBPAHIAZwBhAG4AaQBjAE4AMgBPAC4AVgBFAEUAUgBHAF8ANQBfADIAXwAxAF8AMQBfAF8AMgBfAE0AYQBzAHMATwBmAE4AaQB0AHIAbwBnAGUAbgBJAG4ATwByAGcAYQBuAGkAYwBGAGUAcgB0AGkAbABpAHMAZQByAF8AVQBuAGkAdAAiACwAIgBGAGUAcgB0AGkAbABpAHMAZQByAF8ARQBxAHUAYQB0AGkAbwBuAHMAXwBPAHIAZwBhAG4AaQBjAE4AMgBPAC4AVgBFAEUAUgBHAF8ANQBfADIAXwAxAF8AMQBfAF8AMgBfAE0AYQBzAHMATwBmAE4AaQB0AHIAbwBnAGUAbgBJAG4ATwByAGcAYQBuAGkAYwBGAGUAcgB0AGkAbABpAHMAZQByAF8AUwBvAHUAcgBjAGUAIgAsACIARgBlAHIAdABpAGwAaQBzAGUAcgBfAEUAcQB1AGEAdABpAG8AbgBzAF8ATwByAGcAYQBuAGkAYwBOADIATwAuAFYARQBFAFIARwBfADUAXwAyAF8AMQBfADEAXwBfADIAXwBNAGEAcwBzAE8AZgBOAGkAdAByAG8AZwBlAG4ASQBuAE8AcgBnAGEAbgBpAGMARgBlAHIAdABpAGwAaQBzAGUAcgBfAE4ASQBSAFIAZQBmAGUAcgBlAG4AYwBlACIALAAiAEYAZQByAHQAaQBsAGkAcwBlAHIAXwBFAHEAdQBhAHQAaQBvAG4AcwBfAE8AcgBnAGEAbgBpAGMATgAyAE8ALgBWAEUARQBSAEcAXwA1AF8AMgBfADEAXwAxAF8AXwAyAF8ATQBhAHMAcwBPAGYATgBpAHQAcgBvAGcAZQBuAEkAbgBPAHIAZwBhAG4AaQBjAEYAZQByAHQAaQBsAGkAcwBlAHIAXwBMAGEAdABlAHgARQBxAHUAYQB0AGkAbwBuACIALAAiAEYAZQByAHQAaQBsAGkAcwBlAHIAXwBFAHEAdQBhAHQAaQBvAG4AcwBfAE8AcgBnAGEAbgBpAGMATgAyAE8ALgBWAEUARQBSAEcAXwA1AF8AMgBfADEAXwAxAF8AXwAyAF8ATQBhAHMAcwBPAGYATgBpAHQAcgBvAGcAZQBuAEkAbgBPAHIAZwBhAG4AaQBjAEYAZQByAHQAaQBsAGkAcwBlAHIAXwBBAHIAZwB1AG0AZQBuAHQAcwAiACwAIgBGAGUAcgB0AGkAbABpAHMAZQByAF8ARQBxAHUAYQB0AGkAbwBuAHMAXwBMAGkAbQBlAC4AVgBFAEUAUgBHAF8ANQBfADMAXwAxAF8AMQBfAF8AMQBfAEwAaQBtAGUAQQBwAHAAbABpAGMAYQB0AGkAbwBuAEMATwAyAEUAbQBpAHMAcwBpAG8AbgBzACIALAAiAEYAZQByAHQAaQBsAGkAcwBlAHIAXwBFAHEAdQBhAHQAaQBvAG4AcwBfAEwAaQBtAGUALgBWAEUARQBSAEcAXwA1AF8AMwBfADEAXwAxAF8AXwAxAF8ATABpAG0AZQBBAHAAcABsAGkAYwBhAHQAaQBvAG4AQwBPADIARQBtAGkAcwBzAGkAbwBuAHMAXwBUAGkAdABsAGUAIgAsACIARgBlAHIAdABpAGwAaQBzAGUAcgBfAEUAcQB1AGEAdABpAG8AbgBzAF8ATABpAG0AZQAuAFYARQBFAFIARwBfADUAXwAzAF8AMQBfADEAXwBfADEAXwBMAGkAbQBlAEEAcABwAGwAaQBjAGEAdABpAG8AbgBDAE8AMgBFAG0AaQBzAHMAaQBvAG4AcwBfAFYAYQByAGkAYQBiAGwAZQAiACwAIgBGAGUAcgB0AGkAbABpAHMAZQByAF8ARQBxAHUAYQB0AGkAbwBuAHMAXwBMAGkAbQBlAC4AVgBFAEUAUgBHAF8ANQBfADMAXwAxAF8AMQBfAF8AMQBfAEwAaQBtAGUAQQBwAHAAbABpAGMAYQB0AGkAbwBuAEMATwAyAEUAbQBpAHMAcwBpAG8AbgBzAF8AVQBuAGkAdAAiACwAIgBGAGUAcgB0AGkAbABpAHMAZQByAF8ARQBxAHUAYQB0AGkAbwBuAHMAXwBMAGkAbQBlAC4AVgBFAEUAUgBHAF8ANQBfADMAXwAxAF8AMQBfAF8AMQBfAEwAaQBtAGUAQQBwAHAAbABpAGMAYQB0AGkAbwBuAEMATwAyAEUAbQBpAHMAcwBpAG8AbgBzAF8AUwBvAHUAcgBjAGUAIgAsACIARgBlAHIAdABpAGwAaQBzAGUAcgBfAEUAcQB1AGEAdABpAG8AbgBzAF8ATABpAG0AZQAuAFYARQBFAFIARwBfADUAXwAzAF8AMQBfADEAXwBfADEAXwBMAGkAbQBlAEEAcABwAGwAaQBjAGEAdABpAG8AbgBDAE8AMgBFAG0AaQBzAHMAaQBvAG4AcwBfAE4ASQBSAFIAZQBmAGUAcgBlAG4AYwBlACIALAAiAEYAZQByAHQAaQBsAGkAcwBlAHIAXwBFAHEAdQBhAHQAaQBvAG4AcwBfAEwAaQBtAGUALgBWAEUARQBSAEcAXwA1AF8AMwBfADEAXwAxAF8AXwAxAF8ATABpAG0AZQBBAHAAcABsAGkAYwBhAHQAaQBvAG4AQwBPADIARQBtAGkAcwBzAGkAbwBuAHMAXwBMAGEAdABlAHgARQBxAHUAYQB0AGkAbwBuACIALAAiAEYAZQByAHQAaQBsAGkAcwBlAHIAXwBFAHEAdQBhAHQAaQBvAG4AcwBfAEwAaQBtAGUALgBWAEUARQBSAEcAXwA1AF8AMwBfADEAXwAxAF8AXwAxAF8ATABpAG0AZQBBAHAAcABsAGkAYwBhAHQAaQBvAG4AQwBPADIARQBtAGkAcwBzAGkAbwBuAHMAXwBBAHIAZwB1AG0AZQBuAHQAcw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UAGkAdABs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YAYQByAGkAYQBiAGw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QBuAGkAdA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UwBvAHUAcgBj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4ASQBSAFIAZQBmAGUAcgBlAG4AYw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MAGEAdABlAHgARQBxAHUAYQB0AGkAbwBu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BAHIAZwB1AG0AZQBuAHQAcw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QAaQB0AGw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YAYQByAGkAYQBiAGw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UAbgBpAHQ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TAG8AdQByAGM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4ASQBSAFIAZQBmAGUAcgBlAG4AYw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TABhAHQAZQB4AEUAcQB1AGEAdABpAG8Abg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EAcgBnAHUAbQBlAG4AdABz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UAGkAdABs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gBhAHIAaQBhAGIAbA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UAbgBpAHQ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UwBvAHUAcgBj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TgBJAFIAUgBlAGYAZQByAGUAbgBj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TABhAHQAZQB4AEUAcQB1AGEAdABpAG8Abg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BAHIAZwB1AG0AZQBuAHQAcw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UAGkAdABs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YAYQByAGkAYQBiAGw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QBuAGkAdA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UwBvAHUAcgBj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4ASQBSAFIAZQBmAGUAcgBlAG4AYw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MAGEAdABlAHgARQBxAHUAYQB0AGkAbwBu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BAHIAZwB1AG0AZQBuAHQAcwAiACwAIgBGAGUAcgB0AGkAbABpAHMAZQByAF8ARQBxAHUAYQB0AGkAbwBuAHMAXwBMAGUAYQBjAGgAaQBuAGcAQQBuAGQAUgB1AG4AbwBmAGYALgBWAEUARQBSAEcAXwA1AF8ANQBfADEAXwAxAF8AXwAxAF8ARgBlAHIAdABpAGwAaQBzAGUAcgBMAGUAYQBjAGgAaQBuAGcAQQBuAGQAUgB1AG4AbwBmAGYATgAyAE8ARQBtAGkAcwBzAGkAbwBuAHMAIgAsACIARgBlAHIAdABpAGwAaQBzAGUAcgBfAEUAcQB1AGEAdABpAG8AbgBzAF8ATABlAGEAYwBoAGkAbgBnAEEAbgBkAFIAdQBuAG8AZgBmAC4AVgBFAEUAUgBHAF8ANQBfADUAXwAxAF8AMQBfAF8AMQBfAEYAZQByAHQAaQBsAGkAcwBlAHIATABlAGEAYwBoAGkAbgBnAEEAbgBkAFIAdQBuAG8AZgBmAE4AMgBPAEUAbQBpAHMAcwBpAG8AbgBzAF8AVABpAHQAbABlACIALAAiAEYAZQByAHQAaQBsAGkAcwBlAHIAXwBFAHEAdQBhAHQAaQBvAG4AcwBfAEwAZQBhAGMAaABpAG4AZwBBAG4AZABSAHUAbgBvAGYAZgAuAFYARQBFAFIARwBfADUAXwA1AF8AMQBfADEAXwBfADEAXwBGAGUAcgB0AGkAbABpAHMAZQByAEwAZQBhAGMAaABpAG4AZwBBAG4AZABSAHUAbgBvAGYAZgBOADIATwBFAG0AaQBzAHMAaQBvAG4AcwBfAFYAYQByAGkAYQBiAGwAZQAiACwAIgBGAGUAcgB0AGkAbABpAHMAZQByAF8ARQBxAHUAYQB0AGkAbwBuAHMAXwBMAGUAYQBjAGgAaQBuAGcAQQBuAGQAUgB1AG4AbwBmAGYALgBWAEUARQBSAEcAXwA1AF8ANQBfADEAXwAxAF8AXwAxAF8ARgBlAHIAdABpAGwAaQBzAGUAcgBMAGUAYQBjAGgAaQBuAGcAQQBuAGQAUgB1AG4AbwBmAGYATgAyAE8ARQBtAGkAcwBzAGkAbwBuAHMAXwBVAG4AaQB0ACIALAAiAEYAZQByAHQAaQBsAGkAcwBlAHIAXwBFAHEAdQBhAHQAaQBvAG4AcwBfAEwAZQBhAGMAaABpAG4AZwBBAG4AZABSAHUAbgBvAGYAZgAuAFYARQBFAFIARwBfADUAXwA1AF8AMQBfADEAXwBfADEAXwBGAGUAcgB0AGkAbABpAHMAZQByAEwAZQBhAGMAaABpAG4AZwBBAG4AZABSAHUAbgBvAGYAZgBOADIATwBFAG0AaQBzAHMAaQBvAG4AcwBfAFMAbwB1AHIAYwBlACIALAAiAEYAZQByAHQAaQBsAGkAcwBlAHIAXwBFAHEAdQBhAHQAaQBvAG4AcwBfAEwAZQBhAGMAaABpAG4AZwBBAG4AZABSAHUAbgBvAGYAZgAuAFYARQBFAFIARwBfADUAXwA1AF8AMQBfADEAXwBfADEAXwBGAGUAcgB0AGkAbABpAHMAZQByAEwAZQBhAGMAaABpAG4AZwBBAG4AZABSAHUAbgBvAGYAZgBOADIATwBFAG0AaQBzAHMAaQBvAG4AcwBfAE4ASQBSAFIAZQBmAGUAcgBlAG4AYwBlACIALAAiAEYAZQByAHQAaQBsAGkAcwBlAHIAXwBFAHEAdQBhAHQAaQBvAG4AcwBfAEwAZQBhAGMAaABpAG4AZwBBAG4AZABSAHUAbgBvAGYAZgAuAFYARQBFAFIARwBfADUAXwA1AF8AMQBfADEAXwBfADEAXwBGAGUAcgB0AGkAbABpAHMAZQByAEwAZQBhAGMAaABpAG4AZwBBAG4AZABSAHUAbgBvAGYAZgBOADIATwBFAG0AaQBzAHMAaQBvAG4AcwBfAEwAYQB0AGUAeABFAHEAdQBhAHQAaQBvAG4AIgAsACIARgBlAHIAdABpAGwAaQBzAGUAcgBfAEUAcQB1AGEAdABpAG8AbgBzAF8ATABlAGEAYwBoAGkAbgBnAEEAbgBkAFIAdQBuAG8AZgBmAC4AVgBFAEUAUgBHAF8ANQBfADUAXwAxAF8AMQBfAF8AMQBfAEYAZQByAHQAaQBsAGkAcwBlAHIATABlAGEAYwBoAGkAbgBnAEEAbgBkAFIAdQBuAG8AZgBmAE4AMgBPAEUAbQBpAHMAcwBpAG8AbgBzAF8AQQByAGcAdQBtAGUAbgB0AHMAIgAsACIARgBlAHIAdABpAGwAaQBzAGUAcgBfAEUAcQB1AGEAdABpAG8AbgBzAF8ATABlAGEAYwBoAGkAbgBnAEEAbgBkAFIAdQBuAG8AZgBmAC4AVgBFAEUAUgBHAF8ANQBfADUAXwAxAF8AMQBfAF8AMgBfAE0AYQBzAHMATwBmAE4AaQB0AHIAbwBnAGUAbgBMAGUAYQBjAGgAZQBkAEYAcgBvAG0ASQBuAG8AcgBnAGEAbgBpAGMARgBlAHIAdABpAGwAaQBzAGUAcgAiACwAIgBGAGUAcgB0AGkAbABpAHMAZQByAF8ARQBxAHUAYQB0AGkAbwBuAHMAXwBMAGUAYQBjAGgAaQBuAGcAQQBuAGQAUgB1AG4AbwBmAGYALgBWAEUARQBSAEcAXwA1AF8ANQBfADEAXwAxAF8AXwAyAF8ATQBhAHMAcwBPAGYATgBpAHQAcgBvAGcAZQBuAEwAZQBhAGMAaABlAGQARgByAG8AbQBJAG4AbwByAGcAYQBuAGkAYwBGAGUAcgB0AGkAbABpAHMAZQByAF8AVABpAHQAbA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WAGEAcgBpAGEAYgBs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FUAbgBpAHQAIgAsACIARgBlAHIAdABpAGwAaQBzAGUAcgBfAEUAcQB1AGEAdABpAG8AbgBzAF8ATABlAGEAYwBoAGkAbgBnAEEAbgBkAFIAdQBuAG8AZgBmAC4AVgBFAEUAUgBHAF8ANQBfADUAXwAxAF8AMQBfAF8AMgBfAE0AYQBzAHMATwBmAE4AaQB0AHIAbwBnAGUAbgBMAGUAYQBjAGgAZQBkAEYAcgBvAG0ASQBuAG8AcgBnAGEAbgBpAGMARgBlAHIAdABpAGwAaQBzAGUAcgBfAFMAbwB1AHIAYw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OAEkAUgBSAGUAZgBlAHIAZQBuAGM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TABhAHQAZQB4AEUAcQB1AGEAdABpAG8AbgAiACwAIgBGAGUAcgB0AGkAbABpAHMAZQByAF8ARQBxAHUAYQB0AGkAbwBuAHMAXwBMAGUAYQBjAGgAaQBuAGcAQQBuAGQAUgB1AG4AbwBmAGYALgBWAEUARQBSAEcAXwA1AF8ANQBfADEAXwAxAF8AXwAyAF8ATQBhAHMAcwBPAGYATgBpAHQAcgBvAGcAZQBuAEwAZQBhAGMAaABlAGQARgByAG8AbQBJAG4AbwByAGcAYQBuAGkAYwBGAGUAcgB0AGkAbABpAHMAZQByAF8AQQByAGcAdQBtAGUAbgB0AHMAIgAsACIARgBlAHIAdABpAGwAaQBzAGUAcgBfAEUAcQB1AGEAdABpAG8AbgBzAF8ATABlAGEAYwBoAGkAbgBnAEEAbgBkAFIAdQBuAG8AZgBmAC4AVgBFAEUAUgBHAF8ANQBfADUAXwAxAF8AMQBfAF8AMwBfAE0AYQBzAHMATwBmAE4AaQB0AHIAbwBnAGUAbgBMAGUAYQBjAGgAZQBkAEYAcgBvAG0ATwByAGcAYQBuAGkAYwBGAGUAcgB0AGkAbABpAHMAZQByACIALAAiAEYAZQByAHQAaQBsAGkAcwBlAHIAXwBFAHEAdQBhAHQAaQBvAG4AcwBfAEwAZQBhAGMAaABpAG4AZwBBAG4AZABSAHUAbgBvAGYAZgAuAFYARQBFAFIARwBfADUAXwA1AF8AMQBfADEAXwBfADMAXwBNAGEAcwBzAE8AZgBOAGkAdAByAG8AZwBlAG4ATABlAGEAYwBoAGUAZABGAHIAbwBtAE8AcgBnAGEAbgBpAGMARgBlAHIAdABpAGwAaQBzAGUAcgBfAFQAaQB0AGwAZQAiACwAIgBGAGUAcgB0AGkAbABpAHMAZQByAF8ARQBxAHUAYQB0AGkAbwBuAHMAXwBMAGUAYQBjAGgAaQBuAGcAQQBuAGQAUgB1AG4AbwBmAGYALgBWAEUARQBSAEcAXwA1AF8ANQBfADEAXwAxAF8AXwAzAF8ATQBhAHMAcwBPAGYATgBpAHQAcgBvAGcAZQBuAEwAZQBhAGMAaABlAGQARgByAG8AbQBPAHIAZwBhAG4AaQBjAEYAZQByAHQAaQBsAGkAcwBlAHIAXwBWAGEAcgBpAGEAYgBsAGUAIgAsACIARgBlAHIAdABpAGwAaQBzAGUAcgBfAEUAcQB1AGEAdABpAG8AbgBzAF8ATABlAGEAYwBoAGkAbgBnAEEAbgBkAFIAdQBuAG8AZgBmAC4AVgBFAEUAUgBHAF8ANQBfADUAXwAxAF8AMQBfAF8AMwBfAE0AYQBzAHMATwBmAE4AaQB0AHIAbwBnAGUAbgBMAGUAYQBjAGgAZQBkAEYAcgBvAG0ATwByAGcAYQBuAGkAYwBGAGUAcgB0AGkAbABpAHMAZQByAF8AVQBuAGkAdAAiACwAIgBGAGUAcgB0AGkAbABpAHMAZQByAF8ARQBxAHUAYQB0AGkAbwBuAHMAXwBMAGUAYQBjAGgAaQBuAGcAQQBuAGQAUgB1AG4AbwBmAGYALgBWAEUARQBSAEcAXwA1AF8ANQBfADEAXwAxAF8AXwAzAF8ATQBhAHMAcwBPAGYATgBpAHQAcgBvAGcAZQBuAEwAZQBhAGMAaABlAGQARgByAG8AbQBPAHIAZwBhAG4AaQBjAEYAZQByAHQAaQBsAGkAcwBlAHIAXwBTAG8AdQByAGMAZQAiACwAIgBGAGUAcgB0AGkAbABpAHMAZQByAF8ARQBxAHUAYQB0AGkAbwBuAHMAXwBMAGUAYQBjAGgAaQBuAGcAQQBuAGQAUgB1AG4AbwBmAGYALgBWAEUARQBSAEcAXwA1AF8ANQBfADEAXwAxAF8AXwAzAF8ATQBhAHMAcwBPAGYATgBpAHQAcgBvAGcAZQBuAEwAZQBhAGMAaABlAGQARgByAG8AbQBPAHIAZwBhAG4AaQBjAEYAZQByAHQAaQBsAGkAcwBlAHIAXwBOAEkAUgBSAGUAZgBlAHIAZQBuAGMAZQAiACwAIgBGAGUAcgB0AGkAbABpAHMAZQByAF8ARQBxAHUAYQB0AGkAbwBuAHMAXwBMAGUAYQBjAGgAaQBuAGcAQQBuAGQAUgB1AG4AbwBmAGYALgBWAEUARQBSAEcAXwA1AF8ANQBfADEAXwAxAF8AXwAzAF8ATQBhAHMAcwBPAGYATgBpAHQAcgBvAGcAZQBuAEwAZQBhAGMAaABlAGQARgByAG8AbQBPAHIAZwBhAG4AaQBjAEYAZQByAHQAaQBsAGkAcwBlAHIAXwBMAGEAdABlAHgARQBxAHUAYQB0AGkAbwBuACIALAAiAEYAZQByAHQAaQBsAGkAcwBlAHIAXwBFAHEAdQBhAHQAaQBvAG4AcwBfAEwAZQBhAGMAaABpAG4AZwBBAG4AZABSAHUAbgBvAGYAZgAuAFYARQBFAFIARwBfADUAXwA1AF8AMQBfADEAXwBfADMAXwBNAGEAcwBzAE8AZgBOAGkAdAByAG8AZwBlAG4ATABlAGEAYwBoAGUAZABGAHIAbwBtAE8AcgBnAGEAbgBpAGMARgBlAHIAdABpAGwAaQBzAGUAcg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43</vt:i4>
      </vt:variant>
    </vt:vector>
  </HeadingPairs>
  <TitlesOfParts>
    <vt:vector size="56" baseType="lpstr">
      <vt:lpstr>Home</vt:lpstr>
      <vt:lpstr>Overview</vt:lpstr>
      <vt:lpstr>Results</vt:lpstr>
      <vt:lpstr>Input - Site</vt:lpstr>
      <vt:lpstr>Input - Fertiliser</vt:lpstr>
      <vt:lpstr>5.1.1.1-2 Inorganic fert N2O</vt:lpstr>
      <vt:lpstr>5.1.1.3-4 Inorganic fert CO2</vt:lpstr>
      <vt:lpstr>5.2.1.1-2 Organic Fert N2O</vt:lpstr>
      <vt:lpstr>5.3.1.1-2 Lime CO2</vt:lpstr>
      <vt:lpstr>5.4.1.1-4 Atmos deposition</vt:lpstr>
      <vt:lpstr>5.5.1.1-2 Leaching and runoff</vt:lpstr>
      <vt:lpstr>Constants - Fertiliser</vt:lpstr>
      <vt:lpstr>Constants - Common</vt:lpstr>
      <vt:lpstr>'5.4.1.1-4 Atmos deposition'!_Toc225350871</vt:lpstr>
      <vt:lpstr>'5.5.1.1-2 Leaching and runoff'!_Toc225350871</vt:lpstr>
      <vt:lpstr>M1_Table_E_CO2</vt:lpstr>
      <vt:lpstr>M1_Table_E_N2O</vt:lpstr>
      <vt:lpstr>M2_Table_FertApplications</vt:lpstr>
      <vt:lpstr>Table_E_ad_inorganic</vt:lpstr>
      <vt:lpstr>Table_E_ad_organic</vt:lpstr>
      <vt:lpstr>Table_E_lime</vt:lpstr>
      <vt:lpstr>Table_M_leach_inorganic_j</vt:lpstr>
      <vt:lpstr>Table_M_leach_organic_j</vt:lpstr>
      <vt:lpstr>Table_M_vol_inorganic_j_f</vt:lpstr>
      <vt:lpstr>Table_M_vol_organic_j_f</vt:lpstr>
      <vt:lpstr>Table_MN_j_f</vt:lpstr>
      <vt:lpstr>Table_MNSoil_j_f</vt:lpstr>
      <vt:lpstr>Table_MU_j_f</vt:lpstr>
      <vt:lpstr>VEERG_5_1_1_1__1_InorganicFertiliserApplicationN2OEmissions_Result_Method1</vt:lpstr>
      <vt:lpstr>VEERG_5_1_1_1__1_InorganicFertiliserApplicationN2OEmissions_Result_Method2</vt:lpstr>
      <vt:lpstr>VEERG_5_1_1_3__1_InorganicFertiliserApplicationCO2Emissions_Result_Method1</vt:lpstr>
      <vt:lpstr>VEERG_5_2_1_1__2_MassOfNitrogenInOrganicFertiliser_Result_Method1</vt:lpstr>
      <vt:lpstr>VEERG_5_3_1_1__1_LimeApplicationCO2Emissions_Result_Method1</vt:lpstr>
      <vt:lpstr>VEERG_5_4_1_1__1_InorganicFertiliserAtmosphericDepositionN2OEmissions_Result_Method1</vt:lpstr>
      <vt:lpstr>VEERG_5_4_1_3__1_OrganicFertiliserAtmosphericDepositionN2OEmissions_Result_Method1</vt:lpstr>
      <vt:lpstr>VEERG_5_5_1_1__1_FertiliserLeachingAndRunoffN2OEmissions_result_Method1</vt:lpstr>
      <vt:lpstr>X_Cell_Fertiliser_AreaUnderCropping</vt:lpstr>
      <vt:lpstr>X_Cell_Fertiliser_CropType</vt:lpstr>
      <vt:lpstr>X_Cell_Fertiliser_IrrigationMethod</vt:lpstr>
      <vt:lpstr>X_Cell_Fertiliser_ProductionSystem</vt:lpstr>
      <vt:lpstr>X_Cell_Site_AverageTemperature</vt:lpstr>
      <vt:lpstr>X_Cell_Site_ClimateZone</vt:lpstr>
      <vt:lpstr>X_Cell_Site_Elevation</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2026-07-08T08:53:31Z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