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EBE6243-FA32-4FB5-B05F-7C2F9C8CC250}" xr6:coauthVersionLast="47" xr6:coauthVersionMax="47" xr10:uidLastSave="{00000000-0000-0000-0000-000000000000}"/>
  <bookViews>
    <workbookView xWindow="1035" yWindow="225" windowWidth="36255" windowHeight="19140" firstSheet="16" activeTab="16"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33" r:id="rId12"/>
    <sheet name="Input - Manure sent off-site" sheetId="50" r:id="rId13"/>
    <sheet name="Input - Electricity" sheetId="9" r:id="rId14"/>
    <sheet name="15 Scope 3" sheetId="19" r:id="rId15"/>
    <sheet name="10.1.1-2 Solid waste treatment" sheetId="38" r:id="rId16"/>
    <sheet name="Calcs - Manure sent off-site" sheetId="34" r:id="rId17"/>
    <sheet name="8.1.1.1-2 Transport fuel" sheetId="31" r:id="rId18"/>
    <sheet name="8.2.1.1-2 Stationary fuel" sheetId="32" r:id="rId19"/>
    <sheet name="Constants - Scope 3" sheetId="20" r:id="rId20"/>
    <sheet name="Constants - Solid Waste" sheetId="36" r:id="rId21"/>
    <sheet name="Constants - Fuel" sheetId="29" r:id="rId22"/>
    <sheet name="Constants - Poultry" sheetId="26" r:id="rId23"/>
    <sheet name="Constants - Swine" sheetId="25" r:id="rId24"/>
    <sheet name="Constants - Dairy" sheetId="23" r:id="rId25"/>
    <sheet name="Constants - Pasture Beef" sheetId="22" r:id="rId26"/>
    <sheet name="Constants - Common Livestock" sheetId="18" r:id="rId27"/>
    <sheet name="Constants - Fertiliser" sheetId="6" r:id="rId28"/>
    <sheet name="Constants - Electricity" sheetId="8" r:id="rId29"/>
    <sheet name="Constants - Common" sheetId="51" r:id="rId30"/>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I68" i="34" l="1"/>
  <c r="O237" i="19" a="1"/>
  <c r="O237" i="19" s="1"/>
  <c r="AB128" i="19" a="1"/>
  <c r="AB128" i="19" s="1"/>
  <c r="AB127" i="19" a="1"/>
  <c r="AB127" i="19" s="1"/>
  <c r="AB126" i="19"/>
  <c r="AB126" i="19" a="1"/>
  <c r="AB125" i="19" a="1"/>
  <c r="AB125" i="19" s="1"/>
  <c r="AB124" i="19" a="1"/>
  <c r="AB124" i="19" s="1"/>
  <c r="AB123" i="19"/>
  <c r="AB123" i="19" a="1"/>
  <c r="AB122" i="19" a="1"/>
  <c r="AB122" i="19" s="1"/>
  <c r="AB121" i="19" a="1"/>
  <c r="AB121" i="19" s="1"/>
  <c r="AB120" i="19" a="1"/>
  <c r="AB120" i="19" s="1"/>
  <c r="AB119" i="19"/>
  <c r="AB119" i="19" a="1"/>
  <c r="X128" i="19" a="1"/>
  <c r="X128" i="19" s="1"/>
  <c r="X127" i="19" a="1"/>
  <c r="X127" i="19" s="1"/>
  <c r="X126" i="19" a="1"/>
  <c r="X126" i="19" s="1"/>
  <c r="X125" i="19" a="1"/>
  <c r="X125" i="19" s="1"/>
  <c r="X124" i="19" a="1"/>
  <c r="X124" i="19" s="1"/>
  <c r="X123" i="19" a="1"/>
  <c r="X123" i="19" s="1"/>
  <c r="X122" i="19" a="1"/>
  <c r="X122" i="19" s="1"/>
  <c r="X121" i="19" a="1"/>
  <c r="X121" i="19" s="1"/>
  <c r="X120" i="19" a="1"/>
  <c r="X120" i="19" s="1"/>
  <c r="X119" i="19" a="1"/>
  <c r="X119" i="19" s="1"/>
  <c r="T128" i="19" a="1"/>
  <c r="T128" i="19" s="1"/>
  <c r="T127" i="19" a="1"/>
  <c r="T127" i="19" s="1"/>
  <c r="T126" i="19" a="1"/>
  <c r="T126" i="19" s="1"/>
  <c r="T125" i="19" a="1"/>
  <c r="T125" i="19" s="1"/>
  <c r="T124" i="19" a="1"/>
  <c r="T124" i="19" s="1"/>
  <c r="T123" i="19" a="1"/>
  <c r="T123" i="19" s="1"/>
  <c r="T122" i="19" a="1"/>
  <c r="T122" i="19" s="1"/>
  <c r="T121" i="19" a="1"/>
  <c r="T121" i="19" s="1"/>
  <c r="T120" i="19" a="1"/>
  <c r="T120" i="19" s="1"/>
  <c r="T119" i="19" a="1"/>
  <c r="T119" i="19" s="1"/>
  <c r="J87" i="34"/>
  <c r="I69" i="34"/>
  <c r="I33" i="34"/>
  <c r="P18" i="32"/>
  <c r="P17" i="32"/>
  <c r="E642" i="19"/>
  <c r="F35" i="7"/>
  <c r="F34" i="7"/>
  <c r="F25" i="7"/>
  <c r="F24" i="7"/>
  <c r="H20" i="7"/>
  <c r="H19" i="7"/>
  <c r="H18" i="7"/>
  <c r="E33" i="10"/>
  <c r="E32" i="10"/>
  <c r="E31" i="10"/>
  <c r="E30" i="10"/>
  <c r="E29" i="10"/>
  <c r="E13" i="10"/>
  <c r="A15" i="48"/>
  <c r="A14" i="48"/>
  <c r="A13" i="48"/>
  <c r="A12" i="48"/>
  <c r="G16" i="54" a="1"/>
  <c r="G16" i="54" s="1"/>
  <c r="G15" i="54" a="1"/>
  <c r="G15" i="54" s="1"/>
  <c r="G14" i="54" a="1"/>
  <c r="G14" i="54" s="1"/>
  <c r="G13" i="54" a="1"/>
  <c r="G13" i="54"/>
  <c r="G12" i="54" a="1"/>
  <c r="G12" i="54"/>
  <c r="G11" i="54" a="1"/>
  <c r="G11" i="54" s="1"/>
  <c r="G10" i="54" a="1"/>
  <c r="G10" i="54"/>
  <c r="G9" i="54" a="1"/>
  <c r="G9" i="54" s="1"/>
  <c r="G8" i="54" a="1"/>
  <c r="G8" i="54" s="1"/>
  <c r="G7" i="54" a="1"/>
  <c r="G7" i="54" s="1"/>
  <c r="G16" i="53" a="1"/>
  <c r="G16" i="53" s="1"/>
  <c r="G15" i="53" a="1"/>
  <c r="G15" i="53" s="1"/>
  <c r="G14" i="53" a="1"/>
  <c r="G14" i="53" s="1"/>
  <c r="G13" i="53" a="1"/>
  <c r="G13" i="53" s="1"/>
  <c r="G12" i="53" a="1"/>
  <c r="G12" i="53" s="1"/>
  <c r="G11" i="53" a="1"/>
  <c r="G11" i="53" s="1"/>
  <c r="G10" i="53" a="1"/>
  <c r="G10" i="53" s="1"/>
  <c r="G9" i="53" a="1"/>
  <c r="G9" i="53" s="1"/>
  <c r="G8" i="53" a="1"/>
  <c r="G8" i="53" s="1"/>
  <c r="G7" i="53" a="1"/>
  <c r="G7" i="53" s="1"/>
  <c r="H16" i="52" a="1"/>
  <c r="H16" i="52" s="1"/>
  <c r="H15" i="52" a="1"/>
  <c r="H15" i="52" s="1"/>
  <c r="H14" i="52" a="1"/>
  <c r="H14" i="52"/>
  <c r="H13" i="52" a="1"/>
  <c r="H13" i="52"/>
  <c r="H12" i="52" a="1"/>
  <c r="H12" i="52"/>
  <c r="H11" i="52" a="1"/>
  <c r="H11" i="52" s="1"/>
  <c r="H10" i="52" a="1"/>
  <c r="H10" i="52"/>
  <c r="H9" i="52" a="1"/>
  <c r="H9" i="52" s="1"/>
  <c r="H8" i="52" a="1"/>
  <c r="H8" i="52" s="1"/>
  <c r="H7" i="52" a="1"/>
  <c r="H7" i="52"/>
  <c r="A38" i="51"/>
  <c r="A37" i="51"/>
  <c r="A36" i="51"/>
  <c r="A35" i="51"/>
  <c r="A34" i="51"/>
  <c r="A33" i="51"/>
  <c r="A32" i="51"/>
  <c r="A31" i="51"/>
  <c r="A30" i="51"/>
  <c r="A29" i="51"/>
  <c r="A28" i="51"/>
  <c r="A24" i="51"/>
  <c r="A23" i="51"/>
  <c r="A22" i="51"/>
  <c r="A21" i="51"/>
  <c r="A20" i="51"/>
  <c r="A16" i="51"/>
  <c r="A15" i="51"/>
  <c r="A14" i="51"/>
  <c r="A13" i="51"/>
  <c r="A12" i="51"/>
  <c r="A11" i="51"/>
  <c r="A10" i="51"/>
  <c r="A9" i="51"/>
  <c r="A8" i="51"/>
  <c r="A4" i="51"/>
  <c r="A3" i="5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D9" i="22"/>
  <c r="D8" i="22"/>
  <c r="G9" i="23"/>
  <c r="G8" i="23"/>
  <c r="I49" i="34"/>
  <c r="J88" i="34"/>
  <c r="I50" i="34"/>
  <c r="J15" i="34"/>
  <c r="O576" i="19"/>
  <c r="G576" i="19"/>
  <c r="E259" i="51" a="1"/>
  <c r="E259" i="51" s="1"/>
  <c r="D259" i="51" a="1"/>
  <c r="D259" i="51" s="1"/>
  <c r="E258" i="51" a="1"/>
  <c r="E258" i="51" s="1"/>
  <c r="D258" i="51" a="1"/>
  <c r="D258" i="51" s="1"/>
  <c r="D256" i="51" a="1"/>
  <c r="D256" i="51" s="1"/>
  <c r="D255" i="51"/>
  <c r="D255" i="51" a="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c r="D227" i="51" a="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E188" i="51" a="1"/>
  <c r="E188" i="51" s="1"/>
  <c r="D188" i="51" a="1"/>
  <c r="D188" i="51" s="1"/>
  <c r="H187" i="51" a="1"/>
  <c r="H187" i="51" s="1"/>
  <c r="G187" i="51" a="1"/>
  <c r="G187" i="51" s="1"/>
  <c r="F187" i="51" a="1"/>
  <c r="F187" i="51"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c r="D163" i="51" a="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110" i="51" a="1"/>
  <c r="E110" i="51" s="1"/>
  <c r="D110" i="51" a="1"/>
  <c r="D110" i="51" s="1"/>
  <c r="D107" i="51" a="1"/>
  <c r="D107" i="51" s="1"/>
  <c r="D106" i="51" a="1"/>
  <c r="D106" i="51" s="1"/>
  <c r="D105" i="51"/>
  <c r="D105" i="51" a="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H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H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O42" i="34"/>
  <c r="O79" i="34"/>
  <c r="O7" i="34"/>
  <c r="E508" i="19"/>
  <c r="E523" i="19"/>
  <c r="E42" i="34"/>
  <c r="E540" i="19"/>
  <c r="E7" i="34"/>
  <c r="E79" i="34"/>
  <c r="H54" i="51" l="1"/>
  <c r="H48" i="51"/>
  <c r="H51" i="51"/>
  <c r="H53" i="51"/>
  <c r="H50" i="51"/>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P35" i="34"/>
  <c r="Q32" i="34" a="1"/>
  <c r="Q32" i="34" s="1"/>
  <c r="N32" i="34" a="1"/>
  <c r="N32" i="34" s="1"/>
  <c r="O30" i="34"/>
  <c r="O30" i="34" a="1"/>
  <c r="O29" i="34" a="1"/>
  <c r="O29" i="34" s="1"/>
  <c r="N25" i="34" a="1"/>
  <c r="N25" i="34" s="1"/>
  <c r="N24" i="34" a="1"/>
  <c r="N24" i="34" s="1"/>
  <c r="R13" i="34" a="1"/>
  <c r="R13" i="34" s="1"/>
  <c r="N13" i="34" a="1"/>
  <c r="N13" i="34" s="1"/>
  <c r="O11" i="34" a="1"/>
  <c r="O11" i="34" s="1"/>
  <c r="O10" i="34"/>
  <c r="O10" i="34" a="1"/>
  <c r="N6" i="34" a="1"/>
  <c r="N6" i="34" s="1"/>
  <c r="N5" i="34"/>
  <c r="N5" i="34" a="1"/>
  <c r="I67" i="34"/>
  <c r="I32" i="34"/>
  <c r="J13" i="34"/>
  <c r="H185" i="38"/>
  <c r="H179" i="38"/>
  <c r="H168" i="38"/>
  <c r="H144" i="38"/>
  <c r="H138" i="38"/>
  <c r="H127" i="38"/>
  <c r="H105" i="38" a="1"/>
  <c r="H105" i="38" s="1"/>
  <c r="D105" i="38" a="1"/>
  <c r="D105" i="38" s="1"/>
  <c r="E103" i="38" a="1"/>
  <c r="E103" i="38" s="1"/>
  <c r="E102" i="38" a="1"/>
  <c r="E102" i="38" s="1"/>
  <c r="D98" i="38"/>
  <c r="D98" i="38" a="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E7" i="38" a="1"/>
  <c r="O26" i="34" a="1"/>
  <c r="O61" i="34" a="1"/>
  <c r="E99" i="38" a="1"/>
  <c r="O61" i="34" l="1"/>
  <c r="O26" i="34"/>
  <c r="E99" i="38"/>
  <c r="E7" i="38"/>
  <c r="F192" i="38"/>
  <c r="F151" i="38"/>
  <c r="E68" i="36" l="1"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c r="D15" i="36" a="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2" i="34"/>
  <c r="I71" i="34"/>
  <c r="I70" i="34"/>
  <c r="I52" i="34"/>
  <c r="I51" i="34"/>
  <c r="J16" i="34"/>
  <c r="I553" i="19"/>
  <c r="I549" i="19"/>
  <c r="I548" i="19"/>
  <c r="I547" i="19"/>
  <c r="I531" i="19"/>
  <c r="I529" i="19"/>
  <c r="E481" i="19"/>
  <c r="E480" i="19"/>
  <c r="E479" i="19"/>
  <c r="E470" i="19"/>
  <c r="E469" i="19"/>
  <c r="E468" i="19"/>
  <c r="E467" i="19"/>
  <c r="E466" i="19"/>
  <c r="E164" i="19"/>
  <c r="E163" i="19"/>
  <c r="E162" i="19"/>
  <c r="E139" i="19"/>
  <c r="E138" i="19"/>
  <c r="E137" i="19"/>
  <c r="E136"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I68" i="38" s="1" a="1"/>
  <c r="I68" i="38" s="1"/>
  <c r="H166" i="38" s="1"/>
  <c r="G66" i="38" a="1"/>
  <c r="G66" i="38" s="1"/>
  <c r="I66" i="38" s="1" a="1"/>
  <c r="I66" i="38" s="1"/>
  <c r="H164" i="38" s="1"/>
  <c r="G64" i="38" a="1"/>
  <c r="G64" i="38" s="1"/>
  <c r="I64" i="38" s="1" a="1"/>
  <c r="I64" i="38" s="1"/>
  <c r="H162"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I75" i="38" s="1" a="1"/>
  <c r="I75" i="38" s="1"/>
  <c r="H173" i="38" s="1"/>
  <c r="G62" i="38" a="1"/>
  <c r="G62" i="38" s="1"/>
  <c r="G92" i="38" a="1"/>
  <c r="G92" i="38" s="1"/>
  <c r="G91" i="38" a="1"/>
  <c r="G91" i="38" s="1"/>
  <c r="I91" i="38" s="1" a="1"/>
  <c r="I91" i="38" s="1"/>
  <c r="H189"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D36" i="41"/>
  <c r="D35" i="41"/>
  <c r="D28" i="41"/>
  <c r="D27" i="41"/>
  <c r="D26" i="41"/>
  <c r="D25" i="41"/>
  <c r="D24" i="41"/>
  <c r="D14" i="41"/>
  <c r="D13" i="41"/>
  <c r="D12" i="41"/>
  <c r="D11" i="41"/>
  <c r="I78" i="38" l="1" a="1"/>
  <c r="I78" i="38" s="1"/>
  <c r="H176" i="38" s="1"/>
  <c r="I176" i="38" s="1"/>
  <c r="K176" i="38" s="1" a="1"/>
  <c r="K176" i="38" s="1"/>
  <c r="I79" i="38" a="1"/>
  <c r="I79" i="38" s="1"/>
  <c r="H177" i="38" s="1"/>
  <c r="I89" i="38" a="1"/>
  <c r="I89" i="38" s="1"/>
  <c r="H187" i="38" s="1"/>
  <c r="I76" i="38" a="1"/>
  <c r="I76" i="38" s="1"/>
  <c r="H174" i="38" s="1"/>
  <c r="I174" i="38" s="1"/>
  <c r="K174" i="38" s="1" a="1"/>
  <c r="K174" i="38" s="1"/>
  <c r="I83" i="38" a="1"/>
  <c r="I83" i="38" s="1"/>
  <c r="H181" i="38" s="1"/>
  <c r="I41" i="38" a="1"/>
  <c r="I41" i="38" s="1"/>
  <c r="H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177" i="38"/>
  <c r="K177" i="38" s="1" a="1"/>
  <c r="K177"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162" i="38"/>
  <c r="K162" i="38" s="1" a="1"/>
  <c r="K162"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136" i="38"/>
  <c r="K136" i="38" s="1" a="1"/>
  <c r="K136"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166" i="38"/>
  <c r="K166" i="38" s="1" a="1"/>
  <c r="K166"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I53" i="34"/>
  <c r="H102" i="13"/>
  <c r="H101" i="13"/>
  <c r="H100" i="13"/>
  <c r="H99" i="13"/>
  <c r="H98" i="13"/>
  <c r="H97" i="13"/>
  <c r="H96" i="13"/>
  <c r="H95" i="13"/>
  <c r="H94" i="13"/>
  <c r="H93" i="13"/>
  <c r="J635" i="19" a="1"/>
  <c r="J635" i="19" s="1"/>
  <c r="J613" i="19" a="1"/>
  <c r="J613" i="19" s="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I138" i="38" l="1"/>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192" i="38" l="1"/>
  <c r="E151" i="38"/>
  <c r="E639" i="19"/>
  <c r="F36" i="41" s="1"/>
  <c r="E588" i="19"/>
  <c r="E33" i="41"/>
  <c r="E621" i="19"/>
  <c r="F35" i="41" s="1"/>
  <c r="D33" i="41" a="1"/>
  <c r="D33" i="41" s="1"/>
  <c r="F33" i="41" l="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561" i="19" a="1"/>
  <c r="E61" i="34" a="1"/>
  <c r="E26" i="34" a="1"/>
  <c r="J14" i="34" l="1"/>
  <c r="O19" i="34" s="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L7" i="31" a="1"/>
  <c r="E7" i="31" a="1"/>
  <c r="L8" i="32" a="1"/>
  <c r="E7" i="32"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45" i="31"/>
  <c r="E43" i="31"/>
  <c r="E51" i="32"/>
  <c r="E44" i="32"/>
  <c r="E61" i="31"/>
  <c r="E45" i="32"/>
  <c r="E46" i="31"/>
  <c r="E52" i="32"/>
  <c r="E58" i="32" s="1"/>
  <c r="I516" i="19" s="1"/>
  <c r="E63" i="31"/>
  <c r="E50" i="32"/>
  <c r="E49" i="32"/>
  <c r="E55" i="32" s="1"/>
  <c r="E64" i="31"/>
  <c r="E68" i="31"/>
  <c r="E67" i="31" l="1"/>
  <c r="E69" i="31"/>
  <c r="E57" i="32"/>
  <c r="E56" i="32"/>
  <c r="E70" i="31"/>
  <c r="I515" i="19" l="1"/>
  <c r="E518" i="19" s="1" a="1"/>
  <c r="E518" i="19" s="1"/>
  <c r="D221" i="19"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188" i="19" a="1"/>
  <c r="E290" i="19" a="1"/>
  <c r="E355" i="19" a="1"/>
  <c r="E385" i="19" a="1"/>
  <c r="E174" i="19" a="1"/>
  <c r="E418" i="19" a="1"/>
  <c r="E203" i="19" a="1"/>
  <c r="E100" i="19" a="1"/>
  <c r="E258" i="19" a="1"/>
  <c r="E323"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6" i="41" s="1" a="1"/>
  <c r="D16" i="41"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5" i="41" l="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D61" i="19" l="1"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F79" i="19" l="1"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G35" i="7"/>
  <c r="K35" i="7"/>
  <c r="K34" i="7"/>
  <c r="G34" i="7"/>
  <c r="E305" i="19" s="1" a="1"/>
  <c r="E305" i="19"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G305" i="19" l="1" a="1"/>
  <c r="G305" i="19" s="1"/>
  <c r="F305" i="19" a="1"/>
  <c r="H305" i="19" a="1"/>
  <c r="H305" i="19" s="1"/>
  <c r="D56" i="13"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F305" i="19"/>
  <c r="J305" i="19" s="1"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G25" i="7"/>
  <c r="F13" i="41" l="1"/>
  <c r="E94" i="19"/>
  <c r="E13" i="41"/>
  <c r="E93" i="19"/>
  <c r="G270" i="19" a="1"/>
  <c r="G270" i="19" s="1"/>
  <c r="E283" i="19" s="1"/>
  <c r="E18" i="41" s="1"/>
  <c r="I270" i="19" a="1"/>
  <c r="I270" i="19" s="1"/>
  <c r="E284"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52" i="19" s="1" a="1"/>
  <c r="I552"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30" i="19" a="1"/>
  <c r="I530" i="19" s="1"/>
  <c r="E533" i="19" s="1" a="1"/>
  <c r="E533" i="19" s="1"/>
  <c r="I46" i="9"/>
  <c r="I38" i="9"/>
  <c r="I39" i="9"/>
  <c r="I47" i="9"/>
  <c r="E30" i="41" l="1"/>
  <c r="F30" i="41" s="1"/>
  <c r="E41" i="9"/>
  <c r="I550" i="19" s="1"/>
  <c r="E555" i="19" s="1" a="1"/>
  <c r="E555" i="19" s="1"/>
  <c r="E50" i="9"/>
  <c r="I551" i="19" s="1"/>
  <c r="G24" i="7"/>
  <c r="E237" i="19" s="1" a="1"/>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D83" i="6" a="1"/>
  <c r="D83" i="6" s="1"/>
  <c r="D82" i="6" a="1"/>
  <c r="D82" i="6" s="1"/>
  <c r="D81" i="6" a="1"/>
  <c r="D81" i="6" s="1"/>
  <c r="F78" i="6" a="1"/>
  <c r="F78" i="6" s="1"/>
  <c r="E78" i="6" a="1"/>
  <c r="E78" i="6" s="1"/>
  <c r="O74" i="34" s="1" a="1"/>
  <c r="O74" i="34" s="1"/>
  <c r="T86" i="34" s="1"/>
  <c r="O90" i="34" s="1" a="1"/>
  <c r="O90" i="34" s="1"/>
  <c r="R571" i="19" s="1"/>
  <c r="D78" i="6" a="1"/>
  <c r="D78" i="6" s="1"/>
  <c r="D77" i="6" a="1"/>
  <c r="D77" i="6" s="1"/>
  <c r="D76" i="6" a="1"/>
  <c r="D76" i="6" s="1"/>
  <c r="F73" i="6" a="1"/>
  <c r="F73" i="6" s="1"/>
  <c r="E73" i="6" a="1"/>
  <c r="E73" i="6"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E35" i="34" l="1" a="1"/>
  <c r="E35" i="34" s="1"/>
  <c r="I48" i="34" s="1"/>
  <c r="O35" i="34" a="1"/>
  <c r="O35" i="34" s="1"/>
  <c r="S48" i="34" s="1"/>
  <c r="O55" i="34" s="1" a="1"/>
  <c r="O55" i="34" s="1"/>
  <c r="R570" i="19" s="1"/>
  <c r="M573" i="19" s="1" a="1"/>
  <c r="M573" i="19" s="1"/>
  <c r="O575" i="19" s="1"/>
  <c r="M578" i="19" s="1" a="1"/>
  <c r="M578" i="19" s="1"/>
  <c r="F32" i="41" s="1"/>
  <c r="E31" i="41"/>
  <c r="F31" i="41" s="1"/>
  <c r="E237" i="19"/>
  <c r="J237" i="19" s="1"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F20" i="7"/>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K221" i="19" a="1"/>
  <c r="K221" i="19" s="1"/>
  <c r="E252" i="19" s="1"/>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<sst xmlns="http://schemas.openxmlformats.org/spreadsheetml/2006/main" count="2389" uniqueCount="872">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</sst>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3">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41"/>
      <tableStyleElement type="headerRow" dxfId="540"/>
      <tableStyleElement type="totalRow" dxfId="539"/>
      <tableStyleElement type="firstColumn" dxfId="538"/>
      <tableStyleElement type="firstRowStripe" dxfId="537"/>
      <tableStyleElement type="secondRowStripe" dxfId="536"/>
    </tableStyle>
    <tableStyle name="Equation table" pivot="0" count="6" xr9:uid="{0B4491E8-4F2C-4EE8-9336-DC99561B4B77}">
      <tableStyleElement type="wholeTable" dxfId="535"/>
      <tableStyleElement type="headerRow" dxfId="534"/>
      <tableStyleElement type="totalRow" dxfId="533"/>
      <tableStyleElement type="firstColumn" dxfId="532"/>
      <tableStyleElement type="firstRowStripe" dxfId="531"/>
      <tableStyleElement type="secondRowStripe" dxfId="53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microsoft.com/office/2017/06/relationships/rdRichValueStructure" Target="richData/rdrichvaluestructure.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22/10/relationships/richValueRel" Target="richData/richValueRel.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29"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8" dataCellStyle="Input select" totalsRowCellStyle="Input select"/>
    <tableColumn id="3" xr3:uid="{E03C244F-B016-4373-8F29-F863250A309B}" name="Fuel type (select)" totalsRowDxfId="527" dataCellStyle="Input select" totalsRowCellStyle="Input select"/>
    <tableColumn id="4" xr3:uid="{70536E5B-E617-4814-BA37-CAE5E35162C6}" name="Amount purchased" totalsRowDxfId="526" totalsRowCellStyle="Content bold"/>
    <tableColumn id="6" xr3:uid="{9F12A1DD-B701-47BF-A99D-DAA4D26B1EB3}" name="Amount unit" totalsRowDxfId="525"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4" totalsRowCellStyle="Input percent">
      <calculatedColumnFormula>1</calculatedColumnFormula>
    </tableColumn>
    <tableColumn id="1" xr3:uid="{54C850E9-3FE0-4B86-92C1-58D2275B9FA5}" name="Amount consumed" totalsRowFunction="custom" totalsRowDxfId="523"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22" dataDxfId="521" totalsRowDxfId="520"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19" totalsRowDxfId="518" dataCellStyle="Input select"/>
    <tableColumn id="23" xr3:uid="{F727E370-72E8-46CC-9F10-18494CAC017E}" name="Amount applied per hectare" totalsRowFunction="custom" dataDxfId="517" totalsRowDxfId="516">
      <totalsRowFormula>SUM(Table_Input_InorganicFertiliser_Brands[[#Headers],[#Data],[Amount applied per hectare]])</totalsRowFormula>
    </tableColumn>
    <tableColumn id="18" xr3:uid="{2253738D-C34B-45FC-A347-3594DD12A0FD}" name="Application unit" totalsRowDxfId="515"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4"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3" totalsRowDxfId="512">
      <calculatedColumnFormula>$E$9</calculatedColumnFormula>
    </tableColumn>
    <tableColumn id="1" xr3:uid="{DE25213C-DDD2-412A-85A4-29987D633B72}" name="Total applied (kg)" dataDxfId="511" totalsRowDxfId="51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09" totalsRowDxfId="508"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7" totalsRowDxfId="506"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5"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4" totalsRowDxfId="503"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2" totalsRowDxfId="501"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500" totalsRowDxfId="499"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8" totalsRowDxfId="497"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6"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5"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4"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3"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2"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91" totalsRowDxfId="490"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89" totalsRowDxfId="488"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7" totalsRowDxfId="486"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85" dataDxfId="484"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3"/>
    <tableColumn id="3" xr3:uid="{9EAF254B-17DE-4675-8AF9-F68B80BF582C}" name="Application area (ha)" dataDxfId="482" dataCellStyle="Input number 2 decimal places">
      <calculatedColumnFormula>$E$9</calculatedColumnFormula>
    </tableColumn>
    <tableColumn id="4" xr3:uid="{CFA5CCED-3BC5-4DD2-AC3F-E4DC58D9B605}" name="Total applied (kg)" dataDxfId="481"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80" dataCellStyle="Input select"/>
    <tableColumn id="6" xr3:uid="{3F30B499-2152-42DE-8F13-8F97800C0F82}" name="Ingredient 1 percent" dataDxfId="479"/>
    <tableColumn id="8" xr3:uid="{81DBD2AF-CE79-4DFA-ABE1-18247069D1B2}" name="Ingredient 2" dataDxfId="478" dataCellStyle="Input select"/>
    <tableColumn id="9" xr3:uid="{1CF7EE6F-57DF-414D-AEE5-FBCA6348094D}" name="Ingredient 2 percent" dataDxfId="477"/>
    <tableColumn id="11" xr3:uid="{A18D28AA-C181-4552-8786-2ECF509C16C8}" name="Ingredient 3" dataDxfId="476" dataCellStyle="Input select"/>
    <tableColumn id="12" xr3:uid="{B6A6831A-C9EE-4F80-B87F-A0C4C20DFCFD}" name="Ingredient 3 percent" dataDxfId="475"/>
    <tableColumn id="14" xr3:uid="{4467B432-BBEC-488F-912D-5D7123AE260A}" name="Ingredient 4" dataDxfId="474" dataCellStyle="Input select"/>
    <tableColumn id="15" xr3:uid="{0FA01265-32D2-4FC6-BCD7-17164873ADC9}" name="Ingredient 4 percent" dataCellStyle="Input percent"/>
    <tableColumn id="7" xr3:uid="{BF8B607F-8C2E-4E2B-B89D-E699723F771C}" name="N application rate (kg/ha)" dataDxfId="47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Select)" dataDxfId="472"/>
    <tableColumn id="13" xr3:uid="{CA785B69-1D00-4D4E-954C-77FAF8F67EDB}" name="Ammonia source (select)" dataDxfId="471"/>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Lime" displayName="Table_Input_Lime" ref="D33:K35" totalsRowShown="0" headerRowDxfId="470" dataDxfId="469"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8"/>
    <tableColumn id="2" xr3:uid="{BBD9A28E-9144-4A75-B4E2-101A86320BD7}" name="Amount applied (t/hectare)" dataDxfId="467"/>
    <tableColumn id="4" xr3:uid="{28D6DB55-F183-4018-A8CF-F5EECD3B6F14}" name="Application area (ha)" dataDxfId="466">
      <calculatedColumnFormula>$E$9</calculatedColumnFormula>
    </tableColumn>
    <tableColumn id="3" xr3:uid="{A873C277-F431-4770-984D-50E37F5B322A}" name="Total amount applied (t)" dataDxfId="465" dataCellStyle="Input number general calculated">
      <calculatedColumnFormula>IFERROR(Table_Input_Lime[[#This Row],[Amount applied (t/hectare)]]*Table_Input_Lime[[#This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4">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63"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62"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61">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60" dataCellStyle="Input select"/>
    <tableColumn id="2" xr3:uid="{5B0AEBA4-AB33-4382-8634-3F4C8D3B2A9B}" name="Number of head treated" dataDxfId="459"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58" dataCellStyle="Input select"/>
    <tableColumn id="2" xr3:uid="{FA43F52A-7609-4014-A6D3-CAC2C970F57C}" name="Purchase class (select)" dataDxfId="457" dataCellStyle="Input select"/>
    <tableColumn id="6" xr3:uid="{41EDEC1E-1793-4BBD-B0C8-66DE9A0925D5}" name="Source region (Select)" dataDxfId="456"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55">
  <autoFilter ref="D6:I16" xr:uid="{E938BFB3-949A-45DE-8033-0682BC494B81}"/>
  <tableColumns count="6">
    <tableColumn id="9" xr3:uid="{9915AEA9-40DA-4CFD-B08A-11FBE10BE9CF}" name="Transaction name" dataCellStyle="Input text"/>
    <tableColumn id="11" xr3:uid="{7A96FDED-4DC0-48EE-B346-DC4E5D93138D}" name="Class (select)" dataDxfId="454"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53">
  <autoFilter ref="D6:H16" xr:uid="{14ED7533-62DD-410F-8832-CD98B0CD652B}"/>
  <tableColumns count="5">
    <tableColumn id="9" xr3:uid="{FC1CEF00-A0CC-4545-ADAB-9F52D190F90C}" name="Transaction name" dataCellStyle="Input text"/>
    <tableColumn id="11" xr3:uid="{45625588-179B-4EE3-98B4-2E94FA489CC5}" name="Class (select)" dataDxfId="452"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51"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50"/>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49"/>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8"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7"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6"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5"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4"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2"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41"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40"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39"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8"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7"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6"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5"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4"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3"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2"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31"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30"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29"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8"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7"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6"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5"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4"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3"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2"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21"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20"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19"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8"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7"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6"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5"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4"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3"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2"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11"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10"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09"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8"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7"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6"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5"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4"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3"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2"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01"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00"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99"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8"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7"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6"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5"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4"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3"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2"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91"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90"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89"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8"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7"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6"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5"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4"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3"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2"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81"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80"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79"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8"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7"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6"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37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37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37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371"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370" headerRowCellStyle="Content normal" dataCellStyle="Content normal">
  <autoFilter ref="M16:M21" xr:uid="{8B016CBB-C518-4F44-8DA5-22BFEF05C8F4}"/>
  <tableColumns count="1">
    <tableColumn id="1" xr3:uid="{529CBAE6-9FC8-4C67-86C3-EAFEE2218DCF}" name="Waste type w" totalsRowDxfId="369" dataCellStyle="Content normal">
      <calculatedColumnFormula>E40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368" headerRowCellStyle="Content normal" dataCellStyle="Content normal">
  <autoFilter ref="O16:O21" xr:uid="{A29F6F0E-2A01-4D24-9251-51FC9A4458D0}"/>
  <tableColumns count="1">
    <tableColumn id="1" xr3:uid="{64CBF66F-F07B-4051-8F15-1DD91E5BCBEF}" name="Waste type w" totalsRowDxfId="367" dataCellStyle="Content normal">
      <calculatedColumnFormula>E46</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6" dataDxfId="3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4">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3">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2">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1">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0">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59">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58">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6" dataDxfId="3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4">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3">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2">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1">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0">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49">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48">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7">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5" dataDxfId="344">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3"/>
    <tableColumn id="2" xr3:uid="{3CFB3B0E-6A3D-4336-A2F5-7D46AE54C335}" name="Power standalone machinery or heating" dataDxfId="342"/>
    <tableColumn id="3" xr3:uid="{5AAA1831-5C5E-4C84-BCC2-2E78A9B5258B}" name="Aviation" dataDxfId="341"/>
    <tableColumn id="5" xr3:uid="{F1BD91A4-832F-462E-8EB0-A84767662BE4}" name="Cars and light commercial vehicles" dataDxfId="340"/>
    <tableColumn id="7" xr3:uid="{E9B8BAAB-717E-44AB-B2F8-3E5C76D4FFB0}" name="Off-road Agriculture and forestry equipment" dataDxfId="339" dataCellStyle="Content bold"/>
    <tableColumn id="8" xr3:uid="{63E9DB80-5FD4-4E13-BBFC-A35B40E9C88C}" name="Vessels" dataDxfId="338" dataCellStyle="Content bold"/>
    <tableColumn id="6" xr3:uid="{EF6CDD99-C67B-4B96-AB3B-8313822AD3CF}" name="General use" dataDxfId="337"/>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6" dataDxfId="33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4">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3">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2">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1">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0">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29">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2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7" totalsRowDxfId="326">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5">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4">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3"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2"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1"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0"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09"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08"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7"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6"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5"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4"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3"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2"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1"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0"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99"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98"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7"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6"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5"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4"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3"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2"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0"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89"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88"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7"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6"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5"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4"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3"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1"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0"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78"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7"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6"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4" dataCellStyle="Content normal">
  <autoFilter ref="D78:E82" xr:uid="{E34928EB-73E5-43B2-830B-089F30DA4EF0}">
    <filterColumn colId="0" hiddenButton="1"/>
    <filterColumn colId="1" hiddenButton="1"/>
  </autoFilter>
  <tableColumns count="2">
    <tableColumn id="1" xr3:uid="{CAD0F086-96AD-478F-9F97-BB910BCF2E2C}" name="Class" dataDxfId="273"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1"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0"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69"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6"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2"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0"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8"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0"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49"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8"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7"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6"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5"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4"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3"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3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3"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4" dataCellStyle="Content normal">
      <calculatedColumnFormula>D351</calculatedColumnFormula>
    </tableColumn>
    <tableColumn id="2" xr3:uid="{3A500914-DEBE-4A5B-9EFF-C566204ADAFE}" name="Bulls &lt; 1 year" dataDxfId="163" dataCellStyle="Content normal">
      <calculatedColumnFormula>E351</calculatedColumnFormula>
    </tableColumn>
    <tableColumn id="3" xr3:uid="{B874FEE3-562E-454F-BDBC-45043393C99C}" name="Bulls &gt; 1 year" dataDxfId="162" dataCellStyle="Content normal">
      <calculatedColumnFormula>F351</calculatedColumnFormula>
    </tableColumn>
    <tableColumn id="4" xr3:uid="{B5355347-A1F0-4973-A512-0D2CAACA96EE}" name="Cows &lt; 1 year" dataDxfId="161" dataCellStyle="Content normal">
      <calculatedColumnFormula>G351</calculatedColumnFormula>
    </tableColumn>
    <tableColumn id="5" xr3:uid="{77A191F8-38C3-4F24-9EFF-980D069BC04A}" name="Cows 1-2 years" dataDxfId="160" dataCellStyle="Content normal">
      <calculatedColumnFormula>H351</calculatedColumnFormula>
    </tableColumn>
    <tableColumn id="6" xr3:uid="{C27A0FE8-EB36-45AD-85CC-54422EECF9D4}" name="Cows 2-3 years" dataDxfId="159" dataCellStyle="Content normal">
      <calculatedColumnFormula>I351</calculatedColumnFormula>
    </tableColumn>
    <tableColumn id="7" xr3:uid="{E45A02BC-2BD9-40C3-AA1C-086EE1B3CF4E}" name="Cows &gt; 3 years" dataDxfId="158" dataCellStyle="Content normal">
      <calculatedColumnFormula>I351</calculatedColumnFormula>
    </tableColumn>
    <tableColumn id="8" xr3:uid="{64BCADE5-A30C-422D-95A6-F7AB897FB775}" name="Steers &lt; 1 year" dataDxfId="157" dataCellStyle="Content normal">
      <calculatedColumnFormula>J351</calculatedColumnFormula>
    </tableColumn>
    <tableColumn id="9" xr3:uid="{A3AA722E-C9A8-476C-9FE8-DC46C3A6D9FA}" name="Steers 1-2 years" dataDxfId="156" dataCellStyle="Content normal">
      <calculatedColumnFormula>K351</calculatedColumnFormula>
    </tableColumn>
    <tableColumn id="10" xr3:uid="{CC7AE6BD-32DE-43F2-B3D8-F334FC0BA640}" name="Steers 2-3 years" dataDxfId="155" dataCellStyle="Content normal">
      <calculatedColumnFormula>K351</calculatedColumnFormula>
    </tableColumn>
    <tableColumn id="11" xr3:uid="{B364C281-70AB-4253-BEE3-56EAB88390C8}" name="Steers &gt;3 years" dataDxfId="154" dataCellStyle="Content normal">
      <calculatedColumnFormula>K351</calculatedColumnFormula>
    </tableColumn>
    <tableColumn id="12" xr3:uid="{1B567087-DFFB-45A9-97B9-5D55DA59D657}" name="State abbreviation" dataDxfId="153"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4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0" dataCellStyle="Content normal">
  <autoFilter ref="D40:E47" xr:uid="{879A0650-599F-46E3-BDCA-CF804D191F3B}">
    <filterColumn colId="0" hiddenButton="1"/>
    <filterColumn colId="1" hiddenButton="1"/>
  </autoFilter>
  <tableColumns count="2">
    <tableColumn id="1" xr3:uid="{F237F8B2-5CE9-4094-A201-E708B82BA8BF}" name="Product"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7" dataCellStyle="Content normal">
  <autoFilter ref="D51:E52" xr:uid="{5D161BB1-95E1-405D-861A-B4883D49A51C}">
    <filterColumn colId="0" hiddenButton="1"/>
    <filterColumn colId="1" hiddenButton="1"/>
  </autoFilter>
  <tableColumns count="2">
    <tableColumn id="1" xr3:uid="{44557688-3D5A-45A6-818D-F1328BB9ECC9}" name="Product"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5"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4" dataCellStyle="Content normal">
  <autoFilter ref="D56:E57" xr:uid="{91542D18-4304-4E66-85EA-4F5A2B9391FE}">
    <filterColumn colId="0" hiddenButton="1"/>
    <filterColumn colId="1" hiddenButton="1"/>
  </autoFilter>
  <tableColumns count="2">
    <tableColumn id="1" xr3:uid="{B414FDE1-8B5E-4532-8C69-A9C006972E91}" name="Product"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1" dataCellStyle="Content normal">
  <autoFilter ref="D61:E62" xr:uid="{4B96D517-47DA-49C8-8030-0D501D458198}">
    <filterColumn colId="0" hiddenButton="1"/>
    <filterColumn colId="1" hiddenButton="1"/>
  </autoFilter>
  <tableColumns count="2">
    <tableColumn id="1" xr3:uid="{20B25AB9-804F-4D21-9C93-F44C0DAF008F}" name="Product"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2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8"/>
    <tableColumn id="2" xr3:uid="{B4717C55-1B95-4E74-B4A0-5CE7A609A36B}" name="Notes" totalsRowDxfId="127"/>
    <tableColumn id="3" xr3:uid="{D976AB1A-52FF-4FBD-9860-B9717ABA5514}" name="Company" totalsRowDxfId="126"/>
    <tableColumn id="4" xr3:uid="{D8F5EA32-4865-44AD-B9C7-F91CA2638E8B}" name="Product name" totalsRowDxfId="125"/>
    <tableColumn id="5" xr3:uid="{D241BEEC-C636-4A92-9BDB-FA8FAA1CAFB2}" name="Unit" totalsRowDxfId="124"/>
    <tableColumn id="6" xr3:uid="{78DBDBE9-27C7-4A0D-B9DA-9F57440C9DE9}" name="Density / gravity" totalsRowDxfId="123"/>
    <tableColumn id="7" xr3:uid="{A50CBE27-EC38-4A34-A2CE-1002E6BA3DD3}" name="Urea source" totalsRowDxfId="122"/>
    <tableColumn id="8" xr3:uid="{16B5D74A-9810-4E92-A540-3E051DC2151D}" name="Ammonia source" totalsRowDxfId="121"/>
    <tableColumn id="9" xr3:uid="{DA7A3BF5-8B40-4495-AD97-6B95B429B465}" name="Ingredient 1" totalsRowDxfId="120"/>
    <tableColumn id="10" xr3:uid="{2A0B8472-D8FF-4086-BE70-2E8BCA80080B}" name="Ingredient 1 percent" totalsRowDxfId="119"/>
    <tableColumn id="11" xr3:uid="{F12415FE-ED65-47A4-AFBE-CEA738CED011}" name="Ingredient 2" totalsRowDxfId="118"/>
    <tableColumn id="12" xr3:uid="{26500CB3-2A36-4020-8DCD-96905995028A}" name="Ingredient 2 percent" totalsRowDxfId="117"/>
    <tableColumn id="13" xr3:uid="{8F8E6FFC-24C1-4EC1-A491-92E852D1C21B}" name="Ingredient 3" totalsRowDxfId="116"/>
    <tableColumn id="14" xr3:uid="{0D08C50E-A1D4-4D59-8D20-E9C72FE59C88}" name="Ingredient 3 percent" totalsRowDxfId="115"/>
    <tableColumn id="15" xr3:uid="{E71FD370-71A1-4861-8573-8E095564A6C6}" name="Ingredient 4" totalsRowDxfId="114"/>
    <tableColumn id="16" xr3:uid="{05524065-59E0-4732-9D5C-80182402ACED}" name="Ingredient 4 percent" totalsRowDxfId="113"/>
    <tableColumn id="17" xr3:uid="{E73E9DAE-88FE-451C-83BB-46CE2CD11EAC}" name="Ingredient 5" totalsRowDxfId="112"/>
    <tableColumn id="18" xr3:uid="{E43B92CC-872A-4D81-AE03-F2A3A1AA9B65}" name="Ingredient 5 percent" totalsRowDxfId="111"/>
    <tableColumn id="19" xr3:uid="{877362A6-7696-4C2B-9AC9-A50CEF0951B6}" name="Ingredient 6" totalsRowDxfId="110"/>
    <tableColumn id="37" xr3:uid="{22756E59-4033-405C-B6C2-0A2E122D072F}" name="Ingredient 6 percent" totalsRowDxfId="109"/>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5" dataCellStyle="Content normal">
  <autoFilter ref="K19:L28" xr:uid="{27B93029-EB1F-4C4A-A946-CD673A8A6C46}">
    <filterColumn colId="0" hiddenButton="1"/>
    <filterColumn colId="1" hiddenButton="1"/>
  </autoFilter>
  <tableColumns count="2">
    <tableColumn id="1" xr3:uid="{D0F0FE53-48EF-4C1D-923D-46B182A1D219}" name="Fertiliser type f" dataDxfId="104"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2" dataCellStyle="Content normal">
  <autoFilter ref="Q19:R28" xr:uid="{791CEA59-796C-47AB-86BC-41E8F699030C}">
    <filterColumn colId="0" hiddenButton="1"/>
    <filterColumn colId="1" hiddenButton="1"/>
  </autoFilter>
  <tableColumns count="2">
    <tableColumn id="1" xr3:uid="{8D461AD8-9C85-4218-9322-36C1AD6A4022}" name="Fertiliser type f" dataDxfId="101"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9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8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8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8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8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8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7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6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839</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22"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840</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841</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842</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843</v>
      </c>
      <c r="E9" s="215" t="s">
        <v>844</v>
      </c>
      <c r="F9" s="215" t="s">
        <v>845</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859</v>
      </c>
      <c r="F10" s="216" t="s">
        <v>859</v>
      </c>
      <c r="G10" s="13" t="s">
        <v>846</v>
      </c>
    </row>
    <row r="11" spans="1:12" ht="20.100000000000001" customHeight="1" x14ac:dyDescent="0.25">
      <c r="A11" s="16" t="str">
        <f>HYPERLINK("#'Input - Farm Inputs'!A1", "Farm Inputs")</f>
        <v>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846</v>
      </c>
    </row>
    <row r="12" spans="1:12" ht="20.100000000000001" customHeight="1" x14ac:dyDescent="0.25">
      <c r="A12" s="16" t="str">
        <f>HYPERLINK("#'Input - Livestock purchases'!A1", "Livestock purchases")</f>
        <v>Livestock purchases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846</v>
      </c>
    </row>
    <row r="13" spans="1:12" ht="20.100000000000001" customHeight="1" x14ac:dyDescent="0.25">
      <c r="A13" s="16" t="str">
        <f>HYPERLINK("#'Input - Freight'!A1", "Freight")</f>
        <v>Freight</v>
      </c>
      <c r="D13" s="217" t="str">
        <f>'15 Scope 3'!D57</f>
        <v>Pigs</v>
      </c>
      <c r="E13" s="216">
        <f>VEERG_15_1_1_1__1_EmissionsFromPurchasedLivestock_Pigs_Result_Method1</f>
        <v>127.08800000000001</v>
      </c>
      <c r="F13" s="216">
        <f>VEERG_15_1_1_1__1_EmissionsFromPurchasedLivestock_Pigs_Result_Method2</f>
        <v>73.38000000000001</v>
      </c>
      <c r="G13" s="13" t="s">
        <v>846</v>
      </c>
    </row>
    <row r="14" spans="1:12" ht="20.100000000000001" customHeight="1" x14ac:dyDescent="0.25">
      <c r="A14" s="16" t="str">
        <f>HYPERLINK("#'Input - Solid waste'!A1", "Solid waste")</f>
        <v>Solid waste</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846</v>
      </c>
    </row>
    <row r="15" spans="1:12" ht="20.100000000000001" customHeight="1" x14ac:dyDescent="0.25">
      <c r="A15" s="16" t="str">
        <f>HYPERLINK("#'Input - Manure sent off-site'!A1", "Manure sent off-site")</f>
        <v>Manure sent off-site</v>
      </c>
      <c r="C15" s="218"/>
      <c r="D15" s="8" t="str" cm="1">
        <f t="array" ref="D15">Common_InputFunctions.Utility_ResultsItemFromEquationTitleAndSource('15 Scope 3'!D98,'15 Scope 3'!D99)</f>
        <v>15.2.1.1 Emissions from purchased feed</v>
      </c>
      <c r="E15" s="216">
        <f>VEERG_15_2_1_1__1_EmissionsFromPurchasedFeed_Result_Method1</f>
        <v>646.34159999999997</v>
      </c>
      <c r="F15" s="216">
        <f>VEERG_15_2_1_1__1_EmissionsFromPurchasedFeed_Result_Method2</f>
        <v>529.78</v>
      </c>
      <c r="G15" s="13" t="s">
        <v>846</v>
      </c>
    </row>
    <row r="16" spans="1:12" ht="20.100000000000001" customHeight="1" x14ac:dyDescent="0.25">
      <c r="A16" s="16" t="str">
        <f>HYPERLINK("#'Input - Electricity'!A1", "Electricity")</f>
        <v>Electricity</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846</v>
      </c>
    </row>
    <row r="17" spans="1:8" ht="20.100000000000001" customHeight="1" x14ac:dyDescent="0.25">
      <c r="D17" s="8" t="str" cm="1">
        <f t="array" ref="D17">Common_InputFunctions.Utility_ResultsItemFromEquationTitleAndSource('15 Scope 3'!D186,'15 Scope 3'!D187)</f>
        <v>15.4.1.1 Emissions from purchased fertiliser</v>
      </c>
      <c r="E17" s="216" t="e">
        <f>VEERG_15_4_1_1__2_EmissionsFromPurchasedFertiliserComponentsVariation_Result_Method1</f>
        <v>#VALUE!</v>
      </c>
      <c r="F17" s="216" t="e">
        <f>VEERG_15_4_1_1__2_EmissionsFromPurchasedFertiliserComponentsVariation_Result_Method2</f>
        <v>#VALUE!</v>
      </c>
      <c r="G17" s="13" t="s">
        <v>846</v>
      </c>
    </row>
    <row r="18" spans="1:8" ht="20.100000000000001" customHeight="1" x14ac:dyDescent="0.25">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846</v>
      </c>
    </row>
    <row r="19" spans="1:8" ht="20.100000000000001" customHeight="1" x14ac:dyDescent="0.25">
      <c r="A19" s="21" t="s">
        <v>77</v>
      </c>
      <c r="D19" s="8" t="str" cm="1">
        <f t="array" ref="D19">Common_InputFunctions.Utility_ResultsItemFromEquationTitleAndSource('15 Scope 3'!D288,'15 Scope 3'!D289)</f>
        <v>15.6.1.1 Embedded emissions for purchased lime</v>
      </c>
      <c r="E19" s="216">
        <f>VEERG_15_6_1_1__1_EmissionsFromPurchasedLime_Result_Method1</f>
        <v>1.0375999999999999</v>
      </c>
      <c r="F19" s="216">
        <f>VEERG_15_6_1_1__1_EmissionsFromPurchasedLime_Result_Method2</f>
        <v>0.89</v>
      </c>
      <c r="G19" s="13" t="s">
        <v>846</v>
      </c>
    </row>
    <row r="20" spans="1:8" ht="20.100000000000001" customHeight="1" x14ac:dyDescent="0.25">
      <c r="A20" s="16" t="str">
        <f>HYPERLINK("#'15 Scope 3'!A1", "15 Scope 3")</f>
        <v>15 Scope 3</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846</v>
      </c>
      <c r="H20" s="218"/>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846</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846</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3'!D415,'15 Scope 3'!D416)</f>
        <v>15.10 Other purchased goods and services generic estimate</v>
      </c>
      <c r="E23" s="216" t="s">
        <v>859</v>
      </c>
      <c r="F23" s="216" t="s">
        <v>859</v>
      </c>
      <c r="G23" s="13" t="s">
        <v>846</v>
      </c>
    </row>
    <row r="24" spans="1:8" ht="20.100000000000001" customHeight="1" x14ac:dyDescent="0.25">
      <c r="A24" s="16" t="str">
        <f>HYPERLINK("#'8.2.1.1-2 Stationary fuel'!A1", "8.2.1.1-2 Stationary fuel")</f>
        <v>8.2.1.1-2 Stationary fuel</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846</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846</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846</v>
      </c>
    </row>
    <row r="27" spans="1:8" ht="20.100000000000001" customHeight="1" x14ac:dyDescent="0.25">
      <c r="A27" s="222" t="s">
        <v>78</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846</v>
      </c>
    </row>
    <row r="28" spans="1:8" ht="20.100000000000001" customHeight="1" x14ac:dyDescent="0.25">
      <c r="A28" s="16" t="str">
        <f>HYPERLINK("#'Constants - Scope 3'!A1", "Constants - Scope 3")</f>
        <v>Constants -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846</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3'!D506,'15 Scope 3'!D507)</f>
        <v>15.11.1.1 Total upstream emissions from scope 1 fuel consumption</v>
      </c>
      <c r="E29" s="216">
        <f>VEERG_15_11_1_1__1_TotalUpstreamEmissionsFromFuel_Result</f>
        <v>0.13617600000000002</v>
      </c>
      <c r="F29" s="216">
        <f>E29</f>
        <v>0.13617600000000002</v>
      </c>
      <c r="G29" s="13" t="s">
        <v>846</v>
      </c>
    </row>
    <row r="30" spans="1:8" ht="20.100000000000001" customHeight="1" x14ac:dyDescent="0.25">
      <c r="A30" s="16" t="str">
        <f>HYPERLINK("#'Constants - Fuel'!A1", "Constants - Fuel")</f>
        <v>Constants - Fuel</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0.03</v>
      </c>
      <c r="F30" s="216">
        <f>E30</f>
        <v>0.03</v>
      </c>
      <c r="G30" s="13" t="s">
        <v>846</v>
      </c>
    </row>
    <row r="31" spans="1:8" ht="20.100000000000001" customHeight="1" x14ac:dyDescent="0.25">
      <c r="A31" s="16" t="str">
        <f>HYPERLINK("#'Constants - Poultry'!A1", "Constants - Poultry")</f>
        <v>Constants - Poultry</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846</v>
      </c>
    </row>
    <row r="32" spans="1:8" ht="20.100000000000001" customHeight="1" x14ac:dyDescent="0.25">
      <c r="A32" s="16" t="str">
        <f>HYPERLINK("#'Constants - Swine'!A1", "Constants - Swine")</f>
        <v>Constants - Swine</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846</v>
      </c>
    </row>
    <row r="33" spans="1:7" ht="20.100000000000001" customHeight="1" x14ac:dyDescent="0.25">
      <c r="A33" s="16" t="str">
        <f>HYPERLINK("#'Constants - Dairy'!A1", "Constants - Dairy")</f>
        <v>Constants - Dairy</v>
      </c>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330.84210000000002</v>
      </c>
      <c r="F33" s="216">
        <f>E33</f>
        <v>330.84210000000002</v>
      </c>
      <c r="G33" s="13" t="s">
        <v>846</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3'!D592,'15 Scope 3'!D593)</f>
        <v>15.14.1.1 Embedded emissions from upstream freight</v>
      </c>
      <c r="E34" s="216" t="s">
        <v>859</v>
      </c>
      <c r="F34" s="216" t="s">
        <v>859</v>
      </c>
      <c r="G34" s="13" t="s">
        <v>846</v>
      </c>
    </row>
    <row r="35" spans="1:7" ht="20.100000000000001" customHeight="1" x14ac:dyDescent="0.25">
      <c r="A35" s="16" t="str">
        <f>HYPERLINK("#'Constants - Common Livestock'!A1", "Constants - Common Livestock")</f>
        <v>Constants - Common Livestock</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846</v>
      </c>
    </row>
    <row r="36" spans="1:7" ht="20.100000000000001" customHeight="1" x14ac:dyDescent="0.25">
      <c r="A36" s="16" t="str">
        <f>HYPERLINK("#'Constants - Fertiliser'!A1", "Constants - Fertiliser")</f>
        <v>Constants - Fertiliser</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846</v>
      </c>
    </row>
    <row r="37" spans="1:7" ht="20.100000000000001" customHeight="1" x14ac:dyDescent="0.25">
      <c r="A37" s="16" t="str">
        <f>HYPERLINK("#'Constants - Electricity'!A1", "Constants - Electricity")</f>
        <v>Constants - Electricity</v>
      </c>
      <c r="D37" s="60" t="s">
        <v>223</v>
      </c>
      <c r="E37" s="219" t="e">
        <f>SUM(E10:E36)</f>
        <v>#VALUE!</v>
      </c>
      <c r="F37" s="219" t="e">
        <f>SUM(F10:F36)</f>
        <v>#VALUE!</v>
      </c>
      <c r="G37" s="175" t="s">
        <v>846</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265</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266</v>
      </c>
      <c r="N5" s="104"/>
    </row>
    <row r="6" spans="1:24" ht="20.100000000000001" customHeight="1" x14ac:dyDescent="0.25">
      <c r="A6"/>
      <c r="D6" s="105"/>
      <c r="N6" s="106"/>
    </row>
    <row r="7" spans="1:24" ht="20.100000000000001" customHeight="1" x14ac:dyDescent="0.25">
      <c r="A7" s="19" t="s">
        <v>67</v>
      </c>
      <c r="D7" s="8" t="s">
        <v>267</v>
      </c>
      <c r="E7" s="82" t="s">
        <v>268</v>
      </c>
      <c r="F7" s="65"/>
    </row>
    <row r="8" spans="1:24" ht="20.100000000000001" customHeight="1" x14ac:dyDescent="0.25">
      <c r="A8" s="42" t="str">
        <f>HYPERLINK("#'Input - Site'!A1", "Site")</f>
        <v>Site</v>
      </c>
      <c r="D8" s="107" t="s">
        <v>269</v>
      </c>
      <c r="E8" s="82" t="s">
        <v>270</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271</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Livestock purchases'!A1", "Livestock purchases")</f>
        <v>Livestock purchases</v>
      </c>
      <c r="D12" s="107" t="s">
        <v>272</v>
      </c>
      <c r="E12" s="112">
        <v>45292</v>
      </c>
      <c r="F12" s="65" t="s">
        <v>273</v>
      </c>
    </row>
    <row r="13" spans="1:24" ht="20.100000000000001" customHeight="1" x14ac:dyDescent="0.25">
      <c r="A13" s="16" t="str">
        <f>HYPERLINK("#'Input - Freight'!A1", "Freight")</f>
        <v>Freight</v>
      </c>
      <c r="D13" s="107" t="s">
        <v>274</v>
      </c>
      <c r="E13" s="113">
        <f>DATE(YEAR(X_Cell_Site_StartDate)+1,MONTH(X_Cell_Site_StartDate),DAY(X_Cell_Site_StartDate))-1</f>
        <v>45657</v>
      </c>
      <c r="F13" s="65" t="s">
        <v>275</v>
      </c>
      <c r="N13" s="114"/>
      <c r="O13" s="114"/>
    </row>
    <row r="14" spans="1:24" ht="20.100000000000001" customHeight="1" x14ac:dyDescent="0.25">
      <c r="A14" s="16" t="str">
        <f>HYPERLINK("#'Input - Solid waste'!A1", "Solid waste")</f>
        <v>Solid waste</v>
      </c>
      <c r="N14" s="114"/>
      <c r="O14" s="114"/>
    </row>
    <row r="15" spans="1:24" ht="20.100000000000001" customHeight="1" x14ac:dyDescent="0.25">
      <c r="A15" s="16" t="str">
        <f>HYPERLINK("#'Input - Manure sent off-site'!A1", "Manure sent off-site")</f>
        <v>Manure sent off-site</v>
      </c>
      <c r="N15" s="114"/>
      <c r="O15" s="114"/>
    </row>
    <row r="16" spans="1:24" ht="20.100000000000001" customHeight="1" x14ac:dyDescent="0.25">
      <c r="A16" s="16" t="str">
        <f>HYPERLINK("#'Input - Electricity'!A1", "Electricity")</f>
        <v>Electricity</v>
      </c>
      <c r="D16" s="9" t="s">
        <v>276</v>
      </c>
      <c r="N16" s="114"/>
      <c r="O16" s="114"/>
    </row>
    <row r="17" spans="1:25" ht="20.100000000000001" customHeight="1" x14ac:dyDescent="0.25">
      <c r="A17"/>
    </row>
    <row r="18" spans="1:25" ht="20.100000000000001" customHeight="1" x14ac:dyDescent="0.25">
      <c r="A18"/>
      <c r="D18" s="115" t="s">
        <v>277</v>
      </c>
      <c r="E18" s="40"/>
      <c r="F18" s="40"/>
      <c r="G18" s="41"/>
    </row>
    <row r="19" spans="1:25" ht="20.100000000000001" customHeight="1" x14ac:dyDescent="0.25">
      <c r="A19" s="21" t="s">
        <v>77</v>
      </c>
      <c r="D19" s="43" t="s">
        <v>278</v>
      </c>
      <c r="E19" s="44"/>
      <c r="F19" s="44"/>
      <c r="G19" s="45"/>
      <c r="N19" s="104"/>
    </row>
    <row r="20" spans="1:25" ht="20.100000000000001" customHeight="1" x14ac:dyDescent="0.25">
      <c r="A20" s="16" t="str">
        <f>HYPERLINK("#'15 Scope 3'!A1", "15 Scope 3")</f>
        <v>15 Scope 3</v>
      </c>
      <c r="D20" s="8"/>
      <c r="E20" s="116"/>
      <c r="F20" s="65"/>
      <c r="N20" s="106"/>
    </row>
    <row r="21" spans="1:25" ht="20.100000000000001" customHeight="1" x14ac:dyDescent="0.25">
      <c r="A21" s="16" t="str">
        <f>HYPERLINK("#'10.1.1-2 Solid waste treatment'!A1", "10.1.1-2 Solid waste treatment")</f>
        <v>10.1.1-2 Solid waste treatment</v>
      </c>
      <c r="D21" s="8" t="s">
        <v>279</v>
      </c>
      <c r="E21" s="47" t="s">
        <v>314</v>
      </c>
      <c r="F21" s="65" t="s">
        <v>195</v>
      </c>
    </row>
    <row r="22" spans="1:25" ht="20.100000000000001" customHeight="1" x14ac:dyDescent="0.25">
      <c r="A22" s="16" t="str">
        <f>HYPERLINK("#'Calcs - Manure sent off-site'!A1", "Calcs - Manure sent off-site")</f>
        <v>Calcs - Manure sent off-site</v>
      </c>
      <c r="D22" s="8" t="s">
        <v>280</v>
      </c>
      <c r="E22" s="47" t="s">
        <v>281</v>
      </c>
      <c r="F22" s="65" t="s">
        <v>195</v>
      </c>
      <c r="G22" s="8"/>
    </row>
    <row r="23" spans="1:25" ht="20.100000000000001" customHeight="1" x14ac:dyDescent="0.25">
      <c r="A23" s="16" t="str">
        <f>HYPERLINK("#'8.1.1.1-2 Transport fuel'!A1", "8.1.1.1-2 Transport fuel")</f>
        <v>8.1.1.1-2 Transport fuel</v>
      </c>
      <c r="D23" s="8" t="s">
        <v>756</v>
      </c>
      <c r="E23" s="47" t="s">
        <v>757</v>
      </c>
      <c r="F23" s="65" t="s">
        <v>195</v>
      </c>
    </row>
    <row r="24" spans="1:25" ht="20.100000000000001" customHeight="1" x14ac:dyDescent="0.25">
      <c r="A24" s="16" t="str">
        <f>HYPERLINK("#'8.2.1.1-2 Stationary fuel'!A1", "8.2.1.1-2 Stationary fuel")</f>
        <v>8.2.1.1-2 Stationary fuel</v>
      </c>
      <c r="D24" s="8" t="s">
        <v>16</v>
      </c>
      <c r="E24" s="82">
        <v>307.7</v>
      </c>
      <c r="F24" s="65" t="s">
        <v>758</v>
      </c>
    </row>
    <row r="25" spans="1:25" ht="20.100000000000001" customHeight="1" x14ac:dyDescent="0.25">
      <c r="A25"/>
      <c r="D25" s="8" t="s">
        <v>759</v>
      </c>
      <c r="E25" s="82">
        <v>18</v>
      </c>
      <c r="F25" s="65" t="s">
        <v>760</v>
      </c>
      <c r="N25" s="106"/>
    </row>
    <row r="26" spans="1:25" ht="20.100000000000001" customHeight="1" x14ac:dyDescent="0.25">
      <c r="A26"/>
      <c r="D26" s="8" t="s">
        <v>761</v>
      </c>
      <c r="E26" s="82">
        <v>599</v>
      </c>
      <c r="F26" s="65" t="s">
        <v>762</v>
      </c>
    </row>
    <row r="27" spans="1:25" ht="20.100000000000001" customHeight="1" x14ac:dyDescent="0.25">
      <c r="A27" s="222" t="s">
        <v>78</v>
      </c>
      <c r="D27" s="107" t="s">
        <v>763</v>
      </c>
      <c r="E27" s="82">
        <v>1326</v>
      </c>
      <c r="F27" s="65" t="s">
        <v>762</v>
      </c>
    </row>
    <row r="28" spans="1:25" ht="20.100000000000001" customHeight="1" x14ac:dyDescent="0.25">
      <c r="A28" s="16" t="str">
        <f>HYPERLINK("#'Constants - Scope 3'!A1", "Constants - Scope 3")</f>
        <v>Constants - Scope 3</v>
      </c>
      <c r="D28" s="8" t="s">
        <v>764</v>
      </c>
      <c r="E28" s="82">
        <v>7</v>
      </c>
      <c r="F28" s="65" t="s">
        <v>765</v>
      </c>
    </row>
    <row r="29" spans="1:25" ht="20.100000000000001" customHeight="1" x14ac:dyDescent="0.25">
      <c r="A29" s="16" t="str">
        <f>HYPERLINK("#'Constants - Solid Waste'!A1", "Constants - Solid Waste")</f>
        <v>Constants - Solid Waste</v>
      </c>
      <c r="D29" s="107" t="s">
        <v>766</v>
      </c>
      <c r="E29" s="49">
        <f>X_Cell_Site_TotalRainfall/X_Cell_Site_PotentialEvapotranspiration</f>
        <v>0.45173453996983409</v>
      </c>
      <c r="F29" s="65"/>
    </row>
    <row r="30" spans="1:25" ht="20.100000000000001" customHeight="1" x14ac:dyDescent="0.25">
      <c r="A30" s="16" t="str">
        <f>HYPERLINK("#'Constants - Fuel'!A1", "Constants - Fuel")</f>
        <v>Constants - Fuel</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Swine'!A1", "Constants - Swine")</f>
        <v>Constants - Swine</v>
      </c>
      <c r="D32" s="8" t="s">
        <v>767</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Pasture Beef'!A1", "Constants - Pasture Beef")</f>
        <v>Constants - Pasture Beef</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Common Livestock'!A1", "Constants - Common Livestock")</f>
        <v>Constants - Common Livestock</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Fertiliser'!A1", "Constants - Fertiliser")</f>
        <v>Constants - Fertiliser</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Electricity'!A1", "Constants - Electricity")</f>
        <v>Constants - Electricity</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Common'!A1", "Constants - Common")</f>
        <v>Constants - Common</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743</v>
      </c>
    </row>
    <row r="8" spans="1:10" ht="20.100000000000001" customHeight="1" x14ac:dyDescent="0.25">
      <c r="A8" s="16" t="str">
        <f>HYPERLINK("#'Input - Site'!A1", "Site")</f>
        <v>Site</v>
      </c>
      <c r="D8" s="8" t="s">
        <v>744</v>
      </c>
    </row>
    <row r="9" spans="1:10" ht="20.100000000000001" customHeight="1" x14ac:dyDescent="0.25">
      <c r="A9" s="42" t="str">
        <f>HYPERLINK("#'Input - Fuel'!A1", "Fuel")</f>
        <v>Fuel</v>
      </c>
      <c r="D9" s="8" t="s">
        <v>745</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746</v>
      </c>
      <c r="E11" s="47" t="s">
        <v>714</v>
      </c>
      <c r="F11" s="65" t="s">
        <v>195</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12" zoomScaleNormal="100" workbookViewId="0">
      <selection activeCell="A20" sqref="A20"/>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194</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row>
    <row r="6" spans="1:25" ht="20.100000000000001" customHeight="1" x14ac:dyDescent="0.25">
      <c r="A6"/>
      <c r="D6" s="8" t="s">
        <v>145</v>
      </c>
      <c r="E6" s="47" t="s">
        <v>150</v>
      </c>
      <c r="F6" s="65" t="s">
        <v>195</v>
      </c>
    </row>
    <row r="7" spans="1:25" ht="20.100000000000001" customHeight="1" x14ac:dyDescent="0.25">
      <c r="A7" s="19" t="s">
        <v>67</v>
      </c>
      <c r="D7" s="8" t="s">
        <v>196</v>
      </c>
      <c r="E7" s="47" t="s">
        <v>151</v>
      </c>
      <c r="F7" s="65" t="s">
        <v>195</v>
      </c>
    </row>
    <row r="8" spans="1:25" ht="20.100000000000001" customHeight="1" x14ac:dyDescent="0.25">
      <c r="A8" s="16" t="str">
        <f>HYPERLINK("#'Input - Site'!A1", "Site")</f>
        <v>Site</v>
      </c>
      <c r="D8" s="8" t="s">
        <v>43</v>
      </c>
      <c r="E8" s="47" t="s">
        <v>152</v>
      </c>
      <c r="F8" s="65" t="s">
        <v>195</v>
      </c>
    </row>
    <row r="9" spans="1:25" ht="20.100000000000001" customHeight="1" x14ac:dyDescent="0.25">
      <c r="A9" s="16" t="str">
        <f>HYPERLINK("#'Input - Fuel'!A1", "Fuel")</f>
        <v>Fuel</v>
      </c>
      <c r="D9" s="8" t="s">
        <v>197</v>
      </c>
      <c r="E9" s="66">
        <v>100</v>
      </c>
      <c r="F9" s="65" t="s">
        <v>198</v>
      </c>
    </row>
    <row r="10" spans="1:25" ht="20.100000000000001" customHeight="1" x14ac:dyDescent="0.25">
      <c r="A10" s="42" t="str">
        <f>HYPERLINK("#'Input - Fertiliser'!A1", "Fertiliser")</f>
        <v>Fertiliser</v>
      </c>
    </row>
    <row r="11" spans="1:25" ht="20.100000000000001" customHeight="1" x14ac:dyDescent="0.25">
      <c r="A11" s="16" t="str">
        <f>HYPERLINK("#'Input - Farm Inputs'!A1", "Farm Inputs")</f>
        <v>Farm Inputs</v>
      </c>
      <c r="D11" s="9" t="s">
        <v>199</v>
      </c>
      <c r="E11" s="7"/>
      <c r="F11" s="7"/>
      <c r="G11" s="7"/>
      <c r="H11" s="7"/>
      <c r="I11" s="7"/>
      <c r="J11" s="7"/>
      <c r="K11" s="7"/>
      <c r="L11" s="7"/>
      <c r="M11" s="7"/>
    </row>
    <row r="12" spans="1:25" ht="20.100000000000001" customHeight="1" x14ac:dyDescent="0.25">
      <c r="A12" s="16" t="str">
        <f>HYPERLINK("#'Input - Livestock purchases'!A1", "Livestock purchases")</f>
        <v>Livestock purchases</v>
      </c>
      <c r="D12" s="14"/>
      <c r="E12" s="14"/>
      <c r="F12" s="14"/>
      <c r="G12" s="14"/>
      <c r="H12" s="14"/>
      <c r="I12" s="14"/>
      <c r="J12" s="14"/>
      <c r="K12" s="14"/>
      <c r="L12" s="14"/>
      <c r="M12" s="14"/>
    </row>
    <row r="13" spans="1:25" ht="20.100000000000001" customHeight="1" x14ac:dyDescent="0.25">
      <c r="A13" s="16" t="str">
        <f>HYPERLINK("#'Input - Freight'!A1", "Freight")</f>
        <v>Freight</v>
      </c>
      <c r="D13" s="39" t="s">
        <v>200</v>
      </c>
      <c r="E13" s="40"/>
      <c r="F13" s="40"/>
      <c r="G13" s="40"/>
      <c r="H13" s="41"/>
      <c r="I13" s="67"/>
      <c r="J13" s="68"/>
      <c r="K13" s="69"/>
      <c r="L13" s="69"/>
      <c r="M13" s="69"/>
    </row>
    <row r="14" spans="1:25" ht="20.100000000000001" customHeight="1" x14ac:dyDescent="0.25">
      <c r="A14" s="16" t="str">
        <f>HYPERLINK("#'Input - Solid waste'!A1", "Solid waste")</f>
        <v>Solid waste</v>
      </c>
      <c r="D14" s="43" t="s">
        <v>201</v>
      </c>
      <c r="E14" s="44"/>
      <c r="F14" s="44"/>
      <c r="G14" s="45"/>
      <c r="H14" s="70"/>
      <c r="I14" s="14"/>
      <c r="J14" s="14"/>
      <c r="K14" s="14"/>
      <c r="L14" s="14"/>
      <c r="M14" s="14"/>
    </row>
    <row r="15" spans="1:25" ht="20.100000000000001" customHeight="1" x14ac:dyDescent="0.25">
      <c r="A15" s="16" t="str">
        <f>HYPERLINK("#'Input - Manure sent off-site'!A1", "Manure sent off-site")</f>
        <v>Manure sent off-site</v>
      </c>
      <c r="D15" s="14"/>
      <c r="E15" s="14"/>
      <c r="F15" s="14"/>
      <c r="G15" s="14"/>
      <c r="H15" s="14"/>
      <c r="I15" s="14"/>
      <c r="J15" s="14"/>
      <c r="K15" s="14"/>
      <c r="L15" s="14"/>
      <c r="M15" s="14"/>
    </row>
    <row r="16" spans="1:25" ht="20.100000000000001" customHeight="1" x14ac:dyDescent="0.25">
      <c r="A16" s="16" t="str">
        <f>HYPERLINK("#'Input - Electricity'!A1", "Electricity")</f>
        <v>Electricity</v>
      </c>
      <c r="D16" s="71" t="s">
        <v>202</v>
      </c>
      <c r="E16" s="14"/>
      <c r="F16" s="14"/>
      <c r="G16" s="14"/>
      <c r="H16" s="14"/>
      <c r="I16" s="14"/>
      <c r="J16" s="14"/>
      <c r="K16" s="14"/>
      <c r="L16" s="14"/>
      <c r="M16" s="14"/>
    </row>
    <row r="17" spans="1:24" ht="36" customHeight="1" x14ac:dyDescent="0.25">
      <c r="A17"/>
      <c r="D17" s="91" t="s">
        <v>203</v>
      </c>
      <c r="E17" s="91" t="s">
        <v>323</v>
      </c>
      <c r="F17" s="91" t="s">
        <v>316</v>
      </c>
      <c r="G17" s="91" t="s">
        <v>317</v>
      </c>
      <c r="H17" s="91" t="s">
        <v>204</v>
      </c>
      <c r="I17" s="91" t="s">
        <v>205</v>
      </c>
      <c r="J17" s="91" t="s">
        <v>174</v>
      </c>
      <c r="K17" s="91" t="s">
        <v>175</v>
      </c>
      <c r="L17" s="91" t="s">
        <v>176</v>
      </c>
      <c r="M17" s="91" t="s">
        <v>177</v>
      </c>
      <c r="N17" s="91" t="s">
        <v>178</v>
      </c>
      <c r="O17" s="91" t="s">
        <v>179</v>
      </c>
      <c r="P17" s="91" t="s">
        <v>180</v>
      </c>
      <c r="Q17" s="91" t="s">
        <v>181</v>
      </c>
      <c r="R17" s="91" t="s">
        <v>182</v>
      </c>
      <c r="S17" s="91" t="s">
        <v>183</v>
      </c>
      <c r="T17" s="91" t="s">
        <v>184</v>
      </c>
      <c r="U17" s="91" t="s">
        <v>185</v>
      </c>
      <c r="V17" s="91" t="s">
        <v>206</v>
      </c>
      <c r="W17" s="91" t="s">
        <v>172</v>
      </c>
      <c r="X17" s="91" t="s">
        <v>173</v>
      </c>
    </row>
    <row r="18" spans="1:24" ht="36" customHeight="1" x14ac:dyDescent="0.25">
      <c r="A18"/>
      <c r="D18" s="72" t="s">
        <v>207</v>
      </c>
      <c r="E18" s="73">
        <v>100</v>
      </c>
      <c r="F18" s="49" t="e">
        <f>_xlfn.XLOOKUP(Table_Input_InorganicFertiliser_Brands[[#This Row],[Product (select)]],FertiliserProducts[Product name],FertiliserProducts[Unit])</f>
        <v>#N/A</v>
      </c>
      <c r="G18" s="49" t="e">
        <f>_xlfn.XLOOKUP(Table_Input_InorganicFertiliser_Brands[[#This Row],[Product (select)]],FertiliserProducts[Product name],FertiliserProducts[Density / gravity])</f>
        <v>#N/A</v>
      </c>
      <c r="H18" s="73">
        <f>X_Cell_Fertiliser_AreaUnderCropping</f>
        <v>100</v>
      </c>
      <c r="I18" s="74" t="e">
        <f>(Table_Input_InorganicFertiliser_Brands[[#This Row],[Amount applied per hectare]]*Table_Input_InorganicFertiliser_Brands[[#This Row],[Density]])*Table_Input_InorganicFertiliser_Brands[[#This Row],[Application area (ha)]]</f>
        <v>#N/A</v>
      </c>
      <c r="J18" s="7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
      </c>
      <c r="K18" s="74" t="str"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
      </c>
      <c r="L18" s="7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
      </c>
      <c r="M18" s="74" t="str"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
      </c>
      <c r="N18" s="7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
      </c>
      <c r="O18" s="74" t="str"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
      </c>
      <c r="P18" s="7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7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7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#N/A</v>
      </c>
      <c r="W18" s="74" t="e">
        <f>_xlfn.XLOOKUP(Table_Input_InorganicFertiliser_Brands[[#This Row],[Product (select)]],FertiliserProducts[Product name],FertiliserProducts[Urea source])</f>
        <v>#N/A</v>
      </c>
      <c r="X18" s="74" t="e">
        <f>_xlfn.XLOOKUP(Table_Input_InorganicFertiliser_Brands[[#This Row],[Product (select)]],FertiliserProducts[Product name],FertiliserProducts[Ammonia source])</f>
        <v>#N/A</v>
      </c>
    </row>
    <row r="19" spans="1:24" ht="36" customHeight="1" x14ac:dyDescent="0.25">
      <c r="A19" s="21" t="s">
        <v>77</v>
      </c>
      <c r="D19" s="72" t="s">
        <v>359</v>
      </c>
      <c r="E19" s="73">
        <v>200</v>
      </c>
      <c r="F19" s="49" t="str">
        <f>_xlfn.XLOOKUP(Table_Input_InorganicFertiliser_Brands[[#This Row],[Product (select)]],FertiliserProducts[Product name],FertiliserProducts[Unit])</f>
        <v>Boost-It - Campbells Fertilisers Australasia</v>
      </c>
      <c r="G19" s="49" t="str">
        <f>_xlfn.XLOOKUP(Table_Input_InorganicFertiliser_Brands[[#This Row],[Product (select)]],FertiliserProducts[Product name],FertiliserProducts[Density / gravity])</f>
        <v>Website SDS</v>
      </c>
      <c r="H19" s="73">
        <f>X_Cell_Fertiliser_AreaUnderCropping</f>
        <v>100</v>
      </c>
      <c r="I19" s="74" t="e">
        <f>(Table_Input_InorganicFertiliser_Brands[[#This Row],[Amount applied per hectare]]*Table_Input_InorganicFertiliser_Brands[[#This Row],[Density]])*Table_Input_InorganicFertiliser_Brands[[#This Row],[Application area (ha)]]</f>
        <v>#VALUE!</v>
      </c>
      <c r="J19" s="74"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1</v>
      </c>
      <c r="K19" s="74" t="str"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
      </c>
      <c r="L19" s="7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
      </c>
      <c r="M19" s="74" t="str"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Urea</v>
      </c>
      <c r="N19" s="74"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0.52173913000000005</v>
      </c>
      <c r="O19" s="7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Potassium - Generic</v>
      </c>
      <c r="P19" s="74"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0.08</v>
      </c>
      <c r="Q19" s="7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Sulfur - Generic</v>
      </c>
      <c r="R19" s="74"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5.2999999999999999E-2</v>
      </c>
      <c r="S19" s="7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Phosphorus - Generic</v>
      </c>
      <c r="T19" s="74"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5.1999999999999998E-2</v>
      </c>
      <c r="U19" s="7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Magnesium</v>
      </c>
      <c r="V19"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19" s="74" t="str">
        <f>_xlfn.XLOOKUP(Table_Input_InorganicFertiliser_Brands[[#This Row],[Product (select)]],FertiliserProducts[Product name],FertiliserProducts[Urea source])</f>
        <v/>
      </c>
      <c r="X19" s="74" t="str">
        <f>_xlfn.XLOOKUP(Table_Input_InorganicFertiliser_Brands[[#This Row],[Product (select)]],FertiliserProducts[Product name],FertiliserProducts[Ammonia source])</f>
        <v>kg</v>
      </c>
    </row>
    <row r="20" spans="1:24" ht="36" customHeight="1" x14ac:dyDescent="0.25">
      <c r="A20" s="16" t="str">
        <f>HYPERLINK("#'15 Scope 3'!A1", "15 Scope 3")</f>
        <v>15 Scope 3</v>
      </c>
      <c r="D20" s="72" t="s">
        <v>207</v>
      </c>
      <c r="E20" s="73">
        <v>100</v>
      </c>
      <c r="F20" s="49" t="e">
        <f>_xlfn.XLOOKUP(Table_Input_InorganicFertiliser_Brands[[#This Row],[Product (select)]],FertiliserProducts[Product name],FertiliserProducts[Unit])</f>
        <v>#N/A</v>
      </c>
      <c r="G20" s="49" t="e">
        <f>_xlfn.XLOOKUP(Table_Input_InorganicFertiliser_Brands[[#This Row],[Product (select)]],FertiliserProducts[Product name],FertiliserProducts[Density / gravity])</f>
        <v>#N/A</v>
      </c>
      <c r="H20" s="73">
        <f>X_Cell_Fertiliser_AreaUnderCropping</f>
        <v>100</v>
      </c>
      <c r="I20" s="74" t="e">
        <f>(Table_Input_InorganicFertiliser_Brands[[#This Row],[Amount applied per hectare]]*Table_Input_InorganicFertiliser_Brands[[#This Row],[Density]])*Table_Input_InorganicFertiliser_Brands[[#This Row],[Application area (ha)]]</f>
        <v>#N/A</v>
      </c>
      <c r="J20" s="7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
      </c>
      <c r="K20" s="74" t="str"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
      </c>
      <c r="L20" s="7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
      </c>
      <c r="M20" s="74" t="str"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
      </c>
      <c r="N20" s="7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7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7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7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#N/A</v>
      </c>
      <c r="W20" s="74" t="e">
        <f>_xlfn.XLOOKUP(Table_Input_InorganicFertiliser_Brands[[#This Row],[Product (select)]],FertiliserProducts[Product name],FertiliserProducts[Urea source])</f>
        <v>#N/A</v>
      </c>
      <c r="X20" s="74" t="e">
        <f>_xlfn.XLOOKUP(Table_Input_InorganicFertiliser_Brands[[#This Row],[Product (select)]],FertiliserProducts[Product name],FertiliserProducts[Ammonia source])</f>
        <v>#N/A</v>
      </c>
    </row>
    <row r="21" spans="1:24" ht="36" customHeight="1" x14ac:dyDescent="0.25">
      <c r="A21" s="16" t="str">
        <f>HYPERLINK("#'10.1.1-2 Solid waste treatment'!A1", "10.1.1-2 Solid waste treatment")</f>
        <v>10.1.1-2 Solid waste treatment</v>
      </c>
      <c r="D21" s="75"/>
      <c r="E21" s="76"/>
      <c r="F21" s="77"/>
      <c r="G21" s="77"/>
      <c r="H21" s="77"/>
      <c r="I21" s="77"/>
      <c r="J21" s="78"/>
      <c r="K21" s="78"/>
      <c r="L21" s="79"/>
      <c r="M21" s="79"/>
      <c r="N21" s="51"/>
      <c r="O21" s="51"/>
      <c r="P21" s="51"/>
      <c r="Q21" s="51"/>
      <c r="R21" s="51"/>
      <c r="S21" s="51"/>
      <c r="T21" s="51"/>
      <c r="U21" s="51"/>
      <c r="V21" s="51"/>
      <c r="W21" s="51"/>
      <c r="X21" s="51"/>
    </row>
    <row r="22" spans="1:24" ht="36" customHeight="1" x14ac:dyDescent="0.25">
      <c r="A22" s="16" t="str">
        <f>HYPERLINK("#'Calcs - Manure sent off-site'!A1", "Calcs - Manure sent off-site")</f>
        <v>Calcs - Manure sent off-site</v>
      </c>
      <c r="D22" s="80" t="s">
        <v>208</v>
      </c>
      <c r="E22" s="81"/>
      <c r="F22" s="81"/>
      <c r="G22" s="81"/>
      <c r="H22" s="81"/>
      <c r="I22" s="81"/>
      <c r="J22" s="81"/>
      <c r="K22" s="81"/>
      <c r="L22" s="81"/>
      <c r="M22" s="81"/>
      <c r="N22" s="51"/>
      <c r="O22" s="51"/>
      <c r="P22" s="51"/>
      <c r="Q22" s="51"/>
      <c r="R22" s="51"/>
      <c r="S22" s="51"/>
      <c r="T22" s="51"/>
      <c r="U22" s="51"/>
      <c r="V22" s="51"/>
      <c r="W22" s="51"/>
      <c r="X22" s="51"/>
    </row>
    <row r="23" spans="1:24" ht="36" customHeight="1" x14ac:dyDescent="0.25">
      <c r="A23" s="16" t="str">
        <f>HYPERLINK("#'8.1.1.1-2 Transport fuel'!A1", "8.1.1.1-2 Transport fuel")</f>
        <v>8.1.1.1-2 Transport fuel</v>
      </c>
      <c r="D23" s="91" t="s">
        <v>209</v>
      </c>
      <c r="E23" s="91" t="s">
        <v>847</v>
      </c>
      <c r="F23" s="91" t="s">
        <v>204</v>
      </c>
      <c r="G23" s="91" t="s">
        <v>205</v>
      </c>
      <c r="H23" s="91" t="s">
        <v>210</v>
      </c>
      <c r="I23" s="91" t="s">
        <v>175</v>
      </c>
      <c r="J23" s="91" t="s">
        <v>176</v>
      </c>
      <c r="K23" s="91" t="s">
        <v>177</v>
      </c>
      <c r="L23" s="91" t="s">
        <v>178</v>
      </c>
      <c r="M23" s="91" t="s">
        <v>179</v>
      </c>
      <c r="N23" s="91" t="s">
        <v>180</v>
      </c>
      <c r="O23" s="91" t="s">
        <v>181</v>
      </c>
      <c r="P23" s="91" t="s">
        <v>206</v>
      </c>
      <c r="Q23" s="91" t="s">
        <v>870</v>
      </c>
      <c r="R23" s="91" t="s">
        <v>871</v>
      </c>
      <c r="S23" s="51"/>
      <c r="T23" s="51"/>
      <c r="U23" s="51"/>
      <c r="V23" s="51"/>
      <c r="W23" s="51"/>
      <c r="X23" s="51"/>
    </row>
    <row r="24" spans="1:24" ht="36" customHeight="1" x14ac:dyDescent="0.25">
      <c r="A24" s="16" t="str">
        <f>HYPERLINK("#'8.2.1.1-2 Stationary fuel'!A1", "8.2.1.1-2 Stationary fuel")</f>
        <v>8.2.1.1-2 Stationary fuel</v>
      </c>
      <c r="D24" s="82" t="s">
        <v>211</v>
      </c>
      <c r="E24" s="64">
        <v>100</v>
      </c>
      <c r="F24" s="73">
        <f>X_Cell_Fertiliser_AreaUnderCropping</f>
        <v>100</v>
      </c>
      <c r="G24" s="74">
        <f>Table_Input_InorganicFertiliser_Custom[[#This Row],[Amount applied (kg / ha)]]*Table_Input_InorganicFertiliser_Custom[[#This Row],[Application area (ha)]]</f>
        <v>10000</v>
      </c>
      <c r="H24" s="83" t="s">
        <v>322</v>
      </c>
      <c r="I24" s="84">
        <v>0.45</v>
      </c>
      <c r="J24" s="83" t="s">
        <v>321</v>
      </c>
      <c r="K24" s="84">
        <v>0.3</v>
      </c>
      <c r="L24" s="83" t="s">
        <v>213</v>
      </c>
      <c r="M24" s="84">
        <v>0.1</v>
      </c>
      <c r="N24" s="85" t="s">
        <v>214</v>
      </c>
      <c r="O24" s="86">
        <v>0.1</v>
      </c>
      <c r="P2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7" t="s">
        <v>318</v>
      </c>
      <c r="R24" s="47" t="s">
        <v>352</v>
      </c>
    </row>
    <row r="25" spans="1:24" ht="36" customHeight="1" x14ac:dyDescent="0.25">
      <c r="A25"/>
      <c r="D25" s="82"/>
      <c r="E25" s="64">
        <v>100</v>
      </c>
      <c r="F25" s="148">
        <f>X_Cell_Fertiliser_AreaUnderCropping</f>
        <v>100</v>
      </c>
      <c r="G25" s="74">
        <f>Table_Input_InorganicFertiliser_Custom[[#This Row],[Amount applied (kg / ha)]]*Table_Input_InorganicFertiliser_Custom[[#This Row],[Application area (ha)]]</f>
        <v>10000</v>
      </c>
      <c r="H25" s="83" t="s">
        <v>212</v>
      </c>
      <c r="I25" s="87">
        <v>0.9</v>
      </c>
      <c r="J25" s="83" t="s">
        <v>322</v>
      </c>
      <c r="K25" s="87">
        <v>0.1</v>
      </c>
      <c r="L25" s="83"/>
      <c r="M25" s="87"/>
      <c r="N25" s="85"/>
      <c r="O25" s="86"/>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2" t="s">
        <v>318</v>
      </c>
      <c r="R25" s="72" t="s">
        <v>318</v>
      </c>
    </row>
    <row r="26" spans="1:24" ht="36" customHeight="1" x14ac:dyDescent="0.25">
      <c r="A26"/>
    </row>
    <row r="27" spans="1:24" ht="20.100000000000001" customHeight="1" x14ac:dyDescent="0.25">
      <c r="A27" s="222" t="s">
        <v>78</v>
      </c>
      <c r="D27" s="9" t="s">
        <v>837</v>
      </c>
      <c r="E27" s="7"/>
      <c r="F27" s="7"/>
      <c r="G27" s="7"/>
      <c r="H27" s="7"/>
      <c r="I27" s="7"/>
      <c r="J27" s="7"/>
      <c r="K27" s="14"/>
      <c r="L27" s="14"/>
      <c r="M27" s="14"/>
    </row>
    <row r="28" spans="1:24" ht="20.100000000000001" customHeight="1" x14ac:dyDescent="0.25">
      <c r="A28" s="16" t="str">
        <f>HYPERLINK("#'Constants - Scope 3'!A1", "Constants - Scope 3")</f>
        <v>Constants - Scope 3</v>
      </c>
      <c r="D28" s="14"/>
      <c r="E28" s="14"/>
      <c r="F28" s="14"/>
      <c r="G28" s="14"/>
      <c r="H28" s="14"/>
      <c r="I28" s="14"/>
      <c r="J28" s="14"/>
      <c r="K28" s="14"/>
      <c r="L28" s="14"/>
      <c r="M28" s="7"/>
    </row>
    <row r="29" spans="1:24" ht="20.100000000000001" customHeight="1" x14ac:dyDescent="0.25">
      <c r="A29" s="16" t="str">
        <f>HYPERLINK("#'Constants - Solid Waste'!A1", "Constants - Solid Waste")</f>
        <v>Constants - Solid Waste</v>
      </c>
      <c r="D29" s="39" t="s">
        <v>215</v>
      </c>
      <c r="E29" s="40"/>
      <c r="F29" s="41"/>
      <c r="G29" s="39"/>
      <c r="H29" s="41"/>
      <c r="I29" s="7"/>
      <c r="J29" s="7"/>
      <c r="K29" s="14"/>
      <c r="L29" s="14"/>
      <c r="M29" s="14"/>
    </row>
    <row r="30" spans="1:24" ht="20.100000000000001" customHeight="1" x14ac:dyDescent="0.25">
      <c r="A30" s="16" t="str">
        <f>HYPERLINK("#'Constants - Fuel'!A1", "Constants - Fuel")</f>
        <v>Constants - Fuel</v>
      </c>
      <c r="D30" s="88" t="s">
        <v>216</v>
      </c>
      <c r="E30" s="89"/>
      <c r="F30" s="90"/>
      <c r="G30" s="88"/>
      <c r="H30" s="90"/>
      <c r="I30" s="14"/>
      <c r="J30" s="14"/>
      <c r="K30" s="14"/>
      <c r="L30" s="14"/>
      <c r="M30" s="7"/>
    </row>
    <row r="31" spans="1:24" ht="20.100000000000001" customHeight="1" x14ac:dyDescent="0.25">
      <c r="A31" s="16" t="str">
        <f>HYPERLINK("#'Constants - Poultry'!A1", "Constants - Poultry")</f>
        <v>Constants - Poultry</v>
      </c>
      <c r="D31" s="43" t="s">
        <v>201</v>
      </c>
      <c r="E31" s="44"/>
      <c r="F31" s="44"/>
      <c r="G31" s="44"/>
      <c r="H31" s="45"/>
      <c r="I31" s="14"/>
      <c r="J31" s="14"/>
      <c r="K31" s="14"/>
      <c r="L31" s="14"/>
      <c r="M31" s="7"/>
    </row>
    <row r="32" spans="1:24" ht="20.100000000000001" customHeight="1" x14ac:dyDescent="0.25">
      <c r="A32" s="16" t="str">
        <f>HYPERLINK("#'Constants - Swine'!A1", "Constants - Swine")</f>
        <v>Constants - Swine</v>
      </c>
      <c r="D32" s="54" t="str">
        <f>IF(MAX(Table_Input_Lime[Total]) &gt; 1, "There can not be more than 100% ingredients in a product. Check the table below.", "")</f>
        <v/>
      </c>
    </row>
    <row r="33" spans="1:25" ht="36" customHeight="1" x14ac:dyDescent="0.25">
      <c r="A33" s="16" t="str">
        <f>HYPERLINK("#'Constants - Dairy'!A1", "Constants - Dairy")</f>
        <v>Constants - Dairy</v>
      </c>
      <c r="D33" s="91" t="s">
        <v>217</v>
      </c>
      <c r="E33" s="91" t="s">
        <v>218</v>
      </c>
      <c r="F33" s="91" t="s">
        <v>204</v>
      </c>
      <c r="G33" s="91" t="s">
        <v>219</v>
      </c>
      <c r="H33" s="91" t="s">
        <v>220</v>
      </c>
      <c r="I33" s="91" t="s">
        <v>221</v>
      </c>
      <c r="J33" s="91" t="s">
        <v>222</v>
      </c>
      <c r="K33" s="91" t="s">
        <v>223</v>
      </c>
      <c r="Y33" s="3"/>
    </row>
    <row r="34" spans="1:25" ht="36" customHeight="1" x14ac:dyDescent="0.25">
      <c r="A34" s="16" t="str">
        <f>HYPERLINK("#'Constants - Pasture Beef'!A1", "Constants - Pasture Beef")</f>
        <v>Constants - Pasture Beef</v>
      </c>
      <c r="D34" s="92" t="s">
        <v>224</v>
      </c>
      <c r="E34" s="73">
        <v>100</v>
      </c>
      <c r="F34" s="73">
        <f>X_Cell_Fertiliser_AreaUnderCropping</f>
        <v>100</v>
      </c>
      <c r="G34" s="74">
        <f>IFERROR(Table_Input_Lime[[#This Row],[Amount applied (t/hectare)]]*Table_Input_Lime[[#This Row],[Application area (ha)]], 0)</f>
        <v>10000</v>
      </c>
      <c r="H34" s="86">
        <v>0.4</v>
      </c>
      <c r="I34" s="86">
        <v>0.3</v>
      </c>
      <c r="J34" s="86">
        <v>0.25</v>
      </c>
      <c r="K34" s="93">
        <f>SUM(Table_Input_Lime[[#This Row],[Percent Lime CaCO3]:[Percent Gypsum]])</f>
        <v>0.95</v>
      </c>
      <c r="Y34" s="3"/>
    </row>
    <row r="35" spans="1:25" ht="36" customHeight="1" x14ac:dyDescent="0.25">
      <c r="A35" s="16" t="str">
        <f>HYPERLINK("#'Constants - Common Livestock'!A1", "Constants - Common Livestock")</f>
        <v>Constants - Common Livestock</v>
      </c>
      <c r="D35" s="92" t="s">
        <v>225</v>
      </c>
      <c r="E35" s="73">
        <v>100</v>
      </c>
      <c r="F35" s="73">
        <f>X_Cell_Fertiliser_AreaUnderCropping</f>
        <v>100</v>
      </c>
      <c r="G35" s="74">
        <f>IFERROR(Table_Input_Lime[[#This Row],[Amount applied (t/hectare)]]*Table_Input_Lime[[#This Row],[Application area (ha)]], 0)</f>
        <v>10000</v>
      </c>
      <c r="H35" s="86">
        <v>1</v>
      </c>
      <c r="I35" s="86"/>
      <c r="J35" s="86"/>
      <c r="K35" s="93">
        <f>SUM(Table_Input_Lime[[#This Row],[Percent Lime CaCO3]:[Percent Gypsum]])</f>
        <v>1</v>
      </c>
      <c r="Y35" s="3"/>
    </row>
    <row r="36" spans="1:25" ht="36" customHeight="1" x14ac:dyDescent="0.25">
      <c r="A36" s="16" t="str">
        <f>HYPERLINK("#'Constants - Fertiliser'!A1", "Constants - Fertiliser")</f>
        <v>Constants - Fertiliser</v>
      </c>
      <c r="D36" s="14"/>
      <c r="E36" s="14"/>
      <c r="F36" s="14"/>
      <c r="G36" s="14"/>
      <c r="H36" s="14"/>
      <c r="I36" s="14"/>
      <c r="J36" s="14"/>
      <c r="L36" s="7"/>
      <c r="M36" s="7"/>
    </row>
    <row r="37" spans="1:25" ht="20.100000000000001" customHeight="1" x14ac:dyDescent="0.25">
      <c r="A37" s="16" t="str">
        <f>HYPERLINK("#'Constants - Electricity'!A1", "Constants - Electricity")</f>
        <v>Constants - Electricity</v>
      </c>
      <c r="D37" s="14"/>
      <c r="E37" s="14"/>
      <c r="F37" s="14"/>
      <c r="G37" s="14"/>
      <c r="H37" s="14"/>
      <c r="I37" s="14"/>
      <c r="J37" s="94"/>
      <c r="K37" s="7"/>
      <c r="L37" s="7"/>
      <c r="M37" s="7"/>
    </row>
    <row r="38" spans="1:25" ht="20.100000000000001" customHeight="1" x14ac:dyDescent="0.25">
      <c r="A38" s="16" t="str">
        <f>HYPERLINK("#'Constants - Common'!A1", "Constants - Common")</f>
        <v>Constants - Common</v>
      </c>
      <c r="C38" s="51"/>
      <c r="L38" s="14"/>
      <c r="M38" s="14"/>
    </row>
    <row r="39" spans="1:25" ht="20.100000000000001" customHeight="1" x14ac:dyDescent="0.25">
      <c r="A39"/>
      <c r="C39" s="51"/>
      <c r="L39" s="14"/>
      <c r="M39" s="14"/>
    </row>
    <row r="40" spans="1:25" s="52" customFormat="1" ht="20.100000000000001" customHeight="1" x14ac:dyDescent="0.25">
      <c r="A40"/>
      <c r="C40" s="8"/>
      <c r="D40" s="8"/>
      <c r="E40" s="8"/>
      <c r="F40" s="8"/>
      <c r="G40" s="8"/>
      <c r="H40" s="8"/>
      <c r="I40" s="8"/>
      <c r="J40" s="8"/>
      <c r="K40" s="8"/>
      <c r="L40" s="14"/>
      <c r="M40" s="14"/>
      <c r="N40" s="8"/>
      <c r="O40" s="8"/>
      <c r="P40" s="8"/>
      <c r="Q40" s="51"/>
      <c r="R40" s="51"/>
      <c r="S40" s="51"/>
      <c r="T40" s="8"/>
      <c r="U40" s="8"/>
      <c r="V40" s="8"/>
      <c r="W40" s="8"/>
      <c r="X40" s="8"/>
      <c r="Y40" s="8"/>
    </row>
    <row r="41" spans="1:25" s="52" customFormat="1" ht="20.100000000000001" customHeight="1" x14ac:dyDescent="0.25">
      <c r="A41"/>
      <c r="C41" s="8"/>
      <c r="D41" s="8"/>
      <c r="E41" s="8"/>
      <c r="F41" s="8"/>
      <c r="G41" s="8"/>
      <c r="H41" s="8"/>
      <c r="I41" s="8"/>
      <c r="J41" s="8"/>
      <c r="K41" s="8"/>
      <c r="L41" s="14"/>
      <c r="M41" s="14"/>
      <c r="N41" s="8"/>
      <c r="O41" s="51"/>
      <c r="P41" s="51"/>
      <c r="Q41" s="51"/>
      <c r="R41" s="51"/>
      <c r="S41" s="51"/>
      <c r="T41" s="8"/>
      <c r="U41" s="8"/>
      <c r="V41" s="8"/>
      <c r="W41" s="8"/>
      <c r="X41" s="8"/>
      <c r="Y41" s="8"/>
    </row>
    <row r="42" spans="1:25" ht="20.100000000000001" customHeight="1" x14ac:dyDescent="0.25">
      <c r="A42"/>
      <c r="L42" s="14"/>
      <c r="M42" s="51"/>
      <c r="N42" s="51"/>
      <c r="O42" s="51"/>
      <c r="P42" s="51"/>
    </row>
    <row r="43" spans="1:25" ht="36" customHeight="1" x14ac:dyDescent="0.25">
      <c r="A43"/>
      <c r="L43" s="81"/>
      <c r="M43" s="51"/>
      <c r="N43" s="51"/>
    </row>
    <row r="44" spans="1:25" ht="36" customHeight="1" x14ac:dyDescent="0.25">
      <c r="A44"/>
      <c r="L44" s="81"/>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3" ht="20.100000000000001" customHeight="1" x14ac:dyDescent="0.25">
      <c r="A97"/>
    </row>
    <row r="98" spans="1:13" ht="20.100000000000001" customHeight="1" x14ac:dyDescent="0.25">
      <c r="A98"/>
    </row>
    <row r="99" spans="1:13" ht="20.100000000000001" customHeight="1" x14ac:dyDescent="0.25">
      <c r="A99"/>
    </row>
    <row r="100" spans="1:13" ht="20.100000000000001" customHeight="1" x14ac:dyDescent="0.25">
      <c r="A100"/>
    </row>
    <row r="101" spans="1:13" ht="20.100000000000001" customHeight="1" x14ac:dyDescent="0.25">
      <c r="A101"/>
    </row>
    <row r="102" spans="1:13" ht="20.100000000000001" customHeight="1" x14ac:dyDescent="0.25">
      <c r="A102"/>
    </row>
    <row r="103" spans="1:13" ht="20.100000000000001" customHeight="1" x14ac:dyDescent="0.25">
      <c r="A103"/>
    </row>
    <row r="104" spans="1:13" ht="20.100000000000001" customHeight="1" x14ac:dyDescent="0.25">
      <c r="A104"/>
    </row>
    <row r="105" spans="1:13" ht="20.100000000000001" customHeight="1" x14ac:dyDescent="0.25">
      <c r="A105"/>
    </row>
    <row r="106" spans="1:13" ht="20.100000000000001" customHeight="1" x14ac:dyDescent="0.25">
      <c r="A106"/>
    </row>
    <row r="107" spans="1:13" ht="20.100000000000001" customHeight="1" x14ac:dyDescent="0.25">
      <c r="A107"/>
    </row>
    <row r="108" spans="1:13" ht="20.100000000000001" customHeight="1" x14ac:dyDescent="0.25">
      <c r="A108"/>
    </row>
    <row r="109" spans="1:13" ht="20.100000000000001" customHeight="1" x14ac:dyDescent="0.25">
      <c r="A109"/>
    </row>
    <row r="110" spans="1:13" ht="20.100000000000001" customHeight="1" x14ac:dyDescent="0.25">
      <c r="A110"/>
    </row>
    <row r="111" spans="1:13" ht="20.100000000000001" customHeight="1" x14ac:dyDescent="0.25">
      <c r="A111"/>
      <c r="M111" s="7"/>
    </row>
    <row r="112" spans="1:13" ht="20.100000000000001" customHeight="1" x14ac:dyDescent="0.25">
      <c r="A112"/>
      <c r="M112" s="7"/>
    </row>
    <row r="113" spans="1:13" ht="20.100000000000001" customHeight="1" x14ac:dyDescent="0.25">
      <c r="A113"/>
      <c r="M113" s="7"/>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row>
    <row r="134" spans="1:13" ht="20.100000000000001" customHeight="1" x14ac:dyDescent="0.25">
      <c r="A134"/>
    </row>
    <row r="135" spans="1:13" ht="20.100000000000001" customHeight="1" x14ac:dyDescent="0.25">
      <c r="A135"/>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5"/>
    </row>
    <row r="211" spans="12:12" x14ac:dyDescent="0.25">
      <c r="L211" s="65"/>
    </row>
    <row r="212" spans="12:12" x14ac:dyDescent="0.25">
      <c r="L212" s="65"/>
    </row>
    <row r="213" spans="12:12" x14ac:dyDescent="0.25">
      <c r="L213" s="65"/>
    </row>
    <row r="214" spans="12:12" x14ac:dyDescent="0.25">
      <c r="L214" s="65"/>
    </row>
    <row r="216" spans="12:12" x14ac:dyDescent="0.25">
      <c r="L216" s="65"/>
    </row>
    <row r="218" spans="12:12" x14ac:dyDescent="0.25">
      <c r="L218" s="65"/>
    </row>
    <row r="219" spans="12:12" x14ac:dyDescent="0.25">
      <c r="L219" s="65"/>
    </row>
    <row r="220" spans="12:12" x14ac:dyDescent="0.25">
      <c r="L220" s="65"/>
    </row>
    <row r="221" spans="12:12" x14ac:dyDescent="0.25">
      <c r="L221" s="65"/>
    </row>
    <row r="223" spans="12:12" x14ac:dyDescent="0.25">
      <c r="L223" s="65"/>
    </row>
    <row r="231" spans="12:12" x14ac:dyDescent="0.25">
      <c r="L231" s="65"/>
    </row>
    <row r="232" spans="12:12" x14ac:dyDescent="0.25">
      <c r="L232" s="65"/>
    </row>
    <row r="233" spans="12:12" x14ac:dyDescent="0.25">
      <c r="L233" s="65"/>
    </row>
    <row r="236" spans="12:12" x14ac:dyDescent="0.25">
      <c r="L236" s="65"/>
    </row>
    <row r="237" spans="12:12" x14ac:dyDescent="0.25">
      <c r="L237" s="65"/>
    </row>
    <row r="238" spans="12:12" x14ac:dyDescent="0.25">
      <c r="L238" s="65"/>
    </row>
    <row r="241" spans="11:12" x14ac:dyDescent="0.25">
      <c r="L241" s="65"/>
    </row>
    <row r="242" spans="11:12" x14ac:dyDescent="0.25">
      <c r="L242" s="65"/>
    </row>
    <row r="243" spans="11:12" x14ac:dyDescent="0.25">
      <c r="L243" s="65"/>
    </row>
    <row r="246" spans="11:12" x14ac:dyDescent="0.25">
      <c r="L246" s="65"/>
    </row>
    <row r="247" spans="11:12" x14ac:dyDescent="0.25">
      <c r="K247" s="65"/>
      <c r="L247" s="65"/>
    </row>
    <row r="248" spans="11:12" x14ac:dyDescent="0.25">
      <c r="L248" s="65"/>
    </row>
    <row r="252" spans="11:12" x14ac:dyDescent="0.25">
      <c r="K252" s="65"/>
    </row>
    <row r="255" spans="11:12" x14ac:dyDescent="0.25">
      <c r="L255" s="65"/>
    </row>
    <row r="256" spans="11:12" x14ac:dyDescent="0.25">
      <c r="L256" s="65"/>
    </row>
    <row r="257" spans="11:12" x14ac:dyDescent="0.25">
      <c r="K257" s="65"/>
      <c r="L257" s="65"/>
    </row>
    <row r="260" spans="11:12" x14ac:dyDescent="0.25">
      <c r="L260" s="65"/>
    </row>
    <row r="261" spans="11:12" x14ac:dyDescent="0.25">
      <c r="L261" s="65"/>
    </row>
    <row r="262" spans="11:12" x14ac:dyDescent="0.25">
      <c r="K262" s="65"/>
      <c r="L262" s="65"/>
    </row>
    <row r="263" spans="11:12" x14ac:dyDescent="0.25">
      <c r="K263" s="65"/>
    </row>
    <row r="264" spans="11:12" x14ac:dyDescent="0.25">
      <c r="K264" s="65"/>
    </row>
    <row r="265" spans="11:12" x14ac:dyDescent="0.25">
      <c r="K265" s="65"/>
      <c r="L265" s="65"/>
    </row>
    <row r="266" spans="11:12" x14ac:dyDescent="0.25">
      <c r="K266" s="65"/>
      <c r="L266" s="65"/>
    </row>
    <row r="267" spans="11:12" x14ac:dyDescent="0.25">
      <c r="L267" s="65"/>
    </row>
    <row r="268" spans="11:12" x14ac:dyDescent="0.25">
      <c r="K268" s="65"/>
    </row>
    <row r="270" spans="11:12" x14ac:dyDescent="0.25">
      <c r="K270" s="65"/>
      <c r="L270" s="65"/>
    </row>
    <row r="271" spans="11:12" x14ac:dyDescent="0.25">
      <c r="K271" s="65"/>
      <c r="L271" s="65"/>
    </row>
    <row r="272" spans="11:12" x14ac:dyDescent="0.25">
      <c r="K272" s="65"/>
      <c r="L272" s="65"/>
    </row>
    <row r="273" spans="11:11" x14ac:dyDescent="0.25">
      <c r="K273" s="65"/>
    </row>
    <row r="275" spans="11:11" x14ac:dyDescent="0.25">
      <c r="K275" s="65"/>
    </row>
    <row r="281" spans="11:11" x14ac:dyDescent="0.25">
      <c r="K281" s="65"/>
    </row>
    <row r="286" spans="11:11" x14ac:dyDescent="0.25">
      <c r="K286" s="65"/>
    </row>
    <row r="291" spans="11:11" x14ac:dyDescent="0.25">
      <c r="K291" s="65"/>
    </row>
    <row r="296" spans="11:11" x14ac:dyDescent="0.25">
      <c r="K296" s="65"/>
    </row>
    <row r="297" spans="11:11" x14ac:dyDescent="0.25">
      <c r="K297" s="65"/>
    </row>
    <row r="298" spans="11:11" x14ac:dyDescent="0.25">
      <c r="K298" s="65"/>
    </row>
    <row r="299" spans="11:11" x14ac:dyDescent="0.25">
      <c r="K299" s="65"/>
    </row>
    <row r="300" spans="11:11" x14ac:dyDescent="0.25">
      <c r="K300" s="65"/>
    </row>
    <row r="302" spans="11:11" x14ac:dyDescent="0.25">
      <c r="K302" s="65"/>
    </row>
    <row r="304" spans="11:11" x14ac:dyDescent="0.25">
      <c r="K304" s="65"/>
    </row>
    <row r="305" spans="11:11" x14ac:dyDescent="0.25">
      <c r="K305" s="65"/>
    </row>
    <row r="306" spans="11:11" x14ac:dyDescent="0.25">
      <c r="K306" s="65"/>
    </row>
    <row r="307" spans="11:11" x14ac:dyDescent="0.25">
      <c r="K307" s="65"/>
    </row>
    <row r="309" spans="11:11" x14ac:dyDescent="0.25">
      <c r="K309" s="65"/>
    </row>
    <row r="317" spans="11:11" x14ac:dyDescent="0.25">
      <c r="K317" s="65"/>
    </row>
    <row r="318" spans="11:11" x14ac:dyDescent="0.25">
      <c r="K318" s="65"/>
    </row>
    <row r="319" spans="11:11" x14ac:dyDescent="0.25">
      <c r="K319" s="65"/>
    </row>
    <row r="322" spans="11:11" x14ac:dyDescent="0.25">
      <c r="K322" s="65"/>
    </row>
    <row r="323" spans="11:11" x14ac:dyDescent="0.25">
      <c r="K323" s="65"/>
    </row>
    <row r="324" spans="11:11" x14ac:dyDescent="0.25">
      <c r="K324" s="65"/>
    </row>
    <row r="327" spans="11:11" x14ac:dyDescent="0.25">
      <c r="K327" s="65"/>
    </row>
    <row r="328" spans="11:11" x14ac:dyDescent="0.25">
      <c r="K328" s="65"/>
    </row>
    <row r="329" spans="11:11" x14ac:dyDescent="0.25">
      <c r="K329" s="65"/>
    </row>
    <row r="332" spans="11:11" x14ac:dyDescent="0.25">
      <c r="K332" s="65"/>
    </row>
    <row r="333" spans="11:11" x14ac:dyDescent="0.25">
      <c r="K333" s="65"/>
    </row>
    <row r="334" spans="11:11" x14ac:dyDescent="0.25">
      <c r="K334" s="65"/>
    </row>
    <row r="341" spans="11:11" x14ac:dyDescent="0.25">
      <c r="K341" s="65"/>
    </row>
    <row r="342" spans="11:11" x14ac:dyDescent="0.25">
      <c r="K342" s="65"/>
    </row>
    <row r="343" spans="11:11" x14ac:dyDescent="0.25">
      <c r="K343" s="65"/>
    </row>
    <row r="346" spans="11:11" x14ac:dyDescent="0.25">
      <c r="K346" s="65"/>
    </row>
    <row r="347" spans="11:11" x14ac:dyDescent="0.25">
      <c r="K347" s="65"/>
    </row>
    <row r="348" spans="11:11" x14ac:dyDescent="0.25">
      <c r="K348" s="65"/>
    </row>
    <row r="351" spans="11:11" x14ac:dyDescent="0.25">
      <c r="K351" s="65"/>
    </row>
    <row r="352" spans="11:11" x14ac:dyDescent="0.25">
      <c r="K352" s="65"/>
    </row>
    <row r="353" spans="4:11" x14ac:dyDescent="0.25">
      <c r="K353" s="65"/>
    </row>
    <row r="356" spans="4:11" x14ac:dyDescent="0.25">
      <c r="K356" s="65"/>
    </row>
    <row r="357" spans="4:11" x14ac:dyDescent="0.25">
      <c r="K357" s="65"/>
    </row>
    <row r="358" spans="4:11" x14ac:dyDescent="0.25">
      <c r="K358" s="65"/>
    </row>
    <row r="361" spans="4:11" x14ac:dyDescent="0.25">
      <c r="D361" s="54"/>
    </row>
  </sheetData>
  <phoneticPr fontId="53"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38" sqref="A38"/>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835</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367</v>
      </c>
      <c r="E5" s="7"/>
      <c r="F5" s="7"/>
      <c r="G5" s="7"/>
      <c r="H5" s="7"/>
      <c r="I5" s="7"/>
      <c r="J5" s="7"/>
    </row>
    <row r="6" spans="1:19" ht="20.100000000000001" customHeight="1" x14ac:dyDescent="0.25">
      <c r="A6"/>
      <c r="C6" s="8"/>
      <c r="D6" s="144" t="s">
        <v>371</v>
      </c>
      <c r="E6" s="147"/>
      <c r="F6" s="147"/>
      <c r="G6" s="147"/>
      <c r="H6" s="147"/>
      <c r="I6" s="147"/>
      <c r="J6" s="147"/>
    </row>
    <row r="7" spans="1:19" ht="20.100000000000001" customHeight="1" x14ac:dyDescent="0.25">
      <c r="A7" s="19" t="s">
        <v>67</v>
      </c>
      <c r="C7" s="8"/>
      <c r="D7" s="173" t="s">
        <v>302</v>
      </c>
      <c r="E7" s="173"/>
      <c r="F7" s="39"/>
      <c r="G7" s="41"/>
      <c r="H7" s="7"/>
      <c r="I7" s="7"/>
      <c r="J7" s="7"/>
    </row>
    <row r="8" spans="1:19" ht="20.100000000000001" customHeight="1" x14ac:dyDescent="0.25">
      <c r="A8" s="16" t="str">
        <f>HYPERLINK("#'Input - Site'!A1", "Site")</f>
        <v>Site</v>
      </c>
      <c r="C8" s="8"/>
      <c r="D8" s="43" t="s">
        <v>303</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4" t="s">
        <v>170</v>
      </c>
      <c r="E10" s="154" t="s">
        <v>304</v>
      </c>
      <c r="F10" s="154" t="s">
        <v>305</v>
      </c>
      <c r="G10" s="154" t="s">
        <v>204</v>
      </c>
      <c r="H10" s="154" t="s">
        <v>306</v>
      </c>
      <c r="I10" s="154" t="s">
        <v>428</v>
      </c>
      <c r="J10" s="154" t="s">
        <v>307</v>
      </c>
      <c r="K10" s="162" t="s">
        <v>308</v>
      </c>
      <c r="L10" s="162" t="s">
        <v>424</v>
      </c>
      <c r="M10" s="162" t="s">
        <v>309</v>
      </c>
      <c r="N10" s="162" t="s">
        <v>310</v>
      </c>
      <c r="O10" s="162" t="s">
        <v>425</v>
      </c>
      <c r="P10" s="162" t="s">
        <v>311</v>
      </c>
      <c r="Q10" s="162" t="s">
        <v>312</v>
      </c>
      <c r="R10" s="162" t="s">
        <v>426</v>
      </c>
    </row>
    <row r="11" spans="1:19" ht="20.100000000000001" customHeight="1" x14ac:dyDescent="0.25">
      <c r="A11" s="42" t="str">
        <f>HYPERLINK("#'Input - Farm Inputs'!A1", "Farm Inputs")</f>
        <v>Farm Inputs</v>
      </c>
      <c r="D11" s="143" t="s">
        <v>430</v>
      </c>
      <c r="E11" s="155">
        <v>10</v>
      </c>
      <c r="F11" s="47" t="s">
        <v>420</v>
      </c>
      <c r="G11" s="66">
        <v>100</v>
      </c>
      <c r="H11" s="49">
        <f>Table_Input_Pesticides[[#This Row],[Amount applied per ha]]*Table_Input_Pesticides[[#This Row],[Application area (ha)]]</f>
        <v>1000</v>
      </c>
      <c r="I11" s="47" t="s">
        <v>419</v>
      </c>
      <c r="J11" s="47" t="s">
        <v>418</v>
      </c>
      <c r="K11" s="66">
        <v>100</v>
      </c>
      <c r="L11" s="49">
        <f>Table_Input_Pesticides[[#This Row],[Total applied]]*Table_Input_Pesticides[[#This Row],[Active ingredient 1 amount]]*IF(Table_Input_Pesticides[[#This Row],[Constituent unit (select)]]="fraction of product", 1, 10^-3)</f>
        <v>100</v>
      </c>
      <c r="M11" s="47" t="s">
        <v>418</v>
      </c>
      <c r="N11" s="66">
        <v>100</v>
      </c>
      <c r="O11" s="49">
        <f>Table_Input_Pesticides[[#This Row],[Total applied]]*Table_Input_Pesticides[[#This Row],[Active ingredient 2 amount]]*IF(Table_Input_Pesticides[[#This Row],[Constituent unit (select)]]="fraction of product", 1, 10^-3)</f>
        <v>100</v>
      </c>
      <c r="P11" s="47" t="s">
        <v>683</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Livestock purchases'!A1", "Livestock purchases")</f>
        <v>Livestock purchases</v>
      </c>
      <c r="C12" s="8"/>
      <c r="D12" s="143" t="s">
        <v>429</v>
      </c>
      <c r="E12" s="155">
        <v>10</v>
      </c>
      <c r="F12" s="47" t="s">
        <v>313</v>
      </c>
      <c r="G12" s="66">
        <v>100</v>
      </c>
      <c r="H12" s="49">
        <f>Table_Input_Pesticides[[#This Row],[Amount applied per ha]]*Table_Input_Pesticides[[#This Row],[Application area (ha)]]</f>
        <v>1000</v>
      </c>
      <c r="I12" s="47" t="s">
        <v>419</v>
      </c>
      <c r="J12" s="47" t="s">
        <v>418</v>
      </c>
      <c r="K12" s="66">
        <v>100</v>
      </c>
      <c r="L12" s="49">
        <f>Table_Input_Pesticides[[#This Row],[Total applied]]*Table_Input_Pesticides[[#This Row],[Active ingredient 1 amount]]*IF(Table_Input_Pesticides[[#This Row],[Constituent unit (select)]]="fraction of product", 1, 10^-3)</f>
        <v>100</v>
      </c>
      <c r="M12" s="47" t="s">
        <v>681</v>
      </c>
      <c r="N12" s="66">
        <v>100</v>
      </c>
      <c r="O12" s="49">
        <f>Table_Input_Pesticides[[#This Row],[Total applied]]*Table_Input_Pesticides[[#This Row],[Active ingredient 2 amount]]*IF(Table_Input_Pesticides[[#This Row],[Constituent unit (select)]]="fraction of product", 1, 10^-3)</f>
        <v>100</v>
      </c>
      <c r="P12" s="47" t="s">
        <v>684</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Freight'!A1", "Freight")</f>
        <v>Freight</v>
      </c>
      <c r="C13" s="8"/>
      <c r="D13" s="143" t="s">
        <v>427</v>
      </c>
      <c r="E13" s="155">
        <v>10</v>
      </c>
      <c r="F13" s="47" t="s">
        <v>420</v>
      </c>
      <c r="G13" s="66">
        <v>100</v>
      </c>
      <c r="H13" s="49">
        <f>Table_Input_Pesticides[[#This Row],[Amount applied per ha]]*Table_Input_Pesticides[[#This Row],[Application area (ha)]]</f>
        <v>1000</v>
      </c>
      <c r="I13" s="47" t="s">
        <v>419</v>
      </c>
      <c r="J13" s="47" t="s">
        <v>418</v>
      </c>
      <c r="K13" s="66">
        <v>100</v>
      </c>
      <c r="L13" s="49">
        <f>Table_Input_Pesticides[[#This Row],[Total applied]]*Table_Input_Pesticides[[#This Row],[Active ingredient 1 amount]]*IF(Table_Input_Pesticides[[#This Row],[Constituent unit (select)]]="fraction of product", 1, 10^-3)</f>
        <v>100</v>
      </c>
      <c r="M13" s="47" t="s">
        <v>682</v>
      </c>
      <c r="N13" s="66">
        <v>100</v>
      </c>
      <c r="O13" s="49">
        <f>Table_Input_Pesticides[[#This Row],[Total applied]]*Table_Input_Pesticides[[#This Row],[Active ingredient 2 amount]]*IF(Table_Input_Pesticides[[#This Row],[Constituent unit (select)]]="fraction of product", 1, 10^-3)</f>
        <v>100</v>
      </c>
      <c r="P13" s="47" t="s">
        <v>685</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Solid waste'!A1", "Solid waste")</f>
        <v>Solid waste</v>
      </c>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Manure sent off-site'!A1", "Manure sent off-site")</f>
        <v>Manure sent off-site</v>
      </c>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Electricity'!A1", "Electricity")</f>
        <v>Electricity</v>
      </c>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c r="C17" s="8"/>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c r="C18" s="8"/>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21" t="s">
        <v>77</v>
      </c>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s="16" t="str">
        <f>HYPERLINK("#'15 Scope 3'!A1", "15 Scope 3")</f>
        <v>15 Scope 3</v>
      </c>
      <c r="D20" s="143"/>
      <c r="E20" s="155"/>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s="16" t="str">
        <f>HYPERLINK("#'10.1.1-2 Solid waste treatment'!A1", "10.1.1-2 Solid waste treatment")</f>
        <v>10.1.1-2 Solid waste treatment</v>
      </c>
      <c r="D21" s="7"/>
      <c r="E21" s="7"/>
      <c r="F21" s="7"/>
      <c r="G21" s="7"/>
      <c r="H21" s="7"/>
      <c r="I21" s="7"/>
      <c r="J21" s="7"/>
    </row>
    <row r="22" spans="1:18" ht="20.100000000000001" customHeight="1" x14ac:dyDescent="0.25">
      <c r="A22" s="16" t="str">
        <f>HYPERLINK("#'Calcs - Manure sent off-site'!A1", "Calcs - Manure sent off-site")</f>
        <v>Calcs - Manure sent off-site</v>
      </c>
      <c r="D22" s="144" t="s">
        <v>290</v>
      </c>
      <c r="E22" s="8"/>
      <c r="F22" s="8"/>
    </row>
    <row r="23" spans="1:18" ht="20.100000000000001" customHeight="1" x14ac:dyDescent="0.25">
      <c r="A23" s="16" t="str">
        <f>HYPERLINK("#'8.1.1.1-2 Transport fuel'!A1", "8.1.1.1-2 Transport fuel")</f>
        <v>8.1.1.1-2 Transport fuel</v>
      </c>
      <c r="D23" s="46" t="s">
        <v>170</v>
      </c>
      <c r="E23" s="46" t="s">
        <v>346</v>
      </c>
      <c r="F23" s="46" t="s">
        <v>349</v>
      </c>
    </row>
    <row r="24" spans="1:18" ht="20.100000000000001" customHeight="1" x14ac:dyDescent="0.25">
      <c r="A24" s="16" t="str">
        <f>HYPERLINK("#'8.2.1.1-2 Stationary fuel'!A1", "8.2.1.1-2 Stationary fuel")</f>
        <v>8.2.1.1-2 Stationary fuel</v>
      </c>
      <c r="D24" s="82" t="s">
        <v>388</v>
      </c>
      <c r="E24" s="47" t="s">
        <v>348</v>
      </c>
      <c r="F24" s="66">
        <v>100</v>
      </c>
    </row>
    <row r="25" spans="1:18" ht="20.100000000000001" customHeight="1" x14ac:dyDescent="0.25">
      <c r="A25"/>
      <c r="C25" s="8"/>
      <c r="D25" s="82" t="s">
        <v>387</v>
      </c>
      <c r="E25" s="149" t="s">
        <v>347</v>
      </c>
      <c r="F25" s="150">
        <v>100</v>
      </c>
    </row>
    <row r="26" spans="1:18" ht="20.100000000000001" customHeight="1" x14ac:dyDescent="0.25">
      <c r="A26"/>
      <c r="C26" s="8"/>
      <c r="D26" s="82" t="s">
        <v>291</v>
      </c>
      <c r="E26" s="149" t="s">
        <v>292</v>
      </c>
      <c r="F26" s="150">
        <v>100</v>
      </c>
    </row>
    <row r="27" spans="1:18" ht="20.100000000000001" customHeight="1" x14ac:dyDescent="0.25">
      <c r="A27" s="222" t="s">
        <v>78</v>
      </c>
      <c r="C27" s="8"/>
      <c r="D27" s="82" t="s">
        <v>291</v>
      </c>
      <c r="E27" s="149" t="s">
        <v>292</v>
      </c>
      <c r="F27" s="150">
        <v>100</v>
      </c>
    </row>
    <row r="28" spans="1:18" ht="20.100000000000001" customHeight="1" x14ac:dyDescent="0.25">
      <c r="A28" s="16" t="str">
        <f>HYPERLINK("#'Constants - Scope 3'!A1", "Constants - Scope 3")</f>
        <v>Constants - Scope 3</v>
      </c>
      <c r="D28" s="82" t="s">
        <v>388</v>
      </c>
      <c r="E28" s="149" t="s">
        <v>348</v>
      </c>
      <c r="F28" s="150">
        <v>100</v>
      </c>
    </row>
    <row r="29" spans="1:18" ht="20.100000000000001" customHeight="1" x14ac:dyDescent="0.25">
      <c r="A29" s="16" t="str">
        <f>HYPERLINK("#'Constants - Solid Waste'!A1", "Constants - Solid Waste")</f>
        <v>Constants - Solid Waste</v>
      </c>
      <c r="D29" s="82" t="s">
        <v>388</v>
      </c>
      <c r="E29" s="149" t="s">
        <v>348</v>
      </c>
      <c r="F29" s="150">
        <v>100</v>
      </c>
    </row>
    <row r="30" spans="1:18" ht="20.100000000000001" customHeight="1" x14ac:dyDescent="0.25">
      <c r="A30" s="16" t="str">
        <f>HYPERLINK("#'Constants - Fuel'!A1", "Constants - Fuel")</f>
        <v>Constants - Fuel</v>
      </c>
      <c r="D30" s="82"/>
      <c r="E30" s="47"/>
      <c r="F30" s="66"/>
    </row>
    <row r="31" spans="1:18" ht="20.100000000000001" customHeight="1" x14ac:dyDescent="0.25">
      <c r="A31" s="16" t="str">
        <f>HYPERLINK("#'Constants - Poultry'!A1", "Constants - Poultry")</f>
        <v>Constants - Poultry</v>
      </c>
      <c r="D31" s="82"/>
      <c r="E31" s="47"/>
      <c r="F31" s="66"/>
    </row>
    <row r="32" spans="1:18" ht="20.100000000000001" customHeight="1" x14ac:dyDescent="0.25">
      <c r="A32" s="16" t="str">
        <f>HYPERLINK("#'Constants - Swine'!A1", "Constants - Swine")</f>
        <v>Constants - Swine</v>
      </c>
      <c r="D32" s="82"/>
      <c r="E32" s="47"/>
      <c r="F32" s="66"/>
    </row>
    <row r="33" spans="1:6" ht="20.100000000000001" customHeight="1" x14ac:dyDescent="0.25">
      <c r="A33" s="16" t="str">
        <f>HYPERLINK("#'Constants - Dairy'!A1", "Constants - Dairy")</f>
        <v>Constants - Dairy</v>
      </c>
      <c r="D33" s="82"/>
      <c r="E33" s="47"/>
      <c r="F33" s="66"/>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144" t="s">
        <v>833</v>
      </c>
      <c r="E35" s="8"/>
      <c r="F35" s="8"/>
    </row>
    <row r="36" spans="1:6" ht="20.100000000000001" customHeight="1" x14ac:dyDescent="0.25">
      <c r="A36" s="16" t="str">
        <f>HYPERLINK("#'Constants - Fertiliser'!A1", "Constants - Fertiliser")</f>
        <v>Constants - Fertiliser</v>
      </c>
      <c r="D36" s="46" t="s">
        <v>170</v>
      </c>
      <c r="E36" s="46" t="s">
        <v>346</v>
      </c>
      <c r="F36" s="46" t="s">
        <v>379</v>
      </c>
    </row>
    <row r="37" spans="1:6" ht="20.100000000000001" customHeight="1" x14ac:dyDescent="0.25">
      <c r="A37" s="16" t="str">
        <f>HYPERLINK("#'Constants - Electricity'!A1", "Constants - Electricity")</f>
        <v>Constants - Electricity</v>
      </c>
      <c r="D37" s="82" t="s">
        <v>383</v>
      </c>
      <c r="E37" s="72" t="s">
        <v>375</v>
      </c>
      <c r="F37" s="66">
        <v>100</v>
      </c>
    </row>
    <row r="38" spans="1:6" ht="20.100000000000001" customHeight="1" x14ac:dyDescent="0.25">
      <c r="A38" s="16" t="str">
        <f>HYPERLINK("#'Constants - Common'!A1", "Constants - Common")</f>
        <v>Constants - Common</v>
      </c>
      <c r="D38" s="82" t="s">
        <v>384</v>
      </c>
      <c r="E38" s="163" t="s">
        <v>376</v>
      </c>
      <c r="F38" s="150">
        <v>100</v>
      </c>
    </row>
    <row r="39" spans="1:6" ht="20.100000000000001" customHeight="1" x14ac:dyDescent="0.25">
      <c r="A39"/>
      <c r="D39" s="82" t="s">
        <v>385</v>
      </c>
      <c r="E39" s="163" t="s">
        <v>377</v>
      </c>
      <c r="F39" s="150">
        <v>100</v>
      </c>
    </row>
    <row r="40" spans="1:6" ht="20.100000000000001" customHeight="1" x14ac:dyDescent="0.25">
      <c r="A40"/>
      <c r="D40" s="82" t="s">
        <v>386</v>
      </c>
      <c r="E40" s="163" t="s">
        <v>378</v>
      </c>
      <c r="F40" s="150">
        <v>100</v>
      </c>
    </row>
    <row r="41" spans="1:6" ht="20.100000000000001" customHeight="1" x14ac:dyDescent="0.25">
      <c r="A41"/>
      <c r="D41" s="82" t="s">
        <v>383</v>
      </c>
      <c r="E41" s="163" t="s">
        <v>375</v>
      </c>
      <c r="F41" s="150">
        <v>100</v>
      </c>
    </row>
    <row r="42" spans="1:6" ht="20.100000000000001" customHeight="1" x14ac:dyDescent="0.25">
      <c r="A42"/>
      <c r="D42" s="82" t="s">
        <v>384</v>
      </c>
      <c r="E42" s="163" t="s">
        <v>376</v>
      </c>
      <c r="F42" s="150">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368</v>
      </c>
    </row>
    <row r="50" spans="1:17" ht="20.100000000000001" customHeight="1" x14ac:dyDescent="0.25">
      <c r="A50"/>
      <c r="D50" s="144" t="s">
        <v>293</v>
      </c>
      <c r="E50" s="145"/>
      <c r="F50" s="67"/>
    </row>
    <row r="51" spans="1:17" ht="20.100000000000001" customHeight="1" x14ac:dyDescent="0.25">
      <c r="A51"/>
      <c r="D51" s="8" t="str" cm="1">
        <f t="array" ref="D51:D53">Table_SourceData_Scope3_LickBlocks[Product]</f>
        <v>Lick block, dry season mix</v>
      </c>
      <c r="E51" s="66">
        <v>100</v>
      </c>
      <c r="F51" s="65" t="s">
        <v>353</v>
      </c>
    </row>
    <row r="52" spans="1:17" ht="20.100000000000001" customHeight="1" x14ac:dyDescent="0.25">
      <c r="A52"/>
      <c r="D52" s="8" t="str">
        <v>Lick block, mineral</v>
      </c>
      <c r="E52" s="66">
        <v>100</v>
      </c>
      <c r="F52" s="65" t="s">
        <v>353</v>
      </c>
    </row>
    <row r="53" spans="1:17" ht="20.100000000000001" customHeight="1" x14ac:dyDescent="0.25">
      <c r="A53"/>
      <c r="D53" s="8" t="str">
        <v>Lick block, weaner</v>
      </c>
      <c r="E53" s="66">
        <v>100</v>
      </c>
      <c r="F53" s="65" t="s">
        <v>353</v>
      </c>
    </row>
    <row r="54" spans="1:17" ht="20.100000000000001" customHeight="1" x14ac:dyDescent="0.25">
      <c r="A54"/>
      <c r="D54" s="8"/>
      <c r="E54" s="8"/>
      <c r="F54" s="8"/>
    </row>
    <row r="55" spans="1:17" ht="20.100000000000001" customHeight="1" x14ac:dyDescent="0.25">
      <c r="A55"/>
      <c r="D55" s="144" t="s">
        <v>403</v>
      </c>
      <c r="E55" s="7"/>
      <c r="F55" s="7"/>
    </row>
    <row r="56" spans="1:17" ht="20.100000000000001" customHeight="1" x14ac:dyDescent="0.25">
      <c r="A56"/>
      <c r="D56" s="8" t="str" cm="1">
        <f t="array" ref="D56:D59">Table_SourceData_Scope3_MixedRations[Product]</f>
        <v>Feed for chickens</v>
      </c>
      <c r="E56" s="66">
        <v>100</v>
      </c>
      <c r="F56" s="65" t="s">
        <v>353</v>
      </c>
    </row>
    <row r="57" spans="1:17" ht="20.100000000000001" customHeight="1" x14ac:dyDescent="0.25">
      <c r="A57"/>
      <c r="D57" s="8" t="str">
        <v>Feed for dairy calves</v>
      </c>
      <c r="E57" s="66">
        <v>100</v>
      </c>
      <c r="F57" s="65" t="s">
        <v>353</v>
      </c>
    </row>
    <row r="58" spans="1:17" ht="20.100000000000001" customHeight="1" x14ac:dyDescent="0.25">
      <c r="A58"/>
      <c r="D58" s="8" t="str">
        <v>Feed for dairy cows</v>
      </c>
      <c r="E58" s="66">
        <v>100</v>
      </c>
      <c r="F58" s="65" t="s">
        <v>353</v>
      </c>
    </row>
    <row r="59" spans="1:17" ht="20.100000000000001" customHeight="1" x14ac:dyDescent="0.25">
      <c r="A59"/>
      <c r="D59" s="8" t="str">
        <v>Feed for pigs</v>
      </c>
      <c r="E59" s="66">
        <v>100</v>
      </c>
      <c r="F59" s="65" t="s">
        <v>353</v>
      </c>
    </row>
    <row r="60" spans="1:17" ht="20.100000000000001" customHeight="1" x14ac:dyDescent="0.25">
      <c r="A60"/>
      <c r="D60" s="7"/>
      <c r="E60" s="7"/>
      <c r="F60" s="7"/>
    </row>
    <row r="61" spans="1:17" ht="20.100000000000001" customHeight="1" x14ac:dyDescent="0.25">
      <c r="A61"/>
      <c r="D61" s="144" t="s">
        <v>622</v>
      </c>
      <c r="E61" s="7"/>
      <c r="F61" s="7"/>
    </row>
    <row r="62" spans="1:17" ht="20.100000000000001" customHeight="1" x14ac:dyDescent="0.25">
      <c r="A62"/>
      <c r="D62" s="48" t="s">
        <v>295</v>
      </c>
      <c r="E62" s="48" t="s">
        <v>296</v>
      </c>
      <c r="F62" s="48" t="s">
        <v>210</v>
      </c>
      <c r="G62" s="48" t="s">
        <v>394</v>
      </c>
      <c r="H62" s="48" t="s">
        <v>175</v>
      </c>
      <c r="I62" s="48" t="s">
        <v>297</v>
      </c>
      <c r="J62" s="48" t="s">
        <v>399</v>
      </c>
      <c r="K62" s="48" t="s">
        <v>177</v>
      </c>
      <c r="L62" s="48" t="s">
        <v>298</v>
      </c>
      <c r="M62" s="48" t="s">
        <v>400</v>
      </c>
      <c r="N62" s="48" t="s">
        <v>179</v>
      </c>
      <c r="O62" s="48" t="s">
        <v>299</v>
      </c>
      <c r="P62" s="48" t="s">
        <v>401</v>
      </c>
      <c r="Q62" s="48" t="s">
        <v>181</v>
      </c>
    </row>
    <row r="63" spans="1:17" ht="20.100000000000001" customHeight="1" x14ac:dyDescent="0.25">
      <c r="A63"/>
      <c r="D63" s="15"/>
      <c r="E63" s="146">
        <v>1200</v>
      </c>
      <c r="F63" s="47" t="s">
        <v>852</v>
      </c>
      <c r="G63" s="47" t="s">
        <v>396</v>
      </c>
      <c r="H63" s="50">
        <v>0.35</v>
      </c>
      <c r="I63" s="47" t="s">
        <v>391</v>
      </c>
      <c r="J63" s="47" t="s">
        <v>396</v>
      </c>
      <c r="K63" s="50">
        <v>0.22</v>
      </c>
      <c r="L63" s="47" t="s">
        <v>300</v>
      </c>
      <c r="M63" s="47" t="s">
        <v>337</v>
      </c>
      <c r="N63" s="50">
        <v>0.12</v>
      </c>
      <c r="O63" s="47" t="s">
        <v>402</v>
      </c>
      <c r="P63" s="47" t="s">
        <v>339</v>
      </c>
      <c r="Q63" s="50">
        <v>0.05</v>
      </c>
    </row>
    <row r="64" spans="1:17" ht="20.100000000000001" customHeight="1" x14ac:dyDescent="0.25">
      <c r="A64"/>
      <c r="D64" s="15"/>
      <c r="E64" s="146">
        <v>3456</v>
      </c>
      <c r="F64" s="47" t="s">
        <v>397</v>
      </c>
      <c r="G64" s="47" t="s">
        <v>345</v>
      </c>
      <c r="H64" s="50">
        <v>0.2</v>
      </c>
      <c r="I64" s="47" t="s">
        <v>397</v>
      </c>
      <c r="J64" s="47" t="s">
        <v>338</v>
      </c>
      <c r="K64" s="50">
        <v>0.2</v>
      </c>
      <c r="L64" s="47"/>
      <c r="M64" s="47"/>
      <c r="N64" s="50"/>
      <c r="O64" s="47"/>
      <c r="P64" s="47"/>
      <c r="Q64" s="50"/>
    </row>
    <row r="65" spans="1:17" ht="20.100000000000001" customHeight="1" x14ac:dyDescent="0.25">
      <c r="A65"/>
      <c r="D65" s="15" t="s">
        <v>301</v>
      </c>
      <c r="E65" s="146">
        <v>300</v>
      </c>
      <c r="F65" s="47" t="s">
        <v>395</v>
      </c>
      <c r="G65" s="47" t="s">
        <v>344</v>
      </c>
      <c r="H65" s="50">
        <v>0.8</v>
      </c>
      <c r="I65" s="47" t="s">
        <v>392</v>
      </c>
      <c r="J65" s="47" t="s">
        <v>398</v>
      </c>
      <c r="K65" s="50">
        <v>0.2</v>
      </c>
      <c r="L65" s="47"/>
      <c r="M65" s="47"/>
      <c r="N65" s="50"/>
      <c r="O65" s="47"/>
      <c r="P65" s="47"/>
      <c r="Q65" s="50"/>
    </row>
    <row r="66" spans="1:17" ht="20.100000000000001" customHeight="1" x14ac:dyDescent="0.25">
      <c r="A66"/>
      <c r="D66" s="15"/>
      <c r="E66" s="146">
        <v>500</v>
      </c>
      <c r="F66" s="47" t="s">
        <v>404</v>
      </c>
      <c r="G66" s="47" t="s">
        <v>344</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611</v>
      </c>
    </row>
    <row r="76" spans="1:17" ht="20.100000000000001" customHeight="1" x14ac:dyDescent="0.25">
      <c r="A76"/>
      <c r="D76" s="12"/>
    </row>
    <row r="77" spans="1:17" ht="20.100000000000001" customHeight="1" x14ac:dyDescent="0.25">
      <c r="A77"/>
      <c r="D77" s="164" t="s">
        <v>612</v>
      </c>
      <c r="E77" s="164" t="s">
        <v>621</v>
      </c>
      <c r="F77" s="164" t="s">
        <v>616</v>
      </c>
      <c r="G77" s="164" t="s">
        <v>126</v>
      </c>
    </row>
    <row r="78" spans="1:17" ht="20.100000000000001" customHeight="1" x14ac:dyDescent="0.25">
      <c r="A78"/>
      <c r="D78" s="82" t="s">
        <v>613</v>
      </c>
      <c r="E78" s="82" t="s">
        <v>614</v>
      </c>
      <c r="F78" s="66">
        <v>10000</v>
      </c>
      <c r="G78" s="47" t="s">
        <v>618</v>
      </c>
    </row>
    <row r="79" spans="1:17" ht="20.100000000000001" customHeight="1" x14ac:dyDescent="0.25">
      <c r="A79"/>
      <c r="D79" s="82" t="s">
        <v>615</v>
      </c>
      <c r="E79" s="82" t="s">
        <v>620</v>
      </c>
      <c r="F79" s="66">
        <v>1000</v>
      </c>
      <c r="G79" s="47" t="s">
        <v>619</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370</v>
      </c>
    </row>
    <row r="91" spans="1:10" ht="20.100000000000001" customHeight="1" x14ac:dyDescent="0.25">
      <c r="A91"/>
    </row>
    <row r="92" spans="1:10" ht="20.100000000000001" customHeight="1" x14ac:dyDescent="0.25">
      <c r="A92"/>
      <c r="D92" s="91" t="s">
        <v>288</v>
      </c>
      <c r="E92" s="91" t="s">
        <v>289</v>
      </c>
      <c r="F92" s="91" t="s">
        <v>411</v>
      </c>
      <c r="G92" s="91" t="s">
        <v>412</v>
      </c>
      <c r="H92" s="91" t="s">
        <v>606</v>
      </c>
      <c r="J92" s="7"/>
    </row>
    <row r="93" spans="1:10" ht="20.100000000000001" customHeight="1" x14ac:dyDescent="0.25">
      <c r="A93"/>
      <c r="D93" s="143" t="s">
        <v>413</v>
      </c>
      <c r="E93" s="66">
        <v>100000</v>
      </c>
      <c r="F93" s="47" t="s">
        <v>414</v>
      </c>
      <c r="G93" s="66">
        <v>0.02</v>
      </c>
      <c r="H93" s="49">
        <f>Table_Input_Packaging[[#This Row],[Quantity purchased]]*Table_Input_Packaging[[#This Row],[Weight per unit (kg)]]</f>
        <v>2000</v>
      </c>
      <c r="J93" s="7"/>
    </row>
    <row r="94" spans="1:10" ht="20.100000000000001" customHeight="1" x14ac:dyDescent="0.25">
      <c r="A94"/>
      <c r="D94" s="143"/>
      <c r="E94" s="165"/>
      <c r="F94" s="47"/>
      <c r="G94" s="66"/>
      <c r="H94" s="49">
        <f>Table_Input_Packaging[[#This Row],[Quantity purchased]]*Table_Input_Packaging[[#This Row],[Weight per unit (kg)]]</f>
        <v>0</v>
      </c>
      <c r="J94" s="7"/>
    </row>
    <row r="95" spans="1:10" ht="20.100000000000001" customHeight="1" x14ac:dyDescent="0.25">
      <c r="A95"/>
      <c r="D95" s="143"/>
      <c r="E95" s="165"/>
      <c r="F95" s="47"/>
      <c r="G95" s="66"/>
      <c r="H95" s="49">
        <f>Table_Input_Packaging[[#This Row],[Quantity purchased]]*Table_Input_Packaging[[#This Row],[Weight per unit (kg)]]</f>
        <v>0</v>
      </c>
      <c r="J95" s="7"/>
    </row>
    <row r="96" spans="1:10" ht="20.100000000000001" customHeight="1" x14ac:dyDescent="0.25">
      <c r="A96"/>
      <c r="D96" s="143"/>
      <c r="E96" s="165"/>
      <c r="F96" s="47"/>
      <c r="G96" s="66"/>
      <c r="H96" s="49">
        <f>Table_Input_Packaging[[#This Row],[Quantity purchased]]*Table_Input_Packaging[[#This Row],[Weight per unit (kg)]]</f>
        <v>0</v>
      </c>
      <c r="J96" s="7"/>
    </row>
    <row r="97" spans="1:10" ht="20.100000000000001" customHeight="1" x14ac:dyDescent="0.25">
      <c r="A97"/>
      <c r="D97" s="143"/>
      <c r="E97" s="165"/>
      <c r="F97" s="47"/>
      <c r="G97" s="66"/>
      <c r="H97" s="49">
        <f>Table_Input_Packaging[[#This Row],[Quantity purchased]]*Table_Input_Packaging[[#This Row],[Weight per unit (kg)]]</f>
        <v>0</v>
      </c>
      <c r="J97" s="9"/>
    </row>
    <row r="98" spans="1:10" ht="20.100000000000001" customHeight="1" x14ac:dyDescent="0.25">
      <c r="A98"/>
      <c r="D98" s="143"/>
      <c r="E98" s="165"/>
      <c r="F98" s="47"/>
      <c r="G98" s="66"/>
      <c r="H98" s="49">
        <f>Table_Input_Packaging[[#This Row],[Quantity purchased]]*Table_Input_Packaging[[#This Row],[Weight per unit (kg)]]</f>
        <v>0</v>
      </c>
      <c r="J98" s="8"/>
    </row>
    <row r="99" spans="1:10" ht="20.100000000000001" customHeight="1" x14ac:dyDescent="0.25">
      <c r="A99"/>
      <c r="D99" s="143"/>
      <c r="E99" s="165"/>
      <c r="F99" s="47"/>
      <c r="G99" s="66"/>
      <c r="H99" s="49">
        <f>Table_Input_Packaging[[#This Row],[Quantity purchased]]*Table_Input_Packaging[[#This Row],[Weight per unit (kg)]]</f>
        <v>0</v>
      </c>
      <c r="J99" s="8"/>
    </row>
    <row r="100" spans="1:10" ht="20.100000000000001" customHeight="1" x14ac:dyDescent="0.25">
      <c r="A100"/>
      <c r="D100" s="143"/>
      <c r="E100" s="165"/>
      <c r="F100" s="47"/>
      <c r="G100" s="66"/>
      <c r="H100" s="49">
        <f>Table_Input_Packaging[[#This Row],[Quantity purchased]]*Table_Input_Packaging[[#This Row],[Weight per unit (kg)]]</f>
        <v>0</v>
      </c>
      <c r="J100" s="8"/>
    </row>
    <row r="101" spans="1:10" ht="20.100000000000001" customHeight="1" x14ac:dyDescent="0.25">
      <c r="A101"/>
      <c r="D101" s="143"/>
      <c r="E101" s="165"/>
      <c r="F101" s="47"/>
      <c r="G101" s="66"/>
      <c r="H101" s="49">
        <f>Table_Input_Packaging[[#This Row],[Quantity purchased]]*Table_Input_Packaging[[#This Row],[Weight per unit (kg)]]</f>
        <v>0</v>
      </c>
      <c r="J101" s="8"/>
    </row>
    <row r="102" spans="1:10" ht="20.100000000000001" customHeight="1" x14ac:dyDescent="0.25">
      <c r="A102"/>
      <c r="D102" s="143"/>
      <c r="E102" s="165"/>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701</v>
      </c>
    </row>
    <row r="106" spans="1:10" ht="20.100000000000001" customHeight="1" x14ac:dyDescent="0.25">
      <c r="A106"/>
      <c r="D106" s="12"/>
    </row>
    <row r="107" spans="1:10" ht="20.100000000000001" customHeight="1" x14ac:dyDescent="0.25">
      <c r="A107"/>
      <c r="D107" s="164" t="s">
        <v>702</v>
      </c>
      <c r="E107" s="164" t="s">
        <v>616</v>
      </c>
      <c r="F107" s="164" t="s">
        <v>126</v>
      </c>
      <c r="J107" s="8"/>
    </row>
    <row r="108" spans="1:10" ht="20.100000000000001" customHeight="1" x14ac:dyDescent="0.25">
      <c r="A108"/>
      <c r="D108" s="82" t="s">
        <v>704</v>
      </c>
      <c r="E108" s="66">
        <v>10000</v>
      </c>
      <c r="F108" s="47" t="s">
        <v>353</v>
      </c>
      <c r="J108" s="8"/>
    </row>
    <row r="109" spans="1:10" ht="20.100000000000001" customHeight="1" x14ac:dyDescent="0.25">
      <c r="A109"/>
      <c r="D109" s="82" t="s">
        <v>705</v>
      </c>
      <c r="E109" s="66">
        <v>100</v>
      </c>
      <c r="F109" s="47" t="s">
        <v>703</v>
      </c>
      <c r="J109" s="8"/>
    </row>
    <row r="110" spans="1:10" ht="20.100000000000001" customHeight="1" x14ac:dyDescent="0.25">
      <c r="A110"/>
      <c r="D110" s="82" t="s">
        <v>706</v>
      </c>
      <c r="E110" s="66">
        <v>10000</v>
      </c>
      <c r="F110" s="47" t="s">
        <v>353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417</v>
      </c>
      <c r="J120" s="7"/>
      <c r="P120" s="147"/>
    </row>
    <row r="121" spans="1:16" ht="20.100000000000001" customHeight="1" x14ac:dyDescent="0.25">
      <c r="A121"/>
      <c r="D121" s="8" t="str">
        <f>'Constants - Scope 3'!E204</f>
        <v>Barley grain (for seed)</v>
      </c>
      <c r="E121" s="66">
        <v>500</v>
      </c>
      <c r="F121" s="65" t="s">
        <v>353</v>
      </c>
      <c r="J121" s="9"/>
      <c r="P121" s="147"/>
    </row>
    <row r="122" spans="1:16" ht="20.100000000000001" customHeight="1" x14ac:dyDescent="0.25">
      <c r="A122"/>
      <c r="D122" s="8" t="str">
        <f>'Constants - Scope 3'!E205</f>
        <v>Maize grain (for seed)</v>
      </c>
      <c r="E122" s="66">
        <v>600</v>
      </c>
      <c r="F122" s="65" t="s">
        <v>353</v>
      </c>
      <c r="G122" s="7"/>
      <c r="H122" s="8"/>
      <c r="J122" s="8"/>
      <c r="P122" s="147"/>
    </row>
    <row r="123" spans="1:16" ht="20.100000000000001" customHeight="1" x14ac:dyDescent="0.25">
      <c r="A123"/>
      <c r="D123" s="8" t="str">
        <f>'Constants - Scope 3'!E207</f>
        <v>Oat grain (for seed)</v>
      </c>
      <c r="E123" s="66">
        <v>700</v>
      </c>
      <c r="F123" s="65" t="s">
        <v>353</v>
      </c>
      <c r="G123" s="7"/>
      <c r="H123" s="8"/>
      <c r="J123" s="8"/>
      <c r="P123" s="147"/>
    </row>
    <row r="124" spans="1:16" ht="20.100000000000001" customHeight="1" x14ac:dyDescent="0.25">
      <c r="A124"/>
      <c r="D124" s="8" t="str">
        <f>'Constants - Scope 3'!E208</f>
        <v>Sorghum grain (for seed)</v>
      </c>
      <c r="E124" s="66">
        <v>800</v>
      </c>
      <c r="F124" s="65" t="s">
        <v>353</v>
      </c>
      <c r="G124" s="7"/>
      <c r="H124" s="7"/>
      <c r="J124" s="8"/>
      <c r="N124" s="7"/>
      <c r="O124" s="7"/>
      <c r="P124" s="7"/>
    </row>
    <row r="125" spans="1:16" ht="20.100000000000001" customHeight="1" x14ac:dyDescent="0.25">
      <c r="A125"/>
      <c r="D125" s="8" t="str">
        <f>'Constants - Scope 3'!E209</f>
        <v>Wheat grain (for seed)</v>
      </c>
      <c r="E125" s="66">
        <v>900</v>
      </c>
      <c r="F125" s="65" t="s">
        <v>353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423</v>
      </c>
      <c r="G127" s="8"/>
      <c r="I127" s="7"/>
      <c r="J127" s="7"/>
    </row>
    <row r="128" spans="1:16" ht="20.100000000000001" customHeight="1" x14ac:dyDescent="0.25">
      <c r="A128"/>
      <c r="D128" s="8" t="str">
        <f>'Constants - Scope 3'!E202</f>
        <v>Animal ear tags (large)</v>
      </c>
      <c r="E128" s="66">
        <v>100</v>
      </c>
      <c r="F128" s="65" t="s">
        <v>410</v>
      </c>
      <c r="G128" s="8"/>
      <c r="I128" s="7"/>
      <c r="J128" s="7"/>
    </row>
    <row r="129" spans="1:13" ht="20.100000000000001" customHeight="1" x14ac:dyDescent="0.25">
      <c r="A129"/>
      <c r="D129" s="8" t="str">
        <f>'Constants - Scope 3'!E203</f>
        <v>Animal ear tags (small)</v>
      </c>
      <c r="E129" s="66">
        <v>200</v>
      </c>
      <c r="F129" s="65" t="s">
        <v>410</v>
      </c>
      <c r="G129" s="8"/>
      <c r="I129" s="7"/>
      <c r="L129" s="7"/>
      <c r="M129" s="7"/>
    </row>
    <row r="130" spans="1:13" ht="20.100000000000001" customHeight="1" x14ac:dyDescent="0.25">
      <c r="A130"/>
      <c r="D130" s="8" t="str">
        <f>'Constants - Scope 3'!E206</f>
        <v>Nylon netting</v>
      </c>
      <c r="E130" s="66">
        <v>300</v>
      </c>
      <c r="F130" s="65" t="s">
        <v>353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610</v>
      </c>
      <c r="G133" s="7"/>
      <c r="I133" s="8"/>
    </row>
    <row r="134" spans="1:13" ht="20.100000000000001" customHeight="1" x14ac:dyDescent="0.25">
      <c r="A134"/>
      <c r="D134" s="12"/>
      <c r="I134" s="8"/>
    </row>
    <row r="135" spans="1:13" ht="20.100000000000001" customHeight="1" x14ac:dyDescent="0.25">
      <c r="A135"/>
      <c r="D135" s="46" t="s">
        <v>605</v>
      </c>
      <c r="E135" s="46" t="s">
        <v>604</v>
      </c>
      <c r="F135" s="46" t="s">
        <v>126</v>
      </c>
      <c r="I135" s="8"/>
    </row>
    <row r="136" spans="1:13" ht="20.100000000000001" customHeight="1" x14ac:dyDescent="0.25">
      <c r="A136"/>
      <c r="D136" s="82" t="s">
        <v>707</v>
      </c>
      <c r="E136" s="66">
        <v>1000</v>
      </c>
      <c r="F136" s="82" t="s">
        <v>353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868</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869</v>
      </c>
      <c r="E5" s="14"/>
      <c r="F5" s="14"/>
      <c r="G5" s="14"/>
      <c r="H5" s="14"/>
      <c r="I5" s="14"/>
      <c r="J5" s="14"/>
    </row>
    <row r="6" spans="1:12" x14ac:dyDescent="0.25">
      <c r="D6" s="10" t="s">
        <v>362</v>
      </c>
      <c r="E6" s="10" t="s">
        <v>434</v>
      </c>
      <c r="F6" s="10" t="s">
        <v>325</v>
      </c>
      <c r="G6" s="10" t="s">
        <v>431</v>
      </c>
      <c r="H6" s="10" t="s">
        <v>328</v>
      </c>
      <c r="I6" s="10" t="s">
        <v>326</v>
      </c>
      <c r="J6" s="162" t="s">
        <v>432</v>
      </c>
      <c r="K6" s="162" t="s">
        <v>433</v>
      </c>
    </row>
    <row r="7" spans="1:12" x14ac:dyDescent="0.25">
      <c r="A7" s="19" t="s">
        <v>67</v>
      </c>
      <c r="D7" s="82" t="s">
        <v>521</v>
      </c>
      <c r="E7" s="158">
        <v>45547</v>
      </c>
      <c r="F7" s="47" t="s">
        <v>492</v>
      </c>
      <c r="G7" s="72" t="s">
        <v>336</v>
      </c>
      <c r="H7" s="47" t="s">
        <v>440</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493</v>
      </c>
      <c r="G8" s="72" t="s">
        <v>335</v>
      </c>
      <c r="H8" s="47" t="s">
        <v>439</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22"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867</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869</v>
      </c>
      <c r="E5" s="14"/>
      <c r="F5" s="14"/>
      <c r="G5" s="14"/>
      <c r="H5" s="14"/>
      <c r="I5" s="14"/>
    </row>
    <row r="6" spans="3:10" x14ac:dyDescent="0.25">
      <c r="D6" s="162" t="s">
        <v>362</v>
      </c>
      <c r="E6" s="162" t="s">
        <v>325</v>
      </c>
      <c r="F6" s="162" t="s">
        <v>523</v>
      </c>
      <c r="G6" s="162" t="s">
        <v>326</v>
      </c>
      <c r="H6" s="162" t="s">
        <v>432</v>
      </c>
      <c r="I6" s="162" t="s">
        <v>433</v>
      </c>
    </row>
    <row r="7" spans="3:10" x14ac:dyDescent="0.25">
      <c r="D7" s="82" t="s">
        <v>522</v>
      </c>
      <c r="E7" s="47" t="s">
        <v>520</v>
      </c>
      <c r="F7" s="47" t="s">
        <v>850</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3:10" x14ac:dyDescent="0.25">
      <c r="D8" s="82"/>
      <c r="E8" s="149" t="s">
        <v>519</v>
      </c>
      <c r="F8" s="47" t="s">
        <v>851</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3:10" x14ac:dyDescent="0.25">
      <c r="D9" s="82"/>
      <c r="E9" s="149" t="s">
        <v>528</v>
      </c>
      <c r="F9" s="47" t="s">
        <v>850</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3:10" x14ac:dyDescent="0.25">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3:10" x14ac:dyDescent="0.25">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3:10" x14ac:dyDescent="0.25">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3:10" x14ac:dyDescent="0.25">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3:10" x14ac:dyDescent="0.25">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3:10" x14ac:dyDescent="0.25">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3:10" x14ac:dyDescent="0.25">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workbookViewId="0">
      <selection activeCell="E21" sqref="E2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866</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869</v>
      </c>
      <c r="E5" s="14"/>
      <c r="F5" s="14"/>
      <c r="G5" s="14"/>
      <c r="H5" s="14"/>
    </row>
    <row r="6" spans="3:10" x14ac:dyDescent="0.25">
      <c r="D6" s="162" t="s">
        <v>362</v>
      </c>
      <c r="E6" s="162" t="s">
        <v>325</v>
      </c>
      <c r="F6" s="162" t="s">
        <v>326</v>
      </c>
      <c r="G6" s="162" t="s">
        <v>432</v>
      </c>
      <c r="H6" s="162" t="s">
        <v>433</v>
      </c>
    </row>
    <row r="7" spans="3:10" x14ac:dyDescent="0.25">
      <c r="D7" s="82" t="s">
        <v>569</v>
      </c>
      <c r="E7" s="47" t="s">
        <v>570</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3:10" x14ac:dyDescent="0.25">
      <c r="D8" s="82" t="s">
        <v>571</v>
      </c>
      <c r="E8" s="149" t="s">
        <v>570</v>
      </c>
      <c r="F8" s="66">
        <v>100</v>
      </c>
      <c r="G8" s="49" cm="1">
        <f t="array" ref="G8">Common_InputFunctions.Utility_LookupValueInTableNumber(Table_Input_LivestockPurchases_Pigs[[#This Row],[Class (select)]], Table_SourceData_Swine_Liveweight[Livestock type j],Table_SourceData_Swine_Liveweight[Average liveweight (kg)])</f>
        <v>188</v>
      </c>
      <c r="H8" s="66">
        <v>38</v>
      </c>
    </row>
    <row r="9" spans="3:10" x14ac:dyDescent="0.25">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3:10" x14ac:dyDescent="0.25">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3:10" x14ac:dyDescent="0.25">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3:10" x14ac:dyDescent="0.25">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3:10" x14ac:dyDescent="0.25">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3:10" x14ac:dyDescent="0.25">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3:10" x14ac:dyDescent="0.25">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3:10" x14ac:dyDescent="0.25">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workbookViewId="0">
      <selection activeCell="E8" sqref="E8"/>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865</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869</v>
      </c>
      <c r="E5" s="14"/>
      <c r="F5" s="14"/>
      <c r="G5" s="14"/>
      <c r="H5" s="14"/>
    </row>
    <row r="6" spans="3:10" x14ac:dyDescent="0.25">
      <c r="D6" s="162" t="s">
        <v>362</v>
      </c>
      <c r="E6" s="162" t="s">
        <v>325</v>
      </c>
      <c r="F6" s="162" t="s">
        <v>326</v>
      </c>
      <c r="G6" s="162" t="s">
        <v>432</v>
      </c>
      <c r="H6" s="162" t="s">
        <v>433</v>
      </c>
    </row>
    <row r="7" spans="3:10" x14ac:dyDescent="0.25">
      <c r="D7" s="82" t="s">
        <v>574</v>
      </c>
      <c r="E7" s="47" t="s">
        <v>602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3:10" x14ac:dyDescent="0.25">
      <c r="D8" s="82" t="s">
        <v>575</v>
      </c>
      <c r="E8" s="149" t="s">
        <v>603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3:10" x14ac:dyDescent="0.25">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3:10" x14ac:dyDescent="0.25">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3:10" x14ac:dyDescent="0.25">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3:10" x14ac:dyDescent="0.25">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3:10" x14ac:dyDescent="0.25">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3:10" x14ac:dyDescent="0.25">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3:10" x14ac:dyDescent="0.25">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3:10" x14ac:dyDescent="0.25">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836</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812</v>
      </c>
    </row>
    <row r="7" spans="1:10" ht="20.100000000000001" customHeight="1" x14ac:dyDescent="0.25">
      <c r="A7" s="19" t="s">
        <v>67</v>
      </c>
    </row>
    <row r="8" spans="1:10" ht="20.100000000000001" customHeight="1" x14ac:dyDescent="0.25">
      <c r="A8" s="16" t="str">
        <f>HYPERLINK("#'Input - Site'!A1", "Site")</f>
        <v>Site</v>
      </c>
      <c r="D8" s="10" t="s">
        <v>814</v>
      </c>
      <c r="E8" s="10" t="s">
        <v>817</v>
      </c>
      <c r="F8" s="10" t="s">
        <v>818</v>
      </c>
      <c r="G8" s="10" t="s">
        <v>815</v>
      </c>
      <c r="H8" s="10" t="s">
        <v>816</v>
      </c>
    </row>
    <row r="9" spans="1:10" ht="20.100000000000001" customHeight="1" x14ac:dyDescent="0.25">
      <c r="A9" s="16" t="str">
        <f>HYPERLINK("#'Input - Fuel'!A1", "Fuel")</f>
        <v>Fuel</v>
      </c>
      <c r="D9" s="10" t="s">
        <v>821</v>
      </c>
      <c r="E9" s="47" t="s">
        <v>819</v>
      </c>
      <c r="F9" s="10">
        <v>986</v>
      </c>
      <c r="G9" s="10">
        <v>10</v>
      </c>
      <c r="H9" s="10">
        <v>52</v>
      </c>
    </row>
    <row r="10" spans="1:10" ht="20.100000000000001" customHeight="1" x14ac:dyDescent="0.25">
      <c r="A10" s="16" t="str">
        <f>HYPERLINK("#'Input - Fertiliser'!A1", "Fertiliser")</f>
        <v>Fertiliser</v>
      </c>
      <c r="D10" s="10" t="s">
        <v>823</v>
      </c>
      <c r="E10" s="47" t="s">
        <v>824</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Livestock purchases'!A1", "Livestock purchases")</f>
        <v>Livestock purchases</v>
      </c>
      <c r="D12" s="10"/>
      <c r="E12" s="47"/>
      <c r="F12" s="10"/>
      <c r="G12" s="10"/>
      <c r="H12" s="10"/>
    </row>
    <row r="13" spans="1:10" ht="20.100000000000001" customHeight="1" x14ac:dyDescent="0.25">
      <c r="A13" s="42" t="str">
        <f>HYPERLINK("#'Input - Freight'!A1", "Freight")</f>
        <v>Freight</v>
      </c>
      <c r="D13" s="10"/>
      <c r="E13" s="47"/>
      <c r="F13" s="10"/>
      <c r="G13" s="10"/>
      <c r="H13" s="10"/>
    </row>
    <row r="14" spans="1:10" ht="20.100000000000001" customHeight="1" x14ac:dyDescent="0.25">
      <c r="A14" s="16" t="str">
        <f>HYPERLINK("#'Input - Solid waste'!A1", "Solid waste")</f>
        <v>Solid waste</v>
      </c>
      <c r="D14" s="10"/>
      <c r="E14" s="47"/>
      <c r="F14" s="10"/>
      <c r="G14" s="10"/>
      <c r="H14" s="10"/>
    </row>
    <row r="15" spans="1:10" ht="20.100000000000001" customHeight="1" x14ac:dyDescent="0.25">
      <c r="A15" s="16" t="str">
        <f>HYPERLINK("#'Input - Manure sent off-site'!A1", "Manure sent off-site")</f>
        <v>Manure sent off-site</v>
      </c>
      <c r="D15" s="10"/>
      <c r="E15" s="47"/>
      <c r="F15" s="10"/>
      <c r="G15" s="10"/>
      <c r="H15" s="10"/>
    </row>
    <row r="16" spans="1:10" ht="20.100000000000001" customHeight="1" x14ac:dyDescent="0.25">
      <c r="A16" s="16" t="str">
        <f>HYPERLINK("#'Input - Electricity'!A1", "Electricity")</f>
        <v>Electricity</v>
      </c>
      <c r="D16" s="10"/>
      <c r="E16" s="47"/>
      <c r="F16" s="10"/>
      <c r="G16" s="10"/>
      <c r="H16" s="10"/>
    </row>
    <row r="17" spans="1:8" ht="20.100000000000001" customHeight="1" x14ac:dyDescent="0.25">
      <c r="D17" s="10"/>
      <c r="E17" s="47"/>
      <c r="F17" s="10"/>
      <c r="G17" s="10"/>
      <c r="H17" s="10"/>
    </row>
    <row r="18" spans="1:8" ht="20.100000000000001" customHeight="1" x14ac:dyDescent="0.25">
      <c r="D18" s="10"/>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820</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814</v>
      </c>
      <c r="E24" s="10" t="s">
        <v>817</v>
      </c>
      <c r="F24" s="10" t="s">
        <v>818</v>
      </c>
      <c r="G24" s="10" t="s">
        <v>815</v>
      </c>
      <c r="H24" s="10" t="s">
        <v>816</v>
      </c>
    </row>
    <row r="25" spans="1:8" ht="20.100000000000001" customHeight="1" x14ac:dyDescent="0.25">
      <c r="D25" s="10" t="s">
        <v>822</v>
      </c>
      <c r="E25" s="47" t="s">
        <v>819</v>
      </c>
      <c r="F25" s="10">
        <v>65</v>
      </c>
      <c r="G25" s="10">
        <v>20</v>
      </c>
      <c r="H25" s="10">
        <v>52</v>
      </c>
    </row>
    <row r="26" spans="1:8" ht="20.100000000000001" customHeight="1" x14ac:dyDescent="0.25">
      <c r="D26" s="10"/>
      <c r="E26" s="47"/>
      <c r="F26" s="10"/>
      <c r="G26" s="10"/>
      <c r="H26" s="10"/>
    </row>
    <row r="27" spans="1:8" ht="20.100000000000001" customHeight="1" x14ac:dyDescent="0.25">
      <c r="A27" s="222" t="s">
        <v>78</v>
      </c>
      <c r="D27" s="10"/>
      <c r="E27" s="47"/>
      <c r="F27" s="10"/>
      <c r="G27" s="10"/>
      <c r="H27" s="10"/>
    </row>
    <row r="28" spans="1:8" ht="20.100000000000001" customHeight="1" x14ac:dyDescent="0.25">
      <c r="A28" s="16" t="str">
        <f>HYPERLINK("#'Constants - Scope 3'!A1", "Constants - Scope 3")</f>
        <v>Constants - Scope 3</v>
      </c>
      <c r="D28" s="10"/>
      <c r="E28" s="47"/>
      <c r="F28" s="10"/>
      <c r="G28" s="10"/>
      <c r="H28" s="10"/>
    </row>
    <row r="29" spans="1:8" ht="20.100000000000001" customHeight="1" x14ac:dyDescent="0.25">
      <c r="A29" s="16" t="str">
        <f>HYPERLINK("#'Constants - Solid Waste'!A1", "Constants - Solid Waste")</f>
        <v>Constants - Solid Waste</v>
      </c>
      <c r="D29" s="10"/>
      <c r="E29" s="47"/>
      <c r="F29" s="10"/>
      <c r="G29" s="10"/>
      <c r="H29" s="10"/>
    </row>
    <row r="30" spans="1:8" ht="20.100000000000001" customHeight="1" x14ac:dyDescent="0.25">
      <c r="A30" s="16" t="str">
        <f>HYPERLINK("#'Constants - Fuel'!A1", "Constants - Fuel")</f>
        <v>Constants - Fuel</v>
      </c>
      <c r="D30" s="10"/>
      <c r="E30" s="47"/>
      <c r="F30" s="10"/>
      <c r="G30" s="10"/>
      <c r="H30" s="10"/>
    </row>
    <row r="31" spans="1:8" ht="20.100000000000001" customHeight="1" x14ac:dyDescent="0.25">
      <c r="A31" s="16" t="str">
        <f>HYPERLINK("#'Constants - Poultry'!A1", "Constants - Poultry")</f>
        <v>Constants - Poultry</v>
      </c>
      <c r="D31" s="10"/>
      <c r="E31" s="47"/>
      <c r="F31" s="10"/>
      <c r="G31" s="10"/>
      <c r="H31" s="10"/>
    </row>
    <row r="32" spans="1:8" ht="20.100000000000001" customHeight="1" x14ac:dyDescent="0.25">
      <c r="A32" s="16" t="str">
        <f>HYPERLINK("#'Constants - Swine'!A1", "Constants - Swine")</f>
        <v>Constants - Swine</v>
      </c>
      <c r="D32" s="10"/>
      <c r="E32" s="47"/>
      <c r="F32" s="10"/>
      <c r="G32" s="10"/>
      <c r="H32" s="10"/>
    </row>
    <row r="33" spans="1:8" ht="20.100000000000001" customHeight="1" x14ac:dyDescent="0.25">
      <c r="A33" s="16" t="str">
        <f>HYPERLINK("#'Constants - Dairy'!A1", "Constants - Dairy")</f>
        <v>Constants - Dairy</v>
      </c>
      <c r="D33" s="10"/>
      <c r="E33" s="47"/>
      <c r="F33" s="10"/>
      <c r="G33" s="10"/>
      <c r="H33" s="10"/>
    </row>
    <row r="34" spans="1:8" ht="20.100000000000001" customHeight="1" x14ac:dyDescent="0.25">
      <c r="A34" s="16" t="str">
        <f>HYPERLINK("#'Constants - Pasture Beef'!A1", "Constants - Pasture Beef")</f>
        <v>Constants - Pasture Beef</v>
      </c>
      <c r="D34" s="10"/>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102" t="s">
        <v>771</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796</v>
      </c>
    </row>
    <row r="6" spans="1:11" ht="20.100000000000001" customHeight="1" x14ac:dyDescent="0.25"/>
    <row r="7" spans="1:11" ht="20.100000000000001" customHeight="1" x14ac:dyDescent="0.25">
      <c r="A7" s="19" t="s">
        <v>67</v>
      </c>
      <c r="D7" s="95" t="s">
        <v>121</v>
      </c>
      <c r="E7" s="96"/>
    </row>
    <row r="8" spans="1:11" ht="20.100000000000001" customHeight="1" x14ac:dyDescent="0.25">
      <c r="A8" s="16" t="str">
        <f>HYPERLINK("#'Input - Site'!A1", "Site")</f>
        <v>Site</v>
      </c>
    </row>
    <row r="9" spans="1:11" ht="20.100000000000001" customHeight="1" x14ac:dyDescent="0.25">
      <c r="A9" s="16" t="str">
        <f>HYPERLINK("#'Input - Fuel'!A1", "Fuel")</f>
        <v>Fuel</v>
      </c>
      <c r="D9" s="46" t="s">
        <v>251</v>
      </c>
      <c r="E9" s="46" t="s">
        <v>784</v>
      </c>
      <c r="F9" s="46" t="s">
        <v>785</v>
      </c>
      <c r="G9" s="46" t="s">
        <v>786</v>
      </c>
      <c r="H9" s="46" t="s">
        <v>604</v>
      </c>
      <c r="I9" s="46" t="s">
        <v>787</v>
      </c>
    </row>
    <row r="10" spans="1:11" ht="20.100000000000001" customHeight="1" x14ac:dyDescent="0.25">
      <c r="A10" s="16" t="str">
        <f>HYPERLINK("#'Input - Fertiliser'!A1", "Fertiliser")</f>
        <v>Fertiliser</v>
      </c>
      <c r="D10" s="10" t="s">
        <v>788</v>
      </c>
      <c r="E10" s="47" t="s">
        <v>789</v>
      </c>
      <c r="F10" s="47" t="s">
        <v>790</v>
      </c>
      <c r="G10" s="49" t="s">
        <v>791</v>
      </c>
      <c r="H10" s="66">
        <v>50</v>
      </c>
      <c r="I10" s="47" t="s">
        <v>792</v>
      </c>
    </row>
    <row r="11" spans="1:11" ht="20.100000000000001" customHeight="1" x14ac:dyDescent="0.25">
      <c r="A11" s="16" t="str">
        <f>HYPERLINK("#'Input - Farm Inputs'!A1", "Farm Inputs")</f>
        <v>Farm Inputs</v>
      </c>
      <c r="D11" s="10"/>
      <c r="E11" s="47" t="s">
        <v>789</v>
      </c>
      <c r="F11" s="47" t="s">
        <v>790</v>
      </c>
      <c r="G11" s="49" t="s">
        <v>791</v>
      </c>
      <c r="H11" s="66">
        <v>50</v>
      </c>
      <c r="I11" s="47" t="s">
        <v>792</v>
      </c>
    </row>
    <row r="12" spans="1:11" ht="20.100000000000001" customHeight="1" x14ac:dyDescent="0.25">
      <c r="A12" s="16" t="str">
        <f>HYPERLINK("#'Input - Livestock purchases'!A1", "Livestock purchases")</f>
        <v>Livestock purchases</v>
      </c>
      <c r="D12" s="10"/>
      <c r="E12" s="47" t="s">
        <v>789</v>
      </c>
      <c r="F12" s="47" t="s">
        <v>790</v>
      </c>
      <c r="G12" s="49" t="s">
        <v>791</v>
      </c>
      <c r="H12" s="66">
        <v>50</v>
      </c>
      <c r="I12" s="47" t="s">
        <v>793</v>
      </c>
    </row>
    <row r="13" spans="1:11" ht="20.100000000000001" customHeight="1" x14ac:dyDescent="0.25">
      <c r="A13" s="16" t="str">
        <f>HYPERLINK("#'Input - Freight'!A1", "Freight")</f>
        <v>Freight</v>
      </c>
      <c r="D13" s="10"/>
      <c r="E13" s="47" t="s">
        <v>789</v>
      </c>
      <c r="F13" s="47" t="s">
        <v>790</v>
      </c>
      <c r="G13" s="49" t="s">
        <v>791</v>
      </c>
      <c r="H13" s="66">
        <v>50</v>
      </c>
      <c r="I13" s="47" t="s">
        <v>793</v>
      </c>
    </row>
    <row r="14" spans="1:11" ht="20.100000000000001" customHeight="1" x14ac:dyDescent="0.25">
      <c r="A14" s="42" t="str">
        <f>HYPERLINK("#'Input - Solid waste'!A1", "Solid waste")</f>
        <v>Solid waste</v>
      </c>
      <c r="D14" s="10"/>
      <c r="E14" s="47" t="s">
        <v>794</v>
      </c>
      <c r="F14" s="47" t="s">
        <v>834</v>
      </c>
      <c r="G14" s="49" t="s">
        <v>791</v>
      </c>
      <c r="H14" s="66">
        <v>50</v>
      </c>
      <c r="I14" s="47" t="s">
        <v>792</v>
      </c>
    </row>
    <row r="15" spans="1:11" ht="20.100000000000001" customHeight="1" x14ac:dyDescent="0.25">
      <c r="A15" s="16" t="str">
        <f>HYPERLINK("#'Input - Manure sent off-site'!A1", "Manure sent off-site")</f>
        <v>Manure sent off-site</v>
      </c>
      <c r="D15" s="10"/>
      <c r="E15" s="47" t="s">
        <v>794</v>
      </c>
      <c r="F15" s="47" t="s">
        <v>795</v>
      </c>
      <c r="G15" s="49" t="s">
        <v>791</v>
      </c>
      <c r="H15" s="66">
        <v>50</v>
      </c>
      <c r="I15" s="47" t="s">
        <v>792</v>
      </c>
    </row>
    <row r="16" spans="1:11" ht="20.100000000000001" customHeight="1" x14ac:dyDescent="0.25">
      <c r="A16" s="16" t="str">
        <f>HYPERLINK("#'Input - Electricity'!A1", "Electricity")</f>
        <v>Electricity</v>
      </c>
      <c r="D16" s="10"/>
      <c r="E16" s="47" t="s">
        <v>794</v>
      </c>
      <c r="F16" s="47" t="s">
        <v>795</v>
      </c>
      <c r="G16" s="49" t="s">
        <v>791</v>
      </c>
      <c r="H16" s="66">
        <v>50</v>
      </c>
      <c r="I16" s="47" t="s">
        <v>793</v>
      </c>
    </row>
    <row r="17" spans="1:9" ht="20.100000000000001" customHeight="1" x14ac:dyDescent="0.25">
      <c r="D17" s="10"/>
      <c r="E17" s="47" t="s">
        <v>794</v>
      </c>
      <c r="F17" s="47" t="s">
        <v>795</v>
      </c>
      <c r="G17" s="49" t="s">
        <v>791</v>
      </c>
      <c r="H17" s="66">
        <v>50</v>
      </c>
      <c r="I17" s="47" t="s">
        <v>793</v>
      </c>
    </row>
    <row r="18" spans="1:9" ht="20.100000000000001" customHeight="1" x14ac:dyDescent="0.25">
      <c r="D18" s="10"/>
      <c r="E18" s="47" t="s">
        <v>794</v>
      </c>
      <c r="F18" s="47" t="s">
        <v>795</v>
      </c>
      <c r="G18" s="49" t="s">
        <v>791</v>
      </c>
      <c r="H18" s="66">
        <v>50</v>
      </c>
      <c r="I18" s="47" t="s">
        <v>792</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860</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749</v>
      </c>
    </row>
    <row r="7" spans="1:11" x14ac:dyDescent="0.25">
      <c r="A7" s="19" t="s">
        <v>67</v>
      </c>
      <c r="D7" s="8" t="s">
        <v>772</v>
      </c>
    </row>
    <row r="8" spans="1:11" ht="18.75" x14ac:dyDescent="0.25">
      <c r="A8" s="16" t="str">
        <f>HYPERLINK("#'Input - Site'!A1", "Site")</f>
        <v>Site</v>
      </c>
      <c r="D8" s="8" t="s">
        <v>773</v>
      </c>
    </row>
    <row r="9" spans="1:11" x14ac:dyDescent="0.25">
      <c r="A9" s="16" t="str">
        <f>HYPERLINK("#'Input - Fuel'!A1", "Fuel")</f>
        <v>Fuel</v>
      </c>
    </row>
    <row r="10" spans="1:11" x14ac:dyDescent="0.25">
      <c r="A10" s="16" t="str">
        <f>HYPERLINK("#'Input - Fertiliser'!A1", "Fertiliser")</f>
        <v>Fertiliser</v>
      </c>
      <c r="D10" s="8" t="s">
        <v>861</v>
      </c>
      <c r="F10" s="66">
        <v>1000</v>
      </c>
      <c r="G10" s="65" t="s">
        <v>750</v>
      </c>
    </row>
    <row r="11" spans="1:11" x14ac:dyDescent="0.25">
      <c r="A11" s="16" t="str">
        <f>HYPERLINK("#'Input - Farm Inputs'!A1", "Farm Inputs")</f>
        <v>Farm Inputs</v>
      </c>
      <c r="D11" s="8" t="s">
        <v>862</v>
      </c>
      <c r="F11" s="66">
        <v>2000</v>
      </c>
      <c r="G11" s="65" t="s">
        <v>750</v>
      </c>
    </row>
    <row r="12" spans="1:11" x14ac:dyDescent="0.25">
      <c r="A12" s="16" t="str">
        <f>HYPERLINK("#'Input - Livestock purchases'!A1", "Livestock purchases")</f>
        <v>Livestock purchases</v>
      </c>
    </row>
    <row r="13" spans="1:11" x14ac:dyDescent="0.25">
      <c r="A13" s="16" t="str">
        <f>HYPERLINK("#'Input - Freight'!A1", "Freight")</f>
        <v>Freight</v>
      </c>
      <c r="D13" s="8" t="s">
        <v>751</v>
      </c>
      <c r="F13" s="47" t="s">
        <v>150</v>
      </c>
      <c r="G13" s="65" t="s">
        <v>195</v>
      </c>
    </row>
    <row r="14" spans="1:11" x14ac:dyDescent="0.25">
      <c r="A14" s="16" t="str">
        <f>HYPERLINK("#'Input - Solid waste'!A1", "Solid waste")</f>
        <v>Solid waste</v>
      </c>
      <c r="D14" s="8" t="s">
        <v>755</v>
      </c>
      <c r="F14" s="47" t="s">
        <v>155</v>
      </c>
      <c r="G14" s="65" t="s">
        <v>195</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22"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234</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848</v>
      </c>
      <c r="E5" s="47" t="s">
        <v>849</v>
      </c>
      <c r="F5" s="65" t="s">
        <v>195</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235</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236</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95" t="s">
        <v>237</v>
      </c>
      <c r="E13" s="96"/>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238</v>
      </c>
      <c r="E15" s="97">
        <v>500</v>
      </c>
      <c r="F15" s="65" t="s">
        <v>239</v>
      </c>
    </row>
    <row r="16" spans="1:10" ht="20.100000000000001" customHeight="1" x14ac:dyDescent="0.25">
      <c r="A16" s="42" t="str">
        <f>HYPERLINK("#'Input - Electricity'!A1", "Electricity")</f>
        <v>Electricity</v>
      </c>
      <c r="D16" s="8" t="s">
        <v>240</v>
      </c>
      <c r="E16" s="49" t="str">
        <f>IF(X_Cell_Site_State="Western Australia", X_Cell_Site_Region, X_Cell_Site_State)</f>
        <v>ACT</v>
      </c>
      <c r="F16" s="14"/>
    </row>
    <row r="17" spans="1:11" ht="20.100000000000001" customHeight="1" x14ac:dyDescent="0.25">
      <c r="A17"/>
      <c r="D17" s="8" t="s">
        <v>241</v>
      </c>
      <c r="E17" s="47" t="s">
        <v>315</v>
      </c>
      <c r="F17" s="65" t="s">
        <v>195</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98"/>
      <c r="D20" s="98"/>
      <c r="E20" s="98"/>
      <c r="F20" s="98"/>
      <c r="G20" s="98"/>
      <c r="H20" s="98"/>
      <c r="I20" s="98"/>
      <c r="J20" s="98"/>
    </row>
    <row r="21" spans="1:11" ht="20.100000000000001" customHeight="1" x14ac:dyDescent="0.25">
      <c r="A21" s="16" t="str">
        <f>HYPERLINK("#'10.1.1-2 Solid waste treatment'!A1", "10.1.1-2 Solid waste treatment")</f>
        <v>10.1.1-2 Solid waste treatment</v>
      </c>
      <c r="D21" s="9" t="s">
        <v>242</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243</v>
      </c>
      <c r="E23" s="97">
        <v>30000</v>
      </c>
      <c r="F23" s="65" t="s">
        <v>239</v>
      </c>
    </row>
    <row r="24" spans="1:11" ht="20.100000000000001" customHeight="1" x14ac:dyDescent="0.25">
      <c r="A24" s="16" t="str">
        <f>HYPERLINK("#'8.2.1.1-2 Stationary fuel'!A1", "8.2.1.1-2 Stationary fuel")</f>
        <v>8.2.1.1-2 Stationary fuel</v>
      </c>
      <c r="D24" s="8" t="s">
        <v>244</v>
      </c>
      <c r="E24" s="86">
        <v>0.1</v>
      </c>
      <c r="F24" s="65" t="s">
        <v>245</v>
      </c>
    </row>
    <row r="25" spans="1:11" ht="20.100000000000001" customHeight="1" x14ac:dyDescent="0.25">
      <c r="A25"/>
      <c r="D25" s="8" t="s">
        <v>246</v>
      </c>
      <c r="E25" s="86">
        <v>0.1</v>
      </c>
      <c r="F25" s="65" t="s">
        <v>245</v>
      </c>
    </row>
    <row r="26" spans="1:11" ht="20.100000000000001" customHeight="1" x14ac:dyDescent="0.25">
      <c r="A26"/>
    </row>
    <row r="27" spans="1:11" ht="20.100000000000001" customHeight="1" x14ac:dyDescent="0.25">
      <c r="A27" s="222" t="s">
        <v>78</v>
      </c>
      <c r="D27" s="8" t="s">
        <v>247</v>
      </c>
      <c r="E27" s="97">
        <v>10000</v>
      </c>
      <c r="F27" s="65" t="s">
        <v>239</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248</v>
      </c>
      <c r="E29" s="99" t="str">
        <f>TEXT(X_Cell_Site_StartDate, "dd mmm yyyy")</f>
        <v>01 Jan 2024</v>
      </c>
      <c r="K29" s="52"/>
    </row>
    <row r="30" spans="1:11" ht="20.100000000000001" customHeight="1" x14ac:dyDescent="0.25">
      <c r="A30" s="16" t="str">
        <f>HYPERLINK("#'Constants - Fuel'!A1", "Constants - Fuel")</f>
        <v>Constants - Fuel</v>
      </c>
      <c r="D30" s="8" t="s">
        <v>249</v>
      </c>
      <c r="E30" s="99"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71" t="s">
        <v>250</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95" t="s">
        <v>121</v>
      </c>
      <c r="E34" s="96"/>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251</v>
      </c>
      <c r="E36" s="46" t="s">
        <v>252</v>
      </c>
      <c r="F36" s="46" t="s">
        <v>253</v>
      </c>
      <c r="G36" s="46" t="s">
        <v>254</v>
      </c>
      <c r="H36" s="46" t="s">
        <v>255</v>
      </c>
      <c r="I36" s="46" t="s">
        <v>256</v>
      </c>
      <c r="L36" s="52"/>
    </row>
    <row r="37" spans="1:12" ht="20.100000000000001" customHeight="1" x14ac:dyDescent="0.25">
      <c r="A37" s="16" t="str">
        <f>HYPERLINK("#'Constants - Electricity'!A1", "Constants - Electricity")</f>
        <v>Constants - Electricity</v>
      </c>
      <c r="D37" s="10" t="s">
        <v>257</v>
      </c>
      <c r="E37" s="47" t="s">
        <v>258</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259</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258</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260</v>
      </c>
      <c r="E41" s="49">
        <f>SUMIF(Table_Input_RECSurrendered[Elegibility], "Elegible", Table_Input_RECSurrendered[MWh])</f>
        <v>10</v>
      </c>
      <c r="F41" s="65" t="s">
        <v>255</v>
      </c>
      <c r="G41" s="8"/>
      <c r="H41" s="8"/>
      <c r="I41" s="8"/>
      <c r="J41" s="8"/>
      <c r="L41" s="52" t="s">
        <v>262</v>
      </c>
    </row>
    <row r="42" spans="1:12" ht="20.100000000000001" customHeight="1" x14ac:dyDescent="0.25">
      <c r="A42"/>
      <c r="C42" s="51"/>
    </row>
    <row r="43" spans="1:12" ht="20.100000000000001" customHeight="1" x14ac:dyDescent="0.25">
      <c r="A43"/>
      <c r="C43" s="51"/>
      <c r="D43" s="71" t="s">
        <v>261</v>
      </c>
      <c r="J43" s="51"/>
    </row>
    <row r="44" spans="1:12" ht="20.100000000000001" customHeight="1" x14ac:dyDescent="0.25">
      <c r="A44"/>
    </row>
    <row r="45" spans="1:12" ht="20.100000000000001" customHeight="1" x14ac:dyDescent="0.25">
      <c r="A45"/>
      <c r="D45" s="46" t="s">
        <v>251</v>
      </c>
      <c r="E45" s="46" t="s">
        <v>140</v>
      </c>
      <c r="F45" s="46" t="s">
        <v>253</v>
      </c>
      <c r="G45" s="46" t="s">
        <v>254</v>
      </c>
      <c r="H45" s="46" t="s">
        <v>255</v>
      </c>
      <c r="I45" s="46" t="s">
        <v>256</v>
      </c>
    </row>
    <row r="46" spans="1:12" ht="20.100000000000001" customHeight="1" x14ac:dyDescent="0.25">
      <c r="A46"/>
      <c r="D46" s="10" t="s">
        <v>263</v>
      </c>
      <c r="E46" s="49"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264</v>
      </c>
      <c r="E50" s="49">
        <f>SUMIF(Table_Input_RECConsumedByEntity[Elegibility], "Elegible", Table_Input_RECConsumedByEntity[Number of certificates])</f>
        <v>11</v>
      </c>
      <c r="F50" s="65" t="s">
        <v>255</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101"/>
    </row>
    <row r="58" spans="1:6" ht="20.100000000000001" customHeight="1" x14ac:dyDescent="0.25">
      <c r="A58"/>
    </row>
    <row r="59" spans="1:6" ht="20.100000000000001" customHeight="1" x14ac:dyDescent="0.25">
      <c r="A59"/>
      <c r="D59" s="101"/>
    </row>
    <row r="60" spans="1:6" ht="20.100000000000001" customHeight="1" x14ac:dyDescent="0.25">
      <c r="A60"/>
      <c r="D60" s="101"/>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I216" zoomScaleNormal="100" workbookViewId="0">
      <selection activeCell="P237" sqref="P237"/>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838</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632</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633</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Solid waste'!A1", "Solid waste")</f>
        <v>Solid waste</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Manure sent off-site'!A1", "Manure sent off-site")</f>
        <v>Manure sent off-site</v>
      </c>
      <c r="D15" s="167" t="str">
        <v>EF_co</v>
      </c>
      <c r="E15" s="171" t="str">
        <v>emission factor per livestock type and origin</v>
      </c>
      <c r="F15" s="166"/>
      <c r="G15" s="167" t="str">
        <v>kg CO2e/kg</v>
      </c>
      <c r="H15" s="169" t="str">
        <v>Constant</v>
      </c>
    </row>
    <row r="16" spans="1:41" ht="20.100000000000001" customHeight="1" x14ac:dyDescent="0.25">
      <c r="A16" s="16" t="str">
        <f>HYPERLINK("#'Input - Electricity'!A1", "Electricity")</f>
        <v>Electricity</v>
      </c>
      <c r="D16" s="167" t="str">
        <v>c</v>
      </c>
      <c r="E16" s="171" t="str">
        <v>livestock type</v>
      </c>
      <c r="F16" s="166"/>
      <c r="G16" s="167" t="str">
        <v/>
      </c>
      <c r="H16" s="168" t="str">
        <v>Input</v>
      </c>
    </row>
    <row r="17" spans="1:16" ht="20.100000000000001" customHeight="1" x14ac:dyDescent="0.25">
      <c r="D17" s="167" t="str">
        <v>o</v>
      </c>
      <c r="E17" s="171" t="str">
        <v>origin</v>
      </c>
      <c r="F17" s="166"/>
      <c r="G17" s="167" t="str">
        <v/>
      </c>
      <c r="H17" s="168" t="str">
        <v>Input</v>
      </c>
    </row>
    <row r="18" spans="1:16" ht="20.100000000000001" customHeight="1" x14ac:dyDescent="0.25"/>
    <row r="19" spans="1:16" ht="20.100000000000001" customHeight="1" x14ac:dyDescent="0.25">
      <c r="A19" s="21" t="s">
        <v>77</v>
      </c>
      <c r="D19" s="95" t="s">
        <v>572</v>
      </c>
      <c r="E19" s="110"/>
      <c r="F19" s="96"/>
    </row>
    <row r="20" spans="1:16" ht="20.100000000000001" customHeight="1" x14ac:dyDescent="0.25">
      <c r="A20" s="180" t="str">
        <f>HYPERLINK("#'15 Scope 3'!A1", "15 Scope 3")</f>
        <v>15 Scope 3</v>
      </c>
    </row>
    <row r="21" spans="1:16" ht="20.100000000000001" customHeight="1" x14ac:dyDescent="0.25">
      <c r="A21" s="16" t="str">
        <f>HYPERLINK("#'10.1.1-2 Solid waste treatment'!A1", "10.1.1-2 Solid waste treatment")</f>
        <v>10.1.1-2 Solid waste treatment</v>
      </c>
      <c r="D21" s="144" t="s">
        <v>327</v>
      </c>
    </row>
    <row r="22" spans="1:16" ht="20.100000000000001" customHeight="1" x14ac:dyDescent="0.25">
      <c r="A22" s="16" t="str">
        <f>HYPERLINK("#'Calcs - Manure sent off-site'!A1", "Calcs - Manure sent off-site")</f>
        <v>Calcs - Manure sent off-site</v>
      </c>
      <c r="D22" s="46" t="s">
        <v>366</v>
      </c>
      <c r="E22" s="152" t="s">
        <v>626</v>
      </c>
      <c r="F22" s="152" t="s">
        <v>625</v>
      </c>
      <c r="G22" s="152" t="s">
        <v>627</v>
      </c>
      <c r="H22" s="152" t="s">
        <v>628</v>
      </c>
      <c r="I22" s="57" t="s">
        <v>630</v>
      </c>
      <c r="J22" s="57" t="s">
        <v>639</v>
      </c>
      <c r="K22" s="152" t="s">
        <v>629</v>
      </c>
      <c r="L22" s="46" t="s">
        <v>631</v>
      </c>
      <c r="M22" s="57" t="s">
        <v>641</v>
      </c>
      <c r="N22" s="46" t="s">
        <v>635</v>
      </c>
      <c r="O22" s="46" t="s">
        <v>636</v>
      </c>
      <c r="P22" s="46" t="s">
        <v>637</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608</v>
      </c>
      <c r="O23" s="47" t="s">
        <v>607</v>
      </c>
      <c r="P23" t="s">
        <v>609</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22"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74" t="s">
        <v>655</v>
      </c>
      <c r="E34" s="98">
        <f>SUM(J23:J32)</f>
        <v>1052.5</v>
      </c>
      <c r="F34" s="175" t="str">
        <f>$E$11</f>
        <v>t CO2e</v>
      </c>
    </row>
    <row r="35" spans="1:13" ht="20.100000000000001" customHeight="1" x14ac:dyDescent="0.25">
      <c r="A35" s="16" t="str">
        <f>HYPERLINK("#'Constants - Common Livestock'!A1", "Constants - Common Livestock")</f>
        <v>Constants - Common Livestock</v>
      </c>
      <c r="D35" s="174" t="s">
        <v>656</v>
      </c>
      <c r="E35" s="98">
        <f>SUM(M23:M32)</f>
        <v>1014.5</v>
      </c>
      <c r="F35" s="175"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44" t="s">
        <v>343</v>
      </c>
    </row>
    <row r="39" spans="1:13" ht="20.100000000000001" customHeight="1" x14ac:dyDescent="0.25">
      <c r="D39" s="167" t="s">
        <v>634</v>
      </c>
      <c r="E39" s="49" cm="1">
        <f t="array" ref="E39">Common_InputFunctions.Utility_LookupValueInTableNumber("Dairy cows", Table_SourceData_Scope3_Animals[Product],Table_SourceData_Scope3_Animals[AusLCI Emissions intensity])</f>
        <v>4.41</v>
      </c>
    </row>
    <row r="40" spans="1:13" ht="20.100000000000001" customHeight="1" x14ac:dyDescent="0.25"/>
    <row r="41" spans="1:13" ht="20.100000000000001" customHeight="1" x14ac:dyDescent="0.25">
      <c r="D41" s="46" t="s">
        <v>366</v>
      </c>
      <c r="E41" s="152" t="s">
        <v>627</v>
      </c>
      <c r="F41" s="152" t="s">
        <v>628</v>
      </c>
      <c r="G41" s="57" t="s">
        <v>639</v>
      </c>
      <c r="H41" s="152" t="s">
        <v>629</v>
      </c>
      <c r="I41" s="46" t="s">
        <v>631</v>
      </c>
      <c r="J41" s="57" t="s">
        <v>641</v>
      </c>
      <c r="K41" s="46" t="s">
        <v>635</v>
      </c>
      <c r="L41" s="46" t="s">
        <v>636</v>
      </c>
      <c r="M41" s="46" t="s">
        <v>637</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608</v>
      </c>
      <c r="L42" s="47" t="s">
        <v>607</v>
      </c>
      <c r="M42" t="s">
        <v>609</v>
      </c>
    </row>
    <row r="43" spans="1:13" ht="20.100000000000001" customHeight="1" x14ac:dyDescent="0.25">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653</v>
      </c>
      <c r="E53" s="98">
        <f>SUM(G42:G51)</f>
        <v>295.47000000000003</v>
      </c>
      <c r="F53" s="175" t="str">
        <f>$E$11</f>
        <v>t CO2e</v>
      </c>
    </row>
    <row r="54" spans="4:13" ht="20.100000000000001" customHeight="1" x14ac:dyDescent="0.25">
      <c r="D54" s="174" t="s">
        <v>654</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547</v>
      </c>
    </row>
    <row r="58" spans="4:13" ht="20.100000000000001" customHeight="1" x14ac:dyDescent="0.25">
      <c r="D58" s="167" t="s">
        <v>634</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366</v>
      </c>
      <c r="E60" s="152" t="s">
        <v>627</v>
      </c>
      <c r="F60" s="152" t="s">
        <v>628</v>
      </c>
      <c r="G60" s="57" t="s">
        <v>639</v>
      </c>
      <c r="H60" s="152" t="s">
        <v>629</v>
      </c>
      <c r="I60" s="46" t="s">
        <v>631</v>
      </c>
      <c r="J60" s="57" t="s">
        <v>641</v>
      </c>
      <c r="K60" s="46" t="s">
        <v>635</v>
      </c>
      <c r="L60" s="46" t="s">
        <v>636</v>
      </c>
      <c r="M60" s="46" t="s">
        <v>637</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188</v>
      </c>
      <c r="G62" s="151" cm="1">
        <f t="array" ref="G62">Scope3_Equations.VEERG_15_1_1_1__1_EmissionsFromPurchasedLivestock(E62,F62,$E$58)</f>
        <v>63.544000000000004</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651</v>
      </c>
      <c r="E72" s="98">
        <f>SUM(G61:G70)</f>
        <v>127.08800000000001</v>
      </c>
      <c r="F72" s="175" t="str">
        <f>$E$11</f>
        <v>t CO2e</v>
      </c>
    </row>
    <row r="73" spans="4:13" ht="20.100000000000001" customHeight="1" x14ac:dyDescent="0.25">
      <c r="D73" s="174" t="s">
        <v>652</v>
      </c>
      <c r="E73" s="98">
        <f>SUM(J61:J70)</f>
        <v>73.38000000000001</v>
      </c>
      <c r="F73" s="175" t="str">
        <f>$E$11</f>
        <v>t CO2e</v>
      </c>
    </row>
    <row r="74" spans="4:13" ht="20.100000000000001" customHeight="1" x14ac:dyDescent="0.25"/>
    <row r="75" spans="4:13" ht="20.100000000000001" customHeight="1" x14ac:dyDescent="0.25">
      <c r="D75" s="144" t="s">
        <v>573</v>
      </c>
    </row>
    <row r="76" spans="4:13" ht="20.100000000000001" customHeight="1" x14ac:dyDescent="0.25">
      <c r="D76" s="167" t="s">
        <v>634</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366</v>
      </c>
      <c r="E78" s="152" t="s">
        <v>627</v>
      </c>
      <c r="F78" s="152" t="s">
        <v>628</v>
      </c>
      <c r="G78" s="57" t="s">
        <v>639</v>
      </c>
      <c r="H78" s="152" t="s">
        <v>629</v>
      </c>
      <c r="I78" s="46" t="s">
        <v>631</v>
      </c>
      <c r="J78" s="57" t="s">
        <v>641</v>
      </c>
      <c r="K78" s="46" t="s">
        <v>635</v>
      </c>
      <c r="L78" s="46" t="s">
        <v>636</v>
      </c>
      <c r="M78" s="46" t="s">
        <v>637</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649</v>
      </c>
      <c r="E90" s="98">
        <f>SUM(G79:G88)</f>
        <v>0.36720000000000003</v>
      </c>
      <c r="F90" s="175" t="str">
        <f>$E$11</f>
        <v>t CO2e</v>
      </c>
    </row>
    <row r="91" spans="4:13" ht="20.100000000000001" customHeight="1" x14ac:dyDescent="0.25">
      <c r="D91" s="174" t="s">
        <v>650</v>
      </c>
      <c r="E91" s="98">
        <f>SUM(J79:J88)</f>
        <v>0.35940000000000005</v>
      </c>
      <c r="F91" s="175" t="str">
        <f>$E$11</f>
        <v>t CO2e</v>
      </c>
    </row>
    <row r="92" spans="4:13" ht="20.100000000000001" customHeight="1" x14ac:dyDescent="0.25"/>
    <row r="93" spans="4:13" ht="20.100000000000001" customHeight="1" x14ac:dyDescent="0.25">
      <c r="D93" s="176" t="s">
        <v>639</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8" t="str">
        <f>$E$11</f>
        <v>t CO2e</v>
      </c>
    </row>
    <row r="94" spans="4:13" ht="20.100000000000001" customHeight="1" x14ac:dyDescent="0.25">
      <c r="D94" s="176" t="s">
        <v>641</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632</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633</v>
      </c>
      <c r="E103" s="8" t="str" cm="1">
        <f t="array" ref="E103">Scope3_Equations.VEERG_15_2_1_1__1_EmissionsFromPurchasedFeed_Variable()</f>
        <v>E</v>
      </c>
    </row>
    <row r="104" spans="3:41" ht="20.100000000000001" customHeight="1" x14ac:dyDescent="0.25">
      <c r="D104" s="27"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294</v>
      </c>
    </row>
    <row r="111" spans="3:41" ht="20.100000000000001" customHeight="1" x14ac:dyDescent="0.25"/>
    <row r="112" spans="3:41" ht="20.100000000000001" customHeight="1" x14ac:dyDescent="0.25">
      <c r="D112" s="39" t="s">
        <v>643</v>
      </c>
      <c r="E112" s="41"/>
      <c r="F112" s="39"/>
      <c r="G112" s="40"/>
      <c r="H112" s="41"/>
    </row>
    <row r="113" spans="4:28" ht="20.100000000000001" customHeight="1" x14ac:dyDescent="0.25">
      <c r="D113" s="88" t="s">
        <v>644</v>
      </c>
      <c r="E113" s="90"/>
      <c r="F113" s="88"/>
      <c r="G113" s="89"/>
      <c r="H113" s="90"/>
    </row>
    <row r="114" spans="4:28" ht="20.100000000000001" customHeight="1" x14ac:dyDescent="0.25">
      <c r="D114" s="43" t="s">
        <v>645</v>
      </c>
      <c r="E114" s="45"/>
      <c r="F114" s="43"/>
      <c r="G114" s="44"/>
      <c r="H114" s="45"/>
    </row>
    <row r="115" spans="4:28" ht="20.100000000000001" customHeight="1" x14ac:dyDescent="0.25"/>
    <row r="116" spans="4:28" ht="20.100000000000001" customHeight="1" x14ac:dyDescent="0.25">
      <c r="D116" s="95" t="s">
        <v>405</v>
      </c>
      <c r="E116" s="110"/>
      <c r="F116" s="96"/>
    </row>
    <row r="117" spans="4:28" ht="20.100000000000001" customHeight="1" x14ac:dyDescent="0.25"/>
    <row r="118" spans="4:28" ht="20.100000000000001" customHeight="1" x14ac:dyDescent="0.25">
      <c r="D118" s="46" t="s">
        <v>409</v>
      </c>
      <c r="E118" s="46" t="s">
        <v>638</v>
      </c>
      <c r="F118" s="57" t="s">
        <v>642</v>
      </c>
      <c r="G118" s="57" t="s">
        <v>639</v>
      </c>
      <c r="H118" s="46" t="s">
        <v>640</v>
      </c>
      <c r="I118" s="57" t="s">
        <v>641</v>
      </c>
      <c r="J118" s="46" t="s">
        <v>635</v>
      </c>
      <c r="K118" s="46" t="s">
        <v>636</v>
      </c>
      <c r="L118" s="46" t="s">
        <v>637</v>
      </c>
      <c r="M118" s="57" t="s">
        <v>174</v>
      </c>
      <c r="N118" s="57" t="s">
        <v>390</v>
      </c>
      <c r="O118" s="57" t="s">
        <v>175</v>
      </c>
      <c r="P118" s="57" t="s">
        <v>350</v>
      </c>
      <c r="Q118" s="57" t="s">
        <v>176</v>
      </c>
      <c r="R118" s="57" t="s">
        <v>406</v>
      </c>
      <c r="S118" s="57" t="s">
        <v>177</v>
      </c>
      <c r="T118" s="57" t="s">
        <v>354</v>
      </c>
      <c r="U118" s="57" t="s">
        <v>178</v>
      </c>
      <c r="V118" s="57" t="s">
        <v>407</v>
      </c>
      <c r="W118" s="57" t="s">
        <v>179</v>
      </c>
      <c r="X118" s="57" t="s">
        <v>355</v>
      </c>
      <c r="Y118" s="57" t="s">
        <v>180</v>
      </c>
      <c r="Z118" s="57" t="s">
        <v>408</v>
      </c>
      <c r="AA118" s="57" t="s">
        <v>181</v>
      </c>
      <c r="AB118" s="57" t="s">
        <v>356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1" cm="1">
        <f t="array" ref="G119">Scope3_Equations.VEERG_15_2_1_1__1_EmissionsFromPurchasedFeed(E119,F119)</f>
        <v>195.27599999999998</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1" cm="1">
        <f t="array" ref="G120">Scope3_Equations.VEERG_15_2_1_1__1_EmissionsFromPurchasedFeed(E120,F120)</f>
        <v>78.10560000000001</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1" cm="1">
        <f t="array" ref="G121">Scope3_Equations.VEERG_15_2_1_1__1_EmissionsFromPurchasedFeed(E121,F121)</f>
        <v>25.56</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4" t="s">
        <v>639</v>
      </c>
      <c r="E130" s="98">
        <f>SUM(G119:G128)</f>
        <v>471.44159999999999</v>
      </c>
      <c r="F130" s="175" t="str">
        <f>$E$104</f>
        <v>t CO2e</v>
      </c>
    </row>
    <row r="131" spans="4:12" ht="20.100000000000001" customHeight="1" x14ac:dyDescent="0.25">
      <c r="D131" s="174" t="s">
        <v>641</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403</v>
      </c>
    </row>
    <row r="135" spans="4:12" ht="20.100000000000001" customHeight="1" x14ac:dyDescent="0.25">
      <c r="D135" s="46" t="s">
        <v>217</v>
      </c>
      <c r="E135" s="46" t="s">
        <v>638</v>
      </c>
      <c r="F135" s="57" t="s">
        <v>642</v>
      </c>
      <c r="G135" s="57" t="s">
        <v>639</v>
      </c>
      <c r="H135" s="46" t="s">
        <v>640</v>
      </c>
      <c r="I135" s="57" t="s">
        <v>641</v>
      </c>
      <c r="J135" s="46" t="s">
        <v>635</v>
      </c>
      <c r="K135" s="46" t="s">
        <v>636</v>
      </c>
      <c r="L135" s="46" t="s">
        <v>637</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639</v>
      </c>
      <c r="E141" s="98">
        <f>SUM(G136:G139)</f>
        <v>174.9</v>
      </c>
      <c r="F141" s="175" t="str">
        <f>$E$104</f>
        <v>t CO2e</v>
      </c>
    </row>
    <row r="142" spans="4:12" ht="20.100000000000001" customHeight="1" x14ac:dyDescent="0.25">
      <c r="D142" s="174" t="s">
        <v>641</v>
      </c>
      <c r="E142" s="98">
        <f>SUM(I136:I139)</f>
        <v>163.60000000000002</v>
      </c>
      <c r="F142" s="175" t="str">
        <f>$E$104</f>
        <v>t CO2e</v>
      </c>
    </row>
    <row r="143" spans="4:12" ht="20.100000000000001" customHeight="1" x14ac:dyDescent="0.25"/>
    <row r="144" spans="4:12" ht="20.100000000000001" customHeight="1" x14ac:dyDescent="0.25">
      <c r="D144" s="176" t="s">
        <v>639</v>
      </c>
      <c r="E144" s="177">
        <f>E130+E141</f>
        <v>646.34159999999997</v>
      </c>
      <c r="F144" s="178" t="str">
        <f>$E$104</f>
        <v>t CO2e</v>
      </c>
    </row>
    <row r="145" spans="3:41" ht="20.100000000000001" customHeight="1" x14ac:dyDescent="0.25">
      <c r="D145" s="176" t="s">
        <v>641</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632</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633</v>
      </c>
      <c r="E154" s="8" t="str" cm="1">
        <f t="array" ref="E154">Scope3_Equations.VEERG_15_3_1_1__1_EmissionsFromPurchasedMineralSupplements_Variable()</f>
        <v>E</v>
      </c>
    </row>
    <row r="155" spans="3:41" ht="20.100000000000001" customHeight="1" x14ac:dyDescent="0.25">
      <c r="D155" s="27"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217</v>
      </c>
      <c r="E161" s="46" t="s">
        <v>646</v>
      </c>
      <c r="F161" s="57" t="s">
        <v>647</v>
      </c>
      <c r="G161" s="57" t="s">
        <v>639</v>
      </c>
      <c r="H161" s="46" t="s">
        <v>648</v>
      </c>
      <c r="I161" s="57" t="s">
        <v>641</v>
      </c>
      <c r="J161" s="46" t="s">
        <v>635</v>
      </c>
      <c r="K161" s="46" t="s">
        <v>636</v>
      </c>
      <c r="L161" s="46" t="s">
        <v>637</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639</v>
      </c>
      <c r="E166" s="177">
        <f>SUM(G162:G164)</f>
        <v>178.9</v>
      </c>
      <c r="F166" s="178" t="str">
        <f>$E$155</f>
        <v>t CO2e</v>
      </c>
    </row>
    <row r="167" spans="3:41" ht="20.100000000000001" customHeight="1" x14ac:dyDescent="0.25">
      <c r="D167" s="176" t="s">
        <v>641</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632</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633</v>
      </c>
      <c r="E177" s="8" t="str" cm="1">
        <f t="array" ref="E177">Scope3_Equations.VEERG_15_4_1_1__X_EmissionFactorFromPurchasedFertiliserComponents_Variable()</f>
        <v>EF_f</v>
      </c>
    </row>
    <row r="178" spans="4:8" ht="20.100000000000001" customHeight="1" x14ac:dyDescent="0.25">
      <c r="D178" s="27"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632</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633</v>
      </c>
      <c r="E191" s="8" t="str" cm="1">
        <f t="array" ref="E191">Scope3_Equations.VEERG_15_4_1_1__1_EmissionsFromPurchasedFertiliser_Variable()</f>
        <v>E</v>
      </c>
    </row>
    <row r="192" spans="4:8" ht="20.100000000000001" customHeight="1" x14ac:dyDescent="0.25">
      <c r="D192" s="27"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632</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633</v>
      </c>
      <c r="E206" s="8" t="str" cm="1">
        <f t="array" ref="E206">Scope3_Equations.VEERG_15_4_1_1__2_EmissionsFromPurchasedFertiliserComponents_Variable()</f>
        <v>E</v>
      </c>
    </row>
    <row r="207" spans="4:8" ht="20.100000000000001" customHeight="1" x14ac:dyDescent="0.25">
      <c r="D207" s="27"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374</v>
      </c>
    </row>
    <row r="217" spans="4:40" ht="20.100000000000001" customHeight="1" x14ac:dyDescent="0.25"/>
    <row r="218" spans="4:40" ht="20.100000000000001" customHeight="1" x14ac:dyDescent="0.25">
      <c r="D218" s="95" t="s">
        <v>373</v>
      </c>
      <c r="E218" s="110"/>
      <c r="F218" s="96"/>
    </row>
    <row r="219" spans="4:40" ht="20.100000000000001" customHeight="1" x14ac:dyDescent="0.25"/>
    <row r="220" spans="4:40" ht="20.100000000000001" customHeight="1" x14ac:dyDescent="0.25">
      <c r="D220" s="46" t="s">
        <v>217</v>
      </c>
      <c r="E220" s="46" t="s">
        <v>361</v>
      </c>
      <c r="F220" s="57" t="s">
        <v>674</v>
      </c>
      <c r="G220" s="57" t="s">
        <v>658</v>
      </c>
      <c r="H220" s="57" t="s">
        <v>657</v>
      </c>
      <c r="I220" s="46" t="s">
        <v>675</v>
      </c>
      <c r="J220" s="57" t="s">
        <v>659</v>
      </c>
      <c r="K220" s="57" t="s">
        <v>660</v>
      </c>
      <c r="L220" s="46" t="s">
        <v>635</v>
      </c>
      <c r="M220" s="46" t="s">
        <v>636</v>
      </c>
      <c r="N220" s="46" t="s">
        <v>637</v>
      </c>
      <c r="O220" s="57" t="s">
        <v>172</v>
      </c>
      <c r="P220" s="57" t="s">
        <v>173</v>
      </c>
      <c r="Q220" s="57" t="s">
        <v>174</v>
      </c>
      <c r="R220" s="57" t="s">
        <v>175</v>
      </c>
      <c r="S220" s="57" t="s">
        <v>662</v>
      </c>
      <c r="T220" s="46" t="s">
        <v>663</v>
      </c>
      <c r="U220" s="57" t="s">
        <v>176</v>
      </c>
      <c r="V220" s="57" t="s">
        <v>177</v>
      </c>
      <c r="W220" s="57" t="s">
        <v>664</v>
      </c>
      <c r="X220" s="46" t="s">
        <v>665</v>
      </c>
      <c r="Y220" s="57" t="s">
        <v>178</v>
      </c>
      <c r="Z220" s="57" t="s">
        <v>179</v>
      </c>
      <c r="AA220" s="57" t="s">
        <v>666</v>
      </c>
      <c r="AB220" s="46" t="s">
        <v>667</v>
      </c>
      <c r="AC220" s="57" t="s">
        <v>180</v>
      </c>
      <c r="AD220" s="57" t="s">
        <v>181</v>
      </c>
      <c r="AE220" s="57" t="s">
        <v>668</v>
      </c>
      <c r="AF220" s="46" t="s">
        <v>669</v>
      </c>
      <c r="AG220" s="57" t="s">
        <v>182</v>
      </c>
      <c r="AH220" s="57" t="s">
        <v>183</v>
      </c>
      <c r="AI220" s="57" t="s">
        <v>670</v>
      </c>
      <c r="AJ220" s="46" t="s">
        <v>671</v>
      </c>
      <c r="AK220" s="57" t="s">
        <v>184</v>
      </c>
      <c r="AL220" s="57" t="s">
        <v>185</v>
      </c>
      <c r="AM220" s="57" t="s">
        <v>672</v>
      </c>
      <c r="AN220" s="46" t="s">
        <v>673</v>
      </c>
    </row>
    <row r="221" spans="4:40" ht="20.100000000000001" customHeight="1" x14ac:dyDescent="0.25">
      <c r="D221" s="49" t="str" cm="1">
        <f t="array" ref="D221:D230">IFERROR(INDEX(Table_Input_InorganicFertiliser_Brands[Product (select)], _xlfn.SEQUENCE(10)), "")</f>
        <v>CoRoN 12-0-10</v>
      </c>
      <c r="E221" s="49" cm="1">
        <f t="array" ref="E221:E230">IFERROR(INDEX(Table_Input_InorganicFertiliser_Brands[Total applied (kg)], _xlfn.SEQUENCE(10)), 0)</f>
        <v>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v>
      </c>
      <c r="G221" s="151" cm="1">
        <f t="array" ref="G221">Scope3_Equations.VEERG_15_4_1_1__1_EmissionsFromPurchasedFertiliser(E221,F221)</f>
        <v>0</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0</v>
      </c>
      <c r="I221" s="66">
        <v>0.4</v>
      </c>
      <c r="J221" s="151" cm="1">
        <f t="array" ref="J221">Scope3_Equations.VEERG_15_4_1_1__1_EmissionsFromPurchasedFertiliser(E221,I221)</f>
        <v>0</v>
      </c>
      <c r="K221" s="1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0</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cm="1">
        <f t="array" ref="V221:V230">IFERROR(INDEX(_xlfn.LET(_xlpm.result, Table_Input_InorganicFertiliser_Brands[Ingredient 2 percent], IF(_xlpm.result="", 0, _xlpm.result)), _xlfn.SEQUENCE(10)), 0)</f>
        <v>0</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t="str" cm="1">
        <f t="array" ref="Y221:Y230">IFERROR(INDEX(Table_Input_InorganicFertiliser_Brands[Ingredient 3], _xlfn.SEQUENCE(10)), "")</f>
        <v/>
      </c>
      <c r="Z221" s="49" cm="1">
        <f t="array" ref="Z221:Z230">IFERROR(INDEX(_xlfn.LET(_xlpm.result, Table_Input_InorganicFertiliser_Brands[Ingredient 3 percent], IF(_xlpm.result="", 0, _xlpm.result)), _xlfn.SEQUENCE(10)), 0)</f>
        <v>0</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Boost-It</v>
      </c>
      <c r="E222" s="49">
        <v>0</v>
      </c>
      <c r="F222" s="49" t="e"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#VALUE!</v>
      </c>
      <c r="G222" s="151" t="e" cm="1">
        <f t="array" ref="G222">Scope3_Equations.VEERG_15_4_1_1__1_EmissionsFromPurchasedFertiliser(E222,F222)</f>
        <v>#VALUE!</v>
      </c>
      <c r="H222" s="49" t="e"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#VALUE!</v>
      </c>
      <c r="I222" s="66">
        <v>0.9</v>
      </c>
      <c r="J222" s="151" cm="1">
        <f t="array" ref="J222">Scope3_Equations.VEERG_15_4_1_1__1_EmissionsFromPurchasedFertiliser(E222,I222)</f>
        <v>0</v>
      </c>
      <c r="K222" s="151" t="e"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#VALUE!</v>
      </c>
      <c r="L222" s="82"/>
      <c r="M222" s="47"/>
      <c r="N222" s="82"/>
      <c r="O222" s="49" t="str">
        <v/>
      </c>
      <c r="P222" s="49" t="str">
        <v>kg</v>
      </c>
      <c r="Q222" s="49">
        <v>1</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t="str">
        <v>Urea</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v>0.52173913000000005</v>
      </c>
      <c r="Z222" s="49" t="str">
        <v>Potassium - Generic</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v>0.08</v>
      </c>
      <c r="AD222" s="49" t="str">
        <v>Sulfur - Generic</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v>5.2999999999999999E-2</v>
      </c>
      <c r="AH222" s="49" t="str">
        <v>Phosphorus - Generic</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v>5.1999999999999998E-2</v>
      </c>
      <c r="AL222" s="49" t="str">
        <v>Magnesium</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CoRoN 12-0-10</v>
      </c>
      <c r="E223" s="49">
        <v>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v>
      </c>
      <c r="G223" s="151" cm="1">
        <f t="array" ref="G223">Scope3_Equations.VEERG_15_4_1_1__1_EmissionsFromPurchasedFertiliser(E223,F223)</f>
        <v>0</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0</v>
      </c>
      <c r="I223" s="66">
        <v>0.4</v>
      </c>
      <c r="J223" s="151" cm="1">
        <f t="array" ref="J223">Scope3_Equations.VEERG_15_4_1_1__1_EmissionsFromPurchasedFertiliser(E223,I223)</f>
        <v>0</v>
      </c>
      <c r="K223" s="1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0</v>
      </c>
      <c r="L223" s="82"/>
      <c r="M223" s="47"/>
      <c r="N223" s="82"/>
      <c r="O223" s="49" t="str">
        <v/>
      </c>
      <c r="P223" s="49" t="str">
        <v/>
      </c>
      <c r="Q223" s="49" t="str">
        <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v>0</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
      </c>
      <c r="R224" s="49">
        <v>0</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6"/>
      <c r="U224" s="49" t="str">
        <v/>
      </c>
      <c r="V224" s="49">
        <v>0</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6"/>
      <c r="Y224" s="49" t="str">
        <v/>
      </c>
      <c r="Z224" s="49">
        <v>0</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
      </c>
      <c r="R225" s="49">
        <v>0</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
      </c>
      <c r="V225" s="49">
        <v>0</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661</v>
      </c>
    </row>
    <row r="233" spans="4:40" ht="20.100000000000001" customHeight="1" x14ac:dyDescent="0.25"/>
    <row r="234" spans="4:40" ht="20.100000000000001" customHeight="1" x14ac:dyDescent="0.25">
      <c r="D234" s="95" t="s">
        <v>676</v>
      </c>
      <c r="E234" s="110"/>
      <c r="F234" s="96"/>
    </row>
    <row r="235" spans="4:40" ht="20.100000000000001" customHeight="1" x14ac:dyDescent="0.25"/>
    <row r="236" spans="4:40" ht="20.100000000000001" customHeight="1" x14ac:dyDescent="0.25">
      <c r="D236" s="46" t="s">
        <v>409</v>
      </c>
      <c r="E236" s="46" t="s">
        <v>361</v>
      </c>
      <c r="F236" s="57" t="s">
        <v>674</v>
      </c>
      <c r="G236" s="57" t="s">
        <v>658</v>
      </c>
      <c r="H236" s="57" t="s">
        <v>657</v>
      </c>
      <c r="I236" s="46" t="s">
        <v>675</v>
      </c>
      <c r="J236" s="57" t="s">
        <v>659</v>
      </c>
      <c r="K236" s="57" t="s">
        <v>660</v>
      </c>
      <c r="L236" s="46" t="s">
        <v>635</v>
      </c>
      <c r="M236" s="46" t="s">
        <v>636</v>
      </c>
      <c r="N236" s="46" t="s">
        <v>637</v>
      </c>
      <c r="O236" s="57" t="s">
        <v>172</v>
      </c>
      <c r="P236" s="57" t="s">
        <v>173</v>
      </c>
      <c r="Q236" s="57" t="s">
        <v>174</v>
      </c>
      <c r="R236" s="57" t="s">
        <v>175</v>
      </c>
      <c r="S236" s="57" t="s">
        <v>662</v>
      </c>
      <c r="T236" s="46" t="s">
        <v>663</v>
      </c>
      <c r="U236" s="57" t="s">
        <v>176</v>
      </c>
      <c r="V236" s="57" t="s">
        <v>177</v>
      </c>
      <c r="W236" s="57" t="s">
        <v>664</v>
      </c>
      <c r="X236" s="46" t="s">
        <v>665</v>
      </c>
      <c r="Y236" s="57" t="s">
        <v>178</v>
      </c>
      <c r="Z236" s="57" t="s">
        <v>179</v>
      </c>
      <c r="AA236" s="57" t="s">
        <v>666</v>
      </c>
      <c r="AB236" s="46" t="s">
        <v>667</v>
      </c>
      <c r="AC236" s="57" t="s">
        <v>180</v>
      </c>
      <c r="AD236" s="57" t="s">
        <v>181</v>
      </c>
      <c r="AE236" s="57" t="s">
        <v>668</v>
      </c>
      <c r="AF236" s="46" t="s">
        <v>669</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1" cm="1">
        <f t="array" ref="G237">Scope3_Equations.VEERG_15_4_1_1__1_EmissionsFromPurchasedFertiliser(E237,F237)</f>
        <v>16.099000000000004</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6">
        <v>0.4</v>
      </c>
      <c r="J237" s="151" cm="1">
        <f t="array" ref="J237">Scope3_Equations.VEERG_15_4_1_1__1_EmissionsFromPurchasedFertiliser(E237,I237)</f>
        <v>4</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2"/>
      <c r="M237" s="47"/>
      <c r="N237"/>
      <c r="O237" s="49" t="str" cm="1">
        <f t="array" ref="O237:O246">IFERROR(INDEX(Table_Input_InorganicFertiliser_Custom[Urea source (Select)], _xlfn.SEQUENCE(10)), "")</f>
        <v>Canada</v>
      </c>
      <c r="P237" s="49" t="str" cm="1">
        <f t="array" ref="P237:P246">IFERROR(INDEX(Table_Input_InorganicFertiliser_Custom[Ammonia source (select)], _xlfn.SEQUENCE(10)), "")</f>
        <v>Global</v>
      </c>
      <c r="Q237" s="49" t="str" cm="1">
        <f t="array" ref="Q237:Q246">IFERROR(INDEX(Table_Input_InorganicFertiliser_Custom[Ingredient 1 (select)], _xlfn.SEQUENCE(10)), "")</f>
        <v>Ammonia</v>
      </c>
      <c r="R237" s="49" cm="1">
        <f t="array" ref="R237:R246">IFERROR(INDEX(_xlfn.LET(_xlpm.result, Table_Input_InorganicFertiliser_Custom[Ingredient 1 percent], IF(_xlpm.result="", 0, _xlpm.result)), _xlfn.SEQUENCE(10)), 0)</f>
        <v>0.45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6">
        <v>0.9</v>
      </c>
      <c r="U237" s="49" t="str" cm="1">
        <f t="array" ref="U237:U246">IFERROR(INDEX(Table_Input_InorganicFertiliser_Custom[Ingredient 2], _xlfn.SEQUENCE(10)), "")</f>
        <v>Calcium nitrate</v>
      </c>
      <c r="V237" s="49" cm="1">
        <f t="array" ref="V237:V246">IFERROR(INDEX(_xlfn.LET(_xlpm.result, Table_Input_InorganicFertiliser_Custom[Ingredient 2 percent], IF(_xlpm.result="", 0, _xlpm.result)), _xlfn.SEQUENCE(10)), 0)</f>
        <v>0.3</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0.1</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v>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1" cm="1">
        <f t="array" ref="G238">Scope3_Equations.VEERG_15_4_1_1__1_EmissionsFromPurchasedFertiliser(E238,F238)</f>
        <v>9.5270000000000028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6">
        <v>0.9</v>
      </c>
      <c r="J238" s="151" cm="1">
        <f t="array" ref="J238">Scope3_Equations.VEERG_15_4_1_1__1_EmissionsFromPurchasedFertiliser(E238,I238)</f>
        <v>9</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2"/>
      <c r="M238" s="47"/>
      <c r="N238" s="82"/>
      <c r="O238" s="49" t="str">
        <v>Canada</v>
      </c>
      <c r="P238" s="49" t="str">
        <v>Canada</v>
      </c>
      <c r="Q238" s="49" t="str">
        <v>Urea</v>
      </c>
      <c r="R238" s="49">
        <v>0.9</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6"/>
      <c r="U238" s="49" t="str">
        <v>Ammonia</v>
      </c>
      <c r="V238" s="49">
        <v>0.1</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677</v>
      </c>
      <c r="E248" s="177" t="e">
        <f>SUM(G221:G230)+SUM(G237:G246)</f>
        <v>#VALUE!</v>
      </c>
      <c r="F248" s="178" t="str">
        <f>$E$155</f>
        <v>t CO2e</v>
      </c>
    </row>
    <row r="249" spans="3:41" ht="20.100000000000001" customHeight="1" x14ac:dyDescent="0.25">
      <c r="D249" s="179" t="s">
        <v>678</v>
      </c>
      <c r="E249" s="177">
        <f>SUM(J221:J230)+SUM(J237:J246)</f>
        <v>13</v>
      </c>
      <c r="F249" s="178" t="str">
        <f>$E$155</f>
        <v>t CO2e</v>
      </c>
    </row>
    <row r="250" spans="3:41" ht="20.100000000000001" customHeight="1" x14ac:dyDescent="0.25"/>
    <row r="251" spans="3:41" ht="20.100000000000001" customHeight="1" x14ac:dyDescent="0.25">
      <c r="D251" s="179" t="s">
        <v>679</v>
      </c>
      <c r="E251" s="177" t="e">
        <f>SUM(H221:H230)+SUM(H237:H246)</f>
        <v>#VALUE!</v>
      </c>
      <c r="F251" s="178" t="str">
        <f>$E$155</f>
        <v>t CO2e</v>
      </c>
    </row>
    <row r="252" spans="3:41" ht="20.100000000000001" customHeight="1" x14ac:dyDescent="0.25">
      <c r="D252" s="179" t="s">
        <v>680</v>
      </c>
      <c r="E252" s="177" t="e">
        <f>SUM(K221:K230)+SUM(K237:K246)</f>
        <v>#VALUE!</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632</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633</v>
      </c>
      <c r="E262" s="8" t="str" cm="1">
        <f t="array" ref="E262">Scope3_Equations.VEERG_15_5_1_1__1_EmissionsFromPurchasedAgrichemicals_Variable()</f>
        <v>E</v>
      </c>
    </row>
    <row r="263" spans="4:9" ht="20.100000000000001" customHeight="1" x14ac:dyDescent="0.25">
      <c r="D263" s="27" t="s">
        <v>97</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686</v>
      </c>
      <c r="E269" s="46" t="s">
        <v>205</v>
      </c>
      <c r="F269" s="57" t="s">
        <v>687</v>
      </c>
      <c r="G269" s="57" t="s">
        <v>639</v>
      </c>
      <c r="H269" s="46" t="s">
        <v>688</v>
      </c>
      <c r="I269" s="57" t="s">
        <v>641</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639</v>
      </c>
      <c r="E283" s="177">
        <f>SUM(G270:G281)</f>
        <v>7.5159999999999991</v>
      </c>
      <c r="F283" s="178" t="str">
        <f>$E$155</f>
        <v>t CO2e</v>
      </c>
    </row>
    <row r="284" spans="3:41" ht="20.25" x14ac:dyDescent="0.25">
      <c r="D284" s="179" t="s">
        <v>641</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632</v>
      </c>
      <c r="E290" s="172" t="str" cm="1">
        <f t="array" aca="1" ref="E290" ca="1">Common_InputFunctions.Utility_DisplayFunctionName(I305)</f>
        <v>=Scope3_Equations.VEERG_15_6_1_1__1_EmissionsFromPurchasedLime</v>
      </c>
    </row>
    <row r="293" spans="4:13" x14ac:dyDescent="0.25">
      <c r="D293" s="27" t="s">
        <v>633</v>
      </c>
      <c r="E293" s="8" t="str" cm="1">
        <f t="array" ref="E293">Scope3_Equations.VEERG_15_6_1_1__1_EmissionsFromPurchasedLime_Variable()</f>
        <v>E</v>
      </c>
    </row>
    <row r="294" spans="4:13" x14ac:dyDescent="0.25">
      <c r="D294" s="27" t="s">
        <v>97</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415</v>
      </c>
      <c r="F299" s="46" t="s">
        <v>416</v>
      </c>
    </row>
    <row r="300" spans="4:13" ht="18.75" x14ac:dyDescent="0.25">
      <c r="D300" s="8" t="s">
        <v>691</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692</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693</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170</v>
      </c>
      <c r="E304" s="152" t="s">
        <v>689</v>
      </c>
      <c r="F304" s="46" t="s">
        <v>694</v>
      </c>
      <c r="G304" s="46" t="s">
        <v>695</v>
      </c>
      <c r="H304" s="46" t="s">
        <v>696</v>
      </c>
      <c r="I304" s="57" t="s">
        <v>639</v>
      </c>
      <c r="J304" s="57" t="s">
        <v>690</v>
      </c>
      <c r="K304" s="46" t="s">
        <v>635</v>
      </c>
      <c r="L304" s="46" t="s">
        <v>636</v>
      </c>
      <c r="M304" s="46" t="s">
        <v>637</v>
      </c>
    </row>
    <row r="305" spans="3:41" x14ac:dyDescent="0.25">
      <c r="D305" s="49" t="str" cm="1">
        <f t="array" ref="D305:D314">IFERROR(INDEX(Table_Input_Lime[Product], _xlfn.SEQUENCE(10)), "")</f>
        <v>Lime product 1</v>
      </c>
      <c r="E305" s="49" cm="1">
        <f t="array" ref="E305:E314">IFERROR(INDEX(Table_Input_Lime[Total amount applied (t)], _xlfn.SEQUENCE(10)), 0)</f>
        <v>10000</v>
      </c>
      <c r="F305" s="49" cm="1">
        <f t="array" ref="F305:F314">IFERROR(INDEX(Table_Input_Lime[Percent Lime CaCO3], _xlfn.SEQUENCE(10)), 0)*E305</f>
        <v>4000</v>
      </c>
      <c r="G305" s="49" cm="1">
        <f t="array" ref="G305:G314">IFERROR(INDEX(Table_Input_Lime[Percent Dolomite CaMg(CO3)2], _xlfn.SEQUENCE(10)), 0)*E305</f>
        <v>3000</v>
      </c>
      <c r="H305" s="49" cm="1">
        <f t="array" ref="H305:H314">IFERROR(INDEX(Table_Input_Lime[Percent Gypsum], _xlfn.SEQUENCE(10)), 0)*E305</f>
        <v>2500</v>
      </c>
      <c r="I305" s="151" cm="1">
        <f t="array" ref="I305">Scope3_Equations.VEERG_15_6_1_1__1_EmissionsFromPurchasedLime(F305,$E$300)+
Scope3_Equations.VEERG_15_6_1_1__1_EmissionsFromPurchasedLime(G305,$E$301)+
Scope3_Equations.VEERG_15_6_1_1__1_EmissionsFromPurchasedLime(H305,$E$302)</f>
        <v>0.55259999999999998</v>
      </c>
      <c r="J305" s="151" cm="1">
        <f t="array" ref="J305">Scope3_Equations.VEERG_15_6_1_1__1_EmissionsFromPurchasedLime(F305,IF($F$300,$F$300,$E$300))+
Scope3_Equations.VEERG_15_6_1_1__1_EmissionsFromPurchasedLime(G305,IF($F$301,$F$301,$E$301))+
Scope3_Equations.VEERG_15_6_1_1__1_EmissionsFromPurchasedLime(H305,IF($F$302,$F$302,$E$302))</f>
        <v>0.49</v>
      </c>
      <c r="K305" s="82"/>
      <c r="L305" s="47"/>
      <c r="M305" s="82"/>
    </row>
    <row r="306" spans="3:41" x14ac:dyDescent="0.25">
      <c r="D306" s="49" t="str">
        <v>Lime product 2</v>
      </c>
      <c r="E306" s="49">
        <v>10000</v>
      </c>
      <c r="F306" s="49">
        <v>10000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0.48499999999999999</v>
      </c>
      <c r="J306" s="151" cm="1">
        <f t="array" ref="J306">Scope3_Equations.VEERG_15_6_1_1__1_EmissionsFromPurchasedLime(F306,IF($F$300,$F$300,$E$300))+
Scope3_Equations.VEERG_15_6_1_1__1_EmissionsFromPurchasedLime(G306,IF($F$301,$F$301,$E$301))+
Scope3_Equations.VEERG_15_6_1_1__1_EmissionsFromPurchasedLime(H306,IF($F$302,$F$302,$E$302))</f>
        <v>0.4</v>
      </c>
      <c r="K306" s="82"/>
      <c r="L306" s="47"/>
      <c r="M306" s="82"/>
    </row>
    <row r="307" spans="3:41" x14ac:dyDescent="0.25">
      <c r="D307" s="49" t="str">
        <v/>
      </c>
      <c r="E307" s="49">
        <v>0</v>
      </c>
      <c r="F307" s="49">
        <v>0</v>
      </c>
      <c r="G307" s="49">
        <v>0</v>
      </c>
      <c r="H307" s="49">
        <v>0</v>
      </c>
      <c r="I307" s="151" cm="1">
        <f t="array" ref="I307">Scope3_Equations.VEERG_15_6_1_1__1_EmissionsFromPurchasedLime(F307,$E$300)+
Scope3_Equations.VEERG_15_6_1_1__1_EmissionsFromPurchasedLime(G307,$E$301)+
Scope3_Equations.VEERG_15_6_1_1__1_EmissionsFromPurchasedLime(H307,$E$302)</f>
        <v>0</v>
      </c>
      <c r="J307" s="151" cm="1">
        <f t="array" ref="J307">Scope3_Equations.VEERG_15_6_1_1__1_EmissionsFromPurchasedLime(F307,IF($F$300,$F$300,$E$300))+
Scope3_Equations.VEERG_15_6_1_1__1_EmissionsFromPurchasedLime(G307,IF($F$301,$F$301,$E$301))+
Scope3_Equations.VEERG_15_6_1_1__1_EmissionsFromPurchasedLime(H307,IF($F$302,$F$302,$E$302))</f>
        <v>0</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639</v>
      </c>
      <c r="E316" s="177">
        <f>SUM(I305:I314)</f>
        <v>1.0375999999999999</v>
      </c>
      <c r="F316" s="178" t="str">
        <f>$E$155</f>
        <v>t CO2e</v>
      </c>
    </row>
    <row r="317" spans="3:41" ht="20.25" x14ac:dyDescent="0.25">
      <c r="D317" s="179" t="s">
        <v>641</v>
      </c>
      <c r="E317" s="177">
        <f>SUM(J305:J314)</f>
        <v>0.89</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632</v>
      </c>
      <c r="E323" s="172" t="str" cm="1">
        <f t="array" aca="1" ref="E323" ca="1">Common_InputFunctions.Utility_DisplayFunctionName(K336)</f>
        <v>=Scope3_Equations.VEERG_15_7_1_1__1_EmissionsFromPurchasedServices</v>
      </c>
    </row>
    <row r="325" spans="4:15" x14ac:dyDescent="0.25">
      <c r="H325" s="8" t="s">
        <v>864</v>
      </c>
    </row>
    <row r="326" spans="4:15" x14ac:dyDescent="0.25">
      <c r="D326" s="27" t="s">
        <v>633</v>
      </c>
      <c r="E326" s="8" t="str" cm="1">
        <f t="array" ref="E326">Scope3_Equations.VEERG_15_7_1_1__1_EmissionsFromPurchasedServices_Variable()</f>
        <v>E</v>
      </c>
    </row>
    <row r="327" spans="4:15" x14ac:dyDescent="0.25">
      <c r="D327" s="27" t="s">
        <v>97</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697</v>
      </c>
    </row>
    <row r="335" spans="4:15" x14ac:dyDescent="0.25">
      <c r="D335" s="46" t="s">
        <v>612</v>
      </c>
      <c r="E335" s="46" t="s">
        <v>621</v>
      </c>
      <c r="F335" s="46" t="s">
        <v>616</v>
      </c>
      <c r="G335" s="46" t="s">
        <v>126</v>
      </c>
      <c r="H335" s="57" t="s">
        <v>421</v>
      </c>
      <c r="I335" s="57" t="s">
        <v>357</v>
      </c>
      <c r="J335" s="46" t="s">
        <v>422</v>
      </c>
      <c r="K335" s="57" t="s">
        <v>358</v>
      </c>
      <c r="L335" s="57" t="s">
        <v>617</v>
      </c>
      <c r="M335" s="46" t="s">
        <v>635</v>
      </c>
      <c r="N335" s="46" t="s">
        <v>636</v>
      </c>
      <c r="O335" s="46" t="s">
        <v>637</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828</v>
      </c>
      <c r="I336" s="49" t="s">
        <v>828</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828</v>
      </c>
      <c r="I337" s="49" t="s">
        <v>828</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828</v>
      </c>
      <c r="I338" s="49" t="s">
        <v>828</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828</v>
      </c>
      <c r="I339" s="49" t="s">
        <v>828</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828</v>
      </c>
      <c r="I340" s="49" t="s">
        <v>828</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828</v>
      </c>
      <c r="I341" s="49" t="s">
        <v>828</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828</v>
      </c>
      <c r="I342" s="49" t="s">
        <v>828</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828</v>
      </c>
      <c r="I343" s="49" t="s">
        <v>828</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828</v>
      </c>
      <c r="I344" s="49" t="s">
        <v>828</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828</v>
      </c>
      <c r="I345" s="49" t="s">
        <v>828</v>
      </c>
      <c r="J345" s="66"/>
      <c r="K345" s="151" cm="1">
        <f t="array" ref="K345">Scope3_Equations.VEERG_15_7_1_1__1_EmissionsFromPurchasedServices(F345,J345)</f>
        <v>0</v>
      </c>
      <c r="L345" s="49" t="str">
        <f t="shared" si="1"/>
        <v>t CO2e / 0</v>
      </c>
      <c r="M345" s="82"/>
      <c r="N345" s="47"/>
      <c r="O345" s="82"/>
    </row>
    <row r="347" spans="3:41" ht="20.25" x14ac:dyDescent="0.25">
      <c r="D347" s="179" t="s">
        <v>639</v>
      </c>
      <c r="E347" s="177" t="s">
        <v>828</v>
      </c>
      <c r="F347" s="178" t="str">
        <f>$E$155</f>
        <v>t CO2e</v>
      </c>
    </row>
    <row r="348" spans="3:41" ht="20.25" x14ac:dyDescent="0.25">
      <c r="D348" s="179" t="s">
        <v>641</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632</v>
      </c>
      <c r="E355" s="172" t="str" cm="1">
        <f t="array" aca="1" ref="E355" ca="1">Common_InputFunctions.Utility_DisplayFunctionName(H367)</f>
        <v>=Scope3_Equations.VEERG_15_8_1_1__1_EmissionsFromPurchasedPackaging</v>
      </c>
    </row>
    <row r="359" spans="4:13" x14ac:dyDescent="0.25">
      <c r="D359" s="27" t="s">
        <v>633</v>
      </c>
      <c r="E359" s="8" t="str" cm="1">
        <f t="array" ref="E359">Scope3_Equations.VEERG_15_8_1_1__1_EmissionsFromPurchasedPackaging_Variable()</f>
        <v>E</v>
      </c>
    </row>
    <row r="360" spans="4:13" x14ac:dyDescent="0.25">
      <c r="D360" s="27" t="s">
        <v>97</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366</v>
      </c>
      <c r="E366" s="152" t="s">
        <v>411</v>
      </c>
      <c r="F366" s="152" t="s">
        <v>698</v>
      </c>
      <c r="G366" s="57" t="s">
        <v>699</v>
      </c>
      <c r="H366" s="57" t="s">
        <v>639</v>
      </c>
      <c r="I366" s="46" t="s">
        <v>700</v>
      </c>
      <c r="J366" s="57" t="s">
        <v>641</v>
      </c>
      <c r="K366" s="46" t="s">
        <v>635</v>
      </c>
      <c r="L366" s="46" t="s">
        <v>636</v>
      </c>
      <c r="M366" s="46" t="s">
        <v>637</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639</v>
      </c>
      <c r="E378" s="177">
        <f>SUM(H367:H376)</f>
        <v>7.44</v>
      </c>
      <c r="F378" s="178" t="str">
        <f>$E$155</f>
        <v>t CO2e</v>
      </c>
    </row>
    <row r="379" spans="3:41" ht="20.25" x14ac:dyDescent="0.25">
      <c r="D379" s="179" t="s">
        <v>641</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632</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633</v>
      </c>
      <c r="E389" s="8" t="str" cm="1">
        <f t="array" ref="E389">Scope3_Equations.VEERG_15_9_1_1__1_EmissionsFromPurchasedGrowMedia_Variable()</f>
        <v>E</v>
      </c>
    </row>
    <row r="390" spans="4:14" x14ac:dyDescent="0.25">
      <c r="D390" s="27" t="s">
        <v>97</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697</v>
      </c>
    </row>
    <row r="398" spans="4:14" x14ac:dyDescent="0.25">
      <c r="D398" s="46" t="s">
        <v>702</v>
      </c>
      <c r="E398" s="46" t="s">
        <v>616</v>
      </c>
      <c r="F398" s="46" t="s">
        <v>126</v>
      </c>
      <c r="G398" s="57" t="s">
        <v>421</v>
      </c>
      <c r="H398" s="57" t="s">
        <v>357</v>
      </c>
      <c r="I398" s="46" t="s">
        <v>422</v>
      </c>
      <c r="J398" s="57" t="s">
        <v>358</v>
      </c>
      <c r="K398" s="57" t="s">
        <v>617</v>
      </c>
      <c r="L398" s="46" t="s">
        <v>635</v>
      </c>
      <c r="M398" s="46" t="s">
        <v>636</v>
      </c>
      <c r="N398" s="46" t="s">
        <v>637</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828</v>
      </c>
      <c r="H399" s="49" t="s">
        <v>828</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828</v>
      </c>
      <c r="H400" s="49" t="s">
        <v>828</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828</v>
      </c>
      <c r="H401" s="49" t="s">
        <v>828</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828</v>
      </c>
      <c r="H402" s="49" t="s">
        <v>828</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828</v>
      </c>
      <c r="H403" s="49" t="s">
        <v>828</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828</v>
      </c>
      <c r="H404" s="49" t="s">
        <v>828</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828</v>
      </c>
      <c r="H405" s="49" t="s">
        <v>828</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828</v>
      </c>
      <c r="H406" s="49" t="s">
        <v>828</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828</v>
      </c>
      <c r="H407" s="49" t="s">
        <v>828</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828</v>
      </c>
      <c r="H408" s="49" t="s">
        <v>828</v>
      </c>
      <c r="I408" s="66"/>
      <c r="J408" s="151" cm="1">
        <f t="array" ref="J408">Scope3_Equations.VEERG_15_9_1_1__1_EmissionsFromPurchasedGrowMedia(E408,I408)</f>
        <v>0</v>
      </c>
      <c r="K408" s="49" t="str">
        <f t="shared" si="2"/>
        <v>t CO2e / 0</v>
      </c>
      <c r="L408" s="82"/>
      <c r="M408" s="47"/>
      <c r="N408" s="82"/>
    </row>
    <row r="410" spans="3:41" ht="20.25" x14ac:dyDescent="0.25">
      <c r="D410" s="179" t="s">
        <v>639</v>
      </c>
      <c r="E410" s="177" t="s">
        <v>828</v>
      </c>
      <c r="F410" s="178" t="str">
        <f>$E$155</f>
        <v>t CO2e</v>
      </c>
    </row>
    <row r="411" spans="3:41" ht="20.25" x14ac:dyDescent="0.25">
      <c r="D411" s="179" t="s">
        <v>641</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710</v>
      </c>
    </row>
    <row r="418" spans="4:13" x14ac:dyDescent="0.25">
      <c r="D418" s="172" t="s">
        <v>632</v>
      </c>
      <c r="E418" s="172" t="str" cm="1">
        <f t="array" aca="1" ref="E418" ca="1">Common_InputFunctions.Utility_DisplayFunctionName(H430)</f>
        <v>=Scope3_Equations.VEERG_15_10_1_1__1_OtherPurchasedGoodsAndServices</v>
      </c>
    </row>
    <row r="421" spans="4:13" x14ac:dyDescent="0.25">
      <c r="D421" s="27" t="s">
        <v>633</v>
      </c>
      <c r="E421" s="8" t="str" cm="1">
        <f t="array" ref="E421">Scope3_Equations.VEERG_15_10_1_1__1_OtherPurchasedGoodsAndServices_Variable()</f>
        <v>emissions</v>
      </c>
    </row>
    <row r="422" spans="4:13" x14ac:dyDescent="0.25">
      <c r="D422" s="27" t="s">
        <v>97</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380</v>
      </c>
    </row>
    <row r="429" spans="4:13" x14ac:dyDescent="0.25">
      <c r="D429" s="46" t="s">
        <v>366</v>
      </c>
      <c r="E429" s="152" t="s">
        <v>287</v>
      </c>
      <c r="F429" s="152" t="s">
        <v>382</v>
      </c>
      <c r="G429" s="57" t="s">
        <v>360</v>
      </c>
      <c r="H429" s="57" t="s">
        <v>639</v>
      </c>
      <c r="I429" s="46" t="s">
        <v>363</v>
      </c>
      <c r="J429" s="57" t="s">
        <v>641</v>
      </c>
      <c r="K429" s="46" t="s">
        <v>635</v>
      </c>
      <c r="L429" s="46" t="s">
        <v>636</v>
      </c>
      <c r="M429" s="46" t="s">
        <v>637</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639</v>
      </c>
      <c r="E441" s="177">
        <f>SUM(H430:H439)</f>
        <v>0.50509999999999999</v>
      </c>
      <c r="F441" s="178" t="str">
        <f>$E$155</f>
        <v>t CO2e</v>
      </c>
    </row>
    <row r="442" spans="4:13" ht="20.25" x14ac:dyDescent="0.25">
      <c r="D442" s="179" t="s">
        <v>641</v>
      </c>
      <c r="E442" s="177">
        <f>SUM(J430:J439)</f>
        <v>2.73</v>
      </c>
      <c r="F442" s="178" t="str">
        <f>$E$155</f>
        <v>t CO2e</v>
      </c>
    </row>
    <row r="445" spans="4:13" ht="18.75" x14ac:dyDescent="0.25">
      <c r="D445" s="144" t="s">
        <v>381</v>
      </c>
    </row>
    <row r="447" spans="4:13" x14ac:dyDescent="0.25">
      <c r="D447" s="46" t="s">
        <v>366</v>
      </c>
      <c r="E447" s="152" t="s">
        <v>287</v>
      </c>
      <c r="F447" s="152" t="s">
        <v>379</v>
      </c>
      <c r="G447" s="57" t="s">
        <v>623</v>
      </c>
      <c r="H447" s="57" t="s">
        <v>639</v>
      </c>
      <c r="I447" s="46" t="s">
        <v>624</v>
      </c>
      <c r="J447" s="57" t="s">
        <v>641</v>
      </c>
      <c r="K447" s="46" t="s">
        <v>635</v>
      </c>
      <c r="L447" s="46" t="s">
        <v>636</v>
      </c>
      <c r="M447" s="46" t="s">
        <v>637</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639</v>
      </c>
      <c r="E459" s="177">
        <f>SUM(H448:H457)</f>
        <v>1.5636000000000001E-2</v>
      </c>
      <c r="F459" s="178" t="str">
        <f>$E$155</f>
        <v>t CO2e</v>
      </c>
    </row>
    <row r="460" spans="4:13" ht="20.25" x14ac:dyDescent="0.25">
      <c r="D460" s="179" t="s">
        <v>641</v>
      </c>
      <c r="E460" s="177">
        <f>SUM(J448:J457)</f>
        <v>1.3400000000000002E-2</v>
      </c>
      <c r="F460" s="178" t="str">
        <f>$E$155</f>
        <v>t CO2e</v>
      </c>
    </row>
    <row r="463" spans="4:13" ht="18.75" x14ac:dyDescent="0.25">
      <c r="D463" s="144" t="s">
        <v>417</v>
      </c>
    </row>
    <row r="465" spans="4:12" x14ac:dyDescent="0.25">
      <c r="D465" s="46" t="s">
        <v>170</v>
      </c>
      <c r="E465" s="46" t="s">
        <v>711</v>
      </c>
      <c r="F465" s="57" t="s">
        <v>623</v>
      </c>
      <c r="G465" s="57" t="s">
        <v>639</v>
      </c>
      <c r="H465" s="46" t="s">
        <v>624</v>
      </c>
      <c r="I465" s="57" t="s">
        <v>641</v>
      </c>
      <c r="J465" s="46" t="s">
        <v>635</v>
      </c>
      <c r="K465" s="46" t="s">
        <v>636</v>
      </c>
      <c r="L465" s="46" t="s">
        <v>637</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639</v>
      </c>
      <c r="E472" s="177">
        <f>SUM(G466:G470)</f>
        <v>0.84389999999999998</v>
      </c>
      <c r="F472" s="178" t="str">
        <f>$E$155</f>
        <v>t CO2e</v>
      </c>
    </row>
    <row r="473" spans="4:12" ht="20.25" x14ac:dyDescent="0.25">
      <c r="D473" s="179" t="s">
        <v>641</v>
      </c>
      <c r="E473" s="177">
        <f>SUM(I466:I470)</f>
        <v>0.71420000000000006</v>
      </c>
      <c r="F473" s="178" t="str">
        <f>$E$155</f>
        <v>t CO2e</v>
      </c>
    </row>
    <row r="476" spans="4:12" ht="18.75" x14ac:dyDescent="0.25">
      <c r="D476" s="144" t="s">
        <v>712</v>
      </c>
    </row>
    <row r="478" spans="4:12" x14ac:dyDescent="0.25">
      <c r="D478" s="46" t="s">
        <v>170</v>
      </c>
      <c r="E478" s="46" t="s">
        <v>711</v>
      </c>
      <c r="F478" s="57" t="s">
        <v>623</v>
      </c>
      <c r="G478" s="57" t="s">
        <v>639</v>
      </c>
      <c r="H478" s="46" t="s">
        <v>624</v>
      </c>
      <c r="I478" s="57" t="s">
        <v>641</v>
      </c>
      <c r="J478" s="46" t="s">
        <v>635</v>
      </c>
      <c r="K478" s="46" t="s">
        <v>636</v>
      </c>
      <c r="L478" s="46" t="s">
        <v>637</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639</v>
      </c>
      <c r="E483" s="177">
        <f>SUM(G479:G481)</f>
        <v>2.9531000000000005</v>
      </c>
      <c r="F483" s="178" t="str">
        <f>$E$155</f>
        <v>t CO2e</v>
      </c>
    </row>
    <row r="484" spans="4:14" ht="20.25" x14ac:dyDescent="0.25">
      <c r="D484" s="179" t="s">
        <v>641</v>
      </c>
      <c r="E484" s="177">
        <f>SUM(I479:I481)</f>
        <v>8.5860000000000006E-2</v>
      </c>
      <c r="F484" s="178" t="str">
        <f>$E$155</f>
        <v>t CO2e</v>
      </c>
    </row>
    <row r="487" spans="4:14" ht="18.75" x14ac:dyDescent="0.25">
      <c r="D487" s="144" t="s">
        <v>713</v>
      </c>
    </row>
    <row r="489" spans="4:14" x14ac:dyDescent="0.25">
      <c r="D489" s="46" t="s">
        <v>170</v>
      </c>
      <c r="E489" s="46" t="s">
        <v>604</v>
      </c>
      <c r="F489" s="46" t="s">
        <v>126</v>
      </c>
      <c r="G489" s="57" t="s">
        <v>421</v>
      </c>
      <c r="H489" s="57" t="s">
        <v>357</v>
      </c>
      <c r="I489" s="46" t="s">
        <v>422</v>
      </c>
      <c r="J489" s="46" t="s">
        <v>708</v>
      </c>
      <c r="K489" s="57" t="s">
        <v>358</v>
      </c>
      <c r="L489" s="46" t="s">
        <v>635</v>
      </c>
      <c r="M489" s="46" t="s">
        <v>636</v>
      </c>
      <c r="N489" s="46" t="s">
        <v>637</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828</v>
      </c>
      <c r="H490" s="49" t="s">
        <v>828</v>
      </c>
      <c r="I490" s="66">
        <v>4</v>
      </c>
      <c r="J490" s="47" t="s">
        <v>709</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828</v>
      </c>
      <c r="H491" s="49" t="s">
        <v>828</v>
      </c>
      <c r="I491" s="66">
        <v>2</v>
      </c>
      <c r="J491" s="47" t="s">
        <v>709</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828</v>
      </c>
      <c r="H492" s="49" t="s">
        <v>828</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828</v>
      </c>
      <c r="H493" s="49" t="s">
        <v>828</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828</v>
      </c>
      <c r="H494" s="49" t="s">
        <v>828</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828</v>
      </c>
      <c r="H495" s="49" t="s">
        <v>828</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828</v>
      </c>
      <c r="H496" s="49" t="s">
        <v>828</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828</v>
      </c>
      <c r="H497" s="49" t="s">
        <v>828</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828</v>
      </c>
      <c r="H498" s="49" t="s">
        <v>828</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828</v>
      </c>
      <c r="H499" s="49" t="s">
        <v>828</v>
      </c>
      <c r="I499" s="66"/>
      <c r="J499" s="47"/>
      <c r="K499" s="151" cm="1">
        <f t="array" ref="K499">Scope3_Equations.VEERG_15_10_1_1__1_OtherPurchasedGoodsAndServices(E499,IF(J499="kg / amount unit", I499*10^-3, I499))</f>
        <v>0</v>
      </c>
      <c r="L499" s="82"/>
      <c r="M499" s="47"/>
      <c r="N499" s="82"/>
    </row>
    <row r="501" spans="3:41" ht="20.25" x14ac:dyDescent="0.25">
      <c r="D501" s="179" t="s">
        <v>639</v>
      </c>
      <c r="E501" s="177" t="s">
        <v>828</v>
      </c>
      <c r="F501" s="178" t="str">
        <f>$E$155</f>
        <v>t CO2e</v>
      </c>
    </row>
    <row r="502" spans="3:41" ht="20.25" x14ac:dyDescent="0.25">
      <c r="D502" s="179" t="s">
        <v>641</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632</v>
      </c>
      <c r="E508" s="172" t="str">
        <f ca="1">Common_InputFunctions.Utility_DisplayFunctionName(VEERG_15_11_1_1__1_TotalUpstreamEmissionsFromFuel_Result)</f>
        <v>=Scope3_Equations.VEERG_15_11_1_1__1_TotalUpstreamEmissionsFromFuel</v>
      </c>
    </row>
    <row r="512" spans="3:41" x14ac:dyDescent="0.25">
      <c r="D512" s="27" t="s">
        <v>633</v>
      </c>
      <c r="E512" s="8" t="str" cm="1">
        <f t="array" ref="E512">Scope3_Equations.VEERG_15_11_1_1__1_TotalUpstreamEmissionsFromFuel_Variable()</f>
        <v>E</v>
      </c>
    </row>
    <row r="513" spans="3:41" x14ac:dyDescent="0.25">
      <c r="D513" s="27" t="s">
        <v>97</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0.13355600000000001</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2.6200000000000004E-3</v>
      </c>
    </row>
    <row r="518" spans="3:41" ht="20.25" x14ac:dyDescent="0.25">
      <c r="D518" s="179" t="s">
        <v>747</v>
      </c>
      <c r="E518" s="177" cm="1">
        <f t="array" ref="E518">Scope3_Equations.VEERG_15_11_1_1__1_TotalUpstreamEmissionsFromFuel(I515,I516)</f>
        <v>0.13617600000000002</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632</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633</v>
      </c>
      <c r="E526" s="8" t="str" cm="1">
        <f t="array" ref="E526">Scope3_Equations.VEERG_15_12_1_1__1_UpstreamPurchasedElectricityLocationBased_Variable()</f>
        <v>E_3elec</v>
      </c>
    </row>
    <row r="527" spans="3:41" x14ac:dyDescent="0.25">
      <c r="D527" s="27" t="s">
        <v>97</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500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0.06</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South West Interconnected System (SWIS)</v>
      </c>
      <c r="J531" s="166"/>
    </row>
    <row r="533" spans="3:41" ht="20.25" x14ac:dyDescent="0.25">
      <c r="D533" s="179" t="s">
        <v>748</v>
      </c>
      <c r="E533" s="177" cm="1">
        <f t="array" ref="E533">Scope3_Equations.VEERG_15_12_1_1__1_UpstreamPurchasedElectricityLocationBased(I529,I530)</f>
        <v>0.03</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632</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633</v>
      </c>
      <c r="E544" s="8" t="str" cm="1">
        <f t="array" ref="E544">Scope3_Equations.VEERG_15_12_1_2__1_UpstreamPurchasedElectricityMarketBased_Variable()</f>
        <v>E_3elec</v>
      </c>
    </row>
    <row r="545" spans="3:41" x14ac:dyDescent="0.25">
      <c r="D545" s="27" t="s">
        <v>97</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ACT</v>
      </c>
    </row>
    <row r="555" spans="3:41" ht="20.25" x14ac:dyDescent="0.25">
      <c r="D555" s="179" t="s">
        <v>748</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632</v>
      </c>
      <c r="E561" s="172" t="str" cm="1">
        <f t="array" aca="1" ref="E561" ca="1">Common_InputFunctions.Utility_DisplayFunctionName(E573)</f>
        <v>=Scope3_Equations.VEERG_15_13_1_1__1_EmissionsFromManureSentOffSite</v>
      </c>
    </row>
    <row r="564" spans="4:18" x14ac:dyDescent="0.25">
      <c r="D564" s="27" t="s">
        <v>633</v>
      </c>
      <c r="E564" s="8" t="str" cm="1">
        <f t="array" ref="E564">Scope3_Equations.VEERG_15_13_1_1__1_EmissionsFromManureSentOffSite_Variable()</f>
        <v>E</v>
      </c>
    </row>
    <row r="565" spans="4:18" x14ac:dyDescent="0.25">
      <c r="D565" s="27" t="s">
        <v>97</v>
      </c>
      <c r="E565" s="13" t="str" cm="1">
        <f t="array" ref="E565">Scope3_Equations.VEERG_15_13_1_1__1_EmissionsFromManureSentOffSite_Unit()</f>
        <v>t N2O</v>
      </c>
    </row>
    <row r="567" spans="4:18" x14ac:dyDescent="0.25">
      <c r="D567" s="7" t="s">
        <v>415</v>
      </c>
      <c r="L567" s="7" t="s">
        <v>416</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748</v>
      </c>
      <c r="E573" s="177" cm="1">
        <f t="array" ref="E573">Scope3_Equations.VEERG_15_13_1_1__1_EmissionsFromManureSentOffSite(J569,J570,J571)</f>
        <v>1.4315714285714286E-2</v>
      </c>
      <c r="F573" s="178" t="str">
        <f>$E$565</f>
        <v>t N2O</v>
      </c>
      <c r="L573" s="179" t="s">
        <v>748</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753</v>
      </c>
      <c r="E578" s="98" cm="1">
        <f t="array" ref="E578">Common_Equations.Common_ConvertN2OToCO2e(G575,G576)</f>
        <v>3.7936642857142857</v>
      </c>
      <c r="F578" s="175" t="str" cm="1">
        <f t="array" ref="F578">Common_Equations.Common_ConvertN2OToCO2e_Unit()</f>
        <v>t CO2e</v>
      </c>
      <c r="L578" s="98" t="s">
        <v>753</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633</v>
      </c>
      <c r="E585" s="8" t="str" cm="1">
        <f t="array" ref="E585">Scope3_Equations.VEERG_15_13_1_3__1_EmissionsFromSolidWasteTreatmentFacility_Variable()</f>
        <v>E</v>
      </c>
    </row>
    <row r="586" spans="3:41" x14ac:dyDescent="0.25">
      <c r="D586" s="27" t="s">
        <v>97</v>
      </c>
      <c r="E586" s="13" t="str" cm="1">
        <f t="array" ref="E586">Scope3_Equations.VEERG_15_13_1_3__1_EmissionsFromSolidWasteTreatmentFacility_Unit()</f>
        <v>t CO2e</v>
      </c>
    </row>
    <row r="588" spans="3:41" ht="20.25" x14ac:dyDescent="0.25">
      <c r="D588" s="179" t="s">
        <v>748</v>
      </c>
      <c r="E588" s="177">
        <f>VEERG_10_1_1_1__1_EmissionsFromWasteManagement_Scope3_Result_Method1</f>
        <v>330.84210000000002</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632</v>
      </c>
      <c r="E594" s="172" t="str" cm="1">
        <f t="array" aca="1" ref="E594" ca="1">Common_InputFunctions.Utility_DisplayFunctionName(J609)</f>
        <v>=Scope3_Equations.VEERG_15_14_1_1__1_EmbeddedEmissionsFromUpstreamFreight</v>
      </c>
    </row>
    <row r="598" spans="4:13" x14ac:dyDescent="0.25">
      <c r="D598" s="27" t="s">
        <v>633</v>
      </c>
      <c r="E598" s="8" t="str" cm="1">
        <f t="array" ref="E598">Scope3_Equations.VEERG_15_14_1_1__1_EmbeddedEmissionsFromUpstreamFreight_Variable()</f>
        <v>E</v>
      </c>
    </row>
    <row r="599" spans="4:13" x14ac:dyDescent="0.25">
      <c r="D599" s="27" t="s">
        <v>97</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812</v>
      </c>
    </row>
    <row r="608" spans="4:13" ht="17.25" x14ac:dyDescent="0.25">
      <c r="D608" s="46" t="s">
        <v>813</v>
      </c>
      <c r="E608" s="46" t="s">
        <v>825</v>
      </c>
      <c r="F608" s="46" t="s">
        <v>826</v>
      </c>
      <c r="G608" s="57" t="s">
        <v>827</v>
      </c>
      <c r="H608" s="57" t="s">
        <v>639</v>
      </c>
      <c r="I608" s="46" t="s">
        <v>675</v>
      </c>
      <c r="J608" s="57" t="s">
        <v>641</v>
      </c>
      <c r="K608" s="46" t="s">
        <v>635</v>
      </c>
      <c r="L608" s="46" t="s">
        <v>636</v>
      </c>
      <c r="M608" s="46" t="s">
        <v>637</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828</v>
      </c>
      <c r="H609" s="49" t="s">
        <v>828</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828</v>
      </c>
      <c r="H610" s="49" t="s">
        <v>828</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828</v>
      </c>
      <c r="H611" s="49" t="s">
        <v>828</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828</v>
      </c>
      <c r="H612" s="49" t="s">
        <v>828</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828</v>
      </c>
      <c r="H613" s="49" t="s">
        <v>828</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828</v>
      </c>
      <c r="H614" s="49" t="s">
        <v>828</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828</v>
      </c>
      <c r="H615" s="49" t="s">
        <v>828</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828</v>
      </c>
      <c r="H616" s="49" t="s">
        <v>828</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828</v>
      </c>
      <c r="H617" s="49" t="s">
        <v>828</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828</v>
      </c>
      <c r="H618" s="49" t="s">
        <v>828</v>
      </c>
      <c r="I618" s="66"/>
      <c r="J618" s="49" cm="1">
        <f t="array" ref="J618">Scope3_Equations.VEERG_15_14_1_1__1_EmbeddedEmissionsFromUpstreamFreight(E618,F618,I618)</f>
        <v>0</v>
      </c>
      <c r="K618" s="82"/>
      <c r="L618" s="47"/>
      <c r="M618" s="82"/>
    </row>
    <row r="620" spans="4:13" x14ac:dyDescent="0.25">
      <c r="D620" s="174" t="s">
        <v>831</v>
      </c>
      <c r="E620" s="98" t="s">
        <v>828</v>
      </c>
      <c r="F620" s="175" t="str">
        <f>$E$104</f>
        <v>t CO2e</v>
      </c>
    </row>
    <row r="621" spans="4:13" x14ac:dyDescent="0.25">
      <c r="D621" s="174" t="s">
        <v>832</v>
      </c>
      <c r="E621" s="98">
        <f>SUM(J609:J618)</f>
        <v>5146700</v>
      </c>
      <c r="F621" s="175" t="str">
        <f>$E$104</f>
        <v>t CO2e</v>
      </c>
    </row>
    <row r="624" spans="4:13" ht="18.75" x14ac:dyDescent="0.25">
      <c r="D624" s="144" t="s">
        <v>820</v>
      </c>
    </row>
    <row r="626" spans="4:13" ht="17.25" x14ac:dyDescent="0.25">
      <c r="D626" s="46" t="s">
        <v>813</v>
      </c>
      <c r="E626" s="46" t="s">
        <v>825</v>
      </c>
      <c r="F626" s="46" t="s">
        <v>826</v>
      </c>
      <c r="G626" s="57" t="s">
        <v>827</v>
      </c>
      <c r="H626" s="57" t="s">
        <v>639</v>
      </c>
      <c r="I626" s="46" t="s">
        <v>675</v>
      </c>
      <c r="J626" s="57" t="s">
        <v>641</v>
      </c>
      <c r="K626" s="46" t="s">
        <v>635</v>
      </c>
      <c r="L626" s="46" t="s">
        <v>636</v>
      </c>
      <c r="M626" s="46" t="s">
        <v>637</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828</v>
      </c>
      <c r="H627" s="49" t="s">
        <v>828</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828</v>
      </c>
      <c r="H628" s="49" t="s">
        <v>828</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828</v>
      </c>
      <c r="H629" s="49" t="s">
        <v>828</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828</v>
      </c>
      <c r="H630" s="49" t="s">
        <v>828</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828</v>
      </c>
      <c r="H631" s="49" t="s">
        <v>828</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828</v>
      </c>
      <c r="H632" s="49" t="s">
        <v>828</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828</v>
      </c>
      <c r="H633" s="49" t="s">
        <v>828</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828</v>
      </c>
      <c r="H634" s="49" t="s">
        <v>828</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828</v>
      </c>
      <c r="H635" s="49" t="s">
        <v>828</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828</v>
      </c>
      <c r="H636" s="49" t="s">
        <v>828</v>
      </c>
      <c r="I636" s="66"/>
      <c r="J636" s="49" cm="1">
        <f t="array" ref="J636">Scope3_Equations.VEERG_15_14_1_1__1_EmbeddedEmissionsFromUpstreamFreight(E636,F636,I636)</f>
        <v>0</v>
      </c>
      <c r="K636" s="82"/>
      <c r="L636" s="47"/>
      <c r="M636" s="82"/>
    </row>
    <row r="638" spans="4:13" x14ac:dyDescent="0.25">
      <c r="D638" s="174" t="s">
        <v>829</v>
      </c>
      <c r="E638" s="98" t="s">
        <v>828</v>
      </c>
      <c r="F638" s="175" t="str">
        <f>$E$104</f>
        <v>t CO2e</v>
      </c>
    </row>
    <row r="639" spans="4:13" x14ac:dyDescent="0.25">
      <c r="D639" s="174" t="s">
        <v>830</v>
      </c>
      <c r="E639" s="98">
        <f>SUM(J627:J636)</f>
        <v>432640</v>
      </c>
      <c r="F639" s="175" t="str">
        <f>$E$104</f>
        <v>t CO2e</v>
      </c>
    </row>
    <row r="641" spans="4:6" ht="20.25" x14ac:dyDescent="0.25">
      <c r="D641" s="176" t="s">
        <v>639</v>
      </c>
      <c r="E641" s="177" t="s">
        <v>828</v>
      </c>
      <c r="F641" s="178" t="str">
        <f>$E$104</f>
        <v>t CO2e</v>
      </c>
    </row>
    <row r="642" spans="4:6" ht="20.25" x14ac:dyDescent="0.25">
      <c r="D642" s="176" t="s">
        <v>641</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82"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797</v>
      </c>
    </row>
    <row r="2" spans="1:12" s="2" customFormat="1" ht="20.100000000000001" customHeight="1" x14ac:dyDescent="0.25">
      <c r="A2"/>
    </row>
    <row r="3" spans="1:12" ht="20.100000000000001" customHeight="1" x14ac:dyDescent="0.25">
      <c r="A3" s="16" t="str">
        <f>HYPERLINK("#'Overview'!A1", "Overview")</f>
        <v>Overview</v>
      </c>
      <c r="C3" s="5"/>
      <c r="D3" s="5" t="s">
        <v>415</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72" t="s">
        <v>632</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633</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168"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Solid waste'!A1", "Solid waste")</f>
        <v>Solid waste</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67" t="str">
        <v>w</v>
      </c>
      <c r="E15" s="171" t="str">
        <v>waste type</v>
      </c>
      <c r="F15" s="166"/>
      <c r="G15" s="167" t="str">
        <v/>
      </c>
      <c r="H15" s="168"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Electricity'!A1", "Electricity")</f>
        <v>Electricity</v>
      </c>
      <c r="D16" s="167" t="str">
        <v>t</v>
      </c>
      <c r="E16" s="171" t="str">
        <v>treatment facility</v>
      </c>
      <c r="F16" s="166"/>
      <c r="G16" s="167" t="str">
        <v/>
      </c>
      <c r="H16" s="168"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row r="18" spans="1:9" ht="20.100000000000001" customHeight="1" x14ac:dyDescent="0.25">
      <c r="D18" s="55" t="s">
        <v>798</v>
      </c>
    </row>
    <row r="19" spans="1:9" ht="20.100000000000001" customHeight="1" x14ac:dyDescent="0.25">
      <c r="A19" s="21" t="s">
        <v>77</v>
      </c>
      <c r="D19" s="56" t="s">
        <v>799</v>
      </c>
    </row>
    <row r="20" spans="1:9" ht="20.100000000000001" customHeight="1" x14ac:dyDescent="0.25">
      <c r="A20" s="16" t="str">
        <f>HYPERLINK("#'15 Scope 3'!A1", "15 Scope 3")</f>
        <v>15 Scope 3</v>
      </c>
      <c r="D20" s="46" t="s">
        <v>800</v>
      </c>
      <c r="E20" s="46" t="s">
        <v>801</v>
      </c>
      <c r="F20" s="46"/>
      <c r="G20" s="46" t="s">
        <v>802</v>
      </c>
      <c r="H20" s="57" t="s">
        <v>803</v>
      </c>
      <c r="I20" s="57" t="s">
        <v>804</v>
      </c>
    </row>
    <row r="21" spans="1:9" ht="20.100000000000001" customHeight="1" x14ac:dyDescent="0.25">
      <c r="A21" s="180" t="str">
        <f>HYPERLINK("#'10.1.1-2 Solid waste treatment'!A1", "10.1.1-2 Solid waste treatment")</f>
        <v>10.1.1-2 Solid waste treatment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22" t="s">
        <v>78</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67" t="str">
        <v>Incineration</v>
      </c>
      <c r="E32" s="171" t="str">
        <v>Food waste, green waste, wood, sludge</v>
      </c>
      <c r="F32" s="209"/>
      <c r="G32" s="49" t="s">
        <v>853</v>
      </c>
      <c r="H32" s="49" t="s">
        <v>853</v>
      </c>
      <c r="I32" s="49" t="s">
        <v>853</v>
      </c>
    </row>
    <row r="33" spans="1:9" ht="20.100000000000001" customHeight="1" x14ac:dyDescent="0.25">
      <c r="A33" s="16" t="str">
        <f>HYPERLINK("#'Constants - Dairy'!A1", "Constants - Dairy")</f>
        <v>Constants - Dairy</v>
      </c>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67" t="str">
        <v>Composting</v>
      </c>
      <c r="E43" s="171" t="str">
        <v>All organic waste</v>
      </c>
      <c r="F43" s="166"/>
      <c r="G43" s="49" t="s">
        <v>853</v>
      </c>
      <c r="H43" s="49" t="s">
        <v>853</v>
      </c>
      <c r="I43" s="49" t="s">
        <v>853</v>
      </c>
    </row>
    <row r="44" spans="1:9" ht="20.100000000000001" customHeight="1" x14ac:dyDescent="0.25">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67" t="str">
        <v>Anaerobic digestion</v>
      </c>
      <c r="E49" s="171" t="str">
        <v>All organic waste</v>
      </c>
      <c r="F49" s="166"/>
      <c r="G49" s="49" t="s">
        <v>853</v>
      </c>
      <c r="H49" s="49" t="s">
        <v>853</v>
      </c>
      <c r="I49" s="49" t="s">
        <v>853</v>
      </c>
    </row>
    <row r="50" spans="4:9" ht="20.100000000000001" customHeight="1" x14ac:dyDescent="0.25">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805</v>
      </c>
    </row>
    <row r="57" spans="4:9" ht="20.100000000000001" customHeight="1" x14ac:dyDescent="0.25">
      <c r="D57" s="56" t="s">
        <v>806</v>
      </c>
    </row>
    <row r="58" spans="4:9" ht="20.100000000000001" customHeight="1" x14ac:dyDescent="0.25">
      <c r="D58" s="46" t="s">
        <v>800</v>
      </c>
      <c r="E58" s="46" t="s">
        <v>801</v>
      </c>
      <c r="F58" s="46"/>
      <c r="G58" s="46" t="s">
        <v>802</v>
      </c>
      <c r="H58" s="57" t="s">
        <v>803</v>
      </c>
      <c r="I58" s="57" t="s">
        <v>804</v>
      </c>
    </row>
    <row r="59" spans="4:9" ht="20.100000000000001" customHeight="1" x14ac:dyDescent="0.25">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67" t="str">
        <v>Incineration</v>
      </c>
      <c r="E70" s="171" t="str">
        <v>Food waste, green waste, wood, sludge</v>
      </c>
      <c r="F70" s="209"/>
      <c r="G70" s="49" t="s">
        <v>853</v>
      </c>
      <c r="H70" s="49" t="s">
        <v>853</v>
      </c>
      <c r="I70" s="49" t="s">
        <v>853</v>
      </c>
    </row>
    <row r="71" spans="4:9" ht="20.100000000000001" customHeight="1" x14ac:dyDescent="0.25">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67" t="str">
        <v>Composting</v>
      </c>
      <c r="E81" s="171" t="str">
        <v>All organic waste</v>
      </c>
      <c r="F81" s="166"/>
      <c r="G81" s="49" t="s">
        <v>853</v>
      </c>
      <c r="H81" s="49" t="s">
        <v>853</v>
      </c>
      <c r="I81" s="49" t="s">
        <v>853</v>
      </c>
    </row>
    <row r="82" spans="3:12" ht="20.100000000000001" customHeight="1" x14ac:dyDescent="0.25">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67" t="str">
        <v>Anaerobic digestion</v>
      </c>
      <c r="E87" s="171" t="str">
        <v>All organic waste</v>
      </c>
      <c r="F87" s="166"/>
      <c r="G87" s="49" t="s">
        <v>853</v>
      </c>
      <c r="H87" s="49" t="s">
        <v>853</v>
      </c>
      <c r="I87" s="49" t="s">
        <v>853</v>
      </c>
    </row>
    <row r="88" spans="3:12" ht="20.100000000000001" customHeight="1" x14ac:dyDescent="0.25">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98"/>
      <c r="D95" s="98"/>
      <c r="E95" s="98"/>
      <c r="F95" s="98"/>
      <c r="G95" s="98"/>
      <c r="H95" s="98"/>
      <c r="I95" s="98"/>
      <c r="J95" s="98"/>
      <c r="K95" s="98"/>
      <c r="L95" s="98"/>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72" t="s">
        <v>632</v>
      </c>
      <c r="E99" s="17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633</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4:9" ht="20.100000000000001" customHeight="1" x14ac:dyDescent="0.25">
      <c r="D106" s="167" t="str">
        <v>EF_wtg</v>
      </c>
      <c r="E106" s="171" t="str">
        <v>emission factor for greenhouse gas g for the management of waste at treatment facility t</v>
      </c>
      <c r="F106" s="205"/>
      <c r="G106" s="166"/>
      <c r="H106" s="167" t="str">
        <v>t CO2e/t</v>
      </c>
      <c r="I106" s="169" t="str">
        <v>Constant</v>
      </c>
    </row>
    <row r="107" spans="4:9" ht="20.100000000000001" customHeight="1" x14ac:dyDescent="0.25">
      <c r="D107" s="167" t="str">
        <v>w</v>
      </c>
      <c r="E107" s="171" t="str">
        <v>waste type</v>
      </c>
      <c r="F107" s="205"/>
      <c r="G107" s="166"/>
      <c r="H107" s="167" t="str">
        <v/>
      </c>
      <c r="I107" s="168" t="str">
        <v>Input</v>
      </c>
    </row>
    <row r="108" spans="4:9" ht="20.100000000000001" customHeight="1" x14ac:dyDescent="0.25">
      <c r="D108" s="167" t="str">
        <v>t</v>
      </c>
      <c r="E108" s="171" t="str">
        <v>treatment facility</v>
      </c>
      <c r="F108" s="205"/>
      <c r="G108" s="166"/>
      <c r="H108" s="167" t="str">
        <v/>
      </c>
      <c r="I108" s="168" t="str">
        <v>Input</v>
      </c>
    </row>
    <row r="109" spans="4:9" ht="20.100000000000001" customHeight="1" x14ac:dyDescent="0.25">
      <c r="D109" s="167" t="str">
        <v>g</v>
      </c>
      <c r="E109" s="171" t="str">
        <v>greenhouse gas</v>
      </c>
      <c r="F109" s="205"/>
      <c r="G109" s="166"/>
      <c r="H109" s="167" t="str">
        <v/>
      </c>
      <c r="I109" s="168" t="str">
        <v>Input</v>
      </c>
    </row>
    <row r="110" spans="4:9" ht="20.100000000000001" customHeight="1" x14ac:dyDescent="0.25">
      <c r="D110" s="167" t="str">
        <v>Q_volwt</v>
      </c>
      <c r="E110" s="171" t="str">
        <v>quantity of sold waste input as volume and converted to tonnes</v>
      </c>
      <c r="F110" s="205"/>
      <c r="G110" s="166"/>
      <c r="H110" s="167" t="str">
        <v>tonnes</v>
      </c>
      <c r="I110" s="169" t="str">
        <v>Calculated from 10.1.1.1 (2)</v>
      </c>
    </row>
    <row r="111" spans="4:9" ht="20.100000000000001" customHeight="1" x14ac:dyDescent="0.25">
      <c r="D111" s="167" t="str">
        <v>Q_masswt</v>
      </c>
      <c r="E111" s="171" t="str">
        <v>quantity of solid waste input as mass</v>
      </c>
      <c r="F111" s="205"/>
      <c r="G111" s="166"/>
      <c r="H111" s="167" t="str">
        <v>tonnes</v>
      </c>
      <c r="I111" s="168" t="str">
        <v>Input</v>
      </c>
    </row>
    <row r="112" spans="4:9" ht="20.100000000000001" customHeight="1" x14ac:dyDescent="0.25"/>
    <row r="113" spans="4:11" ht="20.100000000000001" customHeight="1" x14ac:dyDescent="0.25">
      <c r="D113" s="55" t="s">
        <v>807</v>
      </c>
    </row>
    <row r="114" spans="4:11" ht="20.100000000000001" customHeight="1" x14ac:dyDescent="0.25">
      <c r="D114" s="56" t="s">
        <v>808</v>
      </c>
    </row>
    <row r="115" spans="4:11" ht="20.100000000000001" customHeight="1" x14ac:dyDescent="0.25">
      <c r="D115" s="46" t="s">
        <v>800</v>
      </c>
      <c r="E115" s="46" t="s">
        <v>801</v>
      </c>
      <c r="F115" s="46"/>
      <c r="G115" s="46" t="s">
        <v>854</v>
      </c>
      <c r="H115" s="57" t="s">
        <v>855</v>
      </c>
      <c r="I115" s="57" t="s">
        <v>804</v>
      </c>
      <c r="J115" s="57" t="s">
        <v>856</v>
      </c>
      <c r="K115" s="57" t="s">
        <v>857</v>
      </c>
    </row>
    <row r="116" spans="4:11" ht="20.100000000000001" customHeight="1" x14ac:dyDescent="0.25">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67" t="str">
        <v>Incineration</v>
      </c>
      <c r="E127" s="171" t="str">
        <v>Food waste, green waste, wood, sludge</v>
      </c>
      <c r="F127" s="209"/>
      <c r="G127" s="49" t="s">
        <v>853</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858</v>
      </c>
      <c r="J128" s="49" t="s">
        <v>853</v>
      </c>
      <c r="K128" s="49" t="s">
        <v>853</v>
      </c>
    </row>
    <row r="129" spans="4:11" ht="20.100000000000001" customHeight="1" x14ac:dyDescent="0.25">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858</v>
      </c>
      <c r="J129" s="49" t="s">
        <v>853</v>
      </c>
      <c r="K129" s="49" t="s">
        <v>853</v>
      </c>
    </row>
    <row r="130" spans="4:11" ht="20.100000000000001" customHeight="1" x14ac:dyDescent="0.25">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858</v>
      </c>
      <c r="J130" s="49" t="s">
        <v>853</v>
      </c>
      <c r="K130" s="49" t="s">
        <v>853</v>
      </c>
    </row>
    <row r="131" spans="4:11" ht="20.100000000000001" customHeight="1" x14ac:dyDescent="0.25">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858</v>
      </c>
      <c r="J131" s="49" t="s">
        <v>853</v>
      </c>
      <c r="K131" s="49" t="s">
        <v>853</v>
      </c>
    </row>
    <row r="132" spans="4:11" ht="20.100000000000001" customHeight="1" x14ac:dyDescent="0.25">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67" t="str">
        <v>Composting</v>
      </c>
      <c r="E138" s="171" t="str">
        <v>All organic waste</v>
      </c>
      <c r="F138" s="166"/>
      <c r="G138" s="49" t="s">
        <v>853</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858</v>
      </c>
      <c r="J139" s="49" t="s">
        <v>853</v>
      </c>
      <c r="K139" s="49" t="s">
        <v>853</v>
      </c>
    </row>
    <row r="140" spans="4:11" ht="20.100000000000001" customHeight="1" x14ac:dyDescent="0.25">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858</v>
      </c>
      <c r="J140" s="49" t="s">
        <v>853</v>
      </c>
      <c r="K140" s="49" t="s">
        <v>853</v>
      </c>
    </row>
    <row r="141" spans="4:11" ht="20.100000000000001" customHeight="1" x14ac:dyDescent="0.25">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858</v>
      </c>
      <c r="J141" s="49" t="s">
        <v>853</v>
      </c>
      <c r="K141" s="49" t="s">
        <v>853</v>
      </c>
    </row>
    <row r="142" spans="4:11" ht="20.100000000000001" customHeight="1" x14ac:dyDescent="0.25">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858</v>
      </c>
      <c r="J142" s="49" t="s">
        <v>853</v>
      </c>
      <c r="K142" s="49" t="s">
        <v>853</v>
      </c>
    </row>
    <row r="143" spans="4:11" ht="20.100000000000001" customHeight="1" x14ac:dyDescent="0.25">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858</v>
      </c>
      <c r="J143" s="49" t="s">
        <v>853</v>
      </c>
      <c r="K143" s="49" t="s">
        <v>853</v>
      </c>
    </row>
    <row r="144" spans="4:11" ht="20.100000000000001" customHeight="1" x14ac:dyDescent="0.25">
      <c r="D144" s="167" t="str">
        <v>Anaerobic digestion</v>
      </c>
      <c r="E144" s="171" t="str">
        <v>All organic waste</v>
      </c>
      <c r="F144" s="166"/>
      <c r="G144" s="49" t="s">
        <v>853</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858</v>
      </c>
      <c r="J145" s="49" t="s">
        <v>853</v>
      </c>
      <c r="K145" s="49" t="s">
        <v>853</v>
      </c>
    </row>
    <row r="146" spans="4:11" ht="20.100000000000001" customHeight="1" x14ac:dyDescent="0.25">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858</v>
      </c>
      <c r="J146" s="49" t="s">
        <v>853</v>
      </c>
      <c r="K146" s="49" t="s">
        <v>853</v>
      </c>
    </row>
    <row r="147" spans="4:11" ht="20.100000000000001" customHeight="1" x14ac:dyDescent="0.25">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858</v>
      </c>
      <c r="J147" s="49" t="s">
        <v>853</v>
      </c>
      <c r="K147" s="49" t="s">
        <v>853</v>
      </c>
    </row>
    <row r="148" spans="4:11" ht="20.100000000000001" customHeight="1" x14ac:dyDescent="0.25">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858</v>
      </c>
      <c r="J148" s="49" t="s">
        <v>853</v>
      </c>
      <c r="K148" s="49" t="s">
        <v>853</v>
      </c>
    </row>
    <row r="149" spans="4:11" ht="20.100000000000001" customHeight="1" x14ac:dyDescent="0.25">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858</v>
      </c>
      <c r="J149" s="49" t="s">
        <v>853</v>
      </c>
      <c r="K149" s="49" t="s">
        <v>853</v>
      </c>
    </row>
    <row r="150" spans="4:11" ht="20.100000000000001" customHeight="1" x14ac:dyDescent="0.25"/>
    <row r="151" spans="4:11" ht="20.100000000000001" customHeight="1" x14ac:dyDescent="0.25">
      <c r="D151" s="176" t="s">
        <v>809</v>
      </c>
      <c r="E151" s="177">
        <f>SUM(K116:K149)</f>
        <v>0</v>
      </c>
      <c r="F151" s="178" t="str">
        <f>$E$103</f>
        <v>t CO2e</v>
      </c>
    </row>
    <row r="152" spans="4:11" ht="20.100000000000001" customHeight="1" x14ac:dyDescent="0.25"/>
    <row r="153" spans="4:11" ht="20.100000000000001" customHeight="1" x14ac:dyDescent="0.25"/>
    <row r="154" spans="4:11" ht="20.100000000000001" customHeight="1" x14ac:dyDescent="0.25">
      <c r="D154" s="55" t="s">
        <v>810</v>
      </c>
    </row>
    <row r="155" spans="4:11" ht="20.100000000000001" customHeight="1" x14ac:dyDescent="0.25">
      <c r="D155" s="56" t="s">
        <v>811</v>
      </c>
    </row>
    <row r="156" spans="4:11" ht="20.100000000000001" customHeight="1" x14ac:dyDescent="0.25">
      <c r="D156" s="46" t="s">
        <v>800</v>
      </c>
      <c r="E156" s="46" t="s">
        <v>801</v>
      </c>
      <c r="F156" s="46"/>
      <c r="G156" s="46" t="s">
        <v>854</v>
      </c>
      <c r="H156" s="57" t="s">
        <v>855</v>
      </c>
      <c r="I156" s="57" t="s">
        <v>804</v>
      </c>
      <c r="J156" s="57" t="s">
        <v>856</v>
      </c>
      <c r="K156" s="57" t="s">
        <v>857</v>
      </c>
    </row>
    <row r="157" spans="4:11" ht="20.100000000000001" customHeight="1" x14ac:dyDescent="0.25">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853</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858</v>
      </c>
      <c r="J169" s="49" t="s">
        <v>853</v>
      </c>
      <c r="K169" s="49" t="s">
        <v>853</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858</v>
      </c>
      <c r="J170" s="49" t="s">
        <v>853</v>
      </c>
      <c r="K170" s="49" t="s">
        <v>853</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858</v>
      </c>
      <c r="J171" s="49" t="s">
        <v>853</v>
      </c>
      <c r="K171" s="49" t="s">
        <v>853</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858</v>
      </c>
      <c r="J172" s="49" t="s">
        <v>853</v>
      </c>
      <c r="K172" s="49" t="s">
        <v>853</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853</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858</v>
      </c>
      <c r="J180" s="49" t="s">
        <v>853</v>
      </c>
      <c r="K180" s="49" t="s">
        <v>853</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858</v>
      </c>
      <c r="J181" s="49" t="s">
        <v>853</v>
      </c>
      <c r="K181" s="49" t="s">
        <v>853</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858</v>
      </c>
      <c r="J182" s="49" t="s">
        <v>853</v>
      </c>
      <c r="K182" s="49" t="s">
        <v>853</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858</v>
      </c>
      <c r="J183" s="49" t="s">
        <v>853</v>
      </c>
      <c r="K183" s="49" t="s">
        <v>853</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858</v>
      </c>
      <c r="J184" s="49" t="s">
        <v>853</v>
      </c>
      <c r="K184" s="49" t="s">
        <v>853</v>
      </c>
    </row>
    <row r="185" spans="4:11" ht="20.100000000000001" customHeight="1" x14ac:dyDescent="0.25">
      <c r="D185" s="167" t="str">
        <v>Anaerobic digestion</v>
      </c>
      <c r="E185" s="171" t="str">
        <v>All organic waste</v>
      </c>
      <c r="F185" s="166"/>
      <c r="G185" s="49" t="s">
        <v>853</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858</v>
      </c>
      <c r="J186" s="49" t="s">
        <v>853</v>
      </c>
      <c r="K186" s="49" t="s">
        <v>853</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858</v>
      </c>
      <c r="J187" s="49" t="s">
        <v>853</v>
      </c>
      <c r="K187" s="49" t="s">
        <v>853</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858</v>
      </c>
      <c r="J188" s="49" t="s">
        <v>853</v>
      </c>
      <c r="K188" s="49" t="s">
        <v>853</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858</v>
      </c>
      <c r="J189" s="49" t="s">
        <v>853</v>
      </c>
      <c r="K189" s="49" t="s">
        <v>853</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858</v>
      </c>
      <c r="J190" s="49" t="s">
        <v>853</v>
      </c>
      <c r="K190" s="49" t="s">
        <v>853</v>
      </c>
    </row>
    <row r="191" spans="4:11" ht="20.100000000000001" customHeight="1" x14ac:dyDescent="0.25"/>
    <row r="192" spans="4:11" ht="20.100000000000001" customHeight="1" x14ac:dyDescent="0.25">
      <c r="D192" s="176" t="s">
        <v>809</v>
      </c>
      <c r="E192" s="177">
        <f>SUM(K157:K190)</f>
        <v>330.84210000000002</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7"/>
    </row>
    <row r="342" spans="8:8" x14ac:dyDescent="0.25">
      <c r="H342" s="147"/>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abSelected="1" topLeftCell="C56" zoomScaleNormal="100" workbookViewId="0">
      <selection activeCell="I68" sqref="I6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863</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415</v>
      </c>
      <c r="E3" s="5"/>
      <c r="F3" s="5"/>
      <c r="G3" s="5"/>
      <c r="H3" s="5"/>
      <c r="I3" s="5"/>
      <c r="J3" s="5"/>
      <c r="K3" s="5"/>
      <c r="M3" s="5"/>
      <c r="N3" s="5" t="s">
        <v>416</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632</v>
      </c>
      <c r="E7" s="172" t="str">
        <f ca="1">Common_InputFunctions.Utility_DisplayFunctionName(VEERG_5_2_1_1__1_OrganicFertiliserApplicationN2OEmissions_Result_Method1)</f>
        <v>=Fertiliser_Equations_OrganicN2O.VEERG_5_2_1_1__1_OrganicFertiliserApplicationN2OEmissions</v>
      </c>
      <c r="N7" s="172" t="s">
        <v>632</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633</v>
      </c>
      <c r="E10" s="8" t="str" cm="1">
        <f t="array" ref="E10">Fertiliser_Equations_OrganicN2O.VEERG_5_2_1_1__1_OrganicFertiliserApplicationN2OEmissions_Variable()</f>
        <v>E_N2O</v>
      </c>
      <c r="N10" s="27" t="s">
        <v>633</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Solid waste'!A1", "Solid waste")</f>
        <v>Solid waste</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Manure sent off-site'!A1", "Manure sent off-site")</f>
        <v>Manure sent off-site</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Electricity'!A1", "Electricity")</f>
        <v>Electricity</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row r="19" spans="1:20" ht="20.100000000000001" customHeight="1" x14ac:dyDescent="0.25">
      <c r="A19" s="21" t="s">
        <v>77</v>
      </c>
      <c r="D19" s="176" t="s">
        <v>752</v>
      </c>
      <c r="E19" s="177" cm="1">
        <f t="array" ref="E19">Fertiliser_Equations_OrganicN2O.VEERG_5_2_1_1__1_OrganicFertiliserApplicationN2OEmissions(J13,J14,J15)</f>
        <v>7.8571428571428577E-3</v>
      </c>
      <c r="F19" s="178" t="str">
        <f>$E$11</f>
        <v>t N2O</v>
      </c>
      <c r="N19" s="176" t="s">
        <v>752</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80"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632</v>
      </c>
      <c r="E26" s="172" t="str" cm="1">
        <f t="array" aca="1" ref="E26" ca="1">Common_InputFunctions.Utility_DisplayFunctionName(E35)</f>
        <v>=Fertiliser_Equations_AtmosphericDeposition.VEERG_5_4_1_3__2_MassOfNitrogenVolatilisedFromOrganicFertiliser</v>
      </c>
      <c r="N26" s="172" t="s">
        <v>632</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22"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633</v>
      </c>
      <c r="E29" s="8" t="str" cm="1">
        <f t="array" ref="E29">Fertiliser_Equations_AtmosphericDeposition.VEERG_5_4_1_3__2_MassOfNitrogenVolatilisedFromOrganicFertiliser_Variable()</f>
        <v>M_volorganicjf</v>
      </c>
      <c r="N29" s="27" t="s">
        <v>633</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A33" s="16" t="str">
        <f>HYPERLINK("#'Constants - Dairy'!A1", "Constants - Dairy")</f>
        <v>Constants - Dairy</v>
      </c>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74" t="s">
        <v>754</v>
      </c>
      <c r="E35" s="98" cm="1">
        <f t="array" ref="E35">Fertiliser_Equations_AtmosphericDeposition.VEERG_5_4_1_3__2_MassOfNitrogenVolatilisedFromOrganicFertiliser(I32,I33)</f>
        <v>210</v>
      </c>
      <c r="F35" s="175" t="str">
        <f>E30</f>
        <v>kg N</v>
      </c>
      <c r="N35" s="174" t="s">
        <v>754</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2" t="s">
        <v>632</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632</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633</v>
      </c>
      <c r="E45" s="8" t="str" cm="1">
        <f t="array" ref="E45">Fertiliser_Equations_AtmosphericDeposition.VEERG_5_4_1_3__1_OrganicFertiliserAtmosphericDepositionN2OEmissions_Variable()</f>
        <v>E_adorganic</v>
      </c>
      <c r="N45" s="27" t="s">
        <v>633</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768</v>
      </c>
      <c r="E55" s="177" cm="1">
        <f t="array" ref="E55">Fertiliser_Equations_AtmosphericDeposition.VEERG_5_4_1_3__1_OrganicFertiliserAtmosphericDepositionN2OEmissions(I48,I49,I50)</f>
        <v>2.31E-3</v>
      </c>
      <c r="F55" s="178" t="str">
        <f>$E$46</f>
        <v>t N2O</v>
      </c>
      <c r="N55" s="176" t="s">
        <v>768</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632</v>
      </c>
      <c r="E61" s="172" t="str" cm="1">
        <f t="array" aca="1" ref="E61" ca="1">Common_InputFunctions.Utility_DisplayFunctionName(E74)</f>
        <v>=Fertiliser_Equations_LeachingAndRunoff.VEERG_5_5_1_1__3_MassOfNitrogenLeachedFromOrganicFertiliser</v>
      </c>
      <c r="N61" s="172" t="s">
        <v>632</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633</v>
      </c>
      <c r="E64" s="8" t="str" cm="1">
        <f t="array" ref="E64">Fertiliser_Equations_LeachingAndRunoff.VEERG_5_5_1_1__3_MassOfNitrogenLeachedFromOrganicFertiliser_Variable()</f>
        <v>M_leachorganicj</v>
      </c>
      <c r="N64" s="27" t="s">
        <v>633</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Common_InputFunctions.CommonCropping_GetFracWET(I70,I72,Table_SourceData_FracWET[Is in leaching zone],Table_SourceData_FracWET[FracWET],Table_SourceData_FracWETIrrigation[Irrigation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769</v>
      </c>
      <c r="E74" s="98" cm="1">
        <f t="array" ref="E74">Fertiliser_Equations_LeachingAndRunoff.VEERG_5_5_1_1__3_MassOfNitrogenLeachedFromOrganicFertiliser(I67,I68,I69)</f>
        <v>240</v>
      </c>
      <c r="F74" s="175" t="str">
        <f>$E$65</f>
        <v>kg N</v>
      </c>
      <c r="N74" s="174" t="s">
        <v>769</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632</v>
      </c>
      <c r="E79" s="172" t="str">
        <f ca="1">Common_InputFunctions.Utility_DisplayFunctionName(VEERG_5_5_1_1__1_FertiliserLeachingAndRunoffN2OEmissions_Result_Method1)</f>
        <v>=Fertiliser_Equations_LeachingAndRunoff.VEERG_5_5_1_1__1_FertiliserLeachingAndRunoffN2OEmissions</v>
      </c>
      <c r="N79" s="172" t="s">
        <v>632</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633</v>
      </c>
      <c r="E82" s="8" t="str" cm="1">
        <f t="array" ref="E82">Fertiliser_Equations_LeachingAndRunoff.VEERG_5_5_1_1__1_FertiliserLeachingAndRunoffN2OEmissions_Variable()</f>
        <v>E_fertleach</v>
      </c>
      <c r="N82" s="27" t="s">
        <v>633</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770</v>
      </c>
      <c r="E90" s="177" cm="1">
        <f t="array" ref="E90">Fertiliser_Equations_LeachingAndRunoff.VEERG_5_5_1_1__1_FertiliserLeachingAndRunoffN2OEmissions(J85,J86,J87,J88)</f>
        <v>4.1485714285714277E-3</v>
      </c>
      <c r="F90" s="178" t="str">
        <f>$E$83</f>
        <v>t N2O</v>
      </c>
      <c r="N90" s="176" t="s">
        <v>770</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716</v>
      </c>
    </row>
    <row r="2" spans="1:18" s="2" customFormat="1" ht="20.100000000000001" customHeight="1" x14ac:dyDescent="0.25">
      <c r="A2"/>
    </row>
    <row r="3" spans="1:18" ht="20.100000000000001" customHeight="1" x14ac:dyDescent="0.25">
      <c r="A3" s="16" t="str">
        <f>HYPERLINK("#'Overview'!A1", "Overview")</f>
        <v>Overview</v>
      </c>
      <c r="C3" s="5"/>
      <c r="D3" s="5" t="s">
        <v>415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632</v>
      </c>
      <c r="E7" s="172" t="str" cm="1">
        <f t="array" aca="1" ref="E7" ca="1">Common_InputFunctions.Utility_DisplayFunctionName(N25)</f>
        <v>=Fuel_Equations.VEERG_8_1_1_1__1_FuelCombustionTransport</v>
      </c>
      <c r="K7" s="172" t="s">
        <v>632</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633</v>
      </c>
      <c r="E11" s="8" t="str" cm="1">
        <f t="array" ref="E11">Fuel_Equations.VEERG_8_1_1_1__1_FuelCombustionTransport_Variable()</f>
        <v>E_g</v>
      </c>
      <c r="K11" s="27" t="s">
        <v>633</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168"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P17" s="17"/>
      <c r="Q17" s="17"/>
    </row>
    <row r="18" spans="1:17" ht="20.100000000000001" customHeight="1" x14ac:dyDescent="0.25">
      <c r="A18"/>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21" t="s">
        <v>77</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80"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717</v>
      </c>
      <c r="H24" s="57" t="s">
        <v>718</v>
      </c>
      <c r="I24" s="57" t="s">
        <v>719</v>
      </c>
      <c r="J24" s="57" t="s">
        <v>720</v>
      </c>
      <c r="K24" s="57" t="s">
        <v>721</v>
      </c>
      <c r="L24" s="46" t="s">
        <v>722</v>
      </c>
      <c r="M24" s="57" t="s">
        <v>723</v>
      </c>
      <c r="N24" s="57" t="s">
        <v>724</v>
      </c>
      <c r="O24" s="57" t="s">
        <v>725</v>
      </c>
      <c r="P24" s="57" t="s">
        <v>726</v>
      </c>
      <c r="Q24" s="57" t="s">
        <v>727</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0.1</v>
      </c>
      <c r="M26" s="181" t="str" cm="1">
        <f t="array" ref="M26">Common_InputFunctions.Utility_LookupValueInTable(F26,Table_FuelTypes_Units[Fuel type],Table_FuelTypes_Units[Unit])</f>
        <v>kL</v>
      </c>
      <c r="N26" s="182" cm="1">
        <f t="array" ref="N26">Fuel_Equations.VEERG_8_1_1_1__1_FuelCombustionTransport($L26,$G26,$H26)</f>
        <v>0.26981400000000005</v>
      </c>
      <c r="O26" s="182" cm="1">
        <f t="array" ref="O26">Fuel_Equations.VEERG_8_1_1_1__1_FuelCombustionTransport($L26,$G26,$I26)</f>
        <v>3.8600000000000003E-5</v>
      </c>
      <c r="P26" s="182" cm="1">
        <f t="array" ref="P26">Fuel_Equations.VEERG_8_1_1_1__1_FuelCombustionTransport($L26,$G26,$J26)</f>
        <v>1.9300000000000003E-3</v>
      </c>
      <c r="Q26" s="182" cm="1">
        <f t="array" ref="Q26">Scope3_Equations.VEERG_15_11_1_1__2_UpstreamTransportFuelEmissions(L26,G26,K26)</f>
        <v>6.6778000000000004E-2</v>
      </c>
    </row>
    <row r="27" spans="1:17" ht="20.100000000000001" customHeight="1" x14ac:dyDescent="0.25">
      <c r="A27" s="222"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0</v>
      </c>
      <c r="M33" s="188" t="str" cm="1">
        <f t="array" ref="M33">Common_InputFunctions.Utility_LookupValueInTable(F33,Table_FuelTypes_Units[Fuel type],Table_FuelTypes_Units[Unit])</f>
        <v>kL</v>
      </c>
      <c r="N33" s="189" cm="1">
        <f t="array" ref="N33">Fuel_Equations.VEERG_8_1_1_1__1_FuelCombustionTransport($L33,$G33,$H33)</f>
        <v>0</v>
      </c>
      <c r="O33" s="189" cm="1">
        <f t="array" ref="O33">Fuel_Equations.VEERG_8_1_1_1__1_FuelCombustionTransport($L33,$G33,$I33)</f>
        <v>0</v>
      </c>
      <c r="P33" s="189" cm="1">
        <f t="array" ref="P33">Fuel_Equations.VEERG_8_1_1_1__1_FuelCombustionTransport($L33,$G33,$J33)</f>
        <v>0</v>
      </c>
      <c r="Q33" s="190"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0.1</v>
      </c>
      <c r="M34" s="188" t="str" cm="1">
        <f t="array" ref="M34">Common_InputFunctions.Utility_LookupValueInTable(F34,Table_FuelTypes_Units[Fuel type],Table_FuelTypes_Units[Unit])</f>
        <v>kL</v>
      </c>
      <c r="N34" s="189" cm="1">
        <f t="array" ref="N34">Fuel_Equations.VEERG_8_1_1_1__1_FuelCombustionTransport($L34,$G34,$H34)</f>
        <v>0.22177000000000005</v>
      </c>
      <c r="O34" s="189" cm="1">
        <f t="array" ref="O34">Fuel_Equations.VEERG_8_1_1_1__1_FuelCombustionTransport($L34,$G34,$I34)</f>
        <v>1.9860000000000003E-4</v>
      </c>
      <c r="P34" s="189" cm="1">
        <f t="array" ref="P34">Fuel_Equations.VEERG_8_1_1_1__1_FuelCombustionTransport($L34,$G34,$J34)</f>
        <v>1.9860000000000004E-3</v>
      </c>
      <c r="Q34" s="189"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0.1</v>
      </c>
      <c r="M38" s="181" t="str" cm="1">
        <f t="array" ref="M38">Common_InputFunctions.Utility_LookupValueInTable(F38,Table_FuelTypes_Units[Fuel type],Table_FuelTypes_Units[Unit])</f>
        <v>kL</v>
      </c>
      <c r="N38" s="182" cm="1">
        <f t="array" ref="N38">Fuel_Equations.VEERG_8_1_1_1__1_FuelCombustionTransport($L38,$G38,$H38)</f>
        <v>0.26981400000000005</v>
      </c>
      <c r="O38" s="182" cm="1">
        <f t="array" ref="O38">Fuel_Equations.VEERG_8_1_1_1__1_FuelCombustionTransport($L38,$G38,$I38)</f>
        <v>7.7200000000000012E-4</v>
      </c>
      <c r="P38" s="182" cm="1">
        <f t="array" ref="P38">Fuel_Equations.VEERG_8_1_1_1__1_FuelCombustionTransport($L38,$G38,$J38)</f>
        <v>1.9300000000000003E-3</v>
      </c>
      <c r="Q38" s="182"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kL</v>
      </c>
      <c r="N39" s="182" cm="1">
        <f t="array" ref="N39">Fuel_Equations.VEERG_8_1_1_1__1_FuelCombustionTransport($L39,$G39,$H39)</f>
        <v>0</v>
      </c>
      <c r="O39" s="182" cm="1">
        <f t="array" ref="O39">Fuel_Equations.VEERG_8_1_1_1__1_FuelCombustionTransport($L39,$G39,$I39)</f>
        <v>0</v>
      </c>
      <c r="P39" s="182" cm="1">
        <f t="array" ref="P39">Fuel_Equations.VEERG_8_1_1_1__1_FuelCombustionTransport($L39,$G39,$J39)</f>
        <v>0</v>
      </c>
      <c r="Q39" s="182"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93" t="str">
        <f>"Total scope 1 - " &amp; D25</f>
        <v>Total scope 1 - Cars and light commercial vehicles</v>
      </c>
      <c r="E42" s="194"/>
      <c r="F42" s="195"/>
    </row>
    <row r="43" spans="1:17" ht="20.100000000000001" customHeight="1" x14ac:dyDescent="0.25">
      <c r="A43"/>
      <c r="D43" s="7" t="s">
        <v>728</v>
      </c>
      <c r="E43" s="196">
        <f>SUM(N25:N32)</f>
        <v>0.26981400000000005</v>
      </c>
      <c r="F43" s="65" t="str">
        <f>$E$12</f>
        <v>t CO2-e</v>
      </c>
    </row>
    <row r="44" spans="1:17" ht="20.100000000000001" customHeight="1" x14ac:dyDescent="0.25">
      <c r="A44"/>
      <c r="D44" s="7" t="s">
        <v>729</v>
      </c>
      <c r="E44" s="196">
        <f>SUM(O25:O32)</f>
        <v>3.8600000000000003E-5</v>
      </c>
      <c r="F44" s="65" t="str">
        <f t="shared" ref="F44:F46" si="1">$E$12</f>
        <v>t CO2-e</v>
      </c>
    </row>
    <row r="45" spans="1:17" ht="20.100000000000001" customHeight="1" x14ac:dyDescent="0.25">
      <c r="A45"/>
      <c r="D45" s="7" t="s">
        <v>730</v>
      </c>
      <c r="E45" s="196">
        <f>SUM(P25:P32)</f>
        <v>1.9300000000000003E-3</v>
      </c>
      <c r="F45" s="65" t="str">
        <f t="shared" si="1"/>
        <v>t CO2-e</v>
      </c>
    </row>
    <row r="46" spans="1:17" ht="20.100000000000001" customHeight="1" x14ac:dyDescent="0.25">
      <c r="A46"/>
      <c r="D46" s="7" t="s">
        <v>731</v>
      </c>
      <c r="E46" s="196">
        <f>SUM(Q25:Q32)</f>
        <v>6.6778000000000004E-2</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728</v>
      </c>
      <c r="E49" s="196">
        <f>SUM(N33:N33)</f>
        <v>0</v>
      </c>
      <c r="F49" s="65" t="str">
        <f t="shared" ref="F49:F52" si="2">$E$12</f>
        <v>t CO2-e</v>
      </c>
      <c r="H49" s="17"/>
      <c r="I49" s="17"/>
      <c r="J49" s="17"/>
      <c r="L49" s="17"/>
      <c r="M49" s="17"/>
      <c r="N49" s="17"/>
      <c r="O49" s="17"/>
      <c r="P49" s="17"/>
      <c r="Q49" s="17"/>
    </row>
    <row r="50" spans="1:17" ht="20.100000000000001" customHeight="1" x14ac:dyDescent="0.25">
      <c r="A50"/>
      <c r="D50" s="7" t="s">
        <v>729</v>
      </c>
      <c r="E50" s="196">
        <f>SUM(O33:O33)</f>
        <v>0</v>
      </c>
      <c r="F50" s="65" t="str">
        <f t="shared" si="2"/>
        <v>t CO2-e</v>
      </c>
      <c r="H50" s="17"/>
      <c r="I50" s="17"/>
      <c r="J50" s="17"/>
      <c r="L50" s="17"/>
      <c r="M50" s="17"/>
      <c r="N50" s="17"/>
      <c r="O50" s="17"/>
      <c r="P50" s="17"/>
      <c r="Q50" s="17"/>
    </row>
    <row r="51" spans="1:17" ht="20.100000000000001" customHeight="1" x14ac:dyDescent="0.25">
      <c r="A51"/>
      <c r="D51" s="7" t="s">
        <v>730</v>
      </c>
      <c r="E51" s="196">
        <f>SUM(P33:P33)</f>
        <v>0</v>
      </c>
      <c r="F51" s="65" t="str">
        <f t="shared" si="2"/>
        <v>t CO2-e</v>
      </c>
      <c r="H51" s="17"/>
      <c r="I51" s="17"/>
      <c r="J51" s="17"/>
      <c r="L51" s="17"/>
      <c r="M51" s="17"/>
      <c r="N51" s="17"/>
      <c r="O51" s="17"/>
      <c r="P51" s="17"/>
      <c r="Q51" s="17"/>
    </row>
    <row r="52" spans="1:17" ht="20.100000000000001" customHeight="1" x14ac:dyDescent="0.25">
      <c r="A52"/>
      <c r="D52" s="7" t="s">
        <v>731</v>
      </c>
      <c r="E52" s="196">
        <f>SUM(Q33)</f>
        <v>0</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728</v>
      </c>
      <c r="E55" s="196">
        <f>SUM(N34:N36)</f>
        <v>0.22177000000000005</v>
      </c>
      <c r="F55" s="65" t="str">
        <f t="shared" ref="F55:F58" si="3">$E$12</f>
        <v>t CO2-e</v>
      </c>
      <c r="G55" s="17"/>
      <c r="H55" s="17"/>
      <c r="I55" s="17"/>
      <c r="J55" s="17"/>
      <c r="L55" s="17"/>
      <c r="M55" s="17"/>
      <c r="N55" s="17"/>
      <c r="O55" s="17"/>
      <c r="P55" s="17"/>
      <c r="Q55" s="17"/>
    </row>
    <row r="56" spans="1:17" ht="20.100000000000001" customHeight="1" x14ac:dyDescent="0.25">
      <c r="A56"/>
      <c r="D56" s="7" t="s">
        <v>729</v>
      </c>
      <c r="E56" s="196">
        <f>SUM(O34:O36)</f>
        <v>1.9860000000000003E-4</v>
      </c>
      <c r="F56" s="65" t="str">
        <f t="shared" si="3"/>
        <v>t CO2-e</v>
      </c>
      <c r="G56" s="17"/>
      <c r="H56" s="17"/>
      <c r="I56" s="17"/>
      <c r="J56" s="17"/>
      <c r="L56" s="17"/>
      <c r="M56" s="17"/>
      <c r="N56" s="17"/>
      <c r="O56" s="17"/>
      <c r="P56" s="17"/>
      <c r="Q56" s="17"/>
    </row>
    <row r="57" spans="1:17" ht="20.100000000000001" customHeight="1" x14ac:dyDescent="0.25">
      <c r="A57"/>
      <c r="D57" s="7" t="s">
        <v>730</v>
      </c>
      <c r="E57" s="196">
        <f>SUM(P34:P36)</f>
        <v>1.9860000000000004E-3</v>
      </c>
      <c r="F57" s="65" t="str">
        <f t="shared" si="3"/>
        <v>t CO2-e</v>
      </c>
      <c r="G57" s="17"/>
      <c r="H57" s="17"/>
      <c r="I57" s="17"/>
      <c r="J57" s="17"/>
      <c r="L57" s="17"/>
      <c r="M57" s="17"/>
      <c r="N57" s="17"/>
      <c r="O57" s="17"/>
      <c r="P57" s="17"/>
      <c r="Q57" s="17"/>
    </row>
    <row r="58" spans="1:17" ht="20.100000000000001" customHeight="1" x14ac:dyDescent="0.25">
      <c r="A58"/>
      <c r="D58" s="7" t="s">
        <v>731</v>
      </c>
      <c r="E58" s="196">
        <f>SUM(Q34:Q36)</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728</v>
      </c>
      <c r="E61" s="196">
        <f>SUM(N37:N39)</f>
        <v>0.26981400000000005</v>
      </c>
      <c r="F61" s="65" t="str">
        <f t="shared" ref="F61:F64" si="4">$E$12</f>
        <v>t CO2-e</v>
      </c>
      <c r="G61" s="17"/>
      <c r="H61" s="17"/>
      <c r="I61" s="17"/>
      <c r="J61" s="17"/>
      <c r="L61" s="17"/>
      <c r="M61" s="17"/>
      <c r="N61" s="17"/>
      <c r="O61" s="17"/>
      <c r="P61" s="17"/>
      <c r="Q61" s="17"/>
    </row>
    <row r="62" spans="1:17" ht="20.100000000000001" customHeight="1" x14ac:dyDescent="0.25">
      <c r="A62"/>
      <c r="D62" s="7" t="s">
        <v>729</v>
      </c>
      <c r="E62" s="196">
        <f>SUM(O37:O39)</f>
        <v>7.7200000000000012E-4</v>
      </c>
      <c r="F62" s="65" t="str">
        <f t="shared" si="4"/>
        <v>t CO2-e</v>
      </c>
      <c r="G62" s="17"/>
      <c r="H62" s="17"/>
      <c r="I62" s="17"/>
      <c r="J62" s="17"/>
      <c r="L62" s="17"/>
      <c r="M62" s="17"/>
      <c r="N62" s="17"/>
      <c r="O62" s="17"/>
      <c r="P62" s="17"/>
      <c r="Q62" s="17"/>
    </row>
    <row r="63" spans="1:17" ht="20.100000000000001" customHeight="1" x14ac:dyDescent="0.25">
      <c r="A63"/>
      <c r="D63" s="7" t="s">
        <v>730</v>
      </c>
      <c r="E63" s="196">
        <f>SUM(P37:P39)</f>
        <v>1.9300000000000003E-3</v>
      </c>
      <c r="F63" s="65" t="str">
        <f t="shared" si="4"/>
        <v>t CO2-e</v>
      </c>
      <c r="G63" s="17"/>
      <c r="H63" s="17"/>
      <c r="I63" s="17"/>
      <c r="J63" s="17"/>
      <c r="L63" s="17"/>
      <c r="M63" s="17"/>
      <c r="N63" s="17"/>
      <c r="O63" s="17"/>
      <c r="P63" s="17"/>
      <c r="Q63" s="17"/>
    </row>
    <row r="64" spans="1:17" ht="20.100000000000001" customHeight="1" x14ac:dyDescent="0.25">
      <c r="A64"/>
      <c r="D64" s="7" t="s">
        <v>731</v>
      </c>
      <c r="E64" s="196">
        <f>SUM(Q37:Q39)</f>
        <v>6.6778000000000004E-2</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732</v>
      </c>
      <c r="E66" s="199"/>
      <c r="F66" s="195"/>
      <c r="G66" s="17"/>
      <c r="H66" s="17"/>
      <c r="I66" s="17"/>
      <c r="J66" s="17"/>
      <c r="L66" s="17"/>
      <c r="M66" s="17"/>
      <c r="N66" s="17"/>
      <c r="O66" s="17"/>
      <c r="P66" s="17"/>
      <c r="Q66" s="17"/>
    </row>
    <row r="67" spans="1:17" ht="20.100000000000001" customHeight="1" x14ac:dyDescent="0.25">
      <c r="A67"/>
      <c r="D67" s="7" t="s">
        <v>728</v>
      </c>
      <c r="E67" s="196">
        <f>E43+E49+E55+E61</f>
        <v>0.76139800000000024</v>
      </c>
      <c r="F67" s="65" t="str">
        <f t="shared" ref="F67:F70" si="5">$E$12</f>
        <v>t CO2-e</v>
      </c>
      <c r="G67" s="17"/>
    </row>
    <row r="68" spans="1:17" ht="20.100000000000001" customHeight="1" x14ac:dyDescent="0.25">
      <c r="A68"/>
      <c r="D68" s="7" t="s">
        <v>729</v>
      </c>
      <c r="E68" s="196">
        <f t="shared" ref="E68:E70" si="6">E44+E50+E56+E62</f>
        <v>1.0092E-3</v>
      </c>
      <c r="F68" s="65" t="str">
        <f t="shared" si="5"/>
        <v>t CO2-e</v>
      </c>
      <c r="G68" s="17"/>
    </row>
    <row r="69" spans="1:17" ht="20.100000000000001" customHeight="1" x14ac:dyDescent="0.25">
      <c r="A69"/>
      <c r="D69" s="7" t="s">
        <v>730</v>
      </c>
      <c r="E69" s="196">
        <f t="shared" si="6"/>
        <v>5.8460000000000014E-3</v>
      </c>
      <c r="F69" s="65" t="str">
        <f t="shared" si="5"/>
        <v>t CO2-e</v>
      </c>
      <c r="G69" s="17"/>
    </row>
    <row r="70" spans="1:17" ht="20.100000000000001" customHeight="1" x14ac:dyDescent="0.25">
      <c r="A70"/>
      <c r="D70" s="7" t="s">
        <v>731</v>
      </c>
      <c r="E70" s="196">
        <f t="shared" si="6"/>
        <v>0.13355600000000001</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733</v>
      </c>
    </row>
    <row r="2" spans="1:18" s="2" customFormat="1" ht="20.100000000000001" customHeight="1" x14ac:dyDescent="0.25">
      <c r="A2"/>
    </row>
    <row r="3" spans="1:18" ht="20.100000000000001" customHeight="1" x14ac:dyDescent="0.25">
      <c r="A3" s="16" t="str">
        <f>HYPERLINK("#'Overview'!A1", "Overview")</f>
        <v>Overview</v>
      </c>
      <c r="C3" s="5"/>
      <c r="D3" s="5" t="s">
        <v>415</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632</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632</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633</v>
      </c>
      <c r="E11" s="8" t="str" cm="1">
        <f t="array" ref="E11">Fuel_Equations.VEERG_8_2_1_1__1_FuelCombustionStationary_Variable()</f>
        <v>E_g</v>
      </c>
      <c r="K11" s="27" t="s">
        <v>633</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168"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K17" s="167" t="str">
        <v>i</v>
      </c>
      <c r="L17" s="171" t="str">
        <v>state</v>
      </c>
      <c r="M17" s="166"/>
      <c r="N17" s="167" t="str">
        <v/>
      </c>
      <c r="O17" s="168" t="str">
        <v>Input</v>
      </c>
      <c r="P17" s="167" t="str">
        <f>X_Cell_Site_State</f>
        <v>ACT</v>
      </c>
      <c r="Q17" s="17"/>
    </row>
    <row r="18" spans="1:17" ht="20.100000000000001" customHeight="1" x14ac:dyDescent="0.25">
      <c r="A18"/>
      <c r="D18" s="167" t="str">
        <v>SC</v>
      </c>
      <c r="E18" s="171" t="str">
        <v>Stationary combustion</v>
      </c>
      <c r="F18" s="166"/>
      <c r="G18" s="167" t="str">
        <v/>
      </c>
      <c r="H18" s="169" t="str">
        <v>Constant</v>
      </c>
      <c r="I18" s="170"/>
      <c r="J18" s="17"/>
      <c r="K18" s="167" t="str">
        <v>m</v>
      </c>
      <c r="L18" s="171" t="str">
        <v>metropolitan/non-metropolitan location</v>
      </c>
      <c r="M18" s="166"/>
      <c r="N18" s="167" t="str">
        <v/>
      </c>
      <c r="O18" s="168" t="str">
        <v>Input</v>
      </c>
      <c r="P18" s="167" t="str">
        <f>X_Cell_Fuel_IsMetroLocation</f>
        <v>Metro</v>
      </c>
      <c r="Q18" s="17"/>
    </row>
    <row r="19" spans="1:17" ht="20.100000000000001" customHeight="1" x14ac:dyDescent="0.25">
      <c r="A19" s="21" t="s">
        <v>77</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734</v>
      </c>
    </row>
    <row r="24" spans="1:17" ht="20.100000000000001" customHeight="1" x14ac:dyDescent="0.25">
      <c r="A24" s="180" t="str">
        <f>HYPERLINK("#'8.2.1.1-2 Stationary fuel'!A1", "8.2.1.1-2 Stationary fuel")</f>
        <v>8.2.1.1-2 Stationary fuel</v>
      </c>
      <c r="D24" s="57" t="s">
        <v>131</v>
      </c>
      <c r="E24" s="57" t="s">
        <v>132</v>
      </c>
      <c r="F24" s="57" t="s">
        <v>133</v>
      </c>
      <c r="G24" s="57" t="s">
        <v>735</v>
      </c>
      <c r="H24" s="57" t="s">
        <v>736</v>
      </c>
      <c r="I24" s="57" t="s">
        <v>737</v>
      </c>
      <c r="J24" s="57" t="s">
        <v>738</v>
      </c>
      <c r="K24" s="57" t="s">
        <v>739</v>
      </c>
      <c r="L24" s="46" t="s">
        <v>740</v>
      </c>
      <c r="M24" s="57" t="s">
        <v>723</v>
      </c>
      <c r="N24" s="57" t="s">
        <v>724</v>
      </c>
      <c r="O24" s="57" t="s">
        <v>725</v>
      </c>
      <c r="P24" s="57" t="s">
        <v>726</v>
      </c>
      <c r="Q24" s="57" t="s">
        <v>741</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22"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0</v>
      </c>
      <c r="M32" s="188" t="str" cm="1">
        <f t="array" ref="M32">Common_InputFunctions.Utility_LookupValueInTable(F32,Table_FuelTypes_Units[Fuel type],Table_FuelTypes_Units[Unit])</f>
        <v>kL</v>
      </c>
      <c r="N32" s="202" cm="1">
        <f t="array" ref="N32">Fuel_Equations.VEERG_8_2_1_1__1_FuelCombustionStationary($L32,$G32,H32)</f>
        <v>0</v>
      </c>
      <c r="O32" s="202" cm="1">
        <f t="array" ref="O32">Fuel_Equations.VEERG_8_2_1_1__1_FuelCombustionStationary($L32,$G32,I32)</f>
        <v>0</v>
      </c>
      <c r="P32" s="202" cm="1">
        <f t="array" ref="P32">Fuel_Equations.VEERG_8_2_1_1__1_FuelCombustionStationary($L32,$G32,J32)</f>
        <v>0</v>
      </c>
      <c r="Q32" s="202"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81" cm="1">
        <f t="array" ref="L40">Fuel_InputFunctions.Fuel_TotalConsumption(Table_Input_Fuel[Amount consumed], Table_Input_Fuel[Fuel use (select)], D40, Table_Input_Fuel[Fuel type (select)],F40)</f>
        <v>0.2</v>
      </c>
      <c r="M40" s="181" t="str" cm="1">
        <f t="array" ref="M40">Common_InputFunctions.Utility_LookupValueInTable(F40,Table_FuelTypes_Units[Fuel type],Table_FuelTypes_Units[Unit])</f>
        <v>GJ</v>
      </c>
      <c r="N40" s="200" cm="1">
        <f t="array" ref="N40">Fuel_Equations.VEERG_8_2_1_1__1_FuelCombustionStationary($L40,$G40,H40)</f>
        <v>1.204E-2</v>
      </c>
      <c r="O40" s="200" cm="1">
        <f t="array" ref="O40">Fuel_Equations.VEERG_8_2_1_1__1_FuelCombustionStationary($L40,$G40,I40)</f>
        <v>7.9999999999999996E-6</v>
      </c>
      <c r="P40" s="200" cm="1">
        <f t="array" ref="P40">Fuel_Equations.VEERG_8_2_1_1__1_FuelCombustionStationary($L40,$G40,J40)</f>
        <v>6.0000000000000002E-6</v>
      </c>
      <c r="Q40" s="200"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93" t="str">
        <f>"Total scope 1 - " &amp; D25</f>
        <v>Total scope 1 - Generators</v>
      </c>
      <c r="E42" s="194"/>
      <c r="F42" s="195"/>
    </row>
    <row r="43" spans="1:17" ht="20.100000000000001" customHeight="1" x14ac:dyDescent="0.25">
      <c r="A43"/>
      <c r="D43" s="7" t="s">
        <v>728</v>
      </c>
      <c r="E43" s="196">
        <f>SUM(N25:N31)</f>
        <v>0</v>
      </c>
      <c r="F43" s="65" t="str">
        <f>$E$12</f>
        <v>t CO2-e</v>
      </c>
    </row>
    <row r="44" spans="1:17" ht="20.100000000000001" customHeight="1" x14ac:dyDescent="0.25">
      <c r="A44"/>
      <c r="D44" s="7" t="s">
        <v>729</v>
      </c>
      <c r="E44" s="196">
        <f>SUM(O25:O31)</f>
        <v>0</v>
      </c>
      <c r="F44" s="65" t="str">
        <f t="shared" ref="F44:F46" si="2">$E$12</f>
        <v>t CO2-e</v>
      </c>
    </row>
    <row r="45" spans="1:17" ht="20.100000000000001" customHeight="1" x14ac:dyDescent="0.25">
      <c r="A45"/>
      <c r="D45" s="7" t="s">
        <v>730</v>
      </c>
      <c r="E45" s="196">
        <f>SUM(P25:P31)</f>
        <v>0</v>
      </c>
      <c r="F45" s="65" t="str">
        <f t="shared" si="2"/>
        <v>t CO2-e</v>
      </c>
    </row>
    <row r="46" spans="1:17" ht="20.100000000000001" customHeight="1" x14ac:dyDescent="0.25">
      <c r="A46"/>
      <c r="D46" s="7" t="s">
        <v>731</v>
      </c>
      <c r="E46" s="196">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728</v>
      </c>
      <c r="E49" s="196">
        <f>SUM(N32:N40)</f>
        <v>1.204E-2</v>
      </c>
      <c r="F49" s="65" t="str">
        <f t="shared" ref="F49:F52" si="3">$E$12</f>
        <v>t CO2-e</v>
      </c>
      <c r="H49" s="17"/>
      <c r="I49" s="17"/>
      <c r="J49" s="17"/>
      <c r="L49" s="17"/>
      <c r="N49" s="17"/>
      <c r="O49" s="17"/>
      <c r="P49" s="17"/>
      <c r="Q49" s="17"/>
    </row>
    <row r="50" spans="1:17" ht="20.100000000000001" customHeight="1" x14ac:dyDescent="0.25">
      <c r="A50"/>
      <c r="D50" s="7" t="s">
        <v>729</v>
      </c>
      <c r="E50" s="196">
        <f>SUM(O32:O40)</f>
        <v>7.9999999999999996E-6</v>
      </c>
      <c r="F50" s="65" t="str">
        <f t="shared" si="3"/>
        <v>t CO2-e</v>
      </c>
      <c r="H50" s="17"/>
      <c r="I50" s="17"/>
      <c r="J50" s="17"/>
      <c r="L50" s="17"/>
      <c r="N50" s="17"/>
      <c r="O50" s="17"/>
      <c r="P50" s="17"/>
      <c r="Q50" s="17"/>
    </row>
    <row r="51" spans="1:17" ht="20.100000000000001" customHeight="1" x14ac:dyDescent="0.25">
      <c r="A51"/>
      <c r="D51" s="7" t="s">
        <v>730</v>
      </c>
      <c r="E51" s="196">
        <f>SUM(P32:P40)</f>
        <v>6.0000000000000002E-6</v>
      </c>
      <c r="F51" s="65" t="str">
        <f t="shared" si="3"/>
        <v>t CO2-e</v>
      </c>
      <c r="H51" s="17"/>
      <c r="I51" s="17"/>
      <c r="J51" s="17"/>
      <c r="L51" s="17"/>
      <c r="N51" s="17"/>
      <c r="O51" s="17"/>
      <c r="P51" s="17"/>
      <c r="Q51" s="17"/>
    </row>
    <row r="52" spans="1:17" ht="20.100000000000001" customHeight="1" x14ac:dyDescent="0.25">
      <c r="A52"/>
      <c r="D52" s="7" t="s">
        <v>731</v>
      </c>
      <c r="E52" s="196">
        <f>SUM(Q32:Q40)</f>
        <v>2.6200000000000004E-3</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742</v>
      </c>
      <c r="E54" s="197"/>
      <c r="F54" s="195"/>
      <c r="G54" s="17"/>
      <c r="H54" s="17"/>
      <c r="I54" s="17"/>
      <c r="J54" s="17"/>
      <c r="L54" s="17"/>
      <c r="N54" s="17"/>
      <c r="O54" s="17"/>
      <c r="P54" s="17"/>
      <c r="Q54" s="17"/>
    </row>
    <row r="55" spans="1:17" ht="20.100000000000001" customHeight="1" x14ac:dyDescent="0.25">
      <c r="A55"/>
      <c r="D55" s="7" t="s">
        <v>728</v>
      </c>
      <c r="E55" s="196">
        <f>E43+E49</f>
        <v>1.204E-2</v>
      </c>
      <c r="F55" s="65" t="str">
        <f t="shared" ref="F55:F58" si="4">$E$12</f>
        <v>t CO2-e</v>
      </c>
      <c r="G55" s="17"/>
      <c r="H55" s="17"/>
      <c r="I55" s="17"/>
      <c r="J55" s="17"/>
      <c r="L55" s="17"/>
      <c r="N55" s="17"/>
      <c r="O55" s="17"/>
      <c r="P55" s="17"/>
      <c r="Q55" s="17"/>
    </row>
    <row r="56" spans="1:17" ht="20.100000000000001" customHeight="1" x14ac:dyDescent="0.25">
      <c r="A56"/>
      <c r="D56" s="7" t="s">
        <v>729</v>
      </c>
      <c r="E56" s="196">
        <f>E44+E50</f>
        <v>7.9999999999999996E-6</v>
      </c>
      <c r="F56" s="65" t="str">
        <f t="shared" si="4"/>
        <v>t CO2-e</v>
      </c>
    </row>
    <row r="57" spans="1:17" ht="20.100000000000001" customHeight="1" x14ac:dyDescent="0.25">
      <c r="A57"/>
      <c r="D57" s="7" t="s">
        <v>730</v>
      </c>
      <c r="E57" s="196">
        <f>E45+E51</f>
        <v>6.0000000000000002E-6</v>
      </c>
      <c r="F57" s="65" t="str">
        <f t="shared" si="4"/>
        <v>t CO2-e</v>
      </c>
      <c r="G57" s="17"/>
      <c r="H57" s="17"/>
      <c r="I57" s="17"/>
      <c r="J57" s="17"/>
      <c r="L57" s="17"/>
      <c r="N57" s="17"/>
      <c r="O57" s="17"/>
      <c r="P57" s="17"/>
      <c r="Q57" s="17"/>
    </row>
    <row r="58" spans="1:17" ht="20.100000000000001" customHeight="1" x14ac:dyDescent="0.25">
      <c r="A58"/>
      <c r="D58" s="7" t="s">
        <v>731</v>
      </c>
      <c r="E58" s="196">
        <f>E46+E52</f>
        <v>2.6200000000000004E-3</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1" ht="20.100000000000001" customHeight="1" x14ac:dyDescent="0.25"/>
    <row r="18" spans="1:11" ht="20.100000000000001" customHeight="1" x14ac:dyDescent="0.25"/>
    <row r="19" spans="1:11" ht="20.100000000000001" customHeight="1" x14ac:dyDescent="0.25">
      <c r="A19" s="21" t="s">
        <v>77</v>
      </c>
    </row>
    <row r="20" spans="1:11" ht="20.100000000000001" customHeight="1" x14ac:dyDescent="0.25">
      <c r="A20" s="16" t="str">
        <f>HYPERLINK("#'15 Scope 3'!A1", "15 Scope 3")</f>
        <v>15 Scope 3</v>
      </c>
    </row>
    <row r="21" spans="1:11" ht="20.100000000000001" customHeight="1" x14ac:dyDescent="0.25">
      <c r="A21" s="16" t="str">
        <f>HYPERLINK("#'10.1.1-2 Solid waste treatment'!A1", "10.1.1-2 Solid waste treatment")</f>
        <v>10.1.1-2 Solid waste treatment</v>
      </c>
    </row>
    <row r="22" spans="1:11" ht="20.100000000000001" customHeight="1" x14ac:dyDescent="0.25">
      <c r="A22" s="16" t="str">
        <f>HYPERLINK("#'Calcs - Manure sent off-site'!A1", "Calcs - Manure sent off-site")</f>
        <v>Calcs - Manure sent off-site</v>
      </c>
    </row>
    <row r="23" spans="1:11" ht="20.100000000000001" customHeight="1" x14ac:dyDescent="0.25">
      <c r="A23" s="16" t="str">
        <f>HYPERLINK("#'8.1.1.1-2 Transport fuel'!A1", "8.1.1.1-2 Transport fuel")</f>
        <v>8.1.1.1-2 Transport fuel</v>
      </c>
    </row>
    <row r="24" spans="1:11" ht="20.100000000000001" customHeight="1" x14ac:dyDescent="0.25">
      <c r="A24" s="16" t="str">
        <f>HYPERLINK("#'8.2.1.1-2 Stationary fuel'!A1", "8.2.1.1-2 Stationary fuel")</f>
        <v>8.2.1.1-2 Stationary fuel</v>
      </c>
    </row>
    <row r="25" spans="1:11" ht="20.100000000000001" customHeight="1" x14ac:dyDescent="0.25"/>
    <row r="26" spans="1:11" ht="20.100000000000001" customHeight="1" x14ac:dyDescent="0.25"/>
    <row r="27" spans="1:11" ht="20.100000000000001" customHeight="1" x14ac:dyDescent="0.25">
      <c r="A27" s="222" t="s">
        <v>78</v>
      </c>
    </row>
    <row r="28" spans="1:11" ht="20.100000000000001" customHeight="1" x14ac:dyDescent="0.25">
      <c r="A28" s="23" t="str">
        <f>HYPERLINK("#'Constants - Scope 3'!A1", "Constants - Scope 3")</f>
        <v>Constants - Scope 3</v>
      </c>
    </row>
    <row r="29" spans="1:11" ht="20.100000000000001" customHeight="1" x14ac:dyDescent="0.25">
      <c r="A29" s="16" t="str">
        <f>HYPERLINK("#'Constants - Solid Waste'!A1", "Constants - Solid Waste")</f>
        <v>Constants - Solid Waste</v>
      </c>
    </row>
    <row r="30" spans="1:11" ht="20.100000000000001" customHeight="1" x14ac:dyDescent="0.25">
      <c r="A30" s="16" t="str">
        <f>HYPERLINK("#'Constants - Fuel'!A1", "Constants - Fuel")</f>
        <v>Constants - Fuel</v>
      </c>
    </row>
    <row r="31" spans="1:11" ht="20.100000000000001" customHeight="1" x14ac:dyDescent="0.25">
      <c r="A31" s="16" t="str">
        <f>HYPERLINK("#'Constants - Poultry'!A1", "Constants - Poultry")</f>
        <v>Constants - Poultry</v>
      </c>
    </row>
    <row r="32" spans="1:11" ht="20.100000000000001" customHeight="1" x14ac:dyDescent="0.25">
      <c r="A32" s="16" t="str">
        <f>HYPERLINK("#'Constants - Swine'!A1", "Constants - Swine")</f>
        <v>Constants - Swine</v>
      </c>
      <c r="D32" s="9" t="s">
        <v>364</v>
      </c>
      <c r="K32" s="8" t="s">
        <v>435</v>
      </c>
    </row>
    <row r="33" spans="1:12" ht="20.100000000000001" customHeight="1" x14ac:dyDescent="0.25">
      <c r="A33" s="16" t="str">
        <f>HYPERLINK("#'Constants - Dairy'!A1", "Constants - Dairy")</f>
        <v>Constants - Dairy</v>
      </c>
      <c r="D33" s="10" t="s">
        <v>319</v>
      </c>
      <c r="E33" s="10" t="s">
        <v>217</v>
      </c>
      <c r="F33" s="10" t="s">
        <v>320</v>
      </c>
      <c r="G33" s="10" t="s">
        <v>284</v>
      </c>
      <c r="H33" s="10" t="s">
        <v>285</v>
      </c>
      <c r="I33" s="10" t="s">
        <v>365</v>
      </c>
      <c r="K33" s="10" t="s">
        <v>389</v>
      </c>
      <c r="L33" s="10" t="s">
        <v>518</v>
      </c>
    </row>
    <row r="34" spans="1:12"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314</v>
      </c>
      <c r="L34" s="10" t="s">
        <v>338</v>
      </c>
    </row>
    <row r="35" spans="1:12"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338</v>
      </c>
      <c r="L35" s="10" t="s">
        <v>338</v>
      </c>
    </row>
    <row r="36" spans="1:12"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396</v>
      </c>
      <c r="L36" s="10" t="s">
        <v>396</v>
      </c>
    </row>
    <row r="37" spans="1:12"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393</v>
      </c>
      <c r="L37" s="10" t="s">
        <v>393</v>
      </c>
    </row>
    <row r="38" spans="1:12"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344</v>
      </c>
      <c r="L38" s="10" t="s">
        <v>344</v>
      </c>
    </row>
    <row r="39" spans="1: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439</v>
      </c>
      <c r="L39" s="10" t="s">
        <v>345</v>
      </c>
    </row>
    <row r="40" spans="1: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438</v>
      </c>
      <c r="L40" s="10" t="s">
        <v>345</v>
      </c>
    </row>
    <row r="41" spans="1: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440</v>
      </c>
      <c r="L41" s="10" t="s">
        <v>345</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441</v>
      </c>
      <c r="L42" s="10" t="s">
        <v>437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442</v>
      </c>
      <c r="L43" s="10" t="s">
        <v>437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443</v>
      </c>
      <c r="L44" s="10" t="s">
        <v>437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444</v>
      </c>
      <c r="L45" s="10" t="s">
        <v>339</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445</v>
      </c>
      <c r="L46" s="10" t="s">
        <v>339</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446</v>
      </c>
      <c r="L47" s="10" t="s">
        <v>339</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447</v>
      </c>
      <c r="L48" s="10" t="s">
        <v>339</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337</v>
      </c>
      <c r="L49" s="8" t="s">
        <v>337</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367</v>
      </c>
    </row>
    <row r="77" spans="4:9" ht="20.100000000000001" customHeight="1" x14ac:dyDescent="0.25">
      <c r="D77" s="10" t="s">
        <v>319</v>
      </c>
      <c r="E77" s="10" t="s">
        <v>217</v>
      </c>
      <c r="F77" s="10" t="s">
        <v>320</v>
      </c>
      <c r="G77" s="10" t="s">
        <v>284</v>
      </c>
      <c r="H77" s="10" t="s">
        <v>285</v>
      </c>
      <c r="I77" s="10" t="s">
        <v>365</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319</v>
      </c>
      <c r="E82" s="10" t="s">
        <v>217</v>
      </c>
      <c r="F82" s="10" t="s">
        <v>320</v>
      </c>
      <c r="G82" s="10" t="s">
        <v>284</v>
      </c>
      <c r="H82" s="10" t="s">
        <v>285</v>
      </c>
      <c r="I82" s="10" t="s">
        <v>365</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368</v>
      </c>
    </row>
    <row r="89" spans="4:16" ht="20.100000000000001" customHeight="1" x14ac:dyDescent="0.25">
      <c r="D89" s="10" t="s">
        <v>319</v>
      </c>
      <c r="E89" s="10" t="s">
        <v>217</v>
      </c>
      <c r="F89" s="10" t="s">
        <v>320</v>
      </c>
      <c r="G89" s="10" t="s">
        <v>284</v>
      </c>
      <c r="H89" s="10" t="s">
        <v>285</v>
      </c>
      <c r="I89" s="10" t="s">
        <v>365</v>
      </c>
      <c r="K89" s="10" t="s">
        <v>217</v>
      </c>
      <c r="L89" s="10" t="s">
        <v>389</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217</v>
      </c>
      <c r="O90" s="10" t="s">
        <v>389</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217</v>
      </c>
      <c r="L98" s="10" t="s">
        <v>389</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217</v>
      </c>
      <c r="O105" s="10" t="s">
        <v>389</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217</v>
      </c>
      <c r="L110" s="10" t="s">
        <v>389</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217</v>
      </c>
      <c r="O118" s="10" t="s">
        <v>389</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217</v>
      </c>
      <c r="L125" s="10" t="s">
        <v>389</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217</v>
      </c>
      <c r="O131" s="10" t="s">
        <v>389</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217</v>
      </c>
      <c r="L138" s="10" t="s">
        <v>389</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217</v>
      </c>
      <c r="O144" s="10" t="s">
        <v>389</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217</v>
      </c>
      <c r="L151" s="153" t="s">
        <v>389</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217</v>
      </c>
      <c r="O152" s="10" t="s">
        <v>389</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217</v>
      </c>
      <c r="L153" s="10" t="s">
        <v>389</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217</v>
      </c>
      <c r="O154" s="10" t="s">
        <v>389</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217</v>
      </c>
      <c r="L155" s="10" t="s">
        <v>389</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217</v>
      </c>
      <c r="O156" s="10" t="s">
        <v>389</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217</v>
      </c>
      <c r="L157" s="10" t="s">
        <v>389</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217</v>
      </c>
      <c r="O158" s="10" t="s">
        <v>389</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319</v>
      </c>
      <c r="E161" s="10" t="s">
        <v>217</v>
      </c>
      <c r="F161" s="10" t="s">
        <v>320</v>
      </c>
      <c r="G161" s="10" t="s">
        <v>284</v>
      </c>
      <c r="H161" s="10" t="s">
        <v>285</v>
      </c>
      <c r="I161" s="10" t="s">
        <v>365</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319</v>
      </c>
      <c r="E167" s="10" t="s">
        <v>217</v>
      </c>
      <c r="F167" s="10" t="s">
        <v>320</v>
      </c>
      <c r="G167" s="10" t="s">
        <v>284</v>
      </c>
      <c r="H167" s="10" t="s">
        <v>285</v>
      </c>
      <c r="I167" s="10" t="s">
        <v>365</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351</v>
      </c>
    </row>
    <row r="173" spans="4:13" ht="20.100000000000001" customHeight="1" x14ac:dyDescent="0.25">
      <c r="D173" s="10" t="s">
        <v>319</v>
      </c>
      <c r="E173" s="10" t="s">
        <v>217</v>
      </c>
      <c r="F173" s="10" t="s">
        <v>320</v>
      </c>
      <c r="G173" s="10" t="s">
        <v>282</v>
      </c>
      <c r="H173" s="10" t="s">
        <v>172</v>
      </c>
      <c r="I173" s="10" t="s">
        <v>173</v>
      </c>
      <c r="J173" s="10" t="s">
        <v>283</v>
      </c>
      <c r="K173" s="10" t="s">
        <v>284</v>
      </c>
      <c r="L173" s="10" t="s">
        <v>285</v>
      </c>
      <c r="M173" s="10" t="s">
        <v>365</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369</v>
      </c>
      <c r="N200" s="10"/>
      <c r="O200" s="10"/>
      <c r="P200" s="10"/>
    </row>
    <row r="201" spans="4:16" ht="20.100000000000001" customHeight="1" x14ac:dyDescent="0.25">
      <c r="D201" s="10" t="s">
        <v>319</v>
      </c>
      <c r="E201" s="10" t="s">
        <v>217</v>
      </c>
      <c r="F201" s="10" t="s">
        <v>320</v>
      </c>
      <c r="G201" s="10" t="s">
        <v>284</v>
      </c>
      <c r="H201" s="10" t="s">
        <v>285</v>
      </c>
      <c r="I201" s="10" t="s">
        <v>365</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370</v>
      </c>
    </row>
    <row r="212" spans="4:16" ht="20.100000000000001" customHeight="1" x14ac:dyDescent="0.25">
      <c r="D212" s="10" t="s">
        <v>319</v>
      </c>
      <c r="E212" s="10" t="s">
        <v>217</v>
      </c>
      <c r="F212" s="10" t="s">
        <v>320</v>
      </c>
      <c r="G212" s="10" t="s">
        <v>284</v>
      </c>
      <c r="H212" s="10" t="s">
        <v>285</v>
      </c>
      <c r="I212" s="10" t="s">
        <v>365</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371</v>
      </c>
    </row>
    <row r="219" spans="4:16" ht="20.100000000000001" customHeight="1" x14ac:dyDescent="0.25">
      <c r="D219" s="10" t="s">
        <v>319</v>
      </c>
      <c r="E219" s="10" t="s">
        <v>217</v>
      </c>
      <c r="F219" s="10" t="s">
        <v>320</v>
      </c>
      <c r="G219" s="10" t="s">
        <v>284</v>
      </c>
      <c r="H219" s="10" t="s">
        <v>285</v>
      </c>
      <c r="I219" s="10" t="s">
        <v>365</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372</v>
      </c>
    </row>
    <row r="234" spans="4:9" ht="20.100000000000001" customHeight="1" x14ac:dyDescent="0.25">
      <c r="D234" s="10" t="s">
        <v>319</v>
      </c>
      <c r="E234" s="10" t="s">
        <v>217</v>
      </c>
      <c r="F234" s="10" t="s">
        <v>320</v>
      </c>
      <c r="G234" s="10" t="s">
        <v>284</v>
      </c>
      <c r="H234" s="10" t="s">
        <v>285</v>
      </c>
      <c r="I234" s="10" t="s">
        <v>365</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774</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775</v>
      </c>
      <c r="K15" s="8" t="s">
        <v>776</v>
      </c>
      <c r="M15" s="8" t="s">
        <v>777</v>
      </c>
      <c r="O15" s="8" t="s">
        <v>778</v>
      </c>
    </row>
    <row r="16" spans="1:35" ht="20.100000000000001" customHeight="1" x14ac:dyDescent="0.25">
      <c r="A16" s="16" t="str">
        <f>HYPERLINK("#'Input - Electricity'!A1", "Electricity")</f>
        <v>Electricity</v>
      </c>
      <c r="D16" s="10" t="s">
        <v>779</v>
      </c>
      <c r="E16" s="10" t="s">
        <v>780</v>
      </c>
      <c r="F16" s="10" t="s">
        <v>781</v>
      </c>
      <c r="G16" s="10" t="s">
        <v>782</v>
      </c>
      <c r="I16" s="10" t="s">
        <v>780</v>
      </c>
      <c r="K16" s="160" t="s">
        <v>780</v>
      </c>
      <c r="M16" s="160" t="s">
        <v>780</v>
      </c>
      <c r="O16" s="160" t="s">
        <v>780</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22"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780</v>
      </c>
      <c r="E57" s="10" t="s">
        <v>783</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22"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714</v>
      </c>
      <c r="F112" s="20" t="s">
        <v>715</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576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577</v>
      </c>
      <c r="E8" s="10" t="s">
        <v>578</v>
      </c>
      <c r="F8" s="10" t="s">
        <v>579</v>
      </c>
      <c r="G8" s="10" t="s">
        <v>580</v>
      </c>
      <c r="H8" s="10" t="s">
        <v>581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582</v>
      </c>
      <c r="E19" s="10" t="s">
        <v>583</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584</v>
      </c>
      <c r="G26" s="9" t="s">
        <v>585</v>
      </c>
      <c r="J26" s="9" t="s">
        <v>586</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59" t="s">
        <v>527</v>
      </c>
      <c r="E28" s="10" t="s">
        <v>331</v>
      </c>
      <c r="G28" s="159" t="s">
        <v>527</v>
      </c>
      <c r="H28" s="10" t="s">
        <v>331</v>
      </c>
      <c r="J28" s="159" t="s">
        <v>527</v>
      </c>
      <c r="K28" s="10" t="s">
        <v>331</v>
      </c>
      <c r="M28" s="8"/>
    </row>
    <row r="29" spans="1:13" ht="20.100000000000001" customHeight="1" x14ac:dyDescent="0.25">
      <c r="A29" s="16" t="str">
        <f>HYPERLINK("#'Constants - Solid Waste'!A1", "Constants - Solid Waste")</f>
        <v>Constants - Solid Waste</v>
      </c>
      <c r="D29" s="10" t="s">
        <v>58</v>
      </c>
      <c r="E29" s="10" t="s">
        <v>587</v>
      </c>
      <c r="G29" s="10" t="s">
        <v>58</v>
      </c>
      <c r="H29" s="10" t="s">
        <v>587</v>
      </c>
      <c r="J29" s="10" t="s">
        <v>55</v>
      </c>
      <c r="K29" s="10" t="s">
        <v>588</v>
      </c>
      <c r="M29" s="8"/>
    </row>
    <row r="30" spans="1:13" ht="20.100000000000001" customHeight="1" x14ac:dyDescent="0.25">
      <c r="A30" s="16" t="str">
        <f>HYPERLINK("#'Constants - Fuel'!A1", "Constants - Fuel")</f>
        <v>Constants - Fuel</v>
      </c>
      <c r="D30" s="10" t="s">
        <v>589</v>
      </c>
      <c r="E30" s="10" t="s">
        <v>590</v>
      </c>
      <c r="G30" s="10" t="s">
        <v>589</v>
      </c>
      <c r="H30" s="10" t="s">
        <v>590</v>
      </c>
      <c r="J30" s="10" t="s">
        <v>54</v>
      </c>
      <c r="K30" s="10" t="s">
        <v>591</v>
      </c>
      <c r="M30" s="8"/>
    </row>
    <row r="31" spans="1:13" ht="20.100000000000001" customHeight="1" x14ac:dyDescent="0.25">
      <c r="A31" s="23" t="str">
        <f>HYPERLINK("#'Constants - Poultry'!A1", "Constants - Poultry")</f>
        <v>Constants - Poultry</v>
      </c>
      <c r="D31" s="10" t="s">
        <v>592</v>
      </c>
      <c r="E31" s="10" t="s">
        <v>593</v>
      </c>
      <c r="G31" s="10" t="s">
        <v>592</v>
      </c>
      <c r="H31" s="10" t="s">
        <v>593</v>
      </c>
      <c r="J31" s="8" t="s">
        <v>51</v>
      </c>
      <c r="K31" s="8" t="s">
        <v>594</v>
      </c>
      <c r="M31" s="8"/>
    </row>
    <row r="32" spans="1:13" ht="20.100000000000001" customHeight="1" x14ac:dyDescent="0.25">
      <c r="A32" s="16" t="str">
        <f>HYPERLINK("#'Constants - Swine'!A1", "Constants - Swine")</f>
        <v>Constants - Swine</v>
      </c>
      <c r="D32" s="10" t="s">
        <v>62</v>
      </c>
      <c r="E32" s="10" t="s">
        <v>595</v>
      </c>
      <c r="G32" s="10" t="s">
        <v>62</v>
      </c>
      <c r="H32" s="10" t="s">
        <v>595</v>
      </c>
      <c r="J32" s="10" t="s">
        <v>60</v>
      </c>
      <c r="K32" s="10" t="s">
        <v>596</v>
      </c>
      <c r="M32" s="8"/>
    </row>
    <row r="33" spans="1:13" ht="20.100000000000001" customHeight="1" x14ac:dyDescent="0.25">
      <c r="A33" s="16" t="str">
        <f>HYPERLINK("#'Constants - Dairy'!A1", "Constants - Dairy")</f>
        <v>Constants - Dairy</v>
      </c>
      <c r="D33" s="10" t="s">
        <v>55</v>
      </c>
      <c r="E33" s="10" t="s">
        <v>588</v>
      </c>
      <c r="G33" s="8" t="s">
        <v>597</v>
      </c>
      <c r="H33" s="10" t="s">
        <v>597</v>
      </c>
      <c r="J33" s="10" t="s">
        <v>61</v>
      </c>
      <c r="K33" s="10" t="s">
        <v>598</v>
      </c>
      <c r="M33" s="8"/>
    </row>
    <row r="34" spans="1:13" ht="20.100000000000001" customHeight="1" x14ac:dyDescent="0.25">
      <c r="A34" s="16" t="str">
        <f>HYPERLINK("#'Constants - Pasture Beef'!A1", "Constants - Pasture Beef")</f>
        <v>Constants - Pasture Beef</v>
      </c>
      <c r="D34" s="10" t="s">
        <v>54</v>
      </c>
      <c r="E34" s="10" t="s">
        <v>591</v>
      </c>
      <c r="J34" s="8" t="s">
        <v>597</v>
      </c>
      <c r="K34" s="10" t="s">
        <v>597</v>
      </c>
      <c r="M34" s="8"/>
    </row>
    <row r="35" spans="1:13" ht="20.100000000000001" customHeight="1" x14ac:dyDescent="0.25">
      <c r="A35" s="16" t="str">
        <f>HYPERLINK("#'Constants - Common Livestock'!A1", "Constants - Common Livestock")</f>
        <v>Constants - Common Livestock</v>
      </c>
      <c r="D35" s="8" t="s">
        <v>51</v>
      </c>
      <c r="E35" s="8" t="s">
        <v>594</v>
      </c>
      <c r="M35" s="8"/>
    </row>
    <row r="36" spans="1:13" ht="20.100000000000001" customHeight="1" x14ac:dyDescent="0.25">
      <c r="A36" s="16" t="str">
        <f>HYPERLINK("#'Constants - Fertiliser'!A1", "Constants - Fertiliser")</f>
        <v>Constants - Fertiliser</v>
      </c>
      <c r="D36" s="10" t="s">
        <v>60</v>
      </c>
      <c r="E36" s="10" t="s">
        <v>596</v>
      </c>
      <c r="M36" s="8"/>
    </row>
    <row r="37" spans="1:13" ht="20.100000000000001" customHeight="1" x14ac:dyDescent="0.25">
      <c r="A37" s="16" t="str">
        <f>HYPERLINK("#'Constants - Electricity'!A1", "Constants - Electricity")</f>
        <v>Constants - Electricity</v>
      </c>
      <c r="D37" s="10" t="s">
        <v>61</v>
      </c>
      <c r="E37" s="10" t="s">
        <v>598</v>
      </c>
      <c r="M37" s="8"/>
    </row>
    <row r="38" spans="1:13" ht="20.100000000000001" customHeight="1" x14ac:dyDescent="0.25">
      <c r="A38" s="16" t="str">
        <f>HYPERLINK("#'Constants - Common'!A1", "Constants - Common")</f>
        <v>Constants - Common</v>
      </c>
      <c r="D38" s="8" t="s">
        <v>597</v>
      </c>
      <c r="E38" s="10" t="s">
        <v>597</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599</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535</v>
      </c>
      <c r="E59" s="10" t="s">
        <v>600</v>
      </c>
      <c r="F59" s="10" t="s">
        <v>338</v>
      </c>
      <c r="G59" s="10" t="s">
        <v>314</v>
      </c>
      <c r="H59" s="10" t="s">
        <v>339</v>
      </c>
      <c r="I59" s="10" t="s">
        <v>437</v>
      </c>
      <c r="J59" s="10" t="s">
        <v>344</v>
      </c>
      <c r="K59" s="10" t="s">
        <v>396</v>
      </c>
      <c r="L59" s="10" t="s">
        <v>345</v>
      </c>
      <c r="M59" s="10" t="s">
        <v>393</v>
      </c>
      <c r="N59" s="10" t="s">
        <v>552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527</v>
      </c>
      <c r="E75" s="10" t="s">
        <v>558</v>
      </c>
      <c r="F75" s="10" t="s">
        <v>552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564</v>
      </c>
      <c r="E84" s="10" t="s">
        <v>565</v>
      </c>
      <c r="F84" s="10" t="s">
        <v>536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564</v>
      </c>
      <c r="E97" s="10" t="s">
        <v>566</v>
      </c>
      <c r="F97" s="10" t="s">
        <v>536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601</v>
      </c>
      <c r="E119" s="10" t="s">
        <v>568</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04" zoomScaleNormal="100" workbookViewId="0">
      <selection activeCell="D120" sqref="D120:F13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548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549</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57" t="s">
        <v>550</v>
      </c>
      <c r="M24" s="8"/>
    </row>
    <row r="25" spans="1:13" ht="20.100000000000001" customHeight="1" x14ac:dyDescent="0.25">
      <c r="A25"/>
      <c r="D25" s="11" t="str" cm="1">
        <f t="array" ref="D25">SourceData_Swine.SourceData_Swine_MMS_MCFs_Source()</f>
        <v>VEERG 2026: Table A.1.6.4: Swine - MCFs (MCFim)</v>
      </c>
      <c r="H25" s="157" t="s">
        <v>551</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0" t="s">
        <v>527</v>
      </c>
      <c r="E28" s="10" t="s">
        <v>338</v>
      </c>
      <c r="F28" s="10" t="s">
        <v>314</v>
      </c>
      <c r="G28" s="10" t="s">
        <v>339</v>
      </c>
      <c r="H28" s="10" t="s">
        <v>437</v>
      </c>
      <c r="I28" s="10" t="s">
        <v>396</v>
      </c>
      <c r="J28" s="10" t="s">
        <v>393</v>
      </c>
      <c r="K28" s="10" t="s">
        <v>344</v>
      </c>
      <c r="L28" s="10" t="s">
        <v>345</v>
      </c>
      <c r="M28" s="10" t="s">
        <v>552</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553</v>
      </c>
      <c r="G38" s="9" t="s">
        <v>554</v>
      </c>
      <c r="K38" s="9" t="s">
        <v>555</v>
      </c>
      <c r="M38" s="8"/>
    </row>
    <row r="39" spans="1:13" ht="20.100000000000001" customHeight="1" x14ac:dyDescent="0.25">
      <c r="A39"/>
      <c r="M39" s="8"/>
    </row>
    <row r="40" spans="1:13" ht="20.100000000000001" customHeight="1" x14ac:dyDescent="0.25">
      <c r="A40"/>
      <c r="D40" s="159" t="s">
        <v>527</v>
      </c>
      <c r="E40" s="10" t="s">
        <v>331</v>
      </c>
      <c r="G40" s="159" t="s">
        <v>527</v>
      </c>
      <c r="H40" s="10" t="s">
        <v>331</v>
      </c>
      <c r="K40" s="159" t="s">
        <v>527</v>
      </c>
      <c r="L40" s="10" t="s">
        <v>331</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556</v>
      </c>
      <c r="G51" s="9" t="s">
        <v>557</v>
      </c>
      <c r="M51" s="8"/>
    </row>
    <row r="52" spans="1:13" ht="20.100000000000001" customHeight="1" x14ac:dyDescent="0.25">
      <c r="A52"/>
      <c r="M52" s="8"/>
    </row>
    <row r="53" spans="1:13" ht="20.100000000000001" customHeight="1" x14ac:dyDescent="0.25">
      <c r="A53"/>
      <c r="D53" s="159" t="s">
        <v>527</v>
      </c>
      <c r="E53" s="10" t="s">
        <v>558</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324</v>
      </c>
      <c r="E67" s="10" t="s">
        <v>559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324</v>
      </c>
      <c r="E78" s="10" t="s">
        <v>560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324</v>
      </c>
      <c r="E89" s="10" t="s">
        <v>561</v>
      </c>
      <c r="F89" s="10" t="s">
        <v>562</v>
      </c>
      <c r="G89" s="10" t="s">
        <v>563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564</v>
      </c>
      <c r="E99" s="10" t="s">
        <v>565</v>
      </c>
      <c r="F99" s="10" t="s">
        <v>536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564</v>
      </c>
      <c r="E111" s="10" t="s">
        <v>566</v>
      </c>
      <c r="F111" s="10" t="s">
        <v>536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567</v>
      </c>
      <c r="E127" s="10" t="s">
        <v>568</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524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525</v>
      </c>
      <c r="G5" s="9" t="s">
        <v>526</v>
      </c>
      <c r="J5" s="9" t="s">
        <v>143</v>
      </c>
      <c r="M5" s="8"/>
    </row>
    <row r="6" spans="1:21" ht="20.100000000000001" customHeight="1" x14ac:dyDescent="0.25">
      <c r="A6"/>
      <c r="M6" s="8"/>
    </row>
    <row r="7" spans="1:21" ht="20.100000000000001" customHeight="1" x14ac:dyDescent="0.25">
      <c r="A7" s="19" t="s">
        <v>67</v>
      </c>
      <c r="D7" s="159" t="s">
        <v>527</v>
      </c>
      <c r="E7" s="10" t="s">
        <v>331</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506</v>
      </c>
      <c r="E21" s="10" t="s">
        <v>519</v>
      </c>
      <c r="F21" s="10" t="s">
        <v>528</v>
      </c>
      <c r="G21" s="10" t="s">
        <v>520</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22"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506</v>
      </c>
      <c r="E38" s="10" t="s">
        <v>529</v>
      </c>
      <c r="F38" s="10" t="s">
        <v>530</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519</v>
      </c>
      <c r="E46" s="10" t="s">
        <v>528</v>
      </c>
      <c r="F46" s="10" t="s">
        <v>520</v>
      </c>
      <c r="G46" s="10" t="s">
        <v>529</v>
      </c>
      <c r="H46" s="10" t="s">
        <v>530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519</v>
      </c>
      <c r="E54" s="160" t="s">
        <v>528</v>
      </c>
      <c r="F54" s="160" t="s">
        <v>520</v>
      </c>
      <c r="G54" s="160" t="s">
        <v>529</v>
      </c>
      <c r="H54" s="160" t="s">
        <v>530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531</v>
      </c>
      <c r="E62" s="10" t="s">
        <v>532</v>
      </c>
      <c r="F62" s="10" t="s">
        <v>533</v>
      </c>
      <c r="G62" s="10" t="s">
        <v>534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535</v>
      </c>
      <c r="E72" s="10" t="s">
        <v>314</v>
      </c>
      <c r="F72" s="10" t="s">
        <v>338</v>
      </c>
      <c r="G72" s="10" t="s">
        <v>437</v>
      </c>
      <c r="H72" s="10" t="s">
        <v>339</v>
      </c>
      <c r="I72" s="10" t="s">
        <v>396</v>
      </c>
      <c r="J72" s="10" t="s">
        <v>393</v>
      </c>
      <c r="K72" s="10" t="s">
        <v>344</v>
      </c>
      <c r="L72" s="10" t="s">
        <v>345</v>
      </c>
      <c r="M72" s="10" t="s">
        <v>536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535</v>
      </c>
      <c r="E86" s="10" t="s">
        <v>537</v>
      </c>
      <c r="F86" s="10" t="s">
        <v>538</v>
      </c>
      <c r="G86" s="10" t="s">
        <v>536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531</v>
      </c>
      <c r="E98" s="10" t="s">
        <v>539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531</v>
      </c>
      <c r="E107" s="10" t="s">
        <v>540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541</v>
      </c>
      <c r="E116" s="10" t="s">
        <v>147</v>
      </c>
      <c r="F116" s="10" t="s">
        <v>542</v>
      </c>
      <c r="G116" s="10" t="s">
        <v>543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535</v>
      </c>
      <c r="E128" s="10" t="s">
        <v>537</v>
      </c>
      <c r="F128" s="10" t="s">
        <v>536</v>
      </c>
      <c r="G128" s="157" t="s">
        <v>544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531</v>
      </c>
      <c r="E141" s="10" t="s">
        <v>545</v>
      </c>
      <c r="F141" s="10" t="s">
        <v>546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448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449</v>
      </c>
      <c r="G5" s="9" t="s">
        <v>143</v>
      </c>
      <c r="M5" s="8" t="s">
        <v>450</v>
      </c>
      <c r="O5" s="8" t="s">
        <v>451</v>
      </c>
      <c r="Q5" s="8" t="s">
        <v>452</v>
      </c>
      <c r="S5" s="8" t="s">
        <v>453</v>
      </c>
    </row>
    <row r="6" spans="1:21" ht="20.100000000000001" customHeight="1" x14ac:dyDescent="0.25">
      <c r="A6"/>
      <c r="M6" s="8"/>
    </row>
    <row r="7" spans="1:21" ht="20.100000000000001" customHeight="1" x14ac:dyDescent="0.25">
      <c r="A7" s="19" t="s">
        <v>67</v>
      </c>
      <c r="D7" s="10" t="s">
        <v>145</v>
      </c>
      <c r="G7" s="10" t="s">
        <v>43</v>
      </c>
      <c r="M7" s="3" t="s">
        <v>389</v>
      </c>
      <c r="O7" s="10" t="s">
        <v>389</v>
      </c>
      <c r="Q7" s="10" t="s">
        <v>389</v>
      </c>
      <c r="S7" s="10" t="s">
        <v>389</v>
      </c>
    </row>
    <row r="8" spans="1:21" ht="20.100000000000001" customHeight="1" x14ac:dyDescent="0.25">
      <c r="A8" s="16" t="str">
        <f>HYPERLINK("#'Input - Site'!A1", "Site")</f>
        <v>Site</v>
      </c>
      <c r="D8" s="10" t="str">
        <f>'Constants - Common'!$F$187</f>
        <v>Pasture</v>
      </c>
      <c r="G8" s="10" t="s">
        <v>148</v>
      </c>
      <c r="M8" s="10" t="s">
        <v>454</v>
      </c>
      <c r="O8" s="10" t="s">
        <v>455</v>
      </c>
      <c r="Q8" s="10" t="s">
        <v>456</v>
      </c>
      <c r="S8" s="10" t="s">
        <v>436</v>
      </c>
    </row>
    <row r="9" spans="1:21" ht="20.100000000000001" customHeight="1" x14ac:dyDescent="0.25">
      <c r="A9" s="16" t="str">
        <f>HYPERLINK("#'Input - Fuel'!A1", "Fuel")</f>
        <v>Fuel</v>
      </c>
      <c r="D9" s="8" t="str">
        <f>'Constants - Common'!$F$188</f>
        <v>Crop</v>
      </c>
      <c r="G9" s="10" t="s">
        <v>152</v>
      </c>
      <c r="M9" s="10" t="s">
        <v>457</v>
      </c>
      <c r="O9" s="10" t="s">
        <v>458</v>
      </c>
      <c r="Q9" s="10" t="s">
        <v>459</v>
      </c>
    </row>
    <row r="10" spans="1:21" ht="20.100000000000001" customHeight="1" x14ac:dyDescent="0.25">
      <c r="A10" s="16" t="str">
        <f>HYPERLINK("#'Input - Fertiliser'!A1", "Fertiliser")</f>
        <v>Fertiliser</v>
      </c>
      <c r="G10" s="8" t="s">
        <v>155</v>
      </c>
      <c r="M10" s="10" t="s">
        <v>460</v>
      </c>
      <c r="O10" s="10" t="s">
        <v>461</v>
      </c>
      <c r="Q10" s="10" t="s">
        <v>462</v>
      </c>
      <c r="S10" s="8" t="s">
        <v>463</v>
      </c>
    </row>
    <row r="11" spans="1:21" ht="20.100000000000001" customHeight="1" x14ac:dyDescent="0.25">
      <c r="A11" s="16" t="str">
        <f>HYPERLINK("#'Input - Farm Inputs'!A1", "Farm Inputs")</f>
        <v>Farm Inputs</v>
      </c>
      <c r="G11" s="8" t="s">
        <v>158</v>
      </c>
      <c r="M11" s="8"/>
      <c r="Q11" s="10" t="s">
        <v>464</v>
      </c>
    </row>
    <row r="12" spans="1:21" ht="20.100000000000001" customHeight="1" x14ac:dyDescent="0.25">
      <c r="A12" s="16" t="str">
        <f>HYPERLINK("#'Input - Livestock purchases'!A1", "Livestock purchases")</f>
        <v>Livestock purchases</v>
      </c>
      <c r="G12" s="8" t="s">
        <v>160</v>
      </c>
      <c r="M12" s="8"/>
      <c r="S12" s="10" t="s">
        <v>389</v>
      </c>
    </row>
    <row r="13" spans="1:21" ht="20.100000000000001" customHeight="1" x14ac:dyDescent="0.25">
      <c r="A13" s="16" t="str">
        <f>HYPERLINK("#'Input - Freight'!A1", "Freight")</f>
        <v>Freight</v>
      </c>
      <c r="M13" s="8"/>
      <c r="S13" s="10" t="s">
        <v>436</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465</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517</v>
      </c>
      <c r="S17" s="10" t="s">
        <v>389</v>
      </c>
    </row>
    <row r="18" spans="1:19" ht="20.100000000000001" customHeight="1" x14ac:dyDescent="0.25">
      <c r="A18"/>
      <c r="D18" s="10" t="s">
        <v>279</v>
      </c>
      <c r="E18" s="10" t="s">
        <v>389</v>
      </c>
      <c r="F18" s="10" t="s">
        <v>47</v>
      </c>
      <c r="G18" s="10" t="s">
        <v>466</v>
      </c>
      <c r="H18" s="10" t="s">
        <v>467</v>
      </c>
      <c r="I18" s="10" t="s">
        <v>468</v>
      </c>
      <c r="J18" s="10" t="s">
        <v>469</v>
      </c>
      <c r="K18" s="10" t="s">
        <v>470</v>
      </c>
      <c r="L18" s="10" t="s">
        <v>471</v>
      </c>
      <c r="M18" s="10" t="s">
        <v>472</v>
      </c>
      <c r="O18" s="10" t="s">
        <v>286</v>
      </c>
      <c r="S18" s="10" t="s">
        <v>436</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473</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389</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436</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474</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22"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389</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436</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279</v>
      </c>
      <c r="E53" s="10" t="s">
        <v>389</v>
      </c>
      <c r="F53" s="10" t="s">
        <v>47</v>
      </c>
      <c r="G53" s="10" t="s">
        <v>475</v>
      </c>
      <c r="H53" s="10" t="s">
        <v>476</v>
      </c>
      <c r="I53" s="10" t="s">
        <v>477</v>
      </c>
      <c r="J53" s="10" t="s">
        <v>478</v>
      </c>
      <c r="K53" s="10" t="s">
        <v>479</v>
      </c>
      <c r="L53" s="10" t="s">
        <v>480</v>
      </c>
      <c r="M53" s="10" t="s">
        <v>481</v>
      </c>
      <c r="N53" s="10" t="s">
        <v>482</v>
      </c>
      <c r="O53" s="10" t="s">
        <v>483</v>
      </c>
      <c r="P53" s="10" t="s">
        <v>484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485</v>
      </c>
      <c r="M84" s="8"/>
    </row>
    <row r="85" spans="1:22" ht="20.100000000000001" customHeight="1" x14ac:dyDescent="0.25">
      <c r="A85"/>
      <c r="D85" s="10" t="s">
        <v>279</v>
      </c>
      <c r="E85" s="10" t="s">
        <v>389</v>
      </c>
      <c r="F85" s="10" t="s">
        <v>47</v>
      </c>
      <c r="G85" s="156" t="s">
        <v>486</v>
      </c>
      <c r="H85" s="156" t="s">
        <v>487</v>
      </c>
      <c r="I85" s="156" t="s">
        <v>488</v>
      </c>
      <c r="J85" s="156" t="s">
        <v>489</v>
      </c>
      <c r="K85" s="156" t="s">
        <v>490</v>
      </c>
      <c r="L85" s="156" t="s">
        <v>491</v>
      </c>
      <c r="M85" s="156" t="s">
        <v>492</v>
      </c>
      <c r="N85" s="156" t="s">
        <v>493</v>
      </c>
      <c r="O85" s="156" t="s">
        <v>494</v>
      </c>
      <c r="P85" s="156" t="s">
        <v>495</v>
      </c>
      <c r="V85" s="8"/>
    </row>
    <row r="86" spans="1:22" ht="20.100000000000001" customHeight="1" x14ac:dyDescent="0.25">
      <c r="A86"/>
      <c r="D86" s="10" t="s">
        <v>314</v>
      </c>
      <c r="E86" s="10" t="s">
        <v>436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314</v>
      </c>
      <c r="E87" s="10" t="s">
        <v>436</v>
      </c>
      <c r="F87" s="10" t="s">
        <v>496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314</v>
      </c>
      <c r="E88" s="10" t="s">
        <v>436</v>
      </c>
      <c r="F88" s="10" t="s">
        <v>497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314</v>
      </c>
      <c r="E89" s="10" t="s">
        <v>436</v>
      </c>
      <c r="F89" s="10" t="s">
        <v>498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338</v>
      </c>
      <c r="E90" s="10" t="s">
        <v>436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338</v>
      </c>
      <c r="E91" s="10" t="s">
        <v>436</v>
      </c>
      <c r="F91" s="10" t="s">
        <v>496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338</v>
      </c>
      <c r="E92" s="10" t="s">
        <v>436</v>
      </c>
      <c r="F92" s="10" t="s">
        <v>497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338</v>
      </c>
      <c r="E93" s="10" t="s">
        <v>436</v>
      </c>
      <c r="F93" s="10" t="s">
        <v>498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396</v>
      </c>
      <c r="E94" s="10" t="s">
        <v>436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396</v>
      </c>
      <c r="E95" s="10" t="s">
        <v>436</v>
      </c>
      <c r="F95" s="10" t="s">
        <v>496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396</v>
      </c>
      <c r="E96" s="10" t="s">
        <v>436</v>
      </c>
      <c r="F96" s="10" t="s">
        <v>497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396</v>
      </c>
      <c r="E97" s="10" t="s">
        <v>436</v>
      </c>
      <c r="F97" s="10" t="s">
        <v>498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393</v>
      </c>
      <c r="E98" s="10" t="s">
        <v>436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393</v>
      </c>
      <c r="E99" s="10" t="s">
        <v>436</v>
      </c>
      <c r="F99" s="10" t="s">
        <v>496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393</v>
      </c>
      <c r="E100" s="10" t="s">
        <v>436</v>
      </c>
      <c r="F100" s="10" t="s">
        <v>497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393</v>
      </c>
      <c r="E101" s="10" t="s">
        <v>436</v>
      </c>
      <c r="F101" s="10" t="s">
        <v>498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344</v>
      </c>
      <c r="E102" s="10" t="s">
        <v>436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344</v>
      </c>
      <c r="E103" s="10" t="s">
        <v>436</v>
      </c>
      <c r="F103" s="10" t="s">
        <v>496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344</v>
      </c>
      <c r="E104" s="10" t="s">
        <v>436</v>
      </c>
      <c r="F104" s="10" t="s">
        <v>497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344</v>
      </c>
      <c r="E105" s="10" t="s">
        <v>436</v>
      </c>
      <c r="F105" s="10" t="s">
        <v>498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345</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345</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345</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345</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345</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345</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345</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345</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345</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345</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345</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345</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437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437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437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437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437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437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437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437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437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437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437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437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339</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339</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339</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339</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339</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339</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339</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339</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339</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339</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339</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339</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339</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339</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339</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339</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337</v>
      </c>
      <c r="E146" s="8" t="s">
        <v>436</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337</v>
      </c>
      <c r="E147" s="8" t="s">
        <v>436</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337</v>
      </c>
      <c r="E148" s="8" t="s">
        <v>436</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337</v>
      </c>
      <c r="E149" s="8" t="s">
        <v>436</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279</v>
      </c>
      <c r="E154" s="10" t="s">
        <v>389</v>
      </c>
      <c r="F154" s="10" t="s">
        <v>47</v>
      </c>
      <c r="G154" s="10" t="s">
        <v>475</v>
      </c>
      <c r="H154" s="10" t="s">
        <v>476</v>
      </c>
      <c r="I154" s="10" t="s">
        <v>499</v>
      </c>
      <c r="J154" s="10" t="s">
        <v>469</v>
      </c>
      <c r="K154" s="10" t="s">
        <v>500</v>
      </c>
      <c r="L154" s="10" t="s">
        <v>481</v>
      </c>
      <c r="M154" s="10" t="s">
        <v>501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279</v>
      </c>
      <c r="E189" s="10" t="s">
        <v>389</v>
      </c>
      <c r="F189" s="10" t="s">
        <v>47</v>
      </c>
      <c r="G189" s="10" t="s">
        <v>475</v>
      </c>
      <c r="H189" s="10" t="s">
        <v>476</v>
      </c>
      <c r="I189" s="10" t="s">
        <v>499</v>
      </c>
      <c r="J189" s="10" t="s">
        <v>469</v>
      </c>
      <c r="K189" s="10" t="s">
        <v>502</v>
      </c>
      <c r="L189" s="10" t="s">
        <v>503</v>
      </c>
      <c r="M189" s="10" t="s">
        <v>481</v>
      </c>
      <c r="N189" s="10" t="s">
        <v>482</v>
      </c>
      <c r="O189" s="10" t="s">
        <v>483</v>
      </c>
      <c r="P189" s="10" t="s">
        <v>484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485</v>
      </c>
      <c r="M220" s="8"/>
    </row>
    <row r="221" spans="4:16" x14ac:dyDescent="0.25">
      <c r="M221" s="8"/>
    </row>
    <row r="222" spans="4:16" x14ac:dyDescent="0.25">
      <c r="D222" s="10" t="s">
        <v>279</v>
      </c>
      <c r="E222" s="10" t="s">
        <v>389</v>
      </c>
      <c r="F222" s="10" t="s">
        <v>47</v>
      </c>
      <c r="G222" s="156" t="s">
        <v>486</v>
      </c>
      <c r="H222" s="156" t="s">
        <v>487</v>
      </c>
      <c r="I222" s="156" t="s">
        <v>488</v>
      </c>
      <c r="J222" s="156" t="s">
        <v>489</v>
      </c>
      <c r="K222" s="156" t="s">
        <v>490</v>
      </c>
      <c r="L222" s="156" t="s">
        <v>491</v>
      </c>
      <c r="M222" s="156" t="s">
        <v>492</v>
      </c>
      <c r="N222" s="156" t="s">
        <v>493</v>
      </c>
      <c r="O222" s="156" t="s">
        <v>494</v>
      </c>
      <c r="P222" s="156" t="s">
        <v>495</v>
      </c>
    </row>
    <row r="223" spans="4:16" x14ac:dyDescent="0.25">
      <c r="D223" s="10" t="s">
        <v>314</v>
      </c>
      <c r="E223" s="10" t="s">
        <v>436</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314</v>
      </c>
      <c r="E224" s="10" t="s">
        <v>436</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314</v>
      </c>
      <c r="E225" s="10" t="s">
        <v>436</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314</v>
      </c>
      <c r="E226" s="10" t="s">
        <v>436</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338</v>
      </c>
      <c r="E227" s="10" t="s">
        <v>436</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338</v>
      </c>
      <c r="E228" s="10" t="s">
        <v>436</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338</v>
      </c>
      <c r="E229" s="10" t="s">
        <v>436</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338</v>
      </c>
      <c r="E230" s="10" t="s">
        <v>436</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396</v>
      </c>
      <c r="E231" s="10" t="s">
        <v>436</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396</v>
      </c>
      <c r="E232" s="10" t="s">
        <v>436</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396</v>
      </c>
      <c r="E233" s="10" t="s">
        <v>436</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396</v>
      </c>
      <c r="E234" s="10" t="s">
        <v>436</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393</v>
      </c>
      <c r="E235" s="10" t="s">
        <v>436</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393</v>
      </c>
      <c r="E236" s="10" t="s">
        <v>436</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393</v>
      </c>
      <c r="E237" s="10" t="s">
        <v>436</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393</v>
      </c>
      <c r="E238" s="10" t="s">
        <v>436</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344</v>
      </c>
      <c r="E239" s="10" t="s">
        <v>436</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344</v>
      </c>
      <c r="E240" s="10" t="s">
        <v>436</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344</v>
      </c>
      <c r="E241" s="10" t="s">
        <v>436</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344</v>
      </c>
      <c r="E242" s="10" t="s">
        <v>436</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345</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345</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345</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345</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345</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345</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345</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345</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345</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345</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345</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345</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437</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437</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437</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437</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437</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437</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437</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437</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437</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437</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437</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437</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339</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339</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339</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339</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339</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339</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339</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339</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339</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339</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339</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339</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339</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339</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339</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339</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279</v>
      </c>
      <c r="E290" s="10" t="s">
        <v>389</v>
      </c>
      <c r="F290" s="10" t="s">
        <v>504</v>
      </c>
      <c r="G290" s="10" t="s">
        <v>496</v>
      </c>
      <c r="H290" s="10" t="s">
        <v>497</v>
      </c>
      <c r="I290" s="10" t="s">
        <v>498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279</v>
      </c>
      <c r="E313" s="10" t="s">
        <v>389</v>
      </c>
      <c r="F313" s="10" t="s">
        <v>504</v>
      </c>
      <c r="G313" s="10" t="s">
        <v>496</v>
      </c>
      <c r="H313" s="10" t="s">
        <v>497</v>
      </c>
      <c r="I313" s="10" t="s">
        <v>498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505</v>
      </c>
      <c r="M333" s="8"/>
    </row>
    <row r="334" spans="4:13" x14ac:dyDescent="0.25">
      <c r="D334" s="10" t="s">
        <v>506</v>
      </c>
      <c r="E334" s="10" t="s">
        <v>47</v>
      </c>
      <c r="F334" s="10" t="s">
        <v>507</v>
      </c>
      <c r="G334" s="10" t="s">
        <v>508</v>
      </c>
      <c r="I334" s="10" t="s">
        <v>506</v>
      </c>
      <c r="J334" s="10" t="s">
        <v>47</v>
      </c>
      <c r="K334" s="10" t="s">
        <v>507</v>
      </c>
      <c r="L334" s="10" t="s">
        <v>508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509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509</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510</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279</v>
      </c>
      <c r="E350" s="10" t="s">
        <v>511</v>
      </c>
      <c r="F350" s="10" t="s">
        <v>512</v>
      </c>
      <c r="G350" s="10" t="s">
        <v>477</v>
      </c>
      <c r="H350" s="10" t="s">
        <v>478</v>
      </c>
      <c r="I350" s="10" t="s">
        <v>513</v>
      </c>
      <c r="J350" s="10" t="s">
        <v>481</v>
      </c>
      <c r="K350" s="10" t="s">
        <v>501</v>
      </c>
      <c r="L350" s="10" t="s">
        <v>514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279</v>
      </c>
      <c r="E361" s="156" t="s">
        <v>486</v>
      </c>
      <c r="F361" s="156" t="s">
        <v>487</v>
      </c>
      <c r="G361" s="156" t="s">
        <v>488</v>
      </c>
      <c r="H361" s="156" t="s">
        <v>489</v>
      </c>
      <c r="I361" s="156" t="s">
        <v>490</v>
      </c>
      <c r="J361" s="156" t="s">
        <v>491</v>
      </c>
      <c r="K361" s="156" t="s">
        <v>492</v>
      </c>
      <c r="L361" s="156" t="s">
        <v>493</v>
      </c>
      <c r="M361" s="156" t="s">
        <v>494</v>
      </c>
      <c r="N361" s="156" t="s">
        <v>495</v>
      </c>
      <c r="O361" s="10" t="s">
        <v>514</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515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279</v>
      </c>
      <c r="E377" s="10" t="s">
        <v>389</v>
      </c>
      <c r="F377" s="10" t="s">
        <v>62</v>
      </c>
      <c r="G377" s="10" t="s">
        <v>516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279</v>
      </c>
      <c r="E400" s="10" t="s">
        <v>389</v>
      </c>
      <c r="F400" s="10" t="s">
        <v>62</v>
      </c>
      <c r="G400" s="10" t="s">
        <v>516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329</v>
      </c>
      <c r="E6" s="10" t="s">
        <v>330</v>
      </c>
      <c r="F6" s="10" t="s">
        <v>331</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22"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217</v>
      </c>
      <c r="E28" s="10" t="s">
        <v>332</v>
      </c>
      <c r="F28" s="8" t="s">
        <v>333</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217</v>
      </c>
      <c r="E40" s="10" t="s">
        <v>332</v>
      </c>
      <c r="F40" s="8" t="s">
        <v>334</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217</v>
      </c>
      <c r="E51" s="10" t="s">
        <v>332</v>
      </c>
      <c r="F51" s="8" t="s">
        <v>340</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217</v>
      </c>
      <c r="E56" s="10" t="s">
        <v>332</v>
      </c>
      <c r="F56" s="8" t="s">
        <v>341</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217</v>
      </c>
      <c r="E61" s="10" t="s">
        <v>332</v>
      </c>
      <c r="F61" s="8" t="s">
        <v>342</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22"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row>
    <row r="87" spans="1:31" ht="20.100000000000001" customHeight="1" x14ac:dyDescent="0.25">
      <c r="A87"/>
      <c r="D87" s="9" t="s">
        <v>166</v>
      </c>
      <c r="E87" s="17"/>
      <c r="F87" s="17"/>
      <c r="G87" s="17"/>
      <c r="H87" s="17"/>
      <c r="I87" s="17"/>
      <c r="J87" s="17"/>
      <c r="K87" s="17"/>
      <c r="L87" s="17"/>
      <c r="N87" s="17"/>
      <c r="O87" s="17"/>
      <c r="P87" s="17"/>
      <c r="Q87" s="17"/>
      <c r="R87" s="17"/>
      <c r="S87" s="17"/>
      <c r="T87" s="17"/>
      <c r="U87" s="17"/>
    </row>
    <row r="88" spans="1:31" ht="20.100000000000001" customHeight="1" x14ac:dyDescent="0.25">
      <c r="A88"/>
      <c r="D88" s="17"/>
    </row>
    <row r="89" spans="1:31" ht="20.100000000000001" customHeight="1" x14ac:dyDescent="0.25">
      <c r="A89"/>
      <c r="D89" s="63" t="s">
        <v>167</v>
      </c>
      <c r="E89" s="10" t="s">
        <v>168</v>
      </c>
      <c r="F89" s="10" t="s">
        <v>169</v>
      </c>
      <c r="G89" s="64" t="s">
        <v>170</v>
      </c>
      <c r="H89" s="64" t="s">
        <v>97</v>
      </c>
      <c r="I89" s="64" t="s">
        <v>171</v>
      </c>
      <c r="J89" s="64" t="s">
        <v>172</v>
      </c>
      <c r="K89" s="64" t="s">
        <v>173</v>
      </c>
      <c r="L89" s="64" t="s">
        <v>174</v>
      </c>
      <c r="M89" s="64" t="s">
        <v>175</v>
      </c>
      <c r="N89" s="64" t="s">
        <v>176</v>
      </c>
      <c r="O89" s="10" t="s">
        <v>177</v>
      </c>
      <c r="P89" s="10" t="s">
        <v>178</v>
      </c>
      <c r="Q89" s="10" t="s">
        <v>179</v>
      </c>
      <c r="R89" s="64" t="s">
        <v>180</v>
      </c>
      <c r="S89" s="64" t="s">
        <v>181</v>
      </c>
      <c r="T89" s="10" t="s">
        <v>182</v>
      </c>
      <c r="U89" s="64" t="s">
        <v>183</v>
      </c>
      <c r="V89" s="64" t="s">
        <v>184</v>
      </c>
      <c r="W89" s="64" t="s">
        <v>185</v>
      </c>
      <c r="X89" s="64" t="s">
        <v>186</v>
      </c>
      <c r="Y89" s="64" t="s">
        <v>187</v>
      </c>
      <c r="Z89" s="10" t="s">
        <v>188</v>
      </c>
      <c r="AA89" s="10" t="s">
        <v>189</v>
      </c>
      <c r="AB89" s="10" t="s">
        <v>190</v>
      </c>
      <c r="AC89" s="10" t="s">
        <v>191</v>
      </c>
      <c r="AD89" s="10" t="s">
        <v>192</v>
      </c>
      <c r="AE89" s="10" t="s">
        <v>193</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f>
        <v>Aqua Finish - Campbells Fertilisers Australasia</v>
      </c>
      <c r="I90" s="62" t="str" cm="1">
        <f t="array" ref="I90">Common_InputFunctions.Utility_DisplayArrayInTable(Fertiliser_SourceData.Fertiliser_Products_Data1(),FertiliserProducts[[#Headers],[Include or Exclude]], 0)</f>
        <v>Website</v>
      </c>
      <c r="J90" s="62" t="str" cm="1">
        <f t="array" ref="J90">Common_InputFunctions.Utility_DisplayArrayInTable(Fertiliser_SourceData.Fertiliser_Products_Data1(),FertiliserProducts[[#Headers],[Include or Exclude]], 0)</f>
        <v/>
      </c>
      <c r="K90" s="62" t="str" cm="1">
        <f t="array" ref="K90">Common_InputFunctions.Utility_DisplayArrayInTable(Fertiliser_SourceData.Fertiliser_Products_Data1(),FertiliserProducts[[#Headers],[Include or Exclude]], 0)</f>
        <v>L</v>
      </c>
      <c r="L90" s="62" cm="1">
        <f t="array" ref="L90">Common_InputFunctions.Utility_DisplayArrayInTable(Fertiliser_SourceData.Fertiliser_Products_Data1(),FertiliserProducts[[#Headers],[Include or Exclude]], 0)</f>
        <v>1.26</v>
      </c>
      <c r="M90" s="10" t="str" cm="1">
        <f t="array" ref="M90">Common_InputFunctions.Utility_DisplayArrayInTable(Fertiliser_SourceData.Fertiliser_Products_Data1(),FertiliserProducts[[#Headers],[Include or Exclude]], 0)</f>
        <v/>
      </c>
      <c r="N90" s="62" t="str" cm="1">
        <f t="array" ref="N90">Common_InputFunctions.Utility_DisplayArrayInTable(Fertiliser_SourceData.Fertiliser_Products_Data1(),FertiliserProducts[[#Headers],[Include or Exclude]], 0)</f>
        <v/>
      </c>
      <c r="O90" s="62" t="str" cm="1">
        <f t="array" ref="O90">Common_InputFunctions.Utility_DisplayArrayInTable(Fertiliser_SourceData.Fertiliser_Products_Data1(),FertiliserProducts[[#Headers],[Include or Exclude]], 0)</f>
        <v>Potassium - Generic</v>
      </c>
      <c r="P90" s="62" cm="1">
        <f t="array" ref="P90">Common_InputFunctions.Utility_DisplayArrayInTable(Fertiliser_SourceData.Fertiliser_Products_Data1(),FertiliserProducts[[#Headers],[Include or Exclude]], 0)</f>
        <v>0.22500000000000001</v>
      </c>
      <c r="Q90" s="62" t="str" cm="1">
        <f t="array" ref="Q90">Common_InputFunctions.Utility_DisplayArrayInTable(Fertiliser_SourceData.Fertiliser_Products_Data1(),FertiliserProducts[[#Headers],[Include or Exclude]], 0)</f>
        <v>Phosphorus - Generic</v>
      </c>
      <c r="R90" s="62" cm="1">
        <f t="array" ref="R90">Common_InputFunctions.Utility_DisplayArrayInTable(Fertiliser_SourceData.Fertiliser_Products_Data1(),FertiliserProducts[[#Headers],[Include or Exclude]], 0)</f>
        <v>0.04</v>
      </c>
      <c r="S90" s="62" t="str" cm="1">
        <f t="array" ref="S90">Common_InputFunctions.Utility_DisplayArrayInTable(Fertiliser_SourceData.Fertiliser_Products_Data1(),FertiliserProducts[[#Headers],[Include or Exclude]], 0)</f>
        <v>Nitrogen - Generic</v>
      </c>
      <c r="T90" s="62" cm="1">
        <f t="array" ref="T90">Common_InputFunctions.Utility_DisplayArrayInTable(Fertiliser_SourceData.Fertiliser_Products_Data1(),FertiliserProducts[[#Headers],[Include or Exclude]], 0)</f>
        <v>2.5999999999999999E-2</v>
      </c>
      <c r="U90" s="62"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1:31" ht="20.100000000000001" customHeight="1" x14ac:dyDescent="0.25">
      <c r="A91"/>
      <c r="D91" s="62" t="str" cm="1">
        <f t="array" ref="D91">Common_InputFunctions.Utility_DisplayArrayInTable(Fertiliser_SourceData.Fertiliser_Products_Data1(),FertiliserProducts[[#Headers],[Include or Exclude]], 0)</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f>
        <v>Aqua Grow - Campbells Fertilisers Australasia</v>
      </c>
      <c r="I91" s="62" t="str" cm="1">
        <f t="array" ref="I91">Common_InputFunctions.Utility_DisplayArrayInTable(Fertiliser_SourceData.Fertiliser_Products_Data1(),FertiliserProducts[[#Headers],[Include or Exclude]], 0)</f>
        <v>Website</v>
      </c>
      <c r="J91" s="62" t="str" cm="1">
        <f t="array" ref="J91">Common_InputFunctions.Utility_DisplayArrayInTable(Fertiliser_SourceData.Fertiliser_Products_Data1(),FertiliserProducts[[#Headers],[Include or Exclude]], 0)</f>
        <v/>
      </c>
      <c r="K91" s="62" t="str" cm="1">
        <f t="array" ref="K91">Common_InputFunctions.Utility_DisplayArrayInTable(Fertiliser_SourceData.Fertiliser_Products_Data1(),FertiliserProducts[[#Headers],[Include or Exclude]], 0)</f>
        <v>L</v>
      </c>
      <c r="L91" s="62" cm="1">
        <f t="array" ref="L91">Common_InputFunctions.Utility_DisplayArrayInTable(Fertiliser_SourceData.Fertiliser_Products_Data1(),FertiliserProducts[[#Headers],[Include or Exclude]], 0)</f>
        <v>1.26</v>
      </c>
      <c r="M91" s="10" t="str" cm="1">
        <f t="array" ref="M91">Common_InputFunctions.Utility_DisplayArrayInTable(Fertiliser_SourceData.Fertiliser_Products_Data1(),FertiliserProducts[[#Headers],[Include or Exclude]], 0)</f>
        <v/>
      </c>
      <c r="N91" s="62" t="str" cm="1">
        <f t="array" ref="N91">Common_InputFunctions.Utility_DisplayArrayInTable(Fertiliser_SourceData.Fertiliser_Products_Data1(),FertiliserProducts[[#Headers],[Include or Exclude]], 0)</f>
        <v/>
      </c>
      <c r="O91" s="62" t="str" cm="1">
        <f t="array" ref="O91">Common_InputFunctions.Utility_DisplayArrayInTable(Fertiliser_SourceData.Fertiliser_Products_Data1(),FertiliserProducts[[#Headers],[Include or Exclude]], 0)</f>
        <v>Potassium - Generic</v>
      </c>
      <c r="P91" s="62" cm="1">
        <f t="array" ref="P91">Common_InputFunctions.Utility_DisplayArrayInTable(Fertiliser_SourceData.Fertiliser_Products_Data1(),FertiliserProducts[[#Headers],[Include or Exclude]], 0)</f>
        <v>0.105</v>
      </c>
      <c r="Q91" s="62" t="str" cm="1">
        <f t="array" ref="Q91">Common_InputFunctions.Utility_DisplayArrayInTable(Fertiliser_SourceData.Fertiliser_Products_Data1(),FertiliserProducts[[#Headers],[Include or Exclude]], 0)</f>
        <v>Nitrogen - Generic</v>
      </c>
      <c r="R91" s="62" cm="1">
        <f t="array" ref="R91">Common_InputFunctions.Utility_DisplayArrayInTable(Fertiliser_SourceData.Fertiliser_Products_Data1(),FertiliserProducts[[#Headers],[Include or Exclude]], 0)</f>
        <v>9.6000000000000002E-2</v>
      </c>
      <c r="S91" s="62" t="str" cm="1">
        <f t="array" ref="S91">Common_InputFunctions.Utility_DisplayArrayInTable(Fertiliser_SourceData.Fertiliser_Products_Data1(),FertiliserProducts[[#Headers],[Include or Exclude]], 0)</f>
        <v>Phosphorus - Generic</v>
      </c>
      <c r="T91" s="62" cm="1">
        <f t="array" ref="T91">Common_InputFunctions.Utility_DisplayArrayInTable(Fertiliser_SourceData.Fertiliser_Products_Data1(),FertiliserProducts[[#Headers],[Include or Exclude]], 0)</f>
        <v>0.05</v>
      </c>
      <c r="U91" s="62"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1:31" ht="20.100000000000001" customHeight="1" x14ac:dyDescent="0.25">
      <c r="A92"/>
      <c r="D92" s="62" t="str" cm="1">
        <f t="array" ref="D92">Common_InputFunctions.Utility_DisplayArrayInTable(Fertiliser_SourceData.Fertiliser_Products_Data1(),FertiliserProducts[[#Headers],[Include or Exclude]], 0)</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f>
        <v>Aqua Nitro AN - Campbells Fertilisers Australasia</v>
      </c>
      <c r="I92" s="62" t="str" cm="1">
        <f t="array" ref="I92">Common_InputFunctions.Utility_DisplayArrayInTable(Fertiliser_SourceData.Fertiliser_Products_Data1(),FertiliserProducts[[#Headers],[Include or Exclude]], 0)</f>
        <v>Website. Brochure</v>
      </c>
      <c r="J92" s="62" t="str" cm="1">
        <f t="array" ref="J92">Common_InputFunctions.Utility_DisplayArrayInTable(Fertiliser_SourceData.Fertiliser_Products_Data1(),FertiliserProducts[[#Headers],[Include or Exclude]], 0)</f>
        <v/>
      </c>
      <c r="K92" s="62" t="str" cm="1">
        <f t="array" ref="K92">Common_InputFunctions.Utility_DisplayArrayInTable(Fertiliser_SourceData.Fertiliser_Products_Data1(),FertiliserProducts[[#Headers],[Include or Exclude]], 0)</f>
        <v>L</v>
      </c>
      <c r="L92" s="62" cm="1">
        <f t="array" ref="L92">Common_InputFunctions.Utility_DisplayArrayInTable(Fertiliser_SourceData.Fertiliser_Products_Data1(),FertiliserProducts[[#Headers],[Include or Exclude]], 0)</f>
        <v>1.24</v>
      </c>
      <c r="M92" s="10" t="str" cm="1">
        <f t="array" ref="M92">Common_InputFunctions.Utility_DisplayArrayInTable(Fertiliser_SourceData.Fertiliser_Products_Data1(),FertiliserProducts[[#Headers],[Include or Exclude]], 0)</f>
        <v/>
      </c>
      <c r="N92" s="62" t="str" cm="1">
        <f t="array" ref="N92">Common_InputFunctions.Utility_DisplayArrayInTable(Fertiliser_SourceData.Fertiliser_Products_Data1(),FertiliserProducts[[#Headers],[Include or Exclude]], 0)</f>
        <v/>
      </c>
      <c r="O92" s="62" t="str" cm="1">
        <f t="array" ref="O92">Common_InputFunctions.Utility_DisplayArrayInTable(Fertiliser_SourceData.Fertiliser_Products_Data1(),FertiliserProducts[[#Headers],[Include or Exclude]], 0)</f>
        <v>Nitrogen - Ammoniacal</v>
      </c>
      <c r="P92" s="62" cm="1">
        <f t="array" ref="P92">Common_InputFunctions.Utility_DisplayArrayInTable(Fertiliser_SourceData.Fertiliser_Products_Data1(),FertiliserProducts[[#Headers],[Include or Exclude]], 0)</f>
        <v>0.223</v>
      </c>
      <c r="Q92" s="62" t="str" cm="1">
        <f t="array" ref="Q92">Common_InputFunctions.Utility_DisplayArrayInTable(Fertiliser_SourceData.Fertiliser_Products_Data1(),FertiliserProducts[[#Headers],[Include or Exclude]], 0)</f>
        <v/>
      </c>
      <c r="R92" s="62" t="str" cm="1">
        <f t="array" ref="R92">Common_InputFunctions.Utility_DisplayArrayInTable(Fertiliser_SourceData.Fertiliser_Products_Data1(),FertiliserProducts[[#Headers],[Include or Exclude]], 0)</f>
        <v/>
      </c>
      <c r="S92" s="62" t="str" cm="1">
        <f t="array" ref="S92">Common_InputFunctions.Utility_DisplayArrayInTable(Fertiliser_SourceData.Fertiliser_Products_Data1(),FertiliserProducts[[#Headers],[Include or Exclude]], 0)</f>
        <v/>
      </c>
      <c r="T92" s="62" t="str" cm="1">
        <f t="array" ref="T92">Common_InputFunctions.Utility_DisplayArrayInTable(Fertiliser_SourceData.Fertiliser_Products_Data1(),FertiliserProducts[[#Headers],[Include or Exclude]], 0)</f>
        <v/>
      </c>
      <c r="U92" s="62"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1:31" ht="20.100000000000001" customHeight="1" x14ac:dyDescent="0.25">
      <c r="A93"/>
      <c r="D93" s="62" t="str" cm="1">
        <f t="array" ref="D93">Common_InputFunctions.Utility_DisplayArrayInTable(Fertiliser_SourceData.Fertiliser_Products_Data1(),FertiliserProducts[[#Headers],[Include or Exclude]], 0)</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f>
        <v>Aqua NitroCal - Campbells Fertilisers Australasia</v>
      </c>
      <c r="I93" s="62" t="str" cm="1">
        <f t="array" ref="I93">Common_InputFunctions.Utility_DisplayArrayInTable(Fertiliser_SourceData.Fertiliser_Products_Data1(),FertiliserProducts[[#Headers],[Include or Exclude]], 0)</f>
        <v>Website SDS</v>
      </c>
      <c r="J93" s="62" t="str" cm="1">
        <f t="array" ref="J93">Common_InputFunctions.Utility_DisplayArrayInTable(Fertiliser_SourceData.Fertiliser_Products_Data1(),FertiliserProducts[[#Headers],[Include or Exclude]], 0)</f>
        <v/>
      </c>
      <c r="K93" s="62" t="str" cm="1">
        <f t="array" ref="K93">Common_InputFunctions.Utility_DisplayArrayInTable(Fertiliser_SourceData.Fertiliser_Products_Data1(),FertiliserProducts[[#Headers],[Include or Exclude]], 0)</f>
        <v>L</v>
      </c>
      <c r="L93" s="62" cm="1">
        <f t="array" ref="L93">Common_InputFunctions.Utility_DisplayArrayInTable(Fertiliser_SourceData.Fertiliser_Products_Data1(),FertiliserProducts[[#Headers],[Include or Exclude]], 0)</f>
        <v>1.5</v>
      </c>
      <c r="M93" s="10" t="str" cm="1">
        <f t="array" ref="M93">Common_InputFunctions.Utility_DisplayArrayInTable(Fertiliser_SourceData.Fertiliser_Products_Data1(),FertiliserProducts[[#Headers],[Include or Exclude]], 0)</f>
        <v/>
      </c>
      <c r="N93" s="62" t="str" cm="1">
        <f t="array" ref="N93">Common_InputFunctions.Utility_DisplayArrayInTable(Fertiliser_SourceData.Fertiliser_Products_Data1(),FertiliserProducts[[#Headers],[Include or Exclude]], 0)</f>
        <v/>
      </c>
      <c r="O93" s="62" t="str" cm="1">
        <f t="array" ref="O93">Common_InputFunctions.Utility_DisplayArrayInTable(Fertiliser_SourceData.Fertiliser_Products_Data1(),FertiliserProducts[[#Headers],[Include or Exclude]], 0)</f>
        <v>Calcium - Generic</v>
      </c>
      <c r="P93" s="62" cm="1">
        <f t="array" ref="P93">Common_InputFunctions.Utility_DisplayArrayInTable(Fertiliser_SourceData.Fertiliser_Products_Data1(),FertiliserProducts[[#Headers],[Include or Exclude]], 0)</f>
        <v>0.16200000000000001</v>
      </c>
      <c r="Q93" s="62" t="str" cm="1">
        <f t="array" ref="Q93">Common_InputFunctions.Utility_DisplayArrayInTable(Fertiliser_SourceData.Fertiliser_Products_Data1(),FertiliserProducts[[#Headers],[Include or Exclude]], 0)</f>
        <v>Nitrogen - Nitrate</v>
      </c>
      <c r="R93" s="62" cm="1">
        <f t="array" ref="R93">Common_InputFunctions.Utility_DisplayArrayInTable(Fertiliser_SourceData.Fertiliser_Products_Data1(),FertiliserProducts[[#Headers],[Include or Exclude]], 0)</f>
        <v>0.13200000000000001</v>
      </c>
      <c r="S93" s="62" t="str" cm="1">
        <f t="array" ref="S93">Common_InputFunctions.Utility_DisplayArrayInTable(Fertiliser_SourceData.Fertiliser_Products_Data1(),FertiliserProducts[[#Headers],[Include or Exclude]], 0)</f>
        <v/>
      </c>
      <c r="T93" s="62" t="str" cm="1">
        <f t="array" ref="T93">Common_InputFunctions.Utility_DisplayArrayInTable(Fertiliser_SourceData.Fertiliser_Products_Data1(),FertiliserProducts[[#Headers],[Include or Exclude]], 0)</f>
        <v/>
      </c>
      <c r="U93" s="62"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1:31" ht="20.100000000000001" customHeight="1" x14ac:dyDescent="0.25">
      <c r="A94"/>
      <c r="D94" s="62" t="str" cm="1">
        <f t="array" ref="D94">Common_InputFunctions.Utility_DisplayArrayInTable(Fertiliser_SourceData.Fertiliser_Products_Data1(),FertiliserProducts[[#Headers],[Include or Exclude]], 0)</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f>
        <v>Aqua NitroCal (VI) - Campbells Fertilisers Australasia</v>
      </c>
      <c r="I94" s="62" t="str" cm="1">
        <f t="array" ref="I94">Common_InputFunctions.Utility_DisplayArrayInTable(Fertiliser_SourceData.Fertiliser_Products_Data1(),FertiliserProducts[[#Headers],[Include or Exclude]], 0)</f>
        <v>Website SDS</v>
      </c>
      <c r="J94" s="62" t="str" cm="1">
        <f t="array" ref="J94">Common_InputFunctions.Utility_DisplayArrayInTable(Fertiliser_SourceData.Fertiliser_Products_Data1(),FertiliserProducts[[#Headers],[Include or Exclude]], 0)</f>
        <v/>
      </c>
      <c r="K94" s="62" t="str" cm="1">
        <f t="array" ref="K94">Common_InputFunctions.Utility_DisplayArrayInTable(Fertiliser_SourceData.Fertiliser_Products_Data1(),FertiliserProducts[[#Headers],[Include or Exclude]], 0)</f>
        <v>L</v>
      </c>
      <c r="L94" s="62" cm="1">
        <f t="array" ref="L94">Common_InputFunctions.Utility_DisplayArrayInTable(Fertiliser_SourceData.Fertiliser_Products_Data1(),FertiliserProducts[[#Headers],[Include or Exclude]], 0)</f>
        <v>1.5</v>
      </c>
      <c r="M94" s="10" t="str" cm="1">
        <f t="array" ref="M94">Common_InputFunctions.Utility_DisplayArrayInTable(Fertiliser_SourceData.Fertiliser_Products_Data1(),FertiliserProducts[[#Headers],[Include or Exclude]], 0)</f>
        <v/>
      </c>
      <c r="N94" s="62" t="str" cm="1">
        <f t="array" ref="N94">Common_InputFunctions.Utility_DisplayArrayInTable(Fertiliser_SourceData.Fertiliser_Products_Data1(),FertiliserProducts[[#Headers],[Include or Exclude]], 0)</f>
        <v/>
      </c>
      <c r="O94" s="62" t="str" cm="1">
        <f t="array" ref="O94">Common_InputFunctions.Utility_DisplayArrayInTable(Fertiliser_SourceData.Fertiliser_Products_Data1(),FertiliserProducts[[#Headers],[Include or Exclude]], 0)</f>
        <v>Calcium - Generic</v>
      </c>
      <c r="P94" s="62" cm="1">
        <f t="array" ref="P94">Common_InputFunctions.Utility_DisplayArrayInTable(Fertiliser_SourceData.Fertiliser_Products_Data1(),FertiliserProducts[[#Headers],[Include or Exclude]], 0)</f>
        <v>0.187</v>
      </c>
      <c r="Q94" s="62" t="str" cm="1">
        <f t="array" ref="Q94">Common_InputFunctions.Utility_DisplayArrayInTable(Fertiliser_SourceData.Fertiliser_Products_Data1(),FertiliserProducts[[#Headers],[Include or Exclude]], 0)</f>
        <v>Nitrogen - Nitrate</v>
      </c>
      <c r="R94" s="62" cm="1">
        <f t="array" ref="R94">Common_InputFunctions.Utility_DisplayArrayInTable(Fertiliser_SourceData.Fertiliser_Products_Data1(),FertiliserProducts[[#Headers],[Include or Exclude]], 0)</f>
        <v>0.13200000000000001</v>
      </c>
      <c r="S94" s="62" t="str" cm="1">
        <f t="array" ref="S94">Common_InputFunctions.Utility_DisplayArrayInTable(Fertiliser_SourceData.Fertiliser_Products_Data1(),FertiliserProducts[[#Headers],[Include or Exclude]], 0)</f>
        <v/>
      </c>
      <c r="T94" s="62" t="str" cm="1">
        <f t="array" ref="T94">Common_InputFunctions.Utility_DisplayArrayInTable(Fertiliser_SourceData.Fertiliser_Products_Data1(),FertiliserProducts[[#Headers],[Include or Exclude]], 0)</f>
        <v/>
      </c>
      <c r="U94" s="62"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1:31" ht="20.100000000000001" customHeight="1" x14ac:dyDescent="0.25">
      <c r="A95"/>
      <c r="D95" s="62" t="str" cm="1">
        <f t="array" ref="D95">Common_InputFunctions.Utility_DisplayArrayInTable(Fertiliser_SourceData.Fertiliser_Products_Data1(),FertiliserProducts[[#Headers],[Include or Exclude]], 0)</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f>
        <v>Aqua NitroCal Ultimate - Campbells Fertilisers Australasia</v>
      </c>
      <c r="I95" s="62" t="str" cm="1">
        <f t="array" ref="I95">Common_InputFunctions.Utility_DisplayArrayInTable(Fertiliser_SourceData.Fertiliser_Products_Data1(),FertiliserProducts[[#Headers],[Include or Exclude]], 0)</f>
        <v>Website SDS</v>
      </c>
      <c r="J95" s="62" t="str" cm="1">
        <f t="array" ref="J95">Common_InputFunctions.Utility_DisplayArrayInTable(Fertiliser_SourceData.Fertiliser_Products_Data1(),FertiliserProducts[[#Headers],[Include or Exclude]], 0)</f>
        <v/>
      </c>
      <c r="K95" s="62" t="str" cm="1">
        <f t="array" ref="K95">Common_InputFunctions.Utility_DisplayArrayInTable(Fertiliser_SourceData.Fertiliser_Products_Data1(),FertiliserProducts[[#Headers],[Include or Exclude]], 0)</f>
        <v>L</v>
      </c>
      <c r="L95" s="62" cm="1">
        <f t="array" ref="L95">Common_InputFunctions.Utility_DisplayArrayInTable(Fertiliser_SourceData.Fertiliser_Products_Data1(),FertiliserProducts[[#Headers],[Include or Exclude]], 0)</f>
        <v>1.5</v>
      </c>
      <c r="M95" s="10" t="str" cm="1">
        <f t="array" ref="M95">Common_InputFunctions.Utility_DisplayArrayInTable(Fertiliser_SourceData.Fertiliser_Products_Data1(),FertiliserProducts[[#Headers],[Include or Exclude]], 0)</f>
        <v/>
      </c>
      <c r="N95" s="62" t="str" cm="1">
        <f t="array" ref="N95">Common_InputFunctions.Utility_DisplayArrayInTable(Fertiliser_SourceData.Fertiliser_Products_Data1(),FertiliserProducts[[#Headers],[Include or Exclude]], 0)</f>
        <v/>
      </c>
      <c r="O95" s="62" t="str" cm="1">
        <f t="array" ref="O95">Common_InputFunctions.Utility_DisplayArrayInTable(Fertiliser_SourceData.Fertiliser_Products_Data1(),FertiliserProducts[[#Headers],[Include or Exclude]], 0)</f>
        <v>Calcium - Generic</v>
      </c>
      <c r="P95" s="62" cm="1">
        <f t="array" ref="P95">Common_InputFunctions.Utility_DisplayArrayInTable(Fertiliser_SourceData.Fertiliser_Products_Data1(),FertiliserProducts[[#Headers],[Include or Exclude]], 0)</f>
        <v>0.183</v>
      </c>
      <c r="Q95" s="62" t="str" cm="1">
        <f t="array" ref="Q95">Common_InputFunctions.Utility_DisplayArrayInTable(Fertiliser_SourceData.Fertiliser_Products_Data1(),FertiliserProducts[[#Headers],[Include or Exclude]], 0)</f>
        <v>Nitrogen  - Nitrate</v>
      </c>
      <c r="R95" s="62" cm="1">
        <f t="array" ref="R95">Common_InputFunctions.Utility_DisplayArrayInTable(Fertiliser_SourceData.Fertiliser_Products_Data1(),FertiliserProducts[[#Headers],[Include or Exclude]], 0)</f>
        <v>0.13200000000000001</v>
      </c>
      <c r="S95" s="62" t="str" cm="1">
        <f t="array" ref="S95">Common_InputFunctions.Utility_DisplayArrayInTable(Fertiliser_SourceData.Fertiliser_Products_Data1(),FertiliserProducts[[#Headers],[Include or Exclude]], 0)</f>
        <v/>
      </c>
      <c r="T95" s="62" t="str" cm="1">
        <f t="array" ref="T95">Common_InputFunctions.Utility_DisplayArrayInTable(Fertiliser_SourceData.Fertiliser_Products_Data1(),FertiliserProducts[[#Headers],[Include or Exclude]], 0)</f>
        <v/>
      </c>
      <c r="U95" s="62"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1:31" ht="20.100000000000001" customHeight="1" x14ac:dyDescent="0.25">
      <c r="A96"/>
      <c r="D96" s="62" t="str" cm="1">
        <f t="array" ref="D96">Common_InputFunctions.Utility_DisplayArrayInTable(Fertiliser_SourceData.Fertiliser_Products_Data1(),FertiliserProducts[[#Headers],[Include or Exclude]], 0)</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f>
        <v>Aqua Start - Campbells Fertilisers Australasia</v>
      </c>
      <c r="I96" s="62" t="str" cm="1">
        <f t="array" ref="I96">Common_InputFunctions.Utility_DisplayArrayInTable(Fertiliser_SourceData.Fertiliser_Products_Data1(),FertiliserProducts[[#Headers],[Include or Exclude]], 0)</f>
        <v>Website SDS</v>
      </c>
      <c r="J96" s="62" t="str" cm="1">
        <f t="array" ref="J96">Common_InputFunctions.Utility_DisplayArrayInTable(Fertiliser_SourceData.Fertiliser_Products_Data1(),FertiliserProducts[[#Headers],[Include or Exclude]], 0)</f>
        <v/>
      </c>
      <c r="K96" s="62" t="str" cm="1">
        <f t="array" ref="K96">Common_InputFunctions.Utility_DisplayArrayInTable(Fertiliser_SourceData.Fertiliser_Products_Data1(),FertiliserProducts[[#Headers],[Include or Exclude]], 0)</f>
        <v>L</v>
      </c>
      <c r="L96" s="62" cm="1">
        <f t="array" ref="L96">Common_InputFunctions.Utility_DisplayArrayInTable(Fertiliser_SourceData.Fertiliser_Products_Data1(),FertiliserProducts[[#Headers],[Include or Exclude]], 0)</f>
        <v>1.25</v>
      </c>
      <c r="M96" s="10" t="str" cm="1">
        <f t="array" ref="M96">Common_InputFunctions.Utility_DisplayArrayInTable(Fertiliser_SourceData.Fertiliser_Products_Data1(),FertiliserProducts[[#Headers],[Include or Exclude]], 0)</f>
        <v/>
      </c>
      <c r="N96" s="62" t="str" cm="1">
        <f t="array" ref="N96">Common_InputFunctions.Utility_DisplayArrayInTable(Fertiliser_SourceData.Fertiliser_Products_Data1(),FertiliserProducts[[#Headers],[Include or Exclude]], 0)</f>
        <v/>
      </c>
      <c r="O96" s="62" t="str" cm="1">
        <f t="array" ref="O96">Common_InputFunctions.Utility_DisplayArrayInTable(Fertiliser_SourceData.Fertiliser_Products_Data1(),FertiliserProducts[[#Headers],[Include or Exclude]], 0)</f>
        <v>Nitrogen - Generic</v>
      </c>
      <c r="P96" s="62" cm="1">
        <f t="array" ref="P96">Common_InputFunctions.Utility_DisplayArrayInTable(Fertiliser_SourceData.Fertiliser_Products_Data1(),FertiliserProducts[[#Headers],[Include or Exclude]], 0)</f>
        <v>0.10299999999999999</v>
      </c>
      <c r="Q96" s="62" t="str" cm="1">
        <f t="array" ref="Q96">Common_InputFunctions.Utility_DisplayArrayInTable(Fertiliser_SourceData.Fertiliser_Products_Data1(),FertiliserProducts[[#Headers],[Include or Exclude]], 0)</f>
        <v>Phosphorus - Generic</v>
      </c>
      <c r="R96" s="62" cm="1">
        <f t="array" ref="R96">Common_InputFunctions.Utility_DisplayArrayInTable(Fertiliser_SourceData.Fertiliser_Products_Data1(),FertiliserProducts[[#Headers],[Include or Exclude]], 0)</f>
        <v>0.1</v>
      </c>
      <c r="S96" s="62" t="str" cm="1">
        <f t="array" ref="S96">Common_InputFunctions.Utility_DisplayArrayInTable(Fertiliser_SourceData.Fertiliser_Products_Data1(),FertiliserProducts[[#Headers],[Include or Exclude]], 0)</f>
        <v>Potassium - Generic</v>
      </c>
      <c r="T96" s="62" cm="1">
        <f t="array" ref="T96">Common_InputFunctions.Utility_DisplayArrayInTable(Fertiliser_SourceData.Fertiliser_Products_Data1(),FertiliserProducts[[#Headers],[Include or Exclude]], 0)</f>
        <v>3.4000000000000002E-2</v>
      </c>
      <c r="U96" s="62"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1:31" ht="20.100000000000001" customHeight="1" x14ac:dyDescent="0.25">
      <c r="A97"/>
      <c r="D97" s="62" t="str" cm="1">
        <f t="array" ref="D97">Common_InputFunctions.Utility_DisplayArrayInTable(Fertiliser_SourceData.Fertiliser_Products_Data1(),FertiliserProducts[[#Headers],[Include or Exclude]], 0)</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f>
        <v>Aqua Thio-Complete - Campbells Fertilisers Australasia</v>
      </c>
      <c r="I97" s="62" t="str" cm="1">
        <f t="array" ref="I97">Common_InputFunctions.Utility_DisplayArrayInTable(Fertiliser_SourceData.Fertiliser_Products_Data1(),FertiliserProducts[[#Headers],[Include or Exclude]], 0)</f>
        <v>Website SDS</v>
      </c>
      <c r="J97" s="62" t="str" cm="1">
        <f t="array" ref="J97">Common_InputFunctions.Utility_DisplayArrayInTable(Fertiliser_SourceData.Fertiliser_Products_Data1(),FertiliserProducts[[#Headers],[Include or Exclude]], 0)</f>
        <v/>
      </c>
      <c r="K97" s="62" t="str" cm="1">
        <f t="array" ref="K97">Common_InputFunctions.Utility_DisplayArrayInTable(Fertiliser_SourceData.Fertiliser_Products_Data1(),FertiliserProducts[[#Headers],[Include or Exclude]], 0)</f>
        <v>L</v>
      </c>
      <c r="L97" s="62" cm="1">
        <f t="array" ref="L97">Common_InputFunctions.Utility_DisplayArrayInTable(Fertiliser_SourceData.Fertiliser_Products_Data1(),FertiliserProducts[[#Headers],[Include or Exclude]], 0)</f>
        <v>1.43</v>
      </c>
      <c r="M97" s="10" t="str" cm="1">
        <f t="array" ref="M97">Common_InputFunctions.Utility_DisplayArrayInTable(Fertiliser_SourceData.Fertiliser_Products_Data1(),FertiliserProducts[[#Headers],[Include or Exclude]], 0)</f>
        <v/>
      </c>
      <c r="N97" s="62" t="str" cm="1">
        <f t="array" ref="N97">Common_InputFunctions.Utility_DisplayArrayInTable(Fertiliser_SourceData.Fertiliser_Products_Data1(),FertiliserProducts[[#Headers],[Include or Exclude]], 0)</f>
        <v/>
      </c>
      <c r="O97" s="62" t="str" cm="1">
        <f t="array" ref="O97">Common_InputFunctions.Utility_DisplayArrayInTable(Fertiliser_SourceData.Fertiliser_Products_Data1(),FertiliserProducts[[#Headers],[Include or Exclude]], 0)</f>
        <v>Potassium - Generic</v>
      </c>
      <c r="P97" s="62" cm="1">
        <f t="array" ref="P97">Common_InputFunctions.Utility_DisplayArrayInTable(Fertiliser_SourceData.Fertiliser_Products_Data1(),FertiliserProducts[[#Headers],[Include or Exclude]], 0)</f>
        <v>0.22500000000000001</v>
      </c>
      <c r="Q97" s="62" t="str" cm="1">
        <f t="array" ref="Q97">Common_InputFunctions.Utility_DisplayArrayInTable(Fertiliser_SourceData.Fertiliser_Products_Data1(),FertiliserProducts[[#Headers],[Include or Exclude]], 0)</f>
        <v>Phosphorus - Generic</v>
      </c>
      <c r="R97" s="62" cm="1">
        <f t="array" ref="R97">Common_InputFunctions.Utility_DisplayArrayInTable(Fertiliser_SourceData.Fertiliser_Products_Data1(),FertiliserProducts[[#Headers],[Include or Exclude]], 0)</f>
        <v>3.7999999999999999E-2</v>
      </c>
      <c r="S97" s="62" t="str" cm="1">
        <f t="array" ref="S97">Common_InputFunctions.Utility_DisplayArrayInTable(Fertiliser_SourceData.Fertiliser_Products_Data1(),FertiliserProducts[[#Headers],[Include or Exclude]], 0)</f>
        <v>Nitrogen - Generic</v>
      </c>
      <c r="T97" s="62" cm="1">
        <f t="array" ref="T97">Common_InputFunctions.Utility_DisplayArrayInTable(Fertiliser_SourceData.Fertiliser_Products_Data1(),FertiliserProducts[[#Headers],[Include or Exclude]], 0)</f>
        <v>2.5000000000000001E-2</v>
      </c>
      <c r="U97" s="62" t="str" cm="1">
        <f t="array" ref="U97">Common_InputFunctions.Utility_DisplayArrayInTable(Fertiliser_SourceData.Fertiliser_Products_Data1(),FertiliserProducts[[#Headers],[Include or Exclude]], 0)</f>
        <v/>
      </c>
      <c r="V97" s="10" t="str" cm="1">
        <f t="array" ref="V97">Common_InputFunctions.Utility_DisplayArrayInTable(Fertiliser_SourceData.Fertiliser_Products_Data1(),FertiliserProducts[[#Headers],[Include or Exclude]], 0)</f>
        <v/>
      </c>
      <c r="W97" s="10" t="str" cm="1">
        <f t="array" ref="W97">Common_InputFunctions.Utility_DisplayArrayInTable(Fertiliser_SourceData.Fertiliser_Products_Data1(),FertiliserProducts[[#Headers],[Include or Exclude]], 0)</f>
        <v/>
      </c>
      <c r="X97" s="10" t="str" cm="1">
        <f t="array" ref="X97">Common_InputFunctions.Utility_DisplayArrayInTable(Fertiliser_SourceData.Fertiliser_Products_Data1(),FertiliserProducts[[#Headers],[Include or Exclude]], 0)</f>
        <v/>
      </c>
      <c r="Y97" s="10" t="str" cm="1">
        <f t="array" ref="Y97">Common_InputFunctions.Utility_DisplayArrayInTable(Fertiliser_SourceData.Fertiliser_Products_Data1(),FertiliserProducts[[#Headers],[Include or Exclude]], 0)</f>
        <v/>
      </c>
      <c r="Z97" s="10" t="str" cm="1">
        <f t="array" ref="Z97">Common_InputFunctions.Utility_DisplayArrayInTable(Fertiliser_SourceData.Fertiliser_Products_Data1(),FertiliserProducts[[#Headers],[Include or Exclude]], 0)</f>
        <v/>
      </c>
      <c r="AA97" s="10" t="str" cm="1">
        <f t="array" ref="AA97">Common_InputFunctions.Utility_DisplayArrayInTable(Fertiliser_SourceData.Fertiliser_Products_Data1(),FertiliserProducts[[#Headers],[Include or Exclude]], 0)</f>
        <v/>
      </c>
      <c r="AB97" s="10" t="str" cm="1">
        <f t="array" ref="AB97">Common_InputFunctions.Utility_DisplayArrayInTable(Fertiliser_SourceData.Fertiliser_Products_Data1(),FertiliserProducts[[#Headers],[Include or Exclude]], 0)</f>
        <v/>
      </c>
      <c r="AC97" s="10" t="str" cm="1">
        <f t="array" ref="AC97">Common_InputFunctions.Utility_DisplayArrayInTable(Fertiliser_SourceData.Fertiliser_Products_Data1(),FertiliserProducts[[#Headers],[Include or Exclude]], 0)</f>
        <v/>
      </c>
      <c r="AD97" s="10" t="str" cm="1">
        <f t="array" ref="AD97">Common_InputFunctions.Utility_DisplayArrayInTable(Fertiliser_SourceData.Fertiliser_Products_Data1(),FertiliserProducts[[#Headers],[Include or Exclude]], 0)</f>
        <v/>
      </c>
      <c r="AE97" s="10" t="str" cm="1">
        <f t="array" ref="AE97">Common_InputFunctions.Utility_DisplayArrayInTable(Fertiliser_SourceData.Fertiliser_Products_Data1(),FertiliserProducts[[#Headers],[Include or Exclude]], 0)</f>
        <v/>
      </c>
    </row>
    <row r="98" spans="1:31" ht="20.100000000000001" customHeight="1" x14ac:dyDescent="0.25">
      <c r="A98"/>
      <c r="D98" s="62" t="str" cm="1">
        <f t="array" ref="D98">Common_InputFunctions.Utility_DisplayArrayInTable(Fertiliser_SourceData.Fertiliser_Products_Data1(),FertiliserProducts[[#Headers],[Include or Exclude]], 0)</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f>
        <v>Aqua Thio-Emerge - Campbells Fertilisers Australasia</v>
      </c>
      <c r="I98" s="62" t="str" cm="1">
        <f t="array" ref="I98">Common_InputFunctions.Utility_DisplayArrayInTable(Fertiliser_SourceData.Fertiliser_Products_Data1(),FertiliserProducts[[#Headers],[Include or Exclude]], 0)</f>
        <v>Website SDS</v>
      </c>
      <c r="J98" s="62" t="str" cm="1">
        <f t="array" ref="J98">Common_InputFunctions.Utility_DisplayArrayInTable(Fertiliser_SourceData.Fertiliser_Products_Data1(),FertiliserProducts[[#Headers],[Include or Exclude]], 0)</f>
        <v/>
      </c>
      <c r="K98" s="62" t="str" cm="1">
        <f t="array" ref="K98">Common_InputFunctions.Utility_DisplayArrayInTable(Fertiliser_SourceData.Fertiliser_Products_Data1(),FertiliserProducts[[#Headers],[Include or Exclude]], 0)</f>
        <v>L</v>
      </c>
      <c r="L98" s="62" cm="1">
        <f t="array" ref="L98">Common_InputFunctions.Utility_DisplayArrayInTable(Fertiliser_SourceData.Fertiliser_Products_Data1(),FertiliserProducts[[#Headers],[Include or Exclude]], 0)</f>
        <v>1.29</v>
      </c>
      <c r="M98" s="10" t="str" cm="1">
        <f t="array" ref="M98">Common_InputFunctions.Utility_DisplayArrayInTable(Fertiliser_SourceData.Fertiliser_Products_Data1(),FertiliserProducts[[#Headers],[Include or Exclude]], 0)</f>
        <v/>
      </c>
      <c r="N98" s="62" t="str" cm="1">
        <f t="array" ref="N98">Common_InputFunctions.Utility_DisplayArrayInTable(Fertiliser_SourceData.Fertiliser_Products_Data1(),FertiliserProducts[[#Headers],[Include or Exclude]], 0)</f>
        <v/>
      </c>
      <c r="O98" s="62" t="str" cm="1">
        <f t="array" ref="O98">Common_InputFunctions.Utility_DisplayArrayInTable(Fertiliser_SourceData.Fertiliser_Products_Data1(),FertiliserProducts[[#Headers],[Include or Exclude]], 0)</f>
        <v>Nitrogen - Generic</v>
      </c>
      <c r="P98" s="62" cm="1">
        <f t="array" ref="P98">Common_InputFunctions.Utility_DisplayArrayInTable(Fertiliser_SourceData.Fertiliser_Products_Data1(),FertiliserProducts[[#Headers],[Include or Exclude]], 0)</f>
        <v>0.105</v>
      </c>
      <c r="Q98" s="62" t="str" cm="1">
        <f t="array" ref="Q98">Common_InputFunctions.Utility_DisplayArrayInTable(Fertiliser_SourceData.Fertiliser_Products_Data1(),FertiliserProducts[[#Headers],[Include or Exclude]], 0)</f>
        <v>Phosphorus - Generic</v>
      </c>
      <c r="R98" s="62" cm="1">
        <f t="array" ref="R98">Common_InputFunctions.Utility_DisplayArrayInTable(Fertiliser_SourceData.Fertiliser_Products_Data1(),FertiliserProducts[[#Headers],[Include or Exclude]], 0)</f>
        <v>9.4E-2</v>
      </c>
      <c r="S98" s="62" t="str" cm="1">
        <f t="array" ref="S98">Common_InputFunctions.Utility_DisplayArrayInTable(Fertiliser_SourceData.Fertiliser_Products_Data1(),FertiliserProducts[[#Headers],[Include or Exclude]], 0)</f>
        <v>Potassium - Generic</v>
      </c>
      <c r="T98" s="62" cm="1">
        <f t="array" ref="T98">Common_InputFunctions.Utility_DisplayArrayInTable(Fertiliser_SourceData.Fertiliser_Products_Data1(),FertiliserProducts[[#Headers],[Include or Exclude]], 0)</f>
        <v>0.04</v>
      </c>
      <c r="U98" s="62" t="str" cm="1">
        <f t="array" ref="U98">Common_InputFunctions.Utility_DisplayArrayInTable(Fertiliser_SourceData.Fertiliser_Products_Data1(),FertiliserProducts[[#Headers],[Include or Exclude]], 0)</f>
        <v>Sulfur - Generic</v>
      </c>
      <c r="V98" s="10" cm="1">
        <f t="array" ref="V98">Common_InputFunctions.Utility_DisplayArrayInTable(Fertiliser_SourceData.Fertiliser_Products_Data1(),FertiliserProducts[[#Headers],[Include or Exclude]], 0)</f>
        <v>0.03</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1:31" ht="20.100000000000001" customHeight="1" x14ac:dyDescent="0.25">
      <c r="A99"/>
      <c r="D99" s="62" t="str" cm="1">
        <f t="array" ref="D99">Common_InputFunctions.Utility_DisplayArrayInTable(Fertiliser_SourceData.Fertiliser_Products_Data1(),FertiliserProducts[[#Headers],[Include or Exclude]], 0)</f>
        <v>Include</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f>
        <v>Aqua Thio-Flourish - Campbells Fertilisers Australasia</v>
      </c>
      <c r="I99" s="62" t="str" cm="1">
        <f t="array" ref="I99">Common_InputFunctions.Utility_DisplayArrayInTable(Fertiliser_SourceData.Fertiliser_Products_Data1(),FertiliserProducts[[#Headers],[Include or Exclude]], 0)</f>
        <v>Website SDS</v>
      </c>
      <c r="J99" s="62" t="str" cm="1">
        <f t="array" ref="J99">Common_InputFunctions.Utility_DisplayArrayInTable(Fertiliser_SourceData.Fertiliser_Products_Data1(),FertiliserProducts[[#Headers],[Include or Exclude]], 0)</f>
        <v/>
      </c>
      <c r="K99" s="62" t="str" cm="1">
        <f t="array" ref="K99">Common_InputFunctions.Utility_DisplayArrayInTable(Fertiliser_SourceData.Fertiliser_Products_Data1(),FertiliserProducts[[#Headers],[Include or Exclude]], 0)</f>
        <v>L</v>
      </c>
      <c r="L99" s="62" cm="1">
        <f t="array" ref="L99">Common_InputFunctions.Utility_DisplayArrayInTable(Fertiliser_SourceData.Fertiliser_Products_Data1(),FertiliserProducts[[#Headers],[Include or Exclude]], 0)</f>
        <v>1.32</v>
      </c>
      <c r="M99" s="10" t="str" cm="1">
        <f t="array" ref="M99">Common_InputFunctions.Utility_DisplayArrayInTable(Fertiliser_SourceData.Fertiliser_Products_Data1(),FertiliserProducts[[#Headers],[Include or Exclude]], 0)</f>
        <v/>
      </c>
      <c r="N99" s="62" t="str" cm="1">
        <f t="array" ref="N99">Common_InputFunctions.Utility_DisplayArrayInTable(Fertiliser_SourceData.Fertiliser_Products_Data1(),FertiliserProducts[[#Headers],[Include or Exclude]], 0)</f>
        <v/>
      </c>
      <c r="O99" s="62" t="str" cm="1">
        <f t="array" ref="O99">Common_InputFunctions.Utility_DisplayArrayInTable(Fertiliser_SourceData.Fertiliser_Products_Data1(),FertiliserProducts[[#Headers],[Include or Exclude]], 0)</f>
        <v>Potassium - Generic</v>
      </c>
      <c r="P99" s="62" cm="1">
        <f t="array" ref="P99">Common_InputFunctions.Utility_DisplayArrayInTable(Fertiliser_SourceData.Fertiliser_Products_Data1(),FertiliserProducts[[#Headers],[Include or Exclude]], 0)</f>
        <v>0.108</v>
      </c>
      <c r="Q99" s="62" t="str" cm="1">
        <f t="array" ref="Q99">Common_InputFunctions.Utility_DisplayArrayInTable(Fertiliser_SourceData.Fertiliser_Products_Data1(),FertiliserProducts[[#Headers],[Include or Exclude]], 0)</f>
        <v>Nitrogen - Generic</v>
      </c>
      <c r="R99" s="62" cm="1">
        <f t="array" ref="R99">Common_InputFunctions.Utility_DisplayArrayInTable(Fertiliser_SourceData.Fertiliser_Products_Data1(),FertiliserProducts[[#Headers],[Include or Exclude]], 0)</f>
        <v>9.5000000000000001E-2</v>
      </c>
      <c r="S99" s="62" t="str" cm="1">
        <f t="array" ref="S99">Common_InputFunctions.Utility_DisplayArrayInTable(Fertiliser_SourceData.Fertiliser_Products_Data1(),FertiliserProducts[[#Headers],[Include or Exclude]], 0)</f>
        <v>Sulfur - Generic</v>
      </c>
      <c r="T99" s="62" cm="1">
        <f t="array" ref="T99">Common_InputFunctions.Utility_DisplayArrayInTable(Fertiliser_SourceData.Fertiliser_Products_Data1(),FertiliserProducts[[#Headers],[Include or Exclude]], 0)</f>
        <v>8.1000000000000003E-2</v>
      </c>
      <c r="U99" s="62" t="str" cm="1">
        <f t="array" ref="U99">Common_InputFunctions.Utility_DisplayArrayInTable(Fertiliser_SourceData.Fertiliser_Products_Data1(),FertiliserProducts[[#Headers],[Include or Exclude]], 0)</f>
        <v>Phosphorus - Generic</v>
      </c>
      <c r="V99" s="10" cm="1">
        <f t="array" ref="V99">Common_InputFunctions.Utility_DisplayArrayInTable(Fertiliser_SourceData.Fertiliser_Products_Data1(),FertiliserProducts[[#Headers],[Include or Exclude]], 0)</f>
        <v>4.7E-2</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1:31" ht="20.100000000000001" customHeight="1" x14ac:dyDescent="0.25">
      <c r="A100"/>
      <c r="D100" s="62" t="str" cm="1">
        <f t="array" ref="D100">Common_InputFunctions.Utility_DisplayArrayInTable(Fertiliser_SourceData.Fertiliser_Products_Data1(),FertiliserProducts[[#Headers],[Include or Exclude]], 0)</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f>
        <v>Asco Fol Plus - Campbells Fertilisers Australasia</v>
      </c>
      <c r="I100" s="62" t="str" cm="1">
        <f t="array" ref="I100">Common_InputFunctions.Utility_DisplayArrayInTable(Fertiliser_SourceData.Fertiliser_Products_Data1(),FertiliserProducts[[#Headers],[Include or Exclude]], 0)</f>
        <v/>
      </c>
      <c r="J100" s="62" t="str" cm="1">
        <f t="array" ref="J100">Common_InputFunctions.Utility_DisplayArrayInTable(Fertiliser_SourceData.Fertiliser_Products_Data1(),FertiliserProducts[[#Headers],[Include or Exclude]], 0)</f>
        <v>Organic - Do not include</v>
      </c>
      <c r="K100" s="62" t="str" cm="1">
        <f t="array" ref="K100">Common_InputFunctions.Utility_DisplayArrayInTable(Fertiliser_SourceData.Fertiliser_Products_Data1(),FertiliserProducts[[#Headers],[Include or Exclude]], 0)</f>
        <v/>
      </c>
      <c r="L100" s="62" t="str" cm="1">
        <f t="array" ref="L100">Common_InputFunctions.Utility_DisplayArrayInTable(Fertiliser_SourceData.Fertiliser_Products_Data1(),FertiliserProducts[[#Headers],[Include or Exclude]], 0)</f>
        <v/>
      </c>
      <c r="M100" s="10" t="str" cm="1">
        <f t="array" ref="M100">Common_InputFunctions.Utility_DisplayArrayInTable(Fertiliser_SourceData.Fertiliser_Products_Data1(),FertiliserProducts[[#Headers],[Include or Exclude]], 0)</f>
        <v/>
      </c>
      <c r="N100" s="62" t="str" cm="1">
        <f t="array" ref="N100">Common_InputFunctions.Utility_DisplayArrayInTable(Fertiliser_SourceData.Fertiliser_Products_Data1(),FertiliserProducts[[#Headers],[Include or Exclude]], 0)</f>
        <v/>
      </c>
      <c r="O100" s="62" t="str" cm="1">
        <f t="array" ref="O100">Common_InputFunctions.Utility_DisplayArrayInTable(Fertiliser_SourceData.Fertiliser_Products_Data1(),FertiliserProducts[[#Headers],[Include or Exclude]], 0)</f>
        <v/>
      </c>
      <c r="P100" s="62" t="str" cm="1">
        <f t="array" ref="P100">Common_InputFunctions.Utility_DisplayArrayInTable(Fertiliser_SourceData.Fertiliser_Products_Data1(),FertiliserProducts[[#Headers],[Include or Exclude]], 0)</f>
        <v/>
      </c>
      <c r="Q100" s="62" t="str" cm="1">
        <f t="array" ref="Q100">Common_InputFunctions.Utility_DisplayArrayInTable(Fertiliser_SourceData.Fertiliser_Products_Data1(),FertiliserProducts[[#Headers],[Include or Exclude]], 0)</f>
        <v/>
      </c>
      <c r="R100" s="62" t="str" cm="1">
        <f t="array" ref="R100">Common_InputFunctions.Utility_DisplayArrayInTable(Fertiliser_SourceData.Fertiliser_Products_Data1(),FertiliserProducts[[#Headers],[Include or Exclude]], 0)</f>
        <v/>
      </c>
      <c r="S100" s="62" t="str" cm="1">
        <f t="array" ref="S100">Common_InputFunctions.Utility_DisplayArrayInTable(Fertiliser_SourceData.Fertiliser_Products_Data1(),FertiliserProducts[[#Headers],[Include or Exclude]], 0)</f>
        <v/>
      </c>
      <c r="T100" s="62" t="str" cm="1">
        <f t="array" ref="T100">Common_InputFunctions.Utility_DisplayArrayInTable(Fertiliser_SourceData.Fertiliser_Products_Data1(),FertiliserProducts[[#Headers],[Include or Exclude]], 0)</f>
        <v/>
      </c>
      <c r="U100" s="62"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1:31" ht="20.100000000000001" customHeight="1" x14ac:dyDescent="0.25">
      <c r="A101"/>
      <c r="D101" s="62" t="str" cm="1">
        <f t="array" ref="D101">Common_InputFunctions.Utility_DisplayArrayInTable(Fertiliser_SourceData.Fertiliser_Products_Data1(),FertiliserProducts[[#Headers],[Include or Exclude]], 0)</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f>
        <v>Asco Plus - Campbells Fertilisers Australasia</v>
      </c>
      <c r="I101" s="62" t="str" cm="1">
        <f t="array" ref="I101">Common_InputFunctions.Utility_DisplayArrayInTable(Fertiliser_SourceData.Fertiliser_Products_Data1(),FertiliserProducts[[#Headers],[Include or Exclude]], 0)</f>
        <v/>
      </c>
      <c r="J101" s="62" t="str" cm="1">
        <f t="array" ref="J101">Common_InputFunctions.Utility_DisplayArrayInTable(Fertiliser_SourceData.Fertiliser_Products_Data1(),FertiliserProducts[[#Headers],[Include or Exclude]], 0)</f>
        <v>Organic - Do not include</v>
      </c>
      <c r="K101" s="62" t="str" cm="1">
        <f t="array" ref="K101">Common_InputFunctions.Utility_DisplayArrayInTable(Fertiliser_SourceData.Fertiliser_Products_Data1(),FertiliserProducts[[#Headers],[Include or Exclude]], 0)</f>
        <v/>
      </c>
      <c r="L101" s="62"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2" t="str" cm="1">
        <f t="array" ref="N101">Common_InputFunctions.Utility_DisplayArrayInTable(Fertiliser_SourceData.Fertiliser_Products_Data1(),FertiliserProducts[[#Headers],[Include or Exclude]], 0)</f>
        <v/>
      </c>
      <c r="O101" s="62" t="str" cm="1">
        <f t="array" ref="O101">Common_InputFunctions.Utility_DisplayArrayInTable(Fertiliser_SourceData.Fertiliser_Products_Data1(),FertiliserProducts[[#Headers],[Include or Exclude]], 0)</f>
        <v/>
      </c>
      <c r="P101" s="62" t="str" cm="1">
        <f t="array" ref="P101">Common_InputFunctions.Utility_DisplayArrayInTable(Fertiliser_SourceData.Fertiliser_Products_Data1(),FertiliserProducts[[#Headers],[Include or Exclude]], 0)</f>
        <v/>
      </c>
      <c r="Q101" s="62" t="str" cm="1">
        <f t="array" ref="Q101">Common_InputFunctions.Utility_DisplayArrayInTable(Fertiliser_SourceData.Fertiliser_Products_Data1(),FertiliserProducts[[#Headers],[Include or Exclude]], 0)</f>
        <v/>
      </c>
      <c r="R101" s="62" t="str" cm="1">
        <f t="array" ref="R101">Common_InputFunctions.Utility_DisplayArrayInTable(Fertiliser_SourceData.Fertiliser_Products_Data1(),FertiliserProducts[[#Headers],[Include or Exclude]], 0)</f>
        <v/>
      </c>
      <c r="S101" s="62" t="str" cm="1">
        <f t="array" ref="S101">Common_InputFunctions.Utility_DisplayArrayInTable(Fertiliser_SourceData.Fertiliser_Products_Data1(),FertiliserProducts[[#Headers],[Include or Exclude]], 0)</f>
        <v/>
      </c>
      <c r="T101" s="62" t="str" cm="1">
        <f t="array" ref="T101">Common_InputFunctions.Utility_DisplayArrayInTable(Fertiliser_SourceData.Fertiliser_Products_Data1(),FertiliserProducts[[#Headers],[Include or Exclude]], 0)</f>
        <v/>
      </c>
      <c r="U101" s="62"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1:31" ht="20.100000000000001" customHeight="1" x14ac:dyDescent="0.25">
      <c r="A102"/>
      <c r="D102" s="62" t="str" cm="1">
        <f t="array" ref="D102">Common_InputFunctions.Utility_DisplayArrayInTable(Fertiliser_SourceData.Fertiliser_Products_Data1(),FertiliserProducts[[#Headers],[Include or Exclude]], 0)</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f>
        <v>Asco Rhizo Plus - Campbells Fertilisers Australasia</v>
      </c>
      <c r="I102" s="62" t="str" cm="1">
        <f t="array" ref="I102">Common_InputFunctions.Utility_DisplayArrayInTable(Fertiliser_SourceData.Fertiliser_Products_Data1(),FertiliserProducts[[#Headers],[Include or Exclude]], 0)</f>
        <v/>
      </c>
      <c r="J102" s="62" t="str" cm="1">
        <f t="array" ref="J102">Common_InputFunctions.Utility_DisplayArrayInTable(Fertiliser_SourceData.Fertiliser_Products_Data1(),FertiliserProducts[[#Headers],[Include or Exclude]], 0)</f>
        <v>Biostimulant - Do not include</v>
      </c>
      <c r="K102" s="62" t="str" cm="1">
        <f t="array" ref="K102">Common_InputFunctions.Utility_DisplayArrayInTable(Fertiliser_SourceData.Fertiliser_Products_Data1(),FertiliserProducts[[#Headers],[Include or Exclude]], 0)</f>
        <v/>
      </c>
      <c r="L102" s="62"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2" t="str" cm="1">
        <f t="array" ref="N102">Common_InputFunctions.Utility_DisplayArrayInTable(Fertiliser_SourceData.Fertiliser_Products_Data1(),FertiliserProducts[[#Headers],[Include or Exclude]], 0)</f>
        <v/>
      </c>
      <c r="O102" s="62" t="str" cm="1">
        <f t="array" ref="O102">Common_InputFunctions.Utility_DisplayArrayInTable(Fertiliser_SourceData.Fertiliser_Products_Data1(),FertiliserProducts[[#Headers],[Include or Exclude]], 0)</f>
        <v/>
      </c>
      <c r="P102" s="62" t="str" cm="1">
        <f t="array" ref="P102">Common_InputFunctions.Utility_DisplayArrayInTable(Fertiliser_SourceData.Fertiliser_Products_Data1(),FertiliserProducts[[#Headers],[Include or Exclude]], 0)</f>
        <v/>
      </c>
      <c r="Q102" s="62" t="str" cm="1">
        <f t="array" ref="Q102">Common_InputFunctions.Utility_DisplayArrayInTable(Fertiliser_SourceData.Fertiliser_Products_Data1(),FertiliserProducts[[#Headers],[Include or Exclude]], 0)</f>
        <v/>
      </c>
      <c r="R102" s="62" t="str" cm="1">
        <f t="array" ref="R102">Common_InputFunctions.Utility_DisplayArrayInTable(Fertiliser_SourceData.Fertiliser_Products_Data1(),FertiliserProducts[[#Headers],[Include or Exclude]], 0)</f>
        <v/>
      </c>
      <c r="S102" s="62" t="str" cm="1">
        <f t="array" ref="S102">Common_InputFunctions.Utility_DisplayArrayInTable(Fertiliser_SourceData.Fertiliser_Products_Data1(),FertiliserProducts[[#Headers],[Include or Exclude]], 0)</f>
        <v/>
      </c>
      <c r="T102" s="62" t="str" cm="1">
        <f t="array" ref="T102">Common_InputFunctions.Utility_DisplayArrayInTable(Fertiliser_SourceData.Fertiliser_Products_Data1(),FertiliserProducts[[#Headers],[Include or Exclude]], 0)</f>
        <v/>
      </c>
      <c r="U102" s="62"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1:31" ht="20.100000000000001" customHeight="1" x14ac:dyDescent="0.25">
      <c r="A103"/>
      <c r="D103" s="62" t="str" cm="1">
        <f t="array" ref="D103">Common_InputFunctions.Utility_DisplayArrayInTable(Fertiliser_SourceData.Fertiliser_Products_Data1(),FertiliserProducts[[#Headers],[Include or Exclude]], 0)</f>
        <v>Exclude - Not relevant</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f>
        <v>Benefit PZ - Campbells Fertilisers Australasia</v>
      </c>
      <c r="I103" s="62" t="str" cm="1">
        <f t="array" ref="I103">Common_InputFunctions.Utility_DisplayArrayInTable(Fertiliser_SourceData.Fertiliser_Products_Data1(),FertiliserProducts[[#Headers],[Include or Exclude]], 0)</f>
        <v/>
      </c>
      <c r="J103" s="62" t="str" cm="1">
        <f t="array" ref="J103">Common_InputFunctions.Utility_DisplayArrayInTable(Fertiliser_SourceData.Fertiliser_Products_Data1(),FertiliserProducts[[#Headers],[Include or Exclude]], 0)</f>
        <v>Not fertiliser - Do not include</v>
      </c>
      <c r="K103" s="62" t="str" cm="1">
        <f t="array" ref="K103">Common_InputFunctions.Utility_DisplayArrayInTable(Fertiliser_SourceData.Fertiliser_Products_Data1(),FertiliserProducts[[#Headers],[Include or Exclude]], 0)</f>
        <v/>
      </c>
      <c r="L103" s="62"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2" t="str" cm="1">
        <f t="array" ref="N103">Common_InputFunctions.Utility_DisplayArrayInTable(Fertiliser_SourceData.Fertiliser_Products_Data1(),FertiliserProducts[[#Headers],[Include or Exclude]], 0)</f>
        <v/>
      </c>
      <c r="O103" s="62" t="str" cm="1">
        <f t="array" ref="O103">Common_InputFunctions.Utility_DisplayArrayInTable(Fertiliser_SourceData.Fertiliser_Products_Data1(),FertiliserProducts[[#Headers],[Include or Exclude]], 0)</f>
        <v/>
      </c>
      <c r="P103" s="62" t="str" cm="1">
        <f t="array" ref="P103">Common_InputFunctions.Utility_DisplayArrayInTable(Fertiliser_SourceData.Fertiliser_Products_Data1(),FertiliserProducts[[#Headers],[Include or Exclude]], 0)</f>
        <v/>
      </c>
      <c r="Q103" s="62" t="str" cm="1">
        <f t="array" ref="Q103">Common_InputFunctions.Utility_DisplayArrayInTable(Fertiliser_SourceData.Fertiliser_Products_Data1(),FertiliserProducts[[#Headers],[Include or Exclude]], 0)</f>
        <v/>
      </c>
      <c r="R103" s="62" t="str" cm="1">
        <f t="array" ref="R103">Common_InputFunctions.Utility_DisplayArrayInTable(Fertiliser_SourceData.Fertiliser_Products_Data1(),FertiliserProducts[[#Headers],[Include or Exclude]], 0)</f>
        <v/>
      </c>
      <c r="S103" s="62" t="str" cm="1">
        <f t="array" ref="S103">Common_InputFunctions.Utility_DisplayArrayInTable(Fertiliser_SourceData.Fertiliser_Products_Data1(),FertiliserProducts[[#Headers],[Include or Exclude]], 0)</f>
        <v/>
      </c>
      <c r="T103" s="62" t="str" cm="1">
        <f t="array" ref="T103">Common_InputFunctions.Utility_DisplayArrayInTable(Fertiliser_SourceData.Fertiliser_Products_Data1(),FertiliserProducts[[#Headers],[Include or Exclude]], 0)</f>
        <v/>
      </c>
      <c r="U103" s="62"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1:31" ht="20.100000000000001" customHeight="1" x14ac:dyDescent="0.25">
      <c r="A104"/>
      <c r="D104" s="62" t="str" cm="1">
        <f t="array" ref="D104">Common_InputFunctions.Utility_DisplayArrayInTable(Fertiliser_SourceData.Fertiliser_Products_Data1(),FertiliserProducts[[#Headers],[Include or Exclude]], 0)</f>
        <v>Include - Absent ingredients &lt; 2%</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f>
        <v>Boost-It - Campbells Fertilisers Australasia</v>
      </c>
      <c r="I104" s="62" t="str" cm="1">
        <f t="array" ref="I104">Common_InputFunctions.Utility_DisplayArrayInTable(Fertiliser_SourceData.Fertiliser_Products_Data1(),FertiliserProducts[[#Headers],[Include or Exclude]], 0)</f>
        <v>Website SDS</v>
      </c>
      <c r="J104" s="62" t="str" cm="1">
        <f t="array" ref="J104">Common_InputFunctions.Utility_DisplayArrayInTable(Fertiliser_SourceData.Fertiliser_Products_Data1(),FertiliserProducts[[#Headers],[Include or Exclude]], 0)</f>
        <v/>
      </c>
      <c r="K104" s="62" t="str" cm="1">
        <f t="array" ref="K104">Common_InputFunctions.Utility_DisplayArrayInTable(Fertiliser_SourceData.Fertiliser_Products_Data1(),FertiliserProducts[[#Headers],[Include or Exclude]], 0)</f>
        <v>kg</v>
      </c>
      <c r="L104" s="62" cm="1">
        <f t="array" ref="L104">Common_InputFunctions.Utility_DisplayArrayInTable(Fertiliser_SourceData.Fertiliser_Products_Data1(),FertiliserProducts[[#Headers],[Include or Exclude]], 0)</f>
        <v>1</v>
      </c>
      <c r="M104" s="10" t="str" cm="1">
        <f t="array" ref="M104">Common_InputFunctions.Utility_DisplayArrayInTable(Fertiliser_SourceData.Fertiliser_Products_Data1(),FertiliserProducts[[#Headers],[Include or Exclude]], 0)</f>
        <v/>
      </c>
      <c r="N104" s="62" t="str" cm="1">
        <f t="array" ref="N104">Common_InputFunctions.Utility_DisplayArrayInTable(Fertiliser_SourceData.Fertiliser_Products_Data1(),FertiliserProducts[[#Headers],[Include or Exclude]], 0)</f>
        <v/>
      </c>
      <c r="O104" s="62" t="str" cm="1">
        <f t="array" ref="O104">Common_InputFunctions.Utility_DisplayArrayInTable(Fertiliser_SourceData.Fertiliser_Products_Data1(),FertiliserProducts[[#Headers],[Include or Exclude]], 0)</f>
        <v>Urea</v>
      </c>
      <c r="P104" s="62" cm="1">
        <f t="array" ref="P104">Common_InputFunctions.Utility_DisplayArrayInTable(Fertiliser_SourceData.Fertiliser_Products_Data1(),FertiliserProducts[[#Headers],[Include or Exclude]], 0)</f>
        <v>0.52173913000000005</v>
      </c>
      <c r="Q104" s="62" t="str" cm="1">
        <f t="array" ref="Q104">Common_InputFunctions.Utility_DisplayArrayInTable(Fertiliser_SourceData.Fertiliser_Products_Data1(),FertiliserProducts[[#Headers],[Include or Exclude]], 0)</f>
        <v>Potassium - Generic</v>
      </c>
      <c r="R104" s="62" cm="1">
        <f t="array" ref="R104">Common_InputFunctions.Utility_DisplayArrayInTable(Fertiliser_SourceData.Fertiliser_Products_Data1(),FertiliserProducts[[#Headers],[Include or Exclude]], 0)</f>
        <v>0.08</v>
      </c>
      <c r="S104" s="62" t="str" cm="1">
        <f t="array" ref="S104">Common_InputFunctions.Utility_DisplayArrayInTable(Fertiliser_SourceData.Fertiliser_Products_Data1(),FertiliserProducts[[#Headers],[Include or Exclude]], 0)</f>
        <v>Sulfur - Generic</v>
      </c>
      <c r="T104" s="62" cm="1">
        <f t="array" ref="T104">Common_InputFunctions.Utility_DisplayArrayInTable(Fertiliser_SourceData.Fertiliser_Products_Data1(),FertiliserProducts[[#Headers],[Include or Exclude]], 0)</f>
        <v>5.2999999999999999E-2</v>
      </c>
      <c r="U104" s="62" t="str" cm="1">
        <f t="array" ref="U104">Common_InputFunctions.Utility_DisplayArrayInTable(Fertiliser_SourceData.Fertiliser_Products_Data1(),FertiliserProducts[[#Headers],[Include or Exclude]], 0)</f>
        <v>Phosphorus - Generic</v>
      </c>
      <c r="V104" s="10" cm="1">
        <f t="array" ref="V104">Common_InputFunctions.Utility_DisplayArrayInTable(Fertiliser_SourceData.Fertiliser_Products_Data1(),FertiliserProducts[[#Headers],[Include or Exclude]], 0)</f>
        <v>5.1999999999999998E-2</v>
      </c>
      <c r="W104" s="10" t="str" cm="1">
        <f t="array" ref="W104">Common_InputFunctions.Utility_DisplayArrayInTable(Fertiliser_SourceData.Fertiliser_Products_Data1(),FertiliserProducts[[#Headers],[Include or Exclude]], 0)</f>
        <v>Magnesium</v>
      </c>
      <c r="X104" s="10" cm="1">
        <f t="array" ref="X104">Common_InputFunctions.Utility_DisplayArrayInTable(Fertiliser_SourceData.Fertiliser_Products_Data1(),FertiliserProducts[[#Headers],[Include or Exclude]], 0)</f>
        <v>1.2999999999999999E-2</v>
      </c>
      <c r="Y104" s="10" t="str" cm="1">
        <f t="array" ref="Y104">Common_InputFunctions.Utility_DisplayArrayInTable(Fertiliser_SourceData.Fertiliser_Products_Data1(),FertiliserProducts[[#Headers],[Include or Exclude]], 0)</f>
        <v>Zinc</v>
      </c>
      <c r="Z104" s="10" cm="1">
        <f t="array" ref="Z104">Common_InputFunctions.Utility_DisplayArrayInTable(Fertiliser_SourceData.Fertiliser_Products_Data1(),FertiliserProducts[[#Headers],[Include or Exclude]], 0)</f>
        <v>2E-3</v>
      </c>
      <c r="AA104" s="10" t="str" cm="1">
        <f t="array" ref="AA104">Common_InputFunctions.Utility_DisplayArrayInTable(Fertiliser_SourceData.Fertiliser_Products_Data1(),FertiliserProducts[[#Headers],[Include or Exclude]], 0)</f>
        <v>Manganese</v>
      </c>
      <c r="AB104" s="10" cm="1">
        <f t="array" ref="AB104">Common_InputFunctions.Utility_DisplayArrayInTable(Fertiliser_SourceData.Fertiliser_Products_Data1(),FertiliserProducts[[#Headers],[Include or Exclude]], 0)</f>
        <v>3.5000000000000001E-3</v>
      </c>
      <c r="AC104" s="10" t="str" cm="1">
        <f t="array" ref="AC104">Common_InputFunctions.Utility_DisplayArrayInTable(Fertiliser_SourceData.Fertiliser_Products_Data1(),FertiliserProducts[[#Headers],[Include or Exclude]], 0)</f>
        <v>Iron</v>
      </c>
      <c r="AD104" s="10" cm="1">
        <f t="array" ref="AD104">Common_InputFunctions.Utility_DisplayArrayInTable(Fertiliser_SourceData.Fertiliser_Products_Data1(),FertiliserProducts[[#Headers],[Include or Exclude]], 0)</f>
        <v>1.2999999999999999E-3</v>
      </c>
      <c r="AE104" s="10" t="str" cm="1">
        <f t="array" ref="AE104">Common_InputFunctions.Utility_DisplayArrayInTable(Fertiliser_SourceData.Fertiliser_Products_Data1(),FertiliserProducts[[#Headers],[Include or Exclude]], 0)</f>
        <v>Copper</v>
      </c>
    </row>
    <row r="105" spans="1:31" ht="20.100000000000001" customHeight="1" x14ac:dyDescent="0.25">
      <c r="A105"/>
      <c r="D105" s="62" t="str" cm="1">
        <f t="array" ref="D105">Common_InputFunctions.Utility_DisplayArrayInTable(Fertiliser_SourceData.Fertiliser_Products_Data1(),FertiliserProducts[[#Headers],[Include or Exclude]], 0)</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f>
        <v>Boroplus - Campbells Fertilisers Australasia</v>
      </c>
      <c r="I105" s="62" t="str" cm="1">
        <f t="array" ref="I105">Common_InputFunctions.Utility_DisplayArrayInTable(Fertiliser_SourceData.Fertiliser_Products_Data1(),FertiliserProducts[[#Headers],[Include or Exclude]], 0)</f>
        <v/>
      </c>
      <c r="J105" s="62" t="str" cm="1">
        <f t="array" ref="J105">Common_InputFunctions.Utility_DisplayArrayInTable(Fertiliser_SourceData.Fertiliser_Products_Data1(),FertiliserProducts[[#Headers],[Include or Exclude]], 0)</f>
        <v>Not fertiliser - Do not include</v>
      </c>
      <c r="K105" s="62" t="str" cm="1">
        <f t="array" ref="K105">Common_InputFunctions.Utility_DisplayArrayInTable(Fertiliser_SourceData.Fertiliser_Products_Data1(),FertiliserProducts[[#Headers],[Include or Exclude]], 0)</f>
        <v/>
      </c>
      <c r="L105" s="62"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2" t="str" cm="1">
        <f t="array" ref="N105">Common_InputFunctions.Utility_DisplayArrayInTable(Fertiliser_SourceData.Fertiliser_Products_Data1(),FertiliserProducts[[#Headers],[Include or Exclude]], 0)</f>
        <v/>
      </c>
      <c r="O105" s="62" t="str" cm="1">
        <f t="array" ref="O105">Common_InputFunctions.Utility_DisplayArrayInTable(Fertiliser_SourceData.Fertiliser_Products_Data1(),FertiliserProducts[[#Headers],[Include or Exclude]], 0)</f>
        <v/>
      </c>
      <c r="P105" s="62" t="str" cm="1">
        <f t="array" ref="P105">Common_InputFunctions.Utility_DisplayArrayInTable(Fertiliser_SourceData.Fertiliser_Products_Data1(),FertiliserProducts[[#Headers],[Include or Exclude]], 0)</f>
        <v/>
      </c>
      <c r="Q105" s="62" t="str" cm="1">
        <f t="array" ref="Q105">Common_InputFunctions.Utility_DisplayArrayInTable(Fertiliser_SourceData.Fertiliser_Products_Data1(),FertiliserProducts[[#Headers],[Include or Exclude]], 0)</f>
        <v/>
      </c>
      <c r="R105" s="62" t="str" cm="1">
        <f t="array" ref="R105">Common_InputFunctions.Utility_DisplayArrayInTable(Fertiliser_SourceData.Fertiliser_Products_Data1(),FertiliserProducts[[#Headers],[Include or Exclude]], 0)</f>
        <v/>
      </c>
      <c r="S105" s="62" t="str" cm="1">
        <f t="array" ref="S105">Common_InputFunctions.Utility_DisplayArrayInTable(Fertiliser_SourceData.Fertiliser_Products_Data1(),FertiliserProducts[[#Headers],[Include or Exclude]], 0)</f>
        <v/>
      </c>
      <c r="T105" s="62" t="str" cm="1">
        <f t="array" ref="T105">Common_InputFunctions.Utility_DisplayArrayInTable(Fertiliser_SourceData.Fertiliser_Products_Data1(),FertiliserProducts[[#Headers],[Include or Exclude]], 0)</f>
        <v/>
      </c>
      <c r="U105" s="62"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1:31" ht="20.100000000000001" customHeight="1" x14ac:dyDescent="0.25">
      <c r="A106"/>
      <c r="D106" s="62" t="str" cm="1">
        <f t="array" ref="D106">Common_InputFunctions.Utility_DisplayArrayInTable(Fertiliser_SourceData.Fertiliser_Products_Data1(),FertiliserProducts[[#Headers],[Include or Exclude]], 0)</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f>
        <v>BreviSol Range - Campbells Fertilisers Australasia</v>
      </c>
      <c r="I106" s="62" t="str" cm="1">
        <f t="array" ref="I106">Common_InputFunctions.Utility_DisplayArrayInTable(Fertiliser_SourceData.Fertiliser_Products_Data1(),FertiliserProducts[[#Headers],[Include or Exclude]], 0)</f>
        <v/>
      </c>
      <c r="J106" s="62" t="str" cm="1">
        <f t="array" ref="J106">Common_InputFunctions.Utility_DisplayArrayInTable(Fertiliser_SourceData.Fertiliser_Products_Data1(),FertiliserProducts[[#Headers],[Include or Exclude]], 0)</f>
        <v>Not fertiliser - Do not include</v>
      </c>
      <c r="K106" s="62" t="str" cm="1">
        <f t="array" ref="K106">Common_InputFunctions.Utility_DisplayArrayInTable(Fertiliser_SourceData.Fertiliser_Products_Data1(),FertiliserProducts[[#Headers],[Include or Exclude]], 0)</f>
        <v/>
      </c>
      <c r="L106" s="62"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2" t="str" cm="1">
        <f t="array" ref="N106">Common_InputFunctions.Utility_DisplayArrayInTable(Fertiliser_SourceData.Fertiliser_Products_Data1(),FertiliserProducts[[#Headers],[Include or Exclude]], 0)</f>
        <v/>
      </c>
      <c r="O106" s="62" t="str" cm="1">
        <f t="array" ref="O106">Common_InputFunctions.Utility_DisplayArrayInTable(Fertiliser_SourceData.Fertiliser_Products_Data1(),FertiliserProducts[[#Headers],[Include or Exclude]], 0)</f>
        <v/>
      </c>
      <c r="P106" s="62" t="str" cm="1">
        <f t="array" ref="P106">Common_InputFunctions.Utility_DisplayArrayInTable(Fertiliser_SourceData.Fertiliser_Products_Data1(),FertiliserProducts[[#Headers],[Include or Exclude]], 0)</f>
        <v/>
      </c>
      <c r="Q106" s="62" t="str" cm="1">
        <f t="array" ref="Q106">Common_InputFunctions.Utility_DisplayArrayInTable(Fertiliser_SourceData.Fertiliser_Products_Data1(),FertiliserProducts[[#Headers],[Include or Exclude]], 0)</f>
        <v/>
      </c>
      <c r="R106" s="62" t="str" cm="1">
        <f t="array" ref="R106">Common_InputFunctions.Utility_DisplayArrayInTable(Fertiliser_SourceData.Fertiliser_Products_Data1(),FertiliserProducts[[#Headers],[Include or Exclude]], 0)</f>
        <v/>
      </c>
      <c r="S106" s="62" t="str" cm="1">
        <f t="array" ref="S106">Common_InputFunctions.Utility_DisplayArrayInTable(Fertiliser_SourceData.Fertiliser_Products_Data1(),FertiliserProducts[[#Headers],[Include or Exclude]], 0)</f>
        <v/>
      </c>
      <c r="T106" s="62" t="str" cm="1">
        <f t="array" ref="T106">Common_InputFunctions.Utility_DisplayArrayInTable(Fertiliser_SourceData.Fertiliser_Products_Data1(),FertiliserProducts[[#Headers],[Include or Exclude]], 0)</f>
        <v/>
      </c>
      <c r="U106" s="62"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1:31" ht="20.100000000000001" customHeight="1" x14ac:dyDescent="0.25">
      <c r="A107"/>
      <c r="D107" s="62" t="str" cm="1">
        <f t="array" ref="D107">Common_InputFunctions.Utility_DisplayArrayInTable(Fertiliser_SourceData.Fertiliser_Products_Data1(),FertiliserProducts[[#Headers],[Include or Exclude]], 0)</f>
        <v>Exclude - Not relevant</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f>
        <v>Brexil Line - Campbells Fertilisers Australasia</v>
      </c>
      <c r="I107" s="62" t="str" cm="1">
        <f t="array" ref="I107">Common_InputFunctions.Utility_DisplayArrayInTable(Fertiliser_SourceData.Fertiliser_Products_Data1(),FertiliserProducts[[#Headers],[Include or Exclude]], 0)</f>
        <v/>
      </c>
      <c r="J107" s="62" t="str" cm="1">
        <f t="array" ref="J107">Common_InputFunctions.Utility_DisplayArrayInTable(Fertiliser_SourceData.Fertiliser_Products_Data1(),FertiliserProducts[[#Headers],[Include or Exclude]], 0)</f>
        <v>Not fertiliser - Do not include</v>
      </c>
      <c r="K107" s="62" t="str" cm="1">
        <f t="array" ref="K107">Common_InputFunctions.Utility_DisplayArrayInTable(Fertiliser_SourceData.Fertiliser_Products_Data1(),FertiliserProducts[[#Headers],[Include or Exclude]], 0)</f>
        <v/>
      </c>
      <c r="L107" s="62"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2" t="str" cm="1">
        <f t="array" ref="N107">Common_InputFunctions.Utility_DisplayArrayInTable(Fertiliser_SourceData.Fertiliser_Products_Data1(),FertiliserProducts[[#Headers],[Include or Exclude]], 0)</f>
        <v/>
      </c>
      <c r="O107" s="62" t="str" cm="1">
        <f t="array" ref="O107">Common_InputFunctions.Utility_DisplayArrayInTable(Fertiliser_SourceData.Fertiliser_Products_Data1(),FertiliserProducts[[#Headers],[Include or Exclude]], 0)</f>
        <v/>
      </c>
      <c r="P107" s="62" t="str" cm="1">
        <f t="array" ref="P107">Common_InputFunctions.Utility_DisplayArrayInTable(Fertiliser_SourceData.Fertiliser_Products_Data1(),FertiliserProducts[[#Headers],[Include or Exclude]], 0)</f>
        <v/>
      </c>
      <c r="Q107" s="62" t="str" cm="1">
        <f t="array" ref="Q107">Common_InputFunctions.Utility_DisplayArrayInTable(Fertiliser_SourceData.Fertiliser_Products_Data1(),FertiliserProducts[[#Headers],[Include or Exclude]], 0)</f>
        <v/>
      </c>
      <c r="R107" s="62" t="str" cm="1">
        <f t="array" ref="R107">Common_InputFunctions.Utility_DisplayArrayInTable(Fertiliser_SourceData.Fertiliser_Products_Data1(),FertiliserProducts[[#Headers],[Include or Exclude]], 0)</f>
        <v/>
      </c>
      <c r="S107" s="62" t="str" cm="1">
        <f t="array" ref="S107">Common_InputFunctions.Utility_DisplayArrayInTable(Fertiliser_SourceData.Fertiliser_Products_Data1(),FertiliserProducts[[#Headers],[Include or Exclude]], 0)</f>
        <v/>
      </c>
      <c r="T107" s="62" t="str" cm="1">
        <f t="array" ref="T107">Common_InputFunctions.Utility_DisplayArrayInTable(Fertiliser_SourceData.Fertiliser_Products_Data1(),FertiliserProducts[[#Headers],[Include or Exclude]], 0)</f>
        <v/>
      </c>
      <c r="U107" s="62"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1:31" ht="20.100000000000001" customHeight="1" x14ac:dyDescent="0.25">
      <c r="A108"/>
      <c r="D108" s="62" t="str" cm="1">
        <f t="array" ref="D108">Common_InputFunctions.Utility_DisplayArrayInTable(Fertiliser_SourceData.Fertiliser_Products_Data1(),FertiliserProducts[[#Headers],[Include or Exclude]], 0)</f>
        <v>Include</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f>
        <v>Bronze - Campbells Fertilisers Australasia</v>
      </c>
      <c r="I108" s="62" t="str" cm="1">
        <f t="array" ref="I108">Common_InputFunctions.Utility_DisplayArrayInTable(Fertiliser_SourceData.Fertiliser_Products_Data1(),FertiliserProducts[[#Headers],[Include or Exclude]], 0)</f>
        <v>Website</v>
      </c>
      <c r="J108" s="62" t="str" cm="1">
        <f t="array" ref="J108">Common_InputFunctions.Utility_DisplayArrayInTable(Fertiliser_SourceData.Fertiliser_Products_Data1(),FertiliserProducts[[#Headers],[Include or Exclude]], 0)</f>
        <v/>
      </c>
      <c r="K108" s="62" t="str" cm="1">
        <f t="array" ref="K108">Common_InputFunctions.Utility_DisplayArrayInTable(Fertiliser_SourceData.Fertiliser_Products_Data1(),FertiliserProducts[[#Headers],[Include or Exclude]], 0)</f>
        <v>kg</v>
      </c>
      <c r="L108" s="62"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2" t="str" cm="1">
        <f t="array" ref="N108">Common_InputFunctions.Utility_DisplayArrayInTable(Fertiliser_SourceData.Fertiliser_Products_Data1(),FertiliserProducts[[#Headers],[Include or Exclude]], 0)</f>
        <v/>
      </c>
      <c r="O108" s="62" t="str" cm="1">
        <f t="array" ref="O108">Common_InputFunctions.Utility_DisplayArrayInTable(Fertiliser_SourceData.Fertiliser_Products_Data1(),FertiliserProducts[[#Headers],[Include or Exclude]], 0)</f>
        <v>Muriate of Potash (MOP)</v>
      </c>
      <c r="P108" s="62" cm="1">
        <f t="array" ref="P108">Common_InputFunctions.Utility_DisplayArrayInTable(Fertiliser_SourceData.Fertiliser_Products_Data1(),FertiliserProducts[[#Headers],[Include or Exclude]], 0)</f>
        <v>0.23200000000000001</v>
      </c>
      <c r="Q108" s="62" t="str" cm="1">
        <f t="array" ref="Q108">Common_InputFunctions.Utility_DisplayArrayInTable(Fertiliser_SourceData.Fertiliser_Products_Data1(),FertiliserProducts[[#Headers],[Include or Exclude]], 0)</f>
        <v>Nitrogen - Generic</v>
      </c>
      <c r="R108" s="62" cm="1">
        <f t="array" ref="R108">Common_InputFunctions.Utility_DisplayArrayInTable(Fertiliser_SourceData.Fertiliser_Products_Data1(),FertiliserProducts[[#Headers],[Include or Exclude]], 0)</f>
        <v>0.17</v>
      </c>
      <c r="S108" s="62" t="str" cm="1">
        <f t="array" ref="S108">Common_InputFunctions.Utility_DisplayArrayInTable(Fertiliser_SourceData.Fertiliser_Products_Data1(),FertiliserProducts[[#Headers],[Include or Exclude]], 0)</f>
        <v>Sulfur - Generic</v>
      </c>
      <c r="T108" s="62" cm="1">
        <f t="array" ref="T108">Common_InputFunctions.Utility_DisplayArrayInTable(Fertiliser_SourceData.Fertiliser_Products_Data1(),FertiliserProducts[[#Headers],[Include or Exclude]], 0)</f>
        <v>5.0000000000000001E-3</v>
      </c>
      <c r="U108" s="62" t="str" cm="1">
        <f t="array" ref="U108">Common_InputFunctions.Utility_DisplayArrayInTable(Fertiliser_SourceData.Fertiliser_Products_Data1(),FertiliserProducts[[#Headers],[Include or Exclude]], 0)</f>
        <v>Magnesium</v>
      </c>
      <c r="V108" s="10" cm="1">
        <f t="array" ref="V108">Common_InputFunctions.Utility_DisplayArrayInTable(Fertiliser_SourceData.Fertiliser_Products_Data1(),FertiliserProducts[[#Headers],[Include or Exclude]], 0)</f>
        <v>2.3999999999999998E-3</v>
      </c>
      <c r="W108" s="10" t="str" cm="1">
        <f t="array" ref="W108">Common_InputFunctions.Utility_DisplayArrayInTable(Fertiliser_SourceData.Fertiliser_Products_Data1(),FertiliserProducts[[#Headers],[Include or Exclude]], 0)</f>
        <v>Phosphorus - Generic</v>
      </c>
      <c r="X108" s="10" cm="1">
        <f t="array" ref="X108">Common_InputFunctions.Utility_DisplayArrayInTable(Fertiliser_SourceData.Fertiliser_Products_Data1(),FertiliserProducts[[#Headers],[Include or Exclude]], 0)</f>
        <v>4.0000000000000002E-4</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1:31" ht="20.100000000000001" customHeight="1" x14ac:dyDescent="0.25">
      <c r="A109"/>
      <c r="D109" s="62" t="str" cm="1">
        <f t="array" ref="D109">Common_InputFunctions.Utility_DisplayArrayInTable(Fertiliser_SourceData.Fertiliser_Products_Data2(),FertiliserProducts[[#Headers],[Include or Exclude]], 20)</f>
        <v>Product</v>
      </c>
      <c r="E109" s="62" t="str" cm="1">
        <f t="array" ref="E109">Common_InputFunctions.Utility_DisplayArrayInTable(Fertiliser_SourceData.Fertiliser_Products_Data2(),FertiliserProducts[[#Headers],[Include or Exclude]], 20)</f>
        <v>Ingredient 1</v>
      </c>
      <c r="F109" s="62" t="str" cm="1">
        <f t="array" ref="F109">Common_InputFunctions.Utility_DisplayArrayInTable(Fertiliser_SourceData.Fertiliser_Products_Data2(),FertiliserProducts[[#Headers],[Include or Exclude]], 20)</f>
        <v>Ingredient 1 percent</v>
      </c>
      <c r="G109" s="62" t="str" cm="1">
        <f t="array" ref="G109">Common_InputFunctions.Utility_DisplayArrayInTable(Fertiliser_SourceData.Fertiliser_Products_Data2(),FertiliserProducts[[#Headers],[Include or Exclude]], 20)</f>
        <v>Ingredient 1 source</v>
      </c>
      <c r="H109" s="62" t="str" cm="1">
        <f t="array" ref="H109">Common_InputFunctions.Utility_DisplayArrayInTable(Fertiliser_SourceData.Fertiliser_Products_Data2(),FertiliserProducts[[#Headers],[Include or Exclude]], 20)</f>
        <v>Ingredient 2</v>
      </c>
      <c r="I109" s="62" t="str" cm="1">
        <f t="array" ref="I109">Common_InputFunctions.Utility_DisplayArrayInTable(Fertiliser_SourceData.Fertiliser_Products_Data2(),FertiliserProducts[[#Headers],[Include or Exclude]], 20)</f>
        <v>Ingredient 2 percent</v>
      </c>
      <c r="J109" s="62" t="str" cm="1">
        <f t="array" ref="J109">Common_InputFunctions.Utility_DisplayArrayInTable(Fertiliser_SourceData.Fertiliser_Products_Data2(),FertiliserProducts[[#Headers],[Include or Exclude]], 20)</f>
        <v>Ingredient 2 source</v>
      </c>
      <c r="K109" s="62" t="str" cm="1">
        <f t="array" ref="K109">Common_InputFunctions.Utility_DisplayArrayInTable(Fertiliser_SourceData.Fertiliser_Products_Data2(),FertiliserProducts[[#Headers],[Include or Exclude]], 20)</f>
        <v>Ingredient 3</v>
      </c>
      <c r="L109" s="62" t="str" cm="1">
        <f t="array" ref="L109">Common_InputFunctions.Utility_DisplayArrayInTable(Fertiliser_SourceData.Fertiliser_Products_Data2(),FertiliserProducts[[#Headers],[Include or Exclude]], 20)</f>
        <v>Ingredient 3 percent</v>
      </c>
      <c r="M109" s="62" t="str" cm="1">
        <f t="array" ref="M109">Common_InputFunctions.Utility_DisplayArrayInTable(Fertiliser_SourceData.Fertiliser_Products_Data2(),FertiliserProducts[[#Headers],[Include or Exclude]], 20)</f>
        <v>Ingredient 3 source</v>
      </c>
      <c r="N109" s="62" t="str" cm="1">
        <f t="array" ref="N109">Common_InputFunctions.Utility_DisplayArrayInTable(Fertiliser_SourceData.Fertiliser_Products_Data2(),FertiliserProducts[[#Headers],[Include or Exclude]], 20)</f>
        <v>Ingredient 4</v>
      </c>
      <c r="O109" s="62" t="str" cm="1">
        <f t="array" ref="O109">Common_InputFunctions.Utility_DisplayArrayInTable(Fertiliser_SourceData.Fertiliser_Products_Data2(),FertiliserProducts[[#Headers],[Include or Exclude]], 20)</f>
        <v>Ingredient 4 percent</v>
      </c>
      <c r="P109" s="62" t="str" cm="1">
        <f t="array" ref="P109">Common_InputFunctions.Utility_DisplayArrayInTable(Fertiliser_SourceData.Fertiliser_Products_Data2(),FertiliserProducts[[#Headers],[Include or Exclude]], 20)</f>
        <v>Ingredient 4 source</v>
      </c>
      <c r="Q109" s="62" t="str" cm="1">
        <f t="array" ref="Q109">Common_InputFunctions.Utility_DisplayArrayInTable(Fertiliser_SourceData.Fertiliser_Products_Data2(),FertiliserProducts[[#Headers],[Include or Exclude]], 20)</f>
        <v>Ingredient 5</v>
      </c>
      <c r="R109" s="62" t="str" cm="1">
        <f t="array" ref="R109">Common_InputFunctions.Utility_DisplayArrayInTable(Fertiliser_SourceData.Fertiliser_Products_Data2(),FertiliserProducts[[#Headers],[Include or Exclude]], 20)</f>
        <v>Ingredient 5 percent</v>
      </c>
      <c r="S109" s="62" t="str" cm="1">
        <f t="array" ref="S109">Common_InputFunctions.Utility_DisplayArrayInTable(Fertiliser_SourceData.Fertiliser_Products_Data2(),FertiliserProducts[[#Headers],[Include or Exclude]], 20)</f>
        <v>Ingredient 5 source</v>
      </c>
      <c r="T109" s="62" t="str" cm="1">
        <f t="array" ref="T109">Common_InputFunctions.Utility_DisplayArrayInTable(Fertiliser_SourceData.Fertiliser_Products_Data2(),FertiliserProducts[[#Headers],[Include or Exclude]], 20)</f>
        <v>Ingredient 6</v>
      </c>
      <c r="U109" s="62" t="str" cm="1">
        <f t="array" ref="U109">Common_InputFunctions.Utility_DisplayArrayInTable(Fertiliser_SourceData.Fertiliser_Products_Data2(),FertiliserProducts[[#Headers],[Include or Exclude]], 20)</f>
        <v>Ingredient 6 percent</v>
      </c>
      <c r="V109" s="62" t="str" cm="1">
        <f t="array" ref="V109">Common_InputFunctions.Utility_DisplayArrayInTable(Fertiliser_SourceData.Fertiliser_Products_Data2(),FertiliserProducts[[#Headers],[Include or Exclude]], 20)</f>
        <v>Ingredient 6 source</v>
      </c>
      <c r="W109" s="62" t="str" cm="1">
        <f t="array" ref="W109">Common_InputFunctions.Utility_DisplayArrayInTable(Fertiliser_SourceData.Fertiliser_Products_Data2(),FertiliserProducts[[#Headers],[Include or Exclude]], 20)</f>
        <v>Product info link</v>
      </c>
      <c r="X109" s="62" t="str" cm="1">
        <f t="array" ref="X109">Common_InputFunctions.Utility_DisplayArrayInTable(Fertiliser_SourceData.Fertiliser_Products_Data2(),FertiliserProducts[[#Headers],[Include or Exclude]], 20)</f>
        <v/>
      </c>
      <c r="Y109" s="62" t="str" cm="1">
        <f t="array" ref="Y109">Common_InputFunctions.Utility_DisplayArrayInTable(Fertiliser_SourceData.Fertiliser_Products_Data2(),FertiliserProducts[[#Headers],[Include or Exclude]], 20)</f>
        <v/>
      </c>
      <c r="Z109" s="62"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1:31" ht="20.100000000000001" customHeight="1" x14ac:dyDescent="0.25">
      <c r="A110"/>
      <c r="D110" s="62" t="str" cm="1">
        <f t="array" ref="D110">Common_InputFunctions.Utility_DisplayArrayInTable(Fertiliser_SourceData.Fertiliser_Products_Data2(),FertiliserProducts[[#Headers],[Include or Exclude]], 20)</f>
        <v>Manganese Sulphate</v>
      </c>
      <c r="E110" s="62" t="str" cm="1">
        <f t="array" ref="E110">Common_InputFunctions.Utility_DisplayArrayInTable(Fertiliser_SourceData.Fertiliser_Products_Data2(),FertiliserProducts[[#Headers],[Include or Exclude]], 20)</f>
        <v/>
      </c>
      <c r="F110" s="62" t="str" cm="1">
        <f t="array" ref="F110">Common_InputFunctions.Utility_DisplayArrayInTable(Fertiliser_SourceData.Fertiliser_Products_Data2(),FertiliserProducts[[#Headers],[Include or Exclude]], 20)</f>
        <v/>
      </c>
      <c r="G110" s="62" t="str" cm="1">
        <f t="array" ref="G110">Common_InputFunctions.Utility_DisplayArrayInTable(Fertiliser_SourceData.Fertiliser_Products_Data2(),FertiliserProducts[[#Headers],[Include or Exclude]], 20)</f>
        <v/>
      </c>
      <c r="H110" s="62" t="str" cm="1">
        <f t="array" ref="H110">Common_InputFunctions.Utility_DisplayArrayInTable(Fertiliser_SourceData.Fertiliser_Products_Data2(),FertiliserProducts[[#Headers],[Include or Exclude]], 20)</f>
        <v/>
      </c>
      <c r="I110" s="62" t="str" cm="1">
        <f t="array" ref="I110">Common_InputFunctions.Utility_DisplayArrayInTable(Fertiliser_SourceData.Fertiliser_Products_Data2(),FertiliserProducts[[#Headers],[Include or Exclude]], 20)</f>
        <v/>
      </c>
      <c r="J110" s="62" t="str" cm="1">
        <f t="array" ref="J110">Common_InputFunctions.Utility_DisplayArrayInTable(Fertiliser_SourceData.Fertiliser_Products_Data2(),FertiliserProducts[[#Headers],[Include or Exclude]], 20)</f>
        <v/>
      </c>
      <c r="K110" s="62" t="str" cm="1">
        <f t="array" ref="K110">Common_InputFunctions.Utility_DisplayArrayInTable(Fertiliser_SourceData.Fertiliser_Products_Data2(),FertiliserProducts[[#Headers],[Include or Exclude]], 20)</f>
        <v/>
      </c>
      <c r="L110" s="62" t="str" cm="1">
        <f t="array" ref="L110">Common_InputFunctions.Utility_DisplayArrayInTable(Fertiliser_SourceData.Fertiliser_Products_Data2(),FertiliserProducts[[#Headers],[Include or Exclude]], 20)</f>
        <v/>
      </c>
      <c r="M110" s="62" t="str" cm="1">
        <f t="array" ref="M110">Common_InputFunctions.Utility_DisplayArrayInTable(Fertiliser_SourceData.Fertiliser_Products_Data2(),FertiliserProducts[[#Headers],[Include or Exclude]], 20)</f>
        <v/>
      </c>
      <c r="N110" s="62" t="str" cm="1">
        <f t="array" ref="N110">Common_InputFunctions.Utility_DisplayArrayInTable(Fertiliser_SourceData.Fertiliser_Products_Data2(),FertiliserProducts[[#Headers],[Include or Exclude]], 20)</f>
        <v/>
      </c>
      <c r="O110" s="62" t="str" cm="1">
        <f t="array" ref="O110">Common_InputFunctions.Utility_DisplayArrayInTable(Fertiliser_SourceData.Fertiliser_Products_Data2(),FertiliserProducts[[#Headers],[Include or Exclude]], 20)</f>
        <v/>
      </c>
      <c r="P110" s="62" t="str" cm="1">
        <f t="array" ref="P110">Common_InputFunctions.Utility_DisplayArrayInTable(Fertiliser_SourceData.Fertiliser_Products_Data2(),FertiliserProducts[[#Headers],[Include or Exclude]], 20)</f>
        <v/>
      </c>
      <c r="Q110" s="62" t="str" cm="1">
        <f t="array" ref="Q110">Common_InputFunctions.Utility_DisplayArrayInTable(Fertiliser_SourceData.Fertiliser_Products_Data2(),FertiliserProducts[[#Headers],[Include or Exclude]], 20)</f>
        <v/>
      </c>
      <c r="R110" s="62" t="str" cm="1">
        <f t="array" ref="R110">Common_InputFunctions.Utility_DisplayArrayInTable(Fertiliser_SourceData.Fertiliser_Products_Data2(),FertiliserProducts[[#Headers],[Include or Exclude]], 20)</f>
        <v/>
      </c>
      <c r="S110" s="62" t="str" cm="1">
        <f t="array" ref="S110">Common_InputFunctions.Utility_DisplayArrayInTable(Fertiliser_SourceData.Fertiliser_Products_Data2(),FertiliserProducts[[#Headers],[Include or Exclude]], 20)</f>
        <v/>
      </c>
      <c r="T110" s="62" t="str" cm="1">
        <f t="array" ref="T110">Common_InputFunctions.Utility_DisplayArrayInTable(Fertiliser_SourceData.Fertiliser_Products_Data2(),FertiliserProducts[[#Headers],[Include or Exclude]], 20)</f>
        <v/>
      </c>
      <c r="U110" s="62" t="str" cm="1">
        <f t="array" ref="U110">Common_InputFunctions.Utility_DisplayArrayInTable(Fertiliser_SourceData.Fertiliser_Products_Data2(),FertiliserProducts[[#Headers],[Include or Exclude]], 20)</f>
        <v/>
      </c>
      <c r="V110" s="62" t="str" cm="1">
        <f t="array" ref="V110">Common_InputFunctions.Utility_DisplayArrayInTable(Fertiliser_SourceData.Fertiliser_Products_Data2(),FertiliserProducts[[#Headers],[Include or Exclude]], 20)</f>
        <v/>
      </c>
      <c r="W110" s="62" t="str" cm="1">
        <f t="array" ref="W110">Common_InputFunctions.Utility_DisplayArrayInTable(Fertiliser_SourceData.Fertiliser_Products_Data2(),FertiliserProducts[[#Headers],[Include or Exclude]], 20)</f>
        <v>Incitec Pivot Fertilisers</v>
      </c>
      <c r="X110" s="62" t="str" cm="1">
        <f t="array" ref="X110">Common_InputFunctions.Utility_DisplayArrayInTable(Fertiliser_SourceData.Fertiliser_Products_Data2(),FertiliserProducts[[#Headers],[Include or Exclude]], 20)</f>
        <v/>
      </c>
      <c r="Y110" s="62" t="str" cm="1">
        <f t="array" ref="Y110">Common_InputFunctions.Utility_DisplayArrayInTable(Fertiliser_SourceData.Fertiliser_Products_Data2(),FertiliserProducts[[#Headers],[Include or Exclude]], 20)</f>
        <v/>
      </c>
      <c r="Z110" s="62"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1:31" ht="20.100000000000001" customHeight="1" x14ac:dyDescent="0.25">
      <c r="A111"/>
      <c r="D111" s="62" t="str" cm="1">
        <f t="array" ref="D111">Common_InputFunctions.Utility_DisplayArrayInTable(Fertiliser_SourceData.Fertiliser_Products_Data2(),FertiliserProducts[[#Headers],[Include or Exclude]], 20)</f>
        <v>MAP</v>
      </c>
      <c r="E111" s="62" t="str" cm="1">
        <f t="array" ref="E111">Common_InputFunctions.Utility_DisplayArrayInTable(Fertiliser_SourceData.Fertiliser_Products_Data2(),FertiliserProducts[[#Headers],[Include or Exclude]], 20)</f>
        <v/>
      </c>
      <c r="F111" s="62" t="str" cm="1">
        <f t="array" ref="F111">Common_InputFunctions.Utility_DisplayArrayInTable(Fertiliser_SourceData.Fertiliser_Products_Data2(),FertiliserProducts[[#Headers],[Include or Exclude]], 20)</f>
        <v/>
      </c>
      <c r="G111" s="62" t="str" cm="1">
        <f t="array" ref="G111">Common_InputFunctions.Utility_DisplayArrayInTable(Fertiliser_SourceData.Fertiliser_Products_Data2(),FertiliserProducts[[#Headers],[Include or Exclude]], 20)</f>
        <v/>
      </c>
      <c r="H111" s="62" t="str" cm="1">
        <f t="array" ref="H111">Common_InputFunctions.Utility_DisplayArrayInTable(Fertiliser_SourceData.Fertiliser_Products_Data2(),FertiliserProducts[[#Headers],[Include or Exclude]], 20)</f>
        <v/>
      </c>
      <c r="I111" s="62" t="str" cm="1">
        <f t="array" ref="I111">Common_InputFunctions.Utility_DisplayArrayInTable(Fertiliser_SourceData.Fertiliser_Products_Data2(),FertiliserProducts[[#Headers],[Include or Exclude]], 20)</f>
        <v/>
      </c>
      <c r="J111" s="62" t="str" cm="1">
        <f t="array" ref="J111">Common_InputFunctions.Utility_DisplayArrayInTable(Fertiliser_SourceData.Fertiliser_Products_Data2(),FertiliserProducts[[#Headers],[Include or Exclude]], 20)</f>
        <v/>
      </c>
      <c r="K111" s="62" t="str" cm="1">
        <f t="array" ref="K111">Common_InputFunctions.Utility_DisplayArrayInTable(Fertiliser_SourceData.Fertiliser_Products_Data2(),FertiliserProducts[[#Headers],[Include or Exclude]], 20)</f>
        <v/>
      </c>
      <c r="L111" s="62" t="str" cm="1">
        <f t="array" ref="L111">Common_InputFunctions.Utility_DisplayArrayInTable(Fertiliser_SourceData.Fertiliser_Products_Data2(),FertiliserProducts[[#Headers],[Include or Exclude]], 20)</f>
        <v/>
      </c>
      <c r="M111" s="62" t="str" cm="1">
        <f t="array" ref="M111">Common_InputFunctions.Utility_DisplayArrayInTable(Fertiliser_SourceData.Fertiliser_Products_Data2(),FertiliserProducts[[#Headers],[Include or Exclude]], 20)</f>
        <v/>
      </c>
      <c r="N111" s="62" t="str" cm="1">
        <f t="array" ref="N111">Common_InputFunctions.Utility_DisplayArrayInTable(Fertiliser_SourceData.Fertiliser_Products_Data2(),FertiliserProducts[[#Headers],[Include or Exclude]], 20)</f>
        <v/>
      </c>
      <c r="O111" s="62" t="str" cm="1">
        <f t="array" ref="O111">Common_InputFunctions.Utility_DisplayArrayInTable(Fertiliser_SourceData.Fertiliser_Products_Data2(),FertiliserProducts[[#Headers],[Include or Exclude]], 20)</f>
        <v/>
      </c>
      <c r="P111" s="62" t="str" cm="1">
        <f t="array" ref="P111">Common_InputFunctions.Utility_DisplayArrayInTable(Fertiliser_SourceData.Fertiliser_Products_Data2(),FertiliserProducts[[#Headers],[Include or Exclude]], 20)</f>
        <v/>
      </c>
      <c r="Q111" s="62" t="str" cm="1">
        <f t="array" ref="Q111">Common_InputFunctions.Utility_DisplayArrayInTable(Fertiliser_SourceData.Fertiliser_Products_Data2(),FertiliserProducts[[#Headers],[Include or Exclude]], 20)</f>
        <v/>
      </c>
      <c r="R111" s="62" t="str" cm="1">
        <f t="array" ref="R111">Common_InputFunctions.Utility_DisplayArrayInTable(Fertiliser_SourceData.Fertiliser_Products_Data2(),FertiliserProducts[[#Headers],[Include or Exclude]], 20)</f>
        <v/>
      </c>
      <c r="S111" s="62" t="str" cm="1">
        <f t="array" ref="S111">Common_InputFunctions.Utility_DisplayArrayInTable(Fertiliser_SourceData.Fertiliser_Products_Data2(),FertiliserProducts[[#Headers],[Include or Exclude]], 20)</f>
        <v/>
      </c>
      <c r="T111" s="62" t="str" cm="1">
        <f t="array" ref="T111">Common_InputFunctions.Utility_DisplayArrayInTable(Fertiliser_SourceData.Fertiliser_Products_Data2(),FertiliserProducts[[#Headers],[Include or Exclude]], 20)</f>
        <v/>
      </c>
      <c r="U111" s="62" t="str" cm="1">
        <f t="array" ref="U111">Common_InputFunctions.Utility_DisplayArrayInTable(Fertiliser_SourceData.Fertiliser_Products_Data2(),FertiliserProducts[[#Headers],[Include or Exclude]], 20)</f>
        <v/>
      </c>
      <c r="V111" s="62" t="str" cm="1">
        <f t="array" ref="V111">Common_InputFunctions.Utility_DisplayArrayInTable(Fertiliser_SourceData.Fertiliser_Products_Data2(),FertiliserProducts[[#Headers],[Include or Exclude]], 20)</f>
        <v/>
      </c>
      <c r="W111" s="62" t="str" cm="1">
        <f t="array" ref="W111">Common_InputFunctions.Utility_DisplayArrayInTable(Fertiliser_SourceData.Fertiliser_Products_Data2(),FertiliserProducts[[#Headers],[Include or Exclude]], 20)</f>
        <v>Incitec Pivot Fertilisers</v>
      </c>
      <c r="X111" s="62" t="str" cm="1">
        <f t="array" ref="X111">Common_InputFunctions.Utility_DisplayArrayInTable(Fertiliser_SourceData.Fertiliser_Products_Data2(),FertiliserProducts[[#Headers],[Include or Exclude]], 20)</f>
        <v/>
      </c>
      <c r="Y111" s="62" t="str" cm="1">
        <f t="array" ref="Y111">Common_InputFunctions.Utility_DisplayArrayInTable(Fertiliser_SourceData.Fertiliser_Products_Data2(),FertiliserProducts[[#Headers],[Include or Exclude]], 20)</f>
        <v/>
      </c>
      <c r="Z111" s="62"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1:31" ht="20.100000000000001" customHeight="1" x14ac:dyDescent="0.25">
      <c r="A112"/>
      <c r="D112" s="62" t="str" cm="1">
        <f t="array" ref="D112">Common_InputFunctions.Utility_DisplayArrayInTable(Fertiliser_SourceData.Fertiliser_Products_Data2(),FertiliserProducts[[#Headers],[Include or Exclude]], 20)</f>
        <v>MAP Impact</v>
      </c>
      <c r="E112" s="62" t="str" cm="1">
        <f t="array" ref="E112">Common_InputFunctions.Utility_DisplayArrayInTable(Fertiliser_SourceData.Fertiliser_Products_Data2(),FertiliserProducts[[#Headers],[Include or Exclude]], 20)</f>
        <v/>
      </c>
      <c r="F112" s="62" t="str" cm="1">
        <f t="array" ref="F112">Common_InputFunctions.Utility_DisplayArrayInTable(Fertiliser_SourceData.Fertiliser_Products_Data2(),FertiliserProducts[[#Headers],[Include or Exclude]], 20)</f>
        <v/>
      </c>
      <c r="G112" s="62" t="str" cm="1">
        <f t="array" ref="G112">Common_InputFunctions.Utility_DisplayArrayInTable(Fertiliser_SourceData.Fertiliser_Products_Data2(),FertiliserProducts[[#Headers],[Include or Exclude]], 20)</f>
        <v/>
      </c>
      <c r="H112" s="62" t="str" cm="1">
        <f t="array" ref="H112">Common_InputFunctions.Utility_DisplayArrayInTable(Fertiliser_SourceData.Fertiliser_Products_Data2(),FertiliserProducts[[#Headers],[Include or Exclude]], 20)</f>
        <v/>
      </c>
      <c r="I112" s="62" t="str" cm="1">
        <f t="array" ref="I112">Common_InputFunctions.Utility_DisplayArrayInTable(Fertiliser_SourceData.Fertiliser_Products_Data2(),FertiliserProducts[[#Headers],[Include or Exclude]], 20)</f>
        <v/>
      </c>
      <c r="J112" s="62" t="str" cm="1">
        <f t="array" ref="J112">Common_InputFunctions.Utility_DisplayArrayInTable(Fertiliser_SourceData.Fertiliser_Products_Data2(),FertiliserProducts[[#Headers],[Include or Exclude]], 20)</f>
        <v/>
      </c>
      <c r="K112" s="62" t="str" cm="1">
        <f t="array" ref="K112">Common_InputFunctions.Utility_DisplayArrayInTable(Fertiliser_SourceData.Fertiliser_Products_Data2(),FertiliserProducts[[#Headers],[Include or Exclude]], 20)</f>
        <v/>
      </c>
      <c r="L112" s="62" t="str" cm="1">
        <f t="array" ref="L112">Common_InputFunctions.Utility_DisplayArrayInTable(Fertiliser_SourceData.Fertiliser_Products_Data2(),FertiliserProducts[[#Headers],[Include or Exclude]], 20)</f>
        <v/>
      </c>
      <c r="M112" s="62" t="str" cm="1">
        <f t="array" ref="M112">Common_InputFunctions.Utility_DisplayArrayInTable(Fertiliser_SourceData.Fertiliser_Products_Data2(),FertiliserProducts[[#Headers],[Include or Exclude]], 20)</f>
        <v/>
      </c>
      <c r="N112" s="62" t="str" cm="1">
        <f t="array" ref="N112">Common_InputFunctions.Utility_DisplayArrayInTable(Fertiliser_SourceData.Fertiliser_Products_Data2(),FertiliserProducts[[#Headers],[Include or Exclude]], 20)</f>
        <v/>
      </c>
      <c r="O112" s="62" t="str" cm="1">
        <f t="array" ref="O112">Common_InputFunctions.Utility_DisplayArrayInTable(Fertiliser_SourceData.Fertiliser_Products_Data2(),FertiliserProducts[[#Headers],[Include or Exclude]], 20)</f>
        <v/>
      </c>
      <c r="P112" s="62" t="str" cm="1">
        <f t="array" ref="P112">Common_InputFunctions.Utility_DisplayArrayInTable(Fertiliser_SourceData.Fertiliser_Products_Data2(),FertiliserProducts[[#Headers],[Include or Exclude]], 20)</f>
        <v/>
      </c>
      <c r="Q112" s="62" t="str" cm="1">
        <f t="array" ref="Q112">Common_InputFunctions.Utility_DisplayArrayInTable(Fertiliser_SourceData.Fertiliser_Products_Data2(),FertiliserProducts[[#Headers],[Include or Exclude]], 20)</f>
        <v/>
      </c>
      <c r="R112" s="62" t="str" cm="1">
        <f t="array" ref="R112">Common_InputFunctions.Utility_DisplayArrayInTable(Fertiliser_SourceData.Fertiliser_Products_Data2(),FertiliserProducts[[#Headers],[Include or Exclude]], 20)</f>
        <v/>
      </c>
      <c r="S112" s="62" t="str" cm="1">
        <f t="array" ref="S112">Common_InputFunctions.Utility_DisplayArrayInTable(Fertiliser_SourceData.Fertiliser_Products_Data2(),FertiliserProducts[[#Headers],[Include or Exclude]], 20)</f>
        <v/>
      </c>
      <c r="T112" s="62" t="str" cm="1">
        <f t="array" ref="T112">Common_InputFunctions.Utility_DisplayArrayInTable(Fertiliser_SourceData.Fertiliser_Products_Data2(),FertiliserProducts[[#Headers],[Include or Exclude]], 20)</f>
        <v/>
      </c>
      <c r="U112" s="62" t="str" cm="1">
        <f t="array" ref="U112">Common_InputFunctions.Utility_DisplayArrayInTable(Fertiliser_SourceData.Fertiliser_Products_Data2(),FertiliserProducts[[#Headers],[Include or Exclude]], 20)</f>
        <v/>
      </c>
      <c r="V112" s="62" t="str" cm="1">
        <f t="array" ref="V112">Common_InputFunctions.Utility_DisplayArrayInTable(Fertiliser_SourceData.Fertiliser_Products_Data2(),FertiliserProducts[[#Headers],[Include or Exclude]], 20)</f>
        <v/>
      </c>
      <c r="W112" s="62" t="str" cm="1">
        <f t="array" ref="W112">Common_InputFunctions.Utility_DisplayArrayInTable(Fertiliser_SourceData.Fertiliser_Products_Data2(),FertiliserProducts[[#Headers],[Include or Exclude]], 20)</f>
        <v>Impact fertilisers</v>
      </c>
      <c r="X112" s="62" t="str" cm="1">
        <f t="array" ref="X112">Common_InputFunctions.Utility_DisplayArrayInTable(Fertiliser_SourceData.Fertiliser_Products_Data2(),FertiliserProducts[[#Headers],[Include or Exclude]], 20)</f>
        <v/>
      </c>
      <c r="Y112" s="62" t="str" cm="1">
        <f t="array" ref="Y112">Common_InputFunctions.Utility_DisplayArrayInTable(Fertiliser_SourceData.Fertiliser_Products_Data2(),FertiliserProducts[[#Headers],[Include or Exclude]], 20)</f>
        <v/>
      </c>
      <c r="Z112" s="62"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1:31" ht="20.100000000000001" customHeight="1" x14ac:dyDescent="0.25">
      <c r="A113"/>
      <c r="D113" s="62" t="str" cm="1">
        <f t="array" ref="D113">Common_InputFunctions.Utility_DisplayArrayInTable(Fertiliser_SourceData.Fertiliser_Products_Data2(),FertiliserProducts[[#Headers],[Include or Exclude]], 20)</f>
        <v>MAPSZC</v>
      </c>
      <c r="E113" s="62" t="str" cm="1">
        <f t="array" ref="E113">Common_InputFunctions.Utility_DisplayArrayInTable(Fertiliser_SourceData.Fertiliser_Products_Data2(),FertiliserProducts[[#Headers],[Include or Exclude]], 20)</f>
        <v/>
      </c>
      <c r="F113" s="62" t="str" cm="1">
        <f t="array" ref="F113">Common_InputFunctions.Utility_DisplayArrayInTable(Fertiliser_SourceData.Fertiliser_Products_Data2(),FertiliserProducts[[#Headers],[Include or Exclude]], 20)</f>
        <v/>
      </c>
      <c r="G113" s="62" t="str" cm="1">
        <f t="array" ref="G113">Common_InputFunctions.Utility_DisplayArrayInTable(Fertiliser_SourceData.Fertiliser_Products_Data2(),FertiliserProducts[[#Headers],[Include or Exclude]], 20)</f>
        <v/>
      </c>
      <c r="H113" s="62" t="str" cm="1">
        <f t="array" ref="H113">Common_InputFunctions.Utility_DisplayArrayInTable(Fertiliser_SourceData.Fertiliser_Products_Data2(),FertiliserProducts[[#Headers],[Include or Exclude]], 20)</f>
        <v/>
      </c>
      <c r="I113" s="62" t="str" cm="1">
        <f t="array" ref="I113">Common_InputFunctions.Utility_DisplayArrayInTable(Fertiliser_SourceData.Fertiliser_Products_Data2(),FertiliserProducts[[#Headers],[Include or Exclude]], 20)</f>
        <v/>
      </c>
      <c r="J113" s="62" t="str" cm="1">
        <f t="array" ref="J113">Common_InputFunctions.Utility_DisplayArrayInTable(Fertiliser_SourceData.Fertiliser_Products_Data2(),FertiliserProducts[[#Headers],[Include or Exclude]], 20)</f>
        <v/>
      </c>
      <c r="K113" s="62" t="str" cm="1">
        <f t="array" ref="K113">Common_InputFunctions.Utility_DisplayArrayInTable(Fertiliser_SourceData.Fertiliser_Products_Data2(),FertiliserProducts[[#Headers],[Include or Exclude]], 20)</f>
        <v/>
      </c>
      <c r="L113" s="62" t="str" cm="1">
        <f t="array" ref="L113">Common_InputFunctions.Utility_DisplayArrayInTable(Fertiliser_SourceData.Fertiliser_Products_Data2(),FertiliserProducts[[#Headers],[Include or Exclude]], 20)</f>
        <v/>
      </c>
      <c r="M113" s="62" t="str" cm="1">
        <f t="array" ref="M113">Common_InputFunctions.Utility_DisplayArrayInTable(Fertiliser_SourceData.Fertiliser_Products_Data2(),FertiliserProducts[[#Headers],[Include or Exclude]], 20)</f>
        <v/>
      </c>
      <c r="N113" s="62" t="str" cm="1">
        <f t="array" ref="N113">Common_InputFunctions.Utility_DisplayArrayInTable(Fertiliser_SourceData.Fertiliser_Products_Data2(),FertiliserProducts[[#Headers],[Include or Exclude]], 20)</f>
        <v/>
      </c>
      <c r="O113" s="62" t="str" cm="1">
        <f t="array" ref="O113">Common_InputFunctions.Utility_DisplayArrayInTable(Fertiliser_SourceData.Fertiliser_Products_Data2(),FertiliserProducts[[#Headers],[Include or Exclude]], 20)</f>
        <v/>
      </c>
      <c r="P113" s="62" t="str" cm="1">
        <f t="array" ref="P113">Common_InputFunctions.Utility_DisplayArrayInTable(Fertiliser_SourceData.Fertiliser_Products_Data2(),FertiliserProducts[[#Headers],[Include or Exclude]], 20)</f>
        <v/>
      </c>
      <c r="Q113" s="62" t="str" cm="1">
        <f t="array" ref="Q113">Common_InputFunctions.Utility_DisplayArrayInTable(Fertiliser_SourceData.Fertiliser_Products_Data2(),FertiliserProducts[[#Headers],[Include or Exclude]], 20)</f>
        <v/>
      </c>
      <c r="R113" s="62" t="str" cm="1">
        <f t="array" ref="R113">Common_InputFunctions.Utility_DisplayArrayInTable(Fertiliser_SourceData.Fertiliser_Products_Data2(),FertiliserProducts[[#Headers],[Include or Exclude]], 20)</f>
        <v/>
      </c>
      <c r="S113" s="62" t="str" cm="1">
        <f t="array" ref="S113">Common_InputFunctions.Utility_DisplayArrayInTable(Fertiliser_SourceData.Fertiliser_Products_Data2(),FertiliserProducts[[#Headers],[Include or Exclude]], 20)</f>
        <v/>
      </c>
      <c r="T113" s="62" t="str" cm="1">
        <f t="array" ref="T113">Common_InputFunctions.Utility_DisplayArrayInTable(Fertiliser_SourceData.Fertiliser_Products_Data2(),FertiliserProducts[[#Headers],[Include or Exclude]], 20)</f>
        <v/>
      </c>
      <c r="U113" s="62" t="str" cm="1">
        <f t="array" ref="U113">Common_InputFunctions.Utility_DisplayArrayInTable(Fertiliser_SourceData.Fertiliser_Products_Data2(),FertiliserProducts[[#Headers],[Include or Exclude]], 20)</f>
        <v/>
      </c>
      <c r="V113" s="62" t="str" cm="1">
        <f t="array" ref="V113">Common_InputFunctions.Utility_DisplayArrayInTable(Fertiliser_SourceData.Fertiliser_Products_Data2(),FertiliserProducts[[#Headers],[Include or Exclude]], 20)</f>
        <v/>
      </c>
      <c r="W113" s="62" t="str" cm="1">
        <f t="array" ref="W113">Common_InputFunctions.Utility_DisplayArrayInTable(Fertiliser_SourceData.Fertiliser_Products_Data2(),FertiliserProducts[[#Headers],[Include or Exclude]], 20)</f>
        <v>Summit Fertilizers</v>
      </c>
      <c r="X113" s="62" t="str" cm="1">
        <f t="array" ref="X113">Common_InputFunctions.Utility_DisplayArrayInTable(Fertiliser_SourceData.Fertiliser_Products_Data2(),FertiliserProducts[[#Headers],[Include or Exclude]], 20)</f>
        <v/>
      </c>
      <c r="Y113" s="62" t="str" cm="1">
        <f t="array" ref="Y113">Common_InputFunctions.Utility_DisplayArrayInTable(Fertiliser_SourceData.Fertiliser_Products_Data2(),FertiliserProducts[[#Headers],[Include or Exclude]], 20)</f>
        <v/>
      </c>
      <c r="Z113" s="62"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1:31" ht="20.100000000000001" customHeight="1" x14ac:dyDescent="0.25">
      <c r="A114"/>
      <c r="D114" s="62" t="str" cm="1">
        <f t="array" ref="D114">Common_InputFunctions.Utility_DisplayArrayInTable(Fertiliser_SourceData.Fertiliser_Products_Data2(),FertiliserProducts[[#Headers],[Include or Exclude]], 20)</f>
        <v>Maximum N-Pact 29-0-0</v>
      </c>
      <c r="E114" s="62" t="str" cm="1">
        <f t="array" ref="E114">Common_InputFunctions.Utility_DisplayArrayInTable(Fertiliser_SourceData.Fertiliser_Products_Data2(),FertiliserProducts[[#Headers],[Include or Exclude]], 20)</f>
        <v/>
      </c>
      <c r="F114" s="62" t="str" cm="1">
        <f t="array" ref="F114">Common_InputFunctions.Utility_DisplayArrayInTable(Fertiliser_SourceData.Fertiliser_Products_Data2(),FertiliserProducts[[#Headers],[Include or Exclude]], 20)</f>
        <v/>
      </c>
      <c r="G114" s="62" t="str" cm="1">
        <f t="array" ref="G114">Common_InputFunctions.Utility_DisplayArrayInTable(Fertiliser_SourceData.Fertiliser_Products_Data2(),FertiliserProducts[[#Headers],[Include or Exclude]], 20)</f>
        <v/>
      </c>
      <c r="H114" s="62" t="str" cm="1">
        <f t="array" ref="H114">Common_InputFunctions.Utility_DisplayArrayInTable(Fertiliser_SourceData.Fertiliser_Products_Data2(),FertiliserProducts[[#Headers],[Include or Exclude]], 20)</f>
        <v/>
      </c>
      <c r="I114" s="62" t="str" cm="1">
        <f t="array" ref="I114">Common_InputFunctions.Utility_DisplayArrayInTable(Fertiliser_SourceData.Fertiliser_Products_Data2(),FertiliserProducts[[#Headers],[Include or Exclude]], 20)</f>
        <v/>
      </c>
      <c r="J114" s="62" t="str" cm="1">
        <f t="array" ref="J114">Common_InputFunctions.Utility_DisplayArrayInTable(Fertiliser_SourceData.Fertiliser_Products_Data2(),FertiliserProducts[[#Headers],[Include or Exclude]], 20)</f>
        <v/>
      </c>
      <c r="K114" s="62" t="str" cm="1">
        <f t="array" ref="K114">Common_InputFunctions.Utility_DisplayArrayInTable(Fertiliser_SourceData.Fertiliser_Products_Data2(),FertiliserProducts[[#Headers],[Include or Exclude]], 20)</f>
        <v/>
      </c>
      <c r="L114" s="62" t="str" cm="1">
        <f t="array" ref="L114">Common_InputFunctions.Utility_DisplayArrayInTable(Fertiliser_SourceData.Fertiliser_Products_Data2(),FertiliserProducts[[#Headers],[Include or Exclude]], 20)</f>
        <v/>
      </c>
      <c r="M114" s="62" t="str" cm="1">
        <f t="array" ref="M114">Common_InputFunctions.Utility_DisplayArrayInTable(Fertiliser_SourceData.Fertiliser_Products_Data2(),FertiliserProducts[[#Headers],[Include or Exclude]], 20)</f>
        <v/>
      </c>
      <c r="N114" s="62" t="str" cm="1">
        <f t="array" ref="N114">Common_InputFunctions.Utility_DisplayArrayInTable(Fertiliser_SourceData.Fertiliser_Products_Data2(),FertiliserProducts[[#Headers],[Include or Exclude]], 20)</f>
        <v/>
      </c>
      <c r="O114" s="62" t="str" cm="1">
        <f t="array" ref="O114">Common_InputFunctions.Utility_DisplayArrayInTable(Fertiliser_SourceData.Fertiliser_Products_Data2(),FertiliserProducts[[#Headers],[Include or Exclude]], 20)</f>
        <v/>
      </c>
      <c r="P114" s="62" t="str" cm="1">
        <f t="array" ref="P114">Common_InputFunctions.Utility_DisplayArrayInTable(Fertiliser_SourceData.Fertiliser_Products_Data2(),FertiliserProducts[[#Headers],[Include or Exclude]], 20)</f>
        <v/>
      </c>
      <c r="Q114" s="62" t="str" cm="1">
        <f t="array" ref="Q114">Common_InputFunctions.Utility_DisplayArrayInTable(Fertiliser_SourceData.Fertiliser_Products_Data2(),FertiliserProducts[[#Headers],[Include or Exclude]], 20)</f>
        <v/>
      </c>
      <c r="R114" s="62" t="str" cm="1">
        <f t="array" ref="R114">Common_InputFunctions.Utility_DisplayArrayInTable(Fertiliser_SourceData.Fertiliser_Products_Data2(),FertiliserProducts[[#Headers],[Include or Exclude]], 20)</f>
        <v/>
      </c>
      <c r="S114" s="62" t="str" cm="1">
        <f t="array" ref="S114">Common_InputFunctions.Utility_DisplayArrayInTable(Fertiliser_SourceData.Fertiliser_Products_Data2(),FertiliserProducts[[#Headers],[Include or Exclude]], 20)</f>
        <v/>
      </c>
      <c r="T114" s="62" t="str" cm="1">
        <f t="array" ref="T114">Common_InputFunctions.Utility_DisplayArrayInTable(Fertiliser_SourceData.Fertiliser_Products_Data2(),FertiliserProducts[[#Headers],[Include or Exclude]], 20)</f>
        <v/>
      </c>
      <c r="U114" s="62" t="str" cm="1">
        <f t="array" ref="U114">Common_InputFunctions.Utility_DisplayArrayInTable(Fertiliser_SourceData.Fertiliser_Products_Data2(),FertiliserProducts[[#Headers],[Include or Exclude]], 20)</f>
        <v/>
      </c>
      <c r="V114" s="62" t="str" cm="1">
        <f t="array" ref="V114">Common_InputFunctions.Utility_DisplayArrayInTable(Fertiliser_SourceData.Fertiliser_Products_Data2(),FertiliserProducts[[#Headers],[Include or Exclude]], 20)</f>
        <v/>
      </c>
      <c r="W114" s="62" t="str" cm="1">
        <f t="array" ref="W114">Common_InputFunctions.Utility_DisplayArrayInTable(Fertiliser_SourceData.Fertiliser_Products_Data2(),FertiliserProducts[[#Headers],[Include or Exclude]], 20)</f>
        <v>Maximum N-Pact | Loveland (lovelandagriproducts.com.au)</v>
      </c>
      <c r="X114" s="62" t="str" cm="1">
        <f t="array" ref="X114">Common_InputFunctions.Utility_DisplayArrayInTable(Fertiliser_SourceData.Fertiliser_Products_Data2(),FertiliserProducts[[#Headers],[Include or Exclude]], 20)</f>
        <v/>
      </c>
      <c r="Y114" s="62" t="str" cm="1">
        <f t="array" ref="Y114">Common_InputFunctions.Utility_DisplayArrayInTable(Fertiliser_SourceData.Fertiliser_Products_Data2(),FertiliserProducts[[#Headers],[Include or Exclude]], 20)</f>
        <v/>
      </c>
      <c r="Z114" s="62"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1:31" ht="20.100000000000001" customHeight="1" x14ac:dyDescent="0.25">
      <c r="A115"/>
      <c r="D115" s="62" t="str" cm="1">
        <f t="array" ref="D115">Common_InputFunctions.Utility_DisplayArrayInTable(Fertiliser_SourceData.Fertiliser_Products_Data2(),FertiliserProducts[[#Headers],[Include or Exclude]], 20)</f>
        <v>Microsol 12-6-44</v>
      </c>
      <c r="E115" s="62" t="str" cm="1">
        <f t="array" ref="E115">Common_InputFunctions.Utility_DisplayArrayInTable(Fertiliser_SourceData.Fertiliser_Products_Data2(),FertiliserProducts[[#Headers],[Include or Exclude]], 20)</f>
        <v/>
      </c>
      <c r="F115" s="62" t="str" cm="1">
        <f t="array" ref="F115">Common_InputFunctions.Utility_DisplayArrayInTable(Fertiliser_SourceData.Fertiliser_Products_Data2(),FertiliserProducts[[#Headers],[Include or Exclude]], 20)</f>
        <v/>
      </c>
      <c r="G115" s="62" t="str" cm="1">
        <f t="array" ref="G115">Common_InputFunctions.Utility_DisplayArrayInTable(Fertiliser_SourceData.Fertiliser_Products_Data2(),FertiliserProducts[[#Headers],[Include or Exclude]], 20)</f>
        <v/>
      </c>
      <c r="H115" s="62" t="str" cm="1">
        <f t="array" ref="H115">Common_InputFunctions.Utility_DisplayArrayInTable(Fertiliser_SourceData.Fertiliser_Products_Data2(),FertiliserProducts[[#Headers],[Include or Exclude]], 20)</f>
        <v/>
      </c>
      <c r="I115" s="62" t="str" cm="1">
        <f t="array" ref="I115">Common_InputFunctions.Utility_DisplayArrayInTable(Fertiliser_SourceData.Fertiliser_Products_Data2(),FertiliserProducts[[#Headers],[Include or Exclude]], 20)</f>
        <v/>
      </c>
      <c r="J115" s="62" t="str" cm="1">
        <f t="array" ref="J115">Common_InputFunctions.Utility_DisplayArrayInTable(Fertiliser_SourceData.Fertiliser_Products_Data2(),FertiliserProducts[[#Headers],[Include or Exclude]], 20)</f>
        <v/>
      </c>
      <c r="K115" s="62" t="str" cm="1">
        <f t="array" ref="K115">Common_InputFunctions.Utility_DisplayArrayInTable(Fertiliser_SourceData.Fertiliser_Products_Data2(),FertiliserProducts[[#Headers],[Include or Exclude]], 20)</f>
        <v/>
      </c>
      <c r="L115" s="62" t="str" cm="1">
        <f t="array" ref="L115">Common_InputFunctions.Utility_DisplayArrayInTable(Fertiliser_SourceData.Fertiliser_Products_Data2(),FertiliserProducts[[#Headers],[Include or Exclude]], 20)</f>
        <v/>
      </c>
      <c r="M115" s="62" t="str" cm="1">
        <f t="array" ref="M115">Common_InputFunctions.Utility_DisplayArrayInTable(Fertiliser_SourceData.Fertiliser_Products_Data2(),FertiliserProducts[[#Headers],[Include or Exclude]], 20)</f>
        <v/>
      </c>
      <c r="N115" s="62" t="str" cm="1">
        <f t="array" ref="N115">Common_InputFunctions.Utility_DisplayArrayInTable(Fertiliser_SourceData.Fertiliser_Products_Data2(),FertiliserProducts[[#Headers],[Include or Exclude]], 20)</f>
        <v/>
      </c>
      <c r="O115" s="62" t="str" cm="1">
        <f t="array" ref="O115">Common_InputFunctions.Utility_DisplayArrayInTable(Fertiliser_SourceData.Fertiliser_Products_Data2(),FertiliserProducts[[#Headers],[Include or Exclude]], 20)</f>
        <v/>
      </c>
      <c r="P115" s="62" t="str" cm="1">
        <f t="array" ref="P115">Common_InputFunctions.Utility_DisplayArrayInTable(Fertiliser_SourceData.Fertiliser_Products_Data2(),FertiliserProducts[[#Headers],[Include or Exclude]], 20)</f>
        <v/>
      </c>
      <c r="Q115" s="62" t="str" cm="1">
        <f t="array" ref="Q115">Common_InputFunctions.Utility_DisplayArrayInTable(Fertiliser_SourceData.Fertiliser_Products_Data2(),FertiliserProducts[[#Headers],[Include or Exclude]], 20)</f>
        <v/>
      </c>
      <c r="R115" s="62" t="str" cm="1">
        <f t="array" ref="R115">Common_InputFunctions.Utility_DisplayArrayInTable(Fertiliser_SourceData.Fertiliser_Products_Data2(),FertiliserProducts[[#Headers],[Include or Exclude]], 20)</f>
        <v/>
      </c>
      <c r="S115" s="62" t="str" cm="1">
        <f t="array" ref="S115">Common_InputFunctions.Utility_DisplayArrayInTable(Fertiliser_SourceData.Fertiliser_Products_Data2(),FertiliserProducts[[#Headers],[Include or Exclude]], 20)</f>
        <v/>
      </c>
      <c r="T115" s="62" t="str" cm="1">
        <f t="array" ref="T115">Common_InputFunctions.Utility_DisplayArrayInTable(Fertiliser_SourceData.Fertiliser_Products_Data2(),FertiliserProducts[[#Headers],[Include or Exclude]], 20)</f>
        <v/>
      </c>
      <c r="U115" s="62" t="str" cm="1">
        <f t="array" ref="U115">Common_InputFunctions.Utility_DisplayArrayInTable(Fertiliser_SourceData.Fertiliser_Products_Data2(),FertiliserProducts[[#Headers],[Include or Exclude]], 20)</f>
        <v/>
      </c>
      <c r="V115" s="62" t="str" cm="1">
        <f t="array" ref="V115">Common_InputFunctions.Utility_DisplayArrayInTable(Fertiliser_SourceData.Fertiliser_Products_Data2(),FertiliserProducts[[#Headers],[Include or Exclude]], 20)</f>
        <v/>
      </c>
      <c r="W115" s="62" t="str" cm="1">
        <f t="array" ref="W115">Common_InputFunctions.Utility_DisplayArrayInTable(Fertiliser_SourceData.Fertiliser_Products_Data2(),FertiliserProducts[[#Headers],[Include or Exclude]], 20)</f>
        <v>Rigbytaylor Microsol Range</v>
      </c>
      <c r="X115" s="62" t="str" cm="1">
        <f t="array" ref="X115">Common_InputFunctions.Utility_DisplayArrayInTable(Fertiliser_SourceData.Fertiliser_Products_Data2(),FertiliserProducts[[#Headers],[Include or Exclude]], 20)</f>
        <v/>
      </c>
      <c r="Y115" s="62" t="str" cm="1">
        <f t="array" ref="Y115">Common_InputFunctions.Utility_DisplayArrayInTable(Fertiliser_SourceData.Fertiliser_Products_Data2(),FertiliserProducts[[#Headers],[Include or Exclude]], 20)</f>
        <v/>
      </c>
      <c r="Z115" s="62"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1:31" ht="20.100000000000001" customHeight="1" x14ac:dyDescent="0.25">
      <c r="A116"/>
      <c r="D116" s="62" t="str" cm="1">
        <f t="array" ref="D116">Common_InputFunctions.Utility_DisplayArrayInTable(Fertiliser_SourceData.Fertiliser_Products_Data2(),FertiliserProducts[[#Headers],[Include or Exclude]], 20)</f>
        <v>Microsol 16-32-16</v>
      </c>
      <c r="E116" s="62" t="str" cm="1">
        <f t="array" ref="E116">Common_InputFunctions.Utility_DisplayArrayInTable(Fertiliser_SourceData.Fertiliser_Products_Data2(),FertiliserProducts[[#Headers],[Include or Exclude]], 20)</f>
        <v/>
      </c>
      <c r="F116" s="62" t="str" cm="1">
        <f t="array" ref="F116">Common_InputFunctions.Utility_DisplayArrayInTable(Fertiliser_SourceData.Fertiliser_Products_Data2(),FertiliserProducts[[#Headers],[Include or Exclude]], 20)</f>
        <v/>
      </c>
      <c r="G116" s="62" t="str" cm="1">
        <f t="array" ref="G116">Common_InputFunctions.Utility_DisplayArrayInTable(Fertiliser_SourceData.Fertiliser_Products_Data2(),FertiliserProducts[[#Headers],[Include or Exclude]], 20)</f>
        <v/>
      </c>
      <c r="H116" s="62" t="str" cm="1">
        <f t="array" ref="H116">Common_InputFunctions.Utility_DisplayArrayInTable(Fertiliser_SourceData.Fertiliser_Products_Data2(),FertiliserProducts[[#Headers],[Include or Exclude]], 20)</f>
        <v/>
      </c>
      <c r="I116" s="62" t="str" cm="1">
        <f t="array" ref="I116">Common_InputFunctions.Utility_DisplayArrayInTable(Fertiliser_SourceData.Fertiliser_Products_Data2(),FertiliserProducts[[#Headers],[Include or Exclude]], 20)</f>
        <v/>
      </c>
      <c r="J116" s="62" t="str" cm="1">
        <f t="array" ref="J116">Common_InputFunctions.Utility_DisplayArrayInTable(Fertiliser_SourceData.Fertiliser_Products_Data2(),FertiliserProducts[[#Headers],[Include or Exclude]], 20)</f>
        <v/>
      </c>
      <c r="K116" s="62" t="str" cm="1">
        <f t="array" ref="K116">Common_InputFunctions.Utility_DisplayArrayInTable(Fertiliser_SourceData.Fertiliser_Products_Data2(),FertiliserProducts[[#Headers],[Include or Exclude]], 20)</f>
        <v/>
      </c>
      <c r="L116" s="62" t="str" cm="1">
        <f t="array" ref="L116">Common_InputFunctions.Utility_DisplayArrayInTable(Fertiliser_SourceData.Fertiliser_Products_Data2(),FertiliserProducts[[#Headers],[Include or Exclude]], 20)</f>
        <v/>
      </c>
      <c r="M116" s="62" t="str" cm="1">
        <f t="array" ref="M116">Common_InputFunctions.Utility_DisplayArrayInTable(Fertiliser_SourceData.Fertiliser_Products_Data2(),FertiliserProducts[[#Headers],[Include or Exclude]], 20)</f>
        <v/>
      </c>
      <c r="N116" s="62" t="str" cm="1">
        <f t="array" ref="N116">Common_InputFunctions.Utility_DisplayArrayInTable(Fertiliser_SourceData.Fertiliser_Products_Data2(),FertiliserProducts[[#Headers],[Include or Exclude]], 20)</f>
        <v/>
      </c>
      <c r="O116" s="62" t="str" cm="1">
        <f t="array" ref="O116">Common_InputFunctions.Utility_DisplayArrayInTable(Fertiliser_SourceData.Fertiliser_Products_Data2(),FertiliserProducts[[#Headers],[Include or Exclude]], 20)</f>
        <v/>
      </c>
      <c r="P116" s="62" t="str" cm="1">
        <f t="array" ref="P116">Common_InputFunctions.Utility_DisplayArrayInTable(Fertiliser_SourceData.Fertiliser_Products_Data2(),FertiliserProducts[[#Headers],[Include or Exclude]], 20)</f>
        <v/>
      </c>
      <c r="Q116" s="62" t="str" cm="1">
        <f t="array" ref="Q116">Common_InputFunctions.Utility_DisplayArrayInTable(Fertiliser_SourceData.Fertiliser_Products_Data2(),FertiliserProducts[[#Headers],[Include or Exclude]], 20)</f>
        <v/>
      </c>
      <c r="R116" s="62" t="str" cm="1">
        <f t="array" ref="R116">Common_InputFunctions.Utility_DisplayArrayInTable(Fertiliser_SourceData.Fertiliser_Products_Data2(),FertiliserProducts[[#Headers],[Include or Exclude]], 20)</f>
        <v/>
      </c>
      <c r="S116" s="62" t="str" cm="1">
        <f t="array" ref="S116">Common_InputFunctions.Utility_DisplayArrayInTable(Fertiliser_SourceData.Fertiliser_Products_Data2(),FertiliserProducts[[#Headers],[Include or Exclude]], 20)</f>
        <v/>
      </c>
      <c r="T116" s="62" t="str" cm="1">
        <f t="array" ref="T116">Common_InputFunctions.Utility_DisplayArrayInTable(Fertiliser_SourceData.Fertiliser_Products_Data2(),FertiliserProducts[[#Headers],[Include or Exclude]], 20)</f>
        <v/>
      </c>
      <c r="U116" s="62" t="str" cm="1">
        <f t="array" ref="U116">Common_InputFunctions.Utility_DisplayArrayInTable(Fertiliser_SourceData.Fertiliser_Products_Data2(),FertiliserProducts[[#Headers],[Include or Exclude]], 20)</f>
        <v/>
      </c>
      <c r="V116" s="62" t="str" cm="1">
        <f t="array" ref="V116">Common_InputFunctions.Utility_DisplayArrayInTable(Fertiliser_SourceData.Fertiliser_Products_Data2(),FertiliserProducts[[#Headers],[Include or Exclude]], 20)</f>
        <v/>
      </c>
      <c r="W116" s="62" t="str" cm="1">
        <f t="array" ref="W116">Common_InputFunctions.Utility_DisplayArrayInTable(Fertiliser_SourceData.Fertiliser_Products_Data2(),FertiliserProducts[[#Headers],[Include or Exclude]], 20)</f>
        <v>Rigbytaylor Microsol Range</v>
      </c>
      <c r="X116" s="62" t="str" cm="1">
        <f t="array" ref="X116">Common_InputFunctions.Utility_DisplayArrayInTable(Fertiliser_SourceData.Fertiliser_Products_Data2(),FertiliserProducts[[#Headers],[Include or Exclude]], 20)</f>
        <v/>
      </c>
      <c r="Y116" s="62" t="str" cm="1">
        <f t="array" ref="Y116">Common_InputFunctions.Utility_DisplayArrayInTable(Fertiliser_SourceData.Fertiliser_Products_Data2(),FertiliserProducts[[#Headers],[Include or Exclude]], 20)</f>
        <v/>
      </c>
      <c r="Z116" s="62"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1:31" ht="20.100000000000001" customHeight="1" x14ac:dyDescent="0.25">
      <c r="A117"/>
      <c r="D117" s="62" t="str" cm="1">
        <f t="array" ref="D117">Common_InputFunctions.Utility_DisplayArrayInTable(Fertiliser_SourceData.Fertiliser_Products_Data2(),FertiliserProducts[[#Headers],[Include or Exclude]], 20)</f>
        <v>Microsol 25-5-10</v>
      </c>
      <c r="E117" s="62" t="str" cm="1">
        <f t="array" ref="E117">Common_InputFunctions.Utility_DisplayArrayInTable(Fertiliser_SourceData.Fertiliser_Products_Data2(),FertiliserProducts[[#Headers],[Include or Exclude]], 20)</f>
        <v/>
      </c>
      <c r="F117" s="62" t="str" cm="1">
        <f t="array" ref="F117">Common_InputFunctions.Utility_DisplayArrayInTable(Fertiliser_SourceData.Fertiliser_Products_Data2(),FertiliserProducts[[#Headers],[Include or Exclude]], 20)</f>
        <v/>
      </c>
      <c r="G117" s="62" t="str" cm="1">
        <f t="array" ref="G117">Common_InputFunctions.Utility_DisplayArrayInTable(Fertiliser_SourceData.Fertiliser_Products_Data2(),FertiliserProducts[[#Headers],[Include or Exclude]], 20)</f>
        <v/>
      </c>
      <c r="H117" s="62" t="str" cm="1">
        <f t="array" ref="H117">Common_InputFunctions.Utility_DisplayArrayInTable(Fertiliser_SourceData.Fertiliser_Products_Data2(),FertiliserProducts[[#Headers],[Include or Exclude]], 20)</f>
        <v/>
      </c>
      <c r="I117" s="62" t="str" cm="1">
        <f t="array" ref="I117">Common_InputFunctions.Utility_DisplayArrayInTable(Fertiliser_SourceData.Fertiliser_Products_Data2(),FertiliserProducts[[#Headers],[Include or Exclude]], 20)</f>
        <v/>
      </c>
      <c r="J117" s="62" t="str" cm="1">
        <f t="array" ref="J117">Common_InputFunctions.Utility_DisplayArrayInTable(Fertiliser_SourceData.Fertiliser_Products_Data2(),FertiliserProducts[[#Headers],[Include or Exclude]], 20)</f>
        <v/>
      </c>
      <c r="K117" s="62" t="str" cm="1">
        <f t="array" ref="K117">Common_InputFunctions.Utility_DisplayArrayInTable(Fertiliser_SourceData.Fertiliser_Products_Data2(),FertiliserProducts[[#Headers],[Include or Exclude]], 20)</f>
        <v/>
      </c>
      <c r="L117" s="62" t="str" cm="1">
        <f t="array" ref="L117">Common_InputFunctions.Utility_DisplayArrayInTable(Fertiliser_SourceData.Fertiliser_Products_Data2(),FertiliserProducts[[#Headers],[Include or Exclude]], 20)</f>
        <v/>
      </c>
      <c r="M117" s="62" t="str" cm="1">
        <f t="array" ref="M117">Common_InputFunctions.Utility_DisplayArrayInTable(Fertiliser_SourceData.Fertiliser_Products_Data2(),FertiliserProducts[[#Headers],[Include or Exclude]], 20)</f>
        <v/>
      </c>
      <c r="N117" s="62" t="str" cm="1">
        <f t="array" ref="N117">Common_InputFunctions.Utility_DisplayArrayInTable(Fertiliser_SourceData.Fertiliser_Products_Data2(),FertiliserProducts[[#Headers],[Include or Exclude]], 20)</f>
        <v/>
      </c>
      <c r="O117" s="62" t="str" cm="1">
        <f t="array" ref="O117">Common_InputFunctions.Utility_DisplayArrayInTable(Fertiliser_SourceData.Fertiliser_Products_Data2(),FertiliserProducts[[#Headers],[Include or Exclude]], 20)</f>
        <v/>
      </c>
      <c r="P117" s="62" t="str" cm="1">
        <f t="array" ref="P117">Common_InputFunctions.Utility_DisplayArrayInTable(Fertiliser_SourceData.Fertiliser_Products_Data2(),FertiliserProducts[[#Headers],[Include or Exclude]], 20)</f>
        <v/>
      </c>
      <c r="Q117" s="62" t="str" cm="1">
        <f t="array" ref="Q117">Common_InputFunctions.Utility_DisplayArrayInTable(Fertiliser_SourceData.Fertiliser_Products_Data2(),FertiliserProducts[[#Headers],[Include or Exclude]], 20)</f>
        <v/>
      </c>
      <c r="R117" s="62" t="str" cm="1">
        <f t="array" ref="R117">Common_InputFunctions.Utility_DisplayArrayInTable(Fertiliser_SourceData.Fertiliser_Products_Data2(),FertiliserProducts[[#Headers],[Include or Exclude]], 20)</f>
        <v/>
      </c>
      <c r="S117" s="62" t="str" cm="1">
        <f t="array" ref="S117">Common_InputFunctions.Utility_DisplayArrayInTable(Fertiliser_SourceData.Fertiliser_Products_Data2(),FertiliserProducts[[#Headers],[Include or Exclude]], 20)</f>
        <v/>
      </c>
      <c r="T117" s="62" t="str" cm="1">
        <f t="array" ref="T117">Common_InputFunctions.Utility_DisplayArrayInTable(Fertiliser_SourceData.Fertiliser_Products_Data2(),FertiliserProducts[[#Headers],[Include or Exclude]], 20)</f>
        <v/>
      </c>
      <c r="U117" s="62" t="str" cm="1">
        <f t="array" ref="U117">Common_InputFunctions.Utility_DisplayArrayInTable(Fertiliser_SourceData.Fertiliser_Products_Data2(),FertiliserProducts[[#Headers],[Include or Exclude]], 20)</f>
        <v/>
      </c>
      <c r="V117" s="62" t="str" cm="1">
        <f t="array" ref="V117">Common_InputFunctions.Utility_DisplayArrayInTable(Fertiliser_SourceData.Fertiliser_Products_Data2(),FertiliserProducts[[#Headers],[Include or Exclude]], 20)</f>
        <v/>
      </c>
      <c r="W117" s="62" t="str" cm="1">
        <f t="array" ref="W117">Common_InputFunctions.Utility_DisplayArrayInTable(Fertiliser_SourceData.Fertiliser_Products_Data2(),FertiliserProducts[[#Headers],[Include or Exclude]], 20)</f>
        <v>Rigbytaylor Microsol Range</v>
      </c>
      <c r="X117" s="62" t="str" cm="1">
        <f t="array" ref="X117">Common_InputFunctions.Utility_DisplayArrayInTable(Fertiliser_SourceData.Fertiliser_Products_Data2(),FertiliserProducts[[#Headers],[Include or Exclude]], 20)</f>
        <v/>
      </c>
      <c r="Y117" s="62" t="str" cm="1">
        <f t="array" ref="Y117">Common_InputFunctions.Utility_DisplayArrayInTable(Fertiliser_SourceData.Fertiliser_Products_Data2(),FertiliserProducts[[#Headers],[Include or Exclude]], 20)</f>
        <v/>
      </c>
      <c r="Z117" s="62"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1:31" ht="20.100000000000001" customHeight="1" x14ac:dyDescent="0.25">
      <c r="A118"/>
      <c r="D118" s="62" t="str" cm="1">
        <f t="array" ref="D118">Common_InputFunctions.Utility_DisplayArrayInTable(Fertiliser_SourceData.Fertiliser_Products_Data2(),FertiliserProducts[[#Headers],[Include or Exclude]], 20)</f>
        <v>Microsol 28-0-14</v>
      </c>
      <c r="E118" s="62" t="str" cm="1">
        <f t="array" ref="E118">Common_InputFunctions.Utility_DisplayArrayInTable(Fertiliser_SourceData.Fertiliser_Products_Data2(),FertiliserProducts[[#Headers],[Include or Exclude]], 20)</f>
        <v/>
      </c>
      <c r="F118" s="62" t="str" cm="1">
        <f t="array" ref="F118">Common_InputFunctions.Utility_DisplayArrayInTable(Fertiliser_SourceData.Fertiliser_Products_Data2(),FertiliserProducts[[#Headers],[Include or Exclude]], 20)</f>
        <v/>
      </c>
      <c r="G118" s="62" t="str" cm="1">
        <f t="array" ref="G118">Common_InputFunctions.Utility_DisplayArrayInTable(Fertiliser_SourceData.Fertiliser_Products_Data2(),FertiliserProducts[[#Headers],[Include or Exclude]], 20)</f>
        <v/>
      </c>
      <c r="H118" s="62" t="str" cm="1">
        <f t="array" ref="H118">Common_InputFunctions.Utility_DisplayArrayInTable(Fertiliser_SourceData.Fertiliser_Products_Data2(),FertiliserProducts[[#Headers],[Include or Exclude]], 20)</f>
        <v/>
      </c>
      <c r="I118" s="62" t="str" cm="1">
        <f t="array" ref="I118">Common_InputFunctions.Utility_DisplayArrayInTable(Fertiliser_SourceData.Fertiliser_Products_Data2(),FertiliserProducts[[#Headers],[Include or Exclude]], 20)</f>
        <v/>
      </c>
      <c r="J118" s="62" t="str" cm="1">
        <f t="array" ref="J118">Common_InputFunctions.Utility_DisplayArrayInTable(Fertiliser_SourceData.Fertiliser_Products_Data2(),FertiliserProducts[[#Headers],[Include or Exclude]], 20)</f>
        <v/>
      </c>
      <c r="K118" s="62" t="str" cm="1">
        <f t="array" ref="K118">Common_InputFunctions.Utility_DisplayArrayInTable(Fertiliser_SourceData.Fertiliser_Products_Data2(),FertiliserProducts[[#Headers],[Include or Exclude]], 20)</f>
        <v/>
      </c>
      <c r="L118" s="62" t="str" cm="1">
        <f t="array" ref="L118">Common_InputFunctions.Utility_DisplayArrayInTable(Fertiliser_SourceData.Fertiliser_Products_Data2(),FertiliserProducts[[#Headers],[Include or Exclude]], 20)</f>
        <v/>
      </c>
      <c r="M118" s="62" t="str" cm="1">
        <f t="array" ref="M118">Common_InputFunctions.Utility_DisplayArrayInTable(Fertiliser_SourceData.Fertiliser_Products_Data2(),FertiliserProducts[[#Headers],[Include or Exclude]], 20)</f>
        <v/>
      </c>
      <c r="N118" s="62" t="str" cm="1">
        <f t="array" ref="N118">Common_InputFunctions.Utility_DisplayArrayInTable(Fertiliser_SourceData.Fertiliser_Products_Data2(),FertiliserProducts[[#Headers],[Include or Exclude]], 20)</f>
        <v/>
      </c>
      <c r="O118" s="62" t="str" cm="1">
        <f t="array" ref="O118">Common_InputFunctions.Utility_DisplayArrayInTable(Fertiliser_SourceData.Fertiliser_Products_Data2(),FertiliserProducts[[#Headers],[Include or Exclude]], 20)</f>
        <v/>
      </c>
      <c r="P118" s="62" t="str" cm="1">
        <f t="array" ref="P118">Common_InputFunctions.Utility_DisplayArrayInTable(Fertiliser_SourceData.Fertiliser_Products_Data2(),FertiliserProducts[[#Headers],[Include or Exclude]], 20)</f>
        <v/>
      </c>
      <c r="Q118" s="62" t="str" cm="1">
        <f t="array" ref="Q118">Common_InputFunctions.Utility_DisplayArrayInTable(Fertiliser_SourceData.Fertiliser_Products_Data2(),FertiliserProducts[[#Headers],[Include or Exclude]], 20)</f>
        <v/>
      </c>
      <c r="R118" s="62" t="str" cm="1">
        <f t="array" ref="R118">Common_InputFunctions.Utility_DisplayArrayInTable(Fertiliser_SourceData.Fertiliser_Products_Data2(),FertiliserProducts[[#Headers],[Include or Exclude]], 20)</f>
        <v/>
      </c>
      <c r="S118" s="62" t="str" cm="1">
        <f t="array" ref="S118">Common_InputFunctions.Utility_DisplayArrayInTable(Fertiliser_SourceData.Fertiliser_Products_Data2(),FertiliserProducts[[#Headers],[Include or Exclude]], 20)</f>
        <v/>
      </c>
      <c r="T118" s="62" t="str" cm="1">
        <f t="array" ref="T118">Common_InputFunctions.Utility_DisplayArrayInTable(Fertiliser_SourceData.Fertiliser_Products_Data2(),FertiliserProducts[[#Headers],[Include or Exclude]], 20)</f>
        <v/>
      </c>
      <c r="U118" s="62" t="str" cm="1">
        <f t="array" ref="U118">Common_InputFunctions.Utility_DisplayArrayInTable(Fertiliser_SourceData.Fertiliser_Products_Data2(),FertiliserProducts[[#Headers],[Include or Exclude]], 20)</f>
        <v/>
      </c>
      <c r="V118" s="62" t="str" cm="1">
        <f t="array" ref="V118">Common_InputFunctions.Utility_DisplayArrayInTable(Fertiliser_SourceData.Fertiliser_Products_Data2(),FertiliserProducts[[#Headers],[Include or Exclude]], 20)</f>
        <v/>
      </c>
      <c r="W118" s="62" t="str" cm="1">
        <f t="array" ref="W118">Common_InputFunctions.Utility_DisplayArrayInTable(Fertiliser_SourceData.Fertiliser_Products_Data2(),FertiliserProducts[[#Headers],[Include or Exclude]], 20)</f>
        <v>Rigbytaylor Microsol Range</v>
      </c>
      <c r="X118" s="62" t="str" cm="1">
        <f t="array" ref="X118">Common_InputFunctions.Utility_DisplayArrayInTable(Fertiliser_SourceData.Fertiliser_Products_Data2(),FertiliserProducts[[#Headers],[Include or Exclude]], 20)</f>
        <v/>
      </c>
      <c r="Y118" s="62" t="str" cm="1">
        <f t="array" ref="Y118">Common_InputFunctions.Utility_DisplayArrayInTable(Fertiliser_SourceData.Fertiliser_Products_Data2(),FertiliserProducts[[#Headers],[Include or Exclude]], 20)</f>
        <v/>
      </c>
      <c r="Z118" s="62"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1:31" ht="20.100000000000001" customHeight="1" x14ac:dyDescent="0.25">
      <c r="A119"/>
      <c r="D119" s="62" t="str" cm="1">
        <f t="array" ref="D119">Common_InputFunctions.Utility_DisplayArrayInTable(Fertiliser_SourceData.Fertiliser_Products_Data2(),FertiliserProducts[[#Headers],[Include or Exclude]], 20)</f>
        <v>Mono Potassium Phosphate MKP</v>
      </c>
      <c r="E119" s="62" t="str" cm="1">
        <f t="array" ref="E119">Common_InputFunctions.Utility_DisplayArrayInTable(Fertiliser_SourceData.Fertiliser_Products_Data2(),FertiliserProducts[[#Headers],[Include or Exclude]], 20)</f>
        <v/>
      </c>
      <c r="F119" s="62" t="str" cm="1">
        <f t="array" ref="F119">Common_InputFunctions.Utility_DisplayArrayInTable(Fertiliser_SourceData.Fertiliser_Products_Data2(),FertiliserProducts[[#Headers],[Include or Exclude]], 20)</f>
        <v/>
      </c>
      <c r="G119" s="62" t="str" cm="1">
        <f t="array" ref="G119">Common_InputFunctions.Utility_DisplayArrayInTable(Fertiliser_SourceData.Fertiliser_Products_Data2(),FertiliserProducts[[#Headers],[Include or Exclude]], 20)</f>
        <v/>
      </c>
      <c r="H119" s="62" t="str" cm="1">
        <f t="array" ref="H119">Common_InputFunctions.Utility_DisplayArrayInTable(Fertiliser_SourceData.Fertiliser_Products_Data2(),FertiliserProducts[[#Headers],[Include or Exclude]], 20)</f>
        <v/>
      </c>
      <c r="I119" s="62" t="str" cm="1">
        <f t="array" ref="I119">Common_InputFunctions.Utility_DisplayArrayInTable(Fertiliser_SourceData.Fertiliser_Products_Data2(),FertiliserProducts[[#Headers],[Include or Exclude]], 20)</f>
        <v/>
      </c>
      <c r="J119" s="62" t="str" cm="1">
        <f t="array" ref="J119">Common_InputFunctions.Utility_DisplayArrayInTable(Fertiliser_SourceData.Fertiliser_Products_Data2(),FertiliserProducts[[#Headers],[Include or Exclude]], 20)</f>
        <v/>
      </c>
      <c r="K119" s="62" t="str" cm="1">
        <f t="array" ref="K119">Common_InputFunctions.Utility_DisplayArrayInTable(Fertiliser_SourceData.Fertiliser_Products_Data2(),FertiliserProducts[[#Headers],[Include or Exclude]], 20)</f>
        <v/>
      </c>
      <c r="L119" s="62" t="str" cm="1">
        <f t="array" ref="L119">Common_InputFunctions.Utility_DisplayArrayInTable(Fertiliser_SourceData.Fertiliser_Products_Data2(),FertiliserProducts[[#Headers],[Include or Exclude]], 20)</f>
        <v/>
      </c>
      <c r="M119" s="62" t="str" cm="1">
        <f t="array" ref="M119">Common_InputFunctions.Utility_DisplayArrayInTable(Fertiliser_SourceData.Fertiliser_Products_Data2(),FertiliserProducts[[#Headers],[Include or Exclude]], 20)</f>
        <v/>
      </c>
      <c r="N119" s="62" t="str" cm="1">
        <f t="array" ref="N119">Common_InputFunctions.Utility_DisplayArrayInTable(Fertiliser_SourceData.Fertiliser_Products_Data2(),FertiliserProducts[[#Headers],[Include or Exclude]], 20)</f>
        <v/>
      </c>
      <c r="O119" s="62" t="str" cm="1">
        <f t="array" ref="O119">Common_InputFunctions.Utility_DisplayArrayInTable(Fertiliser_SourceData.Fertiliser_Products_Data2(),FertiliserProducts[[#Headers],[Include or Exclude]], 20)</f>
        <v/>
      </c>
      <c r="P119" s="62" t="str" cm="1">
        <f t="array" ref="P119">Common_InputFunctions.Utility_DisplayArrayInTable(Fertiliser_SourceData.Fertiliser_Products_Data2(),FertiliserProducts[[#Headers],[Include or Exclude]], 20)</f>
        <v/>
      </c>
      <c r="Q119" s="62" t="str" cm="1">
        <f t="array" ref="Q119">Common_InputFunctions.Utility_DisplayArrayInTable(Fertiliser_SourceData.Fertiliser_Products_Data2(),FertiliserProducts[[#Headers],[Include or Exclude]], 20)</f>
        <v/>
      </c>
      <c r="R119" s="62" t="str" cm="1">
        <f t="array" ref="R119">Common_InputFunctions.Utility_DisplayArrayInTable(Fertiliser_SourceData.Fertiliser_Products_Data2(),FertiliserProducts[[#Headers],[Include or Exclude]], 20)</f>
        <v/>
      </c>
      <c r="S119" s="62" t="str" cm="1">
        <f t="array" ref="S119">Common_InputFunctions.Utility_DisplayArrayInTable(Fertiliser_SourceData.Fertiliser_Products_Data2(),FertiliserProducts[[#Headers],[Include or Exclude]], 20)</f>
        <v/>
      </c>
      <c r="T119" s="62" t="str" cm="1">
        <f t="array" ref="T119">Common_InputFunctions.Utility_DisplayArrayInTable(Fertiliser_SourceData.Fertiliser_Products_Data2(),FertiliserProducts[[#Headers],[Include or Exclude]], 20)</f>
        <v/>
      </c>
      <c r="U119" s="62" t="str" cm="1">
        <f t="array" ref="U119">Common_InputFunctions.Utility_DisplayArrayInTable(Fertiliser_SourceData.Fertiliser_Products_Data2(),FertiliserProducts[[#Headers],[Include or Exclude]], 20)</f>
        <v/>
      </c>
      <c r="V119" s="62" t="str" cm="1">
        <f t="array" ref="V119">Common_InputFunctions.Utility_DisplayArrayInTable(Fertiliser_SourceData.Fertiliser_Products_Data2(),FertiliserProducts[[#Headers],[Include or Exclude]], 20)</f>
        <v/>
      </c>
      <c r="W119" s="62" t="str" cm="1">
        <f t="array" ref="W119">Common_InputFunctions.Utility_DisplayArrayInTable(Fertiliser_SourceData.Fertiliser_Products_Data2(),FertiliserProducts[[#Headers],[Include or Exclude]], 20)</f>
        <v>Swancrop</v>
      </c>
      <c r="X119" s="62" t="str" cm="1">
        <f t="array" ref="X119">Common_InputFunctions.Utility_DisplayArrayInTable(Fertiliser_SourceData.Fertiliser_Products_Data2(),FertiliserProducts[[#Headers],[Include or Exclude]], 20)</f>
        <v/>
      </c>
      <c r="Y119" s="62" t="str" cm="1">
        <f t="array" ref="Y119">Common_InputFunctions.Utility_DisplayArrayInTable(Fertiliser_SourceData.Fertiliser_Products_Data2(),FertiliserProducts[[#Headers],[Include or Exclude]], 20)</f>
        <v/>
      </c>
      <c r="Z119" s="62"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1:31" ht="20.100000000000001" customHeight="1" x14ac:dyDescent="0.25">
      <c r="A120"/>
      <c r="D120" s="62" t="str" cm="1">
        <f t="array" ref="D120">Common_InputFunctions.Utility_DisplayArrayInTable(Fertiliser_SourceData.Fertiliser_Products_Data2(),FertiliserProducts[[#Headers],[Include or Exclude]], 20)</f>
        <v>Muriate Of Potash MOP</v>
      </c>
      <c r="E120" s="62" t="str" cm="1">
        <f t="array" ref="E120">Common_InputFunctions.Utility_DisplayArrayInTable(Fertiliser_SourceData.Fertiliser_Products_Data2(),FertiliserProducts[[#Headers],[Include or Exclude]], 20)</f>
        <v/>
      </c>
      <c r="F120" s="62" t="str" cm="1">
        <f t="array" ref="F120">Common_InputFunctions.Utility_DisplayArrayInTable(Fertiliser_SourceData.Fertiliser_Products_Data2(),FertiliserProducts[[#Headers],[Include or Exclude]], 20)</f>
        <v/>
      </c>
      <c r="G120" s="62" t="str" cm="1">
        <f t="array" ref="G120">Common_InputFunctions.Utility_DisplayArrayInTable(Fertiliser_SourceData.Fertiliser_Products_Data2(),FertiliserProducts[[#Headers],[Include or Exclude]], 20)</f>
        <v/>
      </c>
      <c r="H120" s="62" t="str" cm="1">
        <f t="array" ref="H120">Common_InputFunctions.Utility_DisplayArrayInTable(Fertiliser_SourceData.Fertiliser_Products_Data2(),FertiliserProducts[[#Headers],[Include or Exclude]], 20)</f>
        <v/>
      </c>
      <c r="I120" s="62" t="str" cm="1">
        <f t="array" ref="I120">Common_InputFunctions.Utility_DisplayArrayInTable(Fertiliser_SourceData.Fertiliser_Products_Data2(),FertiliserProducts[[#Headers],[Include or Exclude]], 20)</f>
        <v/>
      </c>
      <c r="J120" s="62" t="str" cm="1">
        <f t="array" ref="J120">Common_InputFunctions.Utility_DisplayArrayInTable(Fertiliser_SourceData.Fertiliser_Products_Data2(),FertiliserProducts[[#Headers],[Include or Exclude]], 20)</f>
        <v/>
      </c>
      <c r="K120" s="62" t="str" cm="1">
        <f t="array" ref="K120">Common_InputFunctions.Utility_DisplayArrayInTable(Fertiliser_SourceData.Fertiliser_Products_Data2(),FertiliserProducts[[#Headers],[Include or Exclude]], 20)</f>
        <v/>
      </c>
      <c r="L120" s="62" t="str" cm="1">
        <f t="array" ref="L120">Common_InputFunctions.Utility_DisplayArrayInTable(Fertiliser_SourceData.Fertiliser_Products_Data2(),FertiliserProducts[[#Headers],[Include or Exclude]], 20)</f>
        <v/>
      </c>
      <c r="M120" s="62" t="str" cm="1">
        <f t="array" ref="M120">Common_InputFunctions.Utility_DisplayArrayInTable(Fertiliser_SourceData.Fertiliser_Products_Data2(),FertiliserProducts[[#Headers],[Include or Exclude]], 20)</f>
        <v/>
      </c>
      <c r="N120" s="62" t="str" cm="1">
        <f t="array" ref="N120">Common_InputFunctions.Utility_DisplayArrayInTable(Fertiliser_SourceData.Fertiliser_Products_Data2(),FertiliserProducts[[#Headers],[Include or Exclude]], 20)</f>
        <v/>
      </c>
      <c r="O120" s="62" t="str" cm="1">
        <f t="array" ref="O120">Common_InputFunctions.Utility_DisplayArrayInTable(Fertiliser_SourceData.Fertiliser_Products_Data2(),FertiliserProducts[[#Headers],[Include or Exclude]], 20)</f>
        <v/>
      </c>
      <c r="P120" s="62" t="str" cm="1">
        <f t="array" ref="P120">Common_InputFunctions.Utility_DisplayArrayInTable(Fertiliser_SourceData.Fertiliser_Products_Data2(),FertiliserProducts[[#Headers],[Include or Exclude]], 20)</f>
        <v/>
      </c>
      <c r="Q120" s="62" t="str" cm="1">
        <f t="array" ref="Q120">Common_InputFunctions.Utility_DisplayArrayInTable(Fertiliser_SourceData.Fertiliser_Products_Data2(),FertiliserProducts[[#Headers],[Include or Exclude]], 20)</f>
        <v/>
      </c>
      <c r="R120" s="62" t="str" cm="1">
        <f t="array" ref="R120">Common_InputFunctions.Utility_DisplayArrayInTable(Fertiliser_SourceData.Fertiliser_Products_Data2(),FertiliserProducts[[#Headers],[Include or Exclude]], 20)</f>
        <v/>
      </c>
      <c r="S120" s="62" t="str" cm="1">
        <f t="array" ref="S120">Common_InputFunctions.Utility_DisplayArrayInTable(Fertiliser_SourceData.Fertiliser_Products_Data2(),FertiliserProducts[[#Headers],[Include or Exclude]], 20)</f>
        <v/>
      </c>
      <c r="T120" s="62" t="str" cm="1">
        <f t="array" ref="T120">Common_InputFunctions.Utility_DisplayArrayInTable(Fertiliser_SourceData.Fertiliser_Products_Data2(),FertiliserProducts[[#Headers],[Include or Exclude]], 20)</f>
        <v/>
      </c>
      <c r="U120" s="62" t="str" cm="1">
        <f t="array" ref="U120">Common_InputFunctions.Utility_DisplayArrayInTable(Fertiliser_SourceData.Fertiliser_Products_Data2(),FertiliserProducts[[#Headers],[Include or Exclude]], 20)</f>
        <v/>
      </c>
      <c r="V120" s="62" t="str" cm="1">
        <f t="array" ref="V120">Common_InputFunctions.Utility_DisplayArrayInTable(Fertiliser_SourceData.Fertiliser_Products_Data2(),FertiliserProducts[[#Headers],[Include or Exclude]], 20)</f>
        <v/>
      </c>
      <c r="W120" s="62" t="str" cm="1">
        <f t="array" ref="W120">Common_InputFunctions.Utility_DisplayArrayInTable(Fertiliser_SourceData.Fertiliser_Products_Data2(),FertiliserProducts[[#Headers],[Include or Exclude]], 20)</f>
        <v>MountCompass Fertilisers Blends</v>
      </c>
      <c r="X120" s="62" t="str" cm="1">
        <f t="array" ref="X120">Common_InputFunctions.Utility_DisplayArrayInTable(Fertiliser_SourceData.Fertiliser_Products_Data2(),FertiliserProducts[[#Headers],[Include or Exclude]], 20)</f>
        <v/>
      </c>
      <c r="Y120" s="62" t="str" cm="1">
        <f t="array" ref="Y120">Common_InputFunctions.Utility_DisplayArrayInTable(Fertiliser_SourceData.Fertiliser_Products_Data2(),FertiliserProducts[[#Headers],[Include or Exclude]], 20)</f>
        <v/>
      </c>
      <c r="Z120" s="62"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1:31" ht="20.100000000000001" customHeight="1" x14ac:dyDescent="0.25">
      <c r="A121"/>
      <c r="D121" s="62" t="str" cm="1">
        <f t="array" ref="D121">Common_InputFunctions.Utility_DisplayArrayInTable(Fertiliser_SourceData.Fertiliser_Products_Data2(),FertiliserProducts[[#Headers],[Include or Exclude]], 20)</f>
        <v>NitroPlus</v>
      </c>
      <c r="E121" s="62" t="str" cm="1">
        <f t="array" ref="E121">Common_InputFunctions.Utility_DisplayArrayInTable(Fertiliser_SourceData.Fertiliser_Products_Data2(),FertiliserProducts[[#Headers],[Include or Exclude]], 20)</f>
        <v/>
      </c>
      <c r="F121" s="62" t="str" cm="1">
        <f t="array" ref="F121">Common_InputFunctions.Utility_DisplayArrayInTable(Fertiliser_SourceData.Fertiliser_Products_Data2(),FertiliserProducts[[#Headers],[Include or Exclude]], 20)</f>
        <v/>
      </c>
      <c r="G121" s="62" t="str" cm="1">
        <f t="array" ref="G121">Common_InputFunctions.Utility_DisplayArrayInTable(Fertiliser_SourceData.Fertiliser_Products_Data2(),FertiliserProducts[[#Headers],[Include or Exclude]], 20)</f>
        <v/>
      </c>
      <c r="H121" s="62" t="str" cm="1">
        <f t="array" ref="H121">Common_InputFunctions.Utility_DisplayArrayInTable(Fertiliser_SourceData.Fertiliser_Products_Data2(),FertiliserProducts[[#Headers],[Include or Exclude]], 20)</f>
        <v/>
      </c>
      <c r="I121" s="62" t="str" cm="1">
        <f t="array" ref="I121">Common_InputFunctions.Utility_DisplayArrayInTable(Fertiliser_SourceData.Fertiliser_Products_Data2(),FertiliserProducts[[#Headers],[Include or Exclude]], 20)</f>
        <v/>
      </c>
      <c r="J121" s="62" t="str" cm="1">
        <f t="array" ref="J121">Common_InputFunctions.Utility_DisplayArrayInTable(Fertiliser_SourceData.Fertiliser_Products_Data2(),FertiliserProducts[[#Headers],[Include or Exclude]], 20)</f>
        <v/>
      </c>
      <c r="K121" s="62" t="str" cm="1">
        <f t="array" ref="K121">Common_InputFunctions.Utility_DisplayArrayInTable(Fertiliser_SourceData.Fertiliser_Products_Data2(),FertiliserProducts[[#Headers],[Include or Exclude]], 20)</f>
        <v/>
      </c>
      <c r="L121" s="62" t="str" cm="1">
        <f t="array" ref="L121">Common_InputFunctions.Utility_DisplayArrayInTable(Fertiliser_SourceData.Fertiliser_Products_Data2(),FertiliserProducts[[#Headers],[Include or Exclude]], 20)</f>
        <v/>
      </c>
      <c r="M121" s="62" t="str" cm="1">
        <f t="array" ref="M121">Common_InputFunctions.Utility_DisplayArrayInTable(Fertiliser_SourceData.Fertiliser_Products_Data2(),FertiliserProducts[[#Headers],[Include or Exclude]], 20)</f>
        <v/>
      </c>
      <c r="N121" s="62" t="str" cm="1">
        <f t="array" ref="N121">Common_InputFunctions.Utility_DisplayArrayInTable(Fertiliser_SourceData.Fertiliser_Products_Data2(),FertiliserProducts[[#Headers],[Include or Exclude]], 20)</f>
        <v/>
      </c>
      <c r="O121" s="62" t="str" cm="1">
        <f t="array" ref="O121">Common_InputFunctions.Utility_DisplayArrayInTable(Fertiliser_SourceData.Fertiliser_Products_Data2(),FertiliserProducts[[#Headers],[Include or Exclude]], 20)</f>
        <v/>
      </c>
      <c r="P121" s="62" t="str" cm="1">
        <f t="array" ref="P121">Common_InputFunctions.Utility_DisplayArrayInTable(Fertiliser_SourceData.Fertiliser_Products_Data2(),FertiliserProducts[[#Headers],[Include or Exclude]], 20)</f>
        <v/>
      </c>
      <c r="Q121" s="62" t="str" cm="1">
        <f t="array" ref="Q121">Common_InputFunctions.Utility_DisplayArrayInTable(Fertiliser_SourceData.Fertiliser_Products_Data2(),FertiliserProducts[[#Headers],[Include or Exclude]], 20)</f>
        <v/>
      </c>
      <c r="R121" s="62" t="str" cm="1">
        <f t="array" ref="R121">Common_InputFunctions.Utility_DisplayArrayInTable(Fertiliser_SourceData.Fertiliser_Products_Data2(),FertiliserProducts[[#Headers],[Include or Exclude]], 20)</f>
        <v/>
      </c>
      <c r="S121" s="62" t="str" cm="1">
        <f t="array" ref="S121">Common_InputFunctions.Utility_DisplayArrayInTable(Fertiliser_SourceData.Fertiliser_Products_Data2(),FertiliserProducts[[#Headers],[Include or Exclude]], 20)</f>
        <v/>
      </c>
      <c r="T121" s="62" t="str" cm="1">
        <f t="array" ref="T121">Common_InputFunctions.Utility_DisplayArrayInTable(Fertiliser_SourceData.Fertiliser_Products_Data2(),FertiliserProducts[[#Headers],[Include or Exclude]], 20)</f>
        <v/>
      </c>
      <c r="U121" s="62" t="str" cm="1">
        <f t="array" ref="U121">Common_InputFunctions.Utility_DisplayArrayInTable(Fertiliser_SourceData.Fertiliser_Products_Data2(),FertiliserProducts[[#Headers],[Include or Exclude]], 20)</f>
        <v/>
      </c>
      <c r="V121" s="62" t="str" cm="1">
        <f t="array" ref="V121">Common_InputFunctions.Utility_DisplayArrayInTable(Fertiliser_SourceData.Fertiliser_Products_Data2(),FertiliserProducts[[#Headers],[Include or Exclude]], 20)</f>
        <v/>
      </c>
      <c r="W121" s="62" t="str" cm="1">
        <f t="array" ref="W121">Common_InputFunctions.Utility_DisplayArrayInTable(Fertiliser_SourceData.Fertiliser_Products_Data2(),FertiliserProducts[[#Headers],[Include or Exclude]], 20)</f>
        <v>AgroStock Group Nitro Plus</v>
      </c>
      <c r="X121" s="62" t="str" cm="1">
        <f t="array" ref="X121">Common_InputFunctions.Utility_DisplayArrayInTable(Fertiliser_SourceData.Fertiliser_Products_Data2(),FertiliserProducts[[#Headers],[Include or Exclude]], 20)</f>
        <v/>
      </c>
      <c r="Y121" s="62" t="str" cm="1">
        <f t="array" ref="Y121">Common_InputFunctions.Utility_DisplayArrayInTable(Fertiliser_SourceData.Fertiliser_Products_Data2(),FertiliserProducts[[#Headers],[Include or Exclude]], 20)</f>
        <v/>
      </c>
      <c r="Z121" s="62"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1:31" ht="20.100000000000001" customHeight="1" x14ac:dyDescent="0.25">
      <c r="A122"/>
      <c r="D122" s="62" t="str" cm="1">
        <f t="array" ref="D122">Common_InputFunctions.Utility_DisplayArrayInTable(Fertiliser_SourceData.Fertiliser_Products_Data2(),FertiliserProducts[[#Headers],[Include or Exclude]], 20)</f>
        <v>NutraGold</v>
      </c>
      <c r="E122" s="62" t="str" cm="1">
        <f t="array" ref="E122">Common_InputFunctions.Utility_DisplayArrayInTable(Fertiliser_SourceData.Fertiliser_Products_Data2(),FertiliserProducts[[#Headers],[Include or Exclude]], 20)</f>
        <v/>
      </c>
      <c r="F122" s="62" t="str" cm="1">
        <f t="array" ref="F122">Common_InputFunctions.Utility_DisplayArrayInTable(Fertiliser_SourceData.Fertiliser_Products_Data2(),FertiliserProducts[[#Headers],[Include or Exclude]], 20)</f>
        <v/>
      </c>
      <c r="G122" s="62" t="str" cm="1">
        <f t="array" ref="G122">Common_InputFunctions.Utility_DisplayArrayInTable(Fertiliser_SourceData.Fertiliser_Products_Data2(),FertiliserProducts[[#Headers],[Include or Exclude]], 20)</f>
        <v/>
      </c>
      <c r="H122" s="62" t="str" cm="1">
        <f t="array" ref="H122">Common_InputFunctions.Utility_DisplayArrayInTable(Fertiliser_SourceData.Fertiliser_Products_Data2(),FertiliserProducts[[#Headers],[Include or Exclude]], 20)</f>
        <v/>
      </c>
      <c r="I122" s="62" t="str" cm="1">
        <f t="array" ref="I122">Common_InputFunctions.Utility_DisplayArrayInTable(Fertiliser_SourceData.Fertiliser_Products_Data2(),FertiliserProducts[[#Headers],[Include or Exclude]], 20)</f>
        <v/>
      </c>
      <c r="J122" s="62" t="str" cm="1">
        <f t="array" ref="J122">Common_InputFunctions.Utility_DisplayArrayInTable(Fertiliser_SourceData.Fertiliser_Products_Data2(),FertiliserProducts[[#Headers],[Include or Exclude]], 20)</f>
        <v/>
      </c>
      <c r="K122" s="62" t="str" cm="1">
        <f t="array" ref="K122">Common_InputFunctions.Utility_DisplayArrayInTable(Fertiliser_SourceData.Fertiliser_Products_Data2(),FertiliserProducts[[#Headers],[Include or Exclude]], 20)</f>
        <v/>
      </c>
      <c r="L122" s="62" t="str" cm="1">
        <f t="array" ref="L122">Common_InputFunctions.Utility_DisplayArrayInTable(Fertiliser_SourceData.Fertiliser_Products_Data2(),FertiliserProducts[[#Headers],[Include or Exclude]], 20)</f>
        <v/>
      </c>
      <c r="M122" s="62" t="str" cm="1">
        <f t="array" ref="M122">Common_InputFunctions.Utility_DisplayArrayInTable(Fertiliser_SourceData.Fertiliser_Products_Data2(),FertiliserProducts[[#Headers],[Include or Exclude]], 20)</f>
        <v/>
      </c>
      <c r="N122" s="62" t="str" cm="1">
        <f t="array" ref="N122">Common_InputFunctions.Utility_DisplayArrayInTable(Fertiliser_SourceData.Fertiliser_Products_Data2(),FertiliserProducts[[#Headers],[Include or Exclude]], 20)</f>
        <v/>
      </c>
      <c r="O122" s="62" t="str" cm="1">
        <f t="array" ref="O122">Common_InputFunctions.Utility_DisplayArrayInTable(Fertiliser_SourceData.Fertiliser_Products_Data2(),FertiliserProducts[[#Headers],[Include or Exclude]], 20)</f>
        <v/>
      </c>
      <c r="P122" s="62" t="str" cm="1">
        <f t="array" ref="P122">Common_InputFunctions.Utility_DisplayArrayInTable(Fertiliser_SourceData.Fertiliser_Products_Data2(),FertiliserProducts[[#Headers],[Include or Exclude]], 20)</f>
        <v/>
      </c>
      <c r="Q122" s="62" t="str" cm="1">
        <f t="array" ref="Q122">Common_InputFunctions.Utility_DisplayArrayInTable(Fertiliser_SourceData.Fertiliser_Products_Data2(),FertiliserProducts[[#Headers],[Include or Exclude]], 20)</f>
        <v/>
      </c>
      <c r="R122" s="62" t="str" cm="1">
        <f t="array" ref="R122">Common_InputFunctions.Utility_DisplayArrayInTable(Fertiliser_SourceData.Fertiliser_Products_Data2(),FertiliserProducts[[#Headers],[Include or Exclude]], 20)</f>
        <v/>
      </c>
      <c r="S122" s="62" t="str" cm="1">
        <f t="array" ref="S122">Common_InputFunctions.Utility_DisplayArrayInTable(Fertiliser_SourceData.Fertiliser_Products_Data2(),FertiliserProducts[[#Headers],[Include or Exclude]], 20)</f>
        <v/>
      </c>
      <c r="T122" s="62" t="str" cm="1">
        <f t="array" ref="T122">Common_InputFunctions.Utility_DisplayArrayInTable(Fertiliser_SourceData.Fertiliser_Products_Data2(),FertiliserProducts[[#Headers],[Include or Exclude]], 20)</f>
        <v/>
      </c>
      <c r="U122" s="62" t="str" cm="1">
        <f t="array" ref="U122">Common_InputFunctions.Utility_DisplayArrayInTable(Fertiliser_SourceData.Fertiliser_Products_Data2(),FertiliserProducts[[#Headers],[Include or Exclude]], 20)</f>
        <v/>
      </c>
      <c r="V122" s="62" t="str" cm="1">
        <f t="array" ref="V122">Common_InputFunctions.Utility_DisplayArrayInTable(Fertiliser_SourceData.Fertiliser_Products_Data2(),FertiliserProducts[[#Headers],[Include or Exclude]], 20)</f>
        <v/>
      </c>
      <c r="W122" s="62" t="str" cm="1">
        <f t="array" ref="W122">Common_InputFunctions.Utility_DisplayArrayInTable(Fertiliser_SourceData.Fertiliser_Products_Data2(),FertiliserProducts[[#Headers],[Include or Exclude]], 20)</f>
        <v>Swancrop</v>
      </c>
      <c r="X122" s="62" t="str" cm="1">
        <f t="array" ref="X122">Common_InputFunctions.Utility_DisplayArrayInTable(Fertiliser_SourceData.Fertiliser_Products_Data2(),FertiliserProducts[[#Headers],[Include or Exclude]], 20)</f>
        <v/>
      </c>
      <c r="Y122" s="62" t="str" cm="1">
        <f t="array" ref="Y122">Common_InputFunctions.Utility_DisplayArrayInTable(Fertiliser_SourceData.Fertiliser_Products_Data2(),FertiliserProducts[[#Headers],[Include or Exclude]], 20)</f>
        <v/>
      </c>
      <c r="Z122" s="62"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1:31" ht="20.100000000000001" customHeight="1" x14ac:dyDescent="0.25">
      <c r="A123"/>
      <c r="D123" s="62" t="str" cm="1">
        <f t="array" ref="D123">Common_InputFunctions.Utility_DisplayArrayInTable(Fertiliser_SourceData.Fertiliser_Products_Data2(),FertiliserProducts[[#Headers],[Include or Exclude]], 20)</f>
        <v>Pro Performance 18-3-6</v>
      </c>
      <c r="E123" s="62" t="str" cm="1">
        <f t="array" ref="E123">Common_InputFunctions.Utility_DisplayArrayInTable(Fertiliser_SourceData.Fertiliser_Products_Data2(),FertiliserProducts[[#Headers],[Include or Exclude]], 20)</f>
        <v/>
      </c>
      <c r="F123" s="62" t="str" cm="1">
        <f t="array" ref="F123">Common_InputFunctions.Utility_DisplayArrayInTable(Fertiliser_SourceData.Fertiliser_Products_Data2(),FertiliserProducts[[#Headers],[Include or Exclude]], 20)</f>
        <v/>
      </c>
      <c r="G123" s="62" t="str" cm="1">
        <f t="array" ref="G123">Common_InputFunctions.Utility_DisplayArrayInTable(Fertiliser_SourceData.Fertiliser_Products_Data2(),FertiliserProducts[[#Headers],[Include or Exclude]], 20)</f>
        <v/>
      </c>
      <c r="H123" s="62" t="str" cm="1">
        <f t="array" ref="H123">Common_InputFunctions.Utility_DisplayArrayInTable(Fertiliser_SourceData.Fertiliser_Products_Data2(),FertiliserProducts[[#Headers],[Include or Exclude]], 20)</f>
        <v/>
      </c>
      <c r="I123" s="62" t="str" cm="1">
        <f t="array" ref="I123">Common_InputFunctions.Utility_DisplayArrayInTable(Fertiliser_SourceData.Fertiliser_Products_Data2(),FertiliserProducts[[#Headers],[Include or Exclude]], 20)</f>
        <v/>
      </c>
      <c r="J123" s="62" t="str" cm="1">
        <f t="array" ref="J123">Common_InputFunctions.Utility_DisplayArrayInTable(Fertiliser_SourceData.Fertiliser_Products_Data2(),FertiliserProducts[[#Headers],[Include or Exclude]], 20)</f>
        <v/>
      </c>
      <c r="K123" s="62" t="str" cm="1">
        <f t="array" ref="K123">Common_InputFunctions.Utility_DisplayArrayInTable(Fertiliser_SourceData.Fertiliser_Products_Data2(),FertiliserProducts[[#Headers],[Include or Exclude]], 20)</f>
        <v/>
      </c>
      <c r="L123" s="62" t="str" cm="1">
        <f t="array" ref="L123">Common_InputFunctions.Utility_DisplayArrayInTable(Fertiliser_SourceData.Fertiliser_Products_Data2(),FertiliserProducts[[#Headers],[Include or Exclude]], 20)</f>
        <v/>
      </c>
      <c r="M123" s="62" t="str" cm="1">
        <f t="array" ref="M123">Common_InputFunctions.Utility_DisplayArrayInTable(Fertiliser_SourceData.Fertiliser_Products_Data2(),FertiliserProducts[[#Headers],[Include or Exclude]], 20)</f>
        <v/>
      </c>
      <c r="N123" s="62" t="str" cm="1">
        <f t="array" ref="N123">Common_InputFunctions.Utility_DisplayArrayInTable(Fertiliser_SourceData.Fertiliser_Products_Data2(),FertiliserProducts[[#Headers],[Include or Exclude]], 20)</f>
        <v/>
      </c>
      <c r="O123" s="62" t="str" cm="1">
        <f t="array" ref="O123">Common_InputFunctions.Utility_DisplayArrayInTable(Fertiliser_SourceData.Fertiliser_Products_Data2(),FertiliserProducts[[#Headers],[Include or Exclude]], 20)</f>
        <v/>
      </c>
      <c r="P123" s="62" t="str" cm="1">
        <f t="array" ref="P123">Common_InputFunctions.Utility_DisplayArrayInTable(Fertiliser_SourceData.Fertiliser_Products_Data2(),FertiliserProducts[[#Headers],[Include or Exclude]], 20)</f>
        <v/>
      </c>
      <c r="Q123" s="62" t="str" cm="1">
        <f t="array" ref="Q123">Common_InputFunctions.Utility_DisplayArrayInTable(Fertiliser_SourceData.Fertiliser_Products_Data2(),FertiliserProducts[[#Headers],[Include or Exclude]], 20)</f>
        <v/>
      </c>
      <c r="R123" s="62" t="str" cm="1">
        <f t="array" ref="R123">Common_InputFunctions.Utility_DisplayArrayInTable(Fertiliser_SourceData.Fertiliser_Products_Data2(),FertiliserProducts[[#Headers],[Include or Exclude]], 20)</f>
        <v/>
      </c>
      <c r="S123" s="62" t="str" cm="1">
        <f t="array" ref="S123">Common_InputFunctions.Utility_DisplayArrayInTable(Fertiliser_SourceData.Fertiliser_Products_Data2(),FertiliserProducts[[#Headers],[Include or Exclude]], 20)</f>
        <v/>
      </c>
      <c r="T123" s="62" t="str" cm="1">
        <f t="array" ref="T123">Common_InputFunctions.Utility_DisplayArrayInTable(Fertiliser_SourceData.Fertiliser_Products_Data2(),FertiliserProducts[[#Headers],[Include or Exclude]], 20)</f>
        <v/>
      </c>
      <c r="U123" s="62" t="str" cm="1">
        <f t="array" ref="U123">Common_InputFunctions.Utility_DisplayArrayInTable(Fertiliser_SourceData.Fertiliser_Products_Data2(),FertiliserProducts[[#Headers],[Include or Exclude]], 20)</f>
        <v/>
      </c>
      <c r="V123" s="62" t="str" cm="1">
        <f t="array" ref="V123">Common_InputFunctions.Utility_DisplayArrayInTable(Fertiliser_SourceData.Fertiliser_Products_Data2(),FertiliserProducts[[#Headers],[Include or Exclude]], 20)</f>
        <v/>
      </c>
      <c r="W123" s="62" t="str" cm="1">
        <f t="array" ref="W123">Common_InputFunctions.Utility_DisplayArrayInTable(Fertiliser_SourceData.Fertiliser_Products_Data2(),FertiliserProducts[[#Headers],[Include or Exclude]], 20)</f>
        <v>Pro Turf Formula</v>
      </c>
      <c r="X123" s="62" t="str" cm="1">
        <f t="array" ref="X123">Common_InputFunctions.Utility_DisplayArrayInTable(Fertiliser_SourceData.Fertiliser_Products_Data2(),FertiliserProducts[[#Headers],[Include or Exclude]], 20)</f>
        <v/>
      </c>
      <c r="Y123" s="62" t="str" cm="1">
        <f t="array" ref="Y123">Common_InputFunctions.Utility_DisplayArrayInTable(Fertiliser_SourceData.Fertiliser_Products_Data2(),FertiliserProducts[[#Headers],[Include or Exclude]], 20)</f>
        <v/>
      </c>
      <c r="Z123" s="62"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1:31" ht="20.100000000000001" customHeight="1" x14ac:dyDescent="0.25">
      <c r="A124"/>
      <c r="D124" s="62" t="str" cm="1">
        <f t="array" ref="D124">Common_InputFunctions.Utility_DisplayArrayInTable(Fertiliser_SourceData.Fertiliser_Products_Data2(),FertiliserProducts[[#Headers],[Include or Exclude]], 20)</f>
        <v>SOA</v>
      </c>
      <c r="E124" s="62" t="str" cm="1">
        <f t="array" ref="E124">Common_InputFunctions.Utility_DisplayArrayInTable(Fertiliser_SourceData.Fertiliser_Products_Data2(),FertiliserProducts[[#Headers],[Include or Exclude]], 20)</f>
        <v/>
      </c>
      <c r="F124" s="62" t="str" cm="1">
        <f t="array" ref="F124">Common_InputFunctions.Utility_DisplayArrayInTable(Fertiliser_SourceData.Fertiliser_Products_Data2(),FertiliserProducts[[#Headers],[Include or Exclude]], 20)</f>
        <v/>
      </c>
      <c r="G124" s="62" t="str" cm="1">
        <f t="array" ref="G124">Common_InputFunctions.Utility_DisplayArrayInTable(Fertiliser_SourceData.Fertiliser_Products_Data2(),FertiliserProducts[[#Headers],[Include or Exclude]], 20)</f>
        <v/>
      </c>
      <c r="H124" s="62" t="str" cm="1">
        <f t="array" ref="H124">Common_InputFunctions.Utility_DisplayArrayInTable(Fertiliser_SourceData.Fertiliser_Products_Data2(),FertiliserProducts[[#Headers],[Include or Exclude]], 20)</f>
        <v/>
      </c>
      <c r="I124" s="62" t="str" cm="1">
        <f t="array" ref="I124">Common_InputFunctions.Utility_DisplayArrayInTable(Fertiliser_SourceData.Fertiliser_Products_Data2(),FertiliserProducts[[#Headers],[Include or Exclude]], 20)</f>
        <v/>
      </c>
      <c r="J124" s="62" t="str" cm="1">
        <f t="array" ref="J124">Common_InputFunctions.Utility_DisplayArrayInTable(Fertiliser_SourceData.Fertiliser_Products_Data2(),FertiliserProducts[[#Headers],[Include or Exclude]], 20)</f>
        <v/>
      </c>
      <c r="K124" s="62" t="str" cm="1">
        <f t="array" ref="K124">Common_InputFunctions.Utility_DisplayArrayInTable(Fertiliser_SourceData.Fertiliser_Products_Data2(),FertiliserProducts[[#Headers],[Include or Exclude]], 20)</f>
        <v/>
      </c>
      <c r="L124" s="62" t="str" cm="1">
        <f t="array" ref="L124">Common_InputFunctions.Utility_DisplayArrayInTable(Fertiliser_SourceData.Fertiliser_Products_Data2(),FertiliserProducts[[#Headers],[Include or Exclude]], 20)</f>
        <v/>
      </c>
      <c r="M124" s="62" t="str" cm="1">
        <f t="array" ref="M124">Common_InputFunctions.Utility_DisplayArrayInTable(Fertiliser_SourceData.Fertiliser_Products_Data2(),FertiliserProducts[[#Headers],[Include or Exclude]], 20)</f>
        <v/>
      </c>
      <c r="N124" s="62" t="str" cm="1">
        <f t="array" ref="N124">Common_InputFunctions.Utility_DisplayArrayInTable(Fertiliser_SourceData.Fertiliser_Products_Data2(),FertiliserProducts[[#Headers],[Include or Exclude]], 20)</f>
        <v/>
      </c>
      <c r="O124" s="62" t="str" cm="1">
        <f t="array" ref="O124">Common_InputFunctions.Utility_DisplayArrayInTable(Fertiliser_SourceData.Fertiliser_Products_Data2(),FertiliserProducts[[#Headers],[Include or Exclude]], 20)</f>
        <v/>
      </c>
      <c r="P124" s="62" t="str" cm="1">
        <f t="array" ref="P124">Common_InputFunctions.Utility_DisplayArrayInTable(Fertiliser_SourceData.Fertiliser_Products_Data2(),FertiliserProducts[[#Headers],[Include or Exclude]], 20)</f>
        <v/>
      </c>
      <c r="Q124" s="62" t="str" cm="1">
        <f t="array" ref="Q124">Common_InputFunctions.Utility_DisplayArrayInTable(Fertiliser_SourceData.Fertiliser_Products_Data2(),FertiliserProducts[[#Headers],[Include or Exclude]], 20)</f>
        <v/>
      </c>
      <c r="R124" s="62" t="str" cm="1">
        <f t="array" ref="R124">Common_InputFunctions.Utility_DisplayArrayInTable(Fertiliser_SourceData.Fertiliser_Products_Data2(),FertiliserProducts[[#Headers],[Include or Exclude]], 20)</f>
        <v/>
      </c>
      <c r="S124" s="62" t="str" cm="1">
        <f t="array" ref="S124">Common_InputFunctions.Utility_DisplayArrayInTable(Fertiliser_SourceData.Fertiliser_Products_Data2(),FertiliserProducts[[#Headers],[Include or Exclude]], 20)</f>
        <v/>
      </c>
      <c r="T124" s="62" t="str" cm="1">
        <f t="array" ref="T124">Common_InputFunctions.Utility_DisplayArrayInTable(Fertiliser_SourceData.Fertiliser_Products_Data2(),FertiliserProducts[[#Headers],[Include or Exclude]], 20)</f>
        <v/>
      </c>
      <c r="U124" s="62" t="str" cm="1">
        <f t="array" ref="U124">Common_InputFunctions.Utility_DisplayArrayInTable(Fertiliser_SourceData.Fertiliser_Products_Data2(),FertiliserProducts[[#Headers],[Include or Exclude]], 20)</f>
        <v/>
      </c>
      <c r="V124" s="62" t="str" cm="1">
        <f t="array" ref="V124">Common_InputFunctions.Utility_DisplayArrayInTable(Fertiliser_SourceData.Fertiliser_Products_Data2(),FertiliserProducts[[#Headers],[Include or Exclude]], 20)</f>
        <v/>
      </c>
      <c r="W124" s="62" t="str" cm="1">
        <f t="array" ref="W124">Common_InputFunctions.Utility_DisplayArrayInTable(Fertiliser_SourceData.Fertiliser_Products_Data2(),FertiliserProducts[[#Headers],[Include or Exclude]], 20)</f>
        <v>MountCompass Fertilisers Blends</v>
      </c>
      <c r="X124" s="62" t="str" cm="1">
        <f t="array" ref="X124">Common_InputFunctions.Utility_DisplayArrayInTable(Fertiliser_SourceData.Fertiliser_Products_Data2(),FertiliserProducts[[#Headers],[Include or Exclude]], 20)</f>
        <v/>
      </c>
      <c r="Y124" s="62" t="str" cm="1">
        <f t="array" ref="Y124">Common_InputFunctions.Utility_DisplayArrayInTable(Fertiliser_SourceData.Fertiliser_Products_Data2(),FertiliserProducts[[#Headers],[Include or Exclude]], 20)</f>
        <v/>
      </c>
      <c r="Z124" s="62"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1:31" ht="20.100000000000001" customHeight="1" x14ac:dyDescent="0.25">
      <c r="A125"/>
      <c r="D125" s="62" t="str" cm="1">
        <f t="array" ref="D125">Common_InputFunctions.Utility_DisplayArrayInTable(Fertiliser_SourceData.Fertiliser_Products_Data2(),FertiliserProducts[[#Headers],[Include or Exclude]], 20)</f>
        <v>SSP</v>
      </c>
      <c r="E125" s="62" t="str" cm="1">
        <f t="array" ref="E125">Common_InputFunctions.Utility_DisplayArrayInTable(Fertiliser_SourceData.Fertiliser_Products_Data2(),FertiliserProducts[[#Headers],[Include or Exclude]], 20)</f>
        <v/>
      </c>
      <c r="F125" s="62" t="str" cm="1">
        <f t="array" ref="F125">Common_InputFunctions.Utility_DisplayArrayInTable(Fertiliser_SourceData.Fertiliser_Products_Data2(),FertiliserProducts[[#Headers],[Include or Exclude]], 20)</f>
        <v/>
      </c>
      <c r="G125" s="62" t="str" cm="1">
        <f t="array" ref="G125">Common_InputFunctions.Utility_DisplayArrayInTable(Fertiliser_SourceData.Fertiliser_Products_Data2(),FertiliserProducts[[#Headers],[Include or Exclude]], 20)</f>
        <v/>
      </c>
      <c r="H125" s="62" t="str" cm="1">
        <f t="array" ref="H125">Common_InputFunctions.Utility_DisplayArrayInTable(Fertiliser_SourceData.Fertiliser_Products_Data2(),FertiliserProducts[[#Headers],[Include or Exclude]], 20)</f>
        <v/>
      </c>
      <c r="I125" s="62" t="str" cm="1">
        <f t="array" ref="I125">Common_InputFunctions.Utility_DisplayArrayInTable(Fertiliser_SourceData.Fertiliser_Products_Data2(),FertiliserProducts[[#Headers],[Include or Exclude]], 20)</f>
        <v/>
      </c>
      <c r="J125" s="62" t="str" cm="1">
        <f t="array" ref="J125">Common_InputFunctions.Utility_DisplayArrayInTable(Fertiliser_SourceData.Fertiliser_Products_Data2(),FertiliserProducts[[#Headers],[Include or Exclude]], 20)</f>
        <v/>
      </c>
      <c r="K125" s="62" t="str" cm="1">
        <f t="array" ref="K125">Common_InputFunctions.Utility_DisplayArrayInTable(Fertiliser_SourceData.Fertiliser_Products_Data2(),FertiliserProducts[[#Headers],[Include or Exclude]], 20)</f>
        <v/>
      </c>
      <c r="L125" s="62" t="str" cm="1">
        <f t="array" ref="L125">Common_InputFunctions.Utility_DisplayArrayInTable(Fertiliser_SourceData.Fertiliser_Products_Data2(),FertiliserProducts[[#Headers],[Include or Exclude]], 20)</f>
        <v/>
      </c>
      <c r="M125" s="62" t="str" cm="1">
        <f t="array" ref="M125">Common_InputFunctions.Utility_DisplayArrayInTable(Fertiliser_SourceData.Fertiliser_Products_Data2(),FertiliserProducts[[#Headers],[Include or Exclude]], 20)</f>
        <v/>
      </c>
      <c r="N125" s="62" t="str" cm="1">
        <f t="array" ref="N125">Common_InputFunctions.Utility_DisplayArrayInTable(Fertiliser_SourceData.Fertiliser_Products_Data2(),FertiliserProducts[[#Headers],[Include or Exclude]], 20)</f>
        <v/>
      </c>
      <c r="O125" s="62" t="str" cm="1">
        <f t="array" ref="O125">Common_InputFunctions.Utility_DisplayArrayInTable(Fertiliser_SourceData.Fertiliser_Products_Data2(),FertiliserProducts[[#Headers],[Include or Exclude]], 20)</f>
        <v/>
      </c>
      <c r="P125" s="62" t="str" cm="1">
        <f t="array" ref="P125">Common_InputFunctions.Utility_DisplayArrayInTable(Fertiliser_SourceData.Fertiliser_Products_Data2(),FertiliserProducts[[#Headers],[Include or Exclude]], 20)</f>
        <v/>
      </c>
      <c r="Q125" s="62" t="str" cm="1">
        <f t="array" ref="Q125">Common_InputFunctions.Utility_DisplayArrayInTable(Fertiliser_SourceData.Fertiliser_Products_Data2(),FertiliserProducts[[#Headers],[Include or Exclude]], 20)</f>
        <v/>
      </c>
      <c r="R125" s="62" t="str" cm="1">
        <f t="array" ref="R125">Common_InputFunctions.Utility_DisplayArrayInTable(Fertiliser_SourceData.Fertiliser_Products_Data2(),FertiliserProducts[[#Headers],[Include or Exclude]], 20)</f>
        <v/>
      </c>
      <c r="S125" s="62" t="str" cm="1">
        <f t="array" ref="S125">Common_InputFunctions.Utility_DisplayArrayInTable(Fertiliser_SourceData.Fertiliser_Products_Data2(),FertiliserProducts[[#Headers],[Include or Exclude]], 20)</f>
        <v/>
      </c>
      <c r="T125" s="62" t="str" cm="1">
        <f t="array" ref="T125">Common_InputFunctions.Utility_DisplayArrayInTable(Fertiliser_SourceData.Fertiliser_Products_Data2(),FertiliserProducts[[#Headers],[Include or Exclude]], 20)</f>
        <v/>
      </c>
      <c r="U125" s="62" t="str" cm="1">
        <f t="array" ref="U125">Common_InputFunctions.Utility_DisplayArrayInTable(Fertiliser_SourceData.Fertiliser_Products_Data2(),FertiliserProducts[[#Headers],[Include or Exclude]], 20)</f>
        <v/>
      </c>
      <c r="V125" s="62" t="str" cm="1">
        <f t="array" ref="V125">Common_InputFunctions.Utility_DisplayArrayInTable(Fertiliser_SourceData.Fertiliser_Products_Data2(),FertiliserProducts[[#Headers],[Include or Exclude]], 20)</f>
        <v/>
      </c>
      <c r="W125" s="62" t="str" cm="1">
        <f t="array" ref="W125">Common_InputFunctions.Utility_DisplayArrayInTable(Fertiliser_SourceData.Fertiliser_Products_Data2(),FertiliserProducts[[#Headers],[Include or Exclude]], 20)</f>
        <v>Impact fertilisers</v>
      </c>
      <c r="X125" s="62" t="str" cm="1">
        <f t="array" ref="X125">Common_InputFunctions.Utility_DisplayArrayInTable(Fertiliser_SourceData.Fertiliser_Products_Data2(),FertiliserProducts[[#Headers],[Include or Exclude]], 20)</f>
        <v/>
      </c>
      <c r="Y125" s="62" t="str" cm="1">
        <f t="array" ref="Y125">Common_InputFunctions.Utility_DisplayArrayInTable(Fertiliser_SourceData.Fertiliser_Products_Data2(),FertiliserProducts[[#Headers],[Include or Exclude]], 20)</f>
        <v/>
      </c>
      <c r="Z125" s="62"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1:31" ht="20.100000000000001" customHeight="1" x14ac:dyDescent="0.25">
      <c r="A126"/>
      <c r="D126" s="62" t="str" cm="1">
        <f t="array" ref="D126">Common_InputFunctions.Utility_DisplayArrayInTable(Fertiliser_SourceData.Fertiliser_Products_Data2(),FertiliserProducts[[#Headers],[Include or Exclude]], 20)</f>
        <v>Super Phos</v>
      </c>
      <c r="E126" s="62" t="str" cm="1">
        <f t="array" ref="E126">Common_InputFunctions.Utility_DisplayArrayInTable(Fertiliser_SourceData.Fertiliser_Products_Data2(),FertiliserProducts[[#Headers],[Include or Exclude]], 20)</f>
        <v/>
      </c>
      <c r="F126" s="62" t="str" cm="1">
        <f t="array" ref="F126">Common_InputFunctions.Utility_DisplayArrayInTable(Fertiliser_SourceData.Fertiliser_Products_Data2(),FertiliserProducts[[#Headers],[Include or Exclude]], 20)</f>
        <v/>
      </c>
      <c r="G126" s="62" t="str" cm="1">
        <f t="array" ref="G126">Common_InputFunctions.Utility_DisplayArrayInTable(Fertiliser_SourceData.Fertiliser_Products_Data2(),FertiliserProducts[[#Headers],[Include or Exclude]], 20)</f>
        <v/>
      </c>
      <c r="H126" s="62" t="str" cm="1">
        <f t="array" ref="H126">Common_InputFunctions.Utility_DisplayArrayInTable(Fertiliser_SourceData.Fertiliser_Products_Data2(),FertiliserProducts[[#Headers],[Include or Exclude]], 20)</f>
        <v/>
      </c>
      <c r="I126" s="62" t="str" cm="1">
        <f t="array" ref="I126">Common_InputFunctions.Utility_DisplayArrayInTable(Fertiliser_SourceData.Fertiliser_Products_Data2(),FertiliserProducts[[#Headers],[Include or Exclude]], 20)</f>
        <v/>
      </c>
      <c r="J126" s="62" t="str" cm="1">
        <f t="array" ref="J126">Common_InputFunctions.Utility_DisplayArrayInTable(Fertiliser_SourceData.Fertiliser_Products_Data2(),FertiliserProducts[[#Headers],[Include or Exclude]], 20)</f>
        <v/>
      </c>
      <c r="K126" s="62" t="str" cm="1">
        <f t="array" ref="K126">Common_InputFunctions.Utility_DisplayArrayInTable(Fertiliser_SourceData.Fertiliser_Products_Data2(),FertiliserProducts[[#Headers],[Include or Exclude]], 20)</f>
        <v/>
      </c>
      <c r="L126" s="62" t="str" cm="1">
        <f t="array" ref="L126">Common_InputFunctions.Utility_DisplayArrayInTable(Fertiliser_SourceData.Fertiliser_Products_Data2(),FertiliserProducts[[#Headers],[Include or Exclude]], 20)</f>
        <v/>
      </c>
      <c r="M126" s="62" t="str" cm="1">
        <f t="array" ref="M126">Common_InputFunctions.Utility_DisplayArrayInTable(Fertiliser_SourceData.Fertiliser_Products_Data2(),FertiliserProducts[[#Headers],[Include or Exclude]], 20)</f>
        <v/>
      </c>
      <c r="N126" s="62" t="str" cm="1">
        <f t="array" ref="N126">Common_InputFunctions.Utility_DisplayArrayInTable(Fertiliser_SourceData.Fertiliser_Products_Data2(),FertiliserProducts[[#Headers],[Include or Exclude]], 20)</f>
        <v/>
      </c>
      <c r="O126" s="62" t="str" cm="1">
        <f t="array" ref="O126">Common_InputFunctions.Utility_DisplayArrayInTable(Fertiliser_SourceData.Fertiliser_Products_Data2(),FertiliserProducts[[#Headers],[Include or Exclude]], 20)</f>
        <v/>
      </c>
      <c r="P126" s="62" t="str" cm="1">
        <f t="array" ref="P126">Common_InputFunctions.Utility_DisplayArrayInTable(Fertiliser_SourceData.Fertiliser_Products_Data2(),FertiliserProducts[[#Headers],[Include or Exclude]], 20)</f>
        <v/>
      </c>
      <c r="Q126" s="62" t="str" cm="1">
        <f t="array" ref="Q126">Common_InputFunctions.Utility_DisplayArrayInTable(Fertiliser_SourceData.Fertiliser_Products_Data2(),FertiliserProducts[[#Headers],[Include or Exclude]], 20)</f>
        <v/>
      </c>
      <c r="R126" s="62" t="str" cm="1">
        <f t="array" ref="R126">Common_InputFunctions.Utility_DisplayArrayInTable(Fertiliser_SourceData.Fertiliser_Products_Data2(),FertiliserProducts[[#Headers],[Include or Exclude]], 20)</f>
        <v/>
      </c>
      <c r="S126" s="62" t="str" cm="1">
        <f t="array" ref="S126">Common_InputFunctions.Utility_DisplayArrayInTable(Fertiliser_SourceData.Fertiliser_Products_Data2(),FertiliserProducts[[#Headers],[Include or Exclude]], 20)</f>
        <v/>
      </c>
      <c r="T126" s="62" t="str" cm="1">
        <f t="array" ref="T126">Common_InputFunctions.Utility_DisplayArrayInTable(Fertiliser_SourceData.Fertiliser_Products_Data2(),FertiliserProducts[[#Headers],[Include or Exclude]], 20)</f>
        <v/>
      </c>
      <c r="U126" s="62" t="str" cm="1">
        <f t="array" ref="U126">Common_InputFunctions.Utility_DisplayArrayInTable(Fertiliser_SourceData.Fertiliser_Products_Data2(),FertiliserProducts[[#Headers],[Include or Exclude]], 20)</f>
        <v/>
      </c>
      <c r="V126" s="62" t="str" cm="1">
        <f t="array" ref="V126">Common_InputFunctions.Utility_DisplayArrayInTable(Fertiliser_SourceData.Fertiliser_Products_Data2(),FertiliserProducts[[#Headers],[Include or Exclude]], 20)</f>
        <v/>
      </c>
      <c r="W126" s="62" t="str" cm="1">
        <f t="array" ref="W126">Common_InputFunctions.Utility_DisplayArrayInTable(Fertiliser_SourceData.Fertiliser_Products_Data2(),FertiliserProducts[[#Headers],[Include or Exclude]], 20)</f>
        <v>CSBP Super PHOS</v>
      </c>
      <c r="X126" s="62" t="str" cm="1">
        <f t="array" ref="X126">Common_InputFunctions.Utility_DisplayArrayInTable(Fertiliser_SourceData.Fertiliser_Products_Data2(),FertiliserProducts[[#Headers],[Include or Exclude]], 20)</f>
        <v/>
      </c>
      <c r="Y126" s="62" t="str" cm="1">
        <f t="array" ref="Y126">Common_InputFunctions.Utility_DisplayArrayInTable(Fertiliser_SourceData.Fertiliser_Products_Data2(),FertiliserProducts[[#Headers],[Include or Exclude]], 20)</f>
        <v/>
      </c>
      <c r="Z126" s="62"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1:31" ht="20.100000000000001" customHeight="1" x14ac:dyDescent="0.25">
      <c r="A127"/>
      <c r="D127" s="62" t="str" cm="1">
        <f t="array" ref="D127">Common_InputFunctions.Utility_DisplayArrayInTable(Fertiliser_SourceData.Fertiliser_Products_Data2(),FertiliserProducts[[#Headers],[Include or Exclude]], 20)</f>
        <v>Super SR Extra</v>
      </c>
      <c r="E127" s="62" t="str" cm="1">
        <f t="array" ref="E127">Common_InputFunctions.Utility_DisplayArrayInTable(Fertiliser_SourceData.Fertiliser_Products_Data2(),FertiliserProducts[[#Headers],[Include or Exclude]], 20)</f>
        <v/>
      </c>
      <c r="F127" s="62" t="str" cm="1">
        <f t="array" ref="F127">Common_InputFunctions.Utility_DisplayArrayInTable(Fertiliser_SourceData.Fertiliser_Products_Data2(),FertiliserProducts[[#Headers],[Include or Exclude]], 20)</f>
        <v/>
      </c>
      <c r="G127" s="62" t="str" cm="1">
        <f t="array" ref="G127">Common_InputFunctions.Utility_DisplayArrayInTable(Fertiliser_SourceData.Fertiliser_Products_Data2(),FertiliserProducts[[#Headers],[Include or Exclude]], 20)</f>
        <v/>
      </c>
      <c r="H127" s="62" t="str" cm="1">
        <f t="array" ref="H127">Common_InputFunctions.Utility_DisplayArrayInTable(Fertiliser_SourceData.Fertiliser_Products_Data2(),FertiliserProducts[[#Headers],[Include or Exclude]], 20)</f>
        <v/>
      </c>
      <c r="I127" s="62" t="str" cm="1">
        <f t="array" ref="I127">Common_InputFunctions.Utility_DisplayArrayInTable(Fertiliser_SourceData.Fertiliser_Products_Data2(),FertiliserProducts[[#Headers],[Include or Exclude]], 20)</f>
        <v/>
      </c>
      <c r="J127" s="62" t="str" cm="1">
        <f t="array" ref="J127">Common_InputFunctions.Utility_DisplayArrayInTable(Fertiliser_SourceData.Fertiliser_Products_Data2(),FertiliserProducts[[#Headers],[Include or Exclude]], 20)</f>
        <v/>
      </c>
      <c r="K127" s="62" t="str" cm="1">
        <f t="array" ref="K127">Common_InputFunctions.Utility_DisplayArrayInTable(Fertiliser_SourceData.Fertiliser_Products_Data2(),FertiliserProducts[[#Headers],[Include or Exclude]], 20)</f>
        <v/>
      </c>
      <c r="L127" s="62" t="str" cm="1">
        <f t="array" ref="L127">Common_InputFunctions.Utility_DisplayArrayInTable(Fertiliser_SourceData.Fertiliser_Products_Data2(),FertiliserProducts[[#Headers],[Include or Exclude]], 20)</f>
        <v/>
      </c>
      <c r="M127" s="62" t="str" cm="1">
        <f t="array" ref="M127">Common_InputFunctions.Utility_DisplayArrayInTable(Fertiliser_SourceData.Fertiliser_Products_Data2(),FertiliserProducts[[#Headers],[Include or Exclude]], 20)</f>
        <v/>
      </c>
      <c r="N127" s="62" t="str" cm="1">
        <f t="array" ref="N127">Common_InputFunctions.Utility_DisplayArrayInTable(Fertiliser_SourceData.Fertiliser_Products_Data2(),FertiliserProducts[[#Headers],[Include or Exclude]], 20)</f>
        <v/>
      </c>
      <c r="O127" s="62" t="str" cm="1">
        <f t="array" ref="O127">Common_InputFunctions.Utility_DisplayArrayInTable(Fertiliser_SourceData.Fertiliser_Products_Data2(),FertiliserProducts[[#Headers],[Include or Exclude]], 20)</f>
        <v/>
      </c>
      <c r="P127" s="62" t="str" cm="1">
        <f t="array" ref="P127">Common_InputFunctions.Utility_DisplayArrayInTable(Fertiliser_SourceData.Fertiliser_Products_Data2(),FertiliserProducts[[#Headers],[Include or Exclude]], 20)</f>
        <v/>
      </c>
      <c r="Q127" s="62" t="str" cm="1">
        <f t="array" ref="Q127">Common_InputFunctions.Utility_DisplayArrayInTable(Fertiliser_SourceData.Fertiliser_Products_Data2(),FertiliserProducts[[#Headers],[Include or Exclude]], 20)</f>
        <v/>
      </c>
      <c r="R127" s="62" t="str" cm="1">
        <f t="array" ref="R127">Common_InputFunctions.Utility_DisplayArrayInTable(Fertiliser_SourceData.Fertiliser_Products_Data2(),FertiliserProducts[[#Headers],[Include or Exclude]], 20)</f>
        <v/>
      </c>
      <c r="S127" s="62" t="str" cm="1">
        <f t="array" ref="S127">Common_InputFunctions.Utility_DisplayArrayInTable(Fertiliser_SourceData.Fertiliser_Products_Data2(),FertiliserProducts[[#Headers],[Include or Exclude]], 20)</f>
        <v/>
      </c>
      <c r="T127" s="62" t="str" cm="1">
        <f t="array" ref="T127">Common_InputFunctions.Utility_DisplayArrayInTable(Fertiliser_SourceData.Fertiliser_Products_Data2(),FertiliserProducts[[#Headers],[Include or Exclude]], 20)</f>
        <v/>
      </c>
      <c r="U127" s="62" t="str" cm="1">
        <f t="array" ref="U127">Common_InputFunctions.Utility_DisplayArrayInTable(Fertiliser_SourceData.Fertiliser_Products_Data2(),FertiliserProducts[[#Headers],[Include or Exclude]], 20)</f>
        <v/>
      </c>
      <c r="V127" s="62" t="str" cm="1">
        <f t="array" ref="V127">Common_InputFunctions.Utility_DisplayArrayInTable(Fertiliser_SourceData.Fertiliser_Products_Data2(),FertiliserProducts[[#Headers],[Include or Exclude]], 20)</f>
        <v/>
      </c>
      <c r="W127" s="62" t="str" cm="1">
        <f t="array" ref="W127">Common_InputFunctions.Utility_DisplayArrayInTable(Fertiliser_SourceData.Fertiliser_Products_Data2(),FertiliserProducts[[#Headers],[Include or Exclude]], 20)</f>
        <v>CSBP Super Potash</v>
      </c>
      <c r="X127" s="62" t="str" cm="1">
        <f t="array" ref="X127">Common_InputFunctions.Utility_DisplayArrayInTable(Fertiliser_SourceData.Fertiliser_Products_Data2(),FertiliserProducts[[#Headers],[Include or Exclude]], 20)</f>
        <v/>
      </c>
      <c r="Y127" s="62" t="str" cm="1">
        <f t="array" ref="Y127">Common_InputFunctions.Utility_DisplayArrayInTable(Fertiliser_SourceData.Fertiliser_Products_Data2(),FertiliserProducts[[#Headers],[Include or Exclude]], 20)</f>
        <v/>
      </c>
      <c r="Z127" s="62"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1:31" ht="20.100000000000001" customHeight="1" x14ac:dyDescent="0.25">
      <c r="A128"/>
      <c r="D128" s="62" t="str" cm="1">
        <f t="array" ref="D128">Common_InputFunctions.Utility_DisplayArrayInTable(Fertiliser_SourceData.Fertiliser_Products_Data2(),FertiliserProducts[[#Headers],[Include or Exclude]], 20)</f>
        <v>SuPerfect</v>
      </c>
      <c r="E128" s="62" t="str" cm="1">
        <f t="array" ref="E128">Common_InputFunctions.Utility_DisplayArrayInTable(Fertiliser_SourceData.Fertiliser_Products_Data2(),FertiliserProducts[[#Headers],[Include or Exclude]], 20)</f>
        <v/>
      </c>
      <c r="F128" s="62" t="str" cm="1">
        <f t="array" ref="F128">Common_InputFunctions.Utility_DisplayArrayInTable(Fertiliser_SourceData.Fertiliser_Products_Data2(),FertiliserProducts[[#Headers],[Include or Exclude]], 20)</f>
        <v/>
      </c>
      <c r="G128" s="62" t="str" cm="1">
        <f t="array" ref="G128">Common_InputFunctions.Utility_DisplayArrayInTable(Fertiliser_SourceData.Fertiliser_Products_Data2(),FertiliserProducts[[#Headers],[Include or Exclude]], 20)</f>
        <v/>
      </c>
      <c r="H128" s="62" t="str" cm="1">
        <f t="array" ref="H128">Common_InputFunctions.Utility_DisplayArrayInTable(Fertiliser_SourceData.Fertiliser_Products_Data2(),FertiliserProducts[[#Headers],[Include or Exclude]], 20)</f>
        <v/>
      </c>
      <c r="I128" s="62" t="str" cm="1">
        <f t="array" ref="I128">Common_InputFunctions.Utility_DisplayArrayInTable(Fertiliser_SourceData.Fertiliser_Products_Data2(),FertiliserProducts[[#Headers],[Include or Exclude]], 20)</f>
        <v/>
      </c>
      <c r="J128" s="62" t="str" cm="1">
        <f t="array" ref="J128">Common_InputFunctions.Utility_DisplayArrayInTable(Fertiliser_SourceData.Fertiliser_Products_Data2(),FertiliserProducts[[#Headers],[Include or Exclude]], 20)</f>
        <v/>
      </c>
      <c r="K128" s="62" t="str" cm="1">
        <f t="array" ref="K128">Common_InputFunctions.Utility_DisplayArrayInTable(Fertiliser_SourceData.Fertiliser_Products_Data2(),FertiliserProducts[[#Headers],[Include or Exclude]], 20)</f>
        <v/>
      </c>
      <c r="L128" s="62" t="str" cm="1">
        <f t="array" ref="L128">Common_InputFunctions.Utility_DisplayArrayInTable(Fertiliser_SourceData.Fertiliser_Products_Data2(),FertiliserProducts[[#Headers],[Include or Exclude]], 20)</f>
        <v/>
      </c>
      <c r="M128" s="62" t="str" cm="1">
        <f t="array" ref="M128">Common_InputFunctions.Utility_DisplayArrayInTable(Fertiliser_SourceData.Fertiliser_Products_Data2(),FertiliserProducts[[#Headers],[Include or Exclude]], 20)</f>
        <v/>
      </c>
      <c r="N128" s="62" t="str" cm="1">
        <f t="array" ref="N128">Common_InputFunctions.Utility_DisplayArrayInTable(Fertiliser_SourceData.Fertiliser_Products_Data2(),FertiliserProducts[[#Headers],[Include or Exclude]], 20)</f>
        <v/>
      </c>
      <c r="O128" s="62" t="str" cm="1">
        <f t="array" ref="O128">Common_InputFunctions.Utility_DisplayArrayInTable(Fertiliser_SourceData.Fertiliser_Products_Data2(),FertiliserProducts[[#Headers],[Include or Exclude]], 20)</f>
        <v/>
      </c>
      <c r="P128" s="62" t="str" cm="1">
        <f t="array" ref="P128">Common_InputFunctions.Utility_DisplayArrayInTable(Fertiliser_SourceData.Fertiliser_Products_Data2(),FertiliserProducts[[#Headers],[Include or Exclude]], 20)</f>
        <v/>
      </c>
      <c r="Q128" s="62" t="str" cm="1">
        <f t="array" ref="Q128">Common_InputFunctions.Utility_DisplayArrayInTable(Fertiliser_SourceData.Fertiliser_Products_Data2(),FertiliserProducts[[#Headers],[Include or Exclude]], 20)</f>
        <v/>
      </c>
      <c r="R128" s="62" t="str" cm="1">
        <f t="array" ref="R128">Common_InputFunctions.Utility_DisplayArrayInTable(Fertiliser_SourceData.Fertiliser_Products_Data2(),FertiliserProducts[[#Headers],[Include or Exclude]], 20)</f>
        <v/>
      </c>
      <c r="S128" s="62" t="str" cm="1">
        <f t="array" ref="S128">Common_InputFunctions.Utility_DisplayArrayInTable(Fertiliser_SourceData.Fertiliser_Products_Data2(),FertiliserProducts[[#Headers],[Include or Exclude]], 20)</f>
        <v/>
      </c>
      <c r="T128" s="62" t="str" cm="1">
        <f t="array" ref="T128">Common_InputFunctions.Utility_DisplayArrayInTable(Fertiliser_SourceData.Fertiliser_Products_Data2(),FertiliserProducts[[#Headers],[Include or Exclude]], 20)</f>
        <v/>
      </c>
      <c r="U128" s="62" t="str" cm="1">
        <f t="array" ref="U128">Common_InputFunctions.Utility_DisplayArrayInTable(Fertiliser_SourceData.Fertiliser_Products_Data2(),FertiliserProducts[[#Headers],[Include or Exclude]], 20)</f>
        <v/>
      </c>
      <c r="V128" s="62" t="str" cm="1">
        <f t="array" ref="V128">Common_InputFunctions.Utility_DisplayArrayInTable(Fertiliser_SourceData.Fertiliser_Products_Data2(),FertiliserProducts[[#Headers],[Include or Exclude]], 20)</f>
        <v/>
      </c>
      <c r="W128" s="62" t="str" cm="1">
        <f t="array" ref="W128">Common_InputFunctions.Utility_DisplayArrayInTable(Fertiliser_SourceData.Fertiliser_Products_Data2(),FertiliserProducts[[#Headers],[Include or Exclude]], 20)</f>
        <v>Incitec Pivot Fertilisers</v>
      </c>
      <c r="X128" s="62" t="str" cm="1">
        <f t="array" ref="X128">Common_InputFunctions.Utility_DisplayArrayInTable(Fertiliser_SourceData.Fertiliser_Products_Data2(),FertiliserProducts[[#Headers],[Include or Exclude]], 20)</f>
        <v/>
      </c>
      <c r="Y128" s="62" t="str" cm="1">
        <f t="array" ref="Y128">Common_InputFunctions.Utility_DisplayArrayInTable(Fertiliser_SourceData.Fertiliser_Products_Data2(),FertiliserProducts[[#Headers],[Include or Exclude]], 20)</f>
        <v/>
      </c>
      <c r="Z128" s="62"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1:31" ht="20.100000000000001" customHeight="1" x14ac:dyDescent="0.25">
      <c r="A129"/>
      <c r="D129" s="62" t="str" cm="1">
        <f t="array" ref="D129">Common_InputFunctions.Utility_DisplayArrayInTable(Fertiliser_SourceData.Fertiliser_Products_Data3(),FertiliserProducts[[#Headers],[Include or Exclude]], 40)</f>
        <v>Product</v>
      </c>
      <c r="E129" s="62" t="str" cm="1">
        <f t="array" ref="E129">Common_InputFunctions.Utility_DisplayArrayInTable(Fertiliser_SourceData.Fertiliser_Products_Data3(),FertiliserProducts[[#Headers],[Include or Exclude]], 40)</f>
        <v>Ingredient 1</v>
      </c>
      <c r="F129" s="62" t="str" cm="1">
        <f t="array" ref="F129">Common_InputFunctions.Utility_DisplayArrayInTable(Fertiliser_SourceData.Fertiliser_Products_Data3(),FertiliserProducts[[#Headers],[Include or Exclude]], 40)</f>
        <v>Ingredient 1 percent</v>
      </c>
      <c r="G129" s="62" t="str" cm="1">
        <f t="array" ref="G129">Common_InputFunctions.Utility_DisplayArrayInTable(Fertiliser_SourceData.Fertiliser_Products_Data3(),FertiliserProducts[[#Headers],[Include or Exclude]], 40)</f>
        <v>Ingredient 1 source</v>
      </c>
      <c r="H129" s="62" t="str" cm="1">
        <f t="array" ref="H129">Common_InputFunctions.Utility_DisplayArrayInTable(Fertiliser_SourceData.Fertiliser_Products_Data3(),FertiliserProducts[[#Headers],[Include or Exclude]], 40)</f>
        <v>Ingredient 2</v>
      </c>
      <c r="I129" s="62" t="str" cm="1">
        <f t="array" ref="I129">Common_InputFunctions.Utility_DisplayArrayInTable(Fertiliser_SourceData.Fertiliser_Products_Data3(),FertiliserProducts[[#Headers],[Include or Exclude]], 40)</f>
        <v>Ingredient 2 percent</v>
      </c>
      <c r="J129" s="62" t="str" cm="1">
        <f t="array" ref="J129">Common_InputFunctions.Utility_DisplayArrayInTable(Fertiliser_SourceData.Fertiliser_Products_Data3(),FertiliserProducts[[#Headers],[Include or Exclude]], 40)</f>
        <v>Ingredient 2 source</v>
      </c>
      <c r="K129" s="62" t="str" cm="1">
        <f t="array" ref="K129">Common_InputFunctions.Utility_DisplayArrayInTable(Fertiliser_SourceData.Fertiliser_Products_Data3(),FertiliserProducts[[#Headers],[Include or Exclude]], 40)</f>
        <v>Ingredient 3</v>
      </c>
      <c r="L129" s="62" t="str" cm="1">
        <f t="array" ref="L129">Common_InputFunctions.Utility_DisplayArrayInTable(Fertiliser_SourceData.Fertiliser_Products_Data3(),FertiliserProducts[[#Headers],[Include or Exclude]], 40)</f>
        <v>Ingredient 3 percent</v>
      </c>
      <c r="M129" s="62" t="str" cm="1">
        <f t="array" ref="M129">Common_InputFunctions.Utility_DisplayArrayInTable(Fertiliser_SourceData.Fertiliser_Products_Data3(),FertiliserProducts[[#Headers],[Include or Exclude]], 40)</f>
        <v>Ingredient 3 source</v>
      </c>
      <c r="N129" s="62" t="str" cm="1">
        <f t="array" ref="N129">Common_InputFunctions.Utility_DisplayArrayInTable(Fertiliser_SourceData.Fertiliser_Products_Data3(),FertiliserProducts[[#Headers],[Include or Exclude]], 40)</f>
        <v>Ingredient 4</v>
      </c>
      <c r="O129" s="62" t="str" cm="1">
        <f t="array" ref="O129">Common_InputFunctions.Utility_DisplayArrayInTable(Fertiliser_SourceData.Fertiliser_Products_Data3(),FertiliserProducts[[#Headers],[Include or Exclude]], 40)</f>
        <v>Ingredient 4 percent</v>
      </c>
      <c r="P129" s="62" t="str" cm="1">
        <f t="array" ref="P129">Common_InputFunctions.Utility_DisplayArrayInTable(Fertiliser_SourceData.Fertiliser_Products_Data3(),FertiliserProducts[[#Headers],[Include or Exclude]], 40)</f>
        <v>Ingredient 4 source</v>
      </c>
      <c r="Q129" s="62" t="str" cm="1">
        <f t="array" ref="Q129">Common_InputFunctions.Utility_DisplayArrayInTable(Fertiliser_SourceData.Fertiliser_Products_Data3(),FertiliserProducts[[#Headers],[Include or Exclude]], 40)</f>
        <v>Ingredient 5</v>
      </c>
      <c r="R129" s="62" t="str" cm="1">
        <f t="array" ref="R129">Common_InputFunctions.Utility_DisplayArrayInTable(Fertiliser_SourceData.Fertiliser_Products_Data3(),FertiliserProducts[[#Headers],[Include or Exclude]], 40)</f>
        <v>Ingredient 5 percent</v>
      </c>
      <c r="S129" s="62" t="str" cm="1">
        <f t="array" ref="S129">Common_InputFunctions.Utility_DisplayArrayInTable(Fertiliser_SourceData.Fertiliser_Products_Data3(),FertiliserProducts[[#Headers],[Include or Exclude]], 40)</f>
        <v>Ingredient 5 source</v>
      </c>
      <c r="T129" s="62" t="str" cm="1">
        <f t="array" ref="T129">Common_InputFunctions.Utility_DisplayArrayInTable(Fertiliser_SourceData.Fertiliser_Products_Data3(),FertiliserProducts[[#Headers],[Include or Exclude]], 40)</f>
        <v>Ingredient 6</v>
      </c>
      <c r="U129" s="62" t="str" cm="1">
        <f t="array" ref="U129">Common_InputFunctions.Utility_DisplayArrayInTable(Fertiliser_SourceData.Fertiliser_Products_Data3(),FertiliserProducts[[#Headers],[Include or Exclude]], 40)</f>
        <v>Ingredient 6 percent</v>
      </c>
      <c r="V129" s="62" t="str" cm="1">
        <f t="array" ref="V129">Common_InputFunctions.Utility_DisplayArrayInTable(Fertiliser_SourceData.Fertiliser_Products_Data3(),FertiliserProducts[[#Headers],[Include or Exclude]], 40)</f>
        <v>Ingredient 6 source</v>
      </c>
      <c r="W129" s="62" t="str" cm="1">
        <f t="array" ref="W129">Common_InputFunctions.Utility_DisplayArrayInTable(Fertiliser_SourceData.Fertiliser_Products_Data3(),FertiliserProducts[[#Headers],[Include or Exclude]], 40)</f>
        <v>Product info link</v>
      </c>
      <c r="X129" s="62" t="str" cm="1">
        <f t="array" ref="X129">Common_InputFunctions.Utility_DisplayArrayInTable(Fertiliser_SourceData.Fertiliser_Products_Data3(),FertiliserProducts[[#Headers],[Include or Exclude]], 40)</f>
        <v/>
      </c>
      <c r="Y129" s="62" t="str" cm="1">
        <f t="array" ref="Y129">Common_InputFunctions.Utility_DisplayArrayInTable(Fertiliser_SourceData.Fertiliser_Products_Data3(),FertiliserProducts[[#Headers],[Include or Exclude]], 40)</f>
        <v/>
      </c>
      <c r="Z129" s="62"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1:31" ht="20.100000000000001" customHeight="1" x14ac:dyDescent="0.25">
      <c r="A130"/>
      <c r="D130" s="62" t="str" cm="1">
        <f t="array" ref="D130">Common_InputFunctions.Utility_DisplayArrayInTable(Fertiliser_SourceData.Fertiliser_Products_Data3(),FertiliserProducts[[#Headers],[Include or Exclude]], 40)</f>
        <v>Yara K-Flow 0-0-15</v>
      </c>
      <c r="E130" s="62" t="str" cm="1">
        <f t="array" ref="E130">Common_InputFunctions.Utility_DisplayArrayInTable(Fertiliser_SourceData.Fertiliser_Products_Data3(),FertiliserProducts[[#Headers],[Include or Exclude]], 40)</f>
        <v/>
      </c>
      <c r="F130" s="62" t="str" cm="1">
        <f t="array" ref="F130">Common_InputFunctions.Utility_DisplayArrayInTable(Fertiliser_SourceData.Fertiliser_Products_Data3(),FertiliserProducts[[#Headers],[Include or Exclude]], 40)</f>
        <v/>
      </c>
      <c r="G130" s="62" t="str" cm="1">
        <f t="array" ref="G130">Common_InputFunctions.Utility_DisplayArrayInTable(Fertiliser_SourceData.Fertiliser_Products_Data3(),FertiliserProducts[[#Headers],[Include or Exclude]], 40)</f>
        <v/>
      </c>
      <c r="H130" s="62" t="str" cm="1">
        <f t="array" ref="H130">Common_InputFunctions.Utility_DisplayArrayInTable(Fertiliser_SourceData.Fertiliser_Products_Data3(),FertiliserProducts[[#Headers],[Include or Exclude]], 40)</f>
        <v/>
      </c>
      <c r="I130" s="62" t="str" cm="1">
        <f t="array" ref="I130">Common_InputFunctions.Utility_DisplayArrayInTable(Fertiliser_SourceData.Fertiliser_Products_Data3(),FertiliserProducts[[#Headers],[Include or Exclude]], 40)</f>
        <v/>
      </c>
      <c r="J130" s="62" t="str" cm="1">
        <f t="array" ref="J130">Common_InputFunctions.Utility_DisplayArrayInTable(Fertiliser_SourceData.Fertiliser_Products_Data3(),FertiliserProducts[[#Headers],[Include or Exclude]], 40)</f>
        <v/>
      </c>
      <c r="K130" s="62" t="str" cm="1">
        <f t="array" ref="K130">Common_InputFunctions.Utility_DisplayArrayInTable(Fertiliser_SourceData.Fertiliser_Products_Data3(),FertiliserProducts[[#Headers],[Include or Exclude]], 40)</f>
        <v/>
      </c>
      <c r="L130" s="62" t="str" cm="1">
        <f t="array" ref="L130">Common_InputFunctions.Utility_DisplayArrayInTable(Fertiliser_SourceData.Fertiliser_Products_Data3(),FertiliserProducts[[#Headers],[Include or Exclude]], 40)</f>
        <v/>
      </c>
      <c r="M130" s="62" t="str" cm="1">
        <f t="array" ref="M130">Common_InputFunctions.Utility_DisplayArrayInTable(Fertiliser_SourceData.Fertiliser_Products_Data3(),FertiliserProducts[[#Headers],[Include or Exclude]], 40)</f>
        <v/>
      </c>
      <c r="N130" s="62" t="str" cm="1">
        <f t="array" ref="N130">Common_InputFunctions.Utility_DisplayArrayInTable(Fertiliser_SourceData.Fertiliser_Products_Data3(),FertiliserProducts[[#Headers],[Include or Exclude]], 40)</f>
        <v/>
      </c>
      <c r="O130" s="62" t="str" cm="1">
        <f t="array" ref="O130">Common_InputFunctions.Utility_DisplayArrayInTable(Fertiliser_SourceData.Fertiliser_Products_Data3(),FertiliserProducts[[#Headers],[Include or Exclude]], 40)</f>
        <v/>
      </c>
      <c r="P130" s="62" t="str" cm="1">
        <f t="array" ref="P130">Common_InputFunctions.Utility_DisplayArrayInTable(Fertiliser_SourceData.Fertiliser_Products_Data3(),FertiliserProducts[[#Headers],[Include or Exclude]], 40)</f>
        <v/>
      </c>
      <c r="Q130" s="62" t="str" cm="1">
        <f t="array" ref="Q130">Common_InputFunctions.Utility_DisplayArrayInTable(Fertiliser_SourceData.Fertiliser_Products_Data3(),FertiliserProducts[[#Headers],[Include or Exclude]], 40)</f>
        <v/>
      </c>
      <c r="R130" s="62" t="str" cm="1">
        <f t="array" ref="R130">Common_InputFunctions.Utility_DisplayArrayInTable(Fertiliser_SourceData.Fertiliser_Products_Data3(),FertiliserProducts[[#Headers],[Include or Exclude]], 40)</f>
        <v/>
      </c>
      <c r="S130" s="62" t="str" cm="1">
        <f t="array" ref="S130">Common_InputFunctions.Utility_DisplayArrayInTable(Fertiliser_SourceData.Fertiliser_Products_Data3(),FertiliserProducts[[#Headers],[Include or Exclude]], 40)</f>
        <v/>
      </c>
      <c r="T130" s="62" t="str" cm="1">
        <f t="array" ref="T130">Common_InputFunctions.Utility_DisplayArrayInTable(Fertiliser_SourceData.Fertiliser_Products_Data3(),FertiliserProducts[[#Headers],[Include or Exclude]], 40)</f>
        <v/>
      </c>
      <c r="U130" s="62" t="str" cm="1">
        <f t="array" ref="U130">Common_InputFunctions.Utility_DisplayArrayInTable(Fertiliser_SourceData.Fertiliser_Products_Data3(),FertiliserProducts[[#Headers],[Include or Exclude]], 40)</f>
        <v/>
      </c>
      <c r="V130" s="62" t="str" cm="1">
        <f t="array" ref="V130">Common_InputFunctions.Utility_DisplayArrayInTable(Fertiliser_SourceData.Fertiliser_Products_Data3(),FertiliserProducts[[#Headers],[Include or Exclude]], 40)</f>
        <v/>
      </c>
      <c r="W130" s="62" t="str" cm="1">
        <f t="array" ref="W130">Common_InputFunctions.Utility_DisplayArrayInTable(Fertiliser_SourceData.Fertiliser_Products_Data3(),FertiliserProducts[[#Headers],[Include or Exclude]], 40)</f>
        <v>Crop Nutrition Solutions (Yara Australia)</v>
      </c>
      <c r="X130" s="62" t="str" cm="1">
        <f t="array" ref="X130">Common_InputFunctions.Utility_DisplayArrayInTable(Fertiliser_SourceData.Fertiliser_Products_Data3(),FertiliserProducts[[#Headers],[Include or Exclude]], 40)</f>
        <v/>
      </c>
      <c r="Y130" s="62" t="str" cm="1">
        <f t="array" ref="Y130">Common_InputFunctions.Utility_DisplayArrayInTable(Fertiliser_SourceData.Fertiliser_Products_Data3(),FertiliserProducts[[#Headers],[Include or Exclude]], 40)</f>
        <v/>
      </c>
      <c r="Z130" s="62"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1:31" ht="20.100000000000001" customHeight="1" x14ac:dyDescent="0.25">
      <c r="A131"/>
      <c r="D131" s="62" t="str" cm="1">
        <f t="array" ref="D131">Common_InputFunctions.Utility_DisplayArrayInTable(Fertiliser_SourceData.Fertiliser_Products_Data3(),FertiliserProducts[[#Headers],[Include or Exclude]], 40)</f>
        <v>Yara K-Flow 0-14-30</v>
      </c>
      <c r="E131" s="62" t="str" cm="1">
        <f t="array" ref="E131">Common_InputFunctions.Utility_DisplayArrayInTable(Fertiliser_SourceData.Fertiliser_Products_Data3(),FertiliserProducts[[#Headers],[Include or Exclude]], 40)</f>
        <v/>
      </c>
      <c r="F131" s="62" t="str" cm="1">
        <f t="array" ref="F131">Common_InputFunctions.Utility_DisplayArrayInTable(Fertiliser_SourceData.Fertiliser_Products_Data3(),FertiliserProducts[[#Headers],[Include or Exclude]], 40)</f>
        <v/>
      </c>
      <c r="G131" s="62" t="str" cm="1">
        <f t="array" ref="G131">Common_InputFunctions.Utility_DisplayArrayInTable(Fertiliser_SourceData.Fertiliser_Products_Data3(),FertiliserProducts[[#Headers],[Include or Exclude]], 40)</f>
        <v/>
      </c>
      <c r="H131" s="62" t="str" cm="1">
        <f t="array" ref="H131">Common_InputFunctions.Utility_DisplayArrayInTable(Fertiliser_SourceData.Fertiliser_Products_Data3(),FertiliserProducts[[#Headers],[Include or Exclude]], 40)</f>
        <v/>
      </c>
      <c r="I131" s="62" t="str" cm="1">
        <f t="array" ref="I131">Common_InputFunctions.Utility_DisplayArrayInTable(Fertiliser_SourceData.Fertiliser_Products_Data3(),FertiliserProducts[[#Headers],[Include or Exclude]], 40)</f>
        <v/>
      </c>
      <c r="J131" s="62" t="str" cm="1">
        <f t="array" ref="J131">Common_InputFunctions.Utility_DisplayArrayInTable(Fertiliser_SourceData.Fertiliser_Products_Data3(),FertiliserProducts[[#Headers],[Include or Exclude]], 40)</f>
        <v/>
      </c>
      <c r="K131" s="62" t="str" cm="1">
        <f t="array" ref="K131">Common_InputFunctions.Utility_DisplayArrayInTable(Fertiliser_SourceData.Fertiliser_Products_Data3(),FertiliserProducts[[#Headers],[Include or Exclude]], 40)</f>
        <v/>
      </c>
      <c r="L131" s="62" t="str" cm="1">
        <f t="array" ref="L131">Common_InputFunctions.Utility_DisplayArrayInTable(Fertiliser_SourceData.Fertiliser_Products_Data3(),FertiliserProducts[[#Headers],[Include or Exclude]], 40)</f>
        <v/>
      </c>
      <c r="M131" s="62" t="str" cm="1">
        <f t="array" ref="M131">Common_InputFunctions.Utility_DisplayArrayInTable(Fertiliser_SourceData.Fertiliser_Products_Data3(),FertiliserProducts[[#Headers],[Include or Exclude]], 40)</f>
        <v/>
      </c>
      <c r="N131" s="62" t="str" cm="1">
        <f t="array" ref="N131">Common_InputFunctions.Utility_DisplayArrayInTable(Fertiliser_SourceData.Fertiliser_Products_Data3(),FertiliserProducts[[#Headers],[Include or Exclude]], 40)</f>
        <v/>
      </c>
      <c r="O131" s="62" t="str" cm="1">
        <f t="array" ref="O131">Common_InputFunctions.Utility_DisplayArrayInTable(Fertiliser_SourceData.Fertiliser_Products_Data3(),FertiliserProducts[[#Headers],[Include or Exclude]], 40)</f>
        <v/>
      </c>
      <c r="P131" s="62" t="str" cm="1">
        <f t="array" ref="P131">Common_InputFunctions.Utility_DisplayArrayInTable(Fertiliser_SourceData.Fertiliser_Products_Data3(),FertiliserProducts[[#Headers],[Include or Exclude]], 40)</f>
        <v/>
      </c>
      <c r="Q131" s="62" t="str" cm="1">
        <f t="array" ref="Q131">Common_InputFunctions.Utility_DisplayArrayInTable(Fertiliser_SourceData.Fertiliser_Products_Data3(),FertiliserProducts[[#Headers],[Include or Exclude]], 40)</f>
        <v/>
      </c>
      <c r="R131" s="62" t="str" cm="1">
        <f t="array" ref="R131">Common_InputFunctions.Utility_DisplayArrayInTable(Fertiliser_SourceData.Fertiliser_Products_Data3(),FertiliserProducts[[#Headers],[Include or Exclude]], 40)</f>
        <v/>
      </c>
      <c r="S131" s="62" t="str" cm="1">
        <f t="array" ref="S131">Common_InputFunctions.Utility_DisplayArrayInTable(Fertiliser_SourceData.Fertiliser_Products_Data3(),FertiliserProducts[[#Headers],[Include or Exclude]], 40)</f>
        <v/>
      </c>
      <c r="T131" s="62" t="str" cm="1">
        <f t="array" ref="T131">Common_InputFunctions.Utility_DisplayArrayInTable(Fertiliser_SourceData.Fertiliser_Products_Data3(),FertiliserProducts[[#Headers],[Include or Exclude]], 40)</f>
        <v/>
      </c>
      <c r="U131" s="62" t="str" cm="1">
        <f t="array" ref="U131">Common_InputFunctions.Utility_DisplayArrayInTable(Fertiliser_SourceData.Fertiliser_Products_Data3(),FertiliserProducts[[#Headers],[Include or Exclude]], 40)</f>
        <v/>
      </c>
      <c r="V131" s="62" t="str" cm="1">
        <f t="array" ref="V131">Common_InputFunctions.Utility_DisplayArrayInTable(Fertiliser_SourceData.Fertiliser_Products_Data3(),FertiliserProducts[[#Headers],[Include or Exclude]], 40)</f>
        <v/>
      </c>
      <c r="W131" s="62" t="str" cm="1">
        <f t="array" ref="W131">Common_InputFunctions.Utility_DisplayArrayInTable(Fertiliser_SourceData.Fertiliser_Products_Data3(),FertiliserProducts[[#Headers],[Include or Exclude]], 40)</f>
        <v>Crop Nutrition Solutions (Yara Australia)</v>
      </c>
      <c r="X131" s="62" t="str" cm="1">
        <f t="array" ref="X131">Common_InputFunctions.Utility_DisplayArrayInTable(Fertiliser_SourceData.Fertiliser_Products_Data3(),FertiliserProducts[[#Headers],[Include or Exclude]], 40)</f>
        <v/>
      </c>
      <c r="Y131" s="62" t="str" cm="1">
        <f t="array" ref="Y131">Common_InputFunctions.Utility_DisplayArrayInTable(Fertiliser_SourceData.Fertiliser_Products_Data3(),FertiliserProducts[[#Headers],[Include or Exclude]], 40)</f>
        <v/>
      </c>
      <c r="Z131" s="62"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1:31" ht="20.100000000000001" customHeight="1" x14ac:dyDescent="0.25">
      <c r="A132"/>
      <c r="D132" s="62" t="str" cm="1">
        <f t="array" ref="D132">Common_InputFunctions.Utility_DisplayArrayInTable(Fertiliser_SourceData.Fertiliser_Products_Data3(),FertiliserProducts[[#Headers],[Include or Exclude]], 40)</f>
        <v>Yara K-Flow 0-7-36</v>
      </c>
      <c r="E132" s="62" t="str" cm="1">
        <f t="array" ref="E132">Common_InputFunctions.Utility_DisplayArrayInTable(Fertiliser_SourceData.Fertiliser_Products_Data3(),FertiliserProducts[[#Headers],[Include or Exclude]], 40)</f>
        <v/>
      </c>
      <c r="F132" s="62" t="str" cm="1">
        <f t="array" ref="F132">Common_InputFunctions.Utility_DisplayArrayInTable(Fertiliser_SourceData.Fertiliser_Products_Data3(),FertiliserProducts[[#Headers],[Include or Exclude]], 40)</f>
        <v/>
      </c>
      <c r="G132" s="62" t="str" cm="1">
        <f t="array" ref="G132">Common_InputFunctions.Utility_DisplayArrayInTable(Fertiliser_SourceData.Fertiliser_Products_Data3(),FertiliserProducts[[#Headers],[Include or Exclude]], 40)</f>
        <v/>
      </c>
      <c r="H132" s="62" t="str" cm="1">
        <f t="array" ref="H132">Common_InputFunctions.Utility_DisplayArrayInTable(Fertiliser_SourceData.Fertiliser_Products_Data3(),FertiliserProducts[[#Headers],[Include or Exclude]], 40)</f>
        <v/>
      </c>
      <c r="I132" s="62" t="str" cm="1">
        <f t="array" ref="I132">Common_InputFunctions.Utility_DisplayArrayInTable(Fertiliser_SourceData.Fertiliser_Products_Data3(),FertiliserProducts[[#Headers],[Include or Exclude]], 40)</f>
        <v/>
      </c>
      <c r="J132" s="62" t="str" cm="1">
        <f t="array" ref="J132">Common_InputFunctions.Utility_DisplayArrayInTable(Fertiliser_SourceData.Fertiliser_Products_Data3(),FertiliserProducts[[#Headers],[Include or Exclude]], 40)</f>
        <v/>
      </c>
      <c r="K132" s="62" t="str" cm="1">
        <f t="array" ref="K132">Common_InputFunctions.Utility_DisplayArrayInTable(Fertiliser_SourceData.Fertiliser_Products_Data3(),FertiliserProducts[[#Headers],[Include or Exclude]], 40)</f>
        <v/>
      </c>
      <c r="L132" s="62" t="str" cm="1">
        <f t="array" ref="L132">Common_InputFunctions.Utility_DisplayArrayInTable(Fertiliser_SourceData.Fertiliser_Products_Data3(),FertiliserProducts[[#Headers],[Include or Exclude]], 40)</f>
        <v/>
      </c>
      <c r="M132" s="62" t="str" cm="1">
        <f t="array" ref="M132">Common_InputFunctions.Utility_DisplayArrayInTable(Fertiliser_SourceData.Fertiliser_Products_Data3(),FertiliserProducts[[#Headers],[Include or Exclude]], 40)</f>
        <v/>
      </c>
      <c r="N132" s="62" t="str" cm="1">
        <f t="array" ref="N132">Common_InputFunctions.Utility_DisplayArrayInTable(Fertiliser_SourceData.Fertiliser_Products_Data3(),FertiliserProducts[[#Headers],[Include or Exclude]], 40)</f>
        <v/>
      </c>
      <c r="O132" s="62" t="str" cm="1">
        <f t="array" ref="O132">Common_InputFunctions.Utility_DisplayArrayInTable(Fertiliser_SourceData.Fertiliser_Products_Data3(),FertiliserProducts[[#Headers],[Include or Exclude]], 40)</f>
        <v/>
      </c>
      <c r="P132" s="62" t="str" cm="1">
        <f t="array" ref="P132">Common_InputFunctions.Utility_DisplayArrayInTable(Fertiliser_SourceData.Fertiliser_Products_Data3(),FertiliserProducts[[#Headers],[Include or Exclude]], 40)</f>
        <v/>
      </c>
      <c r="Q132" s="62" t="str" cm="1">
        <f t="array" ref="Q132">Common_InputFunctions.Utility_DisplayArrayInTable(Fertiliser_SourceData.Fertiliser_Products_Data3(),FertiliserProducts[[#Headers],[Include or Exclude]], 40)</f>
        <v/>
      </c>
      <c r="R132" s="62" t="str" cm="1">
        <f t="array" ref="R132">Common_InputFunctions.Utility_DisplayArrayInTable(Fertiliser_SourceData.Fertiliser_Products_Data3(),FertiliserProducts[[#Headers],[Include or Exclude]], 40)</f>
        <v/>
      </c>
      <c r="S132" s="62" t="str" cm="1">
        <f t="array" ref="S132">Common_InputFunctions.Utility_DisplayArrayInTable(Fertiliser_SourceData.Fertiliser_Products_Data3(),FertiliserProducts[[#Headers],[Include or Exclude]], 40)</f>
        <v/>
      </c>
      <c r="T132" s="62" t="str" cm="1">
        <f t="array" ref="T132">Common_InputFunctions.Utility_DisplayArrayInTable(Fertiliser_SourceData.Fertiliser_Products_Data3(),FertiliserProducts[[#Headers],[Include or Exclude]], 40)</f>
        <v/>
      </c>
      <c r="U132" s="62" t="str" cm="1">
        <f t="array" ref="U132">Common_InputFunctions.Utility_DisplayArrayInTable(Fertiliser_SourceData.Fertiliser_Products_Data3(),FertiliserProducts[[#Headers],[Include or Exclude]], 40)</f>
        <v/>
      </c>
      <c r="V132" s="62" t="str" cm="1">
        <f t="array" ref="V132">Common_InputFunctions.Utility_DisplayArrayInTable(Fertiliser_SourceData.Fertiliser_Products_Data3(),FertiliserProducts[[#Headers],[Include or Exclude]], 40)</f>
        <v/>
      </c>
      <c r="W132" s="62" t="str" cm="1">
        <f t="array" ref="W132">Common_InputFunctions.Utility_DisplayArrayInTable(Fertiliser_SourceData.Fertiliser_Products_Data3(),FertiliserProducts[[#Headers],[Include or Exclude]], 40)</f>
        <v>Crop Nutrition Solutions (Yara Australia)</v>
      </c>
      <c r="X132" s="62" t="str" cm="1">
        <f t="array" ref="X132">Common_InputFunctions.Utility_DisplayArrayInTable(Fertiliser_SourceData.Fertiliser_Products_Data3(),FertiliserProducts[[#Headers],[Include or Exclude]], 40)</f>
        <v/>
      </c>
      <c r="Y132" s="62" t="str" cm="1">
        <f t="array" ref="Y132">Common_InputFunctions.Utility_DisplayArrayInTable(Fertiliser_SourceData.Fertiliser_Products_Data3(),FertiliserProducts[[#Headers],[Include or Exclude]], 40)</f>
        <v/>
      </c>
      <c r="Z132" s="62"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1:31" ht="20.100000000000001" customHeight="1" x14ac:dyDescent="0.25">
      <c r="A133"/>
      <c r="D133" s="62" t="str" cm="1">
        <f t="array" ref="D133">Common_InputFunctions.Utility_DisplayArrayInTable(Fertiliser_SourceData.Fertiliser_Products_Data3(),FertiliserProducts[[#Headers],[Include or Exclude]], 40)</f>
        <v>Yara K-Flow 13-0-7</v>
      </c>
      <c r="E133" s="62" t="str" cm="1">
        <f t="array" ref="E133">Common_InputFunctions.Utility_DisplayArrayInTable(Fertiliser_SourceData.Fertiliser_Products_Data3(),FertiliserProducts[[#Headers],[Include or Exclude]], 40)</f>
        <v/>
      </c>
      <c r="F133" s="62" t="str" cm="1">
        <f t="array" ref="F133">Common_InputFunctions.Utility_DisplayArrayInTable(Fertiliser_SourceData.Fertiliser_Products_Data3(),FertiliserProducts[[#Headers],[Include or Exclude]], 40)</f>
        <v/>
      </c>
      <c r="G133" s="62" t="str" cm="1">
        <f t="array" ref="G133">Common_InputFunctions.Utility_DisplayArrayInTable(Fertiliser_SourceData.Fertiliser_Products_Data3(),FertiliserProducts[[#Headers],[Include or Exclude]], 40)</f>
        <v/>
      </c>
      <c r="H133" s="62" t="str" cm="1">
        <f t="array" ref="H133">Common_InputFunctions.Utility_DisplayArrayInTable(Fertiliser_SourceData.Fertiliser_Products_Data3(),FertiliserProducts[[#Headers],[Include or Exclude]], 40)</f>
        <v/>
      </c>
      <c r="I133" s="62" t="str" cm="1">
        <f t="array" ref="I133">Common_InputFunctions.Utility_DisplayArrayInTable(Fertiliser_SourceData.Fertiliser_Products_Data3(),FertiliserProducts[[#Headers],[Include or Exclude]], 40)</f>
        <v/>
      </c>
      <c r="J133" s="62" t="str" cm="1">
        <f t="array" ref="J133">Common_InputFunctions.Utility_DisplayArrayInTable(Fertiliser_SourceData.Fertiliser_Products_Data3(),FertiliserProducts[[#Headers],[Include or Exclude]], 40)</f>
        <v/>
      </c>
      <c r="K133" s="62" t="str" cm="1">
        <f t="array" ref="K133">Common_InputFunctions.Utility_DisplayArrayInTable(Fertiliser_SourceData.Fertiliser_Products_Data3(),FertiliserProducts[[#Headers],[Include or Exclude]], 40)</f>
        <v/>
      </c>
      <c r="L133" s="62" t="str" cm="1">
        <f t="array" ref="L133">Common_InputFunctions.Utility_DisplayArrayInTable(Fertiliser_SourceData.Fertiliser_Products_Data3(),FertiliserProducts[[#Headers],[Include or Exclude]], 40)</f>
        <v/>
      </c>
      <c r="M133" s="62" t="str" cm="1">
        <f t="array" ref="M133">Common_InputFunctions.Utility_DisplayArrayInTable(Fertiliser_SourceData.Fertiliser_Products_Data3(),FertiliserProducts[[#Headers],[Include or Exclude]], 40)</f>
        <v/>
      </c>
      <c r="N133" s="62" t="str" cm="1">
        <f t="array" ref="N133">Common_InputFunctions.Utility_DisplayArrayInTable(Fertiliser_SourceData.Fertiliser_Products_Data3(),FertiliserProducts[[#Headers],[Include or Exclude]], 40)</f>
        <v/>
      </c>
      <c r="O133" s="62" t="str" cm="1">
        <f t="array" ref="O133">Common_InputFunctions.Utility_DisplayArrayInTable(Fertiliser_SourceData.Fertiliser_Products_Data3(),FertiliserProducts[[#Headers],[Include or Exclude]], 40)</f>
        <v/>
      </c>
      <c r="P133" s="62" t="str" cm="1">
        <f t="array" ref="P133">Common_InputFunctions.Utility_DisplayArrayInTable(Fertiliser_SourceData.Fertiliser_Products_Data3(),FertiliserProducts[[#Headers],[Include or Exclude]], 40)</f>
        <v/>
      </c>
      <c r="Q133" s="62" t="str" cm="1">
        <f t="array" ref="Q133">Common_InputFunctions.Utility_DisplayArrayInTable(Fertiliser_SourceData.Fertiliser_Products_Data3(),FertiliserProducts[[#Headers],[Include or Exclude]], 40)</f>
        <v/>
      </c>
      <c r="R133" s="62" t="str" cm="1">
        <f t="array" ref="R133">Common_InputFunctions.Utility_DisplayArrayInTable(Fertiliser_SourceData.Fertiliser_Products_Data3(),FertiliserProducts[[#Headers],[Include or Exclude]], 40)</f>
        <v/>
      </c>
      <c r="S133" s="62" t="str" cm="1">
        <f t="array" ref="S133">Common_InputFunctions.Utility_DisplayArrayInTable(Fertiliser_SourceData.Fertiliser_Products_Data3(),FertiliserProducts[[#Headers],[Include or Exclude]], 40)</f>
        <v/>
      </c>
      <c r="T133" s="62" t="str" cm="1">
        <f t="array" ref="T133">Common_InputFunctions.Utility_DisplayArrayInTable(Fertiliser_SourceData.Fertiliser_Products_Data3(),FertiliserProducts[[#Headers],[Include or Exclude]], 40)</f>
        <v/>
      </c>
      <c r="U133" s="62" t="str" cm="1">
        <f t="array" ref="U133">Common_InputFunctions.Utility_DisplayArrayInTable(Fertiliser_SourceData.Fertiliser_Products_Data3(),FertiliserProducts[[#Headers],[Include or Exclude]], 40)</f>
        <v/>
      </c>
      <c r="V133" s="62" t="str" cm="1">
        <f t="array" ref="V133">Common_InputFunctions.Utility_DisplayArrayInTable(Fertiliser_SourceData.Fertiliser_Products_Data3(),FertiliserProducts[[#Headers],[Include or Exclude]], 40)</f>
        <v/>
      </c>
      <c r="W133" s="62" t="str" cm="1">
        <f t="array" ref="W133">Common_InputFunctions.Utility_DisplayArrayInTable(Fertiliser_SourceData.Fertiliser_Products_Data3(),FertiliserProducts[[#Headers],[Include or Exclude]], 40)</f>
        <v>Crop Nutrition Solutions (Yara Australia)</v>
      </c>
      <c r="X133" s="62" t="str" cm="1">
        <f t="array" ref="X133">Common_InputFunctions.Utility_DisplayArrayInTable(Fertiliser_SourceData.Fertiliser_Products_Data3(),FertiliserProducts[[#Headers],[Include or Exclude]], 40)</f>
        <v/>
      </c>
      <c r="Y133" s="62" t="str" cm="1">
        <f t="array" ref="Y133">Common_InputFunctions.Utility_DisplayArrayInTable(Fertiliser_SourceData.Fertiliser_Products_Data3(),FertiliserProducts[[#Headers],[Include or Exclude]], 40)</f>
        <v/>
      </c>
      <c r="Z133" s="62"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1:31" ht="20.100000000000001" customHeight="1" x14ac:dyDescent="0.25">
      <c r="A134"/>
      <c r="D134" s="62" t="str" cm="1">
        <f t="array" ref="D134">Common_InputFunctions.Utility_DisplayArrayInTable(Fertiliser_SourceData.Fertiliser_Products_Data3(),FertiliserProducts[[#Headers],[Include or Exclude]], 40)</f>
        <v>Yara K-Flow 4-0-12</v>
      </c>
      <c r="E134" s="62" t="str" cm="1">
        <f t="array" ref="E134">Common_InputFunctions.Utility_DisplayArrayInTable(Fertiliser_SourceData.Fertiliser_Products_Data3(),FertiliserProducts[[#Headers],[Include or Exclude]], 40)</f>
        <v/>
      </c>
      <c r="F134" s="62" t="str" cm="1">
        <f t="array" ref="F134">Common_InputFunctions.Utility_DisplayArrayInTable(Fertiliser_SourceData.Fertiliser_Products_Data3(),FertiliserProducts[[#Headers],[Include or Exclude]], 40)</f>
        <v/>
      </c>
      <c r="G134" s="62" t="str" cm="1">
        <f t="array" ref="G134">Common_InputFunctions.Utility_DisplayArrayInTable(Fertiliser_SourceData.Fertiliser_Products_Data3(),FertiliserProducts[[#Headers],[Include or Exclude]], 40)</f>
        <v/>
      </c>
      <c r="H134" s="62" t="str" cm="1">
        <f t="array" ref="H134">Common_InputFunctions.Utility_DisplayArrayInTable(Fertiliser_SourceData.Fertiliser_Products_Data3(),FertiliserProducts[[#Headers],[Include or Exclude]], 40)</f>
        <v/>
      </c>
      <c r="I134" s="62" t="str" cm="1">
        <f t="array" ref="I134">Common_InputFunctions.Utility_DisplayArrayInTable(Fertiliser_SourceData.Fertiliser_Products_Data3(),FertiliserProducts[[#Headers],[Include or Exclude]], 40)</f>
        <v/>
      </c>
      <c r="J134" s="62" t="str" cm="1">
        <f t="array" ref="J134">Common_InputFunctions.Utility_DisplayArrayInTable(Fertiliser_SourceData.Fertiliser_Products_Data3(),FertiliserProducts[[#Headers],[Include or Exclude]], 40)</f>
        <v/>
      </c>
      <c r="K134" s="62" t="str" cm="1">
        <f t="array" ref="K134">Common_InputFunctions.Utility_DisplayArrayInTable(Fertiliser_SourceData.Fertiliser_Products_Data3(),FertiliserProducts[[#Headers],[Include or Exclude]], 40)</f>
        <v/>
      </c>
      <c r="L134" s="62" t="str" cm="1">
        <f t="array" ref="L134">Common_InputFunctions.Utility_DisplayArrayInTable(Fertiliser_SourceData.Fertiliser_Products_Data3(),FertiliserProducts[[#Headers],[Include or Exclude]], 40)</f>
        <v/>
      </c>
      <c r="M134" s="62" t="str" cm="1">
        <f t="array" ref="M134">Common_InputFunctions.Utility_DisplayArrayInTable(Fertiliser_SourceData.Fertiliser_Products_Data3(),FertiliserProducts[[#Headers],[Include or Exclude]], 40)</f>
        <v/>
      </c>
      <c r="N134" s="62" t="str" cm="1">
        <f t="array" ref="N134">Common_InputFunctions.Utility_DisplayArrayInTable(Fertiliser_SourceData.Fertiliser_Products_Data3(),FertiliserProducts[[#Headers],[Include or Exclude]], 40)</f>
        <v/>
      </c>
      <c r="O134" s="62" t="str" cm="1">
        <f t="array" ref="O134">Common_InputFunctions.Utility_DisplayArrayInTable(Fertiliser_SourceData.Fertiliser_Products_Data3(),FertiliserProducts[[#Headers],[Include or Exclude]], 40)</f>
        <v/>
      </c>
      <c r="P134" s="62" t="str" cm="1">
        <f t="array" ref="P134">Common_InputFunctions.Utility_DisplayArrayInTable(Fertiliser_SourceData.Fertiliser_Products_Data3(),FertiliserProducts[[#Headers],[Include or Exclude]], 40)</f>
        <v/>
      </c>
      <c r="Q134" s="62" t="str" cm="1">
        <f t="array" ref="Q134">Common_InputFunctions.Utility_DisplayArrayInTable(Fertiliser_SourceData.Fertiliser_Products_Data3(),FertiliserProducts[[#Headers],[Include or Exclude]], 40)</f>
        <v/>
      </c>
      <c r="R134" s="62" t="str" cm="1">
        <f t="array" ref="R134">Common_InputFunctions.Utility_DisplayArrayInTable(Fertiliser_SourceData.Fertiliser_Products_Data3(),FertiliserProducts[[#Headers],[Include or Exclude]], 40)</f>
        <v/>
      </c>
      <c r="S134" s="62" t="str" cm="1">
        <f t="array" ref="S134">Common_InputFunctions.Utility_DisplayArrayInTable(Fertiliser_SourceData.Fertiliser_Products_Data3(),FertiliserProducts[[#Headers],[Include or Exclude]], 40)</f>
        <v/>
      </c>
      <c r="T134" s="62" t="str" cm="1">
        <f t="array" ref="T134">Common_InputFunctions.Utility_DisplayArrayInTable(Fertiliser_SourceData.Fertiliser_Products_Data3(),FertiliserProducts[[#Headers],[Include or Exclude]], 40)</f>
        <v/>
      </c>
      <c r="U134" s="62" t="str" cm="1">
        <f t="array" ref="U134">Common_InputFunctions.Utility_DisplayArrayInTable(Fertiliser_SourceData.Fertiliser_Products_Data3(),FertiliserProducts[[#Headers],[Include or Exclude]], 40)</f>
        <v/>
      </c>
      <c r="V134" s="62" t="str" cm="1">
        <f t="array" ref="V134">Common_InputFunctions.Utility_DisplayArrayInTable(Fertiliser_SourceData.Fertiliser_Products_Data3(),FertiliserProducts[[#Headers],[Include or Exclude]], 40)</f>
        <v/>
      </c>
      <c r="W134" s="62" t="str" cm="1">
        <f t="array" ref="W134">Common_InputFunctions.Utility_DisplayArrayInTable(Fertiliser_SourceData.Fertiliser_Products_Data3(),FertiliserProducts[[#Headers],[Include or Exclude]], 40)</f>
        <v>Crop Nutrition Solutions (Yara Australia)</v>
      </c>
      <c r="X134" s="62" t="str" cm="1">
        <f t="array" ref="X134">Common_InputFunctions.Utility_DisplayArrayInTable(Fertiliser_SourceData.Fertiliser_Products_Data3(),FertiliserProducts[[#Headers],[Include or Exclude]], 40)</f>
        <v/>
      </c>
      <c r="Y134" s="62" t="str" cm="1">
        <f t="array" ref="Y134">Common_InputFunctions.Utility_DisplayArrayInTable(Fertiliser_SourceData.Fertiliser_Products_Data3(),FertiliserProducts[[#Headers],[Include or Exclude]], 40)</f>
        <v/>
      </c>
      <c r="Z134" s="62"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1:31" ht="20.100000000000001" customHeight="1" x14ac:dyDescent="0.25">
      <c r="A135"/>
      <c r="D135" s="62" t="str" cm="1">
        <f t="array" ref="D135">Common_InputFunctions.Utility_DisplayArrayInTable(Fertiliser_SourceData.Fertiliser_Products_Data3(),FertiliserProducts[[#Headers],[Include or Exclude]], 40)</f>
        <v>Yara Liquids MICRO-SUL</v>
      </c>
      <c r="E135" s="62" t="str" cm="1">
        <f t="array" ref="E135">Common_InputFunctions.Utility_DisplayArrayInTable(Fertiliser_SourceData.Fertiliser_Products_Data3(),FertiliserProducts[[#Headers],[Include or Exclude]], 40)</f>
        <v/>
      </c>
      <c r="F135" s="62" t="str" cm="1">
        <f t="array" ref="F135">Common_InputFunctions.Utility_DisplayArrayInTable(Fertiliser_SourceData.Fertiliser_Products_Data3(),FertiliserProducts[[#Headers],[Include or Exclude]], 40)</f>
        <v/>
      </c>
      <c r="G135" s="62" t="str" cm="1">
        <f t="array" ref="G135">Common_InputFunctions.Utility_DisplayArrayInTable(Fertiliser_SourceData.Fertiliser_Products_Data3(),FertiliserProducts[[#Headers],[Include or Exclude]], 40)</f>
        <v/>
      </c>
      <c r="H135" s="62" t="str" cm="1">
        <f t="array" ref="H135">Common_InputFunctions.Utility_DisplayArrayInTable(Fertiliser_SourceData.Fertiliser_Products_Data3(),FertiliserProducts[[#Headers],[Include or Exclude]], 40)</f>
        <v/>
      </c>
      <c r="I135" s="62" t="str" cm="1">
        <f t="array" ref="I135">Common_InputFunctions.Utility_DisplayArrayInTable(Fertiliser_SourceData.Fertiliser_Products_Data3(),FertiliserProducts[[#Headers],[Include or Exclude]], 40)</f>
        <v/>
      </c>
      <c r="J135" s="62" t="str" cm="1">
        <f t="array" ref="J135">Common_InputFunctions.Utility_DisplayArrayInTable(Fertiliser_SourceData.Fertiliser_Products_Data3(),FertiliserProducts[[#Headers],[Include or Exclude]], 40)</f>
        <v/>
      </c>
      <c r="K135" s="62" t="str" cm="1">
        <f t="array" ref="K135">Common_InputFunctions.Utility_DisplayArrayInTable(Fertiliser_SourceData.Fertiliser_Products_Data3(),FertiliserProducts[[#Headers],[Include or Exclude]], 40)</f>
        <v/>
      </c>
      <c r="L135" s="62" t="str" cm="1">
        <f t="array" ref="L135">Common_InputFunctions.Utility_DisplayArrayInTable(Fertiliser_SourceData.Fertiliser_Products_Data3(),FertiliserProducts[[#Headers],[Include or Exclude]], 40)</f>
        <v/>
      </c>
      <c r="M135" s="62" t="str" cm="1">
        <f t="array" ref="M135">Common_InputFunctions.Utility_DisplayArrayInTable(Fertiliser_SourceData.Fertiliser_Products_Data3(),FertiliserProducts[[#Headers],[Include or Exclude]], 40)</f>
        <v/>
      </c>
      <c r="N135" s="62" t="str" cm="1">
        <f t="array" ref="N135">Common_InputFunctions.Utility_DisplayArrayInTable(Fertiliser_SourceData.Fertiliser_Products_Data3(),FertiliserProducts[[#Headers],[Include or Exclude]], 40)</f>
        <v/>
      </c>
      <c r="O135" s="62" t="str" cm="1">
        <f t="array" ref="O135">Common_InputFunctions.Utility_DisplayArrayInTable(Fertiliser_SourceData.Fertiliser_Products_Data3(),FertiliserProducts[[#Headers],[Include or Exclude]], 40)</f>
        <v/>
      </c>
      <c r="P135" s="62" t="str" cm="1">
        <f t="array" ref="P135">Common_InputFunctions.Utility_DisplayArrayInTable(Fertiliser_SourceData.Fertiliser_Products_Data3(),FertiliserProducts[[#Headers],[Include or Exclude]], 40)</f>
        <v/>
      </c>
      <c r="Q135" s="62" t="str" cm="1">
        <f t="array" ref="Q135">Common_InputFunctions.Utility_DisplayArrayInTable(Fertiliser_SourceData.Fertiliser_Products_Data3(),FertiliserProducts[[#Headers],[Include or Exclude]], 40)</f>
        <v/>
      </c>
      <c r="R135" s="62" t="str" cm="1">
        <f t="array" ref="R135">Common_InputFunctions.Utility_DisplayArrayInTable(Fertiliser_SourceData.Fertiliser_Products_Data3(),FertiliserProducts[[#Headers],[Include or Exclude]], 40)</f>
        <v/>
      </c>
      <c r="S135" s="62" t="str" cm="1">
        <f t="array" ref="S135">Common_InputFunctions.Utility_DisplayArrayInTable(Fertiliser_SourceData.Fertiliser_Products_Data3(),FertiliserProducts[[#Headers],[Include or Exclude]], 40)</f>
        <v/>
      </c>
      <c r="T135" s="62" t="str" cm="1">
        <f t="array" ref="T135">Common_InputFunctions.Utility_DisplayArrayInTable(Fertiliser_SourceData.Fertiliser_Products_Data3(),FertiliserProducts[[#Headers],[Include or Exclude]], 40)</f>
        <v/>
      </c>
      <c r="U135" s="62" t="str" cm="1">
        <f t="array" ref="U135">Common_InputFunctions.Utility_DisplayArrayInTable(Fertiliser_SourceData.Fertiliser_Products_Data3(),FertiliserProducts[[#Headers],[Include or Exclude]], 40)</f>
        <v/>
      </c>
      <c r="V135" s="62" t="str" cm="1">
        <f t="array" ref="V135">Common_InputFunctions.Utility_DisplayArrayInTable(Fertiliser_SourceData.Fertiliser_Products_Data3(),FertiliserProducts[[#Headers],[Include or Exclude]], 40)</f>
        <v/>
      </c>
      <c r="W135" s="62" t="str" cm="1">
        <f t="array" ref="W135">Common_InputFunctions.Utility_DisplayArrayInTable(Fertiliser_SourceData.Fertiliser_Products_Data3(),FertiliserProducts[[#Headers],[Include or Exclude]], 40)</f>
        <v>Crop Nutrition Solutions (Yara Australia)</v>
      </c>
      <c r="X135" s="62" t="str" cm="1">
        <f t="array" ref="X135">Common_InputFunctions.Utility_DisplayArrayInTable(Fertiliser_SourceData.Fertiliser_Products_Data3(),FertiliserProducts[[#Headers],[Include or Exclude]], 40)</f>
        <v/>
      </c>
      <c r="Y135" s="62" t="str" cm="1">
        <f t="array" ref="Y135">Common_InputFunctions.Utility_DisplayArrayInTable(Fertiliser_SourceData.Fertiliser_Products_Data3(),FertiliserProducts[[#Headers],[Include or Exclude]], 40)</f>
        <v/>
      </c>
      <c r="Z135" s="62"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1:31" ht="20.100000000000001" customHeight="1" x14ac:dyDescent="0.25">
      <c r="A136"/>
      <c r="D136" s="62" t="str" cm="1">
        <f t="array" ref="D136">Common_InputFunctions.Utility_DisplayArrayInTable(Fertiliser_SourceData.Fertiliser_Products_Data3(),FertiliserProducts[[#Headers],[Include or Exclude]], 40)</f>
        <v>Yara Liquids N24</v>
      </c>
      <c r="E136" s="62" t="str" cm="1">
        <f t="array" ref="E136">Common_InputFunctions.Utility_DisplayArrayInTable(Fertiliser_SourceData.Fertiliser_Products_Data3(),FertiliserProducts[[#Headers],[Include or Exclude]], 40)</f>
        <v/>
      </c>
      <c r="F136" s="62" t="str" cm="1">
        <f t="array" ref="F136">Common_InputFunctions.Utility_DisplayArrayInTable(Fertiliser_SourceData.Fertiliser_Products_Data3(),FertiliserProducts[[#Headers],[Include or Exclude]], 40)</f>
        <v/>
      </c>
      <c r="G136" s="62" t="str" cm="1">
        <f t="array" ref="G136">Common_InputFunctions.Utility_DisplayArrayInTable(Fertiliser_SourceData.Fertiliser_Products_Data3(),FertiliserProducts[[#Headers],[Include or Exclude]], 40)</f>
        <v/>
      </c>
      <c r="H136" s="62" t="str" cm="1">
        <f t="array" ref="H136">Common_InputFunctions.Utility_DisplayArrayInTable(Fertiliser_SourceData.Fertiliser_Products_Data3(),FertiliserProducts[[#Headers],[Include or Exclude]], 40)</f>
        <v/>
      </c>
      <c r="I136" s="62" t="str" cm="1">
        <f t="array" ref="I136">Common_InputFunctions.Utility_DisplayArrayInTable(Fertiliser_SourceData.Fertiliser_Products_Data3(),FertiliserProducts[[#Headers],[Include or Exclude]], 40)</f>
        <v/>
      </c>
      <c r="J136" s="62" t="str" cm="1">
        <f t="array" ref="J136">Common_InputFunctions.Utility_DisplayArrayInTable(Fertiliser_SourceData.Fertiliser_Products_Data3(),FertiliserProducts[[#Headers],[Include or Exclude]], 40)</f>
        <v/>
      </c>
      <c r="K136" s="62" t="str" cm="1">
        <f t="array" ref="K136">Common_InputFunctions.Utility_DisplayArrayInTable(Fertiliser_SourceData.Fertiliser_Products_Data3(),FertiliserProducts[[#Headers],[Include or Exclude]], 40)</f>
        <v/>
      </c>
      <c r="L136" s="62" t="str" cm="1">
        <f t="array" ref="L136">Common_InputFunctions.Utility_DisplayArrayInTable(Fertiliser_SourceData.Fertiliser_Products_Data3(),FertiliserProducts[[#Headers],[Include or Exclude]], 40)</f>
        <v/>
      </c>
      <c r="M136" s="62" t="str" cm="1">
        <f t="array" ref="M136">Common_InputFunctions.Utility_DisplayArrayInTable(Fertiliser_SourceData.Fertiliser_Products_Data3(),FertiliserProducts[[#Headers],[Include or Exclude]], 40)</f>
        <v/>
      </c>
      <c r="N136" s="62" t="str" cm="1">
        <f t="array" ref="N136">Common_InputFunctions.Utility_DisplayArrayInTable(Fertiliser_SourceData.Fertiliser_Products_Data3(),FertiliserProducts[[#Headers],[Include or Exclude]], 40)</f>
        <v/>
      </c>
      <c r="O136" s="62" t="str" cm="1">
        <f t="array" ref="O136">Common_InputFunctions.Utility_DisplayArrayInTable(Fertiliser_SourceData.Fertiliser_Products_Data3(),FertiliserProducts[[#Headers],[Include or Exclude]], 40)</f>
        <v/>
      </c>
      <c r="P136" s="62" t="str" cm="1">
        <f t="array" ref="P136">Common_InputFunctions.Utility_DisplayArrayInTable(Fertiliser_SourceData.Fertiliser_Products_Data3(),FertiliserProducts[[#Headers],[Include or Exclude]], 40)</f>
        <v/>
      </c>
      <c r="Q136" s="62" t="str" cm="1">
        <f t="array" ref="Q136">Common_InputFunctions.Utility_DisplayArrayInTable(Fertiliser_SourceData.Fertiliser_Products_Data3(),FertiliserProducts[[#Headers],[Include or Exclude]], 40)</f>
        <v/>
      </c>
      <c r="R136" s="62" t="str" cm="1">
        <f t="array" ref="R136">Common_InputFunctions.Utility_DisplayArrayInTable(Fertiliser_SourceData.Fertiliser_Products_Data3(),FertiliserProducts[[#Headers],[Include or Exclude]], 40)</f>
        <v/>
      </c>
      <c r="S136" s="62" t="str" cm="1">
        <f t="array" ref="S136">Common_InputFunctions.Utility_DisplayArrayInTable(Fertiliser_SourceData.Fertiliser_Products_Data3(),FertiliserProducts[[#Headers],[Include or Exclude]], 40)</f>
        <v/>
      </c>
      <c r="T136" s="62" t="str" cm="1">
        <f t="array" ref="T136">Common_InputFunctions.Utility_DisplayArrayInTable(Fertiliser_SourceData.Fertiliser_Products_Data3(),FertiliserProducts[[#Headers],[Include or Exclude]], 40)</f>
        <v/>
      </c>
      <c r="U136" s="62" t="str" cm="1">
        <f t="array" ref="U136">Common_InputFunctions.Utility_DisplayArrayInTable(Fertiliser_SourceData.Fertiliser_Products_Data3(),FertiliserProducts[[#Headers],[Include or Exclude]], 40)</f>
        <v/>
      </c>
      <c r="V136" s="62" t="str" cm="1">
        <f t="array" ref="V136">Common_InputFunctions.Utility_DisplayArrayInTable(Fertiliser_SourceData.Fertiliser_Products_Data3(),FertiliserProducts[[#Headers],[Include or Exclude]], 40)</f>
        <v/>
      </c>
      <c r="W136" s="62" t="str" cm="1">
        <f t="array" ref="W136">Common_InputFunctions.Utility_DisplayArrayInTable(Fertiliser_SourceData.Fertiliser_Products_Data3(),FertiliserProducts[[#Headers],[Include or Exclude]], 40)</f>
        <v>Crop Nutrition Solutions (Yara Australia)</v>
      </c>
      <c r="X136" s="62" t="str" cm="1">
        <f t="array" ref="X136">Common_InputFunctions.Utility_DisplayArrayInTable(Fertiliser_SourceData.Fertiliser_Products_Data3(),FertiliserProducts[[#Headers],[Include or Exclude]], 40)</f>
        <v/>
      </c>
      <c r="Y136" s="62" t="str" cm="1">
        <f t="array" ref="Y136">Common_InputFunctions.Utility_DisplayArrayInTable(Fertiliser_SourceData.Fertiliser_Products_Data3(),FertiliserProducts[[#Headers],[Include or Exclude]], 40)</f>
        <v/>
      </c>
      <c r="Z136" s="62"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1:31" ht="20.100000000000001" customHeight="1" x14ac:dyDescent="0.25">
      <c r="A137"/>
      <c r="D137" s="62" t="str" cm="1">
        <f t="array" ref="D137">Common_InputFunctions.Utility_DisplayArrayInTable(Fertiliser_SourceData.Fertiliser_Products_Data3(),FertiliserProducts[[#Headers],[Include or Exclude]], 40)</f>
        <v>Yara Liquids N25</v>
      </c>
      <c r="E137" s="62" t="str" cm="1">
        <f t="array" ref="E137">Common_InputFunctions.Utility_DisplayArrayInTable(Fertiliser_SourceData.Fertiliser_Products_Data3(),FertiliserProducts[[#Headers],[Include or Exclude]], 40)</f>
        <v/>
      </c>
      <c r="F137" s="62" t="str" cm="1">
        <f t="array" ref="F137">Common_InputFunctions.Utility_DisplayArrayInTable(Fertiliser_SourceData.Fertiliser_Products_Data3(),FertiliserProducts[[#Headers],[Include or Exclude]], 40)</f>
        <v/>
      </c>
      <c r="G137" s="62" t="str" cm="1">
        <f t="array" ref="G137">Common_InputFunctions.Utility_DisplayArrayInTable(Fertiliser_SourceData.Fertiliser_Products_Data3(),FertiliserProducts[[#Headers],[Include or Exclude]], 40)</f>
        <v/>
      </c>
      <c r="H137" s="62" t="str" cm="1">
        <f t="array" ref="H137">Common_InputFunctions.Utility_DisplayArrayInTable(Fertiliser_SourceData.Fertiliser_Products_Data3(),FertiliserProducts[[#Headers],[Include or Exclude]], 40)</f>
        <v/>
      </c>
      <c r="I137" s="62" t="str" cm="1">
        <f t="array" ref="I137">Common_InputFunctions.Utility_DisplayArrayInTable(Fertiliser_SourceData.Fertiliser_Products_Data3(),FertiliserProducts[[#Headers],[Include or Exclude]], 40)</f>
        <v/>
      </c>
      <c r="J137" s="62" t="str" cm="1">
        <f t="array" ref="J137">Common_InputFunctions.Utility_DisplayArrayInTable(Fertiliser_SourceData.Fertiliser_Products_Data3(),FertiliserProducts[[#Headers],[Include or Exclude]], 40)</f>
        <v/>
      </c>
      <c r="K137" s="62" t="str" cm="1">
        <f t="array" ref="K137">Common_InputFunctions.Utility_DisplayArrayInTable(Fertiliser_SourceData.Fertiliser_Products_Data3(),FertiliserProducts[[#Headers],[Include or Exclude]], 40)</f>
        <v/>
      </c>
      <c r="L137" s="62" t="str" cm="1">
        <f t="array" ref="L137">Common_InputFunctions.Utility_DisplayArrayInTable(Fertiliser_SourceData.Fertiliser_Products_Data3(),FertiliserProducts[[#Headers],[Include or Exclude]], 40)</f>
        <v/>
      </c>
      <c r="M137" s="62" t="str" cm="1">
        <f t="array" ref="M137">Common_InputFunctions.Utility_DisplayArrayInTable(Fertiliser_SourceData.Fertiliser_Products_Data3(),FertiliserProducts[[#Headers],[Include or Exclude]], 40)</f>
        <v/>
      </c>
      <c r="N137" s="62" t="str" cm="1">
        <f t="array" ref="N137">Common_InputFunctions.Utility_DisplayArrayInTable(Fertiliser_SourceData.Fertiliser_Products_Data3(),FertiliserProducts[[#Headers],[Include or Exclude]], 40)</f>
        <v/>
      </c>
      <c r="O137" s="62" t="str" cm="1">
        <f t="array" ref="O137">Common_InputFunctions.Utility_DisplayArrayInTable(Fertiliser_SourceData.Fertiliser_Products_Data3(),FertiliserProducts[[#Headers],[Include or Exclude]], 40)</f>
        <v/>
      </c>
      <c r="P137" s="62" t="str" cm="1">
        <f t="array" ref="P137">Common_InputFunctions.Utility_DisplayArrayInTable(Fertiliser_SourceData.Fertiliser_Products_Data3(),FertiliserProducts[[#Headers],[Include or Exclude]], 40)</f>
        <v/>
      </c>
      <c r="Q137" s="62" t="str" cm="1">
        <f t="array" ref="Q137">Common_InputFunctions.Utility_DisplayArrayInTable(Fertiliser_SourceData.Fertiliser_Products_Data3(),FertiliserProducts[[#Headers],[Include or Exclude]], 40)</f>
        <v/>
      </c>
      <c r="R137" s="62" t="str" cm="1">
        <f t="array" ref="R137">Common_InputFunctions.Utility_DisplayArrayInTable(Fertiliser_SourceData.Fertiliser_Products_Data3(),FertiliserProducts[[#Headers],[Include or Exclude]], 40)</f>
        <v/>
      </c>
      <c r="S137" s="62" t="str" cm="1">
        <f t="array" ref="S137">Common_InputFunctions.Utility_DisplayArrayInTable(Fertiliser_SourceData.Fertiliser_Products_Data3(),FertiliserProducts[[#Headers],[Include or Exclude]], 40)</f>
        <v/>
      </c>
      <c r="T137" s="62" t="str" cm="1">
        <f t="array" ref="T137">Common_InputFunctions.Utility_DisplayArrayInTable(Fertiliser_SourceData.Fertiliser_Products_Data3(),FertiliserProducts[[#Headers],[Include or Exclude]], 40)</f>
        <v/>
      </c>
      <c r="U137" s="62" t="str" cm="1">
        <f t="array" ref="U137">Common_InputFunctions.Utility_DisplayArrayInTable(Fertiliser_SourceData.Fertiliser_Products_Data3(),FertiliserProducts[[#Headers],[Include or Exclude]], 40)</f>
        <v/>
      </c>
      <c r="V137" s="62" t="str" cm="1">
        <f t="array" ref="V137">Common_InputFunctions.Utility_DisplayArrayInTable(Fertiliser_SourceData.Fertiliser_Products_Data3(),FertiliserProducts[[#Headers],[Include or Exclude]], 40)</f>
        <v/>
      </c>
      <c r="W137" s="62" t="str" cm="1">
        <f t="array" ref="W137">Common_InputFunctions.Utility_DisplayArrayInTable(Fertiliser_SourceData.Fertiliser_Products_Data3(),FertiliserProducts[[#Headers],[Include or Exclude]], 40)</f>
        <v>Crop Nutrition Solutions (Yara Australia)</v>
      </c>
      <c r="X137" s="62" t="str" cm="1">
        <f t="array" ref="X137">Common_InputFunctions.Utility_DisplayArrayInTable(Fertiliser_SourceData.Fertiliser_Products_Data3(),FertiliserProducts[[#Headers],[Include or Exclude]], 40)</f>
        <v/>
      </c>
      <c r="Y137" s="62" t="str" cm="1">
        <f t="array" ref="Y137">Common_InputFunctions.Utility_DisplayArrayInTable(Fertiliser_SourceData.Fertiliser_Products_Data3(),FertiliserProducts[[#Headers],[Include or Exclude]], 40)</f>
        <v/>
      </c>
      <c r="Z137" s="62"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1:31" ht="20.100000000000001" customHeight="1" x14ac:dyDescent="0.25">
      <c r="A138"/>
      <c r="D138" s="62" t="str" cm="1">
        <f t="array" ref="D138">Common_InputFunctions.Utility_DisplayArrayInTable(Fertiliser_SourceData.Fertiliser_Products_Data3(),FertiliserProducts[[#Headers],[Include or Exclude]], 40)</f>
        <v>Yara Liquids N26</v>
      </c>
      <c r="E138" s="62" t="str" cm="1">
        <f t="array" ref="E138">Common_InputFunctions.Utility_DisplayArrayInTable(Fertiliser_SourceData.Fertiliser_Products_Data3(),FertiliserProducts[[#Headers],[Include or Exclude]], 40)</f>
        <v/>
      </c>
      <c r="F138" s="62" t="str" cm="1">
        <f t="array" ref="F138">Common_InputFunctions.Utility_DisplayArrayInTable(Fertiliser_SourceData.Fertiliser_Products_Data3(),FertiliserProducts[[#Headers],[Include or Exclude]], 40)</f>
        <v/>
      </c>
      <c r="G138" s="62" t="str" cm="1">
        <f t="array" ref="G138">Common_InputFunctions.Utility_DisplayArrayInTable(Fertiliser_SourceData.Fertiliser_Products_Data3(),FertiliserProducts[[#Headers],[Include or Exclude]], 40)</f>
        <v/>
      </c>
      <c r="H138" s="62" t="str" cm="1">
        <f t="array" ref="H138">Common_InputFunctions.Utility_DisplayArrayInTable(Fertiliser_SourceData.Fertiliser_Products_Data3(),FertiliserProducts[[#Headers],[Include or Exclude]], 40)</f>
        <v/>
      </c>
      <c r="I138" s="62" t="str" cm="1">
        <f t="array" ref="I138">Common_InputFunctions.Utility_DisplayArrayInTable(Fertiliser_SourceData.Fertiliser_Products_Data3(),FertiliserProducts[[#Headers],[Include or Exclude]], 40)</f>
        <v/>
      </c>
      <c r="J138" s="62" t="str" cm="1">
        <f t="array" ref="J138">Common_InputFunctions.Utility_DisplayArrayInTable(Fertiliser_SourceData.Fertiliser_Products_Data3(),FertiliserProducts[[#Headers],[Include or Exclude]], 40)</f>
        <v/>
      </c>
      <c r="K138" s="62" t="str" cm="1">
        <f t="array" ref="K138">Common_InputFunctions.Utility_DisplayArrayInTable(Fertiliser_SourceData.Fertiliser_Products_Data3(),FertiliserProducts[[#Headers],[Include or Exclude]], 40)</f>
        <v/>
      </c>
      <c r="L138" s="62" t="str" cm="1">
        <f t="array" ref="L138">Common_InputFunctions.Utility_DisplayArrayInTable(Fertiliser_SourceData.Fertiliser_Products_Data3(),FertiliserProducts[[#Headers],[Include or Exclude]], 40)</f>
        <v/>
      </c>
      <c r="M138" s="62" t="str" cm="1">
        <f t="array" ref="M138">Common_InputFunctions.Utility_DisplayArrayInTable(Fertiliser_SourceData.Fertiliser_Products_Data3(),FertiliserProducts[[#Headers],[Include or Exclude]], 40)</f>
        <v/>
      </c>
      <c r="N138" s="62" t="str" cm="1">
        <f t="array" ref="N138">Common_InputFunctions.Utility_DisplayArrayInTable(Fertiliser_SourceData.Fertiliser_Products_Data3(),FertiliserProducts[[#Headers],[Include or Exclude]], 40)</f>
        <v/>
      </c>
      <c r="O138" s="62" t="str" cm="1">
        <f t="array" ref="O138">Common_InputFunctions.Utility_DisplayArrayInTable(Fertiliser_SourceData.Fertiliser_Products_Data3(),FertiliserProducts[[#Headers],[Include or Exclude]], 40)</f>
        <v/>
      </c>
      <c r="P138" s="62" t="str" cm="1">
        <f t="array" ref="P138">Common_InputFunctions.Utility_DisplayArrayInTable(Fertiliser_SourceData.Fertiliser_Products_Data3(),FertiliserProducts[[#Headers],[Include or Exclude]], 40)</f>
        <v/>
      </c>
      <c r="Q138" s="62" t="str" cm="1">
        <f t="array" ref="Q138">Common_InputFunctions.Utility_DisplayArrayInTable(Fertiliser_SourceData.Fertiliser_Products_Data3(),FertiliserProducts[[#Headers],[Include or Exclude]], 40)</f>
        <v/>
      </c>
      <c r="R138" s="62" t="str" cm="1">
        <f t="array" ref="R138">Common_InputFunctions.Utility_DisplayArrayInTable(Fertiliser_SourceData.Fertiliser_Products_Data3(),FertiliserProducts[[#Headers],[Include or Exclude]], 40)</f>
        <v/>
      </c>
      <c r="S138" s="62" t="str" cm="1">
        <f t="array" ref="S138">Common_InputFunctions.Utility_DisplayArrayInTable(Fertiliser_SourceData.Fertiliser_Products_Data3(),FertiliserProducts[[#Headers],[Include or Exclude]], 40)</f>
        <v/>
      </c>
      <c r="T138" s="62" t="str" cm="1">
        <f t="array" ref="T138">Common_InputFunctions.Utility_DisplayArrayInTable(Fertiliser_SourceData.Fertiliser_Products_Data3(),FertiliserProducts[[#Headers],[Include or Exclude]], 40)</f>
        <v/>
      </c>
      <c r="U138" s="62" t="str" cm="1">
        <f t="array" ref="U138">Common_InputFunctions.Utility_DisplayArrayInTable(Fertiliser_SourceData.Fertiliser_Products_Data3(),FertiliserProducts[[#Headers],[Include or Exclude]], 40)</f>
        <v/>
      </c>
      <c r="V138" s="62" t="str" cm="1">
        <f t="array" ref="V138">Common_InputFunctions.Utility_DisplayArrayInTable(Fertiliser_SourceData.Fertiliser_Products_Data3(),FertiliserProducts[[#Headers],[Include or Exclude]], 40)</f>
        <v/>
      </c>
      <c r="W138" s="62" t="str" cm="1">
        <f t="array" ref="W138">Common_InputFunctions.Utility_DisplayArrayInTable(Fertiliser_SourceData.Fertiliser_Products_Data3(),FertiliserProducts[[#Headers],[Include or Exclude]], 40)</f>
        <v>Crop Nutrition Solutions (Yara Australia)</v>
      </c>
      <c r="X138" s="62" t="str" cm="1">
        <f t="array" ref="X138">Common_InputFunctions.Utility_DisplayArrayInTable(Fertiliser_SourceData.Fertiliser_Products_Data3(),FertiliserProducts[[#Headers],[Include or Exclude]], 40)</f>
        <v/>
      </c>
      <c r="Y138" s="62" t="str" cm="1">
        <f t="array" ref="Y138">Common_InputFunctions.Utility_DisplayArrayInTable(Fertiliser_SourceData.Fertiliser_Products_Data3(),FertiliserProducts[[#Headers],[Include or Exclude]], 40)</f>
        <v/>
      </c>
      <c r="Z138" s="62"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1:31" ht="20.100000000000001" customHeight="1" x14ac:dyDescent="0.25">
      <c r="A139"/>
      <c r="D139" s="62" t="str" cm="1">
        <f t="array" ref="D139">Common_InputFunctions.Utility_DisplayArrayInTable(Fertiliser_SourceData.Fertiliser_Products_Data3(),FertiliserProducts[[#Headers],[Include or Exclude]], 40)</f>
        <v>Yara Liquids N42</v>
      </c>
      <c r="E139" s="62" t="str" cm="1">
        <f t="array" ref="E139">Common_InputFunctions.Utility_DisplayArrayInTable(Fertiliser_SourceData.Fertiliser_Products_Data3(),FertiliserProducts[[#Headers],[Include or Exclude]], 40)</f>
        <v/>
      </c>
      <c r="F139" s="62" t="str" cm="1">
        <f t="array" ref="F139">Common_InputFunctions.Utility_DisplayArrayInTable(Fertiliser_SourceData.Fertiliser_Products_Data3(),FertiliserProducts[[#Headers],[Include or Exclude]], 40)</f>
        <v/>
      </c>
      <c r="G139" s="62" t="str" cm="1">
        <f t="array" ref="G139">Common_InputFunctions.Utility_DisplayArrayInTable(Fertiliser_SourceData.Fertiliser_Products_Data3(),FertiliserProducts[[#Headers],[Include or Exclude]], 40)</f>
        <v/>
      </c>
      <c r="H139" s="62" t="str" cm="1">
        <f t="array" ref="H139">Common_InputFunctions.Utility_DisplayArrayInTable(Fertiliser_SourceData.Fertiliser_Products_Data3(),FertiliserProducts[[#Headers],[Include or Exclude]], 40)</f>
        <v/>
      </c>
      <c r="I139" s="62" t="str" cm="1">
        <f t="array" ref="I139">Common_InputFunctions.Utility_DisplayArrayInTable(Fertiliser_SourceData.Fertiliser_Products_Data3(),FertiliserProducts[[#Headers],[Include or Exclude]], 40)</f>
        <v/>
      </c>
      <c r="J139" s="62" t="str" cm="1">
        <f t="array" ref="J139">Common_InputFunctions.Utility_DisplayArrayInTable(Fertiliser_SourceData.Fertiliser_Products_Data3(),FertiliserProducts[[#Headers],[Include or Exclude]], 40)</f>
        <v/>
      </c>
      <c r="K139" s="62" t="str" cm="1">
        <f t="array" ref="K139">Common_InputFunctions.Utility_DisplayArrayInTable(Fertiliser_SourceData.Fertiliser_Products_Data3(),FertiliserProducts[[#Headers],[Include or Exclude]], 40)</f>
        <v/>
      </c>
      <c r="L139" s="62" t="str" cm="1">
        <f t="array" ref="L139">Common_InputFunctions.Utility_DisplayArrayInTable(Fertiliser_SourceData.Fertiliser_Products_Data3(),FertiliserProducts[[#Headers],[Include or Exclude]], 40)</f>
        <v/>
      </c>
      <c r="M139" s="62" t="str" cm="1">
        <f t="array" ref="M139">Common_InputFunctions.Utility_DisplayArrayInTable(Fertiliser_SourceData.Fertiliser_Products_Data3(),FertiliserProducts[[#Headers],[Include or Exclude]], 40)</f>
        <v/>
      </c>
      <c r="N139" s="62" t="str" cm="1">
        <f t="array" ref="N139">Common_InputFunctions.Utility_DisplayArrayInTable(Fertiliser_SourceData.Fertiliser_Products_Data3(),FertiliserProducts[[#Headers],[Include or Exclude]], 40)</f>
        <v/>
      </c>
      <c r="O139" s="62" t="str" cm="1">
        <f t="array" ref="O139">Common_InputFunctions.Utility_DisplayArrayInTable(Fertiliser_SourceData.Fertiliser_Products_Data3(),FertiliserProducts[[#Headers],[Include or Exclude]], 40)</f>
        <v/>
      </c>
      <c r="P139" s="62" t="str" cm="1">
        <f t="array" ref="P139">Common_InputFunctions.Utility_DisplayArrayInTable(Fertiliser_SourceData.Fertiliser_Products_Data3(),FertiliserProducts[[#Headers],[Include or Exclude]], 40)</f>
        <v/>
      </c>
      <c r="Q139" s="62" t="str" cm="1">
        <f t="array" ref="Q139">Common_InputFunctions.Utility_DisplayArrayInTable(Fertiliser_SourceData.Fertiliser_Products_Data3(),FertiliserProducts[[#Headers],[Include or Exclude]], 40)</f>
        <v/>
      </c>
      <c r="R139" s="62" t="str" cm="1">
        <f t="array" ref="R139">Common_InputFunctions.Utility_DisplayArrayInTable(Fertiliser_SourceData.Fertiliser_Products_Data3(),FertiliserProducts[[#Headers],[Include or Exclude]], 40)</f>
        <v/>
      </c>
      <c r="S139" s="62" t="str" cm="1">
        <f t="array" ref="S139">Common_InputFunctions.Utility_DisplayArrayInTable(Fertiliser_SourceData.Fertiliser_Products_Data3(),FertiliserProducts[[#Headers],[Include or Exclude]], 40)</f>
        <v/>
      </c>
      <c r="T139" s="62" t="str" cm="1">
        <f t="array" ref="T139">Common_InputFunctions.Utility_DisplayArrayInTable(Fertiliser_SourceData.Fertiliser_Products_Data3(),FertiliserProducts[[#Headers],[Include or Exclude]], 40)</f>
        <v/>
      </c>
      <c r="U139" s="62" t="str" cm="1">
        <f t="array" ref="U139">Common_InputFunctions.Utility_DisplayArrayInTable(Fertiliser_SourceData.Fertiliser_Products_Data3(),FertiliserProducts[[#Headers],[Include or Exclude]], 40)</f>
        <v/>
      </c>
      <c r="V139" s="62" t="str" cm="1">
        <f t="array" ref="V139">Common_InputFunctions.Utility_DisplayArrayInTable(Fertiliser_SourceData.Fertiliser_Products_Data3(),FertiliserProducts[[#Headers],[Include or Exclude]], 40)</f>
        <v/>
      </c>
      <c r="W139" s="62" t="str" cm="1">
        <f t="array" ref="W139">Common_InputFunctions.Utility_DisplayArrayInTable(Fertiliser_SourceData.Fertiliser_Products_Data3(),FertiliserProducts[[#Headers],[Include or Exclude]], 40)</f>
        <v>Crop Nutrition Solutions (Yara Australia)</v>
      </c>
      <c r="X139" s="62" t="str" cm="1">
        <f t="array" ref="X139">Common_InputFunctions.Utility_DisplayArrayInTable(Fertiliser_SourceData.Fertiliser_Products_Data3(),FertiliserProducts[[#Headers],[Include or Exclude]], 40)</f>
        <v/>
      </c>
      <c r="Y139" s="62" t="str" cm="1">
        <f t="array" ref="Y139">Common_InputFunctions.Utility_DisplayArrayInTable(Fertiliser_SourceData.Fertiliser_Products_Data3(),FertiliserProducts[[#Headers],[Include or Exclude]], 40)</f>
        <v/>
      </c>
      <c r="Z139" s="62"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1:31" ht="20.100000000000001" customHeight="1" x14ac:dyDescent="0.25">
      <c r="A140"/>
      <c r="D140" s="62" t="str" cm="1">
        <f t="array" ref="D140">Common_InputFunctions.Utility_DisplayArrayInTable(Fertiliser_SourceData.Fertiliser_Products_Data3(),FertiliserProducts[[#Headers],[Include or Exclude]], 40)</f>
        <v>Yara Liquids N-CAL 15+18Ca</v>
      </c>
      <c r="E140" s="62" t="str" cm="1">
        <f t="array" ref="E140">Common_InputFunctions.Utility_DisplayArrayInTable(Fertiliser_SourceData.Fertiliser_Products_Data3(),FertiliserProducts[[#Headers],[Include or Exclude]], 40)</f>
        <v/>
      </c>
      <c r="F140" s="62" t="str" cm="1">
        <f t="array" ref="F140">Common_InputFunctions.Utility_DisplayArrayInTable(Fertiliser_SourceData.Fertiliser_Products_Data3(),FertiliserProducts[[#Headers],[Include or Exclude]], 40)</f>
        <v/>
      </c>
      <c r="G140" s="62" t="str" cm="1">
        <f t="array" ref="G140">Common_InputFunctions.Utility_DisplayArrayInTable(Fertiliser_SourceData.Fertiliser_Products_Data3(),FertiliserProducts[[#Headers],[Include or Exclude]], 40)</f>
        <v/>
      </c>
      <c r="H140" s="62" t="str" cm="1">
        <f t="array" ref="H140">Common_InputFunctions.Utility_DisplayArrayInTable(Fertiliser_SourceData.Fertiliser_Products_Data3(),FertiliserProducts[[#Headers],[Include or Exclude]], 40)</f>
        <v/>
      </c>
      <c r="I140" s="62" t="str" cm="1">
        <f t="array" ref="I140">Common_InputFunctions.Utility_DisplayArrayInTable(Fertiliser_SourceData.Fertiliser_Products_Data3(),FertiliserProducts[[#Headers],[Include or Exclude]], 40)</f>
        <v/>
      </c>
      <c r="J140" s="62" t="str" cm="1">
        <f t="array" ref="J140">Common_InputFunctions.Utility_DisplayArrayInTable(Fertiliser_SourceData.Fertiliser_Products_Data3(),FertiliserProducts[[#Headers],[Include or Exclude]], 40)</f>
        <v/>
      </c>
      <c r="K140" s="62" t="str" cm="1">
        <f t="array" ref="K140">Common_InputFunctions.Utility_DisplayArrayInTable(Fertiliser_SourceData.Fertiliser_Products_Data3(),FertiliserProducts[[#Headers],[Include or Exclude]], 40)</f>
        <v/>
      </c>
      <c r="L140" s="62" t="str" cm="1">
        <f t="array" ref="L140">Common_InputFunctions.Utility_DisplayArrayInTable(Fertiliser_SourceData.Fertiliser_Products_Data3(),FertiliserProducts[[#Headers],[Include or Exclude]], 40)</f>
        <v/>
      </c>
      <c r="M140" s="62" t="str" cm="1">
        <f t="array" ref="M140">Common_InputFunctions.Utility_DisplayArrayInTable(Fertiliser_SourceData.Fertiliser_Products_Data3(),FertiliserProducts[[#Headers],[Include or Exclude]], 40)</f>
        <v/>
      </c>
      <c r="N140" s="62" t="str" cm="1">
        <f t="array" ref="N140">Common_InputFunctions.Utility_DisplayArrayInTable(Fertiliser_SourceData.Fertiliser_Products_Data3(),FertiliserProducts[[#Headers],[Include or Exclude]], 40)</f>
        <v/>
      </c>
      <c r="O140" s="62" t="str" cm="1">
        <f t="array" ref="O140">Common_InputFunctions.Utility_DisplayArrayInTable(Fertiliser_SourceData.Fertiliser_Products_Data3(),FertiliserProducts[[#Headers],[Include or Exclude]], 40)</f>
        <v/>
      </c>
      <c r="P140" s="62" t="str" cm="1">
        <f t="array" ref="P140">Common_InputFunctions.Utility_DisplayArrayInTable(Fertiliser_SourceData.Fertiliser_Products_Data3(),FertiliserProducts[[#Headers],[Include or Exclude]], 40)</f>
        <v/>
      </c>
      <c r="Q140" s="62" t="str" cm="1">
        <f t="array" ref="Q140">Common_InputFunctions.Utility_DisplayArrayInTable(Fertiliser_SourceData.Fertiliser_Products_Data3(),FertiliserProducts[[#Headers],[Include or Exclude]], 40)</f>
        <v/>
      </c>
      <c r="R140" s="62" t="str" cm="1">
        <f t="array" ref="R140">Common_InputFunctions.Utility_DisplayArrayInTable(Fertiliser_SourceData.Fertiliser_Products_Data3(),FertiliserProducts[[#Headers],[Include or Exclude]], 40)</f>
        <v/>
      </c>
      <c r="S140" s="62" t="str" cm="1">
        <f t="array" ref="S140">Common_InputFunctions.Utility_DisplayArrayInTable(Fertiliser_SourceData.Fertiliser_Products_Data3(),FertiliserProducts[[#Headers],[Include or Exclude]], 40)</f>
        <v/>
      </c>
      <c r="T140" s="62" t="str" cm="1">
        <f t="array" ref="T140">Common_InputFunctions.Utility_DisplayArrayInTable(Fertiliser_SourceData.Fertiliser_Products_Data3(),FertiliserProducts[[#Headers],[Include or Exclude]], 40)</f>
        <v/>
      </c>
      <c r="U140" s="62" t="str" cm="1">
        <f t="array" ref="U140">Common_InputFunctions.Utility_DisplayArrayInTable(Fertiliser_SourceData.Fertiliser_Products_Data3(),FertiliserProducts[[#Headers],[Include or Exclude]], 40)</f>
        <v/>
      </c>
      <c r="V140" s="62" t="str" cm="1">
        <f t="array" ref="V140">Common_InputFunctions.Utility_DisplayArrayInTable(Fertiliser_SourceData.Fertiliser_Products_Data3(),FertiliserProducts[[#Headers],[Include or Exclude]], 40)</f>
        <v/>
      </c>
      <c r="W140" s="62" t="str" cm="1">
        <f t="array" ref="W140">Common_InputFunctions.Utility_DisplayArrayInTable(Fertiliser_SourceData.Fertiliser_Products_Data3(),FertiliserProducts[[#Headers],[Include or Exclude]], 40)</f>
        <v>Crop Nutrition Solutions (Yara Australia)</v>
      </c>
      <c r="X140" s="62" t="str" cm="1">
        <f t="array" ref="X140">Common_InputFunctions.Utility_DisplayArrayInTable(Fertiliser_SourceData.Fertiliser_Products_Data3(),FertiliserProducts[[#Headers],[Include or Exclude]], 40)</f>
        <v/>
      </c>
      <c r="Y140" s="62" t="str" cm="1">
        <f t="array" ref="Y140">Common_InputFunctions.Utility_DisplayArrayInTable(Fertiliser_SourceData.Fertiliser_Products_Data3(),FertiliserProducts[[#Headers],[Include or Exclude]], 40)</f>
        <v/>
      </c>
      <c r="Z140" s="62"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1:31" ht="20.100000000000001" customHeight="1" x14ac:dyDescent="0.25">
      <c r="A141"/>
      <c r="D141" s="62" t="str" cm="1">
        <f t="array" ref="D141">Common_InputFunctions.Utility_DisplayArrayInTable(Fertiliser_SourceData.Fertiliser_Products_Data3(),FertiliserProducts[[#Headers],[Include or Exclude]], 40)</f>
        <v>Yara Liquids N-CAL 20+10Ca+B</v>
      </c>
      <c r="E141" s="62" t="str" cm="1">
        <f t="array" ref="E141">Common_InputFunctions.Utility_DisplayArrayInTable(Fertiliser_SourceData.Fertiliser_Products_Data3(),FertiliserProducts[[#Headers],[Include or Exclude]], 40)</f>
        <v/>
      </c>
      <c r="F141" s="62" t="str" cm="1">
        <f t="array" ref="F141">Common_InputFunctions.Utility_DisplayArrayInTable(Fertiliser_SourceData.Fertiliser_Products_Data3(),FertiliserProducts[[#Headers],[Include or Exclude]], 40)</f>
        <v/>
      </c>
      <c r="G141" s="62" t="str" cm="1">
        <f t="array" ref="G141">Common_InputFunctions.Utility_DisplayArrayInTable(Fertiliser_SourceData.Fertiliser_Products_Data3(),FertiliserProducts[[#Headers],[Include or Exclude]], 40)</f>
        <v/>
      </c>
      <c r="H141" s="62" t="str" cm="1">
        <f t="array" ref="H141">Common_InputFunctions.Utility_DisplayArrayInTable(Fertiliser_SourceData.Fertiliser_Products_Data3(),FertiliserProducts[[#Headers],[Include or Exclude]], 40)</f>
        <v/>
      </c>
      <c r="I141" s="62" t="str" cm="1">
        <f t="array" ref="I141">Common_InputFunctions.Utility_DisplayArrayInTable(Fertiliser_SourceData.Fertiliser_Products_Data3(),FertiliserProducts[[#Headers],[Include or Exclude]], 40)</f>
        <v/>
      </c>
      <c r="J141" s="62" t="str" cm="1">
        <f t="array" ref="J141">Common_InputFunctions.Utility_DisplayArrayInTable(Fertiliser_SourceData.Fertiliser_Products_Data3(),FertiliserProducts[[#Headers],[Include or Exclude]], 40)</f>
        <v/>
      </c>
      <c r="K141" s="62" t="str" cm="1">
        <f t="array" ref="K141">Common_InputFunctions.Utility_DisplayArrayInTable(Fertiliser_SourceData.Fertiliser_Products_Data3(),FertiliserProducts[[#Headers],[Include or Exclude]], 40)</f>
        <v/>
      </c>
      <c r="L141" s="62" t="str" cm="1">
        <f t="array" ref="L141">Common_InputFunctions.Utility_DisplayArrayInTable(Fertiliser_SourceData.Fertiliser_Products_Data3(),FertiliserProducts[[#Headers],[Include or Exclude]], 40)</f>
        <v/>
      </c>
      <c r="M141" s="62" t="str" cm="1">
        <f t="array" ref="M141">Common_InputFunctions.Utility_DisplayArrayInTable(Fertiliser_SourceData.Fertiliser_Products_Data3(),FertiliserProducts[[#Headers],[Include or Exclude]], 40)</f>
        <v/>
      </c>
      <c r="N141" s="62" t="str" cm="1">
        <f t="array" ref="N141">Common_InputFunctions.Utility_DisplayArrayInTable(Fertiliser_SourceData.Fertiliser_Products_Data3(),FertiliserProducts[[#Headers],[Include or Exclude]], 40)</f>
        <v/>
      </c>
      <c r="O141" s="62" t="str" cm="1">
        <f t="array" ref="O141">Common_InputFunctions.Utility_DisplayArrayInTable(Fertiliser_SourceData.Fertiliser_Products_Data3(),FertiliserProducts[[#Headers],[Include or Exclude]], 40)</f>
        <v/>
      </c>
      <c r="P141" s="62" t="str" cm="1">
        <f t="array" ref="P141">Common_InputFunctions.Utility_DisplayArrayInTable(Fertiliser_SourceData.Fertiliser_Products_Data3(),FertiliserProducts[[#Headers],[Include or Exclude]], 40)</f>
        <v/>
      </c>
      <c r="Q141" s="62" t="str" cm="1">
        <f t="array" ref="Q141">Common_InputFunctions.Utility_DisplayArrayInTable(Fertiliser_SourceData.Fertiliser_Products_Data3(),FertiliserProducts[[#Headers],[Include or Exclude]], 40)</f>
        <v/>
      </c>
      <c r="R141" s="62" t="str" cm="1">
        <f t="array" ref="R141">Common_InputFunctions.Utility_DisplayArrayInTable(Fertiliser_SourceData.Fertiliser_Products_Data3(),FertiliserProducts[[#Headers],[Include or Exclude]], 40)</f>
        <v/>
      </c>
      <c r="S141" s="62" t="str" cm="1">
        <f t="array" ref="S141">Common_InputFunctions.Utility_DisplayArrayInTable(Fertiliser_SourceData.Fertiliser_Products_Data3(),FertiliserProducts[[#Headers],[Include or Exclude]], 40)</f>
        <v/>
      </c>
      <c r="T141" s="62" t="str" cm="1">
        <f t="array" ref="T141">Common_InputFunctions.Utility_DisplayArrayInTable(Fertiliser_SourceData.Fertiliser_Products_Data3(),FertiliserProducts[[#Headers],[Include or Exclude]], 40)</f>
        <v/>
      </c>
      <c r="U141" s="62" t="str" cm="1">
        <f t="array" ref="U141">Common_InputFunctions.Utility_DisplayArrayInTable(Fertiliser_SourceData.Fertiliser_Products_Data3(),FertiliserProducts[[#Headers],[Include or Exclude]], 40)</f>
        <v/>
      </c>
      <c r="V141" s="62" t="str" cm="1">
        <f t="array" ref="V141">Common_InputFunctions.Utility_DisplayArrayInTable(Fertiliser_SourceData.Fertiliser_Products_Data3(),FertiliserProducts[[#Headers],[Include or Exclude]], 40)</f>
        <v/>
      </c>
      <c r="W141" s="62" t="str" cm="1">
        <f t="array" ref="W141">Common_InputFunctions.Utility_DisplayArrayInTable(Fertiliser_SourceData.Fertiliser_Products_Data3(),FertiliserProducts[[#Headers],[Include or Exclude]], 40)</f>
        <v>Crop Nutrition Solutions (Yara Australia)</v>
      </c>
      <c r="X141" s="62" t="str" cm="1">
        <f t="array" ref="X141">Common_InputFunctions.Utility_DisplayArrayInTable(Fertiliser_SourceData.Fertiliser_Products_Data3(),FertiliserProducts[[#Headers],[Include or Exclude]], 40)</f>
        <v/>
      </c>
      <c r="Y141" s="62" t="str" cm="1">
        <f t="array" ref="Y141">Common_InputFunctions.Utility_DisplayArrayInTable(Fertiliser_SourceData.Fertiliser_Products_Data3(),FertiliserProducts[[#Headers],[Include or Exclude]], 40)</f>
        <v/>
      </c>
      <c r="Z141" s="62"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1:31" ht="20.100000000000001" customHeight="1" x14ac:dyDescent="0.25">
      <c r="A142"/>
      <c r="D142" s="62" t="str" cm="1">
        <f t="array" ref="D142">Common_InputFunctions.Utility_DisplayArrayInTable(Fertiliser_SourceData.Fertiliser_Products_Data3(),FertiliserProducts[[#Headers],[Include or Exclude]], 40)</f>
        <v>Yara Liquids N-CAL 35+6Ca</v>
      </c>
      <c r="E142" s="62" t="str" cm="1">
        <f t="array" ref="E142">Common_InputFunctions.Utility_DisplayArrayInTable(Fertiliser_SourceData.Fertiliser_Products_Data3(),FertiliserProducts[[#Headers],[Include or Exclude]], 40)</f>
        <v/>
      </c>
      <c r="F142" s="62" t="str" cm="1">
        <f t="array" ref="F142">Common_InputFunctions.Utility_DisplayArrayInTable(Fertiliser_SourceData.Fertiliser_Products_Data3(),FertiliserProducts[[#Headers],[Include or Exclude]], 40)</f>
        <v/>
      </c>
      <c r="G142" s="62" t="str" cm="1">
        <f t="array" ref="G142">Common_InputFunctions.Utility_DisplayArrayInTable(Fertiliser_SourceData.Fertiliser_Products_Data3(),FertiliserProducts[[#Headers],[Include or Exclude]], 40)</f>
        <v/>
      </c>
      <c r="H142" s="62" t="str" cm="1">
        <f t="array" ref="H142">Common_InputFunctions.Utility_DisplayArrayInTable(Fertiliser_SourceData.Fertiliser_Products_Data3(),FertiliserProducts[[#Headers],[Include or Exclude]], 40)</f>
        <v/>
      </c>
      <c r="I142" s="62" t="str" cm="1">
        <f t="array" ref="I142">Common_InputFunctions.Utility_DisplayArrayInTable(Fertiliser_SourceData.Fertiliser_Products_Data3(),FertiliserProducts[[#Headers],[Include or Exclude]], 40)</f>
        <v/>
      </c>
      <c r="J142" s="62" t="str" cm="1">
        <f t="array" ref="J142">Common_InputFunctions.Utility_DisplayArrayInTable(Fertiliser_SourceData.Fertiliser_Products_Data3(),FertiliserProducts[[#Headers],[Include or Exclude]], 40)</f>
        <v/>
      </c>
      <c r="K142" s="62" t="str" cm="1">
        <f t="array" ref="K142">Common_InputFunctions.Utility_DisplayArrayInTable(Fertiliser_SourceData.Fertiliser_Products_Data3(),FertiliserProducts[[#Headers],[Include or Exclude]], 40)</f>
        <v/>
      </c>
      <c r="L142" s="62" t="str" cm="1">
        <f t="array" ref="L142">Common_InputFunctions.Utility_DisplayArrayInTable(Fertiliser_SourceData.Fertiliser_Products_Data3(),FertiliserProducts[[#Headers],[Include or Exclude]], 40)</f>
        <v/>
      </c>
      <c r="M142" s="62" t="str" cm="1">
        <f t="array" ref="M142">Common_InputFunctions.Utility_DisplayArrayInTable(Fertiliser_SourceData.Fertiliser_Products_Data3(),FertiliserProducts[[#Headers],[Include or Exclude]], 40)</f>
        <v/>
      </c>
      <c r="N142" s="62" t="str" cm="1">
        <f t="array" ref="N142">Common_InputFunctions.Utility_DisplayArrayInTable(Fertiliser_SourceData.Fertiliser_Products_Data3(),FertiliserProducts[[#Headers],[Include or Exclude]], 40)</f>
        <v/>
      </c>
      <c r="O142" s="62" t="str" cm="1">
        <f t="array" ref="O142">Common_InputFunctions.Utility_DisplayArrayInTable(Fertiliser_SourceData.Fertiliser_Products_Data3(),FertiliserProducts[[#Headers],[Include or Exclude]], 40)</f>
        <v/>
      </c>
      <c r="P142" s="62" t="str" cm="1">
        <f t="array" ref="P142">Common_InputFunctions.Utility_DisplayArrayInTable(Fertiliser_SourceData.Fertiliser_Products_Data3(),FertiliserProducts[[#Headers],[Include or Exclude]], 40)</f>
        <v/>
      </c>
      <c r="Q142" s="62" t="str" cm="1">
        <f t="array" ref="Q142">Common_InputFunctions.Utility_DisplayArrayInTable(Fertiliser_SourceData.Fertiliser_Products_Data3(),FertiliserProducts[[#Headers],[Include or Exclude]], 40)</f>
        <v/>
      </c>
      <c r="R142" s="62" t="str" cm="1">
        <f t="array" ref="R142">Common_InputFunctions.Utility_DisplayArrayInTable(Fertiliser_SourceData.Fertiliser_Products_Data3(),FertiliserProducts[[#Headers],[Include or Exclude]], 40)</f>
        <v/>
      </c>
      <c r="S142" s="62" t="str" cm="1">
        <f t="array" ref="S142">Common_InputFunctions.Utility_DisplayArrayInTable(Fertiliser_SourceData.Fertiliser_Products_Data3(),FertiliserProducts[[#Headers],[Include or Exclude]], 40)</f>
        <v/>
      </c>
      <c r="T142" s="62" t="str" cm="1">
        <f t="array" ref="T142">Common_InputFunctions.Utility_DisplayArrayInTable(Fertiliser_SourceData.Fertiliser_Products_Data3(),FertiliserProducts[[#Headers],[Include or Exclude]], 40)</f>
        <v/>
      </c>
      <c r="U142" s="62" t="str" cm="1">
        <f t="array" ref="U142">Common_InputFunctions.Utility_DisplayArrayInTable(Fertiliser_SourceData.Fertiliser_Products_Data3(),FertiliserProducts[[#Headers],[Include or Exclude]], 40)</f>
        <v/>
      </c>
      <c r="V142" s="62" t="str" cm="1">
        <f t="array" ref="V142">Common_InputFunctions.Utility_DisplayArrayInTable(Fertiliser_SourceData.Fertiliser_Products_Data3(),FertiliserProducts[[#Headers],[Include or Exclude]], 40)</f>
        <v/>
      </c>
      <c r="W142" s="62" t="str" cm="1">
        <f t="array" ref="W142">Common_InputFunctions.Utility_DisplayArrayInTable(Fertiliser_SourceData.Fertiliser_Products_Data3(),FertiliserProducts[[#Headers],[Include or Exclude]], 40)</f>
        <v>Crop Nutrition Solutions (Yara Australia)</v>
      </c>
      <c r="X142" s="62" t="str" cm="1">
        <f t="array" ref="X142">Common_InputFunctions.Utility_DisplayArrayInTable(Fertiliser_SourceData.Fertiliser_Products_Data3(),FertiliserProducts[[#Headers],[Include or Exclude]], 40)</f>
        <v/>
      </c>
      <c r="Y142" s="62" t="str" cm="1">
        <f t="array" ref="Y142">Common_InputFunctions.Utility_DisplayArrayInTable(Fertiliser_SourceData.Fertiliser_Products_Data3(),FertiliserProducts[[#Headers],[Include or Exclude]], 40)</f>
        <v/>
      </c>
      <c r="Z142" s="62"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1:31" ht="20.100000000000001" customHeight="1" x14ac:dyDescent="0.25">
      <c r="A143"/>
      <c r="D143" s="62" t="str" cm="1">
        <f t="array" ref="D143">Common_InputFunctions.Utility_DisplayArrayInTable(Fertiliser_SourceData.Fertiliser_Products_Data3(),FertiliserProducts[[#Headers],[Include or Exclude]], 40)</f>
        <v>Yara Liquids N-FOL 24</v>
      </c>
      <c r="E143" s="62" t="str" cm="1">
        <f t="array" ref="E143">Common_InputFunctions.Utility_DisplayArrayInTable(Fertiliser_SourceData.Fertiliser_Products_Data3(),FertiliserProducts[[#Headers],[Include or Exclude]], 40)</f>
        <v/>
      </c>
      <c r="F143" s="62" t="str" cm="1">
        <f t="array" ref="F143">Common_InputFunctions.Utility_DisplayArrayInTable(Fertiliser_SourceData.Fertiliser_Products_Data3(),FertiliserProducts[[#Headers],[Include or Exclude]], 40)</f>
        <v/>
      </c>
      <c r="G143" s="62" t="str" cm="1">
        <f t="array" ref="G143">Common_InputFunctions.Utility_DisplayArrayInTable(Fertiliser_SourceData.Fertiliser_Products_Data3(),FertiliserProducts[[#Headers],[Include or Exclude]], 40)</f>
        <v/>
      </c>
      <c r="H143" s="62" t="str" cm="1">
        <f t="array" ref="H143">Common_InputFunctions.Utility_DisplayArrayInTable(Fertiliser_SourceData.Fertiliser_Products_Data3(),FertiliserProducts[[#Headers],[Include or Exclude]], 40)</f>
        <v/>
      </c>
      <c r="I143" s="62" t="str" cm="1">
        <f t="array" ref="I143">Common_InputFunctions.Utility_DisplayArrayInTable(Fertiliser_SourceData.Fertiliser_Products_Data3(),FertiliserProducts[[#Headers],[Include or Exclude]], 40)</f>
        <v/>
      </c>
      <c r="J143" s="62" t="str" cm="1">
        <f t="array" ref="J143">Common_InputFunctions.Utility_DisplayArrayInTable(Fertiliser_SourceData.Fertiliser_Products_Data3(),FertiliserProducts[[#Headers],[Include or Exclude]], 40)</f>
        <v/>
      </c>
      <c r="K143" s="62" t="str" cm="1">
        <f t="array" ref="K143">Common_InputFunctions.Utility_DisplayArrayInTable(Fertiliser_SourceData.Fertiliser_Products_Data3(),FertiliserProducts[[#Headers],[Include or Exclude]], 40)</f>
        <v/>
      </c>
      <c r="L143" s="62" t="str" cm="1">
        <f t="array" ref="L143">Common_InputFunctions.Utility_DisplayArrayInTable(Fertiliser_SourceData.Fertiliser_Products_Data3(),FertiliserProducts[[#Headers],[Include or Exclude]], 40)</f>
        <v/>
      </c>
      <c r="M143" s="62" t="str" cm="1">
        <f t="array" ref="M143">Common_InputFunctions.Utility_DisplayArrayInTable(Fertiliser_SourceData.Fertiliser_Products_Data3(),FertiliserProducts[[#Headers],[Include or Exclude]], 40)</f>
        <v/>
      </c>
      <c r="N143" s="62" t="str" cm="1">
        <f t="array" ref="N143">Common_InputFunctions.Utility_DisplayArrayInTable(Fertiliser_SourceData.Fertiliser_Products_Data3(),FertiliserProducts[[#Headers],[Include or Exclude]], 40)</f>
        <v/>
      </c>
      <c r="O143" s="62" t="str" cm="1">
        <f t="array" ref="O143">Common_InputFunctions.Utility_DisplayArrayInTable(Fertiliser_SourceData.Fertiliser_Products_Data3(),FertiliserProducts[[#Headers],[Include or Exclude]], 40)</f>
        <v/>
      </c>
      <c r="P143" s="62" t="str" cm="1">
        <f t="array" ref="P143">Common_InputFunctions.Utility_DisplayArrayInTable(Fertiliser_SourceData.Fertiliser_Products_Data3(),FertiliserProducts[[#Headers],[Include or Exclude]], 40)</f>
        <v/>
      </c>
      <c r="Q143" s="62" t="str" cm="1">
        <f t="array" ref="Q143">Common_InputFunctions.Utility_DisplayArrayInTable(Fertiliser_SourceData.Fertiliser_Products_Data3(),FertiliserProducts[[#Headers],[Include or Exclude]], 40)</f>
        <v/>
      </c>
      <c r="R143" s="62" t="str" cm="1">
        <f t="array" ref="R143">Common_InputFunctions.Utility_DisplayArrayInTable(Fertiliser_SourceData.Fertiliser_Products_Data3(),FertiliserProducts[[#Headers],[Include or Exclude]], 40)</f>
        <v/>
      </c>
      <c r="S143" s="62" t="str" cm="1">
        <f t="array" ref="S143">Common_InputFunctions.Utility_DisplayArrayInTable(Fertiliser_SourceData.Fertiliser_Products_Data3(),FertiliserProducts[[#Headers],[Include or Exclude]], 40)</f>
        <v/>
      </c>
      <c r="T143" s="62" t="str" cm="1">
        <f t="array" ref="T143">Common_InputFunctions.Utility_DisplayArrayInTable(Fertiliser_SourceData.Fertiliser_Products_Data3(),FertiliserProducts[[#Headers],[Include or Exclude]], 40)</f>
        <v/>
      </c>
      <c r="U143" s="62" t="str" cm="1">
        <f t="array" ref="U143">Common_InputFunctions.Utility_DisplayArrayInTable(Fertiliser_SourceData.Fertiliser_Products_Data3(),FertiliserProducts[[#Headers],[Include or Exclude]], 40)</f>
        <v/>
      </c>
      <c r="V143" s="62" t="str" cm="1">
        <f t="array" ref="V143">Common_InputFunctions.Utility_DisplayArrayInTable(Fertiliser_SourceData.Fertiliser_Products_Data3(),FertiliserProducts[[#Headers],[Include or Exclude]], 40)</f>
        <v/>
      </c>
      <c r="W143" s="62" t="str" cm="1">
        <f t="array" ref="W143">Common_InputFunctions.Utility_DisplayArrayInTable(Fertiliser_SourceData.Fertiliser_Products_Data3(),FertiliserProducts[[#Headers],[Include or Exclude]], 40)</f>
        <v>Crop Nutrition Solutions (Yara Australia)</v>
      </c>
      <c r="X143" s="62" t="str" cm="1">
        <f t="array" ref="X143">Common_InputFunctions.Utility_DisplayArrayInTable(Fertiliser_SourceData.Fertiliser_Products_Data3(),FertiliserProducts[[#Headers],[Include or Exclude]], 40)</f>
        <v/>
      </c>
      <c r="Y143" s="62" t="str" cm="1">
        <f t="array" ref="Y143">Common_InputFunctions.Utility_DisplayArrayInTable(Fertiliser_SourceData.Fertiliser_Products_Data3(),FertiliserProducts[[#Headers],[Include or Exclude]], 40)</f>
        <v/>
      </c>
      <c r="Z143" s="62"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1:31" ht="20.100000000000001" customHeight="1" x14ac:dyDescent="0.25">
      <c r="A144"/>
      <c r="D144" s="62" t="str" cm="1">
        <f t="array" ref="D144">Common_InputFunctions.Utility_DisplayArrayInTable(Fertiliser_SourceData.Fertiliser_Products_Data3(),FertiliserProducts[[#Headers],[Include or Exclude]], 40)</f>
        <v>Yara Liquids N-FOL 24+TE</v>
      </c>
      <c r="E144" s="62" t="str" cm="1">
        <f t="array" ref="E144">Common_InputFunctions.Utility_DisplayArrayInTable(Fertiliser_SourceData.Fertiliser_Products_Data3(),FertiliserProducts[[#Headers],[Include or Exclude]], 40)</f>
        <v/>
      </c>
      <c r="F144" s="62" t="str" cm="1">
        <f t="array" ref="F144">Common_InputFunctions.Utility_DisplayArrayInTable(Fertiliser_SourceData.Fertiliser_Products_Data3(),FertiliserProducts[[#Headers],[Include or Exclude]], 40)</f>
        <v/>
      </c>
      <c r="G144" s="62" t="str" cm="1">
        <f t="array" ref="G144">Common_InputFunctions.Utility_DisplayArrayInTable(Fertiliser_SourceData.Fertiliser_Products_Data3(),FertiliserProducts[[#Headers],[Include or Exclude]], 40)</f>
        <v/>
      </c>
      <c r="H144" s="62" t="str" cm="1">
        <f t="array" ref="H144">Common_InputFunctions.Utility_DisplayArrayInTable(Fertiliser_SourceData.Fertiliser_Products_Data3(),FertiliserProducts[[#Headers],[Include or Exclude]], 40)</f>
        <v/>
      </c>
      <c r="I144" s="62" t="str" cm="1">
        <f t="array" ref="I144">Common_InputFunctions.Utility_DisplayArrayInTable(Fertiliser_SourceData.Fertiliser_Products_Data3(),FertiliserProducts[[#Headers],[Include or Exclude]], 40)</f>
        <v/>
      </c>
      <c r="J144" s="62" t="str" cm="1">
        <f t="array" ref="J144">Common_InputFunctions.Utility_DisplayArrayInTable(Fertiliser_SourceData.Fertiliser_Products_Data3(),FertiliserProducts[[#Headers],[Include or Exclude]], 40)</f>
        <v/>
      </c>
      <c r="K144" s="62" t="str" cm="1">
        <f t="array" ref="K144">Common_InputFunctions.Utility_DisplayArrayInTable(Fertiliser_SourceData.Fertiliser_Products_Data3(),FertiliserProducts[[#Headers],[Include or Exclude]], 40)</f>
        <v/>
      </c>
      <c r="L144" s="62" t="str" cm="1">
        <f t="array" ref="L144">Common_InputFunctions.Utility_DisplayArrayInTable(Fertiliser_SourceData.Fertiliser_Products_Data3(),FertiliserProducts[[#Headers],[Include or Exclude]], 40)</f>
        <v/>
      </c>
      <c r="M144" s="62" t="str" cm="1">
        <f t="array" ref="M144">Common_InputFunctions.Utility_DisplayArrayInTable(Fertiliser_SourceData.Fertiliser_Products_Data3(),FertiliserProducts[[#Headers],[Include or Exclude]], 40)</f>
        <v/>
      </c>
      <c r="N144" s="62" t="str" cm="1">
        <f t="array" ref="N144">Common_InputFunctions.Utility_DisplayArrayInTable(Fertiliser_SourceData.Fertiliser_Products_Data3(),FertiliserProducts[[#Headers],[Include or Exclude]], 40)</f>
        <v/>
      </c>
      <c r="O144" s="62" t="str" cm="1">
        <f t="array" ref="O144">Common_InputFunctions.Utility_DisplayArrayInTable(Fertiliser_SourceData.Fertiliser_Products_Data3(),FertiliserProducts[[#Headers],[Include or Exclude]], 40)</f>
        <v/>
      </c>
      <c r="P144" s="62" t="str" cm="1">
        <f t="array" ref="P144">Common_InputFunctions.Utility_DisplayArrayInTable(Fertiliser_SourceData.Fertiliser_Products_Data3(),FertiliserProducts[[#Headers],[Include or Exclude]], 40)</f>
        <v/>
      </c>
      <c r="Q144" s="62" t="str" cm="1">
        <f t="array" ref="Q144">Common_InputFunctions.Utility_DisplayArrayInTable(Fertiliser_SourceData.Fertiliser_Products_Data3(),FertiliserProducts[[#Headers],[Include or Exclude]], 40)</f>
        <v/>
      </c>
      <c r="R144" s="62" t="str" cm="1">
        <f t="array" ref="R144">Common_InputFunctions.Utility_DisplayArrayInTable(Fertiliser_SourceData.Fertiliser_Products_Data3(),FertiliserProducts[[#Headers],[Include or Exclude]], 40)</f>
        <v/>
      </c>
      <c r="S144" s="62" t="str" cm="1">
        <f t="array" ref="S144">Common_InputFunctions.Utility_DisplayArrayInTable(Fertiliser_SourceData.Fertiliser_Products_Data3(),FertiliserProducts[[#Headers],[Include or Exclude]], 40)</f>
        <v/>
      </c>
      <c r="T144" s="62" t="str" cm="1">
        <f t="array" ref="T144">Common_InputFunctions.Utility_DisplayArrayInTable(Fertiliser_SourceData.Fertiliser_Products_Data3(),FertiliserProducts[[#Headers],[Include or Exclude]], 40)</f>
        <v/>
      </c>
      <c r="U144" s="62" t="str" cm="1">
        <f t="array" ref="U144">Common_InputFunctions.Utility_DisplayArrayInTable(Fertiliser_SourceData.Fertiliser_Products_Data3(),FertiliserProducts[[#Headers],[Include or Exclude]], 40)</f>
        <v/>
      </c>
      <c r="V144" s="62" t="str" cm="1">
        <f t="array" ref="V144">Common_InputFunctions.Utility_DisplayArrayInTable(Fertiliser_SourceData.Fertiliser_Products_Data3(),FertiliserProducts[[#Headers],[Include or Exclude]], 40)</f>
        <v/>
      </c>
      <c r="W144" s="62" t="str" cm="1">
        <f t="array" ref="W144">Common_InputFunctions.Utility_DisplayArrayInTable(Fertiliser_SourceData.Fertiliser_Products_Data3(),FertiliserProducts[[#Headers],[Include or Exclude]], 40)</f>
        <v>Crop Nutrition Solutions (Yara Australia)</v>
      </c>
      <c r="X144" s="62" t="str" cm="1">
        <f t="array" ref="X144">Common_InputFunctions.Utility_DisplayArrayInTable(Fertiliser_SourceData.Fertiliser_Products_Data3(),FertiliserProducts[[#Headers],[Include or Exclude]], 40)</f>
        <v/>
      </c>
      <c r="Y144" s="62" t="str" cm="1">
        <f t="array" ref="Y144">Common_InputFunctions.Utility_DisplayArrayInTable(Fertiliser_SourceData.Fertiliser_Products_Data3(),FertiliserProducts[[#Headers],[Include or Exclude]], 40)</f>
        <v/>
      </c>
      <c r="Z144" s="62"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1:31" ht="20.100000000000001" customHeight="1" x14ac:dyDescent="0.25">
      <c r="A145"/>
      <c r="D145" s="62" t="str" cm="1">
        <f t="array" ref="D145">Common_InputFunctions.Utility_DisplayArrayInTable(Fertiliser_SourceData.Fertiliser_Products_Data3(),FertiliserProducts[[#Headers],[Include or Exclude]], 40)</f>
        <v>Yara Liquids P-FOL Zinc</v>
      </c>
      <c r="E145" s="62" t="str" cm="1">
        <f t="array" ref="E145">Common_InputFunctions.Utility_DisplayArrayInTable(Fertiliser_SourceData.Fertiliser_Products_Data3(),FertiliserProducts[[#Headers],[Include or Exclude]], 40)</f>
        <v/>
      </c>
      <c r="F145" s="62" t="str" cm="1">
        <f t="array" ref="F145">Common_InputFunctions.Utility_DisplayArrayInTable(Fertiliser_SourceData.Fertiliser_Products_Data3(),FertiliserProducts[[#Headers],[Include or Exclude]], 40)</f>
        <v/>
      </c>
      <c r="G145" s="62" t="str" cm="1">
        <f t="array" ref="G145">Common_InputFunctions.Utility_DisplayArrayInTable(Fertiliser_SourceData.Fertiliser_Products_Data3(),FertiliserProducts[[#Headers],[Include or Exclude]], 40)</f>
        <v/>
      </c>
      <c r="H145" s="62" t="str" cm="1">
        <f t="array" ref="H145">Common_InputFunctions.Utility_DisplayArrayInTable(Fertiliser_SourceData.Fertiliser_Products_Data3(),FertiliserProducts[[#Headers],[Include or Exclude]], 40)</f>
        <v/>
      </c>
      <c r="I145" s="62" t="str" cm="1">
        <f t="array" ref="I145">Common_InputFunctions.Utility_DisplayArrayInTable(Fertiliser_SourceData.Fertiliser_Products_Data3(),FertiliserProducts[[#Headers],[Include or Exclude]], 40)</f>
        <v/>
      </c>
      <c r="J145" s="62" t="str" cm="1">
        <f t="array" ref="J145">Common_InputFunctions.Utility_DisplayArrayInTable(Fertiliser_SourceData.Fertiliser_Products_Data3(),FertiliserProducts[[#Headers],[Include or Exclude]], 40)</f>
        <v/>
      </c>
      <c r="K145" s="62" t="str" cm="1">
        <f t="array" ref="K145">Common_InputFunctions.Utility_DisplayArrayInTable(Fertiliser_SourceData.Fertiliser_Products_Data3(),FertiliserProducts[[#Headers],[Include or Exclude]], 40)</f>
        <v/>
      </c>
      <c r="L145" s="62" t="str" cm="1">
        <f t="array" ref="L145">Common_InputFunctions.Utility_DisplayArrayInTable(Fertiliser_SourceData.Fertiliser_Products_Data3(),FertiliserProducts[[#Headers],[Include or Exclude]], 40)</f>
        <v/>
      </c>
      <c r="M145" s="62" t="str" cm="1">
        <f t="array" ref="M145">Common_InputFunctions.Utility_DisplayArrayInTable(Fertiliser_SourceData.Fertiliser_Products_Data3(),FertiliserProducts[[#Headers],[Include or Exclude]], 40)</f>
        <v/>
      </c>
      <c r="N145" s="62" t="str" cm="1">
        <f t="array" ref="N145">Common_InputFunctions.Utility_DisplayArrayInTable(Fertiliser_SourceData.Fertiliser_Products_Data3(),FertiliserProducts[[#Headers],[Include or Exclude]], 40)</f>
        <v/>
      </c>
      <c r="O145" s="62" t="str" cm="1">
        <f t="array" ref="O145">Common_InputFunctions.Utility_DisplayArrayInTable(Fertiliser_SourceData.Fertiliser_Products_Data3(),FertiliserProducts[[#Headers],[Include or Exclude]], 40)</f>
        <v/>
      </c>
      <c r="P145" s="62" t="str" cm="1">
        <f t="array" ref="P145">Common_InputFunctions.Utility_DisplayArrayInTable(Fertiliser_SourceData.Fertiliser_Products_Data3(),FertiliserProducts[[#Headers],[Include or Exclude]], 40)</f>
        <v/>
      </c>
      <c r="Q145" s="62" t="str" cm="1">
        <f t="array" ref="Q145">Common_InputFunctions.Utility_DisplayArrayInTable(Fertiliser_SourceData.Fertiliser_Products_Data3(),FertiliserProducts[[#Headers],[Include or Exclude]], 40)</f>
        <v/>
      </c>
      <c r="R145" s="62" t="str" cm="1">
        <f t="array" ref="R145">Common_InputFunctions.Utility_DisplayArrayInTable(Fertiliser_SourceData.Fertiliser_Products_Data3(),FertiliserProducts[[#Headers],[Include or Exclude]], 40)</f>
        <v/>
      </c>
      <c r="S145" s="62" t="str" cm="1">
        <f t="array" ref="S145">Common_InputFunctions.Utility_DisplayArrayInTable(Fertiliser_SourceData.Fertiliser_Products_Data3(),FertiliserProducts[[#Headers],[Include or Exclude]], 40)</f>
        <v/>
      </c>
      <c r="T145" s="62" t="str" cm="1">
        <f t="array" ref="T145">Common_InputFunctions.Utility_DisplayArrayInTable(Fertiliser_SourceData.Fertiliser_Products_Data3(),FertiliserProducts[[#Headers],[Include or Exclude]], 40)</f>
        <v/>
      </c>
      <c r="U145" s="62" t="str" cm="1">
        <f t="array" ref="U145">Common_InputFunctions.Utility_DisplayArrayInTable(Fertiliser_SourceData.Fertiliser_Products_Data3(),FertiliserProducts[[#Headers],[Include or Exclude]], 40)</f>
        <v/>
      </c>
      <c r="V145" s="62" t="str" cm="1">
        <f t="array" ref="V145">Common_InputFunctions.Utility_DisplayArrayInTable(Fertiliser_SourceData.Fertiliser_Products_Data3(),FertiliserProducts[[#Headers],[Include or Exclude]], 40)</f>
        <v/>
      </c>
      <c r="W145" s="62" t="str" cm="1">
        <f t="array" ref="W145">Common_InputFunctions.Utility_DisplayArrayInTable(Fertiliser_SourceData.Fertiliser_Products_Data3(),FertiliserProducts[[#Headers],[Include or Exclude]], 40)</f>
        <v>Crop Nutrition Solutions (Yara Australia)</v>
      </c>
      <c r="X145" s="62" t="str" cm="1">
        <f t="array" ref="X145">Common_InputFunctions.Utility_DisplayArrayInTable(Fertiliser_SourceData.Fertiliser_Products_Data3(),FertiliserProducts[[#Headers],[Include or Exclude]], 40)</f>
        <v/>
      </c>
      <c r="Y145" s="62" t="str" cm="1">
        <f t="array" ref="Y145">Common_InputFunctions.Utility_DisplayArrayInTable(Fertiliser_SourceData.Fertiliser_Products_Data3(),FertiliserProducts[[#Headers],[Include or Exclude]], 40)</f>
        <v/>
      </c>
      <c r="Z145" s="62"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1:31" ht="20.100000000000001" customHeight="1" x14ac:dyDescent="0.25">
      <c r="A146"/>
      <c r="D146" s="62" t="str" cm="1">
        <f t="array" ref="D146">Common_InputFunctions.Utility_DisplayArrayInTable(Fertiliser_SourceData.Fertiliser_Products_Data3(),FertiliserProducts[[#Headers],[Include or Exclude]], 40)</f>
        <v>Yara Liquids SULSA 11-0-0+12S</v>
      </c>
      <c r="E146" s="62" t="str" cm="1">
        <f t="array" ref="E146">Common_InputFunctions.Utility_DisplayArrayInTable(Fertiliser_SourceData.Fertiliser_Products_Data3(),FertiliserProducts[[#Headers],[Include or Exclude]], 40)</f>
        <v/>
      </c>
      <c r="F146" s="62" t="str" cm="1">
        <f t="array" ref="F146">Common_InputFunctions.Utility_DisplayArrayInTable(Fertiliser_SourceData.Fertiliser_Products_Data3(),FertiliserProducts[[#Headers],[Include or Exclude]], 40)</f>
        <v/>
      </c>
      <c r="G146" s="62" t="str" cm="1">
        <f t="array" ref="G146">Common_InputFunctions.Utility_DisplayArrayInTable(Fertiliser_SourceData.Fertiliser_Products_Data3(),FertiliserProducts[[#Headers],[Include or Exclude]], 40)</f>
        <v/>
      </c>
      <c r="H146" s="62" t="str" cm="1">
        <f t="array" ref="H146">Common_InputFunctions.Utility_DisplayArrayInTable(Fertiliser_SourceData.Fertiliser_Products_Data3(),FertiliserProducts[[#Headers],[Include or Exclude]], 40)</f>
        <v/>
      </c>
      <c r="I146" s="62" t="str" cm="1">
        <f t="array" ref="I146">Common_InputFunctions.Utility_DisplayArrayInTable(Fertiliser_SourceData.Fertiliser_Products_Data3(),FertiliserProducts[[#Headers],[Include or Exclude]], 40)</f>
        <v/>
      </c>
      <c r="J146" s="62" t="str" cm="1">
        <f t="array" ref="J146">Common_InputFunctions.Utility_DisplayArrayInTable(Fertiliser_SourceData.Fertiliser_Products_Data3(),FertiliserProducts[[#Headers],[Include or Exclude]], 40)</f>
        <v/>
      </c>
      <c r="K146" s="62" t="str" cm="1">
        <f t="array" ref="K146">Common_InputFunctions.Utility_DisplayArrayInTable(Fertiliser_SourceData.Fertiliser_Products_Data3(),FertiliserProducts[[#Headers],[Include or Exclude]], 40)</f>
        <v/>
      </c>
      <c r="L146" s="62" t="str" cm="1">
        <f t="array" ref="L146">Common_InputFunctions.Utility_DisplayArrayInTable(Fertiliser_SourceData.Fertiliser_Products_Data3(),FertiliserProducts[[#Headers],[Include or Exclude]], 40)</f>
        <v/>
      </c>
      <c r="M146" s="62" t="str" cm="1">
        <f t="array" ref="M146">Common_InputFunctions.Utility_DisplayArrayInTable(Fertiliser_SourceData.Fertiliser_Products_Data3(),FertiliserProducts[[#Headers],[Include or Exclude]], 40)</f>
        <v/>
      </c>
      <c r="N146" s="62" t="str" cm="1">
        <f t="array" ref="N146">Common_InputFunctions.Utility_DisplayArrayInTable(Fertiliser_SourceData.Fertiliser_Products_Data3(),FertiliserProducts[[#Headers],[Include or Exclude]], 40)</f>
        <v/>
      </c>
      <c r="O146" s="62" t="str" cm="1">
        <f t="array" ref="O146">Common_InputFunctions.Utility_DisplayArrayInTable(Fertiliser_SourceData.Fertiliser_Products_Data3(),FertiliserProducts[[#Headers],[Include or Exclude]], 40)</f>
        <v/>
      </c>
      <c r="P146" s="62" t="str" cm="1">
        <f t="array" ref="P146">Common_InputFunctions.Utility_DisplayArrayInTable(Fertiliser_SourceData.Fertiliser_Products_Data3(),FertiliserProducts[[#Headers],[Include or Exclude]], 40)</f>
        <v/>
      </c>
      <c r="Q146" s="62" t="str" cm="1">
        <f t="array" ref="Q146">Common_InputFunctions.Utility_DisplayArrayInTable(Fertiliser_SourceData.Fertiliser_Products_Data3(),FertiliserProducts[[#Headers],[Include or Exclude]], 40)</f>
        <v/>
      </c>
      <c r="R146" s="62" t="str" cm="1">
        <f t="array" ref="R146">Common_InputFunctions.Utility_DisplayArrayInTable(Fertiliser_SourceData.Fertiliser_Products_Data3(),FertiliserProducts[[#Headers],[Include or Exclude]], 40)</f>
        <v/>
      </c>
      <c r="S146" s="62" t="str" cm="1">
        <f t="array" ref="S146">Common_InputFunctions.Utility_DisplayArrayInTable(Fertiliser_SourceData.Fertiliser_Products_Data3(),FertiliserProducts[[#Headers],[Include or Exclude]], 40)</f>
        <v/>
      </c>
      <c r="T146" s="62" t="str" cm="1">
        <f t="array" ref="T146">Common_InputFunctions.Utility_DisplayArrayInTable(Fertiliser_SourceData.Fertiliser_Products_Data3(),FertiliserProducts[[#Headers],[Include or Exclude]], 40)</f>
        <v/>
      </c>
      <c r="U146" s="62" t="str" cm="1">
        <f t="array" ref="U146">Common_InputFunctions.Utility_DisplayArrayInTable(Fertiliser_SourceData.Fertiliser_Products_Data3(),FertiliserProducts[[#Headers],[Include or Exclude]], 40)</f>
        <v/>
      </c>
      <c r="V146" s="62" t="str" cm="1">
        <f t="array" ref="V146">Common_InputFunctions.Utility_DisplayArrayInTable(Fertiliser_SourceData.Fertiliser_Products_Data3(),FertiliserProducts[[#Headers],[Include or Exclude]], 40)</f>
        <v/>
      </c>
      <c r="W146" s="62" t="str" cm="1">
        <f t="array" ref="W146">Common_InputFunctions.Utility_DisplayArrayInTable(Fertiliser_SourceData.Fertiliser_Products_Data3(),FertiliserProducts[[#Headers],[Include or Exclude]], 40)</f>
        <v>Crop Nutrition Solutions (Yara Australia)</v>
      </c>
      <c r="X146" s="62" t="str" cm="1">
        <f t="array" ref="X146">Common_InputFunctions.Utility_DisplayArrayInTable(Fertiliser_SourceData.Fertiliser_Products_Data3(),FertiliserProducts[[#Headers],[Include or Exclude]], 40)</f>
        <v/>
      </c>
      <c r="Y146" s="62" t="str" cm="1">
        <f t="array" ref="Y146">Common_InputFunctions.Utility_DisplayArrayInTable(Fertiliser_SourceData.Fertiliser_Products_Data3(),FertiliserProducts[[#Headers],[Include or Exclude]], 40)</f>
        <v/>
      </c>
      <c r="Z146" s="62"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1:31" ht="20.100000000000001" customHeight="1" x14ac:dyDescent="0.25">
      <c r="A147"/>
      <c r="D147" s="62" t="str" cm="1">
        <f t="array" ref="D147">Common_InputFunctions.Utility_DisplayArrayInTable(Fertiliser_SourceData.Fertiliser_Products_Data3(),FertiliserProducts[[#Headers],[Include or Exclude]], 40)</f>
        <v>Yara Liquids SULSA 24-3-0+6S</v>
      </c>
      <c r="E147" s="62" t="str" cm="1">
        <f t="array" ref="E147">Common_InputFunctions.Utility_DisplayArrayInTable(Fertiliser_SourceData.Fertiliser_Products_Data3(),FertiliserProducts[[#Headers],[Include or Exclude]], 40)</f>
        <v/>
      </c>
      <c r="F147" s="62" t="str" cm="1">
        <f t="array" ref="F147">Common_InputFunctions.Utility_DisplayArrayInTable(Fertiliser_SourceData.Fertiliser_Products_Data3(),FertiliserProducts[[#Headers],[Include or Exclude]], 40)</f>
        <v/>
      </c>
      <c r="G147" s="62" t="str" cm="1">
        <f t="array" ref="G147">Common_InputFunctions.Utility_DisplayArrayInTable(Fertiliser_SourceData.Fertiliser_Products_Data3(),FertiliserProducts[[#Headers],[Include or Exclude]], 40)</f>
        <v/>
      </c>
      <c r="H147" s="62" t="str" cm="1">
        <f t="array" ref="H147">Common_InputFunctions.Utility_DisplayArrayInTable(Fertiliser_SourceData.Fertiliser_Products_Data3(),FertiliserProducts[[#Headers],[Include or Exclude]], 40)</f>
        <v/>
      </c>
      <c r="I147" s="62" t="str" cm="1">
        <f t="array" ref="I147">Common_InputFunctions.Utility_DisplayArrayInTable(Fertiliser_SourceData.Fertiliser_Products_Data3(),FertiliserProducts[[#Headers],[Include or Exclude]], 40)</f>
        <v/>
      </c>
      <c r="J147" s="62" t="str" cm="1">
        <f t="array" ref="J147">Common_InputFunctions.Utility_DisplayArrayInTable(Fertiliser_SourceData.Fertiliser_Products_Data3(),FertiliserProducts[[#Headers],[Include or Exclude]], 40)</f>
        <v/>
      </c>
      <c r="K147" s="62" t="str" cm="1">
        <f t="array" ref="K147">Common_InputFunctions.Utility_DisplayArrayInTable(Fertiliser_SourceData.Fertiliser_Products_Data3(),FertiliserProducts[[#Headers],[Include or Exclude]], 40)</f>
        <v/>
      </c>
      <c r="L147" s="62" t="str" cm="1">
        <f t="array" ref="L147">Common_InputFunctions.Utility_DisplayArrayInTable(Fertiliser_SourceData.Fertiliser_Products_Data3(),FertiliserProducts[[#Headers],[Include or Exclude]], 40)</f>
        <v/>
      </c>
      <c r="M147" s="62" t="str" cm="1">
        <f t="array" ref="M147">Common_InputFunctions.Utility_DisplayArrayInTable(Fertiliser_SourceData.Fertiliser_Products_Data3(),FertiliserProducts[[#Headers],[Include or Exclude]], 40)</f>
        <v/>
      </c>
      <c r="N147" s="62" t="str" cm="1">
        <f t="array" ref="N147">Common_InputFunctions.Utility_DisplayArrayInTable(Fertiliser_SourceData.Fertiliser_Products_Data3(),FertiliserProducts[[#Headers],[Include or Exclude]], 40)</f>
        <v/>
      </c>
      <c r="O147" s="62" t="str" cm="1">
        <f t="array" ref="O147">Common_InputFunctions.Utility_DisplayArrayInTable(Fertiliser_SourceData.Fertiliser_Products_Data3(),FertiliserProducts[[#Headers],[Include or Exclude]], 40)</f>
        <v/>
      </c>
      <c r="P147" s="62" t="str" cm="1">
        <f t="array" ref="P147">Common_InputFunctions.Utility_DisplayArrayInTable(Fertiliser_SourceData.Fertiliser_Products_Data3(),FertiliserProducts[[#Headers],[Include or Exclude]], 40)</f>
        <v/>
      </c>
      <c r="Q147" s="62" t="str" cm="1">
        <f t="array" ref="Q147">Common_InputFunctions.Utility_DisplayArrayInTable(Fertiliser_SourceData.Fertiliser_Products_Data3(),FertiliserProducts[[#Headers],[Include or Exclude]], 40)</f>
        <v/>
      </c>
      <c r="R147" s="62" t="str" cm="1">
        <f t="array" ref="R147">Common_InputFunctions.Utility_DisplayArrayInTable(Fertiliser_SourceData.Fertiliser_Products_Data3(),FertiliserProducts[[#Headers],[Include or Exclude]], 40)</f>
        <v/>
      </c>
      <c r="S147" s="62" t="str" cm="1">
        <f t="array" ref="S147">Common_InputFunctions.Utility_DisplayArrayInTable(Fertiliser_SourceData.Fertiliser_Products_Data3(),FertiliserProducts[[#Headers],[Include or Exclude]], 40)</f>
        <v/>
      </c>
      <c r="T147" s="62" t="str" cm="1">
        <f t="array" ref="T147">Common_InputFunctions.Utility_DisplayArrayInTable(Fertiliser_SourceData.Fertiliser_Products_Data3(),FertiliserProducts[[#Headers],[Include or Exclude]], 40)</f>
        <v/>
      </c>
      <c r="U147" s="62" t="str" cm="1">
        <f t="array" ref="U147">Common_InputFunctions.Utility_DisplayArrayInTable(Fertiliser_SourceData.Fertiliser_Products_Data3(),FertiliserProducts[[#Headers],[Include or Exclude]], 40)</f>
        <v/>
      </c>
      <c r="V147" s="62" t="str" cm="1">
        <f t="array" ref="V147">Common_InputFunctions.Utility_DisplayArrayInTable(Fertiliser_SourceData.Fertiliser_Products_Data3(),FertiliserProducts[[#Headers],[Include or Exclude]], 40)</f>
        <v/>
      </c>
      <c r="W147" s="62" t="str" cm="1">
        <f t="array" ref="W147">Common_InputFunctions.Utility_DisplayArrayInTable(Fertiliser_SourceData.Fertiliser_Products_Data3(),FertiliserProducts[[#Headers],[Include or Exclude]], 40)</f>
        <v>Crop Nutrition Solutions (Yara Australia)</v>
      </c>
      <c r="X147" s="62" t="str" cm="1">
        <f t="array" ref="X147">Common_InputFunctions.Utility_DisplayArrayInTable(Fertiliser_SourceData.Fertiliser_Products_Data3(),FertiliserProducts[[#Headers],[Include or Exclude]], 40)</f>
        <v/>
      </c>
      <c r="Y147" s="62" t="str" cm="1">
        <f t="array" ref="Y147">Common_InputFunctions.Utility_DisplayArrayInTable(Fertiliser_SourceData.Fertiliser_Products_Data3(),FertiliserProducts[[#Headers],[Include or Exclude]], 40)</f>
        <v/>
      </c>
      <c r="Z147" s="62"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1:31" ht="20.100000000000001" customHeight="1" x14ac:dyDescent="0.25">
      <c r="A148"/>
      <c r="D148" s="62" t="str" cm="1">
        <f t="array" ref="D148">Common_InputFunctions.Utility_DisplayArrayInTable(Fertiliser_SourceData.Fertiliser_Products_Data3(),FertiliserProducts[[#Headers],[Include or Exclude]], 40)</f>
        <v>Yara Liquids SULSA 27-0-0+7S</v>
      </c>
      <c r="E148" s="62" t="str" cm="1">
        <f t="array" ref="E148">Common_InputFunctions.Utility_DisplayArrayInTable(Fertiliser_SourceData.Fertiliser_Products_Data3(),FertiliserProducts[[#Headers],[Include or Exclude]], 40)</f>
        <v/>
      </c>
      <c r="F148" s="62" t="str" cm="1">
        <f t="array" ref="F148">Common_InputFunctions.Utility_DisplayArrayInTable(Fertiliser_SourceData.Fertiliser_Products_Data3(),FertiliserProducts[[#Headers],[Include or Exclude]], 40)</f>
        <v/>
      </c>
      <c r="G148" s="62" t="str" cm="1">
        <f t="array" ref="G148">Common_InputFunctions.Utility_DisplayArrayInTable(Fertiliser_SourceData.Fertiliser_Products_Data3(),FertiliserProducts[[#Headers],[Include or Exclude]], 40)</f>
        <v/>
      </c>
      <c r="H148" s="62" t="str" cm="1">
        <f t="array" ref="H148">Common_InputFunctions.Utility_DisplayArrayInTable(Fertiliser_SourceData.Fertiliser_Products_Data3(),FertiliserProducts[[#Headers],[Include or Exclude]], 40)</f>
        <v/>
      </c>
      <c r="I148" s="62" t="str" cm="1">
        <f t="array" ref="I148">Common_InputFunctions.Utility_DisplayArrayInTable(Fertiliser_SourceData.Fertiliser_Products_Data3(),FertiliserProducts[[#Headers],[Include or Exclude]], 40)</f>
        <v/>
      </c>
      <c r="J148" s="62" t="str" cm="1">
        <f t="array" ref="J148">Common_InputFunctions.Utility_DisplayArrayInTable(Fertiliser_SourceData.Fertiliser_Products_Data3(),FertiliserProducts[[#Headers],[Include or Exclude]], 40)</f>
        <v/>
      </c>
      <c r="K148" s="62" t="str" cm="1">
        <f t="array" ref="K148">Common_InputFunctions.Utility_DisplayArrayInTable(Fertiliser_SourceData.Fertiliser_Products_Data3(),FertiliserProducts[[#Headers],[Include or Exclude]], 40)</f>
        <v/>
      </c>
      <c r="L148" s="62" t="str" cm="1">
        <f t="array" ref="L148">Common_InputFunctions.Utility_DisplayArrayInTable(Fertiliser_SourceData.Fertiliser_Products_Data3(),FertiliserProducts[[#Headers],[Include or Exclude]], 40)</f>
        <v/>
      </c>
      <c r="M148" s="62" t="str" cm="1">
        <f t="array" ref="M148">Common_InputFunctions.Utility_DisplayArrayInTable(Fertiliser_SourceData.Fertiliser_Products_Data3(),FertiliserProducts[[#Headers],[Include or Exclude]], 40)</f>
        <v/>
      </c>
      <c r="N148" s="62" t="str" cm="1">
        <f t="array" ref="N148">Common_InputFunctions.Utility_DisplayArrayInTable(Fertiliser_SourceData.Fertiliser_Products_Data3(),FertiliserProducts[[#Headers],[Include or Exclude]], 40)</f>
        <v/>
      </c>
      <c r="O148" s="62" t="str" cm="1">
        <f t="array" ref="O148">Common_InputFunctions.Utility_DisplayArrayInTable(Fertiliser_SourceData.Fertiliser_Products_Data3(),FertiliserProducts[[#Headers],[Include or Exclude]], 40)</f>
        <v/>
      </c>
      <c r="P148" s="62" t="str" cm="1">
        <f t="array" ref="P148">Common_InputFunctions.Utility_DisplayArrayInTable(Fertiliser_SourceData.Fertiliser_Products_Data3(),FertiliserProducts[[#Headers],[Include or Exclude]], 40)</f>
        <v/>
      </c>
      <c r="Q148" s="62" t="str" cm="1">
        <f t="array" ref="Q148">Common_InputFunctions.Utility_DisplayArrayInTable(Fertiliser_SourceData.Fertiliser_Products_Data3(),FertiliserProducts[[#Headers],[Include or Exclude]], 40)</f>
        <v/>
      </c>
      <c r="R148" s="62" t="str" cm="1">
        <f t="array" ref="R148">Common_InputFunctions.Utility_DisplayArrayInTable(Fertiliser_SourceData.Fertiliser_Products_Data3(),FertiliserProducts[[#Headers],[Include or Exclude]], 40)</f>
        <v/>
      </c>
      <c r="S148" s="62" t="str" cm="1">
        <f t="array" ref="S148">Common_InputFunctions.Utility_DisplayArrayInTable(Fertiliser_SourceData.Fertiliser_Products_Data3(),FertiliserProducts[[#Headers],[Include or Exclude]], 40)</f>
        <v/>
      </c>
      <c r="T148" s="62" t="str" cm="1">
        <f t="array" ref="T148">Common_InputFunctions.Utility_DisplayArrayInTable(Fertiliser_SourceData.Fertiliser_Products_Data3(),FertiliserProducts[[#Headers],[Include or Exclude]], 40)</f>
        <v/>
      </c>
      <c r="U148" s="62" t="str" cm="1">
        <f t="array" ref="U148">Common_InputFunctions.Utility_DisplayArrayInTable(Fertiliser_SourceData.Fertiliser_Products_Data3(),FertiliserProducts[[#Headers],[Include or Exclude]], 40)</f>
        <v/>
      </c>
      <c r="V148" s="62" t="str" cm="1">
        <f t="array" ref="V148">Common_InputFunctions.Utility_DisplayArrayInTable(Fertiliser_SourceData.Fertiliser_Products_Data3(),FertiliserProducts[[#Headers],[Include or Exclude]], 40)</f>
        <v/>
      </c>
      <c r="W148" s="62" t="str" cm="1">
        <f t="array" ref="W148">Common_InputFunctions.Utility_DisplayArrayInTable(Fertiliser_SourceData.Fertiliser_Products_Data3(),FertiliserProducts[[#Headers],[Include or Exclude]], 40)</f>
        <v>Crop Nutrition Solutions (Yara Australia)</v>
      </c>
      <c r="X148" s="62" t="str" cm="1">
        <f t="array" ref="X148">Common_InputFunctions.Utility_DisplayArrayInTable(Fertiliser_SourceData.Fertiliser_Products_Data3(),FertiliserProducts[[#Headers],[Include or Exclude]], 40)</f>
        <v/>
      </c>
      <c r="Y148" s="62" t="str" cm="1">
        <f t="array" ref="Y148">Common_InputFunctions.Utility_DisplayArrayInTable(Fertiliser_SourceData.Fertiliser_Products_Data3(),FertiliserProducts[[#Headers],[Include or Exclude]], 40)</f>
        <v/>
      </c>
      <c r="Z148" s="62"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1:31" ht="20.100000000000001" customHeight="1" x14ac:dyDescent="0.25">
      <c r="A149"/>
      <c r="D149" s="62" t="str" cm="1">
        <f t="array" ref="D149">Common_InputFunctions.Utility_DisplayArrayInTable(Fertiliser_SourceData.Fertiliser_Products_Data4(),FertiliserProducts[[#Headers],[Include or Exclude]], 60)</f>
        <v>Product</v>
      </c>
      <c r="E149" s="62" t="str" cm="1">
        <f t="array" ref="E149">Common_InputFunctions.Utility_DisplayArrayInTable(Fertiliser_SourceData.Fertiliser_Products_Data4(),FertiliserProducts[[#Headers],[Include or Exclude]], 60)</f>
        <v>Ingredient 1</v>
      </c>
      <c r="F149" s="62" t="str" cm="1">
        <f t="array" ref="F149">Common_InputFunctions.Utility_DisplayArrayInTable(Fertiliser_SourceData.Fertiliser_Products_Data4(),FertiliserProducts[[#Headers],[Include or Exclude]], 60)</f>
        <v>Ingredient 1 percent</v>
      </c>
      <c r="G149" s="62" t="str" cm="1">
        <f t="array" ref="G149">Common_InputFunctions.Utility_DisplayArrayInTable(Fertiliser_SourceData.Fertiliser_Products_Data4(),FertiliserProducts[[#Headers],[Include or Exclude]], 60)</f>
        <v>Ingredient 1 source</v>
      </c>
      <c r="H149" s="62" t="str" cm="1">
        <f t="array" ref="H149">Common_InputFunctions.Utility_DisplayArrayInTable(Fertiliser_SourceData.Fertiliser_Products_Data4(),FertiliserProducts[[#Headers],[Include or Exclude]], 60)</f>
        <v>Ingredient 2</v>
      </c>
      <c r="I149" s="62" t="str" cm="1">
        <f t="array" ref="I149">Common_InputFunctions.Utility_DisplayArrayInTable(Fertiliser_SourceData.Fertiliser_Products_Data4(),FertiliserProducts[[#Headers],[Include or Exclude]], 60)</f>
        <v>Ingredient 2 percent</v>
      </c>
      <c r="J149" s="62" t="str" cm="1">
        <f t="array" ref="J149">Common_InputFunctions.Utility_DisplayArrayInTable(Fertiliser_SourceData.Fertiliser_Products_Data4(),FertiliserProducts[[#Headers],[Include or Exclude]], 60)</f>
        <v>Ingredient 2 source</v>
      </c>
      <c r="K149" s="62" t="str" cm="1">
        <f t="array" ref="K149">Common_InputFunctions.Utility_DisplayArrayInTable(Fertiliser_SourceData.Fertiliser_Products_Data4(),FertiliserProducts[[#Headers],[Include or Exclude]], 60)</f>
        <v>Ingredient 3</v>
      </c>
      <c r="L149" s="62" t="str" cm="1">
        <f t="array" ref="L149">Common_InputFunctions.Utility_DisplayArrayInTable(Fertiliser_SourceData.Fertiliser_Products_Data4(),FertiliserProducts[[#Headers],[Include or Exclude]], 60)</f>
        <v>Ingredient 3 percent</v>
      </c>
      <c r="M149" s="62" t="str" cm="1">
        <f t="array" ref="M149">Common_InputFunctions.Utility_DisplayArrayInTable(Fertiliser_SourceData.Fertiliser_Products_Data4(),FertiliserProducts[[#Headers],[Include or Exclude]], 60)</f>
        <v>Ingredient 3 source</v>
      </c>
      <c r="N149" s="62" t="str" cm="1">
        <f t="array" ref="N149">Common_InputFunctions.Utility_DisplayArrayInTable(Fertiliser_SourceData.Fertiliser_Products_Data4(),FertiliserProducts[[#Headers],[Include or Exclude]], 60)</f>
        <v>Ingredient 4</v>
      </c>
      <c r="O149" s="62" t="str" cm="1">
        <f t="array" ref="O149">Common_InputFunctions.Utility_DisplayArrayInTable(Fertiliser_SourceData.Fertiliser_Products_Data4(),FertiliserProducts[[#Headers],[Include or Exclude]], 60)</f>
        <v>Ingredient 4 percent</v>
      </c>
      <c r="P149" s="62" t="str" cm="1">
        <f t="array" ref="P149">Common_InputFunctions.Utility_DisplayArrayInTable(Fertiliser_SourceData.Fertiliser_Products_Data4(),FertiliserProducts[[#Headers],[Include or Exclude]], 60)</f>
        <v>Ingredient 4 source</v>
      </c>
      <c r="Q149" s="62" t="str" cm="1">
        <f t="array" ref="Q149">Common_InputFunctions.Utility_DisplayArrayInTable(Fertiliser_SourceData.Fertiliser_Products_Data4(),FertiliserProducts[[#Headers],[Include or Exclude]], 60)</f>
        <v>Ingredient 5</v>
      </c>
      <c r="R149" s="62" t="str" cm="1">
        <f t="array" ref="R149">Common_InputFunctions.Utility_DisplayArrayInTable(Fertiliser_SourceData.Fertiliser_Products_Data4(),FertiliserProducts[[#Headers],[Include or Exclude]], 60)</f>
        <v>Ingredient 5 percent</v>
      </c>
      <c r="S149" s="62" t="str" cm="1">
        <f t="array" ref="S149">Common_InputFunctions.Utility_DisplayArrayInTable(Fertiliser_SourceData.Fertiliser_Products_Data4(),FertiliserProducts[[#Headers],[Include or Exclude]], 60)</f>
        <v>Ingredient 5 source</v>
      </c>
      <c r="T149" s="62" t="str" cm="1">
        <f t="array" ref="T149">Common_InputFunctions.Utility_DisplayArrayInTable(Fertiliser_SourceData.Fertiliser_Products_Data4(),FertiliserProducts[[#Headers],[Include or Exclude]], 60)</f>
        <v>Ingredient 6</v>
      </c>
      <c r="U149" s="62" t="str" cm="1">
        <f t="array" ref="U149">Common_InputFunctions.Utility_DisplayArrayInTable(Fertiliser_SourceData.Fertiliser_Products_Data4(),FertiliserProducts[[#Headers],[Include or Exclude]], 60)</f>
        <v>Ingredient 6 percent</v>
      </c>
      <c r="V149" s="62" t="str" cm="1">
        <f t="array" ref="V149">Common_InputFunctions.Utility_DisplayArrayInTable(Fertiliser_SourceData.Fertiliser_Products_Data4(),FertiliserProducts[[#Headers],[Include or Exclude]], 60)</f>
        <v>Ingredient 6 source</v>
      </c>
      <c r="W149" s="62" t="str" cm="1">
        <f t="array" ref="W149">Common_InputFunctions.Utility_DisplayArrayInTable(Fertiliser_SourceData.Fertiliser_Products_Data4(),FertiliserProducts[[#Headers],[Include or Exclude]], 60)</f>
        <v>Product info link</v>
      </c>
      <c r="X149" s="62" t="str" cm="1">
        <f t="array" ref="X149">Common_InputFunctions.Utility_DisplayArrayInTable(Fertiliser_SourceData.Fertiliser_Products_Data4(),FertiliserProducts[[#Headers],[Include or Exclude]], 60)</f>
        <v/>
      </c>
      <c r="Y149" s="62" t="str" cm="1">
        <f t="array" ref="Y149">Common_InputFunctions.Utility_DisplayArrayInTable(Fertiliser_SourceData.Fertiliser_Products_Data4(),FertiliserProducts[[#Headers],[Include or Exclude]], 60)</f>
        <v/>
      </c>
      <c r="Z149" s="62"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1:31" ht="20.100000000000001" customHeight="1" x14ac:dyDescent="0.25">
      <c r="A150"/>
      <c r="D150" s="62" t="str" cm="1">
        <f t="array" ref="D150">Common_InputFunctions.Utility_DisplayArrayInTable(Fertiliser_SourceData.Fertiliser_Products_Data4(),FertiliserProducts[[#Headers],[Include or Exclude]], 60)</f>
        <v>YaraVita BRASSITREL PRO</v>
      </c>
      <c r="E150" s="62" t="str" cm="1">
        <f t="array" ref="E150">Common_InputFunctions.Utility_DisplayArrayInTable(Fertiliser_SourceData.Fertiliser_Products_Data4(),FertiliserProducts[[#Headers],[Include or Exclude]], 60)</f>
        <v/>
      </c>
      <c r="F150" s="62" t="str" cm="1">
        <f t="array" ref="F150">Common_InputFunctions.Utility_DisplayArrayInTable(Fertiliser_SourceData.Fertiliser_Products_Data4(),FertiliserProducts[[#Headers],[Include or Exclude]], 60)</f>
        <v/>
      </c>
      <c r="G150" s="62" t="str" cm="1">
        <f t="array" ref="G150">Common_InputFunctions.Utility_DisplayArrayInTable(Fertiliser_SourceData.Fertiliser_Products_Data4(),FertiliserProducts[[#Headers],[Include or Exclude]], 60)</f>
        <v/>
      </c>
      <c r="H150" s="62" t="str" cm="1">
        <f t="array" ref="H150">Common_InputFunctions.Utility_DisplayArrayInTable(Fertiliser_SourceData.Fertiliser_Products_Data4(),FertiliserProducts[[#Headers],[Include or Exclude]], 60)</f>
        <v/>
      </c>
      <c r="I150" s="62" t="str" cm="1">
        <f t="array" ref="I150">Common_InputFunctions.Utility_DisplayArrayInTable(Fertiliser_SourceData.Fertiliser_Products_Data4(),FertiliserProducts[[#Headers],[Include or Exclude]], 60)</f>
        <v/>
      </c>
      <c r="J150" s="62" t="str" cm="1">
        <f t="array" ref="J150">Common_InputFunctions.Utility_DisplayArrayInTable(Fertiliser_SourceData.Fertiliser_Products_Data4(),FertiliserProducts[[#Headers],[Include or Exclude]], 60)</f>
        <v/>
      </c>
      <c r="K150" s="62" t="str" cm="1">
        <f t="array" ref="K150">Common_InputFunctions.Utility_DisplayArrayInTable(Fertiliser_SourceData.Fertiliser_Products_Data4(),FertiliserProducts[[#Headers],[Include or Exclude]], 60)</f>
        <v/>
      </c>
      <c r="L150" s="62" t="str" cm="1">
        <f t="array" ref="L150">Common_InputFunctions.Utility_DisplayArrayInTable(Fertiliser_SourceData.Fertiliser_Products_Data4(),FertiliserProducts[[#Headers],[Include or Exclude]], 60)</f>
        <v/>
      </c>
      <c r="M150" s="62" t="str" cm="1">
        <f t="array" ref="M150">Common_InputFunctions.Utility_DisplayArrayInTable(Fertiliser_SourceData.Fertiliser_Products_Data4(),FertiliserProducts[[#Headers],[Include or Exclude]], 60)</f>
        <v/>
      </c>
      <c r="N150" s="62" t="str" cm="1">
        <f t="array" ref="N150">Common_InputFunctions.Utility_DisplayArrayInTable(Fertiliser_SourceData.Fertiliser_Products_Data4(),FertiliserProducts[[#Headers],[Include or Exclude]], 60)</f>
        <v/>
      </c>
      <c r="O150" s="62" t="str" cm="1">
        <f t="array" ref="O150">Common_InputFunctions.Utility_DisplayArrayInTable(Fertiliser_SourceData.Fertiliser_Products_Data4(),FertiliserProducts[[#Headers],[Include or Exclude]], 60)</f>
        <v/>
      </c>
      <c r="P150" s="62" t="str" cm="1">
        <f t="array" ref="P150">Common_InputFunctions.Utility_DisplayArrayInTable(Fertiliser_SourceData.Fertiliser_Products_Data4(),FertiliserProducts[[#Headers],[Include or Exclude]], 60)</f>
        <v/>
      </c>
      <c r="Q150" s="62" t="str" cm="1">
        <f t="array" ref="Q150">Common_InputFunctions.Utility_DisplayArrayInTable(Fertiliser_SourceData.Fertiliser_Products_Data4(),FertiliserProducts[[#Headers],[Include or Exclude]], 60)</f>
        <v/>
      </c>
      <c r="R150" s="62" t="str" cm="1">
        <f t="array" ref="R150">Common_InputFunctions.Utility_DisplayArrayInTable(Fertiliser_SourceData.Fertiliser_Products_Data4(),FertiliserProducts[[#Headers],[Include or Exclude]], 60)</f>
        <v/>
      </c>
      <c r="S150" s="62" t="str" cm="1">
        <f t="array" ref="S150">Common_InputFunctions.Utility_DisplayArrayInTable(Fertiliser_SourceData.Fertiliser_Products_Data4(),FertiliserProducts[[#Headers],[Include or Exclude]], 60)</f>
        <v/>
      </c>
      <c r="T150" s="62" t="str" cm="1">
        <f t="array" ref="T150">Common_InputFunctions.Utility_DisplayArrayInTable(Fertiliser_SourceData.Fertiliser_Products_Data4(),FertiliserProducts[[#Headers],[Include or Exclude]], 60)</f>
        <v/>
      </c>
      <c r="U150" s="62" t="str" cm="1">
        <f t="array" ref="U150">Common_InputFunctions.Utility_DisplayArrayInTable(Fertiliser_SourceData.Fertiliser_Products_Data4(),FertiliserProducts[[#Headers],[Include or Exclude]], 60)</f>
        <v/>
      </c>
      <c r="V150" s="62" t="str" cm="1">
        <f t="array" ref="V150">Common_InputFunctions.Utility_DisplayArrayInTable(Fertiliser_SourceData.Fertiliser_Products_Data4(),FertiliserProducts[[#Headers],[Include or Exclude]], 60)</f>
        <v/>
      </c>
      <c r="W150" s="62" t="str" cm="1">
        <f t="array" ref="W150">Common_InputFunctions.Utility_DisplayArrayInTable(Fertiliser_SourceData.Fertiliser_Products_Data4(),FertiliserProducts[[#Headers],[Include or Exclude]], 60)</f>
        <v>Crop Nutrition Solutions (Yara Australia)</v>
      </c>
      <c r="X150" s="62" t="str" cm="1">
        <f t="array" ref="X150">Common_InputFunctions.Utility_DisplayArrayInTable(Fertiliser_SourceData.Fertiliser_Products_Data4(),FertiliserProducts[[#Headers],[Include or Exclude]], 60)</f>
        <v/>
      </c>
      <c r="Y150" s="62" t="str" cm="1">
        <f t="array" ref="Y150">Common_InputFunctions.Utility_DisplayArrayInTable(Fertiliser_SourceData.Fertiliser_Products_Data4(),FertiliserProducts[[#Headers],[Include or Exclude]], 60)</f>
        <v/>
      </c>
      <c r="Z150" s="62"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1:31" ht="20.100000000000001" customHeight="1" x14ac:dyDescent="0.25">
      <c r="A151"/>
      <c r="D151" s="62" t="str" cm="1">
        <f t="array" ref="D151">Common_InputFunctions.Utility_DisplayArrayInTable(Fertiliser_SourceData.Fertiliser_Products_Data4(),FertiliserProducts[[#Headers],[Include or Exclude]], 60)</f>
        <v>YaraVita BUD BUILDER FL</v>
      </c>
      <c r="E151" s="62" t="str" cm="1">
        <f t="array" ref="E151">Common_InputFunctions.Utility_DisplayArrayInTable(Fertiliser_SourceData.Fertiliser_Products_Data4(),FertiliserProducts[[#Headers],[Include or Exclude]], 60)</f>
        <v/>
      </c>
      <c r="F151" s="62" t="str" cm="1">
        <f t="array" ref="F151">Common_InputFunctions.Utility_DisplayArrayInTable(Fertiliser_SourceData.Fertiliser_Products_Data4(),FertiliserProducts[[#Headers],[Include or Exclude]], 60)</f>
        <v/>
      </c>
      <c r="G151" s="62" t="str" cm="1">
        <f t="array" ref="G151">Common_InputFunctions.Utility_DisplayArrayInTable(Fertiliser_SourceData.Fertiliser_Products_Data4(),FertiliserProducts[[#Headers],[Include or Exclude]], 60)</f>
        <v/>
      </c>
      <c r="H151" s="62" t="str" cm="1">
        <f t="array" ref="H151">Common_InputFunctions.Utility_DisplayArrayInTable(Fertiliser_SourceData.Fertiliser_Products_Data4(),FertiliserProducts[[#Headers],[Include or Exclude]], 60)</f>
        <v/>
      </c>
      <c r="I151" s="62" t="str" cm="1">
        <f t="array" ref="I151">Common_InputFunctions.Utility_DisplayArrayInTable(Fertiliser_SourceData.Fertiliser_Products_Data4(),FertiliserProducts[[#Headers],[Include or Exclude]], 60)</f>
        <v/>
      </c>
      <c r="J151" s="62" t="str" cm="1">
        <f t="array" ref="J151">Common_InputFunctions.Utility_DisplayArrayInTable(Fertiliser_SourceData.Fertiliser_Products_Data4(),FertiliserProducts[[#Headers],[Include or Exclude]], 60)</f>
        <v/>
      </c>
      <c r="K151" s="62" t="str" cm="1">
        <f t="array" ref="K151">Common_InputFunctions.Utility_DisplayArrayInTable(Fertiliser_SourceData.Fertiliser_Products_Data4(),FertiliserProducts[[#Headers],[Include or Exclude]], 60)</f>
        <v/>
      </c>
      <c r="L151" s="62" t="str" cm="1">
        <f t="array" ref="L151">Common_InputFunctions.Utility_DisplayArrayInTable(Fertiliser_SourceData.Fertiliser_Products_Data4(),FertiliserProducts[[#Headers],[Include or Exclude]], 60)</f>
        <v/>
      </c>
      <c r="M151" s="62" t="str" cm="1">
        <f t="array" ref="M151">Common_InputFunctions.Utility_DisplayArrayInTable(Fertiliser_SourceData.Fertiliser_Products_Data4(),FertiliserProducts[[#Headers],[Include or Exclude]], 60)</f>
        <v/>
      </c>
      <c r="N151" s="62" t="str" cm="1">
        <f t="array" ref="N151">Common_InputFunctions.Utility_DisplayArrayInTable(Fertiliser_SourceData.Fertiliser_Products_Data4(),FertiliserProducts[[#Headers],[Include or Exclude]], 60)</f>
        <v/>
      </c>
      <c r="O151" s="62" t="str" cm="1">
        <f t="array" ref="O151">Common_InputFunctions.Utility_DisplayArrayInTable(Fertiliser_SourceData.Fertiliser_Products_Data4(),FertiliserProducts[[#Headers],[Include or Exclude]], 60)</f>
        <v/>
      </c>
      <c r="P151" s="62" t="str" cm="1">
        <f t="array" ref="P151">Common_InputFunctions.Utility_DisplayArrayInTable(Fertiliser_SourceData.Fertiliser_Products_Data4(),FertiliserProducts[[#Headers],[Include or Exclude]], 60)</f>
        <v/>
      </c>
      <c r="Q151" s="62" t="str" cm="1">
        <f t="array" ref="Q151">Common_InputFunctions.Utility_DisplayArrayInTable(Fertiliser_SourceData.Fertiliser_Products_Data4(),FertiliserProducts[[#Headers],[Include or Exclude]], 60)</f>
        <v/>
      </c>
      <c r="R151" s="62" t="str" cm="1">
        <f t="array" ref="R151">Common_InputFunctions.Utility_DisplayArrayInTable(Fertiliser_SourceData.Fertiliser_Products_Data4(),FertiliserProducts[[#Headers],[Include or Exclude]], 60)</f>
        <v/>
      </c>
      <c r="S151" s="62" t="str" cm="1">
        <f t="array" ref="S151">Common_InputFunctions.Utility_DisplayArrayInTable(Fertiliser_SourceData.Fertiliser_Products_Data4(),FertiliserProducts[[#Headers],[Include or Exclude]], 60)</f>
        <v/>
      </c>
      <c r="T151" s="62" t="str" cm="1">
        <f t="array" ref="T151">Common_InputFunctions.Utility_DisplayArrayInTable(Fertiliser_SourceData.Fertiliser_Products_Data4(),FertiliserProducts[[#Headers],[Include or Exclude]], 60)</f>
        <v/>
      </c>
      <c r="U151" s="62" t="str" cm="1">
        <f t="array" ref="U151">Common_InputFunctions.Utility_DisplayArrayInTable(Fertiliser_SourceData.Fertiliser_Products_Data4(),FertiliserProducts[[#Headers],[Include or Exclude]], 60)</f>
        <v/>
      </c>
      <c r="V151" s="62" t="str" cm="1">
        <f t="array" ref="V151">Common_InputFunctions.Utility_DisplayArrayInTable(Fertiliser_SourceData.Fertiliser_Products_Data4(),FertiliserProducts[[#Headers],[Include or Exclude]], 60)</f>
        <v/>
      </c>
      <c r="W151" s="62" t="str" cm="1">
        <f t="array" ref="W151">Common_InputFunctions.Utility_DisplayArrayInTable(Fertiliser_SourceData.Fertiliser_Products_Data4(),FertiliserProducts[[#Headers],[Include or Exclude]], 60)</f>
        <v>Crop Nutrition Solutions (Yara Australia)</v>
      </c>
      <c r="X151" s="62" t="str" cm="1">
        <f t="array" ref="X151">Common_InputFunctions.Utility_DisplayArrayInTable(Fertiliser_SourceData.Fertiliser_Products_Data4(),FertiliserProducts[[#Headers],[Include or Exclude]], 60)</f>
        <v/>
      </c>
      <c r="Y151" s="62" t="str" cm="1">
        <f t="array" ref="Y151">Common_InputFunctions.Utility_DisplayArrayInTable(Fertiliser_SourceData.Fertiliser_Products_Data4(),FertiliserProducts[[#Headers],[Include or Exclude]], 60)</f>
        <v/>
      </c>
      <c r="Z151" s="62"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1:31" ht="20.100000000000001" customHeight="1" x14ac:dyDescent="0.25">
      <c r="A152"/>
      <c r="D152" s="62" t="str" cm="1">
        <f t="array" ref="D152">Common_InputFunctions.Utility_DisplayArrayInTable(Fertiliser_SourceData.Fertiliser_Products_Data4(),FertiliserProducts[[#Headers],[Include or Exclude]], 60)</f>
        <v>YaraVita FRUTREL</v>
      </c>
      <c r="E152" s="62" t="str" cm="1">
        <f t="array" ref="E152">Common_InputFunctions.Utility_DisplayArrayInTable(Fertiliser_SourceData.Fertiliser_Products_Data4(),FertiliserProducts[[#Headers],[Include or Exclude]], 60)</f>
        <v/>
      </c>
      <c r="F152" s="62" t="str" cm="1">
        <f t="array" ref="F152">Common_InputFunctions.Utility_DisplayArrayInTable(Fertiliser_SourceData.Fertiliser_Products_Data4(),FertiliserProducts[[#Headers],[Include or Exclude]], 60)</f>
        <v/>
      </c>
      <c r="G152" s="62" t="str" cm="1">
        <f t="array" ref="G152">Common_InputFunctions.Utility_DisplayArrayInTable(Fertiliser_SourceData.Fertiliser_Products_Data4(),FertiliserProducts[[#Headers],[Include or Exclude]], 60)</f>
        <v/>
      </c>
      <c r="H152" s="62" t="str" cm="1">
        <f t="array" ref="H152">Common_InputFunctions.Utility_DisplayArrayInTable(Fertiliser_SourceData.Fertiliser_Products_Data4(),FertiliserProducts[[#Headers],[Include or Exclude]], 60)</f>
        <v/>
      </c>
      <c r="I152" s="62" t="str" cm="1">
        <f t="array" ref="I152">Common_InputFunctions.Utility_DisplayArrayInTable(Fertiliser_SourceData.Fertiliser_Products_Data4(),FertiliserProducts[[#Headers],[Include or Exclude]], 60)</f>
        <v/>
      </c>
      <c r="J152" s="62" t="str" cm="1">
        <f t="array" ref="J152">Common_InputFunctions.Utility_DisplayArrayInTable(Fertiliser_SourceData.Fertiliser_Products_Data4(),FertiliserProducts[[#Headers],[Include or Exclude]], 60)</f>
        <v/>
      </c>
      <c r="K152" s="62" t="str" cm="1">
        <f t="array" ref="K152">Common_InputFunctions.Utility_DisplayArrayInTable(Fertiliser_SourceData.Fertiliser_Products_Data4(),FertiliserProducts[[#Headers],[Include or Exclude]], 60)</f>
        <v/>
      </c>
      <c r="L152" s="62" t="str" cm="1">
        <f t="array" ref="L152">Common_InputFunctions.Utility_DisplayArrayInTable(Fertiliser_SourceData.Fertiliser_Products_Data4(),FertiliserProducts[[#Headers],[Include or Exclude]], 60)</f>
        <v/>
      </c>
      <c r="M152" s="62" t="str" cm="1">
        <f t="array" ref="M152">Common_InputFunctions.Utility_DisplayArrayInTable(Fertiliser_SourceData.Fertiliser_Products_Data4(),FertiliserProducts[[#Headers],[Include or Exclude]], 60)</f>
        <v/>
      </c>
      <c r="N152" s="62" t="str" cm="1">
        <f t="array" ref="N152">Common_InputFunctions.Utility_DisplayArrayInTable(Fertiliser_SourceData.Fertiliser_Products_Data4(),FertiliserProducts[[#Headers],[Include or Exclude]], 60)</f>
        <v/>
      </c>
      <c r="O152" s="62" t="str" cm="1">
        <f t="array" ref="O152">Common_InputFunctions.Utility_DisplayArrayInTable(Fertiliser_SourceData.Fertiliser_Products_Data4(),FertiliserProducts[[#Headers],[Include or Exclude]], 60)</f>
        <v/>
      </c>
      <c r="P152" s="62" t="str" cm="1">
        <f t="array" ref="P152">Common_InputFunctions.Utility_DisplayArrayInTable(Fertiliser_SourceData.Fertiliser_Products_Data4(),FertiliserProducts[[#Headers],[Include or Exclude]], 60)</f>
        <v/>
      </c>
      <c r="Q152" s="62" t="str" cm="1">
        <f t="array" ref="Q152">Common_InputFunctions.Utility_DisplayArrayInTable(Fertiliser_SourceData.Fertiliser_Products_Data4(),FertiliserProducts[[#Headers],[Include or Exclude]], 60)</f>
        <v/>
      </c>
      <c r="R152" s="62" t="str" cm="1">
        <f t="array" ref="R152">Common_InputFunctions.Utility_DisplayArrayInTable(Fertiliser_SourceData.Fertiliser_Products_Data4(),FertiliserProducts[[#Headers],[Include or Exclude]], 60)</f>
        <v/>
      </c>
      <c r="S152" s="62" t="str" cm="1">
        <f t="array" ref="S152">Common_InputFunctions.Utility_DisplayArrayInTable(Fertiliser_SourceData.Fertiliser_Products_Data4(),FertiliserProducts[[#Headers],[Include or Exclude]], 60)</f>
        <v/>
      </c>
      <c r="T152" s="62" t="str" cm="1">
        <f t="array" ref="T152">Common_InputFunctions.Utility_DisplayArrayInTable(Fertiliser_SourceData.Fertiliser_Products_Data4(),FertiliserProducts[[#Headers],[Include or Exclude]], 60)</f>
        <v/>
      </c>
      <c r="U152" s="62" t="str" cm="1">
        <f t="array" ref="U152">Common_InputFunctions.Utility_DisplayArrayInTable(Fertiliser_SourceData.Fertiliser_Products_Data4(),FertiliserProducts[[#Headers],[Include or Exclude]], 60)</f>
        <v/>
      </c>
      <c r="V152" s="62" t="str" cm="1">
        <f t="array" ref="V152">Common_InputFunctions.Utility_DisplayArrayInTable(Fertiliser_SourceData.Fertiliser_Products_Data4(),FertiliserProducts[[#Headers],[Include or Exclude]], 60)</f>
        <v/>
      </c>
      <c r="W152" s="62" t="str" cm="1">
        <f t="array" ref="W152">Common_InputFunctions.Utility_DisplayArrayInTable(Fertiliser_SourceData.Fertiliser_Products_Data4(),FertiliserProducts[[#Headers],[Include or Exclude]], 60)</f>
        <v>Crop Nutrition Solutions (Yara Australia)</v>
      </c>
      <c r="X152" s="62" t="str" cm="1">
        <f t="array" ref="X152">Common_InputFunctions.Utility_DisplayArrayInTable(Fertiliser_SourceData.Fertiliser_Products_Data4(),FertiliserProducts[[#Headers],[Include or Exclude]], 60)</f>
        <v/>
      </c>
      <c r="Y152" s="62" t="str" cm="1">
        <f t="array" ref="Y152">Common_InputFunctions.Utility_DisplayArrayInTable(Fertiliser_SourceData.Fertiliser_Products_Data4(),FertiliserProducts[[#Headers],[Include or Exclude]], 60)</f>
        <v/>
      </c>
      <c r="Z152" s="62"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1:31" ht="20.100000000000001" customHeight="1" x14ac:dyDescent="0.25">
      <c r="A153"/>
      <c r="D153" s="62" t="str" cm="1">
        <f t="array" ref="D153">Common_InputFunctions.Utility_DisplayArrayInTable(Fertiliser_SourceData.Fertiliser_Products_Data4(),FertiliserProducts[[#Headers],[Include or Exclude]], 60)</f>
        <v>YaraVita GLYTREL ZnP</v>
      </c>
      <c r="E153" s="62" t="str" cm="1">
        <f t="array" ref="E153">Common_InputFunctions.Utility_DisplayArrayInTable(Fertiliser_SourceData.Fertiliser_Products_Data4(),FertiliserProducts[[#Headers],[Include or Exclude]], 60)</f>
        <v/>
      </c>
      <c r="F153" s="62" t="str" cm="1">
        <f t="array" ref="F153">Common_InputFunctions.Utility_DisplayArrayInTable(Fertiliser_SourceData.Fertiliser_Products_Data4(),FertiliserProducts[[#Headers],[Include or Exclude]], 60)</f>
        <v/>
      </c>
      <c r="G153" s="62" t="str" cm="1">
        <f t="array" ref="G153">Common_InputFunctions.Utility_DisplayArrayInTable(Fertiliser_SourceData.Fertiliser_Products_Data4(),FertiliserProducts[[#Headers],[Include or Exclude]], 60)</f>
        <v/>
      </c>
      <c r="H153" s="62" t="str" cm="1">
        <f t="array" ref="H153">Common_InputFunctions.Utility_DisplayArrayInTable(Fertiliser_SourceData.Fertiliser_Products_Data4(),FertiliserProducts[[#Headers],[Include or Exclude]], 60)</f>
        <v/>
      </c>
      <c r="I153" s="62" t="str" cm="1">
        <f t="array" ref="I153">Common_InputFunctions.Utility_DisplayArrayInTable(Fertiliser_SourceData.Fertiliser_Products_Data4(),FertiliserProducts[[#Headers],[Include or Exclude]], 60)</f>
        <v/>
      </c>
      <c r="J153" s="62" t="str" cm="1">
        <f t="array" ref="J153">Common_InputFunctions.Utility_DisplayArrayInTable(Fertiliser_SourceData.Fertiliser_Products_Data4(),FertiliserProducts[[#Headers],[Include or Exclude]], 60)</f>
        <v/>
      </c>
      <c r="K153" s="62" t="str" cm="1">
        <f t="array" ref="K153">Common_InputFunctions.Utility_DisplayArrayInTable(Fertiliser_SourceData.Fertiliser_Products_Data4(),FertiliserProducts[[#Headers],[Include or Exclude]], 60)</f>
        <v/>
      </c>
      <c r="L153" s="62" t="str" cm="1">
        <f t="array" ref="L153">Common_InputFunctions.Utility_DisplayArrayInTable(Fertiliser_SourceData.Fertiliser_Products_Data4(),FertiliserProducts[[#Headers],[Include or Exclude]], 60)</f>
        <v/>
      </c>
      <c r="M153" s="62" t="str" cm="1">
        <f t="array" ref="M153">Common_InputFunctions.Utility_DisplayArrayInTable(Fertiliser_SourceData.Fertiliser_Products_Data4(),FertiliserProducts[[#Headers],[Include or Exclude]], 60)</f>
        <v/>
      </c>
      <c r="N153" s="62" t="str" cm="1">
        <f t="array" ref="N153">Common_InputFunctions.Utility_DisplayArrayInTable(Fertiliser_SourceData.Fertiliser_Products_Data4(),FertiliserProducts[[#Headers],[Include or Exclude]], 60)</f>
        <v/>
      </c>
      <c r="O153" s="62" t="str" cm="1">
        <f t="array" ref="O153">Common_InputFunctions.Utility_DisplayArrayInTable(Fertiliser_SourceData.Fertiliser_Products_Data4(),FertiliserProducts[[#Headers],[Include or Exclude]], 60)</f>
        <v/>
      </c>
      <c r="P153" s="62" t="str" cm="1">
        <f t="array" ref="P153">Common_InputFunctions.Utility_DisplayArrayInTable(Fertiliser_SourceData.Fertiliser_Products_Data4(),FertiliserProducts[[#Headers],[Include or Exclude]], 60)</f>
        <v/>
      </c>
      <c r="Q153" s="62" t="str" cm="1">
        <f t="array" ref="Q153">Common_InputFunctions.Utility_DisplayArrayInTable(Fertiliser_SourceData.Fertiliser_Products_Data4(),FertiliserProducts[[#Headers],[Include or Exclude]], 60)</f>
        <v/>
      </c>
      <c r="R153" s="62" t="str" cm="1">
        <f t="array" ref="R153">Common_InputFunctions.Utility_DisplayArrayInTable(Fertiliser_SourceData.Fertiliser_Products_Data4(),FertiliserProducts[[#Headers],[Include or Exclude]], 60)</f>
        <v/>
      </c>
      <c r="S153" s="62" t="str" cm="1">
        <f t="array" ref="S153">Common_InputFunctions.Utility_DisplayArrayInTable(Fertiliser_SourceData.Fertiliser_Products_Data4(),FertiliserProducts[[#Headers],[Include or Exclude]], 60)</f>
        <v/>
      </c>
      <c r="T153" s="62" t="str" cm="1">
        <f t="array" ref="T153">Common_InputFunctions.Utility_DisplayArrayInTable(Fertiliser_SourceData.Fertiliser_Products_Data4(),FertiliserProducts[[#Headers],[Include or Exclude]], 60)</f>
        <v/>
      </c>
      <c r="U153" s="62" t="str" cm="1">
        <f t="array" ref="U153">Common_InputFunctions.Utility_DisplayArrayInTable(Fertiliser_SourceData.Fertiliser_Products_Data4(),FertiliserProducts[[#Headers],[Include or Exclude]], 60)</f>
        <v/>
      </c>
      <c r="V153" s="62" t="str" cm="1">
        <f t="array" ref="V153">Common_InputFunctions.Utility_DisplayArrayInTable(Fertiliser_SourceData.Fertiliser_Products_Data4(),FertiliserProducts[[#Headers],[Include or Exclude]], 60)</f>
        <v/>
      </c>
      <c r="W153" s="62" t="str" cm="1">
        <f t="array" ref="W153">Common_InputFunctions.Utility_DisplayArrayInTable(Fertiliser_SourceData.Fertiliser_Products_Data4(),FertiliserProducts[[#Headers],[Include or Exclude]], 60)</f>
        <v>Crop Nutrition Solutions (Yara Australia)</v>
      </c>
      <c r="X153" s="62" t="str" cm="1">
        <f t="array" ref="X153">Common_InputFunctions.Utility_DisplayArrayInTable(Fertiliser_SourceData.Fertiliser_Products_Data4(),FertiliserProducts[[#Headers],[Include or Exclude]], 60)</f>
        <v/>
      </c>
      <c r="Y153" s="62" t="str" cm="1">
        <f t="array" ref="Y153">Common_InputFunctions.Utility_DisplayArrayInTable(Fertiliser_SourceData.Fertiliser_Products_Data4(),FertiliserProducts[[#Headers],[Include or Exclude]], 60)</f>
        <v/>
      </c>
      <c r="Z153" s="62"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227</v>
      </c>
      <c r="E9" s="25" t="s">
        <v>228</v>
      </c>
      <c r="F9" s="25" t="s">
        <v>229</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227</v>
      </c>
      <c r="E24" s="62" t="s">
        <v>230</v>
      </c>
      <c r="F24" s="62" t="s">
        <v>231</v>
      </c>
      <c r="G24" s="62" t="s">
        <v>232</v>
      </c>
      <c r="H24" s="62" t="s">
        <v>233</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22"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110" zoomScaleNormal="100" workbookViewId="0">
      <selection activeCell="A37" sqref="A37"/>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Livestock purchases'!A1", "Livestock purchases")</f>
        <v>Livestock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Freight'!A1", "Freight")</f>
        <v>Freight</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Solid waste'!A1", "Solid waste")</f>
        <v>Solid waste</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Manure sent off-site'!A1", "Manure sent off-site")</f>
        <v>Manure sent off-site</v>
      </c>
    </row>
    <row r="16" spans="1:65" ht="20.100000000000001" customHeight="1" x14ac:dyDescent="0.25">
      <c r="A16" s="16" t="str">
        <f>HYPERLINK("#'Input - Electricity'!A1", "Electricity")</f>
        <v>Electricity</v>
      </c>
    </row>
    <row r="17" spans="1:4" ht="20.100000000000001" customHeight="1" x14ac:dyDescent="0.25">
      <c r="A17"/>
    </row>
    <row r="18" spans="1:4" ht="20.100000000000001" customHeight="1" x14ac:dyDescent="0.25">
      <c r="A18"/>
      <c r="D18" s="9" t="str" cm="1">
        <f t="array" ref="D18">Common_SourceData.Common_SourceData_WASA4Areas_Title()</f>
        <v>ABS Statistcal Areas Level 4 - Western Australia</v>
      </c>
    </row>
    <row r="19" spans="1:4" ht="20.100000000000001" customHeight="1" x14ac:dyDescent="0.25">
      <c r="A19" s="21" t="s">
        <v>77</v>
      </c>
      <c r="D19" s="11" t="str" cm="1">
        <f t="array" ref="D19">Common_SourceData.Common_SourceData_WASA4Areas_Source()</f>
        <v>Australian Bureau of Statistics (ABS) - Statistical Areas Level 2 - 2021 - Shapefile</v>
      </c>
    </row>
    <row r="20" spans="1:4" ht="20.100000000000001" customHeight="1" x14ac:dyDescent="0.25">
      <c r="A20" s="16" t="str">
        <f>HYPERLINK("#'15 Scope 3'!A1", "15 Scope 3")</f>
        <v>15 Scope 3</v>
      </c>
      <c r="D20" s="10" t="s">
        <v>4</v>
      </c>
    </row>
    <row r="21" spans="1:4" ht="20.100000000000001" customHeight="1" x14ac:dyDescent="0.25">
      <c r="A21" s="16" t="str">
        <f>HYPERLINK("#'10.1.1-2 Solid waste treatment'!A1", "10.1.1-2 Solid waste treatment")</f>
        <v>10.1.1-2 Solid waste treatment</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HYPERLINK("#'Calcs - Manure sent off-site'!A1", "Calcs - Manure sent off-site")</f>
        <v>Calcs - Manure sent off-site</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HYPERLINK("#'8.1.1.1-2 Transport fuel'!A1", "8.1.1.1-2 Transport fuel")</f>
        <v>8.1.1.1-2 Transport fuel</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HYPERLINK("#'8.2.1.1-2 Stationary fuel'!A1", "8.2.1.1-2 Stationary fuel")</f>
        <v>8.2.1.1-2 Stationary fuel</v>
      </c>
      <c r="D24" s="10" t="str" cm="1">
        <f t="array" ref="D24">Common_InputFunctions.Utility_DisplayArrayInTable(Common_SourceData.Common_SourceData_WASA4Areas_Data(), Table_WASA4Areas[[#Headers],[SA 4 Name]], 0)</f>
        <v>Perth - North East</v>
      </c>
    </row>
    <row r="25" spans="1:4" ht="20.100000000000001" customHeight="1" x14ac:dyDescent="0.25">
      <c r="A25"/>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s="222" t="s">
        <v>78</v>
      </c>
      <c r="D27" s="10" t="str" cm="1">
        <f t="array" ref="D27">Common_InputFunctions.Utility_DisplayArrayInTable(Common_SourceData.Common_SourceData_WASA4Areas_Data(), Table_WASA4Areas[[#Headers],[SA 4 Name]], 0)</f>
        <v>Perth - South West</v>
      </c>
    </row>
    <row r="28" spans="1:4" ht="20.100000000000001" customHeight="1" x14ac:dyDescent="0.25">
      <c r="A28" s="16" t="str">
        <f>HYPERLINK("#'Constants - Scope 3'!A1", "Constants - Scope 3")</f>
        <v>Constants - Scope 3</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HYPERLINK("#'Constants - Solid Waste'!A1", "Constants - Solid Waste")</f>
        <v>Constants - Solid Waste</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HYPERLINK("#'Constants - Fuel'!A1", "Constants - Fuel")</f>
        <v>Constants - Fuel</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Poultry'!A1", "Constants - Poultry")</f>
        <v>Constants - Poultry</v>
      </c>
    </row>
    <row r="32" spans="1:4" ht="20.100000000000001" customHeight="1" x14ac:dyDescent="0.25">
      <c r="A32" s="16" t="str">
        <f>HYPERLINK("#'Constants - Swine'!A1", "Constants - Swine")</f>
        <v>Constants - Swine</v>
      </c>
    </row>
    <row r="33" spans="1:8" ht="20.100000000000001" customHeight="1" x14ac:dyDescent="0.25">
      <c r="A33" s="16" t="str">
        <f>HYPERLINK("#'Constants - Dairy'!A1", "Constants - Dairy")</f>
        <v>Constants - Dairy</v>
      </c>
    </row>
    <row r="34" spans="1:8" ht="20.100000000000001" customHeight="1" x14ac:dyDescent="0.25">
      <c r="A34" s="16" t="str">
        <f>HYPERLINK("#'Constants - Pasture Beef'!A1", "Constants - Pasture Beef")</f>
        <v>Constants - Pasture Beef</v>
      </c>
      <c r="D34" s="9" t="str" cm="1">
        <f t="array" ref="D34">Common_SourceData.Common_SourceData_GWP_Title()</f>
        <v>Global warming potential for greenhouse gases</v>
      </c>
    </row>
    <row r="35" spans="1:8" ht="20.100000000000001" customHeight="1" x14ac:dyDescent="0.25">
      <c r="A35" s="16" t="str">
        <f>HYPERLINK("#'Constants - Common Livestock'!A1", "Constants - Common Livestock")</f>
        <v>Constants - Common Livestock</v>
      </c>
      <c r="D35" s="11" t="str" cm="1">
        <f t="array" ref="D35">Common_SourceData.Common_SourceData_GWP_Source()</f>
        <v>XXXXXXX</v>
      </c>
    </row>
    <row r="36" spans="1:8" ht="20.100000000000001" customHeight="1" x14ac:dyDescent="0.25">
      <c r="A36" s="16" t="str">
        <f>HYPERLINK("#'Constants - Fertiliser'!A1", "Constants - Fertiliser")</f>
        <v>Constants - Fertiliser</v>
      </c>
      <c r="D36" s="10" t="s">
        <v>5</v>
      </c>
      <c r="E36" s="10" t="s">
        <v>6</v>
      </c>
    </row>
    <row r="37" spans="1:8" ht="20.100000000000001" customHeight="1" x14ac:dyDescent="0.25">
      <c r="A37" s="16" t="str">
        <f>HYPERLINK("#'Constants - Electricity'!A1", "Constants - Electricity")</f>
        <v>Constants - Electricity</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23" t="str">
        <f>HYPERLINK("#'Constants - Common'!A1", "Constants - Common")</f>
        <v>Constants - Common</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135</vt:i4>
      </vt:variant>
    </vt:vector>
  </HeadingPairs>
  <TitlesOfParts>
    <vt:vector size="165"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2026-08-05T00:42:09Z</dcterms:modified>
</cp:coreProperties>
</file>