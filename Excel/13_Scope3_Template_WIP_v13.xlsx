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8C0F5E1-FDA0-4339-B1B5-AE2A5A560820}" xr6:coauthVersionLast="47" xr6:coauthVersionMax="47" xr10:uidLastSave="{00000000-0000-0000-0000-000000000000}"/>
  <bookViews>
    <workbookView xWindow="1170" yWindow="1170" windowWidth="36255" windowHeight="19140" activeTab="8"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Livestock purchases" sheetId="48" r:id="rId7"/>
    <sheet name="Input - Freight" sheetId="39" r:id="rId8"/>
    <sheet name="Input - Solid waste" sheetId="33" r:id="rId9"/>
    <sheet name="Input - Manure sent off-site" sheetId="50" r:id="rId10"/>
    <sheet name="Input - Electricity" sheetId="9" r:id="rId11"/>
    <sheet name="15 Scope 3" sheetId="19" r:id="rId12"/>
    <sheet name="10.1.1-2 Solid waste treatment" sheetId="38" r:id="rId13"/>
    <sheet name="Calcs - Manure sent off-site" sheetId="34" r:id="rId14"/>
    <sheet name="8.1.1.1-2 Transport fuel" sheetId="31" r:id="rId15"/>
    <sheet name="8.2.1.1-2 Stationary fuel" sheetId="32" r:id="rId16"/>
    <sheet name="Constants - Scope 3" sheetId="20" r:id="rId17"/>
    <sheet name="Constants - Solid Waste" sheetId="36" r:id="rId18"/>
    <sheet name="Constants - Fuel" sheetId="29" r:id="rId19"/>
    <sheet name="Constants - Poultry" sheetId="26" r:id="rId20"/>
    <sheet name="Constants - Swine" sheetId="25" r:id="rId21"/>
    <sheet name="Constants - Dairy" sheetId="23" r:id="rId22"/>
    <sheet name="Constants - Pasture Beef" sheetId="22" r:id="rId23"/>
    <sheet name="Constants - Common Livestock" sheetId="18" r:id="rId24"/>
    <sheet name="Constants - Fertiliser" sheetId="6" r:id="rId25"/>
    <sheet name="Constants - Electricity" sheetId="8" r:id="rId26"/>
    <sheet name="Constants - Common" sheetId="47" r:id="rId27"/>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92" i="38" l="1" a="1"/>
  <c r="H92" i="38" s="1"/>
  <c r="H91" i="38" a="1"/>
  <c r="H91" i="38" s="1"/>
  <c r="H90" i="38"/>
  <c r="H90" i="38" a="1"/>
  <c r="H89" i="38" a="1"/>
  <c r="H89" i="38" s="1"/>
  <c r="H88" i="38" a="1"/>
  <c r="H88" i="38" s="1"/>
  <c r="H86" i="38" a="1"/>
  <c r="H86" i="38" s="1"/>
  <c r="H85" i="38" a="1"/>
  <c r="H85" i="38" s="1"/>
  <c r="H84" i="38" a="1"/>
  <c r="H84" i="38" s="1"/>
  <c r="H83" i="38" a="1"/>
  <c r="H83" i="38" s="1"/>
  <c r="H82" i="38" a="1"/>
  <c r="H82" i="38" s="1"/>
  <c r="H80" i="38" a="1"/>
  <c r="H80" i="38" s="1"/>
  <c r="H79" i="38" a="1"/>
  <c r="H79" i="38" s="1"/>
  <c r="H78" i="38"/>
  <c r="H78" i="38" a="1"/>
  <c r="H77" i="38" a="1"/>
  <c r="H77" i="38" s="1"/>
  <c r="H76" i="38" a="1"/>
  <c r="H76" i="38" s="1"/>
  <c r="H75" i="38" a="1"/>
  <c r="H75" i="38" s="1"/>
  <c r="H74" i="38" a="1"/>
  <c r="H74" i="38" s="1"/>
  <c r="H73" i="38" a="1"/>
  <c r="H73" i="38" s="1"/>
  <c r="H72" i="38" a="1"/>
  <c r="H72" i="38" s="1"/>
  <c r="H71" i="38"/>
  <c r="H71" i="38" a="1"/>
  <c r="H69" i="38" a="1"/>
  <c r="H69" i="38" s="1"/>
  <c r="H68" i="38" a="1"/>
  <c r="H68" i="38" s="1"/>
  <c r="H67" i="38" a="1"/>
  <c r="H67" i="38" s="1"/>
  <c r="H66" i="38" a="1"/>
  <c r="H66" i="38" s="1"/>
  <c r="H65" i="38" a="1"/>
  <c r="H65" i="38" s="1"/>
  <c r="H64" i="38" a="1"/>
  <c r="H64" i="38" s="1"/>
  <c r="H63" i="38" a="1"/>
  <c r="H63" i="38" s="1"/>
  <c r="H62" i="38" a="1"/>
  <c r="H62" i="38" s="1"/>
  <c r="H61" i="38" a="1"/>
  <c r="H61" i="38" s="1"/>
  <c r="H60" i="38" a="1"/>
  <c r="H60" i="38" s="1"/>
  <c r="H59" i="38" a="1"/>
  <c r="H59" i="38" s="1"/>
  <c r="H54" i="38" a="1"/>
  <c r="H54" i="38" s="1"/>
  <c r="H53" i="38"/>
  <c r="H53" i="38" a="1"/>
  <c r="H52" i="38" a="1"/>
  <c r="H52" i="38" s="1"/>
  <c r="H51" i="38" a="1"/>
  <c r="H51" i="38" s="1"/>
  <c r="H50" i="38" a="1"/>
  <c r="H50" i="38" s="1"/>
  <c r="H48" i="38"/>
  <c r="H48" i="38" a="1"/>
  <c r="H47" i="38" a="1"/>
  <c r="H47" i="38" s="1"/>
  <c r="H46" i="38" a="1"/>
  <c r="H46" i="38" s="1"/>
  <c r="H45" i="38" a="1"/>
  <c r="H45" i="38" s="1"/>
  <c r="H44" i="38" a="1"/>
  <c r="H44" i="38" s="1"/>
  <c r="H42" i="38" a="1"/>
  <c r="H42" i="38" s="1"/>
  <c r="H41" i="38" a="1"/>
  <c r="H41" i="38" s="1"/>
  <c r="H40" i="38" a="1"/>
  <c r="H40" i="38" s="1"/>
  <c r="H39" i="38" a="1"/>
  <c r="H39" i="38" s="1"/>
  <c r="H38" i="38"/>
  <c r="H38" i="38" a="1"/>
  <c r="H37" i="38"/>
  <c r="H37" i="38" a="1"/>
  <c r="H36" i="38" a="1"/>
  <c r="H36" i="38" s="1"/>
  <c r="H35" i="38" a="1"/>
  <c r="H35" i="38" s="1"/>
  <c r="H34" i="38" a="1"/>
  <c r="H34" i="38" s="1"/>
  <c r="H33" i="38" a="1"/>
  <c r="H33" i="38" s="1"/>
  <c r="H31" i="38" a="1"/>
  <c r="H31" i="38" s="1"/>
  <c r="H30" i="38"/>
  <c r="H30" i="38" a="1"/>
  <c r="H29" i="38" a="1"/>
  <c r="H29" i="38" s="1"/>
  <c r="H28" i="38" a="1"/>
  <c r="H28" i="38" s="1"/>
  <c r="H27" i="38" a="1"/>
  <c r="H27" i="38" s="1"/>
  <c r="H26" i="38" a="1"/>
  <c r="H26" i="38" s="1"/>
  <c r="H25" i="38" a="1"/>
  <c r="H25" i="38" s="1"/>
  <c r="H24" i="38" a="1"/>
  <c r="H24" i="38" s="1"/>
  <c r="H23" i="38" a="1"/>
  <c r="H23" i="38" s="1"/>
  <c r="H22" i="38" a="1"/>
  <c r="H22" i="38" s="1"/>
  <c r="H21" i="38" a="1"/>
  <c r="H21" i="38" s="1"/>
  <c r="J185" i="38" a="1"/>
  <c r="J185" i="38" s="1"/>
  <c r="J179" i="38" a="1"/>
  <c r="J179" i="38" s="1"/>
  <c r="J178" i="38" a="1"/>
  <c r="J178" i="38" s="1"/>
  <c r="J177" i="38" a="1"/>
  <c r="J177" i="38" s="1"/>
  <c r="J176" i="38" a="1"/>
  <c r="J176" i="38" s="1"/>
  <c r="J175" i="38" a="1"/>
  <c r="J175" i="38" s="1"/>
  <c r="J174" i="38" a="1"/>
  <c r="J174" i="38" s="1"/>
  <c r="J173" i="38" a="1"/>
  <c r="J173" i="38" s="1"/>
  <c r="J168" i="38" a="1"/>
  <c r="J168" i="38" s="1"/>
  <c r="J167" i="38" a="1"/>
  <c r="J167" i="38" s="1"/>
  <c r="J166" i="38" a="1"/>
  <c r="J166" i="38" s="1"/>
  <c r="J165" i="38" a="1"/>
  <c r="J165" i="38" s="1"/>
  <c r="J164" i="38" a="1"/>
  <c r="J164" i="38" s="1"/>
  <c r="J163" i="38" a="1"/>
  <c r="J163" i="38" s="1"/>
  <c r="J162" i="38" a="1"/>
  <c r="J162" i="38" s="1"/>
  <c r="J161" i="38" a="1"/>
  <c r="J161" i="38" s="1"/>
  <c r="J160" i="38" a="1"/>
  <c r="J160" i="38" s="1"/>
  <c r="J159" i="38" a="1"/>
  <c r="J159" i="38" s="1"/>
  <c r="J158" i="38" a="1"/>
  <c r="J158" i="38" s="1"/>
  <c r="J157" i="38" a="1"/>
  <c r="J157" i="38" s="1"/>
  <c r="G190" i="38" a="1"/>
  <c r="G190" i="38" s="1"/>
  <c r="G189" i="38" a="1"/>
  <c r="G189" i="38" s="1"/>
  <c r="G188" i="38" a="1"/>
  <c r="G188" i="38" s="1"/>
  <c r="G187" i="38" a="1"/>
  <c r="G187" i="38" s="1"/>
  <c r="G186" i="38" a="1"/>
  <c r="G186" i="38" s="1"/>
  <c r="G184" i="38" a="1"/>
  <c r="G184" i="38" s="1"/>
  <c r="G183" i="38" a="1"/>
  <c r="G183" i="38" s="1"/>
  <c r="G182" i="38" a="1"/>
  <c r="G182" i="38" s="1"/>
  <c r="G181" i="38" a="1"/>
  <c r="G181" i="38" s="1"/>
  <c r="G180" i="38" a="1"/>
  <c r="G180" i="38" s="1"/>
  <c r="G178" i="38" a="1"/>
  <c r="G178" i="38" s="1"/>
  <c r="G177" i="38" a="1"/>
  <c r="G177" i="38" s="1"/>
  <c r="G176" i="38" a="1"/>
  <c r="G176" i="38" s="1"/>
  <c r="G175" i="38" a="1"/>
  <c r="G175" i="38" s="1"/>
  <c r="G174" i="38" a="1"/>
  <c r="G174" i="38" s="1"/>
  <c r="G173" i="38"/>
  <c r="G173" i="38" a="1"/>
  <c r="G172" i="38" a="1"/>
  <c r="G172" i="38" s="1"/>
  <c r="G171" i="38" a="1"/>
  <c r="G171" i="38" s="1"/>
  <c r="G170" i="38" a="1"/>
  <c r="G170" i="38" s="1"/>
  <c r="G169" i="38" a="1"/>
  <c r="G169" i="38" s="1"/>
  <c r="G167" i="38" a="1"/>
  <c r="G167" i="38" s="1"/>
  <c r="G166" i="38" a="1"/>
  <c r="G166" i="38" s="1"/>
  <c r="G165" i="38" a="1"/>
  <c r="G165" i="38" s="1"/>
  <c r="G164" i="38" a="1"/>
  <c r="G164" i="38" s="1"/>
  <c r="G163" i="38" a="1"/>
  <c r="G163" i="38" s="1"/>
  <c r="G162" i="38" a="1"/>
  <c r="G162" i="38" s="1"/>
  <c r="G161" i="38" a="1"/>
  <c r="G161" i="38" s="1"/>
  <c r="G160" i="38" a="1"/>
  <c r="G160" i="38" s="1"/>
  <c r="G159" i="38" a="1"/>
  <c r="G159" i="38" s="1"/>
  <c r="G158" i="38" a="1"/>
  <c r="G158" i="38" s="1"/>
  <c r="G157" i="38" a="1"/>
  <c r="G157" i="38" s="1"/>
  <c r="E157" i="38" a="1"/>
  <c r="E157" i="38" s="1"/>
  <c r="D157" i="38" a="1"/>
  <c r="D157" i="38" s="1"/>
  <c r="J144" i="38" a="1"/>
  <c r="J144" i="38" s="1"/>
  <c r="J138" i="38" a="1"/>
  <c r="J138" i="38" s="1"/>
  <c r="J137" i="38" a="1"/>
  <c r="J137" i="38" s="1"/>
  <c r="J136" i="38" a="1"/>
  <c r="J136" i="38" s="1"/>
  <c r="J135" i="38" a="1"/>
  <c r="J135" i="38" s="1"/>
  <c r="J134" i="38" a="1"/>
  <c r="J134" i="38" s="1"/>
  <c r="J133" i="38" a="1"/>
  <c r="J133" i="38" s="1"/>
  <c r="J132" i="38" a="1"/>
  <c r="J132" i="38" s="1"/>
  <c r="J127" i="38" a="1"/>
  <c r="J127" i="38" s="1"/>
  <c r="J126" i="38" a="1"/>
  <c r="J126" i="38" s="1"/>
  <c r="J125" i="38" a="1"/>
  <c r="J125" i="38" s="1"/>
  <c r="J124" i="38" a="1"/>
  <c r="J124" i="38" s="1"/>
  <c r="J123" i="38" a="1"/>
  <c r="J123" i="38" s="1"/>
  <c r="J122" i="38" a="1"/>
  <c r="J122" i="38" s="1"/>
  <c r="J121" i="38" a="1"/>
  <c r="J121" i="38" s="1"/>
  <c r="J120" i="38" a="1"/>
  <c r="J120" i="38" s="1"/>
  <c r="J119" i="38" a="1"/>
  <c r="J119" i="38" s="1"/>
  <c r="J118" i="38" a="1"/>
  <c r="J118" i="38" s="1"/>
  <c r="J117" i="38" a="1"/>
  <c r="J117" i="38" s="1"/>
  <c r="J116" i="38" a="1"/>
  <c r="J116" i="38" s="1"/>
  <c r="G149" i="38" a="1"/>
  <c r="G149" i="38" s="1"/>
  <c r="G148" i="38" a="1"/>
  <c r="G148" i="38" s="1"/>
  <c r="G147" i="38" a="1"/>
  <c r="G147" i="38" s="1"/>
  <c r="G146" i="38" a="1"/>
  <c r="G146" i="38" s="1"/>
  <c r="G145" i="38" a="1"/>
  <c r="G145" i="38" s="1"/>
  <c r="G143" i="38" a="1"/>
  <c r="G143" i="38" s="1"/>
  <c r="G142" i="38" a="1"/>
  <c r="G142" i="38" s="1"/>
  <c r="G141" i="38"/>
  <c r="G141" i="38" a="1"/>
  <c r="G140" i="38" a="1"/>
  <c r="G140" i="38" s="1"/>
  <c r="G139" i="38" a="1"/>
  <c r="G139" i="38" s="1"/>
  <c r="G137" i="38" a="1"/>
  <c r="G137" i="38" s="1"/>
  <c r="G136" i="38" a="1"/>
  <c r="G136" i="38" s="1"/>
  <c r="G135" i="38"/>
  <c r="G135" i="38" a="1"/>
  <c r="G134" i="38" a="1"/>
  <c r="G134" i="38" s="1"/>
  <c r="G133" i="38" a="1"/>
  <c r="G133" i="38" s="1"/>
  <c r="G132" i="38" a="1"/>
  <c r="G132" i="38" s="1"/>
  <c r="G131" i="38" a="1"/>
  <c r="G131" i="38" s="1"/>
  <c r="G130" i="38" a="1"/>
  <c r="G130" i="38" s="1"/>
  <c r="G129" i="38" a="1"/>
  <c r="G129" i="38" s="1"/>
  <c r="G128" i="38"/>
  <c r="G128" i="38" a="1"/>
  <c r="G126" i="38" a="1"/>
  <c r="G126" i="38" s="1"/>
  <c r="G125" i="38" a="1"/>
  <c r="G125" i="38" s="1"/>
  <c r="G124" i="38"/>
  <c r="G124" i="38" a="1"/>
  <c r="G123" i="38" a="1"/>
  <c r="G123" i="38" s="1"/>
  <c r="G122" i="38" a="1"/>
  <c r="G122" i="38" s="1"/>
  <c r="G121" i="38" a="1"/>
  <c r="G121" i="38" s="1"/>
  <c r="G120" i="38" a="1"/>
  <c r="G120" i="38" s="1"/>
  <c r="G119" i="38" a="1"/>
  <c r="G119" i="38" s="1"/>
  <c r="G118" i="38" a="1"/>
  <c r="G118" i="38" s="1"/>
  <c r="G117" i="38"/>
  <c r="G117" i="38" a="1"/>
  <c r="G116" i="38" a="1"/>
  <c r="G116" i="38" s="1"/>
  <c r="E116" i="38" a="1"/>
  <c r="E116" i="38" s="1"/>
  <c r="D116" i="38" a="1"/>
  <c r="D116" i="38" s="1"/>
  <c r="G92" i="38" a="1"/>
  <c r="G92" i="38" s="1"/>
  <c r="G91" i="38" a="1"/>
  <c r="G91" i="38" s="1"/>
  <c r="G90" i="38" a="1"/>
  <c r="G90" i="38" s="1"/>
  <c r="G89" i="38" a="1"/>
  <c r="G89" i="38" s="1"/>
  <c r="G88" i="38" a="1"/>
  <c r="G88" i="38" s="1"/>
  <c r="G86" i="38" a="1"/>
  <c r="G86" i="38" s="1"/>
  <c r="G85" i="38" a="1"/>
  <c r="G85" i="38" s="1"/>
  <c r="G84" i="38" a="1"/>
  <c r="G84" i="38" s="1"/>
  <c r="G83" i="38" a="1"/>
  <c r="G83" i="38" s="1"/>
  <c r="G82" i="38" a="1"/>
  <c r="G82" i="38" s="1"/>
  <c r="G80" i="38" a="1"/>
  <c r="G80" i="38" s="1"/>
  <c r="G79" i="38" a="1"/>
  <c r="G79" i="38" s="1"/>
  <c r="G78" i="38" a="1"/>
  <c r="G78" i="38" s="1"/>
  <c r="G77" i="38" a="1"/>
  <c r="G77" i="38" s="1"/>
  <c r="G76" i="38" a="1"/>
  <c r="G76" i="38" s="1"/>
  <c r="G75" i="38" a="1"/>
  <c r="G75" i="38" s="1"/>
  <c r="G74" i="38" a="1"/>
  <c r="G74" i="38" s="1"/>
  <c r="G73" i="38" a="1"/>
  <c r="G73" i="38" s="1"/>
  <c r="G72" i="38" a="1"/>
  <c r="G72" i="38" s="1"/>
  <c r="G71" i="38" a="1"/>
  <c r="G71" i="38" s="1"/>
  <c r="G69" i="38" a="1"/>
  <c r="G69" i="38" s="1"/>
  <c r="G68" i="38" a="1"/>
  <c r="G68" i="38" s="1"/>
  <c r="G67" i="38" a="1"/>
  <c r="G67" i="38" s="1"/>
  <c r="G66" i="38" a="1"/>
  <c r="G66" i="38" s="1"/>
  <c r="G65" i="38" a="1"/>
  <c r="G65" i="38" s="1"/>
  <c r="G64" i="38" a="1"/>
  <c r="G64" i="38" s="1"/>
  <c r="G63" i="38" a="1"/>
  <c r="G63" i="38" s="1"/>
  <c r="G62" i="38" a="1"/>
  <c r="G62" i="38" s="1"/>
  <c r="G61" i="38" a="1"/>
  <c r="G61" i="38" s="1"/>
  <c r="G60" i="38" a="1"/>
  <c r="G60" i="38" s="1"/>
  <c r="G59" i="38" a="1"/>
  <c r="G59" i="38" s="1"/>
  <c r="E21" i="38" a="1"/>
  <c r="E21" i="38" s="1"/>
  <c r="G21" i="38" s="1" a="1"/>
  <c r="G21" i="38" s="1"/>
  <c r="E59" i="38" a="1"/>
  <c r="E59" i="38" s="1"/>
  <c r="D59" i="38" a="1"/>
  <c r="D59" i="38" s="1"/>
  <c r="G54" i="38" a="1"/>
  <c r="G54" i="38" s="1"/>
  <c r="G53" i="38" a="1"/>
  <c r="G53" i="38" s="1"/>
  <c r="G52" i="38" a="1"/>
  <c r="G52" i="38" s="1"/>
  <c r="G51" i="38" a="1"/>
  <c r="G51" i="38" s="1"/>
  <c r="G50" i="38" a="1"/>
  <c r="G50" i="38" s="1"/>
  <c r="G48" i="38" a="1"/>
  <c r="G48" i="38" s="1"/>
  <c r="G47" i="38" a="1"/>
  <c r="G47" i="38" s="1"/>
  <c r="G46" i="38" a="1"/>
  <c r="G46" i="38" s="1"/>
  <c r="G45" i="38" a="1"/>
  <c r="G45" i="38" s="1"/>
  <c r="G44" i="38" a="1"/>
  <c r="G44" i="38" s="1"/>
  <c r="G42" i="38" a="1"/>
  <c r="G42" i="38" s="1"/>
  <c r="G41" i="38" a="1"/>
  <c r="G41" i="38" s="1"/>
  <c r="G40" i="38" a="1"/>
  <c r="G40" i="38" s="1"/>
  <c r="G39" i="38" a="1"/>
  <c r="G39" i="38" s="1"/>
  <c r="G38" i="38" a="1"/>
  <c r="G38" i="38" s="1"/>
  <c r="G37" i="38" a="1"/>
  <c r="G37" i="38" s="1"/>
  <c r="G36" i="38" a="1"/>
  <c r="G36" i="38" s="1"/>
  <c r="G35" i="38" a="1"/>
  <c r="G35" i="38" s="1"/>
  <c r="G34" i="38" a="1"/>
  <c r="G34" i="38" s="1"/>
  <c r="G33" i="38" a="1"/>
  <c r="G33" i="38" s="1"/>
  <c r="G31" i="38" a="1"/>
  <c r="G31" i="38" s="1"/>
  <c r="G30" i="38" a="1"/>
  <c r="G30" i="38" s="1"/>
  <c r="G29" i="38" a="1"/>
  <c r="G29" i="38" s="1"/>
  <c r="G28" i="38" a="1"/>
  <c r="G28" i="38" s="1"/>
  <c r="G27" i="38" a="1"/>
  <c r="G27" i="38" s="1"/>
  <c r="G26" i="38" a="1"/>
  <c r="G26" i="38" s="1"/>
  <c r="G25" i="38" a="1"/>
  <c r="G25" i="38" s="1"/>
  <c r="G24" i="38" a="1"/>
  <c r="G24" i="38" s="1"/>
  <c r="G23" i="38" a="1"/>
  <c r="G23" i="38" s="1"/>
  <c r="G22" i="38" a="1"/>
  <c r="G22" i="38" s="1"/>
  <c r="D21" i="38" a="1"/>
  <c r="D21" i="38" s="1"/>
  <c r="F11" i="41"/>
  <c r="E11" i="41"/>
  <c r="F12" i="41"/>
  <c r="E12" i="41"/>
  <c r="F13" i="41"/>
  <c r="F14" i="41"/>
  <c r="E14" i="41"/>
  <c r="E13" i="41"/>
  <c r="F15" i="41"/>
  <c r="E15" i="41"/>
  <c r="F16" i="41"/>
  <c r="E16" i="41"/>
  <c r="F17" i="41"/>
  <c r="E17" i="41"/>
  <c r="F18" i="41"/>
  <c r="E18" i="41"/>
  <c r="F19" i="41"/>
  <c r="E19" i="41"/>
  <c r="F20" i="41"/>
  <c r="E20" i="41"/>
  <c r="F21" i="41"/>
  <c r="E21" i="41"/>
  <c r="F22" i="41"/>
  <c r="E22" i="41"/>
  <c r="F28" i="41"/>
  <c r="E28" i="41"/>
  <c r="F27" i="41"/>
  <c r="E27" i="41"/>
  <c r="F26" i="41"/>
  <c r="E26" i="41"/>
  <c r="F25" i="41"/>
  <c r="E25" i="41"/>
  <c r="F24" i="41"/>
  <c r="E24" i="41"/>
  <c r="F36" i="41"/>
  <c r="F35" i="41"/>
  <c r="E36" i="41"/>
  <c r="E35" i="41"/>
  <c r="E29" i="41"/>
  <c r="E31" i="41"/>
  <c r="E30" i="41"/>
  <c r="F32" i="41"/>
  <c r="E32" i="41"/>
  <c r="R571" i="19"/>
  <c r="R570" i="19"/>
  <c r="R569" i="19"/>
  <c r="N578" i="19" a="1"/>
  <c r="N578" i="19" s="1"/>
  <c r="O576" i="19"/>
  <c r="L575" i="19" a="1"/>
  <c r="L575" i="19" s="1"/>
  <c r="N573" i="19"/>
  <c r="M573" i="19" a="1"/>
  <c r="M573" i="19" s="1"/>
  <c r="O575" i="19" s="1"/>
  <c r="M578" i="19" s="1" a="1"/>
  <c r="M578" i="19" s="1"/>
  <c r="P569" i="19" a="1"/>
  <c r="P569" i="19" s="1"/>
  <c r="L569" i="19" a="1"/>
  <c r="L569" i="19" s="1"/>
  <c r="J571" i="19"/>
  <c r="J570" i="19"/>
  <c r="J569" i="19"/>
  <c r="E7" i="34" a="1"/>
  <c r="E7" i="34" l="1"/>
  <c r="O90" i="34" a="1"/>
  <c r="O90" i="34"/>
  <c r="O74" i="34" a="1"/>
  <c r="O74" i="34" s="1"/>
  <c r="S67" i="34"/>
  <c r="O55" i="34" a="1"/>
  <c r="O55" i="34" s="1"/>
  <c r="O35" i="34" a="1"/>
  <c r="O35" i="34" s="1"/>
  <c r="S48" i="34" s="1"/>
  <c r="S32" i="34"/>
  <c r="T13" i="34"/>
  <c r="O19" i="34" a="1"/>
  <c r="O19" i="34" s="1"/>
  <c r="P90" i="34"/>
  <c r="R85" i="34" a="1"/>
  <c r="R85" i="34" s="1"/>
  <c r="N85" i="34" a="1"/>
  <c r="N85" i="34" s="1"/>
  <c r="O83" i="34"/>
  <c r="O83" i="34" a="1"/>
  <c r="O82" i="34" a="1"/>
  <c r="O82" i="34" s="1"/>
  <c r="N78" i="34" a="1"/>
  <c r="N78" i="34" s="1"/>
  <c r="N77" i="34" a="1"/>
  <c r="N77" i="34" s="1"/>
  <c r="P74" i="34"/>
  <c r="Q67" i="34"/>
  <c r="Q67" i="34" a="1"/>
  <c r="N67" i="34" a="1"/>
  <c r="N67" i="34" s="1"/>
  <c r="O65" i="34"/>
  <c r="O65" i="34" a="1"/>
  <c r="O64" i="34"/>
  <c r="O64" i="34" a="1"/>
  <c r="N60" i="34" a="1"/>
  <c r="N60" i="34" s="1"/>
  <c r="N59" i="34" a="1"/>
  <c r="N59" i="34" s="1"/>
  <c r="P55" i="34"/>
  <c r="Q48" i="34" a="1"/>
  <c r="Q48" i="34" s="1"/>
  <c r="N48" i="34" a="1"/>
  <c r="N48" i="34" s="1"/>
  <c r="O46" i="34" a="1"/>
  <c r="O46" i="34" s="1"/>
  <c r="O45" i="34" a="1"/>
  <c r="O45" i="34" s="1"/>
  <c r="N41" i="34" a="1"/>
  <c r="N41" i="34" s="1"/>
  <c r="N40" i="34" a="1"/>
  <c r="N40" i="34" s="1"/>
  <c r="P35" i="34"/>
  <c r="Q32" i="34"/>
  <c r="Q32" i="34" a="1"/>
  <c r="N32" i="34" a="1"/>
  <c r="N32" i="34" s="1"/>
  <c r="O30" i="34"/>
  <c r="O30" i="34" a="1"/>
  <c r="O29" i="34"/>
  <c r="O29" i="34" a="1"/>
  <c r="N25" i="34" a="1"/>
  <c r="N25" i="34" s="1"/>
  <c r="N24" i="34" a="1"/>
  <c r="N24" i="34" s="1"/>
  <c r="P19" i="34"/>
  <c r="R13" i="34" a="1"/>
  <c r="R13" i="34" s="1"/>
  <c r="N13" i="34" a="1"/>
  <c r="N13" i="34" s="1"/>
  <c r="O11" i="34" a="1"/>
  <c r="O11" i="34" s="1"/>
  <c r="O10" i="34"/>
  <c r="O10" i="34" a="1"/>
  <c r="N6" i="34"/>
  <c r="N6" i="34" a="1"/>
  <c r="N5" i="34"/>
  <c r="N5" i="34" a="1"/>
  <c r="I67" i="34"/>
  <c r="I32" i="34"/>
  <c r="J13" i="34"/>
  <c r="I516" i="19"/>
  <c r="I515" i="19"/>
  <c r="D15" i="41" a="1"/>
  <c r="D15" i="41" s="1"/>
  <c r="D10" i="41" a="1"/>
  <c r="D10" i="41" s="1"/>
  <c r="D16" i="41" a="1"/>
  <c r="D16" i="41" s="1"/>
  <c r="D17" i="41" a="1"/>
  <c r="D17" i="41" s="1"/>
  <c r="H185" i="38"/>
  <c r="H179" i="38"/>
  <c r="H168" i="38"/>
  <c r="H144" i="38"/>
  <c r="H138" i="38"/>
  <c r="A136" i="38"/>
  <c r="H127" i="38"/>
  <c r="A109" i="38"/>
  <c r="H105" i="38" a="1"/>
  <c r="H105" i="38" s="1"/>
  <c r="D105" i="38" a="1"/>
  <c r="D105" i="38" s="1"/>
  <c r="E103" i="38"/>
  <c r="E103" i="38" a="1"/>
  <c r="E102" i="38" a="1"/>
  <c r="E102" i="38" s="1"/>
  <c r="D98" i="38"/>
  <c r="D98" i="38" a="1"/>
  <c r="D97" i="38" a="1"/>
  <c r="D97" i="38" s="1"/>
  <c r="D96" i="38" a="1"/>
  <c r="D96" i="38" s="1"/>
  <c r="A66" i="38"/>
  <c r="I47" i="38" a="1"/>
  <c r="I47" i="38" s="1"/>
  <c r="H142" i="38" s="1"/>
  <c r="I39" i="38" a="1"/>
  <c r="I39" i="38" s="1"/>
  <c r="H134"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c r="E11" i="38" a="1"/>
  <c r="E10" i="38" a="1"/>
  <c r="E10" i="38" s="1"/>
  <c r="D6" i="38" a="1"/>
  <c r="D6" i="38" s="1"/>
  <c r="D5" i="38" a="1"/>
  <c r="D5" i="38" s="1"/>
  <c r="O61" i="34" a="1"/>
  <c r="O7" i="34" a="1"/>
  <c r="O42" i="34" a="1"/>
  <c r="E99" i="38" a="1"/>
  <c r="O26" i="34" a="1"/>
  <c r="O79" i="34" a="1"/>
  <c r="E7" i="38" a="1"/>
  <c r="O61" i="34" l="1"/>
  <c r="O26" i="34"/>
  <c r="O79" i="34"/>
  <c r="O42" i="34"/>
  <c r="O7" i="34"/>
  <c r="T86" i="34"/>
  <c r="E99" i="38"/>
  <c r="E7" i="38"/>
  <c r="I25" i="38" a="1"/>
  <c r="I25" i="38" s="1"/>
  <c r="H120" i="38" s="1"/>
  <c r="I82" i="38" a="1"/>
  <c r="I82" i="38" s="1"/>
  <c r="H180" i="38" s="1"/>
  <c r="I86" i="38" a="1"/>
  <c r="I86" i="38" s="1"/>
  <c r="H184" i="38" s="1"/>
  <c r="I65" i="38" a="1"/>
  <c r="I65" i="38" s="1"/>
  <c r="H163" i="38" s="1"/>
  <c r="I79" i="38" a="1"/>
  <c r="I79" i="38" s="1"/>
  <c r="H177" i="38" s="1"/>
  <c r="I177" i="38" s="1"/>
  <c r="K177" i="38" s="1" a="1"/>
  <c r="K177" i="38" s="1"/>
  <c r="I31" i="38" a="1"/>
  <c r="I31" i="38" s="1"/>
  <c r="H126" i="38" s="1"/>
  <c r="I126" i="38" s="1"/>
  <c r="I67" i="38" a="1"/>
  <c r="I67" i="38" s="1"/>
  <c r="H165" i="38" s="1"/>
  <c r="I36" i="38" a="1"/>
  <c r="I36" i="38" s="1"/>
  <c r="H131" i="38" s="1"/>
  <c r="I28" i="38" a="1"/>
  <c r="I28" i="38" s="1"/>
  <c r="H123" i="38" s="1"/>
  <c r="I54" i="38" a="1"/>
  <c r="I54" i="38" s="1"/>
  <c r="H149" i="38" s="1"/>
  <c r="I51" i="38" a="1"/>
  <c r="I51" i="38" s="1"/>
  <c r="H146" i="38" s="1"/>
  <c r="I42" i="38" a="1"/>
  <c r="I42" i="38" s="1"/>
  <c r="H137" i="38" s="1"/>
  <c r="I35" i="38" a="1"/>
  <c r="I35" i="38" s="1"/>
  <c r="H130" i="38" s="1"/>
  <c r="I27" i="38" a="1"/>
  <c r="I27" i="38" s="1"/>
  <c r="H122" i="38" s="1"/>
  <c r="I134" i="38"/>
  <c r="I50" i="38" a="1"/>
  <c r="I50" i="38" s="1"/>
  <c r="H145" i="38" s="1"/>
  <c r="I41" i="38" a="1"/>
  <c r="I41" i="38" s="1"/>
  <c r="H136" i="38" s="1"/>
  <c r="I34" i="38" a="1"/>
  <c r="I34" i="38" s="1"/>
  <c r="H129" i="38" s="1"/>
  <c r="I26" i="38" a="1"/>
  <c r="I26" i="38" s="1"/>
  <c r="H121" i="38" s="1"/>
  <c r="I121" i="38" s="1"/>
  <c r="I24" i="38" a="1"/>
  <c r="I24" i="38" s="1"/>
  <c r="H119" i="38" s="1"/>
  <c r="F192" i="38"/>
  <c r="F151" i="38"/>
  <c r="I22" i="38" a="1"/>
  <c r="I22" i="38" s="1"/>
  <c r="H117" i="38" s="1"/>
  <c r="I37" i="38" a="1"/>
  <c r="I37" i="38" s="1"/>
  <c r="H132" i="38" s="1"/>
  <c r="I45" i="38" a="1"/>
  <c r="I45" i="38" s="1"/>
  <c r="H140" i="38" s="1"/>
  <c r="I53" i="38" a="1"/>
  <c r="I53" i="38" s="1"/>
  <c r="H148" i="38" s="1"/>
  <c r="I33" i="38" a="1"/>
  <c r="I33" i="38" s="1"/>
  <c r="H128" i="38" s="1"/>
  <c r="I48" i="38" a="1"/>
  <c r="I48" i="38" s="1"/>
  <c r="H143" i="38" s="1"/>
  <c r="K121" i="38" l="1" a="1"/>
  <c r="K121" i="38" s="1"/>
  <c r="K126" i="38" a="1"/>
  <c r="K126" i="38" s="1"/>
  <c r="K134" i="38" a="1"/>
  <c r="K134" i="38" s="1"/>
  <c r="I163" i="38"/>
  <c r="K163" i="38" s="1" a="1"/>
  <c r="K163" i="38" s="1"/>
  <c r="I59" i="38" a="1"/>
  <c r="I59" i="38" s="1"/>
  <c r="H157" i="38" s="1"/>
  <c r="I76" i="38" a="1"/>
  <c r="I76" i="38" s="1"/>
  <c r="H174" i="38" s="1"/>
  <c r="I174" i="38" s="1"/>
  <c r="K174" i="38" s="1" a="1"/>
  <c r="K174" i="38" s="1"/>
  <c r="I68" i="38" a="1"/>
  <c r="I68" i="38" s="1"/>
  <c r="H166" i="38" s="1"/>
  <c r="I166" i="38" s="1"/>
  <c r="K166" i="38" s="1" a="1"/>
  <c r="K166" i="38" s="1"/>
  <c r="I74" i="38" a="1"/>
  <c r="I74" i="38" s="1"/>
  <c r="H172" i="38" s="1"/>
  <c r="I64" i="38" a="1"/>
  <c r="I64" i="38" s="1"/>
  <c r="H162" i="38" s="1"/>
  <c r="I162" i="38" s="1"/>
  <c r="K162" i="38" s="1" a="1"/>
  <c r="K162" i="38" s="1"/>
  <c r="I137" i="38"/>
  <c r="K137" i="38" s="1" a="1"/>
  <c r="K137" i="38" s="1"/>
  <c r="I120" i="38"/>
  <c r="K120" i="38" s="1" a="1"/>
  <c r="K120" i="38" s="1"/>
  <c r="I119" i="38"/>
  <c r="K119" i="38" s="1" a="1"/>
  <c r="K119" i="38" s="1"/>
  <c r="I132" i="38"/>
  <c r="K132" i="38" s="1" a="1"/>
  <c r="K132" i="38" s="1"/>
  <c r="I77" i="38" a="1"/>
  <c r="I77" i="38" s="1"/>
  <c r="H175" i="38" s="1"/>
  <c r="I175" i="38" s="1"/>
  <c r="K175" i="38" s="1" a="1"/>
  <c r="K175" i="38" s="1"/>
  <c r="I122" i="38"/>
  <c r="K122" i="38" s="1" a="1"/>
  <c r="K122" i="38" s="1"/>
  <c r="I72" i="38" a="1"/>
  <c r="I72" i="38" s="1"/>
  <c r="H170" i="38" s="1"/>
  <c r="I71" i="38" a="1"/>
  <c r="I71" i="38" s="1"/>
  <c r="H169" i="38" s="1"/>
  <c r="I168" i="38" s="1"/>
  <c r="K168" i="38" s="1" a="1"/>
  <c r="K168" i="38" s="1"/>
  <c r="I85" i="38" a="1"/>
  <c r="I85" i="38" s="1"/>
  <c r="H183" i="38" s="1"/>
  <c r="I88" i="38" a="1"/>
  <c r="I88" i="38" s="1"/>
  <c r="H186" i="38" s="1"/>
  <c r="I78" i="38" a="1"/>
  <c r="I78" i="38" s="1"/>
  <c r="H176" i="38" s="1"/>
  <c r="I176" i="38" s="1"/>
  <c r="K176" i="38" s="1" a="1"/>
  <c r="K176" i="38" s="1"/>
  <c r="I60" i="38" a="1"/>
  <c r="I60" i="38" s="1"/>
  <c r="H158" i="38" s="1"/>
  <c r="I158" i="38" s="1"/>
  <c r="K158" i="38" s="1" a="1"/>
  <c r="K158" i="38" s="1"/>
  <c r="I84" i="38" a="1"/>
  <c r="I84" i="38" s="1"/>
  <c r="H182" i="38" s="1"/>
  <c r="I165" i="38"/>
  <c r="K165" i="38" s="1" a="1"/>
  <c r="K165" i="38" s="1"/>
  <c r="I127" i="38"/>
  <c r="K127" i="38" s="1" a="1"/>
  <c r="K127" i="38" s="1"/>
  <c r="I63" i="38" a="1"/>
  <c r="I63" i="38" s="1"/>
  <c r="H161" i="38" s="1"/>
  <c r="I161" i="38" s="1"/>
  <c r="K161" i="38" s="1" a="1"/>
  <c r="K161" i="38" s="1"/>
  <c r="I123" i="38"/>
  <c r="K123" i="38" s="1" a="1"/>
  <c r="K123" i="38" s="1"/>
  <c r="I73" i="38" a="1"/>
  <c r="I73" i="38" s="1"/>
  <c r="H171" i="38" s="1"/>
  <c r="I92" i="38" a="1"/>
  <c r="I92" i="38" s="1"/>
  <c r="H190" i="38" s="1"/>
  <c r="I91" i="38" a="1"/>
  <c r="I91" i="38" s="1"/>
  <c r="H189" i="38" s="1"/>
  <c r="I66" i="38" a="1"/>
  <c r="I66" i="38" s="1"/>
  <c r="H164" i="38" s="1"/>
  <c r="I164" i="38" s="1"/>
  <c r="K164" i="38" s="1" a="1"/>
  <c r="K164" i="38" s="1"/>
  <c r="I21" i="38" a="1"/>
  <c r="I21" i="38" s="1"/>
  <c r="H116" i="38" s="1"/>
  <c r="I40" i="38" a="1"/>
  <c r="I40" i="38" s="1"/>
  <c r="H135" i="38" s="1"/>
  <c r="I135" i="38" s="1"/>
  <c r="K135" i="38" s="1" a="1"/>
  <c r="K135" i="38" s="1"/>
  <c r="I23" i="38" a="1"/>
  <c r="I23" i="38" s="1"/>
  <c r="H118" i="38" s="1"/>
  <c r="I118" i="38" s="1"/>
  <c r="K118" i="38" s="1" a="1"/>
  <c r="K118" i="38" s="1"/>
  <c r="I44" i="38" a="1"/>
  <c r="I44" i="38" s="1"/>
  <c r="H139" i="38" s="1"/>
  <c r="I29" i="38" a="1"/>
  <c r="I29" i="38" s="1"/>
  <c r="H124" i="38" s="1"/>
  <c r="I124" i="38" s="1"/>
  <c r="K124" i="38" s="1" a="1"/>
  <c r="K124" i="38" s="1"/>
  <c r="I30" i="38" a="1"/>
  <c r="I30" i="38" s="1"/>
  <c r="H125" i="38" s="1"/>
  <c r="I125" i="38" s="1"/>
  <c r="K125" i="38" s="1" a="1"/>
  <c r="K125" i="38" s="1"/>
  <c r="I52" i="38" a="1"/>
  <c r="I52" i="38" s="1"/>
  <c r="H147" i="38" s="1"/>
  <c r="I144" i="38" s="1"/>
  <c r="K144" i="38" s="1" a="1"/>
  <c r="K144" i="38" s="1"/>
  <c r="I90" i="38" a="1"/>
  <c r="I90" i="38" s="1"/>
  <c r="H188" i="38" s="1"/>
  <c r="I75" i="38" a="1"/>
  <c r="I75" i="38" s="1"/>
  <c r="H173" i="38" s="1"/>
  <c r="I173" i="38" s="1"/>
  <c r="K173" i="38" s="1" a="1"/>
  <c r="K173" i="38" s="1"/>
  <c r="I136" i="38"/>
  <c r="K136" i="38" s="1" a="1"/>
  <c r="K136" i="38" s="1"/>
  <c r="I38" i="38" a="1"/>
  <c r="I38" i="38" s="1"/>
  <c r="H133" i="38" s="1"/>
  <c r="I133" i="38" s="1"/>
  <c r="K133" i="38" s="1" a="1"/>
  <c r="K133" i="38" s="1"/>
  <c r="I117" i="38"/>
  <c r="K117" i="38" s="1" a="1"/>
  <c r="K117" i="38" s="1"/>
  <c r="I80" i="38" a="1"/>
  <c r="I80" i="38" s="1"/>
  <c r="H178" i="38" s="1"/>
  <c r="I178" i="38" s="1"/>
  <c r="K178" i="38" s="1" a="1"/>
  <c r="K178" i="38" s="1"/>
  <c r="I62" i="38" a="1"/>
  <c r="I62" i="38" s="1"/>
  <c r="H160" i="38" s="1"/>
  <c r="I160" i="38" s="1"/>
  <c r="K160" i="38" s="1" a="1"/>
  <c r="K160" i="38" s="1"/>
  <c r="I46" i="38" a="1"/>
  <c r="I46" i="38" s="1"/>
  <c r="H141" i="38" s="1"/>
  <c r="I61" i="38" a="1"/>
  <c r="I61" i="38" s="1"/>
  <c r="H159" i="38" s="1"/>
  <c r="I159" i="38" s="1"/>
  <c r="K159" i="38" s="1" a="1"/>
  <c r="K159" i="38" s="1"/>
  <c r="I83" i="38" a="1"/>
  <c r="I83" i="38" s="1"/>
  <c r="H181" i="38" s="1"/>
  <c r="I89" i="38" a="1"/>
  <c r="I89" i="38" s="1"/>
  <c r="H187" i="38" s="1"/>
  <c r="I69" i="38" a="1"/>
  <c r="I69" i="38" s="1"/>
  <c r="H167" i="38" s="1"/>
  <c r="I167" i="38" s="1"/>
  <c r="K167" i="38" s="1" a="1"/>
  <c r="K167" i="38" s="1"/>
  <c r="I179" i="38" l="1"/>
  <c r="K179" i="38" s="1" a="1"/>
  <c r="K179" i="38" s="1"/>
  <c r="I185" i="38"/>
  <c r="K185" i="38" s="1" a="1"/>
  <c r="K185" i="38" s="1"/>
  <c r="I157" i="38"/>
  <c r="K157" i="38" s="1" a="1"/>
  <c r="K157" i="38" s="1"/>
  <c r="I138" i="38"/>
  <c r="K138" i="38" s="1" a="1"/>
  <c r="K138" i="38" s="1"/>
  <c r="I116" i="38"/>
  <c r="K116" i="38" s="1" a="1"/>
  <c r="K116" i="38" s="1"/>
  <c r="E192" i="38" l="1"/>
  <c r="E151" i="38"/>
  <c r="E588" i="19"/>
  <c r="E33" i="41"/>
  <c r="A77" i="36"/>
  <c r="E68" i="36"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A49" i="36"/>
  <c r="G48" i="36" a="1"/>
  <c r="G48" i="36" s="1"/>
  <c r="F48" i="36"/>
  <c r="F48" i="36" a="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c r="D45" i="36" a="1"/>
  <c r="G44" i="36" a="1"/>
  <c r="G44" i="36" s="1"/>
  <c r="F44" i="36" a="1"/>
  <c r="F44" i="36" s="1"/>
  <c r="E44" i="36" a="1"/>
  <c r="E44" i="36" s="1"/>
  <c r="M21" i="36" s="1"/>
  <c r="D44" i="36" a="1"/>
  <c r="D44" i="36" s="1"/>
  <c r="G43" i="36" a="1"/>
  <c r="G43" i="36" s="1"/>
  <c r="F43" i="36" a="1"/>
  <c r="F43" i="36" s="1"/>
  <c r="E43" i="36" a="1"/>
  <c r="E43" i="36" s="1"/>
  <c r="M20" i="36" s="1"/>
  <c r="D43" i="36"/>
  <c r="D43" i="36" a="1"/>
  <c r="G42" i="36" a="1"/>
  <c r="G42" i="36" s="1"/>
  <c r="F42" i="36" a="1"/>
  <c r="F42" i="36" s="1"/>
  <c r="E42" i="36" a="1"/>
  <c r="E42" i="36" s="1"/>
  <c r="M19" i="36" s="1"/>
  <c r="D42" i="36" a="1"/>
  <c r="D42" i="36" s="1"/>
  <c r="G41" i="36" a="1"/>
  <c r="G41" i="36" s="1"/>
  <c r="F41" i="36"/>
  <c r="F41" i="36" a="1"/>
  <c r="E41" i="36" a="1"/>
  <c r="E41" i="36" s="1"/>
  <c r="M18" i="36" s="1"/>
  <c r="D41" i="36" a="1"/>
  <c r="D41" i="36" s="1"/>
  <c r="G40" i="36" a="1"/>
  <c r="G40" i="36" s="1"/>
  <c r="F40" i="36" a="1"/>
  <c r="F40" i="36" s="1"/>
  <c r="E40" i="36"/>
  <c r="M17" i="36" s="1"/>
  <c r="E40" i="36" a="1"/>
  <c r="D40" i="36" a="1"/>
  <c r="D40" i="36" s="1"/>
  <c r="G39" i="36" a="1"/>
  <c r="G39" i="36" s="1"/>
  <c r="F39" i="36" a="1"/>
  <c r="F39" i="36" s="1"/>
  <c r="E39" i="36" a="1"/>
  <c r="E39" i="36" s="1"/>
  <c r="D39" i="36" a="1"/>
  <c r="D39" i="36" s="1"/>
  <c r="G38" i="36" a="1"/>
  <c r="G38" i="36" s="1"/>
  <c r="F38" i="36"/>
  <c r="F38" i="36" a="1"/>
  <c r="E38" i="36" a="1"/>
  <c r="E38" i="36" s="1"/>
  <c r="K26" i="36" s="1"/>
  <c r="D38" i="36" a="1"/>
  <c r="D38" i="36" s="1"/>
  <c r="G37" i="36" a="1"/>
  <c r="G37" i="36" s="1"/>
  <c r="F37" i="36" a="1"/>
  <c r="F37" i="36" s="1"/>
  <c r="E37" i="36" a="1"/>
  <c r="E37" i="36" s="1"/>
  <c r="K25" i="36" s="1"/>
  <c r="D37" i="36" a="1"/>
  <c r="D37" i="36" s="1"/>
  <c r="G36" i="36"/>
  <c r="G36" i="36" a="1"/>
  <c r="F36" i="36" a="1"/>
  <c r="F36" i="36" s="1"/>
  <c r="E36" i="36" a="1"/>
  <c r="E36" i="36" s="1"/>
  <c r="K24" i="36" s="1"/>
  <c r="D36" i="36" a="1"/>
  <c r="D36" i="36" s="1"/>
  <c r="G35" i="36" a="1"/>
  <c r="G35" i="36" s="1"/>
  <c r="F35" i="36" a="1"/>
  <c r="F35" i="36" s="1"/>
  <c r="E35" i="36" a="1"/>
  <c r="E35" i="36" s="1"/>
  <c r="K23" i="36" s="1"/>
  <c r="D35" i="36"/>
  <c r="D35" i="36" a="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c r="F31" i="36" a="1"/>
  <c r="E31" i="36" a="1"/>
  <c r="E31" i="36" s="1"/>
  <c r="K19" i="36" s="1"/>
  <c r="D31" i="36" a="1"/>
  <c r="D31" i="36" s="1"/>
  <c r="G30" i="36" a="1"/>
  <c r="G30" i="36" s="1"/>
  <c r="F30" i="36" a="1"/>
  <c r="F30" i="36" s="1"/>
  <c r="E30" i="36" a="1"/>
  <c r="E30" i="36" s="1"/>
  <c r="K18" i="36" s="1"/>
  <c r="D30" i="36" a="1"/>
  <c r="D30" i="36" s="1"/>
  <c r="G29" i="36"/>
  <c r="G29" i="36" a="1"/>
  <c r="F29" i="36" a="1"/>
  <c r="F29" i="36" s="1"/>
  <c r="E29" i="36" a="1"/>
  <c r="E29" i="36" s="1"/>
  <c r="K17" i="36" s="1"/>
  <c r="D29" i="36" a="1"/>
  <c r="D29" i="36" s="1"/>
  <c r="G28" i="36" a="1"/>
  <c r="G28" i="36" s="1"/>
  <c r="F28" i="36" a="1"/>
  <c r="F28" i="36" s="1"/>
  <c r="E28" i="36" a="1"/>
  <c r="E28" i="36" s="1"/>
  <c r="D28" i="36"/>
  <c r="D28" i="36" a="1"/>
  <c r="G27" i="36" a="1"/>
  <c r="G27" i="36" s="1"/>
  <c r="F27" i="36" a="1"/>
  <c r="F27" i="36" s="1"/>
  <c r="E27" i="36"/>
  <c r="I27" i="36" s="1"/>
  <c r="E27" i="36" a="1"/>
  <c r="D27" i="36"/>
  <c r="D27" i="36" a="1"/>
  <c r="G26" i="36" a="1"/>
  <c r="G26" i="36" s="1"/>
  <c r="F26" i="36" a="1"/>
  <c r="F26" i="36" s="1"/>
  <c r="E26" i="36" a="1"/>
  <c r="E26" i="36" s="1"/>
  <c r="I26" i="36" s="1"/>
  <c r="D26" i="36" a="1"/>
  <c r="D26" i="36" s="1"/>
  <c r="G25" i="36" a="1"/>
  <c r="G25" i="36" s="1"/>
  <c r="F25" i="36" a="1"/>
  <c r="F25" i="36" s="1"/>
  <c r="E25" i="36" a="1"/>
  <c r="E25" i="36" s="1"/>
  <c r="I25" i="36" s="1"/>
  <c r="D25" i="36"/>
  <c r="D25" i="36" a="1"/>
  <c r="G24" i="36" a="1"/>
  <c r="G24" i="36" s="1"/>
  <c r="F24" i="36" a="1"/>
  <c r="F24" i="36" s="1"/>
  <c r="E24" i="36" a="1"/>
  <c r="E24" i="36" s="1"/>
  <c r="I24" i="36" s="1"/>
  <c r="D24" i="36" a="1"/>
  <c r="D24" i="36" s="1"/>
  <c r="G23" i="36" a="1"/>
  <c r="G23" i="36" s="1"/>
  <c r="F23" i="36" a="1"/>
  <c r="F23" i="36" s="1"/>
  <c r="E23" i="36" a="1"/>
  <c r="E23" i="36" s="1"/>
  <c r="I23" i="36" s="1"/>
  <c r="D23" i="36" a="1"/>
  <c r="D23" i="36" s="1"/>
  <c r="G22" i="36"/>
  <c r="G22" i="36" a="1"/>
  <c r="F22" i="36" a="1"/>
  <c r="F22" i="36" s="1"/>
  <c r="E22" i="36" a="1"/>
  <c r="E22" i="36" s="1"/>
  <c r="I22" i="36" s="1"/>
  <c r="D22" i="36" a="1"/>
  <c r="D22" i="36" s="1"/>
  <c r="G21" i="36" a="1"/>
  <c r="G21" i="36" s="1"/>
  <c r="F21" i="36" a="1"/>
  <c r="F21" i="36" s="1"/>
  <c r="E21" i="36" a="1"/>
  <c r="E21" i="36" s="1"/>
  <c r="I21" i="36" s="1"/>
  <c r="D21" i="36"/>
  <c r="D21" i="36" a="1"/>
  <c r="G20" i="36" a="1"/>
  <c r="G20" i="36" s="1"/>
  <c r="F20" i="36" a="1"/>
  <c r="F20" i="36" s="1"/>
  <c r="E20" i="36" a="1"/>
  <c r="E20" i="36" s="1"/>
  <c r="I20" i="36" s="1"/>
  <c r="D20" i="36" a="1"/>
  <c r="D20" i="36" s="1"/>
  <c r="G19" i="36" a="1"/>
  <c r="G19" i="36" s="1"/>
  <c r="F19" i="36" a="1"/>
  <c r="F19" i="36" s="1"/>
  <c r="E19" i="36"/>
  <c r="I19" i="36" s="1"/>
  <c r="E19" i="36" a="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D15" i="36"/>
  <c r="D15" i="36" a="1"/>
  <c r="A15" i="36"/>
  <c r="D14" i="36" a="1"/>
  <c r="D14" i="36" s="1"/>
  <c r="A14" i="36"/>
  <c r="A11" i="36"/>
  <c r="A8" i="36"/>
  <c r="D7" i="36" a="1"/>
  <c r="D7" i="36" s="1"/>
  <c r="D6" i="36" a="1"/>
  <c r="D6" i="36" s="1"/>
  <c r="D5" i="36" a="1"/>
  <c r="D5" i="36" s="1"/>
  <c r="A5" i="36"/>
  <c r="A4" i="36"/>
  <c r="A3" i="36"/>
  <c r="H30" i="48" a="1"/>
  <c r="H30" i="48" s="1"/>
  <c r="H29" i="48" a="1"/>
  <c r="H29" i="48" s="1"/>
  <c r="H28" i="48" a="1"/>
  <c r="H28" i="48" s="1"/>
  <c r="H27" i="48" a="1"/>
  <c r="H27" i="48" s="1"/>
  <c r="H26" i="48" a="1"/>
  <c r="H26" i="48" s="1"/>
  <c r="H25" i="48" a="1"/>
  <c r="H25" i="48" s="1"/>
  <c r="H24" i="48" a="1"/>
  <c r="H24" i="48" s="1"/>
  <c r="J17" i="48" a="1"/>
  <c r="J17" i="48" s="1"/>
  <c r="J16" i="48" a="1"/>
  <c r="J16" i="48" s="1"/>
  <c r="J15" i="48" a="1"/>
  <c r="J15" i="48" s="1"/>
  <c r="J14" i="48" a="1"/>
  <c r="J14" i="48" s="1"/>
  <c r="J13" i="48" a="1"/>
  <c r="J13" i="48" s="1"/>
  <c r="J12" i="48" a="1"/>
  <c r="J12" i="48" s="1"/>
  <c r="J11" i="48" a="1"/>
  <c r="J11" i="48" s="1"/>
  <c r="J10" i="48" a="1"/>
  <c r="J10" i="48" s="1"/>
  <c r="E259" i="47" l="1" a="1"/>
  <c r="E259" i="47" s="1"/>
  <c r="D259" i="47" a="1"/>
  <c r="D259" i="47" s="1"/>
  <c r="E258" i="47" a="1"/>
  <c r="E258" i="47" s="1"/>
  <c r="D258" i="47" a="1"/>
  <c r="D258" i="47" s="1"/>
  <c r="D256" i="47" a="1"/>
  <c r="D256" i="47" s="1"/>
  <c r="D255" i="47" a="1"/>
  <c r="D255" i="47" s="1"/>
  <c r="D254" i="47"/>
  <c r="D254" i="47" a="1"/>
  <c r="D253" i="47" a="1"/>
  <c r="D253" i="47" s="1"/>
  <c r="S250" i="47" a="1"/>
  <c r="S250" i="47" s="1"/>
  <c r="R250" i="47" a="1"/>
  <c r="R250" i="47" s="1"/>
  <c r="Q250" i="47" a="1"/>
  <c r="Q250" i="47" s="1"/>
  <c r="P250" i="47" a="1"/>
  <c r="P250" i="47" s="1"/>
  <c r="O250" i="47" a="1"/>
  <c r="O250" i="47" s="1"/>
  <c r="N250" i="47" a="1"/>
  <c r="N250" i="47" s="1"/>
  <c r="M250" i="47" a="1"/>
  <c r="M250" i="47" s="1"/>
  <c r="L250" i="47" a="1"/>
  <c r="L250" i="47" s="1"/>
  <c r="K250" i="47" a="1"/>
  <c r="K250" i="47" s="1"/>
  <c r="J250" i="47" a="1"/>
  <c r="J250" i="47" s="1"/>
  <c r="I250" i="47" a="1"/>
  <c r="I250" i="47" s="1"/>
  <c r="H250" i="47" a="1"/>
  <c r="H250" i="47" s="1"/>
  <c r="G250" i="47" a="1"/>
  <c r="G250" i="47" s="1"/>
  <c r="F250" i="47" a="1"/>
  <c r="F250" i="47" s="1"/>
  <c r="E250" i="47" a="1"/>
  <c r="E250" i="47" s="1"/>
  <c r="D250" i="47" a="1"/>
  <c r="D250" i="47" s="1"/>
  <c r="S249" i="47" a="1"/>
  <c r="S249" i="47" s="1"/>
  <c r="R249" i="47" a="1"/>
  <c r="R249" i="47" s="1"/>
  <c r="Q249" i="47" a="1"/>
  <c r="Q249" i="47" s="1"/>
  <c r="P249" i="47" a="1"/>
  <c r="P249" i="47" s="1"/>
  <c r="O249" i="47" a="1"/>
  <c r="O249" i="47" s="1"/>
  <c r="N249" i="47" a="1"/>
  <c r="N249" i="47" s="1"/>
  <c r="M249" i="47" a="1"/>
  <c r="M249" i="47" s="1"/>
  <c r="L249" i="47" a="1"/>
  <c r="L249" i="47" s="1"/>
  <c r="K249" i="47" a="1"/>
  <c r="K249" i="47" s="1"/>
  <c r="J249" i="47" a="1"/>
  <c r="J249" i="47" s="1"/>
  <c r="I249" i="47" a="1"/>
  <c r="I249" i="47" s="1"/>
  <c r="H249" i="47" a="1"/>
  <c r="H249" i="47" s="1"/>
  <c r="G249" i="47" a="1"/>
  <c r="G249" i="47" s="1"/>
  <c r="F249" i="47" a="1"/>
  <c r="F249" i="47" s="1"/>
  <c r="E249" i="47" a="1"/>
  <c r="E249" i="47" s="1"/>
  <c r="D249" i="47" a="1"/>
  <c r="D249" i="47" s="1"/>
  <c r="S248" i="47" a="1"/>
  <c r="S248" i="47" s="1"/>
  <c r="R248" i="47" a="1"/>
  <c r="R248" i="47" s="1"/>
  <c r="Q248" i="47" a="1"/>
  <c r="Q248" i="47" s="1"/>
  <c r="P248" i="47" a="1"/>
  <c r="P248" i="47" s="1"/>
  <c r="O248" i="47" a="1"/>
  <c r="O248" i="47" s="1"/>
  <c r="N248" i="47" a="1"/>
  <c r="N248" i="47" s="1"/>
  <c r="M248" i="47" a="1"/>
  <c r="M248" i="47" s="1"/>
  <c r="L248" i="47" a="1"/>
  <c r="L248" i="47" s="1"/>
  <c r="K248" i="47" a="1"/>
  <c r="K248" i="47" s="1"/>
  <c r="J248" i="47" a="1"/>
  <c r="J248" i="47" s="1"/>
  <c r="I248" i="47" a="1"/>
  <c r="I248" i="47" s="1"/>
  <c r="H248" i="47" a="1"/>
  <c r="H248" i="47" s="1"/>
  <c r="G248" i="47" a="1"/>
  <c r="G248" i="47" s="1"/>
  <c r="F248" i="47" a="1"/>
  <c r="F248" i="47" s="1"/>
  <c r="E248" i="47" a="1"/>
  <c r="E248" i="47" s="1"/>
  <c r="D248" i="47" a="1"/>
  <c r="D248" i="47" s="1"/>
  <c r="S247" i="47" a="1"/>
  <c r="S247" i="47" s="1"/>
  <c r="R247" i="47" a="1"/>
  <c r="R247" i="47" s="1"/>
  <c r="Q247" i="47" a="1"/>
  <c r="Q247" i="47" s="1"/>
  <c r="P247" i="47" a="1"/>
  <c r="P247" i="47" s="1"/>
  <c r="O247" i="47" a="1"/>
  <c r="O247" i="47" s="1"/>
  <c r="N247" i="47" a="1"/>
  <c r="N247" i="47" s="1"/>
  <c r="M247" i="47" a="1"/>
  <c r="M247" i="47" s="1"/>
  <c r="L247" i="47" a="1"/>
  <c r="L247" i="47" s="1"/>
  <c r="K247" i="47" a="1"/>
  <c r="K247" i="47" s="1"/>
  <c r="J247" i="47" a="1"/>
  <c r="J247" i="47" s="1"/>
  <c r="I247" i="47" a="1"/>
  <c r="I247" i="47" s="1"/>
  <c r="H247" i="47" a="1"/>
  <c r="H247" i="47" s="1"/>
  <c r="G247" i="47" a="1"/>
  <c r="G247" i="47" s="1"/>
  <c r="F247" i="47" a="1"/>
  <c r="F247" i="47" s="1"/>
  <c r="E247" i="47" a="1"/>
  <c r="E247" i="47" s="1"/>
  <c r="D247" i="47" a="1"/>
  <c r="D247" i="47" s="1"/>
  <c r="S246" i="47" a="1"/>
  <c r="S246" i="47" s="1"/>
  <c r="R246" i="47" a="1"/>
  <c r="R246" i="47" s="1"/>
  <c r="Q246" i="47" a="1"/>
  <c r="Q246" i="47" s="1"/>
  <c r="P246" i="47" a="1"/>
  <c r="P246" i="47" s="1"/>
  <c r="O246" i="47" a="1"/>
  <c r="O246" i="47" s="1"/>
  <c r="N246" i="47" a="1"/>
  <c r="N246" i="47" s="1"/>
  <c r="M246" i="47" a="1"/>
  <c r="M246" i="47" s="1"/>
  <c r="L246" i="47" a="1"/>
  <c r="L246" i="47" s="1"/>
  <c r="K246" i="47" a="1"/>
  <c r="K246" i="47" s="1"/>
  <c r="J246" i="47" a="1"/>
  <c r="J246" i="47" s="1"/>
  <c r="I246" i="47" a="1"/>
  <c r="I246" i="47" s="1"/>
  <c r="H246" i="47" a="1"/>
  <c r="H246" i="47" s="1"/>
  <c r="G246" i="47" a="1"/>
  <c r="G246" i="47" s="1"/>
  <c r="F246" i="47" a="1"/>
  <c r="F246" i="47" s="1"/>
  <c r="E246" i="47" a="1"/>
  <c r="E246" i="47" s="1"/>
  <c r="D246" i="47" a="1"/>
  <c r="D246" i="47" s="1"/>
  <c r="S245" i="47" a="1"/>
  <c r="S245" i="47" s="1"/>
  <c r="R245" i="47" a="1"/>
  <c r="R245" i="47" s="1"/>
  <c r="Q245" i="47" a="1"/>
  <c r="Q245" i="47" s="1"/>
  <c r="P245" i="47" a="1"/>
  <c r="P245" i="47" s="1"/>
  <c r="O245" i="47" a="1"/>
  <c r="O245" i="47" s="1"/>
  <c r="N245" i="47" a="1"/>
  <c r="N245" i="47" s="1"/>
  <c r="M245" i="47" a="1"/>
  <c r="M245" i="47" s="1"/>
  <c r="L245" i="47" a="1"/>
  <c r="L245" i="47" s="1"/>
  <c r="K245" i="47" a="1"/>
  <c r="K245" i="47" s="1"/>
  <c r="J245" i="47" a="1"/>
  <c r="J245" i="47" s="1"/>
  <c r="I245" i="47" a="1"/>
  <c r="I245" i="47" s="1"/>
  <c r="H245" i="47" a="1"/>
  <c r="H245" i="47" s="1"/>
  <c r="G245" i="47" a="1"/>
  <c r="G245" i="47" s="1"/>
  <c r="F245" i="47" a="1"/>
  <c r="F245" i="47" s="1"/>
  <c r="E245" i="47" a="1"/>
  <c r="E245" i="47" s="1"/>
  <c r="D245" i="47" a="1"/>
  <c r="D245" i="47" s="1"/>
  <c r="S244" i="47" a="1"/>
  <c r="S244" i="47" s="1"/>
  <c r="R244" i="47" a="1"/>
  <c r="R244" i="47" s="1"/>
  <c r="Q244" i="47" a="1"/>
  <c r="Q244" i="47" s="1"/>
  <c r="P244" i="47" a="1"/>
  <c r="P244" i="47" s="1"/>
  <c r="O244" i="47" a="1"/>
  <c r="O244" i="47" s="1"/>
  <c r="N244" i="47" a="1"/>
  <c r="N244" i="47" s="1"/>
  <c r="M244" i="47" a="1"/>
  <c r="M244" i="47" s="1"/>
  <c r="L244" i="47" a="1"/>
  <c r="L244" i="47" s="1"/>
  <c r="K244" i="47" a="1"/>
  <c r="K244" i="47" s="1"/>
  <c r="J244" i="47" a="1"/>
  <c r="J244" i="47" s="1"/>
  <c r="I244" i="47" a="1"/>
  <c r="I244" i="47" s="1"/>
  <c r="H244" i="47" a="1"/>
  <c r="H244" i="47" s="1"/>
  <c r="G244" i="47" a="1"/>
  <c r="G244" i="47" s="1"/>
  <c r="F244" i="47" a="1"/>
  <c r="F244" i="47" s="1"/>
  <c r="E244" i="47" a="1"/>
  <c r="E244" i="47" s="1"/>
  <c r="D244" i="47" a="1"/>
  <c r="D244" i="47" s="1"/>
  <c r="S243" i="47" a="1"/>
  <c r="S243" i="47" s="1"/>
  <c r="R243" i="47" a="1"/>
  <c r="R243" i="47" s="1"/>
  <c r="Q243" i="47" a="1"/>
  <c r="Q243" i="47" s="1"/>
  <c r="P243" i="47" a="1"/>
  <c r="P243" i="47" s="1"/>
  <c r="O243" i="47" a="1"/>
  <c r="O243" i="47" s="1"/>
  <c r="N243" i="47" a="1"/>
  <c r="N243" i="47" s="1"/>
  <c r="M243" i="47" a="1"/>
  <c r="M243" i="47" s="1"/>
  <c r="L243" i="47" a="1"/>
  <c r="L243" i="47" s="1"/>
  <c r="K243" i="47" a="1"/>
  <c r="K243" i="47" s="1"/>
  <c r="J243" i="47" a="1"/>
  <c r="J243" i="47" s="1"/>
  <c r="I243" i="47" a="1"/>
  <c r="I243" i="47" s="1"/>
  <c r="H243" i="47" a="1"/>
  <c r="H243" i="47" s="1"/>
  <c r="G243" i="47" a="1"/>
  <c r="G243" i="47" s="1"/>
  <c r="F243" i="47" a="1"/>
  <c r="F243" i="47" s="1"/>
  <c r="E243" i="47" a="1"/>
  <c r="E243" i="47" s="1"/>
  <c r="D243" i="47" a="1"/>
  <c r="D243" i="47" s="1"/>
  <c r="S242" i="47" a="1"/>
  <c r="S242" i="47" s="1"/>
  <c r="R242" i="47" a="1"/>
  <c r="R242" i="47" s="1"/>
  <c r="Q242" i="47" a="1"/>
  <c r="Q242" i="47" s="1"/>
  <c r="P242" i="47" a="1"/>
  <c r="P242" i="47" s="1"/>
  <c r="O242" i="47" a="1"/>
  <c r="O242" i="47" s="1"/>
  <c r="N242" i="47" a="1"/>
  <c r="N242" i="47" s="1"/>
  <c r="M242" i="47" a="1"/>
  <c r="M242" i="47" s="1"/>
  <c r="L242" i="47" a="1"/>
  <c r="L242" i="47" s="1"/>
  <c r="K242" i="47" a="1"/>
  <c r="K242" i="47" s="1"/>
  <c r="J242" i="47" a="1"/>
  <c r="J242" i="47" s="1"/>
  <c r="I242" i="47" a="1"/>
  <c r="I242" i="47" s="1"/>
  <c r="H242" i="47" a="1"/>
  <c r="H242" i="47" s="1"/>
  <c r="G242" i="47" a="1"/>
  <c r="G242" i="47" s="1"/>
  <c r="F242" i="47" a="1"/>
  <c r="F242" i="47" s="1"/>
  <c r="E242" i="47" a="1"/>
  <c r="E242" i="47" s="1"/>
  <c r="D242" i="47" a="1"/>
  <c r="D242" i="47" s="1"/>
  <c r="S241" i="47" a="1"/>
  <c r="S241" i="47" s="1"/>
  <c r="R241" i="47" a="1"/>
  <c r="R241" i="47" s="1"/>
  <c r="Q241" i="47" a="1"/>
  <c r="Q241" i="47" s="1"/>
  <c r="P241" i="47" a="1"/>
  <c r="P241" i="47" s="1"/>
  <c r="O241" i="47" a="1"/>
  <c r="O241" i="47" s="1"/>
  <c r="N241" i="47" a="1"/>
  <c r="N241" i="47" s="1"/>
  <c r="M241" i="47" a="1"/>
  <c r="M241" i="47" s="1"/>
  <c r="L241" i="47" a="1"/>
  <c r="L241" i="47" s="1"/>
  <c r="K241" i="47" a="1"/>
  <c r="K241" i="47" s="1"/>
  <c r="J241" i="47" a="1"/>
  <c r="J241" i="47" s="1"/>
  <c r="I241" i="47" a="1"/>
  <c r="I241" i="47" s="1"/>
  <c r="H241" i="47" a="1"/>
  <c r="H241" i="47" s="1"/>
  <c r="G241" i="47" a="1"/>
  <c r="G241" i="47" s="1"/>
  <c r="F241" i="47" a="1"/>
  <c r="F241" i="47" s="1"/>
  <c r="E241" i="47" a="1"/>
  <c r="E241" i="47" s="1"/>
  <c r="D241" i="47" a="1"/>
  <c r="D241" i="47" s="1"/>
  <c r="S240" i="47" a="1"/>
  <c r="S240" i="47" s="1"/>
  <c r="R240" i="47" a="1"/>
  <c r="R240" i="47" s="1"/>
  <c r="Q240" i="47" a="1"/>
  <c r="Q240" i="47" s="1"/>
  <c r="P240" i="47" a="1"/>
  <c r="P240" i="47" s="1"/>
  <c r="O240" i="47" a="1"/>
  <c r="O240" i="47" s="1"/>
  <c r="N240" i="47" a="1"/>
  <c r="N240" i="47" s="1"/>
  <c r="M240" i="47" a="1"/>
  <c r="M240" i="47" s="1"/>
  <c r="L240" i="47" a="1"/>
  <c r="L240" i="47" s="1"/>
  <c r="K240" i="47" a="1"/>
  <c r="K240" i="47" s="1"/>
  <c r="J240" i="47" a="1"/>
  <c r="J240" i="47" s="1"/>
  <c r="I240" i="47" a="1"/>
  <c r="I240" i="47" s="1"/>
  <c r="H240" i="47" a="1"/>
  <c r="H240" i="47" s="1"/>
  <c r="G240" i="47" a="1"/>
  <c r="G240" i="47" s="1"/>
  <c r="F240" i="47" a="1"/>
  <c r="F240" i="47" s="1"/>
  <c r="E240" i="47" a="1"/>
  <c r="E240" i="47" s="1"/>
  <c r="D240" i="47" a="1"/>
  <c r="D240" i="47" s="1"/>
  <c r="S239" i="47" a="1"/>
  <c r="S239" i="47" s="1"/>
  <c r="R239" i="47" a="1"/>
  <c r="R239" i="47" s="1"/>
  <c r="Q239" i="47" a="1"/>
  <c r="Q239" i="47" s="1"/>
  <c r="P239" i="47" a="1"/>
  <c r="P239" i="47" s="1"/>
  <c r="O239" i="47" a="1"/>
  <c r="O239" i="47" s="1"/>
  <c r="N239" i="47" a="1"/>
  <c r="N239" i="47" s="1"/>
  <c r="M239" i="47" a="1"/>
  <c r="M239" i="47" s="1"/>
  <c r="L239" i="47" a="1"/>
  <c r="L239" i="47" s="1"/>
  <c r="K239" i="47" a="1"/>
  <c r="K239" i="47" s="1"/>
  <c r="J239" i="47" a="1"/>
  <c r="J239" i="47" s="1"/>
  <c r="I239" i="47" a="1"/>
  <c r="I239" i="47" s="1"/>
  <c r="H239" i="47" a="1"/>
  <c r="H239" i="47" s="1"/>
  <c r="G239" i="47" a="1"/>
  <c r="G239" i="47" s="1"/>
  <c r="F239" i="47" a="1"/>
  <c r="F239" i="47" s="1"/>
  <c r="E239" i="47" a="1"/>
  <c r="E239" i="47" s="1"/>
  <c r="D239" i="47" a="1"/>
  <c r="D239" i="47" s="1"/>
  <c r="S238" i="47" a="1"/>
  <c r="S238" i="47" s="1"/>
  <c r="R238" i="47" a="1"/>
  <c r="R238" i="47" s="1"/>
  <c r="Q238" i="47" a="1"/>
  <c r="Q238" i="47" s="1"/>
  <c r="P238" i="47" a="1"/>
  <c r="P238" i="47" s="1"/>
  <c r="O238" i="47" a="1"/>
  <c r="O238" i="47" s="1"/>
  <c r="N238" i="47" a="1"/>
  <c r="N238" i="47" s="1"/>
  <c r="M238" i="47" a="1"/>
  <c r="M238" i="47" s="1"/>
  <c r="L238" i="47" a="1"/>
  <c r="L238" i="47" s="1"/>
  <c r="K238" i="47" a="1"/>
  <c r="K238" i="47" s="1"/>
  <c r="J238" i="47" a="1"/>
  <c r="J238" i="47" s="1"/>
  <c r="I238" i="47" a="1"/>
  <c r="I238" i="47" s="1"/>
  <c r="H238" i="47" a="1"/>
  <c r="H238" i="47" s="1"/>
  <c r="G238" i="47" a="1"/>
  <c r="G238" i="47" s="1"/>
  <c r="F238" i="47" a="1"/>
  <c r="F238" i="47" s="1"/>
  <c r="E238" i="47" a="1"/>
  <c r="E238" i="47" s="1"/>
  <c r="D238" i="47" a="1"/>
  <c r="D238" i="47" s="1"/>
  <c r="S237" i="47" a="1"/>
  <c r="S237" i="47" s="1"/>
  <c r="R237" i="47" a="1"/>
  <c r="R237" i="47" s="1"/>
  <c r="Q237" i="47" a="1"/>
  <c r="Q237" i="47" s="1"/>
  <c r="P237" i="47" a="1"/>
  <c r="P237" i="47" s="1"/>
  <c r="O237" i="47" a="1"/>
  <c r="O237" i="47" s="1"/>
  <c r="N237" i="47" a="1"/>
  <c r="N237" i="47" s="1"/>
  <c r="M237" i="47" a="1"/>
  <c r="M237" i="47" s="1"/>
  <c r="L237" i="47" a="1"/>
  <c r="L237" i="47" s="1"/>
  <c r="K237" i="47" a="1"/>
  <c r="K237" i="47" s="1"/>
  <c r="J237" i="47" a="1"/>
  <c r="J237" i="47" s="1"/>
  <c r="I237" i="47" a="1"/>
  <c r="I237" i="47" s="1"/>
  <c r="H237" i="47" a="1"/>
  <c r="H237" i="47" s="1"/>
  <c r="G237" i="47" a="1"/>
  <c r="G237" i="47" s="1"/>
  <c r="F237" i="47" a="1"/>
  <c r="F237" i="47" s="1"/>
  <c r="E237" i="47" a="1"/>
  <c r="E237" i="47" s="1"/>
  <c r="D237" i="47" a="1"/>
  <c r="D237" i="47" s="1"/>
  <c r="S236" i="47" a="1"/>
  <c r="S236" i="47" s="1"/>
  <c r="R236" i="47" a="1"/>
  <c r="R236" i="47" s="1"/>
  <c r="Q236" i="47" a="1"/>
  <c r="Q236" i="47" s="1"/>
  <c r="P236" i="47" a="1"/>
  <c r="P236" i="47" s="1"/>
  <c r="O236" i="47" a="1"/>
  <c r="O236" i="47" s="1"/>
  <c r="N236" i="47" a="1"/>
  <c r="N236" i="47" s="1"/>
  <c r="M236" i="47" a="1"/>
  <c r="M236" i="47" s="1"/>
  <c r="L236" i="47" a="1"/>
  <c r="L236" i="47" s="1"/>
  <c r="K236" i="47" a="1"/>
  <c r="K236" i="47" s="1"/>
  <c r="J236" i="47" a="1"/>
  <c r="J236" i="47" s="1"/>
  <c r="I236" i="47" a="1"/>
  <c r="I236" i="47" s="1"/>
  <c r="H236" i="47" a="1"/>
  <c r="H236" i="47" s="1"/>
  <c r="G236" i="47" a="1"/>
  <c r="G236" i="47" s="1"/>
  <c r="F236" i="47" a="1"/>
  <c r="F236" i="47" s="1"/>
  <c r="E236" i="47" a="1"/>
  <c r="E236" i="47" s="1"/>
  <c r="D236" i="47" a="1"/>
  <c r="D236" i="47" s="1"/>
  <c r="S235" i="47" a="1"/>
  <c r="S235" i="47" s="1"/>
  <c r="R235" i="47" a="1"/>
  <c r="R235" i="47" s="1"/>
  <c r="Q235" i="47" a="1"/>
  <c r="Q235" i="47" s="1"/>
  <c r="P235" i="47" a="1"/>
  <c r="P235" i="47" s="1"/>
  <c r="O235" i="47" a="1"/>
  <c r="O235" i="47" s="1"/>
  <c r="N235" i="47" a="1"/>
  <c r="N235" i="47" s="1"/>
  <c r="M235" i="47" a="1"/>
  <c r="M235" i="47" s="1"/>
  <c r="L235" i="47" a="1"/>
  <c r="L235" i="47" s="1"/>
  <c r="K235" i="47" a="1"/>
  <c r="K235" i="47" s="1"/>
  <c r="J235" i="47" a="1"/>
  <c r="J235" i="47" s="1"/>
  <c r="I235" i="47" a="1"/>
  <c r="I235" i="47" s="1"/>
  <c r="H235" i="47" a="1"/>
  <c r="H235" i="47" s="1"/>
  <c r="G235" i="47" a="1"/>
  <c r="G235" i="47" s="1"/>
  <c r="F235" i="47" a="1"/>
  <c r="F235" i="47" s="1"/>
  <c r="E235" i="47" a="1"/>
  <c r="E235" i="47" s="1"/>
  <c r="D235" i="47" a="1"/>
  <c r="D235" i="47" s="1"/>
  <c r="S234" i="47" a="1"/>
  <c r="S234" i="47" s="1"/>
  <c r="R234" i="47" a="1"/>
  <c r="R234" i="47" s="1"/>
  <c r="Q234" i="47" a="1"/>
  <c r="Q234" i="47" s="1"/>
  <c r="P234" i="47" a="1"/>
  <c r="P234" i="47" s="1"/>
  <c r="O234" i="47" a="1"/>
  <c r="O234" i="47" s="1"/>
  <c r="N234" i="47" a="1"/>
  <c r="N234" i="47" s="1"/>
  <c r="M234" i="47" a="1"/>
  <c r="M234" i="47" s="1"/>
  <c r="L234" i="47" a="1"/>
  <c r="L234" i="47" s="1"/>
  <c r="K234" i="47" a="1"/>
  <c r="K234" i="47" s="1"/>
  <c r="J234" i="47" a="1"/>
  <c r="J234" i="47" s="1"/>
  <c r="I234" i="47" a="1"/>
  <c r="I234" i="47" s="1"/>
  <c r="H234" i="47" a="1"/>
  <c r="H234" i="47" s="1"/>
  <c r="G234" i="47" a="1"/>
  <c r="G234" i="47" s="1"/>
  <c r="F234" i="47" a="1"/>
  <c r="F234" i="47" s="1"/>
  <c r="E234" i="47" a="1"/>
  <c r="E234" i="47" s="1"/>
  <c r="D234" i="47" a="1"/>
  <c r="D234" i="47" s="1"/>
  <c r="S233" i="47" a="1"/>
  <c r="S233" i="47" s="1"/>
  <c r="R233" i="47" a="1"/>
  <c r="R233" i="47" s="1"/>
  <c r="Q233" i="47" a="1"/>
  <c r="Q233" i="47" s="1"/>
  <c r="P233" i="47" a="1"/>
  <c r="P233" i="47" s="1"/>
  <c r="O233" i="47" a="1"/>
  <c r="O233" i="47" s="1"/>
  <c r="N233" i="47" a="1"/>
  <c r="N233" i="47" s="1"/>
  <c r="M233" i="47" a="1"/>
  <c r="M233" i="47" s="1"/>
  <c r="L233" i="47" a="1"/>
  <c r="L233" i="47" s="1"/>
  <c r="K233" i="47" a="1"/>
  <c r="K233" i="47" s="1"/>
  <c r="J233" i="47" a="1"/>
  <c r="J233" i="47" s="1"/>
  <c r="I233" i="47" a="1"/>
  <c r="I233" i="47" s="1"/>
  <c r="H233" i="47" a="1"/>
  <c r="H233" i="47" s="1"/>
  <c r="G233" i="47" a="1"/>
  <c r="G233" i="47" s="1"/>
  <c r="F233" i="47" a="1"/>
  <c r="F233" i="47" s="1"/>
  <c r="E233" i="47" a="1"/>
  <c r="E233" i="47" s="1"/>
  <c r="D233" i="47" a="1"/>
  <c r="D233" i="47" s="1"/>
  <c r="S232" i="47" a="1"/>
  <c r="S232" i="47" s="1"/>
  <c r="R232" i="47" a="1"/>
  <c r="R232" i="47" s="1"/>
  <c r="Q232" i="47" a="1"/>
  <c r="Q232" i="47" s="1"/>
  <c r="P232" i="47" a="1"/>
  <c r="P232" i="47" s="1"/>
  <c r="O232" i="47" a="1"/>
  <c r="O232" i="47" s="1"/>
  <c r="N232" i="47" a="1"/>
  <c r="N232" i="47" s="1"/>
  <c r="M232" i="47" a="1"/>
  <c r="M232" i="47" s="1"/>
  <c r="L232" i="47" a="1"/>
  <c r="L232" i="47" s="1"/>
  <c r="K232" i="47" a="1"/>
  <c r="K232" i="47" s="1"/>
  <c r="J232" i="47" a="1"/>
  <c r="J232" i="47" s="1"/>
  <c r="I232" i="47" a="1"/>
  <c r="I232" i="47" s="1"/>
  <c r="H232" i="47" a="1"/>
  <c r="H232" i="47" s="1"/>
  <c r="G232" i="47" a="1"/>
  <c r="G232" i="47" s="1"/>
  <c r="F232" i="47" a="1"/>
  <c r="F232" i="47" s="1"/>
  <c r="E232" i="47" a="1"/>
  <c r="E232" i="47" s="1"/>
  <c r="D232" i="47" a="1"/>
  <c r="D232" i="47" s="1"/>
  <c r="D229" i="47" a="1"/>
  <c r="D229" i="47" s="1"/>
  <c r="D228" i="47" a="1"/>
  <c r="D228" i="47" s="1"/>
  <c r="D227" i="47" a="1"/>
  <c r="D227" i="47" s="1"/>
  <c r="E224" i="47" a="1"/>
  <c r="E224" i="47" s="1"/>
  <c r="D224" i="47" a="1"/>
  <c r="D224" i="47" s="1"/>
  <c r="E223" i="47" a="1"/>
  <c r="E223" i="47" s="1"/>
  <c r="D223" i="47" a="1"/>
  <c r="D223" i="47" s="1"/>
  <c r="E222" i="47" a="1"/>
  <c r="E222" i="47" s="1"/>
  <c r="D222" i="47" a="1"/>
  <c r="D222" i="47" s="1"/>
  <c r="E221" i="47" a="1"/>
  <c r="E221" i="47" s="1"/>
  <c r="D221" i="47" a="1"/>
  <c r="D221" i="47" s="1"/>
  <c r="E220" i="47" a="1"/>
  <c r="E220" i="47" s="1"/>
  <c r="D220" i="47" a="1"/>
  <c r="D220" i="47" s="1"/>
  <c r="E219" i="47" a="1"/>
  <c r="E219" i="47" s="1"/>
  <c r="D219" i="47" a="1"/>
  <c r="D219" i="47" s="1"/>
  <c r="E218" i="47" a="1"/>
  <c r="E218" i="47" s="1"/>
  <c r="D218" i="47" a="1"/>
  <c r="D218" i="47" s="1"/>
  <c r="E217" i="47" a="1"/>
  <c r="E217" i="47" s="1"/>
  <c r="D217" i="47" a="1"/>
  <c r="D217" i="47" s="1"/>
  <c r="E216" i="47" a="1"/>
  <c r="E216" i="47" s="1"/>
  <c r="D216" i="47" a="1"/>
  <c r="D216" i="47" s="1"/>
  <c r="E215" i="47" a="1"/>
  <c r="E215" i="47" s="1"/>
  <c r="D215" i="47" a="1"/>
  <c r="D215" i="47" s="1"/>
  <c r="E214" i="47" a="1"/>
  <c r="E214" i="47" s="1"/>
  <c r="D214" i="47" a="1"/>
  <c r="D214" i="47" s="1"/>
  <c r="E213" i="47" a="1"/>
  <c r="E213" i="47" s="1"/>
  <c r="D213" i="47" a="1"/>
  <c r="D213" i="47" s="1"/>
  <c r="D211" i="47" a="1"/>
  <c r="D211" i="47" s="1"/>
  <c r="E208" i="47" a="1"/>
  <c r="E208" i="47" s="1"/>
  <c r="D208" i="47" a="1"/>
  <c r="D208" i="47" s="1"/>
  <c r="E207" i="47" a="1"/>
  <c r="E207" i="47" s="1"/>
  <c r="D207" i="47" a="1"/>
  <c r="D207" i="47" s="1"/>
  <c r="D205" i="47" a="1"/>
  <c r="D205" i="47" s="1"/>
  <c r="D204" i="47" a="1"/>
  <c r="D204" i="47" s="1"/>
  <c r="D203" i="47" a="1"/>
  <c r="D203" i="47" s="1"/>
  <c r="D202" i="47" a="1"/>
  <c r="D202" i="47" s="1"/>
  <c r="H199" i="47" a="1"/>
  <c r="H199" i="47" s="1"/>
  <c r="G199" i="47" a="1"/>
  <c r="G199" i="47" s="1"/>
  <c r="F199" i="47" a="1"/>
  <c r="F199" i="47" s="1"/>
  <c r="E199" i="47" a="1"/>
  <c r="E199" i="47" s="1"/>
  <c r="D199" i="47" a="1"/>
  <c r="D199" i="47" s="1"/>
  <c r="H198" i="47" a="1"/>
  <c r="H198" i="47" s="1"/>
  <c r="G198" i="47" a="1"/>
  <c r="G198" i="47" s="1"/>
  <c r="F198" i="47" a="1"/>
  <c r="F198" i="47" s="1"/>
  <c r="E198" i="47" a="1"/>
  <c r="E198" i="47" s="1"/>
  <c r="D198" i="47" a="1"/>
  <c r="D198" i="47" s="1"/>
  <c r="H197" i="47" a="1"/>
  <c r="H197" i="47" s="1"/>
  <c r="G197" i="47" a="1"/>
  <c r="G197" i="47" s="1"/>
  <c r="F197" i="47" a="1"/>
  <c r="F197" i="47" s="1"/>
  <c r="E197" i="47" a="1"/>
  <c r="E197" i="47" s="1"/>
  <c r="D197" i="47" a="1"/>
  <c r="D197" i="47" s="1"/>
  <c r="H196" i="47" a="1"/>
  <c r="H196" i="47" s="1"/>
  <c r="G196" i="47" a="1"/>
  <c r="G196" i="47" s="1"/>
  <c r="F196" i="47" a="1"/>
  <c r="F196" i="47" s="1"/>
  <c r="E196" i="47" a="1"/>
  <c r="E196" i="47" s="1"/>
  <c r="D196" i="47" a="1"/>
  <c r="D196" i="47" s="1"/>
  <c r="H195" i="47" a="1"/>
  <c r="H195" i="47" s="1"/>
  <c r="G195" i="47" a="1"/>
  <c r="G195" i="47" s="1"/>
  <c r="F195" i="47" a="1"/>
  <c r="F195" i="47" s="1"/>
  <c r="E195" i="47" a="1"/>
  <c r="E195" i="47" s="1"/>
  <c r="D195" i="47" a="1"/>
  <c r="D195" i="47" s="1"/>
  <c r="H194" i="47" a="1"/>
  <c r="H194" i="47" s="1"/>
  <c r="G194" i="47" a="1"/>
  <c r="G194" i="47" s="1"/>
  <c r="F194" i="47" a="1"/>
  <c r="F194" i="47" s="1"/>
  <c r="E194" i="47" a="1"/>
  <c r="E194" i="47" s="1"/>
  <c r="D194" i="47" a="1"/>
  <c r="D194" i="47" s="1"/>
  <c r="H193" i="47" a="1"/>
  <c r="H193" i="47" s="1"/>
  <c r="G193" i="47" a="1"/>
  <c r="G193" i="47" s="1"/>
  <c r="F193" i="47" a="1"/>
  <c r="F193" i="47" s="1"/>
  <c r="E193" i="47" a="1"/>
  <c r="E193" i="47" s="1"/>
  <c r="D193" i="47" a="1"/>
  <c r="D193" i="47" s="1"/>
  <c r="H192" i="47" a="1"/>
  <c r="H192" i="47" s="1"/>
  <c r="G192" i="47" a="1"/>
  <c r="G192" i="47" s="1"/>
  <c r="F192" i="47" a="1"/>
  <c r="F192" i="47" s="1"/>
  <c r="E192" i="47" a="1"/>
  <c r="E192" i="47" s="1"/>
  <c r="D192" i="47" a="1"/>
  <c r="D192" i="47" s="1"/>
  <c r="H191" i="47" a="1"/>
  <c r="H191" i="47" s="1"/>
  <c r="G191" i="47" a="1"/>
  <c r="G191" i="47" s="1"/>
  <c r="F191" i="47" a="1"/>
  <c r="F191" i="47" s="1"/>
  <c r="E191" i="47" a="1"/>
  <c r="E191" i="47" s="1"/>
  <c r="D191" i="47" a="1"/>
  <c r="D191" i="47" s="1"/>
  <c r="H190" i="47" a="1"/>
  <c r="H190" i="47" s="1"/>
  <c r="G190" i="47" a="1"/>
  <c r="G190" i="47" s="1"/>
  <c r="F190" i="47" a="1"/>
  <c r="F190" i="47" s="1"/>
  <c r="E190" i="47" a="1"/>
  <c r="E190" i="47" s="1"/>
  <c r="D190" i="47" a="1"/>
  <c r="D190" i="47" s="1"/>
  <c r="H189" i="47" a="1"/>
  <c r="H189" i="47" s="1"/>
  <c r="G189" i="47" a="1"/>
  <c r="G189" i="47" s="1"/>
  <c r="F189" i="47" a="1"/>
  <c r="F189" i="47" s="1"/>
  <c r="E189" i="47" a="1"/>
  <c r="E189" i="47" s="1"/>
  <c r="D189" i="47" a="1"/>
  <c r="D189" i="47" s="1"/>
  <c r="H188" i="47" a="1"/>
  <c r="H188" i="47" s="1"/>
  <c r="G188" i="47" a="1"/>
  <c r="G188" i="47" s="1"/>
  <c r="F188" i="47" a="1"/>
  <c r="F188" i="47" s="1"/>
  <c r="D9" i="22" s="1"/>
  <c r="E188" i="47" a="1"/>
  <c r="E188" i="47" s="1"/>
  <c r="D188" i="47" a="1"/>
  <c r="D188" i="47" s="1"/>
  <c r="H187" i="47" a="1"/>
  <c r="H187" i="47" s="1"/>
  <c r="G187" i="47" a="1"/>
  <c r="G187" i="47" s="1"/>
  <c r="F187" i="47" a="1"/>
  <c r="F187" i="47" s="1"/>
  <c r="D8" i="22" s="1"/>
  <c r="E187" i="47" a="1"/>
  <c r="E187" i="47" s="1"/>
  <c r="D187" i="47" a="1"/>
  <c r="D187" i="47" s="1"/>
  <c r="D181" i="47" a="1"/>
  <c r="D181" i="47" s="1"/>
  <c r="D180" i="47" a="1"/>
  <c r="D180" i="47" s="1"/>
  <c r="D179" i="47" a="1"/>
  <c r="D179" i="47" s="1"/>
  <c r="D178" i="47" a="1"/>
  <c r="D178" i="47" s="1"/>
  <c r="E175" i="47" a="1"/>
  <c r="E175" i="47" s="1"/>
  <c r="D175" i="47" a="1"/>
  <c r="D175" i="47" s="1"/>
  <c r="D174" i="47" a="1"/>
  <c r="D174" i="47" s="1"/>
  <c r="D173" i="47" a="1"/>
  <c r="D173" i="47" s="1"/>
  <c r="D170" i="47" a="1"/>
  <c r="D170" i="47" s="1"/>
  <c r="D169" i="47" a="1"/>
  <c r="D169" i="47" s="1"/>
  <c r="D168" i="47" a="1"/>
  <c r="D168" i="47" s="1"/>
  <c r="D167" i="47" a="1"/>
  <c r="D167" i="47" s="1"/>
  <c r="D164" i="47" a="1"/>
  <c r="D164" i="47" s="1"/>
  <c r="D163" i="47" a="1"/>
  <c r="D163" i="47" s="1"/>
  <c r="D162" i="47" a="1"/>
  <c r="D162" i="47" s="1"/>
  <c r="D161" i="47" a="1"/>
  <c r="D161" i="47" s="1"/>
  <c r="E158" i="47" a="1"/>
  <c r="E158" i="47" s="1"/>
  <c r="D158" i="47" a="1"/>
  <c r="D158" i="47" s="1"/>
  <c r="E157" i="47" a="1"/>
  <c r="E157" i="47" s="1"/>
  <c r="D157" i="47" a="1"/>
  <c r="D157" i="47" s="1"/>
  <c r="E156" i="47" a="1"/>
  <c r="E156" i="47" s="1"/>
  <c r="D156" i="47" a="1"/>
  <c r="D156" i="47" s="1"/>
  <c r="E155" i="47" a="1"/>
  <c r="E155" i="47" s="1"/>
  <c r="D155" i="47" a="1"/>
  <c r="D155" i="47" s="1"/>
  <c r="E154" i="47" a="1"/>
  <c r="E154" i="47" s="1"/>
  <c r="D154" i="47" a="1"/>
  <c r="D154" i="47" s="1"/>
  <c r="D151" i="47" a="1"/>
  <c r="D151" i="47" s="1"/>
  <c r="D150" i="47" a="1"/>
  <c r="D150" i="47" s="1"/>
  <c r="E147" i="47" a="1"/>
  <c r="E147" i="47" s="1"/>
  <c r="D147" i="47" a="1"/>
  <c r="D147" i="47" s="1"/>
  <c r="E146" i="47" a="1"/>
  <c r="E146" i="47" s="1"/>
  <c r="D146" i="47" a="1"/>
  <c r="D146" i="47" s="1"/>
  <c r="E145" i="47" a="1"/>
  <c r="E145" i="47" s="1"/>
  <c r="D145" i="47" a="1"/>
  <c r="D145" i="47" s="1"/>
  <c r="E144" i="47" a="1"/>
  <c r="E144" i="47" s="1"/>
  <c r="D144" i="47" a="1"/>
  <c r="D144" i="47" s="1"/>
  <c r="E143" i="47" a="1"/>
  <c r="E143" i="47" s="1"/>
  <c r="D143" i="47" a="1"/>
  <c r="D143" i="47" s="1"/>
  <c r="D141" i="47" a="1"/>
  <c r="D141" i="47" s="1"/>
  <c r="D140" i="47" a="1"/>
  <c r="D140" i="47" s="1"/>
  <c r="D139" i="47" a="1"/>
  <c r="D139" i="47" s="1"/>
  <c r="E136" i="47" a="1"/>
  <c r="E136" i="47" s="1"/>
  <c r="D136" i="47" a="1"/>
  <c r="D136" i="47" s="1"/>
  <c r="E135" i="47" a="1"/>
  <c r="E135" i="47" s="1"/>
  <c r="D135" i="47" a="1"/>
  <c r="D135" i="47" s="1"/>
  <c r="D133" i="47" a="1"/>
  <c r="D133" i="47" s="1"/>
  <c r="D132" i="47" a="1"/>
  <c r="D132" i="47" s="1"/>
  <c r="E129" i="47" a="1"/>
  <c r="E129" i="47" s="1"/>
  <c r="D129" i="47" a="1"/>
  <c r="D129" i="47" s="1"/>
  <c r="E128" i="47" a="1"/>
  <c r="E128" i="47" s="1"/>
  <c r="D128" i="47" a="1"/>
  <c r="D128" i="47" s="1"/>
  <c r="D125" i="47" a="1"/>
  <c r="D125" i="47" s="1"/>
  <c r="D124" i="47" a="1"/>
  <c r="D124" i="47" s="1"/>
  <c r="G121" i="47" a="1"/>
  <c r="G121" i="47" s="1"/>
  <c r="F121" i="47" a="1"/>
  <c r="F121" i="47" s="1"/>
  <c r="E121" i="47" a="1"/>
  <c r="E121" i="47" s="1"/>
  <c r="D121" i="47" a="1"/>
  <c r="D121" i="47" s="1"/>
  <c r="G120" i="47" a="1"/>
  <c r="G120" i="47" s="1"/>
  <c r="F120" i="47" a="1"/>
  <c r="F120" i="47" s="1"/>
  <c r="E30" i="10" s="1"/>
  <c r="E120" i="47" a="1"/>
  <c r="E120" i="47" s="1"/>
  <c r="D120" i="47" a="1"/>
  <c r="D120" i="47" s="1"/>
  <c r="D117" i="47" a="1"/>
  <c r="D117" i="47" s="1"/>
  <c r="D116" i="47" a="1"/>
  <c r="D116" i="47" s="1"/>
  <c r="D115" i="47" a="1"/>
  <c r="D115" i="47" s="1"/>
  <c r="G112" i="47" a="1"/>
  <c r="G112" i="47" s="1"/>
  <c r="F112" i="47" a="1"/>
  <c r="F112" i="47" s="1"/>
  <c r="E112" i="47" a="1"/>
  <c r="E112" i="47" s="1"/>
  <c r="D112" i="47" a="1"/>
  <c r="D112" i="47" s="1"/>
  <c r="G111" i="47" a="1"/>
  <c r="G111" i="47" s="1"/>
  <c r="F111" i="47" a="1"/>
  <c r="F111" i="47" s="1"/>
  <c r="E111" i="47" a="1"/>
  <c r="E111" i="47" s="1"/>
  <c r="D111" i="47" a="1"/>
  <c r="D111" i="47" s="1"/>
  <c r="G110" i="47" a="1"/>
  <c r="G110" i="47" s="1"/>
  <c r="F110" i="47" a="1"/>
  <c r="F110" i="47" s="1"/>
  <c r="E33" i="10" s="1"/>
  <c r="E110" i="47" a="1"/>
  <c r="E110" i="47" s="1"/>
  <c r="D110" i="47" a="1"/>
  <c r="D110" i="47" s="1"/>
  <c r="D107" i="47" a="1"/>
  <c r="D107" i="47" s="1"/>
  <c r="D106" i="47" a="1"/>
  <c r="D106" i="47" s="1"/>
  <c r="D105" i="47" a="1"/>
  <c r="D105" i="47" s="1"/>
  <c r="D99" i="47" a="1"/>
  <c r="D99" i="47" s="1"/>
  <c r="S97" i="47" a="1"/>
  <c r="S97" i="47" s="1"/>
  <c r="R97" i="47" a="1"/>
  <c r="R97" i="47" s="1"/>
  <c r="Q97" i="47" a="1"/>
  <c r="Q97" i="47" s="1"/>
  <c r="P97" i="47" a="1"/>
  <c r="P97" i="47" s="1"/>
  <c r="O97" i="47" a="1"/>
  <c r="O97" i="47" s="1"/>
  <c r="N97" i="47" a="1"/>
  <c r="N97" i="47" s="1"/>
  <c r="M97" i="47" a="1"/>
  <c r="M97" i="47" s="1"/>
  <c r="L97" i="47" a="1"/>
  <c r="L97" i="47" s="1"/>
  <c r="K97" i="47" a="1"/>
  <c r="K97" i="47" s="1"/>
  <c r="J97" i="47" a="1"/>
  <c r="J97" i="47" s="1"/>
  <c r="I97" i="47" a="1"/>
  <c r="I97" i="47" s="1"/>
  <c r="H97" i="47" a="1"/>
  <c r="H97" i="47" s="1"/>
  <c r="G97" i="47" a="1"/>
  <c r="G97" i="47" s="1"/>
  <c r="F97" i="47" a="1"/>
  <c r="F97" i="47" s="1"/>
  <c r="E97" i="47" a="1"/>
  <c r="E97" i="47" s="1"/>
  <c r="D97" i="47" a="1"/>
  <c r="D97" i="47" s="1"/>
  <c r="S96" i="47" a="1"/>
  <c r="S96" i="47" s="1"/>
  <c r="R96" i="47" a="1"/>
  <c r="R96" i="47" s="1"/>
  <c r="Q96" i="47" a="1"/>
  <c r="Q96" i="47" s="1"/>
  <c r="P96" i="47" a="1"/>
  <c r="P96" i="47" s="1"/>
  <c r="O96" i="47" a="1"/>
  <c r="O96" i="47" s="1"/>
  <c r="N96" i="47" a="1"/>
  <c r="N96" i="47" s="1"/>
  <c r="M96" i="47" a="1"/>
  <c r="M96" i="47" s="1"/>
  <c r="L96" i="47" a="1"/>
  <c r="L96" i="47" s="1"/>
  <c r="K96" i="47" a="1"/>
  <c r="K96" i="47" s="1"/>
  <c r="J96" i="47" a="1"/>
  <c r="J96" i="47" s="1"/>
  <c r="I96" i="47" a="1"/>
  <c r="I96" i="47" s="1"/>
  <c r="H96" i="47" a="1"/>
  <c r="H96" i="47" s="1"/>
  <c r="G96" i="47" a="1"/>
  <c r="G96" i="47" s="1"/>
  <c r="F96" i="47" a="1"/>
  <c r="F96" i="47" s="1"/>
  <c r="E96" i="47" a="1"/>
  <c r="E96" i="47" s="1"/>
  <c r="D96" i="47" a="1"/>
  <c r="D96" i="47" s="1"/>
  <c r="S95" i="47" a="1"/>
  <c r="S95" i="47" s="1"/>
  <c r="R95" i="47" a="1"/>
  <c r="R95" i="47" s="1"/>
  <c r="Q95" i="47" a="1"/>
  <c r="Q95" i="47" s="1"/>
  <c r="P95" i="47" a="1"/>
  <c r="P95" i="47" s="1"/>
  <c r="O95" i="47" a="1"/>
  <c r="O95" i="47" s="1"/>
  <c r="N95" i="47" a="1"/>
  <c r="N95" i="47" s="1"/>
  <c r="M95" i="47" a="1"/>
  <c r="M95" i="47" s="1"/>
  <c r="L95" i="47" a="1"/>
  <c r="L95" i="47" s="1"/>
  <c r="K95" i="47" a="1"/>
  <c r="K95" i="47" s="1"/>
  <c r="J95" i="47" a="1"/>
  <c r="J95" i="47" s="1"/>
  <c r="I95" i="47" a="1"/>
  <c r="I95" i="47" s="1"/>
  <c r="H95" i="47" a="1"/>
  <c r="H95" i="47" s="1"/>
  <c r="G95" i="47" a="1"/>
  <c r="G95" i="47" s="1"/>
  <c r="F95" i="47" a="1"/>
  <c r="F95" i="47" s="1"/>
  <c r="E95" i="47" a="1"/>
  <c r="E95" i="47" s="1"/>
  <c r="D95" i="47" a="1"/>
  <c r="D95" i="47" s="1"/>
  <c r="S94" i="47" a="1"/>
  <c r="S94" i="47" s="1"/>
  <c r="R94" i="47" a="1"/>
  <c r="R94" i="47" s="1"/>
  <c r="Q94" i="47" a="1"/>
  <c r="Q94" i="47" s="1"/>
  <c r="P94" i="47" a="1"/>
  <c r="P94" i="47" s="1"/>
  <c r="O94" i="47" a="1"/>
  <c r="O94" i="47" s="1"/>
  <c r="N94" i="47" a="1"/>
  <c r="N94" i="47" s="1"/>
  <c r="M94" i="47" a="1"/>
  <c r="M94" i="47" s="1"/>
  <c r="L94" i="47" a="1"/>
  <c r="L94" i="47" s="1"/>
  <c r="K94" i="47" a="1"/>
  <c r="K94" i="47" s="1"/>
  <c r="J94" i="47" a="1"/>
  <c r="J94" i="47" s="1"/>
  <c r="I94" i="47" a="1"/>
  <c r="I94" i="47" s="1"/>
  <c r="H94" i="47" a="1"/>
  <c r="H94" i="47" s="1"/>
  <c r="G94" i="47" a="1"/>
  <c r="G94" i="47" s="1"/>
  <c r="F94" i="47" a="1"/>
  <c r="F94" i="47" s="1"/>
  <c r="E94" i="47" a="1"/>
  <c r="E94" i="47" s="1"/>
  <c r="D94" i="47" a="1"/>
  <c r="D94" i="47" s="1"/>
  <c r="S93" i="47" a="1"/>
  <c r="S93" i="47" s="1"/>
  <c r="R93" i="47" a="1"/>
  <c r="R93" i="47" s="1"/>
  <c r="Q93" i="47" a="1"/>
  <c r="Q93" i="47" s="1"/>
  <c r="P93" i="47" a="1"/>
  <c r="P93" i="47" s="1"/>
  <c r="O93" i="47" a="1"/>
  <c r="O93" i="47" s="1"/>
  <c r="N93" i="47" a="1"/>
  <c r="N93" i="47" s="1"/>
  <c r="M93" i="47" a="1"/>
  <c r="M93" i="47" s="1"/>
  <c r="L93" i="47" a="1"/>
  <c r="L93" i="47" s="1"/>
  <c r="K93" i="47" a="1"/>
  <c r="K93" i="47" s="1"/>
  <c r="J93" i="47" a="1"/>
  <c r="J93" i="47" s="1"/>
  <c r="I93" i="47" a="1"/>
  <c r="I93" i="47" s="1"/>
  <c r="H93" i="47" a="1"/>
  <c r="H93" i="47" s="1"/>
  <c r="G93" i="47" a="1"/>
  <c r="G93" i="47" s="1"/>
  <c r="F93" i="47" a="1"/>
  <c r="F93" i="47" s="1"/>
  <c r="E93" i="47" a="1"/>
  <c r="E93" i="47" s="1"/>
  <c r="D93" i="47" a="1"/>
  <c r="D93" i="47" s="1"/>
  <c r="S92" i="47" a="1"/>
  <c r="S92" i="47" s="1"/>
  <c r="R92" i="47" a="1"/>
  <c r="R92" i="47" s="1"/>
  <c r="Q92" i="47" a="1"/>
  <c r="Q92" i="47" s="1"/>
  <c r="P92" i="47" a="1"/>
  <c r="P92" i="47" s="1"/>
  <c r="O92" i="47" a="1"/>
  <c r="O92" i="47" s="1"/>
  <c r="N92" i="47" a="1"/>
  <c r="N92" i="47" s="1"/>
  <c r="M92" i="47" a="1"/>
  <c r="M92" i="47" s="1"/>
  <c r="L92" i="47" a="1"/>
  <c r="L92" i="47" s="1"/>
  <c r="K92" i="47" a="1"/>
  <c r="K92" i="47" s="1"/>
  <c r="J92" i="47" a="1"/>
  <c r="J92" i="47" s="1"/>
  <c r="I92" i="47" a="1"/>
  <c r="I92" i="47" s="1"/>
  <c r="H92" i="47" a="1"/>
  <c r="H92" i="47" s="1"/>
  <c r="G92" i="47" a="1"/>
  <c r="G92" i="47" s="1"/>
  <c r="F92" i="47" a="1"/>
  <c r="F92" i="47" s="1"/>
  <c r="E92" i="47" a="1"/>
  <c r="E92" i="47" s="1"/>
  <c r="D92" i="47" a="1"/>
  <c r="D92" i="47" s="1"/>
  <c r="S91" i="47" a="1"/>
  <c r="S91" i="47" s="1"/>
  <c r="R91" i="47" a="1"/>
  <c r="R91" i="47" s="1"/>
  <c r="Q91" i="47" a="1"/>
  <c r="Q91" i="47" s="1"/>
  <c r="P91" i="47" a="1"/>
  <c r="P91" i="47" s="1"/>
  <c r="O91" i="47" a="1"/>
  <c r="O91" i="47" s="1"/>
  <c r="N91" i="47" a="1"/>
  <c r="N91" i="47" s="1"/>
  <c r="M91" i="47" a="1"/>
  <c r="M91" i="47" s="1"/>
  <c r="L91" i="47" a="1"/>
  <c r="L91" i="47" s="1"/>
  <c r="K91" i="47" a="1"/>
  <c r="K91" i="47" s="1"/>
  <c r="J91" i="47" a="1"/>
  <c r="J91" i="47" s="1"/>
  <c r="I91" i="47" a="1"/>
  <c r="I91" i="47" s="1"/>
  <c r="H91" i="47" a="1"/>
  <c r="H91" i="47" s="1"/>
  <c r="G91" i="47" a="1"/>
  <c r="G91" i="47" s="1"/>
  <c r="F91" i="47" a="1"/>
  <c r="F91" i="47" s="1"/>
  <c r="E91" i="47" a="1"/>
  <c r="E91" i="47" s="1"/>
  <c r="D91" i="47" a="1"/>
  <c r="D91" i="47" s="1"/>
  <c r="S90" i="47" a="1"/>
  <c r="S90" i="47" s="1"/>
  <c r="R90" i="47" a="1"/>
  <c r="R90" i="47" s="1"/>
  <c r="Q90" i="47" a="1"/>
  <c r="Q90" i="47" s="1"/>
  <c r="P90" i="47" a="1"/>
  <c r="P90" i="47" s="1"/>
  <c r="O90" i="47" a="1"/>
  <c r="O90" i="47" s="1"/>
  <c r="N90" i="47" a="1"/>
  <c r="N90" i="47" s="1"/>
  <c r="M90" i="47" a="1"/>
  <c r="M90" i="47" s="1"/>
  <c r="L90" i="47" a="1"/>
  <c r="L90" i="47" s="1"/>
  <c r="K90" i="47" a="1"/>
  <c r="K90" i="47" s="1"/>
  <c r="J90" i="47" a="1"/>
  <c r="J90" i="47" s="1"/>
  <c r="I90" i="47" a="1"/>
  <c r="I90" i="47" s="1"/>
  <c r="H90" i="47" a="1"/>
  <c r="H90" i="47" s="1"/>
  <c r="G90" i="47" a="1"/>
  <c r="G90" i="47" s="1"/>
  <c r="F90" i="47" a="1"/>
  <c r="F90" i="47" s="1"/>
  <c r="E90" i="47" a="1"/>
  <c r="E90" i="47" s="1"/>
  <c r="D90" i="47" a="1"/>
  <c r="D90" i="47" s="1"/>
  <c r="D83" i="47" a="1"/>
  <c r="D83" i="47" s="1"/>
  <c r="D82" i="47" a="1"/>
  <c r="D82" i="47" s="1"/>
  <c r="D81" i="47" a="1"/>
  <c r="D81" i="47" s="1"/>
  <c r="E77" i="47" a="1"/>
  <c r="E77" i="47" s="1"/>
  <c r="D77" i="47" a="1"/>
  <c r="D77" i="47" s="1"/>
  <c r="E76" i="47" a="1"/>
  <c r="E76" i="47" s="1"/>
  <c r="D76" i="47" a="1"/>
  <c r="D76" i="47" s="1"/>
  <c r="E75" i="47" a="1"/>
  <c r="E75" i="47" s="1"/>
  <c r="D75" i="47" a="1"/>
  <c r="D75" i="47" s="1"/>
  <c r="E74" i="47" a="1"/>
  <c r="E74" i="47" s="1"/>
  <c r="D74" i="47" a="1"/>
  <c r="D74" i="47" s="1"/>
  <c r="E73" i="47" a="1"/>
  <c r="E73" i="47" s="1"/>
  <c r="D73" i="47" a="1"/>
  <c r="D73" i="47" s="1"/>
  <c r="E72" i="47" a="1"/>
  <c r="E72" i="47" s="1"/>
  <c r="D72" i="47" a="1"/>
  <c r="D72" i="47" s="1"/>
  <c r="E71" i="47" a="1"/>
  <c r="E71" i="47" s="1"/>
  <c r="D71" i="47" a="1"/>
  <c r="D71" i="47" s="1"/>
  <c r="E70" i="47" a="1"/>
  <c r="E70" i="47" s="1"/>
  <c r="D70" i="47" a="1"/>
  <c r="D70" i="47" s="1"/>
  <c r="E69" i="47" a="1"/>
  <c r="E69" i="47" s="1"/>
  <c r="D69" i="47" a="1"/>
  <c r="D69" i="47" s="1"/>
  <c r="E68" i="47" a="1"/>
  <c r="E68" i="47" s="1"/>
  <c r="D68" i="47" a="1"/>
  <c r="D68" i="47" s="1"/>
  <c r="E67" i="47" a="1"/>
  <c r="E67" i="47" s="1"/>
  <c r="D67" i="47" a="1"/>
  <c r="D67" i="47" s="1"/>
  <c r="E66" i="47" a="1"/>
  <c r="E66" i="47" s="1"/>
  <c r="D66" i="47" a="1"/>
  <c r="D66" i="47" s="1"/>
  <c r="E65" i="47" a="1"/>
  <c r="E65" i="47" s="1"/>
  <c r="D65" i="47" a="1"/>
  <c r="D65" i="47" s="1"/>
  <c r="E64" i="47" a="1"/>
  <c r="E64" i="47" s="1"/>
  <c r="D64" i="47" a="1"/>
  <c r="D64" i="47" s="1"/>
  <c r="D59" i="47" a="1"/>
  <c r="D59" i="47" s="1"/>
  <c r="D58" i="47" a="1"/>
  <c r="D58" i="47" s="1"/>
  <c r="D57" i="47" a="1"/>
  <c r="D57" i="47" s="1"/>
  <c r="G54" i="47" a="1"/>
  <c r="G54" i="47" s="1"/>
  <c r="F54" i="47" a="1"/>
  <c r="F54" i="47" s="1"/>
  <c r="E54" i="47" a="1"/>
  <c r="E54" i="47" s="1"/>
  <c r="D54" i="47" a="1"/>
  <c r="D54" i="47" s="1"/>
  <c r="G53" i="47" a="1"/>
  <c r="G53" i="47" s="1"/>
  <c r="F53" i="47" a="1"/>
  <c r="F53" i="47" s="1"/>
  <c r="E53" i="47" a="1"/>
  <c r="E53" i="47" s="1"/>
  <c r="D53" i="47" a="1"/>
  <c r="D53" i="47" s="1"/>
  <c r="G52" i="47" a="1"/>
  <c r="G52" i="47" s="1"/>
  <c r="F52" i="47" a="1"/>
  <c r="F52" i="47" s="1"/>
  <c r="E52" i="47" a="1"/>
  <c r="E52" i="47" s="1"/>
  <c r="D52" i="47" a="1"/>
  <c r="D52" i="47" s="1"/>
  <c r="G51" i="47" a="1"/>
  <c r="G51" i="47" s="1"/>
  <c r="F51" i="47" a="1"/>
  <c r="F51" i="47" s="1"/>
  <c r="E51" i="47" a="1"/>
  <c r="E51" i="47" s="1"/>
  <c r="D51" i="47" a="1"/>
  <c r="D51" i="47" s="1"/>
  <c r="G50" i="47" a="1"/>
  <c r="G50" i="47" s="1"/>
  <c r="F50" i="47" a="1"/>
  <c r="F50" i="47" s="1"/>
  <c r="E50" i="47" a="1"/>
  <c r="E50" i="47" s="1"/>
  <c r="D50" i="47" a="1"/>
  <c r="D50" i="47" s="1"/>
  <c r="G49" i="47" a="1"/>
  <c r="G49" i="47" s="1"/>
  <c r="F49" i="47" a="1"/>
  <c r="F49" i="47" s="1"/>
  <c r="E49" i="47" a="1"/>
  <c r="E49" i="47" s="1"/>
  <c r="D49" i="47" a="1"/>
  <c r="D49" i="47" s="1"/>
  <c r="G48" i="47" a="1"/>
  <c r="G48" i="47" s="1"/>
  <c r="F48" i="47" a="1"/>
  <c r="F48" i="47" s="1"/>
  <c r="E48" i="47" a="1"/>
  <c r="E48" i="47" s="1"/>
  <c r="D48" i="47" a="1"/>
  <c r="D48" i="47" s="1"/>
  <c r="D46" i="47" a="1"/>
  <c r="D46" i="47" s="1"/>
  <c r="D45" i="47" a="1"/>
  <c r="D45" i="47" s="1"/>
  <c r="E43" i="47" a="1"/>
  <c r="E43" i="47" s="1"/>
  <c r="D43" i="47" a="1"/>
  <c r="D43" i="47" s="1"/>
  <c r="E42" i="47" a="1"/>
  <c r="E42" i="47" s="1"/>
  <c r="D42" i="47" a="1"/>
  <c r="D42" i="47" s="1"/>
  <c r="E41" i="47" a="1"/>
  <c r="E41" i="47" s="1"/>
  <c r="D41" i="47" a="1"/>
  <c r="D41" i="47" s="1"/>
  <c r="E40" i="47" a="1"/>
  <c r="E40" i="47" s="1"/>
  <c r="D40" i="47" a="1"/>
  <c r="D40" i="47" s="1"/>
  <c r="E39" i="47" a="1"/>
  <c r="E39" i="47" s="1"/>
  <c r="D39" i="47" a="1"/>
  <c r="D39" i="47" s="1"/>
  <c r="E38" i="47" a="1"/>
  <c r="E38" i="47" s="1"/>
  <c r="D38" i="47" a="1"/>
  <c r="D38" i="47" s="1"/>
  <c r="E37" i="47" a="1"/>
  <c r="E37" i="47" s="1"/>
  <c r="D37" i="47" a="1"/>
  <c r="D37" i="47" s="1"/>
  <c r="G576" i="19" s="1"/>
  <c r="D35" i="47" a="1"/>
  <c r="D35" i="47" s="1"/>
  <c r="D34" i="47" a="1"/>
  <c r="D34" i="47" s="1"/>
  <c r="D30" i="47" a="1"/>
  <c r="D30" i="47" s="1"/>
  <c r="D29" i="47" a="1"/>
  <c r="D29" i="47" s="1"/>
  <c r="D28" i="47" a="1"/>
  <c r="D28" i="47" s="1"/>
  <c r="D27" i="47" a="1"/>
  <c r="D27" i="47" s="1"/>
  <c r="D26" i="47" a="1"/>
  <c r="D26" i="47" s="1"/>
  <c r="D25" i="47" a="1"/>
  <c r="D25" i="47" s="1"/>
  <c r="D24" i="47" a="1"/>
  <c r="D24" i="47" s="1"/>
  <c r="D23" i="47" a="1"/>
  <c r="D23" i="47" s="1"/>
  <c r="D22" i="47" a="1"/>
  <c r="D22" i="47" s="1"/>
  <c r="D21" i="47" a="1"/>
  <c r="D21" i="47" s="1"/>
  <c r="D19" i="47" a="1"/>
  <c r="D19" i="47" s="1"/>
  <c r="D18" i="47" a="1"/>
  <c r="D18" i="47" s="1"/>
  <c r="F14" i="47" a="1"/>
  <c r="F14" i="47" s="1"/>
  <c r="E14" i="47" a="1"/>
  <c r="E14" i="47" s="1"/>
  <c r="D14" i="47" a="1"/>
  <c r="D14" i="47" s="1"/>
  <c r="F13" i="47" a="1"/>
  <c r="F13" i="47" s="1"/>
  <c r="E13" i="47" a="1"/>
  <c r="E13" i="47" s="1"/>
  <c r="D13" i="47" a="1"/>
  <c r="D13" i="47" s="1"/>
  <c r="F12" i="47" a="1"/>
  <c r="F12" i="47" s="1"/>
  <c r="E12" i="47" a="1"/>
  <c r="E12" i="47" s="1"/>
  <c r="D12" i="47" a="1"/>
  <c r="D12" i="47" s="1"/>
  <c r="F11" i="47" a="1"/>
  <c r="F11" i="47" s="1"/>
  <c r="E11" i="47" a="1"/>
  <c r="E11" i="47" s="1"/>
  <c r="D11" i="47" a="1"/>
  <c r="D11" i="47" s="1"/>
  <c r="F10" i="47" a="1"/>
  <c r="F10" i="47" s="1"/>
  <c r="E10" i="47" a="1"/>
  <c r="E10" i="47" s="1"/>
  <c r="D10" i="47" a="1"/>
  <c r="D10" i="47" s="1"/>
  <c r="F9" i="47" a="1"/>
  <c r="F9" i="47" s="1"/>
  <c r="E9" i="47" a="1"/>
  <c r="E9" i="47" s="1"/>
  <c r="D9" i="47" a="1"/>
  <c r="D9" i="47" s="1"/>
  <c r="F8" i="47" a="1"/>
  <c r="F8" i="47" s="1"/>
  <c r="E8" i="47" a="1"/>
  <c r="E8" i="47" s="1"/>
  <c r="D8" i="47" a="1"/>
  <c r="D8" i="47" s="1"/>
  <c r="F7" i="47" a="1"/>
  <c r="F7" i="47" s="1"/>
  <c r="E7" i="47" a="1"/>
  <c r="E7" i="47" s="1"/>
  <c r="D7" i="47" a="1"/>
  <c r="D7" i="47" s="1"/>
  <c r="D5" i="47" a="1"/>
  <c r="D5" i="47" s="1"/>
  <c r="I72" i="34"/>
  <c r="I71" i="34"/>
  <c r="I70" i="34"/>
  <c r="I68" i="34" s="1"/>
  <c r="I52" i="34"/>
  <c r="I49" i="34" s="1"/>
  <c r="I51" i="34"/>
  <c r="J16" i="34"/>
  <c r="I553" i="19"/>
  <c r="I549" i="19"/>
  <c r="I548" i="19"/>
  <c r="I547" i="19"/>
  <c r="I531" i="19"/>
  <c r="I529" i="19"/>
  <c r="E481" i="19"/>
  <c r="E480" i="19"/>
  <c r="E479" i="19"/>
  <c r="E470" i="19"/>
  <c r="E469" i="19"/>
  <c r="E468" i="19"/>
  <c r="E467" i="19"/>
  <c r="E466" i="19"/>
  <c r="E164" i="19"/>
  <c r="E163" i="19"/>
  <c r="E162" i="19"/>
  <c r="E139" i="19"/>
  <c r="E138" i="19"/>
  <c r="E137" i="19"/>
  <c r="E136" i="19"/>
  <c r="E29" i="9"/>
  <c r="E16" i="9"/>
  <c r="E6" i="9"/>
  <c r="G8" i="23" l="1"/>
  <c r="G9" i="23"/>
  <c r="J15" i="34"/>
  <c r="I50" i="34"/>
  <c r="H51" i="47"/>
  <c r="H50" i="47"/>
  <c r="J88" i="34" s="1"/>
  <c r="H52" i="47"/>
  <c r="H54" i="47"/>
  <c r="H48" i="47"/>
  <c r="H53" i="47"/>
  <c r="H49" i="47"/>
  <c r="O28" i="22"/>
  <c r="O27" i="22"/>
  <c r="O26" i="22"/>
  <c r="O25" i="22"/>
  <c r="O24" i="22"/>
  <c r="O23" i="22"/>
  <c r="O22" i="22"/>
  <c r="O21" i="22"/>
  <c r="O20" i="22"/>
  <c r="O19" i="22"/>
  <c r="D36" i="41"/>
  <c r="D35" i="41"/>
  <c r="D28" i="41"/>
  <c r="D27" i="41"/>
  <c r="D26" i="41"/>
  <c r="D25" i="41"/>
  <c r="D24" i="41"/>
  <c r="D14" i="41"/>
  <c r="D13" i="41"/>
  <c r="D12" i="41"/>
  <c r="D11" i="41"/>
  <c r="I53" i="34" l="1"/>
  <c r="H102" i="13"/>
  <c r="H101" i="13"/>
  <c r="H100" i="13"/>
  <c r="H99" i="13"/>
  <c r="H98" i="13"/>
  <c r="H97" i="13"/>
  <c r="H96" i="13"/>
  <c r="H95" i="13"/>
  <c r="H94" i="13"/>
  <c r="H93" i="13"/>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36" i="19" l="1" a="1"/>
  <c r="J636" i="19" s="1"/>
  <c r="J615" i="19" a="1"/>
  <c r="J615" i="19" s="1"/>
  <c r="J617" i="19" a="1"/>
  <c r="J617" i="19" s="1"/>
  <c r="J618" i="19" a="1"/>
  <c r="J618" i="19" s="1"/>
  <c r="J628" i="19" a="1"/>
  <c r="J628" i="19" s="1"/>
  <c r="E639"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621" i="19" l="1"/>
  <c r="D33" i="41" a="1"/>
  <c r="D33" i="41" s="1"/>
  <c r="E642" i="19"/>
  <c r="F33" i="41" l="1"/>
  <c r="H569" i="19" a="1"/>
  <c r="H569" i="19" s="1"/>
  <c r="D569" i="19" a="1"/>
  <c r="D569" i="19" s="1"/>
  <c r="E565" i="19" a="1"/>
  <c r="E565" i="19" s="1"/>
  <c r="F573" i="19" s="1"/>
  <c r="E564" i="19" a="1"/>
  <c r="E564" i="19" s="1"/>
  <c r="D560" i="19" a="1"/>
  <c r="D560" i="19" s="1"/>
  <c r="D559" i="19" a="1"/>
  <c r="D559" i="19" s="1"/>
  <c r="H85" i="34" a="1"/>
  <c r="H85" i="34" s="1"/>
  <c r="D85" i="34" a="1"/>
  <c r="E83" i="34" a="1"/>
  <c r="E83" i="34" s="1"/>
  <c r="F90" i="34" s="1"/>
  <c r="E82" i="34" a="1"/>
  <c r="E82" i="34" s="1"/>
  <c r="D78" i="34" a="1"/>
  <c r="D78" i="34" s="1"/>
  <c r="D77" i="34" a="1"/>
  <c r="D77" i="34" s="1"/>
  <c r="G67" i="34" a="1"/>
  <c r="G67" i="34" s="1"/>
  <c r="D67" i="34" a="1"/>
  <c r="D67" i="34" s="1"/>
  <c r="E65" i="34" a="1"/>
  <c r="E65" i="34" s="1"/>
  <c r="F74" i="34" s="1"/>
  <c r="E64" i="34" a="1"/>
  <c r="E64" i="34" s="1"/>
  <c r="D60" i="34" a="1"/>
  <c r="D60" i="34" s="1"/>
  <c r="D59" i="34" a="1"/>
  <c r="D59" i="34" s="1"/>
  <c r="E29" i="10"/>
  <c r="E31" i="10" s="1"/>
  <c r="E32" i="10" s="1"/>
  <c r="J17" i="34" s="1"/>
  <c r="J14" i="34" s="1"/>
  <c r="G48" i="34" a="1"/>
  <c r="G48" i="34" s="1"/>
  <c r="D48" i="34" a="1"/>
  <c r="D48" i="34" s="1"/>
  <c r="E46" i="34" a="1"/>
  <c r="E46" i="34" s="1"/>
  <c r="F55"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F19" i="34" s="1"/>
  <c r="E10" i="34" a="1"/>
  <c r="E10" i="34" s="1"/>
  <c r="D6" i="34" a="1"/>
  <c r="D6" i="34" s="1"/>
  <c r="D5" i="34" a="1"/>
  <c r="D5" i="34" s="1"/>
  <c r="E61" i="34" a="1"/>
  <c r="E561" i="19" a="1"/>
  <c r="E79" i="34" a="1"/>
  <c r="E42" i="34" a="1"/>
  <c r="E26" i="34" a="1"/>
  <c r="D32" i="41" l="1" a="1"/>
  <c r="D32" i="41" s="1"/>
  <c r="E561" i="19"/>
  <c r="E79" i="34"/>
  <c r="D85" i="34"/>
  <c r="E61" i="34"/>
  <c r="E42" i="34"/>
  <c r="E26" i="34"/>
  <c r="G547" i="19" l="1" a="1"/>
  <c r="G547" i="19" s="1"/>
  <c r="D547" i="19" a="1"/>
  <c r="D547" i="19" s="1"/>
  <c r="E545" i="19" a="1"/>
  <c r="E545" i="19" s="1"/>
  <c r="E544" i="19" a="1"/>
  <c r="E544" i="19" s="1"/>
  <c r="D539" i="19" a="1"/>
  <c r="D539" i="19" s="1"/>
  <c r="D538" i="19" a="1"/>
  <c r="D538" i="19" s="1"/>
  <c r="D31" i="41" s="1" a="1"/>
  <c r="D31" i="41" s="1"/>
  <c r="D537" i="19" a="1"/>
  <c r="D537" i="19" s="1"/>
  <c r="G529" i="19" a="1"/>
  <c r="G529" i="19" s="1"/>
  <c r="D529" i="19" a="1"/>
  <c r="D529" i="19" s="1"/>
  <c r="E527" i="19" a="1"/>
  <c r="E527" i="19" s="1"/>
  <c r="E526" i="19" a="1"/>
  <c r="E526" i="19" s="1"/>
  <c r="D522" i="19" a="1"/>
  <c r="D522" i="19" s="1"/>
  <c r="D521" i="19" a="1"/>
  <c r="D521" i="19" s="1"/>
  <c r="E540" i="19" a="1"/>
  <c r="E523" i="19" a="1"/>
  <c r="D30" i="41" l="1" a="1"/>
  <c r="D30" i="41" s="1"/>
  <c r="E540" i="19"/>
  <c r="E523" i="19"/>
  <c r="G515" i="19" l="1" a="1"/>
  <c r="G515" i="19" s="1"/>
  <c r="D515" i="19" a="1"/>
  <c r="D515" i="19" s="1"/>
  <c r="E513" i="19" a="1"/>
  <c r="E513" i="19" s="1"/>
  <c r="E512" i="19" a="1"/>
  <c r="E512" i="19" s="1"/>
  <c r="D507" i="19" a="1"/>
  <c r="D507" i="19" s="1"/>
  <c r="D506" i="19" a="1"/>
  <c r="D506" i="19" s="1"/>
  <c r="G21" i="30" a="1"/>
  <c r="G21" i="30" s="1"/>
  <c r="H21" i="30"/>
  <c r="I21" i="30" s="1"/>
  <c r="G20" i="30" a="1"/>
  <c r="G20" i="30" s="1"/>
  <c r="H20" i="30"/>
  <c r="I20" i="30" s="1"/>
  <c r="G19" i="30" a="1"/>
  <c r="G19" i="30" s="1"/>
  <c r="H19" i="30"/>
  <c r="I19" i="30"/>
  <c r="G18" i="30" a="1"/>
  <c r="G18" i="30" s="1"/>
  <c r="H18" i="30"/>
  <c r="I18" i="30" s="1"/>
  <c r="P17" i="32"/>
  <c r="P18" i="32"/>
  <c r="F37" i="32"/>
  <c r="M37" i="32" s="1" a="1"/>
  <c r="M37" i="32" s="1"/>
  <c r="F35" i="32"/>
  <c r="M35" i="32" s="1" a="1"/>
  <c r="M35" i="32" s="1"/>
  <c r="D32" i="32"/>
  <c r="D37" i="32" s="1"/>
  <c r="D25" i="32"/>
  <c r="A76" i="32"/>
  <c r="A38"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a="1"/>
  <c r="E12" i="32" s="1"/>
  <c r="F58" i="32" s="1"/>
  <c r="A12" i="32"/>
  <c r="L11" i="32" a="1"/>
  <c r="L11" i="32" s="1"/>
  <c r="E11" i="32" a="1"/>
  <c r="E11" i="32" s="1"/>
  <c r="A11" i="32"/>
  <c r="A8" i="32"/>
  <c r="K7" i="32" a="1"/>
  <c r="K7" i="32" s="1"/>
  <c r="K6" i="32" a="1"/>
  <c r="K6" i="32" s="1"/>
  <c r="D6" i="32" a="1"/>
  <c r="D6" i="32" s="1"/>
  <c r="K5" i="32" a="1"/>
  <c r="K5" i="32" s="1"/>
  <c r="D5" i="32" a="1"/>
  <c r="D5" i="32" s="1"/>
  <c r="A5" i="32"/>
  <c r="A4" i="32"/>
  <c r="A3" i="32"/>
  <c r="M31" i="31" a="1"/>
  <c r="M31" i="31" s="1"/>
  <c r="F39" i="31"/>
  <c r="M39" i="31" s="1" a="1"/>
  <c r="M39" i="31" s="1"/>
  <c r="D37" i="31"/>
  <c r="D39" i="31" s="1"/>
  <c r="L39" i="31" s="1" a="1"/>
  <c r="L39" i="31" s="1"/>
  <c r="D34" i="31"/>
  <c r="D36" i="31" s="1"/>
  <c r="D33" i="31"/>
  <c r="F31" i="31"/>
  <c r="F30" i="31"/>
  <c r="F29" i="31"/>
  <c r="D25" i="31"/>
  <c r="D29" i="31" s="1"/>
  <c r="A83" i="31"/>
  <c r="A69" i="31"/>
  <c r="D38" i="31"/>
  <c r="A37" i="31"/>
  <c r="D35" i="31"/>
  <c r="D48" i="31"/>
  <c r="D28" i="31"/>
  <c r="D26"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E508" i="19" a="1"/>
  <c r="L7" i="31" a="1"/>
  <c r="L8" i="32" a="1"/>
  <c r="E7" i="31" a="1"/>
  <c r="E7" i="32"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P26" i="32" a="1"/>
  <c r="P26" i="32"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45" i="31"/>
  <c r="E43" i="31"/>
  <c r="E51" i="32"/>
  <c r="E44" i="32"/>
  <c r="E61" i="31"/>
  <c r="E45" i="32"/>
  <c r="E46" i="31"/>
  <c r="E52" i="32"/>
  <c r="E58" i="32" s="1"/>
  <c r="E63" i="31"/>
  <c r="E50" i="32"/>
  <c r="E49" i="32"/>
  <c r="E55" i="32" s="1"/>
  <c r="E64" i="31"/>
  <c r="E68" i="31"/>
  <c r="E67" i="31" l="1"/>
  <c r="E69" i="31"/>
  <c r="E57" i="32"/>
  <c r="E56" i="32"/>
  <c r="E70" i="31"/>
  <c r="E518" i="19" s="1" a="1"/>
  <c r="E518" i="19" s="1"/>
  <c r="F29" i="41" s="1"/>
  <c r="D221" i="19" l="1"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23" i="41" s="1" a="1"/>
  <c r="D23" i="41"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323" i="19" a="1"/>
  <c r="E290" i="19" a="1"/>
  <c r="E418" i="19" a="1"/>
  <c r="E174" i="19" a="1"/>
  <c r="E258" i="19" a="1"/>
  <c r="E188" i="19" a="1"/>
  <c r="E385" i="19" a="1"/>
  <c r="E203" i="19" a="1"/>
  <c r="E100" i="19" a="1"/>
  <c r="E355" i="19" a="1"/>
  <c r="D18" i="41" l="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F555" i="19" l="1"/>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E348" i="19"/>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56" i="48" l="1" a="1"/>
  <c r="G56" i="48" s="1"/>
  <c r="G49" i="48" a="1"/>
  <c r="G49" i="48" s="1"/>
  <c r="G55" i="48" a="1"/>
  <c r="G55" i="48" s="1"/>
  <c r="G48" i="48" a="1"/>
  <c r="G48" i="48" s="1"/>
  <c r="G54" i="48" a="1"/>
  <c r="G54" i="48" s="1"/>
  <c r="G47" i="48" a="1"/>
  <c r="G47" i="48" s="1"/>
  <c r="G53" i="48" a="1"/>
  <c r="G53" i="48" s="1"/>
  <c r="G52" i="48" a="1"/>
  <c r="G52" i="48" s="1"/>
  <c r="G51" i="48" a="1"/>
  <c r="G51" i="48" s="1"/>
  <c r="G50" i="48" a="1"/>
  <c r="G50" i="48"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39" i="48" l="1" a="1"/>
  <c r="G39" i="48" s="1"/>
  <c r="G38" i="48" a="1"/>
  <c r="G38" i="48" s="1"/>
  <c r="G37" i="48" a="1"/>
  <c r="G37" i="48" s="1"/>
  <c r="G43" i="48" a="1"/>
  <c r="G43" i="48" s="1"/>
  <c r="G36" i="48" a="1"/>
  <c r="G36" i="48" s="1"/>
  <c r="G42" i="48" a="1"/>
  <c r="G42" i="48" s="1"/>
  <c r="G35" i="48" a="1"/>
  <c r="G35" i="48" s="1"/>
  <c r="G41" i="48" a="1"/>
  <c r="G41" i="48" s="1"/>
  <c r="G34" i="48" a="1"/>
  <c r="G34" i="48" s="1"/>
  <c r="G40" i="48" a="1"/>
  <c r="G40" i="48"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H22" i="48" l="1" a="1"/>
  <c r="H22" i="48" s="1"/>
  <c r="H21" i="48" a="1"/>
  <c r="H21" i="48" s="1"/>
  <c r="H23" i="48" a="1"/>
  <c r="H23" i="48" s="1"/>
  <c r="F79" i="19"/>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J9" i="48" l="1" a="1"/>
  <c r="J9" i="48" s="1"/>
  <c r="J8" i="48" a="1"/>
  <c r="J8" i="48" s="1"/>
  <c r="F42" i="19"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H23" i="19" l="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E305" i="19" s="1" a="1"/>
  <c r="E305" i="19" s="1"/>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G305" i="19" l="1" a="1"/>
  <c r="G305" i="19" s="1"/>
  <c r="F305" i="19" a="1"/>
  <c r="H305" i="19" a="1"/>
  <c r="H305" i="19" s="1"/>
  <c r="D56" i="13"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I138" i="19" a="1"/>
  <c r="I138" i="19" s="1"/>
  <c r="G138" i="19" a="1"/>
  <c r="G138" i="19" s="1"/>
  <c r="G139" i="19" a="1"/>
  <c r="G139" i="19" s="1"/>
  <c r="I139" i="19" a="1"/>
  <c r="I139" i="19" s="1"/>
  <c r="E166" i="19"/>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G480" i="19" a="1"/>
  <c r="G480" i="19" s="1"/>
  <c r="E483" i="19"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472" i="19"/>
  <c r="E441" i="19"/>
  <c r="E473" i="19"/>
  <c r="I274" i="19" a="1"/>
  <c r="I274" i="19" s="1"/>
  <c r="I277" i="19" a="1"/>
  <c r="I277" i="19" s="1"/>
  <c r="G275" i="19" a="1"/>
  <c r="G275" i="19" s="1"/>
  <c r="E459" i="19"/>
  <c r="E460" i="19"/>
  <c r="E442" i="19"/>
  <c r="E379" i="19"/>
  <c r="I272" i="19" a="1"/>
  <c r="I272" i="19" s="1"/>
  <c r="G272" i="19" a="1"/>
  <c r="G272" i="19" s="1"/>
  <c r="I271" i="19" a="1"/>
  <c r="I271" i="19" s="1"/>
  <c r="G271" i="19" a="1"/>
  <c r="G271" i="19" s="1"/>
  <c r="E316" i="19"/>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53" i="19"/>
  <c r="E54" i="19"/>
  <c r="E73" i="19"/>
  <c r="E72" i="19"/>
  <c r="E90" i="19"/>
  <c r="E91" i="19"/>
  <c r="D38" i="6" a="1"/>
  <c r="D38" i="6" s="1"/>
  <c r="E38" i="6" a="1"/>
  <c r="E38" i="6" s="1"/>
  <c r="F38" i="6" a="1"/>
  <c r="F38" i="6" s="1"/>
  <c r="G38" i="6" a="1"/>
  <c r="G38" i="6" s="1"/>
  <c r="H38" i="6" a="1"/>
  <c r="H38" i="6" s="1"/>
  <c r="I38" i="6" a="1"/>
  <c r="I38" i="6" s="1"/>
  <c r="F25" i="7"/>
  <c r="G25" i="7" s="1"/>
  <c r="G270" i="19" l="1" a="1"/>
  <c r="G270" i="19" s="1"/>
  <c r="E283" i="19" s="1"/>
  <c r="I270" i="19" a="1"/>
  <c r="I270" i="19" s="1"/>
  <c r="E284" i="19"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E22" i="9" l="1"/>
  <c r="A15" i="10"/>
  <c r="A14" i="10"/>
  <c r="E13" i="10"/>
  <c r="E30" i="9" s="1"/>
  <c r="I37" i="9" s="1"/>
  <c r="A11" i="10"/>
  <c r="A8" i="10"/>
  <c r="A5" i="10"/>
  <c r="A4" i="10"/>
  <c r="A3" i="10"/>
  <c r="H48" i="9"/>
  <c r="E48" i="9"/>
  <c r="H47" i="9"/>
  <c r="E47" i="9"/>
  <c r="H46" i="9"/>
  <c r="E46" i="9"/>
  <c r="H39" i="9"/>
  <c r="H38" i="9"/>
  <c r="H37" i="9"/>
  <c r="A15" i="9"/>
  <c r="A14" i="9"/>
  <c r="A11" i="9"/>
  <c r="A8" i="9"/>
  <c r="A5" i="9"/>
  <c r="A4" i="9"/>
  <c r="A3"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48" i="9" l="1"/>
  <c r="I530" i="19" a="1"/>
  <c r="I530" i="19" s="1"/>
  <c r="E533" i="19" s="1" a="1"/>
  <c r="E533" i="19" s="1"/>
  <c r="F30" i="41" s="1"/>
  <c r="I46" i="9"/>
  <c r="I38" i="9"/>
  <c r="I39" i="9"/>
  <c r="I47" i="9"/>
  <c r="E41" i="9" l="1"/>
  <c r="I550" i="19" s="1"/>
  <c r="E555" i="19" s="1" a="1"/>
  <c r="E555" i="19" s="1"/>
  <c r="F31" i="41" s="1"/>
  <c r="E50" i="9"/>
  <c r="I551" i="19" s="1"/>
  <c r="A44" i="7"/>
  <c r="F24" i="7"/>
  <c r="G24" i="7" s="1"/>
  <c r="E237" i="19" s="1" a="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E237" i="19" l="1"/>
  <c r="J237" i="19" s="1"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F20" i="7"/>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K221" i="19" a="1"/>
  <c r="K221" i="19" s="1"/>
  <c r="E252" i="19" s="1"/>
  <c r="E249" i="19"/>
  <c r="E74" i="34" a="1"/>
  <c r="E74" i="34" s="1"/>
  <c r="J86" i="34" s="1"/>
  <c r="E130" i="19"/>
  <c r="E144" i="19" s="1"/>
  <c r="E131" i="19"/>
  <c r="E145" i="19" s="1"/>
  <c r="E251" i="19"/>
  <c r="E19" i="34" l="1" a="1"/>
  <c r="E19" i="34" s="1"/>
  <c r="E90" i="34" a="1"/>
  <c r="E90" i="34" s="1"/>
  <c r="E55" i="34" a="1"/>
  <c r="E55" i="34" s="1"/>
  <c r="E573" i="19" l="1" a="1"/>
  <c r="E573" i="19" s="1"/>
  <c r="G575" i="19" s="1"/>
  <c r="E578" i="19" s="1" a="1"/>
  <c r="E578" i="19"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<sst xmlns="http://schemas.openxmlformats.org/spreadsheetml/2006/main" count="2346" uniqueCount="868">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</sst>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25">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6" fillId="2" borderId="0" xfId="6" applyAlignment="1">
      <alignment horizontal="left" vertical="center" indent="2"/>
    </xf>
    <xf numFmtId="0" fontId="76" fillId="2" borderId="0" xfId="55" applyFill="1" applyAlignment="1">
      <alignment horizontal="left" vertical="center"/>
    </xf>
    <xf numFmtId="0" fontId="4" fillId="2" borderId="10" xfId="4" applyBorder="1" applyAlignment="1">
      <alignment horizontal="center" vertical="center"/>
    </xf>
    <xf numFmtId="0" fontId="81" fillId="0" borderId="0" xfId="6" applyFont="1" applyFill="1">
      <alignment horizontal="left"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41"/>
      <tableStyleElement type="headerRow" dxfId="540"/>
      <tableStyleElement type="totalRow" dxfId="539"/>
      <tableStyleElement type="firstColumn" dxfId="538"/>
      <tableStyleElement type="firstRowStripe" dxfId="537"/>
      <tableStyleElement type="secondRowStripe" dxfId="536"/>
    </tableStyle>
    <tableStyle name="Equation table" pivot="0" count="6" xr9:uid="{0B4491E8-4F2C-4EE8-9336-DC99561B4B77}">
      <tableStyleElement type="wholeTable" dxfId="535"/>
      <tableStyleElement type="headerRow" dxfId="534"/>
      <tableStyleElement type="totalRow" dxfId="533"/>
      <tableStyleElement type="firstColumn" dxfId="532"/>
      <tableStyleElement type="firstRowStripe" dxfId="531"/>
      <tableStyleElement type="secondRowStripe" dxfId="53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 Target="richData/rdrichvalue.xml"/><Relationship Id="rId38" Type="http://schemas.microsoft.com/office/2023/09/relationships/Python" Target="pyth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22/10/relationships/richValueRel" Target="richData/richValueRel.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9"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8" dataCellStyle="Input select" totalsRowCellStyle="Input select"/>
    <tableColumn id="3" xr3:uid="{E03C244F-B016-4373-8F29-F863250A309B}" name="Fuel type (select)" totalsRowDxfId="527" dataCellStyle="Input select" totalsRowCellStyle="Input select"/>
    <tableColumn id="4" xr3:uid="{70536E5B-E617-4814-BA37-CAE5E35162C6}" name="Amount purchased" totalsRowDxfId="526" totalsRowCellStyle="Content bold"/>
    <tableColumn id="6" xr3:uid="{9F12A1DD-B701-47BF-A99D-DAA4D26B1EB3}" name="Amount unit" totalsRowDxfId="525"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4" totalsRowCellStyle="Input percent">
      <calculatedColumnFormula>1</calculatedColumnFormula>
    </tableColumn>
    <tableColumn id="1" xr3:uid="{54C850E9-3FE0-4B86-92C1-58D2275B9FA5}" name="Amount consumed" totalsRowFunction="custom" totalsRowDxfId="523"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2" dataDxfId="521" totalsRowDxfId="520"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9" totalsRowDxfId="518" dataCellStyle="Input select"/>
    <tableColumn id="23" xr3:uid="{F727E370-72E8-46CC-9F10-18494CAC017E}" name="Amount applied per hectare" totalsRowFunction="custom" dataDxfId="517" totalsRowDxfId="516">
      <totalsRowFormula>SUM(Table_Input_InorganicFertiliser_Brands[[#Headers],[#Data],[Amount applied per hectare]])</totalsRowFormula>
    </tableColumn>
    <tableColumn id="18" xr3:uid="{2253738D-C34B-45FC-A347-3594DD12A0FD}" name="Application unit" totalsRowDxfId="515"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4"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3" totalsRowDxfId="512">
      <calculatedColumnFormula>$E$9</calculatedColumnFormula>
    </tableColumn>
    <tableColumn id="1" xr3:uid="{DE25213C-DDD2-412A-85A4-29987D633B72}" name="Total applied (kg)" dataDxfId="511" totalsRowDxfId="51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9" totalsRowDxfId="508"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7" totalsRowDxfId="506"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5"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4" totalsRowDxfId="503"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2" totalsRowDxfId="501"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500" totalsRowDxfId="499"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8" totalsRowDxfId="497"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6"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5"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4"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3"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2"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91" totalsRowDxfId="490"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9" totalsRowDxfId="488"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7" totalsRowDxfId="486"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5" dataDxfId="484"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3"/>
    <tableColumn id="3" xr3:uid="{9EAF254B-17DE-4675-8AF9-F68B80BF582C}" name="Application area (ha)" dataDxfId="482" dataCellStyle="Input number 2 decimal places">
      <calculatedColumnFormula>$E$9</calculatedColumnFormula>
    </tableColumn>
    <tableColumn id="4" xr3:uid="{CFA5CCED-3BC5-4DD2-AC3F-E4DC58D9B605}" name="Total applied (kg)" dataDxfId="481"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80" dataCellStyle="Input select"/>
    <tableColumn id="6" xr3:uid="{3F30B499-2152-42DE-8F13-8F97800C0F82}" name="Ingredient 1 percent" dataDxfId="479"/>
    <tableColumn id="8" xr3:uid="{81DBD2AF-CE79-4DFA-ABE1-18247069D1B2}" name="Ingredient 2" dataDxfId="478" dataCellStyle="Input select"/>
    <tableColumn id="9" xr3:uid="{1CF7EE6F-57DF-414D-AEE5-FBCA6348094D}" name="Ingredient 2 percent" dataDxfId="477"/>
    <tableColumn id="11" xr3:uid="{A18D28AA-C181-4552-8786-2ECF509C16C8}" name="Ingredient 3" dataDxfId="476" dataCellStyle="Input select"/>
    <tableColumn id="12" xr3:uid="{B6A6831A-C9EE-4F80-B87F-A0C4C20DFCFD}" name="Ingredient 3 percent" dataDxfId="475"/>
    <tableColumn id="14" xr3:uid="{4467B432-BBEC-488F-912D-5D7123AE260A}" name="Ingredient 4" dataDxfId="474" dataCellStyle="Input select"/>
    <tableColumn id="15" xr3:uid="{0FA01265-32D2-4FC6-BCD7-17164873ADC9}" name="Ingredient 4 percent" dataCellStyle="Input percent"/>
    <tableColumn id="7" xr3:uid="{BF8B607F-8C2E-4E2B-B89D-E699723F771C}" name="N application rate (kg/ha)" dataDxfId="47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72"/>
    <tableColumn id="13" xr3:uid="{CA785B69-1D00-4D4E-954C-77FAF8F67EDB}" name="Ammonia source" dataDxfId="471"/>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SoilAmeliorants" displayName="Table_Input_SoilAmeliorants" ref="D33:K35" totalsRowShown="0" headerRowDxfId="470" dataDxfId="469"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8"/>
    <tableColumn id="2" xr3:uid="{BBD9A28E-9144-4A75-B4E2-101A86320BD7}" name="Amount applied (t/hectare)" dataDxfId="467"/>
    <tableColumn id="4" xr3:uid="{28D6DB55-F183-4018-A8CF-F5EECD3B6F14}" name="Application area (ha)" dataDxfId="466">
      <calculatedColumnFormula>$E$9</calculatedColumnFormula>
    </tableColumn>
    <tableColumn id="3" xr3:uid="{A873C277-F431-4770-984D-50E37F5B322A}" name="Total amount applied (t)" dataDxfId="465" dataCellStyle="Input number general calculated">
      <calculatedColumnFormula>IFERROR(Table_Input_SoilAmeliorants[[#This Row],[Amount applied (t/hectare)]]*Table_Input_SoilAmeliorants[[#This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4">
      <calculatedColumnFormula>SUM(Table_Input_SoilAmeliorants[[#This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63"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62"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61">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60" dataCellStyle="Input select"/>
    <tableColumn id="2" xr3:uid="{5B0AEBA4-AB33-4382-8634-3F4C8D3B2A9B}" name="Number of head treated" dataDxfId="459"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8" dataCellStyle="Input select"/>
    <tableColumn id="2" xr3:uid="{FA43F52A-7609-4014-A6D3-CAC2C970F57C}" name="Purchase class (select)" dataDxfId="457" dataCellStyle="Input select"/>
    <tableColumn id="6" xr3:uid="{41EDEC1E-1793-4BBD-B0C8-66DE9A0925D5}" name="Source region (Select)" dataDxfId="456"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20:I30" totalsRowShown="0" headerRowDxfId="455">
  <autoFilter ref="D20:I3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54"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33:H43" totalsRowShown="0" headerRowDxfId="453">
  <autoFilter ref="D33:H4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52"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46:H56" totalsRowShown="0">
  <autoFilter ref="D46:H5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51"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50"/>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49"/>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8"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7"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6"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5"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4"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2"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41"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40"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9"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8"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7"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6"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5"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4"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3"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2"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31"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30"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9"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8"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7"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6"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5"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4"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3"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2"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21"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20"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9"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8"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7"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6"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5"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4"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3"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2"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11"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10"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9"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8"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7"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6"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5"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4"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3"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2"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01"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00"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9"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8"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7"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6"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5"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4"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3"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2"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91"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90"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9"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8"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7"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6"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5"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4"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3"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2"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81"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80"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9"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8"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7"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6"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37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371"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370" headerRowCellStyle="Content normal" dataCellStyle="Content normal">
  <autoFilter ref="M16:M21" xr:uid="{8B016CBB-C518-4F44-8DA5-22BFEF05C8F4}"/>
  <tableColumns count="1">
    <tableColumn id="1" xr3:uid="{529CBAE6-9FC8-4C67-86C3-EAFEE2218DCF}" name="Waste type w" totalsRowDxfId="369" dataCellStyle="Content normal">
      <calculatedColumnFormula>E40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368" headerRowCellStyle="Content normal" dataCellStyle="Content normal">
  <autoFilter ref="O16:O21" xr:uid="{A29F6F0E-2A01-4D24-9251-51FC9A4458D0}"/>
  <tableColumns count="1">
    <tableColumn id="1" xr3:uid="{64CBF66F-F07B-4051-8F15-1DD91E5BCBEF}" name="Waste type w" totalsRowDxfId="367" dataCellStyle="Content normal">
      <calculatedColumnFormula>E46</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6" dataDxfId="3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5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6" dataDxfId="3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4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5" dataDxfId="34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3"/>
    <tableColumn id="2" xr3:uid="{3CFB3B0E-6A3D-4336-A2F5-7D46AE54C335}" name="Power standalone machinery or heating" dataDxfId="342"/>
    <tableColumn id="3" xr3:uid="{5AAA1831-5C5E-4C84-BCC2-2E78A9B5258B}" name="Aviation" dataDxfId="341"/>
    <tableColumn id="5" xr3:uid="{F1BD91A4-832F-462E-8EB0-A84767662BE4}" name="Cars and light commercial vehicles" dataDxfId="340"/>
    <tableColumn id="7" xr3:uid="{E9B8BAAB-717E-44AB-B2F8-3E5C76D4FFB0}" name="Off-road Agriculture and forestry equipment" dataDxfId="339" dataCellStyle="Content bold"/>
    <tableColumn id="8" xr3:uid="{63E9DB80-5FD4-4E13-BBFC-A35B40E9C88C}" name="Vessels" dataDxfId="338" dataCellStyle="Content bold"/>
    <tableColumn id="6" xr3:uid="{EF6CDD99-C67B-4B96-AB3B-8313822AD3CF}" name="General use" dataDxfId="337"/>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6" dataDxfId="33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2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7" totalsRowDxfId="32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1"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0"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09"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8"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7"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6"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5"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4"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3"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2"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0"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99"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8"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6"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4"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0"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89"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8"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7"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6"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5"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4"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3"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1"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0"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4" dataCellStyle="Content normal">
  <autoFilter ref="D78:E82" xr:uid="{E34928EB-73E5-43B2-830B-089F30DA4EF0}">
    <filterColumn colId="0" hiddenButton="1"/>
    <filterColumn colId="1" hiddenButton="1"/>
  </autoFilter>
  <tableColumns count="2">
    <tableColumn id="1" xr3:uid="{CAD0F086-96AD-478F-9F97-BB910BCF2E2C}" name="Class" dataDxfId="2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0BDE1B-9F02-41F7-94D5-6A0633D0E3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AA51901-FEB1-49C7-A56F-DBC8EF3CDC2B}" name="State/Territory">
      <calculatedColumnFormula array="1">Common_InputFunctions.Utility_DisplayArrayInTable(Common_SourceData.Common_SourceData_AustralianStatesTerritories_Data(),Table_AustralianStates[[#Headers],[State/Territory]],0)</calculatedColumnFormula>
    </tableColumn>
    <tableColumn id="2" xr3:uid="{B1172F3C-BD59-4120-9D49-04DEC1761C2D}" name="Common Name">
      <calculatedColumnFormula array="1">Common_InputFunctions.Utility_DisplayArrayInTable(Common_SourceData.Common_SourceData_AustralianStatesTerritories_Data(),Table_AustralianStates[[#Headers],[State/Territory]],0)</calculatedColumnFormula>
    </tableColumn>
    <tableColumn id="3" xr3:uid="{6E563293-81D4-4076-B96D-5658B7CDF0D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57B376-FF70-4D56-A679-49EC291F0454}" name="Table_WASA4Areas" displayName="Table_WASA4Areas" ref="D20:D30" totalsRowShown="0">
  <autoFilter ref="D20:D30" xr:uid="{5FA81339-C6C8-4D36-BEEA-6C4AEDD9E676}">
    <filterColumn colId="0" hiddenButton="1"/>
  </autoFilter>
  <tableColumns count="1">
    <tableColumn id="1" xr3:uid="{D0C7ABEB-195F-4B36-B486-28B541362AA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E2636B-2480-402A-A38A-D112E349BE2C}" name="Table_GWPData" displayName="Table_GWPData" ref="D36:E43" totalsRowShown="0">
  <autoFilter ref="D36:E43" xr:uid="{B8E87A66-3E41-4AD3-925D-01EE21B43D7A}">
    <filterColumn colId="0" hiddenButton="1"/>
    <filterColumn colId="1" hiddenButton="1"/>
  </autoFilter>
  <tableColumns count="2">
    <tableColumn id="1" xr3:uid="{845461D0-6A53-4CDB-A26F-7C48718CAD2A}" name="Gas">
      <calculatedColumnFormula array="1">Common_InputFunctions.Utility_DisplayArrayInTable(Common_SourceData.Common_SourceData_GWP_Data(), Table_GWPData[[#Headers],[Gas]], 0)</calculatedColumnFormula>
    </tableColumn>
    <tableColumn id="2" xr3:uid="{F6E2068C-CF1E-4317-AA07-FB883FCF885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5C020A-BDC2-4037-9615-57E3085717B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2B3543A-65E6-4598-9CDF-55F3898D525A}" name="Gas">
      <calculatedColumnFormula array="1">Common_InputFunctions.Utility_DisplayArrayInTable(Common_SourceData.Common_SourceData_ConvertGasElementalToMolecular_Data(),Table_GasToMolecularConversionFactor[[#Headers],[Gas]], 0)</calculatedColumnFormula>
    </tableColumn>
    <tableColumn id="5" xr3:uid="{64B19BD5-4887-44B0-864C-BEC78D64DE70}" name="Conversion factor">
      <calculatedColumnFormula array="1">Common_InputFunctions.Utility_DisplayArrayInTable(Common_SourceData.Common_SourceData_ConvertGasElementalToMolecular_Data(),Table_GasToMolecularConversionFactor[[#Headers],[Gas]], 0)</calculatedColumnFormula>
    </tableColumn>
    <tableColumn id="2" xr3:uid="{A9B89902-ABA6-42C0-B074-69CB6DFA09D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A129DE1-5D75-4BE8-9ED0-C6FE0195C25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46E2658-2C2E-477A-B604-DFCFD36CE80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24B75-A038-4244-92DE-E081D0D760D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55F07CF-3781-437C-96A2-72ADB50DC72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3110C11-A7AF-4059-BA8F-D42B8F6C0589}" name="MAT"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3" xr3:uid="{2B9B0360-3347-4785-AD36-1F150E385FE1}" name="MAP"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4" xr3:uid="{B8A87781-EDBD-4CF0-9597-073BA9400C80}" name="Frost days per year"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5" xr3:uid="{D5A1BE74-C391-45ED-9513-C20CA9EFA3A0}" name="Elevation"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6" xr3:uid="{E8603E5B-DFCD-4D25-9D9B-7DC720D567EA}" name="MAP:PET"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7" xr3:uid="{95A4A1EA-29A7-4921-AFF6-42C3BBDCE1C5}" name="Min temp"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8" xr3:uid="{381D92DB-8439-4A20-8F7A-691E4DD315D4}" name="Max temp"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9" xr3:uid="{8C4EF152-561B-4D35-AF3B-DAE747750ECF}" name="Min rainfall"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0" xr3:uid="{307279C8-ED68-49DE-89B6-2E62A0CE389C}" name="Max rainfall"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1" xr3:uid="{74023347-7C20-4184-B9F3-AC5FBBA0122E}" name="Min frost days"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5" xr3:uid="{0EAEA2CD-C57F-4FEF-B00E-F960E603C1FB}" name="Max frost days"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2" xr3:uid="{B6E3DB25-745E-47F8-B93F-CA4F854393B0}" name="Min 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6" xr3:uid="{C7E34ECD-3DAE-45D2-9EAF-49E4ACD2F398}" name="Max elevation"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13" xr3:uid="{C5DC73F5-EB0C-4857-8403-80A42CA12540}" name="Min MAP:PE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17" xr3:uid="{6ABB65B0-9B2E-4F01-840B-6CC6B327E029}" name="Max MAP:PET" totalsRowDxfId="8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A26867A-9D1C-40E8-A64A-B41EB2A7866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9E0FD66-ED06-4555-925E-7D6F95DD92C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474AE4B-1306-4D07-9388-F3B17120841D}" name="Wet or Dry Zone" totalsRowDxfId="8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8D01C8-9E7D-49BF-B8E7-117B720CC64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62C587B-D2C3-4B35-B9A3-3D81C1D3BFD2}" name="Temperature Zone">
      <calculatedColumnFormula array="1">Common_InputFunctions.Utility_DisplayArrayInTable(Common_SourceData.Common_SourceData_TemperatureZones_Data(),Table_SourceData_TemperatureZones[[#Headers],[Temperature Zone]],0)</calculatedColumnFormula>
    </tableColumn>
    <tableColumn id="2" xr3:uid="{3A8C75CC-1C6C-4475-AA04-D2B249F09929}" name="MAT">
      <calculatedColumnFormula array="1">Common_InputFunctions.Utility_DisplayArrayInTable(Common_SourceData.Common_SourceData_TemperatureZones_Data(),Table_SourceData_TemperatureZones[[#Headers],[Temperature Zone]],0)</calculatedColumnFormula>
    </tableColumn>
    <tableColumn id="3" xr3:uid="{F29BBAF7-2927-4D83-8FEF-57F4241E3074}" name="Min MAT">
      <calculatedColumnFormula array="1">Common_InputFunctions.Utility_DisplayArrayInTable(Common_SourceData.Common_SourceData_TemperatureZones_Data(),Table_SourceData_TemperatureZones[[#Headers],[Temperature Zone]],0)</calculatedColumnFormula>
    </tableColumn>
    <tableColumn id="4" xr3:uid="{82117766-D5A0-4AAA-BCCB-F2A0F05D591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38AD0CF-523A-4CAE-B9B5-93200B0012F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78AB37-B7F1-4DFA-AA71-4AB15B729FB0}" name="Rainfall Zone">
      <calculatedColumnFormula array="1">Common_InputFunctions.Utility_DisplayArrayInTable(Common_SourceData.Common_SourceData_RainfallZones_Data(),Table_SourceData_RainfallZones[[#Headers],[Rainfall Zone]],0)</calculatedColumnFormula>
    </tableColumn>
    <tableColumn id="2" xr3:uid="{1F3ADBD4-4A01-4B11-B153-3D4F62B3AA0B}" name="Annual rainfall">
      <calculatedColumnFormula array="1">Common_InputFunctions.Utility_DisplayArrayInTable(Common_SourceData.Common_SourceData_RainfallZones_Data(),Table_SourceData_RainfallZones[[#Headers],[Rainfall Zone]],0)</calculatedColumnFormula>
    </tableColumn>
    <tableColumn id="3" xr3:uid="{DDC455F9-AF71-4307-A146-A540EEA66CD5}" name="Min rainfall">
      <calculatedColumnFormula array="1">Common_InputFunctions.Utility_DisplayArrayInTable(Common_SourceData.Common_SourceData_RainfallZones_Data(),Table_SourceData_RainfallZones[[#Headers],[Rainfall Zone]],0)</calculatedColumnFormula>
    </tableColumn>
    <tableColumn id="4" xr3:uid="{6ACE7E45-F7C3-45B4-8777-314362E220B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B4D9C25-4483-47C8-A841-7BB2B19454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E3FA8E0-2798-49DA-98B4-B9E576A8F707}" name="Leaching Zone">
      <calculatedColumnFormula array="1">Common_InputFunctions.Utility_DisplayArrayInTable(Common_SourceData.Common_SourceData_LeachingZones_Data(), Table_SourceData_LeachingZones[[#Headers],[Leaching Zone]], 0)</calculatedColumnFormula>
    </tableColumn>
    <tableColumn id="2" xr3:uid="{228E436F-728A-4E81-AC64-6A6E55B77C1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F29EFF-5257-404C-A325-314D5B37416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DC1380F-6BF8-4B48-9FA3-8CCBEE739FA2}" name="Data source">
      <calculatedColumnFormula array="1">Common_InputFunctions.Utility_DisplayArrayInTable(Common_SourceData.Common_SourceData_DataScores_Scope3_Data(), Table_SourceData_DataScores_Scope3[[#Headers],[Data source]], 0)</calculatedColumnFormula>
    </tableColumn>
    <tableColumn id="2" xr3:uid="{C23440A6-62D9-4C22-9A98-113BDBF3CB6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CC101EF-5BBE-4CFA-8A94-2EAAFEFB37D6}" name="Table_SourceData_FracWET" displayName="Table_SourceData_FracWET" ref="D134:E136" totalsRowShown="0">
  <autoFilter ref="D134:E136" xr:uid="{308E99BE-FE1F-47A4-B2CA-97217277C4E9}">
    <filterColumn colId="0" hiddenButton="1"/>
    <filterColumn colId="1" hiddenButton="1"/>
  </autoFilter>
  <tableColumns count="2">
    <tableColumn id="1" xr3:uid="{BBB41955-E475-41B9-8FA4-650C1DD704D3}" name="Is in leaching zone">
      <calculatedColumnFormula array="1">Common_InputFunctions.Utility_DisplayArrayInTable(Common_SourceData.Common_SourceData_FracWET_Data(),Table_SourceData_FracWET[[#Headers],[Is in leaching zone]],0)</calculatedColumnFormula>
    </tableColumn>
    <tableColumn id="2" xr3:uid="{71C3990C-3202-45B1-BE0E-3DDDC662CA02}" name="FracWET" dataDxfId="8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2CDA2B8-B770-408C-BC08-CB9B1D01432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E96F11B-84D6-4066-9AD2-E91FCBAB0E7E}" name="Production system j">
      <calculatedColumnFormula array="1">Common_InputFunctions.Utility_DisplayArrayInTable(Common_SourceData.Common_SourceData_EFN2O_Data(), Table_SourceData_Common_EFN2O[[#Headers],[Production system j]], 0)</calculatedColumnFormula>
    </tableColumn>
    <tableColumn id="2" xr3:uid="{2FA40181-09A7-46E3-90CB-BDBF5FD9FBE2}" name="EFN2O">
      <calculatedColumnFormula array="1">Common_InputFunctions.Utility_DisplayArrayInTable(Common_SourceData.Common_SourceData_EFN2O_Data(), Table_SourceData_Common_EFN2O[[#Headers],[Production system j]], 0)</calculatedColumnFormula>
    </tableColumn>
    <tableColumn id="3" xr3:uid="{2F6E93A0-D2FC-42EE-8E93-F299995B8C60}" name="Production system only">
      <calculatedColumnFormula array="1">Common_InputFunctions.Utility_DisplayArrayInTable(Common_SourceData.Common_SourceData_EFN2O_Data(), Table_SourceData_Common_EFN2O[[#Headers],[Production system j]], 0)</calculatedColumnFormula>
    </tableColumn>
    <tableColumn id="4" xr3:uid="{EB7F0B43-60DD-462E-AFB1-D24E802CDF82}" name="Irrigation method">
      <calculatedColumnFormula array="1">Common_InputFunctions.Utility_DisplayArrayInTable(Common_SourceData.Common_SourceData_EFN2O_Data(), Table_SourceData_Common_EFN2O[[#Headers],[Production system j]], 0)</calculatedColumnFormula>
    </tableColumn>
    <tableColumn id="5" xr3:uid="{5AA3D1AB-5449-4445-B1D9-0428FB9C53C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0872CA3-6511-4065-AD4F-9E4E775E710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DB837-7A21-4E6E-A8CD-F6445E7F1C07}" name="Irrigation type i">
      <calculatedColumnFormula array="1">Common_InputFunctions.Utility_DisplayArrayInTable(Common_SourceData.Common_SourceData_FracWETIrrigation_Data(), Table_SourceData_FracWETIrrigation[[#Headers],[Irrigation type i]], 0)</calculatedColumnFormula>
    </tableColumn>
    <tableColumn id="2" xr3:uid="{3F61449A-FB33-4716-93EF-21E94F4F0BC8}" name="FracWET" dataDxfId="8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096FA05-F0A1-4326-92F1-59870FDCD9A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F147F38-3236-4C02-954A-D671D28F93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423E42-5B8F-480E-B048-8ADAB288E69A}" name="EFPRP" dataDxfId="8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A565F8F-D885-4A99-BAC8-C7C7B59B8FA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80AC521-1A85-4E23-B770-3E93328D8054}" name="Month">
      <calculatedColumnFormula array="1">Common_InputFunctions.Utility_DisplayArrayInTable(Common_SourceData.Common_SourceData_MonthsToSeasons_Data(), Table_SourceData_Common_MonthToSeason[[#Headers],[Month]], 0)</calculatedColumnFormula>
    </tableColumn>
    <tableColumn id="2" xr3:uid="{A9143433-77F1-4BCD-BFFD-780F4DD04662}" name="Season" dataDxfId="7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968D5A0-453F-4835-82E5-6D0288402F1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08ACE8-B481-4609-B73A-55A22A17F90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DB4B283-3397-4BFE-A3AB-FA7A37C24D9A}" name="MAT (ºC)"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D8B9F63-DFAB-41FA-B36C-D30693A8FB2C}" name="Anaerobic lagoon"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6564CAE-15A8-405B-BF29-A652EED50B47}" name="Digester / covered lagoons"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2199D4A-6E50-4A8C-8B64-C0B5591C32BA}" name="Liquid systems"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0078CF-3123-43D6-AB0D-FBCCBC190F91}" name="Daily spread"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13C4125-DAC0-4ED4-BA61-945721DCD3AF}" name="Composting (passive windrow)"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07E1C98-B334-48A6-80CD-6557FC6A62A7}" name="Solid storage"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91415B-B2C0-4B2B-8963-9D9D3626155F}" name="Pit storage"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E248B30-27D9-43CF-ACBC-95E10A777FB8}" name="Deep litter"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C0A84D7-263C-4F8C-8683-53114DC8BAFD}" name="Poultry manure with bedd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F125D93-902F-4F8D-A400-AA3BD4D2002F}" name="Poultry manure without bedding"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8BD3AFA-E2C1-45B5-95A9-A5EFD64FD227}" name="Direct processing"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C785DFF-A33D-480F-A34C-9DA586FBE28B}" name="Direct applicati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54653FC-3C84-4FAD-AFD1-FD407B3E4B0A}" name="Pasture range and paddock"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0C55EA9-D13E-47AC-B4F8-77AC35D8B806}" name="MAT raw"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774B1F0-2DC2-4016-A10A-BB0967DD6A3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BEADD09-D0E4-493D-B2B7-0C9A7D4B734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F6DDA2D-BAB5-4908-80F3-AA64C0CCCD96}" name="EFNi &amp; EFN2Oi" dataDxfId="6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 Id="rId4" Type="http://schemas.openxmlformats.org/officeDocument/2006/relationships/table" Target="../tables/table1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4" t="s">
        <v>842</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topLeftCell="A6" workbookViewId="0">
      <selection activeCell="F17" sqref="F17"/>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3:12" s="1" customFormat="1" ht="30" customHeight="1" x14ac:dyDescent="0.35">
      <c r="C1" s="214" t="s">
        <v>843</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c r="D5" s="9" t="s">
        <v>844</v>
      </c>
      <c r="E5" s="216"/>
      <c r="F5" s="216"/>
      <c r="G5" s="216"/>
      <c r="H5" s="9"/>
      <c r="I5" s="9"/>
      <c r="J5" s="9"/>
    </row>
    <row r="6" spans="3:12" ht="20.100000000000001" customHeight="1" x14ac:dyDescent="0.3">
      <c r="D6" s="217"/>
      <c r="E6" s="218"/>
      <c r="F6" s="218"/>
      <c r="G6" s="218"/>
      <c r="H6" s="216"/>
      <c r="I6" s="151"/>
      <c r="J6" s="151"/>
    </row>
    <row r="7" spans="3:12" ht="20.100000000000001" customHeight="1" x14ac:dyDescent="0.25">
      <c r="D7" s="98" t="s">
        <v>845</v>
      </c>
      <c r="E7" s="113"/>
      <c r="F7" s="99"/>
      <c r="G7" s="151"/>
      <c r="H7" s="151"/>
      <c r="I7" s="151"/>
      <c r="J7" s="151"/>
    </row>
    <row r="8" spans="3:12" ht="20.100000000000001" customHeight="1" x14ac:dyDescent="0.25">
      <c r="D8" s="151"/>
      <c r="E8" s="151"/>
      <c r="F8" s="151"/>
      <c r="G8" s="151"/>
      <c r="H8" s="151"/>
      <c r="I8" s="151"/>
      <c r="J8" s="151"/>
    </row>
    <row r="9" spans="3:12" ht="20.100000000000001" customHeight="1" x14ac:dyDescent="0.25">
      <c r="D9" s="219" t="s">
        <v>846</v>
      </c>
      <c r="E9" s="219" t="s">
        <v>847</v>
      </c>
      <c r="F9" s="219" t="s">
        <v>848</v>
      </c>
      <c r="G9" s="219"/>
    </row>
    <row r="10" spans="3:12" ht="20.100000000000001" customHeight="1" x14ac:dyDescent="0.25">
      <c r="D10" s="8" t="str" cm="1">
        <f t="array" ref="D10">Common_InputFunctions.Utility_ResultsItemFromEquationTitleAndSource('15 Scope 3'!D5,'15 Scope 3'!D6)</f>
        <v>15.1.1.1 Total emissions from purchased livestock</v>
      </c>
      <c r="E10" s="220" t="s">
        <v>862</v>
      </c>
      <c r="F10" s="220" t="s">
        <v>862</v>
      </c>
      <c r="G10" s="13" t="s">
        <v>849</v>
      </c>
    </row>
    <row r="11" spans="3:12" ht="20.100000000000001" customHeight="1" x14ac:dyDescent="0.25">
      <c r="D11" s="221" t="str">
        <f>'15 Scope 3'!D21</f>
        <v>Beef cattle</v>
      </c>
      <c r="E11" s="220">
        <f>VEERG_15_1_1_1__1_EmissionsFromPurchasedLivestock_BeefCattle_Result_Method1</f>
        <v>1052.5</v>
      </c>
      <c r="F11" s="220">
        <f>VEERG_15_1_1_1__1_EmissionsFromPurchasedLivestock_BeefCattle_Result_Method2</f>
        <v>1014.5</v>
      </c>
      <c r="G11" s="13" t="s">
        <v>849</v>
      </c>
    </row>
    <row r="12" spans="3:12" ht="20.100000000000001" customHeight="1" x14ac:dyDescent="0.25">
      <c r="D12" s="221" t="str">
        <f>'15 Scope 3'!D38</f>
        <v>Dairy cattle</v>
      </c>
      <c r="E12" s="220">
        <f>VEERG_15_1_1_1__1_EmissionsFromPurchasedLivestock_DairyCattle_Result_Method1</f>
        <v>295.47000000000003</v>
      </c>
      <c r="F12" s="220">
        <f>VEERG_15_1_1_1__1_EmissionsFromPurchasedLivestock_DairyCattle_Result_Method2</f>
        <v>415.625</v>
      </c>
      <c r="G12" s="13" t="s">
        <v>849</v>
      </c>
    </row>
    <row r="13" spans="3:12" ht="20.100000000000001" customHeight="1" x14ac:dyDescent="0.25">
      <c r="D13" s="221" t="str">
        <f>'15 Scope 3'!D57</f>
        <v>Pigs</v>
      </c>
      <c r="E13" s="220">
        <f>VEERG_15_1_1_1__1_EmissionsFromPurchasedLivestock_Pigs_Result_Method1</f>
        <v>76.725999999999999</v>
      </c>
      <c r="F13" s="220">
        <f>VEERG_15_1_1_1__1_EmissionsFromPurchasedLivestock_Pigs_Result_Method2</f>
        <v>73.38000000000001</v>
      </c>
      <c r="G13" s="13" t="s">
        <v>849</v>
      </c>
    </row>
    <row r="14" spans="3:12" ht="20.100000000000001" customHeight="1" x14ac:dyDescent="0.25">
      <c r="D14" s="221" t="str">
        <f>'15 Scope 3'!D75</f>
        <v>Poultry</v>
      </c>
      <c r="E14" s="220">
        <f>VEERG_15_1_1_1__1_EmissionsFromPurchasedLivestock_Poultry_Result_Method1</f>
        <v>0.36720000000000003</v>
      </c>
      <c r="F14" s="220">
        <f>VEERG_15_1_1_1__1_EmissionsFromPurchasedLivestock_Poultry_Result_Method2</f>
        <v>0.35940000000000005</v>
      </c>
      <c r="G14" s="13" t="s">
        <v>849</v>
      </c>
    </row>
    <row r="15" spans="3:12" ht="20.100000000000001" customHeight="1" x14ac:dyDescent="0.25">
      <c r="C15" s="222"/>
      <c r="D15" s="8" t="str" cm="1">
        <f t="array" ref="D15">Common_InputFunctions.Utility_ResultsItemFromEquationTitleAndSource('15 Scope 3'!D98,'15 Scope 3'!D99)</f>
        <v>15.2.1.1 Emissions from purchased feed</v>
      </c>
      <c r="E15" s="220">
        <f>VEERG_15_2_1_1__1_EmissionsFromPurchasedFeed_Result_Method1</f>
        <v>377.05200000000002</v>
      </c>
      <c r="F15" s="220">
        <f>VEERG_15_2_1_1__1_EmissionsFromPurchasedFeed_Result_Method2</f>
        <v>529.78</v>
      </c>
      <c r="G15" s="13" t="s">
        <v>849</v>
      </c>
    </row>
    <row r="16" spans="3:12" ht="20.100000000000001" customHeight="1" x14ac:dyDescent="0.25">
      <c r="C16" s="222"/>
      <c r="D16" s="8" t="str" cm="1">
        <f t="array" ref="D16">Common_InputFunctions.Utility_ResultsItemFromEquationTitleAndSource('15 Scope 3'!D149,'15 Scope 3'!D150)</f>
        <v>15.3.1.1 Total emissions from purchased mineral supplements</v>
      </c>
      <c r="E16" s="220">
        <f>VEERG_15_3_1_1__1_EmissionsFromPurchasedMineralSupplements_Result_Method1</f>
        <v>178.9</v>
      </c>
      <c r="F16" s="220">
        <f>VEERG_15_3_1_1__1_EmissionsFromPurchasedMineralSupplements_Result_Method2</f>
        <v>160</v>
      </c>
      <c r="G16" s="13" t="s">
        <v>849</v>
      </c>
    </row>
    <row r="17" spans="4:8" ht="20.100000000000001" customHeight="1" x14ac:dyDescent="0.25">
      <c r="D17" s="8" t="str" cm="1">
        <f t="array" ref="D17">Common_InputFunctions.Utility_ResultsItemFromEquationTitleAndSource('15 Scope 3'!D186,'15 Scope 3'!D187)</f>
        <v>15.4.1.1 Emissions from purchased fertiliser</v>
      </c>
      <c r="E17" s="220">
        <f>VEERG_15_4_1_1__2_EmissionsFromPurchasedFertiliserComponentsVariation_Result_Method1</f>
        <v>53.822548254497605</v>
      </c>
      <c r="F17" s="220">
        <f>VEERG_15_4_1_1__2_EmissionsFromPurchasedFertiliserComponentsVariation_Result_Method2</f>
        <v>50.728065428338802</v>
      </c>
      <c r="G17" s="13" t="s">
        <v>849</v>
      </c>
    </row>
    <row r="18" spans="4:8" ht="20.100000000000001" customHeight="1" x14ac:dyDescent="0.25">
      <c r="D18" s="8" t="str" cm="1">
        <f t="array" ref="D18">Common_InputFunctions.Utility_ResultsItemFromEquationTitleAndSource('15 Scope 3'!D256,'15 Scope 3'!D257)</f>
        <v>15.5.1.1 Total emissions from purchased agrichemicals</v>
      </c>
      <c r="E18" s="220">
        <f>VEERG_15_5_1_1__1_EmissionsFromPurchasedAgrichemicals_Result_Method1</f>
        <v>7.5159999999999991</v>
      </c>
      <c r="F18" s="220">
        <f>VEERG_15_5_1_1__1_EmissionsFromPurchasedAgrichemicals_Result_Method2</f>
        <v>7.4959999999999996</v>
      </c>
      <c r="G18" s="13" t="s">
        <v>849</v>
      </c>
    </row>
    <row r="19" spans="4:8" ht="20.100000000000001" customHeight="1" x14ac:dyDescent="0.25">
      <c r="D19" s="8" t="str" cm="1">
        <f t="array" ref="D19">Common_InputFunctions.Utility_ResultsItemFromEquationTitleAndSource('15 Scope 3'!D288,'15 Scope 3'!D289)</f>
        <v>15.6.1.1 Embedded emissions for purchased lime</v>
      </c>
      <c r="E19" s="220">
        <f>VEERG_15_6_1_1__1_EmissionsFromPurchasedLime_Result_Method1</f>
        <v>1.0375999999999999</v>
      </c>
      <c r="F19" s="220">
        <f>VEERG_15_6_1_1__1_EmissionsFromPurchasedLime_Result_Method2</f>
        <v>0.89</v>
      </c>
      <c r="G19" s="13" t="s">
        <v>849</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0" t="str">
        <f>VEERG_15_7_1_1__1_EmissionsFromPurchasedServices_Result_Method1</f>
        <v>No data</v>
      </c>
      <c r="F20" s="220">
        <f>VEERG_15_7_1_1__1_EmissionsFromPurchasedServices_Result_Method2</f>
        <v>42</v>
      </c>
      <c r="G20" s="13" t="s">
        <v>849</v>
      </c>
      <c r="H20" s="222"/>
    </row>
    <row r="21" spans="4:8" ht="20.100000000000001" customHeight="1" x14ac:dyDescent="0.25">
      <c r="D21" s="8" t="str" cm="1">
        <f t="array" ref="D21">Common_InputFunctions.Utility_ResultsItemFromEquationTitleAndSource('15 Scope 3'!D352,'15 Scope 3'!D353)</f>
        <v>15.8.1.1 Embedded emissions from use of packaging materials</v>
      </c>
      <c r="E21" s="220">
        <f>VEERG_15_8_1_1__1_EmissionsFromPurchasedPackaging_Result_Method1</f>
        <v>7.44</v>
      </c>
      <c r="F21" s="220">
        <f>VEERG_15_8_1_1__1_EmissionsFromPurchasedPackaging_Result_Method2</f>
        <v>6</v>
      </c>
      <c r="G21" s="13" t="s">
        <v>849</v>
      </c>
    </row>
    <row r="22" spans="4:8" ht="20.100000000000001" customHeight="1" x14ac:dyDescent="0.25">
      <c r="D22" s="8" t="str" cm="1">
        <f t="array" ref="D22">Common_InputFunctions.Utility_ResultsItemFromEquationTitleAndSource('15 Scope 3'!D383,'15 Scope 3'!D384)</f>
        <v>15.9.1.1 Embedded emissions from use of grow media products</v>
      </c>
      <c r="E22" s="220" t="str">
        <f>VEERG_15_9_1_1__1_EmissionsFromPurchasedGrowMedia_Result_Method1</f>
        <v>No data</v>
      </c>
      <c r="F22" s="220">
        <f>VEERG_15_9_1_1__1_EmissionsFromPurchasedGrowMedia_Result_Method2</f>
        <v>40.200000000000003</v>
      </c>
      <c r="G22" s="13" t="s">
        <v>849</v>
      </c>
    </row>
    <row r="23" spans="4:8" ht="20.100000000000001" customHeight="1" x14ac:dyDescent="0.25">
      <c r="D23" s="8" t="str" cm="1">
        <f t="array" ref="D23">Common_InputFunctions.Utility_ResultsItemFromEquationTitleAndSource('15 Scope 3'!D415,'15 Scope 3'!D416)</f>
        <v>15.10 Other purchased goods and services generic estimate</v>
      </c>
      <c r="E23" s="220" t="s">
        <v>862</v>
      </c>
      <c r="F23" s="220" t="s">
        <v>862</v>
      </c>
      <c r="G23" s="13" t="s">
        <v>849</v>
      </c>
    </row>
    <row r="24" spans="4:8" ht="20.100000000000001" customHeight="1" x14ac:dyDescent="0.25">
      <c r="D24" s="221" t="str">
        <f>'15 Scope 3'!D427</f>
        <v>Cleaning chemical purchases</v>
      </c>
      <c r="E24" s="220">
        <f>VEERG_15_10_1_1__1_OtherPurchasedGoodsAndServices_CleaningChemicals_Result_Method1</f>
        <v>0.50509999999999999</v>
      </c>
      <c r="F24" s="220">
        <f>VEERG_15_10_1_1__1_OtherPurchasedGoodsAndServices_CleaningChemicals_Result_Method2</f>
        <v>2.73</v>
      </c>
      <c r="G24" s="13" t="s">
        <v>849</v>
      </c>
    </row>
    <row r="25" spans="4:8" ht="20.100000000000001" customHeight="1" x14ac:dyDescent="0.25">
      <c r="D25" s="221" t="str">
        <f>'15 Scope 3'!D445</f>
        <v>Pharmacy chemical purchases</v>
      </c>
      <c r="E25" s="220">
        <f>VEERG_15_10_1_1__1_OtherPurchasedGoodsAndServices_PharmacyChemicals_Result_Method1</f>
        <v>1.5636000000000001E-2</v>
      </c>
      <c r="F25" s="220">
        <f>VEERG_15_10_1_1__1_OtherPurchasedGoodsAndServices_PharmacyChemicals_Result_Method2</f>
        <v>1.3400000000000002E-2</v>
      </c>
      <c r="G25" s="13" t="s">
        <v>849</v>
      </c>
    </row>
    <row r="26" spans="4:8" ht="20.100000000000001" customHeight="1" x14ac:dyDescent="0.25">
      <c r="D26" s="221" t="str">
        <f>'15 Scope 3'!D463</f>
        <v>Seed</v>
      </c>
      <c r="E26" s="220">
        <f>VEERG_15_10_1_1__1_OtherPurchasedGoodsAndServices_Seed_Result_Method1</f>
        <v>0.84389999999999998</v>
      </c>
      <c r="F26" s="220">
        <f>VEERG_15_10_1_1__1_OtherPurchasedGoodsAndServices_Seed_Result_Method2</f>
        <v>0.71420000000000006</v>
      </c>
      <c r="G26" s="13" t="s">
        <v>849</v>
      </c>
    </row>
    <row r="27" spans="4:8" ht="20.100000000000001" customHeight="1" x14ac:dyDescent="0.25">
      <c r="D27" s="221" t="str">
        <f>'15 Scope 3'!D476</f>
        <v>Miscellaneous Inputs</v>
      </c>
      <c r="E27" s="220">
        <f>VEERG_15_10_1_1__1_OtherPurchasedGoodsAndServices_Misc_Result_Method1</f>
        <v>2.9531000000000005</v>
      </c>
      <c r="F27" s="220">
        <f>VEERG_15_10_1_1__1_OtherPurchasedGoodsAndServices_Misc_Result_Method2</f>
        <v>8.5860000000000006E-2</v>
      </c>
      <c r="G27" s="13" t="s">
        <v>849</v>
      </c>
    </row>
    <row r="28" spans="4:8" ht="20.100000000000001" customHeight="1" x14ac:dyDescent="0.25">
      <c r="D28" s="221" t="str">
        <f>'15 Scope 3'!D487</f>
        <v>Uncategorised products with no Method 1 EF data</v>
      </c>
      <c r="E28" s="220" t="str">
        <f>VEERG_15_10_1_1__1_OtherPurchasedGoodsAndServices_Uncategorised_Result_Method1</f>
        <v>No data</v>
      </c>
      <c r="F28" s="220">
        <f>VEERG_15_10_1_1__1_OtherPurchasedGoodsAndServices_Uncategorised_Result_Method2</f>
        <v>4000</v>
      </c>
      <c r="G28" s="13" t="s">
        <v>849</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0">
        <f>VEERG_15_11_1_1__1_TotalUpstreamEmissionsFromFuel_Result</f>
        <v>0.13617600000000002</v>
      </c>
      <c r="F29" s="220">
        <f>E29</f>
        <v>0.13617600000000002</v>
      </c>
      <c r="G29" s="13" t="s">
        <v>849</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0">
        <f>VEERG_15_12_1_1__1_UpstreamPurchasedElectricityLocationBased_Result</f>
        <v>0.03</v>
      </c>
      <c r="F30" s="220">
        <f>E30</f>
        <v>0.03</v>
      </c>
      <c r="G30" s="13" t="s">
        <v>849</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0">
        <f>VEERG_15_12_1_2__1_UpstreamPurchasedElectricityMarketBasedVariation_Result</f>
        <v>1.5</v>
      </c>
      <c r="F31" s="220">
        <f>E31</f>
        <v>1.5</v>
      </c>
      <c r="G31" s="13" t="s">
        <v>849</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0">
        <f>VEERG_15_13_1_1__1_EmissionsFromManureSentOffSite_Result_Method1_CO2e</f>
        <v>3.7936642857142857</v>
      </c>
      <c r="F32" s="220">
        <f>VEERG_15_13_1_1__1_EmissionsFromManureSentOffSite_Result_Method2_CO2e</f>
        <v>7.5873285714285714</v>
      </c>
      <c r="G32" s="13" t="s">
        <v>849</v>
      </c>
    </row>
    <row r="33" spans="4:7" ht="20.100000000000001" customHeight="1" x14ac:dyDescent="0.25">
      <c r="D33" s="8" t="str" cm="1">
        <f t="array" ref="D33">Common_InputFunctions.Utility_ResultsItemFromEquationTitleAndSource('15 Scope 3'!D582,'15 Scope 3'!D583&amp;",")</f>
        <v>15.13.1.3 Emissions from solid waste sent to a treatment facility</v>
      </c>
      <c r="E33" s="220">
        <f>VEERG_10_1_1_1__1_EmissionsFromWasteManagement_Scope3_Result_Method1</f>
        <v>330.84210000000002</v>
      </c>
      <c r="F33" s="220">
        <f>E33</f>
        <v>330.84210000000002</v>
      </c>
      <c r="G33" s="13" t="s">
        <v>849</v>
      </c>
    </row>
    <row r="34" spans="4:7" ht="20.100000000000001" customHeight="1" x14ac:dyDescent="0.25">
      <c r="D34" s="8" t="str" cm="1">
        <f t="array" ref="D34">Common_InputFunctions.Utility_ResultsItemFromEquationTitleAndSource('15 Scope 3'!D592,'15 Scope 3'!D593)</f>
        <v>15.14.1.1 Embedded emissions from upstream freight</v>
      </c>
      <c r="E34" s="220" t="s">
        <v>862</v>
      </c>
      <c r="F34" s="220" t="s">
        <v>862</v>
      </c>
      <c r="G34" s="13" t="s">
        <v>849</v>
      </c>
    </row>
    <row r="35" spans="4:7" ht="20.100000000000001" customHeight="1" x14ac:dyDescent="0.25">
      <c r="D35" s="221" t="str">
        <f>'15 Scope 3'!D606</f>
        <v>Incoming freight</v>
      </c>
      <c r="E35" s="220" t="str">
        <f>VEERG_15_14_1_1__1_EmbeddedEmissionsFromUpstreamFreight_Incoming_Result_Method1</f>
        <v>No data</v>
      </c>
      <c r="F35" s="220">
        <f>VEERG_15_14_1_1__1_EmbeddedEmissionsFromUpstreamFreight_Incoming_Result_Method2</f>
        <v>5146700</v>
      </c>
      <c r="G35" s="13" t="s">
        <v>849</v>
      </c>
    </row>
    <row r="36" spans="4:7" ht="20.100000000000001" customHeight="1" x14ac:dyDescent="0.25">
      <c r="D36" s="221" t="str">
        <f>'15 Scope 3'!D624</f>
        <v>Outgoing freight</v>
      </c>
      <c r="E36" s="220" t="str">
        <f>VEERG_15_14_1_1__1_EmbeddedEmissionsFromUpstreamFreight_Outgoing_Result_Method1</f>
        <v>No data</v>
      </c>
      <c r="F36" s="220">
        <f>VEERG_15_14_1_1__1_EmbeddedEmissionsFromUpstreamFreight_Outgoing_Result_Method2</f>
        <v>432640</v>
      </c>
      <c r="G36" s="13" t="s">
        <v>849</v>
      </c>
    </row>
    <row r="37" spans="4:7" ht="20.100000000000001" customHeight="1" x14ac:dyDescent="0.25">
      <c r="D37" s="63" t="s">
        <v>223</v>
      </c>
      <c r="E37" s="223">
        <f>SUM(E10:E36)</f>
        <v>2391.4510245402121</v>
      </c>
      <c r="F37" s="223">
        <f>SUM(F10:F36)</f>
        <v>5586024.5975299999</v>
      </c>
      <c r="G37" s="179" t="s">
        <v>849</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topLeftCell="A2" workbookViewId="0">
      <selection activeCell="E12" sqref="E12"/>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5" t="s">
        <v>265</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6"/>
      <c r="D4" s="106"/>
      <c r="E4" s="106"/>
      <c r="F4" s="106"/>
      <c r="G4" s="106"/>
      <c r="H4" s="106"/>
      <c r="I4" s="106"/>
      <c r="J4" s="106"/>
      <c r="K4" s="106"/>
    </row>
    <row r="5" spans="1:24" ht="20.100000000000001" customHeight="1" x14ac:dyDescent="0.25">
      <c r="A5" s="16" t="str">
        <f>HYPERLINK("#'Results'!A1", "Results")</f>
        <v>Results</v>
      </c>
      <c r="D5" s="9" t="s">
        <v>266</v>
      </c>
      <c r="N5" s="107"/>
    </row>
    <row r="6" spans="1:24" ht="20.100000000000001" customHeight="1" x14ac:dyDescent="0.25">
      <c r="D6" s="108"/>
      <c r="N6" s="109"/>
    </row>
    <row r="7" spans="1:24" ht="20.100000000000001" customHeight="1" x14ac:dyDescent="0.25">
      <c r="A7" s="19" t="s">
        <v>67</v>
      </c>
      <c r="D7" s="8" t="s">
        <v>267</v>
      </c>
      <c r="E7" s="85" t="s">
        <v>268</v>
      </c>
      <c r="F7" s="68"/>
    </row>
    <row r="8" spans="1:24" ht="20.100000000000001" customHeight="1" x14ac:dyDescent="0.25">
      <c r="A8" s="16" t="str">
        <f>HYPERLINK("#'Input - Electricity'!A1", "Electricity")</f>
        <v>Electricity</v>
      </c>
      <c r="D8" s="110" t="s">
        <v>269</v>
      </c>
      <c r="E8" s="85" t="s">
        <v>270</v>
      </c>
    </row>
    <row r="9" spans="1:24" ht="20.100000000000001" customHeight="1" x14ac:dyDescent="0.25">
      <c r="A9" s="16"/>
      <c r="N9" s="111"/>
    </row>
    <row r="10" spans="1:24" ht="20.100000000000001" customHeight="1" x14ac:dyDescent="0.25">
      <c r="A10" s="21" t="s">
        <v>77</v>
      </c>
      <c r="D10" s="98" t="s">
        <v>271</v>
      </c>
      <c r="E10" s="112"/>
      <c r="F10" s="113"/>
      <c r="G10" s="99"/>
      <c r="N10" s="111"/>
    </row>
    <row r="11" spans="1:24" ht="20.100000000000001" customHeight="1" x14ac:dyDescent="0.25">
      <c r="A11" s="16" t="str">
        <f>HYPERLINK("#'14.1.1-2 Purchased electricity'!A1", "14.1.1-2 Purchased electricity")</f>
        <v>14.1.1-2 Purchased electricity</v>
      </c>
      <c r="N11" s="114"/>
    </row>
    <row r="12" spans="1:24" ht="20.100000000000001" customHeight="1" x14ac:dyDescent="0.25">
      <c r="A12" s="16"/>
      <c r="D12" s="110" t="s">
        <v>272</v>
      </c>
      <c r="E12" s="115">
        <v>45292</v>
      </c>
      <c r="F12" s="68" t="s">
        <v>273</v>
      </c>
    </row>
    <row r="13" spans="1:24" ht="20.100000000000001" customHeight="1" x14ac:dyDescent="0.25">
      <c r="A13" s="23" t="s">
        <v>78</v>
      </c>
      <c r="D13" s="110" t="s">
        <v>274</v>
      </c>
      <c r="E13" s="116">
        <f>DATE(YEAR(E12)+1,MONTH(E12),DAY(E12))-1</f>
        <v>45657</v>
      </c>
      <c r="F13" s="68" t="s">
        <v>275</v>
      </c>
      <c r="N13" s="117"/>
      <c r="O13" s="117"/>
    </row>
    <row r="14" spans="1:24" ht="20.100000000000001" customHeight="1" x14ac:dyDescent="0.25">
      <c r="A14" s="16" t="str">
        <f>HYPERLINK("#'Constants - Electricity'!A1", "Constants - Electricity")</f>
        <v>Constants - Electricity</v>
      </c>
      <c r="N14" s="117"/>
      <c r="O14" s="117"/>
    </row>
    <row r="15" spans="1:24" ht="20.100000000000001" customHeight="1" x14ac:dyDescent="0.25">
      <c r="A15" s="16" t="str">
        <f>HYPERLINK("#'Constants - Common'!A1", "Constants - Common")</f>
        <v>Constants - Common</v>
      </c>
      <c r="N15" s="117"/>
      <c r="O15" s="117"/>
    </row>
    <row r="16" spans="1:24" ht="20.100000000000001" customHeight="1" x14ac:dyDescent="0.25">
      <c r="A16" s="3"/>
      <c r="D16" s="9" t="s">
        <v>276</v>
      </c>
      <c r="N16" s="117"/>
      <c r="O16" s="117"/>
    </row>
    <row r="17" spans="1:25" ht="20.100000000000001" customHeight="1" x14ac:dyDescent="0.25">
      <c r="A17" s="3"/>
    </row>
    <row r="18" spans="1:25" ht="20.100000000000001" customHeight="1" x14ac:dyDescent="0.25">
      <c r="A18" s="3"/>
      <c r="D18" s="118" t="s">
        <v>277</v>
      </c>
      <c r="E18" s="41"/>
      <c r="F18" s="41"/>
      <c r="G18" s="42"/>
    </row>
    <row r="19" spans="1:25" ht="20.100000000000001" customHeight="1" x14ac:dyDescent="0.25">
      <c r="A19" s="3"/>
      <c r="D19" s="44" t="s">
        <v>278</v>
      </c>
      <c r="E19" s="45"/>
      <c r="F19" s="45"/>
      <c r="G19" s="46"/>
      <c r="N19" s="107"/>
    </row>
    <row r="20" spans="1:25" ht="20.100000000000001" customHeight="1" x14ac:dyDescent="0.25">
      <c r="A20" s="3"/>
      <c r="D20" s="8"/>
      <c r="E20" s="119"/>
      <c r="F20" s="68"/>
      <c r="N20" s="109"/>
    </row>
    <row r="21" spans="1:25" ht="20.100000000000001" customHeight="1" x14ac:dyDescent="0.25">
      <c r="A21" s="3"/>
      <c r="D21" s="8" t="s">
        <v>279</v>
      </c>
      <c r="E21" s="48" t="s">
        <v>314</v>
      </c>
      <c r="F21" s="68" t="s">
        <v>195</v>
      </c>
    </row>
    <row r="22" spans="1:25" ht="20.100000000000001" customHeight="1" x14ac:dyDescent="0.25">
      <c r="A22" s="3"/>
      <c r="D22" s="8" t="s">
        <v>280</v>
      </c>
      <c r="E22" s="48" t="s">
        <v>281</v>
      </c>
      <c r="F22" s="68" t="s">
        <v>195</v>
      </c>
      <c r="G22" s="8"/>
    </row>
    <row r="23" spans="1:25" ht="20.100000000000001" customHeight="1" x14ac:dyDescent="0.25">
      <c r="A23" s="3"/>
      <c r="D23" s="8" t="s">
        <v>759</v>
      </c>
      <c r="E23" s="48" t="s">
        <v>760</v>
      </c>
      <c r="F23" s="68" t="s">
        <v>195</v>
      </c>
    </row>
    <row r="24" spans="1:25" ht="20.100000000000001" customHeight="1" x14ac:dyDescent="0.25">
      <c r="A24" s="3"/>
      <c r="D24" s="8" t="s">
        <v>16</v>
      </c>
      <c r="E24" s="85">
        <v>307.7</v>
      </c>
      <c r="F24" s="68" t="s">
        <v>761</v>
      </c>
    </row>
    <row r="25" spans="1:25" ht="20.100000000000001" customHeight="1" x14ac:dyDescent="0.25">
      <c r="A25" s="3"/>
      <c r="D25" s="8" t="s">
        <v>762</v>
      </c>
      <c r="E25" s="85">
        <v>18</v>
      </c>
      <c r="F25" s="68" t="s">
        <v>763</v>
      </c>
      <c r="N25" s="109"/>
    </row>
    <row r="26" spans="1:25" ht="20.100000000000001" customHeight="1" x14ac:dyDescent="0.25">
      <c r="A26" s="3"/>
      <c r="D26" s="8" t="s">
        <v>764</v>
      </c>
      <c r="E26" s="85">
        <v>599</v>
      </c>
      <c r="F26" s="68" t="s">
        <v>765</v>
      </c>
    </row>
    <row r="27" spans="1:25" ht="20.100000000000001" customHeight="1" x14ac:dyDescent="0.25">
      <c r="A27" s="3"/>
      <c r="D27" s="110" t="s">
        <v>766</v>
      </c>
      <c r="E27" s="85">
        <v>1326</v>
      </c>
      <c r="F27" s="68" t="s">
        <v>765</v>
      </c>
    </row>
    <row r="28" spans="1:25" ht="20.100000000000001" customHeight="1" x14ac:dyDescent="0.25">
      <c r="A28" s="3"/>
      <c r="D28" s="8" t="s">
        <v>767</v>
      </c>
      <c r="E28" s="85">
        <v>7</v>
      </c>
      <c r="F28" s="68" t="s">
        <v>768</v>
      </c>
    </row>
    <row r="29" spans="1:25" ht="20.100000000000001" customHeight="1" x14ac:dyDescent="0.25">
      <c r="A29" s="3"/>
      <c r="D29" s="110" t="s">
        <v>769</v>
      </c>
      <c r="E29" s="50">
        <f>E26/E27</f>
        <v>0.45173453996983409</v>
      </c>
      <c r="F29" s="68"/>
    </row>
    <row r="30" spans="1:25" ht="20.100000000000001" customHeight="1" x14ac:dyDescent="0.25">
      <c r="A30" s="3"/>
      <c r="D30" s="110" t="s">
        <v>44</v>
      </c>
      <c r="E30" s="50" t="str">
        <f>Common_InputFunctions.Utility_LookupItemFromMinMax(E26,Table_SourceData_RainfallZones[Min rainfall],Table_SourceData_RainfallZones[Max rainfall],Table_SourceData_RainfallZones[Rainfall Zone])</f>
        <v>Low rainfall</v>
      </c>
      <c r="G30" s="120"/>
      <c r="L30" s="121"/>
      <c r="M30" s="121"/>
      <c r="N30" s="121"/>
      <c r="O30" s="121"/>
      <c r="P30" s="121"/>
      <c r="Q30" s="121"/>
      <c r="R30" s="121"/>
      <c r="S30" s="121"/>
      <c r="T30" s="121"/>
      <c r="U30" s="121"/>
      <c r="V30" s="121"/>
      <c r="W30" s="121"/>
      <c r="X30" s="121"/>
      <c r="Y30" s="121"/>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9"/>
      <c r="L31" s="122"/>
      <c r="M31" s="122"/>
      <c r="N31" s="122"/>
      <c r="O31" s="122"/>
      <c r="P31" s="122"/>
      <c r="Q31" s="122"/>
      <c r="R31" s="122"/>
      <c r="S31" s="122"/>
      <c r="T31" s="122"/>
      <c r="U31" s="122"/>
      <c r="V31" s="122"/>
      <c r="W31" s="122"/>
      <c r="X31" s="122"/>
      <c r="Y31" s="122"/>
    </row>
    <row r="32" spans="1:25" ht="20.100000000000001" customHeight="1" x14ac:dyDescent="0.25">
      <c r="A32" s="3"/>
      <c r="D32" s="8" t="s">
        <v>770</v>
      </c>
      <c r="E32" s="50" t="str">
        <f>Common_InputFunctions.Utility_LookupValueInTable($E$31,Table_SourceData_WetDryZones[Climate zone],Table_SourceData_WetDryZones[Wet or Dry Zone])</f>
        <v>Dry climate zone</v>
      </c>
      <c r="F32" s="8"/>
      <c r="G32" s="119"/>
      <c r="L32" s="122"/>
      <c r="M32" s="122"/>
      <c r="N32" s="122"/>
      <c r="O32" s="122"/>
      <c r="P32" s="122"/>
      <c r="Q32" s="122"/>
      <c r="R32" s="122"/>
      <c r="S32" s="122"/>
      <c r="T32" s="122"/>
      <c r="U32" s="122"/>
      <c r="V32" s="122"/>
      <c r="W32" s="122"/>
      <c r="X32" s="122"/>
      <c r="Y32" s="122"/>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3"/>
      <c r="L33" s="122"/>
      <c r="M33" s="122"/>
      <c r="N33" s="122"/>
      <c r="O33" s="122"/>
      <c r="P33" s="122"/>
      <c r="Q33" s="122"/>
      <c r="R33" s="122"/>
      <c r="S33" s="122"/>
      <c r="T33" s="122"/>
      <c r="U33" s="122"/>
      <c r="V33" s="122"/>
      <c r="W33" s="122"/>
      <c r="X33" s="122"/>
      <c r="Y33" s="122"/>
    </row>
    <row r="34" spans="1:25" ht="20.100000000000001" customHeight="1" x14ac:dyDescent="0.25">
      <c r="A34" s="3"/>
      <c r="J34" s="124"/>
      <c r="K34" s="125"/>
      <c r="L34" s="122"/>
      <c r="M34" s="122"/>
      <c r="N34" s="122"/>
      <c r="O34" s="122"/>
      <c r="P34" s="122"/>
      <c r="Q34" s="122"/>
      <c r="R34" s="122"/>
      <c r="S34" s="122"/>
      <c r="T34" s="122"/>
      <c r="U34" s="122"/>
      <c r="V34" s="122"/>
      <c r="W34" s="122"/>
      <c r="X34" s="122"/>
      <c r="Y34" s="122"/>
    </row>
    <row r="35" spans="1:25" ht="20.100000000000001" customHeight="1" x14ac:dyDescent="0.25">
      <c r="A35" s="3"/>
      <c r="J35" s="124"/>
      <c r="K35" s="125"/>
      <c r="L35" s="122"/>
      <c r="M35" s="122"/>
      <c r="N35" s="122"/>
      <c r="O35" s="122"/>
      <c r="P35" s="122"/>
      <c r="Q35" s="122"/>
      <c r="R35" s="122"/>
      <c r="S35" s="122"/>
      <c r="T35" s="122"/>
      <c r="U35" s="122"/>
      <c r="V35" s="122"/>
      <c r="W35" s="122"/>
      <c r="X35" s="122"/>
      <c r="Y35" s="122"/>
    </row>
    <row r="36" spans="1:25" ht="20.100000000000001" customHeight="1" x14ac:dyDescent="0.25">
      <c r="A36" s="3"/>
      <c r="D36" s="126"/>
      <c r="E36" s="126"/>
      <c r="F36" s="127"/>
      <c r="G36" s="124"/>
      <c r="H36" s="124"/>
      <c r="I36" s="128"/>
      <c r="J36" s="124"/>
      <c r="K36" s="125"/>
      <c r="L36" s="122"/>
      <c r="M36" s="122"/>
      <c r="N36" s="122"/>
      <c r="O36" s="122"/>
      <c r="P36" s="122"/>
      <c r="Q36" s="122"/>
      <c r="R36" s="122"/>
      <c r="S36" s="122"/>
      <c r="T36" s="122"/>
      <c r="U36" s="122"/>
      <c r="V36" s="122"/>
      <c r="W36" s="122"/>
      <c r="X36" s="122"/>
      <c r="Y36" s="122"/>
    </row>
    <row r="37" spans="1:25" ht="20.100000000000001" customHeight="1" x14ac:dyDescent="0.25">
      <c r="A37" s="3"/>
      <c r="D37" s="126"/>
      <c r="E37" s="126"/>
      <c r="F37" s="127"/>
      <c r="G37" s="124"/>
      <c r="H37" s="124"/>
      <c r="I37" s="128"/>
      <c r="J37" s="124"/>
      <c r="K37" s="125"/>
      <c r="L37" s="122"/>
      <c r="M37" s="122"/>
      <c r="N37" s="122"/>
      <c r="O37" s="122"/>
      <c r="P37" s="122"/>
      <c r="Q37" s="122"/>
      <c r="R37" s="122"/>
      <c r="S37" s="122"/>
      <c r="T37" s="122"/>
      <c r="U37" s="122"/>
      <c r="V37" s="122"/>
      <c r="W37" s="122"/>
      <c r="X37" s="122"/>
      <c r="Y37" s="122"/>
    </row>
    <row r="38" spans="1:25" ht="20.100000000000001" customHeight="1" x14ac:dyDescent="0.25">
      <c r="A38" s="3"/>
      <c r="D38" s="126"/>
      <c r="E38" s="126"/>
      <c r="F38" s="127"/>
      <c r="G38" s="124"/>
      <c r="H38" s="124"/>
      <c r="I38" s="128"/>
      <c r="J38" s="124"/>
      <c r="K38" s="125"/>
      <c r="L38" s="122"/>
      <c r="M38" s="122"/>
      <c r="N38" s="122"/>
      <c r="O38" s="122"/>
      <c r="P38" s="122"/>
      <c r="Q38" s="122"/>
      <c r="R38" s="122"/>
      <c r="S38" s="122"/>
      <c r="T38" s="122"/>
      <c r="U38" s="122"/>
      <c r="V38" s="122"/>
      <c r="W38" s="122"/>
      <c r="X38" s="122"/>
      <c r="Y38" s="122"/>
    </row>
    <row r="39" spans="1:25" ht="20.100000000000001" customHeight="1" x14ac:dyDescent="0.25">
      <c r="A39" s="3"/>
      <c r="D39" s="126"/>
      <c r="E39" s="126"/>
      <c r="F39" s="127"/>
      <c r="G39" s="124"/>
      <c r="H39" s="124"/>
      <c r="I39" s="128"/>
      <c r="J39" s="124"/>
      <c r="K39" s="125"/>
      <c r="L39" s="122"/>
      <c r="M39" s="122"/>
      <c r="N39" s="122"/>
      <c r="O39" s="122"/>
      <c r="P39" s="122"/>
      <c r="Q39" s="122"/>
      <c r="R39" s="122"/>
      <c r="S39" s="122"/>
      <c r="T39" s="122"/>
      <c r="U39" s="122"/>
      <c r="V39" s="122"/>
      <c r="W39" s="122"/>
      <c r="X39" s="122"/>
      <c r="Y39" s="122"/>
    </row>
    <row r="40" spans="1:25" ht="20.100000000000001" customHeight="1" x14ac:dyDescent="0.25">
      <c r="A40" s="3"/>
      <c r="D40" s="129"/>
      <c r="E40" s="129"/>
      <c r="F40" s="129"/>
      <c r="G40" s="130"/>
      <c r="H40" s="131"/>
      <c r="I40" s="131"/>
      <c r="J40" s="131"/>
      <c r="K40" s="131"/>
      <c r="L40" s="132"/>
      <c r="M40" s="132"/>
      <c r="N40" s="132"/>
      <c r="O40" s="132"/>
      <c r="P40" s="132"/>
      <c r="Q40" s="132"/>
      <c r="R40" s="132"/>
      <c r="S40" s="132"/>
      <c r="T40" s="132"/>
      <c r="U40" s="132"/>
      <c r="V40" s="132"/>
      <c r="W40" s="132"/>
      <c r="X40" s="132"/>
      <c r="Y40" s="132"/>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3"/>
      <c r="E47" s="133"/>
      <c r="F47" s="133"/>
      <c r="G47" s="133"/>
      <c r="H47" s="133"/>
    </row>
    <row r="48" spans="1:25" ht="20.100000000000001" customHeight="1" x14ac:dyDescent="0.25">
      <c r="D48" s="134"/>
      <c r="E48" s="134"/>
      <c r="F48" s="135"/>
      <c r="G48" s="135"/>
      <c r="H48" s="134"/>
    </row>
    <row r="49" spans="4:8" ht="20.100000000000001" customHeight="1" x14ac:dyDescent="0.25">
      <c r="D49" s="134"/>
      <c r="E49" s="134"/>
      <c r="F49" s="135"/>
      <c r="G49" s="135"/>
      <c r="H49" s="134"/>
    </row>
    <row r="50" spans="4:8" ht="20.100000000000001" customHeight="1" x14ac:dyDescent="0.25">
      <c r="D50" s="134"/>
      <c r="E50" s="134"/>
      <c r="F50" s="135"/>
      <c r="G50" s="135"/>
      <c r="H50" s="134"/>
    </row>
    <row r="51" spans="4:8" ht="20.100000000000001" customHeight="1" x14ac:dyDescent="0.25">
      <c r="D51" s="136"/>
      <c r="E51" s="137"/>
      <c r="F51" s="137"/>
      <c r="G51" s="137"/>
      <c r="H51" s="138"/>
    </row>
    <row r="52" spans="4:8" ht="20.100000000000001" customHeight="1" x14ac:dyDescent="0.25"/>
    <row r="53" spans="4:8" ht="20.100000000000001" customHeight="1" x14ac:dyDescent="0.25"/>
    <row r="54" spans="4:8" ht="20.100000000000001" customHeight="1" x14ac:dyDescent="0.25">
      <c r="G54" s="139"/>
    </row>
    <row r="55" spans="4:8" ht="20.100000000000001" customHeight="1" x14ac:dyDescent="0.25">
      <c r="D55" s="9"/>
    </row>
    <row r="56" spans="4:8" ht="20.100000000000001" customHeight="1" x14ac:dyDescent="0.25"/>
    <row r="57" spans="4:8" ht="20.100000000000001" customHeight="1" x14ac:dyDescent="0.25">
      <c r="D57" s="140"/>
      <c r="F57" s="141"/>
    </row>
    <row r="58" spans="4:8" ht="20.100000000000001" customHeight="1" x14ac:dyDescent="0.25">
      <c r="D58" s="8"/>
      <c r="E58" s="142"/>
    </row>
    <row r="59" spans="4:8" ht="20.100000000000001" customHeight="1" x14ac:dyDescent="0.25">
      <c r="D59" s="8"/>
      <c r="E59" s="142"/>
    </row>
    <row r="60" spans="4:8" ht="20.100000000000001" customHeight="1" x14ac:dyDescent="0.25">
      <c r="D60" s="8"/>
      <c r="E60" s="143"/>
    </row>
    <row r="61" spans="4:8" ht="20.100000000000001" customHeight="1" x14ac:dyDescent="0.25">
      <c r="D61" s="8"/>
    </row>
    <row r="62" spans="4:8" ht="20.100000000000001" customHeight="1" x14ac:dyDescent="0.25"/>
    <row r="63" spans="4:8" ht="20.100000000000001" customHeight="1" x14ac:dyDescent="0.25">
      <c r="D63" s="140"/>
    </row>
    <row r="64" spans="4:8" ht="20.100000000000001" customHeight="1" x14ac:dyDescent="0.25">
      <c r="D64" s="8"/>
      <c r="E64" s="142"/>
    </row>
    <row r="65" spans="4:9" ht="20.100000000000001" customHeight="1" x14ac:dyDescent="0.25">
      <c r="D65" s="8"/>
      <c r="E65" s="142"/>
    </row>
    <row r="66" spans="4:9" ht="20.100000000000001" customHeight="1" x14ac:dyDescent="0.25">
      <c r="D66" s="8"/>
      <c r="E66" s="143"/>
    </row>
    <row r="67" spans="4:9" ht="20.100000000000001" customHeight="1" x14ac:dyDescent="0.25"/>
    <row r="68" spans="4:9" ht="20.100000000000001" customHeight="1" x14ac:dyDescent="0.25"/>
    <row r="69" spans="4:9" ht="20.100000000000001" customHeight="1" x14ac:dyDescent="0.25">
      <c r="D69" s="144"/>
      <c r="E69" s="144"/>
      <c r="F69" s="144"/>
      <c r="G69" s="144"/>
      <c r="H69" s="144"/>
      <c r="I69" s="144"/>
    </row>
    <row r="70" spans="4:9" ht="20.100000000000001" customHeight="1" x14ac:dyDescent="0.25">
      <c r="D70" s="144"/>
      <c r="E70" s="144"/>
      <c r="F70" s="144"/>
      <c r="G70" s="144"/>
      <c r="H70" s="144"/>
      <c r="I70" s="144"/>
    </row>
    <row r="71" spans="4:9" ht="20.100000000000001" customHeight="1" x14ac:dyDescent="0.25">
      <c r="D71" s="144"/>
      <c r="E71" s="144"/>
      <c r="F71" s="144"/>
      <c r="G71" s="144"/>
      <c r="H71" s="144"/>
      <c r="I71" s="144"/>
    </row>
    <row r="72" spans="4:9" ht="20.100000000000001" customHeight="1" x14ac:dyDescent="0.25">
      <c r="D72" s="144"/>
      <c r="E72" s="144"/>
      <c r="F72" s="144"/>
      <c r="G72" s="144"/>
      <c r="H72" s="144"/>
      <c r="I72" s="14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5"/>
    </row>
    <row r="79" spans="4:9" ht="20.100000000000001" customHeight="1" x14ac:dyDescent="0.25">
      <c r="D79" s="145"/>
    </row>
    <row r="80" spans="4:9" ht="20.100000000000001" customHeight="1" x14ac:dyDescent="0.25">
      <c r="D80" s="145"/>
    </row>
    <row r="81" spans="4:4" ht="20.100000000000001" customHeight="1" x14ac:dyDescent="0.25">
      <c r="D81" s="145"/>
    </row>
    <row r="82" spans="4:4" ht="20.100000000000001" customHeight="1" x14ac:dyDescent="0.25">
      <c r="D82" s="14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E11" sqref="E1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746</v>
      </c>
    </row>
    <row r="8" spans="1:10" ht="20.100000000000001" customHeight="1" x14ac:dyDescent="0.25">
      <c r="A8" s="43" t="str">
        <f>HYPERLINK("#'Input - Fuel'!A1", "Fuel")</f>
        <v>Fuel</v>
      </c>
      <c r="D8" s="8" t="s">
        <v>747</v>
      </c>
    </row>
    <row r="9" spans="1:10" ht="20.100000000000001" customHeight="1" x14ac:dyDescent="0.25">
      <c r="A9" s="16"/>
      <c r="D9" s="8" t="s">
        <v>748</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749</v>
      </c>
      <c r="E11" s="48" t="s">
        <v>717</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2" zoomScale="70" zoomScaleNormal="70" workbookViewId="0">
      <selection activeCell="E9" sqref="E9"/>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94" t="s">
        <v>203</v>
      </c>
      <c r="E17" s="94" t="s">
        <v>323</v>
      </c>
      <c r="F17" s="94" t="s">
        <v>316</v>
      </c>
      <c r="G17" s="94" t="s">
        <v>317</v>
      </c>
      <c r="H17" s="94" t="s">
        <v>204</v>
      </c>
      <c r="I17" s="94" t="s">
        <v>205</v>
      </c>
      <c r="J17" s="94" t="s">
        <v>174</v>
      </c>
      <c r="K17" s="94" t="s">
        <v>175</v>
      </c>
      <c r="L17" s="94" t="s">
        <v>176</v>
      </c>
      <c r="M17" s="94" t="s">
        <v>177</v>
      </c>
      <c r="N17" s="94" t="s">
        <v>178</v>
      </c>
      <c r="O17" s="94" t="s">
        <v>179</v>
      </c>
      <c r="P17" s="94" t="s">
        <v>180</v>
      </c>
      <c r="Q17" s="94" t="s">
        <v>181</v>
      </c>
      <c r="R17" s="94" t="s">
        <v>182</v>
      </c>
      <c r="S17" s="94" t="s">
        <v>183</v>
      </c>
      <c r="T17" s="94" t="s">
        <v>184</v>
      </c>
      <c r="U17" s="94" t="s">
        <v>185</v>
      </c>
      <c r="V17" s="94" t="s">
        <v>206</v>
      </c>
      <c r="W17" s="94" t="s">
        <v>172</v>
      </c>
      <c r="X17" s="94" t="s">
        <v>173</v>
      </c>
    </row>
    <row r="18" spans="1:24" ht="36" customHeight="1" x14ac:dyDescent="0.25">
      <c r="D18" s="75" t="s">
        <v>207</v>
      </c>
      <c r="E18" s="76">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6">
        <f>$E$9</f>
        <v>100</v>
      </c>
      <c r="I18" s="77">
        <f>(Table_Input_InorganicFertiliser_Brands[[#This Row],[Amount applied per hectare]]*Table_Input_InorganicFertiliser_Brands[[#This Row],[Density]])*Table_Input_InorganicFertiliser_Brands[[#This Row],[Application area (ha)]]</f>
        <v>12150.000000000002</v>
      </c>
      <c r="J18" s="77"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7"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7"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7"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7"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7"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7"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7"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7"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7"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7"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7"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7" t="str">
        <f>_xlfn.XLOOKUP(Table_Input_InorganicFertiliser_Brands[[#This Row],[Product (select)]],FertiliserProducts[Product name],FertiliserProducts[Urea source])</f>
        <v/>
      </c>
      <c r="X18" s="77" t="str">
        <f>_xlfn.XLOOKUP(Table_Input_InorganicFertiliser_Brands[[#This Row],[Product (select)]],FertiliserProducts[Product name],FertiliserProducts[Ammonia source])</f>
        <v/>
      </c>
    </row>
    <row r="19" spans="1:24" ht="36" customHeight="1" x14ac:dyDescent="0.25">
      <c r="A19" s="23" t="s">
        <v>78</v>
      </c>
      <c r="D19" s="75" t="s">
        <v>359</v>
      </c>
      <c r="E19" s="76">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6">
        <f>$E$9</f>
        <v>100</v>
      </c>
      <c r="I19" s="77">
        <f>(Table_Input_InorganicFertiliser_Brands[[#This Row],[Amount applied per hectare]]*Table_Input_InorganicFertiliser_Brands[[#This Row],[Density]])*Table_Input_InorganicFertiliser_Brands[[#This Row],[Application area (ha)]]</f>
        <v>20000</v>
      </c>
      <c r="J19" s="77"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7"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7"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7"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7"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7"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7"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7"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7"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7"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7"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7"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7" t="str">
        <f>_xlfn.XLOOKUP(Table_Input_InorganicFertiliser_Brands[[#This Row],[Product (select)]],FertiliserProducts[Product name],FertiliserProducts[Urea source])</f>
        <v/>
      </c>
      <c r="X19" s="77"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5" t="s">
        <v>207</v>
      </c>
      <c r="E20" s="76">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6">
        <f>$E$9</f>
        <v>100</v>
      </c>
      <c r="I20" s="77">
        <f>(Table_Input_InorganicFertiliser_Brands[[#This Row],[Amount applied per hectare]]*Table_Input_InorganicFertiliser_Brands[[#This Row],[Density]])*Table_Input_InorganicFertiliser_Brands[[#This Row],[Application area (ha)]]</f>
        <v>12150.000000000002</v>
      </c>
      <c r="J20" s="77"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7"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7"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7"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7"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7"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7"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7"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7"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7"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7"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7"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7" t="str">
        <f>_xlfn.XLOOKUP(Table_Input_InorganicFertiliser_Brands[[#This Row],[Product (select)]],FertiliserProducts[Product name],FertiliserProducts[Urea source])</f>
        <v/>
      </c>
      <c r="X20" s="77"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8"/>
      <c r="E21" s="79"/>
      <c r="F21" s="80"/>
      <c r="G21" s="80"/>
      <c r="H21" s="80"/>
      <c r="I21" s="80"/>
      <c r="J21" s="81"/>
      <c r="K21" s="81"/>
      <c r="L21" s="82"/>
      <c r="M21" s="82"/>
      <c r="N21" s="53"/>
      <c r="O21" s="53"/>
      <c r="P21" s="53"/>
      <c r="Q21" s="53"/>
      <c r="R21" s="53"/>
      <c r="S21" s="53"/>
      <c r="T21" s="53"/>
      <c r="U21" s="53"/>
      <c r="V21" s="53"/>
      <c r="W21" s="53"/>
      <c r="X21" s="53"/>
    </row>
    <row r="22" spans="1:24" ht="36" customHeight="1" x14ac:dyDescent="0.25">
      <c r="D22" s="83" t="s">
        <v>208</v>
      </c>
      <c r="E22" s="84"/>
      <c r="F22" s="84"/>
      <c r="G22" s="84"/>
      <c r="H22" s="84"/>
      <c r="I22" s="84"/>
      <c r="J22" s="84"/>
      <c r="K22" s="84"/>
      <c r="L22" s="84"/>
      <c r="M22" s="84"/>
      <c r="N22" s="53"/>
      <c r="O22" s="53"/>
      <c r="P22" s="53"/>
      <c r="Q22" s="53"/>
      <c r="R22" s="53"/>
      <c r="S22" s="53"/>
      <c r="T22" s="53"/>
      <c r="U22" s="53"/>
      <c r="V22" s="53"/>
      <c r="W22" s="53"/>
      <c r="X22" s="53"/>
    </row>
    <row r="23" spans="1:24" ht="36" customHeight="1" x14ac:dyDescent="0.25">
      <c r="A23" s="16"/>
      <c r="D23" s="94" t="s">
        <v>209</v>
      </c>
      <c r="E23" s="94" t="s">
        <v>850</v>
      </c>
      <c r="F23" s="94" t="s">
        <v>204</v>
      </c>
      <c r="G23" s="94" t="s">
        <v>205</v>
      </c>
      <c r="H23" s="94" t="s">
        <v>210</v>
      </c>
      <c r="I23" s="94" t="s">
        <v>175</v>
      </c>
      <c r="J23" s="94" t="s">
        <v>176</v>
      </c>
      <c r="K23" s="94" t="s">
        <v>177</v>
      </c>
      <c r="L23" s="94" t="s">
        <v>178</v>
      </c>
      <c r="M23" s="94" t="s">
        <v>179</v>
      </c>
      <c r="N23" s="94" t="s">
        <v>180</v>
      </c>
      <c r="O23" s="94" t="s">
        <v>181</v>
      </c>
      <c r="P23" s="94" t="s">
        <v>206</v>
      </c>
      <c r="Q23" s="94" t="s">
        <v>172</v>
      </c>
      <c r="R23" s="94" t="s">
        <v>173</v>
      </c>
      <c r="S23" s="53"/>
      <c r="T23" s="53"/>
      <c r="U23" s="53"/>
      <c r="V23" s="53"/>
      <c r="W23" s="53"/>
      <c r="X23" s="53"/>
    </row>
    <row r="24" spans="1:24" ht="36" customHeight="1" x14ac:dyDescent="0.25">
      <c r="D24" s="85" t="s">
        <v>211</v>
      </c>
      <c r="E24" s="67">
        <v>100</v>
      </c>
      <c r="F24" s="76">
        <f>$E$9</f>
        <v>100</v>
      </c>
      <c r="G24" s="77">
        <f>Table_Input_InorganicFertiliser_Custom[[#This Row],[Amount applied (kg / ha)]]*Table_Input_InorganicFertiliser_Custom[[#This Row],[Application area (ha)]]</f>
        <v>10000</v>
      </c>
      <c r="H24" s="86" t="s">
        <v>322</v>
      </c>
      <c r="I24" s="87">
        <v>0.45</v>
      </c>
      <c r="J24" s="86" t="s">
        <v>321</v>
      </c>
      <c r="K24" s="87">
        <v>0.3</v>
      </c>
      <c r="L24" s="86" t="s">
        <v>213</v>
      </c>
      <c r="M24" s="87">
        <v>0.1</v>
      </c>
      <c r="N24" s="88" t="s">
        <v>214</v>
      </c>
      <c r="O24" s="89">
        <v>0.1</v>
      </c>
      <c r="P24"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318</v>
      </c>
      <c r="R24" s="48" t="s">
        <v>352</v>
      </c>
    </row>
    <row r="25" spans="1:24" ht="36" customHeight="1" x14ac:dyDescent="0.25">
      <c r="D25" s="85"/>
      <c r="E25" s="67">
        <v>100</v>
      </c>
      <c r="F25" s="152">
        <f>$E$9</f>
        <v>100</v>
      </c>
      <c r="G25" s="77">
        <f>Table_Input_InorganicFertiliser_Custom[[#This Row],[Amount applied (kg / ha)]]*Table_Input_InorganicFertiliser_Custom[[#This Row],[Application area (ha)]]</f>
        <v>10000</v>
      </c>
      <c r="H25" s="86" t="s">
        <v>212</v>
      </c>
      <c r="I25" s="90">
        <v>0.9</v>
      </c>
      <c r="J25" s="86" t="s">
        <v>322</v>
      </c>
      <c r="K25" s="90">
        <v>0.1</v>
      </c>
      <c r="L25" s="86"/>
      <c r="M25" s="90"/>
      <c r="N25" s="88"/>
      <c r="O25" s="89"/>
      <c r="P25"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5" t="s">
        <v>318</v>
      </c>
      <c r="R25" s="75" t="s">
        <v>318</v>
      </c>
    </row>
    <row r="26" spans="1:24" ht="36" customHeight="1" x14ac:dyDescent="0.25"/>
    <row r="27" spans="1:24" ht="20.100000000000001" customHeight="1" x14ac:dyDescent="0.25">
      <c r="D27" s="9" t="s">
        <v>840</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215</v>
      </c>
      <c r="E29" s="41"/>
      <c r="F29" s="42"/>
      <c r="G29" s="40"/>
      <c r="H29" s="42"/>
      <c r="I29" s="7"/>
      <c r="J29" s="7"/>
      <c r="K29" s="14"/>
      <c r="L29" s="14"/>
      <c r="M29" s="14"/>
    </row>
    <row r="30" spans="1:24" ht="20.100000000000001" customHeight="1" x14ac:dyDescent="0.25">
      <c r="A30" s="16"/>
      <c r="D30" s="91" t="s">
        <v>216</v>
      </c>
      <c r="E30" s="92"/>
      <c r="F30" s="93"/>
      <c r="G30" s="91"/>
      <c r="H30" s="93"/>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IF(MAX(Table_Input_SoilAmeliorants[Total]) &gt; 1, "There can not be more than 100% ingredients in a product. Check the table below.", "")</f>
        <v/>
      </c>
    </row>
    <row r="33" spans="1:25" ht="36" customHeight="1" x14ac:dyDescent="0.25">
      <c r="A33" s="16"/>
      <c r="D33" s="94" t="s">
        <v>217</v>
      </c>
      <c r="E33" s="94" t="s">
        <v>218</v>
      </c>
      <c r="F33" s="94" t="s">
        <v>204</v>
      </c>
      <c r="G33" s="94" t="s">
        <v>219</v>
      </c>
      <c r="H33" s="94" t="s">
        <v>220</v>
      </c>
      <c r="I33" s="94" t="s">
        <v>221</v>
      </c>
      <c r="J33" s="94" t="s">
        <v>222</v>
      </c>
      <c r="K33" s="94" t="s">
        <v>223</v>
      </c>
      <c r="Y33" s="3"/>
    </row>
    <row r="34" spans="1:25" ht="36" customHeight="1" x14ac:dyDescent="0.25">
      <c r="D34" s="95" t="s">
        <v>224</v>
      </c>
      <c r="E34" s="76">
        <v>100</v>
      </c>
      <c r="F34" s="76">
        <f>$E$9</f>
        <v>100</v>
      </c>
      <c r="G34" s="77">
        <f>IFERROR(Table_Input_SoilAmeliorants[[#This Row],[Amount applied (t/hectare)]]*Table_Input_SoilAmeliorants[[#This Row],[Application area (ha)]], 0)</f>
        <v>10000</v>
      </c>
      <c r="H34" s="89">
        <v>0.4</v>
      </c>
      <c r="I34" s="89">
        <v>0.3</v>
      </c>
      <c r="J34" s="89">
        <v>0.25</v>
      </c>
      <c r="K34" s="96">
        <f>SUM(Table_Input_SoilAmeliorants[[#This Row],[Percent Lime CaCO3]:[Percent Gypsum]])</f>
        <v>0.95</v>
      </c>
      <c r="Y34" s="3"/>
    </row>
    <row r="35" spans="1:25" ht="36" customHeight="1" x14ac:dyDescent="0.25">
      <c r="D35" s="95" t="s">
        <v>225</v>
      </c>
      <c r="E35" s="76">
        <v>100</v>
      </c>
      <c r="F35" s="76">
        <f>$E$9</f>
        <v>100</v>
      </c>
      <c r="G35" s="77">
        <f>IFERROR(Table_Input_SoilAmeliorants[[#This Row],[Amount applied (t/hectare)]]*Table_Input_SoilAmeliorants[[#This Row],[Application area (ha)]], 0)</f>
        <v>10000</v>
      </c>
      <c r="H35" s="89">
        <v>1</v>
      </c>
      <c r="I35" s="89"/>
      <c r="J35" s="89"/>
      <c r="K35" s="96">
        <f>SUM(Table_Input_SoilAmeliorants[[#This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7"/>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4"/>
      <c r="M43" s="53"/>
      <c r="N43" s="53"/>
    </row>
    <row r="44" spans="1:25" ht="36" customHeight="1" x14ac:dyDescent="0.25">
      <c r="A44" s="56" t="str">
        <f>HYPERLINK("#A1", "▲ Back to top")</f>
        <v>▲ Back to top</v>
      </c>
      <c r="L44" s="84"/>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E101" sqref="E10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6" t="e" vm="1">
        <v>#VALUE!</v>
      </c>
      <c r="C1" s="105" t="s">
        <v>838</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367</v>
      </c>
      <c r="E5" s="7"/>
      <c r="F5" s="7"/>
      <c r="G5" s="7"/>
      <c r="H5" s="7"/>
      <c r="I5" s="7"/>
      <c r="J5" s="7"/>
    </row>
    <row r="6" spans="1:19" ht="20.100000000000001" customHeight="1" x14ac:dyDescent="0.25">
      <c r="C6" s="8"/>
      <c r="D6" s="148" t="s">
        <v>371</v>
      </c>
      <c r="E6" s="151"/>
      <c r="F6" s="151"/>
      <c r="G6" s="151"/>
      <c r="H6" s="151"/>
      <c r="I6" s="151"/>
      <c r="J6" s="151"/>
    </row>
    <row r="7" spans="1:19" ht="20.100000000000001" customHeight="1" x14ac:dyDescent="0.25">
      <c r="C7" s="8"/>
      <c r="D7" s="177" t="s">
        <v>302</v>
      </c>
      <c r="E7" s="177"/>
      <c r="F7" s="40"/>
      <c r="G7" s="42"/>
      <c r="H7" s="7"/>
      <c r="I7" s="7"/>
      <c r="J7" s="7"/>
    </row>
    <row r="8" spans="1:19" ht="20.100000000000001" customHeight="1" x14ac:dyDescent="0.25">
      <c r="C8" s="8"/>
      <c r="D8" s="44" t="s">
        <v>303</v>
      </c>
      <c r="E8" s="45"/>
      <c r="F8" s="45"/>
      <c r="G8" s="46"/>
      <c r="H8" s="7"/>
      <c r="I8" s="7"/>
      <c r="J8" s="7"/>
    </row>
    <row r="9" spans="1:19" ht="20.100000000000001" customHeight="1" x14ac:dyDescent="0.25">
      <c r="C9" s="8"/>
      <c r="D9" s="151"/>
      <c r="E9" s="151"/>
      <c r="F9" s="151"/>
      <c r="G9" s="151"/>
      <c r="H9" s="151"/>
      <c r="I9" s="151"/>
      <c r="J9" s="151"/>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58" t="s">
        <v>170</v>
      </c>
      <c r="E10" s="158" t="s">
        <v>304</v>
      </c>
      <c r="F10" s="158" t="s">
        <v>305</v>
      </c>
      <c r="G10" s="158" t="s">
        <v>204</v>
      </c>
      <c r="H10" s="158" t="s">
        <v>306</v>
      </c>
      <c r="I10" s="158" t="s">
        <v>428</v>
      </c>
      <c r="J10" s="158" t="s">
        <v>307</v>
      </c>
      <c r="K10" s="166" t="s">
        <v>308</v>
      </c>
      <c r="L10" s="166" t="s">
        <v>424</v>
      </c>
      <c r="M10" s="166" t="s">
        <v>309</v>
      </c>
      <c r="N10" s="166" t="s">
        <v>310</v>
      </c>
      <c r="O10" s="166" t="s">
        <v>425</v>
      </c>
      <c r="P10" s="166" t="s">
        <v>311</v>
      </c>
      <c r="Q10" s="166" t="s">
        <v>312</v>
      </c>
      <c r="R10" s="166" t="s">
        <v>426</v>
      </c>
    </row>
    <row r="11" spans="1:19" ht="20.100000000000001" customHeight="1" x14ac:dyDescent="0.25">
      <c r="D11" s="147" t="s">
        <v>430</v>
      </c>
      <c r="E11" s="159">
        <v>10</v>
      </c>
      <c r="F11" s="48" t="s">
        <v>420</v>
      </c>
      <c r="G11" s="69">
        <v>100</v>
      </c>
      <c r="H11" s="50">
        <f>Table_Input_Pesticides[[#This Row],[Amount applied per ha]]*Table_Input_Pesticides[[#This Row],[Application area (ha)]]</f>
        <v>1000</v>
      </c>
      <c r="I11" s="48" t="s">
        <v>419</v>
      </c>
      <c r="J11" s="48" t="s">
        <v>418</v>
      </c>
      <c r="K11" s="69">
        <v>100</v>
      </c>
      <c r="L11" s="50">
        <f>Table_Input_Pesticides[[#This Row],[Total applied]]*Table_Input_Pesticides[[#This Row],[Active ingredient 1 amount]]*IF(Table_Input_Pesticides[[#This Row],[Constituent unit (select)]]="fraction of product", 1, 10^-3)</f>
        <v>100</v>
      </c>
      <c r="M11" s="48" t="s">
        <v>418</v>
      </c>
      <c r="N11" s="69">
        <v>100</v>
      </c>
      <c r="O11" s="50">
        <f>Table_Input_Pesticides[[#This Row],[Total applied]]*Table_Input_Pesticides[[#This Row],[Active ingredient 2 amount]]*IF(Table_Input_Pesticides[[#This Row],[Constituent unit (select)]]="fraction of product", 1, 10^-3)</f>
        <v>100</v>
      </c>
      <c r="P11" s="48" t="s">
        <v>686</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7" t="s">
        <v>429</v>
      </c>
      <c r="E12" s="159">
        <v>10</v>
      </c>
      <c r="F12" s="48" t="s">
        <v>313</v>
      </c>
      <c r="G12" s="69">
        <v>100</v>
      </c>
      <c r="H12" s="50">
        <f>Table_Input_Pesticides[[#This Row],[Amount applied per ha]]*Table_Input_Pesticides[[#This Row],[Application area (ha)]]</f>
        <v>1000</v>
      </c>
      <c r="I12" s="48" t="s">
        <v>419</v>
      </c>
      <c r="J12" s="48" t="s">
        <v>418</v>
      </c>
      <c r="K12" s="69">
        <v>100</v>
      </c>
      <c r="L12" s="50">
        <f>Table_Input_Pesticides[[#This Row],[Total applied]]*Table_Input_Pesticides[[#This Row],[Active ingredient 1 amount]]*IF(Table_Input_Pesticides[[#This Row],[Constituent unit (select)]]="fraction of product", 1, 10^-3)</f>
        <v>100</v>
      </c>
      <c r="M12" s="48" t="s">
        <v>684</v>
      </c>
      <c r="N12" s="69">
        <v>100</v>
      </c>
      <c r="O12" s="50">
        <f>Table_Input_Pesticides[[#This Row],[Total applied]]*Table_Input_Pesticides[[#This Row],[Active ingredient 2 amount]]*IF(Table_Input_Pesticides[[#This Row],[Constituent unit (select)]]="fraction of product", 1, 10^-3)</f>
        <v>100</v>
      </c>
      <c r="P12" s="48" t="s">
        <v>687</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7" t="s">
        <v>427</v>
      </c>
      <c r="E13" s="159">
        <v>10</v>
      </c>
      <c r="F13" s="48" t="s">
        <v>420</v>
      </c>
      <c r="G13" s="69">
        <v>100</v>
      </c>
      <c r="H13" s="50">
        <f>Table_Input_Pesticides[[#This Row],[Amount applied per ha]]*Table_Input_Pesticides[[#This Row],[Application area (ha)]]</f>
        <v>1000</v>
      </c>
      <c r="I13" s="48" t="s">
        <v>419</v>
      </c>
      <c r="J13" s="48" t="s">
        <v>418</v>
      </c>
      <c r="K13" s="69">
        <v>100</v>
      </c>
      <c r="L13" s="50">
        <f>Table_Input_Pesticides[[#This Row],[Total applied]]*Table_Input_Pesticides[[#This Row],[Active ingredient 1 amount]]*IF(Table_Input_Pesticides[[#This Row],[Constituent unit (select)]]="fraction of product", 1, 10^-3)</f>
        <v>100</v>
      </c>
      <c r="M13" s="48" t="s">
        <v>685</v>
      </c>
      <c r="N13" s="69">
        <v>100</v>
      </c>
      <c r="O13" s="50">
        <f>Table_Input_Pesticides[[#This Row],[Total applied]]*Table_Input_Pesticides[[#This Row],[Active ingredient 2 amount]]*IF(Table_Input_Pesticides[[#This Row],[Constituent unit (select)]]="fraction of product", 1, 10^-3)</f>
        <v>100</v>
      </c>
      <c r="P13" s="48" t="s">
        <v>688</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7"/>
      <c r="E14" s="159"/>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7"/>
      <c r="E15" s="159"/>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7"/>
      <c r="E16" s="159"/>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7"/>
      <c r="E17" s="159"/>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7"/>
      <c r="E18" s="159"/>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7"/>
      <c r="E19" s="159"/>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7"/>
      <c r="E20" s="159"/>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48" t="s">
        <v>290</v>
      </c>
      <c r="E22" s="8"/>
      <c r="F22" s="8"/>
    </row>
    <row r="23" spans="3:18" ht="20.100000000000001" customHeight="1" x14ac:dyDescent="0.25">
      <c r="D23" s="47" t="s">
        <v>170</v>
      </c>
      <c r="E23" s="47" t="s">
        <v>346</v>
      </c>
      <c r="F23" s="47" t="s">
        <v>349</v>
      </c>
    </row>
    <row r="24" spans="3:18" ht="20.100000000000001" customHeight="1" x14ac:dyDescent="0.25">
      <c r="D24" s="85" t="s">
        <v>388</v>
      </c>
      <c r="E24" s="48" t="s">
        <v>348</v>
      </c>
      <c r="F24" s="69">
        <v>100</v>
      </c>
    </row>
    <row r="25" spans="3:18" ht="20.100000000000001" customHeight="1" x14ac:dyDescent="0.25">
      <c r="C25" s="8"/>
      <c r="D25" s="85" t="s">
        <v>387</v>
      </c>
      <c r="E25" s="153" t="s">
        <v>347</v>
      </c>
      <c r="F25" s="154">
        <v>100</v>
      </c>
    </row>
    <row r="26" spans="3:18" ht="20.100000000000001" customHeight="1" x14ac:dyDescent="0.25">
      <c r="C26" s="8"/>
      <c r="D26" s="85" t="s">
        <v>291</v>
      </c>
      <c r="E26" s="153" t="s">
        <v>292</v>
      </c>
      <c r="F26" s="154">
        <v>100</v>
      </c>
    </row>
    <row r="27" spans="3:18" ht="20.100000000000001" customHeight="1" x14ac:dyDescent="0.25">
      <c r="C27" s="8"/>
      <c r="D27" s="85" t="s">
        <v>291</v>
      </c>
      <c r="E27" s="153" t="s">
        <v>292</v>
      </c>
      <c r="F27" s="154">
        <v>100</v>
      </c>
    </row>
    <row r="28" spans="3:18" ht="20.100000000000001" customHeight="1" x14ac:dyDescent="0.25">
      <c r="D28" s="85" t="s">
        <v>388</v>
      </c>
      <c r="E28" s="153" t="s">
        <v>348</v>
      </c>
      <c r="F28" s="154">
        <v>100</v>
      </c>
    </row>
    <row r="29" spans="3:18" ht="20.100000000000001" customHeight="1" x14ac:dyDescent="0.25">
      <c r="D29" s="85" t="s">
        <v>388</v>
      </c>
      <c r="E29" s="153" t="s">
        <v>348</v>
      </c>
      <c r="F29" s="154">
        <v>100</v>
      </c>
    </row>
    <row r="30" spans="3:18" ht="20.100000000000001" customHeight="1" x14ac:dyDescent="0.25">
      <c r="D30" s="85"/>
      <c r="E30" s="48"/>
      <c r="F30" s="69"/>
    </row>
    <row r="31" spans="3:18" ht="20.100000000000001" customHeight="1" x14ac:dyDescent="0.25">
      <c r="D31" s="85"/>
      <c r="E31" s="48"/>
      <c r="F31" s="69"/>
    </row>
    <row r="32" spans="3:18" ht="20.100000000000001" customHeight="1" x14ac:dyDescent="0.25">
      <c r="D32" s="85"/>
      <c r="E32" s="48"/>
      <c r="F32" s="69"/>
    </row>
    <row r="33" spans="3:6" ht="20.100000000000001" customHeight="1" x14ac:dyDescent="0.25">
      <c r="D33" s="85"/>
      <c r="E33" s="48"/>
      <c r="F33" s="69"/>
    </row>
    <row r="34" spans="3:6" ht="20.100000000000001" customHeight="1" x14ac:dyDescent="0.25"/>
    <row r="35" spans="3:6" ht="20.100000000000001" customHeight="1" x14ac:dyDescent="0.25">
      <c r="D35" s="148" t="s">
        <v>836</v>
      </c>
      <c r="E35" s="8"/>
      <c r="F35" s="8"/>
    </row>
    <row r="36" spans="3:6" ht="20.100000000000001" customHeight="1" x14ac:dyDescent="0.25">
      <c r="D36" s="47" t="s">
        <v>170</v>
      </c>
      <c r="E36" s="47" t="s">
        <v>346</v>
      </c>
      <c r="F36" s="47" t="s">
        <v>379</v>
      </c>
    </row>
    <row r="37" spans="3:6" ht="20.100000000000001" customHeight="1" x14ac:dyDescent="0.25">
      <c r="D37" s="85" t="s">
        <v>383</v>
      </c>
      <c r="E37" s="75" t="s">
        <v>375</v>
      </c>
      <c r="F37" s="69">
        <v>100</v>
      </c>
    </row>
    <row r="38" spans="3:6" ht="20.100000000000001" customHeight="1" x14ac:dyDescent="0.25">
      <c r="D38" s="85" t="s">
        <v>384</v>
      </c>
      <c r="E38" s="167" t="s">
        <v>376</v>
      </c>
      <c r="F38" s="154">
        <v>100</v>
      </c>
    </row>
    <row r="39" spans="3:6" ht="20.100000000000001" customHeight="1" x14ac:dyDescent="0.25">
      <c r="D39" s="85" t="s">
        <v>385</v>
      </c>
      <c r="E39" s="167" t="s">
        <v>377</v>
      </c>
      <c r="F39" s="154">
        <v>100</v>
      </c>
    </row>
    <row r="40" spans="3:6" ht="20.100000000000001" customHeight="1" x14ac:dyDescent="0.25">
      <c r="D40" s="85" t="s">
        <v>386</v>
      </c>
      <c r="E40" s="167" t="s">
        <v>378</v>
      </c>
      <c r="F40" s="154">
        <v>100</v>
      </c>
    </row>
    <row r="41" spans="3:6" ht="20.100000000000001" customHeight="1" x14ac:dyDescent="0.25">
      <c r="D41" s="85" t="s">
        <v>383</v>
      </c>
      <c r="E41" s="167" t="s">
        <v>375</v>
      </c>
      <c r="F41" s="154">
        <v>100</v>
      </c>
    </row>
    <row r="42" spans="3:6" ht="20.100000000000001" customHeight="1" x14ac:dyDescent="0.25">
      <c r="D42" s="85" t="s">
        <v>384</v>
      </c>
      <c r="E42" s="167" t="s">
        <v>376</v>
      </c>
      <c r="F42" s="154">
        <v>100</v>
      </c>
    </row>
    <row r="43" spans="3:6" ht="20.100000000000001" customHeight="1" x14ac:dyDescent="0.25">
      <c r="D43" s="85"/>
      <c r="E43" s="75"/>
      <c r="F43" s="69"/>
    </row>
    <row r="44" spans="3:6" ht="20.100000000000001" customHeight="1" x14ac:dyDescent="0.25">
      <c r="C44" s="8"/>
      <c r="D44" s="85"/>
      <c r="E44" s="75"/>
      <c r="F44" s="69"/>
    </row>
    <row r="45" spans="3:6" ht="20.100000000000001" customHeight="1" x14ac:dyDescent="0.25">
      <c r="C45" s="8"/>
      <c r="D45" s="85"/>
      <c r="E45" s="75"/>
      <c r="F45" s="69"/>
    </row>
    <row r="46" spans="3:6" ht="20.100000000000001" customHeight="1" x14ac:dyDescent="0.25">
      <c r="C46" s="8"/>
      <c r="D46" s="85"/>
      <c r="E46" s="75"/>
      <c r="F46" s="69"/>
    </row>
    <row r="47" spans="3:6" ht="20.100000000000001" customHeight="1" x14ac:dyDescent="0.25">
      <c r="C47" s="8"/>
    </row>
    <row r="48" spans="3:6" ht="20.100000000000001" customHeight="1" x14ac:dyDescent="0.25">
      <c r="C48" s="8"/>
    </row>
    <row r="49" spans="3:17" ht="20.100000000000001" customHeight="1" x14ac:dyDescent="0.25">
      <c r="C49" s="8"/>
      <c r="D49" s="9" t="s">
        <v>368</v>
      </c>
    </row>
    <row r="50" spans="3:17" ht="20.100000000000001" customHeight="1" x14ac:dyDescent="0.25">
      <c r="D50" s="148" t="s">
        <v>293</v>
      </c>
      <c r="E50" s="149"/>
      <c r="F50" s="70"/>
    </row>
    <row r="51" spans="3:17" ht="20.100000000000001" customHeight="1" x14ac:dyDescent="0.25">
      <c r="D51" s="8" t="str" cm="1">
        <f t="array" ref="D51:D53">Table_SourceData_Scope3_LickBlocks[Product]</f>
        <v>Lick block, dry season mix</v>
      </c>
      <c r="E51" s="69">
        <v>100</v>
      </c>
      <c r="F51" s="68" t="s">
        <v>353</v>
      </c>
    </row>
    <row r="52" spans="3:17" ht="20.100000000000001" customHeight="1" x14ac:dyDescent="0.25">
      <c r="D52" s="8" t="str">
        <v>Lick block, mineral</v>
      </c>
      <c r="E52" s="69">
        <v>100</v>
      </c>
      <c r="F52" s="68" t="s">
        <v>353</v>
      </c>
    </row>
    <row r="53" spans="3:17" ht="20.100000000000001" customHeight="1" x14ac:dyDescent="0.25">
      <c r="D53" s="8" t="str">
        <v>Lick block, weaner</v>
      </c>
      <c r="E53" s="69">
        <v>100</v>
      </c>
      <c r="F53" s="68" t="s">
        <v>353</v>
      </c>
    </row>
    <row r="54" spans="3:17" ht="20.100000000000001" customHeight="1" x14ac:dyDescent="0.25">
      <c r="D54" s="8"/>
      <c r="E54" s="8"/>
      <c r="F54" s="8"/>
    </row>
    <row r="55" spans="3:17" ht="20.100000000000001" customHeight="1" x14ac:dyDescent="0.25">
      <c r="D55" s="148" t="s">
        <v>403</v>
      </c>
      <c r="E55" s="7"/>
      <c r="F55" s="7"/>
    </row>
    <row r="56" spans="3:17" ht="20.100000000000001" customHeight="1" x14ac:dyDescent="0.25">
      <c r="D56" s="8" t="str" cm="1">
        <f t="array" ref="D56:D59">Table_SourceData_Scope3_MixedRations[Product]</f>
        <v>Feed for chickens</v>
      </c>
      <c r="E56" s="69">
        <v>100</v>
      </c>
      <c r="F56" s="68" t="s">
        <v>353</v>
      </c>
    </row>
    <row r="57" spans="3:17" ht="20.100000000000001" customHeight="1" x14ac:dyDescent="0.25">
      <c r="D57" s="8" t="str">
        <v>Feed for dairy calves</v>
      </c>
      <c r="E57" s="69">
        <v>100</v>
      </c>
      <c r="F57" s="68" t="s">
        <v>353</v>
      </c>
    </row>
    <row r="58" spans="3:17" ht="20.100000000000001" customHeight="1" x14ac:dyDescent="0.25">
      <c r="D58" s="8" t="str">
        <v>Feed for dairy cows</v>
      </c>
      <c r="E58" s="69">
        <v>100</v>
      </c>
      <c r="F58" s="68" t="s">
        <v>353</v>
      </c>
    </row>
    <row r="59" spans="3:17" ht="20.100000000000001" customHeight="1" x14ac:dyDescent="0.25">
      <c r="D59" s="8" t="str">
        <v>Feed for pigs</v>
      </c>
      <c r="E59" s="69">
        <v>100</v>
      </c>
      <c r="F59" s="68" t="s">
        <v>353</v>
      </c>
    </row>
    <row r="60" spans="3:17" ht="20.100000000000001" customHeight="1" x14ac:dyDescent="0.25">
      <c r="D60" s="7"/>
      <c r="E60" s="7"/>
      <c r="F60" s="7"/>
    </row>
    <row r="61" spans="3:17" ht="20.100000000000001" customHeight="1" x14ac:dyDescent="0.25">
      <c r="D61" s="148" t="s">
        <v>625</v>
      </c>
      <c r="E61" s="7"/>
      <c r="F61" s="7"/>
    </row>
    <row r="62" spans="3:17" ht="20.100000000000001" customHeight="1" x14ac:dyDescent="0.25">
      <c r="D62" s="49" t="s">
        <v>295</v>
      </c>
      <c r="E62" s="49" t="s">
        <v>296</v>
      </c>
      <c r="F62" s="49" t="s">
        <v>210</v>
      </c>
      <c r="G62" s="49" t="s">
        <v>394</v>
      </c>
      <c r="H62" s="49" t="s">
        <v>175</v>
      </c>
      <c r="I62" s="49" t="s">
        <v>297</v>
      </c>
      <c r="J62" s="49" t="s">
        <v>399</v>
      </c>
      <c r="K62" s="49" t="s">
        <v>177</v>
      </c>
      <c r="L62" s="49" t="s">
        <v>298</v>
      </c>
      <c r="M62" s="49" t="s">
        <v>400</v>
      </c>
      <c r="N62" s="49" t="s">
        <v>179</v>
      </c>
      <c r="O62" s="49" t="s">
        <v>299</v>
      </c>
      <c r="P62" s="49" t="s">
        <v>401</v>
      </c>
      <c r="Q62" s="49" t="s">
        <v>181</v>
      </c>
    </row>
    <row r="63" spans="3:17" ht="20.100000000000001" customHeight="1" x14ac:dyDescent="0.25">
      <c r="D63" s="15"/>
      <c r="E63" s="150">
        <v>1200</v>
      </c>
      <c r="F63" s="48" t="s">
        <v>855</v>
      </c>
      <c r="G63" s="48" t="s">
        <v>396</v>
      </c>
      <c r="H63" s="51">
        <v>0.35</v>
      </c>
      <c r="I63" s="48" t="s">
        <v>391</v>
      </c>
      <c r="J63" s="48" t="s">
        <v>396</v>
      </c>
      <c r="K63" s="51">
        <v>0.22</v>
      </c>
      <c r="L63" s="48" t="s">
        <v>300</v>
      </c>
      <c r="M63" s="48" t="s">
        <v>337</v>
      </c>
      <c r="N63" s="51">
        <v>0.12</v>
      </c>
      <c r="O63" s="48" t="s">
        <v>402</v>
      </c>
      <c r="P63" s="48" t="s">
        <v>339</v>
      </c>
      <c r="Q63" s="51">
        <v>0.05</v>
      </c>
    </row>
    <row r="64" spans="3:17" ht="20.100000000000001" customHeight="1" x14ac:dyDescent="0.25">
      <c r="D64" s="15"/>
      <c r="E64" s="150">
        <v>3456</v>
      </c>
      <c r="F64" s="48" t="s">
        <v>397</v>
      </c>
      <c r="G64" s="48" t="s">
        <v>345</v>
      </c>
      <c r="H64" s="51">
        <v>0.2</v>
      </c>
      <c r="I64" s="48" t="s">
        <v>397</v>
      </c>
      <c r="J64" s="48" t="s">
        <v>338</v>
      </c>
      <c r="K64" s="51">
        <v>0.2</v>
      </c>
      <c r="L64" s="48"/>
      <c r="M64" s="48"/>
      <c r="N64" s="51"/>
      <c r="O64" s="48"/>
      <c r="P64" s="48"/>
      <c r="Q64" s="51"/>
    </row>
    <row r="65" spans="4:17" ht="20.100000000000001" customHeight="1" x14ac:dyDescent="0.25">
      <c r="D65" s="15" t="s">
        <v>301</v>
      </c>
      <c r="E65" s="150">
        <v>300</v>
      </c>
      <c r="F65" s="48" t="s">
        <v>395</v>
      </c>
      <c r="G65" s="48" t="s">
        <v>344</v>
      </c>
      <c r="H65" s="51">
        <v>0.8</v>
      </c>
      <c r="I65" s="48" t="s">
        <v>392</v>
      </c>
      <c r="J65" s="48" t="s">
        <v>398</v>
      </c>
      <c r="K65" s="51">
        <v>0.2</v>
      </c>
      <c r="L65" s="48"/>
      <c r="M65" s="48"/>
      <c r="N65" s="51"/>
      <c r="O65" s="48"/>
      <c r="P65" s="48"/>
      <c r="Q65" s="51"/>
    </row>
    <row r="66" spans="4:17" ht="20.100000000000001" customHeight="1" x14ac:dyDescent="0.25">
      <c r="D66" s="15"/>
      <c r="E66" s="150">
        <v>500</v>
      </c>
      <c r="F66" s="48" t="s">
        <v>404</v>
      </c>
      <c r="G66" s="48" t="s">
        <v>344</v>
      </c>
      <c r="H66" s="51">
        <v>1</v>
      </c>
      <c r="I66" s="48"/>
      <c r="J66" s="48"/>
      <c r="K66" s="51"/>
      <c r="L66" s="48"/>
      <c r="M66" s="48"/>
      <c r="N66" s="51"/>
      <c r="O66" s="48"/>
      <c r="P66" s="48"/>
      <c r="Q66" s="51"/>
    </row>
    <row r="67" spans="4:17" ht="20.100000000000001" customHeight="1" x14ac:dyDescent="0.25">
      <c r="D67" s="15"/>
      <c r="E67" s="150"/>
      <c r="F67" s="48"/>
      <c r="G67" s="48"/>
      <c r="H67" s="51"/>
      <c r="I67" s="48"/>
      <c r="J67" s="48"/>
      <c r="K67" s="51"/>
      <c r="L67" s="48"/>
      <c r="M67" s="48"/>
      <c r="N67" s="51"/>
      <c r="O67" s="48"/>
      <c r="P67" s="48"/>
      <c r="Q67" s="51"/>
    </row>
    <row r="68" spans="4:17" ht="20.100000000000001" customHeight="1" x14ac:dyDescent="0.25">
      <c r="D68" s="15"/>
      <c r="E68" s="150"/>
      <c r="F68" s="48"/>
      <c r="G68" s="48"/>
      <c r="H68" s="51"/>
      <c r="I68" s="48"/>
      <c r="J68" s="48"/>
      <c r="K68" s="51"/>
      <c r="L68" s="48"/>
      <c r="M68" s="48"/>
      <c r="N68" s="51"/>
      <c r="O68" s="48"/>
      <c r="P68" s="48"/>
      <c r="Q68" s="51"/>
    </row>
    <row r="69" spans="4:17" ht="20.100000000000001" customHeight="1" x14ac:dyDescent="0.25">
      <c r="D69" s="15"/>
      <c r="E69" s="150"/>
      <c r="F69" s="48"/>
      <c r="G69" s="48"/>
      <c r="H69" s="51"/>
      <c r="I69" s="48"/>
      <c r="J69" s="48"/>
      <c r="K69" s="51"/>
      <c r="L69" s="48"/>
      <c r="M69" s="48"/>
      <c r="N69" s="51"/>
      <c r="O69" s="48"/>
      <c r="P69" s="48"/>
      <c r="Q69" s="51"/>
    </row>
    <row r="70" spans="4:17" ht="20.100000000000001" customHeight="1" x14ac:dyDescent="0.25">
      <c r="D70" s="15"/>
      <c r="E70" s="150"/>
      <c r="F70" s="48"/>
      <c r="G70" s="48"/>
      <c r="H70" s="51"/>
      <c r="I70" s="48"/>
      <c r="J70" s="48"/>
      <c r="K70" s="51"/>
      <c r="L70" s="48"/>
      <c r="M70" s="48"/>
      <c r="N70" s="51"/>
      <c r="O70" s="48"/>
      <c r="P70" s="48"/>
      <c r="Q70" s="51"/>
    </row>
    <row r="71" spans="4:17" ht="20.100000000000001" customHeight="1" x14ac:dyDescent="0.25">
      <c r="D71" s="15"/>
      <c r="E71" s="150"/>
      <c r="F71" s="48"/>
      <c r="G71" s="48"/>
      <c r="H71" s="51"/>
      <c r="I71" s="48"/>
      <c r="J71" s="48"/>
      <c r="K71" s="51"/>
      <c r="L71" s="48"/>
      <c r="M71" s="48"/>
      <c r="N71" s="51"/>
      <c r="O71" s="48"/>
      <c r="P71" s="48"/>
      <c r="Q71" s="51"/>
    </row>
    <row r="72" spans="4:17" ht="20.100000000000001" customHeight="1" x14ac:dyDescent="0.25">
      <c r="D72" s="15"/>
      <c r="E72" s="150"/>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613</v>
      </c>
    </row>
    <row r="76" spans="4:17" ht="20.100000000000001" customHeight="1" x14ac:dyDescent="0.25">
      <c r="D76" s="12"/>
    </row>
    <row r="77" spans="4:17" ht="20.100000000000001" customHeight="1" x14ac:dyDescent="0.25">
      <c r="D77" s="168" t="s">
        <v>614</v>
      </c>
      <c r="E77" s="168" t="s">
        <v>624</v>
      </c>
      <c r="F77" s="168" t="s">
        <v>619</v>
      </c>
      <c r="G77" s="168" t="s">
        <v>126</v>
      </c>
    </row>
    <row r="78" spans="4:17" ht="20.100000000000001" customHeight="1" x14ac:dyDescent="0.25">
      <c r="D78" s="85" t="s">
        <v>615</v>
      </c>
      <c r="E78" s="85" t="s">
        <v>616</v>
      </c>
      <c r="F78" s="69">
        <v>10000</v>
      </c>
      <c r="G78" s="48" t="s">
        <v>621</v>
      </c>
    </row>
    <row r="79" spans="4:17" ht="20.100000000000001" customHeight="1" x14ac:dyDescent="0.25">
      <c r="D79" s="85" t="s">
        <v>617</v>
      </c>
      <c r="E79" s="85" t="s">
        <v>623</v>
      </c>
      <c r="F79" s="69">
        <v>1000</v>
      </c>
      <c r="G79" s="48" t="s">
        <v>622</v>
      </c>
    </row>
    <row r="80" spans="4:17" ht="20.100000000000001" customHeight="1" x14ac:dyDescent="0.25">
      <c r="D80" s="85"/>
      <c r="E80" s="85"/>
      <c r="F80" s="69"/>
      <c r="G80" s="48"/>
    </row>
    <row r="81" spans="4:10" ht="20.100000000000001" customHeight="1" x14ac:dyDescent="0.25">
      <c r="D81" s="85"/>
      <c r="E81" s="85"/>
      <c r="F81" s="69"/>
      <c r="G81" s="48"/>
    </row>
    <row r="82" spans="4:10" ht="20.100000000000001" customHeight="1" x14ac:dyDescent="0.25">
      <c r="D82" s="85"/>
      <c r="E82" s="85"/>
      <c r="F82" s="69"/>
      <c r="G82" s="48"/>
    </row>
    <row r="83" spans="4:10" ht="20.100000000000001" customHeight="1" x14ac:dyDescent="0.25">
      <c r="D83" s="85"/>
      <c r="E83" s="85"/>
      <c r="F83" s="69"/>
      <c r="G83" s="48"/>
    </row>
    <row r="84" spans="4:10" ht="20.100000000000001" customHeight="1" x14ac:dyDescent="0.25">
      <c r="D84" s="85"/>
      <c r="E84" s="85"/>
      <c r="F84" s="69"/>
      <c r="G84" s="48"/>
    </row>
    <row r="85" spans="4:10" ht="20.100000000000001" customHeight="1" x14ac:dyDescent="0.25">
      <c r="D85" s="85"/>
      <c r="E85" s="85"/>
      <c r="F85" s="69"/>
      <c r="G85" s="48"/>
    </row>
    <row r="86" spans="4:10" ht="20.100000000000001" customHeight="1" x14ac:dyDescent="0.25">
      <c r="D86" s="85"/>
      <c r="E86" s="85"/>
      <c r="F86" s="69"/>
      <c r="G86" s="48"/>
    </row>
    <row r="87" spans="4:10" ht="20.100000000000001" customHeight="1" x14ac:dyDescent="0.25">
      <c r="D87" s="85"/>
      <c r="E87" s="85"/>
      <c r="F87" s="69"/>
      <c r="G87" s="48"/>
    </row>
    <row r="88" spans="4:10" ht="20.100000000000001" customHeight="1" x14ac:dyDescent="0.25"/>
    <row r="89" spans="4:10" ht="20.100000000000001" customHeight="1" x14ac:dyDescent="0.25"/>
    <row r="90" spans="4:10" ht="20.100000000000001" customHeight="1" x14ac:dyDescent="0.25">
      <c r="D90" s="9" t="s">
        <v>370</v>
      </c>
    </row>
    <row r="91" spans="4:10" ht="20.100000000000001" customHeight="1" x14ac:dyDescent="0.25"/>
    <row r="92" spans="4:10" ht="20.100000000000001" customHeight="1" x14ac:dyDescent="0.25">
      <c r="D92" s="94" t="s">
        <v>288</v>
      </c>
      <c r="E92" s="94" t="s">
        <v>289</v>
      </c>
      <c r="F92" s="94" t="s">
        <v>411</v>
      </c>
      <c r="G92" s="94" t="s">
        <v>412</v>
      </c>
      <c r="H92" s="94" t="s">
        <v>608</v>
      </c>
      <c r="J92" s="7"/>
    </row>
    <row r="93" spans="4:10" ht="20.100000000000001" customHeight="1" x14ac:dyDescent="0.25">
      <c r="D93" s="147" t="s">
        <v>413</v>
      </c>
      <c r="E93" s="69">
        <v>100000</v>
      </c>
      <c r="F93" s="48" t="s">
        <v>414</v>
      </c>
      <c r="G93" s="69">
        <v>0.02</v>
      </c>
      <c r="H93" s="50">
        <f>Table_Input_Packaging[[#This Row],[Quantity purchased]]*Table_Input_Packaging[[#This Row],[Weight per unit (kg)]]</f>
        <v>2000</v>
      </c>
      <c r="J93" s="7"/>
    </row>
    <row r="94" spans="4:10" ht="20.100000000000001" customHeight="1" x14ac:dyDescent="0.25">
      <c r="D94" s="147"/>
      <c r="E94" s="169"/>
      <c r="F94" s="48"/>
      <c r="G94" s="69"/>
      <c r="H94" s="50">
        <f>Table_Input_Packaging[[#This Row],[Quantity purchased]]*Table_Input_Packaging[[#This Row],[Weight per unit (kg)]]</f>
        <v>0</v>
      </c>
      <c r="J94" s="7"/>
    </row>
    <row r="95" spans="4:10" ht="20.100000000000001" customHeight="1" x14ac:dyDescent="0.25">
      <c r="D95" s="147"/>
      <c r="E95" s="169"/>
      <c r="F95" s="48"/>
      <c r="G95" s="69"/>
      <c r="H95" s="50">
        <f>Table_Input_Packaging[[#This Row],[Quantity purchased]]*Table_Input_Packaging[[#This Row],[Weight per unit (kg)]]</f>
        <v>0</v>
      </c>
      <c r="J95" s="7"/>
    </row>
    <row r="96" spans="4:10" ht="20.100000000000001" customHeight="1" x14ac:dyDescent="0.25">
      <c r="D96" s="147"/>
      <c r="E96" s="169"/>
      <c r="F96" s="48"/>
      <c r="G96" s="69"/>
      <c r="H96" s="50">
        <f>Table_Input_Packaging[[#This Row],[Quantity purchased]]*Table_Input_Packaging[[#This Row],[Weight per unit (kg)]]</f>
        <v>0</v>
      </c>
      <c r="J96" s="7"/>
    </row>
    <row r="97" spans="4:10" ht="20.100000000000001" customHeight="1" x14ac:dyDescent="0.25">
      <c r="D97" s="147"/>
      <c r="E97" s="169"/>
      <c r="F97" s="48"/>
      <c r="G97" s="69"/>
      <c r="H97" s="50">
        <f>Table_Input_Packaging[[#This Row],[Quantity purchased]]*Table_Input_Packaging[[#This Row],[Weight per unit (kg)]]</f>
        <v>0</v>
      </c>
      <c r="J97" s="9"/>
    </row>
    <row r="98" spans="4:10" ht="20.100000000000001" customHeight="1" x14ac:dyDescent="0.25">
      <c r="D98" s="147"/>
      <c r="E98" s="169"/>
      <c r="F98" s="48"/>
      <c r="G98" s="69"/>
      <c r="H98" s="50">
        <f>Table_Input_Packaging[[#This Row],[Quantity purchased]]*Table_Input_Packaging[[#This Row],[Weight per unit (kg)]]</f>
        <v>0</v>
      </c>
      <c r="J98" s="8"/>
    </row>
    <row r="99" spans="4:10" ht="20.100000000000001" customHeight="1" x14ac:dyDescent="0.25">
      <c r="D99" s="147"/>
      <c r="E99" s="169"/>
      <c r="F99" s="48"/>
      <c r="G99" s="69"/>
      <c r="H99" s="50">
        <f>Table_Input_Packaging[[#This Row],[Quantity purchased]]*Table_Input_Packaging[[#This Row],[Weight per unit (kg)]]</f>
        <v>0</v>
      </c>
      <c r="J99" s="8"/>
    </row>
    <row r="100" spans="4:10" ht="20.100000000000001" customHeight="1" x14ac:dyDescent="0.25">
      <c r="D100" s="147"/>
      <c r="E100" s="169"/>
      <c r="F100" s="48"/>
      <c r="G100" s="69"/>
      <c r="H100" s="50">
        <f>Table_Input_Packaging[[#This Row],[Quantity purchased]]*Table_Input_Packaging[[#This Row],[Weight per unit (kg)]]</f>
        <v>0</v>
      </c>
      <c r="J100" s="8"/>
    </row>
    <row r="101" spans="4:10" ht="20.100000000000001" customHeight="1" x14ac:dyDescent="0.25">
      <c r="D101" s="147"/>
      <c r="E101" s="169"/>
      <c r="F101" s="48"/>
      <c r="G101" s="69"/>
      <c r="H101" s="50">
        <f>Table_Input_Packaging[[#This Row],[Quantity purchased]]*Table_Input_Packaging[[#This Row],[Weight per unit (kg)]]</f>
        <v>0</v>
      </c>
      <c r="J101" s="8"/>
    </row>
    <row r="102" spans="4:10" ht="20.100000000000001" customHeight="1" x14ac:dyDescent="0.25">
      <c r="D102" s="147"/>
      <c r="E102" s="169"/>
      <c r="F102" s="48"/>
      <c r="G102" s="69"/>
      <c r="H102" s="50">
        <f>Table_Input_Packaging[[#This Row],[Quantity purchased]]*Table_Input_Packaging[[#This Row],[Weight per unit (kg)]]</f>
        <v>0</v>
      </c>
      <c r="J102" s="8"/>
    </row>
    <row r="103" spans="4:10" ht="20.100000000000001" customHeight="1" x14ac:dyDescent="0.25"/>
    <row r="104" spans="4:10" ht="20.100000000000001" customHeight="1" x14ac:dyDescent="0.25"/>
    <row r="105" spans="4:10" ht="20.100000000000001" customHeight="1" x14ac:dyDescent="0.25">
      <c r="D105" s="9" t="s">
        <v>704</v>
      </c>
    </row>
    <row r="106" spans="4:10" ht="20.100000000000001" customHeight="1" x14ac:dyDescent="0.25">
      <c r="D106" s="12"/>
    </row>
    <row r="107" spans="4:10" ht="20.100000000000001" customHeight="1" x14ac:dyDescent="0.25">
      <c r="D107" s="168" t="s">
        <v>705</v>
      </c>
      <c r="E107" s="168" t="s">
        <v>619</v>
      </c>
      <c r="F107" s="168" t="s">
        <v>126</v>
      </c>
      <c r="J107" s="8"/>
    </row>
    <row r="108" spans="4:10" ht="20.100000000000001" customHeight="1" x14ac:dyDescent="0.25">
      <c r="D108" s="85" t="s">
        <v>707</v>
      </c>
      <c r="E108" s="69">
        <v>10000</v>
      </c>
      <c r="F108" s="48" t="s">
        <v>353</v>
      </c>
      <c r="J108" s="8"/>
    </row>
    <row r="109" spans="4:10" ht="20.100000000000001" customHeight="1" x14ac:dyDescent="0.25">
      <c r="D109" s="85" t="s">
        <v>708</v>
      </c>
      <c r="E109" s="69">
        <v>100</v>
      </c>
      <c r="F109" s="48" t="s">
        <v>706</v>
      </c>
      <c r="J109" s="8"/>
    </row>
    <row r="110" spans="4:10" ht="20.100000000000001" customHeight="1" x14ac:dyDescent="0.25">
      <c r="D110" s="85" t="s">
        <v>709</v>
      </c>
      <c r="E110" s="69">
        <v>10000</v>
      </c>
      <c r="F110" s="48" t="s">
        <v>353</v>
      </c>
      <c r="J110" s="8"/>
    </row>
    <row r="111" spans="4:10" ht="20.100000000000001" customHeight="1" x14ac:dyDescent="0.25">
      <c r="D111" s="85"/>
      <c r="E111" s="69"/>
      <c r="F111" s="48"/>
      <c r="J111" s="8"/>
    </row>
    <row r="112" spans="4:10" ht="20.100000000000001" customHeight="1" x14ac:dyDescent="0.25">
      <c r="D112" s="85"/>
      <c r="E112" s="69"/>
      <c r="F112" s="48"/>
      <c r="J112" s="8"/>
    </row>
    <row r="113" spans="4:16" ht="20.100000000000001" customHeight="1" x14ac:dyDescent="0.25">
      <c r="D113" s="85"/>
      <c r="E113" s="69"/>
      <c r="F113" s="48"/>
      <c r="J113" s="8"/>
      <c r="L113" s="7"/>
      <c r="M113" s="7"/>
      <c r="N113" s="7"/>
      <c r="O113" s="7"/>
      <c r="P113" s="7"/>
    </row>
    <row r="114" spans="4:16" ht="20.100000000000001" customHeight="1" x14ac:dyDescent="0.25">
      <c r="D114" s="85"/>
      <c r="E114" s="69"/>
      <c r="F114" s="48"/>
      <c r="J114" s="8"/>
      <c r="L114" s="7"/>
      <c r="M114" s="7"/>
      <c r="N114" s="7"/>
      <c r="O114" s="7"/>
      <c r="P114" s="7"/>
    </row>
    <row r="115" spans="4:16" ht="20.100000000000001" customHeight="1" x14ac:dyDescent="0.25">
      <c r="D115" s="85"/>
      <c r="E115" s="69"/>
      <c r="F115" s="48"/>
      <c r="J115" s="8"/>
      <c r="L115" s="7"/>
      <c r="M115" s="7"/>
      <c r="N115" s="7"/>
      <c r="O115" s="7"/>
      <c r="P115" s="7"/>
    </row>
    <row r="116" spans="4:16" ht="20.100000000000001" customHeight="1" x14ac:dyDescent="0.25">
      <c r="D116" s="85"/>
      <c r="E116" s="69"/>
      <c r="F116" s="48"/>
      <c r="I116" s="7"/>
      <c r="J116" s="8"/>
      <c r="N116" s="7"/>
      <c r="O116" s="7"/>
      <c r="P116" s="7"/>
    </row>
    <row r="117" spans="4:16" ht="20.100000000000001" customHeight="1" x14ac:dyDescent="0.25">
      <c r="D117" s="85"/>
      <c r="E117" s="69"/>
      <c r="F117" s="48"/>
      <c r="I117" s="7"/>
      <c r="J117" s="8"/>
      <c r="N117" s="7"/>
      <c r="O117" s="7"/>
      <c r="P117" s="7"/>
    </row>
    <row r="118" spans="4:16" ht="20.100000000000001" customHeight="1" x14ac:dyDescent="0.25">
      <c r="J118" s="7"/>
      <c r="N118" s="9"/>
      <c r="O118" s="9"/>
      <c r="P118" s="7"/>
    </row>
    <row r="119" spans="4:16" ht="20.100000000000001" customHeight="1" x14ac:dyDescent="0.25">
      <c r="J119" s="7"/>
      <c r="P119" s="151"/>
    </row>
    <row r="120" spans="4:16" ht="20.100000000000001" customHeight="1" x14ac:dyDescent="0.25">
      <c r="D120" s="9" t="s">
        <v>417</v>
      </c>
      <c r="J120" s="7"/>
      <c r="P120" s="151"/>
    </row>
    <row r="121" spans="4:16" ht="20.100000000000001" customHeight="1" x14ac:dyDescent="0.25">
      <c r="D121" s="8" t="str">
        <f>'Constants - Scope 3'!E204</f>
        <v>Barley grain (for seed)</v>
      </c>
      <c r="E121" s="69">
        <v>500</v>
      </c>
      <c r="F121" s="68" t="s">
        <v>353</v>
      </c>
      <c r="J121" s="9"/>
      <c r="P121" s="151"/>
    </row>
    <row r="122" spans="4:16" ht="20.100000000000001" customHeight="1" x14ac:dyDescent="0.25">
      <c r="D122" s="8" t="str">
        <f>'Constants - Scope 3'!E205</f>
        <v>Maize grain (for seed)</v>
      </c>
      <c r="E122" s="69">
        <v>600</v>
      </c>
      <c r="F122" s="68" t="s">
        <v>353</v>
      </c>
      <c r="G122" s="7"/>
      <c r="H122" s="8"/>
      <c r="J122" s="8"/>
      <c r="P122" s="151"/>
    </row>
    <row r="123" spans="4:16" ht="20.100000000000001" customHeight="1" x14ac:dyDescent="0.25">
      <c r="D123" s="8" t="str">
        <f>'Constants - Scope 3'!E207</f>
        <v>Oat grain (for seed)</v>
      </c>
      <c r="E123" s="69">
        <v>700</v>
      </c>
      <c r="F123" s="68" t="s">
        <v>353</v>
      </c>
      <c r="G123" s="7"/>
      <c r="H123" s="8"/>
      <c r="J123" s="8"/>
      <c r="P123" s="151"/>
    </row>
    <row r="124" spans="4:16" ht="20.100000000000001" customHeight="1" x14ac:dyDescent="0.25">
      <c r="D124" s="8" t="str">
        <f>'Constants - Scope 3'!E208</f>
        <v>Sorghum grain (for seed)</v>
      </c>
      <c r="E124" s="69">
        <v>800</v>
      </c>
      <c r="F124" s="68" t="s">
        <v>353</v>
      </c>
      <c r="G124" s="7"/>
      <c r="H124" s="7"/>
      <c r="J124" s="8"/>
      <c r="N124" s="7"/>
      <c r="O124" s="7"/>
      <c r="P124" s="7"/>
    </row>
    <row r="125" spans="4:16" ht="20.100000000000001" customHeight="1" x14ac:dyDescent="0.25">
      <c r="D125" s="8" t="str">
        <f>'Constants - Scope 3'!E209</f>
        <v>Wheat grain (for seed)</v>
      </c>
      <c r="E125" s="69">
        <v>900</v>
      </c>
      <c r="F125" s="68" t="s">
        <v>353</v>
      </c>
      <c r="G125" s="7"/>
      <c r="H125" s="7"/>
      <c r="I125" s="7"/>
      <c r="J125" s="8"/>
      <c r="N125" s="7"/>
      <c r="O125" s="7"/>
      <c r="P125" s="7"/>
    </row>
    <row r="126" spans="4:16" ht="20.100000000000001" customHeight="1" x14ac:dyDescent="0.25">
      <c r="G126" s="7"/>
      <c r="I126" s="7"/>
      <c r="J126" s="8"/>
    </row>
    <row r="127" spans="4:16" ht="20.100000000000001" customHeight="1" x14ac:dyDescent="0.25">
      <c r="D127" s="9" t="s">
        <v>423</v>
      </c>
      <c r="G127" s="8"/>
      <c r="I127" s="7"/>
      <c r="J127" s="7"/>
    </row>
    <row r="128" spans="4:16" ht="20.100000000000001" customHeight="1" x14ac:dyDescent="0.25">
      <c r="D128" s="8" t="str">
        <f>'Constants - Scope 3'!E202</f>
        <v>Animal ear tags (large)</v>
      </c>
      <c r="E128" s="69">
        <v>100</v>
      </c>
      <c r="F128" s="68" t="s">
        <v>410</v>
      </c>
      <c r="G128" s="8"/>
      <c r="I128" s="7"/>
      <c r="J128" s="7"/>
    </row>
    <row r="129" spans="4:13" ht="20.100000000000001" customHeight="1" x14ac:dyDescent="0.25">
      <c r="D129" s="8" t="str">
        <f>'Constants - Scope 3'!E203</f>
        <v>Animal ear tags (small)</v>
      </c>
      <c r="E129" s="69">
        <v>200</v>
      </c>
      <c r="F129" s="68" t="s">
        <v>410</v>
      </c>
      <c r="G129" s="8"/>
      <c r="I129" s="7"/>
      <c r="L129" s="7"/>
      <c r="M129" s="7"/>
    </row>
    <row r="130" spans="4:13" ht="20.100000000000001" customHeight="1" x14ac:dyDescent="0.25">
      <c r="D130" s="8" t="str">
        <f>'Constants - Scope 3'!E206</f>
        <v>Nylon netting</v>
      </c>
      <c r="E130" s="69">
        <v>300</v>
      </c>
      <c r="F130" s="68" t="s">
        <v>353</v>
      </c>
      <c r="G130" s="8"/>
      <c r="I130" s="7"/>
      <c r="L130" s="7"/>
      <c r="M130" s="7"/>
    </row>
    <row r="131" spans="4:13" ht="20.100000000000001" customHeight="1" x14ac:dyDescent="0.25">
      <c r="G131" s="8"/>
      <c r="I131" s="8"/>
      <c r="L131" s="9"/>
      <c r="M131" s="9"/>
    </row>
    <row r="132" spans="4:13" ht="20.100000000000001" customHeight="1" x14ac:dyDescent="0.25">
      <c r="G132" s="7"/>
      <c r="I132" s="8"/>
    </row>
    <row r="133" spans="4:13" ht="20.100000000000001" customHeight="1" x14ac:dyDescent="0.25">
      <c r="D133" s="9" t="s">
        <v>612</v>
      </c>
      <c r="G133" s="7"/>
      <c r="I133" s="8"/>
    </row>
    <row r="134" spans="4:13" ht="20.100000000000001" customHeight="1" x14ac:dyDescent="0.25">
      <c r="D134" s="12"/>
      <c r="I134" s="8"/>
    </row>
    <row r="135" spans="4:13" ht="20.100000000000001" customHeight="1" x14ac:dyDescent="0.25">
      <c r="D135" s="47" t="s">
        <v>607</v>
      </c>
      <c r="E135" s="47" t="s">
        <v>606</v>
      </c>
      <c r="F135" s="47" t="s">
        <v>126</v>
      </c>
      <c r="I135" s="8"/>
    </row>
    <row r="136" spans="4:13" ht="20.100000000000001" customHeight="1" x14ac:dyDescent="0.25">
      <c r="D136" s="85" t="s">
        <v>710</v>
      </c>
      <c r="E136" s="69">
        <v>1000</v>
      </c>
      <c r="F136" s="85" t="s">
        <v>353</v>
      </c>
      <c r="I136" s="7"/>
    </row>
    <row r="137" spans="4:13" ht="20.100000000000001" customHeight="1" x14ac:dyDescent="0.25">
      <c r="D137" s="85"/>
      <c r="E137" s="69"/>
      <c r="F137" s="85"/>
      <c r="I137" s="7"/>
      <c r="L137" s="7"/>
      <c r="M137" s="7"/>
    </row>
    <row r="138" spans="4:13" ht="20.100000000000001" customHeight="1" x14ac:dyDescent="0.25">
      <c r="D138" s="85"/>
      <c r="E138" s="69"/>
      <c r="F138" s="85"/>
      <c r="L138" s="7"/>
      <c r="M138" s="7"/>
    </row>
    <row r="139" spans="4:13" ht="20.100000000000001" customHeight="1" x14ac:dyDescent="0.25">
      <c r="D139" s="85"/>
      <c r="E139" s="69"/>
      <c r="F139" s="85"/>
    </row>
    <row r="140" spans="4:13" ht="20.100000000000001" customHeight="1" x14ac:dyDescent="0.25">
      <c r="D140" s="85"/>
      <c r="E140" s="69"/>
      <c r="F140" s="85"/>
    </row>
    <row r="141" spans="4:13" ht="20.100000000000001" customHeight="1" x14ac:dyDescent="0.25">
      <c r="D141" s="85"/>
      <c r="E141" s="69"/>
      <c r="F141" s="85"/>
    </row>
    <row r="142" spans="4:13" ht="20.100000000000001" customHeight="1" x14ac:dyDescent="0.25">
      <c r="D142" s="85"/>
      <c r="E142" s="69"/>
      <c r="F142" s="85"/>
    </row>
    <row r="143" spans="4:13" ht="20.100000000000001" customHeight="1" x14ac:dyDescent="0.25">
      <c r="D143" s="85"/>
      <c r="E143" s="69"/>
      <c r="F143" s="85"/>
    </row>
    <row r="144" spans="4:13" ht="20.100000000000001" customHeight="1" x14ac:dyDescent="0.25">
      <c r="D144" s="85"/>
      <c r="E144" s="69"/>
      <c r="F144" s="85"/>
    </row>
    <row r="145" spans="4:6" ht="20.100000000000001" customHeight="1" x14ac:dyDescent="0.25">
      <c r="D145" s="85"/>
      <c r="E145" s="69"/>
      <c r="F145" s="85"/>
    </row>
    <row r="146" spans="4:6" ht="20.100000000000001" customHeight="1" x14ac:dyDescent="0.25"/>
    <row r="147" spans="4:6" ht="20.100000000000001" customHeight="1" x14ac:dyDescent="0.25"/>
    <row r="148" spans="4:6" ht="20.100000000000001" customHeight="1" x14ac:dyDescent="0.25"/>
    <row r="149" spans="4:6" ht="20.100000000000001" customHeight="1" x14ac:dyDescent="0.25"/>
    <row r="150" spans="4:6" ht="20.100000000000001" customHeight="1" x14ac:dyDescent="0.25"/>
    <row r="151" spans="4:6" ht="20.100000000000001" customHeight="1" x14ac:dyDescent="0.25"/>
    <row r="152" spans="4:6" ht="20.100000000000001" customHeight="1" x14ac:dyDescent="0.25"/>
    <row r="153" spans="4:6" ht="20.100000000000001" customHeight="1" x14ac:dyDescent="0.25"/>
    <row r="154" spans="4:6" ht="20.100000000000001" customHeight="1" x14ac:dyDescent="0.25"/>
    <row r="155" spans="4:6" ht="20.100000000000001" customHeight="1" x14ac:dyDescent="0.25"/>
    <row r="156" spans="4:6" ht="20.100000000000001" customHeight="1" x14ac:dyDescent="0.25"/>
    <row r="157" spans="4:6" ht="20.100000000000001" customHeight="1" x14ac:dyDescent="0.25"/>
    <row r="158" spans="4:6" ht="20.100000000000001" customHeight="1" x14ac:dyDescent="0.25"/>
    <row r="159" spans="4:6" ht="20.100000000000001" customHeight="1" x14ac:dyDescent="0.25"/>
    <row r="160" spans="4:6" ht="20.100000000000001" customHeight="1" x14ac:dyDescent="0.25"/>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K63"/>
  <sheetViews>
    <sheetView showGridLines="0" workbookViewId="0">
      <selection activeCell="F49" sqref="F49"/>
    </sheetView>
  </sheetViews>
  <sheetFormatPr defaultRowHeight="15.75" x14ac:dyDescent="0.25"/>
  <cols>
    <col min="1" max="1" width="30.625" customWidth="1"/>
    <col min="2" max="2" width="4.625" customWidth="1"/>
    <col min="3" max="3" width="4.625" style="8" customWidth="1"/>
    <col min="4" max="11" width="30.625" style="8" customWidth="1"/>
    <col min="12" max="16" width="30.625" customWidth="1"/>
  </cols>
  <sheetData>
    <row r="1" spans="1:11" ht="25.5" x14ac:dyDescent="0.35">
      <c r="A1" s="146" t="e" vm="1">
        <v>#VALUE!</v>
      </c>
      <c r="B1" s="3"/>
      <c r="C1" s="38" t="s">
        <v>838</v>
      </c>
      <c r="D1" s="38"/>
      <c r="E1" s="38"/>
      <c r="F1" s="38"/>
      <c r="G1" s="38"/>
      <c r="H1" s="38"/>
      <c r="I1" s="38"/>
      <c r="J1" s="38"/>
      <c r="K1" s="38"/>
    </row>
    <row r="2" spans="1:11" x14ac:dyDescent="0.25">
      <c r="C2" s="2"/>
      <c r="D2" s="2"/>
      <c r="E2" s="2"/>
      <c r="F2" s="2"/>
      <c r="G2" s="2"/>
      <c r="H2" s="2"/>
      <c r="I2" s="2"/>
      <c r="J2" s="2"/>
      <c r="K2" s="2"/>
    </row>
    <row r="3" spans="1:11" ht="20.25" x14ac:dyDescent="0.25">
      <c r="C3" s="39"/>
      <c r="D3" s="39"/>
      <c r="E3" s="39"/>
      <c r="F3" s="39"/>
      <c r="G3" s="39"/>
      <c r="H3" s="39"/>
      <c r="I3" s="39"/>
      <c r="J3" s="39"/>
      <c r="K3" s="39"/>
    </row>
    <row r="5" spans="1:11" ht="23.25" x14ac:dyDescent="0.25">
      <c r="D5" s="9" t="s">
        <v>431</v>
      </c>
      <c r="E5" s="14"/>
      <c r="F5" s="14"/>
      <c r="G5" s="14"/>
      <c r="H5" s="14"/>
      <c r="I5" s="14"/>
      <c r="J5" s="14"/>
    </row>
    <row r="6" spans="1:11" ht="18.75" x14ac:dyDescent="0.25">
      <c r="D6" s="148" t="s">
        <v>327</v>
      </c>
      <c r="E6" s="14"/>
      <c r="F6" s="14"/>
      <c r="G6" s="14"/>
      <c r="H6" s="14"/>
      <c r="I6" s="14"/>
      <c r="J6" s="14"/>
    </row>
    <row r="7" spans="1:11" x14ac:dyDescent="0.25">
      <c r="D7" s="10" t="s">
        <v>362</v>
      </c>
      <c r="E7" s="10" t="s">
        <v>435</v>
      </c>
      <c r="F7" s="10" t="s">
        <v>325</v>
      </c>
      <c r="G7" s="10" t="s">
        <v>432</v>
      </c>
      <c r="H7" s="10" t="s">
        <v>328</v>
      </c>
      <c r="I7" s="10" t="s">
        <v>326</v>
      </c>
      <c r="J7" s="166" t="s">
        <v>433</v>
      </c>
      <c r="K7" s="166" t="s">
        <v>434</v>
      </c>
    </row>
    <row r="8" spans="1:11" x14ac:dyDescent="0.25">
      <c r="D8" s="85" t="s">
        <v>522</v>
      </c>
      <c r="E8" s="162">
        <v>45547</v>
      </c>
      <c r="F8" s="48" t="s">
        <v>493</v>
      </c>
      <c r="G8" s="75" t="s">
        <v>336</v>
      </c>
      <c r="H8" s="48" t="s">
        <v>441</v>
      </c>
      <c r="I8" s="69">
        <v>100</v>
      </c>
      <c r="J8" s="50"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9">
        <v>205</v>
      </c>
    </row>
    <row r="9" spans="1:11" x14ac:dyDescent="0.25">
      <c r="D9" s="85"/>
      <c r="E9" s="162">
        <v>45292</v>
      </c>
      <c r="F9" s="153" t="s">
        <v>494</v>
      </c>
      <c r="G9" s="75" t="s">
        <v>335</v>
      </c>
      <c r="H9" s="48" t="s">
        <v>440</v>
      </c>
      <c r="I9" s="69">
        <v>100</v>
      </c>
      <c r="J9" s="50"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9">
        <v>465</v>
      </c>
    </row>
    <row r="10" spans="1:11" x14ac:dyDescent="0.25">
      <c r="D10" s="85"/>
      <c r="E10" s="85"/>
      <c r="F10" s="153"/>
      <c r="G10" s="75"/>
      <c r="H10" s="48"/>
      <c r="I10" s="69"/>
      <c r="J10" s="50"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9"/>
    </row>
    <row r="11" spans="1:11" x14ac:dyDescent="0.25">
      <c r="D11" s="85"/>
      <c r="E11" s="85"/>
      <c r="F11" s="153"/>
      <c r="G11" s="75"/>
      <c r="H11" s="48"/>
      <c r="I11" s="69"/>
      <c r="J11" s="50"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9"/>
    </row>
    <row r="12" spans="1:11" x14ac:dyDescent="0.25">
      <c r="D12" s="85"/>
      <c r="E12" s="85"/>
      <c r="F12" s="153"/>
      <c r="G12" s="75"/>
      <c r="H12" s="48"/>
      <c r="I12" s="69"/>
      <c r="J12" s="50"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9"/>
    </row>
    <row r="13" spans="1:11" x14ac:dyDescent="0.25">
      <c r="D13" s="85"/>
      <c r="E13" s="85"/>
      <c r="F13" s="153"/>
      <c r="G13" s="75"/>
      <c r="H13" s="48"/>
      <c r="I13" s="69"/>
      <c r="J13" s="50"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9"/>
    </row>
    <row r="14" spans="1:11" x14ac:dyDescent="0.25">
      <c r="D14" s="85"/>
      <c r="E14" s="85"/>
      <c r="F14" s="153"/>
      <c r="G14" s="75"/>
      <c r="H14" s="48"/>
      <c r="I14" s="69"/>
      <c r="J14" s="50"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9"/>
    </row>
    <row r="15" spans="1:11" x14ac:dyDescent="0.25">
      <c r="D15" s="85"/>
      <c r="E15" s="85"/>
      <c r="F15" s="153"/>
      <c r="G15" s="75"/>
      <c r="H15" s="48"/>
      <c r="I15" s="69"/>
      <c r="J15" s="50"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9"/>
    </row>
    <row r="16" spans="1:11" x14ac:dyDescent="0.25">
      <c r="D16" s="85"/>
      <c r="E16" s="85"/>
      <c r="F16" s="153"/>
      <c r="G16" s="75"/>
      <c r="H16" s="48"/>
      <c r="I16" s="69"/>
      <c r="J16" s="50"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9"/>
    </row>
    <row r="17" spans="4:11" x14ac:dyDescent="0.25">
      <c r="D17" s="85"/>
      <c r="E17" s="85"/>
      <c r="F17" s="153"/>
      <c r="G17" s="75"/>
      <c r="H17" s="48"/>
      <c r="I17" s="69"/>
      <c r="J17" s="50"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9"/>
    </row>
    <row r="18" spans="4:11" x14ac:dyDescent="0.25">
      <c r="D18" s="14"/>
      <c r="E18" s="14"/>
      <c r="F18" s="14"/>
      <c r="G18" s="14"/>
      <c r="H18" s="14"/>
      <c r="I18" s="14"/>
      <c r="J18" s="14"/>
    </row>
    <row r="19" spans="4:11" ht="18.75" x14ac:dyDescent="0.25">
      <c r="D19" s="148" t="s">
        <v>343</v>
      </c>
      <c r="E19" s="14"/>
      <c r="F19" s="14"/>
      <c r="G19" s="14"/>
      <c r="H19" s="14"/>
      <c r="I19" s="14"/>
      <c r="J19" s="14"/>
    </row>
    <row r="20" spans="4:11" x14ac:dyDescent="0.25">
      <c r="D20" s="166" t="s">
        <v>362</v>
      </c>
      <c r="E20" s="166" t="s">
        <v>325</v>
      </c>
      <c r="F20" s="166" t="s">
        <v>524</v>
      </c>
      <c r="G20" s="166" t="s">
        <v>326</v>
      </c>
      <c r="H20" s="166" t="s">
        <v>433</v>
      </c>
      <c r="I20" s="166" t="s">
        <v>434</v>
      </c>
      <c r="J20" s="14"/>
    </row>
    <row r="21" spans="4:11" x14ac:dyDescent="0.25">
      <c r="D21" s="85" t="s">
        <v>523</v>
      </c>
      <c r="E21" s="48" t="s">
        <v>521</v>
      </c>
      <c r="F21" s="48" t="s">
        <v>853</v>
      </c>
      <c r="G21" s="69">
        <v>100</v>
      </c>
      <c r="H21" s="50" cm="1">
        <f t="array" ref="H2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21" s="69">
        <v>350</v>
      </c>
      <c r="J21" s="14"/>
    </row>
    <row r="22" spans="4:11" x14ac:dyDescent="0.25">
      <c r="D22" s="85"/>
      <c r="E22" s="153" t="s">
        <v>520</v>
      </c>
      <c r="F22" s="48" t="s">
        <v>854</v>
      </c>
      <c r="G22" s="69">
        <v>100</v>
      </c>
      <c r="H22" s="50" cm="1">
        <f t="array" ref="H2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22" s="69">
        <v>625</v>
      </c>
      <c r="J22" s="14"/>
    </row>
    <row r="23" spans="4:11" x14ac:dyDescent="0.25">
      <c r="D23" s="85"/>
      <c r="E23" s="153" t="s">
        <v>529</v>
      </c>
      <c r="F23" s="48" t="s">
        <v>853</v>
      </c>
      <c r="G23" s="69"/>
      <c r="H23" s="50" cm="1">
        <f t="array" ref="H2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23" s="69"/>
      <c r="J23" s="14"/>
    </row>
    <row r="24" spans="4:11" x14ac:dyDescent="0.25">
      <c r="D24" s="85"/>
      <c r="E24" s="153"/>
      <c r="F24" s="48"/>
      <c r="G24" s="69"/>
      <c r="H24" s="50" cm="1">
        <f t="array" ref="H2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4" s="69"/>
      <c r="J24" s="14"/>
    </row>
    <row r="25" spans="4:11" x14ac:dyDescent="0.25">
      <c r="D25" s="85"/>
      <c r="E25" s="153"/>
      <c r="F25" s="48"/>
      <c r="G25" s="69"/>
      <c r="H25" s="50" cm="1">
        <f t="array" ref="H2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5" s="69"/>
      <c r="J25" s="14"/>
    </row>
    <row r="26" spans="4:11" x14ac:dyDescent="0.25">
      <c r="D26" s="85"/>
      <c r="E26" s="153"/>
      <c r="F26" s="48"/>
      <c r="G26" s="69"/>
      <c r="H26" s="50" cm="1">
        <f t="array" ref="H2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6" s="69"/>
      <c r="J26" s="14"/>
    </row>
    <row r="27" spans="4:11" x14ac:dyDescent="0.25">
      <c r="D27" s="85"/>
      <c r="E27" s="153"/>
      <c r="F27" s="48"/>
      <c r="G27" s="69"/>
      <c r="H27" s="50" cm="1">
        <f t="array" ref="H2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7" s="69"/>
      <c r="J27" s="14"/>
    </row>
    <row r="28" spans="4:11" x14ac:dyDescent="0.25">
      <c r="D28" s="85"/>
      <c r="E28" s="153"/>
      <c r="F28" s="48"/>
      <c r="G28" s="69"/>
      <c r="H28" s="50" cm="1">
        <f t="array" ref="H2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8" s="69"/>
      <c r="J28" s="14"/>
    </row>
    <row r="29" spans="4:11" x14ac:dyDescent="0.25">
      <c r="D29" s="85"/>
      <c r="E29" s="153"/>
      <c r="F29" s="48"/>
      <c r="G29" s="69"/>
      <c r="H29" s="50" cm="1">
        <f t="array" ref="H2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9" s="69"/>
      <c r="J29" s="14"/>
    </row>
    <row r="30" spans="4:11" x14ac:dyDescent="0.25">
      <c r="D30" s="85"/>
      <c r="E30" s="153"/>
      <c r="F30" s="48"/>
      <c r="G30" s="69"/>
      <c r="H30" s="50" cm="1">
        <f t="array" ref="H3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30" s="69"/>
      <c r="J30" s="14"/>
    </row>
    <row r="31" spans="4:11" x14ac:dyDescent="0.25">
      <c r="D31" s="14"/>
      <c r="E31" s="14"/>
      <c r="F31" s="14"/>
      <c r="G31" s="14"/>
      <c r="H31" s="14"/>
      <c r="I31" s="14"/>
      <c r="J31" s="14"/>
    </row>
    <row r="32" spans="4:11" ht="18.75" x14ac:dyDescent="0.25">
      <c r="D32" s="148" t="s">
        <v>548</v>
      </c>
      <c r="E32" s="14"/>
      <c r="F32" s="14"/>
      <c r="G32" s="14"/>
      <c r="H32" s="14"/>
      <c r="I32" s="14"/>
      <c r="J32" s="14"/>
    </row>
    <row r="33" spans="4:10" x14ac:dyDescent="0.25">
      <c r="D33" s="166" t="s">
        <v>362</v>
      </c>
      <c r="E33" s="166" t="s">
        <v>325</v>
      </c>
      <c r="F33" s="166" t="s">
        <v>326</v>
      </c>
      <c r="G33" s="166" t="s">
        <v>433</v>
      </c>
      <c r="H33" s="166" t="s">
        <v>434</v>
      </c>
      <c r="I33" s="14"/>
      <c r="J33" s="14"/>
    </row>
    <row r="34" spans="4:10" x14ac:dyDescent="0.25">
      <c r="D34" s="85" t="s">
        <v>570</v>
      </c>
      <c r="E34" s="48" t="s">
        <v>571</v>
      </c>
      <c r="F34" s="69">
        <v>100</v>
      </c>
      <c r="G34" s="50" cm="1">
        <f t="array" ref="G34">Common_InputFunctions.Utility_LookupValueInTableNumber(Table_Input_LivestockPurchases_Pigs[[#This Row],[Class (select)]], Table_SourceData_Swine_Liveweight[Livestock type j],Table_SourceData_Swine_Liveweight[Average liveweight (kg)])</f>
        <v>188</v>
      </c>
      <c r="H34" s="69">
        <v>180</v>
      </c>
      <c r="I34" s="14"/>
      <c r="J34" s="14"/>
    </row>
    <row r="35" spans="4:10" x14ac:dyDescent="0.25">
      <c r="D35" s="85" t="s">
        <v>573</v>
      </c>
      <c r="E35" s="153" t="s">
        <v>572</v>
      </c>
      <c r="F35" s="69">
        <v>100</v>
      </c>
      <c r="G35" s="50" cm="1">
        <f t="array" ref="G35">Common_InputFunctions.Utility_LookupValueInTableNumber(Table_Input_LivestockPurchases_Pigs[[#This Row],[Class (select)]], Table_SourceData_Swine_Liveweight[Livestock type j],Table_SourceData_Swine_Liveweight[Average liveweight (kg)])</f>
        <v>39</v>
      </c>
      <c r="H35" s="69">
        <v>38</v>
      </c>
      <c r="I35" s="14"/>
      <c r="J35" s="14"/>
    </row>
    <row r="36" spans="4:10" x14ac:dyDescent="0.25">
      <c r="D36" s="85"/>
      <c r="E36" s="153"/>
      <c r="F36" s="69"/>
      <c r="G36" s="50" cm="1">
        <f t="array" ref="G36">Common_InputFunctions.Utility_LookupValueInTableNumber(Table_Input_LivestockPurchases_Pigs[[#This Row],[Class (select)]], Table_SourceData_Swine_Liveweight[Livestock type j],Table_SourceData_Swine_Liveweight[Average liveweight (kg)])</f>
        <v>0</v>
      </c>
      <c r="H36" s="69"/>
      <c r="I36" s="14"/>
      <c r="J36" s="14"/>
    </row>
    <row r="37" spans="4:10" x14ac:dyDescent="0.25">
      <c r="D37" s="85"/>
      <c r="E37" s="153"/>
      <c r="F37" s="69"/>
      <c r="G37" s="50" cm="1">
        <f t="array" ref="G37">Common_InputFunctions.Utility_LookupValueInTableNumber(Table_Input_LivestockPurchases_Pigs[[#This Row],[Class (select)]], Table_SourceData_Swine_Liveweight[Livestock type j],Table_SourceData_Swine_Liveweight[Average liveweight (kg)])</f>
        <v>0</v>
      </c>
      <c r="H37" s="69"/>
      <c r="I37" s="14"/>
      <c r="J37" s="14"/>
    </row>
    <row r="38" spans="4:10" x14ac:dyDescent="0.25">
      <c r="D38" s="85"/>
      <c r="E38" s="153"/>
      <c r="F38" s="69"/>
      <c r="G38" s="50" cm="1">
        <f t="array" ref="G38">Common_InputFunctions.Utility_LookupValueInTableNumber(Table_Input_LivestockPurchases_Pigs[[#This Row],[Class (select)]], Table_SourceData_Swine_Liveweight[Livestock type j],Table_SourceData_Swine_Liveweight[Average liveweight (kg)])</f>
        <v>0</v>
      </c>
      <c r="H38" s="69"/>
      <c r="I38" s="14"/>
      <c r="J38" s="14"/>
    </row>
    <row r="39" spans="4:10" x14ac:dyDescent="0.25">
      <c r="D39" s="85"/>
      <c r="E39" s="153"/>
      <c r="F39" s="69"/>
      <c r="G39" s="50" cm="1">
        <f t="array" ref="G39">Common_InputFunctions.Utility_LookupValueInTableNumber(Table_Input_LivestockPurchases_Pigs[[#This Row],[Class (select)]], Table_SourceData_Swine_Liveweight[Livestock type j],Table_SourceData_Swine_Liveweight[Average liveweight (kg)])</f>
        <v>0</v>
      </c>
      <c r="H39" s="69"/>
      <c r="I39" s="14"/>
      <c r="J39" s="14"/>
    </row>
    <row r="40" spans="4:10" x14ac:dyDescent="0.25">
      <c r="D40" s="85"/>
      <c r="E40" s="153"/>
      <c r="F40" s="69"/>
      <c r="G40" s="50" cm="1">
        <f t="array" ref="G40">Common_InputFunctions.Utility_LookupValueInTableNumber(Table_Input_LivestockPurchases_Pigs[[#This Row],[Class (select)]], Table_SourceData_Swine_Liveweight[Livestock type j],Table_SourceData_Swine_Liveweight[Average liveweight (kg)])</f>
        <v>0</v>
      </c>
      <c r="H40" s="69"/>
      <c r="I40" s="14"/>
      <c r="J40" s="14"/>
    </row>
    <row r="41" spans="4:10" x14ac:dyDescent="0.25">
      <c r="D41" s="85"/>
      <c r="E41" s="153"/>
      <c r="F41" s="69"/>
      <c r="G41" s="50" cm="1">
        <f t="array" ref="G41">Common_InputFunctions.Utility_LookupValueInTableNumber(Table_Input_LivestockPurchases_Pigs[[#This Row],[Class (select)]], Table_SourceData_Swine_Liveweight[Livestock type j],Table_SourceData_Swine_Liveweight[Average liveweight (kg)])</f>
        <v>0</v>
      </c>
      <c r="H41" s="69"/>
      <c r="I41" s="14"/>
      <c r="J41" s="14"/>
    </row>
    <row r="42" spans="4:10" x14ac:dyDescent="0.25">
      <c r="D42" s="85"/>
      <c r="E42" s="153"/>
      <c r="F42" s="69"/>
      <c r="G42" s="50" cm="1">
        <f t="array" ref="G42">Common_InputFunctions.Utility_LookupValueInTableNumber(Table_Input_LivestockPurchases_Pigs[[#This Row],[Class (select)]], Table_SourceData_Swine_Liveweight[Livestock type j],Table_SourceData_Swine_Liveweight[Average liveweight (kg)])</f>
        <v>0</v>
      </c>
      <c r="H42" s="69"/>
      <c r="I42" s="14"/>
      <c r="J42" s="14"/>
    </row>
    <row r="43" spans="4:10" x14ac:dyDescent="0.25">
      <c r="D43" s="85"/>
      <c r="E43" s="153"/>
      <c r="F43" s="69"/>
      <c r="G43" s="50" cm="1">
        <f t="array" ref="G43">Common_InputFunctions.Utility_LookupValueInTableNumber(Table_Input_LivestockPurchases_Pigs[[#This Row],[Class (select)]], Table_SourceData_Swine_Liveweight[Livestock type j],Table_SourceData_Swine_Liveweight[Average liveweight (kg)])</f>
        <v>0</v>
      </c>
      <c r="H43" s="69"/>
      <c r="I43" s="14"/>
      <c r="J43" s="14"/>
    </row>
    <row r="44" spans="4:10" x14ac:dyDescent="0.25">
      <c r="D44" s="14"/>
      <c r="E44" s="14"/>
      <c r="F44" s="14"/>
      <c r="G44" s="14"/>
      <c r="H44" s="14"/>
      <c r="I44" s="14"/>
      <c r="J44" s="14"/>
    </row>
    <row r="45" spans="4:10" ht="18.75" x14ac:dyDescent="0.25">
      <c r="D45" s="148" t="s">
        <v>575</v>
      </c>
      <c r="E45" s="14"/>
      <c r="F45" s="14"/>
      <c r="G45" s="14"/>
      <c r="H45" s="14"/>
      <c r="I45" s="14"/>
      <c r="J45" s="14"/>
    </row>
    <row r="46" spans="4:10" x14ac:dyDescent="0.25">
      <c r="D46" s="166" t="s">
        <v>362</v>
      </c>
      <c r="E46" s="166" t="s">
        <v>325</v>
      </c>
      <c r="F46" s="166" t="s">
        <v>326</v>
      </c>
      <c r="G46" s="166" t="s">
        <v>433</v>
      </c>
      <c r="H46" s="166" t="s">
        <v>434</v>
      </c>
      <c r="I46" s="14"/>
      <c r="J46" s="14"/>
    </row>
    <row r="47" spans="4:10" x14ac:dyDescent="0.25">
      <c r="D47" s="85" t="s">
        <v>576</v>
      </c>
      <c r="E47" s="48" t="s">
        <v>604</v>
      </c>
      <c r="F47" s="69">
        <v>100</v>
      </c>
      <c r="G47" s="50" cm="1">
        <f t="array" ref="G47">Common_InputFunctions.Utility_LookupValueInTableNumber(Table_Input_LivestockPurchases_Poultry[[#This Row],[Class (select)]], Table_SourceData_Poultry_Liveweights[Livestock class j],Table_SourceData_Poultry_Liveweights[Average liveweight (kg)])</f>
        <v>1.3</v>
      </c>
      <c r="H47" s="69">
        <v>1.3</v>
      </c>
      <c r="I47" s="14"/>
      <c r="J47" s="14"/>
    </row>
    <row r="48" spans="4:10" x14ac:dyDescent="0.25">
      <c r="D48" s="85" t="s">
        <v>577</v>
      </c>
      <c r="E48" s="153" t="s">
        <v>605</v>
      </c>
      <c r="F48" s="69">
        <v>100</v>
      </c>
      <c r="G48" s="50" cm="1">
        <f t="array" ref="G48">Common_InputFunctions.Utility_LookupValueInTableNumber(Table_Input_LivestockPurchases_Poultry[[#This Row],[Class (select)]], Table_SourceData_Poultry_Liveweights[Livestock class j],Table_SourceData_Poultry_Liveweights[Average liveweight (kg)])</f>
        <v>1.4</v>
      </c>
      <c r="H48" s="69">
        <v>1.4</v>
      </c>
      <c r="I48" s="14"/>
      <c r="J48" s="14"/>
    </row>
    <row r="49" spans="4:10" x14ac:dyDescent="0.25">
      <c r="D49" s="85"/>
      <c r="E49" s="153"/>
      <c r="F49" s="69"/>
      <c r="G49" s="50" cm="1">
        <f t="array" ref="G49">Common_InputFunctions.Utility_LookupValueInTableNumber(Table_Input_LivestockPurchases_Poultry[[#This Row],[Class (select)]], Table_SourceData_Poultry_Liveweights[Livestock class j],Table_SourceData_Poultry_Liveweights[Average liveweight (kg)])</f>
        <v>0</v>
      </c>
      <c r="H49" s="69"/>
      <c r="I49" s="14"/>
      <c r="J49" s="14"/>
    </row>
    <row r="50" spans="4:10" x14ac:dyDescent="0.25">
      <c r="D50" s="85"/>
      <c r="E50" s="153"/>
      <c r="F50" s="69"/>
      <c r="G50" s="50" cm="1">
        <f t="array" ref="G50">Common_InputFunctions.Utility_LookupValueInTableNumber(Table_Input_LivestockPurchases_Poultry[[#This Row],[Class (select)]], Table_SourceData_Poultry_Liveweights[Livestock class j],Table_SourceData_Poultry_Liveweights[Average liveweight (kg)])</f>
        <v>0</v>
      </c>
      <c r="H50" s="69"/>
      <c r="I50" s="14"/>
      <c r="J50" s="14"/>
    </row>
    <row r="51" spans="4:10" x14ac:dyDescent="0.25">
      <c r="D51" s="85"/>
      <c r="E51" s="153"/>
      <c r="F51" s="69"/>
      <c r="G51" s="50" cm="1">
        <f t="array" ref="G51">Common_InputFunctions.Utility_LookupValueInTableNumber(Table_Input_LivestockPurchases_Poultry[[#This Row],[Class (select)]], Table_SourceData_Poultry_Liveweights[Livestock class j],Table_SourceData_Poultry_Liveweights[Average liveweight (kg)])</f>
        <v>0</v>
      </c>
      <c r="H51" s="69"/>
      <c r="I51" s="14"/>
      <c r="J51" s="14"/>
    </row>
    <row r="52" spans="4:10" x14ac:dyDescent="0.25">
      <c r="D52" s="85"/>
      <c r="E52" s="153"/>
      <c r="F52" s="69"/>
      <c r="G52" s="50" cm="1">
        <f t="array" ref="G52">Common_InputFunctions.Utility_LookupValueInTableNumber(Table_Input_LivestockPurchases_Poultry[[#This Row],[Class (select)]], Table_SourceData_Poultry_Liveweights[Livestock class j],Table_SourceData_Poultry_Liveweights[Average liveweight (kg)])</f>
        <v>0</v>
      </c>
      <c r="H52" s="69"/>
      <c r="I52" s="14"/>
      <c r="J52" s="14"/>
    </row>
    <row r="53" spans="4:10" x14ac:dyDescent="0.25">
      <c r="D53" s="85"/>
      <c r="E53" s="153"/>
      <c r="F53" s="69"/>
      <c r="G53" s="50" cm="1">
        <f t="array" ref="G53">Common_InputFunctions.Utility_LookupValueInTableNumber(Table_Input_LivestockPurchases_Poultry[[#This Row],[Class (select)]], Table_SourceData_Poultry_Liveweights[Livestock class j],Table_SourceData_Poultry_Liveweights[Average liveweight (kg)])</f>
        <v>0</v>
      </c>
      <c r="H53" s="69"/>
      <c r="I53" s="14"/>
      <c r="J53" s="14"/>
    </row>
    <row r="54" spans="4:10" x14ac:dyDescent="0.25">
      <c r="D54" s="85"/>
      <c r="E54" s="153"/>
      <c r="F54" s="69"/>
      <c r="G54" s="50" cm="1">
        <f t="array" ref="G54">Common_InputFunctions.Utility_LookupValueInTableNumber(Table_Input_LivestockPurchases_Poultry[[#This Row],[Class (select)]], Table_SourceData_Poultry_Liveweights[Livestock class j],Table_SourceData_Poultry_Liveweights[Average liveweight (kg)])</f>
        <v>0</v>
      </c>
      <c r="H54" s="69"/>
      <c r="I54" s="14"/>
      <c r="J54" s="14"/>
    </row>
    <row r="55" spans="4:10" x14ac:dyDescent="0.25">
      <c r="D55" s="85"/>
      <c r="E55" s="153"/>
      <c r="F55" s="69"/>
      <c r="G55" s="50" cm="1">
        <f t="array" ref="G55">Common_InputFunctions.Utility_LookupValueInTableNumber(Table_Input_LivestockPurchases_Poultry[[#This Row],[Class (select)]], Table_SourceData_Poultry_Liveweights[Livestock class j],Table_SourceData_Poultry_Liveweights[Average liveweight (kg)])</f>
        <v>0</v>
      </c>
      <c r="H55" s="69"/>
      <c r="I55" s="14"/>
      <c r="J55" s="14"/>
    </row>
    <row r="56" spans="4:10" x14ac:dyDescent="0.25">
      <c r="D56" s="85"/>
      <c r="E56" s="153"/>
      <c r="F56" s="69"/>
      <c r="G56" s="50" cm="1">
        <f t="array" ref="G56">Common_InputFunctions.Utility_LookupValueInTableNumber(Table_Input_LivestockPurchases_Poultry[[#This Row],[Class (select)]], Table_SourceData_Poultry_Liveweights[Livestock class j],Table_SourceData_Poultry_Liveweights[Average liveweight (kg)])</f>
        <v>0</v>
      </c>
      <c r="H56" s="69"/>
      <c r="I56" s="14"/>
      <c r="J56" s="14"/>
    </row>
    <row r="57" spans="4:10" x14ac:dyDescent="0.25">
      <c r="D57" s="14"/>
      <c r="E57" s="14"/>
      <c r="F57" s="14"/>
      <c r="G57" s="14"/>
      <c r="H57" s="14"/>
      <c r="I57" s="14"/>
      <c r="J57" s="14"/>
    </row>
    <row r="58" spans="4:10" ht="18.75" x14ac:dyDescent="0.25">
      <c r="D58" s="148" t="s">
        <v>618</v>
      </c>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7">
    <dataValidation type="list" allowBlank="1" showInputMessage="1" showErrorMessage="1" sqref="E47:E56" xr:uid="{EF3323C3-C624-43FE-8DC3-2DC12C1B5DDD}">
      <formula1>INDIRECT("Table_SourceData_Poultry_Liveweights[Livestock class j]")</formula1>
    </dataValidation>
    <dataValidation type="list" allowBlank="1" showInputMessage="1" showErrorMessage="1" sqref="E34:E43" xr:uid="{4ACF2D94-C615-4145-8F1B-25113D24F04E}">
      <formula1>INDIRECT("Table_SourceData_Swine_Liveweight[Livestock type j]")</formula1>
    </dataValidation>
    <dataValidation type="list" allowBlank="1" showInputMessage="1" showErrorMessage="1" sqref="E21:E30" xr:uid="{5781C060-ED70-4962-97D0-9C205A1D4D9A}">
      <formula1>INDIRECT("Table_SourceData_Dairy_WjCowsHeifers[[#Headers],[Milking cows]:[Heifers &lt; 1 (weaned)]]")</formula1>
    </dataValidation>
    <dataValidation type="list" allowBlank="1" showInputMessage="1" showErrorMessage="1" sqref="F21:F30" xr:uid="{6C01C856-27C6-4CD3-9F44-CB174DFAC047}">
      <formula1>INDIRECT("Table_SourceData_Dairy_WjCowsHeifers[Breed]")</formula1>
    </dataValidation>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4">
    <tablePart r:id="rId1"/>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839</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815</v>
      </c>
    </row>
    <row r="7" spans="3:10" ht="20.100000000000001" customHeight="1" x14ac:dyDescent="0.25"/>
    <row r="8" spans="3:10" ht="20.100000000000001" customHeight="1" x14ac:dyDescent="0.25">
      <c r="D8" s="10" t="s">
        <v>817</v>
      </c>
      <c r="E8" s="10" t="s">
        <v>820</v>
      </c>
      <c r="F8" s="10" t="s">
        <v>821</v>
      </c>
      <c r="G8" s="10" t="s">
        <v>818</v>
      </c>
      <c r="H8" s="10" t="s">
        <v>819</v>
      </c>
    </row>
    <row r="9" spans="3:10" ht="20.100000000000001" customHeight="1" x14ac:dyDescent="0.25">
      <c r="D9" s="10" t="s">
        <v>824</v>
      </c>
      <c r="E9" s="48" t="s">
        <v>822</v>
      </c>
      <c r="F9" s="10">
        <v>986</v>
      </c>
      <c r="G9" s="10">
        <v>10</v>
      </c>
      <c r="H9" s="10">
        <v>52</v>
      </c>
    </row>
    <row r="10" spans="3:10" ht="20.100000000000001" customHeight="1" x14ac:dyDescent="0.25">
      <c r="D10" s="10" t="s">
        <v>826</v>
      </c>
      <c r="E10" s="48" t="s">
        <v>827</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823</v>
      </c>
    </row>
    <row r="23" spans="4:8" ht="20.100000000000001" customHeight="1" x14ac:dyDescent="0.25"/>
    <row r="24" spans="4:8" ht="20.100000000000001" customHeight="1" x14ac:dyDescent="0.25">
      <c r="D24" s="10" t="s">
        <v>817</v>
      </c>
      <c r="E24" s="10" t="s">
        <v>820</v>
      </c>
      <c r="F24" s="10" t="s">
        <v>821</v>
      </c>
      <c r="G24" s="10" t="s">
        <v>818</v>
      </c>
      <c r="H24" s="10" t="s">
        <v>819</v>
      </c>
    </row>
    <row r="25" spans="4:8" ht="20.100000000000001" customHeight="1" x14ac:dyDescent="0.25">
      <c r="D25" s="10" t="s">
        <v>825</v>
      </c>
      <c r="E25" s="48" t="s">
        <v>822</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tabSelected="1" zoomScaleNormal="100" workbookViewId="0">
      <selection activeCell="E23" sqref="E2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5" t="s">
        <v>774</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799</v>
      </c>
    </row>
    <row r="6" spans="3:11" ht="20.100000000000001" customHeight="1" x14ac:dyDescent="0.25"/>
    <row r="7" spans="3:11" ht="20.100000000000001" customHeight="1" x14ac:dyDescent="0.25">
      <c r="D7" s="98" t="s">
        <v>121</v>
      </c>
      <c r="E7" s="99"/>
    </row>
    <row r="8" spans="3:11" ht="20.100000000000001" customHeight="1" x14ac:dyDescent="0.25"/>
    <row r="9" spans="3:11" ht="20.100000000000001" customHeight="1" x14ac:dyDescent="0.25">
      <c r="D9" s="47" t="s">
        <v>251</v>
      </c>
      <c r="E9" s="47" t="s">
        <v>787</v>
      </c>
      <c r="F9" s="47" t="s">
        <v>788</v>
      </c>
      <c r="G9" s="47" t="s">
        <v>789</v>
      </c>
      <c r="H9" s="47" t="s">
        <v>606</v>
      </c>
      <c r="I9" s="47" t="s">
        <v>790</v>
      </c>
    </row>
    <row r="10" spans="3:11" ht="20.100000000000001" customHeight="1" x14ac:dyDescent="0.25">
      <c r="D10" s="10" t="s">
        <v>791</v>
      </c>
      <c r="E10" s="48" t="s">
        <v>792</v>
      </c>
      <c r="F10" s="48" t="s">
        <v>793</v>
      </c>
      <c r="G10" s="50" t="s">
        <v>794</v>
      </c>
      <c r="H10" s="69">
        <v>50</v>
      </c>
      <c r="I10" s="48" t="s">
        <v>795</v>
      </c>
    </row>
    <row r="11" spans="3:11" ht="20.100000000000001" customHeight="1" x14ac:dyDescent="0.25">
      <c r="D11" s="10"/>
      <c r="E11" s="48" t="s">
        <v>792</v>
      </c>
      <c r="F11" s="48" t="s">
        <v>793</v>
      </c>
      <c r="G11" s="50" t="s">
        <v>794</v>
      </c>
      <c r="H11" s="69">
        <v>50</v>
      </c>
      <c r="I11" s="48" t="s">
        <v>795</v>
      </c>
    </row>
    <row r="12" spans="3:11" ht="20.100000000000001" customHeight="1" x14ac:dyDescent="0.25">
      <c r="D12" s="10"/>
      <c r="E12" s="48" t="s">
        <v>792</v>
      </c>
      <c r="F12" s="48" t="s">
        <v>793</v>
      </c>
      <c r="G12" s="50" t="s">
        <v>794</v>
      </c>
      <c r="H12" s="69">
        <v>50</v>
      </c>
      <c r="I12" s="48" t="s">
        <v>796</v>
      </c>
    </row>
    <row r="13" spans="3:11" ht="20.100000000000001" customHeight="1" x14ac:dyDescent="0.25">
      <c r="D13" s="10"/>
      <c r="E13" s="48" t="s">
        <v>792</v>
      </c>
      <c r="F13" s="48" t="s">
        <v>793</v>
      </c>
      <c r="G13" s="50" t="s">
        <v>794</v>
      </c>
      <c r="H13" s="69">
        <v>50</v>
      </c>
      <c r="I13" s="48" t="s">
        <v>796</v>
      </c>
    </row>
    <row r="14" spans="3:11" ht="20.100000000000001" customHeight="1" x14ac:dyDescent="0.25">
      <c r="D14" s="10"/>
      <c r="E14" s="48" t="s">
        <v>797</v>
      </c>
      <c r="F14" s="48" t="s">
        <v>837</v>
      </c>
      <c r="G14" s="50" t="s">
        <v>794</v>
      </c>
      <c r="H14" s="69">
        <v>50</v>
      </c>
      <c r="I14" s="48" t="s">
        <v>795</v>
      </c>
    </row>
    <row r="15" spans="3:11" ht="20.100000000000001" customHeight="1" x14ac:dyDescent="0.25">
      <c r="D15" s="10"/>
      <c r="E15" s="48" t="s">
        <v>797</v>
      </c>
      <c r="F15" s="48" t="s">
        <v>798</v>
      </c>
      <c r="G15" s="50" t="s">
        <v>794</v>
      </c>
      <c r="H15" s="69">
        <v>50</v>
      </c>
      <c r="I15" s="48" t="s">
        <v>795</v>
      </c>
    </row>
    <row r="16" spans="3:11" ht="20.100000000000001" customHeight="1" x14ac:dyDescent="0.25">
      <c r="D16" s="10"/>
      <c r="E16" s="48" t="s">
        <v>797</v>
      </c>
      <c r="F16" s="48" t="s">
        <v>798</v>
      </c>
      <c r="G16" s="50" t="s">
        <v>794</v>
      </c>
      <c r="H16" s="69">
        <v>50</v>
      </c>
      <c r="I16" s="48" t="s">
        <v>796</v>
      </c>
    </row>
    <row r="17" spans="4:9" ht="20.100000000000001" customHeight="1" x14ac:dyDescent="0.25">
      <c r="D17" s="10"/>
      <c r="E17" s="48" t="s">
        <v>797</v>
      </c>
      <c r="F17" s="48" t="s">
        <v>798</v>
      </c>
      <c r="G17" s="50" t="s">
        <v>794</v>
      </c>
      <c r="H17" s="69">
        <v>50</v>
      </c>
      <c r="I17" s="48" t="s">
        <v>796</v>
      </c>
    </row>
    <row r="18" spans="4:9" ht="20.100000000000001" customHeight="1" x14ac:dyDescent="0.25">
      <c r="D18" s="10"/>
      <c r="E18" s="48" t="s">
        <v>797</v>
      </c>
      <c r="F18" s="48" t="s">
        <v>798</v>
      </c>
      <c r="G18" s="50" t="s">
        <v>794</v>
      </c>
      <c r="H18" s="69">
        <v>50</v>
      </c>
      <c r="I18" s="48" t="s">
        <v>795</v>
      </c>
    </row>
    <row r="19" spans="4:9" ht="20.100000000000001" customHeight="1" x14ac:dyDescent="0.25"/>
    <row r="20" spans="4:9" ht="20.100000000000001" customHeight="1" x14ac:dyDescent="0.25"/>
    <row r="21" spans="4:9" ht="20.100000000000001" customHeight="1" x14ac:dyDescent="0.25"/>
    <row r="22" spans="4:9" ht="20.100000000000001" customHeight="1" x14ac:dyDescent="0.25"/>
    <row r="23" spans="4:9" ht="20.100000000000001" customHeight="1" x14ac:dyDescent="0.25"/>
    <row r="24" spans="4:9" ht="20.100000000000001" customHeight="1" x14ac:dyDescent="0.25"/>
    <row r="25" spans="4:9" ht="20.100000000000001" customHeight="1" x14ac:dyDescent="0.25"/>
    <row r="26" spans="4:9" ht="20.100000000000001" customHeight="1" x14ac:dyDescent="0.25"/>
    <row r="27" spans="4:9" ht="20.100000000000001" customHeight="1" x14ac:dyDescent="0.25"/>
    <row r="28" spans="4:9" ht="20.100000000000001" customHeight="1" x14ac:dyDescent="0.25"/>
    <row r="29" spans="4:9" ht="20.100000000000001" customHeight="1" x14ac:dyDescent="0.25"/>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C1:K14"/>
  <sheetViews>
    <sheetView showGridLines="0" workbookViewId="0">
      <selection activeCell="F10" sqref="F10"/>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25.5" x14ac:dyDescent="0.35">
      <c r="C1" s="38" t="s">
        <v>863</v>
      </c>
      <c r="D1" s="38"/>
      <c r="E1" s="38"/>
      <c r="F1" s="38"/>
      <c r="G1" s="38"/>
      <c r="H1" s="38"/>
      <c r="I1" s="38"/>
      <c r="J1" s="38"/>
      <c r="K1" s="38"/>
    </row>
    <row r="2" spans="3:11" s="2" customFormat="1" x14ac:dyDescent="0.25"/>
    <row r="3" spans="3:11" ht="20.25" x14ac:dyDescent="0.25">
      <c r="C3" s="39"/>
      <c r="D3" s="39"/>
      <c r="E3" s="39"/>
      <c r="F3" s="39"/>
      <c r="G3" s="39"/>
      <c r="H3" s="39"/>
      <c r="I3" s="39"/>
      <c r="J3" s="39"/>
      <c r="K3" s="39"/>
    </row>
    <row r="5" spans="3:11" ht="23.25" x14ac:dyDescent="0.25">
      <c r="D5" s="9" t="s">
        <v>752</v>
      </c>
    </row>
    <row r="7" spans="3:11" x14ac:dyDescent="0.25">
      <c r="D7" s="8" t="s">
        <v>775</v>
      </c>
    </row>
    <row r="8" spans="3:11" ht="18.75" x14ac:dyDescent="0.25">
      <c r="D8" s="8" t="s">
        <v>776</v>
      </c>
    </row>
    <row r="10" spans="3:11" x14ac:dyDescent="0.25">
      <c r="D10" s="8" t="s">
        <v>864</v>
      </c>
      <c r="F10" s="69">
        <v>1000</v>
      </c>
      <c r="G10" s="68" t="s">
        <v>753</v>
      </c>
    </row>
    <row r="11" spans="3:11" x14ac:dyDescent="0.25">
      <c r="D11" s="8" t="s">
        <v>865</v>
      </c>
      <c r="F11" s="69">
        <v>2000</v>
      </c>
      <c r="G11" s="68" t="s">
        <v>753</v>
      </c>
    </row>
    <row r="13" spans="3:11" x14ac:dyDescent="0.25">
      <c r="D13" s="8" t="s">
        <v>754</v>
      </c>
      <c r="F13" s="48" t="s">
        <v>150</v>
      </c>
      <c r="G13" s="68" t="s">
        <v>195</v>
      </c>
    </row>
    <row r="14" spans="3:11" x14ac:dyDescent="0.25">
      <c r="D14" s="8" t="s">
        <v>758</v>
      </c>
      <c r="F14" s="48" t="s">
        <v>155</v>
      </c>
      <c r="G14" s="68" t="s">
        <v>195</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F55" sqref="F55"/>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234</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8" t="s">
        <v>851</v>
      </c>
      <c r="E5" s="48" t="s">
        <v>852</v>
      </c>
      <c r="F5" s="68" t="s">
        <v>195</v>
      </c>
    </row>
    <row r="6" spans="1:10" ht="20.100000000000001" customHeight="1" x14ac:dyDescent="0.25">
      <c r="A6" s="18"/>
      <c r="E6" s="57"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43" t="str">
        <f>HYPERLINK("#'Input - Electricity'!A1", "Electricity")</f>
        <v>Electricity</v>
      </c>
      <c r="C8" s="101"/>
      <c r="D8" s="101"/>
      <c r="E8" s="101"/>
      <c r="F8" s="101"/>
      <c r="G8" s="101"/>
      <c r="H8" s="101"/>
      <c r="I8" s="101"/>
      <c r="J8" s="101"/>
    </row>
    <row r="9" spans="1:10" ht="20.100000000000001" customHeight="1" x14ac:dyDescent="0.25">
      <c r="A9" s="16"/>
      <c r="D9" s="9" t="s">
        <v>235</v>
      </c>
    </row>
    <row r="10" spans="1:10" ht="20.100000000000001" customHeight="1" x14ac:dyDescent="0.25">
      <c r="A10" s="21" t="s">
        <v>77</v>
      </c>
    </row>
    <row r="11" spans="1:10" ht="20.100000000000001" customHeight="1" x14ac:dyDescent="0.25">
      <c r="A11" s="16" t="str">
        <f>HYPERLINK("#'14.1.1-2 Purchased electricity'!A1", "14.1.1-2 Purchased electricity")</f>
        <v>14.1.1-2 Purchased electricity</v>
      </c>
      <c r="D11" s="74" t="s">
        <v>236</v>
      </c>
    </row>
    <row r="12" spans="1:10" ht="20.100000000000001" customHeight="1" x14ac:dyDescent="0.25">
      <c r="A12" s="16"/>
    </row>
    <row r="13" spans="1:10" ht="20.100000000000001" customHeight="1" x14ac:dyDescent="0.25">
      <c r="A13" s="23" t="s">
        <v>78</v>
      </c>
      <c r="D13" s="98" t="s">
        <v>237</v>
      </c>
      <c r="E13" s="99"/>
      <c r="F13" s="14"/>
    </row>
    <row r="14" spans="1:10" ht="20.100000000000001" customHeight="1" x14ac:dyDescent="0.25">
      <c r="A14" s="16" t="str">
        <f>HYPERLINK("#'Constants - Electricity'!A1", "Constants - Electricity")</f>
        <v>Constants - Electricity</v>
      </c>
      <c r="D14" s="14"/>
      <c r="E14" s="14"/>
      <c r="F14" s="14"/>
    </row>
    <row r="15" spans="1:10" ht="20.100000000000001" customHeight="1" x14ac:dyDescent="0.25">
      <c r="A15" s="16" t="str">
        <f>HYPERLINK("#'Constants - Common'!A1", "Constants - Common")</f>
        <v>Constants - Common</v>
      </c>
      <c r="D15" s="8" t="s">
        <v>238</v>
      </c>
      <c r="E15" s="100">
        <v>500</v>
      </c>
      <c r="F15" s="68" t="s">
        <v>239</v>
      </c>
    </row>
    <row r="16" spans="1:10" ht="20.100000000000001" customHeight="1" x14ac:dyDescent="0.25">
      <c r="D16" s="8" t="s">
        <v>240</v>
      </c>
      <c r="E16" s="50" t="str">
        <f>IF(X_Cell_Site_State="Western Australia", X_Cell_Site_Region, X_Cell_Site_State)</f>
        <v>ACT</v>
      </c>
      <c r="F16" s="14"/>
    </row>
    <row r="17" spans="1:11" ht="20.100000000000001" customHeight="1" x14ac:dyDescent="0.25">
      <c r="D17" s="8" t="s">
        <v>241</v>
      </c>
      <c r="E17" s="48" t="s">
        <v>315</v>
      </c>
      <c r="F17" s="68" t="s">
        <v>195</v>
      </c>
    </row>
    <row r="18" spans="1:11" ht="20.100000000000001" customHeight="1" x14ac:dyDescent="0.25"/>
    <row r="19" spans="1:11" ht="20.100000000000001" customHeight="1" x14ac:dyDescent="0.25"/>
    <row r="20" spans="1:11" ht="20.100000000000001" customHeight="1" x14ac:dyDescent="0.25">
      <c r="A20" s="16"/>
      <c r="C20" s="101"/>
      <c r="D20" s="101"/>
      <c r="E20" s="101"/>
      <c r="F20" s="101"/>
      <c r="G20" s="101"/>
      <c r="H20" s="101"/>
      <c r="I20" s="101"/>
      <c r="J20" s="101"/>
    </row>
    <row r="21" spans="1:11" ht="20.100000000000001" customHeight="1" x14ac:dyDescent="0.25">
      <c r="A21" s="16"/>
      <c r="D21" s="9" t="s">
        <v>242</v>
      </c>
    </row>
    <row r="22" spans="1:11" ht="20.100000000000001" customHeight="1" x14ac:dyDescent="0.25">
      <c r="E22" s="57" t="str">
        <f>IF(E16="ACT", "", "ALERT: Your farm is not in the ACT, so the JRPP is not applicable")</f>
        <v/>
      </c>
    </row>
    <row r="23" spans="1:11" ht="20.100000000000001" customHeight="1" x14ac:dyDescent="0.25">
      <c r="A23" s="16"/>
      <c r="D23" s="8" t="s">
        <v>243</v>
      </c>
      <c r="E23" s="100">
        <v>30000</v>
      </c>
      <c r="F23" s="68" t="s">
        <v>239</v>
      </c>
    </row>
    <row r="24" spans="1:11" ht="20.100000000000001" customHeight="1" x14ac:dyDescent="0.25">
      <c r="D24" s="8" t="s">
        <v>244</v>
      </c>
      <c r="E24" s="89">
        <v>0.1</v>
      </c>
      <c r="F24" s="68" t="s">
        <v>245</v>
      </c>
    </row>
    <row r="25" spans="1:11" ht="20.100000000000001" customHeight="1" x14ac:dyDescent="0.25">
      <c r="D25" s="8" t="s">
        <v>246</v>
      </c>
      <c r="E25" s="89">
        <v>0.1</v>
      </c>
      <c r="F25" s="68" t="s">
        <v>245</v>
      </c>
    </row>
    <row r="26" spans="1:11" ht="20.100000000000001" customHeight="1" x14ac:dyDescent="0.25"/>
    <row r="27" spans="1:11" ht="20.100000000000001" customHeight="1" x14ac:dyDescent="0.25">
      <c r="D27" s="8" t="s">
        <v>247</v>
      </c>
      <c r="E27" s="100">
        <v>10000</v>
      </c>
      <c r="F27" s="68" t="s">
        <v>239</v>
      </c>
    </row>
    <row r="28" spans="1:11" ht="20.100000000000001" customHeight="1" x14ac:dyDescent="0.25"/>
    <row r="29" spans="1:11" ht="20.100000000000001" customHeight="1" x14ac:dyDescent="0.25">
      <c r="A29" s="16"/>
      <c r="D29" s="8" t="s">
        <v>248</v>
      </c>
      <c r="E29" s="102" t="str">
        <f>TEXT(X_Cell_Site_StartDate, "dd mmm yyyy")</f>
        <v>01 Jan 2024</v>
      </c>
      <c r="K29" s="54"/>
    </row>
    <row r="30" spans="1:11" ht="20.100000000000001" customHeight="1" x14ac:dyDescent="0.25">
      <c r="A30" s="16"/>
      <c r="D30" s="8" t="s">
        <v>249</v>
      </c>
      <c r="E30" s="102" t="str">
        <f>TEXT(X_Cell_Site_EndDate, "dd mmm yyyy")</f>
        <v>31 Dec 2024</v>
      </c>
      <c r="K30" s="54"/>
    </row>
    <row r="31" spans="1:11" ht="20.100000000000001" customHeight="1" x14ac:dyDescent="0.25">
      <c r="A31" s="52"/>
      <c r="K31" s="54"/>
    </row>
    <row r="32" spans="1:11" ht="20.100000000000001" customHeight="1" x14ac:dyDescent="0.25">
      <c r="A32" s="52"/>
      <c r="D32" s="74" t="s">
        <v>250</v>
      </c>
      <c r="K32" s="54"/>
    </row>
    <row r="33" spans="1:12" ht="20.100000000000001" customHeight="1" x14ac:dyDescent="0.25">
      <c r="A33" s="16"/>
      <c r="K33" s="54"/>
    </row>
    <row r="34" spans="1:12" ht="20.100000000000001" customHeight="1" x14ac:dyDescent="0.25">
      <c r="D34" s="98" t="s">
        <v>121</v>
      </c>
      <c r="E34" s="99"/>
      <c r="K34" s="54"/>
    </row>
    <row r="35" spans="1:12" ht="20.100000000000001" customHeight="1" x14ac:dyDescent="0.25"/>
    <row r="36" spans="1:12" ht="20.100000000000001" customHeight="1" x14ac:dyDescent="0.25">
      <c r="D36" s="47" t="s">
        <v>251</v>
      </c>
      <c r="E36" s="47" t="s">
        <v>252</v>
      </c>
      <c r="F36" s="47" t="s">
        <v>253</v>
      </c>
      <c r="G36" s="47" t="s">
        <v>254</v>
      </c>
      <c r="H36" s="47" t="s">
        <v>255</v>
      </c>
      <c r="I36" s="47" t="s">
        <v>256</v>
      </c>
      <c r="L36" s="54"/>
    </row>
    <row r="37" spans="1:12" ht="20.100000000000001" customHeight="1" x14ac:dyDescent="0.25">
      <c r="D37" s="10" t="s">
        <v>257</v>
      </c>
      <c r="E37" s="48" t="s">
        <v>258</v>
      </c>
      <c r="F37" s="103">
        <v>44185</v>
      </c>
      <c r="G37" s="10">
        <v>12</v>
      </c>
      <c r="H37" s="50">
        <f>Table_Input_RECSurrendered[[#This Row],[Number of certificates]]</f>
        <v>12</v>
      </c>
      <c r="I37" s="50" t="str">
        <f>IF(DATEDIF(Table_Input_RECSurrendered[[#This Row],[Generation date]],DATEVALUE($E$30),"M")&gt;36,"Ineligible - older than 36 months","Elegible")</f>
        <v>Ineligible - older than 36 months</v>
      </c>
      <c r="L37" s="54"/>
    </row>
    <row r="38" spans="1:12" ht="20.100000000000001" customHeight="1" x14ac:dyDescent="0.25">
      <c r="D38" s="10"/>
      <c r="E38" s="48" t="s">
        <v>259</v>
      </c>
      <c r="F38" s="103">
        <v>44575</v>
      </c>
      <c r="G38" s="10">
        <v>5</v>
      </c>
      <c r="H38" s="50">
        <f>Table_Input_RECSurrendered[[#This Row],[Number of certificates]]</f>
        <v>5</v>
      </c>
      <c r="I38" s="50" t="str">
        <f>IF(DATEDIF(Table_Input_RECSurrendered[[#This Row],[Generation date]],DATEVALUE($E$30),"M")&gt;36,"Ineligible - older than 36 months","Elegible")</f>
        <v>Elegible</v>
      </c>
    </row>
    <row r="39" spans="1:12" ht="20.100000000000001" customHeight="1" x14ac:dyDescent="0.25">
      <c r="A39" s="16"/>
      <c r="D39" s="10"/>
      <c r="E39" s="48" t="s">
        <v>258</v>
      </c>
      <c r="F39" s="103">
        <v>45438</v>
      </c>
      <c r="G39" s="10">
        <v>5</v>
      </c>
      <c r="H39" s="50">
        <f>Table_Input_RECSurrendered[[#This Row],[Number of certificates]]</f>
        <v>5</v>
      </c>
      <c r="I39" s="50" t="str">
        <f>IF(DATEDIF(Table_Input_RECSurrendered[[#This Row],[Generation date]],DATEVALUE($E$30),"M")&gt;36,"Ineligible - older than 36 months","Elegible")</f>
        <v>Elegible</v>
      </c>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8" t="s">
        <v>260</v>
      </c>
      <c r="E41" s="50">
        <f>SUMIF(Table_Input_RECSurrendered[Elegibility], "Elegible", Table_Input_RECSurrendered[MWh])</f>
        <v>10</v>
      </c>
      <c r="F41" s="68" t="s">
        <v>255</v>
      </c>
      <c r="G41" s="8"/>
      <c r="H41" s="8"/>
      <c r="I41" s="8"/>
      <c r="J41" s="8"/>
      <c r="L41" s="54" t="s">
        <v>262</v>
      </c>
    </row>
    <row r="42" spans="1:12" ht="20.100000000000001" customHeight="1" x14ac:dyDescent="0.25">
      <c r="C42" s="53"/>
    </row>
    <row r="43" spans="1:12" ht="20.100000000000001" customHeight="1" x14ac:dyDescent="0.25">
      <c r="C43" s="53"/>
      <c r="D43" s="74" t="s">
        <v>261</v>
      </c>
      <c r="J43" s="53"/>
    </row>
    <row r="44" spans="1:12" ht="20.100000000000001" customHeight="1" x14ac:dyDescent="0.25">
      <c r="A44" s="56"/>
    </row>
    <row r="45" spans="1:12" ht="20.100000000000001" customHeight="1" x14ac:dyDescent="0.25">
      <c r="D45" s="47" t="s">
        <v>251</v>
      </c>
      <c r="E45" s="47" t="s">
        <v>140</v>
      </c>
      <c r="F45" s="47" t="s">
        <v>253</v>
      </c>
      <c r="G45" s="47" t="s">
        <v>254</v>
      </c>
      <c r="H45" s="47" t="s">
        <v>255</v>
      </c>
      <c r="I45" s="47" t="s">
        <v>256</v>
      </c>
    </row>
    <row r="46" spans="1:12" ht="20.100000000000001" customHeight="1" x14ac:dyDescent="0.25">
      <c r="D46" s="10" t="s">
        <v>263</v>
      </c>
      <c r="E46" s="50" t="str">
        <f>"Issued for generated electricity"</f>
        <v>Issued for generated electricity</v>
      </c>
      <c r="F46" s="103">
        <v>44697</v>
      </c>
      <c r="G46" s="10">
        <v>10</v>
      </c>
      <c r="H46" s="50">
        <f>Table_Input_RECConsumedByEntity[[#This Row],[Number of certificates]]</f>
        <v>10</v>
      </c>
      <c r="I46" s="50"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10"/>
      <c r="E47" s="50" t="str">
        <f>"Issued for generated electricity"</f>
        <v>Issued for generated electricity</v>
      </c>
      <c r="F47" s="103">
        <v>45483</v>
      </c>
      <c r="G47" s="10">
        <v>4</v>
      </c>
      <c r="H47" s="50">
        <f>Table_Input_RECConsumedByEntity[[#This Row],[Number of certificates]]</f>
        <v>4</v>
      </c>
      <c r="I47" s="50"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0"/>
      <c r="E48" s="50" t="str">
        <f>"Issued for generated electricity"</f>
        <v>Issued for generated electricity</v>
      </c>
      <c r="F48" s="103">
        <v>45607</v>
      </c>
      <c r="G48" s="10">
        <v>7</v>
      </c>
      <c r="H48" s="50">
        <f>Table_Input_RECConsumedByEntity[[#This Row],[Number of certificates]]</f>
        <v>7</v>
      </c>
      <c r="I48" s="50"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8" t="s">
        <v>264</v>
      </c>
      <c r="E50" s="50">
        <f>SUMIF(Table_Input_RECConsumedByEntity[Elegibility], "Elegible", Table_Input_RECConsumedByEntity[Number of certificates])</f>
        <v>11</v>
      </c>
      <c r="F50" s="68" t="s">
        <v>255</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c r="D57" s="104"/>
    </row>
    <row r="58" spans="4:6" ht="20.100000000000001" customHeight="1" x14ac:dyDescent="0.25"/>
    <row r="59" spans="4:6" ht="20.100000000000001" customHeight="1" x14ac:dyDescent="0.25">
      <c r="D59" s="104"/>
    </row>
    <row r="60" spans="4:6" ht="20.100000000000001" customHeight="1" x14ac:dyDescent="0.25">
      <c r="D60" s="104"/>
    </row>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2"/>
  <sheetViews>
    <sheetView showGridLines="0" topLeftCell="A562" zoomScale="85" zoomScaleNormal="85" workbookViewId="0">
      <selection activeCell="H596" sqref="H596"/>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841</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6" t="s">
        <v>635</v>
      </c>
      <c r="E7" s="176"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6"/>
    </row>
    <row r="10" spans="3:41" ht="20.100000000000001" customHeight="1" x14ac:dyDescent="0.25">
      <c r="D10" s="28" t="s">
        <v>636</v>
      </c>
      <c r="E10" s="8" t="str" cm="1">
        <f t="array" ref="E10">Scope3_Equations.VEERG_15_1_1_1__1_EmissionsFromPurchasedLivestock_Variable()</f>
        <v>E</v>
      </c>
    </row>
    <row r="11" spans="3:41" ht="20.100000000000001" customHeight="1" x14ac:dyDescent="0.25">
      <c r="D11" s="28" t="s">
        <v>97</v>
      </c>
      <c r="E11" s="13" t="str" cm="1">
        <f t="array" ref="E11">Scope3_Equations.VEERG_15_1_1_1__1_EmissionsFromPurchasedLivestock_Unit()</f>
        <v>t CO2e</v>
      </c>
    </row>
    <row r="12" spans="3:41" ht="20.100000000000001" customHeight="1" x14ac:dyDescent="0.25"/>
    <row r="13" spans="3:41" ht="20.100000000000001" customHeight="1" x14ac:dyDescent="0.25">
      <c r="D13" s="171" t="str" cm="1">
        <f t="array" ref="D13:E17">_xlfn.CHOOSECOLS(Scope3_Equations.VEERG_15_1_1_1__1_EmissionsFromPurchasedLivestock_Arguments(),1,2)</f>
        <v>N_co</v>
      </c>
      <c r="E13" s="175" t="str">
        <v>number of animals purchased in livestock type c from origin o</v>
      </c>
      <c r="F13" s="170"/>
      <c r="G13" s="171" t="str" cm="1">
        <f t="array" ref="G13:H17">_xlfn.CHOOSECOLS(Scope3_Equations.VEERG_15_1_1_1__1_EmissionsFromPurchasedLivestock_Arguments(),3,4)</f>
        <v>head</v>
      </c>
      <c r="H13" s="172" t="str">
        <v>Input</v>
      </c>
    </row>
    <row r="14" spans="3:41" ht="20.100000000000001" customHeight="1" x14ac:dyDescent="0.25">
      <c r="D14" s="171" t="str">
        <v>W_co</v>
      </c>
      <c r="E14" s="175" t="str">
        <v>average liveweight of purchased livestock at point of purchase</v>
      </c>
      <c r="F14" s="170"/>
      <c r="G14" s="171" t="str">
        <v>kg/head</v>
      </c>
      <c r="H14" s="172" t="str">
        <v>Input</v>
      </c>
    </row>
    <row r="15" spans="3:41" ht="20.100000000000001" customHeight="1" x14ac:dyDescent="0.25">
      <c r="D15" s="171" t="str">
        <v>EF_co</v>
      </c>
      <c r="E15" s="175" t="str">
        <v>emission factor per livestock type and origin</v>
      </c>
      <c r="F15" s="170"/>
      <c r="G15" s="171" t="str">
        <v>kg CO2e/kg</v>
      </c>
      <c r="H15" s="173" t="str">
        <v>Constant</v>
      </c>
    </row>
    <row r="16" spans="3:41" ht="20.100000000000001" customHeight="1" x14ac:dyDescent="0.25">
      <c r="D16" s="171" t="str">
        <v>c</v>
      </c>
      <c r="E16" s="175" t="str">
        <v>livestock type</v>
      </c>
      <c r="F16" s="170"/>
      <c r="G16" s="171" t="str">
        <v/>
      </c>
      <c r="H16" s="172" t="str">
        <v>Input</v>
      </c>
    </row>
    <row r="17" spans="4:16" ht="20.100000000000001" customHeight="1" x14ac:dyDescent="0.25">
      <c r="D17" s="171" t="str">
        <v>o</v>
      </c>
      <c r="E17" s="175" t="str">
        <v>origin</v>
      </c>
      <c r="F17" s="170"/>
      <c r="G17" s="171" t="str">
        <v/>
      </c>
      <c r="H17" s="172" t="str">
        <v>Input</v>
      </c>
    </row>
    <row r="18" spans="4:16" ht="20.100000000000001" customHeight="1" x14ac:dyDescent="0.25"/>
    <row r="19" spans="4:16" ht="20.100000000000001" customHeight="1" x14ac:dyDescent="0.25">
      <c r="D19" s="98" t="s">
        <v>574</v>
      </c>
      <c r="E19" s="113"/>
      <c r="F19" s="99"/>
    </row>
    <row r="20" spans="4:16" ht="20.100000000000001" customHeight="1" x14ac:dyDescent="0.25"/>
    <row r="21" spans="4:16" ht="20.100000000000001" customHeight="1" x14ac:dyDescent="0.25">
      <c r="D21" s="148" t="s">
        <v>327</v>
      </c>
    </row>
    <row r="22" spans="4:16" ht="20.100000000000001" customHeight="1" x14ac:dyDescent="0.25">
      <c r="D22" s="47" t="s">
        <v>366</v>
      </c>
      <c r="E22" s="156" t="s">
        <v>629</v>
      </c>
      <c r="F22" s="156" t="s">
        <v>628</v>
      </c>
      <c r="G22" s="156" t="s">
        <v>630</v>
      </c>
      <c r="H22" s="156" t="s">
        <v>631</v>
      </c>
      <c r="I22" s="60" t="s">
        <v>633</v>
      </c>
      <c r="J22" s="60" t="s">
        <v>642</v>
      </c>
      <c r="K22" s="156" t="s">
        <v>632</v>
      </c>
      <c r="L22" s="47" t="s">
        <v>634</v>
      </c>
      <c r="M22" s="60" t="s">
        <v>644</v>
      </c>
      <c r="N22" s="47" t="s">
        <v>638</v>
      </c>
      <c r="O22" s="47" t="s">
        <v>639</v>
      </c>
      <c r="P22" s="47" t="s">
        <v>640</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5" cm="1">
        <f t="array" ref="J23">Scope3_Equations.VEERG_15_1_1_1__1_EmissionsFromPurchasedLivestock(G23,H23,I23)</f>
        <v>436.8</v>
      </c>
      <c r="K23" s="50" cm="1">
        <f t="array" ref="K23:K32">IFERROR(INDEX(Table_Input_LivestockPurchases_Beefcattle[Liveweight (kg/head) Method 2], _xlfn.SEQUENCE(10)), "")</f>
        <v>205</v>
      </c>
      <c r="L23" s="69">
        <v>20</v>
      </c>
      <c r="M23" s="155" cm="1">
        <f t="array" ref="M23">Scope3_Equations.VEERG_15_1_1_1__1_EmissionsFromPurchasedLivestock(G23,K23,IF(L23, L23, I23))</f>
        <v>410</v>
      </c>
      <c r="N23" s="85" t="s">
        <v>610</v>
      </c>
      <c r="O23" s="48" t="s">
        <v>609</v>
      </c>
      <c r="P23" t="s">
        <v>611</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5" cm="1">
        <f t="array" ref="J24">Scope3_Equations.VEERG_15_1_1_1__1_EmissionsFromPurchasedLivestock(G24,H24,I24)</f>
        <v>615.70000000000005</v>
      </c>
      <c r="K24" s="50">
        <v>465</v>
      </c>
      <c r="L24" s="69">
        <v>13</v>
      </c>
      <c r="M24" s="155" cm="1">
        <f t="array" ref="M24">Scope3_Equations.VEERG_15_1_1_1__1_EmissionsFromPurchasedLivestock(G24,K24,IF(L24, L24, I24))</f>
        <v>604.5</v>
      </c>
      <c r="N24" s="85"/>
      <c r="O24" s="48"/>
      <c r="P24" s="85"/>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5" cm="1">
        <f t="array" ref="J25">Scope3_Equations.VEERG_15_1_1_1__1_EmissionsFromPurchasedLivestock(G25,H25,I25)</f>
        <v>0</v>
      </c>
      <c r="K25" s="50">
        <v>0</v>
      </c>
      <c r="L25" s="69"/>
      <c r="M25" s="155" cm="1">
        <f t="array" ref="M25">Scope3_Equations.VEERG_15_1_1_1__1_EmissionsFromPurchasedLivestock(G25,K25,IF(L25, L25, I25))</f>
        <v>0</v>
      </c>
      <c r="N25" s="85"/>
      <c r="O25" s="48"/>
      <c r="P25" s="85"/>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5" cm="1">
        <f t="array" ref="J26">Scope3_Equations.VEERG_15_1_1_1__1_EmissionsFromPurchasedLivestock(G26,H26,I26)</f>
        <v>0</v>
      </c>
      <c r="K26" s="50">
        <v>0</v>
      </c>
      <c r="L26" s="69"/>
      <c r="M26" s="155" cm="1">
        <f t="array" ref="M26">Scope3_Equations.VEERG_15_1_1_1__1_EmissionsFromPurchasedLivestock(G26,K26,IF(L26, L26, I26))</f>
        <v>0</v>
      </c>
      <c r="N26" s="85"/>
      <c r="O26" s="48"/>
      <c r="P26" s="85"/>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5" cm="1">
        <f t="array" ref="J27">Scope3_Equations.VEERG_15_1_1_1__1_EmissionsFromPurchasedLivestock(G27,H27,I27)</f>
        <v>0</v>
      </c>
      <c r="K27" s="50">
        <v>0</v>
      </c>
      <c r="L27" s="69"/>
      <c r="M27" s="155" cm="1">
        <f t="array" ref="M27">Scope3_Equations.VEERG_15_1_1_1__1_EmissionsFromPurchasedLivestock(G27,K27,IF(L27, L27, I27))</f>
        <v>0</v>
      </c>
      <c r="N27" s="85"/>
      <c r="O27" s="48"/>
      <c r="P27" s="85"/>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5" cm="1">
        <f t="array" ref="J28">Scope3_Equations.VEERG_15_1_1_1__1_EmissionsFromPurchasedLivestock(G28,H28,I28)</f>
        <v>0</v>
      </c>
      <c r="K28" s="50">
        <v>0</v>
      </c>
      <c r="L28" s="69"/>
      <c r="M28" s="155" cm="1">
        <f t="array" ref="M28">Scope3_Equations.VEERG_15_1_1_1__1_EmissionsFromPurchasedLivestock(G28,K28,IF(L28, L28, I28))</f>
        <v>0</v>
      </c>
      <c r="N28" s="85"/>
      <c r="O28" s="48"/>
      <c r="P28" s="85"/>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5" cm="1">
        <f t="array" ref="J29">Scope3_Equations.VEERG_15_1_1_1__1_EmissionsFromPurchasedLivestock(G29,H29,I29)</f>
        <v>0</v>
      </c>
      <c r="K29" s="50">
        <v>0</v>
      </c>
      <c r="L29" s="69"/>
      <c r="M29" s="155" cm="1">
        <f t="array" ref="M29">Scope3_Equations.VEERG_15_1_1_1__1_EmissionsFromPurchasedLivestock(G29,K29,IF(L29, L29, I29))</f>
        <v>0</v>
      </c>
      <c r="N29" s="85"/>
      <c r="O29" s="48"/>
      <c r="P29" s="85"/>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5" cm="1">
        <f t="array" ref="J30">Scope3_Equations.VEERG_15_1_1_1__1_EmissionsFromPurchasedLivestock(G30,H30,I30)</f>
        <v>0</v>
      </c>
      <c r="K30" s="50">
        <v>0</v>
      </c>
      <c r="L30" s="69"/>
      <c r="M30" s="155" cm="1">
        <f t="array" ref="M30">Scope3_Equations.VEERG_15_1_1_1__1_EmissionsFromPurchasedLivestock(G30,K30,IF(L30, L30, I30))</f>
        <v>0</v>
      </c>
      <c r="N30" s="85"/>
      <c r="O30" s="48"/>
      <c r="P30" s="85"/>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5" cm="1">
        <f t="array" ref="J31">Scope3_Equations.VEERG_15_1_1_1__1_EmissionsFromPurchasedLivestock(G31,H31,I31)</f>
        <v>0</v>
      </c>
      <c r="K31" s="50">
        <v>0</v>
      </c>
      <c r="L31" s="69"/>
      <c r="M31" s="155" cm="1">
        <f t="array" ref="M31">Scope3_Equations.VEERG_15_1_1_1__1_EmissionsFromPurchasedLivestock(G31,K31,IF(L31, L31, I31))</f>
        <v>0</v>
      </c>
      <c r="N31" s="85"/>
      <c r="O31" s="48"/>
      <c r="P31" s="85"/>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5" cm="1">
        <f t="array" ref="J32">Scope3_Equations.VEERG_15_1_1_1__1_EmissionsFromPurchasedLivestock(G32,H32,I32)</f>
        <v>0</v>
      </c>
      <c r="K32" s="50">
        <v>0</v>
      </c>
      <c r="L32" s="69"/>
      <c r="M32" s="155" cm="1">
        <f t="array" ref="M32">Scope3_Equations.VEERG_15_1_1_1__1_EmissionsFromPurchasedLivestock(G32,K32,IF(L32, L32, I32))</f>
        <v>0</v>
      </c>
      <c r="N32" s="85"/>
      <c r="O32" s="48"/>
      <c r="P32" s="85"/>
    </row>
    <row r="33" spans="4:13" ht="20.100000000000001" customHeight="1" x14ac:dyDescent="0.25"/>
    <row r="34" spans="4:13" ht="20.100000000000001" customHeight="1" x14ac:dyDescent="0.25">
      <c r="D34" s="178" t="s">
        <v>658</v>
      </c>
      <c r="E34" s="101">
        <f>SUM(J23:J32)</f>
        <v>1052.5</v>
      </c>
      <c r="F34" s="179" t="str">
        <f>$E$11</f>
        <v>t CO2e</v>
      </c>
    </row>
    <row r="35" spans="4:13" ht="20.100000000000001" customHeight="1" x14ac:dyDescent="0.25">
      <c r="D35" s="178" t="s">
        <v>659</v>
      </c>
      <c r="E35" s="101">
        <f>SUM(M23:M32)</f>
        <v>1014.5</v>
      </c>
      <c r="F35" s="179" t="str">
        <f>$E$11</f>
        <v>t CO2e</v>
      </c>
    </row>
    <row r="36" spans="4:13" ht="20.100000000000001" customHeight="1" x14ac:dyDescent="0.25"/>
    <row r="37" spans="4:13" ht="20.100000000000001" customHeight="1" x14ac:dyDescent="0.25"/>
    <row r="38" spans="4:13" ht="20.100000000000001" customHeight="1" x14ac:dyDescent="0.25">
      <c r="D38" s="148" t="s">
        <v>343</v>
      </c>
    </row>
    <row r="39" spans="4:13" ht="20.100000000000001" customHeight="1" x14ac:dyDescent="0.25">
      <c r="D39" s="171" t="s">
        <v>637</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366</v>
      </c>
      <c r="E41" s="156" t="s">
        <v>630</v>
      </c>
      <c r="F41" s="156" t="s">
        <v>631</v>
      </c>
      <c r="G41" s="60" t="s">
        <v>642</v>
      </c>
      <c r="H41" s="156" t="s">
        <v>632</v>
      </c>
      <c r="I41" s="47" t="s">
        <v>634</v>
      </c>
      <c r="J41" s="60" t="s">
        <v>644</v>
      </c>
      <c r="K41" s="47" t="s">
        <v>638</v>
      </c>
      <c r="L41" s="47" t="s">
        <v>639</v>
      </c>
      <c r="M41" s="47" t="s">
        <v>640</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130</v>
      </c>
      <c r="G42" s="155" cm="1">
        <f t="array" ref="G42">Scope3_Equations.VEERG_15_1_1_1__1_EmissionsFromPurchasedLivestock(E42,F42,$E$39)</f>
        <v>57.33</v>
      </c>
      <c r="H42" s="50" cm="1">
        <f t="array" ref="H42:H51">IFERROR(INDEX(Table_Input_LivestockPurchases_Dairy[Liveweight (kg/head) Method 2], _xlfn.SEQUENCE(10)), "")</f>
        <v>350</v>
      </c>
      <c r="I42" s="69">
        <v>4</v>
      </c>
      <c r="J42" s="155" cm="1">
        <f t="array" ref="J42">Scope3_Equations.VEERG_15_1_1_1__1_EmissionsFromPurchasedLivestock(E42,H42,IF(I42,I42,$E$39))</f>
        <v>140</v>
      </c>
      <c r="K42" s="85" t="s">
        <v>610</v>
      </c>
      <c r="L42" s="48" t="s">
        <v>609</v>
      </c>
      <c r="M42" t="s">
        <v>611</v>
      </c>
    </row>
    <row r="43" spans="4:13" ht="20.100000000000001" customHeight="1" x14ac:dyDescent="0.25">
      <c r="D43" s="50">
        <v>0</v>
      </c>
      <c r="E43" s="50">
        <v>100</v>
      </c>
      <c r="F43" s="50">
        <v>540</v>
      </c>
      <c r="G43" s="155" cm="1">
        <f t="array" ref="G43">Scope3_Equations.VEERG_15_1_1_1__1_EmissionsFromPurchasedLivestock(E43,F43,$E$39)</f>
        <v>238.14000000000001</v>
      </c>
      <c r="H43" s="50">
        <v>625</v>
      </c>
      <c r="I43" s="69"/>
      <c r="J43" s="155" cm="1">
        <f t="array" ref="J43">Scope3_Equations.VEERG_15_1_1_1__1_EmissionsFromPurchasedLivestock(E43,H43,IF(I43,I43,$E$39))</f>
        <v>275.625</v>
      </c>
      <c r="K43" s="85"/>
      <c r="L43" s="48"/>
      <c r="M43" s="85"/>
    </row>
    <row r="44" spans="4:13" ht="20.100000000000001" customHeight="1" x14ac:dyDescent="0.25">
      <c r="D44" s="50">
        <v>0</v>
      </c>
      <c r="E44" s="50">
        <v>0</v>
      </c>
      <c r="F44" s="50">
        <v>315</v>
      </c>
      <c r="G44" s="155" cm="1">
        <f t="array" ref="G44">Scope3_Equations.VEERG_15_1_1_1__1_EmissionsFromPurchasedLivestock(E44,F44,$E$39)</f>
        <v>0</v>
      </c>
      <c r="H44" s="50">
        <v>0</v>
      </c>
      <c r="I44" s="69"/>
      <c r="J44" s="155" cm="1">
        <f t="array" ref="J44">Scope3_Equations.VEERG_15_1_1_1__1_EmissionsFromPurchasedLivestock(E44,H44,IF(I44,I44,$E$39))</f>
        <v>0</v>
      </c>
      <c r="K44" s="85"/>
      <c r="L44" s="48"/>
      <c r="M44" s="85"/>
    </row>
    <row r="45" spans="4:13" ht="20.100000000000001" customHeight="1" x14ac:dyDescent="0.25">
      <c r="D45" s="50">
        <v>0</v>
      </c>
      <c r="E45" s="50">
        <v>0</v>
      </c>
      <c r="F45" s="50">
        <v>0</v>
      </c>
      <c r="G45" s="155" cm="1">
        <f t="array" ref="G45">Scope3_Equations.VEERG_15_1_1_1__1_EmissionsFromPurchasedLivestock(E45,F45,$E$39)</f>
        <v>0</v>
      </c>
      <c r="H45" s="50">
        <v>0</v>
      </c>
      <c r="I45" s="69"/>
      <c r="J45" s="155" cm="1">
        <f t="array" ref="J45">Scope3_Equations.VEERG_15_1_1_1__1_EmissionsFromPurchasedLivestock(E45,H45,IF(I45,I45,$E$39))</f>
        <v>0</v>
      </c>
      <c r="K45" s="85"/>
      <c r="L45" s="48"/>
      <c r="M45" s="85"/>
    </row>
    <row r="46" spans="4:13" ht="20.100000000000001" customHeight="1" x14ac:dyDescent="0.25">
      <c r="D46" s="50">
        <v>0</v>
      </c>
      <c r="E46" s="50">
        <v>0</v>
      </c>
      <c r="F46" s="50">
        <v>0</v>
      </c>
      <c r="G46" s="155" cm="1">
        <f t="array" ref="G46">Scope3_Equations.VEERG_15_1_1_1__1_EmissionsFromPurchasedLivestock(E46,F46,$E$39)</f>
        <v>0</v>
      </c>
      <c r="H46" s="50">
        <v>0</v>
      </c>
      <c r="I46" s="69"/>
      <c r="J46" s="155" cm="1">
        <f t="array" ref="J46">Scope3_Equations.VEERG_15_1_1_1__1_EmissionsFromPurchasedLivestock(E46,H46,IF(I46,I46,$E$39))</f>
        <v>0</v>
      </c>
      <c r="K46" s="85"/>
      <c r="L46" s="48"/>
      <c r="M46" s="85"/>
    </row>
    <row r="47" spans="4:13" ht="20.100000000000001" customHeight="1" x14ac:dyDescent="0.25">
      <c r="D47" s="50">
        <v>0</v>
      </c>
      <c r="E47" s="50">
        <v>0</v>
      </c>
      <c r="F47" s="50">
        <v>0</v>
      </c>
      <c r="G47" s="155" cm="1">
        <f t="array" ref="G47">Scope3_Equations.VEERG_15_1_1_1__1_EmissionsFromPurchasedLivestock(E47,F47,$E$39)</f>
        <v>0</v>
      </c>
      <c r="H47" s="50">
        <v>0</v>
      </c>
      <c r="I47" s="69"/>
      <c r="J47" s="155" cm="1">
        <f t="array" ref="J47">Scope3_Equations.VEERG_15_1_1_1__1_EmissionsFromPurchasedLivestock(E47,H47,IF(I47,I47,$E$39))</f>
        <v>0</v>
      </c>
      <c r="K47" s="85"/>
      <c r="L47" s="48"/>
      <c r="M47" s="85"/>
    </row>
    <row r="48" spans="4:13" ht="20.100000000000001" customHeight="1" x14ac:dyDescent="0.25">
      <c r="D48" s="50">
        <v>0</v>
      </c>
      <c r="E48" s="50">
        <v>0</v>
      </c>
      <c r="F48" s="50">
        <v>0</v>
      </c>
      <c r="G48" s="155" cm="1">
        <f t="array" ref="G48">Scope3_Equations.VEERG_15_1_1_1__1_EmissionsFromPurchasedLivestock(E48,F48,$E$39)</f>
        <v>0</v>
      </c>
      <c r="H48" s="50">
        <v>0</v>
      </c>
      <c r="I48" s="69"/>
      <c r="J48" s="155" cm="1">
        <f t="array" ref="J48">Scope3_Equations.VEERG_15_1_1_1__1_EmissionsFromPurchasedLivestock(E48,H48,IF(I48,I48,$E$39))</f>
        <v>0</v>
      </c>
      <c r="K48" s="85"/>
      <c r="L48" s="48"/>
      <c r="M48" s="85"/>
    </row>
    <row r="49" spans="4:13" ht="20.100000000000001" customHeight="1" x14ac:dyDescent="0.25">
      <c r="D49" s="50">
        <v>0</v>
      </c>
      <c r="E49" s="50">
        <v>0</v>
      </c>
      <c r="F49" s="50">
        <v>0</v>
      </c>
      <c r="G49" s="155" cm="1">
        <f t="array" ref="G49">Scope3_Equations.VEERG_15_1_1_1__1_EmissionsFromPurchasedLivestock(E49,F49,$E$39)</f>
        <v>0</v>
      </c>
      <c r="H49" s="50">
        <v>0</v>
      </c>
      <c r="I49" s="69"/>
      <c r="J49" s="155" cm="1">
        <f t="array" ref="J49">Scope3_Equations.VEERG_15_1_1_1__1_EmissionsFromPurchasedLivestock(E49,H49,IF(I49,I49,$E$39))</f>
        <v>0</v>
      </c>
      <c r="K49" s="85"/>
      <c r="L49" s="48"/>
      <c r="M49" s="85"/>
    </row>
    <row r="50" spans="4:13" ht="20.100000000000001" customHeight="1" x14ac:dyDescent="0.25">
      <c r="D50" s="50">
        <v>0</v>
      </c>
      <c r="E50" s="50">
        <v>0</v>
      </c>
      <c r="F50" s="50">
        <v>0</v>
      </c>
      <c r="G50" s="155" cm="1">
        <f t="array" ref="G50">Scope3_Equations.VEERG_15_1_1_1__1_EmissionsFromPurchasedLivestock(E50,F50,$E$39)</f>
        <v>0</v>
      </c>
      <c r="H50" s="50">
        <v>0</v>
      </c>
      <c r="I50" s="69"/>
      <c r="J50" s="155" cm="1">
        <f t="array" ref="J50">Scope3_Equations.VEERG_15_1_1_1__1_EmissionsFromPurchasedLivestock(E50,H50,IF(I50,I50,$E$39))</f>
        <v>0</v>
      </c>
      <c r="K50" s="85"/>
      <c r="L50" s="48"/>
      <c r="M50" s="85"/>
    </row>
    <row r="51" spans="4:13" ht="20.100000000000001" customHeight="1" x14ac:dyDescent="0.25">
      <c r="D51" s="50">
        <v>0</v>
      </c>
      <c r="E51" s="50">
        <v>0</v>
      </c>
      <c r="F51" s="50">
        <v>0</v>
      </c>
      <c r="G51" s="155" cm="1">
        <f t="array" ref="G51">Scope3_Equations.VEERG_15_1_1_1__1_EmissionsFromPurchasedLivestock(E51,F51,$E$39)</f>
        <v>0</v>
      </c>
      <c r="H51" s="50">
        <v>0</v>
      </c>
      <c r="I51" s="69"/>
      <c r="J51" s="155" cm="1">
        <f t="array" ref="J51">Scope3_Equations.VEERG_15_1_1_1__1_EmissionsFromPurchasedLivestock(E51,H51,IF(I51,I51,$E$39))</f>
        <v>0</v>
      </c>
      <c r="K51" s="85"/>
      <c r="L51" s="48"/>
      <c r="M51" s="85"/>
    </row>
    <row r="52" spans="4:13" ht="20.100000000000001" customHeight="1" x14ac:dyDescent="0.25"/>
    <row r="53" spans="4:13" ht="20.100000000000001" customHeight="1" x14ac:dyDescent="0.25">
      <c r="D53" s="178" t="s">
        <v>656</v>
      </c>
      <c r="E53" s="101">
        <f>SUM(G42:G51)</f>
        <v>295.47000000000003</v>
      </c>
      <c r="F53" s="179" t="str">
        <f>$E$11</f>
        <v>t CO2e</v>
      </c>
    </row>
    <row r="54" spans="4:13" ht="20.100000000000001" customHeight="1" x14ac:dyDescent="0.25">
      <c r="D54" s="178" t="s">
        <v>657</v>
      </c>
      <c r="E54" s="101">
        <f>SUM(J42:J51)</f>
        <v>415.625</v>
      </c>
      <c r="F54" s="179" t="str">
        <f>$E$11</f>
        <v>t CO2e</v>
      </c>
    </row>
    <row r="55" spans="4:13" ht="20.100000000000001" customHeight="1" x14ac:dyDescent="0.25"/>
    <row r="56" spans="4:13" ht="20.100000000000001" customHeight="1" x14ac:dyDescent="0.25"/>
    <row r="57" spans="4:13" ht="20.100000000000001" customHeight="1" x14ac:dyDescent="0.25">
      <c r="D57" s="148" t="s">
        <v>548</v>
      </c>
    </row>
    <row r="58" spans="4:13" ht="20.100000000000001" customHeight="1" x14ac:dyDescent="0.25">
      <c r="D58" s="171" t="s">
        <v>637</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366</v>
      </c>
      <c r="E60" s="156" t="s">
        <v>630</v>
      </c>
      <c r="F60" s="156" t="s">
        <v>631</v>
      </c>
      <c r="G60" s="60" t="s">
        <v>642</v>
      </c>
      <c r="H60" s="156" t="s">
        <v>632</v>
      </c>
      <c r="I60" s="47" t="s">
        <v>634</v>
      </c>
      <c r="J60" s="60" t="s">
        <v>644</v>
      </c>
      <c r="K60" s="47" t="s">
        <v>638</v>
      </c>
      <c r="L60" s="47" t="s">
        <v>639</v>
      </c>
      <c r="M60" s="47" t="s">
        <v>640</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5"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5" cm="1">
        <f t="array" ref="J61">Scope3_Equations.VEERG_15_1_1_1__1_EmissionsFromPurchasedLivestock(E61,H61,IF(I61, I61,$E$58))</f>
        <v>60.84</v>
      </c>
      <c r="K61" s="85"/>
      <c r="L61" s="48"/>
      <c r="M61"/>
    </row>
    <row r="62" spans="4:13" ht="20.100000000000001" customHeight="1" x14ac:dyDescent="0.25">
      <c r="D62" s="50" t="str">
        <v>Swine from Samantha</v>
      </c>
      <c r="E62" s="50">
        <v>100</v>
      </c>
      <c r="F62" s="50">
        <v>39</v>
      </c>
      <c r="G62" s="155" cm="1">
        <f t="array" ref="G62">Scope3_Equations.VEERG_15_1_1_1__1_EmissionsFromPurchasedLivestock(E62,F62,$E$58)</f>
        <v>13.182</v>
      </c>
      <c r="H62" s="50">
        <v>38</v>
      </c>
      <c r="I62" s="69">
        <v>3.3</v>
      </c>
      <c r="J62" s="155" cm="1">
        <f t="array" ref="J62">Scope3_Equations.VEERG_15_1_1_1__1_EmissionsFromPurchasedLivestock(E62,H62,IF(I62, I62,$E$58))</f>
        <v>12.540000000000001</v>
      </c>
      <c r="K62" s="85"/>
      <c r="L62" s="48"/>
      <c r="M62" s="85"/>
    </row>
    <row r="63" spans="4:13" ht="20.100000000000001" customHeight="1" x14ac:dyDescent="0.25">
      <c r="D63" s="50">
        <v>0</v>
      </c>
      <c r="E63" s="50">
        <v>0</v>
      </c>
      <c r="F63" s="50">
        <v>0</v>
      </c>
      <c r="G63" s="155" cm="1">
        <f t="array" ref="G63">Scope3_Equations.VEERG_15_1_1_1__1_EmissionsFromPurchasedLivestock(E63,F63,$E$58)</f>
        <v>0</v>
      </c>
      <c r="H63" s="50">
        <v>0</v>
      </c>
      <c r="I63" s="69"/>
      <c r="J63" s="155" cm="1">
        <f t="array" ref="J63">Scope3_Equations.VEERG_15_1_1_1__1_EmissionsFromPurchasedLivestock(E63,H63,IF(I63, I63,$E$58))</f>
        <v>0</v>
      </c>
      <c r="K63" s="85"/>
      <c r="L63" s="48"/>
      <c r="M63" s="85"/>
    </row>
    <row r="64" spans="4:13" ht="20.100000000000001" customHeight="1" x14ac:dyDescent="0.25">
      <c r="D64" s="50">
        <v>0</v>
      </c>
      <c r="E64" s="50">
        <v>0</v>
      </c>
      <c r="F64" s="50">
        <v>0</v>
      </c>
      <c r="G64" s="155" cm="1">
        <f t="array" ref="G64">Scope3_Equations.VEERG_15_1_1_1__1_EmissionsFromPurchasedLivestock(E64,F64,$E$58)</f>
        <v>0</v>
      </c>
      <c r="H64" s="50">
        <v>0</v>
      </c>
      <c r="I64" s="69"/>
      <c r="J64" s="155" cm="1">
        <f t="array" ref="J64">Scope3_Equations.VEERG_15_1_1_1__1_EmissionsFromPurchasedLivestock(E64,H64,IF(I64, I64,$E$58))</f>
        <v>0</v>
      </c>
      <c r="K64" s="85"/>
      <c r="L64" s="48"/>
      <c r="M64" s="85"/>
    </row>
    <row r="65" spans="4:13" ht="20.100000000000001" customHeight="1" x14ac:dyDescent="0.25">
      <c r="D65" s="50">
        <v>0</v>
      </c>
      <c r="E65" s="50">
        <v>0</v>
      </c>
      <c r="F65" s="50">
        <v>0</v>
      </c>
      <c r="G65" s="155" cm="1">
        <f t="array" ref="G65">Scope3_Equations.VEERG_15_1_1_1__1_EmissionsFromPurchasedLivestock(E65,F65,$E$58)</f>
        <v>0</v>
      </c>
      <c r="H65" s="50">
        <v>0</v>
      </c>
      <c r="I65" s="69"/>
      <c r="J65" s="155" cm="1">
        <f t="array" ref="J65">Scope3_Equations.VEERG_15_1_1_1__1_EmissionsFromPurchasedLivestock(E65,H65,IF(I65, I65,$E$58))</f>
        <v>0</v>
      </c>
      <c r="K65" s="85"/>
      <c r="L65" s="48"/>
      <c r="M65" s="85"/>
    </row>
    <row r="66" spans="4:13" ht="20.100000000000001" customHeight="1" x14ac:dyDescent="0.25">
      <c r="D66" s="50">
        <v>0</v>
      </c>
      <c r="E66" s="50">
        <v>0</v>
      </c>
      <c r="F66" s="50">
        <v>0</v>
      </c>
      <c r="G66" s="155" cm="1">
        <f t="array" ref="G66">Scope3_Equations.VEERG_15_1_1_1__1_EmissionsFromPurchasedLivestock(E66,F66,$E$58)</f>
        <v>0</v>
      </c>
      <c r="H66" s="50">
        <v>0</v>
      </c>
      <c r="I66" s="69"/>
      <c r="J66" s="155" cm="1">
        <f t="array" ref="J66">Scope3_Equations.VEERG_15_1_1_1__1_EmissionsFromPurchasedLivestock(E66,H66,IF(I66, I66,$E$58))</f>
        <v>0</v>
      </c>
      <c r="K66" s="85"/>
      <c r="L66" s="48"/>
      <c r="M66" s="85"/>
    </row>
    <row r="67" spans="4:13" ht="20.100000000000001" customHeight="1" x14ac:dyDescent="0.25">
      <c r="D67" s="50">
        <v>0</v>
      </c>
      <c r="E67" s="50">
        <v>0</v>
      </c>
      <c r="F67" s="50">
        <v>0</v>
      </c>
      <c r="G67" s="155" cm="1">
        <f t="array" ref="G67">Scope3_Equations.VEERG_15_1_1_1__1_EmissionsFromPurchasedLivestock(E67,F67,$E$58)</f>
        <v>0</v>
      </c>
      <c r="H67" s="50">
        <v>0</v>
      </c>
      <c r="I67" s="69"/>
      <c r="J67" s="155" cm="1">
        <f t="array" ref="J67">Scope3_Equations.VEERG_15_1_1_1__1_EmissionsFromPurchasedLivestock(E67,H67,IF(I67, I67,$E$58))</f>
        <v>0</v>
      </c>
      <c r="K67" s="85"/>
      <c r="L67" s="48"/>
      <c r="M67" s="85"/>
    </row>
    <row r="68" spans="4:13" ht="20.100000000000001" customHeight="1" x14ac:dyDescent="0.25">
      <c r="D68" s="50">
        <v>0</v>
      </c>
      <c r="E68" s="50">
        <v>0</v>
      </c>
      <c r="F68" s="50">
        <v>0</v>
      </c>
      <c r="G68" s="155" cm="1">
        <f t="array" ref="G68">Scope3_Equations.VEERG_15_1_1_1__1_EmissionsFromPurchasedLivestock(E68,F68,$E$58)</f>
        <v>0</v>
      </c>
      <c r="H68" s="50">
        <v>0</v>
      </c>
      <c r="I68" s="69"/>
      <c r="J68" s="155" cm="1">
        <f t="array" ref="J68">Scope3_Equations.VEERG_15_1_1_1__1_EmissionsFromPurchasedLivestock(E68,H68,IF(I68, I68,$E$58))</f>
        <v>0</v>
      </c>
      <c r="K68" s="85"/>
      <c r="L68" s="48"/>
      <c r="M68" s="85"/>
    </row>
    <row r="69" spans="4:13" ht="20.100000000000001" customHeight="1" x14ac:dyDescent="0.25">
      <c r="D69" s="50">
        <v>0</v>
      </c>
      <c r="E69" s="50">
        <v>0</v>
      </c>
      <c r="F69" s="50">
        <v>0</v>
      </c>
      <c r="G69" s="155" cm="1">
        <f t="array" ref="G69">Scope3_Equations.VEERG_15_1_1_1__1_EmissionsFromPurchasedLivestock(E69,F69,$E$58)</f>
        <v>0</v>
      </c>
      <c r="H69" s="50">
        <v>0</v>
      </c>
      <c r="I69" s="69"/>
      <c r="J69" s="155" cm="1">
        <f t="array" ref="J69">Scope3_Equations.VEERG_15_1_1_1__1_EmissionsFromPurchasedLivestock(E69,H69,IF(I69, I69,$E$58))</f>
        <v>0</v>
      </c>
      <c r="K69" s="85"/>
      <c r="L69" s="48"/>
      <c r="M69" s="85"/>
    </row>
    <row r="70" spans="4:13" ht="20.100000000000001" customHeight="1" x14ac:dyDescent="0.25">
      <c r="D70" s="50">
        <v>0</v>
      </c>
      <c r="E70" s="50">
        <v>0</v>
      </c>
      <c r="F70" s="50">
        <v>0</v>
      </c>
      <c r="G70" s="155" cm="1">
        <f t="array" ref="G70">Scope3_Equations.VEERG_15_1_1_1__1_EmissionsFromPurchasedLivestock(E70,F70,$E$58)</f>
        <v>0</v>
      </c>
      <c r="H70" s="50">
        <v>0</v>
      </c>
      <c r="I70" s="69"/>
      <c r="J70" s="155" cm="1">
        <f t="array" ref="J70">Scope3_Equations.VEERG_15_1_1_1__1_EmissionsFromPurchasedLivestock(E70,H70,IF(I70, I70,$E$58))</f>
        <v>0</v>
      </c>
      <c r="K70" s="85"/>
      <c r="L70" s="48"/>
      <c r="M70" s="85"/>
    </row>
    <row r="71" spans="4:13" ht="20.100000000000001" customHeight="1" x14ac:dyDescent="0.25"/>
    <row r="72" spans="4:13" ht="20.100000000000001" customHeight="1" x14ac:dyDescent="0.25">
      <c r="D72" s="178" t="s">
        <v>654</v>
      </c>
      <c r="E72" s="101">
        <f>SUM(G61:G70)</f>
        <v>76.725999999999999</v>
      </c>
      <c r="F72" s="179" t="str">
        <f>$E$11</f>
        <v>t CO2e</v>
      </c>
    </row>
    <row r="73" spans="4:13" ht="20.100000000000001" customHeight="1" x14ac:dyDescent="0.25">
      <c r="D73" s="178" t="s">
        <v>655</v>
      </c>
      <c r="E73" s="101">
        <f>SUM(J61:J70)</f>
        <v>73.38000000000001</v>
      </c>
      <c r="F73" s="179" t="str">
        <f>$E$11</f>
        <v>t CO2e</v>
      </c>
    </row>
    <row r="74" spans="4:13" ht="20.100000000000001" customHeight="1" x14ac:dyDescent="0.25"/>
    <row r="75" spans="4:13" ht="20.100000000000001" customHeight="1" x14ac:dyDescent="0.25">
      <c r="D75" s="148" t="s">
        <v>575</v>
      </c>
    </row>
    <row r="76" spans="4:13" ht="20.100000000000001" customHeight="1" x14ac:dyDescent="0.25">
      <c r="D76" s="171" t="s">
        <v>637</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366</v>
      </c>
      <c r="E78" s="156" t="s">
        <v>630</v>
      </c>
      <c r="F78" s="156" t="s">
        <v>631</v>
      </c>
      <c r="G78" s="60" t="s">
        <v>642</v>
      </c>
      <c r="H78" s="156" t="s">
        <v>632</v>
      </c>
      <c r="I78" s="47" t="s">
        <v>634</v>
      </c>
      <c r="J78" s="60" t="s">
        <v>644</v>
      </c>
      <c r="K78" s="47" t="s">
        <v>638</v>
      </c>
      <c r="L78" s="47" t="s">
        <v>639</v>
      </c>
      <c r="M78" s="47" t="s">
        <v>640</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5"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5" cm="1">
        <f t="array" ref="J79">Scope3_Equations.VEERG_15_1_1_1__1_EmissionsFromPurchasedLivestock(E79,H79,IF(I79, I79,$E$76))</f>
        <v>0.16900000000000001</v>
      </c>
      <c r="K79" s="85"/>
      <c r="L79" s="48"/>
      <c r="M79"/>
    </row>
    <row r="80" spans="4:13" ht="20.100000000000001" customHeight="1" x14ac:dyDescent="0.25">
      <c r="D80" s="50" t="str">
        <v>Roosters from Raj</v>
      </c>
      <c r="E80" s="50">
        <v>100</v>
      </c>
      <c r="F80" s="50">
        <v>1.4</v>
      </c>
      <c r="G80" s="155" cm="1">
        <f t="array" ref="G80">Scope3_Equations.VEERG_15_1_1_1__1_EmissionsFromPurchasedLivestock(E80,F80,$E$76)</f>
        <v>0.19040000000000001</v>
      </c>
      <c r="H80" s="50">
        <v>1.4</v>
      </c>
      <c r="I80" s="69"/>
      <c r="J80" s="155" cm="1">
        <f t="array" ref="J80">Scope3_Equations.VEERG_15_1_1_1__1_EmissionsFromPurchasedLivestock(E80,H80,IF(I80, I80,$E$76))</f>
        <v>0.19040000000000001</v>
      </c>
      <c r="K80" s="85"/>
      <c r="L80" s="48"/>
      <c r="M80" s="85"/>
    </row>
    <row r="81" spans="4:13" ht="20.100000000000001" customHeight="1" x14ac:dyDescent="0.25">
      <c r="D81" s="50">
        <v>0</v>
      </c>
      <c r="E81" s="50">
        <v>0</v>
      </c>
      <c r="F81" s="50">
        <v>0</v>
      </c>
      <c r="G81" s="155" cm="1">
        <f t="array" ref="G81">Scope3_Equations.VEERG_15_1_1_1__1_EmissionsFromPurchasedLivestock(E81,F81,$E$76)</f>
        <v>0</v>
      </c>
      <c r="H81" s="50">
        <v>0</v>
      </c>
      <c r="I81" s="69"/>
      <c r="J81" s="155" cm="1">
        <f t="array" ref="J81">Scope3_Equations.VEERG_15_1_1_1__1_EmissionsFromPurchasedLivestock(E81,H81,IF(I81, I81,$E$76))</f>
        <v>0</v>
      </c>
      <c r="K81" s="85"/>
      <c r="L81" s="48"/>
      <c r="M81" s="85"/>
    </row>
    <row r="82" spans="4:13" ht="20.100000000000001" customHeight="1" x14ac:dyDescent="0.25">
      <c r="D82" s="50">
        <v>0</v>
      </c>
      <c r="E82" s="50">
        <v>0</v>
      </c>
      <c r="F82" s="50">
        <v>0</v>
      </c>
      <c r="G82" s="155" cm="1">
        <f t="array" ref="G82">Scope3_Equations.VEERG_15_1_1_1__1_EmissionsFromPurchasedLivestock(E82,F82,$E$76)</f>
        <v>0</v>
      </c>
      <c r="H82" s="50">
        <v>0</v>
      </c>
      <c r="I82" s="69"/>
      <c r="J82" s="155" cm="1">
        <f t="array" ref="J82">Scope3_Equations.VEERG_15_1_1_1__1_EmissionsFromPurchasedLivestock(E82,H82,IF(I82, I82,$E$76))</f>
        <v>0</v>
      </c>
      <c r="K82" s="85"/>
      <c r="L82" s="48"/>
      <c r="M82" s="85"/>
    </row>
    <row r="83" spans="4:13" ht="20.100000000000001" customHeight="1" x14ac:dyDescent="0.25">
      <c r="D83" s="50">
        <v>0</v>
      </c>
      <c r="E83" s="50">
        <v>0</v>
      </c>
      <c r="F83" s="50">
        <v>0</v>
      </c>
      <c r="G83" s="155" cm="1">
        <f t="array" ref="G83">Scope3_Equations.VEERG_15_1_1_1__1_EmissionsFromPurchasedLivestock(E83,F83,$E$76)</f>
        <v>0</v>
      </c>
      <c r="H83" s="50">
        <v>0</v>
      </c>
      <c r="I83" s="69"/>
      <c r="J83" s="155" cm="1">
        <f t="array" ref="J83">Scope3_Equations.VEERG_15_1_1_1__1_EmissionsFromPurchasedLivestock(E83,H83,IF(I83, I83,$E$76))</f>
        <v>0</v>
      </c>
      <c r="K83" s="85"/>
      <c r="L83" s="48"/>
      <c r="M83" s="85"/>
    </row>
    <row r="84" spans="4:13" ht="20.100000000000001" customHeight="1" x14ac:dyDescent="0.25">
      <c r="D84" s="50">
        <v>0</v>
      </c>
      <c r="E84" s="50">
        <v>0</v>
      </c>
      <c r="F84" s="50">
        <v>0</v>
      </c>
      <c r="G84" s="155" cm="1">
        <f t="array" ref="G84">Scope3_Equations.VEERG_15_1_1_1__1_EmissionsFromPurchasedLivestock(E84,F84,$E$76)</f>
        <v>0</v>
      </c>
      <c r="H84" s="50">
        <v>0</v>
      </c>
      <c r="I84" s="69"/>
      <c r="J84" s="155" cm="1">
        <f t="array" ref="J84">Scope3_Equations.VEERG_15_1_1_1__1_EmissionsFromPurchasedLivestock(E84,H84,IF(I84, I84,$E$76))</f>
        <v>0</v>
      </c>
      <c r="K84" s="85"/>
      <c r="L84" s="48"/>
      <c r="M84" s="85"/>
    </row>
    <row r="85" spans="4:13" ht="20.100000000000001" customHeight="1" x14ac:dyDescent="0.25">
      <c r="D85" s="50">
        <v>0</v>
      </c>
      <c r="E85" s="50">
        <v>0</v>
      </c>
      <c r="F85" s="50">
        <v>0</v>
      </c>
      <c r="G85" s="155" cm="1">
        <f t="array" ref="G85">Scope3_Equations.VEERG_15_1_1_1__1_EmissionsFromPurchasedLivestock(E85,F85,$E$76)</f>
        <v>0</v>
      </c>
      <c r="H85" s="50">
        <v>0</v>
      </c>
      <c r="I85" s="69"/>
      <c r="J85" s="155" cm="1">
        <f t="array" ref="J85">Scope3_Equations.VEERG_15_1_1_1__1_EmissionsFromPurchasedLivestock(E85,H85,IF(I85, I85,$E$76))</f>
        <v>0</v>
      </c>
      <c r="K85" s="85"/>
      <c r="L85" s="48"/>
      <c r="M85" s="85"/>
    </row>
    <row r="86" spans="4:13" ht="20.100000000000001" customHeight="1" x14ac:dyDescent="0.25">
      <c r="D86" s="50">
        <v>0</v>
      </c>
      <c r="E86" s="50">
        <v>0</v>
      </c>
      <c r="F86" s="50">
        <v>0</v>
      </c>
      <c r="G86" s="155" cm="1">
        <f t="array" ref="G86">Scope3_Equations.VEERG_15_1_1_1__1_EmissionsFromPurchasedLivestock(E86,F86,$E$76)</f>
        <v>0</v>
      </c>
      <c r="H86" s="50">
        <v>0</v>
      </c>
      <c r="I86" s="69"/>
      <c r="J86" s="155" cm="1">
        <f t="array" ref="J86">Scope3_Equations.VEERG_15_1_1_1__1_EmissionsFromPurchasedLivestock(E86,H86,IF(I86, I86,$E$76))</f>
        <v>0</v>
      </c>
      <c r="K86" s="85"/>
      <c r="L86" s="48"/>
      <c r="M86" s="85"/>
    </row>
    <row r="87" spans="4:13" ht="20.100000000000001" customHeight="1" x14ac:dyDescent="0.25">
      <c r="D87" s="50">
        <v>0</v>
      </c>
      <c r="E87" s="50">
        <v>0</v>
      </c>
      <c r="F87" s="50">
        <v>0</v>
      </c>
      <c r="G87" s="155" cm="1">
        <f t="array" ref="G87">Scope3_Equations.VEERG_15_1_1_1__1_EmissionsFromPurchasedLivestock(E87,F87,$E$76)</f>
        <v>0</v>
      </c>
      <c r="H87" s="50">
        <v>0</v>
      </c>
      <c r="I87" s="69"/>
      <c r="J87" s="155" cm="1">
        <f t="array" ref="J87">Scope3_Equations.VEERG_15_1_1_1__1_EmissionsFromPurchasedLivestock(E87,H87,IF(I87, I87,$E$76))</f>
        <v>0</v>
      </c>
      <c r="K87" s="85"/>
      <c r="L87" s="48"/>
      <c r="M87" s="85"/>
    </row>
    <row r="88" spans="4:13" ht="20.100000000000001" customHeight="1" x14ac:dyDescent="0.25">
      <c r="D88" s="50">
        <v>0</v>
      </c>
      <c r="E88" s="50">
        <v>0</v>
      </c>
      <c r="F88" s="50">
        <v>0</v>
      </c>
      <c r="G88" s="155" cm="1">
        <f t="array" ref="G88">Scope3_Equations.VEERG_15_1_1_1__1_EmissionsFromPurchasedLivestock(E88,F88,$E$76)</f>
        <v>0</v>
      </c>
      <c r="H88" s="50">
        <v>0</v>
      </c>
      <c r="I88" s="69"/>
      <c r="J88" s="155" cm="1">
        <f t="array" ref="J88">Scope3_Equations.VEERG_15_1_1_1__1_EmissionsFromPurchasedLivestock(E88,H88,IF(I88, I88,$E$76))</f>
        <v>0</v>
      </c>
      <c r="K88" s="85"/>
      <c r="L88" s="48"/>
      <c r="M88" s="85"/>
    </row>
    <row r="89" spans="4:13" ht="20.100000000000001" customHeight="1" x14ac:dyDescent="0.25"/>
    <row r="90" spans="4:13" ht="20.100000000000001" customHeight="1" x14ac:dyDescent="0.25">
      <c r="D90" s="178" t="s">
        <v>652</v>
      </c>
      <c r="E90" s="101">
        <f>SUM(G79:G88)</f>
        <v>0.36720000000000003</v>
      </c>
      <c r="F90" s="179" t="str">
        <f>$E$11</f>
        <v>t CO2e</v>
      </c>
    </row>
    <row r="91" spans="4:13" ht="20.100000000000001" customHeight="1" x14ac:dyDescent="0.25">
      <c r="D91" s="178" t="s">
        <v>653</v>
      </c>
      <c r="E91" s="101">
        <f>SUM(J79:J88)</f>
        <v>0.35940000000000005</v>
      </c>
      <c r="F91" s="179" t="str">
        <f>$E$11</f>
        <v>t CO2e</v>
      </c>
    </row>
    <row r="92" spans="4:13" ht="20.100000000000001" customHeight="1" x14ac:dyDescent="0.25"/>
    <row r="93" spans="4:13" ht="20.100000000000001" customHeight="1" x14ac:dyDescent="0.25">
      <c r="D93" s="180" t="s">
        <v>642</v>
      </c>
      <c r="E93" s="181">
        <f>E34+E53+E72+E90</f>
        <v>1425.0631999999998</v>
      </c>
      <c r="F93" s="182" t="str">
        <f>$E$11</f>
        <v>t CO2e</v>
      </c>
    </row>
    <row r="94" spans="4:13" ht="20.100000000000001" customHeight="1" x14ac:dyDescent="0.25">
      <c r="D94" s="180" t="s">
        <v>644</v>
      </c>
      <c r="E94" s="181">
        <f>E35+E54+E73+E91</f>
        <v>1503.8644000000002</v>
      </c>
      <c r="F94" s="182" t="str">
        <f>$E$11</f>
        <v>t CO2e</v>
      </c>
    </row>
    <row r="95" spans="4:13" ht="20.100000000000001" customHeight="1" x14ac:dyDescent="0.25"/>
    <row r="96" spans="4:13" ht="20.100000000000001" customHeight="1" x14ac:dyDescent="0.25"/>
    <row r="97" spans="3:41" ht="20.100000000000001" customHeight="1" x14ac:dyDescent="0.25">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6" t="s">
        <v>635</v>
      </c>
      <c r="E100" s="176"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6"/>
    </row>
    <row r="103" spans="3:41" ht="20.100000000000001" customHeight="1" x14ac:dyDescent="0.25">
      <c r="D103" s="28" t="s">
        <v>636</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1" t="str" cm="1">
        <f t="array" ref="D106:E108">_xlfn.CHOOSECOLS(Scope3_Equations.VEERG_15_2_1_1__1_EmissionsFromPurchasedFeed_Arguments(),1,2)</f>
        <v>Q_j</v>
      </c>
      <c r="E106" s="175" t="str">
        <v>quantity of feed type j purchased</v>
      </c>
      <c r="F106" s="170"/>
      <c r="G106" s="171" t="str" cm="1">
        <f t="array" ref="G106:H108">_xlfn.CHOOSECOLS(Scope3_Equations.VEERG_15_2_1_1__1_EmissionsFromPurchasedFeed_Arguments(),3,4)</f>
        <v>t</v>
      </c>
      <c r="H106" s="172" t="str">
        <v>Input</v>
      </c>
    </row>
    <row r="107" spans="3:41" ht="20.100000000000001" customHeight="1" x14ac:dyDescent="0.25">
      <c r="D107" s="171" t="str">
        <v>EF_j</v>
      </c>
      <c r="E107" s="175" t="str">
        <v>emission factor of purchased feed</v>
      </c>
      <c r="F107" s="170"/>
      <c r="G107" s="171" t="str">
        <v>kg CO2e/kg</v>
      </c>
      <c r="H107" s="172" t="str">
        <v>Constant</v>
      </c>
    </row>
    <row r="108" spans="3:41" ht="20.100000000000001" customHeight="1" x14ac:dyDescent="0.25">
      <c r="D108" s="171" t="str">
        <v>j</v>
      </c>
      <c r="E108" s="175" t="str">
        <v>feed type</v>
      </c>
      <c r="F108" s="170"/>
      <c r="G108" s="171" t="str">
        <v/>
      </c>
      <c r="H108" s="173" t="str">
        <v>Input</v>
      </c>
    </row>
    <row r="109" spans="3:41" ht="20.100000000000001" customHeight="1" x14ac:dyDescent="0.25"/>
    <row r="110" spans="3:41" ht="20.100000000000001" customHeight="1" x14ac:dyDescent="0.25">
      <c r="D110" s="148" t="s">
        <v>294</v>
      </c>
    </row>
    <row r="111" spans="3:41" ht="20.100000000000001" customHeight="1" x14ac:dyDescent="0.25"/>
    <row r="112" spans="3:41" ht="20.100000000000001" customHeight="1" x14ac:dyDescent="0.25">
      <c r="D112" s="40" t="s">
        <v>646</v>
      </c>
      <c r="E112" s="42"/>
      <c r="F112" s="40"/>
      <c r="G112" s="41"/>
      <c r="H112" s="42"/>
    </row>
    <row r="113" spans="4:28" ht="20.100000000000001" customHeight="1" x14ac:dyDescent="0.25">
      <c r="D113" s="91" t="s">
        <v>647</v>
      </c>
      <c r="E113" s="93"/>
      <c r="F113" s="91"/>
      <c r="G113" s="92"/>
      <c r="H113" s="93"/>
    </row>
    <row r="114" spans="4:28" ht="20.100000000000001" customHeight="1" x14ac:dyDescent="0.25">
      <c r="D114" s="44" t="s">
        <v>648</v>
      </c>
      <c r="E114" s="46"/>
      <c r="F114" s="44"/>
      <c r="G114" s="45"/>
      <c r="H114" s="46"/>
    </row>
    <row r="115" spans="4:28" ht="20.100000000000001" customHeight="1" x14ac:dyDescent="0.25"/>
    <row r="116" spans="4:28" ht="20.100000000000001" customHeight="1" x14ac:dyDescent="0.25">
      <c r="D116" s="98" t="s">
        <v>405</v>
      </c>
      <c r="E116" s="113"/>
      <c r="F116" s="99"/>
    </row>
    <row r="117" spans="4:28" ht="20.100000000000001" customHeight="1" x14ac:dyDescent="0.25"/>
    <row r="118" spans="4:28" ht="20.100000000000001" customHeight="1" x14ac:dyDescent="0.25">
      <c r="D118" s="47" t="s">
        <v>409</v>
      </c>
      <c r="E118" s="47" t="s">
        <v>641</v>
      </c>
      <c r="F118" s="60" t="s">
        <v>645</v>
      </c>
      <c r="G118" s="60" t="s">
        <v>642</v>
      </c>
      <c r="H118" s="47" t="s">
        <v>643</v>
      </c>
      <c r="I118" s="60" t="s">
        <v>644</v>
      </c>
      <c r="J118" s="47" t="s">
        <v>638</v>
      </c>
      <c r="K118" s="47" t="s">
        <v>639</v>
      </c>
      <c r="L118" s="47" t="s">
        <v>640</v>
      </c>
      <c r="M118" s="60" t="s">
        <v>174</v>
      </c>
      <c r="N118" s="60" t="s">
        <v>390</v>
      </c>
      <c r="O118" s="60" t="s">
        <v>175</v>
      </c>
      <c r="P118" s="60" t="s">
        <v>350</v>
      </c>
      <c r="Q118" s="60" t="s">
        <v>176</v>
      </c>
      <c r="R118" s="60" t="s">
        <v>406</v>
      </c>
      <c r="S118" s="60" t="s">
        <v>177</v>
      </c>
      <c r="T118" s="60" t="s">
        <v>354</v>
      </c>
      <c r="U118" s="60" t="s">
        <v>178</v>
      </c>
      <c r="V118" s="60" t="s">
        <v>407</v>
      </c>
      <c r="W118" s="60" t="s">
        <v>179</v>
      </c>
      <c r="X118" s="60" t="s">
        <v>355</v>
      </c>
      <c r="Y118" s="60" t="s">
        <v>180</v>
      </c>
      <c r="Z118" s="60" t="s">
        <v>408</v>
      </c>
      <c r="AA118" s="60" t="s">
        <v>181</v>
      </c>
      <c r="AB118" s="60" t="s">
        <v>356</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2.4709999999999996E-2</v>
      </c>
      <c r="G119" s="155" cm="1">
        <f t="array" ref="G119">Scope3_Equations.VEERG_15_2_1_1__1_EmissionsFromPurchasedFeed(E119,F119)</f>
        <v>29.651999999999994</v>
      </c>
      <c r="H119" s="69">
        <v>0.04</v>
      </c>
      <c r="I119" s="155" cm="1">
        <f t="array" ref="I119">Scope3_Equations.VEERG_15_2_1_1__1_EmissionsFromPurchasedFeed(E119,IF(H119,H119, F119))</f>
        <v>48</v>
      </c>
      <c r="J119" s="85"/>
      <c r="K119" s="48"/>
      <c r="L119"/>
      <c r="M119" s="50" t="str" cm="1">
        <f t="array" ref="M119:M128">IFERROR(INDEX(Table_Input_FeedBlends[Ingredient 1 (select)], _xlfn.SEQUENCE(10)), "")</f>
        <v>Cereal silage</v>
      </c>
      <c r="N119" s="50" t="str" cm="1">
        <f t="array" ref="N119:N128">IFERROR(INDEX(Table_Input_FeedBlends[Ingredient 1 source region], _xlfn.SEQUENCE(10)), "")</f>
        <v>SA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50" t="str" cm="1">
        <f t="array" ref="Q119:Q128">IFERROR(INDEX(Table_Input_FeedBlends[Ingredient 2 (select)], _xlfn.SEQUENCE(10)), "")</f>
        <v>Cereal hay</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0</v>
      </c>
      <c r="G120" s="155" cm="1">
        <f t="array" ref="G120">Scope3_Equations.VEERG_15_2_1_1__1_EmissionsFromPurchasedFeed(E120,F120)</f>
        <v>0</v>
      </c>
      <c r="H120" s="69">
        <v>0.03</v>
      </c>
      <c r="I120" s="155" cm="1">
        <f t="array" ref="I120">Scope3_Equations.VEERG_15_2_1_1__1_EmissionsFromPurchasedFeed(E120,IF(H120,H120, F120))</f>
        <v>103.67999999999999</v>
      </c>
      <c r="J120" s="85"/>
      <c r="K120" s="48"/>
      <c r="L120" s="85"/>
      <c r="M120" s="50" t="str">
        <v>Lucerne hay</v>
      </c>
      <c r="N120" s="50" t="str">
        <v>WA</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v>
      </c>
      <c r="G121" s="155" cm="1">
        <f t="array" ref="G121">Scope3_Equations.VEERG_15_2_1_1__1_EmissionsFromPurchasedFeed(E121,F121)</f>
        <v>0</v>
      </c>
      <c r="H121" s="69">
        <v>0.14000000000000001</v>
      </c>
      <c r="I121" s="155" cm="1">
        <f t="array" ref="I121">Scope3_Equations.VEERG_15_2_1_1__1_EmissionsFromPurchasedFeed(E121,IF(H121,H121, F121))</f>
        <v>42.000000000000007</v>
      </c>
      <c r="J121" s="85"/>
      <c r="K121" s="48"/>
      <c r="L121" s="85"/>
      <c r="M121" s="50" t="str">
        <v>Sardines (whole)</v>
      </c>
      <c r="N121" s="50" t="str">
        <v>VIC</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0.34499999999999997</v>
      </c>
      <c r="G122" s="155" cm="1">
        <f t="array" ref="G122">Scope3_Equations.VEERG_15_2_1_1__1_EmissionsFromPurchasedFeed(E122,F122)</f>
        <v>172.5</v>
      </c>
      <c r="H122" s="69"/>
      <c r="I122" s="155" cm="1">
        <f t="array" ref="I122">Scope3_Equations.VEERG_15_2_1_1__1_EmissionsFromPurchasedFeed(E122,IF(H122,H122, F122))</f>
        <v>172.5</v>
      </c>
      <c r="J122" s="85"/>
      <c r="K122" s="48"/>
      <c r="L122" s="85"/>
      <c r="M122" s="50" t="str">
        <v>Pasture hay</v>
      </c>
      <c r="N122" s="50" t="str">
        <v>VIC</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5" cm="1">
        <f t="array" ref="G123">Scope3_Equations.VEERG_15_2_1_1__1_EmissionsFromPurchasedFeed(E123,F123)</f>
        <v>0</v>
      </c>
      <c r="H123" s="69"/>
      <c r="I123" s="155" cm="1">
        <f t="array" ref="I123">Scope3_Equations.VEERG_15_2_1_1__1_EmissionsFromPurchasedFeed(E123,IF(H123,H123, F123))</f>
        <v>0</v>
      </c>
      <c r="J123" s="85"/>
      <c r="K123" s="48"/>
      <c r="L123" s="85"/>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5" cm="1">
        <f t="array" ref="G124">Scope3_Equations.VEERG_15_2_1_1__1_EmissionsFromPurchasedFeed(E124,F124)</f>
        <v>0</v>
      </c>
      <c r="H124" s="69"/>
      <c r="I124" s="155" cm="1">
        <f t="array" ref="I124">Scope3_Equations.VEERG_15_2_1_1__1_EmissionsFromPurchasedFeed(E124,IF(H124,H124, F124))</f>
        <v>0</v>
      </c>
      <c r="J124" s="85"/>
      <c r="K124" s="48"/>
      <c r="L124" s="85"/>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5" cm="1">
        <f t="array" ref="G125">Scope3_Equations.VEERG_15_2_1_1__1_EmissionsFromPurchasedFeed(E125,F125)</f>
        <v>0</v>
      </c>
      <c r="H125" s="69"/>
      <c r="I125" s="155" cm="1">
        <f t="array" ref="I125">Scope3_Equations.VEERG_15_2_1_1__1_EmissionsFromPurchasedFeed(E125,IF(H125,H125, F125))</f>
        <v>0</v>
      </c>
      <c r="J125" s="85"/>
      <c r="K125" s="48"/>
      <c r="L125" s="85"/>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5" cm="1">
        <f t="array" ref="G126">Scope3_Equations.VEERG_15_2_1_1__1_EmissionsFromPurchasedFeed(E126,F126)</f>
        <v>0</v>
      </c>
      <c r="H126" s="69"/>
      <c r="I126" s="155" cm="1">
        <f t="array" ref="I126">Scope3_Equations.VEERG_15_2_1_1__1_EmissionsFromPurchasedFeed(E126,IF(H126,H126, F126))</f>
        <v>0</v>
      </c>
      <c r="J126" s="85"/>
      <c r="K126" s="48"/>
      <c r="L126" s="85"/>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5" cm="1">
        <f t="array" ref="G127">Scope3_Equations.VEERG_15_2_1_1__1_EmissionsFromPurchasedFeed(E127,F127)</f>
        <v>0</v>
      </c>
      <c r="H127" s="69"/>
      <c r="I127" s="155" cm="1">
        <f t="array" ref="I127">Scope3_Equations.VEERG_15_2_1_1__1_EmissionsFromPurchasedFeed(E127,IF(H127,H127, F127))</f>
        <v>0</v>
      </c>
      <c r="J127" s="85"/>
      <c r="K127" s="48"/>
      <c r="L127" s="85"/>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5" cm="1">
        <f t="array" ref="G128">Scope3_Equations.VEERG_15_2_1_1__1_EmissionsFromPurchasedFeed(E128,F128)</f>
        <v>0</v>
      </c>
      <c r="H128" s="69"/>
      <c r="I128" s="155" cm="1">
        <f t="array" ref="I128">Scope3_Equations.VEERG_15_2_1_1__1_EmissionsFromPurchasedFeed(E128,IF(H128,H128, F128))</f>
        <v>0</v>
      </c>
      <c r="J128" s="85"/>
      <c r="K128" s="48"/>
      <c r="L128" s="85"/>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8" t="s">
        <v>642</v>
      </c>
      <c r="E130" s="101">
        <f>SUM(G119:G128)</f>
        <v>202.15199999999999</v>
      </c>
      <c r="F130" s="179" t="str">
        <f>$E$104</f>
        <v>t CO2e</v>
      </c>
    </row>
    <row r="131" spans="4:12" ht="20.100000000000001" customHeight="1" x14ac:dyDescent="0.25">
      <c r="D131" s="178" t="s">
        <v>644</v>
      </c>
      <c r="E131" s="101">
        <f>SUM(I119:I128)</f>
        <v>366.18</v>
      </c>
      <c r="F131" s="179" t="str">
        <f>$E$104</f>
        <v>t CO2e</v>
      </c>
    </row>
    <row r="132" spans="4:12" ht="20.100000000000001" customHeight="1" x14ac:dyDescent="0.25"/>
    <row r="133" spans="4:12" ht="20.100000000000001" customHeight="1" x14ac:dyDescent="0.25"/>
    <row r="134" spans="4:12" ht="20.100000000000001" customHeight="1" x14ac:dyDescent="0.25">
      <c r="D134" s="148" t="s">
        <v>403</v>
      </c>
    </row>
    <row r="135" spans="4:12" ht="20.100000000000001" customHeight="1" x14ac:dyDescent="0.25">
      <c r="D135" s="47" t="s">
        <v>217</v>
      </c>
      <c r="E135" s="47" t="s">
        <v>641</v>
      </c>
      <c r="F135" s="60" t="s">
        <v>645</v>
      </c>
      <c r="G135" s="60" t="s">
        <v>642</v>
      </c>
      <c r="H135" s="47" t="s">
        <v>643</v>
      </c>
      <c r="I135" s="60" t="s">
        <v>644</v>
      </c>
      <c r="J135" s="47" t="s">
        <v>638</v>
      </c>
      <c r="K135" s="47" t="s">
        <v>639</v>
      </c>
      <c r="L135" s="47" t="s">
        <v>640</v>
      </c>
    </row>
    <row r="136" spans="4:12" ht="20.100000000000001" customHeight="1" x14ac:dyDescent="0.25">
      <c r="D136" s="50" t="str">
        <f>'Input - Farm Inputs'!D56</f>
        <v>Feed for chickens</v>
      </c>
      <c r="E136" s="50">
        <f>X_Cell_FarmInputs_FeedRations_Chickens</f>
        <v>100</v>
      </c>
      <c r="F136" s="50" cm="1">
        <f t="array" ref="F136">Common_InputFunctions.Utility_LookupValueInTableNumber(D136,Table_SourceData_Scope3_MixedRations[Product],Table_SourceData_Scope3_MixedRations[AusLCI Emissions intensity])</f>
        <v>0.59399999999999997</v>
      </c>
      <c r="G136" s="155" cm="1">
        <f t="array" ref="G136">Scope3_Equations.VEERG_15_2_1_1__1_EmissionsFromPurchasedFeed(E136,F136)</f>
        <v>59.4</v>
      </c>
      <c r="H136" s="69">
        <v>0.5</v>
      </c>
      <c r="I136" s="155" cm="1">
        <f t="array" ref="I136">Scope3_Equations.VEERG_15_2_1_1__1_EmissionsFromPurchasedFeed(E136,IF(H136,H136, F136))</f>
        <v>50</v>
      </c>
      <c r="J136" s="85"/>
      <c r="K136" s="48"/>
      <c r="L136"/>
    </row>
    <row r="137" spans="4:12" ht="20.100000000000001" customHeight="1" x14ac:dyDescent="0.25">
      <c r="D137" s="50" t="str">
        <f>'Input - Farm Inputs'!D57</f>
        <v>Feed for dairy calves</v>
      </c>
      <c r="E137" s="50">
        <f>X_Cell_FarmInputs_FeedRations_DairyCalves</f>
        <v>100</v>
      </c>
      <c r="F137" s="50" cm="1">
        <f t="array" ref="F137">Common_InputFunctions.Utility_LookupValueInTableNumber(D137,Table_SourceData_Scope3_MixedRations[Product],Table_SourceData_Scope3_MixedRations[AusLCI Emissions intensity])</f>
        <v>0.41899999999999998</v>
      </c>
      <c r="G137" s="155" cm="1">
        <f t="array" ref="G137">Scope3_Equations.VEERG_15_2_1_1__1_EmissionsFromPurchasedFeed(E137,F137)</f>
        <v>41.9</v>
      </c>
      <c r="H137" s="69">
        <v>0.4</v>
      </c>
      <c r="I137" s="155" cm="1">
        <f t="array" ref="I137">Scope3_Equations.VEERG_15_2_1_1__1_EmissionsFromPurchasedFeed(E137,IF(H137,H137, F137))</f>
        <v>40</v>
      </c>
      <c r="J137" s="85"/>
      <c r="K137" s="48"/>
      <c r="L137" s="85"/>
    </row>
    <row r="138" spans="4:12" ht="20.100000000000001" customHeight="1" x14ac:dyDescent="0.25">
      <c r="D138" s="50" t="str">
        <f>'Input - Farm Inputs'!D58</f>
        <v>Feed for dairy cows</v>
      </c>
      <c r="E138" s="50">
        <f>X_Cell_FarmInputs_FeedRations_DairyCows</f>
        <v>100</v>
      </c>
      <c r="F138" s="50" cm="1">
        <f t="array" ref="F138">Common_InputFunctions.Utility_LookupValueInTableNumber(D138,Table_SourceData_Scope3_MixedRations[Product],Table_SourceData_Scope3_MixedRations[AusLCI Emissions intensity])</f>
        <v>0.33300000000000002</v>
      </c>
      <c r="G138" s="155" cm="1">
        <f t="array" ref="G138">Scope3_Equations.VEERG_15_2_1_1__1_EmissionsFromPurchasedFeed(E138,F138)</f>
        <v>33.300000000000004</v>
      </c>
      <c r="H138" s="69">
        <v>0</v>
      </c>
      <c r="I138" s="155" cm="1">
        <f t="array" ref="I138">Scope3_Equations.VEERG_15_2_1_1__1_EmissionsFromPurchasedFeed(E138,IF(H138,H138, F138))</f>
        <v>33.300000000000004</v>
      </c>
      <c r="J138" s="85"/>
      <c r="K138" s="48"/>
      <c r="L138" s="85"/>
    </row>
    <row r="139" spans="4:12" ht="20.100000000000001" customHeight="1" x14ac:dyDescent="0.25">
      <c r="D139" s="50" t="str">
        <f>'Input - Farm Inputs'!D59</f>
        <v>Feed for pigs</v>
      </c>
      <c r="E139" s="50">
        <f>X_Cell_FarmInputs_FeedRations_Pigs</f>
        <v>100</v>
      </c>
      <c r="F139" s="50" cm="1">
        <f t="array" ref="F139">Common_InputFunctions.Utility_LookupValueInTableNumber(D139,Table_SourceData_Scope3_MixedRations[Product],Table_SourceData_Scope3_MixedRations[AusLCI Emissions intensity])</f>
        <v>0.40300000000000002</v>
      </c>
      <c r="G139" s="155" cm="1">
        <f t="array" ref="G139">Scope3_Equations.VEERG_15_2_1_1__1_EmissionsFromPurchasedFeed(E139,F139)</f>
        <v>40.300000000000004</v>
      </c>
      <c r="H139" s="69">
        <v>0</v>
      </c>
      <c r="I139" s="155" cm="1">
        <f t="array" ref="I139">Scope3_Equations.VEERG_15_2_1_1__1_EmissionsFromPurchasedFeed(E139,IF(H139,H139, F139))</f>
        <v>40.300000000000004</v>
      </c>
      <c r="J139" s="85"/>
      <c r="K139" s="48"/>
      <c r="L139" s="85"/>
    </row>
    <row r="140" spans="4:12" ht="20.100000000000001" customHeight="1" x14ac:dyDescent="0.25"/>
    <row r="141" spans="4:12" ht="20.100000000000001" customHeight="1" x14ac:dyDescent="0.25">
      <c r="D141" s="178" t="s">
        <v>642</v>
      </c>
      <c r="E141" s="101">
        <f>SUM(G136:G139)</f>
        <v>174.9</v>
      </c>
      <c r="F141" s="179" t="str">
        <f>$E$104</f>
        <v>t CO2e</v>
      </c>
    </row>
    <row r="142" spans="4:12" ht="20.100000000000001" customHeight="1" x14ac:dyDescent="0.25">
      <c r="D142" s="178" t="s">
        <v>644</v>
      </c>
      <c r="E142" s="101">
        <f>SUM(I136:I139)</f>
        <v>163.60000000000002</v>
      </c>
      <c r="F142" s="179" t="str">
        <f>$E$104</f>
        <v>t CO2e</v>
      </c>
    </row>
    <row r="143" spans="4:12" ht="20.100000000000001" customHeight="1" x14ac:dyDescent="0.25"/>
    <row r="144" spans="4:12" ht="20.100000000000001" customHeight="1" x14ac:dyDescent="0.25">
      <c r="D144" s="180" t="s">
        <v>642</v>
      </c>
      <c r="E144" s="181">
        <f>E130+E141</f>
        <v>377.05200000000002</v>
      </c>
      <c r="F144" s="182" t="str">
        <f>$E$104</f>
        <v>t CO2e</v>
      </c>
    </row>
    <row r="145" spans="3:41" ht="20.100000000000001" customHeight="1" x14ac:dyDescent="0.25">
      <c r="D145" s="180" t="s">
        <v>644</v>
      </c>
      <c r="E145" s="181">
        <f>E131+E142</f>
        <v>529.78</v>
      </c>
      <c r="F145" s="182" t="str">
        <f>$E$104</f>
        <v>t CO2e</v>
      </c>
    </row>
    <row r="146" spans="3:41" ht="20.100000000000001" customHeight="1" x14ac:dyDescent="0.25"/>
    <row r="147" spans="3:41" ht="20.100000000000001" customHeight="1" x14ac:dyDescent="0.25"/>
    <row r="148" spans="3:41" ht="20.100000000000001" customHeight="1" x14ac:dyDescent="0.25">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6" t="s">
        <v>635</v>
      </c>
      <c r="E151" s="176"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6"/>
    </row>
    <row r="154" spans="3:41" ht="20.100000000000001" customHeight="1" x14ac:dyDescent="0.25">
      <c r="D154" s="28" t="s">
        <v>636</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1" t="str" cm="1">
        <f t="array" ref="D157:E159">_xlfn.CHOOSECOLS(Scope3_Equations.VEERG_15_3_1_1__1_EmissionsFromPurchasedMineralSupplements_Arguments(),1,2)</f>
        <v>Q_m</v>
      </c>
      <c r="E157" s="175" t="str">
        <v>total quantity of mineral supplement type m used</v>
      </c>
      <c r="F157" s="170"/>
      <c r="G157" s="171" t="str" cm="1">
        <f t="array" ref="G157:H159">_xlfn.CHOOSECOLS(Scope3_Equations.VEERG_15_3_1_1__1_EmissionsFromPurchasedMineralSupplements_Arguments(),3,4)</f>
        <v>t</v>
      </c>
      <c r="H157" s="172" t="str">
        <v>Input</v>
      </c>
    </row>
    <row r="158" spans="3:41" ht="20.100000000000001" customHeight="1" x14ac:dyDescent="0.25">
      <c r="D158" s="171" t="str">
        <v>EF_m</v>
      </c>
      <c r="E158" s="175" t="str">
        <v>emission factor of purchased mineral supplement</v>
      </c>
      <c r="F158" s="170"/>
      <c r="G158" s="171" t="str">
        <v>kg CO2e/kg</v>
      </c>
      <c r="H158" s="172" t="str">
        <v>Constant</v>
      </c>
    </row>
    <row r="159" spans="3:41" ht="20.100000000000001" customHeight="1" x14ac:dyDescent="0.25">
      <c r="D159" s="171" t="str">
        <v>m</v>
      </c>
      <c r="E159" s="175" t="str">
        <v>mineral supplement type</v>
      </c>
      <c r="F159" s="170"/>
      <c r="G159" s="171" t="str">
        <v/>
      </c>
      <c r="H159" s="173" t="str">
        <v>Input</v>
      </c>
    </row>
    <row r="160" spans="3:41" ht="20.100000000000001" customHeight="1" x14ac:dyDescent="0.25"/>
    <row r="161" spans="3:41" ht="20.100000000000001" customHeight="1" x14ac:dyDescent="0.25">
      <c r="D161" s="47" t="s">
        <v>217</v>
      </c>
      <c r="E161" s="47" t="s">
        <v>649</v>
      </c>
      <c r="F161" s="60" t="s">
        <v>650</v>
      </c>
      <c r="G161" s="60" t="s">
        <v>642</v>
      </c>
      <c r="H161" s="47" t="s">
        <v>651</v>
      </c>
      <c r="I161" s="60" t="s">
        <v>644</v>
      </c>
      <c r="J161" s="47" t="s">
        <v>638</v>
      </c>
      <c r="K161" s="47" t="s">
        <v>639</v>
      </c>
      <c r="L161" s="47" t="s">
        <v>640</v>
      </c>
    </row>
    <row r="162" spans="3:41" ht="20.100000000000001" customHeight="1" x14ac:dyDescent="0.25">
      <c r="D162" s="50" t="str">
        <f>'Input - Farm Inputs'!D51</f>
        <v>Lick block, dry season mix</v>
      </c>
      <c r="E162" s="50">
        <f>X_Cell_FarmInputs_LickBlocks_DrySeasonMix</f>
        <v>100</v>
      </c>
      <c r="F162" s="50" cm="1">
        <f t="array" ref="F162">Common_InputFunctions.Utility_LookupValueInTableNumber(D162,Table_SourceData_Scope3_LickBlocks[Product],Table_SourceData_Scope3_LickBlocks[AusLCI Emissions intensity])</f>
        <v>0.88100000000000001</v>
      </c>
      <c r="G162" s="155" cm="1">
        <f t="array" ref="G162">Scope3_Equations.VEERG_15_3_1_1__1_EmissionsFromPurchasedMineralSupplements(E162,F162)</f>
        <v>88.1</v>
      </c>
      <c r="H162" s="69">
        <v>0.8</v>
      </c>
      <c r="I162" s="155" cm="1">
        <f t="array" ref="I162">Scope3_Equations.VEERG_15_3_1_1__1_EmissionsFromPurchasedMineralSupplements(E162,IF(H162, H162, F162))</f>
        <v>80</v>
      </c>
      <c r="J162" s="85"/>
      <c r="K162" s="48"/>
      <c r="L162"/>
    </row>
    <row r="163" spans="3:41" ht="20.100000000000001" customHeight="1" x14ac:dyDescent="0.25">
      <c r="D163" s="50" t="str">
        <f>'Input - Farm Inputs'!D52</f>
        <v>Lick block, mineral</v>
      </c>
      <c r="E163" s="50">
        <f>X_Cell_FarmInputs_LickBlocks_Mineral</f>
        <v>100</v>
      </c>
      <c r="F163" s="50" cm="1">
        <f t="array" ref="F163">Common_InputFunctions.Utility_LookupValueInTableNumber(D163,Table_SourceData_Scope3_LickBlocks[Product],Table_SourceData_Scope3_LickBlocks[AusLCI Emissions intensity])</f>
        <v>0.67700000000000005</v>
      </c>
      <c r="G163" s="155" cm="1">
        <f t="array" ref="G163">Scope3_Equations.VEERG_15_3_1_1__1_EmissionsFromPurchasedMineralSupplements(E163,F163)</f>
        <v>67.7</v>
      </c>
      <c r="H163" s="69">
        <v>0.6</v>
      </c>
      <c r="I163" s="155" cm="1">
        <f t="array" ref="I163">Scope3_Equations.VEERG_15_3_1_1__1_EmissionsFromPurchasedMineralSupplements(E163,IF(H163, H163, F163))</f>
        <v>60</v>
      </c>
      <c r="J163" s="85"/>
      <c r="K163" s="48"/>
      <c r="L163" s="85"/>
    </row>
    <row r="164" spans="3:41" ht="20.100000000000001" customHeight="1" x14ac:dyDescent="0.25">
      <c r="D164" s="50" t="str">
        <f>'Input - Farm Inputs'!D53</f>
        <v>Lick block, weaner</v>
      </c>
      <c r="E164" s="50">
        <f>X_Cell_FarmInputs_LickBlocks_Weaner</f>
        <v>100</v>
      </c>
      <c r="F164" s="50" cm="1">
        <f t="array" ref="F164">Common_InputFunctions.Utility_LookupValueInTableNumber(D164,Table_SourceData_Scope3_LickBlocks[Product],Table_SourceData_Scope3_LickBlocks[AusLCI Emissions intensity])</f>
        <v>0.23100000000000001</v>
      </c>
      <c r="G164" s="155" cm="1">
        <f t="array" ref="G164">Scope3_Equations.VEERG_15_3_1_1__1_EmissionsFromPurchasedMineralSupplements(E164,F164)</f>
        <v>23.1</v>
      </c>
      <c r="H164" s="69">
        <v>0.2</v>
      </c>
      <c r="I164" s="155" cm="1">
        <f t="array" ref="I164">Scope3_Equations.VEERG_15_3_1_1__1_EmissionsFromPurchasedMineralSupplements(E164,IF(H164, H164, F164))</f>
        <v>20</v>
      </c>
      <c r="J164" s="85"/>
      <c r="K164" s="48"/>
      <c r="L164" s="85"/>
    </row>
    <row r="165" spans="3:41" ht="20.100000000000001" customHeight="1" x14ac:dyDescent="0.25"/>
    <row r="166" spans="3:41" ht="20.100000000000001" customHeight="1" x14ac:dyDescent="0.25">
      <c r="D166" s="180" t="s">
        <v>642</v>
      </c>
      <c r="E166" s="181">
        <f>SUM(G162:G164)</f>
        <v>178.9</v>
      </c>
      <c r="F166" s="182" t="str">
        <f>$E$155</f>
        <v>t CO2e</v>
      </c>
    </row>
    <row r="167" spans="3:41" ht="20.100000000000001" customHeight="1" x14ac:dyDescent="0.25">
      <c r="D167" s="180" t="s">
        <v>644</v>
      </c>
      <c r="E167" s="181">
        <f>SUM(I162:I164)</f>
        <v>160</v>
      </c>
      <c r="F167" s="182" t="str">
        <f>$E$155</f>
        <v>t CO2e</v>
      </c>
    </row>
    <row r="168" spans="3:41" ht="20.100000000000001" customHeight="1" x14ac:dyDescent="0.25"/>
    <row r="169" spans="3:41" ht="20.100000000000001" customHeight="1" x14ac:dyDescent="0.25"/>
    <row r="170" spans="3:41" ht="20.100000000000001" customHeight="1" x14ac:dyDescent="0.25">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6" t="s">
        <v>635</v>
      </c>
      <c r="E174" s="176"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636</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1" t="str" cm="1">
        <f t="array" ref="D180:E183">_xlfn.CHOOSECOLS(Scope3_Equations.VEERG_15_4_1_1__X_EmissionFactorFromPurchasedFertiliserComponents_Arguments(),1,2)</f>
        <v>F_cf</v>
      </c>
      <c r="E180" s="175" t="str">
        <v>fraction of component c contained within the inorganic fertiliser f</v>
      </c>
      <c r="F180" s="170"/>
      <c r="G180" s="171" t="str" cm="1">
        <f t="array" ref="G180:H183">_xlfn.CHOOSECOLS(Scope3_Equations.VEERG_15_4_1_1__X_EmissionFactorFromPurchasedFertiliserComponents_Arguments(),3,4)</f>
        <v>wt%</v>
      </c>
      <c r="H180" s="172" t="str">
        <v>Input</v>
      </c>
    </row>
    <row r="181" spans="4:8" ht="20.100000000000001" customHeight="1" x14ac:dyDescent="0.25">
      <c r="D181" s="171" t="str">
        <v>EF_c</v>
      </c>
      <c r="E181" s="175" t="str">
        <v>emission factor for the production of component c</v>
      </c>
      <c r="F181" s="170"/>
      <c r="G181" s="171" t="str">
        <v>kg CO2e/kg component</v>
      </c>
      <c r="H181" s="173" t="str">
        <v>Constant</v>
      </c>
    </row>
    <row r="182" spans="4:8" ht="20.100000000000001" customHeight="1" x14ac:dyDescent="0.25">
      <c r="D182" s="171" t="str">
        <v>c</v>
      </c>
      <c r="E182" s="175" t="str">
        <v>fertiliser component</v>
      </c>
      <c r="F182" s="170"/>
      <c r="G182" s="171" t="str">
        <v/>
      </c>
      <c r="H182" s="172" t="str">
        <v>Input</v>
      </c>
    </row>
    <row r="183" spans="4:8" ht="20.100000000000001" customHeight="1" x14ac:dyDescent="0.25">
      <c r="D183" s="171" t="str">
        <v>f</v>
      </c>
      <c r="E183" s="175" t="str">
        <v>inorganic fertiliser type</v>
      </c>
      <c r="F183" s="170"/>
      <c r="G183" s="171" t="str">
        <v/>
      </c>
      <c r="H183" s="172"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6" t="s">
        <v>635</v>
      </c>
      <c r="E188" s="176"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636</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1" t="str" cm="1">
        <f t="array" ref="D194:E197">_xlfn.CHOOSECOLS(Scope3_Equations.VEERG_15_4_1_1__1_EmissionsFromPurchasedFertiliser_Arguments(),1,2)</f>
        <v>TM_jf</v>
      </c>
      <c r="E194" s="171" t="str">
        <v>quantity of inorganic fertiliser type f purchased and applied to production system j</v>
      </c>
      <c r="F194" s="171"/>
      <c r="G194" s="171" t="str" cm="1">
        <f t="array" ref="G194:H197">_xlfn.CHOOSECOLS(Scope3_Equations.VEERG_15_4_1_1__1_EmissionsFromPurchasedFertiliser_Arguments(),3,4)</f>
        <v>kg</v>
      </c>
      <c r="H194" s="172" t="str">
        <v>Input</v>
      </c>
    </row>
    <row r="195" spans="4:8" ht="20.100000000000001" customHeight="1" x14ac:dyDescent="0.25">
      <c r="D195" s="171" t="str">
        <v>EF_f</v>
      </c>
      <c r="E195" s="171" t="str">
        <v>emission factor of purchased inorganic fertiliser</v>
      </c>
      <c r="F195" s="171"/>
      <c r="G195" s="171" t="str">
        <v>kg CO2e/kg</v>
      </c>
      <c r="H195" s="173" t="str">
        <v>Constant</v>
      </c>
    </row>
    <row r="196" spans="4:8" ht="20.100000000000001" customHeight="1" x14ac:dyDescent="0.25">
      <c r="D196" s="171" t="str">
        <v>j</v>
      </c>
      <c r="E196" s="171" t="str">
        <v>production system</v>
      </c>
      <c r="F196" s="171"/>
      <c r="G196" s="171" t="str">
        <v/>
      </c>
      <c r="H196" s="172" t="str">
        <v>Input</v>
      </c>
    </row>
    <row r="197" spans="4:8" ht="20.100000000000001" customHeight="1" x14ac:dyDescent="0.25">
      <c r="D197" s="171" t="str">
        <v>f</v>
      </c>
      <c r="E197" s="171" t="str">
        <v>inorganic fertiliser type</v>
      </c>
      <c r="F197" s="171"/>
      <c r="G197" s="171" t="str">
        <v/>
      </c>
      <c r="H197" s="172"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6" t="s">
        <v>635</v>
      </c>
      <c r="E203" s="176"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636</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1" t="str" cm="1">
        <f t="array" ref="D209:E214">_xlfn.CHOOSECOLS(Scope3_Equations.VEERG_15_4_1_1__2_EmissionsFromPurchasedFertiliserComponents_Arguments(),1,2)</f>
        <v>F_cf</v>
      </c>
      <c r="E209" s="175" t="str">
        <v>fraction of component c contained within the inorganic fertiliser f</v>
      </c>
      <c r="F209" s="170"/>
      <c r="G209" s="171" t="str" cm="1">
        <f t="array" ref="G209:H214">_xlfn.CHOOSECOLS(Scope3_Equations.VEERG_15_4_1_1__2_EmissionsFromPurchasedFertiliserComponents_Arguments(),3,4)</f>
        <v>wt%</v>
      </c>
      <c r="H209" s="172" t="str">
        <v>Input</v>
      </c>
    </row>
    <row r="210" spans="4:40" ht="20.100000000000001" customHeight="1" x14ac:dyDescent="0.25">
      <c r="D210" s="171" t="str">
        <v>TM_jf</v>
      </c>
      <c r="E210" s="175" t="str">
        <v>quantity of inorganic fertiliser type f purchased and applied to production system j</v>
      </c>
      <c r="F210" s="170"/>
      <c r="G210" s="171" t="str">
        <v>kg</v>
      </c>
      <c r="H210" s="173" t="str">
        <v>Input</v>
      </c>
    </row>
    <row r="211" spans="4:40" ht="20.100000000000001" customHeight="1" x14ac:dyDescent="0.25">
      <c r="D211" s="171" t="str">
        <v>EF_c</v>
      </c>
      <c r="E211" s="175" t="str">
        <v>emission factor for the production of component c</v>
      </c>
      <c r="F211" s="170"/>
      <c r="G211" s="171" t="str">
        <v>kg CO2e/kg component</v>
      </c>
      <c r="H211" s="173" t="str">
        <v>Constant</v>
      </c>
    </row>
    <row r="212" spans="4:40" ht="20.100000000000001" customHeight="1" x14ac:dyDescent="0.25">
      <c r="D212" s="171" t="str">
        <v>c</v>
      </c>
      <c r="E212" s="175" t="str">
        <v>fertiliser component</v>
      </c>
      <c r="F212" s="170"/>
      <c r="G212" s="171" t="str">
        <v/>
      </c>
      <c r="H212" s="172" t="str">
        <v>Input</v>
      </c>
    </row>
    <row r="213" spans="4:40" ht="20.100000000000001" customHeight="1" x14ac:dyDescent="0.25">
      <c r="D213" s="171" t="str">
        <v>f</v>
      </c>
      <c r="E213" s="175" t="str">
        <v>inorganic fertiliser type</v>
      </c>
      <c r="F213" s="170"/>
      <c r="G213" s="171" t="str">
        <v/>
      </c>
      <c r="H213" s="172" t="str">
        <v>Input</v>
      </c>
    </row>
    <row r="214" spans="4:40" ht="20.100000000000001" customHeight="1" x14ac:dyDescent="0.25">
      <c r="D214" s="171" t="str">
        <v>j</v>
      </c>
      <c r="E214" s="175" t="str">
        <v>production system</v>
      </c>
      <c r="F214" s="170"/>
      <c r="G214" s="171" t="str">
        <v/>
      </c>
      <c r="H214" s="172" t="str">
        <v>Input</v>
      </c>
    </row>
    <row r="215" spans="4:40" ht="20.100000000000001" customHeight="1" x14ac:dyDescent="0.25"/>
    <row r="216" spans="4:40" ht="20.100000000000001" customHeight="1" x14ac:dyDescent="0.25">
      <c r="D216" s="148" t="s">
        <v>374</v>
      </c>
    </row>
    <row r="217" spans="4:40" ht="20.100000000000001" customHeight="1" x14ac:dyDescent="0.25"/>
    <row r="218" spans="4:40" ht="20.100000000000001" customHeight="1" x14ac:dyDescent="0.25">
      <c r="D218" s="98" t="s">
        <v>373</v>
      </c>
      <c r="E218" s="113"/>
      <c r="F218" s="99"/>
    </row>
    <row r="219" spans="4:40" ht="20.100000000000001" customHeight="1" x14ac:dyDescent="0.25"/>
    <row r="220" spans="4:40" ht="20.100000000000001" customHeight="1" x14ac:dyDescent="0.25">
      <c r="D220" s="47" t="s">
        <v>217</v>
      </c>
      <c r="E220" s="47" t="s">
        <v>361</v>
      </c>
      <c r="F220" s="60" t="s">
        <v>677</v>
      </c>
      <c r="G220" s="60" t="s">
        <v>661</v>
      </c>
      <c r="H220" s="60" t="s">
        <v>660</v>
      </c>
      <c r="I220" s="47" t="s">
        <v>678</v>
      </c>
      <c r="J220" s="60" t="s">
        <v>662</v>
      </c>
      <c r="K220" s="60" t="s">
        <v>663</v>
      </c>
      <c r="L220" s="47" t="s">
        <v>638</v>
      </c>
      <c r="M220" s="47" t="s">
        <v>639</v>
      </c>
      <c r="N220" s="47" t="s">
        <v>640</v>
      </c>
      <c r="O220" s="60" t="s">
        <v>172</v>
      </c>
      <c r="P220" s="60" t="s">
        <v>173</v>
      </c>
      <c r="Q220" s="60" t="s">
        <v>174</v>
      </c>
      <c r="R220" s="60" t="s">
        <v>175</v>
      </c>
      <c r="S220" s="60" t="s">
        <v>665</v>
      </c>
      <c r="T220" s="47" t="s">
        <v>666</v>
      </c>
      <c r="U220" s="60" t="s">
        <v>176</v>
      </c>
      <c r="V220" s="60" t="s">
        <v>177</v>
      </c>
      <c r="W220" s="60" t="s">
        <v>667</v>
      </c>
      <c r="X220" s="47" t="s">
        <v>668</v>
      </c>
      <c r="Y220" s="60" t="s">
        <v>178</v>
      </c>
      <c r="Z220" s="60" t="s">
        <v>179</v>
      </c>
      <c r="AA220" s="60" t="s">
        <v>669</v>
      </c>
      <c r="AB220" s="47" t="s">
        <v>670</v>
      </c>
      <c r="AC220" s="60" t="s">
        <v>180</v>
      </c>
      <c r="AD220" s="60" t="s">
        <v>181</v>
      </c>
      <c r="AE220" s="60" t="s">
        <v>671</v>
      </c>
      <c r="AF220" s="47" t="s">
        <v>672</v>
      </c>
      <c r="AG220" s="60" t="s">
        <v>182</v>
      </c>
      <c r="AH220" s="60" t="s">
        <v>183</v>
      </c>
      <c r="AI220" s="60" t="s">
        <v>673</v>
      </c>
      <c r="AJ220" s="47" t="s">
        <v>674</v>
      </c>
      <c r="AK220" s="60" t="s">
        <v>184</v>
      </c>
      <c r="AL220" s="60" t="s">
        <v>185</v>
      </c>
      <c r="AM220" s="60" t="s">
        <v>675</v>
      </c>
      <c r="AN220" s="47" t="s">
        <v>676</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5"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5" cm="1">
        <f t="array" ref="J221">Scope3_Equations.VEERG_15_4_1_1__1_EmissionsFromPurchasedFertiliser(E221,I221)</f>
        <v>4.8600000000000012</v>
      </c>
      <c r="K221" s="1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5"/>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5"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5" cm="1">
        <f t="array" ref="J222">Scope3_Equations.VEERG_15_4_1_1__1_EmissionsFromPurchasedFertiliser(E222,I222)</f>
        <v>18</v>
      </c>
      <c r="K222" s="1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5"/>
      <c r="M222" s="48"/>
      <c r="N222" s="85"/>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5"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5" cm="1">
        <f t="array" ref="J223">Scope3_Equations.VEERG_15_4_1_1__1_EmissionsFromPurchasedFertiliser(E223,I223)</f>
        <v>4.8600000000000012</v>
      </c>
      <c r="K223" s="1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5"/>
      <c r="M223" s="48"/>
      <c r="N223" s="85"/>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5"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5" cm="1">
        <f t="array" ref="J224">Scope3_Equations.VEERG_15_4_1_1__1_EmissionsFromPurchasedFertiliser(E224,I224)</f>
        <v>0</v>
      </c>
      <c r="K224" s="1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5"/>
      <c r="M224" s="48"/>
      <c r="N224" s="85"/>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5"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5" cm="1">
        <f t="array" ref="J225">Scope3_Equations.VEERG_15_4_1_1__1_EmissionsFromPurchasedFertiliser(E225,I225)</f>
        <v>0</v>
      </c>
      <c r="K225" s="1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5"/>
      <c r="M225" s="48"/>
      <c r="N225" s="85"/>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5"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5" cm="1">
        <f t="array" ref="J226">Scope3_Equations.VEERG_15_4_1_1__1_EmissionsFromPurchasedFertiliser(E226,I226)</f>
        <v>0</v>
      </c>
      <c r="K226" s="1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5"/>
      <c r="M226" s="48"/>
      <c r="N226" s="85"/>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5"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5" cm="1">
        <f t="array" ref="J227">Scope3_Equations.VEERG_15_4_1_1__1_EmissionsFromPurchasedFertiliser(E227,I227)</f>
        <v>0</v>
      </c>
      <c r="K227" s="1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5"/>
      <c r="M227" s="48"/>
      <c r="N227" s="85"/>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5"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5" cm="1">
        <f t="array" ref="J228">Scope3_Equations.VEERG_15_4_1_1__1_EmissionsFromPurchasedFertiliser(E228,I228)</f>
        <v>0</v>
      </c>
      <c r="K228" s="1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5"/>
      <c r="M228" s="48"/>
      <c r="N228" s="85"/>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5"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5" cm="1">
        <f t="array" ref="J229">Scope3_Equations.VEERG_15_4_1_1__1_EmissionsFromPurchasedFertiliser(E229,I229)</f>
        <v>0</v>
      </c>
      <c r="K229" s="1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5"/>
      <c r="M229" s="48"/>
      <c r="N229" s="85"/>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5"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5" cm="1">
        <f t="array" ref="J230">Scope3_Equations.VEERG_15_4_1_1__1_EmissionsFromPurchasedFertiliser(E230,I230)</f>
        <v>0</v>
      </c>
      <c r="K230" s="1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5"/>
      <c r="M230" s="48"/>
      <c r="N230" s="85"/>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48" t="s">
        <v>664</v>
      </c>
    </row>
    <row r="233" spans="4:40" ht="20.100000000000001" customHeight="1" x14ac:dyDescent="0.25"/>
    <row r="234" spans="4:40" ht="20.100000000000001" customHeight="1" x14ac:dyDescent="0.25">
      <c r="D234" s="98" t="s">
        <v>679</v>
      </c>
      <c r="E234" s="113"/>
      <c r="F234" s="99"/>
    </row>
    <row r="235" spans="4:40" ht="20.100000000000001" customHeight="1" x14ac:dyDescent="0.25"/>
    <row r="236" spans="4:40" ht="20.100000000000001" customHeight="1" x14ac:dyDescent="0.25">
      <c r="D236" s="47" t="s">
        <v>409</v>
      </c>
      <c r="E236" s="47" t="s">
        <v>361</v>
      </c>
      <c r="F236" s="60" t="s">
        <v>677</v>
      </c>
      <c r="G236" s="60" t="s">
        <v>661</v>
      </c>
      <c r="H236" s="60" t="s">
        <v>660</v>
      </c>
      <c r="I236" s="47" t="s">
        <v>678</v>
      </c>
      <c r="J236" s="60" t="s">
        <v>662</v>
      </c>
      <c r="K236" s="60" t="s">
        <v>663</v>
      </c>
      <c r="L236" s="47" t="s">
        <v>638</v>
      </c>
      <c r="M236" s="47" t="s">
        <v>639</v>
      </c>
      <c r="N236" s="47" t="s">
        <v>640</v>
      </c>
      <c r="O236" s="60" t="s">
        <v>172</v>
      </c>
      <c r="P236" s="60" t="s">
        <v>173</v>
      </c>
      <c r="Q236" s="60" t="s">
        <v>174</v>
      </c>
      <c r="R236" s="60" t="s">
        <v>175</v>
      </c>
      <c r="S236" s="60" t="s">
        <v>665</v>
      </c>
      <c r="T236" s="47" t="s">
        <v>666</v>
      </c>
      <c r="U236" s="60" t="s">
        <v>176</v>
      </c>
      <c r="V236" s="60" t="s">
        <v>177</v>
      </c>
      <c r="W236" s="60" t="s">
        <v>667</v>
      </c>
      <c r="X236" s="47" t="s">
        <v>668</v>
      </c>
      <c r="Y236" s="60" t="s">
        <v>178</v>
      </c>
      <c r="Z236" s="60" t="s">
        <v>179</v>
      </c>
      <c r="AA236" s="60" t="s">
        <v>669</v>
      </c>
      <c r="AB236" s="47" t="s">
        <v>670</v>
      </c>
      <c r="AC236" s="60" t="s">
        <v>180</v>
      </c>
      <c r="AD236" s="60" t="s">
        <v>181</v>
      </c>
      <c r="AE236" s="60" t="s">
        <v>671</v>
      </c>
      <c r="AF236" s="47" t="s">
        <v>672</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5"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5" cm="1">
        <f t="array" ref="J237">Scope3_Equations.VEERG_15_4_1_1__1_EmissionsFromPurchasedFertiliser(E237,I237)</f>
        <v>4</v>
      </c>
      <c r="K237" s="1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5"/>
      <c r="M237" s="48"/>
      <c r="N237"/>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5"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5" cm="1">
        <f t="array" ref="J238">Scope3_Equations.VEERG_15_4_1_1__1_EmissionsFromPurchasedFertiliser(E238,I238)</f>
        <v>9</v>
      </c>
      <c r="K238" s="1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5"/>
      <c r="M238" s="48"/>
      <c r="N238" s="85"/>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5"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5" cm="1">
        <f t="array" ref="J239">Scope3_Equations.VEERG_15_4_1_1__1_EmissionsFromPurchasedFertiliser(E239,I239)</f>
        <v>0</v>
      </c>
      <c r="K239" s="1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5"/>
      <c r="M239" s="48"/>
      <c r="N239" s="85"/>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5"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5" cm="1">
        <f t="array" ref="J240">Scope3_Equations.VEERG_15_4_1_1__1_EmissionsFromPurchasedFertiliser(E240,I240)</f>
        <v>0</v>
      </c>
      <c r="K240" s="1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5"/>
      <c r="M240" s="48"/>
      <c r="N240" s="85"/>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5"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5" cm="1">
        <f t="array" ref="J241">Scope3_Equations.VEERG_15_4_1_1__1_EmissionsFromPurchasedFertiliser(E241,I241)</f>
        <v>0</v>
      </c>
      <c r="K241" s="1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5"/>
      <c r="M241" s="48"/>
      <c r="N241" s="85"/>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5"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5" cm="1">
        <f t="array" ref="J242">Scope3_Equations.VEERG_15_4_1_1__1_EmissionsFromPurchasedFertiliser(E242,I242)</f>
        <v>0</v>
      </c>
      <c r="K242" s="1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5"/>
      <c r="M242" s="48"/>
      <c r="N242" s="85"/>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5"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5" cm="1">
        <f t="array" ref="J243">Scope3_Equations.VEERG_15_4_1_1__1_EmissionsFromPurchasedFertiliser(E243,I243)</f>
        <v>0</v>
      </c>
      <c r="K243" s="1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5"/>
      <c r="M243" s="48"/>
      <c r="N243" s="85"/>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5"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5" cm="1">
        <f t="array" ref="J244">Scope3_Equations.VEERG_15_4_1_1__1_EmissionsFromPurchasedFertiliser(E244,I244)</f>
        <v>0</v>
      </c>
      <c r="K244" s="1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5"/>
      <c r="M244" s="48"/>
      <c r="N244" s="85"/>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5"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5" cm="1">
        <f t="array" ref="J245">Scope3_Equations.VEERG_15_4_1_1__1_EmissionsFromPurchasedFertiliser(E245,I245)</f>
        <v>0</v>
      </c>
      <c r="K245" s="1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5"/>
      <c r="M245" s="48"/>
      <c r="N245" s="85"/>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5"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5" cm="1">
        <f t="array" ref="J246">Scope3_Equations.VEERG_15_4_1_1__1_EmissionsFromPurchasedFertiliser(E246,I246)</f>
        <v>0</v>
      </c>
      <c r="K246" s="1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5"/>
      <c r="M246" s="48"/>
      <c r="N246" s="85"/>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3" t="s">
        <v>680</v>
      </c>
      <c r="E248" s="181">
        <f>SUM(G221:G230)+SUM(G237:G246)</f>
        <v>53.822548254497605</v>
      </c>
      <c r="F248" s="182" t="str">
        <f>$E$155</f>
        <v>t CO2e</v>
      </c>
    </row>
    <row r="249" spans="3:41" ht="20.100000000000001" customHeight="1" x14ac:dyDescent="0.25">
      <c r="D249" s="183" t="s">
        <v>681</v>
      </c>
      <c r="E249" s="181">
        <f>SUM(J221:J230)+SUM(J237:J246)</f>
        <v>40.72</v>
      </c>
      <c r="F249" s="182" t="str">
        <f>$E$155</f>
        <v>t CO2e</v>
      </c>
    </row>
    <row r="250" spans="3:41" ht="20.100000000000001" customHeight="1" x14ac:dyDescent="0.25"/>
    <row r="251" spans="3:41" ht="20.100000000000001" customHeight="1" x14ac:dyDescent="0.25">
      <c r="D251" s="183" t="s">
        <v>682</v>
      </c>
      <c r="E251" s="181">
        <f>SUM(H221:H230)+SUM(H237:H246)</f>
        <v>53.822548254497605</v>
      </c>
      <c r="F251" s="182" t="str">
        <f>$E$155</f>
        <v>t CO2e</v>
      </c>
    </row>
    <row r="252" spans="3:41" ht="20.100000000000001" customHeight="1" x14ac:dyDescent="0.25">
      <c r="D252" s="183" t="s">
        <v>683</v>
      </c>
      <c r="E252" s="181">
        <f>SUM(K221:K230)+SUM(K237:K246)</f>
        <v>50.728065428338802</v>
      </c>
      <c r="F252" s="182" t="str">
        <f>$E$155</f>
        <v>t CO2e</v>
      </c>
    </row>
    <row r="253" spans="3:41" ht="20.100000000000001" customHeight="1" x14ac:dyDescent="0.25"/>
    <row r="254" spans="3:41" ht="20.100000000000001" customHeight="1" x14ac:dyDescent="0.25"/>
    <row r="255" spans="3:41" ht="20.100000000000001" customHeight="1" x14ac:dyDescent="0.25">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6" t="s">
        <v>635</v>
      </c>
      <c r="E258" s="176"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636</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1" t="str" cm="1">
        <f t="array" ref="D265:E267">_xlfn.CHOOSECOLS(Scope3_Equations.VEERG_15_5_1_1__1_EmissionsFromPurchasedAgrichemicals_Arguments(),1,2)</f>
        <v>Q_h</v>
      </c>
      <c r="E265" s="175" t="str">
        <v>quantity of active ingredients in agrichemical type h purchased and applied to soils</v>
      </c>
      <c r="F265" s="170"/>
      <c r="G265" s="171" t="str" cm="1">
        <f t="array" ref="G265:H267">_xlfn.CHOOSECOLS(Scope3_Equations.VEERG_15_5_1_1__1_EmissionsFromPurchasedAgrichemicals_Arguments(),3,4)</f>
        <v>kg ai</v>
      </c>
      <c r="H265" s="172" t="str">
        <v>Input</v>
      </c>
    </row>
    <row r="266" spans="4:9" x14ac:dyDescent="0.25">
      <c r="D266" s="171" t="str">
        <v>EF_h</v>
      </c>
      <c r="E266" s="175" t="str">
        <v>emission factor for purchased agrichemical active ingredient</v>
      </c>
      <c r="F266" s="170"/>
      <c r="G266" s="171" t="str">
        <v>kg CO2e/kg ai</v>
      </c>
      <c r="H266" s="173" t="str">
        <v>Constant</v>
      </c>
    </row>
    <row r="267" spans="4:9" x14ac:dyDescent="0.25">
      <c r="D267" s="171" t="str">
        <v>h</v>
      </c>
      <c r="E267" s="175" t="str">
        <v>agrichemical type</v>
      </c>
      <c r="F267" s="170"/>
      <c r="G267" s="171" t="str">
        <v/>
      </c>
      <c r="H267" s="172" t="str">
        <v>Input</v>
      </c>
    </row>
    <row r="269" spans="4:9" ht="17.25" x14ac:dyDescent="0.25">
      <c r="D269" s="47" t="s">
        <v>689</v>
      </c>
      <c r="E269" s="47" t="s">
        <v>205</v>
      </c>
      <c r="F269" s="60" t="s">
        <v>690</v>
      </c>
      <c r="G269" s="60" t="s">
        <v>642</v>
      </c>
      <c r="H269" s="47" t="s">
        <v>691</v>
      </c>
      <c r="I269" s="60" t="s">
        <v>644</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3" t="s">
        <v>642</v>
      </c>
      <c r="E283" s="181">
        <f>SUM(G270:G281)</f>
        <v>7.5159999999999991</v>
      </c>
      <c r="F283" s="182" t="str">
        <f>$E$155</f>
        <v>t CO2e</v>
      </c>
    </row>
    <row r="284" spans="3:41" ht="20.25" x14ac:dyDescent="0.25">
      <c r="D284" s="183" t="s">
        <v>644</v>
      </c>
      <c r="E284" s="181">
        <f>SUM(I270:I281)</f>
        <v>7.4959999999999996</v>
      </c>
      <c r="F284" s="182" t="str">
        <f>$E$155</f>
        <v>t CO2e</v>
      </c>
    </row>
    <row r="287" spans="3:41" x14ac:dyDescent="0.25">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6" t="s">
        <v>635</v>
      </c>
      <c r="E290" s="176" t="str" cm="1">
        <f t="array" aca="1" ref="E290" ca="1">Common_InputFunctions.Utility_DisplayFunctionName(I305)</f>
        <v>=Scope3_Equations.VEERG_15_6_1_1__1_EmissionsFromPurchasedLime</v>
      </c>
    </row>
    <row r="293" spans="4:13" x14ac:dyDescent="0.25">
      <c r="D293" s="28" t="s">
        <v>636</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1" t="str" cm="1">
        <f t="array" ref="D296:E297">_xlfn.CHOOSECOLS(Scope3_Equations.VEERG_15_6_1_1__1_EmissionsFromPurchasedLime_Arguments(),1,2)</f>
        <v>M_lime</v>
      </c>
      <c r="E296" s="171" t="str">
        <v>total quantity of lime applied to soils</v>
      </c>
      <c r="F296" s="171" t="str" cm="1">
        <f t="array" ref="F296:G297">_xlfn.CHOOSECOLS(Scope3_Equations.VEERG_15_6_1_1__1_EmissionsFromPurchasedLime_Arguments(),3,4)</f>
        <v>t</v>
      </c>
      <c r="G296" s="172" t="str">
        <v>Input</v>
      </c>
    </row>
    <row r="297" spans="4:13" x14ac:dyDescent="0.25">
      <c r="D297" s="171" t="str">
        <v>EF_l</v>
      </c>
      <c r="E297" s="171" t="str">
        <v>emission factor for purchased lime</v>
      </c>
      <c r="F297" s="171" t="str">
        <v>t CO2e/t</v>
      </c>
      <c r="G297" s="173" t="str">
        <v>Constant</v>
      </c>
    </row>
    <row r="299" spans="4:13" x14ac:dyDescent="0.25">
      <c r="E299" s="60" t="s">
        <v>415</v>
      </c>
      <c r="F299" s="47" t="s">
        <v>416</v>
      </c>
    </row>
    <row r="300" spans="4:13" ht="18.75" x14ac:dyDescent="0.25">
      <c r="D300" s="8" t="s">
        <v>694</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695</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696</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6" t="s">
        <v>692</v>
      </c>
      <c r="F304" s="47" t="s">
        <v>697</v>
      </c>
      <c r="G304" s="47" t="s">
        <v>698</v>
      </c>
      <c r="H304" s="47" t="s">
        <v>699</v>
      </c>
      <c r="I304" s="60" t="s">
        <v>642</v>
      </c>
      <c r="J304" s="60" t="s">
        <v>693</v>
      </c>
      <c r="K304" s="47" t="s">
        <v>638</v>
      </c>
      <c r="L304" s="47" t="s">
        <v>639</v>
      </c>
      <c r="M304" s="47" t="s">
        <v>640</v>
      </c>
    </row>
    <row r="305" spans="3:41" x14ac:dyDescent="0.25">
      <c r="D305" s="50" t="str" cm="1">
        <f t="array" ref="D305:D314">IFERROR(INDEX(Table_Input_SoilAmeliorants[Product], _xlfn.SEQUENCE(10)), "")</f>
        <v>Lime product 1</v>
      </c>
      <c r="E305" s="50" cm="1">
        <f t="array" ref="E305:E314">IFERROR(INDEX(Table_Input_SoilAmeliorants[Total amount applied (t)], _xlfn.SEQUENCE(10)), 0)</f>
        <v>10000</v>
      </c>
      <c r="F305" s="50" cm="1">
        <f t="array" ref="F305:F314">IFERROR(INDEX(Table_Input_SoilAmeliorants[Percent Lime CaCO3], _xlfn.SEQUENCE(10)), 0)*E305</f>
        <v>4000</v>
      </c>
      <c r="G305" s="50" cm="1">
        <f t="array" ref="G305:G314">IFERROR(INDEX(Table_Input_SoilAmeliorants[Percent Dolomite CaMg(CO3)2], _xlfn.SEQUENCE(10)), 0)*E305</f>
        <v>3000</v>
      </c>
      <c r="H305" s="50" cm="1">
        <f t="array" ref="H305:H314">IFERROR(INDEX(Table_Input_SoilAmeliorants[Percent Gypsum], _xlfn.SEQUENCE(10)), 0)*E305</f>
        <v>2500</v>
      </c>
      <c r="I305" s="155" cm="1">
        <f t="array" ref="I305">Scope3_Equations.VEERG_15_6_1_1__1_EmissionsFromPurchasedLime(F305,$E$300)+
Scope3_Equations.VEERG_15_6_1_1__1_EmissionsFromPurchasedLime(G305,$E$301)+
Scope3_Equations.VEERG_15_6_1_1__1_EmissionsFromPurchasedLime(H305,$E$302)</f>
        <v>0.55259999999999998</v>
      </c>
      <c r="J305" s="155" cm="1">
        <f t="array" ref="J305">Scope3_Equations.VEERG_15_6_1_1__1_EmissionsFromPurchasedLime(F305,IF($F$300,$F$300,$E$300))+
Scope3_Equations.VEERG_15_6_1_1__1_EmissionsFromPurchasedLime(G305,IF($F$301,$F$301,$E$301))+
Scope3_Equations.VEERG_15_6_1_1__1_EmissionsFromPurchasedLime(H305,IF($F$302,$F$302,$E$302))</f>
        <v>0.49</v>
      </c>
      <c r="K305" s="85"/>
      <c r="L305" s="48"/>
      <c r="M305" s="85"/>
    </row>
    <row r="306" spans="3:41" x14ac:dyDescent="0.25">
      <c r="D306" s="50" t="str">
        <v>Lime product 2</v>
      </c>
      <c r="E306" s="50">
        <v>10000</v>
      </c>
      <c r="F306" s="50">
        <v>10000</v>
      </c>
      <c r="G306" s="50">
        <v>0</v>
      </c>
      <c r="H306" s="50">
        <v>0</v>
      </c>
      <c r="I306" s="155" cm="1">
        <f t="array" ref="I306">Scope3_Equations.VEERG_15_6_1_1__1_EmissionsFromPurchasedLime(F306,$E$300)+
Scope3_Equations.VEERG_15_6_1_1__1_EmissionsFromPurchasedLime(G306,$E$301)+
Scope3_Equations.VEERG_15_6_1_1__1_EmissionsFromPurchasedLime(H306,$E$302)</f>
        <v>0.48499999999999999</v>
      </c>
      <c r="J306" s="155" cm="1">
        <f t="array" ref="J306">Scope3_Equations.VEERG_15_6_1_1__1_EmissionsFromPurchasedLime(F306,IF($F$300,$F$300,$E$300))+
Scope3_Equations.VEERG_15_6_1_1__1_EmissionsFromPurchasedLime(G306,IF($F$301,$F$301,$E$301))+
Scope3_Equations.VEERG_15_6_1_1__1_EmissionsFromPurchasedLime(H306,IF($F$302,$F$302,$E$302))</f>
        <v>0.4</v>
      </c>
      <c r="K306" s="85"/>
      <c r="L306" s="48"/>
      <c r="M306" s="85"/>
    </row>
    <row r="307" spans="3:41" x14ac:dyDescent="0.25">
      <c r="D307" s="50" t="str">
        <v/>
      </c>
      <c r="E307" s="50">
        <v>0</v>
      </c>
      <c r="F307" s="50">
        <v>0</v>
      </c>
      <c r="G307" s="50">
        <v>0</v>
      </c>
      <c r="H307" s="50">
        <v>0</v>
      </c>
      <c r="I307" s="155" cm="1">
        <f t="array" ref="I307">Scope3_Equations.VEERG_15_6_1_1__1_EmissionsFromPurchasedLime(F307,$E$300)+
Scope3_Equations.VEERG_15_6_1_1__1_EmissionsFromPurchasedLime(G307,$E$301)+
Scope3_Equations.VEERG_15_6_1_1__1_EmissionsFromPurchasedLime(H307,$E$302)</f>
        <v>0</v>
      </c>
      <c r="J307" s="155" cm="1">
        <f t="array" ref="J307">Scope3_Equations.VEERG_15_6_1_1__1_EmissionsFromPurchasedLime(F307,IF($F$300,$F$300,$E$300))+
Scope3_Equations.VEERG_15_6_1_1__1_EmissionsFromPurchasedLime(G307,IF($F$301,$F$301,$E$301))+
Scope3_Equations.VEERG_15_6_1_1__1_EmissionsFromPurchasedLime(H307,IF($F$302,$F$302,$E$302))</f>
        <v>0</v>
      </c>
      <c r="K307" s="85"/>
      <c r="L307" s="48"/>
      <c r="M307" s="85"/>
    </row>
    <row r="308" spans="3:41" x14ac:dyDescent="0.25">
      <c r="D308" s="50" t="str">
        <v/>
      </c>
      <c r="E308" s="50">
        <v>0</v>
      </c>
      <c r="F308" s="50">
        <v>0</v>
      </c>
      <c r="G308" s="50">
        <v>0</v>
      </c>
      <c r="H308" s="50">
        <v>0</v>
      </c>
      <c r="I308" s="155" cm="1">
        <f t="array" ref="I308">Scope3_Equations.VEERG_15_6_1_1__1_EmissionsFromPurchasedLime(F308,$E$300)+
Scope3_Equations.VEERG_15_6_1_1__1_EmissionsFromPurchasedLime(G308,$E$301)+
Scope3_Equations.VEERG_15_6_1_1__1_EmissionsFromPurchasedLime(H308,$E$302)</f>
        <v>0</v>
      </c>
      <c r="J308" s="155" cm="1">
        <f t="array" ref="J308">Scope3_Equations.VEERG_15_6_1_1__1_EmissionsFromPurchasedLime(F308,IF($F$300,$F$300,$E$300))+
Scope3_Equations.VEERG_15_6_1_1__1_EmissionsFromPurchasedLime(G308,IF($F$301,$F$301,$E$301))+
Scope3_Equations.VEERG_15_6_1_1__1_EmissionsFromPurchasedLime(H308,IF($F$302,$F$302,$E$302))</f>
        <v>0</v>
      </c>
      <c r="K308" s="85"/>
      <c r="L308" s="48"/>
      <c r="M308" s="85"/>
    </row>
    <row r="309" spans="3:41" x14ac:dyDescent="0.25">
      <c r="D309" s="50" t="str">
        <v/>
      </c>
      <c r="E309" s="50">
        <v>0</v>
      </c>
      <c r="F309" s="50">
        <v>0</v>
      </c>
      <c r="G309" s="50">
        <v>0</v>
      </c>
      <c r="H309" s="50">
        <v>0</v>
      </c>
      <c r="I309" s="155" cm="1">
        <f t="array" ref="I309">Scope3_Equations.VEERG_15_6_1_1__1_EmissionsFromPurchasedLime(F309,$E$300)+
Scope3_Equations.VEERG_15_6_1_1__1_EmissionsFromPurchasedLime(G309,$E$301)+
Scope3_Equations.VEERG_15_6_1_1__1_EmissionsFromPurchasedLime(H309,$E$302)</f>
        <v>0</v>
      </c>
      <c r="J309" s="155" cm="1">
        <f t="array" ref="J309">Scope3_Equations.VEERG_15_6_1_1__1_EmissionsFromPurchasedLime(F309,IF($F$300,$F$300,$E$300))+
Scope3_Equations.VEERG_15_6_1_1__1_EmissionsFromPurchasedLime(G309,IF($F$301,$F$301,$E$301))+
Scope3_Equations.VEERG_15_6_1_1__1_EmissionsFromPurchasedLime(H309,IF($F$302,$F$302,$E$302))</f>
        <v>0</v>
      </c>
      <c r="K309" s="85"/>
      <c r="L309" s="48"/>
      <c r="M309" s="85"/>
    </row>
    <row r="310" spans="3:41" x14ac:dyDescent="0.25">
      <c r="D310" s="50" t="str">
        <v/>
      </c>
      <c r="E310" s="50">
        <v>0</v>
      </c>
      <c r="F310" s="50">
        <v>0</v>
      </c>
      <c r="G310" s="50">
        <v>0</v>
      </c>
      <c r="H310" s="50">
        <v>0</v>
      </c>
      <c r="I310" s="155" cm="1">
        <f t="array" ref="I310">Scope3_Equations.VEERG_15_6_1_1__1_EmissionsFromPurchasedLime(F310,$E$300)+
Scope3_Equations.VEERG_15_6_1_1__1_EmissionsFromPurchasedLime(G310,$E$301)+
Scope3_Equations.VEERG_15_6_1_1__1_EmissionsFromPurchasedLime(H310,$E$302)</f>
        <v>0</v>
      </c>
      <c r="J310" s="155" cm="1">
        <f t="array" ref="J310">Scope3_Equations.VEERG_15_6_1_1__1_EmissionsFromPurchasedLime(F310,IF($F$300,$F$300,$E$300))+
Scope3_Equations.VEERG_15_6_1_1__1_EmissionsFromPurchasedLime(G310,IF($F$301,$F$301,$E$301))+
Scope3_Equations.VEERG_15_6_1_1__1_EmissionsFromPurchasedLime(H310,IF($F$302,$F$302,$E$302))</f>
        <v>0</v>
      </c>
      <c r="K310" s="85"/>
      <c r="L310" s="48"/>
      <c r="M310" s="85"/>
    </row>
    <row r="311" spans="3:41" x14ac:dyDescent="0.25">
      <c r="D311" s="50" t="str">
        <v/>
      </c>
      <c r="E311" s="50">
        <v>0</v>
      </c>
      <c r="F311" s="50">
        <v>0</v>
      </c>
      <c r="G311" s="50">
        <v>0</v>
      </c>
      <c r="H311" s="50">
        <v>0</v>
      </c>
      <c r="I311" s="155" cm="1">
        <f t="array" ref="I311">Scope3_Equations.VEERG_15_6_1_1__1_EmissionsFromPurchasedLime(F311,$E$300)+
Scope3_Equations.VEERG_15_6_1_1__1_EmissionsFromPurchasedLime(G311,$E$301)+
Scope3_Equations.VEERG_15_6_1_1__1_EmissionsFromPurchasedLime(H311,$E$302)</f>
        <v>0</v>
      </c>
      <c r="J311" s="155" cm="1">
        <f t="array" ref="J311">Scope3_Equations.VEERG_15_6_1_1__1_EmissionsFromPurchasedLime(F311,IF($F$300,$F$300,$E$300))+
Scope3_Equations.VEERG_15_6_1_1__1_EmissionsFromPurchasedLime(G311,IF($F$301,$F$301,$E$301))+
Scope3_Equations.VEERG_15_6_1_1__1_EmissionsFromPurchasedLime(H311,IF($F$302,$F$302,$E$302))</f>
        <v>0</v>
      </c>
      <c r="K311" s="85"/>
      <c r="L311" s="48"/>
      <c r="M311" s="85"/>
    </row>
    <row r="312" spans="3:41" x14ac:dyDescent="0.25">
      <c r="D312" s="50" t="str">
        <v/>
      </c>
      <c r="E312" s="50">
        <v>0</v>
      </c>
      <c r="F312" s="50">
        <v>0</v>
      </c>
      <c r="G312" s="50">
        <v>0</v>
      </c>
      <c r="H312" s="50">
        <v>0</v>
      </c>
      <c r="I312" s="155" cm="1">
        <f t="array" ref="I312">Scope3_Equations.VEERG_15_6_1_1__1_EmissionsFromPurchasedLime(F312,$E$300)+
Scope3_Equations.VEERG_15_6_1_1__1_EmissionsFromPurchasedLime(G312,$E$301)+
Scope3_Equations.VEERG_15_6_1_1__1_EmissionsFromPurchasedLime(H312,$E$302)</f>
        <v>0</v>
      </c>
      <c r="J312" s="155" cm="1">
        <f t="array" ref="J312">Scope3_Equations.VEERG_15_6_1_1__1_EmissionsFromPurchasedLime(F312,IF($F$300,$F$300,$E$300))+
Scope3_Equations.VEERG_15_6_1_1__1_EmissionsFromPurchasedLime(G312,IF($F$301,$F$301,$E$301))+
Scope3_Equations.VEERG_15_6_1_1__1_EmissionsFromPurchasedLime(H312,IF($F$302,$F$302,$E$302))</f>
        <v>0</v>
      </c>
      <c r="K312" s="85"/>
      <c r="L312" s="48"/>
      <c r="M312" s="85"/>
    </row>
    <row r="313" spans="3:41" x14ac:dyDescent="0.25">
      <c r="D313" s="50" t="str">
        <v/>
      </c>
      <c r="E313" s="50">
        <v>0</v>
      </c>
      <c r="F313" s="50">
        <v>0</v>
      </c>
      <c r="G313" s="50">
        <v>0</v>
      </c>
      <c r="H313" s="50">
        <v>0</v>
      </c>
      <c r="I313" s="155" cm="1">
        <f t="array" ref="I313">Scope3_Equations.VEERG_15_6_1_1__1_EmissionsFromPurchasedLime(F313,$E$300)+
Scope3_Equations.VEERG_15_6_1_1__1_EmissionsFromPurchasedLime(G313,$E$301)+
Scope3_Equations.VEERG_15_6_1_1__1_EmissionsFromPurchasedLime(H313,$E$302)</f>
        <v>0</v>
      </c>
      <c r="J313" s="155" cm="1">
        <f t="array" ref="J313">Scope3_Equations.VEERG_15_6_1_1__1_EmissionsFromPurchasedLime(F313,IF($F$300,$F$300,$E$300))+
Scope3_Equations.VEERG_15_6_1_1__1_EmissionsFromPurchasedLime(G313,IF($F$301,$F$301,$E$301))+
Scope3_Equations.VEERG_15_6_1_1__1_EmissionsFromPurchasedLime(H313,IF($F$302,$F$302,$E$302))</f>
        <v>0</v>
      </c>
      <c r="K313" s="85"/>
      <c r="L313" s="48"/>
      <c r="M313" s="85"/>
    </row>
    <row r="314" spans="3:41" x14ac:dyDescent="0.25">
      <c r="D314" s="50" t="str">
        <v/>
      </c>
      <c r="E314" s="50">
        <v>0</v>
      </c>
      <c r="F314" s="50">
        <v>0</v>
      </c>
      <c r="G314" s="50">
        <v>0</v>
      </c>
      <c r="H314" s="50">
        <v>0</v>
      </c>
      <c r="I314" s="155" cm="1">
        <f t="array" ref="I314">Scope3_Equations.VEERG_15_6_1_1__1_EmissionsFromPurchasedLime(F314,$E$300)+
Scope3_Equations.VEERG_15_6_1_1__1_EmissionsFromPurchasedLime(G314,$E$301)+
Scope3_Equations.VEERG_15_6_1_1__1_EmissionsFromPurchasedLime(H314,$E$302)</f>
        <v>0</v>
      </c>
      <c r="J314" s="155" cm="1">
        <f t="array" ref="J314">Scope3_Equations.VEERG_15_6_1_1__1_EmissionsFromPurchasedLime(F314,IF($F$300,$F$300,$E$300))+
Scope3_Equations.VEERG_15_6_1_1__1_EmissionsFromPurchasedLime(G314,IF($F$301,$F$301,$E$301))+
Scope3_Equations.VEERG_15_6_1_1__1_EmissionsFromPurchasedLime(H314,IF($F$302,$F$302,$E$302))</f>
        <v>0</v>
      </c>
      <c r="K314" s="85"/>
      <c r="L314" s="48"/>
      <c r="M314" s="85"/>
    </row>
    <row r="316" spans="3:41" ht="20.25" x14ac:dyDescent="0.25">
      <c r="D316" s="183" t="s">
        <v>642</v>
      </c>
      <c r="E316" s="181">
        <f>SUM(I305:I314)</f>
        <v>1.0375999999999999</v>
      </c>
      <c r="F316" s="182" t="str">
        <f>$E$155</f>
        <v>t CO2e</v>
      </c>
    </row>
    <row r="317" spans="3:41" ht="20.25" x14ac:dyDescent="0.25">
      <c r="D317" s="183" t="s">
        <v>644</v>
      </c>
      <c r="E317" s="181">
        <f>SUM(J305:J314)</f>
        <v>0.89</v>
      </c>
      <c r="F317" s="182" t="str">
        <f>$E$155</f>
        <v>t CO2e</v>
      </c>
    </row>
    <row r="320" spans="3:41" x14ac:dyDescent="0.25">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6" t="s">
        <v>635</v>
      </c>
      <c r="E323" s="176" t="str" cm="1">
        <f t="array" aca="1" ref="E323" ca="1">Common_InputFunctions.Utility_DisplayFunctionName(K336)</f>
        <v>=Scope3_Equations.VEERG_15_7_1_1__1_EmissionsFromPurchasedServices</v>
      </c>
    </row>
    <row r="325" spans="4:15" x14ac:dyDescent="0.25">
      <c r="H325" s="8" t="s">
        <v>867</v>
      </c>
    </row>
    <row r="326" spans="4:15" x14ac:dyDescent="0.25">
      <c r="D326" s="28" t="s">
        <v>636</v>
      </c>
      <c r="E326" s="8" t="str" cm="1">
        <f t="array" ref="E326">Scope3_Equations.VEERG_15_7_1_1__1_EmissionsFromPurchasedServices_Variable()</f>
        <v>E</v>
      </c>
    </row>
    <row r="327" spans="4:15" x14ac:dyDescent="0.25">
      <c r="D327" s="28" t="s">
        <v>97</v>
      </c>
      <c r="E327" s="8" t="str" cm="1">
        <f t="array" ref="E327">Scope3_Equations.VEERG_15_7_1_1__1_EmissionsFromPurchasedServices_Unit()</f>
        <v>t CO2e</v>
      </c>
    </row>
    <row r="329" spans="4:15" x14ac:dyDescent="0.25">
      <c r="D329" s="171" t="str" cm="1">
        <f t="array" ref="D329:E331">_xlfn.CHOOSECOLS(Scope3_Equations.VEERG_15_7_1_1__1_EmissionsFromPurchasedServices_Arguments(),1,2)</f>
        <v>A_p</v>
      </c>
      <c r="E329" s="175" t="str">
        <v>activity data of the service that was purchased</v>
      </c>
      <c r="F329" s="170"/>
      <c r="G329" s="171" t="str" cm="1">
        <f t="array" ref="G329:H331">_xlfn.CHOOSECOLS(Scope3_Equations.VEERG_15_7_1_1__1_EmissionsFromPurchasedServices_Arguments(),3,4)</f>
        <v>ha or h</v>
      </c>
      <c r="H329" s="172" t="str">
        <v>Input</v>
      </c>
    </row>
    <row r="330" spans="4:15" x14ac:dyDescent="0.25">
      <c r="D330" s="171" t="str">
        <v>EF_p</v>
      </c>
      <c r="E330" s="175" t="str">
        <v>life cycle emission factor for the purchased service</v>
      </c>
      <c r="F330" s="170"/>
      <c r="G330" s="171" t="str">
        <v>kg CO2e/ha or kg CO2e/h</v>
      </c>
      <c r="H330" s="173" t="str">
        <v>Constant</v>
      </c>
    </row>
    <row r="331" spans="4:15" x14ac:dyDescent="0.25">
      <c r="D331" s="171" t="str">
        <v>p</v>
      </c>
      <c r="E331" s="175" t="str">
        <v>service type</v>
      </c>
      <c r="F331" s="170"/>
      <c r="G331" s="171" t="str">
        <v/>
      </c>
      <c r="H331" s="172" t="str">
        <v>Input</v>
      </c>
    </row>
    <row r="333" spans="4:15" x14ac:dyDescent="0.25">
      <c r="D333" s="12" t="s">
        <v>700</v>
      </c>
    </row>
    <row r="335" spans="4:15" x14ac:dyDescent="0.25">
      <c r="D335" s="47" t="s">
        <v>614</v>
      </c>
      <c r="E335" s="47" t="s">
        <v>624</v>
      </c>
      <c r="F335" s="47" t="s">
        <v>619</v>
      </c>
      <c r="G335" s="47" t="s">
        <v>126</v>
      </c>
      <c r="H335" s="60" t="s">
        <v>421</v>
      </c>
      <c r="I335" s="60" t="s">
        <v>357</v>
      </c>
      <c r="J335" s="47" t="s">
        <v>422</v>
      </c>
      <c r="K335" s="60" t="s">
        <v>358</v>
      </c>
      <c r="L335" s="60" t="s">
        <v>620</v>
      </c>
      <c r="M335" s="47" t="s">
        <v>638</v>
      </c>
      <c r="N335" s="47" t="s">
        <v>639</v>
      </c>
      <c r="O335" s="47" t="s">
        <v>640</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831</v>
      </c>
      <c r="I336" s="50" t="s">
        <v>831</v>
      </c>
      <c r="J336" s="69">
        <v>4</v>
      </c>
      <c r="K336" s="155" cm="1">
        <f t="array" ref="K336">Scope3_Equations.VEERG_15_7_1_1__1_EmissionsFromPurchasedServices(F336,J336)</f>
        <v>40</v>
      </c>
      <c r="L336" s="50" t="str">
        <f>"t CO2e / " &amp; G336</f>
        <v>t CO2e / Hour</v>
      </c>
      <c r="M336" s="85"/>
      <c r="N336" s="48"/>
      <c r="O336" s="85"/>
    </row>
    <row r="337" spans="3:41" x14ac:dyDescent="0.25">
      <c r="D337" s="50" t="str">
        <v>Harini's Harvesting Services Pty Ltd</v>
      </c>
      <c r="E337" s="50" t="str">
        <v>Wheat harvesting</v>
      </c>
      <c r="F337" s="50">
        <v>1000</v>
      </c>
      <c r="G337" s="50" t="str">
        <v>Hectare</v>
      </c>
      <c r="H337" s="50" t="s">
        <v>831</v>
      </c>
      <c r="I337" s="50" t="s">
        <v>831</v>
      </c>
      <c r="J337" s="69">
        <v>2</v>
      </c>
      <c r="K337" s="155" cm="1">
        <f t="array" ref="K337">Scope3_Equations.VEERG_15_7_1_1__1_EmissionsFromPurchasedServices(F337,J337)</f>
        <v>2</v>
      </c>
      <c r="L337" s="50" t="str">
        <f t="shared" ref="L337:L345" si="1">"t CO2e / " &amp; G337</f>
        <v>t CO2e / Hectare</v>
      </c>
      <c r="M337" s="85"/>
      <c r="N337" s="48"/>
      <c r="O337" s="85"/>
    </row>
    <row r="338" spans="3:41" x14ac:dyDescent="0.25">
      <c r="D338" s="50">
        <v>0</v>
      </c>
      <c r="E338" s="50">
        <v>0</v>
      </c>
      <c r="F338" s="50">
        <v>0</v>
      </c>
      <c r="G338" s="50">
        <v>0</v>
      </c>
      <c r="H338" s="50" t="s">
        <v>831</v>
      </c>
      <c r="I338" s="50" t="s">
        <v>831</v>
      </c>
      <c r="J338" s="69"/>
      <c r="K338" s="155" cm="1">
        <f t="array" ref="K338">Scope3_Equations.VEERG_15_7_1_1__1_EmissionsFromPurchasedServices(F338,J338)</f>
        <v>0</v>
      </c>
      <c r="L338" s="50" t="str">
        <f t="shared" si="1"/>
        <v>t CO2e / 0</v>
      </c>
      <c r="M338" s="85"/>
      <c r="N338" s="48"/>
      <c r="O338" s="85"/>
    </row>
    <row r="339" spans="3:41" x14ac:dyDescent="0.25">
      <c r="D339" s="50">
        <v>0</v>
      </c>
      <c r="E339" s="50">
        <v>0</v>
      </c>
      <c r="F339" s="50">
        <v>0</v>
      </c>
      <c r="G339" s="50">
        <v>0</v>
      </c>
      <c r="H339" s="50" t="s">
        <v>831</v>
      </c>
      <c r="I339" s="50" t="s">
        <v>831</v>
      </c>
      <c r="J339" s="69"/>
      <c r="K339" s="155" cm="1">
        <f t="array" ref="K339">Scope3_Equations.VEERG_15_7_1_1__1_EmissionsFromPurchasedServices(F339,J339)</f>
        <v>0</v>
      </c>
      <c r="L339" s="50" t="str">
        <f t="shared" si="1"/>
        <v>t CO2e / 0</v>
      </c>
      <c r="M339" s="85"/>
      <c r="N339" s="48"/>
      <c r="O339" s="85"/>
    </row>
    <row r="340" spans="3:41" x14ac:dyDescent="0.25">
      <c r="D340" s="50">
        <v>0</v>
      </c>
      <c r="E340" s="50">
        <v>0</v>
      </c>
      <c r="F340" s="50">
        <v>0</v>
      </c>
      <c r="G340" s="50">
        <v>0</v>
      </c>
      <c r="H340" s="50" t="s">
        <v>831</v>
      </c>
      <c r="I340" s="50" t="s">
        <v>831</v>
      </c>
      <c r="J340" s="69"/>
      <c r="K340" s="155" cm="1">
        <f t="array" ref="K340">Scope3_Equations.VEERG_15_7_1_1__1_EmissionsFromPurchasedServices(F340,J340)</f>
        <v>0</v>
      </c>
      <c r="L340" s="50" t="str">
        <f t="shared" si="1"/>
        <v>t CO2e / 0</v>
      </c>
      <c r="M340" s="85"/>
      <c r="N340" s="48"/>
      <c r="O340" s="85"/>
    </row>
    <row r="341" spans="3:41" x14ac:dyDescent="0.25">
      <c r="D341" s="50">
        <v>0</v>
      </c>
      <c r="E341" s="50">
        <v>0</v>
      </c>
      <c r="F341" s="50">
        <v>0</v>
      </c>
      <c r="G341" s="50">
        <v>0</v>
      </c>
      <c r="H341" s="50" t="s">
        <v>831</v>
      </c>
      <c r="I341" s="50" t="s">
        <v>831</v>
      </c>
      <c r="J341" s="69"/>
      <c r="K341" s="155" cm="1">
        <f t="array" ref="K341">Scope3_Equations.VEERG_15_7_1_1__1_EmissionsFromPurchasedServices(F341,J341)</f>
        <v>0</v>
      </c>
      <c r="L341" s="50" t="str">
        <f t="shared" si="1"/>
        <v>t CO2e / 0</v>
      </c>
      <c r="M341" s="85"/>
      <c r="N341" s="48"/>
      <c r="O341" s="85"/>
    </row>
    <row r="342" spans="3:41" x14ac:dyDescent="0.25">
      <c r="D342" s="50">
        <v>0</v>
      </c>
      <c r="E342" s="50">
        <v>0</v>
      </c>
      <c r="F342" s="50">
        <v>0</v>
      </c>
      <c r="G342" s="50">
        <v>0</v>
      </c>
      <c r="H342" s="50" t="s">
        <v>831</v>
      </c>
      <c r="I342" s="50" t="s">
        <v>831</v>
      </c>
      <c r="J342" s="69"/>
      <c r="K342" s="155" cm="1">
        <f t="array" ref="K342">Scope3_Equations.VEERG_15_7_1_1__1_EmissionsFromPurchasedServices(F342,J342)</f>
        <v>0</v>
      </c>
      <c r="L342" s="50" t="str">
        <f t="shared" si="1"/>
        <v>t CO2e / 0</v>
      </c>
      <c r="M342" s="85"/>
      <c r="N342" s="48"/>
      <c r="O342" s="85"/>
    </row>
    <row r="343" spans="3:41" x14ac:dyDescent="0.25">
      <c r="D343" s="50">
        <v>0</v>
      </c>
      <c r="E343" s="50">
        <v>0</v>
      </c>
      <c r="F343" s="50">
        <v>0</v>
      </c>
      <c r="G343" s="50">
        <v>0</v>
      </c>
      <c r="H343" s="50" t="s">
        <v>831</v>
      </c>
      <c r="I343" s="50" t="s">
        <v>831</v>
      </c>
      <c r="J343" s="69"/>
      <c r="K343" s="155" cm="1">
        <f t="array" ref="K343">Scope3_Equations.VEERG_15_7_1_1__1_EmissionsFromPurchasedServices(F343,J343)</f>
        <v>0</v>
      </c>
      <c r="L343" s="50" t="str">
        <f t="shared" si="1"/>
        <v>t CO2e / 0</v>
      </c>
      <c r="M343" s="85"/>
      <c r="N343" s="48"/>
      <c r="O343" s="85"/>
    </row>
    <row r="344" spans="3:41" x14ac:dyDescent="0.25">
      <c r="D344" s="50">
        <v>0</v>
      </c>
      <c r="E344" s="50">
        <v>0</v>
      </c>
      <c r="F344" s="50">
        <v>0</v>
      </c>
      <c r="G344" s="50">
        <v>0</v>
      </c>
      <c r="H344" s="50" t="s">
        <v>831</v>
      </c>
      <c r="I344" s="50" t="s">
        <v>831</v>
      </c>
      <c r="J344" s="69"/>
      <c r="K344" s="155" cm="1">
        <f t="array" ref="K344">Scope3_Equations.VEERG_15_7_1_1__1_EmissionsFromPurchasedServices(F344,J344)</f>
        <v>0</v>
      </c>
      <c r="L344" s="50" t="str">
        <f t="shared" si="1"/>
        <v>t CO2e / 0</v>
      </c>
      <c r="M344" s="85"/>
      <c r="N344" s="48"/>
      <c r="O344" s="85"/>
    </row>
    <row r="345" spans="3:41" x14ac:dyDescent="0.25">
      <c r="D345" s="50">
        <v>0</v>
      </c>
      <c r="E345" s="50">
        <v>0</v>
      </c>
      <c r="F345" s="50">
        <v>0</v>
      </c>
      <c r="G345" s="50">
        <v>0</v>
      </c>
      <c r="H345" s="50" t="s">
        <v>831</v>
      </c>
      <c r="I345" s="50" t="s">
        <v>831</v>
      </c>
      <c r="J345" s="69"/>
      <c r="K345" s="155" cm="1">
        <f t="array" ref="K345">Scope3_Equations.VEERG_15_7_1_1__1_EmissionsFromPurchasedServices(F345,J345)</f>
        <v>0</v>
      </c>
      <c r="L345" s="50" t="str">
        <f t="shared" si="1"/>
        <v>t CO2e / 0</v>
      </c>
      <c r="M345" s="85"/>
      <c r="N345" s="48"/>
      <c r="O345" s="85"/>
    </row>
    <row r="347" spans="3:41" ht="20.25" x14ac:dyDescent="0.25">
      <c r="D347" s="183" t="s">
        <v>642</v>
      </c>
      <c r="E347" s="181" t="s">
        <v>831</v>
      </c>
      <c r="F347" s="182" t="str">
        <f>$E$155</f>
        <v>t CO2e</v>
      </c>
    </row>
    <row r="348" spans="3:41" ht="20.25" x14ac:dyDescent="0.25">
      <c r="D348" s="183" t="s">
        <v>644</v>
      </c>
      <c r="E348" s="181">
        <f>SUM(K336:K345)</f>
        <v>42</v>
      </c>
      <c r="F348" s="182" t="str">
        <f>$E$155</f>
        <v>t CO2e</v>
      </c>
    </row>
    <row r="351" spans="3:41" x14ac:dyDescent="0.25">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6" t="s">
        <v>635</v>
      </c>
      <c r="E355" s="176" t="str" cm="1">
        <f t="array" aca="1" ref="E355" ca="1">Common_InputFunctions.Utility_DisplayFunctionName(H367)</f>
        <v>=Scope3_Equations.VEERG_15_8_1_1__1_EmissionsFromPurchasedPackaging</v>
      </c>
    </row>
    <row r="359" spans="4:13" x14ac:dyDescent="0.25">
      <c r="D359" s="28" t="s">
        <v>636</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1" t="str" cm="1">
        <f t="array" ref="D362:E364">_xlfn.CHOOSECOLS(Scope3_Equations.VEERG_15_8_1_1__1_EmissionsFromPurchasedPackaging_Arguments(),1,2)</f>
        <v>Q_p</v>
      </c>
      <c r="E362" s="171" t="str">
        <v>units of packaging type p</v>
      </c>
      <c r="F362" s="171" t="str" cm="1">
        <f t="array" ref="F362:G364">_xlfn.CHOOSECOLS(Scope3_Equations.VEERG_15_8_1_1__1_EmissionsFromPurchasedPackaging_Arguments(),3,4)</f>
        <v>units</v>
      </c>
      <c r="G362" s="172" t="str">
        <v>Input</v>
      </c>
    </row>
    <row r="363" spans="4:13" x14ac:dyDescent="0.25">
      <c r="D363" s="171" t="str">
        <v>EF_p</v>
      </c>
      <c r="E363" s="171" t="str">
        <v>emission factor for packaging type p</v>
      </c>
      <c r="F363" s="171" t="str">
        <v>kg CO2e/unit</v>
      </c>
      <c r="G363" s="173" t="str">
        <v>Constant</v>
      </c>
    </row>
    <row r="364" spans="4:13" x14ac:dyDescent="0.25">
      <c r="D364" s="171" t="str">
        <v>p</v>
      </c>
      <c r="E364" s="171" t="str">
        <v>packaging type</v>
      </c>
      <c r="F364" s="171" t="str">
        <v/>
      </c>
      <c r="G364" s="172" t="str">
        <v>Input</v>
      </c>
    </row>
    <row r="366" spans="4:13" ht="17.25" x14ac:dyDescent="0.25">
      <c r="D366" s="47" t="s">
        <v>366</v>
      </c>
      <c r="E366" s="156" t="s">
        <v>411</v>
      </c>
      <c r="F366" s="156" t="s">
        <v>701</v>
      </c>
      <c r="G366" s="60" t="s">
        <v>702</v>
      </c>
      <c r="H366" s="60" t="s">
        <v>642</v>
      </c>
      <c r="I366" s="47" t="s">
        <v>703</v>
      </c>
      <c r="J366" s="60" t="s">
        <v>644</v>
      </c>
      <c r="K366" s="47" t="s">
        <v>638</v>
      </c>
      <c r="L366" s="47" t="s">
        <v>639</v>
      </c>
      <c r="M366" s="47" t="s">
        <v>640</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5" cm="1">
        <f t="array" ref="H367">Scope3_Equations.VEERG_15_8_1_1__1_EmissionsFromPurchasedPackaging(F367,G367)</f>
        <v>7.44</v>
      </c>
      <c r="I367" s="69">
        <v>3</v>
      </c>
      <c r="J367" s="155" cm="1">
        <f t="array" ref="J367">Scope3_Equations.VEERG_15_8_1_1__1_EmissionsFromPurchasedPackaging(F367,IF(I367,I367,G367))</f>
        <v>6</v>
      </c>
      <c r="K367" s="85"/>
      <c r="L367" s="48"/>
      <c r="M367" s="85"/>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5" cm="1">
        <f t="array" ref="H368">Scope3_Equations.VEERG_15_8_1_1__1_EmissionsFromPurchasedPackaging(F368,G368)</f>
        <v>0</v>
      </c>
      <c r="I368" s="69"/>
      <c r="J368" s="155" cm="1">
        <f t="array" ref="J368">Scope3_Equations.VEERG_15_8_1_1__1_EmissionsFromPurchasedPackaging(F368,IF(I368,I368,G368))</f>
        <v>0</v>
      </c>
      <c r="K368" s="85"/>
      <c r="L368" s="48"/>
      <c r="M368" s="85"/>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5" cm="1">
        <f t="array" ref="H369">Scope3_Equations.VEERG_15_8_1_1__1_EmissionsFromPurchasedPackaging(F369,G369)</f>
        <v>0</v>
      </c>
      <c r="I369" s="69"/>
      <c r="J369" s="155" cm="1">
        <f t="array" ref="J369">Scope3_Equations.VEERG_15_8_1_1__1_EmissionsFromPurchasedPackaging(F369,IF(I369,I369,G369))</f>
        <v>0</v>
      </c>
      <c r="K369" s="85"/>
      <c r="L369" s="48"/>
      <c r="M369" s="85"/>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5" cm="1">
        <f t="array" ref="H370">Scope3_Equations.VEERG_15_8_1_1__1_EmissionsFromPurchasedPackaging(F370,G370)</f>
        <v>0</v>
      </c>
      <c r="I370" s="69"/>
      <c r="J370" s="155" cm="1">
        <f t="array" ref="J370">Scope3_Equations.VEERG_15_8_1_1__1_EmissionsFromPurchasedPackaging(F370,IF(I370,I370,G370))</f>
        <v>0</v>
      </c>
      <c r="K370" s="85"/>
      <c r="L370" s="48"/>
      <c r="M370" s="85"/>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5" cm="1">
        <f t="array" ref="H371">Scope3_Equations.VEERG_15_8_1_1__1_EmissionsFromPurchasedPackaging(F371,G371)</f>
        <v>0</v>
      </c>
      <c r="I371" s="69"/>
      <c r="J371" s="155" cm="1">
        <f t="array" ref="J371">Scope3_Equations.VEERG_15_8_1_1__1_EmissionsFromPurchasedPackaging(F371,IF(I371,I371,G371))</f>
        <v>0</v>
      </c>
      <c r="K371" s="85"/>
      <c r="L371" s="48"/>
      <c r="M371" s="85"/>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5" cm="1">
        <f t="array" ref="H372">Scope3_Equations.VEERG_15_8_1_1__1_EmissionsFromPurchasedPackaging(F372,G372)</f>
        <v>0</v>
      </c>
      <c r="I372" s="69"/>
      <c r="J372" s="155" cm="1">
        <f t="array" ref="J372">Scope3_Equations.VEERG_15_8_1_1__1_EmissionsFromPurchasedPackaging(F372,IF(I372,I372,G372))</f>
        <v>0</v>
      </c>
      <c r="K372" s="85"/>
      <c r="L372" s="48"/>
      <c r="M372" s="85"/>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5" cm="1">
        <f t="array" ref="H373">Scope3_Equations.VEERG_15_8_1_1__1_EmissionsFromPurchasedPackaging(F373,G373)</f>
        <v>0</v>
      </c>
      <c r="I373" s="69"/>
      <c r="J373" s="155" cm="1">
        <f t="array" ref="J373">Scope3_Equations.VEERG_15_8_1_1__1_EmissionsFromPurchasedPackaging(F373,IF(I373,I373,G373))</f>
        <v>0</v>
      </c>
      <c r="K373" s="85"/>
      <c r="L373" s="48"/>
      <c r="M373" s="85"/>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5" cm="1">
        <f t="array" ref="H374">Scope3_Equations.VEERG_15_8_1_1__1_EmissionsFromPurchasedPackaging(F374,G374)</f>
        <v>0</v>
      </c>
      <c r="I374" s="69"/>
      <c r="J374" s="155" cm="1">
        <f t="array" ref="J374">Scope3_Equations.VEERG_15_8_1_1__1_EmissionsFromPurchasedPackaging(F374,IF(I374,I374,G374))</f>
        <v>0</v>
      </c>
      <c r="K374" s="85"/>
      <c r="L374" s="48"/>
      <c r="M374" s="85"/>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5" cm="1">
        <f t="array" ref="H375">Scope3_Equations.VEERG_15_8_1_1__1_EmissionsFromPurchasedPackaging(F375,G375)</f>
        <v>0</v>
      </c>
      <c r="I375" s="69"/>
      <c r="J375" s="155" cm="1">
        <f t="array" ref="J375">Scope3_Equations.VEERG_15_8_1_1__1_EmissionsFromPurchasedPackaging(F375,IF(I375,I375,G375))</f>
        <v>0</v>
      </c>
      <c r="K375" s="85"/>
      <c r="L375" s="48"/>
      <c r="M375" s="85"/>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5" cm="1">
        <f t="array" ref="H376">Scope3_Equations.VEERG_15_8_1_1__1_EmissionsFromPurchasedPackaging(F376,G376)</f>
        <v>0</v>
      </c>
      <c r="I376" s="69"/>
      <c r="J376" s="155" cm="1">
        <f t="array" ref="J376">Scope3_Equations.VEERG_15_8_1_1__1_EmissionsFromPurchasedPackaging(F376,IF(I376,I376,G376))</f>
        <v>0</v>
      </c>
      <c r="K376" s="85"/>
      <c r="L376" s="48"/>
      <c r="M376" s="85"/>
    </row>
    <row r="378" spans="3:41" ht="20.25" x14ac:dyDescent="0.25">
      <c r="D378" s="183" t="s">
        <v>642</v>
      </c>
      <c r="E378" s="181">
        <f>SUM(H367:H376)</f>
        <v>7.44</v>
      </c>
      <c r="F378" s="182" t="str">
        <f>$E$155</f>
        <v>t CO2e</v>
      </c>
    </row>
    <row r="379" spans="3:41" ht="20.25" x14ac:dyDescent="0.25">
      <c r="D379" s="183" t="s">
        <v>644</v>
      </c>
      <c r="E379" s="181">
        <f>SUM(J367:J376)</f>
        <v>6</v>
      </c>
      <c r="F379" s="182" t="str">
        <f>$E$155</f>
        <v>t CO2e</v>
      </c>
    </row>
    <row r="382" spans="3:41" x14ac:dyDescent="0.25">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6" t="s">
        <v>635</v>
      </c>
      <c r="E385" s="176" t="str" cm="1">
        <f t="array" aca="1" ref="E385" ca="1">Common_InputFunctions.Utility_DisplayFunctionName(J399)</f>
        <v>=Scope3_Equations.VEERG_15_9_1_1__1_EmissionsFromPurchasedGrowMedia</v>
      </c>
    </row>
    <row r="388" spans="4:14" x14ac:dyDescent="0.25">
      <c r="G388" s="176"/>
    </row>
    <row r="389" spans="4:14" x14ac:dyDescent="0.25">
      <c r="D389" s="28" t="s">
        <v>636</v>
      </c>
      <c r="E389" s="8" t="str" cm="1">
        <f t="array" ref="E389">Scope3_Equations.VEERG_15_9_1_1__1_EmissionsFromPurchasedGrowMedia_Variable()</f>
        <v>E</v>
      </c>
    </row>
    <row r="390" spans="4:14" x14ac:dyDescent="0.25">
      <c r="D390" s="28" t="s">
        <v>97</v>
      </c>
      <c r="E390" s="8" t="str" cm="1">
        <f t="array" ref="E390">Scope3_Equations.VEERG_15_9_1_1__1_EmissionsFromPurchasedGrowMedia_Unit()</f>
        <v>t CO2e</v>
      </c>
    </row>
    <row r="392" spans="4:14" x14ac:dyDescent="0.25">
      <c r="D392" s="171" t="str" cm="1">
        <f t="array" ref="D392:E394">_xlfn.CHOOSECOLS(Scope3_Equations.VEERG_15_9_1_1__1_EmissionsFromPurchasedGrowMedia_Arguments(),1,2)</f>
        <v>Q_g</v>
      </c>
      <c r="E392" s="171" t="str">
        <v>total quantity of grow media type g</v>
      </c>
      <c r="F392" s="171" t="str" cm="1">
        <f t="array" ref="F392:G394">_xlfn.CHOOSECOLS(Scope3_Equations.VEERG_15_9_1_1__1_EmissionsFromPurchasedGrowMedia_Arguments(),3,4)</f>
        <v>kg or m3</v>
      </c>
      <c r="G392" s="172" t="str">
        <v>Input</v>
      </c>
    </row>
    <row r="393" spans="4:14" x14ac:dyDescent="0.25">
      <c r="D393" s="171" t="str">
        <v>EF_g</v>
      </c>
      <c r="E393" s="171" t="str">
        <v>emission factor for grow media type g</v>
      </c>
      <c r="F393" s="171" t="str">
        <v>kg CO2e/kg or kg CO2e/m3</v>
      </c>
      <c r="G393" s="173" t="str">
        <v>Constant</v>
      </c>
    </row>
    <row r="394" spans="4:14" x14ac:dyDescent="0.25">
      <c r="D394" s="171" t="str">
        <v>g</v>
      </c>
      <c r="E394" s="171" t="str">
        <v>grow media type</v>
      </c>
      <c r="F394" s="171" t="str">
        <v/>
      </c>
      <c r="G394" s="172" t="str">
        <v>Input</v>
      </c>
    </row>
    <row r="396" spans="4:14" x14ac:dyDescent="0.25">
      <c r="D396" s="12" t="s">
        <v>700</v>
      </c>
    </row>
    <row r="398" spans="4:14" x14ac:dyDescent="0.25">
      <c r="D398" s="47" t="s">
        <v>705</v>
      </c>
      <c r="E398" s="47" t="s">
        <v>619</v>
      </c>
      <c r="F398" s="47" t="s">
        <v>126</v>
      </c>
      <c r="G398" s="60" t="s">
        <v>421</v>
      </c>
      <c r="H398" s="60" t="s">
        <v>357</v>
      </c>
      <c r="I398" s="47" t="s">
        <v>422</v>
      </c>
      <c r="J398" s="60" t="s">
        <v>358</v>
      </c>
      <c r="K398" s="60" t="s">
        <v>620</v>
      </c>
      <c r="L398" s="47" t="s">
        <v>638</v>
      </c>
      <c r="M398" s="47" t="s">
        <v>639</v>
      </c>
      <c r="N398" s="47" t="s">
        <v>640</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831</v>
      </c>
      <c r="H399" s="50" t="s">
        <v>831</v>
      </c>
      <c r="I399" s="69">
        <v>4</v>
      </c>
      <c r="J399" s="155" cm="1">
        <f t="array" ref="J399">Scope3_Equations.VEERG_15_9_1_1__1_EmissionsFromPurchasedGrowMedia(E399,I399)</f>
        <v>40</v>
      </c>
      <c r="K399" s="50" t="str">
        <f>"t CO2e / " &amp; F399</f>
        <v>t CO2e / kg</v>
      </c>
      <c r="L399" s="85"/>
      <c r="M399" s="48"/>
      <c r="N399" s="85"/>
    </row>
    <row r="400" spans="4:14" x14ac:dyDescent="0.25">
      <c r="D400" s="50" t="str">
        <v>Peat moss</v>
      </c>
      <c r="E400" s="50">
        <v>100</v>
      </c>
      <c r="F400" s="50" t="str">
        <v>m3</v>
      </c>
      <c r="G400" s="50" t="s">
        <v>831</v>
      </c>
      <c r="H400" s="50" t="s">
        <v>831</v>
      </c>
      <c r="I400" s="69">
        <v>2</v>
      </c>
      <c r="J400" s="155" cm="1">
        <f t="array" ref="J400">Scope3_Equations.VEERG_15_9_1_1__1_EmissionsFromPurchasedGrowMedia(E400,I400)</f>
        <v>0.2</v>
      </c>
      <c r="K400" s="50" t="str">
        <f t="shared" ref="K400:K408" si="2">"t CO2e / " &amp; F400</f>
        <v>t CO2e / m3</v>
      </c>
      <c r="L400" s="85"/>
      <c r="M400" s="48"/>
      <c r="N400" s="85"/>
    </row>
    <row r="401" spans="3:41" x14ac:dyDescent="0.25">
      <c r="D401" s="50" t="str">
        <v>tiny gravel</v>
      </c>
      <c r="E401" s="50">
        <v>10000</v>
      </c>
      <c r="F401" s="50" t="str">
        <v>kg</v>
      </c>
      <c r="G401" s="50" t="s">
        <v>831</v>
      </c>
      <c r="H401" s="50" t="s">
        <v>831</v>
      </c>
      <c r="I401" s="69"/>
      <c r="J401" s="155" cm="1">
        <f t="array" ref="J401">Scope3_Equations.VEERG_15_9_1_1__1_EmissionsFromPurchasedGrowMedia(E401,I401)</f>
        <v>0</v>
      </c>
      <c r="K401" s="50" t="str">
        <f t="shared" si="2"/>
        <v>t CO2e / kg</v>
      </c>
      <c r="L401" s="85"/>
      <c r="M401" s="48"/>
      <c r="N401" s="85"/>
    </row>
    <row r="402" spans="3:41" x14ac:dyDescent="0.25">
      <c r="D402" s="50">
        <v>0</v>
      </c>
      <c r="E402" s="50">
        <v>0</v>
      </c>
      <c r="F402" s="50">
        <v>0</v>
      </c>
      <c r="G402" s="50" t="s">
        <v>831</v>
      </c>
      <c r="H402" s="50" t="s">
        <v>831</v>
      </c>
      <c r="I402" s="69"/>
      <c r="J402" s="155" cm="1">
        <f t="array" ref="J402">Scope3_Equations.VEERG_15_9_1_1__1_EmissionsFromPurchasedGrowMedia(E402,I402)</f>
        <v>0</v>
      </c>
      <c r="K402" s="50" t="str">
        <f t="shared" si="2"/>
        <v>t CO2e / 0</v>
      </c>
      <c r="L402" s="85"/>
      <c r="M402" s="48"/>
      <c r="N402" s="85"/>
    </row>
    <row r="403" spans="3:41" x14ac:dyDescent="0.25">
      <c r="D403" s="50">
        <v>0</v>
      </c>
      <c r="E403" s="50">
        <v>0</v>
      </c>
      <c r="F403" s="50">
        <v>0</v>
      </c>
      <c r="G403" s="50" t="s">
        <v>831</v>
      </c>
      <c r="H403" s="50" t="s">
        <v>831</v>
      </c>
      <c r="I403" s="69"/>
      <c r="J403" s="155" cm="1">
        <f t="array" ref="J403">Scope3_Equations.VEERG_15_9_1_1__1_EmissionsFromPurchasedGrowMedia(E403,I403)</f>
        <v>0</v>
      </c>
      <c r="K403" s="50" t="str">
        <f t="shared" si="2"/>
        <v>t CO2e / 0</v>
      </c>
      <c r="L403" s="85"/>
      <c r="M403" s="48"/>
      <c r="N403" s="85"/>
    </row>
    <row r="404" spans="3:41" x14ac:dyDescent="0.25">
      <c r="D404" s="50">
        <v>0</v>
      </c>
      <c r="E404" s="50">
        <v>0</v>
      </c>
      <c r="F404" s="50">
        <v>0</v>
      </c>
      <c r="G404" s="50" t="s">
        <v>831</v>
      </c>
      <c r="H404" s="50" t="s">
        <v>831</v>
      </c>
      <c r="I404" s="69"/>
      <c r="J404" s="155" cm="1">
        <f t="array" ref="J404">Scope3_Equations.VEERG_15_9_1_1__1_EmissionsFromPurchasedGrowMedia(E404,I404)</f>
        <v>0</v>
      </c>
      <c r="K404" s="50" t="str">
        <f t="shared" si="2"/>
        <v>t CO2e / 0</v>
      </c>
      <c r="L404" s="85"/>
      <c r="M404" s="48"/>
      <c r="N404" s="85"/>
    </row>
    <row r="405" spans="3:41" x14ac:dyDescent="0.25">
      <c r="D405" s="50">
        <v>0</v>
      </c>
      <c r="E405" s="50">
        <v>0</v>
      </c>
      <c r="F405" s="50">
        <v>0</v>
      </c>
      <c r="G405" s="50" t="s">
        <v>831</v>
      </c>
      <c r="H405" s="50" t="s">
        <v>831</v>
      </c>
      <c r="I405" s="69"/>
      <c r="J405" s="155" cm="1">
        <f t="array" ref="J405">Scope3_Equations.VEERG_15_9_1_1__1_EmissionsFromPurchasedGrowMedia(E405,I405)</f>
        <v>0</v>
      </c>
      <c r="K405" s="50" t="str">
        <f t="shared" si="2"/>
        <v>t CO2e / 0</v>
      </c>
      <c r="L405" s="85"/>
      <c r="M405" s="48"/>
      <c r="N405" s="85"/>
    </row>
    <row r="406" spans="3:41" x14ac:dyDescent="0.25">
      <c r="D406" s="50">
        <v>0</v>
      </c>
      <c r="E406" s="50">
        <v>0</v>
      </c>
      <c r="F406" s="50">
        <v>0</v>
      </c>
      <c r="G406" s="50" t="s">
        <v>831</v>
      </c>
      <c r="H406" s="50" t="s">
        <v>831</v>
      </c>
      <c r="I406" s="69"/>
      <c r="J406" s="155" cm="1">
        <f t="array" ref="J406">Scope3_Equations.VEERG_15_9_1_1__1_EmissionsFromPurchasedGrowMedia(E406,I406)</f>
        <v>0</v>
      </c>
      <c r="K406" s="50" t="str">
        <f t="shared" si="2"/>
        <v>t CO2e / 0</v>
      </c>
      <c r="L406" s="85"/>
      <c r="M406" s="48"/>
      <c r="N406" s="85"/>
    </row>
    <row r="407" spans="3:41" x14ac:dyDescent="0.25">
      <c r="D407" s="50">
        <v>0</v>
      </c>
      <c r="E407" s="50">
        <v>0</v>
      </c>
      <c r="F407" s="50">
        <v>0</v>
      </c>
      <c r="G407" s="50" t="s">
        <v>831</v>
      </c>
      <c r="H407" s="50" t="s">
        <v>831</v>
      </c>
      <c r="I407" s="69"/>
      <c r="J407" s="155" cm="1">
        <f t="array" ref="J407">Scope3_Equations.VEERG_15_9_1_1__1_EmissionsFromPurchasedGrowMedia(E407,I407)</f>
        <v>0</v>
      </c>
      <c r="K407" s="50" t="str">
        <f t="shared" si="2"/>
        <v>t CO2e / 0</v>
      </c>
      <c r="L407" s="85"/>
      <c r="M407" s="48"/>
      <c r="N407" s="85"/>
    </row>
    <row r="408" spans="3:41" x14ac:dyDescent="0.25">
      <c r="D408" s="50">
        <v>0</v>
      </c>
      <c r="E408" s="50">
        <v>0</v>
      </c>
      <c r="F408" s="50">
        <v>0</v>
      </c>
      <c r="G408" s="50" t="s">
        <v>831</v>
      </c>
      <c r="H408" s="50" t="s">
        <v>831</v>
      </c>
      <c r="I408" s="69"/>
      <c r="J408" s="155" cm="1">
        <f t="array" ref="J408">Scope3_Equations.VEERG_15_9_1_1__1_EmissionsFromPurchasedGrowMedia(E408,I408)</f>
        <v>0</v>
      </c>
      <c r="K408" s="50" t="str">
        <f t="shared" si="2"/>
        <v>t CO2e / 0</v>
      </c>
      <c r="L408" s="85"/>
      <c r="M408" s="48"/>
      <c r="N408" s="85"/>
    </row>
    <row r="410" spans="3:41" ht="20.25" x14ac:dyDescent="0.25">
      <c r="D410" s="183" t="s">
        <v>642</v>
      </c>
      <c r="E410" s="181" t="s">
        <v>831</v>
      </c>
      <c r="F410" s="182" t="str">
        <f>$E$155</f>
        <v>t CO2e</v>
      </c>
    </row>
    <row r="411" spans="3:41" ht="20.25" x14ac:dyDescent="0.25">
      <c r="D411" s="183" t="s">
        <v>644</v>
      </c>
      <c r="E411" s="181">
        <f>SUM(J399:J408)</f>
        <v>40.200000000000003</v>
      </c>
      <c r="F411" s="182" t="str">
        <f>$E$155</f>
        <v>t CO2e</v>
      </c>
    </row>
    <row r="414" spans="3:41" x14ac:dyDescent="0.25">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713</v>
      </c>
    </row>
    <row r="418" spans="4:13" x14ac:dyDescent="0.25">
      <c r="D418" s="176" t="s">
        <v>635</v>
      </c>
      <c r="E418" s="176" t="str" cm="1">
        <f t="array" aca="1" ref="E418" ca="1">Common_InputFunctions.Utility_DisplayFunctionName(H430)</f>
        <v>=Scope3_Equations.VEERG_15_10_1_1__1_OtherPurchasedGoodsAndServices</v>
      </c>
    </row>
    <row r="421" spans="4:13" x14ac:dyDescent="0.25">
      <c r="D421" s="28" t="s">
        <v>636</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1" t="str" cm="1">
        <f t="array" ref="D424:E425">_xlfn.CHOOSECOLS(Scope3_Equations.VEERG_15_10_1_1__1_OtherPurchasedGoodsAndServices_Arguments(),1,2)</f>
        <v>activity_data</v>
      </c>
      <c r="E424" s="175" t="str">
        <v>measured activity for the purchased good or service</v>
      </c>
      <c r="F424" s="170"/>
      <c r="G424" s="171" t="str" cm="1">
        <f t="array" ref="G424:H425">_xlfn.CHOOSECOLS(Scope3_Equations.VEERG_15_10_1_1__1_OtherPurchasedGoodsAndServices_Arguments(),3,4)</f>
        <v>varies</v>
      </c>
      <c r="H424" s="172" t="str">
        <v>Input</v>
      </c>
    </row>
    <row r="425" spans="4:13" x14ac:dyDescent="0.25">
      <c r="D425" s="171" t="str">
        <v>emission_factor</v>
      </c>
      <c r="E425" s="175" t="str">
        <v>lifecycle emissions per unit of activity</v>
      </c>
      <c r="F425" s="170"/>
      <c r="G425" s="171" t="str">
        <v>varies</v>
      </c>
      <c r="H425" s="173" t="str">
        <v>Constant</v>
      </c>
    </row>
    <row r="427" spans="4:13" ht="18.75" x14ac:dyDescent="0.25">
      <c r="D427" s="148" t="s">
        <v>380</v>
      </c>
    </row>
    <row r="429" spans="4:13" x14ac:dyDescent="0.25">
      <c r="D429" s="47" t="s">
        <v>366</v>
      </c>
      <c r="E429" s="156" t="s">
        <v>287</v>
      </c>
      <c r="F429" s="156" t="s">
        <v>382</v>
      </c>
      <c r="G429" s="60" t="s">
        <v>360</v>
      </c>
      <c r="H429" s="60" t="s">
        <v>642</v>
      </c>
      <c r="I429" s="47" t="s">
        <v>363</v>
      </c>
      <c r="J429" s="60" t="s">
        <v>644</v>
      </c>
      <c r="K429" s="47" t="s">
        <v>638</v>
      </c>
      <c r="L429" s="47" t="s">
        <v>639</v>
      </c>
      <c r="M429" s="47" t="s">
        <v>640</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5" cm="1">
        <f t="array" ref="H430">Scope3_Equations.VEERG_15_10_1_1__1_OtherPurchasedGoodsAndServices(F430,G430*10^-3)</f>
        <v>9.0700000000000003E-2</v>
      </c>
      <c r="I430" s="69">
        <v>1.3</v>
      </c>
      <c r="J430" s="155" cm="1">
        <f t="array" ref="J430">Scope3_Equations.VEERG_15_10_1_1__1_OtherPurchasedGoodsAndServices(F430,IF(I430,I430,G430)*10^-3)</f>
        <v>0.13</v>
      </c>
      <c r="K430" s="85"/>
      <c r="L430" s="48"/>
      <c r="M430" s="85"/>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5" cm="1">
        <f t="array" ref="H431">Scope3_Equations.VEERG_15_10_1_1__1_OtherPurchasedGoodsAndServices(F431,G431*10^-3)</f>
        <v>7.22E-2</v>
      </c>
      <c r="I431" s="69">
        <v>8</v>
      </c>
      <c r="J431" s="155" cm="1">
        <f t="array" ref="J431">Scope3_Equations.VEERG_15_10_1_1__1_OtherPurchasedGoodsAndServices(F431,IF(I431,I431,G431)*10^-3)</f>
        <v>0.8</v>
      </c>
      <c r="K431" s="85"/>
      <c r="L431" s="48"/>
      <c r="M431" s="85"/>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5" cm="1">
        <f t="array" ref="H432">Scope3_Equations.VEERG_15_10_1_1__1_OtherPurchasedGoodsAndServices(F432,G432*10^-3)</f>
        <v>8.0399999999999999E-2</v>
      </c>
      <c r="I432" s="69">
        <v>4</v>
      </c>
      <c r="J432" s="155" cm="1">
        <f t="array" ref="J432">Scope3_Equations.VEERG_15_10_1_1__1_OtherPurchasedGoodsAndServices(F432,IF(I432,I432,G432)*10^-3)</f>
        <v>0.4</v>
      </c>
      <c r="K432" s="85"/>
      <c r="L432" s="48"/>
      <c r="M432" s="85"/>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5" cm="1">
        <f t="array" ref="H433">Scope3_Equations.VEERG_15_10_1_1__1_OtherPurchasedGoodsAndServices(F433,G433*10^-3)</f>
        <v>8.0399999999999999E-2</v>
      </c>
      <c r="I433" s="69">
        <v>3</v>
      </c>
      <c r="J433" s="155" cm="1">
        <f t="array" ref="J433">Scope3_Equations.VEERG_15_10_1_1__1_OtherPurchasedGoodsAndServices(F433,IF(I433,I433,G433)*10^-3)</f>
        <v>0.3</v>
      </c>
      <c r="K433" s="85"/>
      <c r="L433" s="48"/>
      <c r="M433" s="85"/>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5" cm="1">
        <f t="array" ref="H434">Scope3_Equations.VEERG_15_10_1_1__1_OtherPurchasedGoodsAndServices(F434,G434*10^-3)</f>
        <v>9.0700000000000003E-2</v>
      </c>
      <c r="I434" s="69">
        <v>6</v>
      </c>
      <c r="J434" s="155" cm="1">
        <f t="array" ref="J434">Scope3_Equations.VEERG_15_10_1_1__1_OtherPurchasedGoodsAndServices(F434,IF(I434,I434,G434)*10^-3)</f>
        <v>0.6</v>
      </c>
      <c r="K434" s="85"/>
      <c r="L434" s="48"/>
      <c r="M434" s="85"/>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5" cm="1">
        <f t="array" ref="H435">Scope3_Equations.VEERG_15_10_1_1__1_OtherPurchasedGoodsAndServices(F435,G435*10^-3)</f>
        <v>9.0700000000000003E-2</v>
      </c>
      <c r="I435" s="69">
        <v>5</v>
      </c>
      <c r="J435" s="155" cm="1">
        <f t="array" ref="J435">Scope3_Equations.VEERG_15_10_1_1__1_OtherPurchasedGoodsAndServices(F435,IF(I435,I435,G435)*10^-3)</f>
        <v>0.5</v>
      </c>
      <c r="K435" s="85"/>
      <c r="L435" s="48"/>
      <c r="M435" s="85"/>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5" cm="1">
        <f t="array" ref="H436">Scope3_Equations.VEERG_15_10_1_1__1_OtherPurchasedGoodsAndServices(F436,G436*10^-3)</f>
        <v>0</v>
      </c>
      <c r="I436" s="69"/>
      <c r="J436" s="155" cm="1">
        <f t="array" ref="J436">Scope3_Equations.VEERG_15_10_1_1__1_OtherPurchasedGoodsAndServices(F436,IF(I436,I436,G436)*10^-3)</f>
        <v>0</v>
      </c>
      <c r="K436" s="85"/>
      <c r="L436" s="48"/>
      <c r="M436" s="85"/>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5" cm="1">
        <f t="array" ref="H437">Scope3_Equations.VEERG_15_10_1_1__1_OtherPurchasedGoodsAndServices(F437,G437*10^-3)</f>
        <v>0</v>
      </c>
      <c r="I437" s="69"/>
      <c r="J437" s="155" cm="1">
        <f t="array" ref="J437">Scope3_Equations.VEERG_15_10_1_1__1_OtherPurchasedGoodsAndServices(F437,IF(I437,I437,G437)*10^-3)</f>
        <v>0</v>
      </c>
      <c r="K437" s="85"/>
      <c r="L437" s="48"/>
      <c r="M437" s="85"/>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5" cm="1">
        <f t="array" ref="H438">Scope3_Equations.VEERG_15_10_1_1__1_OtherPurchasedGoodsAndServices(F438,G438*10^-3)</f>
        <v>0</v>
      </c>
      <c r="I438" s="69"/>
      <c r="J438" s="155" cm="1">
        <f t="array" ref="J438">Scope3_Equations.VEERG_15_10_1_1__1_OtherPurchasedGoodsAndServices(F438,IF(I438,I438,G438)*10^-3)</f>
        <v>0</v>
      </c>
      <c r="K438" s="85"/>
      <c r="L438" s="48"/>
      <c r="M438" s="85"/>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5" cm="1">
        <f t="array" ref="H439">Scope3_Equations.VEERG_15_10_1_1__1_OtherPurchasedGoodsAndServices(F439,G439*10^-3)</f>
        <v>0</v>
      </c>
      <c r="I439" s="69"/>
      <c r="J439" s="155" cm="1">
        <f t="array" ref="J439">Scope3_Equations.VEERG_15_10_1_1__1_OtherPurchasedGoodsAndServices(F439,IF(I439,I439,G439)*10^-3)</f>
        <v>0</v>
      </c>
      <c r="K439" s="85"/>
      <c r="L439" s="48"/>
      <c r="M439" s="85"/>
    </row>
    <row r="441" spans="4:13" ht="20.25" x14ac:dyDescent="0.25">
      <c r="D441" s="183" t="s">
        <v>642</v>
      </c>
      <c r="E441" s="181">
        <f>SUM(H430:H439)</f>
        <v>0.50509999999999999</v>
      </c>
      <c r="F441" s="182" t="str">
        <f>$E$155</f>
        <v>t CO2e</v>
      </c>
    </row>
    <row r="442" spans="4:13" ht="20.25" x14ac:dyDescent="0.25">
      <c r="D442" s="183" t="s">
        <v>644</v>
      </c>
      <c r="E442" s="181">
        <f>SUM(J430:J439)</f>
        <v>2.73</v>
      </c>
      <c r="F442" s="182" t="str">
        <f>$E$155</f>
        <v>t CO2e</v>
      </c>
    </row>
    <row r="445" spans="4:13" ht="18.75" x14ac:dyDescent="0.25">
      <c r="D445" s="148" t="s">
        <v>381</v>
      </c>
    </row>
    <row r="447" spans="4:13" x14ac:dyDescent="0.25">
      <c r="D447" s="47" t="s">
        <v>366</v>
      </c>
      <c r="E447" s="156" t="s">
        <v>287</v>
      </c>
      <c r="F447" s="156" t="s">
        <v>379</v>
      </c>
      <c r="G447" s="60" t="s">
        <v>626</v>
      </c>
      <c r="H447" s="60" t="s">
        <v>642</v>
      </c>
      <c r="I447" s="47" t="s">
        <v>627</v>
      </c>
      <c r="J447" s="60" t="s">
        <v>644</v>
      </c>
      <c r="K447" s="47" t="s">
        <v>638</v>
      </c>
      <c r="L447" s="47" t="s">
        <v>639</v>
      </c>
      <c r="M447" s="47" t="s">
        <v>640</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5" cm="1">
        <f t="array" ref="H448">Scope3_Equations.VEERG_15_10_1_1__1_OtherPurchasedGoodsAndServices(F448,G448*10^-3)</f>
        <v>5.47E-3</v>
      </c>
      <c r="I448" s="69">
        <v>0.05</v>
      </c>
      <c r="J448" s="155" cm="1">
        <f t="array" ref="J448">Scope3_Equations.VEERG_15_10_1_1__1_OtherPurchasedGoodsAndServices(F448,IF(I448,I448,G448)*10^-3)</f>
        <v>5.0000000000000001E-3</v>
      </c>
      <c r="K448" s="85"/>
      <c r="L448" s="48"/>
      <c r="M448" s="85"/>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5" cm="1">
        <f t="array" ref="H449">Scope3_Equations.VEERG_15_10_1_1__1_OtherPurchasedGoodsAndServices(F449,G449*10^-3)</f>
        <v>1.42E-3</v>
      </c>
      <c r="I449" s="69">
        <v>0.01</v>
      </c>
      <c r="J449" s="155" cm="1">
        <f t="array" ref="J449">Scope3_Equations.VEERG_15_10_1_1__1_OtherPurchasedGoodsAndServices(F449,IF(I449,I449,G449)*10^-3)</f>
        <v>1E-3</v>
      </c>
      <c r="K449" s="85"/>
      <c r="L449" s="48"/>
      <c r="M449" s="85"/>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5" cm="1">
        <f t="array" ref="H450">Scope3_Equations.VEERG_15_10_1_1__1_OtherPurchasedGoodsAndServices(F450,G450*10^-3)</f>
        <v>1.4300000000000001E-3</v>
      </c>
      <c r="I450" s="69">
        <v>0.01</v>
      </c>
      <c r="J450" s="155" cm="1">
        <f t="array" ref="J450">Scope3_Equations.VEERG_15_10_1_1__1_OtherPurchasedGoodsAndServices(F450,IF(I450,I450,G450)*10^-3)</f>
        <v>1E-3</v>
      </c>
      <c r="K450" s="85"/>
      <c r="L450" s="48"/>
      <c r="M450" s="85"/>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5" cm="1">
        <f t="array" ref="H451">Scope3_Equations.VEERG_15_10_1_1__1_OtherPurchasedGoodsAndServices(F451,G451*10^-3)</f>
        <v>4.26E-4</v>
      </c>
      <c r="I451" s="69">
        <v>4.0000000000000001E-3</v>
      </c>
      <c r="J451" s="155" cm="1">
        <f t="array" ref="J451">Scope3_Equations.VEERG_15_10_1_1__1_OtherPurchasedGoodsAndServices(F451,IF(I451,I451,G451)*10^-3)</f>
        <v>3.9999999999999996E-4</v>
      </c>
      <c r="K451" s="85"/>
      <c r="L451" s="48"/>
      <c r="M451" s="85"/>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5" cm="1">
        <f t="array" ref="H452">Scope3_Equations.VEERG_15_10_1_1__1_OtherPurchasedGoodsAndServices(F452,G452*10^-3)</f>
        <v>5.47E-3</v>
      </c>
      <c r="I452" s="69">
        <v>0.05</v>
      </c>
      <c r="J452" s="155" cm="1">
        <f t="array" ref="J452">Scope3_Equations.VEERG_15_10_1_1__1_OtherPurchasedGoodsAndServices(F452,IF(I452,I452,G452)*10^-3)</f>
        <v>5.0000000000000001E-3</v>
      </c>
      <c r="K452" s="85"/>
      <c r="L452" s="48"/>
      <c r="M452" s="85"/>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5" cm="1">
        <f t="array" ref="H453">Scope3_Equations.VEERG_15_10_1_1__1_OtherPurchasedGoodsAndServices(F453,G453*10^-3)</f>
        <v>1.42E-3</v>
      </c>
      <c r="I453" s="69">
        <v>0.01</v>
      </c>
      <c r="J453" s="155" cm="1">
        <f t="array" ref="J453">Scope3_Equations.VEERG_15_10_1_1__1_OtherPurchasedGoodsAndServices(F453,IF(I453,I453,G453)*10^-3)</f>
        <v>1E-3</v>
      </c>
      <c r="K453" s="85"/>
      <c r="L453" s="48"/>
      <c r="M453" s="85"/>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5" cm="1">
        <f t="array" ref="H454">Scope3_Equations.VEERG_15_10_1_1__1_OtherPurchasedGoodsAndServices(F454,G454*10^-3)</f>
        <v>0</v>
      </c>
      <c r="I454" s="69"/>
      <c r="J454" s="155" cm="1">
        <f t="array" ref="J454">Scope3_Equations.VEERG_15_10_1_1__1_OtherPurchasedGoodsAndServices(F454,IF(I454,I454,G454)*10^-3)</f>
        <v>0</v>
      </c>
      <c r="K454" s="85"/>
      <c r="L454" s="48"/>
      <c r="M454" s="85"/>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5" cm="1">
        <f t="array" ref="H455">Scope3_Equations.VEERG_15_10_1_1__1_OtherPurchasedGoodsAndServices(F455,G455*10^-3)</f>
        <v>0</v>
      </c>
      <c r="I455" s="69"/>
      <c r="J455" s="155" cm="1">
        <f t="array" ref="J455">Scope3_Equations.VEERG_15_10_1_1__1_OtherPurchasedGoodsAndServices(F455,IF(I455,I455,G455)*10^-3)</f>
        <v>0</v>
      </c>
      <c r="K455" s="85"/>
      <c r="L455" s="48"/>
      <c r="M455" s="85"/>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5" cm="1">
        <f t="array" ref="H456">Scope3_Equations.VEERG_15_10_1_1__1_OtherPurchasedGoodsAndServices(F456,G456*10^-3)</f>
        <v>0</v>
      </c>
      <c r="I456" s="69"/>
      <c r="J456" s="155" cm="1">
        <f t="array" ref="J456">Scope3_Equations.VEERG_15_10_1_1__1_OtherPurchasedGoodsAndServices(F456,IF(I456,I456,G456)*10^-3)</f>
        <v>0</v>
      </c>
      <c r="K456" s="85"/>
      <c r="L456" s="48"/>
      <c r="M456" s="85"/>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5" cm="1">
        <f t="array" ref="H457">Scope3_Equations.VEERG_15_10_1_1__1_OtherPurchasedGoodsAndServices(F457,G457*10^-3)</f>
        <v>0</v>
      </c>
      <c r="I457" s="69"/>
      <c r="J457" s="155" cm="1">
        <f t="array" ref="J457">Scope3_Equations.VEERG_15_10_1_1__1_OtherPurchasedGoodsAndServices(F457,IF(I457,I457,G457)*10^-3)</f>
        <v>0</v>
      </c>
      <c r="K457" s="85"/>
      <c r="L457" s="48"/>
      <c r="M457" s="85"/>
    </row>
    <row r="459" spans="4:13" ht="20.25" x14ac:dyDescent="0.25">
      <c r="D459" s="183" t="s">
        <v>642</v>
      </c>
      <c r="E459" s="181">
        <f>SUM(H448:H457)</f>
        <v>1.5636000000000001E-2</v>
      </c>
      <c r="F459" s="182" t="str">
        <f>$E$155</f>
        <v>t CO2e</v>
      </c>
    </row>
    <row r="460" spans="4:13" ht="20.25" x14ac:dyDescent="0.25">
      <c r="D460" s="183" t="s">
        <v>644</v>
      </c>
      <c r="E460" s="181">
        <f>SUM(J448:J457)</f>
        <v>1.3400000000000002E-2</v>
      </c>
      <c r="F460" s="182" t="str">
        <f>$E$155</f>
        <v>t CO2e</v>
      </c>
    </row>
    <row r="463" spans="4:13" ht="18.75" x14ac:dyDescent="0.25">
      <c r="D463" s="148" t="s">
        <v>417</v>
      </c>
    </row>
    <row r="465" spans="4:12" x14ac:dyDescent="0.25">
      <c r="D465" s="47" t="s">
        <v>170</v>
      </c>
      <c r="E465" s="47" t="s">
        <v>714</v>
      </c>
      <c r="F465" s="60" t="s">
        <v>626</v>
      </c>
      <c r="G465" s="60" t="s">
        <v>642</v>
      </c>
      <c r="H465" s="47" t="s">
        <v>627</v>
      </c>
      <c r="I465" s="60" t="s">
        <v>644</v>
      </c>
      <c r="J465" s="47" t="s">
        <v>638</v>
      </c>
      <c r="K465" s="47" t="s">
        <v>639</v>
      </c>
      <c r="L465" s="47" t="s">
        <v>640</v>
      </c>
    </row>
    <row r="466" spans="4:12" x14ac:dyDescent="0.25">
      <c r="D466" s="50" t="str">
        <f>'Input - Farm Inputs'!D121</f>
        <v>Barley grain (for seed)</v>
      </c>
      <c r="E466" s="50">
        <f>X_Cell_FarmInputs_Seed_BarleyGrain</f>
        <v>500</v>
      </c>
      <c r="F466" s="50" cm="1">
        <f t="array" ref="F466">Common_InputFunctions.Utility_LookupValueInTableNumber(D466,Table_SourceData_Scope3_Other[Product],Table_SourceData_Scope3_Other[AusLCI Emissions intensity])</f>
        <v>0.23899999999999999</v>
      </c>
      <c r="G466" s="155" cm="1">
        <f t="array" ref="G466">Scope3_Equations.VEERG_15_10_1_1__1_OtherPurchasedGoodsAndServices(E466,F466*10^-3)</f>
        <v>0.1195</v>
      </c>
      <c r="H466" s="69">
        <v>0.2</v>
      </c>
      <c r="I466" s="155" cm="1">
        <f t="array" ref="I466">Scope3_Equations.VEERG_15_10_1_1__1_OtherPurchasedGoodsAndServices(E466,IF(H466,H466,F466)*10^-3)</f>
        <v>0.1</v>
      </c>
      <c r="J466" s="85"/>
      <c r="K466" s="48"/>
      <c r="L466" s="85"/>
    </row>
    <row r="467" spans="4:12" x14ac:dyDescent="0.25">
      <c r="D467" s="50" t="str">
        <f>'Input - Farm Inputs'!D122</f>
        <v>Maize grain (for seed)</v>
      </c>
      <c r="E467" s="50">
        <f>X_Cell_FarmInputs_Seed_MaizeGrain</f>
        <v>600</v>
      </c>
      <c r="F467" s="50" cm="1">
        <f t="array" ref="F467">Common_InputFunctions.Utility_LookupValueInTableNumber(D467,Table_SourceData_Scope3_Other[Product],Table_SourceData_Scope3_Other[AusLCI Emissions intensity])</f>
        <v>0.18099999999999999</v>
      </c>
      <c r="G467" s="155" cm="1">
        <f t="array" ref="G467">Scope3_Equations.VEERG_15_10_1_1__1_OtherPurchasedGoodsAndServices(E467,F467*10^-3)</f>
        <v>0.1086</v>
      </c>
      <c r="H467" s="69"/>
      <c r="I467" s="155" cm="1">
        <f t="array" ref="I467">Scope3_Equations.VEERG_15_10_1_1__1_OtherPurchasedGoodsAndServices(E467,IF(H467,H467,F467)*10^-3)</f>
        <v>0.1086</v>
      </c>
      <c r="J467" s="85"/>
      <c r="K467" s="48"/>
      <c r="L467" s="85"/>
    </row>
    <row r="468" spans="4:12" x14ac:dyDescent="0.25">
      <c r="D468" s="50" t="str">
        <f>'Input - Farm Inputs'!D123</f>
        <v>Oat grain (for seed)</v>
      </c>
      <c r="E468" s="50">
        <f>X_Cell_FarmInputs_Seed_OatGrain</f>
        <v>700</v>
      </c>
      <c r="F468" s="50" cm="1">
        <f t="array" ref="F468">Common_InputFunctions.Utility_LookupValueInTableNumber(D468,Table_SourceData_Scope3_Other[Product],Table_SourceData_Scope3_Other[AusLCI Emissions intensity])</f>
        <v>0.27</v>
      </c>
      <c r="G468" s="155" cm="1">
        <f t="array" ref="G468">Scope3_Equations.VEERG_15_10_1_1__1_OtherPurchasedGoodsAndServices(E468,F468*10^-3)</f>
        <v>0.189</v>
      </c>
      <c r="H468" s="69">
        <v>0.2</v>
      </c>
      <c r="I468" s="155" cm="1">
        <f t="array" ref="I468">Scope3_Equations.VEERG_15_10_1_1__1_OtherPurchasedGoodsAndServices(E468,IF(H468,H468,F468)*10^-3)</f>
        <v>0.14000000000000001</v>
      </c>
      <c r="J468" s="85"/>
      <c r="K468" s="48"/>
      <c r="L468" s="85"/>
    </row>
    <row r="469" spans="4:12" x14ac:dyDescent="0.25">
      <c r="D469" s="50" t="str">
        <f>'Input - Farm Inputs'!D124</f>
        <v>Sorghum grain (for seed)</v>
      </c>
      <c r="E469" s="50">
        <f>X_Cell_FarmInputs_Seed_SorghumGrain</f>
        <v>800</v>
      </c>
      <c r="F469" s="50" cm="1">
        <f t="array" ref="F469">Common_InputFunctions.Utility_LookupValueInTableNumber(D469,Table_SourceData_Scope3_Other[Product],Table_SourceData_Scope3_Other[AusLCI Emissions intensity])</f>
        <v>0.23200000000000001</v>
      </c>
      <c r="G469" s="155" cm="1">
        <f t="array" ref="G469">Scope3_Equations.VEERG_15_10_1_1__1_OtherPurchasedGoodsAndServices(E469,F469*10^-3)</f>
        <v>0.18560000000000001</v>
      </c>
      <c r="H469" s="69"/>
      <c r="I469" s="155" cm="1">
        <f t="array" ref="I469">Scope3_Equations.VEERG_15_10_1_1__1_OtherPurchasedGoodsAndServices(E469,IF(H469,H469,F469)*10^-3)</f>
        <v>0.18560000000000001</v>
      </c>
      <c r="J469" s="85"/>
      <c r="K469" s="48"/>
      <c r="L469" s="85"/>
    </row>
    <row r="470" spans="4:12" x14ac:dyDescent="0.25">
      <c r="D470" s="50" t="str">
        <f>'Input - Farm Inputs'!D125</f>
        <v>Wheat grain (for seed)</v>
      </c>
      <c r="E470" s="50">
        <f>X_Cell_FarmInputs_Seed_WheatGrain</f>
        <v>900</v>
      </c>
      <c r="F470" s="50" cm="1">
        <f t="array" ref="F470">Common_InputFunctions.Utility_LookupValueInTableNumber(D470,Table_SourceData_Scope3_Other[Product],Table_SourceData_Scope3_Other[AusLCI Emissions intensity])</f>
        <v>0.26800000000000002</v>
      </c>
      <c r="G470" s="155" cm="1">
        <f t="array" ref="G470">Scope3_Equations.VEERG_15_10_1_1__1_OtherPurchasedGoodsAndServices(E470,F470*10^-3)</f>
        <v>0.2412</v>
      </c>
      <c r="H470" s="69">
        <v>0.2</v>
      </c>
      <c r="I470" s="155" cm="1">
        <f t="array" ref="I470">Scope3_Equations.VEERG_15_10_1_1__1_OtherPurchasedGoodsAndServices(E470,IF(H470,H470,F470)*10^-3)</f>
        <v>0.18000000000000002</v>
      </c>
      <c r="J470" s="85"/>
      <c r="K470" s="48"/>
      <c r="L470" s="85"/>
    </row>
    <row r="472" spans="4:12" ht="20.25" x14ac:dyDescent="0.25">
      <c r="D472" s="183" t="s">
        <v>642</v>
      </c>
      <c r="E472" s="181">
        <f>SUM(G466:G470)</f>
        <v>0.84389999999999998</v>
      </c>
      <c r="F472" s="182" t="str">
        <f>$E$155</f>
        <v>t CO2e</v>
      </c>
    </row>
    <row r="473" spans="4:12" ht="20.25" x14ac:dyDescent="0.25">
      <c r="D473" s="183" t="s">
        <v>644</v>
      </c>
      <c r="E473" s="181">
        <f>SUM(I466:I470)</f>
        <v>0.71420000000000006</v>
      </c>
      <c r="F473" s="182" t="str">
        <f>$E$155</f>
        <v>t CO2e</v>
      </c>
    </row>
    <row r="476" spans="4:12" ht="18.75" x14ac:dyDescent="0.25">
      <c r="D476" s="148" t="s">
        <v>715</v>
      </c>
    </row>
    <row r="478" spans="4:12" x14ac:dyDescent="0.25">
      <c r="D478" s="47" t="s">
        <v>170</v>
      </c>
      <c r="E478" s="47" t="s">
        <v>714</v>
      </c>
      <c r="F478" s="60" t="s">
        <v>626</v>
      </c>
      <c r="G478" s="60" t="s">
        <v>642</v>
      </c>
      <c r="H478" s="47" t="s">
        <v>627</v>
      </c>
      <c r="I478" s="60" t="s">
        <v>644</v>
      </c>
      <c r="J478" s="47" t="s">
        <v>638</v>
      </c>
      <c r="K478" s="47" t="s">
        <v>639</v>
      </c>
      <c r="L478" s="47" t="s">
        <v>640</v>
      </c>
    </row>
    <row r="479" spans="4:12" x14ac:dyDescent="0.25">
      <c r="D479" s="50" t="str">
        <f>'Input - Farm Inputs'!D128</f>
        <v>Animal ear tags (large)</v>
      </c>
      <c r="E479" s="50">
        <f>X_Cell_FarmInputs_Misc_AnimalEarTagsLarge</f>
        <v>100</v>
      </c>
      <c r="F479" s="50" cm="1">
        <f t="array" ref="F479">Common_InputFunctions.Utility_LookupValueInTableNumber(D479,Table_SourceData_Scope3_Other[Product],Table_SourceData_Scope3_Other[AusLCI Emissions intensity])</f>
        <v>4.24E-2</v>
      </c>
      <c r="G479" s="155" cm="1">
        <f t="array" ref="G479">Scope3_Equations.VEERG_15_10_1_1__1_OtherPurchasedGoodsAndServices(E479,F479*10^-3)</f>
        <v>4.2399999999999998E-3</v>
      </c>
      <c r="H479" s="69">
        <v>0.2</v>
      </c>
      <c r="I479" s="155" cm="1">
        <f t="array" ref="I479">Scope3_Equations.VEERG_15_10_1_1__1_OtherPurchasedGoodsAndServices(E479,IF(H479,H479,F479)*10^-3)</f>
        <v>0.02</v>
      </c>
      <c r="J479" s="85"/>
      <c r="K479" s="48"/>
      <c r="L479" s="85"/>
    </row>
    <row r="480" spans="4:12" x14ac:dyDescent="0.25">
      <c r="D480" s="50" t="str">
        <f>'Input - Farm Inputs'!D129</f>
        <v>Animal ear tags (small)</v>
      </c>
      <c r="E480" s="50">
        <f>X_Cell_FarmInputs_Misc_AnimalEarTagsSmall</f>
        <v>200</v>
      </c>
      <c r="F480" s="50" cm="1">
        <f t="array" ref="F480">Common_InputFunctions.Utility_LookupValueInTableNumber(D480,Table_SourceData_Scope3_Other[Product],Table_SourceData_Scope3_Other[AusLCI Emissions intensity])</f>
        <v>2.93E-2</v>
      </c>
      <c r="G480" s="155" cm="1">
        <f t="array" ref="G480">Scope3_Equations.VEERG_15_10_1_1__1_OtherPurchasedGoodsAndServices(E480,F480*10^-3)</f>
        <v>5.8599999999999998E-3</v>
      </c>
      <c r="H480" s="69"/>
      <c r="I480" s="155" cm="1">
        <f t="array" ref="I480">Scope3_Equations.VEERG_15_10_1_1__1_OtherPurchasedGoodsAndServices(E480,IF(H480,H480,F480)*10^-3)</f>
        <v>5.8599999999999998E-3</v>
      </c>
      <c r="J480" s="85"/>
      <c r="K480" s="48"/>
      <c r="L480" s="85"/>
    </row>
    <row r="481" spans="4:14" x14ac:dyDescent="0.25">
      <c r="D481" s="50" t="str">
        <f>'Input - Farm Inputs'!D130</f>
        <v>Nylon netting</v>
      </c>
      <c r="E481" s="50">
        <f>X_Cell_FarmInputs_Misc_NylonNetting</f>
        <v>300</v>
      </c>
      <c r="F481" s="50" cm="1">
        <f t="array" ref="F481">Common_InputFunctions.Utility_LookupValueInTableNumber(D481,Table_SourceData_Scope3_Other[Product],Table_SourceData_Scope3_Other[AusLCI Emissions intensity])</f>
        <v>9.81</v>
      </c>
      <c r="G481" s="155" cm="1">
        <f t="array" ref="G481">Scope3_Equations.VEERG_15_10_1_1__1_OtherPurchasedGoodsAndServices(E481,F481*10^-3)</f>
        <v>2.9430000000000005</v>
      </c>
      <c r="H481" s="69">
        <v>0.2</v>
      </c>
      <c r="I481" s="155" cm="1">
        <f t="array" ref="I481">Scope3_Equations.VEERG_15_10_1_1__1_OtherPurchasedGoodsAndServices(E481,IF(H481,H481,F481)*10^-3)</f>
        <v>6.0000000000000005E-2</v>
      </c>
      <c r="J481" s="85"/>
      <c r="K481" s="48"/>
      <c r="L481" s="85"/>
    </row>
    <row r="483" spans="4:14" ht="20.25" x14ac:dyDescent="0.25">
      <c r="D483" s="183" t="s">
        <v>642</v>
      </c>
      <c r="E483" s="181">
        <f>SUM(G479:G481)</f>
        <v>2.9531000000000005</v>
      </c>
      <c r="F483" s="182" t="str">
        <f>$E$155</f>
        <v>t CO2e</v>
      </c>
    </row>
    <row r="484" spans="4:14" ht="20.25" x14ac:dyDescent="0.25">
      <c r="D484" s="183" t="s">
        <v>644</v>
      </c>
      <c r="E484" s="181">
        <f>SUM(I479:I481)</f>
        <v>8.5860000000000006E-2</v>
      </c>
      <c r="F484" s="182" t="str">
        <f>$E$155</f>
        <v>t CO2e</v>
      </c>
    </row>
    <row r="487" spans="4:14" ht="18.75" x14ac:dyDescent="0.25">
      <c r="D487" s="148" t="s">
        <v>716</v>
      </c>
    </row>
    <row r="489" spans="4:14" x14ac:dyDescent="0.25">
      <c r="D489" s="47" t="s">
        <v>170</v>
      </c>
      <c r="E489" s="47" t="s">
        <v>606</v>
      </c>
      <c r="F489" s="47" t="s">
        <v>126</v>
      </c>
      <c r="G489" s="60" t="s">
        <v>421</v>
      </c>
      <c r="H489" s="60" t="s">
        <v>357</v>
      </c>
      <c r="I489" s="47" t="s">
        <v>422</v>
      </c>
      <c r="J489" s="47" t="s">
        <v>711</v>
      </c>
      <c r="K489" s="60" t="s">
        <v>358</v>
      </c>
      <c r="L489" s="47" t="s">
        <v>638</v>
      </c>
      <c r="M489" s="47" t="s">
        <v>639</v>
      </c>
      <c r="N489" s="47" t="s">
        <v>640</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831</v>
      </c>
      <c r="H490" s="50" t="s">
        <v>831</v>
      </c>
      <c r="I490" s="69">
        <v>4</v>
      </c>
      <c r="J490" s="48" t="s">
        <v>712</v>
      </c>
      <c r="K490" s="155" cm="1">
        <f t="array" ref="K490">Scope3_Equations.VEERG_15_10_1_1__1_OtherPurchasedGoodsAndServices(E490,IF(J490="kg / amount unit", I490*10^-3, I490))</f>
        <v>4000</v>
      </c>
      <c r="L490" s="85"/>
      <c r="M490" s="48"/>
      <c r="N490" s="85"/>
    </row>
    <row r="491" spans="4:14" x14ac:dyDescent="0.25">
      <c r="D491" s="50">
        <v>0</v>
      </c>
      <c r="E491" s="50">
        <v>0</v>
      </c>
      <c r="F491" s="50">
        <v>0</v>
      </c>
      <c r="G491" s="50" t="s">
        <v>831</v>
      </c>
      <c r="H491" s="50" t="s">
        <v>831</v>
      </c>
      <c r="I491" s="69">
        <v>2</v>
      </c>
      <c r="J491" s="48" t="s">
        <v>712</v>
      </c>
      <c r="K491" s="155" cm="1">
        <f t="array" ref="K491">Scope3_Equations.VEERG_15_10_1_1__1_OtherPurchasedGoodsAndServices(E491,IF(J491="kg / amount unit", I491*10^-3, I491))</f>
        <v>0</v>
      </c>
      <c r="L491" s="85"/>
      <c r="M491" s="48"/>
      <c r="N491" s="85"/>
    </row>
    <row r="492" spans="4:14" x14ac:dyDescent="0.25">
      <c r="D492" s="50">
        <v>0</v>
      </c>
      <c r="E492" s="50">
        <v>0</v>
      </c>
      <c r="F492" s="50">
        <v>0</v>
      </c>
      <c r="G492" s="50" t="s">
        <v>831</v>
      </c>
      <c r="H492" s="50" t="s">
        <v>831</v>
      </c>
      <c r="I492" s="69"/>
      <c r="J492" s="48"/>
      <c r="K492" s="155" cm="1">
        <f t="array" ref="K492">Scope3_Equations.VEERG_15_10_1_1__1_OtherPurchasedGoodsAndServices(E492,IF(J492="kg / amount unit", I492*10^-3, I492))</f>
        <v>0</v>
      </c>
      <c r="L492" s="85"/>
      <c r="M492" s="48"/>
      <c r="N492" s="85"/>
    </row>
    <row r="493" spans="4:14" x14ac:dyDescent="0.25">
      <c r="D493" s="50">
        <v>0</v>
      </c>
      <c r="E493" s="50">
        <v>0</v>
      </c>
      <c r="F493" s="50">
        <v>0</v>
      </c>
      <c r="G493" s="50" t="s">
        <v>831</v>
      </c>
      <c r="H493" s="50" t="s">
        <v>831</v>
      </c>
      <c r="I493" s="69"/>
      <c r="J493" s="48"/>
      <c r="K493" s="155" cm="1">
        <f t="array" ref="K493">Scope3_Equations.VEERG_15_10_1_1__1_OtherPurchasedGoodsAndServices(E493,IF(J493="kg / amount unit", I493*10^-3, I493))</f>
        <v>0</v>
      </c>
      <c r="L493" s="85"/>
      <c r="M493" s="48"/>
      <c r="N493" s="85"/>
    </row>
    <row r="494" spans="4:14" x14ac:dyDescent="0.25">
      <c r="D494" s="50">
        <v>0</v>
      </c>
      <c r="E494" s="50">
        <v>0</v>
      </c>
      <c r="F494" s="50">
        <v>0</v>
      </c>
      <c r="G494" s="50" t="s">
        <v>831</v>
      </c>
      <c r="H494" s="50" t="s">
        <v>831</v>
      </c>
      <c r="I494" s="69"/>
      <c r="J494" s="48"/>
      <c r="K494" s="155" cm="1">
        <f t="array" ref="K494">Scope3_Equations.VEERG_15_10_1_1__1_OtherPurchasedGoodsAndServices(E494,IF(J494="kg / amount unit", I494*10^-3, I494))</f>
        <v>0</v>
      </c>
      <c r="L494" s="85"/>
      <c r="M494" s="48"/>
      <c r="N494" s="85"/>
    </row>
    <row r="495" spans="4:14" x14ac:dyDescent="0.25">
      <c r="D495" s="50">
        <v>0</v>
      </c>
      <c r="E495" s="50">
        <v>0</v>
      </c>
      <c r="F495" s="50">
        <v>0</v>
      </c>
      <c r="G495" s="50" t="s">
        <v>831</v>
      </c>
      <c r="H495" s="50" t="s">
        <v>831</v>
      </c>
      <c r="I495" s="69"/>
      <c r="J495" s="48"/>
      <c r="K495" s="155" cm="1">
        <f t="array" ref="K495">Scope3_Equations.VEERG_15_10_1_1__1_OtherPurchasedGoodsAndServices(E495,IF(J495="kg / amount unit", I495*10^-3, I495))</f>
        <v>0</v>
      </c>
      <c r="L495" s="85"/>
      <c r="M495" s="48"/>
      <c r="N495" s="85"/>
    </row>
    <row r="496" spans="4:14" x14ac:dyDescent="0.25">
      <c r="D496" s="50">
        <v>0</v>
      </c>
      <c r="E496" s="50">
        <v>0</v>
      </c>
      <c r="F496" s="50">
        <v>0</v>
      </c>
      <c r="G496" s="50" t="s">
        <v>831</v>
      </c>
      <c r="H496" s="50" t="s">
        <v>831</v>
      </c>
      <c r="I496" s="69"/>
      <c r="J496" s="48"/>
      <c r="K496" s="155" cm="1">
        <f t="array" ref="K496">Scope3_Equations.VEERG_15_10_1_1__1_OtherPurchasedGoodsAndServices(E496,IF(J496="kg / amount unit", I496*10^-3, I496))</f>
        <v>0</v>
      </c>
      <c r="L496" s="85"/>
      <c r="M496" s="48"/>
      <c r="N496" s="85"/>
    </row>
    <row r="497" spans="3:41" x14ac:dyDescent="0.25">
      <c r="D497" s="50">
        <v>0</v>
      </c>
      <c r="E497" s="50">
        <v>0</v>
      </c>
      <c r="F497" s="50">
        <v>0</v>
      </c>
      <c r="G497" s="50" t="s">
        <v>831</v>
      </c>
      <c r="H497" s="50" t="s">
        <v>831</v>
      </c>
      <c r="I497" s="69"/>
      <c r="J497" s="48"/>
      <c r="K497" s="155" cm="1">
        <f t="array" ref="K497">Scope3_Equations.VEERG_15_10_1_1__1_OtherPurchasedGoodsAndServices(E497,IF(J497="kg / amount unit", I497*10^-3, I497))</f>
        <v>0</v>
      </c>
      <c r="L497" s="85"/>
      <c r="M497" s="48"/>
      <c r="N497" s="85"/>
    </row>
    <row r="498" spans="3:41" x14ac:dyDescent="0.25">
      <c r="D498" s="50">
        <v>0</v>
      </c>
      <c r="E498" s="50">
        <v>0</v>
      </c>
      <c r="F498" s="50">
        <v>0</v>
      </c>
      <c r="G498" s="50" t="s">
        <v>831</v>
      </c>
      <c r="H498" s="50" t="s">
        <v>831</v>
      </c>
      <c r="I498" s="69"/>
      <c r="J498" s="48"/>
      <c r="K498" s="155" cm="1">
        <f t="array" ref="K498">Scope3_Equations.VEERG_15_10_1_1__1_OtherPurchasedGoodsAndServices(E498,IF(J498="kg / amount unit", I498*10^-3, I498))</f>
        <v>0</v>
      </c>
      <c r="L498" s="85"/>
      <c r="M498" s="48"/>
      <c r="N498" s="85"/>
    </row>
    <row r="499" spans="3:41" x14ac:dyDescent="0.25">
      <c r="D499" s="50">
        <v>0</v>
      </c>
      <c r="E499" s="50">
        <v>0</v>
      </c>
      <c r="F499" s="50">
        <v>0</v>
      </c>
      <c r="G499" s="50" t="s">
        <v>831</v>
      </c>
      <c r="H499" s="50" t="s">
        <v>831</v>
      </c>
      <c r="I499" s="69"/>
      <c r="J499" s="48"/>
      <c r="K499" s="155" cm="1">
        <f t="array" ref="K499">Scope3_Equations.VEERG_15_10_1_1__1_OtherPurchasedGoodsAndServices(E499,IF(J499="kg / amount unit", I499*10^-3, I499))</f>
        <v>0</v>
      </c>
      <c r="L499" s="85"/>
      <c r="M499" s="48"/>
      <c r="N499" s="85"/>
    </row>
    <row r="501" spans="3:41" ht="20.25" x14ac:dyDescent="0.25">
      <c r="D501" s="183" t="s">
        <v>642</v>
      </c>
      <c r="E501" s="181" t="s">
        <v>831</v>
      </c>
      <c r="F501" s="182" t="str">
        <f>$E$155</f>
        <v>t CO2e</v>
      </c>
    </row>
    <row r="502" spans="3:41" ht="20.25" x14ac:dyDescent="0.25">
      <c r="D502" s="183" t="s">
        <v>644</v>
      </c>
      <c r="E502" s="181">
        <f>SUM(K490:K499)</f>
        <v>4000</v>
      </c>
      <c r="F502" s="182" t="str">
        <f>$E$155</f>
        <v>t CO2e</v>
      </c>
    </row>
    <row r="505" spans="3:41" x14ac:dyDescent="0.25">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6" t="s">
        <v>635</v>
      </c>
      <c r="E508" s="176" t="str" cm="1">
        <f t="array" aca="1" ref="E508" ca="1">Common_InputFunctions.Utility_DisplayFunctionName(E518)</f>
        <v>=Scope3_Equations.VEERG_15_11_1_1__1_TotalUpstreamEmissionsFromFuel</v>
      </c>
    </row>
    <row r="512" spans="3:41" x14ac:dyDescent="0.25">
      <c r="D512" s="28" t="s">
        <v>636</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1" t="str" cm="1">
        <f t="array" ref="D515:E516">_xlfn.CHOOSECOLS(Scope3_Equations.VEERG_15_11_1_1__1_TotalUpstreamEmissionsFromFuel_Arguments(),1,2)</f>
        <v>E_WTTtransq</v>
      </c>
      <c r="E515" s="175" t="str">
        <v>upstream emissions from scope 1 transport fuel use</v>
      </c>
      <c r="F515" s="170"/>
      <c r="G515" s="171" t="str" cm="1">
        <f t="array" ref="G515:H516">_xlfn.CHOOSECOLS(Scope3_Equations.VEERG_15_11_1_1__1_TotalUpstreamEmissionsFromFuel_Arguments(),3,4)</f>
        <v>t CO2e</v>
      </c>
      <c r="H515" s="173" t="str">
        <v>Calculated by 15.11.1.1 (2)</v>
      </c>
      <c r="I515" s="171">
        <f>VEERG_8_1_1_1__1_FuelCombustionTransport_Result</f>
        <v>0.13355600000000001</v>
      </c>
    </row>
    <row r="516" spans="3:41" x14ac:dyDescent="0.25">
      <c r="D516" s="171" t="str">
        <v>E_WTTSCq</v>
      </c>
      <c r="E516" s="175" t="str">
        <v>upstream emissions from scope 1 stationary combustion fuel use</v>
      </c>
      <c r="F516" s="170"/>
      <c r="G516" s="171" t="str">
        <v>t CO2e</v>
      </c>
      <c r="H516" s="173" t="str">
        <v>Calculated by 15.11.1.1 (3)</v>
      </c>
      <c r="I516" s="171">
        <f>VEERG_8_2_1_1__1_FuelCombustionStationary_Result</f>
        <v>2.6200000000000004E-3</v>
      </c>
    </row>
    <row r="518" spans="3:41" ht="20.25" x14ac:dyDescent="0.25">
      <c r="D518" s="183" t="s">
        <v>750</v>
      </c>
      <c r="E518" s="181" cm="1">
        <f t="array" ref="E518">Scope3_Equations.VEERG_15_11_1_1__1_TotalUpstreamEmissionsFromFuel(I515,I516)</f>
        <v>0.13617600000000002</v>
      </c>
      <c r="F518" s="182" t="str">
        <f>$E$155</f>
        <v>t CO2e</v>
      </c>
    </row>
    <row r="520" spans="3:41" x14ac:dyDescent="0.25">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6" t="s">
        <v>635</v>
      </c>
      <c r="E523" s="176" t="str" cm="1">
        <f t="array" aca="1" ref="E523" ca="1">Common_InputFunctions.Utility_DisplayFunctionName(E533)</f>
        <v>=Scope3_Equations.VEERG_15_12_1_1__1_UpstreamPurchasedElectricityLocationBased</v>
      </c>
    </row>
    <row r="526" spans="3:41" x14ac:dyDescent="0.25">
      <c r="D526" s="28" t="s">
        <v>636</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1" t="str" cm="1">
        <f t="array" ref="D529:E531">_xlfn.CHOOSECOLS(Scope3_Equations.VEERG_15_12_1_1__1_UpstreamPurchasedElectricityLocationBased_Arguments(),1,2)</f>
        <v>Q_elec</v>
      </c>
      <c r="E529" s="171" t="str">
        <v>amount of electricity purchased from the grid</v>
      </c>
      <c r="F529" s="171"/>
      <c r="G529" s="171" t="str" cm="1">
        <f t="array" ref="G529:H531">_xlfn.CHOOSECOLS(Scope3_Equations.VEERG_15_12_1_1__1_UpstreamPurchasedElectricityLocationBased_Arguments(),3,4)</f>
        <v>kWh</v>
      </c>
      <c r="H529" s="172" t="str">
        <v>Input</v>
      </c>
      <c r="I529" s="175">
        <f>X_Cell_Electricity_Location_AmountPurchasedInkWh</f>
        <v>500</v>
      </c>
      <c r="J529" s="170"/>
    </row>
    <row r="530" spans="3:41" x14ac:dyDescent="0.25">
      <c r="D530" s="171" t="str">
        <v>EF_3elec</v>
      </c>
      <c r="E530" s="171" t="str">
        <v>scope 3 emission factor for purchased electricity</v>
      </c>
      <c r="F530" s="171"/>
      <c r="G530" s="171" t="str">
        <v>kg CO2e/kWh</v>
      </c>
      <c r="H530" s="173" t="str">
        <v>Constant</v>
      </c>
      <c r="I530" s="175" cm="1">
        <f t="array" ref="I530">Common_InputFunctions.Utility_LookupValueInTableNumber(I531,Table_SourceData_ElectricityEFs[State, Territory or grid description],Table_SourceData_ElectricityEFs[Scope 3 Emission Factors (kg CO2-e/kWh)])</f>
        <v>0.06</v>
      </c>
      <c r="J530" s="170"/>
    </row>
    <row r="531" spans="3:41" x14ac:dyDescent="0.25">
      <c r="D531" s="171" t="str">
        <v>g</v>
      </c>
      <c r="E531" s="175" t="str">
        <v>grid electricity was purchased from</v>
      </c>
      <c r="F531" s="170"/>
      <c r="G531" s="171" t="str">
        <v/>
      </c>
      <c r="H531" s="172" t="str">
        <v>Input</v>
      </c>
      <c r="I531" s="175" t="str">
        <f>X_Cell_Electricity_Location_GridElectricityPurchasedFrom</f>
        <v>Western Australia - South West Interconnected System (SWIS)</v>
      </c>
      <c r="J531" s="170"/>
    </row>
    <row r="533" spans="3:41" ht="20.25" x14ac:dyDescent="0.25">
      <c r="D533" s="183" t="s">
        <v>751</v>
      </c>
      <c r="E533" s="181" cm="1">
        <f t="array" ref="E533">Scope3_Equations.VEERG_15_12_1_1__1_UpstreamPurchasedElectricityLocationBased(I529,I530)</f>
        <v>0.03</v>
      </c>
      <c r="F533" s="182" t="str">
        <f>$E$155</f>
        <v>t CO2e</v>
      </c>
    </row>
    <row r="536" spans="3:41" x14ac:dyDescent="0.25">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6" t="s">
        <v>635</v>
      </c>
      <c r="E540" s="176" t="str" cm="1">
        <f t="array" aca="1" ref="E540" ca="1">Common_InputFunctions.Utility_DisplayFunctionName(E555)</f>
        <v>=Scope3_Equations.VEERG_15_12_1_2__1_UpstreamPurchasedElectricityMarketBasedVariation</v>
      </c>
    </row>
    <row r="544" spans="3:41" x14ac:dyDescent="0.25">
      <c r="D544" s="28" t="s">
        <v>636</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1" t="str" cm="1">
        <f t="array" ref="D547:E553">_xlfn.CHOOSECOLS(Scope3_Equations.VEERG_15_12_1_2__1_UpstreamPurchasedElectricityMarketBased_Arguments(),1,2)</f>
        <v>Q_elec</v>
      </c>
      <c r="E547" s="175" t="str">
        <v>amount of electricity purchased from the grid</v>
      </c>
      <c r="F547" s="170"/>
      <c r="G547" s="171" t="str" cm="1">
        <f t="array" ref="G547:H553">_xlfn.CHOOSECOLS(Scope3_Equations.VEERG_15_12_1_2__1_UpstreamPurchasedElectricityMarketBased_Arguments(),3,4)</f>
        <v>kWh</v>
      </c>
      <c r="H547" s="172" t="str">
        <v>Input</v>
      </c>
      <c r="I547" s="208">
        <f>X_Cell_Electricity_Market_AmountPurchasedExcludingGreenPower</f>
        <v>30000</v>
      </c>
    </row>
    <row r="548" spans="3:41" x14ac:dyDescent="0.25">
      <c r="D548" s="171" t="str">
        <v>RPP</v>
      </c>
      <c r="E548" s="175" t="str">
        <v>renewable power percentage under LRET for the applicable period</v>
      </c>
      <c r="F548" s="170"/>
      <c r="G548" s="171" t="str">
        <v>fraction</v>
      </c>
      <c r="H548" s="172" t="str">
        <v>Input</v>
      </c>
      <c r="I548" s="207">
        <f>X_Cell_Electricity_Market_RenewablePowerPercentage</f>
        <v>0.1</v>
      </c>
    </row>
    <row r="549" spans="3:41" x14ac:dyDescent="0.25">
      <c r="D549" s="171" t="str">
        <v>JRPP</v>
      </c>
      <c r="E549" s="175" t="str">
        <v>jurisdictional renewable power percentage for the applicable period</v>
      </c>
      <c r="F549" s="170"/>
      <c r="G549" s="171" t="str">
        <v>fraction</v>
      </c>
      <c r="H549" s="172" t="str">
        <v>Input</v>
      </c>
      <c r="I549" s="207">
        <f>X_Cell_Electricity_Market_JurisdictionalRenewablePowerPercentage</f>
        <v>0.1</v>
      </c>
    </row>
    <row r="550" spans="3:41" x14ac:dyDescent="0.25">
      <c r="D550" s="171" t="str">
        <v>REC_surrendered</v>
      </c>
      <c r="E550" s="175" t="str">
        <v>eligible renewable energy certificates voluntarily surrendered</v>
      </c>
      <c r="F550" s="170"/>
      <c r="G550" s="171" t="str">
        <v>MWh</v>
      </c>
      <c r="H550" s="172" t="str">
        <v>Input</v>
      </c>
      <c r="I550" s="171">
        <f>(X_Cell_Electricity_Market_AmountPurchasedGreenPower*10^-3)+X_Cell_TotalElegibleVoluntarilySurrenderedRECs</f>
        <v>20</v>
      </c>
    </row>
    <row r="551" spans="3:41" x14ac:dyDescent="0.25">
      <c r="D551" s="171" t="str">
        <v>REC_onsite</v>
      </c>
      <c r="E551" s="175" t="str">
        <v>eligible renewable energy certificates issued for onsite generated electricity</v>
      </c>
      <c r="F551" s="170"/>
      <c r="G551" s="171" t="str">
        <v>MWh</v>
      </c>
      <c r="H551" s="172" t="str">
        <v>Input</v>
      </c>
      <c r="I551" s="171">
        <f>X_Cell_TotalElegibleRECsForElectricityProducedOnSite</f>
        <v>11</v>
      </c>
    </row>
    <row r="552" spans="3:41" x14ac:dyDescent="0.25">
      <c r="D552" s="171" t="str">
        <v>EF_RMF3elec</v>
      </c>
      <c r="E552" s="175" t="str">
        <v>scope 3 residual mix emission factor for electricity</v>
      </c>
      <c r="F552" s="170"/>
      <c r="G552" s="171" t="str">
        <v>kg CO2e/kWh</v>
      </c>
      <c r="H552" s="173" t="str">
        <v>Constant</v>
      </c>
      <c r="I552" s="171" cm="1">
        <f t="array" ref="I552">Table_SourceData_ElectricityEFsMarketBased[Scope 3 EF (kg CO2-e/kWh)]</f>
        <v>0.1</v>
      </c>
    </row>
    <row r="553" spans="3:41" x14ac:dyDescent="0.25">
      <c r="D553" s="171" t="str">
        <v>i</v>
      </c>
      <c r="E553" s="175" t="str">
        <v>state</v>
      </c>
      <c r="F553" s="170"/>
      <c r="G553" s="171" t="str">
        <v/>
      </c>
      <c r="H553" s="172" t="str">
        <v>Input</v>
      </c>
      <c r="I553" s="171" t="str">
        <f>X_Cell_Site_State</f>
        <v>ACT</v>
      </c>
    </row>
    <row r="555" spans="3:41" ht="20.25" x14ac:dyDescent="0.25">
      <c r="D555" s="183" t="s">
        <v>751</v>
      </c>
      <c r="E555" s="181" cm="1">
        <f t="array" ref="E555">Scope3_Equations.VEERG_15_12_1_2__1_UpstreamPurchasedElectricityMarketBasedVariation(I547,I548,I549,I550,I551,I552)</f>
        <v>1.5</v>
      </c>
      <c r="F555" s="182" t="str">
        <f>$E$155</f>
        <v>t CO2e</v>
      </c>
    </row>
    <row r="558" spans="3:41" x14ac:dyDescent="0.25">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6" t="s">
        <v>635</v>
      </c>
      <c r="E561" s="176" t="str" cm="1">
        <f t="array" aca="1" ref="E561" ca="1">Common_InputFunctions.Utility_DisplayFunctionName(E573)</f>
        <v>=Scope3_Equations.VEERG_15_13_1_1__1_EmissionsFromManureSentOffSite</v>
      </c>
    </row>
    <row r="564" spans="4:18" x14ac:dyDescent="0.25">
      <c r="D564" s="28" t="s">
        <v>636</v>
      </c>
      <c r="E564" s="8" t="str" cm="1">
        <f t="array" ref="E564">Scope3_Equations.VEERG_15_13_1_1__1_EmissionsFromManureSentOffSite_Variable()</f>
        <v>E</v>
      </c>
    </row>
    <row r="565" spans="4:18" x14ac:dyDescent="0.25">
      <c r="D565" s="28" t="s">
        <v>97</v>
      </c>
      <c r="E565" s="13" t="str" cm="1">
        <f t="array" ref="E565">Scope3_Equations.VEERG_15_13_1_1__1_EmissionsFromManureSentOffSite_Unit()</f>
        <v>t N2O</v>
      </c>
    </row>
    <row r="567" spans="4:18" x14ac:dyDescent="0.25">
      <c r="D567" s="7" t="s">
        <v>415</v>
      </c>
      <c r="L567" s="7" t="s">
        <v>416</v>
      </c>
    </row>
    <row r="569" spans="4:18" x14ac:dyDescent="0.25">
      <c r="D569" s="171" t="str" cm="1">
        <f t="array" ref="D569:E571">_xlfn.CHOOSECOLS(Scope3_Equations.VEERG_15_13_1_1__1_EmissionsFromManureSentOffSite_Arguments(),1,2)</f>
        <v>E_N2O</v>
      </c>
      <c r="E569" s="175" t="str">
        <v>direct nitrous oxide emissions from application of manure to soils outside of scope 1 boundary</v>
      </c>
      <c r="F569" s="209"/>
      <c r="G569" s="170"/>
      <c r="H569" s="171" t="str" cm="1">
        <f t="array" ref="H569:I571">_xlfn.CHOOSECOLS(Scope3_Equations.VEERG_15_13_1_1__1_EmissionsFromManureSentOffSite_Arguments(),3,4)</f>
        <v>t N2O</v>
      </c>
      <c r="I569" s="173" t="str">
        <v>Calculated</v>
      </c>
      <c r="J569" s="171">
        <f>VEERG_5_2_1_1__1_OrganicFertiliserApplicationN2OEmissions_Result_Method1</f>
        <v>7.8571428571428577E-3</v>
      </c>
      <c r="L569" s="171" t="str" cm="1">
        <f t="array" ref="L569:M571">_xlfn.CHOOSECOLS(Scope3_Equations.VEERG_15_13_1_1__1_EmissionsFromManureSentOffSite_Arguments(),1,2)</f>
        <v>E_N2O</v>
      </c>
      <c r="M569" s="175" t="str">
        <v>direct nitrous oxide emissions from application of manure to soils outside of scope 1 boundary</v>
      </c>
      <c r="N569" s="209"/>
      <c r="O569" s="170"/>
      <c r="P569" s="171" t="str" cm="1">
        <f t="array" ref="P569:Q571">_xlfn.CHOOSECOLS(Scope3_Equations.VEERG_15_13_1_1__1_EmissionsFromManureSentOffSite_Arguments(),3,4)</f>
        <v>t N2O</v>
      </c>
      <c r="Q569" s="173" t="str">
        <v>Calculated</v>
      </c>
      <c r="R569" s="171">
        <f>VEERG_5_2_1_1__1_OrganicFertiliserApplicationN2OEmissions_Result_Method2</f>
        <v>1.5714285714285715E-2</v>
      </c>
    </row>
    <row r="570" spans="4:18" x14ac:dyDescent="0.25">
      <c r="D570" s="171" t="str">
        <v>E_ad</v>
      </c>
      <c r="E570" s="175" t="str">
        <v>nitrous oxide emissions from atmospheric deposition of manure to soils</v>
      </c>
      <c r="F570" s="209"/>
      <c r="G570" s="170"/>
      <c r="H570" s="171" t="str">
        <v>t N2O</v>
      </c>
      <c r="I570" s="173" t="str">
        <v>Calculated</v>
      </c>
      <c r="J570" s="171">
        <f>VEERG_5_4_1_3__1_OrganicFertiliserAtmosphericDepositionN2OEmissions_Result_Method1</f>
        <v>2.31E-3</v>
      </c>
      <c r="L570" s="171" t="str">
        <v>E_ad</v>
      </c>
      <c r="M570" s="175" t="str">
        <v>nitrous oxide emissions from atmospheric deposition of manure to soils</v>
      </c>
      <c r="N570" s="209"/>
      <c r="O570" s="170"/>
      <c r="P570" s="171" t="str">
        <v>t N2O</v>
      </c>
      <c r="Q570" s="173" t="str">
        <v>Calculated</v>
      </c>
      <c r="R570" s="171">
        <f>VEERG_5_4_1_3__1_OrganicFertiliserAtmosphericDepositionN2OEmissions_Result_Method2</f>
        <v>4.62E-3</v>
      </c>
    </row>
    <row r="571" spans="4:18" x14ac:dyDescent="0.25">
      <c r="D571" s="171" t="str">
        <v>E_leach</v>
      </c>
      <c r="E571" s="175" t="str">
        <v>nitrous oxide emissions from nitrogen leaching and runoff of manure to soils</v>
      </c>
      <c r="F571" s="209"/>
      <c r="G571" s="170"/>
      <c r="H571" s="171" t="str">
        <v>t N2O</v>
      </c>
      <c r="I571" s="173" t="str">
        <v>Calculated</v>
      </c>
      <c r="J571" s="171">
        <f>VEERG_5_5_1_1__1_FertiliserLeachingAndRunoffN2OEmissions_Result_Method1</f>
        <v>4.1485714285714277E-3</v>
      </c>
      <c r="L571" s="171" t="str">
        <v>E_leach</v>
      </c>
      <c r="M571" s="175" t="str">
        <v>nitrous oxide emissions from nitrogen leaching and runoff of manure to soils</v>
      </c>
      <c r="N571" s="209"/>
      <c r="O571" s="170"/>
      <c r="P571" s="171" t="str">
        <v>t N2O</v>
      </c>
      <c r="Q571" s="173" t="str">
        <v>Calculated</v>
      </c>
      <c r="R571" s="171">
        <f>VEERG_5_5_1_1__1_FertiliserLeachingAndRunoffN2OEmissions_Result_Method2</f>
        <v>8.2971428571428554E-3</v>
      </c>
    </row>
    <row r="573" spans="4:18" ht="20.25" x14ac:dyDescent="0.25">
      <c r="D573" s="183" t="s">
        <v>751</v>
      </c>
      <c r="E573" s="181" cm="1">
        <f t="array" ref="E573">Scope3_Equations.VEERG_15_13_1_1__1_EmissionsFromManureSentOffSite(J569,J570,J571)</f>
        <v>1.4315714285714286E-2</v>
      </c>
      <c r="F573" s="182" t="str">
        <f>$E$565</f>
        <v>t N2O</v>
      </c>
      <c r="L573" s="183" t="s">
        <v>751</v>
      </c>
      <c r="M573" s="181" cm="1">
        <f t="array" ref="M573">Scope3_Equations.VEERG_15_13_1_1__1_EmissionsFromManureSentOffSite(R569,R570,R571)</f>
        <v>2.8631428571428572E-2</v>
      </c>
      <c r="N573" s="182" t="str">
        <f>$E$565</f>
        <v>t N2O</v>
      </c>
    </row>
    <row r="575" spans="4:18" x14ac:dyDescent="0.25">
      <c r="D575" s="210" t="str" cm="1">
        <f t="array" ref="D575:E576">Common_Equations.Common_ConvertN2OToCO2e_Arguments()</f>
        <v>EN2O</v>
      </c>
      <c r="E575" s="211" t="str">
        <v>Nitrous oxide emissions (t N2O)</v>
      </c>
      <c r="F575" s="212"/>
      <c r="G575" s="50">
        <f>E573</f>
        <v>1.4315714285714286E-2</v>
      </c>
      <c r="L575" s="210" t="str" cm="1">
        <f t="array" ref="L575:M576">Common_Equations.Common_ConvertN2OToCO2e_Arguments()</f>
        <v>EN2O</v>
      </c>
      <c r="M575" s="211" t="str">
        <v>Nitrous oxide emissions (t N2O)</v>
      </c>
      <c r="N575" s="212"/>
      <c r="O575" s="50">
        <f>M573</f>
        <v>2.8631428571428572E-2</v>
      </c>
    </row>
    <row r="576" spans="4:18" x14ac:dyDescent="0.25">
      <c r="D576" s="210" t="str">
        <v>GWPN2O</v>
      </c>
      <c r="E576" s="211" t="str">
        <v>Global warming potential for nitrous oxide (t CO2-e / t N2O)</v>
      </c>
      <c r="F576" s="212"/>
      <c r="G576" s="50">
        <f>Common_InputFunctions.Utility_LookupValueInTableNumber("N2O",Table_GWPData[Gas],Table_GWPData[CO2-e factor])</f>
        <v>265</v>
      </c>
      <c r="L576" s="210" t="str">
        <v>GWPN2O</v>
      </c>
      <c r="M576" s="211" t="str">
        <v>Global warming potential for nitrous oxide (t CO2-e / t N2O)</v>
      </c>
      <c r="N576" s="212"/>
      <c r="O576" s="50">
        <f>Common_InputFunctions.Utility_LookupValueInTableNumber("N2O",Table_GWPData[Gas],Table_GWPData[CO2-e factor])</f>
        <v>265</v>
      </c>
    </row>
    <row r="578" spans="3:41" ht="18.75" x14ac:dyDescent="0.25">
      <c r="D578" s="101" t="s">
        <v>756</v>
      </c>
      <c r="E578" s="101" cm="1">
        <f t="array" ref="E578">Common_Equations.Common_ConvertN2OToCO2e(G575,G576)</f>
        <v>3.7936642857142857</v>
      </c>
      <c r="F578" s="179" t="str" cm="1">
        <f t="array" ref="F578">Common_Equations.Common_ConvertN2OToCO2e_Unit()</f>
        <v>t CO2e</v>
      </c>
      <c r="L578" s="101" t="s">
        <v>756</v>
      </c>
      <c r="M578" s="101" cm="1">
        <f t="array" ref="M578">Common_Equations.Common_ConvertN2OToCO2e(O575,O576)</f>
        <v>7.5873285714285714</v>
      </c>
      <c r="N578" s="179" t="str" cm="1">
        <f t="array" ref="N578">Common_Equations.Common_ConvertN2OToCO2e_Unit()</f>
        <v>t CO2e</v>
      </c>
    </row>
    <row r="581" spans="3:41" x14ac:dyDescent="0.25">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8" t="s">
        <v>636</v>
      </c>
      <c r="E585" s="8" t="str" cm="1">
        <f t="array" ref="E585">Scope3_Equations.VEERG_15_13_1_3__1_EmissionsFromSolidWasteTreatmentFacility_Variable()</f>
        <v>E</v>
      </c>
    </row>
    <row r="586" spans="3:41" x14ac:dyDescent="0.25">
      <c r="D586" s="28" t="s">
        <v>97</v>
      </c>
      <c r="E586" s="13" t="str" cm="1">
        <f t="array" ref="E586">Scope3_Equations.VEERG_15_13_1_3__1_EmissionsFromSolidWasteTreatmentFacility_Unit()</f>
        <v>t CO2e</v>
      </c>
    </row>
    <row r="588" spans="3:41" ht="20.25" x14ac:dyDescent="0.25">
      <c r="D588" s="183" t="s">
        <v>751</v>
      </c>
      <c r="E588" s="181">
        <f>VEERG_10_1_1_1__1_EmissionsFromWasteManagement_Scope3_Result_Method1</f>
        <v>330.84210000000002</v>
      </c>
      <c r="F588" s="182" t="str">
        <f>E586</f>
        <v>t CO2e</v>
      </c>
    </row>
    <row r="591" spans="3:41" x14ac:dyDescent="0.25">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6" t="s">
        <v>635</v>
      </c>
      <c r="E594" s="176" t="str" cm="1">
        <f t="array" aca="1" ref="E594" ca="1">Common_InputFunctions.Utility_DisplayFunctionName(J609)</f>
        <v>=Scope3_Equations.VEERG_15_14_1_1__1_EmbeddedEmissionsFromUpstreamFreight</v>
      </c>
    </row>
    <row r="598" spans="4:13" x14ac:dyDescent="0.25">
      <c r="D598" s="28" t="s">
        <v>636</v>
      </c>
      <c r="E598" s="8" t="str" cm="1">
        <f t="array" ref="E598">Scope3_Equations.VEERG_15_14_1_1__1_EmbeddedEmissionsFromUpstreamFreight_Variable()</f>
        <v>E</v>
      </c>
    </row>
    <row r="599" spans="4:13" x14ac:dyDescent="0.25">
      <c r="D599" s="28" t="s">
        <v>97</v>
      </c>
      <c r="E599" s="13" t="str" cm="1">
        <f t="array" ref="E599">Scope3_Equations.VEERG_15_14_1_1__1_EmbeddedEmissionsFromUpstreamFreight_Unit()</f>
        <v>t CO2e</v>
      </c>
    </row>
    <row r="601" spans="4:13" x14ac:dyDescent="0.25">
      <c r="D601" s="171" t="str" cm="1">
        <f t="array" ref="D601:E604">_xlfn.CHOOSECOLS(Scope3_Equations.VEERG_15_14_1_1__1_EmbeddedEmissionsFromUpstreamFreight_Arguments(),1,2)</f>
        <v>W_f</v>
      </c>
      <c r="E601" s="175" t="str">
        <v>total mass of goods transported per freight type f</v>
      </c>
      <c r="F601" s="170"/>
      <c r="G601" s="171" t="str" cm="1">
        <f t="array" ref="G601:H604">_xlfn.CHOOSECOLS(Scope3_Equations.VEERG_15_14_1_1__1_EmbeddedEmissionsFromUpstreamFreight_Arguments(),3,4)</f>
        <v>t</v>
      </c>
      <c r="H601" s="172" t="str">
        <v>Input</v>
      </c>
    </row>
    <row r="602" spans="4:13" x14ac:dyDescent="0.25">
      <c r="D602" s="171" t="str">
        <v>D_f</v>
      </c>
      <c r="E602" s="175" t="str">
        <v>total distance transported per freight type f</v>
      </c>
      <c r="F602" s="170"/>
      <c r="G602" s="171" t="str">
        <v>km</v>
      </c>
      <c r="H602" s="172" t="str">
        <v>Input</v>
      </c>
    </row>
    <row r="603" spans="4:13" x14ac:dyDescent="0.25">
      <c r="D603" s="171" t="str">
        <v>EF_f</v>
      </c>
      <c r="E603" s="175" t="str">
        <v>emission factor for freight type f</v>
      </c>
      <c r="F603" s="170"/>
      <c r="G603" s="171" t="str">
        <v>t CO2e/(t km)</v>
      </c>
      <c r="H603" s="173" t="str">
        <v>Constant</v>
      </c>
    </row>
    <row r="604" spans="4:13" x14ac:dyDescent="0.25">
      <c r="D604" s="171" t="str">
        <v>f</v>
      </c>
      <c r="E604" s="175" t="str">
        <v>freight type</v>
      </c>
      <c r="F604" s="170"/>
      <c r="G604" s="171" t="str">
        <v/>
      </c>
      <c r="H604" s="172" t="str">
        <v>Input</v>
      </c>
    </row>
    <row r="606" spans="4:13" ht="18.75" x14ac:dyDescent="0.25">
      <c r="D606" s="148" t="s">
        <v>815</v>
      </c>
    </row>
    <row r="608" spans="4:13" ht="17.25" x14ac:dyDescent="0.25">
      <c r="D608" s="47" t="s">
        <v>816</v>
      </c>
      <c r="E608" s="47" t="s">
        <v>828</v>
      </c>
      <c r="F608" s="47" t="s">
        <v>829</v>
      </c>
      <c r="G608" s="60" t="s">
        <v>830</v>
      </c>
      <c r="H608" s="60" t="s">
        <v>642</v>
      </c>
      <c r="I608" s="47" t="s">
        <v>678</v>
      </c>
      <c r="J608" s="60" t="s">
        <v>644</v>
      </c>
      <c r="K608" s="47" t="s">
        <v>638</v>
      </c>
      <c r="L608" s="47" t="s">
        <v>639</v>
      </c>
      <c r="M608" s="47" t="s">
        <v>640</v>
      </c>
    </row>
    <row r="609" spans="4:13" x14ac:dyDescent="0.25">
      <c r="D609" s="50" t="str" cm="1">
        <f t="array" ref="D609:D618">IFERROR(INDEX(Table_Input_FreightIncoming[Route name], _xlfn.SEQUENCE(10)), "")</f>
        <v>Melbourne depot to farm depot weekly</v>
      </c>
      <c r="E609" s="50" cm="1">
        <f t="array" ref="E609:E618">IFERROR(INDEX(Table_Input_FreightIncoming[Average weight of freight per trip (t)], _xlfn.SEQUENCE(10)), "")</f>
        <v>10</v>
      </c>
      <c r="F609" s="50" cm="1">
        <f t="array" ref="F609:F618">IFERROR(INDEX(Table_Input_FreightIncoming[Route distance (km)], _xlfn.SEQUENCE(10))*INDEX(Table_Input_FreightIncoming[Number of trips taken], _xlfn.SEQUENCE(10)), "")</f>
        <v>51272</v>
      </c>
      <c r="G609" s="50" t="s">
        <v>831</v>
      </c>
      <c r="H609" s="50" t="s">
        <v>831</v>
      </c>
      <c r="I609" s="69">
        <v>10</v>
      </c>
      <c r="J609" s="50" cm="1">
        <f t="array" ref="J609">Scope3_Equations.VEERG_15_14_1_1__1_EmbeddedEmissionsFromUpstreamFreight(E609,F609,I609)</f>
        <v>5127200</v>
      </c>
      <c r="K609" s="85"/>
      <c r="L609" s="48"/>
      <c r="M609" s="85"/>
    </row>
    <row r="610" spans="4:13" x14ac:dyDescent="0.25">
      <c r="D610" s="50" t="str">
        <v>Fertiliser supplier to farm</v>
      </c>
      <c r="E610" s="50">
        <v>10</v>
      </c>
      <c r="F610" s="50">
        <v>390</v>
      </c>
      <c r="G610" s="50" t="s">
        <v>831</v>
      </c>
      <c r="H610" s="50" t="s">
        <v>831</v>
      </c>
      <c r="I610" s="69">
        <v>5</v>
      </c>
      <c r="J610" s="50" cm="1">
        <f t="array" ref="J610">Scope3_Equations.VEERG_15_14_1_1__1_EmbeddedEmissionsFromUpstreamFreight(E610,F610,I610)</f>
        <v>19500</v>
      </c>
      <c r="K610" s="85"/>
      <c r="L610" s="48"/>
      <c r="M610" s="85"/>
    </row>
    <row r="611" spans="4:13" x14ac:dyDescent="0.25">
      <c r="D611" s="50">
        <v>0</v>
      </c>
      <c r="E611" s="50">
        <v>0</v>
      </c>
      <c r="F611" s="50">
        <v>0</v>
      </c>
      <c r="G611" s="50" t="s">
        <v>831</v>
      </c>
      <c r="H611" s="50" t="s">
        <v>831</v>
      </c>
      <c r="I611" s="69"/>
      <c r="J611" s="50" cm="1">
        <f t="array" ref="J611">Scope3_Equations.VEERG_15_14_1_1__1_EmbeddedEmissionsFromUpstreamFreight(E611,F611,I611)</f>
        <v>0</v>
      </c>
      <c r="K611" s="85"/>
      <c r="L611" s="48"/>
      <c r="M611" s="85"/>
    </row>
    <row r="612" spans="4:13" x14ac:dyDescent="0.25">
      <c r="D612" s="50">
        <v>0</v>
      </c>
      <c r="E612" s="50">
        <v>0</v>
      </c>
      <c r="F612" s="50">
        <v>0</v>
      </c>
      <c r="G612" s="50" t="s">
        <v>831</v>
      </c>
      <c r="H612" s="50" t="s">
        <v>831</v>
      </c>
      <c r="I612" s="69"/>
      <c r="J612" s="50" cm="1">
        <f t="array" ref="J612">Scope3_Equations.VEERG_15_14_1_1__1_EmbeddedEmissionsFromUpstreamFreight(E612,F612,I612)</f>
        <v>0</v>
      </c>
      <c r="K612" s="85"/>
      <c r="L612" s="48"/>
      <c r="M612" s="85"/>
    </row>
    <row r="613" spans="4:13" x14ac:dyDescent="0.25">
      <c r="D613" s="50">
        <v>0</v>
      </c>
      <c r="E613" s="50">
        <v>0</v>
      </c>
      <c r="F613" s="50">
        <v>0</v>
      </c>
      <c r="G613" s="50" t="s">
        <v>831</v>
      </c>
      <c r="H613" s="50" t="s">
        <v>831</v>
      </c>
      <c r="I613" s="69"/>
      <c r="J613" s="50" cm="1">
        <f t="array" ref="J613">Scope3_Equations.VEERG_15_14_1_1__1_EmbeddedEmissionsFromUpstreamFreight(E613,F613,I613)</f>
        <v>0</v>
      </c>
      <c r="K613" s="85"/>
      <c r="L613" s="48"/>
      <c r="M613" s="85"/>
    </row>
    <row r="614" spans="4:13" x14ac:dyDescent="0.25">
      <c r="D614" s="50">
        <v>0</v>
      </c>
      <c r="E614" s="50">
        <v>0</v>
      </c>
      <c r="F614" s="50">
        <v>0</v>
      </c>
      <c r="G614" s="50" t="s">
        <v>831</v>
      </c>
      <c r="H614" s="50" t="s">
        <v>831</v>
      </c>
      <c r="I614" s="69"/>
      <c r="J614" s="50" cm="1">
        <f t="array" ref="J614">Scope3_Equations.VEERG_15_14_1_1__1_EmbeddedEmissionsFromUpstreamFreight(E614,F614,I614)</f>
        <v>0</v>
      </c>
      <c r="K614" s="85"/>
      <c r="L614" s="48"/>
      <c r="M614" s="85"/>
    </row>
    <row r="615" spans="4:13" x14ac:dyDescent="0.25">
      <c r="D615" s="50">
        <v>0</v>
      </c>
      <c r="E615" s="50">
        <v>0</v>
      </c>
      <c r="F615" s="50">
        <v>0</v>
      </c>
      <c r="G615" s="50" t="s">
        <v>831</v>
      </c>
      <c r="H615" s="50" t="s">
        <v>831</v>
      </c>
      <c r="I615" s="69"/>
      <c r="J615" s="50" cm="1">
        <f t="array" ref="J615">Scope3_Equations.VEERG_15_14_1_1__1_EmbeddedEmissionsFromUpstreamFreight(E615,F615,I615)</f>
        <v>0</v>
      </c>
      <c r="K615" s="85"/>
      <c r="L615" s="48"/>
      <c r="M615" s="85"/>
    </row>
    <row r="616" spans="4:13" x14ac:dyDescent="0.25">
      <c r="D616" s="50">
        <v>0</v>
      </c>
      <c r="E616" s="50">
        <v>0</v>
      </c>
      <c r="F616" s="50">
        <v>0</v>
      </c>
      <c r="G616" s="50" t="s">
        <v>831</v>
      </c>
      <c r="H616" s="50" t="s">
        <v>831</v>
      </c>
      <c r="I616" s="69"/>
      <c r="J616" s="50" cm="1">
        <f t="array" ref="J616">Scope3_Equations.VEERG_15_14_1_1__1_EmbeddedEmissionsFromUpstreamFreight(E616,F616,I616)</f>
        <v>0</v>
      </c>
      <c r="K616" s="85"/>
      <c r="L616" s="48"/>
      <c r="M616" s="85"/>
    </row>
    <row r="617" spans="4:13" x14ac:dyDescent="0.25">
      <c r="D617" s="50">
        <v>0</v>
      </c>
      <c r="E617" s="50">
        <v>0</v>
      </c>
      <c r="F617" s="50">
        <v>0</v>
      </c>
      <c r="G617" s="50" t="s">
        <v>831</v>
      </c>
      <c r="H617" s="50" t="s">
        <v>831</v>
      </c>
      <c r="I617" s="69"/>
      <c r="J617" s="50" cm="1">
        <f t="array" ref="J617">Scope3_Equations.VEERG_15_14_1_1__1_EmbeddedEmissionsFromUpstreamFreight(E617,F617,I617)</f>
        <v>0</v>
      </c>
      <c r="K617" s="85"/>
      <c r="L617" s="48"/>
      <c r="M617" s="85"/>
    </row>
    <row r="618" spans="4:13" x14ac:dyDescent="0.25">
      <c r="D618" s="50">
        <v>0</v>
      </c>
      <c r="E618" s="50">
        <v>0</v>
      </c>
      <c r="F618" s="50">
        <v>0</v>
      </c>
      <c r="G618" s="50" t="s">
        <v>831</v>
      </c>
      <c r="H618" s="50" t="s">
        <v>831</v>
      </c>
      <c r="I618" s="69"/>
      <c r="J618" s="50" cm="1">
        <f t="array" ref="J618">Scope3_Equations.VEERG_15_14_1_1__1_EmbeddedEmissionsFromUpstreamFreight(E618,F618,I618)</f>
        <v>0</v>
      </c>
      <c r="K618" s="85"/>
      <c r="L618" s="48"/>
      <c r="M618" s="85"/>
    </row>
    <row r="620" spans="4:13" x14ac:dyDescent="0.25">
      <c r="D620" s="178" t="s">
        <v>834</v>
      </c>
      <c r="E620" s="101" t="s">
        <v>831</v>
      </c>
      <c r="F620" s="179" t="str">
        <f>$E$104</f>
        <v>t CO2e</v>
      </c>
    </row>
    <row r="621" spans="4:13" x14ac:dyDescent="0.25">
      <c r="D621" s="178" t="s">
        <v>835</v>
      </c>
      <c r="E621" s="101">
        <f>SUM(J609:J618)</f>
        <v>5146700</v>
      </c>
      <c r="F621" s="179" t="str">
        <f>$E$104</f>
        <v>t CO2e</v>
      </c>
    </row>
    <row r="624" spans="4:13" ht="18.75" x14ac:dyDescent="0.25">
      <c r="D624" s="148" t="s">
        <v>823</v>
      </c>
    </row>
    <row r="626" spans="4:13" ht="17.25" x14ac:dyDescent="0.25">
      <c r="D626" s="47" t="s">
        <v>816</v>
      </c>
      <c r="E626" s="47" t="s">
        <v>828</v>
      </c>
      <c r="F626" s="47" t="s">
        <v>829</v>
      </c>
      <c r="G626" s="60" t="s">
        <v>830</v>
      </c>
      <c r="H626" s="60" t="s">
        <v>642</v>
      </c>
      <c r="I626" s="47" t="s">
        <v>678</v>
      </c>
      <c r="J626" s="60" t="s">
        <v>644</v>
      </c>
      <c r="K626" s="47" t="s">
        <v>638</v>
      </c>
      <c r="L626" s="47" t="s">
        <v>639</v>
      </c>
      <c r="M626" s="47" t="s">
        <v>640</v>
      </c>
    </row>
    <row r="627" spans="4:13" x14ac:dyDescent="0.25">
      <c r="D627" s="50" t="str" cm="1">
        <f t="array" ref="D627:D636">IFERROR(INDEX(Table_Input_FreightOutgoing[Route name], _xlfn.SEQUENCE(10)), "")</f>
        <v>Farm to bulk handler</v>
      </c>
      <c r="E627" s="50" cm="1">
        <f t="array" ref="E627:E636">IFERROR(INDEX(Table_Input_FreightOutgoing[Average weight of freight per trip (t)], _xlfn.SEQUENCE(10)), "")</f>
        <v>20</v>
      </c>
      <c r="F627" s="50" cm="1">
        <f t="array" ref="F627:F636">IFERROR(INDEX(Table_Input_FreightOutgoing[Route distance (km)], _xlfn.SEQUENCE(10))*INDEX(Table_Input_FreightOutgoing[Number of trips taken], _xlfn.SEQUENCE(10)), "")</f>
        <v>3380</v>
      </c>
      <c r="G627" s="50" t="s">
        <v>831</v>
      </c>
      <c r="H627" s="50" t="s">
        <v>831</v>
      </c>
      <c r="I627" s="69">
        <v>6.4</v>
      </c>
      <c r="J627" s="50" cm="1">
        <f t="array" ref="J627">Scope3_Equations.VEERG_15_14_1_1__1_EmbeddedEmissionsFromUpstreamFreight(E627,F627,I627)</f>
        <v>432640</v>
      </c>
      <c r="K627" s="85"/>
      <c r="L627" s="48"/>
      <c r="M627" s="85"/>
    </row>
    <row r="628" spans="4:13" x14ac:dyDescent="0.25">
      <c r="D628" s="50">
        <v>0</v>
      </c>
      <c r="E628" s="50">
        <v>0</v>
      </c>
      <c r="F628" s="50">
        <v>0</v>
      </c>
      <c r="G628" s="50" t="s">
        <v>831</v>
      </c>
      <c r="H628" s="50" t="s">
        <v>831</v>
      </c>
      <c r="I628" s="69"/>
      <c r="J628" s="50" cm="1">
        <f t="array" ref="J628">Scope3_Equations.VEERG_15_14_1_1__1_EmbeddedEmissionsFromUpstreamFreight(E628,F628,I628)</f>
        <v>0</v>
      </c>
      <c r="K628" s="85"/>
      <c r="L628" s="48"/>
      <c r="M628" s="85"/>
    </row>
    <row r="629" spans="4:13" x14ac:dyDescent="0.25">
      <c r="D629" s="50">
        <v>0</v>
      </c>
      <c r="E629" s="50">
        <v>0</v>
      </c>
      <c r="F629" s="50">
        <v>0</v>
      </c>
      <c r="G629" s="50" t="s">
        <v>831</v>
      </c>
      <c r="H629" s="50" t="s">
        <v>831</v>
      </c>
      <c r="I629" s="69"/>
      <c r="J629" s="50" cm="1">
        <f t="array" ref="J629">Scope3_Equations.VEERG_15_14_1_1__1_EmbeddedEmissionsFromUpstreamFreight(E629,F629,I629)</f>
        <v>0</v>
      </c>
      <c r="K629" s="85"/>
      <c r="L629" s="48"/>
      <c r="M629" s="85"/>
    </row>
    <row r="630" spans="4:13" x14ac:dyDescent="0.25">
      <c r="D630" s="50">
        <v>0</v>
      </c>
      <c r="E630" s="50">
        <v>0</v>
      </c>
      <c r="F630" s="50">
        <v>0</v>
      </c>
      <c r="G630" s="50" t="s">
        <v>831</v>
      </c>
      <c r="H630" s="50" t="s">
        <v>831</v>
      </c>
      <c r="I630" s="69"/>
      <c r="J630" s="50" cm="1">
        <f t="array" ref="J630">Scope3_Equations.VEERG_15_14_1_1__1_EmbeddedEmissionsFromUpstreamFreight(E630,F630,I630)</f>
        <v>0</v>
      </c>
      <c r="K630" s="85"/>
      <c r="L630" s="48"/>
      <c r="M630" s="85"/>
    </row>
    <row r="631" spans="4:13" x14ac:dyDescent="0.25">
      <c r="D631" s="50">
        <v>0</v>
      </c>
      <c r="E631" s="50">
        <v>0</v>
      </c>
      <c r="F631" s="50">
        <v>0</v>
      </c>
      <c r="G631" s="50" t="s">
        <v>831</v>
      </c>
      <c r="H631" s="50" t="s">
        <v>831</v>
      </c>
      <c r="I631" s="69"/>
      <c r="J631" s="50" cm="1">
        <f t="array" ref="J631">Scope3_Equations.VEERG_15_14_1_1__1_EmbeddedEmissionsFromUpstreamFreight(E631,F631,I631)</f>
        <v>0</v>
      </c>
      <c r="K631" s="85"/>
      <c r="L631" s="48"/>
      <c r="M631" s="85"/>
    </row>
    <row r="632" spans="4:13" x14ac:dyDescent="0.25">
      <c r="D632" s="50">
        <v>0</v>
      </c>
      <c r="E632" s="50">
        <v>0</v>
      </c>
      <c r="F632" s="50">
        <v>0</v>
      </c>
      <c r="G632" s="50" t="s">
        <v>831</v>
      </c>
      <c r="H632" s="50" t="s">
        <v>831</v>
      </c>
      <c r="I632" s="69"/>
      <c r="J632" s="50" cm="1">
        <f t="array" ref="J632">Scope3_Equations.VEERG_15_14_1_1__1_EmbeddedEmissionsFromUpstreamFreight(E632,F632,I632)</f>
        <v>0</v>
      </c>
      <c r="K632" s="85"/>
      <c r="L632" s="48"/>
      <c r="M632" s="85"/>
    </row>
    <row r="633" spans="4:13" x14ac:dyDescent="0.25">
      <c r="D633" s="50">
        <v>0</v>
      </c>
      <c r="E633" s="50">
        <v>0</v>
      </c>
      <c r="F633" s="50">
        <v>0</v>
      </c>
      <c r="G633" s="50" t="s">
        <v>831</v>
      </c>
      <c r="H633" s="50" t="s">
        <v>831</v>
      </c>
      <c r="I633" s="69"/>
      <c r="J633" s="50" cm="1">
        <f t="array" ref="J633">Scope3_Equations.VEERG_15_14_1_1__1_EmbeddedEmissionsFromUpstreamFreight(E633,F633,I633)</f>
        <v>0</v>
      </c>
      <c r="K633" s="85"/>
      <c r="L633" s="48"/>
      <c r="M633" s="85"/>
    </row>
    <row r="634" spans="4:13" x14ac:dyDescent="0.25">
      <c r="D634" s="50">
        <v>0</v>
      </c>
      <c r="E634" s="50">
        <v>0</v>
      </c>
      <c r="F634" s="50">
        <v>0</v>
      </c>
      <c r="G634" s="50" t="s">
        <v>831</v>
      </c>
      <c r="H634" s="50" t="s">
        <v>831</v>
      </c>
      <c r="I634" s="69"/>
      <c r="J634" s="50" cm="1">
        <f t="array" ref="J634">Scope3_Equations.VEERG_15_14_1_1__1_EmbeddedEmissionsFromUpstreamFreight(E634,F634,I634)</f>
        <v>0</v>
      </c>
      <c r="K634" s="85"/>
      <c r="L634" s="48"/>
      <c r="M634" s="85"/>
    </row>
    <row r="635" spans="4:13" x14ac:dyDescent="0.25">
      <c r="D635" s="50">
        <v>0</v>
      </c>
      <c r="E635" s="50">
        <v>0</v>
      </c>
      <c r="F635" s="50">
        <v>0</v>
      </c>
      <c r="G635" s="50" t="s">
        <v>831</v>
      </c>
      <c r="H635" s="50" t="s">
        <v>831</v>
      </c>
      <c r="I635" s="69"/>
      <c r="J635" s="50" cm="1">
        <f t="array" ref="J635">Scope3_Equations.VEERG_15_14_1_1__1_EmbeddedEmissionsFromUpstreamFreight(E635,F635,I635)</f>
        <v>0</v>
      </c>
      <c r="K635" s="85"/>
      <c r="L635" s="48"/>
      <c r="M635" s="85"/>
    </row>
    <row r="636" spans="4:13" x14ac:dyDescent="0.25">
      <c r="D636" s="50">
        <v>0</v>
      </c>
      <c r="E636" s="50">
        <v>0</v>
      </c>
      <c r="F636" s="50">
        <v>0</v>
      </c>
      <c r="G636" s="50" t="s">
        <v>831</v>
      </c>
      <c r="H636" s="50" t="s">
        <v>831</v>
      </c>
      <c r="I636" s="69"/>
      <c r="J636" s="50" cm="1">
        <f t="array" ref="J636">Scope3_Equations.VEERG_15_14_1_1__1_EmbeddedEmissionsFromUpstreamFreight(E636,F636,I636)</f>
        <v>0</v>
      </c>
      <c r="K636" s="85"/>
      <c r="L636" s="48"/>
      <c r="M636" s="85"/>
    </row>
    <row r="638" spans="4:13" x14ac:dyDescent="0.25">
      <c r="D638" s="178" t="s">
        <v>832</v>
      </c>
      <c r="E638" s="101" t="s">
        <v>831</v>
      </c>
      <c r="F638" s="179" t="str">
        <f>$E$104</f>
        <v>t CO2e</v>
      </c>
    </row>
    <row r="639" spans="4:13" x14ac:dyDescent="0.25">
      <c r="D639" s="178" t="s">
        <v>833</v>
      </c>
      <c r="E639" s="101">
        <f>SUM(J627:J636)</f>
        <v>432640</v>
      </c>
      <c r="F639" s="179" t="str">
        <f>$E$104</f>
        <v>t CO2e</v>
      </c>
    </row>
    <row r="641" spans="4:6" ht="20.25" x14ac:dyDescent="0.25">
      <c r="D641" s="180" t="s">
        <v>642</v>
      </c>
      <c r="E641" s="181" t="s">
        <v>831</v>
      </c>
      <c r="F641" s="182" t="str">
        <f>$E$104</f>
        <v>t CO2e</v>
      </c>
    </row>
    <row r="642" spans="4:6" ht="20.25" x14ac:dyDescent="0.25">
      <c r="D642" s="180" t="s">
        <v>644</v>
      </c>
      <c r="E642" s="181">
        <f>E621+E639</f>
        <v>5579340</v>
      </c>
      <c r="F642" s="182"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H88" sqref="H88:H92"/>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8" t="e" vm="1">
        <v>#VALUE!</v>
      </c>
      <c r="C1" s="1" t="s">
        <v>800</v>
      </c>
    </row>
    <row r="2" spans="1:12" s="2" customFormat="1" ht="20.100000000000001" customHeight="1" x14ac:dyDescent="0.25"/>
    <row r="3" spans="1:12" ht="20.100000000000001" customHeight="1" x14ac:dyDescent="0.25">
      <c r="A3" s="16"/>
      <c r="C3" s="5"/>
      <c r="D3" s="5" t="s">
        <v>415</v>
      </c>
      <c r="E3" s="5"/>
      <c r="F3" s="5"/>
      <c r="G3" s="5"/>
      <c r="H3" s="5"/>
      <c r="I3" s="5"/>
      <c r="J3" s="5"/>
      <c r="K3" s="5"/>
      <c r="L3" s="5"/>
    </row>
    <row r="4" spans="1:12" ht="20.100000000000001" customHeight="1" x14ac:dyDescent="0.25">
      <c r="A4" s="16"/>
    </row>
    <row r="5" spans="1:12" ht="20.100000000000001" customHeight="1" x14ac:dyDescent="0.25">
      <c r="A5" s="16"/>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c r="D7" s="176" t="s">
        <v>635</v>
      </c>
      <c r="E7" s="176" t="str" cm="1">
        <f t="array" aca="1" ref="E7" ca="1">Common_InputFunctions.Utility_DisplayFunctionName(I21)</f>
        <v>=WasteSolid_Equations.VEERG_10_1_1_1__2_MassOfWasteFromVolume</v>
      </c>
    </row>
    <row r="8" spans="1:12" ht="20.100000000000001" customHeight="1" x14ac:dyDescent="0.25">
      <c r="A8" s="16"/>
    </row>
    <row r="9" spans="1:12" ht="20.100000000000001" customHeight="1" x14ac:dyDescent="0.25">
      <c r="A9" s="16"/>
    </row>
    <row r="10" spans="1:12" ht="20.100000000000001" customHeight="1" x14ac:dyDescent="0.25">
      <c r="A10" s="21"/>
      <c r="D10" s="28" t="s">
        <v>636</v>
      </c>
      <c r="E10" s="8" t="str" cm="1">
        <f t="array" ref="E10">WasteSolid_Equations.VEERG_10_1_1_1__2_MassOfWasteFromVolume_Variable()</f>
        <v>Q_wt</v>
      </c>
    </row>
    <row r="11" spans="1:12" ht="20.100000000000001" customHeight="1" x14ac:dyDescent="0.25">
      <c r="A11" s="184"/>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c r="D13" s="171" t="str" cm="1">
        <f t="array" ref="D13:E16">_xlfn.CHOOSECOLS(WasteSolid_Equations.VEERG_10_1_1_1__2_MassOfWasteFromVolume_Arguments(),1,2)</f>
        <v>V_wt</v>
      </c>
      <c r="E13" s="175" t="str">
        <v>volume of solid waste type w being sent to treatment facility t</v>
      </c>
      <c r="F13" s="170"/>
      <c r="G13" s="171" t="str" cm="1">
        <f t="array" ref="G13:H16">_xlfn.CHOOSECOLS(WasteSolid_Equations.VEERG_10_1_1_1__2_MassOfWasteFromVolume_Arguments(),3,4)</f>
        <v>m3</v>
      </c>
      <c r="H13" s="172" t="str">
        <v>Input</v>
      </c>
      <c r="I13" s="174" t="str" cm="1">
        <f t="array" aca="1" ref="I13" ca="1">HYPERLINK(Common_InputFunctions.Utility_SourceHyperlink($D$18),$D$18)</f>
        <v>Table_V_w_t_onsite</v>
      </c>
      <c r="J13" s="174" t="str" cm="1">
        <f t="array" aca="1" ref="J13" ca="1">HYPERLINK(Common_InputFunctions.Utility_SourceHyperlink($D$56),$D$56)</f>
        <v>Table_V_w_t_offsite</v>
      </c>
    </row>
    <row r="14" spans="1:12" ht="20.100000000000001" customHeight="1" x14ac:dyDescent="0.25">
      <c r="A14" s="16"/>
      <c r="D14" s="171" t="str">
        <v>VTM_w</v>
      </c>
      <c r="E14" s="175" t="str">
        <v>conversion factor of volume to mass for waste type w</v>
      </c>
      <c r="F14" s="170"/>
      <c r="G14" s="171" t="str">
        <v>t/m3</v>
      </c>
      <c r="H14" s="173" t="str">
        <v>Constant</v>
      </c>
      <c r="I14" s="174" t="str" cm="1">
        <f t="array" aca="1" ref="I14" ca="1">HYPERLINK(Common_InputFunctions.Utility_SourceHyperlink($D$18),$D$18)</f>
        <v>Table_V_w_t_onsite</v>
      </c>
      <c r="J14" s="174" t="str" cm="1">
        <f t="array" aca="1" ref="J14" ca="1">HYPERLINK(Common_InputFunctions.Utility_SourceHyperlink($D$56),$D$56)</f>
        <v>Table_V_w_t_offsite</v>
      </c>
    </row>
    <row r="15" spans="1:12" ht="20.100000000000001" customHeight="1" x14ac:dyDescent="0.25">
      <c r="A15" s="16"/>
      <c r="D15" s="171" t="str">
        <v>w</v>
      </c>
      <c r="E15" s="175" t="str">
        <v>waste type</v>
      </c>
      <c r="F15" s="170"/>
      <c r="G15" s="171" t="str">
        <v/>
      </c>
      <c r="H15" s="172" t="str">
        <v>Input</v>
      </c>
      <c r="I15" s="174" t="str" cm="1">
        <f t="array" aca="1" ref="I15" ca="1">HYPERLINK(Common_InputFunctions.Utility_SourceHyperlink($D$18),$D$18)</f>
        <v>Table_V_w_t_onsite</v>
      </c>
      <c r="J15" s="174" t="str" cm="1">
        <f t="array" aca="1" ref="J15" ca="1">HYPERLINK(Common_InputFunctions.Utility_SourceHyperlink($D$56),$D$56)</f>
        <v>Table_V_w_t_offsite</v>
      </c>
    </row>
    <row r="16" spans="1:12" ht="20.100000000000001" customHeight="1" x14ac:dyDescent="0.25">
      <c r="D16" s="171" t="str">
        <v>t</v>
      </c>
      <c r="E16" s="175" t="str">
        <v>treatment facility</v>
      </c>
      <c r="F16" s="170"/>
      <c r="G16" s="171" t="str">
        <v/>
      </c>
      <c r="H16" s="172" t="str">
        <v>Input</v>
      </c>
      <c r="I16" s="174" t="str" cm="1">
        <f t="array" aca="1" ref="I16" ca="1">HYPERLINK(Common_InputFunctions.Utility_SourceHyperlink($D$18),$D$18)</f>
        <v>Table_V_w_t_onsite</v>
      </c>
      <c r="J16" s="174" t="str" cm="1">
        <f t="array" aca="1" ref="J16" ca="1">HYPERLINK(Common_InputFunctions.Utility_SourceHyperlink($D$56),$D$56)</f>
        <v>Table_V_w_t_offsite</v>
      </c>
    </row>
    <row r="17" spans="1:9" ht="20.100000000000001" customHeight="1" x14ac:dyDescent="0.25"/>
    <row r="18" spans="1:9" ht="20.100000000000001" customHeight="1" x14ac:dyDescent="0.25">
      <c r="D18" s="58" t="s">
        <v>801</v>
      </c>
    </row>
    <row r="19" spans="1:9" ht="20.100000000000001" customHeight="1" x14ac:dyDescent="0.25">
      <c r="D19" s="59" t="s">
        <v>802</v>
      </c>
    </row>
    <row r="20" spans="1:9" ht="20.100000000000001" customHeight="1" x14ac:dyDescent="0.25">
      <c r="A20" s="16"/>
      <c r="D20" s="47" t="s">
        <v>803</v>
      </c>
      <c r="E20" s="47" t="s">
        <v>804</v>
      </c>
      <c r="F20" s="47"/>
      <c r="G20" s="47" t="s">
        <v>805</v>
      </c>
      <c r="H20" s="60" t="s">
        <v>806</v>
      </c>
      <c r="I20" s="60" t="s">
        <v>807</v>
      </c>
    </row>
    <row r="21" spans="1:9" ht="20.100000000000001" customHeight="1" x14ac:dyDescent="0.25">
      <c r="A21" s="16"/>
      <c r="D21" s="171" t="str" cm="1">
        <f t="array" ref="D21:D54">Table_SourceData_WasteSolid_WasteTreatmentEFs[Treatment type t]</f>
        <v>Landfill</v>
      </c>
      <c r="E21" s="175" t="str" cm="1">
        <f t="array" ref="E21:E54">Table_SourceData_WasteSolid_WasteTreatmentEFs[Waste type w]</f>
        <v>Food waste (including animal carcasses, spoiled animal feed or crop)</v>
      </c>
      <c r="F21" s="213"/>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1" t="str">
        <v>Landfill</v>
      </c>
      <c r="E22" s="175" t="str">
        <v>Paper and cardboard</v>
      </c>
      <c r="F22" s="213"/>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1" t="str">
        <v>Landfill</v>
      </c>
      <c r="E23" s="175" t="str">
        <v>Green waste (including crop residues or prunings)</v>
      </c>
      <c r="F23" s="213"/>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0.24</v>
      </c>
      <c r="I23" s="50" cm="1">
        <f t="array" ref="I23">WasteSolid_Equations.VEERG_10_1_1_1__2_MassOfWasteFromVolume(G23,H23)</f>
        <v>0</v>
      </c>
    </row>
    <row r="24" spans="1:9" ht="20.100000000000001" customHeight="1" x14ac:dyDescent="0.25">
      <c r="D24" s="171" t="str">
        <v>Landfill</v>
      </c>
      <c r="E24" s="175" t="str">
        <v>Wood</v>
      </c>
      <c r="F24" s="213"/>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1" t="str">
        <v>Landfill</v>
      </c>
      <c r="E25" s="175" t="str">
        <v>Textiles</v>
      </c>
      <c r="F25" s="213"/>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1" t="str">
        <v>Landfill</v>
      </c>
      <c r="E26" s="175" t="str">
        <v>Sludge</v>
      </c>
      <c r="F26" s="213"/>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1" t="str">
        <v>Landfill</v>
      </c>
      <c r="E27" s="175" t="str">
        <v>Rubber and leather</v>
      </c>
      <c r="F27" s="213"/>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1" t="str">
        <v>Landfill</v>
      </c>
      <c r="E28" s="175" t="str">
        <v>Inert waste (including concrete, metal, plastic or glass)</v>
      </c>
      <c r="F28" s="213"/>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1" t="str">
        <v>Landfill</v>
      </c>
      <c r="E29" s="175" t="str">
        <v>Municipal solid waste</v>
      </c>
      <c r="F29" s="213"/>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1" t="str">
        <v>Landfill</v>
      </c>
      <c r="E30" s="175" t="str">
        <v>Commercial and industrial waste</v>
      </c>
      <c r="F30" s="213"/>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1" t="str">
        <v>Landfill</v>
      </c>
      <c r="E31" s="175" t="str">
        <v>Construction and demolition waste</v>
      </c>
      <c r="F31" s="213"/>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1" t="str">
        <v>Incineration</v>
      </c>
      <c r="E32" s="175" t="str">
        <v>Food waste, green waste, wood, sludge</v>
      </c>
      <c r="F32" s="213"/>
      <c r="G32" s="50" t="s">
        <v>856</v>
      </c>
      <c r="H32" s="50" t="s">
        <v>856</v>
      </c>
      <c r="I32" s="50" t="s">
        <v>856</v>
      </c>
    </row>
    <row r="33" spans="4:9" ht="20.100000000000001" customHeight="1" x14ac:dyDescent="0.25">
      <c r="D33" s="171" t="str">
        <v>Incineration</v>
      </c>
      <c r="E33" s="175" t="str">
        <v>Food waste (including animal carcasses, spoiled animal feed or crop)</v>
      </c>
      <c r="F33" s="213"/>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0.5</v>
      </c>
      <c r="I33" s="50" cm="1">
        <f t="array" ref="I33">WasteSolid_Equations.VEERG_10_1_1_1__2_MassOfWasteFromVolume(G33,H33)</f>
        <v>0</v>
      </c>
    </row>
    <row r="34" spans="4:9" ht="20.100000000000001" customHeight="1" x14ac:dyDescent="0.25">
      <c r="D34" s="171" t="str">
        <v>Incineration</v>
      </c>
      <c r="E34" s="175" t="str">
        <v>Green waste (including crop residues or prunings)</v>
      </c>
      <c r="F34" s="213"/>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0.24</v>
      </c>
      <c r="I34" s="50" cm="1">
        <f t="array" ref="I34">WasteSolid_Equations.VEERG_10_1_1_1__2_MassOfWasteFromVolume(G34,H34)</f>
        <v>0</v>
      </c>
    </row>
    <row r="35" spans="4:9" ht="20.100000000000001" customHeight="1" x14ac:dyDescent="0.25">
      <c r="D35" s="171" t="str">
        <v>Incineration</v>
      </c>
      <c r="E35" s="175" t="str">
        <v>Wood</v>
      </c>
      <c r="F35" s="213"/>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0.15</v>
      </c>
      <c r="I35" s="50" cm="1">
        <f t="array" ref="I35">WasteSolid_Equations.VEERG_10_1_1_1__2_MassOfWasteFromVolume(G35,H35)</f>
        <v>0</v>
      </c>
    </row>
    <row r="36" spans="4:9" ht="20.100000000000001" customHeight="1" x14ac:dyDescent="0.25">
      <c r="D36" s="171" t="str">
        <v>Incineration</v>
      </c>
      <c r="E36" s="175" t="str">
        <v>Sludge</v>
      </c>
      <c r="F36" s="213"/>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0.72</v>
      </c>
      <c r="I36" s="50" cm="1">
        <f t="array" ref="I36">WasteSolid_Equations.VEERG_10_1_1_1__2_MassOfWasteFromVolume(G36,H36)</f>
        <v>0</v>
      </c>
    </row>
    <row r="37" spans="4:9" ht="20.100000000000001" customHeight="1" x14ac:dyDescent="0.25">
      <c r="D37" s="171" t="str">
        <v>Incineration</v>
      </c>
      <c r="E37" s="175" t="str">
        <v>Paper and cardboard</v>
      </c>
      <c r="F37" s="213"/>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0.09</v>
      </c>
      <c r="I37" s="50" cm="1">
        <f t="array" ref="I37">WasteSolid_Equations.VEERG_10_1_1_1__2_MassOfWasteFromVolume(G37,H37)</f>
        <v>0</v>
      </c>
    </row>
    <row r="38" spans="4:9" ht="20.100000000000001" customHeight="1" x14ac:dyDescent="0.25">
      <c r="D38" s="171" t="str">
        <v>Incineration</v>
      </c>
      <c r="E38" s="175" t="str">
        <v>Textiles</v>
      </c>
      <c r="F38" s="213"/>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0.14000000000000001</v>
      </c>
      <c r="I38" s="50" cm="1">
        <f t="array" ref="I38">WasteSolid_Equations.VEERG_10_1_1_1__2_MassOfWasteFromVolume(G38,H38)</f>
        <v>0</v>
      </c>
    </row>
    <row r="39" spans="4:9" ht="20.100000000000001" customHeight="1" x14ac:dyDescent="0.25">
      <c r="D39" s="171" t="str">
        <v>Incineration</v>
      </c>
      <c r="E39" s="175" t="str">
        <v>Rubber and leather</v>
      </c>
      <c r="F39" s="213"/>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0.14000000000000001</v>
      </c>
      <c r="I39" s="50" cm="1">
        <f t="array" ref="I39">WasteSolid_Equations.VEERG_10_1_1_1__2_MassOfWasteFromVolume(G39,H39)</f>
        <v>0</v>
      </c>
    </row>
    <row r="40" spans="4:9" ht="20.100000000000001" customHeight="1" x14ac:dyDescent="0.25">
      <c r="D40" s="171" t="str">
        <v>Incineration</v>
      </c>
      <c r="E40" s="171" t="str">
        <v>Inert waste (including concrete, metal, plastic or glass)</v>
      </c>
      <c r="F40" s="171"/>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0.42</v>
      </c>
      <c r="I40" s="50" cm="1">
        <f t="array" ref="I40">WasteSolid_Equations.VEERG_10_1_1_1__2_MassOfWasteFromVolume(G40,H40)</f>
        <v>0</v>
      </c>
    </row>
    <row r="41" spans="4:9" ht="20.100000000000001" customHeight="1" x14ac:dyDescent="0.25">
      <c r="D41" s="171" t="str">
        <v>Incineration</v>
      </c>
      <c r="E41" s="175" t="str">
        <v>Municipal solid waste</v>
      </c>
      <c r="F41" s="170"/>
      <c r="G41" s="50"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50" cm="1">
        <f t="array" ref="H41">Common_InputFunctions.Utility_LookupValueInTableNumber(E41,Table_SourceData_WasteSolid_VolumeToMassConversion[Waste type w],Table_SourceData_WasteSolid_VolumeToMassConversion[VTMw])</f>
        <v>0.36</v>
      </c>
      <c r="I41" s="50" cm="1">
        <f t="array" ref="I41">WasteSolid_Equations.VEERG_10_1_1_1__2_MassOfWasteFromVolume(G41,H41)</f>
        <v>0</v>
      </c>
    </row>
    <row r="42" spans="4:9" ht="20.100000000000001" customHeight="1" x14ac:dyDescent="0.25">
      <c r="D42" s="171" t="str">
        <v>Incineration</v>
      </c>
      <c r="E42" s="175" t="str">
        <v>Commercial and industrial waste</v>
      </c>
      <c r="F42" s="170"/>
      <c r="G42" s="50"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50" cm="1">
        <f t="array" ref="H42">Common_InputFunctions.Utility_LookupValueInTableNumber(E42,Table_SourceData_WasteSolid_VolumeToMassConversion[Waste type w],Table_SourceData_WasteSolid_VolumeToMassConversion[VTMw])</f>
        <v>0.33</v>
      </c>
      <c r="I42" s="50" cm="1">
        <f t="array" ref="I42">WasteSolid_Equations.VEERG_10_1_1_1__2_MassOfWasteFromVolume(G42,H42)</f>
        <v>0</v>
      </c>
    </row>
    <row r="43" spans="4:9" ht="20.100000000000001" customHeight="1" x14ac:dyDescent="0.25">
      <c r="D43" s="171" t="str">
        <v>Composting</v>
      </c>
      <c r="E43" s="175" t="str">
        <v>All organic waste</v>
      </c>
      <c r="F43" s="170"/>
      <c r="G43" s="50" t="s">
        <v>856</v>
      </c>
      <c r="H43" s="50" t="s">
        <v>856</v>
      </c>
      <c r="I43" s="50" t="s">
        <v>856</v>
      </c>
    </row>
    <row r="44" spans="4:9" ht="20.100000000000001" customHeight="1" x14ac:dyDescent="0.25">
      <c r="D44" s="171" t="str">
        <v>Composting</v>
      </c>
      <c r="E44" s="175" t="str">
        <v>Food waste (including animal carcasses, spoiled animal feed or crop)</v>
      </c>
      <c r="F44" s="170"/>
      <c r="G44" s="50"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50" cm="1">
        <f t="array" ref="H44">Common_InputFunctions.Utility_LookupValueInTableNumber(E44,Table_SourceData_WasteSolid_VolumeToMassConversion[Waste type w],Table_SourceData_WasteSolid_VolumeToMassConversion[VTMw])</f>
        <v>0.5</v>
      </c>
      <c r="I44" s="50" cm="1">
        <f t="array" ref="I44">WasteSolid_Equations.VEERG_10_1_1_1__2_MassOfWasteFromVolume(G44,H44)</f>
        <v>0</v>
      </c>
    </row>
    <row r="45" spans="4:9" ht="20.100000000000001" customHeight="1" x14ac:dyDescent="0.25">
      <c r="D45" s="171" t="str">
        <v>Composting</v>
      </c>
      <c r="E45" s="175" t="str">
        <v>Green waste (including crop residues or prunings)</v>
      </c>
      <c r="F45" s="170"/>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50" cm="1">
        <f t="array" ref="H45">Common_InputFunctions.Utility_LookupValueInTableNumber(E45,Table_SourceData_WasteSolid_VolumeToMassConversion[Waste type w],Table_SourceData_WasteSolid_VolumeToMassConversion[VTMw])</f>
        <v>0.24</v>
      </c>
      <c r="I45" s="50" cm="1">
        <f t="array" ref="I45">WasteSolid_Equations.VEERG_10_1_1_1__2_MassOfWasteFromVolume(G45,H45)</f>
        <v>0</v>
      </c>
    </row>
    <row r="46" spans="4:9" ht="20.100000000000001" customHeight="1" x14ac:dyDescent="0.25">
      <c r="D46" s="171" t="str">
        <v>Composting</v>
      </c>
      <c r="E46" s="175" t="str">
        <v>Wood</v>
      </c>
      <c r="F46" s="170"/>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50" cm="1">
        <f t="array" ref="H46">Common_InputFunctions.Utility_LookupValueInTableNumber(E46,Table_SourceData_WasteSolid_VolumeToMassConversion[Waste type w],Table_SourceData_WasteSolid_VolumeToMassConversion[VTMw])</f>
        <v>0.15</v>
      </c>
      <c r="I46" s="50" cm="1">
        <f t="array" ref="I46">WasteSolid_Equations.VEERG_10_1_1_1__2_MassOfWasteFromVolume(G46,H46)</f>
        <v>0</v>
      </c>
    </row>
    <row r="47" spans="4:9" ht="20.100000000000001" customHeight="1" x14ac:dyDescent="0.25">
      <c r="D47" s="171" t="str">
        <v>Composting</v>
      </c>
      <c r="E47" s="175" t="str">
        <v>Sludge</v>
      </c>
      <c r="F47" s="170"/>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50" cm="1">
        <f t="array" ref="H47">Common_InputFunctions.Utility_LookupValueInTableNumber(E47,Table_SourceData_WasteSolid_VolumeToMassConversion[Waste type w],Table_SourceData_WasteSolid_VolumeToMassConversion[VTMw])</f>
        <v>0.72</v>
      </c>
      <c r="I47" s="50" cm="1">
        <f t="array" ref="I47">WasteSolid_Equations.VEERG_10_1_1_1__2_MassOfWasteFromVolume(G47,H47)</f>
        <v>0</v>
      </c>
    </row>
    <row r="48" spans="4:9" ht="20.100000000000001" customHeight="1" x14ac:dyDescent="0.25">
      <c r="D48" s="171" t="str">
        <v>Composting</v>
      </c>
      <c r="E48" s="175" t="str">
        <v>Paper and cardboard</v>
      </c>
      <c r="F48" s="170"/>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50" cm="1">
        <f t="array" ref="H48">Common_InputFunctions.Utility_LookupValueInTableNumber(E48,Table_SourceData_WasteSolid_VolumeToMassConversion[Waste type w],Table_SourceData_WasteSolid_VolumeToMassConversion[VTMw])</f>
        <v>0.09</v>
      </c>
      <c r="I48" s="50" cm="1">
        <f t="array" ref="I48">WasteSolid_Equations.VEERG_10_1_1_1__2_MassOfWasteFromVolume(G48,H48)</f>
        <v>0</v>
      </c>
    </row>
    <row r="49" spans="4:9" ht="20.100000000000001" customHeight="1" x14ac:dyDescent="0.25">
      <c r="D49" s="171" t="str">
        <v>Anaerobic digestion</v>
      </c>
      <c r="E49" s="175" t="str">
        <v>All organic waste</v>
      </c>
      <c r="F49" s="170"/>
      <c r="G49" s="50" t="s">
        <v>856</v>
      </c>
      <c r="H49" s="50" t="s">
        <v>856</v>
      </c>
      <c r="I49" s="50" t="s">
        <v>856</v>
      </c>
    </row>
    <row r="50" spans="4:9" ht="20.100000000000001" customHeight="1" x14ac:dyDescent="0.25">
      <c r="D50" s="171" t="str">
        <v>Anaerobic digestion</v>
      </c>
      <c r="E50" s="175" t="str">
        <v>Food waste (including animal carcasses, spoiled animal feed or crop)</v>
      </c>
      <c r="F50" s="170"/>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50" cm="1">
        <f t="array" ref="H50">Common_InputFunctions.Utility_LookupValueInTableNumber(E50,Table_SourceData_WasteSolid_VolumeToMassConversion[Waste type w],Table_SourceData_WasteSolid_VolumeToMassConversion[VTMw])</f>
        <v>0.5</v>
      </c>
      <c r="I50" s="50" cm="1">
        <f t="array" ref="I50">WasteSolid_Equations.VEERG_10_1_1_1__2_MassOfWasteFromVolume(G50,H50)</f>
        <v>0</v>
      </c>
    </row>
    <row r="51" spans="4:9" ht="20.100000000000001" customHeight="1" x14ac:dyDescent="0.25">
      <c r="D51" s="171" t="str">
        <v>Anaerobic digestion</v>
      </c>
      <c r="E51" s="175" t="str">
        <v>Green waste (including crop residues or prunings)</v>
      </c>
      <c r="F51" s="170"/>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50" cm="1">
        <f t="array" ref="H51">Common_InputFunctions.Utility_LookupValueInTableNumber(E51,Table_SourceData_WasteSolid_VolumeToMassConversion[Waste type w],Table_SourceData_WasteSolid_VolumeToMassConversion[VTMw])</f>
        <v>0.24</v>
      </c>
      <c r="I51" s="50" cm="1">
        <f t="array" ref="I51">WasteSolid_Equations.VEERG_10_1_1_1__2_MassOfWasteFromVolume(G51,H51)</f>
        <v>0</v>
      </c>
    </row>
    <row r="52" spans="4:9" ht="20.100000000000001" customHeight="1" x14ac:dyDescent="0.25">
      <c r="D52" s="171" t="str">
        <v>Anaerobic digestion</v>
      </c>
      <c r="E52" s="175" t="str">
        <v>Wood</v>
      </c>
      <c r="F52" s="170"/>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50" cm="1">
        <f t="array" ref="H52">Common_InputFunctions.Utility_LookupValueInTableNumber(E52,Table_SourceData_WasteSolid_VolumeToMassConversion[Waste type w],Table_SourceData_WasteSolid_VolumeToMassConversion[VTMw])</f>
        <v>0.15</v>
      </c>
      <c r="I52" s="50" cm="1">
        <f t="array" ref="I52">WasteSolid_Equations.VEERG_10_1_1_1__2_MassOfWasteFromVolume(G52,H52)</f>
        <v>0</v>
      </c>
    </row>
    <row r="53" spans="4:9" ht="20.100000000000001" customHeight="1" x14ac:dyDescent="0.25">
      <c r="D53" s="171" t="str">
        <v>Anaerobic digestion</v>
      </c>
      <c r="E53" s="175" t="str">
        <v>Sludge</v>
      </c>
      <c r="F53" s="170"/>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50" cm="1">
        <f t="array" ref="H53">Common_InputFunctions.Utility_LookupValueInTableNumber(E53,Table_SourceData_WasteSolid_VolumeToMassConversion[Waste type w],Table_SourceData_WasteSolid_VolumeToMassConversion[VTMw])</f>
        <v>0.72</v>
      </c>
      <c r="I53" s="50" cm="1">
        <f t="array" ref="I53">WasteSolid_Equations.VEERG_10_1_1_1__2_MassOfWasteFromVolume(G53,H53)</f>
        <v>0</v>
      </c>
    </row>
    <row r="54" spans="4:9" ht="20.100000000000001" customHeight="1" x14ac:dyDescent="0.25">
      <c r="D54" s="171" t="str">
        <v>Anaerobic digestion</v>
      </c>
      <c r="E54" s="175" t="str">
        <v>Paper and cardboard</v>
      </c>
      <c r="F54" s="170"/>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50" cm="1">
        <f t="array" ref="H54">Common_InputFunctions.Utility_LookupValueInTableNumber(E54,Table_SourceData_WasteSolid_VolumeToMassConversion[Waste type w],Table_SourceData_WasteSolid_VolumeToMassConversion[VTMw])</f>
        <v>0.09</v>
      </c>
      <c r="I54" s="50" cm="1">
        <f t="array" ref="I54">WasteSolid_Equations.VEERG_10_1_1_1__2_MassOfWasteFromVolume(G54,H54)</f>
        <v>0</v>
      </c>
    </row>
    <row r="55" spans="4:9" ht="20.100000000000001" customHeight="1" x14ac:dyDescent="0.25"/>
    <row r="56" spans="4:9" ht="20.100000000000001" customHeight="1" x14ac:dyDescent="0.25">
      <c r="D56" s="58" t="s">
        <v>808</v>
      </c>
    </row>
    <row r="57" spans="4:9" ht="20.100000000000001" customHeight="1" x14ac:dyDescent="0.25">
      <c r="D57" s="59" t="s">
        <v>809</v>
      </c>
    </row>
    <row r="58" spans="4:9" ht="20.100000000000001" customHeight="1" x14ac:dyDescent="0.25">
      <c r="D58" s="47" t="s">
        <v>803</v>
      </c>
      <c r="E58" s="47" t="s">
        <v>804</v>
      </c>
      <c r="F58" s="47"/>
      <c r="G58" s="47" t="s">
        <v>805</v>
      </c>
      <c r="H58" s="60" t="s">
        <v>806</v>
      </c>
      <c r="I58" s="60" t="s">
        <v>807</v>
      </c>
    </row>
    <row r="59" spans="4:9" ht="20.100000000000001" customHeight="1" x14ac:dyDescent="0.25">
      <c r="D59" s="171" t="str" cm="1">
        <f t="array" ref="D59:D92">Table_SourceData_WasteSolid_WasteTreatmentEFs[Treatment type t]</f>
        <v>Landfill</v>
      </c>
      <c r="E59" s="175" t="str" cm="1">
        <f t="array" ref="E59:E92">Table_SourceData_WasteSolid_WasteTreatmentEFs[Waste type w]</f>
        <v>Food waste (including animal carcasses, spoiled animal feed or crop)</v>
      </c>
      <c r="F59" s="213"/>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50" cm="1">
        <f t="array" ref="H59">Common_InputFunctions.Utility_LookupValueInTableNumber(E59,Table_SourceData_WasteSolid_VolumeToMassConversion[Waste type w],Table_SourceData_WasteSolid_VolumeToMassConversion[VTMw])</f>
        <v>0.5</v>
      </c>
      <c r="I59" s="50" cm="1">
        <f t="array" ref="I59">WasteSolid_Equations.VEERG_10_1_1_1__2_MassOfWasteFromVolume(G59,H59)</f>
        <v>50</v>
      </c>
    </row>
    <row r="60" spans="4:9" ht="20.100000000000001" customHeight="1" x14ac:dyDescent="0.25">
      <c r="D60" s="171" t="str">
        <v>Landfill</v>
      </c>
      <c r="E60" s="175" t="str">
        <v>Paper and cardboard</v>
      </c>
      <c r="F60" s="213"/>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0.09</v>
      </c>
      <c r="I60" s="50" cm="1">
        <f t="array" ref="I60">WasteSolid_Equations.VEERG_10_1_1_1__2_MassOfWasteFromVolume(G60,H60)</f>
        <v>0</v>
      </c>
    </row>
    <row r="61" spans="4:9" ht="20.100000000000001" customHeight="1" x14ac:dyDescent="0.25">
      <c r="D61" s="171" t="str">
        <v>Landfill</v>
      </c>
      <c r="E61" s="175" t="str">
        <v>Green waste (including crop residues or prunings)</v>
      </c>
      <c r="F61" s="213"/>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0.24</v>
      </c>
      <c r="I61" s="50" cm="1">
        <f t="array" ref="I61">WasteSolid_Equations.VEERG_10_1_1_1__2_MassOfWasteFromVolume(G61,H61)</f>
        <v>0</v>
      </c>
    </row>
    <row r="62" spans="4:9" ht="20.100000000000001" customHeight="1" x14ac:dyDescent="0.25">
      <c r="D62" s="171" t="str">
        <v>Landfill</v>
      </c>
      <c r="E62" s="175" t="str">
        <v>Wood</v>
      </c>
      <c r="F62" s="213"/>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0.15</v>
      </c>
      <c r="I62" s="50" cm="1">
        <f t="array" ref="I62">WasteSolid_Equations.VEERG_10_1_1_1__2_MassOfWasteFromVolume(G62,H62)</f>
        <v>0</v>
      </c>
    </row>
    <row r="63" spans="4:9" ht="20.100000000000001" customHeight="1" x14ac:dyDescent="0.25">
      <c r="D63" s="171" t="str">
        <v>Landfill</v>
      </c>
      <c r="E63" s="175" t="str">
        <v>Textiles</v>
      </c>
      <c r="F63" s="213"/>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50" cm="1">
        <f t="array" ref="H63">Common_InputFunctions.Utility_LookupValueInTableNumber(E63,Table_SourceData_WasteSolid_VolumeToMassConversion[Waste type w],Table_SourceData_WasteSolid_VolumeToMassConversion[VTMw])</f>
        <v>0.14000000000000001</v>
      </c>
      <c r="I63" s="50" cm="1">
        <f t="array" ref="I63">WasteSolid_Equations.VEERG_10_1_1_1__2_MassOfWasteFromVolume(G63,H63)</f>
        <v>7.0000000000000009</v>
      </c>
    </row>
    <row r="64" spans="4:9" ht="20.100000000000001" customHeight="1" x14ac:dyDescent="0.25">
      <c r="D64" s="171" t="str">
        <v>Landfill</v>
      </c>
      <c r="E64" s="175" t="str">
        <v>Sludge</v>
      </c>
      <c r="F64" s="213"/>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0.72</v>
      </c>
      <c r="I64" s="50" cm="1">
        <f t="array" ref="I64">WasteSolid_Equations.VEERG_10_1_1_1__2_MassOfWasteFromVolume(G64,H64)</f>
        <v>0</v>
      </c>
    </row>
    <row r="65" spans="1:9" ht="20.100000000000001" customHeight="1" x14ac:dyDescent="0.25">
      <c r="D65" s="171" t="str">
        <v>Landfill</v>
      </c>
      <c r="E65" s="175" t="str">
        <v>Rubber and leather</v>
      </c>
      <c r="F65" s="213"/>
      <c r="G65" s="50"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50" cm="1">
        <f t="array" ref="H65">Common_InputFunctions.Utility_LookupValueInTableNumber(E65,Table_SourceData_WasteSolid_VolumeToMassConversion[Waste type w],Table_SourceData_WasteSolid_VolumeToMassConversion[VTMw])</f>
        <v>0.14000000000000001</v>
      </c>
      <c r="I65" s="50" cm="1">
        <f t="array" ref="I65">WasteSolid_Equations.VEERG_10_1_1_1__2_MassOfWasteFromVolume(G65,H65)</f>
        <v>0</v>
      </c>
    </row>
    <row r="66" spans="1:9" ht="20.100000000000001" customHeight="1" x14ac:dyDescent="0.25">
      <c r="A66" s="56" t="str">
        <f>HYPERLINK("#A1", "▲ Back to top")</f>
        <v>▲ Back to top</v>
      </c>
      <c r="D66" s="171" t="str">
        <v>Landfill</v>
      </c>
      <c r="E66" s="175" t="str">
        <v>Inert waste (including concrete, metal, plastic or glass)</v>
      </c>
      <c r="F66" s="213"/>
      <c r="G66" s="50"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50" cm="1">
        <f t="array" ref="H66">Common_InputFunctions.Utility_LookupValueInTableNumber(E66,Table_SourceData_WasteSolid_VolumeToMassConversion[Waste type w],Table_SourceData_WasteSolid_VolumeToMassConversion[VTMw])</f>
        <v>0.42</v>
      </c>
      <c r="I66" s="50" cm="1">
        <f t="array" ref="I66">WasteSolid_Equations.VEERG_10_1_1_1__2_MassOfWasteFromVolume(G66,H66)</f>
        <v>0</v>
      </c>
    </row>
    <row r="67" spans="1:9" ht="20.100000000000001" customHeight="1" x14ac:dyDescent="0.25">
      <c r="D67" s="171" t="str">
        <v>Landfill</v>
      </c>
      <c r="E67" s="175" t="str">
        <v>Municipal solid waste</v>
      </c>
      <c r="F67" s="213"/>
      <c r="G67" s="50"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50" cm="1">
        <f t="array" ref="H67">Common_InputFunctions.Utility_LookupValueInTableNumber(E67,Table_SourceData_WasteSolid_VolumeToMassConversion[Waste type w],Table_SourceData_WasteSolid_VolumeToMassConversion[VTMw])</f>
        <v>0.36</v>
      </c>
      <c r="I67" s="50" cm="1">
        <f t="array" ref="I67">WasteSolid_Equations.VEERG_10_1_1_1__2_MassOfWasteFromVolume(G67,H67)</f>
        <v>0</v>
      </c>
    </row>
    <row r="68" spans="1:9" ht="20.100000000000001" customHeight="1" x14ac:dyDescent="0.25">
      <c r="D68" s="171" t="str">
        <v>Landfill</v>
      </c>
      <c r="E68" s="175" t="str">
        <v>Commercial and industrial waste</v>
      </c>
      <c r="F68" s="213"/>
      <c r="G68" s="50"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50" cm="1">
        <f t="array" ref="H68">Common_InputFunctions.Utility_LookupValueInTableNumber(E68,Table_SourceData_WasteSolid_VolumeToMassConversion[Waste type w],Table_SourceData_WasteSolid_VolumeToMassConversion[VTMw])</f>
        <v>0.33</v>
      </c>
      <c r="I68" s="50" cm="1">
        <f t="array" ref="I68">WasteSolid_Equations.VEERG_10_1_1_1__2_MassOfWasteFromVolume(G68,H68)</f>
        <v>0</v>
      </c>
    </row>
    <row r="69" spans="1:9" ht="20.100000000000001" customHeight="1" x14ac:dyDescent="0.25">
      <c r="D69" s="171" t="str">
        <v>Landfill</v>
      </c>
      <c r="E69" s="175" t="str">
        <v>Construction and demolition waste</v>
      </c>
      <c r="F69" s="213"/>
      <c r="G69" s="50"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50" cm="1">
        <f t="array" ref="H69">Common_InputFunctions.Utility_LookupValueInTableNumber(E69,Table_SourceData_WasteSolid_VolumeToMassConversion[Waste type w],Table_SourceData_WasteSolid_VolumeToMassConversion[VTMw])</f>
        <v>0.39</v>
      </c>
      <c r="I69" s="50" cm="1">
        <f t="array" ref="I69">WasteSolid_Equations.VEERG_10_1_1_1__2_MassOfWasteFromVolume(G69,H69)</f>
        <v>0</v>
      </c>
    </row>
    <row r="70" spans="1:9" ht="20.100000000000001" customHeight="1" x14ac:dyDescent="0.25">
      <c r="D70" s="171" t="str">
        <v>Incineration</v>
      </c>
      <c r="E70" s="175" t="str">
        <v>Food waste, green waste, wood, sludge</v>
      </c>
      <c r="F70" s="213"/>
      <c r="G70" s="50" t="s">
        <v>856</v>
      </c>
      <c r="H70" s="50" t="s">
        <v>856</v>
      </c>
      <c r="I70" s="50" t="s">
        <v>856</v>
      </c>
    </row>
    <row r="71" spans="1:9" ht="20.100000000000001" customHeight="1" x14ac:dyDescent="0.25">
      <c r="D71" s="171" t="str">
        <v>Incineration</v>
      </c>
      <c r="E71" s="175" t="str">
        <v>Food waste (including animal carcasses, spoiled animal feed or crop)</v>
      </c>
      <c r="F71" s="213"/>
      <c r="G71" s="50"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50" cm="1">
        <f t="array" ref="H71">Common_InputFunctions.Utility_LookupValueInTableNumber(E71,Table_SourceData_WasteSolid_VolumeToMassConversion[Waste type w],Table_SourceData_WasteSolid_VolumeToMassConversion[VTMw])</f>
        <v>0.5</v>
      </c>
      <c r="I71" s="50" cm="1">
        <f t="array" ref="I71">WasteSolid_Equations.VEERG_10_1_1_1__2_MassOfWasteFromVolume(G71,H71)</f>
        <v>0</v>
      </c>
    </row>
    <row r="72" spans="1:9" ht="20.100000000000001" customHeight="1" x14ac:dyDescent="0.25">
      <c r="D72" s="171" t="str">
        <v>Incineration</v>
      </c>
      <c r="E72" s="175" t="str">
        <v>Green waste (including crop residues or prunings)</v>
      </c>
      <c r="F72" s="213"/>
      <c r="G72" s="50"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50" cm="1">
        <f t="array" ref="H72">Common_InputFunctions.Utility_LookupValueInTableNumber(E72,Table_SourceData_WasteSolid_VolumeToMassConversion[Waste type w],Table_SourceData_WasteSolid_VolumeToMassConversion[VTMw])</f>
        <v>0.24</v>
      </c>
      <c r="I72" s="50" cm="1">
        <f t="array" ref="I72">WasteSolid_Equations.VEERG_10_1_1_1__2_MassOfWasteFromVolume(G72,H72)</f>
        <v>0</v>
      </c>
    </row>
    <row r="73" spans="1:9" ht="20.100000000000001" customHeight="1" x14ac:dyDescent="0.25">
      <c r="D73" s="171" t="str">
        <v>Incineration</v>
      </c>
      <c r="E73" s="175" t="str">
        <v>Wood</v>
      </c>
      <c r="F73" s="213"/>
      <c r="G73" s="50"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50" cm="1">
        <f t="array" ref="H73">Common_InputFunctions.Utility_LookupValueInTableNumber(E73,Table_SourceData_WasteSolid_VolumeToMassConversion[Waste type w],Table_SourceData_WasteSolid_VolumeToMassConversion[VTMw])</f>
        <v>0.15</v>
      </c>
      <c r="I73" s="50" cm="1">
        <f t="array" ref="I73">WasteSolid_Equations.VEERG_10_1_1_1__2_MassOfWasteFromVolume(G73,H73)</f>
        <v>0</v>
      </c>
    </row>
    <row r="74" spans="1:9" ht="20.100000000000001" customHeight="1" x14ac:dyDescent="0.25">
      <c r="D74" s="171" t="str">
        <v>Incineration</v>
      </c>
      <c r="E74" s="175" t="str">
        <v>Sludge</v>
      </c>
      <c r="F74" s="213"/>
      <c r="G74" s="50"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50" cm="1">
        <f t="array" ref="H74">Common_InputFunctions.Utility_LookupValueInTableNumber(E74,Table_SourceData_WasteSolid_VolumeToMassConversion[Waste type w],Table_SourceData_WasteSolid_VolumeToMassConversion[VTMw])</f>
        <v>0.72</v>
      </c>
      <c r="I74" s="50" cm="1">
        <f t="array" ref="I74">WasteSolid_Equations.VEERG_10_1_1_1__2_MassOfWasteFromVolume(G74,H74)</f>
        <v>0</v>
      </c>
    </row>
    <row r="75" spans="1:9" ht="20.100000000000001" customHeight="1" x14ac:dyDescent="0.25">
      <c r="D75" s="171" t="str">
        <v>Incineration</v>
      </c>
      <c r="E75" s="175" t="str">
        <v>Paper and cardboard</v>
      </c>
      <c r="F75" s="213"/>
      <c r="G75" s="50"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50" cm="1">
        <f t="array" ref="H75">Common_InputFunctions.Utility_LookupValueInTableNumber(E75,Table_SourceData_WasteSolid_VolumeToMassConversion[Waste type w],Table_SourceData_WasteSolid_VolumeToMassConversion[VTMw])</f>
        <v>0.09</v>
      </c>
      <c r="I75" s="50" cm="1">
        <f t="array" ref="I75">WasteSolid_Equations.VEERG_10_1_1_1__2_MassOfWasteFromVolume(G75,H75)</f>
        <v>9</v>
      </c>
    </row>
    <row r="76" spans="1:9" ht="20.100000000000001" customHeight="1" x14ac:dyDescent="0.25">
      <c r="D76" s="171" t="str">
        <v>Incineration</v>
      </c>
      <c r="E76" s="175" t="str">
        <v>Textiles</v>
      </c>
      <c r="F76" s="213"/>
      <c r="G76" s="50"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50" cm="1">
        <f t="array" ref="H76">Common_InputFunctions.Utility_LookupValueInTableNumber(E76,Table_SourceData_WasteSolid_VolumeToMassConversion[Waste type w],Table_SourceData_WasteSolid_VolumeToMassConversion[VTMw])</f>
        <v>0.14000000000000001</v>
      </c>
      <c r="I76" s="50" cm="1">
        <f t="array" ref="I76">WasteSolid_Equations.VEERG_10_1_1_1__2_MassOfWasteFromVolume(G76,H76)</f>
        <v>0</v>
      </c>
    </row>
    <row r="77" spans="1:9" ht="20.100000000000001" customHeight="1" x14ac:dyDescent="0.25">
      <c r="D77" s="171" t="str">
        <v>Incineration</v>
      </c>
      <c r="E77" s="175" t="str">
        <v>Rubber and leather</v>
      </c>
      <c r="F77" s="213"/>
      <c r="G77" s="50"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50" cm="1">
        <f t="array" ref="H77">Common_InputFunctions.Utility_LookupValueInTableNumber(E77,Table_SourceData_WasteSolid_VolumeToMassConversion[Waste type w],Table_SourceData_WasteSolid_VolumeToMassConversion[VTMw])</f>
        <v>0.14000000000000001</v>
      </c>
      <c r="I77" s="50" cm="1">
        <f t="array" ref="I77">WasteSolid_Equations.VEERG_10_1_1_1__2_MassOfWasteFromVolume(G77,H77)</f>
        <v>0</v>
      </c>
    </row>
    <row r="78" spans="1:9" ht="20.100000000000001" customHeight="1" x14ac:dyDescent="0.25">
      <c r="D78" s="171" t="str">
        <v>Incineration</v>
      </c>
      <c r="E78" s="175" t="str">
        <v>Inert waste (including concrete, metal, plastic or glass)</v>
      </c>
      <c r="F78" s="213"/>
      <c r="G78" s="50"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50" cm="1">
        <f t="array" ref="H78">Common_InputFunctions.Utility_LookupValueInTableNumber(E78,Table_SourceData_WasteSolid_VolumeToMassConversion[Waste type w],Table_SourceData_WasteSolid_VolumeToMassConversion[VTMw])</f>
        <v>0.42</v>
      </c>
      <c r="I78" s="50" cm="1">
        <f t="array" ref="I78">WasteSolid_Equations.VEERG_10_1_1_1__2_MassOfWasteFromVolume(G78,H78)</f>
        <v>0</v>
      </c>
    </row>
    <row r="79" spans="1:9" ht="20.100000000000001" customHeight="1" x14ac:dyDescent="0.25">
      <c r="D79" s="171" t="str">
        <v>Incineration</v>
      </c>
      <c r="E79" s="175" t="str">
        <v>Municipal solid waste</v>
      </c>
      <c r="F79" s="170"/>
      <c r="G79" s="50"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50" cm="1">
        <f t="array" ref="H79">Common_InputFunctions.Utility_LookupValueInTableNumber(E79,Table_SourceData_WasteSolid_VolumeToMassConversion[Waste type w],Table_SourceData_WasteSolid_VolumeToMassConversion[VTMw])</f>
        <v>0.36</v>
      </c>
      <c r="I79" s="50" cm="1">
        <f t="array" ref="I79">WasteSolid_Equations.VEERG_10_1_1_1__2_MassOfWasteFromVolume(G79,H79)</f>
        <v>0</v>
      </c>
    </row>
    <row r="80" spans="1:9" ht="20.100000000000001" customHeight="1" x14ac:dyDescent="0.25">
      <c r="D80" s="171" t="str">
        <v>Incineration</v>
      </c>
      <c r="E80" s="175" t="str">
        <v>Commercial and industrial waste</v>
      </c>
      <c r="F80" s="170"/>
      <c r="G80" s="50"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50" cm="1">
        <f t="array" ref="H80">Common_InputFunctions.Utility_LookupValueInTableNumber(E80,Table_SourceData_WasteSolid_VolumeToMassConversion[Waste type w],Table_SourceData_WasteSolid_VolumeToMassConversion[VTMw])</f>
        <v>0.33</v>
      </c>
      <c r="I80" s="50" cm="1">
        <f t="array" ref="I80">WasteSolid_Equations.VEERG_10_1_1_1__2_MassOfWasteFromVolume(G80,H80)</f>
        <v>0</v>
      </c>
    </row>
    <row r="81" spans="3:12" ht="20.100000000000001" customHeight="1" x14ac:dyDescent="0.25">
      <c r="D81" s="171" t="str">
        <v>Composting</v>
      </c>
      <c r="E81" s="175" t="str">
        <v>All organic waste</v>
      </c>
      <c r="F81" s="170"/>
      <c r="G81" s="50" t="s">
        <v>856</v>
      </c>
      <c r="H81" s="50" t="s">
        <v>856</v>
      </c>
      <c r="I81" s="50" t="s">
        <v>856</v>
      </c>
    </row>
    <row r="82" spans="3:12" ht="20.100000000000001" customHeight="1" x14ac:dyDescent="0.25">
      <c r="D82" s="171" t="str">
        <v>Composting</v>
      </c>
      <c r="E82" s="175" t="str">
        <v>Food waste (including animal carcasses, spoiled animal feed or crop)</v>
      </c>
      <c r="F82" s="170"/>
      <c r="G82" s="50"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50" cm="1">
        <f t="array" ref="H82">Common_InputFunctions.Utility_LookupValueInTableNumber(E82,Table_SourceData_WasteSolid_VolumeToMassConversion[Waste type w],Table_SourceData_WasteSolid_VolumeToMassConversion[VTMw])</f>
        <v>0.5</v>
      </c>
      <c r="I82" s="50" cm="1">
        <f t="array" ref="I82">WasteSolid_Equations.VEERG_10_1_1_1__2_MassOfWasteFromVolume(G82,H82)</f>
        <v>0</v>
      </c>
    </row>
    <row r="83" spans="3:12" ht="20.100000000000001" customHeight="1" x14ac:dyDescent="0.25">
      <c r="D83" s="171" t="str">
        <v>Composting</v>
      </c>
      <c r="E83" s="175" t="str">
        <v>Green waste (including crop residues or prunings)</v>
      </c>
      <c r="F83" s="170"/>
      <c r="G83" s="50"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50" cm="1">
        <f t="array" ref="H83">Common_InputFunctions.Utility_LookupValueInTableNumber(E83,Table_SourceData_WasteSolid_VolumeToMassConversion[Waste type w],Table_SourceData_WasteSolid_VolumeToMassConversion[VTMw])</f>
        <v>0.24</v>
      </c>
      <c r="I83" s="50" cm="1">
        <f t="array" ref="I83">WasteSolid_Equations.VEERG_10_1_1_1__2_MassOfWasteFromVolume(G83,H83)</f>
        <v>0</v>
      </c>
    </row>
    <row r="84" spans="3:12" ht="20.100000000000001" customHeight="1" x14ac:dyDescent="0.25">
      <c r="D84" s="171" t="str">
        <v>Composting</v>
      </c>
      <c r="E84" s="175" t="str">
        <v>Wood</v>
      </c>
      <c r="F84" s="170"/>
      <c r="G84" s="50"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50" cm="1">
        <f t="array" ref="H84">Common_InputFunctions.Utility_LookupValueInTableNumber(E84,Table_SourceData_WasteSolid_VolumeToMassConversion[Waste type w],Table_SourceData_WasteSolid_VolumeToMassConversion[VTMw])</f>
        <v>0.15</v>
      </c>
      <c r="I84" s="50" cm="1">
        <f t="array" ref="I84">WasteSolid_Equations.VEERG_10_1_1_1__2_MassOfWasteFromVolume(G84,H84)</f>
        <v>0</v>
      </c>
    </row>
    <row r="85" spans="3:12" ht="20.100000000000001" customHeight="1" x14ac:dyDescent="0.25">
      <c r="D85" s="171" t="str">
        <v>Composting</v>
      </c>
      <c r="E85" s="175" t="str">
        <v>Sludge</v>
      </c>
      <c r="F85" s="170"/>
      <c r="G85" s="50"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50" cm="1">
        <f t="array" ref="H85">Common_InputFunctions.Utility_LookupValueInTableNumber(E85,Table_SourceData_WasteSolid_VolumeToMassConversion[Waste type w],Table_SourceData_WasteSolid_VolumeToMassConversion[VTMw])</f>
        <v>0.72</v>
      </c>
      <c r="I85" s="50" cm="1">
        <f t="array" ref="I85">WasteSolid_Equations.VEERG_10_1_1_1__2_MassOfWasteFromVolume(G85,H85)</f>
        <v>0</v>
      </c>
    </row>
    <row r="86" spans="3:12" ht="20.100000000000001" customHeight="1" x14ac:dyDescent="0.25">
      <c r="D86" s="171" t="str">
        <v>Composting</v>
      </c>
      <c r="E86" s="175" t="str">
        <v>Paper and cardboard</v>
      </c>
      <c r="F86" s="170"/>
      <c r="G86" s="50"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50" cm="1">
        <f t="array" ref="H86">Common_InputFunctions.Utility_LookupValueInTableNumber(E86,Table_SourceData_WasteSolid_VolumeToMassConversion[Waste type w],Table_SourceData_WasteSolid_VolumeToMassConversion[VTMw])</f>
        <v>0.09</v>
      </c>
      <c r="I86" s="50" cm="1">
        <f t="array" ref="I86">WasteSolid_Equations.VEERG_10_1_1_1__2_MassOfWasteFromVolume(G86,H86)</f>
        <v>0</v>
      </c>
    </row>
    <row r="87" spans="3:12" ht="20.100000000000001" customHeight="1" x14ac:dyDescent="0.25">
      <c r="D87" s="171" t="str">
        <v>Anaerobic digestion</v>
      </c>
      <c r="E87" s="175" t="str">
        <v>All organic waste</v>
      </c>
      <c r="F87" s="170"/>
      <c r="G87" s="50" t="s">
        <v>856</v>
      </c>
      <c r="H87" s="50" t="s">
        <v>856</v>
      </c>
      <c r="I87" s="50" t="s">
        <v>856</v>
      </c>
    </row>
    <row r="88" spans="3:12" ht="20.100000000000001" customHeight="1" x14ac:dyDescent="0.25">
      <c r="D88" s="171" t="str">
        <v>Anaerobic digestion</v>
      </c>
      <c r="E88" s="175" t="str">
        <v>Food waste (including animal carcasses, spoiled animal feed or crop)</v>
      </c>
      <c r="F88" s="170"/>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50" cm="1">
        <f t="array" ref="H88">Common_InputFunctions.Utility_LookupValueInTableNumber(E88,Table_SourceData_WasteSolid_VolumeToMassConversion[Waste type w],Table_SourceData_WasteSolid_VolumeToMassConversion[VTMw])</f>
        <v>0.5</v>
      </c>
      <c r="I88" s="50" cm="1">
        <f t="array" ref="I88">WasteSolid_Equations.VEERG_10_1_1_1__2_MassOfWasteFromVolume(G88,H88)</f>
        <v>0</v>
      </c>
    </row>
    <row r="89" spans="3:12" ht="20.100000000000001" customHeight="1" x14ac:dyDescent="0.25">
      <c r="D89" s="171" t="str">
        <v>Anaerobic digestion</v>
      </c>
      <c r="E89" s="175" t="str">
        <v>Green waste (including crop residues or prunings)</v>
      </c>
      <c r="F89" s="170"/>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50" cm="1">
        <f t="array" ref="H89">Common_InputFunctions.Utility_LookupValueInTableNumber(E89,Table_SourceData_WasteSolid_VolumeToMassConversion[Waste type w],Table_SourceData_WasteSolid_VolumeToMassConversion[VTMw])</f>
        <v>0.24</v>
      </c>
      <c r="I89" s="50" cm="1">
        <f t="array" ref="I89">WasteSolid_Equations.VEERG_10_1_1_1__2_MassOfWasteFromVolume(G89,H89)</f>
        <v>0</v>
      </c>
    </row>
    <row r="90" spans="3:12" ht="20.100000000000001" customHeight="1" x14ac:dyDescent="0.25">
      <c r="D90" s="171" t="str">
        <v>Anaerobic digestion</v>
      </c>
      <c r="E90" s="175" t="str">
        <v>Wood</v>
      </c>
      <c r="F90" s="170"/>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50" cm="1">
        <f t="array" ref="H90">Common_InputFunctions.Utility_LookupValueInTableNumber(E90,Table_SourceData_WasteSolid_VolumeToMassConversion[Waste type w],Table_SourceData_WasteSolid_VolumeToMassConversion[VTMw])</f>
        <v>0.15</v>
      </c>
      <c r="I90" s="50" cm="1">
        <f t="array" ref="I90">WasteSolid_Equations.VEERG_10_1_1_1__2_MassOfWasteFromVolume(G90,H90)</f>
        <v>0</v>
      </c>
    </row>
    <row r="91" spans="3:12" ht="20.100000000000001" customHeight="1" x14ac:dyDescent="0.25">
      <c r="D91" s="171" t="str">
        <v>Anaerobic digestion</v>
      </c>
      <c r="E91" s="175" t="str">
        <v>Sludge</v>
      </c>
      <c r="F91" s="170"/>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50" cm="1">
        <f t="array" ref="H91">Common_InputFunctions.Utility_LookupValueInTableNumber(E91,Table_SourceData_WasteSolid_VolumeToMassConversion[Waste type w],Table_SourceData_WasteSolid_VolumeToMassConversion[VTMw])</f>
        <v>0.72</v>
      </c>
      <c r="I91" s="50" cm="1">
        <f t="array" ref="I91">WasteSolid_Equations.VEERG_10_1_1_1__2_MassOfWasteFromVolume(G91,H91)</f>
        <v>0</v>
      </c>
    </row>
    <row r="92" spans="3:12" ht="20.100000000000001" customHeight="1" x14ac:dyDescent="0.25">
      <c r="D92" s="171" t="str">
        <v>Anaerobic digestion</v>
      </c>
      <c r="E92" s="175" t="str">
        <v>Paper and cardboard</v>
      </c>
      <c r="F92" s="170"/>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50" cm="1">
        <f t="array" ref="H92">Common_InputFunctions.Utility_LookupValueInTableNumber(E92,Table_SourceData_WasteSolid_VolumeToMassConversion[Waste type w],Table_SourceData_WasteSolid_VolumeToMassConversion[VTMw])</f>
        <v>0.09</v>
      </c>
      <c r="I92" s="50"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1"/>
      <c r="D95" s="101"/>
      <c r="E95" s="101"/>
      <c r="F95" s="101"/>
      <c r="G95" s="101"/>
      <c r="H95" s="101"/>
      <c r="I95" s="101"/>
      <c r="J95" s="101"/>
      <c r="K95" s="101"/>
      <c r="L95" s="101"/>
    </row>
    <row r="96" spans="3:12" ht="20.100000000000001" customHeight="1" x14ac:dyDescent="0.25">
      <c r="D96" s="9" t="str" cm="1">
        <f t="array" ref="D96">WasteSolid_Equations.VEERG_10_1_1_1__1_EmissionsFromWasteManagement_Title()</f>
        <v>Emissions from waste management by greenhouse gas</v>
      </c>
    </row>
    <row r="97" spans="1:9" ht="20.100000000000001" customHeight="1" x14ac:dyDescent="0.25">
      <c r="D97" s="11" t="str" cm="1">
        <f t="array" ref="D97">WasteSolid_Equations.VEERG_10_1_1_1__1_EmissionsFromWasteManagement_Source()</f>
        <v>VEERG 2026: 10.1.1.1, Equation (1)</v>
      </c>
    </row>
    <row r="98" spans="1: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D99" s="176" t="s">
        <v>635</v>
      </c>
      <c r="E99" s="176" t="str" cm="1">
        <f t="array" aca="1" ref="E99" ca="1">Common_InputFunctions.Utility_DisplayFunctionName(K116)</f>
        <v>=WasteSolid_Equations.VEERG_10_1_1_1__1_EmissionsFromWasteManagement</v>
      </c>
    </row>
    <row r="100" spans="1:9" ht="20.100000000000001" customHeight="1" x14ac:dyDescent="0.25"/>
    <row r="101" spans="1:9" ht="20.100000000000001" customHeight="1" x14ac:dyDescent="0.25"/>
    <row r="102" spans="1:9" ht="20.100000000000001" customHeight="1" x14ac:dyDescent="0.25">
      <c r="D102" s="28" t="s">
        <v>636</v>
      </c>
      <c r="E102" s="8" t="str" cm="1">
        <f t="array" ref="E102">WasteSolid_Equations.VEERG_10_1_1_1__1_EmissionsFromWasteManagement_Variable()</f>
        <v>E_g</v>
      </c>
    </row>
    <row r="103" spans="1:9" ht="20.100000000000001" customHeight="1" x14ac:dyDescent="0.25">
      <c r="D103" s="28" t="s">
        <v>97</v>
      </c>
      <c r="E103" s="13" t="str" cm="1">
        <f t="array" ref="E103">WasteSolid_Equations.VEERG_10_1_1_1__1_EmissionsFromWasteManagement_Unit()</f>
        <v>t CO2e</v>
      </c>
    </row>
    <row r="104" spans="1:9" ht="20.100000000000001" customHeight="1" x14ac:dyDescent="0.25"/>
    <row r="105" spans="1:9" ht="20.100000000000001" customHeight="1" x14ac:dyDescent="0.25">
      <c r="D105" s="171" t="str" cm="1">
        <f t="array" ref="D105:E111">_xlfn.CHOOSECOLS(WasteSolid_Equations.VEERG_10_1_1_1__1_EmissionsFromWasteManagement_Arguments(),1,2)</f>
        <v>Q_wt</v>
      </c>
      <c r="E105" s="175" t="str">
        <v>quantity of solid waste of type w being sent to treatment facility t, on a wet weight basis</v>
      </c>
      <c r="F105" s="209"/>
      <c r="G105" s="170"/>
      <c r="H105" s="171" t="str" cm="1">
        <f t="array" ref="H105:I111">_xlfn.CHOOSECOLS(WasteSolid_Equations.VEERG_10_1_1_1__1_EmissionsFromWasteManagement_Arguments(),3,4)</f>
        <v>t</v>
      </c>
      <c r="I105" s="173" t="str">
        <v>Sum of Q_volwt and Q_masswt</v>
      </c>
    </row>
    <row r="106" spans="1:9" ht="20.100000000000001" customHeight="1" x14ac:dyDescent="0.25">
      <c r="D106" s="171" t="str">
        <v>EF_wtg</v>
      </c>
      <c r="E106" s="175" t="str">
        <v>emission factor for greenhouse gas g for the management of waste at treatment facility t</v>
      </c>
      <c r="F106" s="209"/>
      <c r="G106" s="170"/>
      <c r="H106" s="171" t="str">
        <v>t CO2e/t</v>
      </c>
      <c r="I106" s="173" t="str">
        <v>Constant</v>
      </c>
    </row>
    <row r="107" spans="1:9" ht="20.100000000000001" customHeight="1" x14ac:dyDescent="0.25">
      <c r="D107" s="171" t="str">
        <v>w</v>
      </c>
      <c r="E107" s="175" t="str">
        <v>waste type</v>
      </c>
      <c r="F107" s="209"/>
      <c r="G107" s="170"/>
      <c r="H107" s="171" t="str">
        <v/>
      </c>
      <c r="I107" s="172" t="str">
        <v>Input</v>
      </c>
    </row>
    <row r="108" spans="1:9" ht="20.100000000000001" customHeight="1" x14ac:dyDescent="0.25">
      <c r="D108" s="171" t="str">
        <v>t</v>
      </c>
      <c r="E108" s="175" t="str">
        <v>treatment facility</v>
      </c>
      <c r="F108" s="209"/>
      <c r="G108" s="170"/>
      <c r="H108" s="171" t="str">
        <v/>
      </c>
      <c r="I108" s="172" t="str">
        <v>Input</v>
      </c>
    </row>
    <row r="109" spans="1:9" ht="20.100000000000001" customHeight="1" x14ac:dyDescent="0.25">
      <c r="A109" s="56" t="str">
        <f>HYPERLINK("#A1", "▲ Back to top")</f>
        <v>▲ Back to top</v>
      </c>
      <c r="D109" s="171" t="str">
        <v>g</v>
      </c>
      <c r="E109" s="175" t="str">
        <v>greenhouse gas</v>
      </c>
      <c r="F109" s="209"/>
      <c r="G109" s="170"/>
      <c r="H109" s="171" t="str">
        <v/>
      </c>
      <c r="I109" s="172" t="str">
        <v>Input</v>
      </c>
    </row>
    <row r="110" spans="1:9" ht="20.100000000000001" customHeight="1" x14ac:dyDescent="0.25">
      <c r="D110" s="171" t="str">
        <v>Q_volwt</v>
      </c>
      <c r="E110" s="175" t="str">
        <v>quantity of sold waste input as volume and converted to tonnes</v>
      </c>
      <c r="F110" s="209"/>
      <c r="G110" s="170"/>
      <c r="H110" s="171" t="str">
        <v>tonnes</v>
      </c>
      <c r="I110" s="173" t="str">
        <v>Calculated from 10.1.1.1 (2)</v>
      </c>
    </row>
    <row r="111" spans="1:9" ht="20.100000000000001" customHeight="1" x14ac:dyDescent="0.25">
      <c r="D111" s="171" t="str">
        <v>Q_masswt</v>
      </c>
      <c r="E111" s="175" t="str">
        <v>quantity of solid waste input as mass</v>
      </c>
      <c r="F111" s="209"/>
      <c r="G111" s="170"/>
      <c r="H111" s="171" t="str">
        <v>tonnes</v>
      </c>
      <c r="I111" s="172" t="str">
        <v>Input</v>
      </c>
    </row>
    <row r="112" spans="1:9" ht="20.100000000000001" customHeight="1" x14ac:dyDescent="0.25"/>
    <row r="113" spans="4:11" ht="20.100000000000001" customHeight="1" x14ac:dyDescent="0.25">
      <c r="D113" s="58" t="s">
        <v>810</v>
      </c>
    </row>
    <row r="114" spans="4:11" ht="20.100000000000001" customHeight="1" x14ac:dyDescent="0.25">
      <c r="D114" s="59" t="s">
        <v>811</v>
      </c>
    </row>
    <row r="115" spans="4:11" ht="20.100000000000001" customHeight="1" x14ac:dyDescent="0.25">
      <c r="D115" s="47" t="s">
        <v>803</v>
      </c>
      <c r="E115" s="47" t="s">
        <v>804</v>
      </c>
      <c r="F115" s="47"/>
      <c r="G115" s="47" t="s">
        <v>857</v>
      </c>
      <c r="H115" s="60" t="s">
        <v>858</v>
      </c>
      <c r="I115" s="60" t="s">
        <v>807</v>
      </c>
      <c r="J115" s="60" t="s">
        <v>859</v>
      </c>
      <c r="K115" s="60" t="s">
        <v>860</v>
      </c>
    </row>
    <row r="116" spans="4:11" ht="20.100000000000001" customHeight="1" x14ac:dyDescent="0.25">
      <c r="D116" s="171" t="str" cm="1">
        <f t="array" ref="D116:D149">Table_SourceData_WasteSolid_WasteTreatmentEFs[Treatment type t]</f>
        <v>Landfill</v>
      </c>
      <c r="E116" s="175" t="str" cm="1">
        <f t="array" ref="E116:E149">Table_SourceData_WasteSolid_WasteTreatmentEFs[Waste type w]</f>
        <v>Food waste (including animal carcasses, spoiled animal feed or crop)</v>
      </c>
      <c r="F116" s="213"/>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50">
        <f t="shared" ref="H116:H149" si="0">I21</f>
        <v>0</v>
      </c>
      <c r="I116" s="50">
        <f>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2.1</v>
      </c>
      <c r="K116" s="50" cm="1">
        <f t="array" ref="K116">WasteSolid_Equations.VEERG_10_1_1_1__1_EmissionsFromWasteManagement(I116, J116)</f>
        <v>0</v>
      </c>
    </row>
    <row r="117" spans="4:11" ht="20.100000000000001" customHeight="1" x14ac:dyDescent="0.25">
      <c r="D117" s="171" t="str">
        <v>Landfill</v>
      </c>
      <c r="E117" s="175" t="str">
        <v>Paper and cardboard</v>
      </c>
      <c r="F117" s="213"/>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50">
        <f t="shared" si="0"/>
        <v>0</v>
      </c>
      <c r="I117" s="50">
        <f t="shared" ref="I117:I126" si="1">G117+H117</f>
        <v>0</v>
      </c>
      <c r="J117" s="50" cm="1">
        <f t="array" ref="J117">Common_InputFunctions.Utility_LookupValueInTableTwoColumns(D117,E117,Table_SourceData_WasteSolid_WasteTreatmentEFs[Treatment type t],Table_SourceData_WasteSolid_WasteTreatmentEFs[Waste type w],Table_SourceData_WasteSolid_WasteTreatmentEFs[EFwt])</f>
        <v>3.3</v>
      </c>
      <c r="K117" s="50" cm="1">
        <f t="array" ref="K117">WasteSolid_Equations.VEERG_10_1_1_1__1_EmissionsFromWasteManagement(I117, J117)</f>
        <v>0</v>
      </c>
    </row>
    <row r="118" spans="4:11" ht="20.100000000000001" customHeight="1" x14ac:dyDescent="0.25">
      <c r="D118" s="171" t="str">
        <v>Landfill</v>
      </c>
      <c r="E118" s="175" t="str">
        <v>Green waste (including crop residues or prunings)</v>
      </c>
      <c r="F118" s="213"/>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50">
        <f t="shared" si="0"/>
        <v>0</v>
      </c>
      <c r="I118" s="50">
        <f t="shared" si="1"/>
        <v>0</v>
      </c>
      <c r="J118" s="50" cm="1">
        <f t="array" ref="J118">Common_InputFunctions.Utility_LookupValueInTableTwoColumns(D118,E118,Table_SourceData_WasteSolid_WasteTreatmentEFs[Treatment type t],Table_SourceData_WasteSolid_WasteTreatmentEFs[Waste type w],Table_SourceData_WasteSolid_WasteTreatmentEFs[EFwt])</f>
        <v>1.6</v>
      </c>
      <c r="K118" s="50" cm="1">
        <f t="array" ref="K118">WasteSolid_Equations.VEERG_10_1_1_1__1_EmissionsFromWasteManagement(I118, J118)</f>
        <v>0</v>
      </c>
    </row>
    <row r="119" spans="4:11" ht="20.100000000000001" customHeight="1" x14ac:dyDescent="0.25">
      <c r="D119" s="171" t="str">
        <v>Landfill</v>
      </c>
      <c r="E119" s="175" t="str">
        <v>Wood</v>
      </c>
      <c r="F119" s="213"/>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50">
        <f t="shared" si="0"/>
        <v>0</v>
      </c>
      <c r="I119" s="50">
        <f t="shared" si="1"/>
        <v>0</v>
      </c>
      <c r="J119" s="50" cm="1">
        <f t="array" ref="J119">Common_InputFunctions.Utility_LookupValueInTableTwoColumns(D119,E119,Table_SourceData_WasteSolid_WasteTreatmentEFs[Treatment type t],Table_SourceData_WasteSolid_WasteTreatmentEFs[Waste type w],Table_SourceData_WasteSolid_WasteTreatmentEFs[EFwt])</f>
        <v>0.7</v>
      </c>
      <c r="K119" s="50" cm="1">
        <f t="array" ref="K119">WasteSolid_Equations.VEERG_10_1_1_1__1_EmissionsFromWasteManagement(I119, J119)</f>
        <v>0</v>
      </c>
    </row>
    <row r="120" spans="4:11" ht="20.100000000000001" customHeight="1" x14ac:dyDescent="0.25">
      <c r="D120" s="171" t="str">
        <v>Landfill</v>
      </c>
      <c r="E120" s="175" t="str">
        <v>Textiles</v>
      </c>
      <c r="F120" s="213"/>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50">
        <f t="shared" si="0"/>
        <v>0</v>
      </c>
      <c r="I120" s="50">
        <f t="shared" si="1"/>
        <v>0</v>
      </c>
      <c r="J120" s="50" cm="1">
        <f t="array" ref="J120">Common_InputFunctions.Utility_LookupValueInTableTwoColumns(D120,E120,Table_SourceData_WasteSolid_WasteTreatmentEFs[Treatment type t],Table_SourceData_WasteSolid_WasteTreatmentEFs[Waste type w],Table_SourceData_WasteSolid_WasteTreatmentEFs[EFwt])</f>
        <v>2</v>
      </c>
      <c r="K120" s="50" cm="1">
        <f t="array" ref="K120">WasteSolid_Equations.VEERG_10_1_1_1__1_EmissionsFromWasteManagement(I120, J120)</f>
        <v>0</v>
      </c>
    </row>
    <row r="121" spans="4:11" ht="20.100000000000001" customHeight="1" x14ac:dyDescent="0.25">
      <c r="D121" s="171" t="str">
        <v>Landfill</v>
      </c>
      <c r="E121" s="175" t="str">
        <v>Sludge</v>
      </c>
      <c r="F121" s="213"/>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50">
        <f t="shared" si="0"/>
        <v>0</v>
      </c>
      <c r="I121" s="50">
        <f t="shared" si="1"/>
        <v>0</v>
      </c>
      <c r="J121" s="50" cm="1">
        <f t="array" ref="J121">Common_InputFunctions.Utility_LookupValueInTableTwoColumns(D121,E121,Table_SourceData_WasteSolid_WasteTreatmentEFs[Treatment type t],Table_SourceData_WasteSolid_WasteTreatmentEFs[Waste type w],Table_SourceData_WasteSolid_WasteTreatmentEFs[EFwt])</f>
        <v>0.4</v>
      </c>
      <c r="K121" s="50" cm="1">
        <f t="array" ref="K121">WasteSolid_Equations.VEERG_10_1_1_1__1_EmissionsFromWasteManagement(I121, J121)</f>
        <v>0</v>
      </c>
    </row>
    <row r="122" spans="4:11" ht="20.100000000000001" customHeight="1" x14ac:dyDescent="0.25">
      <c r="D122" s="171" t="str">
        <v>Landfill</v>
      </c>
      <c r="E122" s="175" t="str">
        <v>Rubber and leather</v>
      </c>
      <c r="F122" s="213"/>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50">
        <f t="shared" si="0"/>
        <v>0</v>
      </c>
      <c r="I122" s="50">
        <f t="shared" si="1"/>
        <v>0</v>
      </c>
      <c r="J122" s="50" cm="1">
        <f t="array" ref="J122">Common_InputFunctions.Utility_LookupValueInTableTwoColumns(D122,E122,Table_SourceData_WasteSolid_WasteTreatmentEFs[Treatment type t],Table_SourceData_WasteSolid_WasteTreatmentEFs[Waste type w],Table_SourceData_WasteSolid_WasteTreatmentEFs[EFwt])</f>
        <v>3.3</v>
      </c>
      <c r="K122" s="50" cm="1">
        <f t="array" ref="K122">WasteSolid_Equations.VEERG_10_1_1_1__1_EmissionsFromWasteManagement(I122, J122)</f>
        <v>0</v>
      </c>
    </row>
    <row r="123" spans="4:11" ht="20.100000000000001" customHeight="1" x14ac:dyDescent="0.25">
      <c r="D123" s="171" t="str">
        <v>Landfill</v>
      </c>
      <c r="E123" s="175" t="str">
        <v>Inert waste (including concrete, metal, plastic or glass)</v>
      </c>
      <c r="F123" s="213"/>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50">
        <f t="shared" si="0"/>
        <v>0</v>
      </c>
      <c r="I123" s="50">
        <f t="shared" si="1"/>
        <v>0</v>
      </c>
      <c r="J123" s="50" cm="1">
        <f t="array" ref="J123">Common_InputFunctions.Utility_LookupValueInTableTwoColumns(D123,E123,Table_SourceData_WasteSolid_WasteTreatmentEFs[Treatment type t],Table_SourceData_WasteSolid_WasteTreatmentEFs[Waste type w],Table_SourceData_WasteSolid_WasteTreatmentEFs[EFwt])</f>
        <v>0</v>
      </c>
      <c r="K123" s="50" cm="1">
        <f t="array" ref="K123">WasteSolid_Equations.VEERG_10_1_1_1__1_EmissionsFromWasteManagement(I123, J123)</f>
        <v>0</v>
      </c>
    </row>
    <row r="124" spans="4:11" ht="20.100000000000001" customHeight="1" x14ac:dyDescent="0.25">
      <c r="D124" s="171" t="str">
        <v>Landfill</v>
      </c>
      <c r="E124" s="175" t="str">
        <v>Municipal solid waste</v>
      </c>
      <c r="F124" s="213"/>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50">
        <f t="shared" si="0"/>
        <v>0</v>
      </c>
      <c r="I124" s="50">
        <f t="shared" si="1"/>
        <v>0</v>
      </c>
      <c r="J124" s="50" cm="1">
        <f t="array" ref="J124">Common_InputFunctions.Utility_LookupValueInTableTwoColumns(D124,E124,Table_SourceData_WasteSolid_WasteTreatmentEFs[Treatment type t],Table_SourceData_WasteSolid_WasteTreatmentEFs[Waste type w],Table_SourceData_WasteSolid_WasteTreatmentEFs[EFwt])</f>
        <v>1.6</v>
      </c>
      <c r="K124" s="50" cm="1">
        <f t="array" ref="K124">WasteSolid_Equations.VEERG_10_1_1_1__1_EmissionsFromWasteManagement(I124, J124)</f>
        <v>0</v>
      </c>
    </row>
    <row r="125" spans="4:11" ht="20.100000000000001" customHeight="1" x14ac:dyDescent="0.25">
      <c r="D125" s="171" t="str">
        <v>Landfill</v>
      </c>
      <c r="E125" s="175" t="str">
        <v>Commercial and industrial waste</v>
      </c>
      <c r="F125" s="213"/>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50">
        <f t="shared" si="0"/>
        <v>0</v>
      </c>
      <c r="I125" s="50">
        <f t="shared" si="1"/>
        <v>0</v>
      </c>
      <c r="J125" s="50" cm="1">
        <f t="array" ref="J125">Common_InputFunctions.Utility_LookupValueInTableTwoColumns(D125,E125,Table_SourceData_WasteSolid_WasteTreatmentEFs[Treatment type t],Table_SourceData_WasteSolid_WasteTreatmentEFs[Waste type w],Table_SourceData_WasteSolid_WasteTreatmentEFs[EFwt])</f>
        <v>1.3</v>
      </c>
      <c r="K125" s="50" cm="1">
        <f t="array" ref="K125">WasteSolid_Equations.VEERG_10_1_1_1__1_EmissionsFromWasteManagement(I125, J125)</f>
        <v>0</v>
      </c>
    </row>
    <row r="126" spans="4:11" ht="20.100000000000001" customHeight="1" x14ac:dyDescent="0.25">
      <c r="D126" s="171" t="str">
        <v>Landfill</v>
      </c>
      <c r="E126" s="175" t="str">
        <v>Construction and demolition waste</v>
      </c>
      <c r="F126" s="213"/>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50">
        <f t="shared" si="0"/>
        <v>0</v>
      </c>
      <c r="I126" s="50">
        <f t="shared" si="1"/>
        <v>0</v>
      </c>
      <c r="J126" s="50" cm="1">
        <f t="array" ref="J126">Common_InputFunctions.Utility_LookupValueInTableTwoColumns(D126,E126,Table_SourceData_WasteSolid_WasteTreatmentEFs[Treatment type t],Table_SourceData_WasteSolid_WasteTreatmentEFs[Waste type w],Table_SourceData_WasteSolid_WasteTreatmentEFs[EFwt])</f>
        <v>0.2</v>
      </c>
      <c r="K126" s="50" cm="1">
        <f t="array" ref="K126">WasteSolid_Equations.VEERG_10_1_1_1__1_EmissionsFromWasteManagement(I126, J126)</f>
        <v>0</v>
      </c>
    </row>
    <row r="127" spans="4:11" ht="20.100000000000001" customHeight="1" x14ac:dyDescent="0.25">
      <c r="D127" s="171" t="str">
        <v>Incineration</v>
      </c>
      <c r="E127" s="175" t="str">
        <v>Food waste, green waste, wood, sludge</v>
      </c>
      <c r="F127" s="213"/>
      <c r="G127" s="50" t="s">
        <v>856</v>
      </c>
      <c r="H127" s="50" t="str">
        <f t="shared" si="0"/>
        <v>Not used</v>
      </c>
      <c r="I127" s="50">
        <f>SUM(G128:G131)+SUM(H128:H131)</f>
        <v>0</v>
      </c>
      <c r="J127" s="50" cm="1">
        <f t="array" ref="J127">Common_InputFunctions.Utility_LookupValueInTableTwoColumns(D127,E127,Table_SourceData_WasteSolid_WasteTreatmentEFs[Treatment type t],Table_SourceData_WasteSolid_WasteTreatmentEFs[Waste type w],Table_SourceData_WasteSolid_WasteTreatmentEFs[EFwt])</f>
        <v>0</v>
      </c>
      <c r="K127" s="50" cm="1">
        <f t="array" ref="K127">WasteSolid_Equations.VEERG_10_1_1_1__1_EmissionsFromWasteManagement(I127, J127)</f>
        <v>0</v>
      </c>
    </row>
    <row r="128" spans="4:11" ht="20.100000000000001" customHeight="1" x14ac:dyDescent="0.25">
      <c r="D128" s="171" t="str">
        <v>Incineration</v>
      </c>
      <c r="E128" s="175" t="str">
        <v>Food waste (including animal carcasses, spoiled animal feed or crop)</v>
      </c>
      <c r="F128" s="213"/>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50">
        <f t="shared" si="0"/>
        <v>0</v>
      </c>
      <c r="I128" s="50" t="s">
        <v>861</v>
      </c>
      <c r="J128" s="50" t="s">
        <v>856</v>
      </c>
      <c r="K128" s="50" t="s">
        <v>856</v>
      </c>
    </row>
    <row r="129" spans="1:11" ht="20.100000000000001" customHeight="1" x14ac:dyDescent="0.25">
      <c r="D129" s="171" t="str">
        <v>Incineration</v>
      </c>
      <c r="E129" s="175" t="str">
        <v>Green waste (including crop residues or prunings)</v>
      </c>
      <c r="F129" s="213"/>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50">
        <f t="shared" si="0"/>
        <v>0</v>
      </c>
      <c r="I129" s="50" t="s">
        <v>861</v>
      </c>
      <c r="J129" s="50" t="s">
        <v>856</v>
      </c>
      <c r="K129" s="50" t="s">
        <v>856</v>
      </c>
    </row>
    <row r="130" spans="1:11" ht="20.100000000000001" customHeight="1" x14ac:dyDescent="0.25">
      <c r="D130" s="171" t="str">
        <v>Incineration</v>
      </c>
      <c r="E130" s="175" t="str">
        <v>Wood</v>
      </c>
      <c r="F130" s="213"/>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50">
        <f t="shared" si="0"/>
        <v>0</v>
      </c>
      <c r="I130" s="50" t="s">
        <v>861</v>
      </c>
      <c r="J130" s="50" t="s">
        <v>856</v>
      </c>
      <c r="K130" s="50" t="s">
        <v>856</v>
      </c>
    </row>
    <row r="131" spans="1:11" ht="20.100000000000001" customHeight="1" x14ac:dyDescent="0.25">
      <c r="D131" s="171" t="str">
        <v>Incineration</v>
      </c>
      <c r="E131" s="175" t="str">
        <v>Sludge</v>
      </c>
      <c r="F131" s="213"/>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50">
        <f t="shared" si="0"/>
        <v>0</v>
      </c>
      <c r="I131" s="50" t="s">
        <v>861</v>
      </c>
      <c r="J131" s="50" t="s">
        <v>856</v>
      </c>
      <c r="K131" s="50" t="s">
        <v>856</v>
      </c>
    </row>
    <row r="132" spans="1:11" ht="20.100000000000001" customHeight="1" x14ac:dyDescent="0.25">
      <c r="D132" s="171" t="str">
        <v>Incineration</v>
      </c>
      <c r="E132" s="175" t="str">
        <v>Paper and cardboard</v>
      </c>
      <c r="F132" s="213"/>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50">
        <f t="shared" si="0"/>
        <v>0</v>
      </c>
      <c r="I132" s="50">
        <f t="shared" ref="I132:I137" si="2">G132+H132</f>
        <v>0</v>
      </c>
      <c r="J132" s="50"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50" cm="1">
        <f t="array" ref="K132">WasteSolid_Equations.VEERG_10_1_1_1__1_EmissionsFromWasteManagement(I132, J132)</f>
        <v>0</v>
      </c>
    </row>
    <row r="133" spans="1:11" ht="20.100000000000001" customHeight="1" x14ac:dyDescent="0.25">
      <c r="D133" s="171" t="str">
        <v>Incineration</v>
      </c>
      <c r="E133" s="175" t="str">
        <v>Textiles</v>
      </c>
      <c r="F133" s="213"/>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50">
        <f t="shared" si="0"/>
        <v>0</v>
      </c>
      <c r="I133" s="50">
        <f t="shared" si="2"/>
        <v>0</v>
      </c>
      <c r="J133" s="50"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50" cm="1">
        <f t="array" ref="K133">WasteSolid_Equations.VEERG_10_1_1_1__1_EmissionsFromWasteManagement(I133, J133)</f>
        <v>0</v>
      </c>
    </row>
    <row r="134" spans="1:11" ht="20.100000000000001" customHeight="1" x14ac:dyDescent="0.25">
      <c r="D134" s="171" t="str">
        <v>Incineration</v>
      </c>
      <c r="E134" s="175" t="str">
        <v>Rubber and leather</v>
      </c>
      <c r="F134" s="213"/>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50">
        <f t="shared" si="0"/>
        <v>0</v>
      </c>
      <c r="I134" s="50">
        <f t="shared" si="2"/>
        <v>0</v>
      </c>
      <c r="J134" s="50" cm="1">
        <f t="array" ref="J134">Common_InputFunctions.Utility_LookupValueInTableTwoColumns(D134,E134,Table_SourceData_WasteSolid_WasteTreatmentEFs[Treatment type t],Table_SourceData_WasteSolid_WasteTreatmentEFs[Waste type w],Table_SourceData_WasteSolid_WasteTreatmentEFs[EFwt])</f>
        <v>0.4919</v>
      </c>
      <c r="K134" s="50" cm="1">
        <f t="array" ref="K134">WasteSolid_Equations.VEERG_10_1_1_1__1_EmissionsFromWasteManagement(I134, J134)</f>
        <v>0</v>
      </c>
    </row>
    <row r="135" spans="1:11" ht="20.100000000000001" customHeight="1" x14ac:dyDescent="0.25">
      <c r="D135" s="171" t="str">
        <v>Incineration</v>
      </c>
      <c r="E135" s="175" t="str">
        <v>Inert waste (including concrete, metal, plastic or glass)</v>
      </c>
      <c r="F135" s="213"/>
      <c r="G135" s="50"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50">
        <f t="shared" si="0"/>
        <v>0</v>
      </c>
      <c r="I135" s="50">
        <f t="shared" si="2"/>
        <v>0</v>
      </c>
      <c r="J135" s="50" cm="1">
        <f t="array" ref="J135">Common_InputFunctions.Utility_LookupValueInTableTwoColumns(D135,E135,Table_SourceData_WasteSolid_WasteTreatmentEFs[Treatment type t],Table_SourceData_WasteSolid_WasteTreatmentEFs[Waste type w],Table_SourceData_WasteSolid_WasteTreatmentEFs[EFwt])</f>
        <v>0.11</v>
      </c>
      <c r="K135" s="50" cm="1">
        <f t="array" ref="K135">WasteSolid_Equations.VEERG_10_1_1_1__1_EmissionsFromWasteManagement(I135, J135)</f>
        <v>0</v>
      </c>
    </row>
    <row r="136" spans="1:11" ht="20.100000000000001" customHeight="1" x14ac:dyDescent="0.25">
      <c r="A136" s="56" t="str">
        <f>HYPERLINK("#A1", "▲ Back to top")</f>
        <v>▲ Back to top</v>
      </c>
      <c r="D136" s="171" t="str">
        <v>Incineration</v>
      </c>
      <c r="E136" s="175" t="str">
        <v>Municipal solid waste</v>
      </c>
      <c r="F136" s="170"/>
      <c r="G136" s="50"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50">
        <f t="shared" si="0"/>
        <v>0</v>
      </c>
      <c r="I136" s="50">
        <f t="shared" si="2"/>
        <v>0</v>
      </c>
      <c r="J136" s="50"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50" cm="1">
        <f t="array" ref="K136">WasteSolid_Equations.VEERG_10_1_1_1__1_EmissionsFromWasteManagement(I136, J136)</f>
        <v>0</v>
      </c>
    </row>
    <row r="137" spans="1:11" ht="20.100000000000001" customHeight="1" x14ac:dyDescent="0.25">
      <c r="D137" s="171" t="str">
        <v>Incineration</v>
      </c>
      <c r="E137" s="175" t="str">
        <v>Commercial and industrial waste</v>
      </c>
      <c r="F137" s="170"/>
      <c r="G137" s="50"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50">
        <f t="shared" si="0"/>
        <v>0</v>
      </c>
      <c r="I137" s="50">
        <f t="shared" si="2"/>
        <v>0</v>
      </c>
      <c r="J137" s="50" cm="1">
        <f t="array" ref="J137">Common_InputFunctions.Utility_LookupValueInTableTwoColumns(D137,E137,Table_SourceData_WasteSolid_WasteTreatmentEFs[Treatment type t],Table_SourceData_WasteSolid_WasteTreatmentEFs[Waste type w],Table_SourceData_WasteSolid_WasteTreatmentEFs[EFwt])</f>
        <v>1.649</v>
      </c>
      <c r="K137" s="50" cm="1">
        <f t="array" ref="K137">WasteSolid_Equations.VEERG_10_1_1_1__1_EmissionsFromWasteManagement(I137, J137)</f>
        <v>0</v>
      </c>
    </row>
    <row r="138" spans="1:11" ht="20.100000000000001" customHeight="1" x14ac:dyDescent="0.25">
      <c r="D138" s="171" t="str">
        <v>Composting</v>
      </c>
      <c r="E138" s="175" t="str">
        <v>All organic waste</v>
      </c>
      <c r="F138" s="170"/>
      <c r="G138" s="50" t="s">
        <v>856</v>
      </c>
      <c r="H138" s="50" t="str">
        <f t="shared" si="0"/>
        <v>Not used</v>
      </c>
      <c r="I138" s="50">
        <f>SUM(G139:G143)+SUM(H139:H143)</f>
        <v>0</v>
      </c>
      <c r="J138" s="50"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50" cm="1">
        <f t="array" ref="K138">WasteSolid_Equations.VEERG_10_1_1_1__1_EmissionsFromWasteManagement(I138, J138)</f>
        <v>0</v>
      </c>
    </row>
    <row r="139" spans="1:11" ht="20.100000000000001" customHeight="1" x14ac:dyDescent="0.25">
      <c r="D139" s="171" t="str">
        <v>Composting</v>
      </c>
      <c r="E139" s="175" t="str">
        <v>Food waste (including animal carcasses, spoiled animal feed or crop)</v>
      </c>
      <c r="F139" s="170"/>
      <c r="G139" s="50"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50">
        <f t="shared" si="0"/>
        <v>0</v>
      </c>
      <c r="I139" s="50" t="s">
        <v>861</v>
      </c>
      <c r="J139" s="50" t="s">
        <v>856</v>
      </c>
      <c r="K139" s="50" t="s">
        <v>856</v>
      </c>
    </row>
    <row r="140" spans="1:11" ht="20.100000000000001" customHeight="1" x14ac:dyDescent="0.25">
      <c r="D140" s="171" t="str">
        <v>Composting</v>
      </c>
      <c r="E140" s="175" t="str">
        <v>Green waste (including crop residues or prunings)</v>
      </c>
      <c r="F140" s="170"/>
      <c r="G140" s="50"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50">
        <f t="shared" si="0"/>
        <v>0</v>
      </c>
      <c r="I140" s="50" t="s">
        <v>861</v>
      </c>
      <c r="J140" s="50" t="s">
        <v>856</v>
      </c>
      <c r="K140" s="50" t="s">
        <v>856</v>
      </c>
    </row>
    <row r="141" spans="1:11" ht="20.100000000000001" customHeight="1" x14ac:dyDescent="0.25">
      <c r="D141" s="171" t="str">
        <v>Composting</v>
      </c>
      <c r="E141" s="175" t="str">
        <v>Wood</v>
      </c>
      <c r="F141" s="170"/>
      <c r="G141" s="50"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50">
        <f t="shared" si="0"/>
        <v>0</v>
      </c>
      <c r="I141" s="50" t="s">
        <v>861</v>
      </c>
      <c r="J141" s="50" t="s">
        <v>856</v>
      </c>
      <c r="K141" s="50" t="s">
        <v>856</v>
      </c>
    </row>
    <row r="142" spans="1:11" ht="20.100000000000001" customHeight="1" x14ac:dyDescent="0.25">
      <c r="D142" s="171" t="str">
        <v>Composting</v>
      </c>
      <c r="E142" s="175" t="str">
        <v>Sludge</v>
      </c>
      <c r="F142" s="170"/>
      <c r="G142" s="50"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50">
        <f t="shared" si="0"/>
        <v>0</v>
      </c>
      <c r="I142" s="50" t="s">
        <v>861</v>
      </c>
      <c r="J142" s="50" t="s">
        <v>856</v>
      </c>
      <c r="K142" s="50" t="s">
        <v>856</v>
      </c>
    </row>
    <row r="143" spans="1:11" ht="20.100000000000001" customHeight="1" x14ac:dyDescent="0.25">
      <c r="D143" s="171" t="str">
        <v>Composting</v>
      </c>
      <c r="E143" s="175" t="str">
        <v>Paper and cardboard</v>
      </c>
      <c r="F143" s="170"/>
      <c r="G143" s="50"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50">
        <f t="shared" si="0"/>
        <v>0</v>
      </c>
      <c r="I143" s="50" t="s">
        <v>861</v>
      </c>
      <c r="J143" s="50" t="s">
        <v>856</v>
      </c>
      <c r="K143" s="50" t="s">
        <v>856</v>
      </c>
    </row>
    <row r="144" spans="1:11" ht="20.100000000000001" customHeight="1" x14ac:dyDescent="0.25">
      <c r="D144" s="171" t="str">
        <v>Anaerobic digestion</v>
      </c>
      <c r="E144" s="175" t="str">
        <v>All organic waste</v>
      </c>
      <c r="F144" s="170"/>
      <c r="G144" s="50" t="s">
        <v>856</v>
      </c>
      <c r="H144" s="50" t="str">
        <f t="shared" si="0"/>
        <v>Not used</v>
      </c>
      <c r="I144" s="50">
        <f>SUM(G145:G149)+SUM(H145:H149)</f>
        <v>0</v>
      </c>
      <c r="J144" s="50"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50" cm="1">
        <f t="array" ref="K144">WasteSolid_Equations.VEERG_10_1_1_1__1_EmissionsFromWasteManagement(I144, J144)</f>
        <v>0</v>
      </c>
    </row>
    <row r="145" spans="4:11" ht="20.100000000000001" customHeight="1" x14ac:dyDescent="0.25">
      <c r="D145" s="171" t="str">
        <v>Anaerobic digestion</v>
      </c>
      <c r="E145" s="175" t="str">
        <v>Food waste (including animal carcasses, spoiled animal feed or crop)</v>
      </c>
      <c r="F145" s="170"/>
      <c r="G145" s="50"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50">
        <f t="shared" si="0"/>
        <v>0</v>
      </c>
      <c r="I145" s="50" t="s">
        <v>861</v>
      </c>
      <c r="J145" s="50" t="s">
        <v>856</v>
      </c>
      <c r="K145" s="50" t="s">
        <v>856</v>
      </c>
    </row>
    <row r="146" spans="4:11" ht="20.100000000000001" customHeight="1" x14ac:dyDescent="0.25">
      <c r="D146" s="171" t="str">
        <v>Anaerobic digestion</v>
      </c>
      <c r="E146" s="175" t="str">
        <v>Green waste (including crop residues or prunings)</v>
      </c>
      <c r="F146" s="170"/>
      <c r="G146" s="50"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50">
        <f t="shared" si="0"/>
        <v>0</v>
      </c>
      <c r="I146" s="50" t="s">
        <v>861</v>
      </c>
      <c r="J146" s="50" t="s">
        <v>856</v>
      </c>
      <c r="K146" s="50" t="s">
        <v>856</v>
      </c>
    </row>
    <row r="147" spans="4:11" ht="20.100000000000001" customHeight="1" x14ac:dyDescent="0.25">
      <c r="D147" s="171" t="str">
        <v>Anaerobic digestion</v>
      </c>
      <c r="E147" s="175" t="str">
        <v>Wood</v>
      </c>
      <c r="F147" s="170"/>
      <c r="G147" s="50"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50">
        <f t="shared" si="0"/>
        <v>0</v>
      </c>
      <c r="I147" s="50" t="s">
        <v>861</v>
      </c>
      <c r="J147" s="50" t="s">
        <v>856</v>
      </c>
      <c r="K147" s="50" t="s">
        <v>856</v>
      </c>
    </row>
    <row r="148" spans="4:11" ht="20.100000000000001" customHeight="1" x14ac:dyDescent="0.25">
      <c r="D148" s="171" t="str">
        <v>Anaerobic digestion</v>
      </c>
      <c r="E148" s="175" t="str">
        <v>Sludge</v>
      </c>
      <c r="F148" s="170"/>
      <c r="G148" s="50"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50">
        <f t="shared" si="0"/>
        <v>0</v>
      </c>
      <c r="I148" s="50" t="s">
        <v>861</v>
      </c>
      <c r="J148" s="50" t="s">
        <v>856</v>
      </c>
      <c r="K148" s="50" t="s">
        <v>856</v>
      </c>
    </row>
    <row r="149" spans="4:11" ht="20.100000000000001" customHeight="1" x14ac:dyDescent="0.25">
      <c r="D149" s="171" t="str">
        <v>Anaerobic digestion</v>
      </c>
      <c r="E149" s="175" t="str">
        <v>Paper and cardboard</v>
      </c>
      <c r="F149" s="170"/>
      <c r="G149" s="50"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50">
        <f t="shared" si="0"/>
        <v>0</v>
      </c>
      <c r="I149" s="50" t="s">
        <v>861</v>
      </c>
      <c r="J149" s="50" t="s">
        <v>856</v>
      </c>
      <c r="K149" s="50" t="s">
        <v>856</v>
      </c>
    </row>
    <row r="150" spans="4:11" ht="20.100000000000001" customHeight="1" x14ac:dyDescent="0.25"/>
    <row r="151" spans="4:11" ht="20.100000000000001" customHeight="1" x14ac:dyDescent="0.25">
      <c r="D151" s="180" t="s">
        <v>812</v>
      </c>
      <c r="E151" s="181">
        <f>SUM(K116:K149)</f>
        <v>0</v>
      </c>
      <c r="F151" s="182" t="str">
        <f>$E$103</f>
        <v>t CO2e</v>
      </c>
    </row>
    <row r="152" spans="4:11" ht="20.100000000000001" customHeight="1" x14ac:dyDescent="0.25"/>
    <row r="153" spans="4:11" ht="20.100000000000001" customHeight="1" x14ac:dyDescent="0.25"/>
    <row r="154" spans="4:11" ht="20.100000000000001" customHeight="1" x14ac:dyDescent="0.25">
      <c r="D154" s="58" t="s">
        <v>813</v>
      </c>
    </row>
    <row r="155" spans="4:11" ht="20.100000000000001" customHeight="1" x14ac:dyDescent="0.25">
      <c r="D155" s="59" t="s">
        <v>814</v>
      </c>
    </row>
    <row r="156" spans="4:11" ht="20.100000000000001" customHeight="1" x14ac:dyDescent="0.25">
      <c r="D156" s="47" t="s">
        <v>803</v>
      </c>
      <c r="E156" s="47" t="s">
        <v>804</v>
      </c>
      <c r="F156" s="47"/>
      <c r="G156" s="47" t="s">
        <v>857</v>
      </c>
      <c r="H156" s="60" t="s">
        <v>858</v>
      </c>
      <c r="I156" s="60" t="s">
        <v>807</v>
      </c>
      <c r="J156" s="60" t="s">
        <v>859</v>
      </c>
      <c r="K156" s="60" t="s">
        <v>860</v>
      </c>
    </row>
    <row r="157" spans="4:11" ht="20.100000000000001" customHeight="1" x14ac:dyDescent="0.25">
      <c r="D157" s="171" t="str" cm="1">
        <f t="array" ref="D157:D190">Table_SourceData_WasteSolid_WasteTreatmentEFs[Treatment type t]</f>
        <v>Landfill</v>
      </c>
      <c r="E157" s="175" t="str" cm="1">
        <f t="array" ref="E157:E190">Table_SourceData_WasteSolid_WasteTreatmentEFs[Waste type w]</f>
        <v>Food waste (including animal carcasses, spoiled animal feed or crop)</v>
      </c>
      <c r="F157" s="213"/>
      <c r="G157" s="50"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50">
        <f t="shared" ref="H157:H190" si="3">I59</f>
        <v>50</v>
      </c>
      <c r="I157" s="50">
        <f>G157+H157</f>
        <v>150</v>
      </c>
      <c r="J157" s="50" cm="1">
        <f t="array" ref="J157">Common_InputFunctions.Utility_LookupValueInTableTwoColumns(D157,E157,Table_SourceData_WasteSolid_WasteTreatmentEFs[Treatment type t],Table_SourceData_WasteSolid_WasteTreatmentEFs[Waste type w],Table_SourceData_WasteSolid_WasteTreatmentEFs[EFwt])</f>
        <v>2.1</v>
      </c>
      <c r="K157" s="50" cm="1">
        <f t="array" ref="K157">WasteSolid_Equations.VEERG_10_1_1_1__1_EmissionsFromWasteManagement(I157, J157)</f>
        <v>315</v>
      </c>
    </row>
    <row r="158" spans="4:11" ht="20.100000000000001" customHeight="1" x14ac:dyDescent="0.25">
      <c r="D158" s="171" t="str">
        <v>Landfill</v>
      </c>
      <c r="E158" s="175" t="str">
        <v>Paper and cardboard</v>
      </c>
      <c r="F158" s="213"/>
      <c r="G158" s="50"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50">
        <f t="shared" si="3"/>
        <v>0</v>
      </c>
      <c r="I158" s="50">
        <f t="shared" ref="I158:I167" si="4">G158+H158</f>
        <v>0</v>
      </c>
      <c r="J158" s="50" cm="1">
        <f t="array" ref="J158">Common_InputFunctions.Utility_LookupValueInTableTwoColumns(D158,E158,Table_SourceData_WasteSolid_WasteTreatmentEFs[Treatment type t],Table_SourceData_WasteSolid_WasteTreatmentEFs[Waste type w],Table_SourceData_WasteSolid_WasteTreatmentEFs[EFwt])</f>
        <v>3.3</v>
      </c>
      <c r="K158" s="50" cm="1">
        <f t="array" ref="K158">WasteSolid_Equations.VEERG_10_1_1_1__1_EmissionsFromWasteManagement(I158, J158)</f>
        <v>0</v>
      </c>
    </row>
    <row r="159" spans="4:11" ht="20.100000000000001" customHeight="1" x14ac:dyDescent="0.25">
      <c r="D159" s="171" t="str">
        <v>Landfill</v>
      </c>
      <c r="E159" s="175" t="str">
        <v>Green waste (including crop residues or prunings)</v>
      </c>
      <c r="F159" s="213"/>
      <c r="G159" s="50"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50">
        <f t="shared" si="3"/>
        <v>0</v>
      </c>
      <c r="I159" s="50">
        <f t="shared" si="4"/>
        <v>0</v>
      </c>
      <c r="J159" s="50" cm="1">
        <f t="array" ref="J159">Common_InputFunctions.Utility_LookupValueInTableTwoColumns(D159,E159,Table_SourceData_WasteSolid_WasteTreatmentEFs[Treatment type t],Table_SourceData_WasteSolid_WasteTreatmentEFs[Waste type w],Table_SourceData_WasteSolid_WasteTreatmentEFs[EFwt])</f>
        <v>1.6</v>
      </c>
      <c r="K159" s="50" cm="1">
        <f t="array" ref="K159">WasteSolid_Equations.VEERG_10_1_1_1__1_EmissionsFromWasteManagement(I159, J159)</f>
        <v>0</v>
      </c>
    </row>
    <row r="160" spans="4:11" ht="20.100000000000001" customHeight="1" x14ac:dyDescent="0.25">
      <c r="D160" s="171" t="str">
        <v>Landfill</v>
      </c>
      <c r="E160" s="175" t="str">
        <v>Wood</v>
      </c>
      <c r="F160" s="213"/>
      <c r="G160" s="50"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50">
        <f t="shared" si="3"/>
        <v>0</v>
      </c>
      <c r="I160" s="50">
        <f t="shared" si="4"/>
        <v>0</v>
      </c>
      <c r="J160" s="50" cm="1">
        <f t="array" ref="J160">Common_InputFunctions.Utility_LookupValueInTableTwoColumns(D160,E160,Table_SourceData_WasteSolid_WasteTreatmentEFs[Treatment type t],Table_SourceData_WasteSolid_WasteTreatmentEFs[Waste type w],Table_SourceData_WasteSolid_WasteTreatmentEFs[EFwt])</f>
        <v>0.7</v>
      </c>
      <c r="K160" s="50" cm="1">
        <f t="array" ref="K160">WasteSolid_Equations.VEERG_10_1_1_1__1_EmissionsFromWasteManagement(I160, J160)</f>
        <v>0</v>
      </c>
    </row>
    <row r="161" spans="4:11" ht="20.100000000000001" customHeight="1" x14ac:dyDescent="0.25">
      <c r="D161" s="171" t="str">
        <v>Landfill</v>
      </c>
      <c r="E161" s="175" t="str">
        <v>Textiles</v>
      </c>
      <c r="F161" s="213"/>
      <c r="G161" s="50"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50">
        <f t="shared" si="3"/>
        <v>7.0000000000000009</v>
      </c>
      <c r="I161" s="50">
        <f t="shared" si="4"/>
        <v>7.0000000000000009</v>
      </c>
      <c r="J161" s="50" cm="1">
        <f t="array" ref="J161">Common_InputFunctions.Utility_LookupValueInTableTwoColumns(D161,E161,Table_SourceData_WasteSolid_WasteTreatmentEFs[Treatment type t],Table_SourceData_WasteSolid_WasteTreatmentEFs[Waste type w],Table_SourceData_WasteSolid_WasteTreatmentEFs[EFwt])</f>
        <v>2</v>
      </c>
      <c r="K161" s="50" cm="1">
        <f t="array" ref="K161">WasteSolid_Equations.VEERG_10_1_1_1__1_EmissionsFromWasteManagement(I161, J161)</f>
        <v>14.000000000000002</v>
      </c>
    </row>
    <row r="162" spans="4:11" ht="20.100000000000001" customHeight="1" x14ac:dyDescent="0.25">
      <c r="D162" s="171" t="str">
        <v>Landfill</v>
      </c>
      <c r="E162" s="175" t="str">
        <v>Sludge</v>
      </c>
      <c r="F162" s="213"/>
      <c r="G162" s="50"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50">
        <f t="shared" si="3"/>
        <v>0</v>
      </c>
      <c r="I162" s="50">
        <f t="shared" si="4"/>
        <v>0</v>
      </c>
      <c r="J162" s="50" cm="1">
        <f t="array" ref="J162">Common_InputFunctions.Utility_LookupValueInTableTwoColumns(D162,E162,Table_SourceData_WasteSolid_WasteTreatmentEFs[Treatment type t],Table_SourceData_WasteSolid_WasteTreatmentEFs[Waste type w],Table_SourceData_WasteSolid_WasteTreatmentEFs[EFwt])</f>
        <v>0.4</v>
      </c>
      <c r="K162" s="50" cm="1">
        <f t="array" ref="K162">WasteSolid_Equations.VEERG_10_1_1_1__1_EmissionsFromWasteManagement(I162, J162)</f>
        <v>0</v>
      </c>
    </row>
    <row r="163" spans="4:11" ht="20.100000000000001" customHeight="1" x14ac:dyDescent="0.25">
      <c r="D163" s="171" t="str">
        <v>Landfill</v>
      </c>
      <c r="E163" s="175" t="str">
        <v>Rubber and leather</v>
      </c>
      <c r="F163" s="213"/>
      <c r="G163" s="50"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50">
        <f t="shared" si="3"/>
        <v>0</v>
      </c>
      <c r="I163" s="50">
        <f t="shared" si="4"/>
        <v>0</v>
      </c>
      <c r="J163" s="50" cm="1">
        <f t="array" ref="J163">Common_InputFunctions.Utility_LookupValueInTableTwoColumns(D163,E163,Table_SourceData_WasteSolid_WasteTreatmentEFs[Treatment type t],Table_SourceData_WasteSolid_WasteTreatmentEFs[Waste type w],Table_SourceData_WasteSolid_WasteTreatmentEFs[EFwt])</f>
        <v>3.3</v>
      </c>
      <c r="K163" s="50" cm="1">
        <f t="array" ref="K163">WasteSolid_Equations.VEERG_10_1_1_1__1_EmissionsFromWasteManagement(I163, J163)</f>
        <v>0</v>
      </c>
    </row>
    <row r="164" spans="4:11" ht="20.100000000000001" customHeight="1" x14ac:dyDescent="0.25">
      <c r="D164" s="171" t="str">
        <v>Landfill</v>
      </c>
      <c r="E164" s="175" t="str">
        <v>Inert waste (including concrete, metal, plastic or glass)</v>
      </c>
      <c r="F164" s="213"/>
      <c r="G164" s="50"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50">
        <f t="shared" si="3"/>
        <v>0</v>
      </c>
      <c r="I164" s="50">
        <f t="shared" si="4"/>
        <v>0</v>
      </c>
      <c r="J164" s="50" cm="1">
        <f t="array" ref="J164">Common_InputFunctions.Utility_LookupValueInTableTwoColumns(D164,E164,Table_SourceData_WasteSolid_WasteTreatmentEFs[Treatment type t],Table_SourceData_WasteSolid_WasteTreatmentEFs[Waste type w],Table_SourceData_WasteSolid_WasteTreatmentEFs[EFwt])</f>
        <v>0</v>
      </c>
      <c r="K164" s="50" cm="1">
        <f t="array" ref="K164">WasteSolid_Equations.VEERG_10_1_1_1__1_EmissionsFromWasteManagement(I164, J164)</f>
        <v>0</v>
      </c>
    </row>
    <row r="165" spans="4:11" ht="20.100000000000001" customHeight="1" x14ac:dyDescent="0.25">
      <c r="D165" s="171" t="str">
        <v>Landfill</v>
      </c>
      <c r="E165" s="175" t="str">
        <v>Municipal solid waste</v>
      </c>
      <c r="F165" s="213"/>
      <c r="G165" s="50"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50">
        <f t="shared" si="3"/>
        <v>0</v>
      </c>
      <c r="I165" s="50">
        <f t="shared" si="4"/>
        <v>0</v>
      </c>
      <c r="J165" s="50" cm="1">
        <f t="array" ref="J165">Common_InputFunctions.Utility_LookupValueInTableTwoColumns(D165,E165,Table_SourceData_WasteSolid_WasteTreatmentEFs[Treatment type t],Table_SourceData_WasteSolid_WasteTreatmentEFs[Waste type w],Table_SourceData_WasteSolid_WasteTreatmentEFs[EFwt])</f>
        <v>1.6</v>
      </c>
      <c r="K165" s="50" cm="1">
        <f t="array" ref="K165">WasteSolid_Equations.VEERG_10_1_1_1__1_EmissionsFromWasteManagement(I165, J165)</f>
        <v>0</v>
      </c>
    </row>
    <row r="166" spans="4:11" ht="20.100000000000001" customHeight="1" x14ac:dyDescent="0.25">
      <c r="D166" s="171" t="str">
        <v>Landfill</v>
      </c>
      <c r="E166" s="175" t="str">
        <v>Commercial and industrial waste</v>
      </c>
      <c r="F166" s="213"/>
      <c r="G166" s="50"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50">
        <f t="shared" si="3"/>
        <v>0</v>
      </c>
      <c r="I166" s="50">
        <f t="shared" si="4"/>
        <v>0</v>
      </c>
      <c r="J166" s="50" cm="1">
        <f t="array" ref="J166">Common_InputFunctions.Utility_LookupValueInTableTwoColumns(D166,E166,Table_SourceData_WasteSolid_WasteTreatmentEFs[Treatment type t],Table_SourceData_WasteSolid_WasteTreatmentEFs[Waste type w],Table_SourceData_WasteSolid_WasteTreatmentEFs[EFwt])</f>
        <v>1.3</v>
      </c>
      <c r="K166" s="50" cm="1">
        <f t="array" ref="K166">WasteSolid_Equations.VEERG_10_1_1_1__1_EmissionsFromWasteManagement(I166, J166)</f>
        <v>0</v>
      </c>
    </row>
    <row r="167" spans="4:11" ht="20.100000000000001" customHeight="1" x14ac:dyDescent="0.25">
      <c r="D167" s="171" t="str">
        <v>Landfill</v>
      </c>
      <c r="E167" s="175" t="str">
        <v>Construction and demolition waste</v>
      </c>
      <c r="F167" s="213"/>
      <c r="G167" s="50"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50">
        <f t="shared" si="3"/>
        <v>0</v>
      </c>
      <c r="I167" s="50">
        <f t="shared" si="4"/>
        <v>0</v>
      </c>
      <c r="J167" s="50" cm="1">
        <f t="array" ref="J167">Common_InputFunctions.Utility_LookupValueInTableTwoColumns(D167,E167,Table_SourceData_WasteSolid_WasteTreatmentEFs[Treatment type t],Table_SourceData_WasteSolid_WasteTreatmentEFs[Waste type w],Table_SourceData_WasteSolid_WasteTreatmentEFs[EFwt])</f>
        <v>0.2</v>
      </c>
      <c r="K167" s="50" cm="1">
        <f t="array" ref="K167">WasteSolid_Equations.VEERG_10_1_1_1__1_EmissionsFromWasteManagement(I167, J167)</f>
        <v>0</v>
      </c>
    </row>
    <row r="168" spans="4:11" ht="20.100000000000001" customHeight="1" x14ac:dyDescent="0.25">
      <c r="D168" s="171" t="str">
        <v>Incineration</v>
      </c>
      <c r="E168" s="175" t="str">
        <v>Food waste, green waste, wood, sludge</v>
      </c>
      <c r="F168" s="213"/>
      <c r="G168" s="50" t="s">
        <v>856</v>
      </c>
      <c r="H168" s="50" t="str">
        <f t="shared" si="3"/>
        <v>Not used</v>
      </c>
      <c r="I168" s="50">
        <f>SUM(G169:G172)+SUM(H169:H172)</f>
        <v>0</v>
      </c>
      <c r="J168" s="50" cm="1">
        <f t="array" ref="J168">Common_InputFunctions.Utility_LookupValueInTableTwoColumns(D168,E168,Table_SourceData_WasteSolid_WasteTreatmentEFs[Treatment type t],Table_SourceData_WasteSolid_WasteTreatmentEFs[Waste type w],Table_SourceData_WasteSolid_WasteTreatmentEFs[EFwt])</f>
        <v>0</v>
      </c>
      <c r="K168" s="50" cm="1">
        <f t="array" ref="K168">WasteSolid_Equations.VEERG_10_1_1_1__1_EmissionsFromWasteManagement(I168, J168)</f>
        <v>0</v>
      </c>
    </row>
    <row r="169" spans="4:11" ht="20.100000000000001" customHeight="1" x14ac:dyDescent="0.25">
      <c r="D169" s="171" t="str">
        <v>Incineration</v>
      </c>
      <c r="E169" s="175" t="str">
        <v>Food waste (including animal carcasses, spoiled animal feed or crop)</v>
      </c>
      <c r="F169" s="213"/>
      <c r="G169" s="50"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50">
        <f t="shared" si="3"/>
        <v>0</v>
      </c>
      <c r="I169" s="50" t="s">
        <v>861</v>
      </c>
      <c r="J169" s="50" t="s">
        <v>856</v>
      </c>
      <c r="K169" s="50" t="s">
        <v>856</v>
      </c>
    </row>
    <row r="170" spans="4:11" ht="20.100000000000001" customHeight="1" x14ac:dyDescent="0.25">
      <c r="D170" s="171" t="str">
        <v>Incineration</v>
      </c>
      <c r="E170" s="175" t="str">
        <v>Green waste (including crop residues or prunings)</v>
      </c>
      <c r="F170" s="213"/>
      <c r="G170" s="50"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50">
        <f t="shared" si="3"/>
        <v>0</v>
      </c>
      <c r="I170" s="50" t="s">
        <v>861</v>
      </c>
      <c r="J170" s="50" t="s">
        <v>856</v>
      </c>
      <c r="K170" s="50" t="s">
        <v>856</v>
      </c>
    </row>
    <row r="171" spans="4:11" ht="20.100000000000001" customHeight="1" x14ac:dyDescent="0.25">
      <c r="D171" s="171" t="str">
        <v>Incineration</v>
      </c>
      <c r="E171" s="175" t="str">
        <v>Wood</v>
      </c>
      <c r="F171" s="213"/>
      <c r="G171" s="50"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50">
        <f t="shared" si="3"/>
        <v>0</v>
      </c>
      <c r="I171" s="50" t="s">
        <v>861</v>
      </c>
      <c r="J171" s="50" t="s">
        <v>856</v>
      </c>
      <c r="K171" s="50" t="s">
        <v>856</v>
      </c>
    </row>
    <row r="172" spans="4:11" ht="20.100000000000001" customHeight="1" x14ac:dyDescent="0.25">
      <c r="D172" s="171" t="str">
        <v>Incineration</v>
      </c>
      <c r="E172" s="175" t="str">
        <v>Sludge</v>
      </c>
      <c r="F172" s="213"/>
      <c r="G172" s="50"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50">
        <f t="shared" si="3"/>
        <v>0</v>
      </c>
      <c r="I172" s="50" t="s">
        <v>861</v>
      </c>
      <c r="J172" s="50" t="s">
        <v>856</v>
      </c>
      <c r="K172" s="50" t="s">
        <v>856</v>
      </c>
    </row>
    <row r="173" spans="4:11" ht="20.100000000000001" customHeight="1" x14ac:dyDescent="0.25">
      <c r="D173" s="171" t="str">
        <v>Incineration</v>
      </c>
      <c r="E173" s="175" t="str">
        <v>Paper and cardboard</v>
      </c>
      <c r="F173" s="213"/>
      <c r="G173" s="50"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50">
        <f t="shared" si="3"/>
        <v>9</v>
      </c>
      <c r="I173" s="50">
        <f t="shared" ref="I173:I178" si="5">G173+H173</f>
        <v>109</v>
      </c>
      <c r="J173" s="50"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50" cm="1">
        <f t="array" ref="K173">WasteSolid_Equations.VEERG_10_1_1_1__1_EmissionsFromWasteManagement(I173, J173)</f>
        <v>1.8420999999999998</v>
      </c>
    </row>
    <row r="174" spans="4:11" ht="20.100000000000001" customHeight="1" x14ac:dyDescent="0.25">
      <c r="D174" s="171" t="str">
        <v>Incineration</v>
      </c>
      <c r="E174" s="175" t="str">
        <v>Textiles</v>
      </c>
      <c r="F174" s="213"/>
      <c r="G174" s="50"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50">
        <f t="shared" si="3"/>
        <v>0</v>
      </c>
      <c r="I174" s="50">
        <f t="shared" si="5"/>
        <v>0</v>
      </c>
      <c r="J174" s="50"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50" cm="1">
        <f t="array" ref="K174">WasteSolid_Equations.VEERG_10_1_1_1__1_EmissionsFromWasteManagement(I174, J174)</f>
        <v>0</v>
      </c>
    </row>
    <row r="175" spans="4:11" ht="20.100000000000001" customHeight="1" x14ac:dyDescent="0.25">
      <c r="D175" s="171" t="str">
        <v>Incineration</v>
      </c>
      <c r="E175" s="175" t="str">
        <v>Rubber and leather</v>
      </c>
      <c r="F175" s="213"/>
      <c r="G175" s="50"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50">
        <f t="shared" si="3"/>
        <v>0</v>
      </c>
      <c r="I175" s="50">
        <f t="shared" si="5"/>
        <v>0</v>
      </c>
      <c r="J175" s="50" cm="1">
        <f t="array" ref="J175">Common_InputFunctions.Utility_LookupValueInTableTwoColumns(D175,E175,Table_SourceData_WasteSolid_WasteTreatmentEFs[Treatment type t],Table_SourceData_WasteSolid_WasteTreatmentEFs[Waste type w],Table_SourceData_WasteSolid_WasteTreatmentEFs[EFwt])</f>
        <v>0.4919</v>
      </c>
      <c r="K175" s="50" cm="1">
        <f t="array" ref="K175">WasteSolid_Equations.VEERG_10_1_1_1__1_EmissionsFromWasteManagement(I175, J175)</f>
        <v>0</v>
      </c>
    </row>
    <row r="176" spans="4:11" ht="20.100000000000001" customHeight="1" x14ac:dyDescent="0.25">
      <c r="D176" s="171" t="str">
        <v>Incineration</v>
      </c>
      <c r="E176" s="175" t="str">
        <v>Inert waste (including concrete, metal, plastic or glass)</v>
      </c>
      <c r="F176" s="213"/>
      <c r="G176" s="50"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50">
        <f t="shared" si="3"/>
        <v>0</v>
      </c>
      <c r="I176" s="50">
        <f t="shared" si="5"/>
        <v>0</v>
      </c>
      <c r="J176" s="50" cm="1">
        <f t="array" ref="J176">Common_InputFunctions.Utility_LookupValueInTableTwoColumns(D176,E176,Table_SourceData_WasteSolid_WasteTreatmentEFs[Treatment type t],Table_SourceData_WasteSolid_WasteTreatmentEFs[Waste type w],Table_SourceData_WasteSolid_WasteTreatmentEFs[EFwt])</f>
        <v>0.11</v>
      </c>
      <c r="K176" s="50" cm="1">
        <f t="array" ref="K176">WasteSolid_Equations.VEERG_10_1_1_1__1_EmissionsFromWasteManagement(I176, J176)</f>
        <v>0</v>
      </c>
    </row>
    <row r="177" spans="4:11" ht="20.100000000000001" customHeight="1" x14ac:dyDescent="0.25">
      <c r="D177" s="171" t="str">
        <v>Incineration</v>
      </c>
      <c r="E177" s="175" t="str">
        <v>Municipal solid waste</v>
      </c>
      <c r="F177" s="170"/>
      <c r="G177" s="50"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50">
        <f t="shared" si="3"/>
        <v>0</v>
      </c>
      <c r="I177" s="50">
        <f t="shared" si="5"/>
        <v>0</v>
      </c>
      <c r="J177" s="50"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50" cm="1">
        <f t="array" ref="K177">WasteSolid_Equations.VEERG_10_1_1_1__1_EmissionsFromWasteManagement(I177, J177)</f>
        <v>0</v>
      </c>
    </row>
    <row r="178" spans="4:11" ht="20.100000000000001" customHeight="1" x14ac:dyDescent="0.25">
      <c r="D178" s="171" t="str">
        <v>Incineration</v>
      </c>
      <c r="E178" s="175" t="str">
        <v>Commercial and industrial waste</v>
      </c>
      <c r="F178" s="170"/>
      <c r="G178" s="50"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50">
        <f t="shared" si="3"/>
        <v>0</v>
      </c>
      <c r="I178" s="50">
        <f t="shared" si="5"/>
        <v>0</v>
      </c>
      <c r="J178" s="50" cm="1">
        <f t="array" ref="J178">Common_InputFunctions.Utility_LookupValueInTableTwoColumns(D178,E178,Table_SourceData_WasteSolid_WasteTreatmentEFs[Treatment type t],Table_SourceData_WasteSolid_WasteTreatmentEFs[Waste type w],Table_SourceData_WasteSolid_WasteTreatmentEFs[EFwt])</f>
        <v>1.649</v>
      </c>
      <c r="K178" s="50" cm="1">
        <f t="array" ref="K178">WasteSolid_Equations.VEERG_10_1_1_1__1_EmissionsFromWasteManagement(I178, J178)</f>
        <v>0</v>
      </c>
    </row>
    <row r="179" spans="4:11" ht="20.100000000000001" customHeight="1" x14ac:dyDescent="0.25">
      <c r="D179" s="171" t="str">
        <v>Composting</v>
      </c>
      <c r="E179" s="175" t="str">
        <v>All organic waste</v>
      </c>
      <c r="F179" s="170"/>
      <c r="G179" s="50" t="s">
        <v>856</v>
      </c>
      <c r="H179" s="50" t="str">
        <f t="shared" si="3"/>
        <v>Not used</v>
      </c>
      <c r="I179" s="50">
        <f>SUM(G180:G184)+SUM(H180:H184)</f>
        <v>0</v>
      </c>
      <c r="J179" s="50"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50" cm="1">
        <f t="array" ref="K179">WasteSolid_Equations.VEERG_10_1_1_1__1_EmissionsFromWasteManagement(I179, J179)</f>
        <v>0</v>
      </c>
    </row>
    <row r="180" spans="4:11" ht="20.100000000000001" customHeight="1" x14ac:dyDescent="0.25">
      <c r="D180" s="171" t="str">
        <v>Composting</v>
      </c>
      <c r="E180" s="175" t="str">
        <v>Food waste (including animal carcasses, spoiled animal feed or crop)</v>
      </c>
      <c r="F180" s="170"/>
      <c r="G180" s="50"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50">
        <f t="shared" si="3"/>
        <v>0</v>
      </c>
      <c r="I180" s="50" t="s">
        <v>861</v>
      </c>
      <c r="J180" s="50" t="s">
        <v>856</v>
      </c>
      <c r="K180" s="50" t="s">
        <v>856</v>
      </c>
    </row>
    <row r="181" spans="4:11" ht="20.100000000000001" customHeight="1" x14ac:dyDescent="0.25">
      <c r="D181" s="171" t="str">
        <v>Composting</v>
      </c>
      <c r="E181" s="175" t="str">
        <v>Green waste (including crop residues or prunings)</v>
      </c>
      <c r="F181" s="170"/>
      <c r="G181" s="50"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50">
        <f t="shared" si="3"/>
        <v>0</v>
      </c>
      <c r="I181" s="50" t="s">
        <v>861</v>
      </c>
      <c r="J181" s="50" t="s">
        <v>856</v>
      </c>
      <c r="K181" s="50" t="s">
        <v>856</v>
      </c>
    </row>
    <row r="182" spans="4:11" ht="20.100000000000001" customHeight="1" x14ac:dyDescent="0.25">
      <c r="D182" s="171" t="str">
        <v>Composting</v>
      </c>
      <c r="E182" s="175" t="str">
        <v>Wood</v>
      </c>
      <c r="F182" s="170"/>
      <c r="G182" s="50"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50">
        <f t="shared" si="3"/>
        <v>0</v>
      </c>
      <c r="I182" s="50" t="s">
        <v>861</v>
      </c>
      <c r="J182" s="50" t="s">
        <v>856</v>
      </c>
      <c r="K182" s="50" t="s">
        <v>856</v>
      </c>
    </row>
    <row r="183" spans="4:11" ht="20.100000000000001" customHeight="1" x14ac:dyDescent="0.25">
      <c r="D183" s="171" t="str">
        <v>Composting</v>
      </c>
      <c r="E183" s="175" t="str">
        <v>Sludge</v>
      </c>
      <c r="F183" s="170"/>
      <c r="G183" s="50"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50">
        <f t="shared" si="3"/>
        <v>0</v>
      </c>
      <c r="I183" s="50" t="s">
        <v>861</v>
      </c>
      <c r="J183" s="50" t="s">
        <v>856</v>
      </c>
      <c r="K183" s="50" t="s">
        <v>856</v>
      </c>
    </row>
    <row r="184" spans="4:11" ht="20.100000000000001" customHeight="1" x14ac:dyDescent="0.25">
      <c r="D184" s="171" t="str">
        <v>Composting</v>
      </c>
      <c r="E184" s="175" t="str">
        <v>Paper and cardboard</v>
      </c>
      <c r="F184" s="170"/>
      <c r="G184" s="50"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50">
        <f t="shared" si="3"/>
        <v>0</v>
      </c>
      <c r="I184" s="50" t="s">
        <v>861</v>
      </c>
      <c r="J184" s="50" t="s">
        <v>856</v>
      </c>
      <c r="K184" s="50" t="s">
        <v>856</v>
      </c>
    </row>
    <row r="185" spans="4:11" ht="20.100000000000001" customHeight="1" x14ac:dyDescent="0.25">
      <c r="D185" s="171" t="str">
        <v>Anaerobic digestion</v>
      </c>
      <c r="E185" s="175" t="str">
        <v>All organic waste</v>
      </c>
      <c r="F185" s="170"/>
      <c r="G185" s="50" t="s">
        <v>856</v>
      </c>
      <c r="H185" s="50" t="str">
        <f t="shared" si="3"/>
        <v>Not used</v>
      </c>
      <c r="I185" s="50">
        <f>SUM(G186:G190)+SUM(H186:H190)</f>
        <v>0</v>
      </c>
      <c r="J185" s="50"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50" cm="1">
        <f t="array" ref="K185">WasteSolid_Equations.VEERG_10_1_1_1__1_EmissionsFromWasteManagement(I185, J185)</f>
        <v>0</v>
      </c>
    </row>
    <row r="186" spans="4:11" ht="20.100000000000001" customHeight="1" x14ac:dyDescent="0.25">
      <c r="D186" s="171" t="str">
        <v>Anaerobic digestion</v>
      </c>
      <c r="E186" s="175" t="str">
        <v>Food waste (including animal carcasses, spoiled animal feed or crop)</v>
      </c>
      <c r="F186" s="170"/>
      <c r="G186" s="50"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50">
        <f t="shared" si="3"/>
        <v>0</v>
      </c>
      <c r="I186" s="50" t="s">
        <v>861</v>
      </c>
      <c r="J186" s="50" t="s">
        <v>856</v>
      </c>
      <c r="K186" s="50" t="s">
        <v>856</v>
      </c>
    </row>
    <row r="187" spans="4:11" ht="20.100000000000001" customHeight="1" x14ac:dyDescent="0.25">
      <c r="D187" s="171" t="str">
        <v>Anaerobic digestion</v>
      </c>
      <c r="E187" s="175" t="str">
        <v>Green waste (including crop residues or prunings)</v>
      </c>
      <c r="F187" s="170"/>
      <c r="G187" s="50"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50">
        <f t="shared" si="3"/>
        <v>0</v>
      </c>
      <c r="I187" s="50" t="s">
        <v>861</v>
      </c>
      <c r="J187" s="50" t="s">
        <v>856</v>
      </c>
      <c r="K187" s="50" t="s">
        <v>856</v>
      </c>
    </row>
    <row r="188" spans="4:11" ht="20.100000000000001" customHeight="1" x14ac:dyDescent="0.25">
      <c r="D188" s="171" t="str">
        <v>Anaerobic digestion</v>
      </c>
      <c r="E188" s="175" t="str">
        <v>Wood</v>
      </c>
      <c r="F188" s="170"/>
      <c r="G188" s="50"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50">
        <f t="shared" si="3"/>
        <v>0</v>
      </c>
      <c r="I188" s="50" t="s">
        <v>861</v>
      </c>
      <c r="J188" s="50" t="s">
        <v>856</v>
      </c>
      <c r="K188" s="50" t="s">
        <v>856</v>
      </c>
    </row>
    <row r="189" spans="4:11" ht="20.100000000000001" customHeight="1" x14ac:dyDescent="0.25">
      <c r="D189" s="171" t="str">
        <v>Anaerobic digestion</v>
      </c>
      <c r="E189" s="175" t="str">
        <v>Sludge</v>
      </c>
      <c r="F189" s="170"/>
      <c r="G189" s="50"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50">
        <f t="shared" si="3"/>
        <v>0</v>
      </c>
      <c r="I189" s="50" t="s">
        <v>861</v>
      </c>
      <c r="J189" s="50" t="s">
        <v>856</v>
      </c>
      <c r="K189" s="50" t="s">
        <v>856</v>
      </c>
    </row>
    <row r="190" spans="4:11" ht="20.100000000000001" customHeight="1" x14ac:dyDescent="0.25">
      <c r="D190" s="171" t="str">
        <v>Anaerobic digestion</v>
      </c>
      <c r="E190" s="175" t="str">
        <v>Paper and cardboard</v>
      </c>
      <c r="F190" s="170"/>
      <c r="G190" s="50"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50">
        <f t="shared" si="3"/>
        <v>0</v>
      </c>
      <c r="I190" s="50" t="s">
        <v>861</v>
      </c>
      <c r="J190" s="50" t="s">
        <v>856</v>
      </c>
      <c r="K190" s="50" t="s">
        <v>856</v>
      </c>
    </row>
    <row r="191" spans="4:11" ht="20.100000000000001" customHeight="1" x14ac:dyDescent="0.25"/>
    <row r="192" spans="4:11" ht="20.100000000000001" customHeight="1" x14ac:dyDescent="0.25">
      <c r="D192" s="180" t="s">
        <v>812</v>
      </c>
      <c r="E192" s="181">
        <f>SUM(K157:K190)</f>
        <v>330.84210000000002</v>
      </c>
      <c r="F192" s="182"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51"/>
    </row>
    <row r="342" spans="8:8" x14ac:dyDescent="0.25">
      <c r="H342" s="151"/>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U90"/>
  <sheetViews>
    <sheetView showGridLines="0" topLeftCell="C61" zoomScale="85" zoomScaleNormal="85" workbookViewId="0">
      <selection activeCell="H103" sqref="H10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3:21" ht="30" customHeight="1" x14ac:dyDescent="0.35">
      <c r="C1" s="1" t="s">
        <v>866</v>
      </c>
      <c r="D1" s="1"/>
      <c r="E1" s="1"/>
      <c r="F1" s="1"/>
      <c r="G1" s="1"/>
      <c r="H1" s="1"/>
      <c r="I1" s="1"/>
      <c r="J1" s="1"/>
      <c r="K1" s="1"/>
      <c r="M1" s="1"/>
      <c r="N1" s="1"/>
      <c r="O1" s="1"/>
      <c r="P1" s="1"/>
      <c r="Q1" s="1"/>
      <c r="R1" s="1"/>
      <c r="S1" s="1"/>
      <c r="T1" s="1"/>
      <c r="U1" s="1"/>
    </row>
    <row r="2" spans="3:21" ht="20.100000000000001" customHeight="1" x14ac:dyDescent="0.25">
      <c r="C2" s="2"/>
      <c r="D2" s="2"/>
      <c r="E2" s="2"/>
      <c r="F2" s="2"/>
      <c r="G2" s="2"/>
      <c r="H2" s="2"/>
      <c r="I2" s="2"/>
      <c r="J2" s="2"/>
      <c r="K2" s="2"/>
      <c r="M2" s="2"/>
      <c r="N2" s="2"/>
      <c r="O2" s="2"/>
      <c r="P2" s="2"/>
      <c r="Q2" s="2"/>
      <c r="R2" s="2"/>
      <c r="S2" s="2"/>
      <c r="T2" s="2"/>
      <c r="U2" s="2"/>
    </row>
    <row r="3" spans="3:21" ht="20.100000000000001" customHeight="1" x14ac:dyDescent="0.25">
      <c r="C3" s="5"/>
      <c r="D3" s="5" t="s">
        <v>415</v>
      </c>
      <c r="E3" s="5"/>
      <c r="F3" s="5"/>
      <c r="G3" s="5"/>
      <c r="H3" s="5"/>
      <c r="I3" s="5"/>
      <c r="J3" s="5"/>
      <c r="K3" s="5"/>
      <c r="M3" s="5"/>
      <c r="N3" s="5" t="s">
        <v>416</v>
      </c>
      <c r="O3" s="5"/>
      <c r="P3" s="5"/>
      <c r="Q3" s="5"/>
      <c r="R3" s="5"/>
      <c r="S3" s="5"/>
      <c r="T3" s="5"/>
      <c r="U3" s="5"/>
    </row>
    <row r="4" spans="3:21" ht="20.100000000000001" customHeight="1" x14ac:dyDescent="0.25"/>
    <row r="5" spans="3: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3: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3:21" ht="20.100000000000001" customHeight="1" x14ac:dyDescent="0.25">
      <c r="D7" s="176" t="s">
        <v>635</v>
      </c>
      <c r="E7" s="176" t="str" cm="1">
        <f t="array" aca="1" ref="E7" ca="1">Common_InputFunctions.Utility_DisplayFunctionName(E19)</f>
        <v>=Fertiliser_Equations_OrganicN2O.VEERG_5_2_1_1__1_OrganicFertiliserApplicationN2OEmissions</v>
      </c>
      <c r="N7" s="176" t="s">
        <v>635</v>
      </c>
      <c r="O7" s="176" t="str" cm="1">
        <f t="array" aca="1" ref="O7" ca="1">Common_InputFunctions.Utility_DisplayFunctionName(O19)</f>
        <v>=Fertiliser_Equations_OrganicN2O.VEERG_5_2_1_1__1_OrganicFertiliserApplicationN2OEmissions</v>
      </c>
    </row>
    <row r="8" spans="3:21" ht="20.100000000000001" customHeight="1" x14ac:dyDescent="0.25"/>
    <row r="9" spans="3:21" ht="20.100000000000001" customHeight="1" x14ac:dyDescent="0.25"/>
    <row r="10" spans="3:21" ht="20.100000000000001" customHeight="1" x14ac:dyDescent="0.25">
      <c r="D10" s="28" t="s">
        <v>636</v>
      </c>
      <c r="E10" s="8" t="str" cm="1">
        <f t="array" ref="E10">Fertiliser_Equations_OrganicN2O.VEERG_5_2_1_1__1_OrganicFertiliserApplicationN2OEmissions_Variable()</f>
        <v>E_N2O</v>
      </c>
      <c r="N10" s="28" t="s">
        <v>636</v>
      </c>
      <c r="O10" s="8" t="str" cm="1">
        <f t="array" ref="O10">Fertiliser_Equations_OrganicN2O.VEERG_5_2_1_1__1_OrganicFertiliserApplicationN2OEmissions_Variable()</f>
        <v>E_N2O</v>
      </c>
    </row>
    <row r="11" spans="3:21" ht="20.100000000000001" customHeight="1" x14ac:dyDescent="0.25">
      <c r="D11" s="28" t="s">
        <v>97</v>
      </c>
      <c r="E11" s="13" t="str" cm="1">
        <f t="array" ref="E11">Fertiliser_Equations_OrganicN2O.VEERG_5_2_1_1__1_OrganicFertiliserApplicationN2OEmissions_Unit()</f>
        <v>t N2O</v>
      </c>
      <c r="N11" s="28" t="s">
        <v>97</v>
      </c>
      <c r="O11" s="13" t="str" cm="1">
        <f t="array" ref="O11">Fertiliser_Equations_OrganicN2O.VEERG_5_2_1_1__1_OrganicFertiliserApplicationN2OEmissions_Unit()</f>
        <v>t N2O</v>
      </c>
    </row>
    <row r="12" spans="3:21" ht="20.100000000000001" customHeight="1" x14ac:dyDescent="0.25"/>
    <row r="13" spans="3:21" ht="20.100000000000001" customHeight="1" x14ac:dyDescent="0.25">
      <c r="D13" s="171" t="str" cm="1">
        <f t="array" ref="D13:E17">_xlfn.CHOOSECOLS(Fertiliser_Equations_OrganicN2O.VEERG_5_2_1_1__1_OrganicFertiliserApplicationN2OEmissions_Arguments(), 1, 2)</f>
        <v>MNSoil_jf</v>
      </c>
      <c r="E13" s="175" t="str">
        <v>mass of nitrogen in organic fertiliser type f applied to production system j</v>
      </c>
      <c r="F13" s="209"/>
      <c r="G13" s="170"/>
      <c r="H13" s="171" t="str" cm="1">
        <f t="array" ref="H13:I17">_xlfn.CHOOSECOLS(Fertiliser_Equations_OrganicN2O.VEERG_5_2_1_1__1_OrganicFertiliserApplicationN2OEmissions_Arguments(), 3,4)</f>
        <v>kg N</v>
      </c>
      <c r="I13" s="173" t="str">
        <v>Calculated from 5.2.1.1 (2)</v>
      </c>
      <c r="J13" s="171">
        <f>X_Cell_ManureSentOffsite_MassNitrogenManure_Method1</f>
        <v>1000</v>
      </c>
      <c r="N13" s="171" t="str" cm="1">
        <f t="array" ref="N13:O17">_xlfn.CHOOSECOLS(Fertiliser_Equations_OrganicN2O.VEERG_5_2_1_1__1_OrganicFertiliserApplicationN2OEmissions_Arguments(), 1, 2)</f>
        <v>MNSoil_jf</v>
      </c>
      <c r="O13" s="175" t="str">
        <v>mass of nitrogen in organic fertiliser type f applied to production system j</v>
      </c>
      <c r="P13" s="209"/>
      <c r="Q13" s="170"/>
      <c r="R13" s="171" t="str" cm="1">
        <f t="array" ref="R13:S17">_xlfn.CHOOSECOLS(Fertiliser_Equations_OrganicN2O.VEERG_5_2_1_1__1_OrganicFertiliserApplicationN2OEmissions_Arguments(), 3,4)</f>
        <v>kg N</v>
      </c>
      <c r="S13" s="173" t="str">
        <v>Calculated from 5.2.1.1 (2)</v>
      </c>
      <c r="T13" s="171">
        <f>X_Cell_ManureSentOffsite_MassNitrogenManure_Method2</f>
        <v>2000</v>
      </c>
    </row>
    <row r="14" spans="3:21" ht="20.100000000000001" customHeight="1" x14ac:dyDescent="0.25">
      <c r="D14" s="171" t="str">
        <v>EF_N2Oi</v>
      </c>
      <c r="E14" s="175" t="str">
        <v>emission factor for direct nitrous oxide emissions from organic fertiliser applied to soils and aquatic systems in climate zone i</v>
      </c>
      <c r="F14" s="209"/>
      <c r="G14" s="170"/>
      <c r="H14" s="171" t="str">
        <v>kg N2O-N/kg N</v>
      </c>
      <c r="I14" s="173" t="str">
        <v>Lookup</v>
      </c>
      <c r="J14" s="171">
        <f>Common_InputFunctions.Utility_LookupValueInTableNumber(J17, Table_SourceData_Common_EFOrganicFertCropResidues[Climate Zone],Table_SourceData_Common_EFOrganicFertCropResidues[EFNi &amp; EFN2Oi])</f>
        <v>5.0000000000000001E-3</v>
      </c>
      <c r="N14" s="171" t="str">
        <v>EF_N2Oi</v>
      </c>
      <c r="O14" s="175" t="str">
        <v>emission factor for direct nitrous oxide emissions from organic fertiliser applied to soils and aquatic systems in climate zone i</v>
      </c>
      <c r="P14" s="209"/>
      <c r="Q14" s="170"/>
      <c r="R14" s="171" t="str">
        <v>kg N2O-N/kg N</v>
      </c>
      <c r="S14" s="173" t="str">
        <v>Lookup</v>
      </c>
      <c r="T14" s="171"/>
    </row>
    <row r="15" spans="3:21" ht="20.100000000000001" customHeight="1" x14ac:dyDescent="0.25">
      <c r="D15" s="171" t="str">
        <v>C_N2O</v>
      </c>
      <c r="E15" s="175" t="str">
        <v>factor to convert elemental mass of nitrous oxide to molecular mass</v>
      </c>
      <c r="F15" s="209"/>
      <c r="G15" s="170"/>
      <c r="H15" s="171" t="str">
        <v/>
      </c>
      <c r="I15" s="173" t="str">
        <v>Constant</v>
      </c>
      <c r="J15" s="171">
        <f>Common_InputFunctions.Utility_LookupValueInTableNumber("N2O",Table_GasToMolecularConversionFactor[Gas],Table_GasToMolecularConversionFactor[Conversion factor combined])</f>
        <v>1.5714285714285714</v>
      </c>
      <c r="N15" s="171" t="str">
        <v>C_N2O</v>
      </c>
      <c r="O15" s="175" t="str">
        <v>factor to convert elemental mass of nitrous oxide to molecular mass</v>
      </c>
      <c r="P15" s="209"/>
      <c r="Q15" s="170"/>
      <c r="R15" s="171" t="str">
        <v/>
      </c>
      <c r="S15" s="173" t="str">
        <v>Constant</v>
      </c>
      <c r="T15" s="171"/>
    </row>
    <row r="16" spans="3:21" ht="20.100000000000001" customHeight="1" x14ac:dyDescent="0.25">
      <c r="D16" s="171" t="str">
        <v>j</v>
      </c>
      <c r="E16" s="175" t="str">
        <v>Production system</v>
      </c>
      <c r="F16" s="209"/>
      <c r="G16" s="170"/>
      <c r="H16" s="171" t="str">
        <v/>
      </c>
      <c r="I16" s="172" t="str">
        <v>Input</v>
      </c>
      <c r="J16" s="171" t="str">
        <f>X_Cell_ManureSentOffsite_ManureProductionSystem</f>
        <v>Crop</v>
      </c>
      <c r="N16" s="171" t="str">
        <v>j</v>
      </c>
      <c r="O16" s="175" t="str">
        <v>Production system</v>
      </c>
      <c r="P16" s="209"/>
      <c r="Q16" s="170"/>
      <c r="R16" s="171" t="str">
        <v/>
      </c>
      <c r="S16" s="172" t="str">
        <v>Input</v>
      </c>
      <c r="T16" s="171"/>
    </row>
    <row r="17" spans="4:20" ht="20.100000000000001" customHeight="1" x14ac:dyDescent="0.25">
      <c r="D17" s="171" t="str">
        <v>i</v>
      </c>
      <c r="E17" s="175" t="str">
        <v>Wet or dry climate zone</v>
      </c>
      <c r="F17" s="209"/>
      <c r="G17" s="170"/>
      <c r="H17" s="171" t="str">
        <v/>
      </c>
      <c r="I17" s="172" t="str">
        <v>Input</v>
      </c>
      <c r="J17" s="171" t="str">
        <f>X_Cell_Site_WetOrDryClimateZone</f>
        <v>Dry climate zone</v>
      </c>
      <c r="N17" s="171" t="str">
        <v>i</v>
      </c>
      <c r="O17" s="175" t="str">
        <v>Wet or dry climate zone</v>
      </c>
      <c r="P17" s="209"/>
      <c r="Q17" s="170"/>
      <c r="R17" s="171" t="str">
        <v/>
      </c>
      <c r="S17" s="172" t="str">
        <v>Input</v>
      </c>
      <c r="T17" s="171"/>
    </row>
    <row r="18" spans="4:20" ht="20.100000000000001" customHeight="1" x14ac:dyDescent="0.25"/>
    <row r="19" spans="4:20" ht="20.100000000000001" customHeight="1" x14ac:dyDescent="0.25">
      <c r="D19" s="180" t="s">
        <v>755</v>
      </c>
      <c r="E19" s="181" cm="1">
        <f t="array" ref="E19">Fertiliser_Equations_OrganicN2O.VEERG_5_2_1_1__1_OrganicFertiliserApplicationN2OEmissions(J13,J14,J15)</f>
        <v>7.8571428571428577E-3</v>
      </c>
      <c r="F19" s="182" t="str">
        <f>$E$11</f>
        <v>t N2O</v>
      </c>
      <c r="N19" s="180" t="s">
        <v>755</v>
      </c>
      <c r="O19" s="181" cm="1">
        <f t="array" ref="O19">Fertiliser_Equations_OrganicN2O.VEERG_5_2_1_1__1_OrganicFertiliserApplicationN2OEmissions(T13,J14,J15)</f>
        <v>1.5714285714285715E-2</v>
      </c>
      <c r="P19" s="182" t="str">
        <f>$E$11</f>
        <v>t N2O</v>
      </c>
    </row>
    <row r="20" spans="4:20" ht="20.100000000000001" customHeight="1" x14ac:dyDescent="0.25"/>
    <row r="21" spans="4:20" ht="20.100000000000001" customHeight="1" x14ac:dyDescent="0.25"/>
    <row r="22" spans="4:20" ht="20.100000000000001" customHeight="1" x14ac:dyDescent="0.25"/>
    <row r="23" spans="4:20" ht="20.100000000000001" customHeight="1" x14ac:dyDescent="0.25"/>
    <row r="24" spans="4:2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4: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4:20" ht="20.100000000000001" customHeight="1" x14ac:dyDescent="0.25">
      <c r="D26" s="176" t="s">
        <v>635</v>
      </c>
      <c r="E26" s="176" t="str" cm="1">
        <f t="array" aca="1" ref="E26" ca="1">Common_InputFunctions.Utility_DisplayFunctionName(E35)</f>
        <v>=Fertiliser_Equations_AtmosphericDeposition.VEERG_5_4_1_3__2_MassOfNitrogenVolatilisedFromOrganicFertiliser</v>
      </c>
      <c r="N26" s="176" t="s">
        <v>635</v>
      </c>
      <c r="O26" s="176" t="str" cm="1">
        <f t="array" aca="1" ref="O26" ca="1">Common_InputFunctions.Utility_DisplayFunctionName(O35)</f>
        <v>=Fertiliser_Equations_AtmosphericDeposition.VEERG_5_4_1_3__2_MassOfNitrogenVolatilisedFromOrganicFertiliser</v>
      </c>
    </row>
    <row r="27" spans="4:20" ht="20.100000000000001" customHeight="1" x14ac:dyDescent="0.25"/>
    <row r="28" spans="4:20" ht="20.100000000000001" customHeight="1" x14ac:dyDescent="0.25"/>
    <row r="29" spans="4:20" ht="20.100000000000001" customHeight="1" x14ac:dyDescent="0.25">
      <c r="D29" s="28" t="s">
        <v>636</v>
      </c>
      <c r="E29" s="8" t="str" cm="1">
        <f t="array" ref="E29">Fertiliser_Equations_AtmosphericDeposition.VEERG_5_4_1_3__2_MassOfNitrogenVolatilisedFromOrganicFertiliser_Variable()</f>
        <v>M_volorganicjf</v>
      </c>
      <c r="N29" s="28" t="s">
        <v>636</v>
      </c>
      <c r="O29" s="8" t="str" cm="1">
        <f t="array" ref="O29">Fertiliser_Equations_AtmosphericDeposition.VEERG_5_4_1_3__2_MassOfNitrogenVolatilisedFromOrganicFertiliser_Variable()</f>
        <v>M_volorganicjf</v>
      </c>
    </row>
    <row r="30" spans="4:20" ht="20.100000000000001" customHeight="1" x14ac:dyDescent="0.25">
      <c r="D30" s="28" t="s">
        <v>97</v>
      </c>
      <c r="E30" s="13" t="str" cm="1">
        <f t="array" ref="E30">Fertiliser_Equations_AtmosphericDeposition.VEERG_5_4_1_3__2_MassOfNitrogenVolatilisedFromOrganicFertiliser_Unit()</f>
        <v>kg N</v>
      </c>
      <c r="N30" s="28" t="s">
        <v>97</v>
      </c>
      <c r="O30" s="13" t="str" cm="1">
        <f t="array" ref="O30">Fertiliser_Equations_AtmosphericDeposition.VEERG_5_4_1_3__2_MassOfNitrogenVolatilisedFromOrganicFertiliser_Unit()</f>
        <v>kg N</v>
      </c>
    </row>
    <row r="31" spans="4:20" ht="20.100000000000001" customHeight="1" x14ac:dyDescent="0.25"/>
    <row r="32" spans="4:20" ht="20.100000000000001" customHeight="1" x14ac:dyDescent="0.25">
      <c r="D32" s="171" t="str" cm="1">
        <f t="array" ref="D32:E33">_xlfn.CHOOSECOLS(Fertiliser_Equations_AtmosphericDeposition.VEERG_5_4_1_3__2_MassOfNitrogenVolatilisedFromOrganicFertiliser_Arguments(), 1, 2)</f>
        <v>MNSoil_jf</v>
      </c>
      <c r="E32" s="171" t="str">
        <v>mass of nitrogen in organic fertiliser type f applied to production system j</v>
      </c>
      <c r="F32" s="171"/>
      <c r="G32" s="171" t="str" cm="1">
        <f t="array" ref="G32:H33">_xlfn.CHOOSECOLS(Fertiliser_Equations_AtmosphericDeposition.VEERG_5_4_1_3__2_MassOfNitrogenVolatilisedFromOrganicFertiliser_Arguments(), 3,4)</f>
        <v>kg N</v>
      </c>
      <c r="H32" s="173" t="str">
        <v>Calculated from 5.2.1.1 (2)</v>
      </c>
      <c r="I32" s="171">
        <f>X_Cell_ManureSentOffsite_MassNitrogenManure_Method1</f>
        <v>1000</v>
      </c>
      <c r="N32" s="171" t="str" cm="1">
        <f t="array" ref="N32:O33">_xlfn.CHOOSECOLS(Fertiliser_Equations_AtmosphericDeposition.VEERG_5_4_1_3__2_MassOfNitrogenVolatilisedFromOrganicFertiliser_Arguments(), 1, 2)</f>
        <v>MNSoil_jf</v>
      </c>
      <c r="O32" s="171" t="str">
        <v>mass of nitrogen in organic fertiliser type f applied to production system j</v>
      </c>
      <c r="P32" s="171"/>
      <c r="Q32" s="171" t="str" cm="1">
        <f t="array" ref="Q32:R33">_xlfn.CHOOSECOLS(Fertiliser_Equations_AtmosphericDeposition.VEERG_5_4_1_3__2_MassOfNitrogenVolatilisedFromOrganicFertiliser_Arguments(), 3,4)</f>
        <v>kg N</v>
      </c>
      <c r="R32" s="173" t="str">
        <v>Calculated from 5.2.1.1 (2)</v>
      </c>
      <c r="S32" s="171">
        <f>X_Cell_ManureSentOffsite_MassNitrogenManure_Method2</f>
        <v>2000</v>
      </c>
    </row>
    <row r="33" spans="4:19" ht="20.100000000000001" customHeight="1" x14ac:dyDescent="0.25">
      <c r="D33" s="171" t="str">
        <v>FracGASM_soil</v>
      </c>
      <c r="E33" s="171" t="str">
        <v>fraction of organic fertiliser N that volatilises</v>
      </c>
      <c r="F33" s="171"/>
      <c r="G33" s="171" t="str">
        <v>(kg NH3-N + NOx-N)/kg N</v>
      </c>
      <c r="H33" s="173" t="str">
        <v>Constant</v>
      </c>
      <c r="I33" s="171">
        <f>'Constants - Fertiliser'!$E$73</f>
        <v>0.21</v>
      </c>
      <c r="N33" s="171" t="str">
        <v>FracGASM_soil</v>
      </c>
      <c r="O33" s="171" t="str">
        <v>fraction of organic fertiliser N that volatilises</v>
      </c>
      <c r="P33" s="171"/>
      <c r="Q33" s="171" t="str">
        <v>(kg NH3-N + NOx-N)/kg N</v>
      </c>
      <c r="R33" s="173" t="str">
        <v>Constant</v>
      </c>
      <c r="S33" s="171"/>
    </row>
    <row r="34" spans="4:19" ht="20.100000000000001" customHeight="1" x14ac:dyDescent="0.25"/>
    <row r="35" spans="4:19" ht="20.100000000000001" customHeight="1" x14ac:dyDescent="0.25">
      <c r="D35" s="178" t="s">
        <v>757</v>
      </c>
      <c r="E35" s="101" cm="1">
        <f t="array" ref="E35">Fertiliser_Equations_AtmosphericDeposition.VEERG_5_4_1_3__2_MassOfNitrogenVolatilisedFromOrganicFertiliser(I32,I33)</f>
        <v>210</v>
      </c>
      <c r="F35" s="179" t="str">
        <f>E30</f>
        <v>kg N</v>
      </c>
      <c r="N35" s="178" t="s">
        <v>757</v>
      </c>
      <c r="O35" s="101" cm="1">
        <f t="array" ref="O35">Fertiliser_Equations_AtmosphericDeposition.VEERG_5_4_1_3__2_MassOfNitrogenVolatilisedFromOrganicFertiliser(S32,I33)</f>
        <v>420</v>
      </c>
      <c r="P35" s="179" t="str">
        <f>O30</f>
        <v>kg N</v>
      </c>
    </row>
    <row r="36" spans="4:19" ht="20.100000000000001" customHeight="1" x14ac:dyDescent="0.25"/>
    <row r="37" spans="4:19" ht="20.100000000000001" customHeight="1" x14ac:dyDescent="0.25"/>
    <row r="38" spans="4:19" ht="20.100000000000001" customHeight="1" x14ac:dyDescent="0.25"/>
    <row r="39" spans="4:19" ht="20.100000000000001" customHeight="1" x14ac:dyDescent="0.25"/>
    <row r="40" spans="4: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4: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4:19" ht="20.100000000000001" customHeight="1" x14ac:dyDescent="0.25">
      <c r="D42" s="176" t="s">
        <v>635</v>
      </c>
      <c r="E42" s="176" t="str" cm="1">
        <f t="array" aca="1" ref="E42" ca="1">Common_InputFunctions.Utility_DisplayFunctionName(E55)</f>
        <v>=Fertiliser_Equations_AtmosphericDeposition.VEERG_5_4_1_3__1_OrganicFertiliserAtmosphericDepositionN2OEmissions</v>
      </c>
      <c r="N42" s="176" t="s">
        <v>635</v>
      </c>
      <c r="O42" s="176" t="str" cm="1">
        <f t="array" aca="1" ref="O42" ca="1">Common_InputFunctions.Utility_DisplayFunctionName(O55)</f>
        <v>=Fertiliser_Equations_AtmosphericDeposition.VEERG_5_4_1_3__1_OrganicFertiliserAtmosphericDepositionN2OEmissions</v>
      </c>
    </row>
    <row r="43" spans="4:19" ht="20.100000000000001" customHeight="1" x14ac:dyDescent="0.25"/>
    <row r="44" spans="4:19" ht="20.100000000000001" customHeight="1" x14ac:dyDescent="0.25"/>
    <row r="45" spans="4:19" ht="20.100000000000001" customHeight="1" x14ac:dyDescent="0.25">
      <c r="D45" s="28" t="s">
        <v>636</v>
      </c>
      <c r="E45" s="8" t="str" cm="1">
        <f t="array" ref="E45">Fertiliser_Equations_AtmosphericDeposition.VEERG_5_4_1_3__1_OrganicFertiliserAtmosphericDepositionN2OEmissions_Variable()</f>
        <v>E_adorganic</v>
      </c>
      <c r="N45" s="28" t="s">
        <v>636</v>
      </c>
      <c r="O45" s="8" t="str" cm="1">
        <f t="array" ref="O45">Fertiliser_Equations_AtmosphericDeposition.VEERG_5_4_1_3__1_OrganicFertiliserAtmosphericDepositionN2OEmissions_Variable()</f>
        <v>E_adorganic</v>
      </c>
    </row>
    <row r="46" spans="4:19" ht="20.100000000000001" customHeight="1" x14ac:dyDescent="0.25">
      <c r="D46" s="28" t="s">
        <v>97</v>
      </c>
      <c r="E46" s="13" t="str" cm="1">
        <f t="array" ref="E46">Fertiliser_Equations_AtmosphericDeposition.VEERG_5_4_1_3__1_OrganicFertiliserAtmosphericDepositionN2OEmissions_Unit()</f>
        <v>t N2O</v>
      </c>
      <c r="N46" s="28" t="s">
        <v>97</v>
      </c>
      <c r="O46" s="13" t="str" cm="1">
        <f t="array" ref="O46">Fertiliser_Equations_AtmosphericDeposition.VEERG_5_4_1_3__1_OrganicFertiliserAtmosphericDepositionN2OEmissions_Unit()</f>
        <v>t N2O</v>
      </c>
    </row>
    <row r="47" spans="4:19" ht="20.100000000000001" customHeight="1" x14ac:dyDescent="0.25"/>
    <row r="48" spans="4:19" ht="20.100000000000001" customHeight="1" x14ac:dyDescent="0.25">
      <c r="D48" s="171" t="str" cm="1">
        <f t="array" ref="D48:E53">_xlfn.CHOOSECOLS(Fertiliser_Equations_AtmosphericDeposition.VEERG_5_4_1_3__1_OrganicFertiliserAtmosphericDepositionN2OEmissions_Arguments(), 1, 2)</f>
        <v>M_volorganicjf</v>
      </c>
      <c r="E48" s="175" t="str">
        <v>mass of nitrogen volatilised from organic fertiliser applied to production system</v>
      </c>
      <c r="F48" s="170"/>
      <c r="G48" s="171" t="str" cm="1">
        <f t="array" ref="G48:H53">_xlfn.CHOOSECOLS(Fertiliser_Equations_AtmosphericDeposition.VEERG_5_4_1_3__1_OrganicFertiliserAtmosphericDepositionN2OEmissions_Arguments(), 3,4)</f>
        <v>kg N</v>
      </c>
      <c r="H48" s="173" t="str">
        <v>Calculated from 5.4.1.3 (2)</v>
      </c>
      <c r="I48" s="171">
        <f>E35</f>
        <v>210</v>
      </c>
      <c r="N48" s="171" t="str" cm="1">
        <f t="array" ref="N48:O53">_xlfn.CHOOSECOLS(Fertiliser_Equations_AtmosphericDeposition.VEERG_5_4_1_3__1_OrganicFertiliserAtmosphericDepositionN2OEmissions_Arguments(), 1, 2)</f>
        <v>M_volorganicjf</v>
      </c>
      <c r="O48" s="175" t="str">
        <v>mass of nitrogen volatilised from organic fertiliser applied to production system</v>
      </c>
      <c r="P48" s="170"/>
      <c r="Q48" s="171" t="str" cm="1">
        <f t="array" ref="Q48:R53">_xlfn.CHOOSECOLS(Fertiliser_Equations_AtmosphericDeposition.VEERG_5_4_1_3__1_OrganicFertiliserAtmosphericDepositionN2OEmissions_Arguments(), 3,4)</f>
        <v>kg N</v>
      </c>
      <c r="R48" s="173" t="str">
        <v>Calculated from 5.4.1.3 (2)</v>
      </c>
      <c r="S48" s="171">
        <f>O35</f>
        <v>420</v>
      </c>
    </row>
    <row r="49" spans="4:19" ht="20.100000000000001" customHeight="1" x14ac:dyDescent="0.25">
      <c r="D49" s="171" t="str">
        <v>EF_N2Oj</v>
      </c>
      <c r="E49" s="175" t="str">
        <v>emission factor for atmospheric deposition in production system j</v>
      </c>
      <c r="F49" s="170"/>
      <c r="G49" s="171" t="str">
        <v>kg N2O-N/kg N</v>
      </c>
      <c r="H49" s="173" t="str">
        <v>Constant</v>
      </c>
      <c r="I49" s="171">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71" t="str">
        <v>EF_N2Oj</v>
      </c>
      <c r="O49" s="175" t="str">
        <v>emission factor for atmospheric deposition in production system j</v>
      </c>
      <c r="P49" s="170"/>
      <c r="Q49" s="171" t="str">
        <v>kg N2O-N/kg N</v>
      </c>
      <c r="R49" s="173" t="str">
        <v>Constant</v>
      </c>
      <c r="S49" s="171"/>
    </row>
    <row r="50" spans="4:19" ht="20.100000000000001" customHeight="1" x14ac:dyDescent="0.25">
      <c r="D50" s="171" t="str">
        <v>C_N2O</v>
      </c>
      <c r="E50" s="175" t="str">
        <v>factor to convert elemental mass of nitrous oxide to molecular mass</v>
      </c>
      <c r="F50" s="170"/>
      <c r="G50" s="171" t="str">
        <v/>
      </c>
      <c r="H50" s="173" t="str">
        <v>Constant</v>
      </c>
      <c r="I50" s="210">
        <f>Common_InputFunctions.Utility_LookupValueInTableNumber("N2O",Table_GasToMolecularConversionFactor[Gas],Table_GasToMolecularConversionFactor[Conversion factor combined])</f>
        <v>1.5714285714285714</v>
      </c>
      <c r="N50" s="171" t="str">
        <v>C_N2O</v>
      </c>
      <c r="O50" s="175" t="str">
        <v>factor to convert elemental mass of nitrous oxide to molecular mass</v>
      </c>
      <c r="P50" s="170"/>
      <c r="Q50" s="171" t="str">
        <v/>
      </c>
      <c r="R50" s="173" t="str">
        <v>Constant</v>
      </c>
      <c r="S50" s="210"/>
    </row>
    <row r="51" spans="4:19" ht="20.100000000000001" customHeight="1" x14ac:dyDescent="0.25">
      <c r="D51" s="171" t="str">
        <v>j</v>
      </c>
      <c r="E51" s="175" t="str">
        <v>Production system</v>
      </c>
      <c r="F51" s="170"/>
      <c r="G51" s="171" t="str">
        <v/>
      </c>
      <c r="H51" s="172" t="str">
        <v>Input</v>
      </c>
      <c r="I51" s="171" t="str">
        <f>X_Cell_ManureSentOffsite_ManureProductionSystem</f>
        <v>Crop</v>
      </c>
      <c r="N51" s="171" t="str">
        <v>j</v>
      </c>
      <c r="O51" s="175" t="str">
        <v>Production system</v>
      </c>
      <c r="P51" s="170"/>
      <c r="Q51" s="171" t="str">
        <v/>
      </c>
      <c r="R51" s="172" t="str">
        <v>Input</v>
      </c>
      <c r="S51" s="171"/>
    </row>
    <row r="52" spans="4:19" ht="20.100000000000001" customHeight="1" x14ac:dyDescent="0.25">
      <c r="D52" s="171" t="str">
        <v>ir</v>
      </c>
      <c r="E52" s="175" t="str">
        <v>irrigation method</v>
      </c>
      <c r="F52" s="170"/>
      <c r="G52" s="171" t="str">
        <v/>
      </c>
      <c r="H52" s="172" t="str">
        <v>Input</v>
      </c>
      <c r="I52" s="171" t="str">
        <f>X_Cell_ManureSentOffsite_ManureIrrigationMethod</f>
        <v>Sprinkler irrigation</v>
      </c>
      <c r="N52" s="171" t="str">
        <v>ir</v>
      </c>
      <c r="O52" s="175" t="str">
        <v>irrigation method</v>
      </c>
      <c r="P52" s="170"/>
      <c r="Q52" s="171" t="str">
        <v/>
      </c>
      <c r="R52" s="172" t="str">
        <v>Input</v>
      </c>
      <c r="S52" s="171"/>
    </row>
    <row r="53" spans="4:19" ht="20.100000000000001" customHeight="1" x14ac:dyDescent="0.25">
      <c r="D53" s="171" t="str">
        <v>r</v>
      </c>
      <c r="E53" s="175" t="str">
        <v>rainfall region</v>
      </c>
      <c r="F53" s="170"/>
      <c r="G53" s="171" t="str">
        <v/>
      </c>
      <c r="H53" s="172" t="str">
        <v>Input</v>
      </c>
      <c r="I53" s="171" t="str">
        <f>X_Cell_Site_RainfallZone</f>
        <v>Low rainfall</v>
      </c>
      <c r="N53" s="171" t="str">
        <v>r</v>
      </c>
      <c r="O53" s="175" t="str">
        <v>rainfall region</v>
      </c>
      <c r="P53" s="170"/>
      <c r="Q53" s="171" t="str">
        <v/>
      </c>
      <c r="R53" s="172" t="str">
        <v>Input</v>
      </c>
      <c r="S53" s="171"/>
    </row>
    <row r="54" spans="4:19" ht="20.100000000000001" customHeight="1" x14ac:dyDescent="0.25"/>
    <row r="55" spans="4:19" ht="20.100000000000001" customHeight="1" x14ac:dyDescent="0.25">
      <c r="D55" s="180" t="s">
        <v>771</v>
      </c>
      <c r="E55" s="181" cm="1">
        <f t="array" ref="E55">Fertiliser_Equations_AtmosphericDeposition.VEERG_5_4_1_3__1_OrganicFertiliserAtmosphericDepositionN2OEmissions(I48,I49,I50)</f>
        <v>2.31E-3</v>
      </c>
      <c r="F55" s="182" t="str">
        <f>$E$46</f>
        <v>t N2O</v>
      </c>
      <c r="N55" s="180" t="s">
        <v>771</v>
      </c>
      <c r="O55" s="181" cm="1">
        <f t="array" ref="O55">Fertiliser_Equations_AtmosphericDeposition.VEERG_5_4_1_3__1_OrganicFertiliserAtmosphericDepositionN2OEmissions(S48,I49,I50)</f>
        <v>4.62E-3</v>
      </c>
      <c r="P55" s="182"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6" t="s">
        <v>635</v>
      </c>
      <c r="E61" s="176" t="str" cm="1">
        <f t="array" aca="1" ref="E61" ca="1">Common_InputFunctions.Utility_DisplayFunctionName(E74)</f>
        <v>=Fertiliser_Equations_LeachingAndRunoff.VEERG_5_5_1_1__3_MassOfNitrogenLeachedFromOrganicFertiliser</v>
      </c>
      <c r="N61" s="176" t="s">
        <v>635</v>
      </c>
      <c r="O61" s="176"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8" t="s">
        <v>636</v>
      </c>
      <c r="E64" s="8" t="str" cm="1">
        <f t="array" ref="E64">Fertiliser_Equations_LeachingAndRunoff.VEERG_5_5_1_1__3_MassOfNitrogenLeachedFromOrganicFertiliser_Variable()</f>
        <v>M_leachorganicj</v>
      </c>
      <c r="N64" s="28" t="s">
        <v>636</v>
      </c>
      <c r="O64" s="8" t="str" cm="1">
        <f t="array" ref="O64">Fertiliser_Equations_LeachingAndRunoff.VEERG_5_5_1_1__3_MassOfNitrogenLeachedFromOrganicFertiliser_Variable()</f>
        <v>M_leachorganicj</v>
      </c>
    </row>
    <row r="65" spans="4:19" ht="20.100000000000001" customHeight="1" x14ac:dyDescent="0.25">
      <c r="D65" s="28" t="s">
        <v>97</v>
      </c>
      <c r="E65" s="13" t="str" cm="1">
        <f t="array" ref="E65">Fertiliser_Equations_LeachingAndRunoff.VEERG_5_5_1_1__3_MassOfNitrogenLeachedFromOrganicFertiliser_Unit()</f>
        <v>kg N</v>
      </c>
      <c r="N65" s="28"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71" t="str" cm="1">
        <f t="array" ref="D67:E72">_xlfn.CHOOSECOLS(Fertiliser_Equations_LeachingAndRunoff.VEERG_5_5_1_1__3_MassOfNitrogenLeachedFromOrganicFertiliser_Arguments(), 1, 2)</f>
        <v>MNSoil_jf</v>
      </c>
      <c r="E67" s="175" t="str">
        <v>mass of nitrogen in organic fertiliser</v>
      </c>
      <c r="F67" s="170"/>
      <c r="G67" s="171" t="str" cm="1">
        <f t="array" ref="G67:H72">_xlfn.CHOOSECOLS(Fertiliser_Equations_LeachingAndRunoff.VEERG_5_5_1_1__3_MassOfNitrogenLeachedFromOrganicFertiliser_Arguments(), 3,4)</f>
        <v>kg N</v>
      </c>
      <c r="H67" s="173" t="str">
        <v>Calculated from 5.2.1.1 (2)</v>
      </c>
      <c r="I67" s="171">
        <f>X_Cell_ManureSentOffsite_MassNitrogenManure_Method1</f>
        <v>1000</v>
      </c>
      <c r="N67" s="171" t="str" cm="1">
        <f t="array" ref="N67:O72">_xlfn.CHOOSECOLS(Fertiliser_Equations_LeachingAndRunoff.VEERG_5_5_1_1__3_MassOfNitrogenLeachedFromOrganicFertiliser_Arguments(), 1, 2)</f>
        <v>MNSoil_jf</v>
      </c>
      <c r="O67" s="175" t="str">
        <v>mass of nitrogen in organic fertiliser</v>
      </c>
      <c r="P67" s="170"/>
      <c r="Q67" s="171" t="str" cm="1">
        <f t="array" ref="Q67:R72">_xlfn.CHOOSECOLS(Fertiliser_Equations_LeachingAndRunoff.VEERG_5_5_1_1__3_MassOfNitrogenLeachedFromOrganicFertiliser_Arguments(), 3,4)</f>
        <v>kg N</v>
      </c>
      <c r="R67" s="173" t="str">
        <v>Calculated from 5.2.1.1 (2)</v>
      </c>
      <c r="S67" s="171">
        <f>X_Cell_ManureSentOffsite_MassNitrogenManure_Method2</f>
        <v>2000</v>
      </c>
    </row>
    <row r="68" spans="4:19" ht="20.100000000000001" customHeight="1" x14ac:dyDescent="0.25">
      <c r="D68" s="171" t="str">
        <v>FracWETj</v>
      </c>
      <c r="E68" s="175" t="str">
        <v>fraction of N available for leaching and runoff</v>
      </c>
      <c r="F68" s="170"/>
      <c r="G68" s="171" t="str">
        <v>fraction</v>
      </c>
      <c r="H68" s="173" t="str">
        <v>Constant</v>
      </c>
      <c r="I68" s="171">
        <f>Common_InputFunctions.CommonCropping_GetFracWET(I70,I72,#REF!,#REF!,Table_SourceData_FracWETIrrigation[Irrigation type i],Table_SourceData_FracWETIrrigation[FracWET])</f>
        <v>1</v>
      </c>
      <c r="N68" s="171" t="str">
        <v>FracWETj</v>
      </c>
      <c r="O68" s="175" t="str">
        <v>fraction of N available for leaching and runoff</v>
      </c>
      <c r="P68" s="170"/>
      <c r="Q68" s="171" t="str">
        <v>fraction</v>
      </c>
      <c r="R68" s="173" t="str">
        <v>Constant</v>
      </c>
      <c r="S68" s="171"/>
    </row>
    <row r="69" spans="4:19" ht="20.100000000000001" customHeight="1" x14ac:dyDescent="0.25">
      <c r="D69" s="171" t="str">
        <v>FracLEACH</v>
      </c>
      <c r="E69" s="175" t="str">
        <v>fraction of N that is lost through leaching and runoff</v>
      </c>
      <c r="F69" s="170"/>
      <c r="G69" s="171" t="str">
        <v>fraction</v>
      </c>
      <c r="H69" s="173" t="str">
        <v>Constant</v>
      </c>
      <c r="I69" s="171">
        <f>'Constants - Fertiliser'!$E$78</f>
        <v>0.24</v>
      </c>
      <c r="N69" s="171" t="str">
        <v>FracLEACH</v>
      </c>
      <c r="O69" s="175" t="str">
        <v>fraction of N that is lost through leaching and runoff</v>
      </c>
      <c r="P69" s="170"/>
      <c r="Q69" s="171" t="str">
        <v>fraction</v>
      </c>
      <c r="R69" s="173" t="str">
        <v>Constant</v>
      </c>
      <c r="S69" s="171"/>
    </row>
    <row r="70" spans="4:19" ht="20.100000000000001" customHeight="1" x14ac:dyDescent="0.25">
      <c r="D70" s="171" t="str">
        <v>z</v>
      </c>
      <c r="E70" s="175" t="str">
        <v>location in leaching zone</v>
      </c>
      <c r="F70" s="170"/>
      <c r="G70" s="171" t="str">
        <v/>
      </c>
      <c r="H70" s="172" t="str">
        <v>Input</v>
      </c>
      <c r="I70" s="171" t="str">
        <f>X_Cell_Site_LeachingZone</f>
        <v>NO - Not in leaching zone</v>
      </c>
      <c r="N70" s="171" t="str">
        <v>z</v>
      </c>
      <c r="O70" s="175" t="str">
        <v>location in leaching zone</v>
      </c>
      <c r="P70" s="170"/>
      <c r="Q70" s="171" t="str">
        <v/>
      </c>
      <c r="R70" s="172" t="str">
        <v>Input</v>
      </c>
      <c r="S70" s="171"/>
    </row>
    <row r="71" spans="4:19" ht="20.100000000000001" customHeight="1" x14ac:dyDescent="0.25">
      <c r="D71" s="171" t="str">
        <v>j</v>
      </c>
      <c r="E71" s="175" t="str">
        <v>production system</v>
      </c>
      <c r="F71" s="170"/>
      <c r="G71" s="171" t="str">
        <v/>
      </c>
      <c r="H71" s="172" t="str">
        <v>Input</v>
      </c>
      <c r="I71" s="171" t="str">
        <f>X_Cell_ManureSentOffsite_ManureProductionSystem</f>
        <v>Crop</v>
      </c>
      <c r="N71" s="171" t="str">
        <v>j</v>
      </c>
      <c r="O71" s="175" t="str">
        <v>production system</v>
      </c>
      <c r="P71" s="170"/>
      <c r="Q71" s="171" t="str">
        <v/>
      </c>
      <c r="R71" s="172" t="str">
        <v>Input</v>
      </c>
      <c r="S71" s="171"/>
    </row>
    <row r="72" spans="4:19" ht="20.100000000000001" customHeight="1" x14ac:dyDescent="0.25">
      <c r="D72" s="171" t="str">
        <v>ir</v>
      </c>
      <c r="E72" s="175" t="str">
        <v>irrigation method</v>
      </c>
      <c r="F72" s="170"/>
      <c r="G72" s="171" t="str">
        <v/>
      </c>
      <c r="H72" s="172" t="str">
        <v>Input</v>
      </c>
      <c r="I72" s="171" t="str">
        <f>X_Cell_ManureSentOffsite_ManureIrrigationMethod</f>
        <v>Sprinkler irrigation</v>
      </c>
      <c r="N72" s="171" t="str">
        <v>ir</v>
      </c>
      <c r="O72" s="175" t="str">
        <v>irrigation method</v>
      </c>
      <c r="P72" s="170"/>
      <c r="Q72" s="171" t="str">
        <v/>
      </c>
      <c r="R72" s="172" t="str">
        <v>Input</v>
      </c>
      <c r="S72" s="171"/>
    </row>
    <row r="73" spans="4:19" ht="20.100000000000001" customHeight="1" x14ac:dyDescent="0.25"/>
    <row r="74" spans="4:19" ht="20.100000000000001" customHeight="1" x14ac:dyDescent="0.25">
      <c r="D74" s="178" t="s">
        <v>772</v>
      </c>
      <c r="E74" s="101" cm="1">
        <f t="array" ref="E74">Fertiliser_Equations_LeachingAndRunoff.VEERG_5_5_1_1__3_MassOfNitrogenLeachedFromOrganicFertiliser(I67,I68,I69)</f>
        <v>240</v>
      </c>
      <c r="F74" s="179" t="str">
        <f>$E$65</f>
        <v>kg N</v>
      </c>
      <c r="N74" s="178" t="s">
        <v>772</v>
      </c>
      <c r="O74" s="101" cm="1">
        <f t="array" ref="O74">Fertiliser_Equations_LeachingAndRunoff.VEERG_5_5_1_1__3_MassOfNitrogenLeachedFromOrganicFertiliser(S67,I68,I69)</f>
        <v>480</v>
      </c>
      <c r="P74" s="179"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6" t="s">
        <v>635</v>
      </c>
      <c r="E79" s="176" t="str" cm="1">
        <f t="array" aca="1" ref="E79" ca="1">Common_InputFunctions.Utility_DisplayFunctionName(E90)</f>
        <v>=Fertiliser_Equations_LeachingAndRunoff.VEERG_5_5_1_1__1_FertiliserLeachingAndRunoffN2OEmissions</v>
      </c>
      <c r="N79" s="176" t="s">
        <v>635</v>
      </c>
      <c r="O79" s="176" t="str" cm="1">
        <f t="array" aca="1" ref="O79" ca="1">Common_InputFunctions.Utility_DisplayFunctionName(O90)</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8" t="s">
        <v>636</v>
      </c>
      <c r="E82" s="8" t="str" cm="1">
        <f t="array" ref="E82">Fertiliser_Equations_LeachingAndRunoff.VEERG_5_5_1_1__1_FertiliserLeachingAndRunoffN2OEmissions_Variable()</f>
        <v>E_fertleach</v>
      </c>
      <c r="N82" s="28" t="s">
        <v>636</v>
      </c>
      <c r="O82" s="8" t="str" cm="1">
        <f t="array" ref="O82">Fertiliser_Equations_LeachingAndRunoff.VEERG_5_5_1_1__1_FertiliserLeachingAndRunoffN2OEmissions_Variable()</f>
        <v>E_fertleach</v>
      </c>
    </row>
    <row r="83" spans="4:20" x14ac:dyDescent="0.25">
      <c r="D83" s="28" t="s">
        <v>97</v>
      </c>
      <c r="E83" s="13" t="str" cm="1">
        <f t="array" ref="E83">Fertiliser_Equations_LeachingAndRunoff.VEERG_5_5_1_1__1_FertiliserLeachingAndRunoffN2OEmissions_Unit()</f>
        <v>t N2O</v>
      </c>
      <c r="N83" s="28" t="s">
        <v>97</v>
      </c>
      <c r="O83" s="13" t="str" cm="1">
        <f t="array" ref="O83">Fertiliser_Equations_LeachingAndRunoff.VEERG_5_5_1_1__1_FertiliserLeachingAndRunoffN2OEmissions_Unit()</f>
        <v>t N2O</v>
      </c>
    </row>
    <row r="85" spans="4:20" x14ac:dyDescent="0.25">
      <c r="D85" s="171" t="str" cm="1">
        <f t="array" ref="D85:E88">_xlfn.CHOOSECOLS(Fertiliser_Equations_LeachingAndRunoff.VEERG_5_5_1_1__1_FertiliserLeachingAndRunoffN2OEmissions_Arguments(), 1, 2)</f>
        <v>M_leachinorganicj</v>
      </c>
      <c r="E85" s="175" t="str">
        <v>mass of nitrogen lost through leaching and runoff from inorganic fertiliser application in production system j</v>
      </c>
      <c r="F85" s="209"/>
      <c r="G85" s="170"/>
      <c r="H85" s="171" t="str" cm="1">
        <f t="array" ref="H85:I88">_xlfn.CHOOSECOLS(Fertiliser_Equations_LeachingAndRunoff.VEERG_5_5_1_1__1_FertiliserLeachingAndRunoffN2OEmissions_Arguments(), 3,4)</f>
        <v>kg N</v>
      </c>
      <c r="I85" s="173" t="str">
        <v>Calculated from 5.5.1.1 (2)</v>
      </c>
      <c r="J85" s="171">
        <v>0</v>
      </c>
      <c r="N85" s="171" t="str" cm="1">
        <f t="array" ref="N85:O88">_xlfn.CHOOSECOLS(Fertiliser_Equations_LeachingAndRunoff.VEERG_5_5_1_1__1_FertiliserLeachingAndRunoffN2OEmissions_Arguments(), 1, 2)</f>
        <v>M_leachinorganicj</v>
      </c>
      <c r="O85" s="175" t="str">
        <v>mass of nitrogen lost through leaching and runoff from inorganic fertiliser application in production system j</v>
      </c>
      <c r="P85" s="209"/>
      <c r="Q85" s="170"/>
      <c r="R85" s="171" t="str" cm="1">
        <f t="array" ref="R85:S88">_xlfn.CHOOSECOLS(Fertiliser_Equations_LeachingAndRunoff.VEERG_5_5_1_1__1_FertiliserLeachingAndRunoffN2OEmissions_Arguments(), 3,4)</f>
        <v>kg N</v>
      </c>
      <c r="S85" s="173" t="str">
        <v>Calculated from 5.5.1.1 (2)</v>
      </c>
      <c r="T85" s="171"/>
    </row>
    <row r="86" spans="4:20" x14ac:dyDescent="0.25">
      <c r="D86" s="171" t="str">
        <v>M_leachorganicj</v>
      </c>
      <c r="E86" s="175" t="str">
        <v>mass of nitrogen lost through leaching and runoff from organic fertiliser application</v>
      </c>
      <c r="F86" s="209"/>
      <c r="G86" s="170"/>
      <c r="H86" s="171" t="str">
        <v>kg N</v>
      </c>
      <c r="I86" s="173" t="str">
        <v>Calculated from 5.5.1.1 (3)</v>
      </c>
      <c r="J86" s="171">
        <f>E74</f>
        <v>240</v>
      </c>
      <c r="N86" s="171" t="str">
        <v>M_leachorganicj</v>
      </c>
      <c r="O86" s="175" t="str">
        <v>mass of nitrogen lost through leaching and runoff from organic fertiliser application</v>
      </c>
      <c r="P86" s="209"/>
      <c r="Q86" s="170"/>
      <c r="R86" s="171" t="str">
        <v>kg N</v>
      </c>
      <c r="S86" s="173" t="str">
        <v>Calculated from 5.5.1.1 (3)</v>
      </c>
      <c r="T86" s="171">
        <f>O74</f>
        <v>480</v>
      </c>
    </row>
    <row r="87" spans="4:20" x14ac:dyDescent="0.25">
      <c r="D87" s="171" t="str">
        <v>EF_leach</v>
      </c>
      <c r="E87" s="175" t="str">
        <v>emission factor for nitrogen leaching and runoff</v>
      </c>
      <c r="F87" s="209"/>
      <c r="G87" s="170"/>
      <c r="H87" s="171" t="str">
        <v>kg N2O-N/kg N</v>
      </c>
      <c r="I87" s="173" t="str">
        <v>Constant</v>
      </c>
      <c r="J87" s="171">
        <f>'Constants - Fertiliser'!$E$83</f>
        <v>1.0999999999999999E-2</v>
      </c>
      <c r="N87" s="171" t="str">
        <v>EF_leach</v>
      </c>
      <c r="O87" s="175" t="str">
        <v>emission factor for nitrogen leaching and runoff</v>
      </c>
      <c r="P87" s="209"/>
      <c r="Q87" s="170"/>
      <c r="R87" s="171" t="str">
        <v>kg N2O-N/kg N</v>
      </c>
      <c r="S87" s="173" t="str">
        <v>Constant</v>
      </c>
      <c r="T87" s="171"/>
    </row>
    <row r="88" spans="4:20" x14ac:dyDescent="0.25">
      <c r="D88" s="171" t="str">
        <v>C_N2O</v>
      </c>
      <c r="E88" s="175" t="str">
        <v>factor to convert elemental mass of nitrous oxide to molecular mass</v>
      </c>
      <c r="F88" s="209"/>
      <c r="G88" s="170"/>
      <c r="H88" s="171" t="str">
        <v/>
      </c>
      <c r="I88" s="173" t="str">
        <v>Constant</v>
      </c>
      <c r="J88" s="210">
        <f>Common_InputFunctions.Utility_LookupValueInTableNumber("N2O",Table_GasToMolecularConversionFactor[Gas],Table_GasToMolecularConversionFactor[Conversion factor combined])</f>
        <v>1.5714285714285714</v>
      </c>
      <c r="N88" s="171" t="str">
        <v>C_N2O</v>
      </c>
      <c r="O88" s="175" t="str">
        <v>factor to convert elemental mass of nitrous oxide to molecular mass</v>
      </c>
      <c r="P88" s="209"/>
      <c r="Q88" s="170"/>
      <c r="R88" s="171" t="str">
        <v/>
      </c>
      <c r="S88" s="173" t="str">
        <v>Constant</v>
      </c>
      <c r="T88" s="210"/>
    </row>
    <row r="90" spans="4:20" ht="23.25" x14ac:dyDescent="0.25">
      <c r="D90" s="180" t="s">
        <v>773</v>
      </c>
      <c r="E90" s="181" cm="1">
        <f t="array" ref="E90">Fertiliser_Equations_LeachingAndRunoff.VEERG_5_5_1_1__1_FertiliserLeachingAndRunoffN2OEmissions(J85,J86,J87,J88)</f>
        <v>4.1485714285714277E-3</v>
      </c>
      <c r="F90" s="182" t="str">
        <f>$E$83</f>
        <v>t N2O</v>
      </c>
      <c r="N90" s="180" t="s">
        <v>773</v>
      </c>
      <c r="O90" s="181" cm="1">
        <f t="array" ref="O90">Fertiliser_Equations_LeachingAndRunoff.VEERG_5_5_1_1__1_FertiliserLeachingAndRunoffN2OEmissions(J85,T86,J87,J88)</f>
        <v>8.2971428571428554E-3</v>
      </c>
      <c r="P90" s="182" t="str">
        <f>$E$83</f>
        <v>t N2O</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85" zoomScaleNormal="85" workbookViewId="0">
      <selection activeCell="E77" sqref="E77"/>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719</v>
      </c>
    </row>
    <row r="2" spans="1:18" s="2" customFormat="1" ht="20.100000000000001" customHeight="1" x14ac:dyDescent="0.25"/>
    <row r="3" spans="1:18" ht="20.100000000000001" customHeight="1" x14ac:dyDescent="0.25">
      <c r="A3" s="16" t="str">
        <f>HYPERLINK("#'Home'!A1", "Home")</f>
        <v>Home</v>
      </c>
      <c r="C3" s="5"/>
      <c r="D3" s="5" t="s">
        <v>415</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6" t="s">
        <v>635</v>
      </c>
      <c r="E7" s="176" t="str" cm="1">
        <f t="array" aca="1" ref="E7" ca="1">Common_InputFunctions.Utility_DisplayFunctionName(N25)</f>
        <v>=Fuel_Equations.VEERG_8_1_1_1__1_FuelCombustionTransport</v>
      </c>
      <c r="K7" s="176" t="s">
        <v>635</v>
      </c>
      <c r="L7" s="176"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6"/>
      <c r="L8" s="176"/>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4" t="str">
        <f>HYPERLINK("#'8.1.1.1-2 Transport fuel'!A1", "8.1.1.1-2 Transport fuel")</f>
        <v>8.1.1.1-2 Transport fuel</v>
      </c>
      <c r="D11" s="28" t="s">
        <v>636</v>
      </c>
      <c r="E11" s="8" t="str" cm="1">
        <f t="array" ref="E11">Fuel_Equations.VEERG_8_1_1_1__1_FuelCombustionTransport_Variable()</f>
        <v>E_g</v>
      </c>
      <c r="K11" s="28" t="s">
        <v>636</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_xlfn.CHOOSECOLS(Fuel_Equations.VEERG_8_1_1_1__1_FuelCombustionTransport_Arguments(), 1,2)</f>
        <v>Q_Transtq</v>
      </c>
      <c r="E14" s="175" t="str">
        <v>Amount of fuel type q combusted for transport energy purposes</v>
      </c>
      <c r="F14" s="170"/>
      <c r="G14" s="171" t="str" cm="1">
        <f t="array" ref="G14:H20">_xlfn.CHOOSECOLS(Fuel_Equations.VEERG_8_1_1_1__1_FuelCombustionTransport_Arguments(), 3,4)</f>
        <v>Varies based on fuel type: kL, m3, GJ</v>
      </c>
      <c r="H14" s="172" t="str">
        <v>Input</v>
      </c>
      <c r="I14" s="174" t="str" cm="1">
        <f t="array" aca="1" ref="I14" ca="1">HYPERLINK(Common_InputFunctions.Utility_SourceHyperlink($D$22), $D$22)</f>
        <v>Table_E_g</v>
      </c>
      <c r="K14" s="171" t="str" cm="1">
        <f t="array" ref="K14:L16">_xlfn.CHOOSECOLS(Scope3_Equations.VEERG_15_11_1_1__2_UpstreamTransportFuelEmissions_Arguments(),1,2)</f>
        <v>Q_Transq</v>
      </c>
      <c r="L14" s="171" t="str">
        <v>amount of fuel q combusted for transport energy purposes</v>
      </c>
      <c r="M14" s="171"/>
      <c r="N14" s="171" t="str" cm="1">
        <f t="array" ref="N14:O16">_xlfn.CHOOSECOLS(Scope3_Equations.VEERG_15_11_1_1__2_UpstreamTransportFuelEmissions_Arguments(),3,4)</f>
        <v>kL</v>
      </c>
      <c r="O14" s="172" t="str">
        <v>Input</v>
      </c>
      <c r="P14" s="174" t="str" cm="1">
        <f t="array" aca="1" ref="P14" ca="1">HYPERLINK(Common_InputFunctions.Utility_SourceHyperlink($D$22), $D$22)</f>
        <v>Table_E_g</v>
      </c>
      <c r="Q14" s="17"/>
    </row>
    <row r="15" spans="1:18" ht="20.100000000000001" customHeight="1" x14ac:dyDescent="0.25">
      <c r="A15" s="23" t="s">
        <v>78</v>
      </c>
      <c r="D15" s="171" t="str">
        <v>EC_Transq</v>
      </c>
      <c r="E15" s="175" t="str">
        <v>Energy content factor for transport energy purposes</v>
      </c>
      <c r="F15" s="170"/>
      <c r="G15" s="171" t="str">
        <v>GJ / unit of fuel</v>
      </c>
      <c r="H15" s="173" t="str">
        <v>Constant</v>
      </c>
      <c r="I15" s="174" t="str" cm="1">
        <f t="array" aca="1" ref="I15" ca="1">HYPERLINK(Common_InputFunctions.Utility_SourceHyperlink($D$22), $D$22)</f>
        <v>Table_E_g</v>
      </c>
      <c r="K15" s="171" t="str">
        <v>EC_Transq</v>
      </c>
      <c r="L15" s="171" t="str">
        <v>energy content factor for transport energy purposes</v>
      </c>
      <c r="M15" s="171"/>
      <c r="N15" s="171" t="str">
        <v>GJ/kL or GJ/m3</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EF_Trans1tqg</v>
      </c>
      <c r="E16" s="175" t="str">
        <v>Scope 1 emission factor for transport energy purposes for each greenhouse gas</v>
      </c>
      <c r="F16" s="170"/>
      <c r="G16" s="171" t="str">
        <v>kg CO2e / GJ</v>
      </c>
      <c r="H16" s="173" t="str">
        <v>Constant</v>
      </c>
      <c r="I16" s="174" t="str" cm="1">
        <f t="array" aca="1" ref="I16" ca="1">HYPERLINK(Common_InputFunctions.Utility_SourceHyperlink($D$22), $D$22)</f>
        <v>Table_E_g</v>
      </c>
      <c r="K16" s="171" t="str">
        <v>EF_Trans3q</v>
      </c>
      <c r="L16" s="171" t="str">
        <v>scope 3 emission factor for transport energy purposes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P17" s="17"/>
      <c r="Q17" s="17"/>
    </row>
    <row r="18" spans="1:17" ht="20.100000000000001" customHeight="1" x14ac:dyDescent="0.25">
      <c r="D18" s="171" t="str">
        <v>Trans</v>
      </c>
      <c r="E18" s="175" t="str">
        <v>Transport combustion</v>
      </c>
      <c r="F18" s="170"/>
      <c r="G18" s="171" t="str">
        <v/>
      </c>
      <c r="H18" s="173" t="str">
        <v>Constant</v>
      </c>
      <c r="I18" s="174"/>
      <c r="J18" s="17"/>
      <c r="L18" s="17"/>
      <c r="M18" s="17"/>
      <c r="N18" s="17"/>
      <c r="O18" s="17"/>
      <c r="P18" s="17"/>
      <c r="Q18" s="17"/>
    </row>
    <row r="19" spans="1:17" ht="20.100000000000001" customHeight="1" x14ac:dyDescent="0.25">
      <c r="D19" s="171" t="str">
        <v>g</v>
      </c>
      <c r="E19" s="175" t="str">
        <v>Greenhouse gas</v>
      </c>
      <c r="F19" s="170"/>
      <c r="G19" s="171" t="str">
        <v/>
      </c>
      <c r="H19" s="173" t="str">
        <v>Constant</v>
      </c>
      <c r="I19" s="174"/>
      <c r="J19" s="17"/>
      <c r="L19" s="17"/>
      <c r="M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720</v>
      </c>
      <c r="H24" s="60" t="s">
        <v>721</v>
      </c>
      <c r="I24" s="60" t="s">
        <v>722</v>
      </c>
      <c r="J24" s="60" t="s">
        <v>723</v>
      </c>
      <c r="K24" s="60" t="s">
        <v>724</v>
      </c>
      <c r="L24" s="47" t="s">
        <v>725</v>
      </c>
      <c r="M24" s="60" t="s">
        <v>726</v>
      </c>
      <c r="N24" s="60" t="s">
        <v>727</v>
      </c>
      <c r="O24" s="60" t="s">
        <v>728</v>
      </c>
      <c r="P24" s="60" t="s">
        <v>729</v>
      </c>
      <c r="Q24" s="60" t="s">
        <v>730</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186" cm="1">
        <f t="array" ref="N25">Fuel_Equations.VEERG_8_1_1_1__1_FuelCombustionTransport($L25,$G25,$H25)</f>
        <v>0</v>
      </c>
      <c r="O25" s="186" cm="1">
        <f t="array" ref="O25">Fuel_Equations.VEERG_8_1_1_1__1_FuelCombustionTransport($L25,$G25,$I25)</f>
        <v>0</v>
      </c>
      <c r="P25" s="186" cm="1">
        <f t="array" ref="P25">Fuel_Equations.VEERG_8_1_1_1__1_FuelCombustionTransport($L25,$G25,$J25)</f>
        <v>0</v>
      </c>
      <c r="Q25" s="186"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5" cm="1">
        <f t="array" ref="L26">Fuel_InputFunctions.Fuel_TotalConsumption(Table_Input_Fuel[Amount consumed], Table_Input_Fuel[Fuel use (select)], D26, Table_Input_Fuel[Fuel type (select)],F26)</f>
        <v>0.1</v>
      </c>
      <c r="M26" s="185" t="str" cm="1">
        <f t="array" ref="M26">Common_InputFunctions.Utility_LookupValueInTable(F26,Table_FuelTypes_Units[Fuel type],Table_FuelTypes_Units[Unit])</f>
        <v>kL</v>
      </c>
      <c r="N26" s="186" cm="1">
        <f t="array" ref="N26">Fuel_Equations.VEERG_8_1_1_1__1_FuelCombustionTransport($L26,$G26,$H26)</f>
        <v>0.26981400000000005</v>
      </c>
      <c r="O26" s="186" cm="1">
        <f t="array" ref="O26">Fuel_Equations.VEERG_8_1_1_1__1_FuelCombustionTransport($L26,$G26,$I26)</f>
        <v>3.8600000000000003E-5</v>
      </c>
      <c r="P26" s="186" cm="1">
        <f t="array" ref="P26">Fuel_Equations.VEERG_8_1_1_1__1_FuelCombustionTransport($L26,$G26,$J26)</f>
        <v>1.9300000000000003E-3</v>
      </c>
      <c r="Q26" s="186"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186" cm="1">
        <f t="array" ref="N27">Fuel_Equations.VEERG_8_1_1_1__1_FuelCombustionTransport($L27,$G27,$H27)</f>
        <v>0</v>
      </c>
      <c r="O27" s="186" cm="1">
        <f t="array" ref="O27">Fuel_Equations.VEERG_8_1_1_1__1_FuelCombustionTransport($L27,$G27,$I27)</f>
        <v>0</v>
      </c>
      <c r="P27" s="186" cm="1">
        <f t="array" ref="P27">Fuel_Equations.VEERG_8_1_1_1__1_FuelCombustionTransport($L27,$G27,$J27)</f>
        <v>0</v>
      </c>
      <c r="Q27" s="186"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186" cm="1">
        <f t="array" ref="N28">Fuel_Equations.VEERG_8_1_1_1__1_FuelCombustionTransport($L28,$G28,$H28)</f>
        <v>0</v>
      </c>
      <c r="O28" s="186" cm="1">
        <f t="array" ref="O28">Fuel_Equations.VEERG_8_1_1_1__1_FuelCombustionTransport($L28,$G28,$I28)</f>
        <v>0</v>
      </c>
      <c r="P28" s="186" cm="1">
        <f t="array" ref="P28">Fuel_Equations.VEERG_8_1_1_1__1_FuelCombustionTransport($L28,$G28,$J28)</f>
        <v>0</v>
      </c>
      <c r="Q28" s="186"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186" cm="1">
        <f t="array" ref="N29">Fuel_Equations.VEERG_8_1_1_1__1_FuelCombustionTransport($L29,$G29,$H29)</f>
        <v>0</v>
      </c>
      <c r="O29" s="186" cm="1">
        <f t="array" ref="O29">Fuel_Equations.VEERG_8_1_1_1__1_FuelCombustionTransport($L29,$G29,$I29)</f>
        <v>0</v>
      </c>
      <c r="P29" s="186" cm="1">
        <f t="array" ref="P29">Fuel_Equations.VEERG_8_1_1_1__1_FuelCombustionTransport($L29,$G29,$J29)</f>
        <v>0</v>
      </c>
      <c r="Q29" s="186"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186" cm="1">
        <f t="array" ref="N30">Fuel_Equations.VEERG_8_1_1_1__1_FuelCombustionTransport($L30,$G30,$H30)</f>
        <v>0</v>
      </c>
      <c r="O30" s="186" cm="1">
        <f t="array" ref="O30">Fuel_Equations.VEERG_8_1_1_1__1_FuelCombustionTransport($L30,$G30,$I30)</f>
        <v>0</v>
      </c>
      <c r="P30" s="186" cm="1">
        <f t="array" ref="P30">Fuel_Equations.VEERG_8_1_1_1__1_FuelCombustionTransport($L30,$G30,$J30)</f>
        <v>0</v>
      </c>
      <c r="Q30" s="186"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5" cm="1">
        <f t="array" ref="L31">Fuel_InputFunctions.Fuel_TotalConsumption(Table_Input_Fuel[Amount consumed], Table_Input_Fuel[Fuel use (select)], D31, Table_Input_Fuel[Fuel type (select)],F31)</f>
        <v>0</v>
      </c>
      <c r="M31" s="185" t="str" cm="1">
        <f t="array" ref="M31">Common_InputFunctions.Utility_LookupValueInTable(F31,Table_FuelTypes_Units[Fuel type],Table_FuelTypes_Units[Unit])</f>
        <v>kL</v>
      </c>
      <c r="N31" s="186" cm="1">
        <f t="array" ref="N31">Fuel_Equations.VEERG_8_1_1_1__1_FuelCombustionTransport($L31,$G31,$H31)</f>
        <v>0</v>
      </c>
      <c r="O31" s="186" cm="1">
        <f t="array" ref="O31">Fuel_Equations.VEERG_8_1_1_1__1_FuelCombustionTransport($L31,$G31,$I31)</f>
        <v>0</v>
      </c>
      <c r="P31" s="186" cm="1">
        <f t="array" ref="P31">Fuel_Equations.VEERG_8_1_1_1__1_FuelCombustionTransport($L31,$G31,$J31)</f>
        <v>0</v>
      </c>
      <c r="Q31" s="186"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5" t="str" cm="1">
        <f t="array" ref="K32">IFERROR(_xlfn.XLOOKUP(1, (Table_Fuel_EFs_Transport[Fuel combusted]=$E32)*(Table_Fuel_EFs_Transport[Transport type]=$D$25), Table_Fuel_EFs_Transport[Scope 3 Emission Factor (kg CO2 - e / GJ)]), 0)</f>
        <v>NE</v>
      </c>
      <c r="L32" s="187" cm="1">
        <f t="array" ref="L32">Fuel_InputFunctions.Fuel_TotalConsumption(Table_Input_Fuel[Amount consumed], Table_Input_Fuel[Fuel use (select)], D32, Table_Input_Fuel[Fuel type (select)],F32)</f>
        <v>0</v>
      </c>
      <c r="M32" s="185" t="str" cm="1">
        <f t="array" ref="M32">Common_InputFunctions.Utility_LookupValueInTable(F32,Table_FuelTypes_Units[Fuel type],Table_FuelTypes_Units[Unit])</f>
        <v>kL</v>
      </c>
      <c r="N32" s="188" cm="1">
        <f t="array" ref="N32">Fuel_Equations.VEERG_8_1_1_1__1_FuelCombustionTransport($L32,$G32,$H32)</f>
        <v>0</v>
      </c>
      <c r="O32" s="188" cm="1">
        <f t="array" ref="O32">Fuel_Equations.VEERG_8_1_1_1__1_FuelCombustionTransport($L32,$G32,$I32)</f>
        <v>0</v>
      </c>
      <c r="P32" s="188" cm="1">
        <f t="array" ref="P32">Fuel_Equations.VEERG_8_1_1_1__1_FuelCombustionTransport($L32,$G32,$J32)</f>
        <v>0</v>
      </c>
      <c r="Q32" s="186"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89" cm="1">
        <f t="array" ref="G33">IFERROR(_xlfn.XLOOKUP(1, (Table_Fuel_EFs_Transport[Fuel combusted]=$E33)*(Table_Fuel_EFs_Transport[Transport type]=$D$33), Table_Fuel_EFs_Transport[Energy Content Factor (GJ per unit of fuel)]), 0)</f>
        <v>38.6</v>
      </c>
      <c r="H33" s="189" cm="1">
        <f t="array" ref="H33">IFERROR(_xlfn.XLOOKUP(1, (Table_Fuel_EFs_Transport[Fuel combusted]=$E33)*(Table_Fuel_EFs_Transport[Transport type]=$D$33), Table_Fuel_EFs_Transport[Scope 1 Emission Factor (kg CO2 - e / GJ) CO2]), 0)</f>
        <v>69.900000000000006</v>
      </c>
      <c r="I33" s="189" cm="1">
        <f t="array" ref="I33">IFERROR(_xlfn.XLOOKUP(1, (Table_Fuel_EFs_Transport[Fuel combusted]=$E33)*(Table_Fuel_EFs_Transport[Transport type]=$D$33), Table_Fuel_EFs_Transport[Scope 1 Emission Factor (kg CO2 - e / GJ) CH4]), 0)</f>
        <v>0.3</v>
      </c>
      <c r="J33" s="189" cm="1">
        <f t="array" ref="J33">IFERROR(_xlfn.XLOOKUP(1, (Table_Fuel_EFs_Transport[Fuel combusted]=$E33)*(Table_Fuel_EFs_Transport[Transport type]=$D$33), Table_Fuel_EFs_Transport[Scope 1 Emission Factor (kg CO2 - e / GJ) N2O]), 0)</f>
        <v>0.5</v>
      </c>
      <c r="K33" s="190" cm="1">
        <f t="array" ref="K33">IFERROR(_xlfn.XLOOKUP(1, (Table_Fuel_EFs_Transport[Fuel combusted]=$E33)*(Table_Fuel_EFs_Transport[Transport type]=$D$25), Table_Fuel_EFs_Transport[Scope 3 Emission Factor (kg CO2 - e / GJ)]), 0)</f>
        <v>17.3</v>
      </c>
      <c r="L33" s="191" cm="1">
        <f t="array" ref="L33">Fuel_InputFunctions.Fuel_TotalConsumption(Table_Input_Fuel[Amount consumed], Table_Input_Fuel[Fuel use (select)], D33, Table_Input_Fuel[Fuel type (select)],F33)</f>
        <v>0</v>
      </c>
      <c r="M33" s="192" t="str" cm="1">
        <f t="array" ref="M33">Common_InputFunctions.Utility_LookupValueInTable(F33,Table_FuelTypes_Units[Fuel type],Table_FuelTypes_Units[Unit])</f>
        <v>kL</v>
      </c>
      <c r="N33" s="193" cm="1">
        <f t="array" ref="N33">Fuel_Equations.VEERG_8_1_1_1__1_FuelCombustionTransport($L33,$G33,$H33)</f>
        <v>0</v>
      </c>
      <c r="O33" s="193" cm="1">
        <f t="array" ref="O33">Fuel_Equations.VEERG_8_1_1_1__1_FuelCombustionTransport($L33,$G33,$I33)</f>
        <v>0</v>
      </c>
      <c r="P33" s="193" cm="1">
        <f t="array" ref="P33">Fuel_Equations.VEERG_8_1_1_1__1_FuelCombustionTransport($L33,$G33,$J33)</f>
        <v>0</v>
      </c>
      <c r="Q33" s="194"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5" cm="1">
        <f t="array" ref="G34">IFERROR(_xlfn.XLOOKUP(1, (Table_Fuel_EFs_Transport[Fuel combusted]=$E34)*(Table_Fuel_EFs_Transport[Transport type]=$D$34), Table_Fuel_EFs_Transport[Energy Content Factor (GJ per unit of fuel)]), 0)</f>
        <v>33.1</v>
      </c>
      <c r="H34" s="195" cm="1">
        <f t="array" ref="H34">IFERROR(_xlfn.XLOOKUP(1, (Table_Fuel_EFs_Transport[Fuel combusted]=$E34)*(Table_Fuel_EFs_Transport[Transport type]=$D$34), Table_Fuel_EFs_Transport[Scope 1 Emission Factor (kg CO2 - e / GJ) CO2]), 0)</f>
        <v>67</v>
      </c>
      <c r="I34" s="195" cm="1">
        <f t="array" ref="I34">IFERROR(_xlfn.XLOOKUP(1, (Table_Fuel_EFs_Transport[Fuel combusted]=$E34)*(Table_Fuel_EFs_Transport[Transport type]=$D$34), Table_Fuel_EFs_Transport[Scope 1 Emission Factor (kg CO2 - e / GJ) CH4]), 0)</f>
        <v>0.06</v>
      </c>
      <c r="J34" s="195" cm="1">
        <f t="array" ref="J34">IFERROR(_xlfn.XLOOKUP(1, (Table_Fuel_EFs_Transport[Fuel combusted]=$E34)*(Table_Fuel_EFs_Transport[Transport type]=$D$34), Table_Fuel_EFs_Transport[Scope 1 Emission Factor (kg CO2 - e / GJ) N2O]), 0)</f>
        <v>0.6</v>
      </c>
      <c r="K34" s="195" cm="1">
        <f t="array" ref="K34">IFERROR(_xlfn.XLOOKUP(1, (Table_Fuel_EFs_Transport[Fuel combusted]=$E34)*(Table_Fuel_EFs_Transport[Transport type]=$D$25), Table_Fuel_EFs_Transport[Scope 3 Emission Factor (kg CO2 - e / GJ)]), 0)</f>
        <v>0</v>
      </c>
      <c r="L34" s="192" cm="1">
        <f t="array" ref="L34">Fuel_InputFunctions.Fuel_TotalConsumption(Table_Input_Fuel[Amount consumed], Table_Input_Fuel[Fuel use (select)], D34, Table_Input_Fuel[Fuel type (select)],F34)</f>
        <v>0.1</v>
      </c>
      <c r="M34" s="192" t="str" cm="1">
        <f t="array" ref="M34">Common_InputFunctions.Utility_LookupValueInTable(F34,Table_FuelTypes_Units[Fuel type],Table_FuelTypes_Units[Unit])</f>
        <v>kL</v>
      </c>
      <c r="N34" s="193" cm="1">
        <f t="array" ref="N34">Fuel_Equations.VEERG_8_1_1_1__1_FuelCombustionTransport($L34,$G34,$H34)</f>
        <v>0.22177000000000005</v>
      </c>
      <c r="O34" s="193" cm="1">
        <f t="array" ref="O34">Fuel_Equations.VEERG_8_1_1_1__1_FuelCombustionTransport($L34,$G34,$I34)</f>
        <v>1.9860000000000003E-4</v>
      </c>
      <c r="P34" s="193" cm="1">
        <f t="array" ref="P34">Fuel_Equations.VEERG_8_1_1_1__1_FuelCombustionTransport($L34,$G34,$J34)</f>
        <v>1.9860000000000004E-3</v>
      </c>
      <c r="Q34" s="193"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5" cm="1">
        <f t="array" ref="L35">Fuel_InputFunctions.Fuel_TotalConsumption(Table_Input_Fuel[Amount consumed], Table_Input_Fuel[Fuel use (select)], D35, Table_Input_Fuel[Fuel type (select)],F35)</f>
        <v>0</v>
      </c>
      <c r="M35" s="185" t="str" cm="1">
        <f t="array" ref="M35">Common_InputFunctions.Utility_LookupValueInTable(F35,Table_FuelTypes_Units[Fuel type],Table_FuelTypes_Units[Unit])</f>
        <v>kL</v>
      </c>
      <c r="N35" s="186" cm="1">
        <f t="array" ref="N35">Fuel_Equations.VEERG_8_1_1_1__1_FuelCombustionTransport($L35,$G35,$H35)</f>
        <v>0</v>
      </c>
      <c r="O35" s="186" cm="1">
        <f t="array" ref="O35">Fuel_Equations.VEERG_8_1_1_1__1_FuelCombustionTransport($L35,$G35,$I35)</f>
        <v>0</v>
      </c>
      <c r="P35" s="186" cm="1">
        <f t="array" ref="P35">Fuel_Equations.VEERG_8_1_1_1__1_FuelCombustionTransport($L35,$G35,$J35)</f>
        <v>0</v>
      </c>
      <c r="Q35" s="186"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5" cm="1">
        <f t="array" ref="G36">IFERROR(_xlfn.XLOOKUP(1, (Table_Fuel_EFs_Transport[Fuel combusted]=$E36)*(Table_Fuel_EFs_Transport[Transport type]=$D$34), Table_Fuel_EFs_Transport[Energy Content Factor (GJ per unit of fuel)]), 0)</f>
        <v>36.799999999999997</v>
      </c>
      <c r="H36" s="165" cm="1">
        <f t="array" ref="H36">IFERROR(_xlfn.XLOOKUP(1, (Table_Fuel_EFs_Transport[Fuel combusted]=$E36)*(Table_Fuel_EFs_Transport[Transport type]=$D$34), Table_Fuel_EFs_Transport[Scope 1 Emission Factor (kg CO2 - e / GJ) CO2]), 0)</f>
        <v>0</v>
      </c>
      <c r="I36" s="165" cm="1">
        <f t="array" ref="I36">IFERROR(_xlfn.XLOOKUP(1, (Table_Fuel_EFs_Transport[Fuel combusted]=$E36)*(Table_Fuel_EFs_Transport[Transport type]=$D$34), Table_Fuel_EFs_Transport[Scope 1 Emission Factor (kg CO2 - e / GJ) CH4]), 0)</f>
        <v>0.01</v>
      </c>
      <c r="J36" s="165" cm="1">
        <f t="array" ref="J36">IFERROR(_xlfn.XLOOKUP(1, (Table_Fuel_EFs_Transport[Fuel combusted]=$E36)*(Table_Fuel_EFs_Transport[Transport type]=$D$34), Table_Fuel_EFs_Transport[Scope 1 Emission Factor (kg CO2 - e / GJ) N2O]), 0)</f>
        <v>0.6</v>
      </c>
      <c r="K36" s="165" cm="1">
        <f t="array" ref="K36">IFERROR(_xlfn.XLOOKUP(1, (Table_Fuel_EFs_Transport[Fuel combusted]=$E36)*(Table_Fuel_EFs_Transport[Transport type]=$D$25), Table_Fuel_EFs_Transport[Scope 3 Emission Factor (kg CO2 - e / GJ)]), 0)</f>
        <v>0</v>
      </c>
      <c r="L36" s="187" cm="1">
        <f t="array" ref="L36">Fuel_InputFunctions.Fuel_TotalConsumption(Table_Input_Fuel[Amount consumed], Table_Input_Fuel[Fuel use (select)], D36, Table_Input_Fuel[Fuel type (select)],F36)</f>
        <v>0</v>
      </c>
      <c r="M36" s="185" t="str" cm="1">
        <f t="array" ref="M36">Common_InputFunctions.Utility_LookupValueInTable(F36,Table_FuelTypes_Units[Fuel type],Table_FuelTypes_Units[Unit])</f>
        <v>kL</v>
      </c>
      <c r="N36" s="186" cm="1">
        <f t="array" ref="N36">Fuel_Equations.VEERG_8_1_1_1__1_FuelCombustionTransport($L36,$G36,$H36)</f>
        <v>0</v>
      </c>
      <c r="O36" s="186" cm="1">
        <f t="array" ref="O36">Fuel_Equations.VEERG_8_1_1_1__1_FuelCombustionTransport($L36,$G36,$I36)</f>
        <v>0</v>
      </c>
      <c r="P36" s="186" cm="1">
        <f t="array" ref="P36">Fuel_Equations.VEERG_8_1_1_1__1_FuelCombustionTransport($L36,$G36,$J36)</f>
        <v>0</v>
      </c>
      <c r="Q36" s="188"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5" cm="1">
        <f t="array" ref="G37">IFERROR(_xlfn.XLOOKUP(1, (Table_Fuel_EFs_Transport[Fuel combusted]=$E37)*(Table_Fuel_EFs_Transport[Transport type]=$D$37), Table_Fuel_EFs_Transport[Energy Content Factor (GJ per unit of fuel)]), 0)</f>
        <v>34.200000000000003</v>
      </c>
      <c r="H37" s="195" cm="1">
        <f t="array" ref="H37">IFERROR(_xlfn.XLOOKUP(1, (Table_Fuel_EFs_Transport[Fuel combusted]=$E37)*(Table_Fuel_EFs_Transport[Transport type]=$D$37), Table_Fuel_EFs_Transport[Scope 1 Emission Factor (kg CO2 - e / GJ) CO2]), 0)</f>
        <v>67.400000000000006</v>
      </c>
      <c r="I37" s="195" cm="1">
        <f t="array" ref="I37">IFERROR(_xlfn.XLOOKUP(1, (Table_Fuel_EFs_Transport[Fuel combusted]=$E37)*(Table_Fuel_EFs_Transport[Transport type]=$D$37), Table_Fuel_EFs_Transport[Scope 1 Emission Factor (kg CO2 - e / GJ) CH4]), 0)</f>
        <v>10.1</v>
      </c>
      <c r="J37" s="195" cm="1">
        <f t="array" ref="J37">IFERROR(_xlfn.XLOOKUP(1, (Table_Fuel_EFs_Transport[Fuel combusted]=$E37)*(Table_Fuel_EFs_Transport[Transport type]=$D$37), Table_Fuel_EFs_Transport[Scope 1 Emission Factor (kg CO2 - e / GJ) N2O]), 0)</f>
        <v>0.3</v>
      </c>
      <c r="K37" s="195" cm="1">
        <f t="array" ref="K37">IFERROR(_xlfn.XLOOKUP(1, (Table_Fuel_EFs_Transport[Fuel combusted]=$E37)*(Table_Fuel_EFs_Transport[Transport type]=$D$25), Table_Fuel_EFs_Transport[Scope 3 Emission Factor (kg CO2 - e / GJ)]), 0)</f>
        <v>17.2</v>
      </c>
      <c r="L37" s="192" cm="1">
        <f t="array" ref="L37">Fuel_InputFunctions.Fuel_TotalConsumption(Table_Input_Fuel[Amount consumed], Table_Input_Fuel[Fuel use (select)], D37, Table_Input_Fuel[Fuel type (select)],F37)</f>
        <v>0</v>
      </c>
      <c r="M37" s="196" t="str" cm="1">
        <f t="array" ref="M37">Common_InputFunctions.Utility_LookupValueInTable(F37,Table_FuelTypes_Units[Fuel type],Table_FuelTypes_Units[Unit])</f>
        <v>kL</v>
      </c>
      <c r="N37" s="193" cm="1">
        <f t="array" ref="N37">Fuel_Equations.VEERG_8_1_1_1__1_FuelCombustionTransport($L37,$G37,$H37)</f>
        <v>0</v>
      </c>
      <c r="O37" s="193" cm="1">
        <f t="array" ref="O37">Fuel_Equations.VEERG_8_1_1_1__1_FuelCombustionTransport($L37,$G37,$I37)</f>
        <v>0</v>
      </c>
      <c r="P37" s="193" cm="1">
        <f t="array" ref="P37">Fuel_Equations.VEERG_8_1_1_1__1_FuelCombustionTransport($L37,$G37,$J37)</f>
        <v>0</v>
      </c>
      <c r="Q37" s="193"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5" cm="1">
        <f t="array" ref="L38">Fuel_InputFunctions.Fuel_TotalConsumption(Table_Input_Fuel[Amount consumed], Table_Input_Fuel[Fuel use (select)], D38, Table_Input_Fuel[Fuel type (select)],F38)</f>
        <v>0.1</v>
      </c>
      <c r="M38" s="185" t="str" cm="1">
        <f t="array" ref="M38">Common_InputFunctions.Utility_LookupValueInTable(F38,Table_FuelTypes_Units[Fuel type],Table_FuelTypes_Units[Unit])</f>
        <v>kL</v>
      </c>
      <c r="N38" s="186" cm="1">
        <f t="array" ref="N38">Fuel_Equations.VEERG_8_1_1_1__1_FuelCombustionTransport($L38,$G38,$H38)</f>
        <v>0.26981400000000005</v>
      </c>
      <c r="O38" s="186" cm="1">
        <f t="array" ref="O38">Fuel_Equations.VEERG_8_1_1_1__1_FuelCombustionTransport($L38,$G38,$I38)</f>
        <v>7.7200000000000012E-4</v>
      </c>
      <c r="P38" s="186" cm="1">
        <f t="array" ref="P38">Fuel_Equations.VEERG_8_1_1_1__1_FuelCombustionTransport($L38,$G38,$J38)</f>
        <v>1.9300000000000003E-3</v>
      </c>
      <c r="Q38" s="186"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kL</v>
      </c>
      <c r="N39" s="186" cm="1">
        <f t="array" ref="N39">Fuel_Equations.VEERG_8_1_1_1__1_FuelCombustionTransport($L39,$G39,$H39)</f>
        <v>0</v>
      </c>
      <c r="O39" s="186" cm="1">
        <f t="array" ref="O39">Fuel_Equations.VEERG_8_1_1_1__1_FuelCombustionTransport($L39,$G39,$I39)</f>
        <v>0</v>
      </c>
      <c r="P39" s="186" cm="1">
        <f t="array" ref="P39">Fuel_Equations.VEERG_8_1_1_1__1_FuelCombustionTransport($L39,$G39,$J39)</f>
        <v>0</v>
      </c>
      <c r="Q39" s="186"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7" t="str">
        <f>"Total scope 1 - " &amp; D25</f>
        <v>Total scope 1 - Cars and light commercial vehicles</v>
      </c>
      <c r="E42" s="198"/>
      <c r="F42" s="199"/>
    </row>
    <row r="43" spans="1:17" ht="20.100000000000001" customHeight="1" x14ac:dyDescent="0.25">
      <c r="D43" s="7" t="s">
        <v>731</v>
      </c>
      <c r="E43" s="200">
        <f>SUM(N25:N32)</f>
        <v>0.26981400000000005</v>
      </c>
      <c r="F43" s="68" t="str">
        <f>$E$12</f>
        <v>t CO2-e</v>
      </c>
    </row>
    <row r="44" spans="1:17" ht="20.100000000000001" customHeight="1" x14ac:dyDescent="0.25">
      <c r="D44" s="7" t="s">
        <v>732</v>
      </c>
      <c r="E44" s="200">
        <f>SUM(O25:O32)</f>
        <v>3.8600000000000003E-5</v>
      </c>
      <c r="F44" s="68" t="str">
        <f t="shared" ref="F44:F46" si="1">$E$12</f>
        <v>t CO2-e</v>
      </c>
    </row>
    <row r="45" spans="1:17" ht="20.100000000000001" customHeight="1" x14ac:dyDescent="0.25">
      <c r="D45" s="7" t="s">
        <v>733</v>
      </c>
      <c r="E45" s="200">
        <f>SUM(P25:P32)</f>
        <v>1.9300000000000003E-3</v>
      </c>
      <c r="F45" s="68" t="str">
        <f t="shared" si="1"/>
        <v>t CO2-e</v>
      </c>
    </row>
    <row r="46" spans="1:17" ht="20.100000000000001" customHeight="1" x14ac:dyDescent="0.25">
      <c r="D46" s="7" t="s">
        <v>734</v>
      </c>
      <c r="E46" s="200">
        <f>SUM(Q25:Q32)</f>
        <v>6.6778000000000004E-2</v>
      </c>
      <c r="F46" s="68" t="str">
        <f t="shared" si="1"/>
        <v>t CO2-e</v>
      </c>
    </row>
    <row r="47" spans="1:17" ht="20.100000000000001" customHeight="1" x14ac:dyDescent="0.25">
      <c r="D47" s="17"/>
      <c r="E47" s="17"/>
      <c r="F47" s="17"/>
    </row>
    <row r="48" spans="1:17" ht="20.100000000000001" customHeight="1" x14ac:dyDescent="0.25">
      <c r="D48" s="197" t="str">
        <f>"Total scope 1 - " &amp; D33</f>
        <v>Total scope 1 - Off-road Agriculture and forestry equipment</v>
      </c>
      <c r="E48" s="201"/>
      <c r="F48" s="199"/>
      <c r="H48" s="17"/>
      <c r="I48" s="17"/>
      <c r="J48" s="17"/>
      <c r="L48" s="17"/>
      <c r="M48" s="17"/>
      <c r="N48" s="17"/>
      <c r="O48" s="17"/>
      <c r="P48" s="17"/>
      <c r="Q48" s="17"/>
    </row>
    <row r="49" spans="4:17" ht="20.100000000000001" customHeight="1" x14ac:dyDescent="0.25">
      <c r="D49" s="7" t="s">
        <v>731</v>
      </c>
      <c r="E49" s="200">
        <f>SUM(N33:N33)</f>
        <v>0</v>
      </c>
      <c r="F49" s="68" t="str">
        <f t="shared" ref="F49:F52" si="2">$E$12</f>
        <v>t CO2-e</v>
      </c>
      <c r="H49" s="17"/>
      <c r="I49" s="17"/>
      <c r="J49" s="17"/>
      <c r="L49" s="17"/>
      <c r="M49" s="17"/>
      <c r="N49" s="17"/>
      <c r="O49" s="17"/>
      <c r="P49" s="17"/>
      <c r="Q49" s="17"/>
    </row>
    <row r="50" spans="4:17" ht="20.100000000000001" customHeight="1" x14ac:dyDescent="0.25">
      <c r="D50" s="7" t="s">
        <v>732</v>
      </c>
      <c r="E50" s="200">
        <f>SUM(O33:O33)</f>
        <v>0</v>
      </c>
      <c r="F50" s="68" t="str">
        <f t="shared" si="2"/>
        <v>t CO2-e</v>
      </c>
      <c r="H50" s="17"/>
      <c r="I50" s="17"/>
      <c r="J50" s="17"/>
      <c r="L50" s="17"/>
      <c r="M50" s="17"/>
      <c r="N50" s="17"/>
      <c r="O50" s="17"/>
      <c r="P50" s="17"/>
      <c r="Q50" s="17"/>
    </row>
    <row r="51" spans="4:17" ht="20.100000000000001" customHeight="1" x14ac:dyDescent="0.25">
      <c r="D51" s="7" t="s">
        <v>733</v>
      </c>
      <c r="E51" s="200">
        <f>SUM(P33:P33)</f>
        <v>0</v>
      </c>
      <c r="F51" s="68" t="str">
        <f t="shared" si="2"/>
        <v>t CO2-e</v>
      </c>
      <c r="H51" s="17"/>
      <c r="I51" s="17"/>
      <c r="J51" s="17"/>
      <c r="L51" s="17"/>
      <c r="M51" s="17"/>
      <c r="N51" s="17"/>
      <c r="O51" s="17"/>
      <c r="P51" s="17"/>
      <c r="Q51" s="17"/>
    </row>
    <row r="52" spans="4:17" ht="20.100000000000001" customHeight="1" x14ac:dyDescent="0.25">
      <c r="D52" s="7" t="s">
        <v>734</v>
      </c>
      <c r="E52" s="200">
        <f>SUM(Q33)</f>
        <v>0</v>
      </c>
      <c r="F52" s="68" t="str">
        <f t="shared" si="2"/>
        <v>t CO2-e</v>
      </c>
      <c r="H52" s="17"/>
      <c r="I52" s="17"/>
      <c r="J52" s="17"/>
      <c r="L52" s="17"/>
      <c r="M52" s="17"/>
      <c r="N52" s="17"/>
      <c r="O52" s="17"/>
      <c r="P52" s="17"/>
      <c r="Q52" s="17"/>
    </row>
    <row r="53" spans="4:17" ht="20.100000000000001" customHeight="1" x14ac:dyDescent="0.25">
      <c r="D53" s="17"/>
      <c r="E53" s="202"/>
      <c r="F53" s="17"/>
      <c r="G53" s="17"/>
      <c r="H53" s="17"/>
      <c r="I53" s="17"/>
      <c r="J53" s="17"/>
      <c r="L53" s="17"/>
      <c r="M53" s="17"/>
      <c r="N53" s="17"/>
      <c r="O53" s="17"/>
      <c r="P53" s="17"/>
      <c r="Q53" s="17"/>
    </row>
    <row r="54" spans="4:17" ht="20.100000000000001" customHeight="1" x14ac:dyDescent="0.25">
      <c r="D54" s="197" t="str">
        <f>"Total scope 1 - " &amp; D34</f>
        <v>Total scope 1 - Aviation</v>
      </c>
      <c r="E54" s="201"/>
      <c r="F54" s="199"/>
      <c r="G54" s="17"/>
      <c r="H54" s="17"/>
      <c r="I54" s="17"/>
      <c r="J54" s="17"/>
      <c r="L54" s="17"/>
      <c r="M54" s="17"/>
      <c r="N54" s="17"/>
      <c r="O54" s="17"/>
      <c r="P54" s="17"/>
      <c r="Q54" s="17"/>
    </row>
    <row r="55" spans="4:17" ht="20.100000000000001" customHeight="1" x14ac:dyDescent="0.25">
      <c r="D55" s="7" t="s">
        <v>731</v>
      </c>
      <c r="E55" s="200">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732</v>
      </c>
      <c r="E56" s="200">
        <f>SUM(O34:O36)</f>
        <v>1.9860000000000003E-4</v>
      </c>
      <c r="F56" s="68" t="str">
        <f t="shared" si="3"/>
        <v>t CO2-e</v>
      </c>
      <c r="G56" s="17"/>
      <c r="H56" s="17"/>
      <c r="I56" s="17"/>
      <c r="J56" s="17"/>
      <c r="L56" s="17"/>
      <c r="M56" s="17"/>
      <c r="N56" s="17"/>
      <c r="O56" s="17"/>
      <c r="P56" s="17"/>
      <c r="Q56" s="17"/>
    </row>
    <row r="57" spans="4:17" ht="20.100000000000001" customHeight="1" x14ac:dyDescent="0.25">
      <c r="D57" s="7" t="s">
        <v>733</v>
      </c>
      <c r="E57" s="200">
        <f>SUM(P34:P36)</f>
        <v>1.9860000000000004E-3</v>
      </c>
      <c r="F57" s="68" t="str">
        <f t="shared" si="3"/>
        <v>t CO2-e</v>
      </c>
      <c r="G57" s="17"/>
      <c r="H57" s="17"/>
      <c r="I57" s="17"/>
      <c r="J57" s="17"/>
      <c r="L57" s="17"/>
      <c r="M57" s="17"/>
      <c r="N57" s="17"/>
      <c r="O57" s="17"/>
      <c r="P57" s="17"/>
      <c r="Q57" s="17"/>
    </row>
    <row r="58" spans="4:17" ht="20.100000000000001" customHeight="1" x14ac:dyDescent="0.25">
      <c r="D58" s="7" t="s">
        <v>734</v>
      </c>
      <c r="E58" s="200">
        <f>SUM(Q34:Q36)</f>
        <v>0</v>
      </c>
      <c r="F58" s="68" t="str">
        <f t="shared" si="3"/>
        <v>t CO2-e</v>
      </c>
      <c r="G58" s="17"/>
      <c r="H58" s="17"/>
      <c r="I58" s="17"/>
      <c r="J58" s="17"/>
      <c r="L58" s="17"/>
      <c r="M58" s="17"/>
      <c r="N58" s="17"/>
      <c r="O58" s="17"/>
      <c r="P58" s="17"/>
      <c r="Q58" s="17"/>
    </row>
    <row r="59" spans="4:17" ht="20.100000000000001" customHeight="1" x14ac:dyDescent="0.25">
      <c r="D59" s="17"/>
      <c r="E59" s="202"/>
      <c r="F59" s="17"/>
      <c r="G59" s="17"/>
      <c r="H59" s="17"/>
      <c r="I59" s="17"/>
      <c r="J59" s="17"/>
      <c r="L59" s="17"/>
      <c r="M59" s="17"/>
      <c r="N59" s="17"/>
      <c r="O59" s="17"/>
      <c r="P59" s="17"/>
      <c r="Q59" s="17"/>
    </row>
    <row r="60" spans="4:17" ht="20.100000000000001" customHeight="1" x14ac:dyDescent="0.25">
      <c r="D60" s="197" t="str">
        <f>"Total scope 1 - " &amp; D37</f>
        <v>Total scope 1 - Vessels</v>
      </c>
      <c r="E60" s="201"/>
      <c r="F60" s="199"/>
      <c r="G60" s="17"/>
      <c r="H60" s="17"/>
      <c r="I60" s="17"/>
      <c r="J60" s="17"/>
      <c r="L60" s="17"/>
      <c r="M60" s="17"/>
      <c r="N60" s="17"/>
      <c r="O60" s="17"/>
      <c r="P60" s="17"/>
      <c r="Q60" s="17"/>
    </row>
    <row r="61" spans="4:17" ht="20.100000000000001" customHeight="1" x14ac:dyDescent="0.25">
      <c r="D61" s="7" t="s">
        <v>731</v>
      </c>
      <c r="E61" s="200">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732</v>
      </c>
      <c r="E62" s="200">
        <f>SUM(O37:O39)</f>
        <v>7.7200000000000012E-4</v>
      </c>
      <c r="F62" s="68" t="str">
        <f t="shared" si="4"/>
        <v>t CO2-e</v>
      </c>
      <c r="G62" s="17"/>
      <c r="H62" s="17"/>
      <c r="I62" s="17"/>
      <c r="J62" s="17"/>
      <c r="L62" s="17"/>
      <c r="M62" s="17"/>
      <c r="N62" s="17"/>
      <c r="O62" s="17"/>
      <c r="P62" s="17"/>
      <c r="Q62" s="17"/>
    </row>
    <row r="63" spans="4:17" ht="20.100000000000001" customHeight="1" x14ac:dyDescent="0.25">
      <c r="D63" s="7" t="s">
        <v>733</v>
      </c>
      <c r="E63" s="200">
        <f>SUM(P37:P39)</f>
        <v>1.9300000000000003E-3</v>
      </c>
      <c r="F63" s="68" t="str">
        <f t="shared" si="4"/>
        <v>t CO2-e</v>
      </c>
      <c r="G63" s="17"/>
      <c r="H63" s="17"/>
      <c r="I63" s="17"/>
      <c r="J63" s="17"/>
      <c r="L63" s="17"/>
      <c r="M63" s="17"/>
      <c r="N63" s="17"/>
      <c r="O63" s="17"/>
      <c r="P63" s="17"/>
      <c r="Q63" s="17"/>
    </row>
    <row r="64" spans="4:17" ht="20.100000000000001" customHeight="1" x14ac:dyDescent="0.25">
      <c r="D64" s="7" t="s">
        <v>734</v>
      </c>
      <c r="E64" s="200">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7" t="s">
        <v>735</v>
      </c>
      <c r="E66" s="203"/>
      <c r="F66" s="199"/>
      <c r="G66" s="17"/>
      <c r="H66" s="17"/>
      <c r="I66" s="17"/>
      <c r="J66" s="17"/>
      <c r="L66" s="17"/>
      <c r="M66" s="17"/>
      <c r="N66" s="17"/>
      <c r="O66" s="17"/>
      <c r="P66" s="17"/>
      <c r="Q66" s="17"/>
    </row>
    <row r="67" spans="1:17" ht="20.100000000000001" customHeight="1" x14ac:dyDescent="0.25">
      <c r="D67" s="7" t="s">
        <v>731</v>
      </c>
      <c r="E67" s="200">
        <f>E43+E49+E55+E61</f>
        <v>0.76139800000000024</v>
      </c>
      <c r="F67" s="68" t="str">
        <f t="shared" ref="F67:F70" si="5">$E$12</f>
        <v>t CO2-e</v>
      </c>
      <c r="G67" s="17"/>
    </row>
    <row r="68" spans="1:17" ht="20.100000000000001" customHeight="1" x14ac:dyDescent="0.25">
      <c r="D68" s="7" t="s">
        <v>732</v>
      </c>
      <c r="E68" s="200">
        <f t="shared" ref="E68:E70" si="6">E44+E50+E56+E62</f>
        <v>1.0092E-3</v>
      </c>
      <c r="F68" s="68" t="str">
        <f t="shared" si="5"/>
        <v>t CO2-e</v>
      </c>
      <c r="G68" s="17"/>
    </row>
    <row r="69" spans="1:17" ht="20.100000000000001" customHeight="1" x14ac:dyDescent="0.25">
      <c r="A69" s="56" t="str">
        <f>HYPERLINK("#A1", "▲ Back to top")</f>
        <v>▲ Back to top</v>
      </c>
      <c r="D69" s="7" t="s">
        <v>733</v>
      </c>
      <c r="E69" s="200">
        <f t="shared" si="6"/>
        <v>5.8460000000000014E-3</v>
      </c>
      <c r="F69" s="68" t="str">
        <f t="shared" si="5"/>
        <v>t CO2-e</v>
      </c>
      <c r="G69" s="17"/>
    </row>
    <row r="70" spans="1:17" ht="20.100000000000001" customHeight="1" x14ac:dyDescent="0.25">
      <c r="D70" s="7" t="s">
        <v>734</v>
      </c>
      <c r="E70" s="200">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E58" sqref="E5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736</v>
      </c>
    </row>
    <row r="2" spans="1:18" s="2" customFormat="1" ht="20.100000000000001" customHeight="1" x14ac:dyDescent="0.25">
      <c r="A2" s="3"/>
    </row>
    <row r="3" spans="1:18" ht="20.100000000000001" customHeight="1" x14ac:dyDescent="0.25">
      <c r="A3" s="16" t="str">
        <f>HYPERLINK("#'Home'!A1", "Home")</f>
        <v>Home</v>
      </c>
      <c r="C3" s="5"/>
      <c r="D3" s="5" t="s">
        <v>415</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6" t="s">
        <v>635</v>
      </c>
      <c r="E7" s="176"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6" t="s">
        <v>635</v>
      </c>
      <c r="L8" s="176"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636</v>
      </c>
      <c r="E11" s="8" t="str" cm="1">
        <f t="array" ref="E11">Fuel_Equations.VEERG_8_2_1_1__1_FuelCombustionStationary_Variable()</f>
        <v>E_g</v>
      </c>
      <c r="K11" s="28" t="s">
        <v>636</v>
      </c>
      <c r="L11" s="8" t="str" cm="1">
        <f t="array" ref="L11">Scope3_Equations.VEERG_15_11_1_1__3_UpstreamStationaryFuelEmissions_Variable()</f>
        <v>E_WTTSCq</v>
      </c>
      <c r="O11" s="17"/>
      <c r="P11" s="17"/>
      <c r="Q11" s="17"/>
      <c r="R11" s="17"/>
    </row>
    <row r="12" spans="1:18" ht="20.100000000000001" customHeight="1" x14ac:dyDescent="0.25">
      <c r="A12" s="184"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_xlfn.CHOOSECOLS(Fuel_Equations.VEERG_8_2_1_1__1_FuelCombustionStationary_Arguments(), 1,2)</f>
        <v>Q_SCq</v>
      </c>
      <c r="E14" s="175" t="str">
        <v>Amount of fuel type q used for stationary combustion operations</v>
      </c>
      <c r="F14" s="170"/>
      <c r="G14" s="171" t="str" cm="1">
        <f t="array" ref="G14:H20">_xlfn.CHOOSECOLS(Fuel_Equations.VEERG_8_2_1_1__1_FuelCombustionStationary_Arguments(), 3,4)</f>
        <v>Varies based on fuel type: kL, m3, GJ</v>
      </c>
      <c r="H14" s="172" t="str">
        <v>Input</v>
      </c>
      <c r="I14" s="174" t="str" cm="1">
        <f t="array" aca="1" ref="I14" ca="1">HYPERLINK(Common_InputFunctions.Utility_SourceHyperlink($D$22), $D$22)</f>
        <v>Table_E_g</v>
      </c>
      <c r="K14" s="171" t="str" cm="1">
        <f t="array" ref="K14:L18">_xlfn.CHOOSECOLS(Scope3_Equations.VEERG_15_11_1_1__3_UpstreamStationaryFuelEmissions_Arguments(),1,2)</f>
        <v>Q_SCq</v>
      </c>
      <c r="L14" s="171" t="str">
        <v>amount of fuel q used for stationary combustion operations</v>
      </c>
      <c r="M14" s="171"/>
      <c r="N14" s="171" t="str" cm="1">
        <f t="array" ref="N14:O18">_xlfn.CHOOSECOLS(Scope3_Equations.VEERG_15_11_1_1__3_UpstreamStationaryFuelEmissions_Arguments(),3,4)</f>
        <v>kL</v>
      </c>
      <c r="O14" s="172" t="str">
        <v>Input</v>
      </c>
      <c r="P14" s="174" t="str" cm="1">
        <f t="array" aca="1" ref="P14" ca="1">HYPERLINK(Common_InputFunctions.Utility_SourceHyperlink($D$22), $D$22)</f>
        <v>Table_E_g</v>
      </c>
      <c r="Q14" s="17"/>
    </row>
    <row r="15" spans="1:18" ht="20.100000000000001" customHeight="1" x14ac:dyDescent="0.25">
      <c r="A15" s="23" t="s">
        <v>78</v>
      </c>
      <c r="D15" s="171" t="str">
        <v>EC_SCq</v>
      </c>
      <c r="E15" s="175" t="str">
        <v>Energy content factor for stationary combustion operations</v>
      </c>
      <c r="F15" s="170"/>
      <c r="G15" s="171" t="str">
        <v>GJ / unit of fuel</v>
      </c>
      <c r="H15" s="173" t="str">
        <v>Constant</v>
      </c>
      <c r="I15" s="174" t="str" cm="1">
        <f t="array" aca="1" ref="I15" ca="1">HYPERLINK(Common_InputFunctions.Utility_SourceHyperlink($D$22), $D$22)</f>
        <v>Table_E_g</v>
      </c>
      <c r="K15" s="171" t="str">
        <v>EC_SCq</v>
      </c>
      <c r="L15" s="171" t="str">
        <v>energy content factor for stationary combustion operations</v>
      </c>
      <c r="M15" s="171"/>
      <c r="N15" s="171" t="str">
        <v>GJ/kL</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EF_SC1qg</v>
      </c>
      <c r="E16" s="175" t="str">
        <v>Scope 1 emission factor for stationary combustion for each greenhouse gas</v>
      </c>
      <c r="F16" s="170"/>
      <c r="G16" s="171" t="str">
        <v>kg CO2e / GJ</v>
      </c>
      <c r="H16" s="173" t="str">
        <v>Constant</v>
      </c>
      <c r="I16" s="174" t="str" cm="1">
        <f t="array" aca="1" ref="I16" ca="1">HYPERLINK(Common_InputFunctions.Utility_SourceHyperlink($D$22), $D$22)</f>
        <v>Table_E_g</v>
      </c>
      <c r="K16" s="171" t="str">
        <v>EF_SC3q</v>
      </c>
      <c r="L16" s="171" t="str">
        <v>scope 3 emission factor for stationary combustion operations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K17" s="171" t="str">
        <v>i</v>
      </c>
      <c r="L17" s="175" t="str">
        <v>state</v>
      </c>
      <c r="M17" s="170"/>
      <c r="N17" s="171" t="str">
        <v/>
      </c>
      <c r="O17" s="172" t="str">
        <v>Input</v>
      </c>
      <c r="P17" s="171" t="str">
        <f>'Input - Site'!$E$21</f>
        <v>ACT</v>
      </c>
      <c r="Q17" s="17"/>
    </row>
    <row r="18" spans="1:17" ht="20.100000000000001" customHeight="1" x14ac:dyDescent="0.25">
      <c r="D18" s="171" t="str">
        <v>SC</v>
      </c>
      <c r="E18" s="175" t="str">
        <v>Stationary combustion</v>
      </c>
      <c r="F18" s="170"/>
      <c r="G18" s="171" t="str">
        <v/>
      </c>
      <c r="H18" s="173" t="str">
        <v>Constant</v>
      </c>
      <c r="I18" s="174"/>
      <c r="J18" s="17"/>
      <c r="K18" s="171" t="str">
        <v>m</v>
      </c>
      <c r="L18" s="175" t="str">
        <v>metropolitan/non-metropolitan location</v>
      </c>
      <c r="M18" s="170"/>
      <c r="N18" s="171" t="str">
        <v/>
      </c>
      <c r="O18" s="172" t="str">
        <v>Input</v>
      </c>
      <c r="P18" s="171" t="str">
        <f>'Input - Fuel'!E11</f>
        <v>Metro</v>
      </c>
      <c r="Q18" s="17"/>
    </row>
    <row r="19" spans="1:17" ht="20.100000000000001" customHeight="1" x14ac:dyDescent="0.25">
      <c r="D19" s="171" t="str">
        <v>g</v>
      </c>
      <c r="E19" s="175" t="str">
        <v>Greenhouse gas</v>
      </c>
      <c r="F19" s="170"/>
      <c r="G19" s="171" t="str">
        <v/>
      </c>
      <c r="H19" s="173" t="str">
        <v>Constant</v>
      </c>
      <c r="I19" s="174"/>
      <c r="J19" s="17"/>
      <c r="L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737</v>
      </c>
    </row>
    <row r="24" spans="1:17" ht="20.100000000000001" customHeight="1" x14ac:dyDescent="0.25">
      <c r="D24" s="60" t="s">
        <v>131</v>
      </c>
      <c r="E24" s="60" t="s">
        <v>132</v>
      </c>
      <c r="F24" s="60" t="s">
        <v>133</v>
      </c>
      <c r="G24" s="60" t="s">
        <v>738</v>
      </c>
      <c r="H24" s="60" t="s">
        <v>739</v>
      </c>
      <c r="I24" s="60" t="s">
        <v>740</v>
      </c>
      <c r="J24" s="60" t="s">
        <v>741</v>
      </c>
      <c r="K24" s="60" t="s">
        <v>742</v>
      </c>
      <c r="L24" s="47" t="s">
        <v>743</v>
      </c>
      <c r="M24" s="60" t="s">
        <v>726</v>
      </c>
      <c r="N24" s="60" t="s">
        <v>727</v>
      </c>
      <c r="O24" s="60" t="s">
        <v>728</v>
      </c>
      <c r="P24" s="60" t="s">
        <v>729</v>
      </c>
      <c r="Q24" s="60" t="s">
        <v>744</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204" cm="1">
        <f t="array" ref="N25">Fuel_Equations.VEERG_8_2_1_1__1_FuelCombustionStationary($L25,$G25,H25)</f>
        <v>0</v>
      </c>
      <c r="O25" s="204" cm="1">
        <f t="array" ref="O25">Fuel_Equations.VEERG_8_2_1_1__1_FuelCombustionStationary($L25,$G25,I25)</f>
        <v>0</v>
      </c>
      <c r="P25" s="204" cm="1">
        <f t="array" ref="P25">Fuel_Equations.VEERG_8_2_1_1__1_FuelCombustionStationary($L25,$G25,J25)</f>
        <v>0</v>
      </c>
      <c r="Q25" s="204"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5" cm="1">
        <f t="array" ref="L26">Fuel_InputFunctions.Fuel_TotalConsumption(Table_Input_Fuel[Amount consumed], Table_Input_Fuel[Fuel use (select)], D26, Table_Input_Fuel[Fuel type (select)],F26)</f>
        <v>0</v>
      </c>
      <c r="M26" s="185" t="str" cm="1">
        <f t="array" ref="M26">Common_InputFunctions.Utility_LookupValueInTable(F26,Table_FuelTypes_Units[Fuel type],Table_FuelTypes_Units[Unit])</f>
        <v>kL</v>
      </c>
      <c r="N26" s="204" cm="1">
        <f t="array" ref="N26">Fuel_Equations.VEERG_8_2_1_1__1_FuelCombustionStationary($L26,$G26,H26)</f>
        <v>0</v>
      </c>
      <c r="O26" s="204" cm="1">
        <f t="array" ref="O26">Fuel_Equations.VEERG_8_2_1_1__1_FuelCombustionStationary($L26,$G26,I26)</f>
        <v>0</v>
      </c>
      <c r="P26" s="204" cm="1">
        <f t="array" ref="P26">Fuel_Equations.VEERG_8_2_1_1__1_FuelCombustionStationary($L26,$G26,J26)</f>
        <v>0</v>
      </c>
      <c r="Q26" s="204"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204" cm="1">
        <f t="array" ref="N27">Fuel_Equations.VEERG_8_2_1_1__1_FuelCombustionStationary($L27,$G27,H27)</f>
        <v>0</v>
      </c>
      <c r="O27" s="204" cm="1">
        <f t="array" ref="O27">Fuel_Equations.VEERG_8_2_1_1__1_FuelCombustionStationary($L27,$G27,I27)</f>
        <v>0</v>
      </c>
      <c r="P27" s="204" cm="1">
        <f t="array" ref="P27">Fuel_Equations.VEERG_8_2_1_1__1_FuelCombustionStationary($L27,$G27,J27)</f>
        <v>0</v>
      </c>
      <c r="Q27" s="204"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204" cm="1">
        <f t="array" ref="N28">Fuel_Equations.VEERG_8_2_1_1__1_FuelCombustionStationary($L28,$G28,H28)</f>
        <v>0</v>
      </c>
      <c r="O28" s="204" cm="1">
        <f t="array" ref="O28">Fuel_Equations.VEERG_8_2_1_1__1_FuelCombustionStationary($L28,$G28,I28)</f>
        <v>0</v>
      </c>
      <c r="P28" s="204" cm="1">
        <f t="array" ref="P28">Fuel_Equations.VEERG_8_2_1_1__1_FuelCombustionStationary($L28,$G28,J28)</f>
        <v>0</v>
      </c>
      <c r="Q28" s="204"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204" cm="1">
        <f t="array" ref="N29">Fuel_Equations.VEERG_8_2_1_1__1_FuelCombustionStationary($L29,$G29,H29)</f>
        <v>0</v>
      </c>
      <c r="O29" s="204" cm="1">
        <f t="array" ref="O29">Fuel_Equations.VEERG_8_2_1_1__1_FuelCombustionStationary($L29,$G29,I29)</f>
        <v>0</v>
      </c>
      <c r="P29" s="204" cm="1">
        <f t="array" ref="P29">Fuel_Equations.VEERG_8_2_1_1__1_FuelCombustionStationary($L29,$G29,J29)</f>
        <v>0</v>
      </c>
      <c r="Q29" s="204"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204" cm="1">
        <f t="array" ref="N30">Fuel_Equations.VEERG_8_2_1_1__1_FuelCombustionStationary($L30,$G30,H30)</f>
        <v>0</v>
      </c>
      <c r="O30" s="204" cm="1">
        <f t="array" ref="O30">Fuel_Equations.VEERG_8_2_1_1__1_FuelCombustionStationary($L30,$G30,I30)</f>
        <v>0</v>
      </c>
      <c r="P30" s="204" cm="1">
        <f t="array" ref="P30">Fuel_Equations.VEERG_8_2_1_1__1_FuelCombustionStationary($L30,$G30,J30)</f>
        <v>0</v>
      </c>
      <c r="Q30" s="204"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5">
        <f>IFERROR(_xlfn.XLOOKUP($E31, Table_Fuel_EFs_StationaryLiquid[Fuel combusted], Table_Fuel_EFs_StationaryLiquid[Energy Content Factor (GJ per unit of fuel)]),0)</f>
        <v>38.6</v>
      </c>
      <c r="H31" s="165">
        <f>IFERROR(_xlfn.XLOOKUP($E31, Table_Fuel_EFs_StationaryLiquid[Fuel combusted], Table_Fuel_EFs_StationaryLiquid[Scope 1 Emission Factor (kg CO2 - e / GJ) CO2]),0)</f>
        <v>0</v>
      </c>
      <c r="I31" s="165">
        <f>IFERROR(_xlfn.XLOOKUP($E31, Table_Fuel_EFs_StationaryLiquid[Fuel combusted], Table_Fuel_EFs_StationaryLiquid[Scope 1 Emission Factor (kg CO2 - e / GJ) CH4]),0)</f>
        <v>0.1</v>
      </c>
      <c r="J31" s="165">
        <f>IFERROR(_xlfn.XLOOKUP($E31, Table_Fuel_EFs_StationaryLiquid[Fuel combusted], Table_Fuel_EFs_StationaryLiquid[Scope 1 Emission Factor (kg CO2 - e / GJ) N2O]),0)</f>
        <v>0.2</v>
      </c>
      <c r="K31" s="165" t="str">
        <f>IFERROR(_xlfn.XLOOKUP($E31, Table_Fuel_EFs_StationaryLiquid[Fuel combusted], Table_Fuel_EFs_StationaryLiquid[Scope 3 Emission Factor (kg CO2 - e / GJ)]),0)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5" cm="1">
        <f t="array" ref="N31">Fuel_Equations.VEERG_8_2_1_1__1_FuelCombustionStationary($L31,$G31,H31)</f>
        <v>0</v>
      </c>
      <c r="O31" s="205" cm="1">
        <f t="array" ref="O31">Fuel_Equations.VEERG_8_2_1_1__1_FuelCombustionStationary($L31,$G31,I31)</f>
        <v>0</v>
      </c>
      <c r="P31" s="205" cm="1">
        <f t="array" ref="P31">Fuel_Equations.VEERG_8_2_1_1__1_FuelCombustionStationary($L31,$G31,J31)</f>
        <v>0</v>
      </c>
      <c r="Q31" s="205"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5">
        <f>IFERROR(_xlfn.XLOOKUP($E32, Table_Fuel_EFs_StationaryLiquid[Fuel combusted], Table_Fuel_EFs_StationaryLiquid[Energy Content Factor (GJ per unit of fuel)]),0)</f>
        <v>34.200000000000003</v>
      </c>
      <c r="H32" s="195">
        <f>IFERROR(_xlfn.XLOOKUP($E32, Table_Fuel_EFs_StationaryLiquid[Fuel combusted], Table_Fuel_EFs_StationaryLiquid[Scope 1 Emission Factor (kg CO2 - e / GJ) CO2]),0)</f>
        <v>67.400000000000006</v>
      </c>
      <c r="I32" s="195">
        <f>IFERROR(_xlfn.XLOOKUP($E32, Table_Fuel_EFs_StationaryLiquid[Fuel combusted], Table_Fuel_EFs_StationaryLiquid[Scope 1 Emission Factor (kg CO2 - e / GJ) CH4]),0)</f>
        <v>0.2</v>
      </c>
      <c r="J32" s="195">
        <f>IFERROR(_xlfn.XLOOKUP($E32, Table_Fuel_EFs_StationaryLiquid[Fuel combusted], Table_Fuel_EFs_StationaryLiquid[Scope 1 Emission Factor (kg CO2 - e / GJ) N2O]),0)</f>
        <v>0.2</v>
      </c>
      <c r="K32" s="195">
        <f>IFERROR(_xlfn.XLOOKUP($E32, Table_Fuel_EFs_StationaryLiquid[Fuel combusted], Table_Fuel_EFs_StationaryLiquid[Scope 3 Emission Factor (kg CO2 - e / GJ)]),0)</f>
        <v>17.2</v>
      </c>
      <c r="L32" s="191" cm="1">
        <f t="array" ref="L32">Fuel_InputFunctions.Fuel_TotalConsumption(Table_Input_Fuel[Amount consumed], Table_Input_Fuel[Fuel use (select)], D32, Table_Input_Fuel[Fuel type (select)],F32)</f>
        <v>0</v>
      </c>
      <c r="M32" s="192" t="str" cm="1">
        <f t="array" ref="M32">Common_InputFunctions.Utility_LookupValueInTable(F32,Table_FuelTypes_Units[Fuel type],Table_FuelTypes_Units[Unit])</f>
        <v>kL</v>
      </c>
      <c r="N32" s="206" cm="1">
        <f t="array" ref="N32">Fuel_Equations.VEERG_8_2_1_1__1_FuelCombustionStationary($L32,$G32,H32)</f>
        <v>0</v>
      </c>
      <c r="O32" s="206" cm="1">
        <f t="array" ref="O32">Fuel_Equations.VEERG_8_2_1_1__1_FuelCombustionStationary($L32,$G32,I32)</f>
        <v>0</v>
      </c>
      <c r="P32" s="206" cm="1">
        <f t="array" ref="P32">Fuel_Equations.VEERG_8_2_1_1__1_FuelCombustionStationary($L32,$G32,J32)</f>
        <v>0</v>
      </c>
      <c r="Q32" s="206"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4" cm="1">
        <f t="array" ref="N33">Fuel_Equations.VEERG_8_2_1_1__1_FuelCombustionStationary($L33,$G33,H33)</f>
        <v>0</v>
      </c>
      <c r="O33" s="204" cm="1">
        <f t="array" ref="O33">Fuel_Equations.VEERG_8_2_1_1__1_FuelCombustionStationary($L33,$G33,I33)</f>
        <v>0</v>
      </c>
      <c r="P33" s="204" cm="1">
        <f t="array" ref="P33">Fuel_Equations.VEERG_8_2_1_1__1_FuelCombustionStationary($L33,$G33,J33)</f>
        <v>0</v>
      </c>
      <c r="Q33" s="204"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4" cm="1">
        <f t="array" ref="N34">Fuel_Equations.VEERG_8_2_1_1__1_FuelCombustionStationary($L34,$G34,H34)</f>
        <v>0</v>
      </c>
      <c r="O34" s="204" cm="1">
        <f t="array" ref="O34">Fuel_Equations.VEERG_8_2_1_1__1_FuelCombustionStationary($L34,$G34,I34)</f>
        <v>0</v>
      </c>
      <c r="P34" s="204" cm="1">
        <f t="array" ref="P34">Fuel_Equations.VEERG_8_2_1_1__1_FuelCombustionStationary($L34,$G34,J34)</f>
        <v>0</v>
      </c>
      <c r="Q34" s="204"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4" cm="1">
        <f t="array" ref="N35">Fuel_Equations.VEERG_8_2_1_1__1_FuelCombustionStationary($L35,$G35,H35)</f>
        <v>0</v>
      </c>
      <c r="O35" s="204" cm="1">
        <f t="array" ref="O35">Fuel_Equations.VEERG_8_2_1_1__1_FuelCombustionStationary($L35,$G35,I35)</f>
        <v>0</v>
      </c>
      <c r="P35" s="204" cm="1">
        <f t="array" ref="P35">Fuel_Equations.VEERG_8_2_1_1__1_FuelCombustionStationary($L35,$G35,J35)</f>
        <v>0</v>
      </c>
      <c r="Q35" s="204"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4" cm="1">
        <f t="array" ref="N36">Fuel_Equations.VEERG_8_2_1_1__1_FuelCombustionStationary($L36,$G36,H36)</f>
        <v>0</v>
      </c>
      <c r="O36" s="204" cm="1">
        <f t="array" ref="O36">Fuel_Equations.VEERG_8_2_1_1__1_FuelCombustionStationary($L36,$G36,I36)</f>
        <v>0</v>
      </c>
      <c r="P36" s="204" cm="1">
        <f t="array" ref="P36">Fuel_Equations.VEERG_8_2_1_1__1_FuelCombustionStationary($L36,$G36,J36)</f>
        <v>0</v>
      </c>
      <c r="Q36" s="204"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4" cm="1">
        <f t="array" ref="N37">Fuel_Equations.VEERG_8_2_1_1__1_FuelCombustionStationary($L37,$G37,H37)</f>
        <v>0</v>
      </c>
      <c r="O37" s="204" cm="1">
        <f t="array" ref="O37">Fuel_Equations.VEERG_8_2_1_1__1_FuelCombustionStationary($L37,$G37,I37)</f>
        <v>0</v>
      </c>
      <c r="P37" s="204" cm="1">
        <f t="array" ref="P37">Fuel_Equations.VEERG_8_2_1_1__1_FuelCombustionStationary($L37,$G37,J37)</f>
        <v>0</v>
      </c>
      <c r="Q37" s="204"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4" cm="1">
        <f t="array" ref="N38">Fuel_Equations.VEERG_8_2_1_1__1_FuelCombustionStationary($L38,$G38,H38)</f>
        <v>0</v>
      </c>
      <c r="O38" s="204" cm="1">
        <f t="array" ref="O38">Fuel_Equations.VEERG_8_2_1_1__1_FuelCombustionStationary($L38,$G38,I38)</f>
        <v>0</v>
      </c>
      <c r="P38" s="204" cm="1">
        <f t="array" ref="P38">Fuel_Equations.VEERG_8_2_1_1__1_FuelCombustionStationary($L38,$G38,J38)</f>
        <v>0</v>
      </c>
      <c r="Q38" s="204"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GJ</v>
      </c>
      <c r="N39" s="204" cm="1">
        <f t="array" ref="N39">Fuel_Equations.VEERG_8_2_1_1__1_FuelCombustionStationary($L39,$G39,H39)</f>
        <v>0</v>
      </c>
      <c r="O39" s="204" cm="1">
        <f t="array" ref="O39">Fuel_Equations.VEERG_8_2_1_1__1_FuelCombustionStationary($L39,$G39,I39)</f>
        <v>0</v>
      </c>
      <c r="P39" s="204" cm="1">
        <f t="array" ref="P39">Fuel_Equations.VEERG_8_2_1_1__1_FuelCombustionStationary($L39,$G39,J39)</f>
        <v>0</v>
      </c>
      <c r="Q39" s="204"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85" cm="1">
        <f t="array" ref="L40">Fuel_InputFunctions.Fuel_TotalConsumption(Table_Input_Fuel[Amount consumed], Table_Input_Fuel[Fuel use (select)], D40, Table_Input_Fuel[Fuel type (select)],F40)</f>
        <v>0.2</v>
      </c>
      <c r="M40" s="185" t="str" cm="1">
        <f t="array" ref="M40">Common_InputFunctions.Utility_LookupValueInTable(F40,Table_FuelTypes_Units[Fuel type],Table_FuelTypes_Units[Unit])</f>
        <v>GJ</v>
      </c>
      <c r="N40" s="204" cm="1">
        <f t="array" ref="N40">Fuel_Equations.VEERG_8_2_1_1__1_FuelCombustionStationary($L40,$G40,H40)</f>
        <v>1.204E-2</v>
      </c>
      <c r="O40" s="204" cm="1">
        <f t="array" ref="O40">Fuel_Equations.VEERG_8_2_1_1__1_FuelCombustionStationary($L40,$G40,I40)</f>
        <v>7.9999999999999996E-6</v>
      </c>
      <c r="P40" s="204" cm="1">
        <f t="array" ref="P40">Fuel_Equations.VEERG_8_2_1_1__1_FuelCombustionStationary($L40,$G40,J40)</f>
        <v>6.0000000000000002E-6</v>
      </c>
      <c r="Q40" s="204" cm="1">
        <f t="array" ref="Q40">Fuel_Equations.VEERG_8_2_1_1__1_FuelCombustionStationary($L40,$G40,IF(ISNUMBER(K40), K40, 0))</f>
        <v>2.6200000000000004E-3</v>
      </c>
    </row>
    <row r="41" spans="1:17" ht="20.100000000000001" customHeight="1" x14ac:dyDescent="0.25"/>
    <row r="42" spans="1:17" ht="20.100000000000001" customHeight="1" x14ac:dyDescent="0.25">
      <c r="D42" s="197" t="str">
        <f>"Total scope 1 - " &amp; D25</f>
        <v>Total scope 1 - Generators</v>
      </c>
      <c r="E42" s="198"/>
      <c r="F42" s="199"/>
    </row>
    <row r="43" spans="1:17" ht="20.100000000000001" customHeight="1" x14ac:dyDescent="0.25">
      <c r="D43" s="7" t="s">
        <v>731</v>
      </c>
      <c r="E43" s="200">
        <f>SUM(N25:N31)</f>
        <v>0</v>
      </c>
      <c r="F43" s="68" t="str">
        <f>$E$12</f>
        <v>t CO2-e</v>
      </c>
    </row>
    <row r="44" spans="1:17" ht="20.100000000000001" customHeight="1" x14ac:dyDescent="0.25">
      <c r="D44" s="7" t="s">
        <v>732</v>
      </c>
      <c r="E44" s="200">
        <f>SUM(O25:O31)</f>
        <v>0</v>
      </c>
      <c r="F44" s="68" t="str">
        <f t="shared" ref="F44:F46" si="2">$E$12</f>
        <v>t CO2-e</v>
      </c>
    </row>
    <row r="45" spans="1:17" ht="20.100000000000001" customHeight="1" x14ac:dyDescent="0.25">
      <c r="D45" s="7" t="s">
        <v>733</v>
      </c>
      <c r="E45" s="200">
        <f>SUM(P25:P31)</f>
        <v>0</v>
      </c>
      <c r="F45" s="68" t="str">
        <f t="shared" si="2"/>
        <v>t CO2-e</v>
      </c>
    </row>
    <row r="46" spans="1:17" ht="20.100000000000001" customHeight="1" x14ac:dyDescent="0.25">
      <c r="D46" s="7" t="s">
        <v>734</v>
      </c>
      <c r="E46" s="200">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7" t="str">
        <f>"Total scope 1 - " &amp; D32</f>
        <v>Total scope 1 - Power standalone machinery or heating</v>
      </c>
      <c r="E48" s="201"/>
      <c r="F48" s="199"/>
      <c r="H48" s="17"/>
      <c r="I48" s="17"/>
      <c r="J48" s="17"/>
      <c r="L48" s="17"/>
      <c r="N48" s="17"/>
      <c r="O48" s="17"/>
      <c r="P48" s="17"/>
      <c r="Q48" s="17"/>
    </row>
    <row r="49" spans="4:17" ht="20.100000000000001" customHeight="1" x14ac:dyDescent="0.25">
      <c r="D49" s="7" t="s">
        <v>731</v>
      </c>
      <c r="E49" s="200">
        <f>SUM(N32:N40)</f>
        <v>1.204E-2</v>
      </c>
      <c r="F49" s="68" t="str">
        <f t="shared" ref="F49:F52" si="3">$E$12</f>
        <v>t CO2-e</v>
      </c>
      <c r="H49" s="17"/>
      <c r="I49" s="17"/>
      <c r="J49" s="17"/>
      <c r="L49" s="17"/>
      <c r="N49" s="17"/>
      <c r="O49" s="17"/>
      <c r="P49" s="17"/>
      <c r="Q49" s="17"/>
    </row>
    <row r="50" spans="4:17" ht="20.100000000000001" customHeight="1" x14ac:dyDescent="0.25">
      <c r="D50" s="7" t="s">
        <v>732</v>
      </c>
      <c r="E50" s="200">
        <f>SUM(O32:O40)</f>
        <v>7.9999999999999996E-6</v>
      </c>
      <c r="F50" s="68" t="str">
        <f t="shared" si="3"/>
        <v>t CO2-e</v>
      </c>
      <c r="H50" s="17"/>
      <c r="I50" s="17"/>
      <c r="J50" s="17"/>
      <c r="L50" s="17"/>
      <c r="N50" s="17"/>
      <c r="O50" s="17"/>
      <c r="P50" s="17"/>
      <c r="Q50" s="17"/>
    </row>
    <row r="51" spans="4:17" ht="20.100000000000001" customHeight="1" x14ac:dyDescent="0.25">
      <c r="D51" s="7" t="s">
        <v>733</v>
      </c>
      <c r="E51" s="200">
        <f>SUM(P32:P40)</f>
        <v>6.0000000000000002E-6</v>
      </c>
      <c r="F51" s="68" t="str">
        <f t="shared" si="3"/>
        <v>t CO2-e</v>
      </c>
      <c r="H51" s="17"/>
      <c r="I51" s="17"/>
      <c r="J51" s="17"/>
      <c r="L51" s="17"/>
      <c r="N51" s="17"/>
      <c r="O51" s="17"/>
      <c r="P51" s="17"/>
      <c r="Q51" s="17"/>
    </row>
    <row r="52" spans="4:17" ht="20.100000000000001" customHeight="1" x14ac:dyDescent="0.25">
      <c r="D52" s="7" t="s">
        <v>734</v>
      </c>
      <c r="E52" s="200">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7" t="s">
        <v>745</v>
      </c>
      <c r="E54" s="201"/>
      <c r="F54" s="199"/>
      <c r="G54" s="17"/>
      <c r="H54" s="17"/>
      <c r="I54" s="17"/>
      <c r="J54" s="17"/>
      <c r="L54" s="17"/>
      <c r="N54" s="17"/>
      <c r="O54" s="17"/>
      <c r="P54" s="17"/>
      <c r="Q54" s="17"/>
    </row>
    <row r="55" spans="4:17" ht="20.100000000000001" customHeight="1" x14ac:dyDescent="0.25">
      <c r="D55" s="7" t="s">
        <v>731</v>
      </c>
      <c r="E55" s="200">
        <f>E43+E49</f>
        <v>1.204E-2</v>
      </c>
      <c r="F55" s="68" t="str">
        <f t="shared" ref="F55:F58" si="4">$E$12</f>
        <v>t CO2-e</v>
      </c>
      <c r="G55" s="17"/>
      <c r="H55" s="17"/>
      <c r="I55" s="17"/>
      <c r="J55" s="17"/>
      <c r="L55" s="17"/>
      <c r="N55" s="17"/>
      <c r="O55" s="17"/>
      <c r="P55" s="17"/>
      <c r="Q55" s="17"/>
    </row>
    <row r="56" spans="4:17" ht="20.100000000000001" customHeight="1" x14ac:dyDescent="0.25">
      <c r="D56" s="7" t="s">
        <v>732</v>
      </c>
      <c r="E56" s="200">
        <f>E44+E50</f>
        <v>7.9999999999999996E-6</v>
      </c>
      <c r="F56" s="68" t="str">
        <f t="shared" si="4"/>
        <v>t CO2-e</v>
      </c>
    </row>
    <row r="57" spans="4:17" ht="20.100000000000001" customHeight="1" x14ac:dyDescent="0.25">
      <c r="D57" s="7" t="s">
        <v>733</v>
      </c>
      <c r="E57" s="200">
        <f>E45+E51</f>
        <v>6.0000000000000002E-6</v>
      </c>
      <c r="F57" s="68" t="str">
        <f t="shared" si="4"/>
        <v>t CO2-e</v>
      </c>
      <c r="G57" s="17"/>
      <c r="H57" s="17"/>
      <c r="I57" s="17"/>
      <c r="J57" s="17"/>
      <c r="L57" s="17"/>
      <c r="N57" s="17"/>
      <c r="O57" s="17"/>
      <c r="P57" s="17"/>
      <c r="Q57" s="17"/>
    </row>
    <row r="58" spans="4:17" ht="20.100000000000001" customHeight="1" x14ac:dyDescent="0.25">
      <c r="D58" s="7" t="s">
        <v>734</v>
      </c>
      <c r="E58" s="200">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90" zoomScale="55" zoomScaleNormal="55" workbookViewId="0">
      <selection activeCell="D33" sqref="D33:I74"/>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364</v>
      </c>
      <c r="K32" s="8" t="s">
        <v>436</v>
      </c>
    </row>
    <row r="33" spans="4:12" ht="20.100000000000001" customHeight="1" x14ac:dyDescent="0.25">
      <c r="D33" s="10" t="s">
        <v>319</v>
      </c>
      <c r="E33" s="10" t="s">
        <v>217</v>
      </c>
      <c r="F33" s="10" t="s">
        <v>320</v>
      </c>
      <c r="G33" s="10" t="s">
        <v>284</v>
      </c>
      <c r="H33" s="10" t="s">
        <v>285</v>
      </c>
      <c r="I33" s="10" t="s">
        <v>365</v>
      </c>
      <c r="K33" s="10" t="s">
        <v>389</v>
      </c>
      <c r="L33" s="10" t="s">
        <v>519</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314</v>
      </c>
      <c r="L34" s="10" t="s">
        <v>338</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338</v>
      </c>
      <c r="L35" s="10" t="s">
        <v>338</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396</v>
      </c>
      <c r="L36" s="10" t="s">
        <v>396</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393</v>
      </c>
      <c r="L37" s="10" t="s">
        <v>393</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344</v>
      </c>
      <c r="L38" s="10" t="s">
        <v>344</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440</v>
      </c>
      <c r="L39" s="10" t="s">
        <v>345</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439</v>
      </c>
      <c r="L40" s="10" t="s">
        <v>345</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441</v>
      </c>
      <c r="L41" s="10" t="s">
        <v>345</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442</v>
      </c>
      <c r="L42" s="10" t="s">
        <v>438</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443</v>
      </c>
      <c r="L43" s="10" t="s">
        <v>438</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444</v>
      </c>
      <c r="L44" s="10" t="s">
        <v>438</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445</v>
      </c>
      <c r="L45" s="10" t="s">
        <v>339</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446</v>
      </c>
      <c r="L46" s="10" t="s">
        <v>339</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447</v>
      </c>
      <c r="L47" s="10" t="s">
        <v>339</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448</v>
      </c>
      <c r="L48" s="10" t="s">
        <v>339</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337</v>
      </c>
      <c r="L49" s="8" t="s">
        <v>337</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367</v>
      </c>
    </row>
    <row r="77" spans="4:9" ht="20.100000000000001" customHeight="1" x14ac:dyDescent="0.25">
      <c r="D77" s="10" t="s">
        <v>319</v>
      </c>
      <c r="E77" s="10" t="s">
        <v>217</v>
      </c>
      <c r="F77" s="10" t="s">
        <v>320</v>
      </c>
      <c r="G77" s="10" t="s">
        <v>284</v>
      </c>
      <c r="H77" s="10" t="s">
        <v>285</v>
      </c>
      <c r="I77" s="10" t="s">
        <v>365</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319</v>
      </c>
      <c r="E82" s="10" t="s">
        <v>217</v>
      </c>
      <c r="F82" s="10" t="s">
        <v>320</v>
      </c>
      <c r="G82" s="10" t="s">
        <v>284</v>
      </c>
      <c r="H82" s="10" t="s">
        <v>285</v>
      </c>
      <c r="I82" s="10" t="s">
        <v>365</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368</v>
      </c>
    </row>
    <row r="89" spans="4:16" ht="20.100000000000001" customHeight="1" x14ac:dyDescent="0.25">
      <c r="D89" s="10" t="s">
        <v>319</v>
      </c>
      <c r="E89" s="10" t="s">
        <v>217</v>
      </c>
      <c r="F89" s="10" t="s">
        <v>320</v>
      </c>
      <c r="G89" s="10" t="s">
        <v>284</v>
      </c>
      <c r="H89" s="10" t="s">
        <v>285</v>
      </c>
      <c r="I89" s="10" t="s">
        <v>365</v>
      </c>
      <c r="K89" s="10" t="s">
        <v>217</v>
      </c>
      <c r="L89" s="10" t="s">
        <v>389</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217</v>
      </c>
      <c r="O90" s="10" t="s">
        <v>389</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217</v>
      </c>
      <c r="L98" s="10" t="s">
        <v>389</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217</v>
      </c>
      <c r="O105" s="10" t="s">
        <v>389</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217</v>
      </c>
      <c r="L110" s="10" t="s">
        <v>389</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217</v>
      </c>
      <c r="O118" s="10" t="s">
        <v>389</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217</v>
      </c>
      <c r="L125" s="10" t="s">
        <v>389</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217</v>
      </c>
      <c r="O131" s="10" t="s">
        <v>389</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217</v>
      </c>
      <c r="L138" s="10" t="s">
        <v>389</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217</v>
      </c>
      <c r="O144" s="10" t="s">
        <v>389</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7" t="s">
        <v>217</v>
      </c>
      <c r="L151" s="157" t="s">
        <v>389</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217</v>
      </c>
      <c r="O152" s="10" t="s">
        <v>389</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217</v>
      </c>
      <c r="L153" s="10" t="s">
        <v>389</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217</v>
      </c>
      <c r="O154" s="10" t="s">
        <v>389</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217</v>
      </c>
      <c r="L155" s="10" t="s">
        <v>389</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217</v>
      </c>
      <c r="O156" s="10" t="s">
        <v>389</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217</v>
      </c>
      <c r="L157" s="10" t="s">
        <v>389</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217</v>
      </c>
      <c r="O158" s="10" t="s">
        <v>389</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319</v>
      </c>
      <c r="E161" s="10" t="s">
        <v>217</v>
      </c>
      <c r="F161" s="10" t="s">
        <v>320</v>
      </c>
      <c r="G161" s="10" t="s">
        <v>284</v>
      </c>
      <c r="H161" s="10" t="s">
        <v>285</v>
      </c>
      <c r="I161" s="10" t="s">
        <v>365</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319</v>
      </c>
      <c r="E167" s="10" t="s">
        <v>217</v>
      </c>
      <c r="F167" s="10" t="s">
        <v>320</v>
      </c>
      <c r="G167" s="10" t="s">
        <v>284</v>
      </c>
      <c r="H167" s="10" t="s">
        <v>285</v>
      </c>
      <c r="I167" s="10" t="s">
        <v>365</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351</v>
      </c>
    </row>
    <row r="173" spans="4:13" ht="20.100000000000001" customHeight="1" x14ac:dyDescent="0.25">
      <c r="D173" s="10" t="s">
        <v>319</v>
      </c>
      <c r="E173" s="10" t="s">
        <v>217</v>
      </c>
      <c r="F173" s="10" t="s">
        <v>320</v>
      </c>
      <c r="G173" s="10" t="s">
        <v>282</v>
      </c>
      <c r="H173" s="10" t="s">
        <v>172</v>
      </c>
      <c r="I173" s="10" t="s">
        <v>173</v>
      </c>
      <c r="J173" s="10" t="s">
        <v>283</v>
      </c>
      <c r="K173" s="10" t="s">
        <v>284</v>
      </c>
      <c r="L173" s="10" t="s">
        <v>285</v>
      </c>
      <c r="M173" s="10" t="s">
        <v>365</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369</v>
      </c>
      <c r="N200" s="10"/>
      <c r="O200" s="10"/>
      <c r="P200" s="10"/>
    </row>
    <row r="201" spans="4:16" ht="20.100000000000001" customHeight="1" x14ac:dyDescent="0.25">
      <c r="D201" s="10" t="s">
        <v>319</v>
      </c>
      <c r="E201" s="10" t="s">
        <v>217</v>
      </c>
      <c r="F201" s="10" t="s">
        <v>320</v>
      </c>
      <c r="G201" s="10" t="s">
        <v>284</v>
      </c>
      <c r="H201" s="10" t="s">
        <v>285</v>
      </c>
      <c r="I201" s="10" t="s">
        <v>365</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370</v>
      </c>
    </row>
    <row r="212" spans="4:16" ht="20.100000000000001" customHeight="1" x14ac:dyDescent="0.25">
      <c r="D212" s="10" t="s">
        <v>319</v>
      </c>
      <c r="E212" s="10" t="s">
        <v>217</v>
      </c>
      <c r="F212" s="10" t="s">
        <v>320</v>
      </c>
      <c r="G212" s="10" t="s">
        <v>284</v>
      </c>
      <c r="H212" s="10" t="s">
        <v>285</v>
      </c>
      <c r="I212" s="10" t="s">
        <v>365</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371</v>
      </c>
    </row>
    <row r="219" spans="4:16" ht="20.100000000000001" customHeight="1" x14ac:dyDescent="0.25">
      <c r="D219" s="10" t="s">
        <v>319</v>
      </c>
      <c r="E219" s="10" t="s">
        <v>217</v>
      </c>
      <c r="F219" s="10" t="s">
        <v>320</v>
      </c>
      <c r="G219" s="10" t="s">
        <v>284</v>
      </c>
      <c r="H219" s="10" t="s">
        <v>285</v>
      </c>
      <c r="I219" s="10" t="s">
        <v>365</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372</v>
      </c>
    </row>
    <row r="234" spans="4:9" ht="20.100000000000001" customHeight="1" x14ac:dyDescent="0.25">
      <c r="D234" s="10" t="s">
        <v>319</v>
      </c>
      <c r="E234" s="10" t="s">
        <v>217</v>
      </c>
      <c r="F234" s="10" t="s">
        <v>320</v>
      </c>
      <c r="G234" s="10" t="s">
        <v>284</v>
      </c>
      <c r="H234" s="10" t="s">
        <v>285</v>
      </c>
      <c r="I234" s="10" t="s">
        <v>365</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D24" sqref="D24"/>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1" t="e" vm="1">
        <v>#VALUE!</v>
      </c>
      <c r="C1" s="1" t="s">
        <v>777</v>
      </c>
      <c r="AG1"/>
      <c r="AH1"/>
      <c r="AI1"/>
    </row>
    <row r="2" spans="1:35" s="2" customFormat="1" ht="20.100000000000001" customHeight="1" x14ac:dyDescent="0.25">
      <c r="AG2"/>
      <c r="AH2"/>
      <c r="AI2"/>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Solid waste'!A1", "Solid waste")</f>
        <v>Solid waste</v>
      </c>
      <c r="D8" s="12" t="str">
        <v>Fixed typo 'paper and carboard' to 'paper and cardboard'</v>
      </c>
    </row>
    <row r="9" spans="1:35" ht="20.100000000000001" customHeight="1" x14ac:dyDescent="0.25">
      <c r="A9" s="16"/>
      <c r="D9" s="12" t="str">
        <v>Fixed typo 'prunnings' to 'prunings'</v>
      </c>
    </row>
    <row r="10" spans="1:35" ht="20.100000000000001" customHeight="1" x14ac:dyDescent="0.25">
      <c r="A10" s="21" t="s">
        <v>77</v>
      </c>
      <c r="D10" s="12" t="str">
        <v>Added EF source column with specific references</v>
      </c>
    </row>
    <row r="11" spans="1:35" ht="20.100000000000001" customHeight="1" x14ac:dyDescent="0.25">
      <c r="A11" s="16" t="str">
        <f>HYPERLINK("#'10.1.1-2 Solid waste treatment'!A1", "10.1.1-2 Solid waste treatment")</f>
        <v>10.1.1-2 Solid waste treatment</v>
      </c>
      <c r="D11" s="12" t="str">
        <v>Added sub-categories for 'Incineration: Food waste, green waste, wood, sludge' in order to use volume to mass conversion factor values</v>
      </c>
    </row>
    <row r="12" spans="1:35" ht="20.100000000000001" customHeight="1" x14ac:dyDescent="0.25">
      <c r="A12" s="16"/>
      <c r="D12" s="12" t="str">
        <v>Added sub-categories for 'Composting: All organic waste' in order to use volume to mass conversion factor values</v>
      </c>
    </row>
    <row r="13" spans="1:35" ht="20.100000000000001" customHeight="1" x14ac:dyDescent="0.25">
      <c r="A13" s="23" t="s">
        <v>78</v>
      </c>
      <c r="D13" s="12" t="str">
        <v>Added sub-categories for 'Anaerobic digestion: All organic waste' in order to use volume to mass conversion factor values</v>
      </c>
    </row>
    <row r="14" spans="1:35" ht="20.100000000000001" customHeight="1" x14ac:dyDescent="0.25">
      <c r="A14" s="24" t="str">
        <f>HYPERLINK("#'Constants - Solid waste'!A1", "Constants - Solid waste")</f>
        <v>Constants - Solid waste</v>
      </c>
      <c r="D14" s="8" t="str" cm="1">
        <f t="array" ref="D14">WasteSolid_SourceData.Waste_EmissionFactorsForWasteTreatment_Variable()</f>
        <v>EFwt</v>
      </c>
    </row>
    <row r="15" spans="1:35" ht="20.100000000000001" customHeight="1" x14ac:dyDescent="0.25">
      <c r="A15" s="16" t="str">
        <f>HYPERLINK("#'Constants - Common'!A1", "Constants - Common")</f>
        <v>Constants - Common</v>
      </c>
      <c r="D15" s="13" t="str" cm="1">
        <f t="array" ref="D15">WasteSolid_SourceData.Waste_EmissionFactorsForWasteTreatment_Unit()</f>
        <v>t CO2e / t</v>
      </c>
      <c r="I15" s="8" t="s">
        <v>778</v>
      </c>
      <c r="K15" s="8" t="s">
        <v>779</v>
      </c>
      <c r="M15" s="8" t="s">
        <v>780</v>
      </c>
      <c r="O15" s="8" t="s">
        <v>781</v>
      </c>
    </row>
    <row r="16" spans="1:35" ht="20.100000000000001" customHeight="1" x14ac:dyDescent="0.25">
      <c r="D16" s="10" t="s">
        <v>782</v>
      </c>
      <c r="E16" s="10" t="s">
        <v>783</v>
      </c>
      <c r="F16" s="10" t="s">
        <v>784</v>
      </c>
      <c r="G16" s="10" t="s">
        <v>785</v>
      </c>
      <c r="I16" s="10" t="s">
        <v>783</v>
      </c>
      <c r="K16" s="164" t="s">
        <v>783</v>
      </c>
      <c r="M16" s="164" t="s">
        <v>783</v>
      </c>
      <c r="O16" s="164" t="s">
        <v>783</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4"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4"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4"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4"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4"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4"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4"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4"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4"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4"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4"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4"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6" t="str">
        <f>HYPERLINK("#A1", "▲ Back to top")</f>
        <v>▲ Back to top</v>
      </c>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4"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4"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9" t="str" cm="1">
        <f t="array" ref="D52">WasteSolid_SourceData.Waste_WasteVolumeToMassConversion_Title()</f>
        <v>Volume to mass conversion factor for various waste types</v>
      </c>
    </row>
    <row r="53" spans="1:7" ht="20.100000000000001" customHeight="1" x14ac:dyDescent="0.25">
      <c r="D53" s="11" t="str" cm="1">
        <f t="array" ref="D53">WasteSolid_SourceData.Waste_WasteVolumeToMassConversion_Source()</f>
        <v>VEERG 2026: Table A.4.1.2</v>
      </c>
    </row>
    <row r="54" spans="1:7" ht="20.100000000000001" customHeight="1" x14ac:dyDescent="0.25">
      <c r="D54" s="12" t="str" cm="1">
        <f t="array" ref="D54">WasteSolid_SourceData.Waste_WasteVolumeToMassConversion_Variation()</f>
        <v>VARIATION OF SOURCE: Changed column header CFw to VTMw to match title variable.</v>
      </c>
    </row>
    <row r="55" spans="1:7" ht="20.100000000000001" customHeight="1" x14ac:dyDescent="0.25">
      <c r="D55" s="8" t="str" cm="1">
        <f t="array" ref="D55">WasteSolid_SourceData.Waste_WasteVolumeToMassConversion_Variable()</f>
        <v>VTMw</v>
      </c>
    </row>
    <row r="56" spans="1:7" ht="20.100000000000001" customHeight="1" x14ac:dyDescent="0.25">
      <c r="D56" s="13" t="str" cm="1">
        <f t="array" ref="D56">WasteSolid_SourceData.Waste_WasteVolumeToMassConversion_Unit()</f>
        <v>t/m3</v>
      </c>
    </row>
    <row r="57" spans="1:7" ht="20.100000000000001" customHeight="1" x14ac:dyDescent="0.25">
      <c r="D57" s="10" t="s">
        <v>783</v>
      </c>
      <c r="E57" s="10" t="s">
        <v>786</v>
      </c>
    </row>
    <row r="58" spans="1: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c r="A77" s="56" t="str">
        <f>HYPERLINK("#A1", "▲ Back to top")</f>
        <v>▲ Back to top</v>
      </c>
    </row>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717</v>
      </c>
      <c r="F112" s="20" t="s">
        <v>718</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578</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579</v>
      </c>
      <c r="E8" s="10" t="s">
        <v>580</v>
      </c>
      <c r="F8" s="10" t="s">
        <v>581</v>
      </c>
      <c r="G8" s="10" t="s">
        <v>582</v>
      </c>
      <c r="H8" s="10" t="s">
        <v>583</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584</v>
      </c>
      <c r="E19" s="10" t="s">
        <v>585</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586</v>
      </c>
      <c r="G26" s="9" t="s">
        <v>587</v>
      </c>
      <c r="J26" s="9" t="s">
        <v>588</v>
      </c>
      <c r="M26" s="8"/>
    </row>
    <row r="27" spans="1:13" ht="20.100000000000001" customHeight="1" x14ac:dyDescent="0.25">
      <c r="M27" s="8"/>
    </row>
    <row r="28" spans="1:13" ht="20.100000000000001" customHeight="1" x14ac:dyDescent="0.25">
      <c r="D28" s="163" t="s">
        <v>528</v>
      </c>
      <c r="E28" s="10" t="s">
        <v>331</v>
      </c>
      <c r="G28" s="163" t="s">
        <v>528</v>
      </c>
      <c r="H28" s="10" t="s">
        <v>331</v>
      </c>
      <c r="J28" s="163" t="s">
        <v>528</v>
      </c>
      <c r="K28" s="10" t="s">
        <v>331</v>
      </c>
      <c r="M28" s="8"/>
    </row>
    <row r="29" spans="1:13" ht="20.100000000000001" customHeight="1" x14ac:dyDescent="0.25">
      <c r="D29" s="10" t="s">
        <v>58</v>
      </c>
      <c r="E29" s="10" t="s">
        <v>589</v>
      </c>
      <c r="G29" s="10" t="s">
        <v>58</v>
      </c>
      <c r="H29" s="10" t="s">
        <v>589</v>
      </c>
      <c r="J29" s="10" t="s">
        <v>55</v>
      </c>
      <c r="K29" s="10" t="s">
        <v>590</v>
      </c>
      <c r="M29" s="8"/>
    </row>
    <row r="30" spans="1:13" ht="20.100000000000001" customHeight="1" x14ac:dyDescent="0.25">
      <c r="D30" s="10" t="s">
        <v>591</v>
      </c>
      <c r="E30" s="10" t="s">
        <v>592</v>
      </c>
      <c r="G30" s="10" t="s">
        <v>591</v>
      </c>
      <c r="H30" s="10" t="s">
        <v>592</v>
      </c>
      <c r="J30" s="10" t="s">
        <v>54</v>
      </c>
      <c r="K30" s="10" t="s">
        <v>593</v>
      </c>
      <c r="M30" s="8"/>
    </row>
    <row r="31" spans="1:13" ht="20.100000000000001" customHeight="1" x14ac:dyDescent="0.25">
      <c r="D31" s="10" t="s">
        <v>594</v>
      </c>
      <c r="E31" s="10" t="s">
        <v>595</v>
      </c>
      <c r="G31" s="10" t="s">
        <v>594</v>
      </c>
      <c r="H31" s="10" t="s">
        <v>595</v>
      </c>
      <c r="J31" s="8" t="s">
        <v>51</v>
      </c>
      <c r="K31" s="8" t="s">
        <v>596</v>
      </c>
      <c r="M31" s="8"/>
    </row>
    <row r="32" spans="1:13" ht="20.100000000000001" customHeight="1" x14ac:dyDescent="0.25">
      <c r="D32" s="10" t="s">
        <v>62</v>
      </c>
      <c r="E32" s="10" t="s">
        <v>597</v>
      </c>
      <c r="G32" s="10" t="s">
        <v>62</v>
      </c>
      <c r="H32" s="10" t="s">
        <v>597</v>
      </c>
      <c r="J32" s="10" t="s">
        <v>60</v>
      </c>
      <c r="K32" s="10" t="s">
        <v>598</v>
      </c>
      <c r="M32" s="8"/>
    </row>
    <row r="33" spans="4:13" ht="20.100000000000001" customHeight="1" x14ac:dyDescent="0.25">
      <c r="D33" s="10" t="s">
        <v>55</v>
      </c>
      <c r="E33" s="10" t="s">
        <v>590</v>
      </c>
      <c r="G33" s="8" t="s">
        <v>599</v>
      </c>
      <c r="H33" s="10" t="s">
        <v>599</v>
      </c>
      <c r="J33" s="10" t="s">
        <v>61</v>
      </c>
      <c r="K33" s="10" t="s">
        <v>600</v>
      </c>
      <c r="M33" s="8"/>
    </row>
    <row r="34" spans="4:13" ht="20.100000000000001" customHeight="1" x14ac:dyDescent="0.25">
      <c r="D34" s="10" t="s">
        <v>54</v>
      </c>
      <c r="E34" s="10" t="s">
        <v>593</v>
      </c>
      <c r="J34" s="8" t="s">
        <v>599</v>
      </c>
      <c r="K34" s="10" t="s">
        <v>599</v>
      </c>
      <c r="M34" s="8"/>
    </row>
    <row r="35" spans="4:13" ht="20.100000000000001" customHeight="1" x14ac:dyDescent="0.25">
      <c r="D35" s="8" t="s">
        <v>51</v>
      </c>
      <c r="E35" s="8" t="s">
        <v>596</v>
      </c>
      <c r="M35" s="8"/>
    </row>
    <row r="36" spans="4:13" ht="20.100000000000001" customHeight="1" x14ac:dyDescent="0.25">
      <c r="D36" s="10" t="s">
        <v>60</v>
      </c>
      <c r="E36" s="10" t="s">
        <v>598</v>
      </c>
      <c r="M36" s="8"/>
    </row>
    <row r="37" spans="4:13" ht="20.100000000000001" customHeight="1" x14ac:dyDescent="0.25">
      <c r="D37" s="10" t="s">
        <v>61</v>
      </c>
      <c r="E37" s="10" t="s">
        <v>600</v>
      </c>
      <c r="M37" s="8"/>
    </row>
    <row r="38" spans="4:13" ht="20.100000000000001" customHeight="1" x14ac:dyDescent="0.25">
      <c r="D38" s="8" t="s">
        <v>599</v>
      </c>
      <c r="E38" s="10" t="s">
        <v>599</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601</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536</v>
      </c>
      <c r="E59" s="10" t="s">
        <v>602</v>
      </c>
      <c r="F59" s="10" t="s">
        <v>338</v>
      </c>
      <c r="G59" s="10" t="s">
        <v>314</v>
      </c>
      <c r="H59" s="10" t="s">
        <v>339</v>
      </c>
      <c r="I59" s="10" t="s">
        <v>438</v>
      </c>
      <c r="J59" s="10" t="s">
        <v>344</v>
      </c>
      <c r="K59" s="10" t="s">
        <v>396</v>
      </c>
      <c r="L59" s="10" t="s">
        <v>345</v>
      </c>
      <c r="M59" s="10" t="s">
        <v>393</v>
      </c>
      <c r="N59" s="10" t="s">
        <v>553</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528</v>
      </c>
      <c r="E75" s="10" t="s">
        <v>559</v>
      </c>
      <c r="F75" s="10" t="s">
        <v>553</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565</v>
      </c>
      <c r="E84" s="10" t="s">
        <v>566</v>
      </c>
      <c r="F84" s="10" t="s">
        <v>537</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565</v>
      </c>
      <c r="E97" s="10" t="s">
        <v>567</v>
      </c>
      <c r="F97" s="10" t="s">
        <v>537</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603</v>
      </c>
      <c r="E119" s="10" t="s">
        <v>569</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549</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550</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1" t="s">
        <v>551</v>
      </c>
      <c r="M24" s="8"/>
    </row>
    <row r="25" spans="1:13" ht="20.100000000000001" customHeight="1" x14ac:dyDescent="0.25">
      <c r="D25" s="11" t="str" cm="1">
        <f t="array" ref="D25">SourceData_Swine.SourceData_Swine_MMS_MCFs_Source()</f>
        <v>VEERG 2026: Table A.1.6.4: Swine - MCFs (MCFim)</v>
      </c>
      <c r="H25" s="161" t="s">
        <v>552</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528</v>
      </c>
      <c r="E28" s="10" t="s">
        <v>338</v>
      </c>
      <c r="F28" s="10" t="s">
        <v>314</v>
      </c>
      <c r="G28" s="10" t="s">
        <v>339</v>
      </c>
      <c r="H28" s="10" t="s">
        <v>438</v>
      </c>
      <c r="I28" s="10" t="s">
        <v>396</v>
      </c>
      <c r="J28" s="10" t="s">
        <v>393</v>
      </c>
      <c r="K28" s="10" t="s">
        <v>344</v>
      </c>
      <c r="L28" s="10" t="s">
        <v>345</v>
      </c>
      <c r="M28" s="10" t="s">
        <v>553</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554</v>
      </c>
      <c r="G38" s="9" t="s">
        <v>555</v>
      </c>
      <c r="K38" s="9" t="s">
        <v>556</v>
      </c>
      <c r="M38" s="8"/>
    </row>
    <row r="39" spans="4:13" ht="20.100000000000001" customHeight="1" x14ac:dyDescent="0.25">
      <c r="M39" s="8"/>
    </row>
    <row r="40" spans="4:13" ht="20.100000000000001" customHeight="1" x14ac:dyDescent="0.25">
      <c r="D40" s="163" t="s">
        <v>528</v>
      </c>
      <c r="E40" s="10" t="s">
        <v>331</v>
      </c>
      <c r="G40" s="163" t="s">
        <v>528</v>
      </c>
      <c r="H40" s="10" t="s">
        <v>331</v>
      </c>
      <c r="K40" s="163" t="s">
        <v>528</v>
      </c>
      <c r="L40" s="10" t="s">
        <v>331</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557</v>
      </c>
      <c r="G51" s="9" t="s">
        <v>558</v>
      </c>
      <c r="M51" s="8"/>
    </row>
    <row r="52" spans="1:13" ht="20.100000000000001" customHeight="1" x14ac:dyDescent="0.25">
      <c r="M52" s="8"/>
    </row>
    <row r="53" spans="1:13" ht="20.100000000000001" customHeight="1" x14ac:dyDescent="0.25">
      <c r="D53" s="163" t="s">
        <v>528</v>
      </c>
      <c r="E53" s="10" t="s">
        <v>559</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324</v>
      </c>
      <c r="E67" s="10" t="s">
        <v>560</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324</v>
      </c>
      <c r="E78" s="10" t="s">
        <v>561</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324</v>
      </c>
      <c r="E89" s="10" t="s">
        <v>562</v>
      </c>
      <c r="F89" s="10" t="s">
        <v>563</v>
      </c>
      <c r="G89" s="10" t="s">
        <v>564</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565</v>
      </c>
      <c r="E99" s="10" t="s">
        <v>566</v>
      </c>
      <c r="F99" s="10" t="s">
        <v>537</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565</v>
      </c>
      <c r="E111" s="10" t="s">
        <v>567</v>
      </c>
      <c r="F111" s="10" t="s">
        <v>537</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568</v>
      </c>
      <c r="E127" s="10" t="s">
        <v>569</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525</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526</v>
      </c>
      <c r="G5" s="9" t="s">
        <v>527</v>
      </c>
      <c r="J5" s="9" t="s">
        <v>143</v>
      </c>
      <c r="M5" s="8"/>
    </row>
    <row r="6" spans="1:21" ht="20.100000000000001" customHeight="1" x14ac:dyDescent="0.25">
      <c r="A6" s="18"/>
      <c r="M6" s="8"/>
    </row>
    <row r="7" spans="1:21" ht="20.100000000000001" customHeight="1" x14ac:dyDescent="0.25">
      <c r="A7" s="19"/>
      <c r="D7" s="163" t="s">
        <v>528</v>
      </c>
      <c r="E7" s="10" t="s">
        <v>331</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507</v>
      </c>
      <c r="E21" s="10" t="s">
        <v>520</v>
      </c>
      <c r="F21" s="10" t="s">
        <v>529</v>
      </c>
      <c r="G21" s="10" t="s">
        <v>521</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507</v>
      </c>
      <c r="E38" s="10" t="s">
        <v>530</v>
      </c>
      <c r="F38" s="10" t="s">
        <v>531</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520</v>
      </c>
      <c r="E46" s="10" t="s">
        <v>529</v>
      </c>
      <c r="F46" s="10" t="s">
        <v>521</v>
      </c>
      <c r="G46" s="10" t="s">
        <v>530</v>
      </c>
      <c r="H46" s="10" t="s">
        <v>531</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4" t="s">
        <v>520</v>
      </c>
      <c r="E54" s="164" t="s">
        <v>529</v>
      </c>
      <c r="F54" s="164" t="s">
        <v>521</v>
      </c>
      <c r="G54" s="164" t="s">
        <v>530</v>
      </c>
      <c r="H54" s="164" t="s">
        <v>531</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532</v>
      </c>
      <c r="E62" s="10" t="s">
        <v>533</v>
      </c>
      <c r="F62" s="10" t="s">
        <v>534</v>
      </c>
      <c r="G62" s="10" t="s">
        <v>535</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536</v>
      </c>
      <c r="E72" s="10" t="s">
        <v>314</v>
      </c>
      <c r="F72" s="10" t="s">
        <v>338</v>
      </c>
      <c r="G72" s="10" t="s">
        <v>438</v>
      </c>
      <c r="H72" s="10" t="s">
        <v>339</v>
      </c>
      <c r="I72" s="10" t="s">
        <v>396</v>
      </c>
      <c r="J72" s="10" t="s">
        <v>393</v>
      </c>
      <c r="K72" s="10" t="s">
        <v>344</v>
      </c>
      <c r="L72" s="10" t="s">
        <v>345</v>
      </c>
      <c r="M72" s="10" t="s">
        <v>537</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536</v>
      </c>
      <c r="E86" s="10" t="s">
        <v>538</v>
      </c>
      <c r="F86" s="10" t="s">
        <v>539</v>
      </c>
      <c r="G86" s="10" t="s">
        <v>537</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532</v>
      </c>
      <c r="E98" s="10" t="s">
        <v>540</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532</v>
      </c>
      <c r="E107" s="10" t="s">
        <v>541</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542</v>
      </c>
      <c r="E116" s="10" t="s">
        <v>147</v>
      </c>
      <c r="F116" s="10" t="s">
        <v>543</v>
      </c>
      <c r="G116" s="10" t="s">
        <v>544</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536</v>
      </c>
      <c r="E128" s="10" t="s">
        <v>538</v>
      </c>
      <c r="F128" s="10" t="s">
        <v>537</v>
      </c>
      <c r="G128" s="161" t="s">
        <v>545</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532</v>
      </c>
      <c r="E141" s="10" t="s">
        <v>546</v>
      </c>
      <c r="F141" s="10" t="s">
        <v>547</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8"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85" zoomScaleNormal="85" workbookViewId="0">
      <selection activeCell="O28" sqref="O17:O2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449</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450</v>
      </c>
      <c r="G5" s="9" t="s">
        <v>143</v>
      </c>
      <c r="M5" s="8" t="s">
        <v>451</v>
      </c>
      <c r="O5" s="8" t="s">
        <v>452</v>
      </c>
      <c r="Q5" s="8" t="s">
        <v>453</v>
      </c>
      <c r="S5" s="8" t="s">
        <v>454</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389</v>
      </c>
      <c r="O7" s="10" t="s">
        <v>389</v>
      </c>
      <c r="Q7" s="10" t="s">
        <v>389</v>
      </c>
      <c r="S7" s="10" t="s">
        <v>389</v>
      </c>
    </row>
    <row r="8" spans="1:21" ht="20.100000000000001" customHeight="1" x14ac:dyDescent="0.25">
      <c r="A8" s="16" t="str">
        <f>HYPERLINK("#'Input - Pasture Beef'!A1", "Pasture Beef")</f>
        <v>Pasture Beef</v>
      </c>
      <c r="D8" s="10" t="str">
        <f>'Constants - Common'!$F$187</f>
        <v>Pasture</v>
      </c>
      <c r="G8" s="10" t="s">
        <v>148</v>
      </c>
      <c r="M8" s="10" t="s">
        <v>455</v>
      </c>
      <c r="O8" s="10" t="s">
        <v>456</v>
      </c>
      <c r="Q8" s="10" t="s">
        <v>457</v>
      </c>
      <c r="S8" s="10" t="s">
        <v>437</v>
      </c>
    </row>
    <row r="9" spans="1:21" ht="20.100000000000001" customHeight="1" x14ac:dyDescent="0.25">
      <c r="A9" s="16"/>
      <c r="D9" s="8" t="str">
        <f>'Constants - Common'!$F$188</f>
        <v>Crop</v>
      </c>
      <c r="G9" s="10" t="s">
        <v>152</v>
      </c>
      <c r="M9" s="10" t="s">
        <v>458</v>
      </c>
      <c r="O9" s="10" t="s">
        <v>459</v>
      </c>
      <c r="Q9" s="10" t="s">
        <v>460</v>
      </c>
    </row>
    <row r="10" spans="1:21" ht="20.100000000000001" customHeight="1" x14ac:dyDescent="0.25">
      <c r="A10" s="21" t="s">
        <v>77</v>
      </c>
      <c r="G10" s="8" t="s">
        <v>155</v>
      </c>
      <c r="M10" s="10" t="s">
        <v>461</v>
      </c>
      <c r="O10" s="10" t="s">
        <v>462</v>
      </c>
      <c r="Q10" s="10" t="s">
        <v>463</v>
      </c>
      <c r="S10" s="8" t="s">
        <v>464</v>
      </c>
    </row>
    <row r="11" spans="1:21" ht="20.100000000000001" customHeight="1" x14ac:dyDescent="0.25">
      <c r="A11" s="16" t="str">
        <f>HYPERLINK("#'3.2.1.1-2 Enteric Methane'!A1", "3.2.1.1-2 Enteric Methane")</f>
        <v>3.2.1.1-2 Enteric Methane</v>
      </c>
      <c r="G11" s="8" t="s">
        <v>158</v>
      </c>
      <c r="M11" s="8"/>
      <c r="Q11" s="10" t="s">
        <v>465</v>
      </c>
    </row>
    <row r="12" spans="1:21" ht="20.100000000000001" customHeight="1" x14ac:dyDescent="0.25">
      <c r="A12" s="16"/>
      <c r="G12" s="8" t="s">
        <v>160</v>
      </c>
      <c r="M12" s="8"/>
      <c r="S12" s="10" t="s">
        <v>389</v>
      </c>
    </row>
    <row r="13" spans="1:21" ht="20.100000000000001" customHeight="1" x14ac:dyDescent="0.25">
      <c r="A13" s="23" t="s">
        <v>78</v>
      </c>
      <c r="M13" s="8"/>
      <c r="S13" s="10" t="s">
        <v>437</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466</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O17" s="8" t="s">
        <v>518</v>
      </c>
      <c r="S17" s="10" t="s">
        <v>389</v>
      </c>
    </row>
    <row r="18" spans="1:19" ht="20.100000000000001" customHeight="1" x14ac:dyDescent="0.25">
      <c r="D18" s="10" t="s">
        <v>279</v>
      </c>
      <c r="E18" s="10" t="s">
        <v>389</v>
      </c>
      <c r="F18" s="10" t="s">
        <v>47</v>
      </c>
      <c r="G18" s="10" t="s">
        <v>467</v>
      </c>
      <c r="H18" s="10" t="s">
        <v>468</v>
      </c>
      <c r="I18" s="10" t="s">
        <v>469</v>
      </c>
      <c r="J18" s="10" t="s">
        <v>470</v>
      </c>
      <c r="K18" s="10" t="s">
        <v>471</v>
      </c>
      <c r="L18" s="10" t="s">
        <v>472</v>
      </c>
      <c r="M18" s="10" t="s">
        <v>473</v>
      </c>
      <c r="O18" s="10" t="s">
        <v>286</v>
      </c>
      <c r="S18" s="10" t="s">
        <v>437</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474</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389</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437</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475</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389</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437</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279</v>
      </c>
      <c r="E53" s="10" t="s">
        <v>389</v>
      </c>
      <c r="F53" s="10" t="s">
        <v>47</v>
      </c>
      <c r="G53" s="10" t="s">
        <v>476</v>
      </c>
      <c r="H53" s="10" t="s">
        <v>477</v>
      </c>
      <c r="I53" s="10" t="s">
        <v>478</v>
      </c>
      <c r="J53" s="10" t="s">
        <v>479</v>
      </c>
      <c r="K53" s="10" t="s">
        <v>480</v>
      </c>
      <c r="L53" s="10" t="s">
        <v>481</v>
      </c>
      <c r="M53" s="10" t="s">
        <v>482</v>
      </c>
      <c r="N53" s="10" t="s">
        <v>483</v>
      </c>
      <c r="O53" s="10" t="s">
        <v>484</v>
      </c>
      <c r="P53" s="10" t="s">
        <v>485</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486</v>
      </c>
      <c r="M84" s="8"/>
    </row>
    <row r="85" spans="4:22" ht="20.100000000000001" customHeight="1" x14ac:dyDescent="0.25">
      <c r="D85" s="10" t="s">
        <v>279</v>
      </c>
      <c r="E85" s="10" t="s">
        <v>389</v>
      </c>
      <c r="F85" s="10" t="s">
        <v>47</v>
      </c>
      <c r="G85" s="160" t="s">
        <v>487</v>
      </c>
      <c r="H85" s="160" t="s">
        <v>488</v>
      </c>
      <c r="I85" s="160" t="s">
        <v>489</v>
      </c>
      <c r="J85" s="160" t="s">
        <v>490</v>
      </c>
      <c r="K85" s="160" t="s">
        <v>491</v>
      </c>
      <c r="L85" s="160" t="s">
        <v>492</v>
      </c>
      <c r="M85" s="160" t="s">
        <v>493</v>
      </c>
      <c r="N85" s="160" t="s">
        <v>494</v>
      </c>
      <c r="O85" s="160" t="s">
        <v>495</v>
      </c>
      <c r="P85" s="160" t="s">
        <v>496</v>
      </c>
      <c r="V85" s="8"/>
    </row>
    <row r="86" spans="4:22" ht="20.100000000000001" customHeight="1" x14ac:dyDescent="0.25">
      <c r="D86" s="10" t="s">
        <v>314</v>
      </c>
      <c r="E86" s="10" t="s">
        <v>437</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314</v>
      </c>
      <c r="E87" s="10" t="s">
        <v>437</v>
      </c>
      <c r="F87" s="10" t="s">
        <v>497</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314</v>
      </c>
      <c r="E88" s="10" t="s">
        <v>437</v>
      </c>
      <c r="F88" s="10" t="s">
        <v>498</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314</v>
      </c>
      <c r="E89" s="10" t="s">
        <v>437</v>
      </c>
      <c r="F89" s="10" t="s">
        <v>499</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338</v>
      </c>
      <c r="E90" s="10" t="s">
        <v>437</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338</v>
      </c>
      <c r="E91" s="10" t="s">
        <v>437</v>
      </c>
      <c r="F91" s="10" t="s">
        <v>497</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338</v>
      </c>
      <c r="E92" s="10" t="s">
        <v>437</v>
      </c>
      <c r="F92" s="10" t="s">
        <v>498</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338</v>
      </c>
      <c r="E93" s="10" t="s">
        <v>437</v>
      </c>
      <c r="F93" s="10" t="s">
        <v>499</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396</v>
      </c>
      <c r="E94" s="10" t="s">
        <v>437</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396</v>
      </c>
      <c r="E95" s="10" t="s">
        <v>437</v>
      </c>
      <c r="F95" s="10" t="s">
        <v>497</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396</v>
      </c>
      <c r="E96" s="10" t="s">
        <v>437</v>
      </c>
      <c r="F96" s="10" t="s">
        <v>498</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396</v>
      </c>
      <c r="E97" s="10" t="s">
        <v>437</v>
      </c>
      <c r="F97" s="10" t="s">
        <v>499</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393</v>
      </c>
      <c r="E98" s="10" t="s">
        <v>437</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393</v>
      </c>
      <c r="E99" s="10" t="s">
        <v>437</v>
      </c>
      <c r="F99" s="10" t="s">
        <v>497</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393</v>
      </c>
      <c r="E100" s="10" t="s">
        <v>437</v>
      </c>
      <c r="F100" s="10" t="s">
        <v>498</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393</v>
      </c>
      <c r="E101" s="10" t="s">
        <v>437</v>
      </c>
      <c r="F101" s="10" t="s">
        <v>499</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344</v>
      </c>
      <c r="E102" s="10" t="s">
        <v>437</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344</v>
      </c>
      <c r="E103" s="10" t="s">
        <v>437</v>
      </c>
      <c r="F103" s="10" t="s">
        <v>497</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344</v>
      </c>
      <c r="E104" s="10" t="s">
        <v>437</v>
      </c>
      <c r="F104" s="10" t="s">
        <v>498</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344</v>
      </c>
      <c r="E105" s="10" t="s">
        <v>437</v>
      </c>
      <c r="F105" s="10" t="s">
        <v>499</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345</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345</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345</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345</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345</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345</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345</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345</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345</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345</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345</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345</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438</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438</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438</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438</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438</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438</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438</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438</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438</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438</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438</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438</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339</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339</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339</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339</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339</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339</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339</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339</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339</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339</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339</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339</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339</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339</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339</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339</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337</v>
      </c>
      <c r="E146" s="8" t="s">
        <v>437</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337</v>
      </c>
      <c r="E147" s="8" t="s">
        <v>437</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337</v>
      </c>
      <c r="E148" s="8" t="s">
        <v>437</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337</v>
      </c>
      <c r="E149" s="8" t="s">
        <v>437</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279</v>
      </c>
      <c r="E154" s="10" t="s">
        <v>389</v>
      </c>
      <c r="F154" s="10" t="s">
        <v>47</v>
      </c>
      <c r="G154" s="10" t="s">
        <v>476</v>
      </c>
      <c r="H154" s="10" t="s">
        <v>477</v>
      </c>
      <c r="I154" s="10" t="s">
        <v>500</v>
      </c>
      <c r="J154" s="10" t="s">
        <v>470</v>
      </c>
      <c r="K154" s="10" t="s">
        <v>501</v>
      </c>
      <c r="L154" s="10" t="s">
        <v>482</v>
      </c>
      <c r="M154" s="10" t="s">
        <v>502</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279</v>
      </c>
      <c r="E189" s="10" t="s">
        <v>389</v>
      </c>
      <c r="F189" s="10" t="s">
        <v>47</v>
      </c>
      <c r="G189" s="10" t="s">
        <v>476</v>
      </c>
      <c r="H189" s="10" t="s">
        <v>477</v>
      </c>
      <c r="I189" s="10" t="s">
        <v>500</v>
      </c>
      <c r="J189" s="10" t="s">
        <v>470</v>
      </c>
      <c r="K189" s="10" t="s">
        <v>503</v>
      </c>
      <c r="L189" s="10" t="s">
        <v>504</v>
      </c>
      <c r="M189" s="10" t="s">
        <v>482</v>
      </c>
      <c r="N189" s="10" t="s">
        <v>483</v>
      </c>
      <c r="O189" s="10" t="s">
        <v>484</v>
      </c>
      <c r="P189" s="10" t="s">
        <v>485</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486</v>
      </c>
      <c r="M220" s="8"/>
    </row>
    <row r="221" spans="4:16" x14ac:dyDescent="0.25">
      <c r="M221" s="8"/>
    </row>
    <row r="222" spans="4:16" x14ac:dyDescent="0.25">
      <c r="D222" s="10" t="s">
        <v>279</v>
      </c>
      <c r="E222" s="10" t="s">
        <v>389</v>
      </c>
      <c r="F222" s="10" t="s">
        <v>47</v>
      </c>
      <c r="G222" s="160" t="s">
        <v>487</v>
      </c>
      <c r="H222" s="160" t="s">
        <v>488</v>
      </c>
      <c r="I222" s="160" t="s">
        <v>489</v>
      </c>
      <c r="J222" s="160" t="s">
        <v>490</v>
      </c>
      <c r="K222" s="160" t="s">
        <v>491</v>
      </c>
      <c r="L222" s="160" t="s">
        <v>492</v>
      </c>
      <c r="M222" s="160" t="s">
        <v>493</v>
      </c>
      <c r="N222" s="160" t="s">
        <v>494</v>
      </c>
      <c r="O222" s="160" t="s">
        <v>495</v>
      </c>
      <c r="P222" s="160" t="s">
        <v>496</v>
      </c>
    </row>
    <row r="223" spans="4:16" x14ac:dyDescent="0.25">
      <c r="D223" s="10" t="s">
        <v>314</v>
      </c>
      <c r="E223" s="10" t="s">
        <v>437</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314</v>
      </c>
      <c r="E224" s="10" t="s">
        <v>437</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314</v>
      </c>
      <c r="E225" s="10" t="s">
        <v>437</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314</v>
      </c>
      <c r="E226" s="10" t="s">
        <v>437</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338</v>
      </c>
      <c r="E227" s="10" t="s">
        <v>437</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338</v>
      </c>
      <c r="E228" s="10" t="s">
        <v>437</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338</v>
      </c>
      <c r="E229" s="10" t="s">
        <v>437</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338</v>
      </c>
      <c r="E230" s="10" t="s">
        <v>437</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396</v>
      </c>
      <c r="E231" s="10" t="s">
        <v>437</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396</v>
      </c>
      <c r="E232" s="10" t="s">
        <v>437</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396</v>
      </c>
      <c r="E233" s="10" t="s">
        <v>437</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396</v>
      </c>
      <c r="E234" s="10" t="s">
        <v>437</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393</v>
      </c>
      <c r="E235" s="10" t="s">
        <v>437</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393</v>
      </c>
      <c r="E236" s="10" t="s">
        <v>437</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393</v>
      </c>
      <c r="E237" s="10" t="s">
        <v>437</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393</v>
      </c>
      <c r="E238" s="10" t="s">
        <v>437</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344</v>
      </c>
      <c r="E239" s="10" t="s">
        <v>437</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344</v>
      </c>
      <c r="E240" s="10" t="s">
        <v>437</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344</v>
      </c>
      <c r="E241" s="10" t="s">
        <v>437</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344</v>
      </c>
      <c r="E242" s="10" t="s">
        <v>437</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345</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345</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345</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345</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345</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345</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345</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345</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345</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345</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345</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345</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438</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438</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438</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438</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438</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438</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438</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438</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438</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438</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438</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438</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339</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339</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339</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339</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339</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339</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339</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339</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339</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339</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339</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339</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339</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339</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339</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339</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279</v>
      </c>
      <c r="E290" s="10" t="s">
        <v>389</v>
      </c>
      <c r="F290" s="10" t="s">
        <v>505</v>
      </c>
      <c r="G290" s="10" t="s">
        <v>497</v>
      </c>
      <c r="H290" s="10" t="s">
        <v>498</v>
      </c>
      <c r="I290" s="10" t="s">
        <v>499</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279</v>
      </c>
      <c r="E313" s="10" t="s">
        <v>389</v>
      </c>
      <c r="F313" s="10" t="s">
        <v>505</v>
      </c>
      <c r="G313" s="10" t="s">
        <v>497</v>
      </c>
      <c r="H313" s="10" t="s">
        <v>498</v>
      </c>
      <c r="I313" s="10" t="s">
        <v>499</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506</v>
      </c>
      <c r="M333" s="8"/>
    </row>
    <row r="334" spans="4:13" x14ac:dyDescent="0.25">
      <c r="D334" s="10" t="s">
        <v>507</v>
      </c>
      <c r="E334" s="10" t="s">
        <v>47</v>
      </c>
      <c r="F334" s="10" t="s">
        <v>508</v>
      </c>
      <c r="G334" s="10" t="s">
        <v>509</v>
      </c>
      <c r="I334" s="10" t="s">
        <v>507</v>
      </c>
      <c r="J334" s="10" t="s">
        <v>47</v>
      </c>
      <c r="K334" s="10" t="s">
        <v>508</v>
      </c>
      <c r="L334" s="10" t="s">
        <v>509</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510</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511</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510</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511</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279</v>
      </c>
      <c r="E350" s="10" t="s">
        <v>512</v>
      </c>
      <c r="F350" s="10" t="s">
        <v>513</v>
      </c>
      <c r="G350" s="10" t="s">
        <v>478</v>
      </c>
      <c r="H350" s="10" t="s">
        <v>479</v>
      </c>
      <c r="I350" s="10" t="s">
        <v>514</v>
      </c>
      <c r="J350" s="10" t="s">
        <v>482</v>
      </c>
      <c r="K350" s="10" t="s">
        <v>502</v>
      </c>
      <c r="L350" s="10" t="s">
        <v>515</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279</v>
      </c>
      <c r="E361" s="160" t="s">
        <v>487</v>
      </c>
      <c r="F361" s="160" t="s">
        <v>488</v>
      </c>
      <c r="G361" s="160" t="s">
        <v>489</v>
      </c>
      <c r="H361" s="160" t="s">
        <v>490</v>
      </c>
      <c r="I361" s="160" t="s">
        <v>491</v>
      </c>
      <c r="J361" s="160" t="s">
        <v>492</v>
      </c>
      <c r="K361" s="160" t="s">
        <v>493</v>
      </c>
      <c r="L361" s="160" t="s">
        <v>494</v>
      </c>
      <c r="M361" s="160" t="s">
        <v>495</v>
      </c>
      <c r="N361" s="160" t="s">
        <v>496</v>
      </c>
      <c r="O361" s="10" t="s">
        <v>515</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1" t="s">
        <v>516</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279</v>
      </c>
      <c r="E377" s="10" t="s">
        <v>389</v>
      </c>
      <c r="F377" s="10" t="s">
        <v>62</v>
      </c>
      <c r="G377" s="10" t="s">
        <v>517</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279</v>
      </c>
      <c r="E400" s="10" t="s">
        <v>389</v>
      </c>
      <c r="F400" s="10" t="s">
        <v>62</v>
      </c>
      <c r="G400" s="10" t="s">
        <v>517</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14"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329</v>
      </c>
      <c r="E6" s="10" t="s">
        <v>330</v>
      </c>
      <c r="F6" s="10" t="s">
        <v>331</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217</v>
      </c>
      <c r="E28" s="10" t="s">
        <v>332</v>
      </c>
      <c r="F28" s="8" t="s">
        <v>333</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217</v>
      </c>
      <c r="E40" s="10" t="s">
        <v>332</v>
      </c>
      <c r="F40" s="8" t="s">
        <v>334</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217</v>
      </c>
      <c r="E51" s="10" t="s">
        <v>332</v>
      </c>
      <c r="F51" s="8" t="s">
        <v>340</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217</v>
      </c>
      <c r="E56" s="10" t="s">
        <v>332</v>
      </c>
      <c r="F56" s="8" t="s">
        <v>341</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217</v>
      </c>
      <c r="E61" s="10" t="s">
        <v>332</v>
      </c>
      <c r="F61" s="8" t="s">
        <v>342</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NH3â€“N + NOxâ€“N)/kg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226</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227</v>
      </c>
      <c r="E9" s="26" t="s">
        <v>228</v>
      </c>
      <c r="F9" s="26" t="s">
        <v>229</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227</v>
      </c>
      <c r="E24" s="65" t="s">
        <v>230</v>
      </c>
      <c r="F24" s="65" t="s">
        <v>231</v>
      </c>
      <c r="G24" s="65" t="s">
        <v>232</v>
      </c>
      <c r="H24" s="65" t="s">
        <v>233</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9BD86D-A7AD-4255-B0F2-5286B6190488}">
  <sheetPr>
    <tabColor theme="2" tint="-0.499984740745262"/>
  </sheetPr>
  <dimension ref="A1:BY259"/>
  <sheetViews>
    <sheetView showGridLines="0"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Am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VAHMAZQAgAG0AdQByAGkAYQB0AGUAIABvAGYAIABwAG8AdABhAHMAaAAgACgATQBPAFAAKQAgAGkAbgBzAHQAZQBhAGQAIABvAGYAIAAnAHAAbwB0AGEAcwBzAGkAdQBtACAAYQBzACAAYwBoAGwAbwByAGkAZABlAC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Pg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A+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gADEAXAAiACwAIABcACIAQgB1AGwAbAAgAD4AIAAxAFwAIgAsACAAXAAiAEMAbwB3ACAAPAAgADEAXAAiACwAIABcACIAQwBvAHcAIAAxAC0AMgBcACIALAAgAFwAIgBDAG8AdwAgAD4AIAAyAFwAIgAsACAAXAAiAFMAdABlAGUAcgAgADwAIAAxAFwAIgAsACAAXAAiAFMAdABlAGUAcgAgAD4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cwAgADwAMQBcACIALAAgAFwAIgBDAG8AdwBzACAAMQAtADIAXAAiACwAIABcACIAQwBvAHcAcwAgADIALQAzAFwAIgAsACAAXAAiAEMAbwB3AHMAIAA+ADMAXAAiACwAIABcACIAUwB0AGUAZQByACAAPAAxAFwAIgAsACAAXAAiAFMAdABlAGUAcgAgADEALQAyAFwAIgAsACAAXAAiAFMAdABlAGUAcgAgADIALQAzAFwAIgAsACAAXAAiAFMAdABlAGUAcgAgAD4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CcAbgAvAGEAJwAgAHcAaQB0AGgAIAAnAFMAbwB1AHQAaAAgAFcAZQBzAHQAJ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AgADwAMQBcACIALAAgAFwAIgBDAG8AdwAgADEALQAyAFwAIgAsACAAXAAiAEMAbwB3ACAAPgAyAFwAIgAsACAAXAAiAFMAdABlAGUAcgAgADwAMQBcACIALAAgAFwAIgBTAHQAZQBlAHIAIAA+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AgADwAMQBcACIALAAgAFwAIgBDAG8AdwAgADEALQAyAFwAIgAsACAAXAAiAEMAbwB3ACAAMgAtADMAXAAiACwAIABcACIAQwBvAHcAIAA+ADMAXAAiACwAIABcACIAUwB0AGUAZQByACAAPAAxAFwAIgAsACAAXAAiAFMAdABlAGUAcgAgADEALQAyAFwAIgAsACAAXAAiAFMAdABlAGUAcgAgADIALQAzAFwAIgAsACAAXAAiAFMAdABlAGUAcgAgAD4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AnAFMAdABhAHQAZQAgAGEAYgBiAHIAZQB2AGkAYQB0AGkAbwBuAC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DwAMQBcACIALAAgAFwAIgBCAHUAbABsAHMAIAA+ADEAXAAiACwAIABcACIAQwBvAHcAcwAgADwAMQBcACIALAAgAFwAIgBDAG8AdwBzACAAMQAtADIAXAAiACwAIABcACIAQwBvAHcAcwAgAD4AMgBcACIALAAgAFwAIgBTAHQAZQBlAHIAIAA8ADEAXAAiACwAIABcACIAUwB0AGUAZQByACAAPg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DwAPQAgADIALAAgACAAXAAiAFMAdQBtAG0AZQByAFwAIgAsAFwAbgAgACAAIAAgACAAIABNAE8ATgBUAEgAKABQAHUAcgBjAGgAYQBzAGUARABhAHQAZQApACAAPAA9ACAANQAsACAAIABcACIAQQB1AHQAdQBtAG4AXAAiACwAXABuACAAIAAgACAAIAAgAE0ATwBOAFQASAAoAFAAdQByAGMAaABhAHMAZQBEAGEAdABlACkAIAA8AD0AIAA4ACwAIAAgAFwAIgBXAGkAbgB0AGUAcgBcACIALABcAG4AIAAgACAAIAAgACAATQBPAE4AVABIACgAUAB1AHIAYwBoAGEAcwBlAEQAYQB0AGUAKQAgADw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AnAEEAbgBuAHUAYQBsACAAZgByAGEAYwB0AGkAbwBuACAAbwBmACAAdABpAG0AZQAgAHMAcABlAG4AdAAgAHAAZQByACAAYQByAGUAYQAn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PAAxADAAIABoAHIALwBkAGEAeQAgAGYAbwByACAAPA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D4AIAAxACAAeQBlAGEAcgBcACIALAAgADMANgA1ACwAIAAwADsAXABuACAAIAAgACAAIAAgACAAIAAgACAAXAAiAEgAZQBpAGYAZQByAHMAIAA8ACAAMQAgAHkAZQBhAHIAXAAiACwAIAAyADgAMQAsACAAOAA0ADsAXABuACAAIAAgACAAIAAgACAAIAAgACAAXAAiAEIAdQBsAGwAcwAgAD4AIAAxACAAeQBlAGEAcgBcACIALAAgADMANgA1ACwAIAAwADsAXABuACAAIAAgACAAIAAgACAAIAAgACAAXAAiAEIAdQBsAGwAcwAgADw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XAAiACkAOwBcAG4AXABuAFMAbwB1AHIAYwBlAEQAYQB0AGEAXwBTAHcAaQBuAGUAXwBGAGUAZQBkAEkAbgB0AGEAawBlAF8ARABhAHQAYQBcAG4AIAAgAD0ATABBAE0AQgBEAEEAKABcAG4AIAAgACAAIABNAEEASwBFAEEAUgBSAEEAWQAoADUALAAgADIALAAgAFwAbgAgACAAIAAgACAAIABMAEEATQBCAEQAQQAoAHIALABjACwAIABcAG4AIAAgACAAIAAgACAAIAAgAEkATgBEAEUAWAAoAHsAXABuACAAIAAgACAAIAAgACAAIAAgACAAXAAiAEMAbABhAHMAcwBcACIALAAgAFwAIgBJAGoAXAAiADsAXABuACAAIAAgACAAIAAgACAAIAAgACAAXAAiAEIAbwBhAHIAcwBcACIALAAgADIALgA2ADIAOwBcAG4AIAAgACAAIAAgACAAIAAgACAAIABcACIAUwBvAHcAcwBcACIALAAyAC4AMwAwADsAXABuACAAIAAgACAAIAAgACAAIAAgACAAXAAiAEcAaQBsAHQAcwBcACIALAAgADIALgA1ADAAOwBcAG4AIAAgACAAIAAgACAAIAAgACAAIABcACIATwB0AGgAZQByAHMAXAAiACwAIAAxAC4ANwAxAFwAbgAgACAAIAAgACAAIAAgACAAfQAsACAAcgAsACAAYwApAFwAbgAgACAAIAAgACAAIAApAFwAbgAgACAAIAAgACkAXABuACAAIAApADsAXABuAFwAbgAvACoAIABcAG4ALQAtAC0ALQAtAC0ALQAtAC0ALQAtAC0ALQAtAC0ALQAtAC0ALQAtAC0ALQAtAC0ALQAtAC0ALQAtAC0ALQAtAC0ALQAtAC0ALQAtAFwAbgBTAG8AdQByAGMAZQBEAGEAdABhAF8AUwB3AGkAbgBlAF8ATgBpAHQAcgBvAGcAZQBuAEkAbgBXAGEAcwB0AGUAXABuAE4AVwBqAFwAbgBrAGcALwBoAGUAYQBkAC8AZABhAHkAXABuAC0ALQAtAC0ALQAtAC0ALQAtAC0ALQAtAC0ALQAtAC0ALQAtAC0ALQAtAC0ALQAtAC0ALQAtAC0ALQAtAC0ALQAtAC0ALQAtAC0ALQBcAG4AKgAvAFwAbgBcAG4AUwBvAHUAcgBjAGUARABhAHQAYQBfAFMAdwBpAG4AZQBfAE4AaQB0AHIAbwBnAGUAbgBJAG4AVwBhAHMAdABlAF8AVABpAHQAbABlAFwAbgAgACAAPQBMAEEATQBCAEQAQQAoAFwAIgBTAHcAaQBuAGUAIAAtACAATgBpAHQAcgBvAGcAZQBuACAAaQBuACAAdwBhAHMAdABlACAAKABOAFcAagApACAALQAgADIAMAAyADAAIAB0AG8AIAAyADAAMgA0AFwAIgApADsAXABuAFwAbgBTAG8AdQByAGMAZQBEAGEAdABhAF8AUwB3AGkAbgBlAF8ATgBpAHQAcgBvAGcAZQBuAEkAbgBXAGEAcwB0AGUAXwBVAG4AaQB0AFwAbgAgACAAPQBMAEEATQBCAEQAQQAoAFwAIgBrAGcALwBoAGUAYQBkAC8AZABhAHkAXAAiACkAOwBcAG4AXABuAFMAbwB1AHIAYwBlAEQAYQB0AGEAXwBTAHcAaQBuAGUAXwBOAGkAdAByAG8AZwBlAG4ASQBuAFcAYQBzAHQ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TgBpAHQAcgBvAGcAZQBuAEkAbgBXAGEAcwB0AGU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CAAQQBkAGQAZQBkACAAJwBOAFcAagAgAGQAYQBpAGwAeQAnACAAYwBvAGwAdQBtAG4AIAB0AG8AIABwAHIAbwB2AGkAZABlACAAZABhAGkAbAB5ACAAdgBhAGwAdQBlACAAZgBvAHIAIABPAHQAaABlAHIAcwAgAGMAbABhAHMAcwAuACAAQQBkAGQAZQBkACAAJwBDAGwAYQBzAHMAIABuAGEAbQBlAC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AnAE4ASQBSACAAcgBlAGYAZQByAGUAbgBjAGUAIABjAG8AbAB1AG0AbgAgAHQAbwAgAGEAaQBkACAAbABvAG8AawB1AHAALgBcACIAKQA7AFwAbgBcAG4AUwBvAHUAcgBjAGUARABhAHQAYQBfAFMAdwBpAG4AZQBfAEYAcgBhAGMAdABpAG8AbgBOAFYAbwBsAGEAdABpAGwAaQBzAGUAZABfAEQAYQB0AGEAXABuACAAIAA9AEwAQQBNAEIARABBACgAXABuACAAIAAgACAATQBBAEsARQBBAFIAUgBBAFkAKAA3ACwAIAAzACwAIABcAG4AIAAgACAAIAAgACAATABBAE0AQgBEAEEAKAByACwAYwAsACAAXABuACAAIAAgACAAIAAgACAAIABJAE4ARABFAFgAKAB7AFwAbgAgACAAIAAgACAAIAAgACAAIAAgAFwAIgBNAE0AUwBtAFwAIgAsACAAXAAiAEYAcgBhAGMARwBBAFMATQBtAFQAXAAiACwAIABcACIATgBJAFIAIAByAGUAZgBlAHIAZQBuAGMAZQBcACIAOwBcAG4AIAAgACAAIAAgACAAIAAgACAAIABcACIATwB1AHQAZABvAG8AcgAgACgARAByAHkAIABsAG8AdAApAFwAIgAsACAAMAAuADMALAAgAFwAIgBEAHIAeQBsAG8AdAAgACgAZgBlAGUAZAAgAHAAYQBkACkAXAAiADsAXABuACAAIAAgACAAIAAgACAAIAAgACAAXAAiAEQAZQBlAHAAIABsAGkAdAB0AGUAcgBcACIALAAgADAALgAxADIANQAsACAAXAAiAEQAZQBlAHAAIABsAGkAdAB0AGUAcgBcACIAOwBcAG4AIAAgACAAIAAgACAAIAAgACAAIABcACIAUwB0AG8AYwBrAHAAaQBsAGUAIAAoAFMAbwBsAGkAZAAgAHMAdABvAHIAYQBnAGUAKQBcACIALAAgADAALgAyACwAIABcACIAUwBvAGwAaQBkACAAcwB0AG8AcgBhAGcAZQBcACIAOwBcAG4AIAAgACAAIAAgACAAIAAgACAAIABcACIARQBmAGYAbAB1AGUAbgB0ACAAcABvAG4AZAAgACgAVQBuAGMAbwB2AGUAcgBlAGQAIABhAG4AYQBlAHIAbwBiAGkAYwAgAGwAYQBnAG8AbwBuACkAXAAiACwAIAAwAC4ANQA1ACwAIABcACIAQQBuAGEAZQByAG8AYgBpAGMAIABsAGEAZwBvAG8AbgBcACIAOwBcAG4AIAAgACAAIAAgACAAIAAgACAAIABcACIAQQBuAGEAZQByAG8AYgBpAGMAIABkAGkAZwBlAHMAdABlAHIAIAAvACAAQwBvAHYAZQByAGUAZAAgAGwAYQBnAG8AbwBuAFwAIgAsACAAMAAsACAAXAAiAEQAaQBnAGUAcwB0AGUAcgAgAC8AIABjAG8AdgBlAHIAZQBkACAAbABhAGcAbwBvAG4AcwBcACIAOwBcAG4AIAAgACAAIAAgACAAIAAgACAAIABcACIAUwBoAG8AcgB0ACAASABSAFQAIAB0AGEAbgBrACAAcwB0AG8AcgBhAGcAZQAgADw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An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DwAIAAxACAAbQBvAG4AdABoACAAKABwAGkAdAAgAHMAdABvAHIAYQBnAGUAKQBcACIALAAgADAALgAwADAAMg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QBlAHQAaABhAG4AZQBWAG8AbABhAHQAaQBsAGUAUwBvAGwAaQBkAHMARQBtAGkAcwBzAGkAbwBuAHMAUABvAHQAZQBuAHQAaQBhAGwAXABuAEIAMABcAG4AbQAzACAAQwBIADQALwBrAGcAIABWAFMAXABuAC0ALQAtAC0ALQAtAC0ALQAtAC0ALQAtAC0ALQAtAC0ALQAtAC0ALQAtAC0ALQAtAC0ALQAtAC0ALQAtAC0ALQAtAC0ALQAtAC0ALQBcAG4AKgAvAFwAbgBcAG4AUwBvAHUAcgBjAGUARABhAHQAYQBfAFMAdwBpAG4AZQBfAE0AZQB0AGgAYQBuAGUAVgBvAGwAYQB0AGkAbABlAFMAbwBsAGkAZABzAEUAbQBpAHMAcwBpAG8AbgBzAFAAbwB0AGUAbgB0AGkAYQBsAF8AVABpAHQAbABlAFwAbgAgACAAPQBMAEEATQBCAEQAQQAoAFwAIgBFAG0AaQBzAHMAaQBvAG4AcwAgAHAAbwB0AGUAbgB0AGkAYQBsACAAbwBmACAAbQBlAHQAaABhAG4AZQAgAHAAZQByACAAawBpAGwAbwBnAHIAYQBtACAAbwBmACAAdgBvAGwAYQB0AGkAbABlACAAcwBvAGwAaQBkAHMAXAAiACkAOwBcAG4AXABuAFMAbwB1AHIAYwBlAEQAYQB0AGEAXwBTAHcAaQBuAGUAXwBNAGUAdABoAGEAbgBlAFYAbwBsAGEAdABpAGwAZQBTAG8AbABpAGQAcwBFAG0AaQBzAHMAaQBvAG4AcwBQAG8AdABlAG4AdABpAGEAbABfAFYAYQByAGkAYQBiAGwAZQBcAG4AIAAgAD0ATABBAE0AQgBEAEEAKABcACIAQgAwAFwAIgApADsAXABuAFwAbgBTAG8AdQByAGMAZQBEAGEAdABhAF8AUwB3AGkAbgBlAF8ATQBlAHQAaABhAG4AZQBWAG8AbABhAHQAaQBsAGUAUwBvAGwAaQBkAHMARQBtAGkAcwBzAGkAbwBuAHMAUABvAHQAZQBuAHQAaQBhAGwAXwBVAG4AaQB0AFwAbgAgACAAPQBMAEEATQBCAEQAQQAoAFwAIgBtADMAIABDAEgANAAgAC8AIABrAGcAIABWAFMAXAAiACkAOwBcAG4AXABuAFMAbwB1AHIAYwBlAEQAYQB0AGEAXwBTAHcAaQBuAGUAXwBNAGUAdABoAGEAbgBlAFYAbwBsAGEAdABpAGwAZQBTAG8AbABpAGQAcwBFAG0AaQBzAHMAaQBvAG4AcwBQAG8AdABlAG4AdABpAGEAbABfAFMAbwB1AHIAYwBlAFwAbgAgACAAPQBMAEEATQBCAEQAQQAoAFwAIgBJAFAAQwBDACAAKAAyADAAMQA5ACkALAAgAEMAaABhAHAAdABlAHIAIAAxADAAIABbADQAXQBcACIAKQA7AFwAbgBcAG4AUwBvAHUAcgBjAGUARABhAHQAYQBfAFMAdwBpAG4AZQBfAE0AZQB0AGgAYQBuAGUAVgBvAGwAYQB0AGkAbABlAFMAbwBsAGkAZABzAEUAbQBpAHMAcwBpAG8AbgBzAFAAbwB0AGUAbgB0AGkAYQBsAF8AVgBhAHIAaQBhAHQAaQBvAG4AXABuACAAIAA9AEwAQQBNAEIARABBACgAXAAiAFwAIgApADsAXABuAFwAbgBTAG8AdQByAGMAZQBEAGEAdABhAF8AUwB3AGkAbgBlAF8ATQBlAHQAaABhAG4AZQBWAG8AbABhAHQAaQBsAGUAUwBvAGwAaQBkAHMARQBtAGkAcwBzAGkAbwBuAHMAUABvAHQAZQBuAHQAaQBhAGwAXwBEAGEAdABhAFwAbgAgACAAPQBMAEEATQBCAEQAQQAoADAALgAxADkAKQA7AFwAbgBcAG4AXABuAC8AKgAgAFwAbgAtAC0ALQAtAC0ALQAtAC0ALQAtAC0ALQAtAC0ALQAtAC0ALQAtAC0ALQAtAC0ALQAtAC0ALQAtAC0ALQAtAC0ALQAtAC0ALQAtAC0AXABuAFMAbwB1AHIAYwBlAEQAYQB0AGEAXwBTAHcAaQBuAGUAXwBNAE0AUwBfAE0AQwBGAHMAXABuAFQAYQBiAGwAZQAgAEEALgAxAC4ANgAuADQAOgAgAFMAdwBpAG4AZQAgAC0AIABNAEMARgBzACAAKABNAEMARgBpAG0AKQBcAG4ALQAtAC0ALQAtAC0ALQAtAC0ALQAtAC0ALQAtAC0ALQAtAC0ALQAtAC0ALQAtAC0ALQAtAC0ALQAtAC0ALQAtAC0ALQAtAC0ALQAtAFwAbgAqAC8AXABuAFwAbgBTAG8AdQByAGMAZQBEAGEAdABhAF8AUwB3AGkAbgBlAF8ATQBNAFMAXwBNAEMARgBzAF8AVABpAHQAbABlAFwAbgAgACAAPQBMAEEATQBCAEQAQQAoAFwAIgBNAGUAdABoAGEAbgBlACAAYwBvAG4AdgBlAHIAcwBpAG8AbgAgAGYAYQBjAHQAbwByACAAZgBvAHIAIAB0AGUAbQBwAGUAcgBhAHQAdQByAGUAIAB6AG8AbgBlACAAYQBuAGQAIABtAGEAbgB1AHIAZQAgAG0AYQBuAGEAZwBlAG0AZQBuAHQAIABzAHkAcwB0AGUAbQAuAFwAIgApADsAXABuAFwAbgBTAG8AdQByAGMAZQBEAGEAdABhAF8AUwB3AGkAbgBlAF8ATQBNAFMAXwBNAEMARgBzAF8AVQBuAGkAdABcAG4AIAAgAD0ATABBAE0AQgBEAEEAKABcACIAXAAiACkAOwBcAG4AXABuAFMAbwB1AHIAYwBlAEQAYQB0AGEAXwBTAHcAaQBuAGUAXwBNAE0AUwBfAE0AQwBGAHMAXwBTAG8AdQByAGMAZQBcAG4AIAAgAD0ATABBAE0AQgBEAEEAKABcACIAVgBFAEUAUgBHACAAMgAwADIANgA6ACAAVABhAGIAbABlACAAQQAuADEALgA2AC4ANAA6ACAAUwB3AGkAbgBlACAALQAgAE0AQwBGAHMAIAAoAE0AQwBGAGkAbQApAFwAIgApADsAXABuAFwAbgBTAG8AdQByAGMAZQBEAGEAdABhAF8AUwB3AGkAbgBlAF8ATQBNAFMAXwBNAEMARgBzAF8AVgBhAHIAaQBhAHQAaQBvAG4AXABuACAAIAA9AEwAQQBNAEIARABBACgAXAAiAFYAQQBSAEkAQQBUAEkATwBOACAATwBOACAAUwBPAFUAUgBDAEUAIABEAEEAVABBADoAIABBAGQAZABlAGQAIABjAG8AbAB1AG0AbgBzACAAZgBvAHIAIABBAEMAVAAsACAAcwBwAGwAaQB0ACAAUQBMAEQAIABhAG4AZAAgAE4AVAAuACAAQQBkAGQAZQBkACAAZQB4AHQAcgBhACAAYwBvAGwAdQBtAG4AIAB3AGkAdABoACAATQBNAFMAIABuAGEAbQBlAHMAIAB0AGgAYQB0ACAAbQBhAHQAYwBoACAATgBJAFIAIABkAGUAZgBpAG4AaQB0AGkAbwBuAHMAXAAiACkAOwBcAG4AXABuAFMAbwB1AHIAYwBlAEQAYQB0AGEAXwBTAHcAaQBuAGUAXwBNAE0AUwBfAE0AQwBGAHMAXwBEAGEAdABhAFwAbgAgACAAPQBMAEEATQBCAEQAQQAoAFwAbgAgACAAIAAgAE0AQQBLAEUAQQBSAFIAQQBZACgAOAAsACAAMQAwACwAIABcAG4AIAAgACAAIAAgACAATABBAE0AQgBEAEEAKAByACwAYwAsACAAXABuACAAIAAgACAAIAAgACAAIABJAE4ARABFAFgAKAB7AFwAbgAgACAAIAAgACAAIAAgACAAIAAgAFwAIgBNAE0AUwBcACIALAAgAFwAIgBOAFMAVwBcACIALAAgAFwAIgBBAEMAVABcACIALAAgAFwAIgBRAEwARABcACIALAAgAFwAIgBOAFQAXAAiACwAIABcACIAUwBBAFwAIgAsACAAXAAiAFQAQQBTAFwAIgAsACAAXAAiAFYASQBDAFwAIgAsACAAXAAiAFcAQQBcACIALAAgAFwAIgBOAEkAUgAgAGQAZQBmAGkAbgBpAHQAaQBvAG4AXAAiADsAXABuACAAIAAgACAAIAAgACAAIAAgACAAXAAiAE8AdQB0AGQAbwBvAHIAIAAoAEQAcgB5ACAAbABvAHQAKQBcACIALAAgADAALgAwADEALAAgADAALgAwADEALAAgADAALgAwADMALAAgADAALgAwADMALAAgADAALgAwADEALAAgADAALgAwADEALAAgADAALgAwADEALAAgADAALgAwADEALAAgAFwAIgBEAHIAeQBsAG8AdAAgACgAZgBlAGUAZAAgAHAAYQBkACkAXAAiADsAIABcAG4AIAAgACAAIAAgACAAIAAgACAAIABcACIARABlAGUAcAAgAGwAaQB0AHQAZQByAFwAIgAsACAAMAAuADAANAAsACAAMAAuADAANAAsACAAMAAuADAANAAsACAAMAAuADAANAAsACAAMAAuADAANAAsACAAMAAuADAANAAsACAAMAAuADAANAAsACAAMAAuADAANAAsACAAXAAiAEQAZQBlAHAAIABsAGkAdAB0AGUAcgBcACIAOwBcAG4AIAAgACAAIAAgACAAIAAgACAAIABcACIAUwB0AG8AYwBrAHAAaQBsAGUAIAAoAFMAbwBsAGkAZAAgAHMAdABvAHIAYQBnAGUAKQBcACIALAAgADAALgAwADIALAAgADAALgAwADIALAAgADAALgAwADIALAAgADAALgAwADIALAAgADAALgAwADIALAAgADAALgAwADIALAAgADAALgAwADIALAAgADAALgAwADIALAAgAFwAIgBTAG8AbABpAGQAIABzAHQAbwByAGEAZwBlAFwAIgA7AFwAbgAgACAAIAAgACAAIAAgACAAIAAgAFwAIgBFAGYAZgBsAHUAZQBuAHQAIABwAG8AbgBkACAAKABVAG4AYwBvAHYAZQByAGUAZAAgAGEAbgBhAGUAcgBvAGIAaQBjACAAbABhAGcAbwBvAG4AKQBcACIALAAgADAALgA3ADUALAAgADAALgA3ADUALAAgADAALgA3ADgALAAgADAALgA3ADgALAAgADAALgA3ADUALAAgADAALgA3ADAALAAgADAALgA3ADQALAAgADAALgA3ADYALAAgAFwAIgBBAG4AYQBlAHIAbwBiAGkAYwAgAGwAYQBnAG8AbwBuAFwAIgA7AFwAbgAgACAAIAAgACAAIAAgACAAIAAgAFwAIgBBAG4AYQBlAHIAbwBiAGkAYwAgAGQAaQBnAGUAcwB0AGUAcgAgAC8AIABDAG8AdgBlAHIAZQBkACAAbABhAGcAbwBvAG4AXAAiACwAIAAwAC4AMQAsACAAMAAuADEALAAgADAALgAxACwAIAAwAC4AMQAsACAAMAAuADEALAAgADAALgAxACwAIAAwAC4AMQAsACAAMAAuADEALAAgAFwAIgBEAGkAZwBlAHMAdABlAHIAIAAvACAAYwBvAHYAZQByAGUAZAAgAGwAYQBnAG8AbwBuAHMAXAAiADsAIABcAG4AIAAgACAAIAAgACAAIAAgACAAIABcACIAUwBoAG8AcgB0ACAASABSAFQAIAB0AGEAbgBrACAAcwB0AG8AcgBhAGcAZQAgADw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JwBzAG8AbABpAGQAIABzAHQAbwByAGEAZwBlACcAIABNAE0AUwAsACAAYgB1AHQAIABlAHEAdQBhAHQAaQBvAG4AIAByAGUAZgBlAHIAcwAgAHQAbwAgACcAZAByAHkAbABvAHQAJ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CcAQQBsAGwAIABzAHQAYQB0AGUAcwAnACAAdgBhAGwAdQBlACAAaQBzACAAZwBpAHYAZQBuAC4AXAAiADsAXABuACAAIAAgACAAIAAgACAAIAAgACAAXAAiAEEAZABkAGUAZAAgACcATgBJAFIAIABkAGUAZgBpAG4AaQB0AGkAbwBuACcAIABjAG8AbAB1AG0AbgAgAHcAaQB0AGgAIABNAE0AUwAgAG4AYQBtAGUAcwAgAHQAaABhAHQAIABtAGEAdABjAGgAIABOAEkAUgAgAGQAZQBmAGkAbgBpAHQAaQBvAG4AcwAuAFwAIgA7AFwAbgAgACAAIAAgACAAIAAgACAAIAAgAFwAIg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JwBQAGEAcwB0AHUAcgBlACAAcgBhAG4AZwBlACAAYQBuAGQAIABwAGEAZABkAG8AYwBrAC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AnAE4ASQBSACAAZABlAGYAaQBuAGkAdABpAG8AbgAgAGMAbwBsAHUAbQBuAC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JwBOAEkAUgAgAGQAZQBmAGkAbgBpAHQAaQBvAG4AIABjAG8AbAB1AG0AbgAn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JwBOAEkAUgAgAGQAZQBmAGkAbgBpAHQAaQBvAG4AIABjAG8AbAB1AG0AbgAnAC4AIA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D4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CcAdQBuAGkAdABzACcAIAB0AG8AIAAnAGsAZwAn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CcAcwB0AGEAdABlACcAIABhAG4AZAAgACcAbQBlAHQAcgBvAC8AbgBvAG4ALQBtAGUAdAByAG8AJ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AnAHAAYQBwAGUAcgAgAGEAbgBkACAAYwBhAHIAYgBvAGEAcgBkACcAIAB0AG8AIAAnAHAAYQBwAGUAcgAgAGEAbgBkACAAYwBhAHIAZABiAG8AYQByAGQAJwBcACIAOwBcAG4AIAAgACAAIAAgACAAIAAgAFwAIgBGAGkAeABlAGQAIAB0AHkAcABvACAAJwBwAHIAdQBuAG4AaQBuAGcAcwAnACAAdABvACAAJwBwAHIAdQBuAGkAbgBnAHMAJwBcACIAOwBcAG4AIAAgACAAIAAgACAAIAAgAFwAIgBBAGQAZABlAGQAIABFAEYAIABzAG8AdQByAGMAZQAgAGMAbwBsAHUAbQBuACAAdwBpAHQAaAAgAHMAcABlAGMAaQBmAGkAYwAgAHIAZQBmAGUAcgBlAG4AYwBlAHMAXAAiADsAXABuACAAIAAgACAAIAAgACAAIABcACIAQQBkAGQAZQBkACAAcwB1AGIALQBjAGEAdABlAGcAbwByAGkAZQBzACAAZgBvAHIAIAAnAEkAbgBjAGkAbgBlAHIAYQB0AGkAbwBuADoAIABGAG8AbwBkACAAdwBhAHMAdABlACwAIABnAHIAZQBlAG4AIAB3AGEAcwB0AGUALAAgAHcAbwBvAGQALAAgAHMAbAB1AGQAZwBlACcAIABpAG4AIABvAHIAZABlAHIAIAB0AG8AIAB1AHMAZQAgAHYAbwBsAHUAbQBlACAAdABvACAAbQBhAHMAcwAgAGMAbwBuAHYAZQByAHMAaQBvAG4AIABmAGEAYwB0AG8AcgAgAHYAYQBsAHUAZQBzAFwAIgA7AFwAbgAgACAAIAAgACAAIAAgACAAXAAiAEEAZABkAGUAZAAgAHMAdQBiAC0AYwBhAHQAZQBnAG8AcgBpAGUAcwAgAGYAbwByACAAJwBDAG8AbQBwAG8AcwB0AGkAbgBnADoAIABBAGwAbAAgAG8AcgBnAGEAbgBpAGMAIAB3AGEAcwB0AGUAJwAgAGkAbgAgAG8AcgBkAGUAcgAgAHQAbwAgAHUAcwBlACAAdgBvAGwAdQBtAGUAIAB0AG8AIABtAGEAcwBzACAAYwBvAG4AdgBlAHIAcwBpAG8AbgAgAGYAYQBjAHQAbwByACAAdgBhAGwAdQBlAHMAXAAiADsAXABuACAAIAAgACAAIAAgACAAIABcACIAQQBkAGQAZQBkACAAcwB1AGIALQBjAGEAdABlAGcAbwByAGkAZQBzACAAZgBvAHIAIAAnAEEAbgBhAGUAcgBvAGIAaQBjACAAZABpAGcAZQBzAHQAaQBvAG4AOgAgAEEAbABsACAAbwByAGcAYQBuAGkAYwAgAHcAYQBzAHQAZQAn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F0ALAAiAHAAcgBvAGoAZQBjAHQATgBhAG0AZQBzACIAOgBbACIAVgBhAGwAaQBkAEwAaQB2AGUAcwB0AG8AYwBrAEMAbABhAHMAcw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FMAbwB1AHIAYwBlAEgAeQBwAGUAcgBsAGkAbgBrAEQAaQBmAGYAZQByAGUAbgB0AFMAaABlAGUAdA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MAXwAxAF8AMQBfAF8AMQBfAEUAbQBpAHMAcwBpAG8AbgBzAEYAcgBvAG0AUAB1AHIAYwBoAGEAcwBlAGQATQBpAG4AZQByAGEAbABTAHUAcABwAGwAZQBtAGUAbgB0AHMAIgAsACIAUwBjAG8AcABlADMAXwBFAHEAdQBhAHQAaQBvAG4AcwAuAFYARQBFAFIARwBfADEANQBfADMAXwAxAF8AMQBfAF8AMQBfAEUAbQBpAHMAcwBpAG8AbgBzAEYAcgBvAG0AUAB1AHIAYwBoAGEAcwBlAGQATQBpAG4AZQByAGEAbABTAHUAcABwAGwAZQBtAGUAbgB0AHMAXwBUAGkAdABsAGUAIgAsACIAUwBjAG8AcABlADMAXwBFAHEAdQBhAHQAaQBvAG4AcwAuAFYARQBFAFIARwBfADEANQBfADMAXwAxAF8AMQBfAF8AMQBfAEUAbQBpAHMAcwBpAG8AbgBzAEYAcgBvAG0AUAB1AHIAYwBoAGEAcwBlAGQATQBpAG4AZQByAGEAbABTAHUAcABwAGwAZQBtAGUAbgB0AHMAXwBWAGEAcgBpAGEAYgBsAGUAIgAsACIAUwBjAG8AcABlADMAXwBFAHEAdQBhAHQAaQBvAG4AcwAuAFYARQBFAFIARwBfADEANQBfADMAXwAxAF8AMQBfAF8AMQBfAEUAbQBpAHMAcwBpAG8AbgBzAEYAcgBvAG0AUAB1AHIAYwBoAGEAcwBlAGQATQBpAG4AZQByAGEAbABTAHUAcABwAGwAZQBtAGUAbgB0AHMAXwBVAG4AaQB0ACIALAAiAFMAYwBvAHAAZQAzAF8ARQBxAHUAYQB0AGkAbwBuAHMALgBWAEUARQBSAEcAXwAxADUAXwAzAF8AMQBfADEAXwBfADEAXwBFAG0AaQBzAHMAaQBvAG4AcwBGAHIAbwBtAFAAdQByAGMAaABhAHMAZQBkAE0AaQBuAGUAcgBhAGwAUwB1AHAAcABsAGUAbQBlAG4AdABzAF8AUwBvAHUAcgBjAGUAIgAsACIAUwBjAG8AcABlADMAXwBFAHEAdQBhAHQAaQBvAG4AcwAuAFYARQBFAFIARwBfADEANQBfADMAXwAxAF8AMQBfAF8AMQBfAEUAbQBpAHMAcwBpAG8AbgBzAEYAcgBvAG0AUAB1AHIAYwBoAGEAcwBlAGQATQBpAG4AZQByAGEAbABTAHUAcABwAGwAZQBtAGUAbgB0AHMAXwBOAEkAUgBSAGUAZgBlAHIAZQBuAGMAZQAiACwAIgBTAGMAbwBwAGUAMwBfAEUAcQB1AGEAdABpAG8AbgBzAC4AVgBFAEUAUgBHAF8AMQA1AF8AMwBfADEAXwAxAF8AXwAxAF8ARQBtAGkAcwBzAGkAbwBuAHMARgByAG8AbQBQAHUAcgBjAGgAYQBzAGUAZABNAGkAbgBlAHIAYQBsAFMAdQBwAHAAbABlAG0AZQBuAHQAcwBfAEwAYQB0AGUAeABFAHEAd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131</vt:i4>
      </vt:variant>
    </vt:vector>
  </HeadingPairs>
  <TitlesOfParts>
    <vt:vector size="158" baseType="lpstr">
      <vt:lpstr>Overview</vt:lpstr>
      <vt:lpstr>Results</vt:lpstr>
      <vt:lpstr>Input - Site</vt:lpstr>
      <vt:lpstr>Input - Fuel</vt:lpstr>
      <vt:lpstr>Input - Fertiliser</vt:lpstr>
      <vt:lpstr>Input - Farm Inputs</vt:lpstr>
      <vt:lpstr>Input - Livestock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2026-07-28T07:36:45Z</dcterms:modified>
</cp:coreProperties>
</file>