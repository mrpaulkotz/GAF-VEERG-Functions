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A782AC6-06EE-4902-832D-EFAFD23A67AB}" xr6:coauthVersionLast="47" xr6:coauthVersionMax="47" xr10:uidLastSave="{00000000-0000-0000-0000-000000000000}"/>
  <bookViews>
    <workbookView xWindow="1245" yWindow="555" windowWidth="35745" windowHeight="1890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 i="70" l="1" a="1"/>
  <c r="J200" i="70" s="1"/>
  <c r="J199" i="70" a="1"/>
  <c r="J199" i="70" s="1"/>
  <c r="J198" i="70"/>
  <c r="J198" i="70" a="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J191" i="70" a="1"/>
  <c r="J191" i="70" s="1"/>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l="1"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W126" i="69" s="1"/>
  <c r="D171" i="70"/>
  <c r="D170" i="70"/>
  <c r="W124" i="69" s="1"/>
  <c r="D169" i="70"/>
  <c r="D168" i="70"/>
  <c r="D167" i="70"/>
  <c r="D166" i="70"/>
  <c r="D165" i="70"/>
  <c r="D164" i="70"/>
  <c r="W118" i="69" s="1"/>
  <c r="D163" i="70"/>
  <c r="D162" i="70"/>
  <c r="W116" i="69" s="1"/>
  <c r="D161" i="70"/>
  <c r="W115" i="69" s="1"/>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W122" i="69" l="1"/>
  <c r="W121" i="69"/>
  <c r="W119" i="69"/>
  <c r="W120" i="69"/>
  <c r="W117" i="69"/>
  <c r="W123" i="69"/>
  <c r="W125" i="69"/>
  <c r="AB159" i="69"/>
  <c r="Z154" i="69" a="1"/>
  <c r="Z154" i="69" s="1"/>
  <c r="W154" i="69" a="1"/>
  <c r="W154" i="69" s="1"/>
  <c r="I160" i="69"/>
  <c r="I159" i="69"/>
  <c r="J16" i="69"/>
  <c r="E259" i="106" l="1"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D9" i="79" s="1"/>
  <c r="E188" i="106" a="1"/>
  <c r="E188" i="106" s="1"/>
  <c r="D188" i="106" a="1"/>
  <c r="D188" i="106" s="1"/>
  <c r="H187" i="106" a="1"/>
  <c r="H187" i="106" s="1"/>
  <c r="G187" i="106" a="1"/>
  <c r="G187" i="106" s="1"/>
  <c r="F187" i="106" a="1"/>
  <c r="F187" i="106" s="1"/>
  <c r="D8" i="79" s="1"/>
  <c r="E187" i="106" a="1"/>
  <c r="E187" i="106" s="1"/>
  <c r="D187" i="106" a="1"/>
  <c r="D187" i="106" s="1"/>
  <c r="D181" i="106" a="1"/>
  <c r="D181" i="106" s="1"/>
  <c r="D180" i="106"/>
  <c r="D180" i="106" a="1"/>
  <c r="D179" i="106" a="1"/>
  <c r="D179" i="106" s="1"/>
  <c r="D178" i="106" a="1"/>
  <c r="D178" i="106" s="1"/>
  <c r="E175" i="106" a="1"/>
  <c r="E175" i="106" s="1"/>
  <c r="D175" i="106" a="1"/>
  <c r="D175" i="106" s="1"/>
  <c r="I158" i="69"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33" i="15"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E31" i="15" s="1"/>
  <c r="E32" i="15" s="1"/>
  <c r="H227" i="7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X270" i="7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30" i="15" l="1"/>
  <c r="I33" i="97" s="1"/>
  <c r="G38" i="97"/>
  <c r="Q38" i="97"/>
  <c r="L121" i="70"/>
  <c r="H53" i="106"/>
  <c r="G39" i="98"/>
  <c r="P39" i="98"/>
  <c r="G247" i="69"/>
  <c r="Z279" i="69"/>
  <c r="I33" i="98"/>
  <c r="G232" i="76"/>
  <c r="L123" i="70"/>
  <c r="L122" i="70"/>
  <c r="M121" i="70"/>
  <c r="N121" i="70" s="1"/>
  <c r="L124" i="70"/>
  <c r="M124" i="70"/>
  <c r="M123" i="70"/>
  <c r="M122" i="70"/>
  <c r="H54" i="106"/>
  <c r="H51" i="106"/>
  <c r="H49" i="106"/>
  <c r="H52" i="106"/>
  <c r="H50" i="106"/>
  <c r="I34" i="98" s="1"/>
  <c r="H48" i="106"/>
  <c r="W172" i="69"/>
  <c r="X172" i="69" s="1"/>
  <c r="W171" i="69"/>
  <c r="X171" i="69" s="1"/>
  <c r="I30" i="97" l="1"/>
  <c r="H226" i="76"/>
  <c r="O121" i="70"/>
  <c r="N124" i="70"/>
  <c r="O124" i="70" s="1"/>
  <c r="N122" i="70"/>
  <c r="O122" i="70" s="1"/>
  <c r="N123" i="70"/>
  <c r="O123"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G87" i="76"/>
  <c r="F87" i="76"/>
  <c r="E87" i="76"/>
  <c r="D87" i="76"/>
  <c r="W39" i="69"/>
  <c r="W38" i="69"/>
  <c r="W37" i="69"/>
  <c r="W36" i="69"/>
  <c r="W35" i="69"/>
  <c r="W34" i="69"/>
  <c r="W33" i="69"/>
  <c r="W32" i="69"/>
  <c r="W31" i="69"/>
  <c r="W30" i="69"/>
  <c r="W29" i="69"/>
  <c r="W28" i="69"/>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E22" i="97" a="1"/>
  <c r="E26"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I14" i="98"/>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42" i="76" a="1"/>
  <c r="E39" i="69" a="1"/>
  <c r="E148" i="69" a="1"/>
  <c r="E206" i="69" a="1"/>
  <c r="E104" i="76" a="1"/>
  <c r="E136" i="76" a="1"/>
  <c r="E101" i="69" a="1"/>
  <c r="E7" i="76" a="1"/>
  <c r="E178" i="76" a="1"/>
  <c r="E218"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81" i="70" l="1"/>
  <c r="E180" i="70"/>
  <c r="N171" i="70"/>
  <c r="J170" i="70"/>
  <c r="F169" i="70"/>
  <c r="L167" i="70"/>
  <c r="H166" i="70"/>
  <c r="N164" i="70"/>
  <c r="J163" i="70"/>
  <c r="F162" i="70"/>
  <c r="L158" i="70"/>
  <c r="H157" i="70"/>
  <c r="N155" i="70"/>
  <c r="K158" i="70"/>
  <c r="G157" i="70"/>
  <c r="M155" i="70"/>
  <c r="M171" i="70"/>
  <c r="I170" i="70"/>
  <c r="E169" i="70"/>
  <c r="K167" i="70"/>
  <c r="G166" i="70"/>
  <c r="M164" i="70"/>
  <c r="I163" i="70"/>
  <c r="E162" i="70"/>
  <c r="L171" i="70"/>
  <c r="H170" i="70"/>
  <c r="N168" i="70"/>
  <c r="J167" i="70"/>
  <c r="F166" i="70"/>
  <c r="L164" i="70"/>
  <c r="H163" i="70"/>
  <c r="N161" i="70"/>
  <c r="J158" i="70"/>
  <c r="F157" i="70"/>
  <c r="L155" i="70"/>
  <c r="K171" i="70"/>
  <c r="G170" i="70"/>
  <c r="M168" i="70"/>
  <c r="I167" i="70"/>
  <c r="E166" i="70"/>
  <c r="K164" i="70"/>
  <c r="G163" i="70"/>
  <c r="M161" i="70"/>
  <c r="I158" i="70"/>
  <c r="E157" i="70"/>
  <c r="K155" i="70"/>
  <c r="H158" i="70"/>
  <c r="N156" i="70"/>
  <c r="J155" i="70"/>
  <c r="L156" i="70"/>
  <c r="M157" i="70"/>
  <c r="L157" i="70"/>
  <c r="H156" i="70"/>
  <c r="N172" i="70"/>
  <c r="J171" i="70"/>
  <c r="F170" i="70"/>
  <c r="L168" i="70"/>
  <c r="H167" i="70"/>
  <c r="N165" i="70"/>
  <c r="J164" i="70"/>
  <c r="F163" i="70"/>
  <c r="L161" i="70"/>
  <c r="F158" i="70"/>
  <c r="M172" i="70"/>
  <c r="I171" i="70"/>
  <c r="E170" i="70"/>
  <c r="K168" i="70"/>
  <c r="G167" i="70"/>
  <c r="M165" i="70"/>
  <c r="I164" i="70"/>
  <c r="E163" i="70"/>
  <c r="K161" i="70"/>
  <c r="G158" i="70"/>
  <c r="M156" i="70"/>
  <c r="I155" i="70"/>
  <c r="H155" i="70"/>
  <c r="I156" i="70"/>
  <c r="G156" i="70"/>
  <c r="L172" i="70"/>
  <c r="H171" i="70"/>
  <c r="N169" i="70"/>
  <c r="J168" i="70"/>
  <c r="F167" i="70"/>
  <c r="L165" i="70"/>
  <c r="H164" i="70"/>
  <c r="N162" i="70"/>
  <c r="J161" i="70"/>
  <c r="K172" i="70"/>
  <c r="G171" i="70"/>
  <c r="M169" i="70"/>
  <c r="I168" i="70"/>
  <c r="E167" i="70"/>
  <c r="K165" i="70"/>
  <c r="G164" i="70"/>
  <c r="M162" i="70"/>
  <c r="I161" i="70"/>
  <c r="E158" i="70"/>
  <c r="K156" i="70"/>
  <c r="G155" i="70"/>
  <c r="J172" i="70"/>
  <c r="F171" i="70"/>
  <c r="L169" i="70"/>
  <c r="H168" i="70"/>
  <c r="N166" i="70"/>
  <c r="J165" i="70"/>
  <c r="F164" i="70"/>
  <c r="L162" i="70"/>
  <c r="H161" i="70"/>
  <c r="N157" i="70"/>
  <c r="J156" i="70"/>
  <c r="F155" i="70"/>
  <c r="I172" i="70"/>
  <c r="E171" i="70"/>
  <c r="K169" i="70"/>
  <c r="G168" i="70"/>
  <c r="M166" i="70"/>
  <c r="I165" i="70"/>
  <c r="E164" i="70"/>
  <c r="K162" i="70"/>
  <c r="G161" i="70"/>
  <c r="E155" i="70"/>
  <c r="K157" i="70"/>
  <c r="H172" i="70"/>
  <c r="N170" i="70"/>
  <c r="J169" i="70"/>
  <c r="F168" i="70"/>
  <c r="L166" i="70"/>
  <c r="H165" i="70"/>
  <c r="N163" i="70"/>
  <c r="J162" i="70"/>
  <c r="F161" i="70"/>
  <c r="G172" i="70"/>
  <c r="M170" i="70"/>
  <c r="I169" i="70"/>
  <c r="E168" i="70"/>
  <c r="K166" i="70"/>
  <c r="G165" i="70"/>
  <c r="M163" i="70"/>
  <c r="I162" i="70"/>
  <c r="E161" i="70"/>
  <c r="F172" i="70"/>
  <c r="L170" i="70"/>
  <c r="H169" i="70"/>
  <c r="N167" i="70"/>
  <c r="J166" i="70"/>
  <c r="F165" i="70"/>
  <c r="L163" i="70"/>
  <c r="H162" i="70"/>
  <c r="N158" i="70"/>
  <c r="J157" i="70"/>
  <c r="F156" i="70"/>
  <c r="E172" i="70"/>
  <c r="K170" i="70"/>
  <c r="G169" i="70"/>
  <c r="M167" i="70"/>
  <c r="I166" i="70"/>
  <c r="E165" i="70"/>
  <c r="K163" i="70"/>
  <c r="G162" i="70"/>
  <c r="M158" i="70"/>
  <c r="I157" i="70"/>
  <c r="E156" i="70"/>
  <c r="L150" i="70"/>
  <c r="H149" i="70"/>
  <c r="N147" i="70"/>
  <c r="J146" i="70"/>
  <c r="F145" i="70"/>
  <c r="L143" i="70"/>
  <c r="H142" i="70"/>
  <c r="N140" i="70"/>
  <c r="J139" i="70"/>
  <c r="J136" i="70"/>
  <c r="F135" i="70"/>
  <c r="L133" i="70"/>
  <c r="I136" i="70"/>
  <c r="E135" i="70"/>
  <c r="K133" i="70"/>
  <c r="K150" i="70"/>
  <c r="G149" i="70"/>
  <c r="M147" i="70"/>
  <c r="I146" i="70"/>
  <c r="E145" i="70"/>
  <c r="K143" i="70"/>
  <c r="G142" i="70"/>
  <c r="M140" i="70"/>
  <c r="I139" i="70"/>
  <c r="J150" i="70"/>
  <c r="F149" i="70"/>
  <c r="L147" i="70"/>
  <c r="H146" i="70"/>
  <c r="N144" i="70"/>
  <c r="J143" i="70"/>
  <c r="F142" i="70"/>
  <c r="L140" i="70"/>
  <c r="H139" i="70"/>
  <c r="H136" i="70"/>
  <c r="N134" i="70"/>
  <c r="J133" i="70"/>
  <c r="I150" i="70"/>
  <c r="E149" i="70"/>
  <c r="K147" i="70"/>
  <c r="G146" i="70"/>
  <c r="M144" i="70"/>
  <c r="I143" i="70"/>
  <c r="E142" i="70"/>
  <c r="K140" i="70"/>
  <c r="G139" i="70"/>
  <c r="G136" i="70"/>
  <c r="M134" i="70"/>
  <c r="I133" i="70"/>
  <c r="F136" i="70"/>
  <c r="L134" i="70"/>
  <c r="H133" i="70"/>
  <c r="J134" i="70"/>
  <c r="K135" i="70"/>
  <c r="H150" i="70"/>
  <c r="N148" i="70"/>
  <c r="J147" i="70"/>
  <c r="F146" i="70"/>
  <c r="L144" i="70"/>
  <c r="H143" i="70"/>
  <c r="N141" i="70"/>
  <c r="J140" i="70"/>
  <c r="F139" i="70"/>
  <c r="N135" i="70"/>
  <c r="J135" i="70"/>
  <c r="G150" i="70"/>
  <c r="M148" i="70"/>
  <c r="I147" i="70"/>
  <c r="E146" i="70"/>
  <c r="K144" i="70"/>
  <c r="G143" i="70"/>
  <c r="M141" i="70"/>
  <c r="I140" i="70"/>
  <c r="E139" i="70"/>
  <c r="E136" i="70"/>
  <c r="K134" i="70"/>
  <c r="G133" i="70"/>
  <c r="G134" i="70"/>
  <c r="N136" i="70"/>
  <c r="M136" i="70"/>
  <c r="F150" i="70"/>
  <c r="L148" i="70"/>
  <c r="H147" i="70"/>
  <c r="N145" i="70"/>
  <c r="J144" i="70"/>
  <c r="F143" i="70"/>
  <c r="L141" i="70"/>
  <c r="H140" i="70"/>
  <c r="F133" i="70"/>
  <c r="I135" i="70"/>
  <c r="E150" i="70"/>
  <c r="K148" i="70"/>
  <c r="G147" i="70"/>
  <c r="M145" i="70"/>
  <c r="I144" i="70"/>
  <c r="E143" i="70"/>
  <c r="K141" i="70"/>
  <c r="G140" i="70"/>
  <c r="M135" i="70"/>
  <c r="I134" i="70"/>
  <c r="E133" i="70"/>
  <c r="N149" i="70"/>
  <c r="J148" i="70"/>
  <c r="F147" i="70"/>
  <c r="L145" i="70"/>
  <c r="H144" i="70"/>
  <c r="N142" i="70"/>
  <c r="J141" i="70"/>
  <c r="F140" i="70"/>
  <c r="L135" i="70"/>
  <c r="H134" i="70"/>
  <c r="M149" i="70"/>
  <c r="I148" i="70"/>
  <c r="E147" i="70"/>
  <c r="K145" i="70"/>
  <c r="G144" i="70"/>
  <c r="M142" i="70"/>
  <c r="I141" i="70"/>
  <c r="E140" i="70"/>
  <c r="F134" i="70"/>
  <c r="L149" i="70"/>
  <c r="H148" i="70"/>
  <c r="N146" i="70"/>
  <c r="J145" i="70"/>
  <c r="F144" i="70"/>
  <c r="L142" i="70"/>
  <c r="H141" i="70"/>
  <c r="N139" i="70"/>
  <c r="E134" i="70"/>
  <c r="K149" i="70"/>
  <c r="G148" i="70"/>
  <c r="M146" i="70"/>
  <c r="I145" i="70"/>
  <c r="E144" i="70"/>
  <c r="K142" i="70"/>
  <c r="G141" i="70"/>
  <c r="M139" i="70"/>
  <c r="N150" i="70"/>
  <c r="J149" i="70"/>
  <c r="F148" i="70"/>
  <c r="L146" i="70"/>
  <c r="H145" i="70"/>
  <c r="N143" i="70"/>
  <c r="J142" i="70"/>
  <c r="F141" i="70"/>
  <c r="L139" i="70"/>
  <c r="L136" i="70"/>
  <c r="H135" i="70"/>
  <c r="N133" i="70"/>
  <c r="M150" i="70"/>
  <c r="I149" i="70"/>
  <c r="E148" i="70"/>
  <c r="K146" i="70"/>
  <c r="G145" i="70"/>
  <c r="M143" i="70"/>
  <c r="I142" i="70"/>
  <c r="E141" i="70"/>
  <c r="K139" i="70"/>
  <c r="K136" i="70"/>
  <c r="G135" i="70"/>
  <c r="M133" i="70"/>
  <c r="E171" i="69"/>
  <c r="E172"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H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J70" i="70" s="1"/>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75" i="70" l="1"/>
  <c r="K70" i="70"/>
  <c r="N69" i="70"/>
  <c r="F74" i="70"/>
  <c r="F77" i="70"/>
  <c r="J77" i="70"/>
  <c r="J62" i="70"/>
  <c r="N68" i="70"/>
  <c r="L76" i="70"/>
  <c r="G69" i="70"/>
  <c r="H69" i="70"/>
  <c r="K68" i="70"/>
  <c r="E76" i="70"/>
  <c r="L70" i="70"/>
  <c r="E70" i="70"/>
  <c r="I77" i="70"/>
  <c r="E75" i="70"/>
  <c r="I72" i="70"/>
  <c r="M78" i="70"/>
  <c r="E78" i="70"/>
  <c r="L63" i="70"/>
  <c r="N71" i="70"/>
  <c r="F71" i="70"/>
  <c r="M70" i="70"/>
  <c r="L74" i="70"/>
  <c r="N73" i="70"/>
  <c r="N77" i="70"/>
  <c r="F76" i="70"/>
  <c r="J63" i="70"/>
  <c r="M73" i="70"/>
  <c r="I68" i="70"/>
  <c r="I61" i="70"/>
  <c r="M69" i="70"/>
  <c r="E61" i="70"/>
  <c r="M67" i="70"/>
  <c r="G71" i="70"/>
  <c r="M63" i="70"/>
  <c r="K77" i="70"/>
  <c r="N76" i="70"/>
  <c r="H70" i="70"/>
  <c r="N62" i="70"/>
  <c r="G62" i="70"/>
  <c r="L71" i="70"/>
  <c r="N67" i="70"/>
  <c r="G67" i="70"/>
  <c r="G73" i="70"/>
  <c r="V164" i="76" a="1"/>
  <c r="V164" i="76" s="1"/>
  <c r="G64" i="70"/>
  <c r="H64" i="70"/>
  <c r="J64" i="70"/>
  <c r="J72" i="70"/>
  <c r="E67" i="70"/>
  <c r="F67" i="70"/>
  <c r="K63" i="70"/>
  <c r="N64" i="70"/>
  <c r="J78" i="70"/>
  <c r="J67" i="70"/>
  <c r="K74" i="70"/>
  <c r="H73" i="70"/>
  <c r="M64" i="70"/>
  <c r="E72" i="70"/>
  <c r="F72" i="70"/>
  <c r="E68" i="70"/>
  <c r="F78" i="70"/>
  <c r="K72" i="70"/>
  <c r="F75" i="70"/>
  <c r="I71" i="70"/>
  <c r="G75" i="70"/>
  <c r="I67" i="70"/>
  <c r="F73" i="70"/>
  <c r="N63" i="70"/>
  <c r="N78" i="70"/>
  <c r="E153" i="76" a="1"/>
  <c r="E153" i="76" s="1"/>
  <c r="J69" i="70"/>
  <c r="I73" i="70"/>
  <c r="J73" i="70"/>
  <c r="L61" i="70"/>
  <c r="E63" i="70"/>
  <c r="E74" i="70"/>
  <c r="K64" i="70"/>
  <c r="M72" i="70"/>
  <c r="H62" i="70"/>
  <c r="M68" i="70"/>
  <c r="J74" i="70"/>
  <c r="G61" i="70"/>
  <c r="M74" i="70"/>
  <c r="N74" i="70"/>
  <c r="J76" i="70"/>
  <c r="K73" i="70"/>
  <c r="I75" i="70"/>
  <c r="K76" i="70"/>
  <c r="G74" i="70"/>
  <c r="H67" i="70"/>
  <c r="G70" i="70"/>
  <c r="N75" i="70"/>
  <c r="E64" i="70"/>
  <c r="G76" i="70"/>
  <c r="H76" i="70"/>
  <c r="E71" i="70"/>
  <c r="F63" i="70"/>
  <c r="M76" i="70"/>
  <c r="F62" i="70"/>
  <c r="K75" i="70"/>
  <c r="L68" i="70"/>
  <c r="K71" i="70"/>
  <c r="H77" i="70"/>
  <c r="H61" i="70"/>
  <c r="F100" i="70"/>
  <c r="L98" i="70"/>
  <c r="H97" i="70"/>
  <c r="N95" i="70"/>
  <c r="J94" i="70"/>
  <c r="F93" i="70"/>
  <c r="L91" i="70"/>
  <c r="H90" i="70"/>
  <c r="H86" i="70"/>
  <c r="N84" i="70"/>
  <c r="J83" i="70"/>
  <c r="G86" i="70"/>
  <c r="M84" i="70"/>
  <c r="I83" i="70"/>
  <c r="E100" i="70"/>
  <c r="K98" i="70"/>
  <c r="G97" i="70"/>
  <c r="M95" i="70"/>
  <c r="I94" i="70"/>
  <c r="E93" i="70"/>
  <c r="K91" i="70"/>
  <c r="G90" i="70"/>
  <c r="N99" i="70"/>
  <c r="J98" i="70"/>
  <c r="F97" i="70"/>
  <c r="L95" i="70"/>
  <c r="H94" i="70"/>
  <c r="N92" i="70"/>
  <c r="J91" i="70"/>
  <c r="F90" i="70"/>
  <c r="F86" i="70"/>
  <c r="L84" i="70"/>
  <c r="M99" i="70"/>
  <c r="I98" i="70"/>
  <c r="E97" i="70"/>
  <c r="K95" i="70"/>
  <c r="G94" i="70"/>
  <c r="M92" i="70"/>
  <c r="I91" i="70"/>
  <c r="E90" i="70"/>
  <c r="E86" i="70"/>
  <c r="K84" i="70"/>
  <c r="G83" i="70"/>
  <c r="N85" i="70"/>
  <c r="J84" i="70"/>
  <c r="F83" i="70"/>
  <c r="H84" i="70"/>
  <c r="E95" i="70"/>
  <c r="E84" i="70"/>
  <c r="L86" i="70"/>
  <c r="E92" i="70"/>
  <c r="M83" i="70"/>
  <c r="L99" i="70"/>
  <c r="H98" i="70"/>
  <c r="N96" i="70"/>
  <c r="J95" i="70"/>
  <c r="F94" i="70"/>
  <c r="L92" i="70"/>
  <c r="H91" i="70"/>
  <c r="N89" i="70"/>
  <c r="K93" i="70"/>
  <c r="I85" i="70"/>
  <c r="H89" i="70"/>
  <c r="N83" i="70"/>
  <c r="G89" i="70"/>
  <c r="K99" i="70"/>
  <c r="G98" i="70"/>
  <c r="M96" i="70"/>
  <c r="I95" i="70"/>
  <c r="E94" i="70"/>
  <c r="K92" i="70"/>
  <c r="G91" i="70"/>
  <c r="M89" i="70"/>
  <c r="M85" i="70"/>
  <c r="I84" i="70"/>
  <c r="E83" i="70"/>
  <c r="J92" i="70"/>
  <c r="L89" i="70"/>
  <c r="L85" i="70"/>
  <c r="I96" i="70"/>
  <c r="H85" i="70"/>
  <c r="K90" i="70"/>
  <c r="K86" i="70"/>
  <c r="N100" i="70"/>
  <c r="J99" i="70"/>
  <c r="F98" i="70"/>
  <c r="L96" i="70"/>
  <c r="H95" i="70"/>
  <c r="N93" i="70"/>
  <c r="F91" i="70"/>
  <c r="G92" i="70"/>
  <c r="G85" i="70"/>
  <c r="M100" i="70"/>
  <c r="I99" i="70"/>
  <c r="E98" i="70"/>
  <c r="K96" i="70"/>
  <c r="G95" i="70"/>
  <c r="M93" i="70"/>
  <c r="I92" i="70"/>
  <c r="E91" i="70"/>
  <c r="K89" i="70"/>
  <c r="K85" i="70"/>
  <c r="G84" i="70"/>
  <c r="M90" i="70"/>
  <c r="L100" i="70"/>
  <c r="H99" i="70"/>
  <c r="N97" i="70"/>
  <c r="J96" i="70"/>
  <c r="F95" i="70"/>
  <c r="L93" i="70"/>
  <c r="H92" i="70"/>
  <c r="N90" i="70"/>
  <c r="J89" i="70"/>
  <c r="N86" i="70"/>
  <c r="J85" i="70"/>
  <c r="F84" i="70"/>
  <c r="I89" i="70"/>
  <c r="K100" i="70"/>
  <c r="G99" i="70"/>
  <c r="M97" i="70"/>
  <c r="M86" i="70"/>
  <c r="L90" i="70"/>
  <c r="J100" i="70"/>
  <c r="F99" i="70"/>
  <c r="L97" i="70"/>
  <c r="H96" i="70"/>
  <c r="N94" i="70"/>
  <c r="J93" i="70"/>
  <c r="F92" i="70"/>
  <c r="I100" i="70"/>
  <c r="E99" i="70"/>
  <c r="K97" i="70"/>
  <c r="G96" i="70"/>
  <c r="M94" i="70"/>
  <c r="I93" i="70"/>
  <c r="H100" i="70"/>
  <c r="N98" i="70"/>
  <c r="J97" i="70"/>
  <c r="F96" i="70"/>
  <c r="L94" i="70"/>
  <c r="H93" i="70"/>
  <c r="N91" i="70"/>
  <c r="J90" i="70"/>
  <c r="F89" i="70"/>
  <c r="J86" i="70"/>
  <c r="F85" i="70"/>
  <c r="L83" i="70"/>
  <c r="E85" i="70"/>
  <c r="H83" i="70"/>
  <c r="G100" i="70"/>
  <c r="M98" i="70"/>
  <c r="I97" i="70"/>
  <c r="E96" i="70"/>
  <c r="K94" i="70"/>
  <c r="G93" i="70"/>
  <c r="M91" i="70"/>
  <c r="I90" i="70"/>
  <c r="E89" i="70"/>
  <c r="I86" i="70"/>
  <c r="K83" i="70"/>
  <c r="I62" i="70"/>
  <c r="L77" i="70"/>
  <c r="N61" i="70"/>
  <c r="N70" i="70"/>
  <c r="G78" i="70"/>
  <c r="J68" i="70"/>
  <c r="E77" i="70"/>
  <c r="F70" i="70"/>
  <c r="E73" i="70"/>
  <c r="L78" i="70"/>
  <c r="L62" i="70"/>
  <c r="F61" i="70"/>
  <c r="G72" i="70"/>
  <c r="H63" i="70"/>
  <c r="M61" i="70"/>
  <c r="M77" i="70"/>
  <c r="H71" i="70"/>
  <c r="I78" i="70"/>
  <c r="J71" i="70"/>
  <c r="I74" i="70"/>
  <c r="K67" i="70"/>
  <c r="F64" i="70"/>
  <c r="X115" i="69" a="1"/>
  <c r="X115" i="69" s="1"/>
  <c r="K62" i="70"/>
  <c r="I64" i="70"/>
  <c r="L64" i="70"/>
  <c r="G68" i="70"/>
  <c r="H72" i="70"/>
  <c r="L72" i="70"/>
  <c r="K61" i="70"/>
  <c r="N72" i="70"/>
  <c r="M75" i="70"/>
  <c r="E69" i="70"/>
  <c r="L67" i="70"/>
  <c r="E115" i="69" a="1"/>
  <c r="E115" i="69" s="1"/>
  <c r="M62" i="70"/>
  <c r="I76" i="70"/>
  <c r="H68" i="70"/>
  <c r="E62" i="70"/>
  <c r="G63" i="70"/>
  <c r="J75" i="70"/>
  <c r="I69" i="70"/>
  <c r="H74" i="70"/>
  <c r="G77" i="70"/>
  <c r="I70" i="70"/>
  <c r="F69" i="70"/>
  <c r="J61" i="70"/>
  <c r="L73" i="70"/>
  <c r="L69" i="70"/>
  <c r="I63" i="70"/>
  <c r="K69" i="70"/>
  <c r="H78" i="70"/>
  <c r="F68" i="70"/>
  <c r="L75" i="70"/>
  <c r="K78" i="70"/>
  <c r="M71" i="70"/>
  <c r="X235" i="69"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38" i="76"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I13" i="98" s="1"/>
  <c r="E20" i="98" s="1" a="1"/>
  <c r="E20" i="98"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AD257" i="69" l="1"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I32" i="98"/>
  <c r="E36" i="98" s="1" a="1"/>
  <c r="E36" i="98" s="1"/>
  <c r="E10" i="13" s="1"/>
  <c r="E244" i="69"/>
  <c r="E229" i="76" a="1"/>
  <c r="E229" i="76" s="1"/>
  <c r="E8" i="13" s="1"/>
  <c r="J13" i="97"/>
  <c r="E16" i="97" s="1" a="1"/>
  <c r="E16" i="97" s="1"/>
  <c r="I28" i="97" s="1"/>
  <c r="E35" i="97" s="1" a="1"/>
  <c r="E35" i="97" s="1"/>
  <c r="E9"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Z278" i="69" l="1"/>
  <c r="X281" i="69" s="1" a="1"/>
  <c r="X281" i="69" s="1"/>
  <c r="I7" i="13" s="1"/>
  <c r="F7" i="13"/>
  <c r="V267" i="76" a="1"/>
  <c r="V267" i="76" s="1"/>
  <c r="F8" i="13" s="1"/>
  <c r="R13" i="98"/>
  <c r="N20" i="98" s="1" a="1"/>
  <c r="N20" i="98" s="1"/>
  <c r="R32" i="98" s="1"/>
  <c r="N36" i="98" s="1" a="1"/>
  <c r="N36" i="98" s="1"/>
  <c r="F10" i="13" s="1"/>
  <c r="T13" i="97"/>
  <c r="O16" i="97" s="1" a="1"/>
  <c r="O16" i="97" s="1"/>
  <c r="S28" i="97" s="1"/>
  <c r="O35" i="97" s="1" a="1"/>
  <c r="O35" i="97" s="1"/>
  <c r="F9"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<sst xmlns="http://schemas.openxmlformats.org/spreadsheetml/2006/main" count="1961" uniqueCount="412">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</sst>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3" displayName="Table_Input_LivestockSales3"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59"/>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58" dataCellStyle="Input select"/>
    <tableColumn id="2" xr3:uid="{7F063362-12BB-4418-97CC-E62592B8226F}" name="Purchase class (select)" dataDxfId="157" dataCellStyle="Input select"/>
    <tableColumn id="6" xr3:uid="{7919A336-9815-4A07-A352-86BA6315626F}" name="Source region (Select)" dataDxfId="156"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abSelected="1" topLeftCell="A176" zoomScale="70" zoomScaleNormal="70" workbookViewId="0">
      <selection activeCell="D191" sqref="D191:D200"/>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Q205" s="1"/>
      <c r="Z205" s="56"/>
    </row>
    <row r="206" spans="4:27" ht="20.100000000000001" customHeight="1" x14ac:dyDescent="0.25">
      <c r="D206" s="37" t="s">
        <v>379</v>
      </c>
      <c r="E206" s="37" t="s">
        <v>374</v>
      </c>
      <c r="F206" s="37" t="s">
        <v>370</v>
      </c>
      <c r="G206" s="37" t="s">
        <v>371</v>
      </c>
      <c r="H206" s="37" t="s">
        <v>372</v>
      </c>
      <c r="I206" s="37" t="s">
        <v>373</v>
      </c>
      <c r="Q206" s="1"/>
      <c r="R206" s="1"/>
      <c r="Z206" s="56"/>
      <c r="AA206" s="56"/>
    </row>
    <row r="207" spans="4:27" ht="20.100000000000001" customHeight="1" x14ac:dyDescent="0.25">
      <c r="D207" s="33"/>
      <c r="E207" s="39" t="s">
        <v>130</v>
      </c>
      <c r="F207" s="128">
        <v>45566</v>
      </c>
      <c r="G207" s="37">
        <v>10</v>
      </c>
      <c r="H207" s="37">
        <v>500</v>
      </c>
      <c r="I207" s="52">
        <f t="shared" ref="I207:I216" si="2">G207*H207</f>
        <v>5000</v>
      </c>
      <c r="Q207" s="1"/>
      <c r="R207" s="1"/>
      <c r="Z207" s="56"/>
      <c r="AA207" s="56"/>
    </row>
    <row r="208" spans="4:27" ht="20.100000000000001" customHeight="1" x14ac:dyDescent="0.25">
      <c r="D208" s="33"/>
      <c r="E208" s="39"/>
      <c r="F208" s="128"/>
      <c r="G208" s="37"/>
      <c r="H208" s="37"/>
      <c r="I208" s="52">
        <f t="shared" si="2"/>
        <v>0</v>
      </c>
      <c r="Q208" s="1"/>
      <c r="R208" s="1"/>
      <c r="Z208" s="56"/>
      <c r="AA208" s="56"/>
    </row>
    <row r="209" spans="4:27" ht="20.100000000000001" customHeight="1" x14ac:dyDescent="0.25">
      <c r="D209" s="33"/>
      <c r="E209" s="39"/>
      <c r="F209" s="128"/>
      <c r="G209" s="37"/>
      <c r="H209" s="37"/>
      <c r="I209" s="52">
        <f t="shared" si="2"/>
        <v>0</v>
      </c>
      <c r="Q209" s="1"/>
      <c r="R209" s="1"/>
      <c r="Z209" s="56"/>
      <c r="AA209" s="56"/>
    </row>
    <row r="210" spans="4:27" ht="20.100000000000001" customHeight="1" x14ac:dyDescent="0.25">
      <c r="D210" s="33"/>
      <c r="E210" s="39"/>
      <c r="F210" s="128"/>
      <c r="G210" s="37"/>
      <c r="H210" s="37"/>
      <c r="I210" s="52">
        <f t="shared" si="2"/>
        <v>0</v>
      </c>
      <c r="Q210" s="1"/>
      <c r="R210" s="1"/>
      <c r="Z210" s="56"/>
      <c r="AA210" s="56"/>
    </row>
    <row r="211" spans="4:27" ht="20.100000000000001" customHeight="1" x14ac:dyDescent="0.25">
      <c r="D211" s="33"/>
      <c r="E211" s="39"/>
      <c r="F211" s="128"/>
      <c r="G211" s="37"/>
      <c r="H211" s="37"/>
      <c r="I211" s="52">
        <f t="shared" si="2"/>
        <v>0</v>
      </c>
      <c r="Q211" s="1"/>
      <c r="R211" s="1"/>
      <c r="Z211" s="56"/>
      <c r="AA211" s="56"/>
    </row>
    <row r="212" spans="4:27" ht="20.100000000000001" customHeight="1" x14ac:dyDescent="0.25">
      <c r="D212" s="33"/>
      <c r="E212" s="39"/>
      <c r="F212" s="128"/>
      <c r="G212" s="37"/>
      <c r="H212" s="37"/>
      <c r="I212" s="52">
        <f t="shared" si="2"/>
        <v>0</v>
      </c>
      <c r="Q212" s="1"/>
      <c r="R212" s="1"/>
      <c r="Z212" s="56"/>
      <c r="AA212" s="56"/>
    </row>
    <row r="213" spans="4:27" ht="20.100000000000001" customHeight="1" x14ac:dyDescent="0.25">
      <c r="D213" s="33"/>
      <c r="E213" s="39"/>
      <c r="F213" s="128"/>
      <c r="G213" s="37"/>
      <c r="H213" s="37"/>
      <c r="I213" s="52">
        <f t="shared" si="2"/>
        <v>0</v>
      </c>
      <c r="Q213" s="1"/>
      <c r="R213" s="1"/>
      <c r="Z213" s="56"/>
      <c r="AA213" s="56"/>
    </row>
    <row r="214" spans="4:27" ht="20.100000000000001" customHeight="1" x14ac:dyDescent="0.25">
      <c r="D214" s="33"/>
      <c r="E214" s="39"/>
      <c r="F214" s="128"/>
      <c r="G214" s="37"/>
      <c r="H214" s="37"/>
      <c r="I214" s="52">
        <f t="shared" si="2"/>
        <v>0</v>
      </c>
      <c r="Q214" s="1"/>
      <c r="R214" s="1"/>
      <c r="Z214" s="56"/>
      <c r="AA214" s="56"/>
    </row>
    <row r="215" spans="4:27" ht="20.100000000000001" customHeight="1" x14ac:dyDescent="0.25">
      <c r="D215" s="33"/>
      <c r="E215" s="39"/>
      <c r="F215" s="128"/>
      <c r="G215" s="37"/>
      <c r="H215" s="37"/>
      <c r="I215" s="52">
        <f t="shared" si="2"/>
        <v>0</v>
      </c>
      <c r="Q215" s="1"/>
      <c r="R215" s="1"/>
      <c r="Z215" s="56"/>
      <c r="AA215" s="56"/>
    </row>
    <row r="216" spans="4:27" ht="20.100000000000001" customHeight="1" x14ac:dyDescent="0.25">
      <c r="D216" s="33"/>
      <c r="E216" s="39"/>
      <c r="F216" s="128"/>
      <c r="G216" s="37"/>
      <c r="H216" s="37"/>
      <c r="I216" s="52">
        <f t="shared" si="2"/>
        <v>0</v>
      </c>
      <c r="Q216" s="1"/>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14"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'Input - Pasture Beef'!$E$180</f>
        <v>0.99621999999999999</v>
      </c>
      <c r="F165" s="2" t="s">
        <v>141</v>
      </c>
    </row>
    <row r="166" spans="4:34" ht="20.100000000000001" customHeight="1" x14ac:dyDescent="0.25">
      <c r="D166" s="52" t="str">
        <f>'Input - Pasture Beef'!$D$181</f>
        <v>Anaerobic lagoon</v>
      </c>
      <c r="E166" s="52">
        <f>'Input - Pasture Beef'!$E$181</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'4.2.1.3-4 Soil direct N20'!$E$212</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'4.2.1.3-4 Soil direct N20'!$V$261</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'4.2.1.3-4 Soil direct N20'!$E$212</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'4.2.1.3-4 Soil direct N20'!$V$261</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95</vt:i4>
      </vt:variant>
    </vt:vector>
  </HeadingPairs>
  <TitlesOfParts>
    <vt:vector size="10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2026-07-15T07:13:43Z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