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353B2D0-46FE-4BC6-BC91-F93AF646DBF5}" xr6:coauthVersionLast="47" xr6:coauthVersionMax="47" xr10:uidLastSave="{00000000-0000-0000-0000-000000000000}"/>
  <bookViews>
    <workbookView xWindow="1350" yWindow="360" windowWidth="36255" windowHeight="19140" firstSheet="6"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7"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Beef'!$E$181</definedName>
    <definedName name="X_Cell_PastureBeef_CalculatedMMSPastureRangeAndPaddock">'Input - Pasture Beef'!$E$180</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I33" i="98"/>
  <c r="X172" i="69"/>
  <c r="X171" i="69"/>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H225" i="76"/>
  <c r="I14" i="98"/>
  <c r="I29" i="97"/>
  <c r="E30" i="15"/>
  <c r="E33" i="15"/>
  <c r="E32" i="15"/>
  <c r="E31" i="15"/>
  <c r="I34" i="98"/>
  <c r="I30" i="97"/>
  <c r="H226" i="76"/>
  <c r="P39" i="98"/>
  <c r="G39" i="98"/>
  <c r="Q38" i="97"/>
  <c r="G38" i="97"/>
  <c r="X270" i="76"/>
  <c r="G232" i="76"/>
  <c r="Z279" i="69"/>
  <c r="G247" i="69"/>
  <c r="M28" i="76"/>
  <c r="L28" i="76"/>
  <c r="K28" i="76"/>
  <c r="J28" i="76"/>
  <c r="I28" i="76"/>
  <c r="H28" i="76"/>
  <c r="G28" i="76"/>
  <c r="F28" i="76"/>
  <c r="E28" i="76"/>
  <c r="D28" i="76"/>
  <c r="E172" i="69"/>
  <c r="E171" i="69"/>
  <c r="E181" i="70"/>
  <c r="E180"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c r="D227" i="107" a="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a="1"/>
  <c r="D179" i="107" s="1"/>
  <c r="D178" i="107" a="1"/>
  <c r="D178" i="107" s="1"/>
  <c r="E175" i="107" a="1"/>
  <c r="E175" i="107" s="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a="1"/>
  <c r="D161" i="107" s="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a="1"/>
  <c r="D117" i="107" s="1"/>
  <c r="D116" i="107" a="1"/>
  <c r="D116" i="107" s="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H54" i="107" s="1"/>
  <c r="E54" i="107" a="1"/>
  <c r="E54" i="107" s="1"/>
  <c r="D54" i="107" a="1"/>
  <c r="D54" i="107" s="1"/>
  <c r="G53" i="107" a="1"/>
  <c r="G53" i="107" s="1"/>
  <c r="F53" i="107" a="1"/>
  <c r="F53" i="107" s="1"/>
  <c r="H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H49" i="107" s="1"/>
  <c r="E49" i="107" a="1"/>
  <c r="E49" i="107" s="1"/>
  <c r="D49" i="107" a="1"/>
  <c r="D49" i="107" s="1"/>
  <c r="G48" i="107" a="1"/>
  <c r="G48" i="107" s="1"/>
  <c r="F48" i="107" a="1"/>
  <c r="F48" i="107" s="1"/>
  <c r="E48" i="107" a="1"/>
  <c r="E48" i="107" s="1"/>
  <c r="D48" i="107" a="1"/>
  <c r="D48" i="107" s="1"/>
  <c r="D46" i="107" a="1"/>
  <c r="D46" i="107" s="1"/>
  <c r="D45" i="107" a="1"/>
  <c r="D45" i="107" s="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a="1"/>
  <c r="D35" i="107" s="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a="1"/>
  <c r="D19" i="107" s="1"/>
  <c r="D18" i="107" a="1"/>
  <c r="D18" i="107" s="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a="1"/>
  <c r="D5" i="107"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J200" i="70" a="1"/>
  <c r="J200" i="70" s="1"/>
  <c r="J199" i="70" a="1"/>
  <c r="J199" i="70" s="1"/>
  <c r="J198" i="70" a="1"/>
  <c r="J198" i="70" s="1"/>
  <c r="J197" i="70" a="1"/>
  <c r="J197" i="70" s="1"/>
  <c r="J196" i="70" a="1"/>
  <c r="J196" i="70" s="1"/>
  <c r="J195" i="70" a="1"/>
  <c r="J195" i="70" s="1"/>
  <c r="J194" i="70" a="1"/>
  <c r="J194" i="70" s="1"/>
  <c r="J193" i="70" a="1"/>
  <c r="J193" i="70" s="1"/>
  <c r="J192" i="70" a="1"/>
  <c r="J192" i="70" s="1"/>
  <c r="I216" i="70"/>
  <c r="I215" i="70"/>
  <c r="I214" i="70"/>
  <c r="I213" i="70"/>
  <c r="I212" i="70"/>
  <c r="I211" i="70"/>
  <c r="I210" i="70"/>
  <c r="I209" i="70"/>
  <c r="I208" i="70"/>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H48" i="107" l="1"/>
  <c r="H52" i="107"/>
  <c r="H51" i="107"/>
  <c r="H50" i="107"/>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I207" i="70" l="1"/>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AB159" i="69" l="1"/>
  <c r="Z154" i="69" a="1"/>
  <c r="Z154" i="69" s="1"/>
  <c r="W154" i="69" a="1"/>
  <c r="W154" i="69" s="1"/>
  <c r="I160" i="69"/>
  <c r="I159" i="69"/>
  <c r="J16" i="69"/>
  <c r="I158" i="69" l="1"/>
  <c r="J124" i="70"/>
  <c r="J123" i="70"/>
  <c r="J122" i="70"/>
  <c r="J121" i="70"/>
  <c r="K123" i="70"/>
  <c r="K122" i="70"/>
  <c r="K121" i="70"/>
  <c r="K124" i="70"/>
  <c r="M114" i="70"/>
  <c r="M113" i="70"/>
  <c r="M112" i="70"/>
  <c r="M111" i="70"/>
  <c r="L114" i="70"/>
  <c r="L113" i="70"/>
  <c r="L111" i="70"/>
  <c r="L112"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21" i="70"/>
  <c r="L123" i="70"/>
  <c r="L122" i="70"/>
  <c r="M121" i="70"/>
  <c r="N121" i="70" s="1"/>
  <c r="L124" i="70"/>
  <c r="M124" i="70"/>
  <c r="M123" i="70"/>
  <c r="M122" i="70"/>
  <c r="W172" i="69"/>
  <c r="W171" i="69"/>
  <c r="O121" i="70" l="1"/>
  <c r="N124" i="70"/>
  <c r="O124" i="70" s="1"/>
  <c r="N122" i="70"/>
  <c r="O122" i="70" s="1"/>
  <c r="N123" i="70"/>
  <c r="O123" i="70" s="1"/>
  <c r="G87" i="76"/>
  <c r="F87" i="76"/>
  <c r="E87" i="76"/>
  <c r="D87" i="76"/>
  <c r="D111" i="70"/>
  <c r="F128" i="70"/>
  <c r="Y22" i="69" s="1"/>
  <c r="E128" i="70"/>
  <c r="V92" i="76" s="1"/>
  <c r="G128" i="70"/>
  <c r="Z22" i="69" s="1"/>
  <c r="D125" i="70"/>
  <c r="E121" i="70"/>
  <c r="D127" i="70" s="1"/>
  <c r="U93" i="76" s="1"/>
  <c r="E120" i="70"/>
  <c r="D126" i="70" s="1"/>
  <c r="D6" i="69" a="1"/>
  <c r="D6" i="69" s="1"/>
  <c r="I148" i="76"/>
  <c r="U92" i="76" l="1"/>
  <c r="V109" i="76" s="1" a="1"/>
  <c r="V109" i="76" s="1"/>
  <c r="W22" i="69"/>
  <c r="X92" i="76"/>
  <c r="D128"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8" a="1"/>
  <c r="E7" i="97" a="1"/>
  <c r="E26" i="98" a="1"/>
  <c r="E22" i="97"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E26" i="98"/>
  <c r="O20" i="98"/>
  <c r="E7" i="98"/>
  <c r="E22" i="97"/>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148" i="69" a="1"/>
  <c r="E42" i="76" a="1"/>
  <c r="E206" i="69" a="1"/>
  <c r="E178" i="76" a="1"/>
  <c r="E39" i="69" a="1"/>
  <c r="E101" i="69" a="1"/>
  <c r="E136" i="76" a="1"/>
  <c r="E7" i="76" a="1"/>
  <c r="E104" i="76" a="1"/>
  <c r="E218"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A20" i="98"/>
  <c r="A19" i="98"/>
  <c r="A18" i="98"/>
  <c r="A7" i="98"/>
  <c r="A4" i="98"/>
  <c r="A3" i="98"/>
  <c r="M150" i="70" l="1"/>
  <c r="I149" i="70"/>
  <c r="E148" i="70"/>
  <c r="K146" i="70"/>
  <c r="G145" i="70"/>
  <c r="M143" i="70"/>
  <c r="I142" i="70"/>
  <c r="E141" i="70"/>
  <c r="K139" i="70"/>
  <c r="K136" i="70"/>
  <c r="G135" i="70"/>
  <c r="M133" i="70"/>
  <c r="L150" i="70"/>
  <c r="H149" i="70"/>
  <c r="N147" i="70"/>
  <c r="J146" i="70"/>
  <c r="F145" i="70"/>
  <c r="L143" i="70"/>
  <c r="H142" i="70"/>
  <c r="N140" i="70"/>
  <c r="J139" i="70"/>
  <c r="J136" i="70"/>
  <c r="F135" i="70"/>
  <c r="L133" i="70"/>
  <c r="I146" i="70"/>
  <c r="E145" i="70"/>
  <c r="K143" i="70"/>
  <c r="G142" i="70"/>
  <c r="M140" i="70"/>
  <c r="I139" i="70"/>
  <c r="I136" i="70"/>
  <c r="E135" i="70"/>
  <c r="K133" i="70"/>
  <c r="M142" i="70"/>
  <c r="K150" i="70"/>
  <c r="G149" i="70"/>
  <c r="M147" i="70"/>
  <c r="G144" i="70"/>
  <c r="J142" i="70"/>
  <c r="J150" i="70"/>
  <c r="F149" i="70"/>
  <c r="L147" i="70"/>
  <c r="H146" i="70"/>
  <c r="N144" i="70"/>
  <c r="J143" i="70"/>
  <c r="F142" i="70"/>
  <c r="L140" i="70"/>
  <c r="H139" i="70"/>
  <c r="H136" i="70"/>
  <c r="N134" i="70"/>
  <c r="J133" i="70"/>
  <c r="E143" i="70"/>
  <c r="J148" i="70"/>
  <c r="H134" i="70"/>
  <c r="L146" i="70"/>
  <c r="H135" i="70"/>
  <c r="I150" i="70"/>
  <c r="E149" i="70"/>
  <c r="K147" i="70"/>
  <c r="G146" i="70"/>
  <c r="M144" i="70"/>
  <c r="I143" i="70"/>
  <c r="E142" i="70"/>
  <c r="K140" i="70"/>
  <c r="G139" i="70"/>
  <c r="G136" i="70"/>
  <c r="M134" i="70"/>
  <c r="I133" i="70"/>
  <c r="E136" i="70"/>
  <c r="G133" i="70"/>
  <c r="F150" i="70"/>
  <c r="N145" i="70"/>
  <c r="J144" i="70"/>
  <c r="L141" i="70"/>
  <c r="K148" i="70"/>
  <c r="I144" i="70"/>
  <c r="G140" i="70"/>
  <c r="I134" i="70"/>
  <c r="F147" i="70"/>
  <c r="J141" i="70"/>
  <c r="I148" i="70"/>
  <c r="E140" i="70"/>
  <c r="H145" i="70"/>
  <c r="L136" i="70"/>
  <c r="N133" i="70"/>
  <c r="H150" i="70"/>
  <c r="N148" i="70"/>
  <c r="J147" i="70"/>
  <c r="F146" i="70"/>
  <c r="L144" i="70"/>
  <c r="H143" i="70"/>
  <c r="N141" i="70"/>
  <c r="J140" i="70"/>
  <c r="F139" i="70"/>
  <c r="F136" i="70"/>
  <c r="L134" i="70"/>
  <c r="H133" i="70"/>
  <c r="K134" i="70"/>
  <c r="L148" i="70"/>
  <c r="F143" i="70"/>
  <c r="N135" i="70"/>
  <c r="F133" i="70"/>
  <c r="E150" i="70"/>
  <c r="G147" i="70"/>
  <c r="M145" i="70"/>
  <c r="K141" i="70"/>
  <c r="E133" i="70"/>
  <c r="N149" i="70"/>
  <c r="H144" i="70"/>
  <c r="N142" i="70"/>
  <c r="E147" i="70"/>
  <c r="I141" i="70"/>
  <c r="E134" i="70"/>
  <c r="N150" i="70"/>
  <c r="F141" i="70"/>
  <c r="G150" i="70"/>
  <c r="M148" i="70"/>
  <c r="I147" i="70"/>
  <c r="E146" i="70"/>
  <c r="K144" i="70"/>
  <c r="G143" i="70"/>
  <c r="M141" i="70"/>
  <c r="I140" i="70"/>
  <c r="E139" i="70"/>
  <c r="H147" i="70"/>
  <c r="H140" i="70"/>
  <c r="J134" i="70"/>
  <c r="M135" i="70"/>
  <c r="L145" i="70"/>
  <c r="F140" i="70"/>
  <c r="L135" i="70"/>
  <c r="M149" i="70"/>
  <c r="G134" i="70"/>
  <c r="I135" i="70"/>
  <c r="F148" i="70"/>
  <c r="L139" i="70"/>
  <c r="K145" i="70"/>
  <c r="K135" i="70"/>
  <c r="M136" i="70"/>
  <c r="J149" i="70"/>
  <c r="L149" i="70"/>
  <c r="H148" i="70"/>
  <c r="N146" i="70"/>
  <c r="J145" i="70"/>
  <c r="F144" i="70"/>
  <c r="L142" i="70"/>
  <c r="H141" i="70"/>
  <c r="N139" i="70"/>
  <c r="N136" i="70"/>
  <c r="J135" i="70"/>
  <c r="F134" i="70"/>
  <c r="K149" i="70"/>
  <c r="G148" i="70"/>
  <c r="M146" i="70"/>
  <c r="I145" i="70"/>
  <c r="E144" i="70"/>
  <c r="K142" i="70"/>
  <c r="G141" i="70"/>
  <c r="M139" i="70"/>
  <c r="N143" i="70"/>
  <c r="E166" i="69"/>
  <c r="E165"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G100" i="70" l="1"/>
  <c r="M98" i="70"/>
  <c r="I97" i="70"/>
  <c r="E96" i="70"/>
  <c r="K94" i="70"/>
  <c r="G93" i="70"/>
  <c r="M91" i="70"/>
  <c r="I90" i="70"/>
  <c r="E89" i="70"/>
  <c r="I86" i="70"/>
  <c r="E85" i="70"/>
  <c r="F100" i="70"/>
  <c r="L98" i="70"/>
  <c r="H97" i="70"/>
  <c r="N95" i="70"/>
  <c r="J94" i="70"/>
  <c r="F93" i="70"/>
  <c r="L91" i="70"/>
  <c r="H90" i="70"/>
  <c r="H86" i="70"/>
  <c r="N84" i="70"/>
  <c r="J83" i="70"/>
  <c r="E100" i="70"/>
  <c r="K98" i="70"/>
  <c r="G97" i="70"/>
  <c r="M95" i="70"/>
  <c r="I94" i="70"/>
  <c r="E93" i="70"/>
  <c r="K91" i="70"/>
  <c r="M84" i="70"/>
  <c r="I83" i="70"/>
  <c r="I96" i="70"/>
  <c r="M83" i="70"/>
  <c r="H100" i="70"/>
  <c r="J86" i="70"/>
  <c r="G90" i="70"/>
  <c r="G86" i="70"/>
  <c r="K93" i="70"/>
  <c r="G85" i="70"/>
  <c r="J90" i="70"/>
  <c r="N99" i="70"/>
  <c r="J98" i="70"/>
  <c r="F97" i="70"/>
  <c r="L95" i="70"/>
  <c r="H94" i="70"/>
  <c r="N92" i="70"/>
  <c r="J91" i="70"/>
  <c r="F90" i="70"/>
  <c r="F86" i="70"/>
  <c r="L84" i="70"/>
  <c r="H83" i="70"/>
  <c r="K96" i="70"/>
  <c r="K89" i="70"/>
  <c r="L100" i="70"/>
  <c r="L93" i="70"/>
  <c r="F84" i="70"/>
  <c r="G99" i="70"/>
  <c r="J97" i="70"/>
  <c r="F85" i="70"/>
  <c r="M99" i="70"/>
  <c r="I98" i="70"/>
  <c r="E97" i="70"/>
  <c r="K95" i="70"/>
  <c r="G94" i="70"/>
  <c r="M92" i="70"/>
  <c r="I91" i="70"/>
  <c r="E90" i="70"/>
  <c r="E86" i="70"/>
  <c r="K84" i="70"/>
  <c r="G83" i="70"/>
  <c r="G91" i="70"/>
  <c r="I84" i="70"/>
  <c r="J99" i="70"/>
  <c r="L96" i="70"/>
  <c r="J92" i="70"/>
  <c r="H84" i="70"/>
  <c r="E98" i="70"/>
  <c r="M93" i="70"/>
  <c r="K85" i="70"/>
  <c r="N97" i="70"/>
  <c r="H92" i="70"/>
  <c r="E95" i="70"/>
  <c r="I89" i="70"/>
  <c r="I85" i="70"/>
  <c r="K86" i="70"/>
  <c r="L94" i="70"/>
  <c r="L83" i="70"/>
  <c r="L99" i="70"/>
  <c r="H98" i="70"/>
  <c r="N96" i="70"/>
  <c r="J95" i="70"/>
  <c r="F94" i="70"/>
  <c r="L92" i="70"/>
  <c r="H91" i="70"/>
  <c r="N89" i="70"/>
  <c r="N85" i="70"/>
  <c r="J84" i="70"/>
  <c r="F83" i="70"/>
  <c r="K92" i="70"/>
  <c r="M85" i="70"/>
  <c r="E83" i="70"/>
  <c r="N100" i="70"/>
  <c r="H95" i="70"/>
  <c r="F91" i="70"/>
  <c r="I99" i="70"/>
  <c r="G95" i="70"/>
  <c r="E91" i="70"/>
  <c r="H99" i="70"/>
  <c r="F95" i="70"/>
  <c r="J89" i="70"/>
  <c r="J85" i="70"/>
  <c r="M97" i="70"/>
  <c r="M90" i="70"/>
  <c r="M86" i="70"/>
  <c r="N98" i="70"/>
  <c r="F89" i="70"/>
  <c r="K99" i="70"/>
  <c r="G98" i="70"/>
  <c r="M96" i="70"/>
  <c r="I95" i="70"/>
  <c r="E94" i="70"/>
  <c r="M89" i="70"/>
  <c r="F98" i="70"/>
  <c r="N93" i="70"/>
  <c r="L89" i="70"/>
  <c r="L85" i="70"/>
  <c r="M100" i="70"/>
  <c r="I92" i="70"/>
  <c r="G84" i="70"/>
  <c r="J96" i="70"/>
  <c r="N90" i="70"/>
  <c r="N86" i="70"/>
  <c r="K100" i="70"/>
  <c r="G92" i="70"/>
  <c r="E84" i="70"/>
  <c r="F96" i="70"/>
  <c r="K83" i="70"/>
  <c r="H93" i="70"/>
  <c r="J100" i="70"/>
  <c r="F99" i="70"/>
  <c r="L97" i="70"/>
  <c r="H96" i="70"/>
  <c r="N94" i="70"/>
  <c r="J93" i="70"/>
  <c r="F92" i="70"/>
  <c r="L90" i="70"/>
  <c r="H89" i="70"/>
  <c r="L86" i="70"/>
  <c r="H85" i="70"/>
  <c r="N83" i="70"/>
  <c r="I100" i="70"/>
  <c r="E99" i="70"/>
  <c r="K97" i="70"/>
  <c r="G96" i="70"/>
  <c r="M94" i="70"/>
  <c r="I93" i="70"/>
  <c r="E92" i="70"/>
  <c r="K90" i="70"/>
  <c r="G89" i="70"/>
  <c r="N91" i="70"/>
  <c r="J191" i="70" a="1"/>
  <c r="J191" i="70" s="1"/>
  <c r="V164" i="76"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J13" i="97" l="1"/>
  <c r="E16" i="97" s="1" a="1"/>
  <c r="E16" i="97" s="1"/>
  <c r="I28" i="97" s="1"/>
  <c r="E35" i="97" s="1" a="1"/>
  <c r="E35" i="97" s="1"/>
  <c r="E9" i="13" s="1"/>
  <c r="I13" i="98"/>
  <c r="E20" i="98" s="1" a="1"/>
  <c r="E20" i="98" s="1"/>
  <c r="I32" i="98" s="1"/>
  <c r="E36" i="98" s="1" a="1"/>
  <c r="E36" i="98" s="1"/>
  <c r="E10" i="13"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244" i="69"/>
  <c r="E229" i="76" a="1"/>
  <c r="E229" i="76" s="1"/>
  <c r="E8"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T13" i="97" l="1"/>
  <c r="O16" i="97" s="1" a="1"/>
  <c r="O16" i="97" s="1"/>
  <c r="S28" i="97" s="1"/>
  <c r="O35" i="97" s="1" a="1"/>
  <c r="O35" i="97" s="1"/>
  <c r="F9" i="13" s="1"/>
  <c r="R13" i="98"/>
  <c r="N20" i="98" s="1" a="1"/>
  <c r="N20" i="98" s="1"/>
  <c r="R32" i="98" s="1"/>
  <c r="N36" i="98" s="1" a="1"/>
  <c r="N36" i="98" s="1"/>
  <c r="F10" i="13" s="1"/>
  <c r="Z278" i="69"/>
  <c r="X281" i="69" s="1" a="1"/>
  <c r="X281" i="69" s="1"/>
  <c r="I7" i="13" s="1"/>
  <c r="F7" i="13"/>
  <c r="V267" i="76" a="1"/>
  <c r="V267" i="76" s="1"/>
  <c r="F8"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<sst xmlns="http://schemas.openxmlformats.org/spreadsheetml/2006/main" count="1961" uniqueCount="412">
  <si>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</si>
  <si>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</si>
  <si>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</si>
  <si>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</si>
  <si>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</si>
  <si>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</si>
  <si>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</si>
  <si>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</si>
  <si>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</si>
  <si>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</si>
  <si>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</si>
  <si>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</si>
  <si>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</si>
  <si>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</si>
  <si>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</si>
  <si>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</si>
  <si>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</si>
  <si>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</si>
  <si>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</si>
  <si>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</si>
  <si>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</si>
  <si>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</si>
  <si>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</si>
  <si>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</si>
  <si>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</si>
  <si>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</si>
  <si>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</si>
  <si>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</si>
  <si>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</si>
  <si>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</si>
  <si>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</si>
  <si>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</si>
  <si>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</si>
  <si>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</si>
  <si>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</si>
  <si>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</si>
  <si>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</si>
  <si>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</si>
  <si>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</si>
  <si>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</si>
  <si>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</si>
  <si>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</si>
  <si>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</si>
  <si>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</si>
  <si>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</si>
  <si>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</si>
  <si>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</si>
  <si>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</si>
  <si>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</si>
  <si>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</si>
  <si>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</si>
  <si>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</si>
  <si>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</si>
  <si>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</si>
  <si>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</si>
  <si>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</si>
  <si>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</si>
  <si>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</si>
  <si>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</si>
  <si>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</si>
  <si>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</si>
  <si>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</si>
  <si>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</si>
  <si>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</si>
  <si>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</si>
  <si>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</si>
  <si>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</si>
  <si>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</si>
  <si>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</si>
  <si>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</si>
  <si>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</si>
  <si>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</si>
  <si>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</si>
  <si>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</si>
  <si>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</si>
  <si>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</si>
  <si>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</si>
  <si>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</si>
  <si>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</si>
  <si>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</si>
  <si>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</si>
  <si>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</si>
  <si>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</si>
  <si>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</si>
  <si>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</si>
  <si>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</si>
  <si>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</si>
  <si>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</si>
  <si>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</si>
  <si>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</si>
  <si>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</si>
  <si>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</si>
  <si>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</si>
  <si>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</si>
  <si>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</si>
  <si>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</si>
  <si>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</si>
  <si>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</si>
  <si>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</si>
  <si>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</si>
  <si>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</si>
  <si>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</si>
  <si>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</si>
  <si>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</si>
  <si>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</si>
  <si>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</si>
  <si>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</si>
  <si>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</si>
  <si>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</si>
  <si>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</si>
  <si>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</si>
  <si>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</si>
  <si>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</si>
  <si>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</si>
  <si>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</si>
  <si>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</si>
  <si>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</si>
  <si>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</si>
  <si>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</si>
  <si>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</si>
  <si>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</si>
  <si>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</si>
  <si>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</si>
  <si>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</si>
  <si>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</si>
  <si>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</si>
  <si>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</si>
  <si>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</si>
  <si>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</si>
  <si>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</si>
  <si>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</si>
  <si>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</si>
  <si>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</si>
  <si>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</si>
  <si>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</si>
  <si>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</si>
  <si>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</si>
  <si>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</si>
  <si>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</si>
  <si>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</si>
  <si>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</si>
  <si>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</si>
  <si>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</si>
  <si>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</si>
  <si>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</si>
  <si>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</si>
  <si>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</si>
  <si>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</si>
  <si>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</si>
  <si>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</si>
  <si>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</si>
  <si>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</si>
  <si>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</si>
  <si>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</si>
  <si>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</si>
  <si>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</si>
  <si>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</si>
  <si>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</si>
  <si>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</si>
  <si>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</si>
  <si>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</si>
  <si>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</si>
  <si>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</si>
  <si>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</si>
  <si>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</si>
  <si>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</si>
  <si>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</si>
  <si>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</si>
  <si>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</si>
  <si>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</si>
  <si>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</si>
  <si>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</si>
  <si>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</si>
  <si>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</si>
  <si>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</si>
  <si>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</si>
  <si>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</si>
  <si>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</si>
  <si>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</si>
  <si>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</si>
  <si>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</si>
  <si>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</si>
  <si>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</si>
  <si>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</si>
  <si>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</si>
  <si>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</si>
  <si>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</si>
  <si>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</si>
  <si>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</si>
  <si>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</si>
  <si>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</si>
  <si>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</si>
  <si>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</si>
  <si>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</si>
  <si>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</si>
  <si>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</si>
  <si>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</si>
  <si>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</si>
  <si>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</si>
  <si>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</si>
  <si>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</si>
  <si>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</si>
  <si>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</si>
  <si>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</si>
  <si>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</si>
  <si>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</si>
  <si>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</si>
  <si>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</si>
  <si>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</si>
  <si>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</si>
  <si>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</si>
  <si>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</si>
  <si>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</si>
  <si>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</si>
  <si>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</si>
  <si>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</si>
  <si>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</si>
  <si>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</si>
  <si>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</si>
  <si>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</si>
  <si>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</si>
  <si>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</si>
  <si>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</si>
  <si>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</si>
  <si>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</si>
  <si>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</si>
  <si>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</si>
  <si>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</si>
  <si>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</si>
  <si>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</si>
  <si>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</si>
  <si>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</si>
  <si>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</si>
  <si>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</si>
  <si>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</si>
  <si>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</si>
  <si>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</si>
  <si>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</si>
  <si>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</si>
  <si>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</si>
  <si>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</si>
  <si>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</si>
  <si>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</si>
  <si>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</si>
  <si>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</si>
  <si>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</si>
  <si>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</si>
  <si>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</si>
  <si>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</si>
  <si>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</si>
  <si>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</si>
  <si>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</si>
  <si>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</si>
  <si>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</si>
  <si>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</si>
  <si>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</si>
  <si>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</si>
  <si>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</si>
  <si>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</si>
  <si>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</si>
  <si>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</si>
  <si>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</si>
  <si>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</si>
  <si>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</si>
  <si>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</si>
  <si>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</si>
  <si>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</si>
  <si>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</si>
  <si>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</si>
  <si>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</si>
  <si>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</si>
  <si>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</si>
  <si>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</si>
  <si>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</si>
  <si>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</si>
  <si>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</si>
  <si>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</si>
  <si>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</si>
  <si>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</si>
  <si>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</si>
  <si>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</si>
  <si>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</si>
  <si>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</si>
  <si>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</si>
  <si>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</si>
  <si>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</si>
  <si>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</si>
  <si>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</si>
  <si>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</si>
  <si>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</si>
  <si>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</si>
  <si>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</si>
  <si>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</si>
  <si>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</si>
  <si>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</si>
  <si>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</si>
  <si>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</si>
  <si>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</si>
  <si>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</si>
  <si>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</si>
  <si>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</si>
  <si>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</si>
  <si>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</si>
  <si>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</si>
  <si>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</si>
  <si>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</si>
  <si>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</si>
  <si>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</si>
  <si>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</si>
  <si>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</si>
  <si>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</si>
  <si>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</si>
  <si>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</si>
  <si>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</si>
  <si>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</si>
  <si>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</si>
  <si>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</si>
  <si>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</si>
  <si>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</si>
  <si>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</si>
  <si>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</si>
  <si>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</si>
  <si>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</si>
  <si>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</si>
  <si>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</si>
  <si>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</si>
  <si>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</si>
  <si>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</si>
  <si>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</si>
  <si>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</si>
  <si>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</si>
  <si>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</si>
  <si>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</si>
  <si>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</si>
  <si>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</si>
  <si>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</si>
  <si>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</si>
  <si>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</si>
  <si>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</si>
  <si>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</si>
  <si>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</si>
  <si>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</si>
  <si>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</si>
  <si>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</si>
  <si>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</si>
  <si>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</si>
  <si>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</si>
  <si>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</si>
  <si>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</si>
  <si>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</si>
  <si>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</si>
  <si>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</si>
  <si>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</si>
  <si>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</si>
  <si>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</si>
  <si>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</si>
  <si>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</si>
  <si>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</si>
  <si>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</si>
  <si>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</si>
  <si>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</si>
  <si>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</si>
  <si>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</si>
  <si>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</si>
  <si>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</si>
  <si>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</si>
  <si>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</si>
  <si>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</si>
  <si>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</si>
  <si>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Livestock sales</t>
  </si>
  <si>
    <t>Sale date</t>
  </si>
  <si>
    <t>Head sold</t>
  </si>
  <si>
    <t>Average weight per head (kg)</t>
  </si>
  <si>
    <t>Total liveweight sold</t>
  </si>
  <si>
    <t>Class (select)</t>
  </si>
  <si>
    <t>⚠️ Livestock sales are not automatically reflected in the duration and head tables below - you will need to manually adjust head count and average liveweight</t>
  </si>
  <si>
    <t>Livestock purchases</t>
  </si>
  <si>
    <t>Table_LivestockClasses_Beefcattle</t>
  </si>
  <si>
    <t>Livestock class</t>
  </si>
  <si>
    <t>Transaction name</t>
  </si>
  <si>
    <t>Purchase date</t>
  </si>
  <si>
    <t>Purchase class (select)</t>
  </si>
  <si>
    <t>Source region (Select)</t>
  </si>
  <si>
    <t>Quantity (head)</t>
  </si>
  <si>
    <t>Liveweight (kg/head) Method 1</t>
  </si>
  <si>
    <t>Liveweight (kg/head) Method 2</t>
  </si>
  <si>
    <t>Cows from Barry</t>
  </si>
  <si>
    <t>Cattle, for prime beef</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</si>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</sst>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6"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9" fillId="4" borderId="0">
      <alignment horizontal="left" vertical="center"/>
    </xf>
    <xf numFmtId="0" fontId="45" fillId="4" borderId="0">
      <alignment vertical="center"/>
    </xf>
    <xf numFmtId="0" fontId="4" fillId="4" borderId="0">
      <alignment horizontal="left" vertical="center"/>
    </xf>
    <xf numFmtId="0" fontId="41"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7"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6" fillId="4" borderId="0">
      <alignment horizontal="left" vertical="center"/>
    </xf>
    <xf numFmtId="0" fontId="40"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4" fillId="4" borderId="0">
      <alignment horizontal="left" vertical="center"/>
    </xf>
    <xf numFmtId="0" fontId="11" fillId="0" borderId="0"/>
    <xf numFmtId="0" fontId="3" fillId="0" borderId="2">
      <alignment horizontal="center" vertical="center"/>
    </xf>
    <xf numFmtId="0" fontId="50" fillId="4" borderId="0">
      <alignment horizontal="left" vertical="center"/>
    </xf>
    <xf numFmtId="0" fontId="51" fillId="4" borderId="0">
      <alignment horizontal="left" vertical="center"/>
    </xf>
    <xf numFmtId="0" fontId="57" fillId="4" borderId="0">
      <alignment horizontal="left" vertical="center"/>
    </xf>
    <xf numFmtId="0" fontId="49" fillId="11" borderId="0">
      <alignment horizontal="center" vertical="center"/>
    </xf>
    <xf numFmtId="0" fontId="23" fillId="11" borderId="0">
      <alignment horizontal="left" vertical="center" indent="1"/>
    </xf>
    <xf numFmtId="0" fontId="61" fillId="4" borderId="2">
      <alignment horizontal="left" vertical="center"/>
    </xf>
    <xf numFmtId="0" fontId="36" fillId="4" borderId="2">
      <alignment horizontal="left" vertical="center"/>
    </xf>
    <xf numFmtId="0" fontId="62" fillId="15" borderId="2">
      <alignment horizontal="center" vertical="center"/>
    </xf>
    <xf numFmtId="0" fontId="63" fillId="16" borderId="2">
      <alignment horizontal="center" vertical="center"/>
    </xf>
    <xf numFmtId="0" fontId="1" fillId="0" borderId="0"/>
  </cellStyleXfs>
  <cellXfs count="136">
    <xf numFmtId="0" fontId="0" fillId="0" borderId="0" xfId="0"/>
    <xf numFmtId="0" fontId="41"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5" fillId="4" borderId="0" xfId="6">
      <alignment vertical="center"/>
    </xf>
    <xf numFmtId="0" fontId="39"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0" fillId="9" borderId="5" xfId="36">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7"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1"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9" fillId="0" borderId="0" xfId="5" applyFill="1">
      <alignment horizontal="left" vertical="center"/>
    </xf>
    <xf numFmtId="0" fontId="45" fillId="0" borderId="0" xfId="6" applyFill="1">
      <alignment vertical="center"/>
    </xf>
    <xf numFmtId="0" fontId="41" fillId="0" borderId="0" xfId="8" applyFill="1">
      <alignment horizontal="left" vertical="center"/>
    </xf>
    <xf numFmtId="0" fontId="10" fillId="0" borderId="0" xfId="12" applyFont="1" applyFill="1" applyAlignment="1">
      <alignment horizontal="left" vertical="center"/>
    </xf>
    <xf numFmtId="0" fontId="38" fillId="0" borderId="0" xfId="0" applyFont="1"/>
    <xf numFmtId="0" fontId="41"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6"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3" fillId="4" borderId="0" xfId="8" applyFont="1">
      <alignment horizontal="left" vertical="center"/>
    </xf>
    <xf numFmtId="0" fontId="7" fillId="4" borderId="0" xfId="56">
      <alignment horizontal="left" vertical="center"/>
    </xf>
    <xf numFmtId="0" fontId="44"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0" xfId="7" applyFont="1" applyFill="1" applyAlignment="1">
      <alignment horizontal="left" vertical="center" indent="1"/>
    </xf>
    <xf numFmtId="0" fontId="3" fillId="0" borderId="2" xfId="59">
      <alignment horizontal="center" vertical="center"/>
    </xf>
    <xf numFmtId="0" fontId="46" fillId="0" borderId="0" xfId="35" applyFont="1">
      <alignment horizontal="left" vertical="center" indent="1"/>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7" fillId="13" borderId="10" xfId="41" applyBorder="1">
      <alignment horizontal="left" vertical="center"/>
    </xf>
    <xf numFmtId="0" fontId="47" fillId="13" borderId="12" xfId="41" applyBorder="1">
      <alignment horizontal="left" vertical="center"/>
    </xf>
    <xf numFmtId="0" fontId="47" fillId="13" borderId="14"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7" xfId="41" applyBorder="1">
      <alignment horizontal="left" vertical="center"/>
    </xf>
    <xf numFmtId="0" fontId="47" fillId="13" borderId="11"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8" fillId="13" borderId="9" xfId="41" applyFont="1" applyBorder="1">
      <alignment horizontal="left" vertical="center"/>
    </xf>
    <xf numFmtId="9" fontId="36" fillId="4" borderId="2" xfId="14" applyFont="1" applyFill="1" applyBorder="1" applyAlignment="1">
      <alignment horizontal="center" vertical="center"/>
    </xf>
    <xf numFmtId="0" fontId="51" fillId="4" borderId="0" xfId="61">
      <alignment horizontal="left" vertical="center"/>
    </xf>
    <xf numFmtId="0" fontId="50" fillId="4" borderId="0" xfId="60">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7" fillId="4" borderId="0" xfId="62">
      <alignment horizontal="left" vertical="center"/>
    </xf>
    <xf numFmtId="0" fontId="41"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3" fillId="4" borderId="1" xfId="8" applyFont="1" applyBorder="1">
      <alignment horizontal="left" vertical="center"/>
    </xf>
    <xf numFmtId="2" fontId="33" fillId="4" borderId="1" xfId="0" applyNumberFormat="1" applyFont="1" applyFill="1" applyBorder="1" applyAlignment="1">
      <alignment horizontal="center"/>
    </xf>
    <xf numFmtId="0" fontId="49" fillId="11" borderId="0" xfId="63">
      <alignment horizontal="center" vertical="center"/>
    </xf>
    <xf numFmtId="0" fontId="60"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61" fillId="4" borderId="2" xfId="65">
      <alignment horizontal="left" vertical="center"/>
    </xf>
    <xf numFmtId="0" fontId="36" fillId="4" borderId="2" xfId="66">
      <alignment horizontal="left" vertical="center"/>
    </xf>
    <xf numFmtId="0" fontId="62" fillId="15" borderId="2" xfId="67">
      <alignment horizontal="center" vertical="center"/>
    </xf>
    <xf numFmtId="0" fontId="63"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4" fillId="4" borderId="0" xfId="8" applyFont="1">
      <alignment horizontal="left" vertical="center"/>
    </xf>
    <xf numFmtId="171" fontId="0" fillId="0" borderId="0" xfId="8" applyNumberFormat="1" applyFont="1" applyFill="1">
      <alignment horizontal="left" vertical="center"/>
    </xf>
    <xf numFmtId="0" fontId="0" fillId="0" borderId="0" xfId="8" applyFont="1" applyFill="1" applyAlignment="1">
      <alignment horizontal="left" vertical="center" wrapText="1"/>
    </xf>
    <xf numFmtId="15" fontId="3" fillId="0" borderId="2" xfId="15" applyNumberFormat="1">
      <alignment horizontal="center" vertical="center"/>
    </xf>
    <xf numFmtId="0" fontId="4" fillId="12" borderId="2" xfId="16" applyAlignment="1">
      <alignment horizontal="center" vertical="center" wrapText="1"/>
    </xf>
    <xf numFmtId="0" fontId="4" fillId="12" borderId="20" xfId="16" applyBorder="1">
      <alignment horizontal="center" vertical="center"/>
    </xf>
    <xf numFmtId="0" fontId="3" fillId="0" borderId="20" xfId="15" applyBorder="1">
      <alignment horizontal="center" vertical="center"/>
    </xf>
    <xf numFmtId="0" fontId="4" fillId="12" borderId="20" xfId="16" applyBorder="1" applyAlignment="1">
      <alignment horizontal="center" vertical="center" wrapText="1"/>
    </xf>
    <xf numFmtId="0" fontId="3" fillId="0" borderId="20" xfId="59" applyBorder="1">
      <alignment horizontal="center" vertical="center"/>
    </xf>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88FF98-B3CA-4ACF-A4A7-6C9791C2BC6C}" name="Table_Input_LivestockSales" displayName="Table_Input_LivestockSales"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755F24B7-88B2-4AC0-8B06-72F3C8BD1745}" name="Transaction name" dataCellStyle="Input text"/>
    <tableColumn id="1" xr3:uid="{05B76489-1EF7-42AE-B44C-04EEF7352FAC}" name="Class (select)" dataCellStyle="Input select"/>
    <tableColumn id="2" xr3:uid="{2596D4CB-02DE-4383-A6FE-7F1D3A9BA1A0}" name="Sale date" dataDxfId="123"/>
    <tableColumn id="3" xr3:uid="{72DBF133-1787-4BEF-ACD0-F2E7D2677BE2}" name="Head sold"/>
    <tableColumn id="4" xr3:uid="{D1D1EC0E-BC7D-4056-963B-6114D9C3C386}" name="Average weight per head (kg)"/>
    <tableColumn id="5" xr3:uid="{690E0F2F-991C-4DED-B6FE-D6EB17B2C002}"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038C2A3-81F8-474C-86CB-9B36DB764F55}" name="Table_Input_LivestockPurchases_Beefcattle" displayName="Table_Input_LivestockPurchases_Beefcattle"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FBB6BF6-26A3-4D99-A5C8-B755A69B47E5}" name="Transaction name" dataCellStyle="Input text"/>
    <tableColumn id="13" xr3:uid="{AC988CAD-AFD4-4847-845B-EED5680D1634}" name="Purchase date" dataCellStyle="Input text"/>
    <tableColumn id="11" xr3:uid="{4830F2D3-12EF-4365-905A-D27B750D9D77}" name="Class (select)" dataDxfId="122" dataCellStyle="Input select"/>
    <tableColumn id="2" xr3:uid="{7F063362-12BB-4418-97CC-E62592B8226F}" name="Purchase class (select)" dataDxfId="121" dataCellStyle="Input select"/>
    <tableColumn id="6" xr3:uid="{7919A336-9815-4A07-A352-86BA6315626F}" name="Source region (Select)" dataDxfId="120" dataCellStyle="Input select"/>
    <tableColumn id="3" xr3:uid="{6DF9AC8F-7703-42E3-A945-4C0686E7B41F}" name="Quantity (head)" dataCellStyle="Input number general"/>
    <tableColumn id="12" xr3:uid="{41BEF5A8-E78A-4FD2-A9AB-1FB47019CCDA}"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3644BC5E-0AD5-41DF-87AC-4144F5062F1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1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1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1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1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1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1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1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1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1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9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9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7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6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54" dataCellStyle="Content normal">
      <calculatedColumnFormula>D351</calculatedColumnFormula>
    </tableColumn>
    <tableColumn id="2" xr3:uid="{B172192B-EDB5-47A5-A010-C82516ED13B5}" name="Bulls &lt; 1 year" dataDxfId="53" dataCellStyle="Content normal">
      <calculatedColumnFormula>E351</calculatedColumnFormula>
    </tableColumn>
    <tableColumn id="3" xr3:uid="{F83B528D-B6D7-4E92-967F-018ED1475D9B}" name="Bulls &gt; 1 year" dataDxfId="52" dataCellStyle="Content normal">
      <calculatedColumnFormula>F351</calculatedColumnFormula>
    </tableColumn>
    <tableColumn id="4" xr3:uid="{E83019D4-F113-4C9E-ADA7-433997A968A1}" name="Cows &lt; 1 year" dataDxfId="51" dataCellStyle="Content normal">
      <calculatedColumnFormula>G351</calculatedColumnFormula>
    </tableColumn>
    <tableColumn id="5" xr3:uid="{B51413B2-710F-409C-8C3C-6B72C8E99B49}" name="Cows 1-2 years" dataDxfId="50" dataCellStyle="Content normal">
      <calculatedColumnFormula>H351</calculatedColumnFormula>
    </tableColumn>
    <tableColumn id="6" xr3:uid="{F7B12596-1E7F-417C-83F5-67964BA7AAAE}" name="Cows 2-3 years" dataDxfId="49" dataCellStyle="Content normal">
      <calculatedColumnFormula>I351</calculatedColumnFormula>
    </tableColumn>
    <tableColumn id="7" xr3:uid="{C1B8EAD9-BCCE-49FF-9E3D-15E99DEC329C}" name="Cows &gt; 3 years" dataDxfId="48" dataCellStyle="Content normal">
      <calculatedColumnFormula>I351</calculatedColumnFormula>
    </tableColumn>
    <tableColumn id="8" xr3:uid="{6AB556D2-AF6C-4E98-9AA1-A8C6DC5F5CA9}" name="Steers &lt; 1 year" dataDxfId="47" dataCellStyle="Content normal">
      <calculatedColumnFormula>J351</calculatedColumnFormula>
    </tableColumn>
    <tableColumn id="9" xr3:uid="{46DC3CBA-6FB0-4A95-A39E-B2179DC8CFE6}" name="Steers 1-2 years" dataDxfId="46" dataCellStyle="Content normal">
      <calculatedColumnFormula>K351</calculatedColumnFormula>
    </tableColumn>
    <tableColumn id="10" xr3:uid="{105CEA90-EFAD-4757-B82A-B19E9A3F2664}" name="Steers 2-3 years" dataDxfId="45" dataCellStyle="Content normal"/>
    <tableColumn id="11" xr3:uid="{5E2A59D6-56CA-4967-885E-8602CA905B74}" name="Steers &gt;3 years" dataDxfId="44" dataCellStyle="Content normal"/>
    <tableColumn id="12" xr3:uid="{1C306FC1-FFBA-4C23-8EAD-1C07A5BAAA50}" name="State abbreviation" dataDxfId="4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4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3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3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31"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30"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29"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28"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27"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2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C537F9E-254D-4C37-BCD5-4F9439A20FE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A7E9236-AB4A-4031-AC93-EF56660DB3EA}" name="State/Territory">
      <calculatedColumnFormula array="1">Common_InputFunctions.Utility_DisplayArrayInTable(Common_SourceData.Common_SourceData_AustralianStatesTerritories_Data(),Table_AustralianStates[[#Headers],[State/Territory]],0)</calculatedColumnFormula>
    </tableColumn>
    <tableColumn id="2" xr3:uid="{CCC3779F-0CB0-43BE-B1CA-AF5C8C0074DD}" name="Common Name">
      <calculatedColumnFormula array="1">Common_InputFunctions.Utility_DisplayArrayInTable(Common_SourceData.Common_SourceData_AustralianStatesTerritories_Data(),Table_AustralianStates[[#Headers],[State/Territory]],0)</calculatedColumnFormula>
    </tableColumn>
    <tableColumn id="3" xr3:uid="{A05256D5-C6C8-42F6-8113-3B35F279797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B123952-5EAD-4CBC-B13B-C86ABD69BF53}" name="Table_WASA4Areas" displayName="Table_WASA4Areas" ref="D20:D30" totalsRowShown="0">
  <autoFilter ref="D20:D30" xr:uid="{5FA81339-C6C8-4D36-BEEA-6C4AEDD9E676}">
    <filterColumn colId="0" hiddenButton="1"/>
  </autoFilter>
  <tableColumns count="1">
    <tableColumn id="1" xr3:uid="{C32F6518-D7A2-42A0-A239-15A1045DCB7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AEA6F2-E4C3-4DF3-8A78-4F9B115E50B3}" name="Table_GWPData" displayName="Table_GWPData" ref="D36:E43" totalsRowShown="0">
  <autoFilter ref="D36:E43" xr:uid="{B8E87A66-3E41-4AD3-925D-01EE21B43D7A}">
    <filterColumn colId="0" hiddenButton="1"/>
    <filterColumn colId="1" hiddenButton="1"/>
  </autoFilter>
  <tableColumns count="2">
    <tableColumn id="1" xr3:uid="{04BD9E35-E5E6-42AC-80C9-DBD6C6C360E4}" name="Gas">
      <calculatedColumnFormula array="1">Common_InputFunctions.Utility_DisplayArrayInTable(Common_SourceData.Common_SourceData_GWP_Data(), Table_GWPData[[#Headers],[Gas]], 0)</calculatedColumnFormula>
    </tableColumn>
    <tableColumn id="2" xr3:uid="{86B773B5-F88B-4E96-8802-5A9EF45A5E5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F04965-0165-4467-92DE-F68AD12D987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834A78-D30E-4F52-8267-73EB5EAF9204}" name="Gas">
      <calculatedColumnFormula array="1">Common_InputFunctions.Utility_DisplayArrayInTable(Common_SourceData.Common_SourceData_ConvertGasElementalToMolecular_Data(),Table_GasToMolecularConversionFactor[[#Headers],[Gas]], 0)</calculatedColumnFormula>
    </tableColumn>
    <tableColumn id="5" xr3:uid="{61225448-6B35-49EE-956A-2A2CA6C7AA15}" name="Conversion factor">
      <calculatedColumnFormula array="1">Common_InputFunctions.Utility_DisplayArrayInTable(Common_SourceData.Common_SourceData_ConvertGasElementalToMolecular_Data(),Table_GasToMolecularConversionFactor[[#Headers],[Gas]], 0)</calculatedColumnFormula>
    </tableColumn>
    <tableColumn id="2" xr3:uid="{0529EEE8-CBCE-458F-BC71-A6708AA092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AAF3317-A202-4871-9414-98923EED062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A32AAB4-86EB-4514-86B6-F45B35628B9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C06B8E0-CA75-4AA6-8B11-1E2CB1B4D2B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5222DE3-28FE-4C52-BCEA-0D32E8C9712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BDC03-1914-4D1E-9891-3E5FC1861329}" name="MAT" totalsRowDxfId="159" totalsRowCellStyle="Content bold">
      <calculatedColumnFormula array="1">Common_InputFunctions.Utility_DisplayArrayInTable(Common_SourceData.Common_SourceData_ClimateZones_Data(), Table_SourceData_ClimateZones[[#Headers],[Climate zone]], 0)</calculatedColumnFormula>
    </tableColumn>
    <tableColumn id="3" xr3:uid="{98BB405A-164B-4888-87E2-70C6518E5BB4}" name="MAP" totalsRowDxfId="158" totalsRowCellStyle="Content bold">
      <calculatedColumnFormula array="1">Common_InputFunctions.Utility_DisplayArrayInTable(Common_SourceData.Common_SourceData_ClimateZones_Data(), Table_SourceData_ClimateZones[[#Headers],[Climate zone]], 0)</calculatedColumnFormula>
    </tableColumn>
    <tableColumn id="4" xr3:uid="{AB5BA1B4-ADF5-4D1A-82A5-B2C9396F94B1}" name="Frost days per year" totalsRowDxfId="157" totalsRowCellStyle="Content bold">
      <calculatedColumnFormula array="1">Common_InputFunctions.Utility_DisplayArrayInTable(Common_SourceData.Common_SourceData_ClimateZones_Data(), Table_SourceData_ClimateZones[[#Headers],[Climate zone]], 0)</calculatedColumnFormula>
    </tableColumn>
    <tableColumn id="5" xr3:uid="{D58C4A66-D1A3-4DE0-8166-60E79D83C41B}" name="Elevation" totalsRowDxfId="156" totalsRowCellStyle="Content bold">
      <calculatedColumnFormula array="1">Common_InputFunctions.Utility_DisplayArrayInTable(Common_SourceData.Common_SourceData_ClimateZones_Data(), Table_SourceData_ClimateZones[[#Headers],[Climate zone]], 0)</calculatedColumnFormula>
    </tableColumn>
    <tableColumn id="6" xr3:uid="{849BCE25-6E28-495D-8573-C6618848A5EB}" name="MAP:PET"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7" xr3:uid="{AD1E38A2-F19B-4D49-85AF-A6022574155B}" name="Min tem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8" xr3:uid="{DCD3FAFB-AECC-489C-B38E-6DB1A364F78C}" name="Max temp"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9" xr3:uid="{68A197AA-5E84-49EF-B97C-71B01A0FD74C}" name="Min rainfall"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10" xr3:uid="{15559958-F0D4-435A-9B10-DD63E781893E}" name="Max rainfall"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11" xr3:uid="{987EAC9F-058C-47D1-8241-C8E2F9B9B322}" name="Min frost days"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15" xr3:uid="{38918CE8-49DD-49A6-A17D-83DC7FF25BDA}" name="Max frost days"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12" xr3:uid="{DF288B5F-EC78-4E1C-A233-09E9B8D1B1DE}" name="Min elevation"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6" xr3:uid="{CE2D7F8E-6E7A-41C0-BFA4-08F474FBA0EF}" name="Max elevation"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3" xr3:uid="{DC7C1413-9456-411E-BB13-A4CEEB5400C0}" name="Min MAP:PET"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17" xr3:uid="{13E5FF20-BD1A-48BC-B513-C2EEECD32F73}" name="Max MAP:PET" totalsRowDxfId="14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5ED7940-30B8-4107-8A53-007FB8217CF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34E9CA4-B4EB-47AC-984F-2A75B6375C8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32EE883-4E12-4F4A-B67D-C587C41A1371}" name="Wet or Dry Zone" totalsRowDxfId="14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0FCEAF8-CE7F-42CD-B869-1371FA120BB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4554E2F-2825-43C9-8131-E17681EA88AE}" name="Temperature Zone">
      <calculatedColumnFormula array="1">Common_InputFunctions.Utility_DisplayArrayInTable(Common_SourceData.Common_SourceData_TemperatureZones_Data(),Table_SourceData_TemperatureZones[[#Headers],[Temperature Zone]],0)</calculatedColumnFormula>
    </tableColumn>
    <tableColumn id="2" xr3:uid="{8D02BFED-2C09-4722-B7AE-2A36735B126D}" name="MAT">
      <calculatedColumnFormula array="1">Common_InputFunctions.Utility_DisplayArrayInTable(Common_SourceData.Common_SourceData_TemperatureZones_Data(),Table_SourceData_TemperatureZones[[#Headers],[Temperature Zone]],0)</calculatedColumnFormula>
    </tableColumn>
    <tableColumn id="3" xr3:uid="{E7A5300D-8E7B-49A8-BC82-1C5F7E2A0284}" name="Min MAT">
      <calculatedColumnFormula array="1">Common_InputFunctions.Utility_DisplayArrayInTable(Common_SourceData.Common_SourceData_TemperatureZones_Data(),Table_SourceData_TemperatureZones[[#Headers],[Temperature Zone]],0)</calculatedColumnFormula>
    </tableColumn>
    <tableColumn id="4" xr3:uid="{3D14E9DE-3594-46BC-BE7C-2957AAFB3E9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F7B89A2-5725-41F0-B0D7-566391443C7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63A774C-75A1-4132-89A4-E35A37910034}" name="Rainfall Zone">
      <calculatedColumnFormula array="1">Common_InputFunctions.Utility_DisplayArrayInTable(Common_SourceData.Common_SourceData_RainfallZones_Data(),Table_SourceData_RainfallZones[[#Headers],[Rainfall Zone]],0)</calculatedColumnFormula>
    </tableColumn>
    <tableColumn id="2" xr3:uid="{CEBFAB85-D2E5-4D7A-8ECF-072CCA0D541E}" name="Annual rainfall">
      <calculatedColumnFormula array="1">Common_InputFunctions.Utility_DisplayArrayInTable(Common_SourceData.Common_SourceData_RainfallZones_Data(),Table_SourceData_RainfallZones[[#Headers],[Rainfall Zone]],0)</calculatedColumnFormula>
    </tableColumn>
    <tableColumn id="3" xr3:uid="{922E5A63-FF52-466C-9CFF-1C1533392C7C}" name="Min rainfall">
      <calculatedColumnFormula array="1">Common_InputFunctions.Utility_DisplayArrayInTable(Common_SourceData.Common_SourceData_RainfallZones_Data(),Table_SourceData_RainfallZones[[#Headers],[Rainfall Zone]],0)</calculatedColumnFormula>
    </tableColumn>
    <tableColumn id="4" xr3:uid="{2763EB7D-7207-435F-A834-4358D8DEFC3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F68743F-F9D6-4078-B530-EB46F58D131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148AC3-695A-4FAE-8EA7-50535018DFD6}" name="Leaching Zone">
      <calculatedColumnFormula array="1">Common_InputFunctions.Utility_DisplayArrayInTable(Common_SourceData.Common_SourceData_LeachingZones_Data(), Table_SourceData_LeachingZones[[#Headers],[Leaching Zone]], 0)</calculatedColumnFormula>
    </tableColumn>
    <tableColumn id="2" xr3:uid="{1E5B7A94-A217-4CF7-AF11-ED574380AB4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AA0C4BF-9163-4056-9120-D9C1FF485D8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BC546BF-E341-4A16-8665-398B37E73920}" name="Data source">
      <calculatedColumnFormula array="1">Common_InputFunctions.Utility_DisplayArrayInTable(Common_SourceData.Common_SourceData_DataScores_Scope3_Data(), Table_SourceData_DataScores_Scope3[[#Headers],[Data source]], 0)</calculatedColumnFormula>
    </tableColumn>
    <tableColumn id="2" xr3:uid="{2260B5B0-698D-48BB-BD02-673D3AA3264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422D592-459B-4B7D-BF4D-3FB5F863DAA2}" name="Table_SourceData_FracWET" displayName="Table_SourceData_FracWET" ref="D134:E136" totalsRowShown="0">
  <autoFilter ref="D134:E136" xr:uid="{308E99BE-FE1F-47A4-B2CA-97217277C4E9}">
    <filterColumn colId="0" hiddenButton="1"/>
    <filterColumn colId="1" hiddenButton="1"/>
  </autoFilter>
  <tableColumns count="2">
    <tableColumn id="1" xr3:uid="{E1445AC3-43C2-42CF-A2D9-266CB627D8B3}" name="Is in leaching zone">
      <calculatedColumnFormula array="1">Common_InputFunctions.Utility_DisplayArrayInTable(Common_SourceData.Common_SourceData_FracWET_Data(),Table_SourceData_FracWET[[#Headers],[Is in leaching zone]],0)</calculatedColumnFormula>
    </tableColumn>
    <tableColumn id="2" xr3:uid="{59DDA0E4-7AE5-4501-92F6-664BA06BDD26}" name="FracWET" dataDxfId="14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686C981-133C-492A-B1C7-72D52F1944E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92284FA-4E79-425B-B397-EED6B0E72E10}" name="Production system j">
      <calculatedColumnFormula array="1">Common_InputFunctions.Utility_DisplayArrayInTable(Common_SourceData.Common_SourceData_EFN2O_Data(), Table_SourceData_Common_EFN2O[[#Headers],[Production system j]], 0)</calculatedColumnFormula>
    </tableColumn>
    <tableColumn id="2" xr3:uid="{5E966FB7-C763-4317-AD85-DFEC70FAC5B8}" name="EFN2O">
      <calculatedColumnFormula array="1">Common_InputFunctions.Utility_DisplayArrayInTable(Common_SourceData.Common_SourceData_EFN2O_Data(), Table_SourceData_Common_EFN2O[[#Headers],[Production system j]], 0)</calculatedColumnFormula>
    </tableColumn>
    <tableColumn id="3" xr3:uid="{0DEBE405-A254-47D5-929F-A5D61B7D016F}" name="Production system only">
      <calculatedColumnFormula array="1">Common_InputFunctions.Utility_DisplayArrayInTable(Common_SourceData.Common_SourceData_EFN2O_Data(), Table_SourceData_Common_EFN2O[[#Headers],[Production system j]], 0)</calculatedColumnFormula>
    </tableColumn>
    <tableColumn id="4" xr3:uid="{DB243E48-99CC-4711-BF14-0848DE130FBE}" name="Irrigation method">
      <calculatedColumnFormula array="1">Common_InputFunctions.Utility_DisplayArrayInTable(Common_SourceData.Common_SourceData_EFN2O_Data(), Table_SourceData_Common_EFN2O[[#Headers],[Production system j]], 0)</calculatedColumnFormula>
    </tableColumn>
    <tableColumn id="5" xr3:uid="{B571361B-A373-4912-B985-CAC3BB92E4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3DC158C-D077-49DF-A9B7-89D628E39A0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03E34D5-232E-4142-997D-F4284E046CF8}" name="Irrigation type i">
      <calculatedColumnFormula array="1">Common_InputFunctions.Utility_DisplayArrayInTable(Common_SourceData.Common_SourceData_FracWETIrrigation_Data(), Table_SourceData_FracWETIrrigation[[#Headers],[Irrigation type i]], 0)</calculatedColumnFormula>
    </tableColumn>
    <tableColumn id="2" xr3:uid="{2B4B4776-EFD9-487F-BACF-03CCFED42D49}" name="FracWET" dataDxfId="14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C519A23-F83A-4EB0-A44B-230B68CED29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5D3D32F-3CA7-4F90-9A6A-37A239A1AF3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9B8071F-9A7A-4F3C-A1D6-1C35899619C4}" name="EFPRP" dataDxfId="14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6DC485E-FBB8-4D55-809B-B4B58B8C976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4781283-6C1E-4F6E-B2B2-A3DF31AD0B59}" name="Month">
      <calculatedColumnFormula array="1">Common_InputFunctions.Utility_DisplayArrayInTable(Common_SourceData.Common_SourceData_MonthsToSeasons_Data(), Table_SourceData_Common_MonthToSeason[[#Headers],[Month]], 0)</calculatedColumnFormula>
    </tableColumn>
    <tableColumn id="2" xr3:uid="{3926B11D-4FFB-4A86-A6B9-1B10150DBB63}" name="Season" dataDxfId="14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FEDB00A-6E64-4308-A975-D429D6507B3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9559A7A-60AC-4FF4-BCEC-AEE15E9E6C9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C1728E-86CC-49BE-B848-5C4F256A11E9}" name="MAT (ºC)" dataDxfId="1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44CF068-9A07-4D1D-852D-98A7E04615FF}" name="Anaerobic lagoon" dataDxfId="1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416C8FF-8D53-442F-AF1A-A26BC16B458E}" name="Digester / covered lagoons" dataDxfId="1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9275419-995A-4AFC-B87D-B4EA7AF20883}" name="Liquid systems" dataDxfId="1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9532AE0-281C-4C27-A4B9-1DC8099256FB}" name="Daily spread"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06E73AC-E1C2-4EF2-A3B1-A3180D5AA950}" name="Composting (passive windrow)"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2C38509-7B83-4E58-8060-9FCCF420F157}" name="Solid storage"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68A63E8-FFB9-4107-BC21-4A65E242D0FB}" name="Pit storage"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7DE6896-874D-4123-8C9F-4532D843D42E}" name="Deep litter"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6F3D11A-2507-4644-A5DE-5317F9781286}" name="Poultry manure with bedding"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2B6D5C3-DB77-4D9C-8F54-EA5EA7E024FE}" name="Poultry manure without bedding"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94ABF71-39B3-4938-8FA0-9B8271A0F100}" name="Direct processing"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7E099BC-B19A-4BF2-A9C0-89CA48D5B871}" name="Direct application"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705A1DB-19B0-4EF7-A995-13189873CF92}" name="Pasture range and paddock"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5820E28-548B-4AB1-975C-C0F9475BB7DD}" name="MAT raw"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B6F939A-7AEE-4167-B215-18FA3523997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8FB6D58-4C43-4915-864D-4372BC1F5C6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88845BA-D937-4E0D-91CC-D1CE488D97EE}" name="EFNi &amp; EFN2Oi" dataDxfId="12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4" dataCellStyle="Content normal">
  <autoFilter ref="D43:E50" xr:uid="{995536B5-6CA5-4D7D-A704-9B6B595C2491}"/>
  <tableColumns count="2">
    <tableColumn id="1" xr3:uid="{E938630E-8222-4BE2-B52E-4473CFD04435}"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1" dataCellStyle="Content normal">
  <autoFilter ref="D54:E55" xr:uid="{257D8456-031C-4EEF-A8C4-474F215C3208}"/>
  <tableColumns count="2">
    <tableColumn id="1" xr3:uid="{CCAB4FA5-3C71-4C85-9272-34B79637BA1B}"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8" dataCellStyle="Content normal">
  <autoFilter ref="D59:E60" xr:uid="{71833C62-BA2B-4519-92E0-B189E393D12F}"/>
  <tableColumns count="2">
    <tableColumn id="1" xr3:uid="{BB13FB65-BFF1-4C4A-B3E1-18BD0F5BFCC3}"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5" dataCellStyle="Content normal">
  <autoFilter ref="D64:E65" xr:uid="{65FF5EF6-2A75-4137-9345-8328E2DA8F9C}"/>
  <tableColumns count="2">
    <tableColumn id="1" xr3:uid="{FF50B2BD-E102-4982-AE25-F8D8E417E7A1}"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13" Type="http://schemas.openxmlformats.org/officeDocument/2006/relationships/table" Target="../tables/table15.xml"/><Relationship Id="rId18" Type="http://schemas.openxmlformats.org/officeDocument/2006/relationships/table" Target="../tables/table20.xml"/><Relationship Id="rId26" Type="http://schemas.openxmlformats.org/officeDocument/2006/relationships/table" Target="../tables/table28.xml"/><Relationship Id="rId3" Type="http://schemas.openxmlformats.org/officeDocument/2006/relationships/table" Target="../tables/table5.xml"/><Relationship Id="rId21" Type="http://schemas.openxmlformats.org/officeDocument/2006/relationships/table" Target="../tables/table23.xml"/><Relationship Id="rId7" Type="http://schemas.openxmlformats.org/officeDocument/2006/relationships/table" Target="../tables/table9.xml"/><Relationship Id="rId12" Type="http://schemas.openxmlformats.org/officeDocument/2006/relationships/table" Target="../tables/table14.xml"/><Relationship Id="rId17" Type="http://schemas.openxmlformats.org/officeDocument/2006/relationships/table" Target="../tables/table19.xml"/><Relationship Id="rId25" Type="http://schemas.openxmlformats.org/officeDocument/2006/relationships/table" Target="../tables/table27.xml"/><Relationship Id="rId2" Type="http://schemas.openxmlformats.org/officeDocument/2006/relationships/table" Target="../tables/table4.xml"/><Relationship Id="rId16" Type="http://schemas.openxmlformats.org/officeDocument/2006/relationships/table" Target="../tables/table18.xml"/><Relationship Id="rId20" Type="http://schemas.openxmlformats.org/officeDocument/2006/relationships/table" Target="../tables/table22.xml"/><Relationship Id="rId1" Type="http://schemas.openxmlformats.org/officeDocument/2006/relationships/table" Target="../tables/table3.xml"/><Relationship Id="rId6" Type="http://schemas.openxmlformats.org/officeDocument/2006/relationships/table" Target="../tables/table8.xml"/><Relationship Id="rId11" Type="http://schemas.openxmlformats.org/officeDocument/2006/relationships/table" Target="../tables/table13.xml"/><Relationship Id="rId24" Type="http://schemas.openxmlformats.org/officeDocument/2006/relationships/table" Target="../tables/table26.xml"/><Relationship Id="rId5" Type="http://schemas.openxmlformats.org/officeDocument/2006/relationships/table" Target="../tables/table7.xml"/><Relationship Id="rId15" Type="http://schemas.openxmlformats.org/officeDocument/2006/relationships/table" Target="../tables/table17.xml"/><Relationship Id="rId23" Type="http://schemas.openxmlformats.org/officeDocument/2006/relationships/table" Target="../tables/table25.xml"/><Relationship Id="rId10" Type="http://schemas.openxmlformats.org/officeDocument/2006/relationships/table" Target="../tables/table12.xml"/><Relationship Id="rId19" Type="http://schemas.openxmlformats.org/officeDocument/2006/relationships/table" Target="../tables/table21.xml"/><Relationship Id="rId4" Type="http://schemas.openxmlformats.org/officeDocument/2006/relationships/table" Target="../tables/table6.xml"/><Relationship Id="rId9" Type="http://schemas.openxmlformats.org/officeDocument/2006/relationships/table" Target="../tables/table11.xml"/><Relationship Id="rId14" Type="http://schemas.openxmlformats.org/officeDocument/2006/relationships/table" Target="../tables/table16.xml"/><Relationship Id="rId22" Type="http://schemas.openxmlformats.org/officeDocument/2006/relationships/table" Target="../tables/table24.xml"/><Relationship Id="rId27" Type="http://schemas.openxmlformats.org/officeDocument/2006/relationships/table" Target="../tables/table29.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6.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7.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opLeftCell="A163" zoomScale="70" zoomScaleNormal="70" workbookViewId="0">
      <selection activeCell="E181" sqref="E18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3" t="s">
        <v>181</v>
      </c>
      <c r="E13" s="94"/>
      <c r="F13" s="94"/>
      <c r="G13" s="88"/>
      <c r="T13" s="38"/>
    </row>
    <row r="14" spans="1:25" ht="20.100000000000001" customHeight="1" x14ac:dyDescent="0.25">
      <c r="A14" s="17" t="str">
        <f>HYPERLINK("#'4.2.1.7-8 Soil leach runoff'!A1", "4.2.1.7-8 Soil leach &amp; runoff")</f>
        <v>4.2.1.7-8 Soil leach &amp; runoff</v>
      </c>
      <c r="T14" s="38"/>
    </row>
    <row r="15" spans="1:25" ht="20.100000000000001" customHeight="1" x14ac:dyDescent="0.25">
      <c r="A15" s="17"/>
      <c r="D15" s="48" t="s">
        <v>178</v>
      </c>
      <c r="T15" s="38"/>
    </row>
    <row r="16" spans="1:25" ht="20.100000000000001" customHeight="1" x14ac:dyDescent="0.25">
      <c r="A16" s="18" t="s">
        <v>4</v>
      </c>
      <c r="D16" s="62" t="s">
        <v>179</v>
      </c>
      <c r="E16" s="62" t="s">
        <v>131</v>
      </c>
      <c r="F16" s="62" t="s">
        <v>130</v>
      </c>
      <c r="G16" s="62" t="s">
        <v>165</v>
      </c>
      <c r="H16" s="62" t="s">
        <v>166</v>
      </c>
      <c r="I16" s="62" t="s">
        <v>167</v>
      </c>
      <c r="J16" s="62" t="s">
        <v>168</v>
      </c>
      <c r="K16" s="62" t="s">
        <v>169</v>
      </c>
      <c r="L16" s="62" t="s">
        <v>170</v>
      </c>
      <c r="M16" s="62" t="s">
        <v>171</v>
      </c>
      <c r="N16" s="62" t="s">
        <v>172</v>
      </c>
      <c r="T16" s="38"/>
    </row>
    <row r="17" spans="1:20" ht="20.100000000000001" customHeight="1" x14ac:dyDescent="0.25">
      <c r="A17" s="17" t="str">
        <f>HYPERLINK("#'Constants - Pasture Beef'!A1", "Constants - Pasture Beef")</f>
        <v>Constants - Pasture Beef</v>
      </c>
      <c r="D17" s="1" t="s">
        <v>173</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174</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175</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D20" s="1" t="s">
        <v>176</v>
      </c>
      <c r="E20" s="52">
        <v>91.25</v>
      </c>
      <c r="F20" s="52">
        <v>91.25</v>
      </c>
      <c r="G20" s="52">
        <v>91.25</v>
      </c>
      <c r="H20" s="52">
        <v>91.25</v>
      </c>
      <c r="I20" s="52">
        <v>91.25</v>
      </c>
      <c r="J20" s="52">
        <v>91.25</v>
      </c>
      <c r="K20" s="52">
        <v>91.25</v>
      </c>
      <c r="L20" s="52">
        <v>91.25</v>
      </c>
      <c r="M20" s="52">
        <v>91.25</v>
      </c>
      <c r="N20" s="52">
        <v>91.25</v>
      </c>
      <c r="O20" s="2" t="s">
        <v>55</v>
      </c>
      <c r="T20" s="7"/>
    </row>
    <row r="21" spans="1:20" ht="20.100000000000001" customHeight="1" x14ac:dyDescent="0.25">
      <c r="T21" s="7"/>
    </row>
    <row r="22" spans="1:20" ht="20.100000000000001" customHeight="1" x14ac:dyDescent="0.25">
      <c r="A22" s="17"/>
      <c r="D22" s="62" t="s">
        <v>180</v>
      </c>
      <c r="E22" s="62" t="s">
        <v>131</v>
      </c>
      <c r="F22" s="62" t="s">
        <v>130</v>
      </c>
      <c r="G22" s="62" t="s">
        <v>165</v>
      </c>
      <c r="H22" s="62" t="s">
        <v>166</v>
      </c>
      <c r="I22" s="62" t="s">
        <v>167</v>
      </c>
      <c r="J22" s="62" t="s">
        <v>168</v>
      </c>
      <c r="K22" s="62" t="s">
        <v>169</v>
      </c>
      <c r="L22" s="62" t="s">
        <v>170</v>
      </c>
      <c r="M22" s="62" t="s">
        <v>171</v>
      </c>
      <c r="N22" s="62" t="s">
        <v>172</v>
      </c>
      <c r="T22" s="7"/>
    </row>
    <row r="23" spans="1:20" ht="20.100000000000001" customHeight="1" x14ac:dyDescent="0.25">
      <c r="A23" s="17"/>
      <c r="D23" s="1" t="str">
        <f>TEXT(X_Cell_Site_StartDate, "mmmm yyyy")</f>
        <v>January 2024</v>
      </c>
      <c r="E23" s="65">
        <f t="shared" ref="E23:N34" si="0">DAY(EOMONTH($D23,0))</f>
        <v>31</v>
      </c>
      <c r="F23" s="65">
        <f t="shared" si="0"/>
        <v>31</v>
      </c>
      <c r="G23" s="65">
        <f t="shared" si="0"/>
        <v>31</v>
      </c>
      <c r="H23" s="65">
        <f t="shared" si="0"/>
        <v>31</v>
      </c>
      <c r="I23" s="65">
        <f t="shared" si="0"/>
        <v>31</v>
      </c>
      <c r="J23" s="65">
        <f t="shared" si="0"/>
        <v>31</v>
      </c>
      <c r="K23" s="65">
        <f t="shared" si="0"/>
        <v>31</v>
      </c>
      <c r="L23" s="65">
        <f t="shared" si="0"/>
        <v>31</v>
      </c>
      <c r="M23" s="65">
        <f t="shared" si="0"/>
        <v>31</v>
      </c>
      <c r="N23" s="65">
        <f t="shared" si="0"/>
        <v>31</v>
      </c>
      <c r="O23" s="2" t="s">
        <v>55</v>
      </c>
      <c r="T23" s="7"/>
    </row>
    <row r="24" spans="1:20" ht="20.100000000000001" customHeight="1" x14ac:dyDescent="0.25">
      <c r="A24" s="17"/>
      <c r="D24" s="1" t="str">
        <f>TEXT(EDATE(X_Cell_Site_StartDate,1), "mmmm yyyy")</f>
        <v>February 2024</v>
      </c>
      <c r="E24" s="65">
        <f t="shared" si="0"/>
        <v>29</v>
      </c>
      <c r="F24" s="65">
        <f t="shared" si="0"/>
        <v>29</v>
      </c>
      <c r="G24" s="65">
        <f t="shared" si="0"/>
        <v>29</v>
      </c>
      <c r="H24" s="65">
        <f t="shared" si="0"/>
        <v>29</v>
      </c>
      <c r="I24" s="65">
        <f t="shared" si="0"/>
        <v>29</v>
      </c>
      <c r="J24" s="65">
        <f t="shared" si="0"/>
        <v>29</v>
      </c>
      <c r="K24" s="65">
        <f t="shared" si="0"/>
        <v>29</v>
      </c>
      <c r="L24" s="65">
        <f t="shared" si="0"/>
        <v>29</v>
      </c>
      <c r="M24" s="65">
        <f t="shared" si="0"/>
        <v>29</v>
      </c>
      <c r="N24" s="65">
        <f t="shared" si="0"/>
        <v>29</v>
      </c>
      <c r="O24" s="2" t="s">
        <v>55</v>
      </c>
      <c r="T24" s="7"/>
    </row>
    <row r="25" spans="1:20" ht="20.100000000000001" customHeight="1" x14ac:dyDescent="0.25">
      <c r="D25" s="1" t="str">
        <f>TEXT(EDATE(X_Cell_Site_StartDate,2), "mmmm yyyy")</f>
        <v>March 2024</v>
      </c>
      <c r="E25" s="65">
        <f t="shared" si="0"/>
        <v>31</v>
      </c>
      <c r="F25" s="65">
        <f t="shared" si="0"/>
        <v>31</v>
      </c>
      <c r="G25" s="65">
        <f t="shared" si="0"/>
        <v>31</v>
      </c>
      <c r="H25" s="65">
        <f t="shared" si="0"/>
        <v>31</v>
      </c>
      <c r="I25" s="65">
        <f t="shared" si="0"/>
        <v>31</v>
      </c>
      <c r="J25" s="65">
        <f t="shared" si="0"/>
        <v>31</v>
      </c>
      <c r="K25" s="65">
        <f t="shared" si="0"/>
        <v>31</v>
      </c>
      <c r="L25" s="65">
        <f t="shared" si="0"/>
        <v>31</v>
      </c>
      <c r="M25" s="65">
        <f t="shared" si="0"/>
        <v>31</v>
      </c>
      <c r="N25" s="65">
        <f t="shared" si="0"/>
        <v>31</v>
      </c>
      <c r="O25" s="2" t="s">
        <v>55</v>
      </c>
      <c r="T25" s="7"/>
    </row>
    <row r="26" spans="1:20" ht="20.100000000000001" customHeight="1" x14ac:dyDescent="0.25">
      <c r="A26" s="17"/>
      <c r="D26" s="1" t="str">
        <f>TEXT(EDATE(X_Cell_Site_StartDate,3), "mmmm yyyy")</f>
        <v>April 2024</v>
      </c>
      <c r="E26" s="65">
        <f t="shared" si="0"/>
        <v>30</v>
      </c>
      <c r="F26" s="65">
        <f t="shared" si="0"/>
        <v>30</v>
      </c>
      <c r="G26" s="65">
        <f t="shared" si="0"/>
        <v>30</v>
      </c>
      <c r="H26" s="65">
        <f t="shared" si="0"/>
        <v>30</v>
      </c>
      <c r="I26" s="65">
        <f t="shared" si="0"/>
        <v>30</v>
      </c>
      <c r="J26" s="65">
        <f t="shared" si="0"/>
        <v>30</v>
      </c>
      <c r="K26" s="65">
        <f t="shared" si="0"/>
        <v>30</v>
      </c>
      <c r="L26" s="65">
        <f t="shared" si="0"/>
        <v>30</v>
      </c>
      <c r="M26" s="65">
        <f t="shared" si="0"/>
        <v>30</v>
      </c>
      <c r="N26" s="65">
        <f t="shared" si="0"/>
        <v>30</v>
      </c>
      <c r="O26" s="2" t="s">
        <v>55</v>
      </c>
      <c r="T26" s="7"/>
    </row>
    <row r="27" spans="1:20" ht="20.100000000000001" customHeight="1" x14ac:dyDescent="0.25">
      <c r="A27" s="17"/>
      <c r="D27" s="1" t="str">
        <f>TEXT(EDATE(X_Cell_Site_StartDate,4), "mmmm yyyy")</f>
        <v>May 2024</v>
      </c>
      <c r="E27" s="65">
        <f t="shared" si="0"/>
        <v>31</v>
      </c>
      <c r="F27" s="65">
        <f t="shared" si="0"/>
        <v>31</v>
      </c>
      <c r="G27" s="65">
        <f t="shared" si="0"/>
        <v>31</v>
      </c>
      <c r="H27" s="65">
        <f t="shared" si="0"/>
        <v>31</v>
      </c>
      <c r="I27" s="65">
        <f t="shared" si="0"/>
        <v>31</v>
      </c>
      <c r="J27" s="65">
        <f t="shared" si="0"/>
        <v>31</v>
      </c>
      <c r="K27" s="65">
        <f t="shared" si="0"/>
        <v>31</v>
      </c>
      <c r="L27" s="65">
        <f t="shared" si="0"/>
        <v>31</v>
      </c>
      <c r="M27" s="65">
        <f t="shared" si="0"/>
        <v>31</v>
      </c>
      <c r="N27" s="65">
        <f t="shared" si="0"/>
        <v>31</v>
      </c>
      <c r="O27" s="2" t="s">
        <v>55</v>
      </c>
      <c r="T27" s="7"/>
    </row>
    <row r="28" spans="1:20" ht="20.100000000000001" customHeight="1" x14ac:dyDescent="0.25">
      <c r="A28" s="17"/>
      <c r="D28" s="1" t="str">
        <f>TEXT(EDATE(X_Cell_Site_StartDate,5), "mmmm yyyy")</f>
        <v>June 2024</v>
      </c>
      <c r="E28" s="65">
        <f t="shared" si="0"/>
        <v>30</v>
      </c>
      <c r="F28" s="65">
        <f t="shared" si="0"/>
        <v>30</v>
      </c>
      <c r="G28" s="65">
        <f t="shared" si="0"/>
        <v>30</v>
      </c>
      <c r="H28" s="65">
        <f t="shared" si="0"/>
        <v>30</v>
      </c>
      <c r="I28" s="65">
        <f t="shared" si="0"/>
        <v>30</v>
      </c>
      <c r="J28" s="65">
        <f t="shared" si="0"/>
        <v>30</v>
      </c>
      <c r="K28" s="65">
        <f t="shared" si="0"/>
        <v>30</v>
      </c>
      <c r="L28" s="65">
        <f t="shared" si="0"/>
        <v>30</v>
      </c>
      <c r="M28" s="65">
        <f t="shared" si="0"/>
        <v>30</v>
      </c>
      <c r="N28" s="65">
        <f t="shared" si="0"/>
        <v>30</v>
      </c>
      <c r="O28" s="2" t="s">
        <v>55</v>
      </c>
      <c r="T28" s="7"/>
    </row>
    <row r="29" spans="1:20" ht="20.100000000000001" customHeight="1" x14ac:dyDescent="0.25">
      <c r="A29" s="17"/>
      <c r="D29" s="1" t="str">
        <f>TEXT(EDATE(X_Cell_Site_StartDate,6), "mmmm yyyy")</f>
        <v>July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TEXT(EDATE(X_Cell_Site_StartDate,7), "mmmm yyyy")</f>
        <v>August 2024</v>
      </c>
      <c r="E30" s="65">
        <f t="shared" si="0"/>
        <v>31</v>
      </c>
      <c r="F30" s="65">
        <f t="shared" si="0"/>
        <v>31</v>
      </c>
      <c r="G30" s="65">
        <f t="shared" si="0"/>
        <v>31</v>
      </c>
      <c r="H30" s="65">
        <f t="shared" si="0"/>
        <v>31</v>
      </c>
      <c r="I30" s="65">
        <f t="shared" si="0"/>
        <v>31</v>
      </c>
      <c r="J30" s="65">
        <f t="shared" si="0"/>
        <v>31</v>
      </c>
      <c r="K30" s="65">
        <f t="shared" si="0"/>
        <v>31</v>
      </c>
      <c r="L30" s="65">
        <f t="shared" si="0"/>
        <v>31</v>
      </c>
      <c r="M30" s="65">
        <f t="shared" si="0"/>
        <v>31</v>
      </c>
      <c r="N30" s="65">
        <f t="shared" si="0"/>
        <v>31</v>
      </c>
      <c r="O30" s="2" t="s">
        <v>55</v>
      </c>
      <c r="T30" s="7"/>
    </row>
    <row r="31" spans="1:20" ht="20.100000000000001" customHeight="1" x14ac:dyDescent="0.25">
      <c r="A31" s="66"/>
      <c r="D31" s="1" t="str">
        <f>TEXT(EDATE(X_Cell_Site_StartDate,8), "mmmm yyyy")</f>
        <v>September 2024</v>
      </c>
      <c r="E31" s="65">
        <f t="shared" si="0"/>
        <v>30</v>
      </c>
      <c r="F31" s="65">
        <f t="shared" si="0"/>
        <v>30</v>
      </c>
      <c r="G31" s="65">
        <f t="shared" si="0"/>
        <v>30</v>
      </c>
      <c r="H31" s="65">
        <f t="shared" si="0"/>
        <v>30</v>
      </c>
      <c r="I31" s="65">
        <f t="shared" si="0"/>
        <v>30</v>
      </c>
      <c r="J31" s="65">
        <f t="shared" si="0"/>
        <v>30</v>
      </c>
      <c r="K31" s="65">
        <f t="shared" si="0"/>
        <v>30</v>
      </c>
      <c r="L31" s="65">
        <f t="shared" si="0"/>
        <v>30</v>
      </c>
      <c r="M31" s="65">
        <f t="shared" si="0"/>
        <v>30</v>
      </c>
      <c r="N31" s="65">
        <f t="shared" si="0"/>
        <v>30</v>
      </c>
      <c r="O31" s="2" t="s">
        <v>55</v>
      </c>
      <c r="T31" s="7"/>
    </row>
    <row r="32" spans="1:20" ht="20.100000000000001" customHeight="1" x14ac:dyDescent="0.25">
      <c r="A32" s="66"/>
      <c r="D32" s="1" t="str">
        <f>TEXT(EDATE(X_Cell_Site_StartDate,9), "mmmm yyyy")</f>
        <v>October 2024</v>
      </c>
      <c r="E32" s="65">
        <f t="shared" si="0"/>
        <v>31</v>
      </c>
      <c r="F32" s="65">
        <f t="shared" si="0"/>
        <v>31</v>
      </c>
      <c r="G32" s="65">
        <f t="shared" si="0"/>
        <v>31</v>
      </c>
      <c r="H32" s="65">
        <f t="shared" si="0"/>
        <v>31</v>
      </c>
      <c r="I32" s="65">
        <f t="shared" si="0"/>
        <v>31</v>
      </c>
      <c r="J32" s="65">
        <f t="shared" si="0"/>
        <v>31</v>
      </c>
      <c r="K32" s="65">
        <f t="shared" si="0"/>
        <v>31</v>
      </c>
      <c r="L32" s="65">
        <f t="shared" si="0"/>
        <v>31</v>
      </c>
      <c r="M32" s="65">
        <f t="shared" si="0"/>
        <v>31</v>
      </c>
      <c r="N32" s="65">
        <f t="shared" si="0"/>
        <v>31</v>
      </c>
      <c r="O32" s="2" t="s">
        <v>55</v>
      </c>
      <c r="T32" s="7"/>
    </row>
    <row r="33" spans="1:20" ht="20.100000000000001" customHeight="1" x14ac:dyDescent="0.25">
      <c r="A33" s="17"/>
      <c r="D33" s="1" t="str">
        <f>TEXT(EDATE(X_Cell_Site_StartDate,10), "mmmm yyyy")</f>
        <v>November 2024</v>
      </c>
      <c r="E33" s="65">
        <f t="shared" si="0"/>
        <v>30</v>
      </c>
      <c r="F33" s="65">
        <f t="shared" si="0"/>
        <v>30</v>
      </c>
      <c r="G33" s="65">
        <f t="shared" si="0"/>
        <v>30</v>
      </c>
      <c r="H33" s="65">
        <f t="shared" si="0"/>
        <v>30</v>
      </c>
      <c r="I33" s="65">
        <f t="shared" si="0"/>
        <v>30</v>
      </c>
      <c r="J33" s="65">
        <f t="shared" si="0"/>
        <v>30</v>
      </c>
      <c r="K33" s="65">
        <f t="shared" si="0"/>
        <v>30</v>
      </c>
      <c r="L33" s="65">
        <f t="shared" si="0"/>
        <v>30</v>
      </c>
      <c r="M33" s="65">
        <f t="shared" si="0"/>
        <v>30</v>
      </c>
      <c r="N33" s="65">
        <f t="shared" si="0"/>
        <v>30</v>
      </c>
      <c r="O33" s="2" t="s">
        <v>55</v>
      </c>
      <c r="T33" s="7"/>
    </row>
    <row r="34" spans="1:20" ht="20.100000000000001" customHeight="1" x14ac:dyDescent="0.25">
      <c r="D34" s="1" t="str">
        <f>TEXT(EDATE(X_Cell_Site_StartDate,11), "mmmm yyyy")</f>
        <v>December 2024</v>
      </c>
      <c r="E34" s="65">
        <f t="shared" si="0"/>
        <v>31</v>
      </c>
      <c r="F34" s="65">
        <f t="shared" si="0"/>
        <v>31</v>
      </c>
      <c r="G34" s="65">
        <f t="shared" si="0"/>
        <v>31</v>
      </c>
      <c r="H34" s="65">
        <f t="shared" si="0"/>
        <v>31</v>
      </c>
      <c r="I34" s="65">
        <f t="shared" si="0"/>
        <v>31</v>
      </c>
      <c r="J34" s="65">
        <f t="shared" si="0"/>
        <v>31</v>
      </c>
      <c r="K34" s="65">
        <f t="shared" si="0"/>
        <v>31</v>
      </c>
      <c r="L34" s="65">
        <f t="shared" si="0"/>
        <v>31</v>
      </c>
      <c r="M34" s="65">
        <f t="shared" si="0"/>
        <v>31</v>
      </c>
      <c r="N34" s="65">
        <f t="shared" si="0"/>
        <v>31</v>
      </c>
      <c r="O34" s="2" t="s">
        <v>55</v>
      </c>
      <c r="T34" s="7"/>
    </row>
    <row r="35" spans="1:20" ht="20.100000000000001" customHeight="1" x14ac:dyDescent="0.25">
      <c r="T35" s="7"/>
    </row>
    <row r="36" spans="1:20" ht="20.100000000000001" customHeight="1" x14ac:dyDescent="0.25">
      <c r="T36" s="7"/>
    </row>
    <row r="37" spans="1:20" ht="20.100000000000001" customHeight="1" x14ac:dyDescent="0.25">
      <c r="D37" s="48" t="s">
        <v>103</v>
      </c>
      <c r="T37" s="7"/>
    </row>
    <row r="38" spans="1:20" ht="20.100000000000001" customHeight="1" x14ac:dyDescent="0.25">
      <c r="D38" s="62" t="s">
        <v>136</v>
      </c>
      <c r="E38" s="62" t="s">
        <v>131</v>
      </c>
      <c r="F38" s="62" t="s">
        <v>130</v>
      </c>
      <c r="G38" s="62" t="s">
        <v>165</v>
      </c>
      <c r="H38" s="62" t="s">
        <v>166</v>
      </c>
      <c r="I38" s="62" t="s">
        <v>167</v>
      </c>
      <c r="J38" s="62" t="s">
        <v>168</v>
      </c>
      <c r="K38" s="62" t="s">
        <v>169</v>
      </c>
      <c r="L38" s="62" t="s">
        <v>170</v>
      </c>
      <c r="M38" s="62" t="s">
        <v>171</v>
      </c>
      <c r="N38" s="62" t="s">
        <v>172</v>
      </c>
      <c r="T38" s="7"/>
    </row>
    <row r="39" spans="1:20" ht="20.100000000000001" customHeight="1" x14ac:dyDescent="0.25">
      <c r="A39" s="17"/>
      <c r="D39" s="1" t="s">
        <v>173</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174</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175</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D42" s="1" t="s">
        <v>176</v>
      </c>
      <c r="E42" s="65">
        <v>100</v>
      </c>
      <c r="F42" s="65">
        <v>100</v>
      </c>
      <c r="G42" s="65">
        <v>100</v>
      </c>
      <c r="H42" s="65">
        <v>100</v>
      </c>
      <c r="I42" s="65">
        <v>100</v>
      </c>
      <c r="J42" s="65">
        <v>100</v>
      </c>
      <c r="K42" s="65">
        <v>100</v>
      </c>
      <c r="L42" s="65">
        <v>100</v>
      </c>
      <c r="M42" s="65">
        <v>100</v>
      </c>
      <c r="N42" s="65">
        <v>100</v>
      </c>
      <c r="O42" s="2" t="s">
        <v>103</v>
      </c>
      <c r="T42" s="7"/>
    </row>
    <row r="43" spans="1:20" ht="20.100000000000001" customHeight="1" x14ac:dyDescent="0.25">
      <c r="O43" s="2"/>
      <c r="T43" s="7"/>
    </row>
    <row r="44" spans="1:20" ht="20.100000000000001" customHeight="1" x14ac:dyDescent="0.25">
      <c r="D44" s="62" t="s">
        <v>137</v>
      </c>
      <c r="E44" s="62" t="s">
        <v>131</v>
      </c>
      <c r="F44" s="62" t="s">
        <v>130</v>
      </c>
      <c r="G44" s="62" t="s">
        <v>165</v>
      </c>
      <c r="H44" s="62" t="s">
        <v>166</v>
      </c>
      <c r="I44" s="62" t="s">
        <v>167</v>
      </c>
      <c r="J44" s="62" t="s">
        <v>168</v>
      </c>
      <c r="K44" s="62" t="s">
        <v>169</v>
      </c>
      <c r="L44" s="62" t="s">
        <v>170</v>
      </c>
      <c r="M44" s="62" t="s">
        <v>171</v>
      </c>
      <c r="N44" s="62" t="s">
        <v>172</v>
      </c>
      <c r="O44" s="2"/>
      <c r="T44" s="7"/>
    </row>
    <row r="45" spans="1:20" ht="20.100000000000001" customHeight="1" x14ac:dyDescent="0.25">
      <c r="D45" s="1" t="str">
        <f>TEXT(X_Cell_Site_StartDate, "mmmm yyyy")</f>
        <v>January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TEXT(EDATE(X_Cell_Site_StartDate,1), "mmmm yyyy")</f>
        <v>February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TEXT(EDATE(X_Cell_Site_StartDate,2), "mmmm yyyy")</f>
        <v>March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TEXT(EDATE(X_Cell_Site_StartDate,3), "mmmm yyyy")</f>
        <v>April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TEXT(EDATE(X_Cell_Site_StartDate,4), "mmmm yyyy")</f>
        <v>May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TEXT(EDATE(X_Cell_Site_StartDate,5), "mmmm yyyy")</f>
        <v>June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TEXT(EDATE(X_Cell_Site_StartDate,6), "mmmm yyyy")</f>
        <v>July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TEXT(EDATE(X_Cell_Site_StartDate,7), "mmmm yyyy")</f>
        <v>August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TEXT(EDATE(X_Cell_Site_StartDate,8), "mmmm yyyy")</f>
        <v>September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TEXT(EDATE(X_Cell_Site_StartDate,9), "mmmm yyyy")</f>
        <v>October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TEXT(EDATE(X_Cell_Site_StartDate,10), "mmmm yyyy")</f>
        <v>November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D56" s="1" t="str">
        <f>TEXT(EDATE(X_Cell_Site_StartDate,11), "mmmm yyyy")</f>
        <v>December 2024</v>
      </c>
      <c r="E56" s="65">
        <v>100</v>
      </c>
      <c r="F56" s="65">
        <v>100</v>
      </c>
      <c r="G56" s="65">
        <v>100</v>
      </c>
      <c r="H56" s="65">
        <v>100</v>
      </c>
      <c r="I56" s="65">
        <v>100</v>
      </c>
      <c r="J56" s="65">
        <v>100</v>
      </c>
      <c r="K56" s="65">
        <v>100</v>
      </c>
      <c r="L56" s="65">
        <v>100</v>
      </c>
      <c r="M56" s="65">
        <v>100</v>
      </c>
      <c r="N56" s="65">
        <v>100</v>
      </c>
      <c r="O56" s="2" t="s">
        <v>103</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8" t="s">
        <v>140</v>
      </c>
      <c r="P59" s="3"/>
      <c r="T59" s="7"/>
    </row>
    <row r="60" spans="4:20" ht="20.100000000000001" customHeight="1" x14ac:dyDescent="0.25">
      <c r="D60" s="62" t="s">
        <v>179</v>
      </c>
      <c r="E60" s="62" t="s">
        <v>131</v>
      </c>
      <c r="F60" s="62" t="s">
        <v>130</v>
      </c>
      <c r="G60" s="62" t="s">
        <v>165</v>
      </c>
      <c r="H60" s="62" t="s">
        <v>166</v>
      </c>
      <c r="I60" s="62" t="s">
        <v>167</v>
      </c>
      <c r="J60" s="62" t="s">
        <v>168</v>
      </c>
      <c r="K60" s="62" t="s">
        <v>169</v>
      </c>
      <c r="L60" s="62" t="s">
        <v>170</v>
      </c>
      <c r="M60" s="62" t="s">
        <v>171</v>
      </c>
      <c r="N60" s="62" t="s">
        <v>172</v>
      </c>
      <c r="P60" s="3"/>
      <c r="T60" s="7"/>
    </row>
    <row r="61" spans="4:20" ht="20.100000000000001" customHeight="1" x14ac:dyDescent="0.25">
      <c r="D61" s="1" t="s">
        <v>173</v>
      </c>
      <c r="E61" s="52">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2">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2">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2">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2">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2">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2">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2">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2">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2">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133</v>
      </c>
      <c r="P61" s="3"/>
      <c r="T61" s="7"/>
    </row>
    <row r="62" spans="4:20" ht="20.100000000000001" customHeight="1" x14ac:dyDescent="0.25">
      <c r="D62" s="1" t="s">
        <v>174</v>
      </c>
      <c r="E62" s="52">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2">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2">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2">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2">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2">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2">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2">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2">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2">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133</v>
      </c>
      <c r="P62" s="3"/>
      <c r="T62" s="7"/>
    </row>
    <row r="63" spans="4:20" ht="20.100000000000001" customHeight="1" x14ac:dyDescent="0.25">
      <c r="D63" s="1" t="s">
        <v>175</v>
      </c>
      <c r="E63" s="52">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2">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2">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2">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2">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2">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2">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2">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2">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2">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133</v>
      </c>
      <c r="P63" s="3"/>
      <c r="T63" s="7"/>
    </row>
    <row r="64" spans="4:20" ht="20.100000000000001" customHeight="1" x14ac:dyDescent="0.25">
      <c r="D64" s="1" t="s">
        <v>176</v>
      </c>
      <c r="E64" s="52">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2">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2">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2">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2">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2">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2">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2">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2">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2">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133</v>
      </c>
      <c r="P64" s="3"/>
      <c r="T64" s="7"/>
    </row>
    <row r="65" spans="4:20" ht="20.100000000000001" customHeight="1" x14ac:dyDescent="0.25">
      <c r="O65" s="2"/>
      <c r="P65" s="3"/>
      <c r="T65" s="7"/>
    </row>
    <row r="66" spans="4:20" ht="20.100000000000001" customHeight="1" x14ac:dyDescent="0.25">
      <c r="D66" s="62" t="s">
        <v>180</v>
      </c>
      <c r="E66" s="62" t="s">
        <v>131</v>
      </c>
      <c r="F66" s="62" t="s">
        <v>130</v>
      </c>
      <c r="G66" s="62" t="s">
        <v>165</v>
      </c>
      <c r="H66" s="62" t="s">
        <v>166</v>
      </c>
      <c r="I66" s="62" t="s">
        <v>167</v>
      </c>
      <c r="J66" s="62" t="s">
        <v>168</v>
      </c>
      <c r="K66" s="62" t="s">
        <v>169</v>
      </c>
      <c r="L66" s="62" t="s">
        <v>170</v>
      </c>
      <c r="M66" s="62" t="s">
        <v>171</v>
      </c>
      <c r="N66" s="62" t="s">
        <v>172</v>
      </c>
      <c r="O66" s="2"/>
      <c r="P66" s="3"/>
      <c r="T66" s="7"/>
    </row>
    <row r="67" spans="4:20" ht="20.100000000000001" customHeight="1" x14ac:dyDescent="0.25">
      <c r="D67" s="1" t="str">
        <f>TEXT(X_Cell_Site_StartDate, "mmmm yyyy")</f>
        <v>January 2024</v>
      </c>
      <c r="E67" s="65">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TEXT(EDATE(X_Cell_Site_StartDate,1), "mmmm yyyy")</f>
        <v>February 2024</v>
      </c>
      <c r="E68" s="65">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5">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5">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5">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5">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5">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5">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5">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5">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5">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133</v>
      </c>
      <c r="P68" s="3"/>
      <c r="T68" s="7"/>
    </row>
    <row r="69" spans="4:20" ht="20.100000000000001" customHeight="1" x14ac:dyDescent="0.25">
      <c r="D69" s="1" t="str">
        <f>TEXT(EDATE(X_Cell_Site_StartDate,2), "mmmm yyyy")</f>
        <v>March 2024</v>
      </c>
      <c r="E69" s="65">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TEXT(EDATE(X_Cell_Site_StartDate,3), "mmmm yyyy")</f>
        <v>April 2024</v>
      </c>
      <c r="E70" s="65">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TEXT(EDATE(X_Cell_Site_StartDate,4), "mmmm yyyy")</f>
        <v>May 2024</v>
      </c>
      <c r="E71" s="65">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5">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5">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5">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5">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5">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5">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5">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5">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5">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133</v>
      </c>
      <c r="P71" s="3"/>
      <c r="T71" s="7"/>
    </row>
    <row r="72" spans="4:20" ht="20.100000000000001" customHeight="1" x14ac:dyDescent="0.25">
      <c r="D72" s="1" t="str">
        <f>TEXT(EDATE(X_Cell_Site_StartDate,5), "mmmm yyyy")</f>
        <v>June 2024</v>
      </c>
      <c r="E72" s="65">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TEXT(EDATE(X_Cell_Site_StartDate,6), "mmmm yyyy")</f>
        <v>July 2024</v>
      </c>
      <c r="E73" s="65">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TEXT(EDATE(X_Cell_Site_StartDate,7), "mmmm yyyy")</f>
        <v>August 2024</v>
      </c>
      <c r="E74" s="65">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5">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5">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5">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5">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5">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5">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5">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5">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5">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133</v>
      </c>
      <c r="T74" s="7"/>
    </row>
    <row r="75" spans="4:20" ht="20.100000000000001" customHeight="1" x14ac:dyDescent="0.25">
      <c r="D75" s="1" t="str">
        <f>TEXT(EDATE(X_Cell_Site_StartDate,8), "mmmm yyyy")</f>
        <v>September 2024</v>
      </c>
      <c r="E75" s="65">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TEXT(EDATE(X_Cell_Site_StartDate,9), "mmmm yyyy")</f>
        <v>October 2024</v>
      </c>
      <c r="E76" s="65">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TEXT(EDATE(X_Cell_Site_StartDate,10), "mmmm yyyy")</f>
        <v>November 2024</v>
      </c>
      <c r="E77" s="65">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5">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5">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5">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5">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5">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5">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5">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5">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5">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133</v>
      </c>
      <c r="T77" s="7"/>
    </row>
    <row r="78" spans="4:20" ht="20.100000000000001" customHeight="1" x14ac:dyDescent="0.25">
      <c r="D78" s="1" t="str">
        <f>TEXT(EDATE(X_Cell_Site_StartDate,11), "mmmm yyyy")</f>
        <v>December 2024</v>
      </c>
      <c r="E78" s="65">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5">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5">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5">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5">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5">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5">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5">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5">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5">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133</v>
      </c>
      <c r="T78" s="7"/>
    </row>
    <row r="79" spans="4:20" ht="20.100000000000001" customHeight="1" x14ac:dyDescent="0.25">
      <c r="T79" s="7"/>
    </row>
    <row r="80" spans="4:20" ht="20.100000000000001" customHeight="1" x14ac:dyDescent="0.25">
      <c r="T80" s="7"/>
    </row>
    <row r="81" spans="4:20" ht="20.100000000000001" customHeight="1" x14ac:dyDescent="0.25">
      <c r="D81" s="48" t="s">
        <v>177</v>
      </c>
      <c r="T81" s="7"/>
    </row>
    <row r="82" spans="4:20" ht="20.100000000000001" customHeight="1" x14ac:dyDescent="0.25">
      <c r="D82" s="62" t="s">
        <v>179</v>
      </c>
      <c r="E82" s="62" t="s">
        <v>131</v>
      </c>
      <c r="F82" s="62" t="s">
        <v>130</v>
      </c>
      <c r="G82" s="62" t="s">
        <v>165</v>
      </c>
      <c r="H82" s="62" t="s">
        <v>166</v>
      </c>
      <c r="I82" s="62" t="s">
        <v>167</v>
      </c>
      <c r="J82" s="62" t="s">
        <v>168</v>
      </c>
      <c r="K82" s="62" t="s">
        <v>169</v>
      </c>
      <c r="L82" s="62" t="s">
        <v>170</v>
      </c>
      <c r="M82" s="62" t="s">
        <v>171</v>
      </c>
      <c r="N82" s="62" t="s">
        <v>172</v>
      </c>
      <c r="T82" s="7"/>
    </row>
    <row r="83" spans="4:20" ht="20.100000000000001" customHeight="1" x14ac:dyDescent="0.25">
      <c r="D83" s="1" t="s">
        <v>173</v>
      </c>
      <c r="E83" s="52">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2">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2">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2">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2">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2">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2">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2">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2">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2">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134</v>
      </c>
      <c r="T83" s="7"/>
    </row>
    <row r="84" spans="4:20" ht="20.100000000000001" customHeight="1" x14ac:dyDescent="0.25">
      <c r="D84" s="1" t="s">
        <v>174</v>
      </c>
      <c r="E84" s="52">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2">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2">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2">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2">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2">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2">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2">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2">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2">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134</v>
      </c>
      <c r="T84" s="7"/>
    </row>
    <row r="85" spans="4:20" ht="20.100000000000001" customHeight="1" x14ac:dyDescent="0.25">
      <c r="D85" s="1" t="s">
        <v>175</v>
      </c>
      <c r="E85" s="52">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2">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2">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2">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2">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2">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2">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2">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2">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2">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134</v>
      </c>
      <c r="T85" s="7"/>
    </row>
    <row r="86" spans="4:20" ht="20.100000000000001" customHeight="1" x14ac:dyDescent="0.25">
      <c r="D86" s="1" t="s">
        <v>176</v>
      </c>
      <c r="E86" s="52">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2">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2">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2">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2">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2">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2">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2">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2">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2">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134</v>
      </c>
      <c r="T86" s="7"/>
    </row>
    <row r="87" spans="4:20" ht="20.100000000000001" customHeight="1" x14ac:dyDescent="0.25">
      <c r="O87" s="2"/>
      <c r="T87" s="7"/>
    </row>
    <row r="88" spans="4:20" ht="20.100000000000001" customHeight="1" x14ac:dyDescent="0.25">
      <c r="D88" s="62" t="s">
        <v>180</v>
      </c>
      <c r="E88" s="62" t="s">
        <v>131</v>
      </c>
      <c r="F88" s="62" t="s">
        <v>130</v>
      </c>
      <c r="G88" s="62" t="s">
        <v>165</v>
      </c>
      <c r="H88" s="62" t="s">
        <v>166</v>
      </c>
      <c r="I88" s="62" t="s">
        <v>167</v>
      </c>
      <c r="J88" s="62" t="s">
        <v>168</v>
      </c>
      <c r="K88" s="62" t="s">
        <v>169</v>
      </c>
      <c r="L88" s="62" t="s">
        <v>170</v>
      </c>
      <c r="M88" s="62" t="s">
        <v>171</v>
      </c>
      <c r="N88" s="62" t="s">
        <v>172</v>
      </c>
      <c r="O88" s="2"/>
      <c r="T88" s="7"/>
    </row>
    <row r="89" spans="4:20" ht="20.100000000000001" customHeight="1" x14ac:dyDescent="0.25">
      <c r="D89" s="1" t="str">
        <f>TEXT(X_Cell_Site_StartDate, "mmmm yyyy")</f>
        <v>January 2024</v>
      </c>
      <c r="E89" s="65">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TEXT(EDATE(X_Cell_Site_StartDate,1), "mmmm yyyy")</f>
        <v>February 2024</v>
      </c>
      <c r="E90" s="65">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5">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5">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5">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5">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5">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5">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5">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5">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5">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134</v>
      </c>
      <c r="T90" s="7"/>
    </row>
    <row r="91" spans="4:20" ht="20.100000000000001" customHeight="1" x14ac:dyDescent="0.25">
      <c r="D91" s="1" t="str">
        <f>TEXT(EDATE(X_Cell_Site_StartDate,2), "mmmm yyyy")</f>
        <v>March 2024</v>
      </c>
      <c r="E91" s="65">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TEXT(EDATE(X_Cell_Site_StartDate,3), "mmmm yyyy")</f>
        <v>April 2024</v>
      </c>
      <c r="E92" s="65">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TEXT(EDATE(X_Cell_Site_StartDate,4), "mmmm yyyy")</f>
        <v>May 2024</v>
      </c>
      <c r="E93" s="65">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5">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5">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5">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5">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5">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5">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5">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5">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5">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134</v>
      </c>
      <c r="T93" s="7"/>
    </row>
    <row r="94" spans="4:20" ht="20.100000000000001" customHeight="1" x14ac:dyDescent="0.25">
      <c r="D94" s="1" t="str">
        <f>TEXT(EDATE(X_Cell_Site_StartDate,5), "mmmm yyyy")</f>
        <v>June 2024</v>
      </c>
      <c r="E94" s="65">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TEXT(EDATE(X_Cell_Site_StartDate,6), "mmmm yyyy")</f>
        <v>July 2024</v>
      </c>
      <c r="E95" s="65">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TEXT(EDATE(X_Cell_Site_StartDate,7), "mmmm yyyy")</f>
        <v>August 2024</v>
      </c>
      <c r="E96" s="65">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5">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5">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5">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5">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5">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5">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5">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5">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5">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134</v>
      </c>
      <c r="T96" s="7"/>
    </row>
    <row r="97" spans="4:20" ht="20.100000000000001" customHeight="1" x14ac:dyDescent="0.25">
      <c r="D97" s="1" t="str">
        <f>TEXT(EDATE(X_Cell_Site_StartDate,8), "mmmm yyyy")</f>
        <v>September 2024</v>
      </c>
      <c r="E97" s="65">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TEXT(EDATE(X_Cell_Site_StartDate,9), "mmmm yyyy")</f>
        <v>October 2024</v>
      </c>
      <c r="E98" s="65">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TEXT(EDATE(X_Cell_Site_StartDate,10), "mmmm yyyy")</f>
        <v>November 2024</v>
      </c>
      <c r="E99" s="65">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5">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5">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5">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5">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5">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5">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5">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5">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5">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134</v>
      </c>
      <c r="T99" s="7"/>
    </row>
    <row r="100" spans="4:20" ht="20.100000000000001" customHeight="1" x14ac:dyDescent="0.25">
      <c r="D100" s="1" t="str">
        <f>TEXT(EDATE(X_Cell_Site_StartDate,11), "mmmm yyyy")</f>
        <v>December 2024</v>
      </c>
      <c r="E100" s="65">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5">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5">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5">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5">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5">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5">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5">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5">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5">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134</v>
      </c>
      <c r="T100" s="7"/>
    </row>
    <row r="101" spans="4:20" ht="20.100000000000001" customHeight="1" x14ac:dyDescent="0.25">
      <c r="T101" s="7"/>
    </row>
    <row r="102" spans="4:20" ht="20.100000000000001" customHeight="1" x14ac:dyDescent="0.25">
      <c r="T102" s="7"/>
    </row>
    <row r="103" spans="4:20" ht="20.100000000000001" customHeight="1" x14ac:dyDescent="0.25">
      <c r="D103" s="48" t="s">
        <v>229</v>
      </c>
      <c r="K103" s="2"/>
      <c r="L103" s="2"/>
      <c r="M103" s="2"/>
      <c r="N103" s="2"/>
      <c r="O103" s="2"/>
      <c r="T103" s="7"/>
    </row>
    <row r="104" spans="4:20" ht="20.100000000000001" customHeight="1" x14ac:dyDescent="0.25">
      <c r="D104" s="62" t="s">
        <v>136</v>
      </c>
      <c r="E104" s="62"/>
      <c r="F104" s="62"/>
      <c r="G104" s="62"/>
      <c r="T104" s="7"/>
    </row>
    <row r="105" spans="4:20" ht="20.100000000000001" customHeight="1" x14ac:dyDescent="0.25">
      <c r="D105" s="1" t="s">
        <v>246</v>
      </c>
      <c r="E105" s="39" t="s">
        <v>176</v>
      </c>
      <c r="F105" s="2" t="s">
        <v>11</v>
      </c>
      <c r="T105" s="7"/>
    </row>
    <row r="106" spans="4:20" ht="20.100000000000001" customHeight="1" x14ac:dyDescent="0.25">
      <c r="T106" s="7"/>
    </row>
    <row r="107" spans="4:20" ht="20.100000000000001" customHeight="1" x14ac:dyDescent="0.25"/>
    <row r="108" spans="4:20" ht="20.100000000000001" customHeight="1" x14ac:dyDescent="0.25">
      <c r="K108" s="1" t="s">
        <v>354</v>
      </c>
    </row>
    <row r="109" spans="4:20" ht="20.100000000000001" customHeight="1" x14ac:dyDescent="0.25"/>
    <row r="110" spans="4:20" ht="20.100000000000001" customHeight="1" x14ac:dyDescent="0.25">
      <c r="E110" s="62" t="s">
        <v>350</v>
      </c>
      <c r="F110" s="62" t="s">
        <v>166</v>
      </c>
      <c r="G110" s="62" t="s">
        <v>167</v>
      </c>
      <c r="H110" s="62" t="s">
        <v>168</v>
      </c>
      <c r="L110" s="1" t="s">
        <v>165</v>
      </c>
      <c r="M110" s="1" t="s">
        <v>169</v>
      </c>
      <c r="N110" s="2"/>
      <c r="O110" s="2"/>
    </row>
    <row r="111" spans="4:20" ht="20.100000000000001" customHeight="1" x14ac:dyDescent="0.25">
      <c r="D111" s="1" t="str">
        <f>"Proportion of cows &gt; 1 years in calf in " &amp; E105</f>
        <v>Proportion of cows &gt; 1 years in calf in Winter</v>
      </c>
      <c r="E111" s="39" t="s">
        <v>349</v>
      </c>
      <c r="F111" s="46">
        <v>0.7</v>
      </c>
      <c r="G111" s="46">
        <v>0.5</v>
      </c>
      <c r="H111" s="46">
        <v>0.5</v>
      </c>
      <c r="I111" s="2" t="s">
        <v>19</v>
      </c>
      <c r="L111" s="52">
        <f>MAX(0, G42-G41)</f>
        <v>0</v>
      </c>
      <c r="M111" s="52">
        <f>MAX(0,K42-K41)</f>
        <v>0</v>
      </c>
      <c r="N111" s="2"/>
      <c r="O111" s="2"/>
    </row>
    <row r="112" spans="4:20" ht="20.100000000000001" customHeight="1" x14ac:dyDescent="0.25">
      <c r="D112" s="1" t="s">
        <v>173</v>
      </c>
      <c r="E112" s="39" t="s">
        <v>349</v>
      </c>
      <c r="F112" s="46">
        <v>0.1</v>
      </c>
      <c r="G112" s="46">
        <v>0.4</v>
      </c>
      <c r="H112" s="46">
        <v>0.4</v>
      </c>
      <c r="I112" s="2" t="s">
        <v>19</v>
      </c>
      <c r="L112" s="52">
        <f>MAX(0, G39-G42)</f>
        <v>0</v>
      </c>
      <c r="M112" s="52">
        <f>MAX(0,K39-K42)</f>
        <v>0</v>
      </c>
    </row>
    <row r="113" spans="4:15" ht="20.100000000000001" customHeight="1" x14ac:dyDescent="0.25">
      <c r="D113" s="1" t="s">
        <v>174</v>
      </c>
      <c r="E113" s="39" t="s">
        <v>349</v>
      </c>
      <c r="F113" s="46">
        <v>0.1</v>
      </c>
      <c r="G113" s="46">
        <v>0</v>
      </c>
      <c r="H113" s="46">
        <v>0</v>
      </c>
      <c r="I113" s="2" t="s">
        <v>19</v>
      </c>
      <c r="L113" s="52">
        <f>MAX(0, G40-G39)</f>
        <v>0</v>
      </c>
      <c r="M113" s="52">
        <f>MAX(0,K40-K39)</f>
        <v>0</v>
      </c>
    </row>
    <row r="114" spans="4:15" ht="20.100000000000001" customHeight="1" x14ac:dyDescent="0.25">
      <c r="D114" s="1" t="s">
        <v>175</v>
      </c>
      <c r="E114" s="39" t="s">
        <v>139</v>
      </c>
      <c r="F114" s="46">
        <v>0</v>
      </c>
      <c r="G114" s="46">
        <v>0</v>
      </c>
      <c r="H114" s="46">
        <v>0</v>
      </c>
      <c r="I114" s="2" t="s">
        <v>19</v>
      </c>
      <c r="L114" s="52">
        <f>MAX(0,G41-G40)</f>
        <v>0</v>
      </c>
      <c r="M114" s="52">
        <f>MAX(0,K41-K40)</f>
        <v>0</v>
      </c>
    </row>
    <row r="115" spans="4:15" ht="20.100000000000001" customHeight="1" x14ac:dyDescent="0.25">
      <c r="J115" s="1" t="s">
        <v>355</v>
      </c>
    </row>
    <row r="116" spans="4:15" ht="20.100000000000001" customHeight="1" x14ac:dyDescent="0.25"/>
    <row r="117" spans="4:15" ht="20.100000000000001" customHeight="1" x14ac:dyDescent="0.25"/>
    <row r="118" spans="4:15" ht="20.100000000000001" customHeight="1" x14ac:dyDescent="0.25">
      <c r="D118" s="62" t="s">
        <v>137</v>
      </c>
      <c r="E118" s="62"/>
      <c r="F118" s="62"/>
      <c r="G118" s="62"/>
      <c r="L118" s="127" t="s">
        <v>360</v>
      </c>
    </row>
    <row r="119" spans="4:15" ht="20.100000000000001" customHeight="1" x14ac:dyDescent="0.25">
      <c r="D119" s="1" t="s">
        <v>346</v>
      </c>
      <c r="E119" s="39" t="s">
        <v>342</v>
      </c>
      <c r="F119" s="2" t="s">
        <v>11</v>
      </c>
      <c r="J119" s="53" t="s">
        <v>131</v>
      </c>
    </row>
    <row r="120" spans="4:15" ht="20.100000000000001" customHeight="1" x14ac:dyDescent="0.25">
      <c r="D120" s="1" t="s">
        <v>340</v>
      </c>
      <c r="E120" s="52" t="str">
        <f>TEXT(EDATE(E119,1), "mmmm yyyy")</f>
        <v>September 2024</v>
      </c>
      <c r="J120" s="1" t="s">
        <v>103</v>
      </c>
      <c r="K120" s="1" t="s">
        <v>358</v>
      </c>
      <c r="L120" s="1" t="s">
        <v>355</v>
      </c>
      <c r="M120" s="1" t="s">
        <v>356</v>
      </c>
      <c r="N120" s="1" t="s">
        <v>357</v>
      </c>
      <c r="O120" s="1" t="s">
        <v>359</v>
      </c>
    </row>
    <row r="121" spans="4:15" ht="20.100000000000001" customHeight="1" x14ac:dyDescent="0.25">
      <c r="D121" s="1" t="s">
        <v>341</v>
      </c>
      <c r="E121" s="52" t="str">
        <f>TEXT(EDATE(E119,2), "mmmm yyyy")</f>
        <v>October 2024</v>
      </c>
      <c r="J121" s="52">
        <f>E39</f>
        <v>100</v>
      </c>
      <c r="K121" s="52">
        <f>MAX(0, E39-E42)</f>
        <v>0</v>
      </c>
      <c r="L121" s="1">
        <f>K121/J121</f>
        <v>0</v>
      </c>
      <c r="M121" s="1">
        <f>K124/J121</f>
        <v>0</v>
      </c>
      <c r="N121" s="2">
        <f>1-(L121+M121)</f>
        <v>1</v>
      </c>
      <c r="O121" s="53">
        <f>(L121*6)+(M121*4)+(N121*0)</f>
        <v>0</v>
      </c>
    </row>
    <row r="122" spans="4:15" ht="20.100000000000001" customHeight="1" x14ac:dyDescent="0.25">
      <c r="J122" s="52">
        <f>E40</f>
        <v>100</v>
      </c>
      <c r="K122" s="52">
        <f>MAX(0, E40-E39)</f>
        <v>0</v>
      </c>
      <c r="L122" s="1">
        <f>K122/J122</f>
        <v>0</v>
      </c>
      <c r="M122" s="1">
        <f>K121/J122</f>
        <v>0</v>
      </c>
      <c r="N122" s="2">
        <f>1-(L122+M122)</f>
        <v>1</v>
      </c>
      <c r="O122" s="53">
        <f t="shared" ref="O122:O124" si="1">(L122*6)+(M122*4)+(N122*0)</f>
        <v>0</v>
      </c>
    </row>
    <row r="123" spans="4:15" ht="20.100000000000001" customHeight="1" x14ac:dyDescent="0.25">
      <c r="J123" s="52">
        <f>E41</f>
        <v>100</v>
      </c>
      <c r="K123" s="52">
        <f>MAX(0,E41-E40)</f>
        <v>0</v>
      </c>
      <c r="L123" s="1">
        <f>K123/J123</f>
        <v>0</v>
      </c>
      <c r="M123" s="1">
        <f>K122/J123</f>
        <v>0</v>
      </c>
      <c r="N123" s="2">
        <f>1-(L123+M123)</f>
        <v>1</v>
      </c>
      <c r="O123" s="53">
        <f t="shared" si="1"/>
        <v>0</v>
      </c>
    </row>
    <row r="124" spans="4:15" ht="20.100000000000001" customHeight="1" x14ac:dyDescent="0.25">
      <c r="E124" s="62" t="s">
        <v>166</v>
      </c>
      <c r="F124" s="62" t="s">
        <v>167</v>
      </c>
      <c r="G124" s="62" t="s">
        <v>168</v>
      </c>
      <c r="J124" s="52">
        <f>E42</f>
        <v>100</v>
      </c>
      <c r="K124" s="52">
        <f>MAX(0, E42-E41)</f>
        <v>0</v>
      </c>
      <c r="L124" s="1">
        <f>K124/J124</f>
        <v>0</v>
      </c>
      <c r="M124" s="2">
        <f>K123/J124</f>
        <v>0</v>
      </c>
      <c r="N124" s="2">
        <f>1-(L124+M124)</f>
        <v>1</v>
      </c>
      <c r="O124" s="53">
        <f t="shared" si="1"/>
        <v>0</v>
      </c>
    </row>
    <row r="125" spans="4:15" ht="20.100000000000001" customHeight="1" x14ac:dyDescent="0.25">
      <c r="D125" s="1" t="str">
        <f>E119</f>
        <v>August 2024</v>
      </c>
      <c r="E125" s="46">
        <v>0.25</v>
      </c>
      <c r="F125" s="46">
        <v>0.25</v>
      </c>
      <c r="G125" s="46">
        <v>0.25</v>
      </c>
      <c r="H125" s="2" t="s">
        <v>19</v>
      </c>
      <c r="L125" s="2"/>
      <c r="M125" s="2"/>
      <c r="N125" s="2"/>
      <c r="O125" s="2"/>
    </row>
    <row r="126" spans="4:15" ht="20.100000000000001" customHeight="1" x14ac:dyDescent="0.25">
      <c r="D126" s="1" t="str">
        <f>E120</f>
        <v>September 2024</v>
      </c>
      <c r="E126" s="46">
        <v>0.25</v>
      </c>
      <c r="F126" s="46">
        <v>0.25</v>
      </c>
      <c r="G126" s="46">
        <v>0.25</v>
      </c>
      <c r="H126" s="2" t="s">
        <v>19</v>
      </c>
    </row>
    <row r="127" spans="4:15" ht="20.100000000000001" customHeight="1" x14ac:dyDescent="0.25">
      <c r="D127" s="1" t="str">
        <f>E121</f>
        <v>October 2024</v>
      </c>
      <c r="E127" s="46">
        <v>0.25</v>
      </c>
      <c r="F127" s="46">
        <v>0.25</v>
      </c>
      <c r="G127" s="46">
        <v>0.25</v>
      </c>
      <c r="H127" s="2" t="s">
        <v>19</v>
      </c>
    </row>
    <row r="128" spans="4:15" ht="20.100000000000001" customHeight="1" x14ac:dyDescent="0.25">
      <c r="D128" s="1" t="str">
        <f>"Proportion of cows &gt; 1 years in calf in " &amp; D125 &amp; " to " &amp; D127</f>
        <v>Proportion of cows &gt; 1 years in calf in August 2024 to October 2024</v>
      </c>
      <c r="E128" s="96">
        <f>SUM(E125:E127)</f>
        <v>0.75</v>
      </c>
      <c r="F128" s="96">
        <f>SUM(F125:F127)</f>
        <v>0.75</v>
      </c>
      <c r="G128" s="96">
        <f>SUM(G125:G127)</f>
        <v>0.75</v>
      </c>
      <c r="H128" s="2" t="s">
        <v>19</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8" t="s">
        <v>18</v>
      </c>
      <c r="K131" s="2"/>
      <c r="L131" s="2"/>
      <c r="M131" s="2"/>
      <c r="N131" s="2"/>
      <c r="O131" s="2"/>
    </row>
    <row r="132" spans="4:15" ht="20.100000000000001" customHeight="1" x14ac:dyDescent="0.25">
      <c r="D132" s="62" t="s">
        <v>179</v>
      </c>
      <c r="E132" s="62" t="s">
        <v>131</v>
      </c>
      <c r="F132" s="62" t="s">
        <v>130</v>
      </c>
      <c r="G132" s="62" t="s">
        <v>165</v>
      </c>
      <c r="H132" s="62" t="s">
        <v>166</v>
      </c>
      <c r="I132" s="62" t="s">
        <v>167</v>
      </c>
      <c r="J132" s="62" t="s">
        <v>168</v>
      </c>
      <c r="K132" s="62" t="s">
        <v>169</v>
      </c>
      <c r="L132" s="62" t="s">
        <v>170</v>
      </c>
      <c r="M132" s="62" t="s">
        <v>171</v>
      </c>
      <c r="N132" s="62" t="s">
        <v>172</v>
      </c>
    </row>
    <row r="133" spans="4:15" ht="20.100000000000001" customHeight="1" x14ac:dyDescent="0.25">
      <c r="D133" s="1" t="s">
        <v>173</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141</v>
      </c>
    </row>
    <row r="134" spans="4:15" ht="20.100000000000001" customHeight="1" x14ac:dyDescent="0.25">
      <c r="D134" s="1" t="s">
        <v>174</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141</v>
      </c>
    </row>
    <row r="135" spans="4:15" ht="20.100000000000001" customHeight="1" x14ac:dyDescent="0.25">
      <c r="D135" s="1" t="s">
        <v>175</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141</v>
      </c>
    </row>
    <row r="136" spans="4:15" ht="20.100000000000001" customHeight="1" x14ac:dyDescent="0.25">
      <c r="D136" s="1" t="s">
        <v>176</v>
      </c>
      <c r="E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2">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141</v>
      </c>
    </row>
    <row r="137" spans="4:15" ht="20.100000000000001" customHeight="1" x14ac:dyDescent="0.25"/>
    <row r="138" spans="4:15" ht="20.100000000000001" customHeight="1" x14ac:dyDescent="0.25">
      <c r="D138" s="62" t="s">
        <v>180</v>
      </c>
      <c r="E138" s="62" t="s">
        <v>131</v>
      </c>
      <c r="F138" s="62" t="s">
        <v>130</v>
      </c>
      <c r="G138" s="62" t="s">
        <v>165</v>
      </c>
      <c r="H138" s="62" t="s">
        <v>166</v>
      </c>
      <c r="I138" s="62" t="s">
        <v>167</v>
      </c>
      <c r="J138" s="62" t="s">
        <v>168</v>
      </c>
      <c r="K138" s="62" t="s">
        <v>169</v>
      </c>
      <c r="L138" s="62" t="s">
        <v>170</v>
      </c>
      <c r="M138" s="62" t="s">
        <v>171</v>
      </c>
      <c r="N138" s="62" t="s">
        <v>172</v>
      </c>
    </row>
    <row r="139" spans="4:15" ht="20.100000000000001" customHeight="1" x14ac:dyDescent="0.25">
      <c r="D139" s="1" t="str">
        <f>TEXT(X_Cell_Site_StartDate, "mmmm yyyy")</f>
        <v>January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TEXT(EDATE(X_Cell_Site_StartDate,1), "mmmm yyyy")</f>
        <v>February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141</v>
      </c>
    </row>
    <row r="141" spans="4:15" ht="20.100000000000001" customHeight="1" x14ac:dyDescent="0.25">
      <c r="D141" s="1" t="str">
        <f>TEXT(EDATE(X_Cell_Site_StartDate,2), "mmmm yyyy")</f>
        <v>March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TEXT(EDATE(X_Cell_Site_StartDate,3), "mmmm yyyy")</f>
        <v>April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TEXT(EDATE(X_Cell_Site_StartDate,4), "mmmm yyyy")</f>
        <v>May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141</v>
      </c>
    </row>
    <row r="144" spans="4:15" ht="20.100000000000001" customHeight="1" x14ac:dyDescent="0.25">
      <c r="D144" s="1" t="str">
        <f>TEXT(EDATE(X_Cell_Site_StartDate,5), "mmmm yyyy")</f>
        <v>June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TEXT(EDATE(X_Cell_Site_StartDate,6), "mmmm yyyy")</f>
        <v>July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TEXT(EDATE(X_Cell_Site_StartDate,7), "mmmm yyyy")</f>
        <v>August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141</v>
      </c>
    </row>
    <row r="147" spans="4:15" ht="20.100000000000001" customHeight="1" x14ac:dyDescent="0.25">
      <c r="D147" s="1" t="str">
        <f>TEXT(EDATE(X_Cell_Site_StartDate,8), "mmmm yyyy")</f>
        <v>September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TEXT(EDATE(X_Cell_Site_StartDate,9), "mmmm yyyy")</f>
        <v>October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TEXT(EDATE(X_Cell_Site_StartDate,10), "mmmm yyyy")</f>
        <v>November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141</v>
      </c>
    </row>
    <row r="150" spans="4:15" ht="20.100000000000001" customHeight="1" x14ac:dyDescent="0.25">
      <c r="D150" s="1" t="str">
        <f>TEXT(EDATE(X_Cell_Site_StartDate,11), "mmmm yyyy")</f>
        <v>December 2024</v>
      </c>
      <c r="E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5">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141</v>
      </c>
    </row>
    <row r="151" spans="4:15" ht="20.100000000000001" customHeight="1" x14ac:dyDescent="0.25"/>
    <row r="152" spans="4:15" ht="20.100000000000001" customHeight="1" x14ac:dyDescent="0.25"/>
    <row r="153" spans="4:15" ht="20.100000000000001" customHeight="1" x14ac:dyDescent="0.25">
      <c r="D153" s="48" t="s">
        <v>105</v>
      </c>
      <c r="K153" s="2"/>
      <c r="L153" s="2"/>
      <c r="M153" s="2"/>
      <c r="N153" s="2"/>
      <c r="O153" s="2"/>
    </row>
    <row r="154" spans="4:15" ht="20.100000000000001" customHeight="1" x14ac:dyDescent="0.25">
      <c r="D154" s="62" t="s">
        <v>179</v>
      </c>
      <c r="E154" s="62" t="s">
        <v>131</v>
      </c>
      <c r="F154" s="62" t="s">
        <v>130</v>
      </c>
      <c r="G154" s="62" t="s">
        <v>165</v>
      </c>
      <c r="H154" s="62" t="s">
        <v>166</v>
      </c>
      <c r="I154" s="62" t="s">
        <v>167</v>
      </c>
      <c r="J154" s="62" t="s">
        <v>168</v>
      </c>
      <c r="K154" s="62" t="s">
        <v>169</v>
      </c>
      <c r="L154" s="62" t="s">
        <v>170</v>
      </c>
      <c r="M154" s="62" t="s">
        <v>171</v>
      </c>
      <c r="N154" s="62" t="s">
        <v>172</v>
      </c>
    </row>
    <row r="155" spans="4:15" ht="20.100000000000001" customHeight="1" x14ac:dyDescent="0.25">
      <c r="D155" s="1" t="s">
        <v>173</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141</v>
      </c>
    </row>
    <row r="156" spans="4:15" ht="20.100000000000001" customHeight="1" x14ac:dyDescent="0.25">
      <c r="D156" s="1" t="s">
        <v>174</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141</v>
      </c>
    </row>
    <row r="157" spans="4:15" ht="20.100000000000001" customHeight="1" x14ac:dyDescent="0.25">
      <c r="D157" s="1" t="s">
        <v>175</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141</v>
      </c>
    </row>
    <row r="158" spans="4:15" ht="20.100000000000001" customHeight="1" x14ac:dyDescent="0.25">
      <c r="D158" s="1" t="s">
        <v>176</v>
      </c>
      <c r="E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2">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141</v>
      </c>
    </row>
    <row r="159" spans="4:15" ht="20.100000000000001" customHeight="1" x14ac:dyDescent="0.25"/>
    <row r="160" spans="4:15" ht="20.100000000000001" customHeight="1" x14ac:dyDescent="0.25">
      <c r="D160" s="62" t="s">
        <v>180</v>
      </c>
      <c r="E160" s="62" t="s">
        <v>131</v>
      </c>
      <c r="F160" s="62" t="s">
        <v>130</v>
      </c>
      <c r="G160" s="62" t="s">
        <v>165</v>
      </c>
      <c r="H160" s="62" t="s">
        <v>166</v>
      </c>
      <c r="I160" s="62" t="s">
        <v>167</v>
      </c>
      <c r="J160" s="62" t="s">
        <v>168</v>
      </c>
      <c r="K160" s="62" t="s">
        <v>169</v>
      </c>
      <c r="L160" s="62" t="s">
        <v>170</v>
      </c>
      <c r="M160" s="62" t="s">
        <v>171</v>
      </c>
      <c r="N160" s="62" t="s">
        <v>172</v>
      </c>
    </row>
    <row r="161" spans="4:15" ht="20.100000000000001" customHeight="1" x14ac:dyDescent="0.25">
      <c r="D161" s="1" t="str">
        <f>TEXT(X_Cell_Site_StartDate, "mmmm yyyy")</f>
        <v>January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TEXT(EDATE(X_Cell_Site_StartDate,1), "mmmm yyyy")</f>
        <v>February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141</v>
      </c>
    </row>
    <row r="163" spans="4:15" ht="20.100000000000001" customHeight="1" x14ac:dyDescent="0.25">
      <c r="D163" s="1" t="str">
        <f>TEXT(EDATE(X_Cell_Site_StartDate,2), "mmmm yyyy")</f>
        <v>March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TEXT(EDATE(X_Cell_Site_StartDate,3), "mmmm yyyy")</f>
        <v>April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TEXT(EDATE(X_Cell_Site_StartDate,4), "mmmm yyyy")</f>
        <v>May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141</v>
      </c>
    </row>
    <row r="166" spans="4:15" ht="20.100000000000001" customHeight="1" x14ac:dyDescent="0.25">
      <c r="D166" s="1" t="str">
        <f>TEXT(EDATE(X_Cell_Site_StartDate,5), "mmmm yyyy")</f>
        <v>June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ht="20.100000000000001" customHeight="1" x14ac:dyDescent="0.25">
      <c r="D167" s="1" t="str">
        <f>TEXT(EDATE(X_Cell_Site_StartDate,6), "mmmm yyyy")</f>
        <v>July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ht="20.100000000000001" customHeight="1" x14ac:dyDescent="0.25">
      <c r="D168" s="1" t="str">
        <f>TEXT(EDATE(X_Cell_Site_StartDate,7), "mmmm yyyy")</f>
        <v>August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ht="20.100000000000001" customHeight="1" x14ac:dyDescent="0.25">
      <c r="D169" s="1" t="str">
        <f>TEXT(EDATE(X_Cell_Site_StartDate,8), "mmmm yyyy")</f>
        <v>September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ht="20.100000000000001" customHeight="1" x14ac:dyDescent="0.25">
      <c r="D170" s="1" t="str">
        <f>TEXT(EDATE(X_Cell_Site_StartDate,9), "mmmm yyyy")</f>
        <v>October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ht="20.100000000000001" customHeight="1" x14ac:dyDescent="0.25">
      <c r="D171" s="1" t="str">
        <f>TEXT(EDATE(X_Cell_Site_StartDate,10), "mmmm yyyy")</f>
        <v>November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141</v>
      </c>
    </row>
    <row r="172" spans="4:15" ht="20.100000000000001" customHeight="1" x14ac:dyDescent="0.25">
      <c r="D172" s="1" t="str">
        <f>TEXT(EDATE(X_Cell_Site_StartDate,11), "mmmm yyyy")</f>
        <v>December 2024</v>
      </c>
      <c r="E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5">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141</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8" t="s">
        <v>263</v>
      </c>
      <c r="L175" s="2"/>
      <c r="M175" s="2"/>
      <c r="N175" s="2"/>
      <c r="O175" s="2"/>
    </row>
    <row r="176" spans="4:15" ht="20.100000000000001" customHeight="1" x14ac:dyDescent="0.25"/>
    <row r="177" spans="4:15" ht="20.100000000000001" customHeight="1" x14ac:dyDescent="0.25">
      <c r="D177" s="1" t="s">
        <v>264</v>
      </c>
      <c r="E177" s="39" t="s">
        <v>139</v>
      </c>
      <c r="F177" s="2" t="s">
        <v>11</v>
      </c>
      <c r="L177" s="2"/>
      <c r="M177" s="2"/>
      <c r="N177" s="2"/>
      <c r="O177" s="2"/>
    </row>
    <row r="178" spans="4:15" ht="20.100000000000001" customHeight="1" x14ac:dyDescent="0.25"/>
    <row r="179" spans="4:15" ht="20.100000000000001" customHeight="1" x14ac:dyDescent="0.25">
      <c r="D179" s="62" t="s">
        <v>21</v>
      </c>
      <c r="E179" s="62" t="s">
        <v>265</v>
      </c>
      <c r="L179" s="2"/>
      <c r="M179" s="2"/>
      <c r="N179" s="2"/>
      <c r="O179" s="2"/>
    </row>
    <row r="180" spans="4:15" ht="20.100000000000001" customHeight="1" x14ac:dyDescent="0.25">
      <c r="D180" s="1" t="s">
        <v>138</v>
      </c>
      <c r="E180" s="117">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19</v>
      </c>
      <c r="L180" s="2"/>
      <c r="M180" s="2"/>
      <c r="N180" s="2"/>
      <c r="O180" s="2"/>
    </row>
    <row r="181" spans="4:15" ht="20.100000000000001" customHeight="1" x14ac:dyDescent="0.25">
      <c r="D181" s="1" t="s">
        <v>266</v>
      </c>
      <c r="E181" s="117">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19</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320</v>
      </c>
      <c r="E184" s="39" t="s">
        <v>325</v>
      </c>
      <c r="F184" s="2" t="s">
        <v>11</v>
      </c>
      <c r="L184" s="2"/>
      <c r="M184" s="2"/>
      <c r="N184" s="2"/>
      <c r="O184" s="2"/>
    </row>
    <row r="185" spans="4:15" ht="20.100000000000001" customHeight="1" x14ac:dyDescent="0.25">
      <c r="E185" s="39" t="s">
        <v>123</v>
      </c>
      <c r="F185" s="2" t="s">
        <v>11</v>
      </c>
    </row>
    <row r="186" spans="4:15" ht="20.100000000000001" customHeight="1" x14ac:dyDescent="0.25"/>
    <row r="187" spans="4:15" ht="20.100000000000001" customHeight="1" x14ac:dyDescent="0.25"/>
    <row r="188" spans="4:15" ht="20.100000000000001" customHeight="1" x14ac:dyDescent="0.25">
      <c r="D188" s="6" t="s">
        <v>376</v>
      </c>
    </row>
    <row r="189" spans="4:15" ht="20.100000000000001" customHeight="1" x14ac:dyDescent="0.25">
      <c r="D189" s="104" t="s">
        <v>375</v>
      </c>
    </row>
    <row r="190" spans="4:15" ht="20.100000000000001" customHeight="1" x14ac:dyDescent="0.25">
      <c r="D190" s="37" t="s">
        <v>379</v>
      </c>
      <c r="E190" s="37" t="s">
        <v>380</v>
      </c>
      <c r="F190" s="37" t="s">
        <v>374</v>
      </c>
      <c r="G190" s="37" t="s">
        <v>381</v>
      </c>
      <c r="H190" s="37" t="s">
        <v>382</v>
      </c>
      <c r="I190" s="37" t="s">
        <v>383</v>
      </c>
      <c r="J190" s="129" t="s">
        <v>384</v>
      </c>
      <c r="K190" s="129" t="s">
        <v>385</v>
      </c>
    </row>
    <row r="191" spans="4:15" ht="20.100000000000001" customHeight="1" x14ac:dyDescent="0.25">
      <c r="D191" s="33" t="s">
        <v>386</v>
      </c>
      <c r="E191" s="130">
        <v>45547</v>
      </c>
      <c r="F191" s="39" t="s">
        <v>169</v>
      </c>
      <c r="G191" s="131" t="s">
        <v>387</v>
      </c>
      <c r="H191" s="39" t="s">
        <v>388</v>
      </c>
      <c r="I191" s="65">
        <v>100</v>
      </c>
      <c r="J191" s="52"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5">
        <v>205</v>
      </c>
    </row>
    <row r="192" spans="4:15" ht="20.100000000000001" customHeight="1" x14ac:dyDescent="0.25">
      <c r="D192" s="33"/>
      <c r="E192" s="33"/>
      <c r="F192" s="132"/>
      <c r="G192" s="131"/>
      <c r="H192" s="39"/>
      <c r="I192" s="65"/>
      <c r="J192" s="52"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5"/>
    </row>
    <row r="193" spans="4:27" ht="20.100000000000001" customHeight="1" x14ac:dyDescent="0.25">
      <c r="D193" s="33"/>
      <c r="E193" s="33"/>
      <c r="F193" s="132"/>
      <c r="G193" s="131"/>
      <c r="H193" s="39"/>
      <c r="I193" s="65"/>
      <c r="J193" s="52"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5"/>
    </row>
    <row r="194" spans="4:27" ht="20.100000000000001" customHeight="1" x14ac:dyDescent="0.25">
      <c r="D194" s="33"/>
      <c r="E194" s="33"/>
      <c r="F194" s="132"/>
      <c r="G194" s="131"/>
      <c r="H194" s="39"/>
      <c r="I194" s="65"/>
      <c r="J194" s="52"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5"/>
    </row>
    <row r="195" spans="4:27" ht="20.100000000000001" customHeight="1" x14ac:dyDescent="0.25">
      <c r="D195" s="33"/>
      <c r="E195" s="33"/>
      <c r="F195" s="132"/>
      <c r="G195" s="131"/>
      <c r="H195" s="39"/>
      <c r="I195" s="65"/>
      <c r="J195" s="52"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5"/>
    </row>
    <row r="196" spans="4:27" ht="20.100000000000001" customHeight="1" x14ac:dyDescent="0.25">
      <c r="D196" s="33"/>
      <c r="E196" s="33"/>
      <c r="F196" s="132"/>
      <c r="G196" s="131"/>
      <c r="H196" s="39"/>
      <c r="I196" s="65"/>
      <c r="J196" s="52"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5"/>
    </row>
    <row r="197" spans="4:27" ht="20.100000000000001" customHeight="1" x14ac:dyDescent="0.25">
      <c r="D197" s="33"/>
      <c r="E197" s="33"/>
      <c r="F197" s="132"/>
      <c r="G197" s="131"/>
      <c r="H197" s="39"/>
      <c r="I197" s="65"/>
      <c r="J197" s="52"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5"/>
    </row>
    <row r="198" spans="4:27" ht="20.100000000000001" customHeight="1" x14ac:dyDescent="0.25">
      <c r="D198" s="33"/>
      <c r="E198" s="33"/>
      <c r="F198" s="132"/>
      <c r="G198" s="131"/>
      <c r="H198" s="39"/>
      <c r="I198" s="65"/>
      <c r="J198" s="52"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5"/>
    </row>
    <row r="199" spans="4:27" ht="20.100000000000001" customHeight="1" x14ac:dyDescent="0.25">
      <c r="D199" s="33"/>
      <c r="E199" s="33"/>
      <c r="F199" s="132"/>
      <c r="G199" s="131"/>
      <c r="H199" s="39"/>
      <c r="I199" s="65"/>
      <c r="J199" s="52"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5"/>
    </row>
    <row r="200" spans="4:27" ht="20.100000000000001" customHeight="1" x14ac:dyDescent="0.25">
      <c r="D200" s="133"/>
      <c r="E200" s="133"/>
      <c r="F200" s="132"/>
      <c r="G200" s="134"/>
      <c r="H200" s="132"/>
      <c r="I200" s="135"/>
      <c r="J200" s="52"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5"/>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369</v>
      </c>
    </row>
    <row r="205" spans="4:27" ht="20.100000000000001" customHeight="1" x14ac:dyDescent="0.25">
      <c r="D205" s="104" t="s">
        <v>375</v>
      </c>
      <c r="Z205" s="56"/>
    </row>
    <row r="206" spans="4:27" ht="20.100000000000001" customHeight="1" x14ac:dyDescent="0.25">
      <c r="D206" s="37" t="s">
        <v>379</v>
      </c>
      <c r="E206" s="37" t="s">
        <v>374</v>
      </c>
      <c r="F206" s="37" t="s">
        <v>370</v>
      </c>
      <c r="G206" s="37" t="s">
        <v>371</v>
      </c>
      <c r="H206" s="37" t="s">
        <v>372</v>
      </c>
      <c r="I206" s="37" t="s">
        <v>373</v>
      </c>
      <c r="Z206" s="56"/>
      <c r="AA206" s="56"/>
    </row>
    <row r="207" spans="4:27" ht="20.100000000000001" customHeight="1" x14ac:dyDescent="0.25">
      <c r="D207" s="33"/>
      <c r="E207" s="39" t="s">
        <v>130</v>
      </c>
      <c r="F207" s="128">
        <v>45566</v>
      </c>
      <c r="G207" s="37">
        <v>10</v>
      </c>
      <c r="H207" s="37">
        <v>500</v>
      </c>
      <c r="I207" s="52">
        <f t="shared" ref="I207:I216" si="2">G207*H207</f>
        <v>5000</v>
      </c>
      <c r="Z207" s="56"/>
      <c r="AA207" s="56"/>
    </row>
    <row r="208" spans="4:27" ht="20.100000000000001" customHeight="1" x14ac:dyDescent="0.25">
      <c r="D208" s="33"/>
      <c r="E208" s="39"/>
      <c r="F208" s="128"/>
      <c r="G208" s="37"/>
      <c r="H208" s="37"/>
      <c r="I208" s="52">
        <f t="shared" si="2"/>
        <v>0</v>
      </c>
      <c r="Z208" s="56"/>
      <c r="AA208" s="56"/>
    </row>
    <row r="209" spans="4:27" ht="20.100000000000001" customHeight="1" x14ac:dyDescent="0.25">
      <c r="D209" s="33"/>
      <c r="E209" s="39"/>
      <c r="F209" s="128"/>
      <c r="G209" s="37"/>
      <c r="H209" s="37"/>
      <c r="I209" s="52">
        <f t="shared" si="2"/>
        <v>0</v>
      </c>
      <c r="Z209" s="56"/>
      <c r="AA209" s="56"/>
    </row>
    <row r="210" spans="4:27" ht="20.100000000000001" customHeight="1" x14ac:dyDescent="0.25">
      <c r="D210" s="33"/>
      <c r="E210" s="39"/>
      <c r="F210" s="128"/>
      <c r="G210" s="37"/>
      <c r="H210" s="37"/>
      <c r="I210" s="52">
        <f t="shared" si="2"/>
        <v>0</v>
      </c>
      <c r="Z210" s="56"/>
      <c r="AA210" s="56"/>
    </row>
    <row r="211" spans="4:27" ht="20.100000000000001" customHeight="1" x14ac:dyDescent="0.25">
      <c r="D211" s="33"/>
      <c r="E211" s="39"/>
      <c r="F211" s="128"/>
      <c r="G211" s="37"/>
      <c r="H211" s="37"/>
      <c r="I211" s="52">
        <f t="shared" si="2"/>
        <v>0</v>
      </c>
      <c r="Z211" s="56"/>
      <c r="AA211" s="56"/>
    </row>
    <row r="212" spans="4:27" ht="20.100000000000001" customHeight="1" x14ac:dyDescent="0.25">
      <c r="D212" s="33"/>
      <c r="E212" s="39"/>
      <c r="F212" s="128"/>
      <c r="G212" s="37"/>
      <c r="H212" s="37"/>
      <c r="I212" s="52">
        <f t="shared" si="2"/>
        <v>0</v>
      </c>
      <c r="Z212" s="56"/>
      <c r="AA212" s="56"/>
    </row>
    <row r="213" spans="4:27" ht="20.100000000000001" customHeight="1" x14ac:dyDescent="0.25">
      <c r="D213" s="33"/>
      <c r="E213" s="39"/>
      <c r="F213" s="128"/>
      <c r="G213" s="37"/>
      <c r="H213" s="37"/>
      <c r="I213" s="52">
        <f t="shared" si="2"/>
        <v>0</v>
      </c>
      <c r="Z213" s="56"/>
      <c r="AA213" s="56"/>
    </row>
    <row r="214" spans="4:27" ht="20.100000000000001" customHeight="1" x14ac:dyDescent="0.25">
      <c r="D214" s="33"/>
      <c r="E214" s="39"/>
      <c r="F214" s="128"/>
      <c r="G214" s="37"/>
      <c r="H214" s="37"/>
      <c r="I214" s="52">
        <f t="shared" si="2"/>
        <v>0</v>
      </c>
      <c r="Z214" s="56"/>
      <c r="AA214" s="56"/>
    </row>
    <row r="215" spans="4:27" ht="20.100000000000001" customHeight="1" x14ac:dyDescent="0.25">
      <c r="D215" s="33"/>
      <c r="E215" s="39"/>
      <c r="F215" s="128"/>
      <c r="G215" s="37"/>
      <c r="H215" s="37"/>
      <c r="I215" s="52">
        <f t="shared" si="2"/>
        <v>0</v>
      </c>
      <c r="Z215" s="56"/>
      <c r="AA215" s="56"/>
    </row>
    <row r="216" spans="4:27" ht="20.100000000000001" customHeight="1" x14ac:dyDescent="0.25">
      <c r="D216" s="33"/>
      <c r="E216" s="39"/>
      <c r="F216" s="128"/>
      <c r="G216" s="37"/>
      <c r="H216" s="37"/>
      <c r="I216" s="52">
        <f t="shared" si="2"/>
        <v>0</v>
      </c>
      <c r="Z216" s="56"/>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36" operator="lessThan">
      <formula>0</formula>
    </cfRule>
  </conditionalFormatting>
  <conditionalFormatting sqref="F239:F240">
    <cfRule type="cellIs" dxfId="11" priority="27" operator="lessThan">
      <formula>0</formula>
    </cfRule>
  </conditionalFormatting>
  <conditionalFormatting sqref="F244:F245">
    <cfRule type="cellIs" dxfId="10" priority="26" operator="lessThan">
      <formula>0</formula>
    </cfRule>
  </conditionalFormatting>
  <conditionalFormatting sqref="F249:F250">
    <cfRule type="cellIs" dxfId="9" priority="25" operator="lessThan">
      <formula>0</formula>
    </cfRule>
  </conditionalFormatting>
  <conditionalFormatting sqref="F273:F274">
    <cfRule type="cellIs" dxfId="8" priority="19" operator="lessThan">
      <formula>0</formula>
    </cfRule>
  </conditionalFormatting>
  <conditionalFormatting sqref="F278:F279">
    <cfRule type="cellIs" dxfId="7" priority="18" operator="lessThan">
      <formula>0</formula>
    </cfRule>
  </conditionalFormatting>
  <conditionalFormatting sqref="F283:F284">
    <cfRule type="cellIs" dxfId="6" priority="17" operator="lessThan">
      <formula>0</formula>
    </cfRule>
  </conditionalFormatting>
  <conditionalFormatting sqref="H124:K124">
    <cfRule type="cellIs" dxfId="5" priority="7" operator="lessThan">
      <formula>0</formula>
    </cfRule>
  </conditionalFormatting>
  <conditionalFormatting sqref="I130:O131">
    <cfRule type="cellIs" dxfId="4" priority="13" operator="lessThan">
      <formula>0</formula>
    </cfRule>
  </conditionalFormatting>
  <conditionalFormatting sqref="I153:O153">
    <cfRule type="cellIs" dxfId="3" priority="5" operator="lessThan">
      <formula>0</formula>
    </cfRule>
  </conditionalFormatting>
  <conditionalFormatting sqref="K123:K124">
    <cfRule type="cellIs" dxfId="2" priority="4" operator="lessThan">
      <formula>0</formula>
    </cfRule>
  </conditionalFormatting>
  <conditionalFormatting sqref="N121:N123">
    <cfRule type="cellIs" dxfId="1" priority="1" operator="lessThan">
      <formula>0</formula>
    </cfRule>
  </conditionalFormatting>
  <conditionalFormatting sqref="P43:R43">
    <cfRule type="cellIs" dxfId="0" priority="37" operator="lessThan">
      <formula>0</formula>
    </cfRule>
  </conditionalFormatting>
  <dataValidations count="12">
    <dataValidation type="list" allowBlank="1" showInputMessage="1" showErrorMessage="1" sqref="D266" xr:uid="{4E913AB3-F90B-4C35-BCE1-5DBB8FC05107}">
      <formula1>INDIRECT("Table_SourceData_PoultryMMSStage1[MMS]")</formula1>
    </dataValidation>
    <dataValidation type="list" allowBlank="1" showInputMessage="1" showErrorMessage="1" sqref="E238 E243 E248 E282 E277 E272 E177"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5" xr:uid="{964CB593-5D4D-4584-9033-0C54780AC43E}">
      <formula1>INDIRECT("Table_SourceData_PastureBeef_IrrigationMethods[Irrigation method]")</formula1>
    </dataValidation>
    <dataValidation type="list" allowBlank="1" showInputMessage="1" showErrorMessage="1" sqref="E184" xr:uid="{EB9B83E0-A891-43A7-9523-094EA6EFCDCF}">
      <formula1>INDIRECT("Table_SourceData_PastureBeef_CropProdSystems[Production system]")</formula1>
    </dataValidation>
    <dataValidation type="list" allowBlank="1" showInputMessage="1" showErrorMessage="1" sqref="E105" xr:uid="{F19D713C-D639-4E0B-97FE-4871A2D0DBE9}">
      <formula1>"Spring, Summer, Autumn, Winter"</formula1>
    </dataValidation>
    <dataValidation type="list" allowBlank="1" showInputMessage="1" showErrorMessage="1" sqref="E119" xr:uid="{201520A7-DD52-4880-9064-2B6F553814DB}">
      <formula1>$D$23:$D$34</formula1>
    </dataValidation>
    <dataValidation type="list" allowBlank="1" showInputMessage="1" showErrorMessage="1" sqref="F191:F200 E207:E216" xr:uid="{2DAF96E4-73B7-412D-8B0B-7964F9BEDA11}">
      <formula1>INDIRECT("Table_LivestockClasses_Beefcattle[Livestock class]")</formula1>
    </dataValidation>
    <dataValidation type="list" allowBlank="1" showInputMessage="1" showErrorMessage="1" sqref="G191:G200" xr:uid="{AAC5B2F1-7978-437E-83DE-277E0FC86C92}">
      <formula1>INDIRECT(TRIM("Table_SourceData_LivestockProduct_Beefcattle[Product]"))</formula1>
    </dataValidation>
    <dataValidation type="list" allowBlank="1" showInputMessage="1" showErrorMessage="1" sqref="H191:H200" xr:uid="{742E4D6C-A328-4948-AAFC-5788DFB82170}">
      <formula1>INDIRECT("Table_ProductRegions_Beefcattle[Region]")</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209" zoomScale="70" zoomScaleNormal="70" workbookViewId="0">
      <selection activeCell="W235" sqref="W235:W2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Beef'!$E112</f>
        <v>Yes</v>
      </c>
      <c r="F22" s="52">
        <f>'Input - Pasture Beef'!$F112</f>
        <v>0.1</v>
      </c>
      <c r="G22" s="52">
        <f>'Input - Pasture Beef'!$G112</f>
        <v>0.4</v>
      </c>
      <c r="H22" s="52">
        <f>'Input - Pasture Beef'!$H112</f>
        <v>0.4</v>
      </c>
      <c r="I22" s="2" t="s">
        <v>100</v>
      </c>
      <c r="W22" s="52" t="str">
        <f>TEXT(EDATE('Input - Pasture Beef'!$D$125,0), "mmmm") &amp; ", " &amp; TEXT(EDATE('Input - Pasture Beef'!$D$126,0), "mmmm") &amp; ", " &amp; TEXT(EDATE('Input - Pasture Beef'!$D$127,0), "mmmm")</f>
        <v>August, September, October</v>
      </c>
      <c r="X22" s="52">
        <f>'Input - Pasture Beef'!$E$128</f>
        <v>0.75</v>
      </c>
      <c r="Y22" s="52">
        <f>'Input - Pasture Beef'!$F$128</f>
        <v>0.75</v>
      </c>
      <c r="Z22" s="52">
        <f>'Input - Pasture Beef'!$G$128</f>
        <v>0.75</v>
      </c>
      <c r="AA22" s="2" t="s">
        <v>100</v>
      </c>
    </row>
    <row r="23" spans="1:36" ht="20.100000000000001" customHeight="1" x14ac:dyDescent="0.25">
      <c r="A23" s="17"/>
      <c r="D23" s="52" t="s">
        <v>174</v>
      </c>
      <c r="E23" s="52" t="str">
        <f>'Input - Pasture Beef'!$E113</f>
        <v>Yes</v>
      </c>
      <c r="F23" s="52">
        <f>'Input - Pasture Beef'!$F113</f>
        <v>0.1</v>
      </c>
      <c r="G23" s="52">
        <f>'Input - Pasture Beef'!$G113</f>
        <v>0</v>
      </c>
      <c r="H23" s="52">
        <f>'Input - Pasture Beef'!$H113</f>
        <v>0</v>
      </c>
      <c r="W23" s="52" t="str">
        <f>TEXT(EDATE('Input - Pasture Beef'!$D$127,1), "mmmm") &amp; ", " &amp; TEXT(EDATE('Input - Pasture Beef'!$D$127,2), "mmmm") &amp; ", " &amp; TEXT(EDATE('Input - Pasture Beef'!$D$127,3), "mmmm")</f>
        <v>November, December, January</v>
      </c>
      <c r="AA23" s="2"/>
    </row>
    <row r="24" spans="1:36" ht="20.100000000000001" customHeight="1" x14ac:dyDescent="0.25">
      <c r="D24" s="52" t="s">
        <v>175</v>
      </c>
      <c r="E24" s="52" t="str">
        <f>'Input - Pasture Beef'!$E114</f>
        <v>No</v>
      </c>
      <c r="F24" s="52">
        <f>'Input - Pasture Beef'!$F114</f>
        <v>0</v>
      </c>
      <c r="G24" s="52">
        <f>'Input - Pasture Beef'!$G114</f>
        <v>0</v>
      </c>
      <c r="H24" s="52">
        <f>'Input - Pasture Beef'!$H114</f>
        <v>0</v>
      </c>
      <c r="AA24" s="2"/>
    </row>
    <row r="25" spans="1:36" ht="20.100000000000001" customHeight="1" x14ac:dyDescent="0.25">
      <c r="D25" s="52" t="s">
        <v>176</v>
      </c>
      <c r="E25" s="52" t="str">
        <f>'Input - Pasture Beef'!$E112</f>
        <v>Yes</v>
      </c>
      <c r="F25" s="52">
        <f>'Input - Pasture Beef'!$F$111</f>
        <v>0.7</v>
      </c>
      <c r="G25" s="52">
        <f>'Input - Pasture Beef'!$G$111</f>
        <v>0.5</v>
      </c>
      <c r="H25" s="52">
        <f>'Input - Pasture Beef'!$H$111</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TEXT(X_Cell_Site_StartDate,"mmmm")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TEXT(EDATE(X_Cell_Site_StartDate,1),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Beef'!E112="Yes", "Calving season", "")</f>
        <v>Calving season</v>
      </c>
      <c r="F30" s="52" t="str">
        <f>IF('Input - Pasture Beef'!E111="Yes",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TEXT(EDATE(X_Cell_Site_StartDate,2),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Beef'!E113="Yes", "Calving season", "")</f>
        <v>Calving season</v>
      </c>
      <c r="F31" s="52" t="str">
        <f>IF('Input - Pasture Beef'!E112="Yes",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TEXT(EDATE(X_Cell_Site_StartDate,3),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Beef'!E114="Yes", "Calving season", "")</f>
        <v/>
      </c>
      <c r="F32" s="52" t="str">
        <f>IF('Input - Pasture Beef'!E113="Yes",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TEXT(EDATE(X_Cell_Site_StartDate,4),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Beef'!E111="Yes", "Calving season", "")</f>
        <v>Calving season</v>
      </c>
      <c r="F33" s="52" t="str">
        <f>IF('Input - Pasture Beef'!E114="Yes",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TEXT(EDATE(X_Cell_Site_StartDate,5),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TEXT(EDATE(X_Cell_Site_StartDate,6),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TEXT(EDATE(X_Cell_Site_StartDate,7),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TEXT(EDATE(X_Cell_Site_StartDate,8),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TEXT(EDATE(X_Cell_Site_StartDate,9),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TEXT(EDATE(X_Cell_Site_StartDate,10),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TEXT(EDATE(X_Cell_Site_StartDate,11),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TEXT(X_Cell_Site_StartDate,"mmmm")</f>
        <v>January</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TEXT(EDATE(X_Cell_Site_StartDate,1), "mmmm")</f>
        <v>February</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TEXT(EDATE(X_Cell_Site_StartDate,2), "mmmm")</f>
        <v>March</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TEXT(EDATE(X_Cell_Site_StartDate,3), "mmmm")</f>
        <v>April</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TEXT(EDATE(X_Cell_Site_StartDate,4), "mmmm")</f>
        <v>May</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TEXT(EDATE(X_Cell_Site_StartDate,5), "mmmm")</f>
        <v>June</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TEXT(EDATE(X_Cell_Site_StartDate,6), "mmmm")</f>
        <v>July</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TEXT(EDATE(X_Cell_Site_StartDate,7), "mmmm")</f>
        <v>August</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TEXT(EDATE(X_Cell_Site_StartDate,8), "mmmm")</f>
        <v>September</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TEXT(EDATE(X_Cell_Site_StartDate,9), "mmmm")</f>
        <v>October</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TEXT(EDATE(X_Cell_Site_StartDate,10), "mmmm")</f>
        <v>November</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TEXT(EDATE(X_Cell_Site_StartDate,11), "mmmm")</f>
        <v>December</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TEXT(X_Cell_Site_StartDate,"mmmm")</f>
        <v>January</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TEXT(EDATE(X_Cell_Site_StartDate,1), "mmmm")</f>
        <v>February</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TEXT(EDATE(X_Cell_Site_StartDate,2), "mmmm")</f>
        <v>March</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TEXT(EDATE(X_Cell_Site_StartDate,3), "mmmm")</f>
        <v>April</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TEXT(EDATE(X_Cell_Site_StartDate,4), "mmmm")</f>
        <v>May</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TEXT(EDATE(X_Cell_Site_StartDate,5), "mmmm")</f>
        <v>June</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TEXT(EDATE(X_Cell_Site_StartDate,6), "mmmm")</f>
        <v>July</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TEXT(EDATE(X_Cell_Site_StartDate,7), "mmmm")</f>
        <v>August</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TEXT(EDATE(X_Cell_Site_StartDate,8), "mmmm")</f>
        <v>September</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TEXT(EDATE(X_Cell_Site_StartDate,9), "mmmm")</f>
        <v>October</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TEXT(EDATE(X_Cell_Site_StartDate,10), "mmmm")</f>
        <v>November</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TEXT(EDATE(X_Cell_Site_StartDate,11), "mmmm")</f>
        <v>December</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TEXT(X_Cell_Site_StartDate,"mmmm")</f>
        <v>January</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TEXT(EDATE(X_Cell_Site_StartDate,1), "mmmm")</f>
        <v>February</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TEXT(EDATE(X_Cell_Site_StartDate,2), "mmmm")</f>
        <v>March</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TEXT(EDATE(X_Cell_Site_StartDate,3), "mmmm")</f>
        <v>April</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TEXT(EDATE(X_Cell_Site_StartDate,4), "mmmm")</f>
        <v>May</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TEXT(EDATE(X_Cell_Site_StartDate,5), "mmmm")</f>
        <v>June</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TEXT(EDATE(X_Cell_Site_StartDate,6), "mmmm")</f>
        <v>July</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TEXT(EDATE(X_Cell_Site_StartDate,7), "mmmm")</f>
        <v>August</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TEXT(EDATE(X_Cell_Site_StartDate,8), "mmmm")</f>
        <v>September</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TEXT(EDATE(X_Cell_Site_StartDate,9), "mmmm")</f>
        <v>October</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TEXT(EDATE(X_Cell_Site_StartDate,10), "mmmm")</f>
        <v>November</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TEXT(EDATE(X_Cell_Site_StartDate,11), "mmmm")</f>
        <v>December</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SourceData_PastureBeef_AshContentOfFeedIntake_Data</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TEXT(X_Cell_Site_StartDate,"mmmm")</f>
        <v>January</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TEXT(EDATE(X_Cell_Site_StartDate,1), "mmmm")</f>
        <v>February</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TEXT(EDATE(X_Cell_Site_StartDate,2), "mmmm")</f>
        <v>March</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TEXT(EDATE(X_Cell_Site_StartDate,3), "mmmm")</f>
        <v>April</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TEXT(EDATE(X_Cell_Site_StartDate,4), "mmmm")</f>
        <v>May</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TEXT(EDATE(X_Cell_Site_StartDate,5), "mmmm")</f>
        <v>June</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TEXT(EDATE(X_Cell_Site_StartDate,6), "mmmm")</f>
        <v>July</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TEXT(EDATE(X_Cell_Site_StartDate,7), "mmmm")</f>
        <v>August</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TEXT(EDATE(X_Cell_Site_StartDate,8), "mmmm")</f>
        <v>September</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TEXT(EDATE(X_Cell_Site_StartDate,9), "mmmm")</f>
        <v>October</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TEXT(EDATE(X_Cell_Site_StartDate,10), "mmmm")</f>
        <v>November</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TEXT(EDATE(X_Cell_Site_StartDate,11), "mmmm")</f>
        <v>December</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SourceData_PastureBeef_MethaneEmissionsPotential_Data</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Common_SourceData_DensityOfMethane_Data</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Beef'!$D$180</f>
        <v>Pasture range and paddock</v>
      </c>
      <c r="E165" s="52">
        <f>X_Cell_PastureBeef_CalculatedMMSPastureRangeAndPaddock</f>
        <v>0.99621999999999999</v>
      </c>
      <c r="F165" s="2" t="s">
        <v>141</v>
      </c>
    </row>
    <row r="166" spans="4:34" ht="20.100000000000001" customHeight="1" x14ac:dyDescent="0.25">
      <c r="D166" s="52" t="str">
        <f>'Input - Pasture Beef'!$D$181</f>
        <v>Anaerobic lagoon</v>
      </c>
      <c r="E166" s="52">
        <f>X_Cell_PastureBeef_CalculatedMMSAnaerobicLagoon</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Beef'!$D$180</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Beef'!$D$180</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Beef'!$D$181</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Beef'!$D$181</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Beef'!$D$180</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Beef'!$D$180</f>
        <v>Pasture range and paddock</v>
      </c>
      <c r="X177" s="52" t="str">
        <f t="shared" ref="X177:X188" si="7">W131</f>
        <v>January</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Beef'!$D$180</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Beef'!$D$180</f>
        <v>Pasture range and paddock</v>
      </c>
      <c r="X178" s="52" t="str">
        <f t="shared" si="7"/>
        <v>February</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Beef'!$D$180</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Beef'!$D$180</f>
        <v>Pasture range and paddock</v>
      </c>
      <c r="X179" s="52" t="str">
        <f t="shared" si="7"/>
        <v>March</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Beef'!$D$180</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Beef'!$D$180</f>
        <v>Pasture range and paddock</v>
      </c>
      <c r="X180" s="52" t="str">
        <f t="shared" si="7"/>
        <v>April</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Beef'!$D$181</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Beef'!$D$180</f>
        <v>Pasture range and paddock</v>
      </c>
      <c r="X181" s="52" t="str">
        <f t="shared" si="7"/>
        <v>May</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Beef'!$D$181</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Beef'!$D$180</f>
        <v>Pasture range and paddock</v>
      </c>
      <c r="X182" s="52" t="str">
        <f t="shared" si="7"/>
        <v>June</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Beef'!$D$181</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Beef'!$D$180</f>
        <v>Pasture range and paddock</v>
      </c>
      <c r="X183" s="52" t="str">
        <f t="shared" si="7"/>
        <v>July</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Beef'!$D$181</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Beef'!$D$180</f>
        <v>Pasture range and paddock</v>
      </c>
      <c r="X184" s="52" t="str">
        <f t="shared" si="7"/>
        <v>August</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Beef'!$D$180</f>
        <v>Pasture range and paddock</v>
      </c>
      <c r="X185" s="52" t="str">
        <f t="shared" si="7"/>
        <v>September</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Beef'!$D$180</f>
        <v>Pasture range and paddock</v>
      </c>
      <c r="X186" s="52" t="str">
        <f t="shared" si="7"/>
        <v>October</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Beef'!$D$180</f>
        <v>Pasture range and paddock</v>
      </c>
      <c r="X187" s="52" t="str">
        <f t="shared" si="7"/>
        <v>November</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Beef'!$D$180</f>
        <v>Pasture range and paddock</v>
      </c>
      <c r="X188" s="52" t="str">
        <f t="shared" si="7"/>
        <v>December</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Beef'!$D$181</f>
        <v>Anaerobic lagoon</v>
      </c>
      <c r="X189" s="52" t="str">
        <f>W131</f>
        <v>January</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Beef'!$D$181</f>
        <v>Anaerobic lagoon</v>
      </c>
      <c r="X190" s="52" t="str">
        <f t="shared" ref="X190:X200" si="9">W132</f>
        <v>February</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Beef'!$D$181</f>
        <v>Anaerobic lagoon</v>
      </c>
      <c r="X191" s="52" t="str">
        <f t="shared" si="9"/>
        <v>March</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Beef'!$D$181</f>
        <v>Anaerobic lagoon</v>
      </c>
      <c r="X192" s="52" t="str">
        <f t="shared" si="9"/>
        <v>April</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Beef'!$D$181</f>
        <v>Anaerobic lagoon</v>
      </c>
      <c r="X193" s="52" t="str">
        <f t="shared" si="9"/>
        <v>May</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Beef'!$D$181</f>
        <v>Anaerobic lagoon</v>
      </c>
      <c r="X194" s="52" t="str">
        <f t="shared" si="9"/>
        <v>June</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Beef'!$D$181</f>
        <v>Anaerobic lagoon</v>
      </c>
      <c r="X195" s="52" t="str">
        <f t="shared" si="9"/>
        <v>July</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Beef'!$D$181</f>
        <v>Anaerobic lagoon</v>
      </c>
      <c r="X196" s="52" t="str">
        <f t="shared" si="9"/>
        <v>August</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Beef'!$D$181</f>
        <v>Anaerobic lagoon</v>
      </c>
      <c r="X197" s="52" t="str">
        <f t="shared" si="9"/>
        <v>September</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Beef'!$D$181</f>
        <v>Anaerobic lagoon</v>
      </c>
      <c r="X198" s="52" t="str">
        <f t="shared" si="9"/>
        <v>October</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Beef'!$D$181</f>
        <v>Anaerobic lagoon</v>
      </c>
      <c r="X199" s="52" t="str">
        <f t="shared" si="9"/>
        <v>November</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Beef'!$D$181</f>
        <v>Anaerobic lagoon</v>
      </c>
      <c r="X200" s="52" t="str">
        <f t="shared" si="9"/>
        <v>December</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TEXT(X_Cell_Site_StartDate,"mmmm")</f>
        <v>January</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TEXT(EDATE(X_Cell_Site_StartDate,1), "mmmm")</f>
        <v>February</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TEXT(EDATE(X_Cell_Site_StartDate,2), "mmmm")</f>
        <v>March</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TEXT(EDATE(X_Cell_Site_StartDate,3), "mmmm")</f>
        <v>April</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TEXT(EDATE(X_Cell_Site_StartDate,4), "mmmm")</f>
        <v>May</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TEXT(EDATE(X_Cell_Site_StartDate,5), "mmmm")</f>
        <v>June</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TEXT(EDATE(X_Cell_Site_StartDate,6), "mmmm")</f>
        <v>July</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TEXT(EDATE(X_Cell_Site_StartDate,7), "mmmm")</f>
        <v>August</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TEXT(EDATE(X_Cell_Site_StartDate,8), "mmmm")</f>
        <v>September</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TEXT(EDATE(X_Cell_Site_StartDate,9), "mmmm")</f>
        <v>October</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TEXT(EDATE(X_Cell_Site_StartDate,10), "mmmm")</f>
        <v>November</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TEXT(EDATE(X_Cell_Site_StartDate,11), "mmmm")</f>
        <v>December</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Beef'!$D$180</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TEXT(X_Cell_Site_StartDate,"mmmm")</f>
        <v>January</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Beef'!$D$180</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TEXT(EDATE(X_Cell_Site_StartDate,1), "mmmm")</f>
        <v>February</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Beef'!$D$180</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TEXT(EDATE(X_Cell_Site_StartDate,2), "mmmm")</f>
        <v>March</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Beef'!$D$180</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TEXT(EDATE(X_Cell_Site_StartDate,3), "mmmm")</f>
        <v>April</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Beef'!$D$181</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TEXT(EDATE(X_Cell_Site_StartDate,4), "mmmm")</f>
        <v>May</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Beef'!$D$181</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TEXT(EDATE(X_Cell_Site_StartDate,5), "mmmm")</f>
        <v>June</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Beef'!$D$181</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TEXT(EDATE(X_Cell_Site_StartDate,6), "mmmm")</f>
        <v>July</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Beef'!$D$181</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TEXT(EDATE(X_Cell_Site_StartDate,7), "mmmm")</f>
        <v>August</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TEXT(EDATE(X_Cell_Site_StartDate,8), "mmmm")</f>
        <v>September</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TEXT(EDATE(X_Cell_Site_StartDate,9), "mmmm")</f>
        <v>October</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TEXT(EDATE(X_Cell_Site_StartDate,10), "mmmm")</f>
        <v>November</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TEXT(EDATE(X_Cell_Site_StartDate,11), "mmmm")</f>
        <v>December</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Beef'!$D$180</f>
        <v>Pasture range and paddock</v>
      </c>
      <c r="X251" s="52" t="str">
        <f>W235</f>
        <v>January</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Beef'!$D$180</f>
        <v>Pasture range and paddock</v>
      </c>
      <c r="X252" s="52" t="str">
        <f t="shared" ref="X252:X262" si="12">W236</f>
        <v>February</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Beef'!$D$180</f>
        <v>Pasture range and paddock</v>
      </c>
      <c r="X253" s="52" t="str">
        <f t="shared" si="12"/>
        <v>March</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Beef'!$D$180</f>
        <v>Pasture range and paddock</v>
      </c>
      <c r="X254" s="52" t="str">
        <f t="shared" si="12"/>
        <v>April</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Beef'!$D$180</f>
        <v>Pasture range and paddock</v>
      </c>
      <c r="X255" s="52" t="str">
        <f t="shared" si="12"/>
        <v>May</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Beef'!$D$180</f>
        <v>Pasture range and paddock</v>
      </c>
      <c r="X256" s="52" t="str">
        <f t="shared" si="12"/>
        <v>June</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Beef'!$D$180</f>
        <v>Pasture range and paddock</v>
      </c>
      <c r="X257" s="52" t="str">
        <f t="shared" si="12"/>
        <v>July</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Beef'!$D$180</f>
        <v>Pasture range and paddock</v>
      </c>
      <c r="X258" s="52" t="str">
        <f t="shared" si="12"/>
        <v>August</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Beef'!$D$180</f>
        <v>Pasture range and paddock</v>
      </c>
      <c r="X259" s="52" t="str">
        <f t="shared" si="12"/>
        <v>September</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Beef'!$D$180</f>
        <v>Pasture range and paddock</v>
      </c>
      <c r="X260" s="52" t="str">
        <f t="shared" si="12"/>
        <v>October</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Beef'!$D$180</f>
        <v>Pasture range and paddock</v>
      </c>
      <c r="X261" s="52" t="str">
        <f t="shared" si="12"/>
        <v>November</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Beef'!$D$180</f>
        <v>Pasture range and paddock</v>
      </c>
      <c r="X262" s="52" t="str">
        <f t="shared" si="12"/>
        <v>December</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Beef'!$D$181</f>
        <v>Anaerobic lagoon</v>
      </c>
      <c r="X263" s="52" t="str">
        <f>W235</f>
        <v>January</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Beef'!$D$181</f>
        <v>Anaerobic lagoon</v>
      </c>
      <c r="X264" s="52" t="str">
        <f t="shared" ref="X264:X274" si="13">W236</f>
        <v>February</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Beef'!$D$181</f>
        <v>Anaerobic lagoon</v>
      </c>
      <c r="X265" s="52" t="str">
        <f t="shared" si="13"/>
        <v>March</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Beef'!$D$181</f>
        <v>Anaerobic lagoon</v>
      </c>
      <c r="X266" s="52" t="str">
        <f t="shared" si="13"/>
        <v>April</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Beef'!$D$181</f>
        <v>Anaerobic lagoon</v>
      </c>
      <c r="X267" s="52" t="str">
        <f t="shared" si="13"/>
        <v>May</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Beef'!$D$181</f>
        <v>Anaerobic lagoon</v>
      </c>
      <c r="X268" s="52" t="str">
        <f t="shared" si="13"/>
        <v>June</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Beef'!$D$181</f>
        <v>Anaerobic lagoon</v>
      </c>
      <c r="X269" s="52" t="str">
        <f t="shared" si="13"/>
        <v>July</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Beef'!$D$181</f>
        <v>Anaerobic lagoon</v>
      </c>
      <c r="X270" s="52" t="str">
        <f t="shared" si="13"/>
        <v>August</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Beef'!$D$181</f>
        <v>Anaerobic lagoon</v>
      </c>
      <c r="X271" s="52" t="str">
        <f t="shared" si="13"/>
        <v>September</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Beef'!$D$181</f>
        <v>Anaerobic lagoon</v>
      </c>
      <c r="X272" s="52" t="str">
        <f t="shared" si="13"/>
        <v>October</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Beef'!$D$181</f>
        <v>Anaerobic lagoon</v>
      </c>
      <c r="X273" s="52" t="str">
        <f t="shared" si="13"/>
        <v>November</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Beef'!$D$181</f>
        <v>Anaerobic lagoon</v>
      </c>
      <c r="X274" s="52" t="str">
        <f t="shared" si="13"/>
        <v>December</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U108" sqref="U10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X_Cell_Site_State</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TEXT(X_Cell_Site_StartDate,"mmmm")</f>
        <v>January</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TEXT(EDATE(X_Cell_Site_StartDate,1), "mmmm")</f>
        <v>February</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TEXT(EDATE(X_Cell_Site_StartDate,2), "mmmm")</f>
        <v>March</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TEXT(EDATE(X_Cell_Site_StartDate,3), "mmmm")</f>
        <v>April</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TEXT(EDATE(X_Cell_Site_StartDate,4), "mmmm")</f>
        <v>May</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TEXT(EDATE(X_Cell_Site_StartDate,5), "mmmm")</f>
        <v>June</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TEXT(EDATE(X_Cell_Site_StartDate,6), "mmmm")</f>
        <v>July</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TEXT(EDATE(X_Cell_Site_StartDate,7), "mmmm")</f>
        <v>August</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TEXT(EDATE(X_Cell_Site_StartDate,8), "mmmm")</f>
        <v>September</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TEXT(EDATE(X_Cell_Site_StartDate,9), "mmmm")</f>
        <v>October</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TEXT(EDATE(X_Cell_Site_StartDate,10), "mmmm")</f>
        <v>November</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TEXT(EDATE(X_Cell_Site_StartDate,11), "mmmm")</f>
        <v>December</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TEXT(X_Cell_Site_StartDate,"mmmm")</f>
        <v>January</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TEXT(EDATE(X_Cell_Site_StartDate,1), "mmmm")</f>
        <v>February</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TEXT(EDATE(X_Cell_Site_StartDate,2), "mmmm")</f>
        <v>March</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TEXT(EDATE(X_Cell_Site_StartDate,3), "mmmm")</f>
        <v>April</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TEXT(EDATE(X_Cell_Site_StartDate,4), "mmmm")</f>
        <v>May</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TEXT(EDATE(X_Cell_Site_StartDate,5), "mmmm")</f>
        <v>June</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TEXT(EDATE(X_Cell_Site_StartDate,6), "mmmm")</f>
        <v>July</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TEXT(EDATE(X_Cell_Site_StartDate,7), "mmmm")</f>
        <v>August</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TEXT(EDATE(X_Cell_Site_StartDate,8), "mmmm")</f>
        <v>September</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TEXT(EDATE(X_Cell_Site_StartDate,9), "mmmm")</f>
        <v>October</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TEXT(EDATE(X_Cell_Site_StartDate,10), "mmmm")</f>
        <v>November</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TEXT(EDATE(X_Cell_Site_StartDate,11), "mmmm")</f>
        <v>December</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TEXT(X_Cell_Site_StartDate,"mmmm")</f>
        <v>January</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TEXT(EDATE(X_Cell_Site_StartDate,1), "mmmm")</f>
        <v>February</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TEXT(EDATE(X_Cell_Site_StartDate,2), "mmmm")</f>
        <v>March</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TEXT(EDATE(X_Cell_Site_StartDate,3), "mmmm")</f>
        <v>April</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TEXT(EDATE(X_Cell_Site_StartDate,4), "mmmm")</f>
        <v>May</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TEXT(EDATE(X_Cell_Site_StartDate,5), "mmmm")</f>
        <v>June</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TEXT(EDATE(X_Cell_Site_StartDate,6), "mmmm")</f>
        <v>July</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TEXT(EDATE(X_Cell_Site_StartDate,7), "mmmm")</f>
        <v>August</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TEXT(EDATE(X_Cell_Site_StartDate,8), "mmmm")</f>
        <v>September</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TEXT(EDATE(X_Cell_Site_StartDate,9), "mmmm")</f>
        <v>October</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TEXT(EDATE(X_Cell_Site_StartDate,10), "mmmm")</f>
        <v>November</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TEXT(EDATE(X_Cell_Site_StartDate,11), "mmmm")</f>
        <v>December</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TEXT(X_Cell_Site_StartDate,"mmmm")</f>
        <v>January</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TEXT(EDATE(X_Cell_Site_StartDate,1), "mmmm")</f>
        <v>February</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TEXT(EDATE(X_Cell_Site_StartDate,2), "mmmm")</f>
        <v>March</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TEXT(EDATE(X_Cell_Site_StartDate,3), "mmmm")</f>
        <v>April</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TEXT(EDATE(X_Cell_Site_StartDate,4), "mmmm")</f>
        <v>May</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TEXT(EDATE(X_Cell_Site_StartDate,5), "mmmm")</f>
        <v>June</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TEXT(EDATE(X_Cell_Site_StartDate,6), "mmmm")</f>
        <v>July</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TEXT(EDATE(X_Cell_Site_StartDate,7), "mmmm")</f>
        <v>August</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TEXT(EDATE(X_Cell_Site_StartDate,8), "mmmm")</f>
        <v>September</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TEXT(EDATE(X_Cell_Site_StartDate,9), "mmmm")</f>
        <v>October</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TEXT(EDATE(X_Cell_Site_StartDate,10), "mmmm")</f>
        <v>November</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TEXT(EDATE(X_Cell_Site_StartDate,11), "mmmm")</f>
        <v>December</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Beef'!$E$105</f>
        <v>Winter</v>
      </c>
      <c r="E87" s="52">
        <f>'Input - Pasture Beef'!$F$111</f>
        <v>0.7</v>
      </c>
      <c r="F87" s="52">
        <f>'Input - Pasture Beef'!$G$111</f>
        <v>0.5</v>
      </c>
      <c r="G87" s="52">
        <f>'Input - Pasture Beef'!$H$111</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Beef'!$D$125,0), "mmmm") &amp; ", " &amp; TEXT(EDATE('Input - Pasture Beef'!$D$126,0), "mmmm") &amp; ", " &amp; TEXT(EDATE('Input - Pasture Beef'!$D$127,0), "mmmm")</f>
        <v>August, September, October</v>
      </c>
      <c r="V92" s="52">
        <f>'Input - Pasture Beef'!$E$128</f>
        <v>0.75</v>
      </c>
      <c r="W92" s="52">
        <f>'Input - Pasture Beef'!$F$128</f>
        <v>0.75</v>
      </c>
      <c r="X92" s="52">
        <f>'Input - Pasture Beef'!$G$128</f>
        <v>0.75</v>
      </c>
      <c r="Y92" s="2" t="s">
        <v>100</v>
      </c>
    </row>
    <row r="93" spans="4:35" ht="20.100000000000001" customHeight="1" x14ac:dyDescent="0.25">
      <c r="D93" s="97" t="s">
        <v>135</v>
      </c>
      <c r="U93" s="52" t="str">
        <f>TEXT(EDATE('Input - Pasture Beef'!$D$127,1), "mmmm") &amp; ", " &amp; TEXT(EDATE('Input - Pasture Beef'!$D$127,2), "mmmm") &amp; ", " &amp; TEXT(EDATE('Input - Pasture Beef'!$D$127,3),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TEXT(X_Cell_Site_StartDate,"mmmm")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TEXT(EDATE(X_Cell_Site_StartDate,1),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TEXT(EDATE(X_Cell_Site_StartDate,2),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TEXT(EDATE(X_Cell_Site_StartDate,3),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TEXT(EDATE(X_Cell_Site_StartDate,4),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TEXT(EDATE(X_Cell_Site_StartDate,5),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TEXT(EDATE(X_Cell_Site_StartDate,6),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TEXT(EDATE(X_Cell_Site_StartDate,7),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TEXT(EDATE(X_Cell_Site_StartDate,8),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TEXT(EDATE(X_Cell_Site_StartDate,9),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TEXT(EDATE(X_Cell_Site_StartDate,10),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TEXT(EDATE(X_Cell_Site_StartDate,11),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TEXT(X_Cell_Site_StartDate,"mmmm")</f>
        <v>January</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TEXT(EDATE(X_Cell_Site_StartDate,1), "mmmm")</f>
        <v>February</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TEXT(EDATE(X_Cell_Site_StartDate,2), "mmmm")</f>
        <v>March</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TEXT(EDATE(X_Cell_Site_StartDate,3), "mmmm")</f>
        <v>April</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TEXT(EDATE(X_Cell_Site_StartDate,4), "mmmm")</f>
        <v>May</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TEXT(EDATE(X_Cell_Site_StartDate,5), "mmmm")</f>
        <v>June</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TEXT(EDATE(X_Cell_Site_StartDate,6), "mmmm")</f>
        <v>July</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TEXT(EDATE(X_Cell_Site_StartDate,7), "mmmm")</f>
        <v>August</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TEXT(EDATE(X_Cell_Site_StartDate,8), "mmmm")</f>
        <v>September</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TEXT(EDATE(X_Cell_Site_StartDate,9), "mmmm")</f>
        <v>October</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TEXT(EDATE(X_Cell_Site_StartDate,10), "mmmm")</f>
        <v>November</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TEXT(EDATE(X_Cell_Site_StartDate,11), "mmmm")</f>
        <v>December</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TEXT(X_Cell_Site_StartDate,"mmmm")</f>
        <v>January</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TEXT(EDATE(X_Cell_Site_StartDate,1), "mmmm")</f>
        <v>February</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TEXT(EDATE(X_Cell_Site_StartDate,2), "mmmm")</f>
        <v>March</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TEXT(EDATE(X_Cell_Site_StartDate,3), "mmmm")</f>
        <v>April</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TEXT(EDATE(X_Cell_Site_StartDate,4), "mmmm")</f>
        <v>May</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TEXT(EDATE(X_Cell_Site_StartDate,5), "mmmm")</f>
        <v>June</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TEXT(EDATE(X_Cell_Site_StartDate,6), "mmmm")</f>
        <v>July</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TEXT(EDATE(X_Cell_Site_StartDate,7), "mmmm")</f>
        <v>August</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TEXT(EDATE(X_Cell_Site_StartDate,8), "mmmm")</f>
        <v>September</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TEXT(EDATE(X_Cell_Site_StartDate,9), "mmmm")</f>
        <v>October</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TEXT(EDATE(X_Cell_Site_StartDate,10), "mmmm")</f>
        <v>November</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TEXT(EDATE(X_Cell_Site_StartDate,11), "mmmm")</f>
        <v>December</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Beef'!$E$105</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TEXT(X_Cell_Site_StartDate,"mmmm")</f>
        <v>January</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TEXT(EDATE(X_Cell_Site_StartDate,1), "mmmm")</f>
        <v>February</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TEXT(EDATE(X_Cell_Site_StartDate,2), "mmmm")</f>
        <v>March</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TEXT(EDATE(X_Cell_Site_StartDate,3), "mmmm")</f>
        <v>April</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TEXT(EDATE(X_Cell_Site_StartDate,4), "mmmm")</f>
        <v>May</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TEXT(EDATE(X_Cell_Site_StartDate,5), "mmmm")</f>
        <v>June</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TEXT(EDATE(X_Cell_Site_StartDate,6), "mmmm")</f>
        <v>July</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TEXT(EDATE(X_Cell_Site_StartDate,7), "mmmm")</f>
        <v>August</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TEXT(EDATE(X_Cell_Site_StartDate,8), "mmmm")</f>
        <v>September</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TEXT(EDATE(X_Cell_Site_StartDate,9), "mmmm")</f>
        <v>October</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TEXT(EDATE(X_Cell_Site_StartDate,10), "mmmm")</f>
        <v>November</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TEXT(EDATE(X_Cell_Site_StartDate,11), "mmmm")</f>
        <v>December</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TEXT(X_Cell_Site_StartDate,"mmmm")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TEXT(EDATE(X_Cell_Site_StartDate,1),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TEXT(EDATE(X_Cell_Site_StartDate,2),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TEXT(EDATE(X_Cell_Site_StartDate,3),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TEXT(EDATE(X_Cell_Site_StartDate,4),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TEXT(EDATE(X_Cell_Site_StartDate,5),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TEXT(EDATE(X_Cell_Site_StartDate,6),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TEXT(EDATE(X_Cell_Site_StartDate,7),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TEXT(EDATE(X_Cell_Site_StartDate,8),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TEXT(EDATE(X_Cell_Site_StartDate,9),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TEXT(EDATE(X_Cell_Site_StartDate,10),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TEXT(EDATE(X_Cell_Site_StartDate,11),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TEXT(X_Cell_Site_StartDate,"mmmm")</f>
        <v>January</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TEXT(EDATE(X_Cell_Site_StartDate,1), "mmmm")</f>
        <v>February</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TEXT(EDATE(X_Cell_Site_StartDate,2), "mmmm")</f>
        <v>March</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TEXT(EDATE(X_Cell_Site_StartDate,3), "mmmm")</f>
        <v>April</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TEXT(EDATE(X_Cell_Site_StartDate,4), "mmmm")</f>
        <v>May</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TEXT(EDATE(X_Cell_Site_StartDate,5), "mmmm")</f>
        <v>June</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TEXT(EDATE(X_Cell_Site_StartDate,6), "mmmm")</f>
        <v>July</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TEXT(EDATE(X_Cell_Site_StartDate,7), "mmmm")</f>
        <v>August</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TEXT(EDATE(X_Cell_Site_StartDate,8), "mmmm")</f>
        <v>September</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TEXT(EDATE(X_Cell_Site_StartDate,9), "mmmm")</f>
        <v>October</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TEXT(EDATE(X_Cell_Site_StartDate,10), "mmmm")</f>
        <v>November</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TEXT(EDATE(X_Cell_Site_StartDate,11), "mmmm")</f>
        <v>December</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TEXT(X_Cell_Site_StartDate,"mmmm")</f>
        <v>January</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TEXT(EDATE(X_Cell_Site_StartDate,1), "mmmm")</f>
        <v>February</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TEXT(EDATE(X_Cell_Site_StartDate,2), "mmmm")</f>
        <v>March</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TEXT(EDATE(X_Cell_Site_StartDate,3), "mmmm")</f>
        <v>April</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TEXT(EDATE(X_Cell_Site_StartDate,4), "mmmm")</f>
        <v>May</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TEXT(EDATE(X_Cell_Site_StartDate,5), "mmmm")</f>
        <v>June</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TEXT(EDATE(X_Cell_Site_StartDate,6), "mmmm")</f>
        <v>July</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TEXT(EDATE(X_Cell_Site_StartDate,7), "mmmm")</f>
        <v>August</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TEXT(EDATE(X_Cell_Site_StartDate,8), "mmmm")</f>
        <v>September</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TEXT(EDATE(X_Cell_Site_StartDate,9), "mmmm")</f>
        <v>October</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TEXT(EDATE(X_Cell_Site_StartDate,10), "mmmm")</f>
        <v>November</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TEXT(EDATE(X_Cell_Site_StartDate,11), "mmmm")</f>
        <v>December</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TEXT(X_Cell_Site_StartDate,"mmmm")</f>
        <v>January</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TEXT(EDATE(X_Cell_Site_StartDate,1), "mmmm")</f>
        <v>February</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TEXT(EDATE(X_Cell_Site_StartDate,2), "mmmm")</f>
        <v>March</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TEXT(EDATE(X_Cell_Site_StartDate,3), "mmmm")</f>
        <v>April</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TEXT(EDATE(X_Cell_Site_StartDate,4), "mmmm")</f>
        <v>May</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TEXT(EDATE(X_Cell_Site_StartDate,5), "mmmm")</f>
        <v>June</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TEXT(EDATE(X_Cell_Site_StartDate,6), "mmmm")</f>
        <v>July</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TEXT(EDATE(X_Cell_Site_StartDate,7), "mmmm")</f>
        <v>August</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TEXT(EDATE(X_Cell_Site_StartDate,8), "mmmm")</f>
        <v>September</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TEXT(EDATE(X_Cell_Site_StartDate,9), "mmmm")</f>
        <v>October</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TEXT(EDATE(X_Cell_Site_StartDate,10), "mmmm")</f>
        <v>November</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TEXT(EDATE(X_Cell_Site_StartDate,11), "mmmm")</f>
        <v>December</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TEXT(X_Cell_Site_StartDate,"mmmm")</f>
        <v>January</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TEXT(EDATE(X_Cell_Site_StartDate,1), "mmmm")</f>
        <v>February</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TEXT(EDATE(X_Cell_Site_StartDate,2), "mmmm")</f>
        <v>March</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TEXT(EDATE(X_Cell_Site_StartDate,3), "mmmm")</f>
        <v>April</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TEXT(EDATE(X_Cell_Site_StartDate,4), "mmmm")</f>
        <v>May</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TEXT(EDATE(X_Cell_Site_StartDate,5), "mmmm")</f>
        <v>June</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TEXT(EDATE(X_Cell_Site_StartDate,6), "mmmm")</f>
        <v>July</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TEXT(EDATE(X_Cell_Site_StartDate,7), "mmmm")</f>
        <v>August</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TEXT(EDATE(X_Cell_Site_StartDate,8), "mmmm")</f>
        <v>September</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TEXT(EDATE(X_Cell_Site_StartDate,9), "mmmm")</f>
        <v>October</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TEXT(EDATE(X_Cell_Site_StartDate,10), "mmmm")</f>
        <v>November</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TEXT(EDATE(X_Cell_Site_StartDate,11), "mmmm")</f>
        <v>December</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workbookViewId="0">
      <selection activeCell="S28" sqref="S2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VEERG_4_2_1_3__2_TotalNitrogenExcretedToPastureRangeAndPaddock_Result_Method1</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VEERG_4_2_1_3__2_TotalNitrogenExcretedToPastureRangeAndPaddock_Result_Method2</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SourceData_PastureBeef_FracGASMSoil_Data</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1" workbookViewId="0">
      <selection activeCell="I18" sqref="I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VEERG_4_2_1_3__2_TotalNitrogenExcretedToPastureRangeAndPaddock_Result_Method1</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VEERG_4_2_1_3__2_TotalNitrogenExcretedToPastureRangeAndPaddock_Result_Method2</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SourceData_PastureBeef_FracLEACH_Data</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436" zoomScale="70" zoomScaleNormal="70" workbookViewId="0">
      <selection activeCell="D444" sqref="D444"/>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O17" s="1" t="s">
        <v>377</v>
      </c>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O18" s="37" t="s">
        <v>378</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c r="O19" t="s">
        <v>131</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O20" t="s">
        <v>130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c r="O21" t="s">
        <v>165</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O22" t="s">
        <v>166</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O23" t="s">
        <v>167</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c r="O24" t="s">
        <v>168</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O25" t="s">
        <v>169</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c r="O26" t="s">
        <v>170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O27" t="s">
        <v>171</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O28" t="s">
        <v>172</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c r="O31" s="1" t="s">
        <v>390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c r="O32" s="37" t="s">
        <v>183</v>
      </c>
      <c r="P32" s="37" t="s">
        <v>397</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c r="O33" s="37" t="s">
        <v>83</v>
      </c>
      <c r="P33" s="37" t="s">
        <v>84</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c r="O34" s="37" t="s">
        <v>84</v>
      </c>
      <c r="P34" s="37" t="s">
        <v>84</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c r="O35" s="37" t="s">
        <v>87</v>
      </c>
      <c r="P35" s="37" t="s">
        <v>87</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c r="O36" s="37" t="s">
        <v>88</v>
      </c>
      <c r="P36" s="37" t="s">
        <v>88</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c r="O37" s="37" t="s">
        <v>89</v>
      </c>
      <c r="P37" s="37" t="s">
        <v>89</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c r="O38" s="37" t="s">
        <v>389</v>
      </c>
      <c r="P38" s="37" t="s">
        <v>90</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c r="O39" s="37" t="s">
        <v>398</v>
      </c>
      <c r="P39" s="37" t="s">
        <v>90</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c r="O40" s="37" t="s">
        <v>388</v>
      </c>
      <c r="P40" s="37" t="s">
        <v>90</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c r="O41" s="37" t="s">
        <v>399</v>
      </c>
      <c r="P41" s="37" t="s">
        <v>85</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c r="O42" s="37" t="s">
        <v>400</v>
      </c>
      <c r="P42" s="37" t="s">
        <v>85</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c r="O43" s="37" t="s">
        <v>401</v>
      </c>
      <c r="P43" s="37" t="s">
        <v>85</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c r="O44" s="37" t="s">
        <v>402</v>
      </c>
      <c r="P44" s="37" t="s">
        <v>86</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c r="O45" s="37" t="s">
        <v>403</v>
      </c>
      <c r="P45" s="37" t="s">
        <v>86</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c r="O46" s="37" t="s">
        <v>404</v>
      </c>
      <c r="P46" s="37" t="s">
        <v>86</v>
      </c>
    </row>
    <row r="47" spans="4:16" ht="20.100000000000001" customHeight="1" x14ac:dyDescent="0.25">
      <c r="M47" s="1"/>
      <c r="O47" s="37" t="s">
        <v>405</v>
      </c>
      <c r="P47" s="37" t="s">
        <v>86</v>
      </c>
    </row>
    <row r="48" spans="4:16" ht="20.100000000000001" customHeight="1" x14ac:dyDescent="0.25">
      <c r="M48" s="1"/>
      <c r="O48" s="1" t="s">
        <v>361</v>
      </c>
      <c r="P48" s="1" t="s">
        <v>361</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ht="15" customHeight="1" x14ac:dyDescent="0.25">
      <c r="D442" s="37" t="s">
        <v>391</v>
      </c>
      <c r="E442" s="37" t="s">
        <v>392</v>
      </c>
      <c r="F442" s="37" t="s">
        <v>393</v>
      </c>
      <c r="G442" s="37" t="s">
        <v>394</v>
      </c>
      <c r="H442" s="37" t="s">
        <v>395</v>
      </c>
      <c r="I442" s="37" t="s">
        <v>396</v>
      </c>
      <c r="M442" s="1"/>
    </row>
    <row r="443" spans="4:13" x14ac:dyDescent="0.25">
      <c r="D443" s="37" t="str" cm="1">
        <f t="array" ref="D443">Common_InputFunctions.Utility_DisplayArrayInTable(Scope3_SourceData.Scope3_Livestock_Data(), Table_SourceData_Scope3_Animals[[#Headers],[Category]], 0, 2)</f>
        <v>Beef cattle</v>
      </c>
      <c r="E443" s="37" t="str" cm="1">
        <f t="array" ref="E443">Common_InputFunctions.Utility_DisplayArrayInTable(Scope3_SourceData.Scope3_Livestock_Data(), Table_SourceData_Scope3_Animals[[#Headers],[Category]], 0, 2)</f>
        <v>Cattle, for manufacturing beef</v>
      </c>
      <c r="F443" s="37" t="str" cm="1">
        <f t="array" ref="F443">Common_InputFunctions.Utility_DisplayArrayInTable(Scope3_SourceData.Scope3_Livestock_Data(), Table_SourceData_Scope3_Animals[[#Headers],[Category]], 0, 2)</f>
        <v>Australia</v>
      </c>
      <c r="G443" s="37" t="str" cm="1">
        <f t="array" ref="G443">Common_InputFunctions.Utility_DisplayArrayInTable(Scope3_SourceData.Scope3_Livestock_Data(), Table_SourceData_Scope3_Animals[[#Headers],[Category]], 0, 2)</f>
        <v>kg liveweight</v>
      </c>
      <c r="H443" s="37" cm="1">
        <f t="array" ref="H443">Common_InputFunctions.Utility_DisplayArrayInTable(Scope3_SourceData.Scope3_Livestock_Data(), Table_SourceData_Scope3_Animals[[#Headers],[Category]], 0, 2)</f>
        <v>11</v>
      </c>
      <c r="I443" s="37" t="str" cm="1">
        <f t="array" ref="I443">Common_InputFunctions.Utility_DisplayArrayInTable(Scope3_SourceData.Scope3_Livestock_Data(), Table_SourceData_Scope3_Animals[[#Headers],[Category]], 0, 2)</f>
        <v>at market</v>
      </c>
      <c r="M443" s="1"/>
    </row>
    <row r="444" spans="4:13" x14ac:dyDescent="0.25">
      <c r="D444" s="37" t="str" cm="1">
        <f t="array" ref="D444">Common_InputFunctions.Utility_DisplayArrayInTable(Scope3_SourceData.Scope3_Livestock_Data(), Table_SourceData_Scope3_Animals[[#Headers],[Category]], 0, 2)</f>
        <v>Beef cattle</v>
      </c>
      <c r="E444" s="37" t="str" cm="1">
        <f t="array" ref="E444">Common_InputFunctions.Utility_DisplayArrayInTable(Scope3_SourceData.Scope3_Livestock_Data(), Table_SourceData_Scope3_Animals[[#Headers],[Category]], 0, 2)</f>
        <v>Cattle, for manufacturing beef</v>
      </c>
      <c r="F444" s="37" t="str" cm="1">
        <f t="array" ref="F444">Common_InputFunctions.Utility_DisplayArrayInTable(Scope3_SourceData.Scope3_Livestock_Data(), Table_SourceData_Scope3_Animals[[#Headers],[Category]], 0, 2)</f>
        <v>NSW</v>
      </c>
      <c r="G444" s="37" t="str" cm="1">
        <f t="array" ref="G444">Common_InputFunctions.Utility_DisplayArrayInTable(Scope3_SourceData.Scope3_Livestock_Data(), Table_SourceData_Scope3_Animals[[#Headers],[Category]], 0, 2)</f>
        <v>kg liveweight</v>
      </c>
      <c r="H444" s="37" cm="1">
        <f t="array" ref="H444">Common_InputFunctions.Utility_DisplayArrayInTable(Scope3_SourceData.Scope3_Livestock_Data(), Table_SourceData_Scope3_Animals[[#Headers],[Category]], 0, 2)</f>
        <v>8.2100000000000009</v>
      </c>
      <c r="I444" s="37" t="str" cm="1">
        <f t="array" ref="I444">Common_InputFunctions.Utility_DisplayArrayInTable(Scope3_SourceData.Scope3_Livestock_Data(), Table_SourceData_Scope3_Animals[[#Headers],[Category]], 0, 2)</f>
        <v>at market</v>
      </c>
      <c r="M444" s="1"/>
    </row>
    <row r="445" spans="4:13" x14ac:dyDescent="0.25">
      <c r="D445" s="37" t="str" cm="1">
        <f t="array" ref="D445">Common_InputFunctions.Utility_DisplayArrayInTable(Scope3_SourceData.Scope3_Livestock_Data(), Table_SourceData_Scope3_Animals[[#Headers],[Category]], 0, 2)</f>
        <v>Beef cattle</v>
      </c>
      <c r="E445" s="37" t="str" cm="1">
        <f t="array" ref="E445">Common_InputFunctions.Utility_DisplayArrayInTable(Scope3_SourceData.Scope3_Livestock_Data(), Table_SourceData_Scope3_Animals[[#Headers],[Category]], 0, 2)</f>
        <v>Cattle, for manufacturing beef</v>
      </c>
      <c r="F445" s="37" t="str" cm="1">
        <f t="array" ref="F445">Common_InputFunctions.Utility_DisplayArrayInTable(Scope3_SourceData.Scope3_Livestock_Data(), Table_SourceData_Scope3_Animals[[#Headers],[Category]], 0, 2)</f>
        <v>NT</v>
      </c>
      <c r="G445" s="37" t="str" cm="1">
        <f t="array" ref="G445">Common_InputFunctions.Utility_DisplayArrayInTable(Scope3_SourceData.Scope3_Livestock_Data(), Table_SourceData_Scope3_Animals[[#Headers],[Category]], 0, 2)</f>
        <v>kg liveweight</v>
      </c>
      <c r="H445" s="37" cm="1">
        <f t="array" ref="H445">Common_InputFunctions.Utility_DisplayArrayInTable(Scope3_SourceData.Scope3_Livestock_Data(), Table_SourceData_Scope3_Animals[[#Headers],[Category]], 0, 2)</f>
        <v>12.2</v>
      </c>
      <c r="I445" s="37" t="str" cm="1">
        <f t="array" ref="I445">Common_InputFunctions.Utility_DisplayArrayInTable(Scope3_SourceData.Scope3_Livestock_Data(), Table_SourceData_Scope3_Animals[[#Headers],[Category]], 0, 2)</f>
        <v>at market</v>
      </c>
      <c r="M445" s="1"/>
    </row>
    <row r="446" spans="4:13" x14ac:dyDescent="0.25">
      <c r="D446" s="37" t="str" cm="1">
        <f t="array" ref="D446">Common_InputFunctions.Utility_DisplayArrayInTable(Scope3_SourceData.Scope3_Livestock_Data(), Table_SourceData_Scope3_Animals[[#Headers],[Category]], 0, 2)</f>
        <v>Beef cattle</v>
      </c>
      <c r="E446" s="37" t="str" cm="1">
        <f t="array" ref="E446">Common_InputFunctions.Utility_DisplayArrayInTable(Scope3_SourceData.Scope3_Livestock_Data(), Table_SourceData_Scope3_Animals[[#Headers],[Category]], 0, 2)</f>
        <v>Cattle, for manufacturing beef</v>
      </c>
      <c r="F446" s="37" t="str" cm="1">
        <f t="array" ref="F446">Common_InputFunctions.Utility_DisplayArrayInTable(Scope3_SourceData.Scope3_Livestock_Data(), Table_SourceData_Scope3_Animals[[#Headers],[Category]], 0, 2)</f>
        <v>QLD</v>
      </c>
      <c r="G446" s="37" t="str" cm="1">
        <f t="array" ref="G446">Common_InputFunctions.Utility_DisplayArrayInTable(Scope3_SourceData.Scope3_Livestock_Data(), Table_SourceData_Scope3_Animals[[#Headers],[Category]], 0, 2)</f>
        <v>kg liveweight</v>
      </c>
      <c r="H446" s="37" cm="1">
        <f t="array" ref="H446">Common_InputFunctions.Utility_DisplayArrayInTable(Scope3_SourceData.Scope3_Livestock_Data(), Table_SourceData_Scope3_Animals[[#Headers],[Category]], 0, 2)</f>
        <v>10.9</v>
      </c>
      <c r="I446" s="37" t="str" cm="1">
        <f t="array" ref="I446">Common_InputFunctions.Utility_DisplayArrayInTable(Scope3_SourceData.Scope3_Livestock_Data(), Table_SourceData_Scope3_Animals[[#Headers],[Category]], 0, 2)</f>
        <v>at market</v>
      </c>
      <c r="M446" s="1"/>
    </row>
    <row r="447" spans="4:13" x14ac:dyDescent="0.25">
      <c r="D447" s="37" t="str" cm="1">
        <f t="array" ref="D447">Common_InputFunctions.Utility_DisplayArrayInTable(Scope3_SourceData.Scope3_Livestock_Data(), Table_SourceData_Scope3_Animals[[#Headers],[Category]], 0, 2)</f>
        <v>Beef cattle</v>
      </c>
      <c r="E447" s="37" t="str" cm="1">
        <f t="array" ref="E447">Common_InputFunctions.Utility_DisplayArrayInTable(Scope3_SourceData.Scope3_Livestock_Data(), Table_SourceData_Scope3_Animals[[#Headers],[Category]], 0, 2)</f>
        <v>Cattle, for manufacturing beef</v>
      </c>
      <c r="F447" s="37" t="str" cm="1">
        <f t="array" ref="F447">Common_InputFunctions.Utility_DisplayArrayInTable(Scope3_SourceData.Scope3_Livestock_Data(), Table_SourceData_Scope3_Animals[[#Headers],[Category]], 0, 2)</f>
        <v>SA</v>
      </c>
      <c r="G447" s="37" t="str" cm="1">
        <f t="array" ref="G447">Common_InputFunctions.Utility_DisplayArrayInTable(Scope3_SourceData.Scope3_Livestock_Data(), Table_SourceData_Scope3_Animals[[#Headers],[Category]], 0, 2)</f>
        <v>kg liveweight</v>
      </c>
      <c r="H447" s="37" cm="1">
        <f t="array" ref="H447">Common_InputFunctions.Utility_DisplayArrayInTable(Scope3_SourceData.Scope3_Livestock_Data(), Table_SourceData_Scope3_Animals[[#Headers],[Category]], 0, 2)</f>
        <v>7.63</v>
      </c>
      <c r="I447" s="37" t="str" cm="1">
        <f t="array" ref="I447">Common_InputFunctions.Utility_DisplayArrayInTable(Scope3_SourceData.Scope3_Livestock_Data(), Table_SourceData_Scope3_Animals[[#Headers],[Category]], 0, 2)</f>
        <v>at market</v>
      </c>
      <c r="M447" s="1"/>
    </row>
    <row r="448" spans="4:13" x14ac:dyDescent="0.25">
      <c r="D448" s="37" t="str" cm="1">
        <f t="array" ref="D448">Common_InputFunctions.Utility_DisplayArrayInTable(Scope3_SourceData.Scope3_Livestock_Data(), Table_SourceData_Scope3_Animals[[#Headers],[Category]], 0, 2)</f>
        <v>Beef cattle</v>
      </c>
      <c r="E448" s="37" t="str" cm="1">
        <f t="array" ref="E448">Common_InputFunctions.Utility_DisplayArrayInTable(Scope3_SourceData.Scope3_Livestock_Data(), Table_SourceData_Scope3_Animals[[#Headers],[Category]], 0, 2)</f>
        <v>Cattle, for manufacturing beef</v>
      </c>
      <c r="F448" s="37" t="str" cm="1">
        <f t="array" ref="F448">Common_InputFunctions.Utility_DisplayArrayInTable(Scope3_SourceData.Scope3_Livestock_Data(), Table_SourceData_Scope3_Animals[[#Headers],[Category]], 0, 2)</f>
        <v>TAS</v>
      </c>
      <c r="G448" s="37" t="str" cm="1">
        <f t="array" ref="G448">Common_InputFunctions.Utility_DisplayArrayInTable(Scope3_SourceData.Scope3_Livestock_Data(), Table_SourceData_Scope3_Animals[[#Headers],[Category]], 0, 2)</f>
        <v>kg liveweight</v>
      </c>
      <c r="H448" s="37" cm="1">
        <f t="array" ref="H448">Common_InputFunctions.Utility_DisplayArrayInTable(Scope3_SourceData.Scope3_Livestock_Data(), Table_SourceData_Scope3_Animals[[#Headers],[Category]], 0, 2)</f>
        <v>8.75</v>
      </c>
      <c r="I448" s="37" t="str" cm="1">
        <f t="array" ref="I448">Common_InputFunctions.Utility_DisplayArrayInTable(Scope3_SourceData.Scope3_Livestock_Data(), Table_SourceData_Scope3_Animals[[#Headers],[Category]], 0, 2)</f>
        <v>at market</v>
      </c>
      <c r="M448" s="1"/>
    </row>
    <row r="449" spans="4:13" x14ac:dyDescent="0.25">
      <c r="D449" s="37" t="str" cm="1">
        <f t="array" ref="D449">Common_InputFunctions.Utility_DisplayArrayInTable(Scope3_SourceData.Scope3_Livestock_Data(), Table_SourceData_Scope3_Animals[[#Headers],[Category]], 0, 2)</f>
        <v>Beef cattle</v>
      </c>
      <c r="E449" s="37" t="str" cm="1">
        <f t="array" ref="E449">Common_InputFunctions.Utility_DisplayArrayInTable(Scope3_SourceData.Scope3_Livestock_Data(), Table_SourceData_Scope3_Animals[[#Headers],[Category]], 0, 2)</f>
        <v>Cattle, for manufacturing beef</v>
      </c>
      <c r="F449" s="37" t="str" cm="1">
        <f t="array" ref="F449">Common_InputFunctions.Utility_DisplayArrayInTable(Scope3_SourceData.Scope3_Livestock_Data(), Table_SourceData_Scope3_Animals[[#Headers],[Category]], 0, 2)</f>
        <v>VIC</v>
      </c>
      <c r="G449" s="37" t="str" cm="1">
        <f t="array" ref="G449">Common_InputFunctions.Utility_DisplayArrayInTable(Scope3_SourceData.Scope3_Livestock_Data(), Table_SourceData_Scope3_Animals[[#Headers],[Category]], 0, 2)</f>
        <v>kg liveweight</v>
      </c>
      <c r="H449" s="37" cm="1">
        <f t="array" ref="H449">Common_InputFunctions.Utility_DisplayArrayInTable(Scope3_SourceData.Scope3_Livestock_Data(), Table_SourceData_Scope3_Animals[[#Headers],[Category]], 0, 2)</f>
        <v>8.17</v>
      </c>
      <c r="I449" s="37" t="str" cm="1">
        <f t="array" ref="I449">Common_InputFunctions.Utility_DisplayArrayInTable(Scope3_SourceData.Scope3_Livestock_Data(), Table_SourceData_Scope3_Animals[[#Headers],[Category]], 0, 2)</f>
        <v>at market</v>
      </c>
      <c r="M449" s="1"/>
    </row>
    <row r="450" spans="4:13" x14ac:dyDescent="0.25">
      <c r="D450" s="37" t="str" cm="1">
        <f t="array" ref="D450">Common_InputFunctions.Utility_DisplayArrayInTable(Scope3_SourceData.Scope3_Livestock_Data(), Table_SourceData_Scope3_Animals[[#Headers],[Category]], 0, 2)</f>
        <v>Beef cattle</v>
      </c>
      <c r="E450" s="37" t="str" cm="1">
        <f t="array" ref="E450">Common_InputFunctions.Utility_DisplayArrayInTable(Scope3_SourceData.Scope3_Livestock_Data(), Table_SourceData_Scope3_Animals[[#Headers],[Category]], 0, 2)</f>
        <v>Cattle, for manufacturing beef</v>
      </c>
      <c r="F450" s="37" t="str" cm="1">
        <f t="array" ref="F450">Common_InputFunctions.Utility_DisplayArrayInTable(Scope3_SourceData.Scope3_Livestock_Data(), Table_SourceData_Scope3_Animals[[#Headers],[Category]], 0, 2)</f>
        <v>WA</v>
      </c>
      <c r="G450" s="37" t="str" cm="1">
        <f t="array" ref="G450">Common_InputFunctions.Utility_DisplayArrayInTable(Scope3_SourceData.Scope3_Livestock_Data(), Table_SourceData_Scope3_Animals[[#Headers],[Category]], 0, 2)</f>
        <v>kg liveweight</v>
      </c>
      <c r="H450" s="37" cm="1">
        <f t="array" ref="H450">Common_InputFunctions.Utility_DisplayArrayInTable(Scope3_SourceData.Scope3_Livestock_Data(), Table_SourceData_Scope3_Animals[[#Headers],[Category]], 0, 2)</f>
        <v>13.1</v>
      </c>
      <c r="I450" s="37" t="str" cm="1">
        <f t="array" ref="I450">Common_InputFunctions.Utility_DisplayArrayInTable(Scope3_SourceData.Scope3_Livestock_Data(), Table_SourceData_Scope3_Animals[[#Headers],[Category]], 0, 2)</f>
        <v>at market</v>
      </c>
      <c r="M450" s="1"/>
    </row>
    <row r="451" spans="4:13" x14ac:dyDescent="0.25">
      <c r="D451" s="37" t="str" cm="1">
        <f t="array" ref="D451">Common_InputFunctions.Utility_DisplayArrayInTable(Scope3_SourceData.Scope3_Livestock_Data(), Table_SourceData_Scope3_Animals[[#Headers],[Category]], 0, 2)</f>
        <v>Beef cattle</v>
      </c>
      <c r="E451" s="37" t="str" cm="1">
        <f t="array" ref="E451">Common_InputFunctions.Utility_DisplayArrayInTable(Scope3_SourceData.Scope3_Livestock_Data(), Table_SourceData_Scope3_Animals[[#Headers],[Category]], 0, 2)</f>
        <v>Cattle, for prime beef</v>
      </c>
      <c r="F451" s="37" t="str" cm="1">
        <f t="array" ref="F451">Common_InputFunctions.Utility_DisplayArrayInTable(Scope3_SourceData.Scope3_Livestock_Data(), Table_SourceData_Scope3_Animals[[#Headers],[Category]], 0, 2)</f>
        <v>Australia</v>
      </c>
      <c r="G451" s="37" t="str" cm="1">
        <f t="array" ref="G451">Common_InputFunctions.Utility_DisplayArrayInTable(Scope3_SourceData.Scope3_Livestock_Data(), Table_SourceData_Scope3_Animals[[#Headers],[Category]], 0, 2)</f>
        <v>kg liveweight</v>
      </c>
      <c r="H451" s="37" cm="1">
        <f t="array" ref="H451">Common_InputFunctions.Utility_DisplayArrayInTable(Scope3_SourceData.Scope3_Livestock_Data(), Table_SourceData_Scope3_Animals[[#Headers],[Category]], 0, 2)</f>
        <v>14.5</v>
      </c>
      <c r="I451" s="37" t="str" cm="1">
        <f t="array" ref="I451">Common_InputFunctions.Utility_DisplayArrayInTable(Scope3_SourceData.Scope3_Livestock_Data(), Table_SourceData_Scope3_Animals[[#Headers],[Category]], 0, 2)</f>
        <v>at market</v>
      </c>
      <c r="M451" s="1"/>
    </row>
    <row r="452" spans="4:13" x14ac:dyDescent="0.25">
      <c r="D452" s="37" t="str" cm="1">
        <f t="array" ref="D452">Common_InputFunctions.Utility_DisplayArrayInTable(Scope3_SourceData.Scope3_Livestock_Data(), Table_SourceData_Scope3_Animals[[#Headers],[Category]], 0, 2)</f>
        <v>Beef cattle</v>
      </c>
      <c r="E452" s="37" t="str" cm="1">
        <f t="array" ref="E452">Common_InputFunctions.Utility_DisplayArrayInTable(Scope3_SourceData.Scope3_Livestock_Data(), Table_SourceData_Scope3_Animals[[#Headers],[Category]], 0, 2)</f>
        <v>Cattle, for prime beef</v>
      </c>
      <c r="F452" s="37" t="str" cm="1">
        <f t="array" ref="F452">Common_InputFunctions.Utility_DisplayArrayInTable(Scope3_SourceData.Scope3_Livestock_Data(), Table_SourceData_Scope3_Animals[[#Headers],[Category]], 0, 2)</f>
        <v>NSW</v>
      </c>
      <c r="G452" s="37" t="str" cm="1">
        <f t="array" ref="G452">Common_InputFunctions.Utility_DisplayArrayInTable(Scope3_SourceData.Scope3_Livestock_Data(), Table_SourceData_Scope3_Animals[[#Headers],[Category]], 0, 2)</f>
        <v>kg liveweight</v>
      </c>
      <c r="H452" s="37" cm="1">
        <f t="array" ref="H452">Common_InputFunctions.Utility_DisplayArrayInTable(Scope3_SourceData.Scope3_Livestock_Data(), Table_SourceData_Scope3_Animals[[#Headers],[Category]], 0, 2)</f>
        <v>11.3</v>
      </c>
      <c r="I452" s="37" t="str" cm="1">
        <f t="array" ref="I452">Common_InputFunctions.Utility_DisplayArrayInTable(Scope3_SourceData.Scope3_Livestock_Data(), Table_SourceData_Scope3_Animals[[#Headers],[Category]], 0, 2)</f>
        <v>at market</v>
      </c>
      <c r="M452" s="1"/>
    </row>
    <row r="453" spans="4:13" x14ac:dyDescent="0.25">
      <c r="D453" s="37" t="str" cm="1">
        <f t="array" ref="D453">Common_InputFunctions.Utility_DisplayArrayInTable(Scope3_SourceData.Scope3_Livestock_Data(), Table_SourceData_Scope3_Animals[[#Headers],[Category]], 0, 2)</f>
        <v>Beef cattle</v>
      </c>
      <c r="E453" s="37" t="str" cm="1">
        <f t="array" ref="E453">Common_InputFunctions.Utility_DisplayArrayInTable(Scope3_SourceData.Scope3_Livestock_Data(), Table_SourceData_Scope3_Animals[[#Headers],[Category]], 0, 2)</f>
        <v>Cattle, for prime beef</v>
      </c>
      <c r="F453" s="37" t="str" cm="1">
        <f t="array" ref="F453">Common_InputFunctions.Utility_DisplayArrayInTable(Scope3_SourceData.Scope3_Livestock_Data(), Table_SourceData_Scope3_Animals[[#Headers],[Category]], 0, 2)</f>
        <v>NT</v>
      </c>
      <c r="G453" s="37" t="str" cm="1">
        <f t="array" ref="G453">Common_InputFunctions.Utility_DisplayArrayInTable(Scope3_SourceData.Scope3_Livestock_Data(), Table_SourceData_Scope3_Animals[[#Headers],[Category]], 0, 2)</f>
        <v>kg liveweight</v>
      </c>
      <c r="H453" s="37" cm="1">
        <f t="array" ref="H453">Common_InputFunctions.Utility_DisplayArrayInTable(Scope3_SourceData.Scope3_Livestock_Data(), Table_SourceData_Scope3_Animals[[#Headers],[Category]], 0, 2)</f>
        <v>18.899999999999999</v>
      </c>
      <c r="I453" s="37" t="str" cm="1">
        <f t="array" ref="I453">Common_InputFunctions.Utility_DisplayArrayInTable(Scope3_SourceData.Scope3_Livestock_Data(), Table_SourceData_Scope3_Animals[[#Headers],[Category]], 0, 2)</f>
        <v>at market</v>
      </c>
      <c r="M453" s="1"/>
    </row>
    <row r="454" spans="4:13" x14ac:dyDescent="0.25">
      <c r="D454" s="37" t="str" cm="1">
        <f t="array" ref="D454">Common_InputFunctions.Utility_DisplayArrayInTable(Scope3_SourceData.Scope3_Livestock_Data(), Table_SourceData_Scope3_Animals[[#Headers],[Category]], 0, 2)</f>
        <v>Beef cattle</v>
      </c>
      <c r="E454" s="37" t="str" cm="1">
        <f t="array" ref="E454">Common_InputFunctions.Utility_DisplayArrayInTable(Scope3_SourceData.Scope3_Livestock_Data(), Table_SourceData_Scope3_Animals[[#Headers],[Category]], 0, 2)</f>
        <v>Cattle, for prime beef</v>
      </c>
      <c r="F454" s="37" t="str" cm="1">
        <f t="array" ref="F454">Common_InputFunctions.Utility_DisplayArrayInTable(Scope3_SourceData.Scope3_Livestock_Data(), Table_SourceData_Scope3_Animals[[#Headers],[Category]], 0, 2)</f>
        <v>QLD</v>
      </c>
      <c r="G454" s="37" t="str" cm="1">
        <f t="array" ref="G454">Common_InputFunctions.Utility_DisplayArrayInTable(Scope3_SourceData.Scope3_Livestock_Data(), Table_SourceData_Scope3_Animals[[#Headers],[Category]], 0, 2)</f>
        <v>kg liveweight</v>
      </c>
      <c r="H454" s="37" cm="1">
        <f t="array" ref="H454">Common_InputFunctions.Utility_DisplayArrayInTable(Scope3_SourceData.Scope3_Livestock_Data(), Table_SourceData_Scope3_Animals[[#Headers],[Category]], 0, 2)</f>
        <v>13.9</v>
      </c>
      <c r="I454" s="37" t="str" cm="1">
        <f t="array" ref="I454">Common_InputFunctions.Utility_DisplayArrayInTable(Scope3_SourceData.Scope3_Livestock_Data(), Table_SourceData_Scope3_Animals[[#Headers],[Category]], 0, 2)</f>
        <v>at market</v>
      </c>
      <c r="M454" s="1"/>
    </row>
    <row r="455" spans="4:13" x14ac:dyDescent="0.25">
      <c r="D455" s="37" t="str" cm="1">
        <f t="array" ref="D455">Common_InputFunctions.Utility_DisplayArrayInTable(Scope3_SourceData.Scope3_Livestock_Data(), Table_SourceData_Scope3_Animals[[#Headers],[Category]], 0, 2)</f>
        <v>Beef cattle</v>
      </c>
      <c r="E455" s="37" t="str" cm="1">
        <f t="array" ref="E455">Common_InputFunctions.Utility_DisplayArrayInTable(Scope3_SourceData.Scope3_Livestock_Data(), Table_SourceData_Scope3_Animals[[#Headers],[Category]], 0, 2)</f>
        <v>Cattle, for prime beef</v>
      </c>
      <c r="F455" s="37" t="str" cm="1">
        <f t="array" ref="F455">Common_InputFunctions.Utility_DisplayArrayInTable(Scope3_SourceData.Scope3_Livestock_Data(), Table_SourceData_Scope3_Animals[[#Headers],[Category]], 0, 2)</f>
        <v>SA</v>
      </c>
      <c r="G455" s="37" t="str" cm="1">
        <f t="array" ref="G455">Common_InputFunctions.Utility_DisplayArrayInTable(Scope3_SourceData.Scope3_Livestock_Data(), Table_SourceData_Scope3_Animals[[#Headers],[Category]], 0, 2)</f>
        <v>kg liveweight</v>
      </c>
      <c r="H455" s="37" cm="1">
        <f t="array" ref="H455">Common_InputFunctions.Utility_DisplayArrayInTable(Scope3_SourceData.Scope3_Livestock_Data(), Table_SourceData_Scope3_Animals[[#Headers],[Category]], 0, 2)</f>
        <v>12.3</v>
      </c>
      <c r="I455" s="37" t="str" cm="1">
        <f t="array" ref="I455">Common_InputFunctions.Utility_DisplayArrayInTable(Scope3_SourceData.Scope3_Livestock_Data(), Table_SourceData_Scope3_Animals[[#Headers],[Category]], 0, 2)</f>
        <v>at market</v>
      </c>
    </row>
    <row r="456" spans="4:13" x14ac:dyDescent="0.25">
      <c r="D456" s="37" t="str" cm="1">
        <f t="array" ref="D456">Common_InputFunctions.Utility_DisplayArrayInTable(Scope3_SourceData.Scope3_Livestock_Data(), Table_SourceData_Scope3_Animals[[#Headers],[Category]], 0, 2)</f>
        <v>Beef cattle</v>
      </c>
      <c r="E456" s="37" t="str" cm="1">
        <f t="array" ref="E456">Common_InputFunctions.Utility_DisplayArrayInTable(Scope3_SourceData.Scope3_Livestock_Data(), Table_SourceData_Scope3_Animals[[#Headers],[Category]], 0, 2)</f>
        <v>Cattle, for prime beef</v>
      </c>
      <c r="F456" s="37" t="str" cm="1">
        <f t="array" ref="F456">Common_InputFunctions.Utility_DisplayArrayInTable(Scope3_SourceData.Scope3_Livestock_Data(), Table_SourceData_Scope3_Animals[[#Headers],[Category]], 0, 2)</f>
        <v>TAS</v>
      </c>
      <c r="G456" s="37" t="str" cm="1">
        <f t="array" ref="G456">Common_InputFunctions.Utility_DisplayArrayInTable(Scope3_SourceData.Scope3_Livestock_Data(), Table_SourceData_Scope3_Animals[[#Headers],[Category]], 0, 2)</f>
        <v>kg liveweight</v>
      </c>
      <c r="H456" s="37" cm="1">
        <f t="array" ref="H456">Common_InputFunctions.Utility_DisplayArrayInTable(Scope3_SourceData.Scope3_Livestock_Data(), Table_SourceData_Scope3_Animals[[#Headers],[Category]], 0, 2)</f>
        <v>11.5</v>
      </c>
      <c r="I456" s="37" t="str" cm="1">
        <f t="array" ref="I456">Common_InputFunctions.Utility_DisplayArrayInTable(Scope3_SourceData.Scope3_Livestock_Data(), Table_SourceData_Scope3_Animals[[#Headers],[Category]], 0, 2)</f>
        <v>at market</v>
      </c>
    </row>
    <row r="457" spans="4:13" x14ac:dyDescent="0.25">
      <c r="D457" s="37" t="str" cm="1">
        <f t="array" ref="D457">Common_InputFunctions.Utility_DisplayArrayInTable(Scope3_SourceData.Scope3_Livestock_Data(), Table_SourceData_Scope3_Animals[[#Headers],[Category]], 0, 2)</f>
        <v>Beef cattle</v>
      </c>
      <c r="E457" s="37" t="str" cm="1">
        <f t="array" ref="E457">Common_InputFunctions.Utility_DisplayArrayInTable(Scope3_SourceData.Scope3_Livestock_Data(), Table_SourceData_Scope3_Animals[[#Headers],[Category]], 0, 2)</f>
        <v>Cattle, for prime beef</v>
      </c>
      <c r="F457" s="37" t="str" cm="1">
        <f t="array" ref="F457">Common_InputFunctions.Utility_DisplayArrayInTable(Scope3_SourceData.Scope3_Livestock_Data(), Table_SourceData_Scope3_Animals[[#Headers],[Category]], 0, 2)</f>
        <v>VIC</v>
      </c>
      <c r="G457" s="37" t="str" cm="1">
        <f t="array" ref="G457">Common_InputFunctions.Utility_DisplayArrayInTable(Scope3_SourceData.Scope3_Livestock_Data(), Table_SourceData_Scope3_Animals[[#Headers],[Category]], 0, 2)</f>
        <v>kg liveweight</v>
      </c>
      <c r="H457" s="37" cm="1">
        <f t="array" ref="H457">Common_InputFunctions.Utility_DisplayArrayInTable(Scope3_SourceData.Scope3_Livestock_Data(), Table_SourceData_Scope3_Animals[[#Headers],[Category]], 0, 2)</f>
        <v>11.5</v>
      </c>
      <c r="I457" s="37" t="str" cm="1">
        <f t="array" ref="I457">Common_InputFunctions.Utility_DisplayArrayInTable(Scope3_SourceData.Scope3_Livestock_Data(), Table_SourceData_Scope3_Animals[[#Headers],[Category]], 0, 2)</f>
        <v>at market</v>
      </c>
    </row>
    <row r="458" spans="4:13" x14ac:dyDescent="0.25">
      <c r="D458" s="37" t="str" cm="1">
        <f t="array" ref="D458">Common_InputFunctions.Utility_DisplayArrayInTable(Scope3_SourceData.Scope3_Livestock_Data(), Table_SourceData_Scope3_Animals[[#Headers],[Category]], 0, 2)</f>
        <v>Beef cattle</v>
      </c>
      <c r="E458" s="37" t="str" cm="1">
        <f t="array" ref="E458">Common_InputFunctions.Utility_DisplayArrayInTable(Scope3_SourceData.Scope3_Livestock_Data(), Table_SourceData_Scope3_Animals[[#Headers],[Category]], 0, 2)</f>
        <v>Cattle, for prime beef</v>
      </c>
      <c r="F458" s="37" t="str" cm="1">
        <f t="array" ref="F458">Common_InputFunctions.Utility_DisplayArrayInTable(Scope3_SourceData.Scope3_Livestock_Data(), Table_SourceData_Scope3_Animals[[#Headers],[Category]], 0, 2)</f>
        <v>WA</v>
      </c>
      <c r="G458" s="37" t="str" cm="1">
        <f t="array" ref="G458">Common_InputFunctions.Utility_DisplayArrayInTable(Scope3_SourceData.Scope3_Livestock_Data(), Table_SourceData_Scope3_Animals[[#Headers],[Category]], 0, 2)</f>
        <v>kg liveweight</v>
      </c>
      <c r="H458" s="37" cm="1">
        <f t="array" ref="H458">Common_InputFunctions.Utility_DisplayArrayInTable(Scope3_SourceData.Scope3_Livestock_Data(), Table_SourceData_Scope3_Animals[[#Headers],[Category]], 0, 2)</f>
        <v>20.8</v>
      </c>
      <c r="I458" s="37" t="str" cm="1">
        <f t="array" ref="I458">Common_InputFunctions.Utility_DisplayArrayInTable(Scope3_SourceData.Scope3_Livestock_Data(), Table_SourceData_Scope3_Animals[[#Headers],[Category]], 0, 2)</f>
        <v>at market</v>
      </c>
    </row>
    <row r="459" spans="4:13" x14ac:dyDescent="0.25">
      <c r="D459" s="37" t="str" cm="1">
        <f t="array" ref="D459">Common_InputFunctions.Utility_DisplayArrayInTable(Scope3_SourceData.Scope3_Livestock_Data(), Table_SourceData_Scope3_Animals[[#Headers],[Category]], 0, 2)</f>
        <v>Beef cattle</v>
      </c>
      <c r="E459" s="37" t="str" cm="1">
        <f t="array" ref="E459">Common_InputFunctions.Utility_DisplayArrayInTable(Scope3_SourceData.Scope3_Livestock_Data(), Table_SourceData_Scope3_Animals[[#Headers],[Category]], 0, 2)</f>
        <v>Cattle, weaners</v>
      </c>
      <c r="F459" s="37" t="str" cm="1">
        <f t="array" ref="F459">Common_InputFunctions.Utility_DisplayArrayInTable(Scope3_SourceData.Scope3_Livestock_Data(), Table_SourceData_Scope3_Animals[[#Headers],[Category]], 0, 2)</f>
        <v>Australia</v>
      </c>
      <c r="G459" s="37" t="str" cm="1">
        <f t="array" ref="G459">Common_InputFunctions.Utility_DisplayArrayInTable(Scope3_SourceData.Scope3_Livestock_Data(), Table_SourceData_Scope3_Animals[[#Headers],[Category]], 0, 2)</f>
        <v>kg liveweight</v>
      </c>
      <c r="H459" s="37" cm="1">
        <f t="array" ref="H459">Common_InputFunctions.Utility_DisplayArrayInTable(Scope3_SourceData.Scope3_Livestock_Data(), Table_SourceData_Scope3_Animals[[#Headers],[Category]], 0, 2)</f>
        <v>15.5</v>
      </c>
      <c r="I459" s="37" t="str" cm="1">
        <f t="array" ref="I459">Common_InputFunctions.Utility_DisplayArrayInTable(Scope3_SourceData.Scope3_Livestock_Data(), Table_SourceData_Scope3_Animals[[#Headers],[Category]], 0, 2)</f>
        <v>at market</v>
      </c>
    </row>
    <row r="460" spans="4:13" x14ac:dyDescent="0.25">
      <c r="D460" s="37" t="str" cm="1">
        <f t="array" ref="D460">Common_InputFunctions.Utility_DisplayArrayInTable(Scope3_SourceData.Scope3_Livestock_Data(), Table_SourceData_Scope3_Animals[[#Headers],[Category]], 0, 2)</f>
        <v>Beef cattle</v>
      </c>
      <c r="E460" s="37" t="str" cm="1">
        <f t="array" ref="E460">Common_InputFunctions.Utility_DisplayArrayInTable(Scope3_SourceData.Scope3_Livestock_Data(), Table_SourceData_Scope3_Animals[[#Headers],[Category]], 0, 2)</f>
        <v>Cattle, weaners</v>
      </c>
      <c r="F460" s="37" t="str" cm="1">
        <f t="array" ref="F460">Common_InputFunctions.Utility_DisplayArrayInTable(Scope3_SourceData.Scope3_Livestock_Data(), Table_SourceData_Scope3_Animals[[#Headers],[Category]], 0, 2)</f>
        <v>NSW</v>
      </c>
      <c r="G460" s="37" t="str" cm="1">
        <f t="array" ref="G460">Common_InputFunctions.Utility_DisplayArrayInTable(Scope3_SourceData.Scope3_Livestock_Data(), Table_SourceData_Scope3_Animals[[#Headers],[Category]], 0, 2)</f>
        <v>kg liveweight</v>
      </c>
      <c r="H460" s="37" cm="1">
        <f t="array" ref="H460">Common_InputFunctions.Utility_DisplayArrayInTable(Scope3_SourceData.Scope3_Livestock_Data(), Table_SourceData_Scope3_Animals[[#Headers],[Category]], 0, 2)</f>
        <v>12.7</v>
      </c>
      <c r="I460" s="37" t="str" cm="1">
        <f t="array" ref="I460">Common_InputFunctions.Utility_DisplayArrayInTable(Scope3_SourceData.Scope3_Livestock_Data(), Table_SourceData_Scope3_Animals[[#Headers],[Category]], 0, 2)</f>
        <v>at market</v>
      </c>
    </row>
    <row r="461" spans="4:13" x14ac:dyDescent="0.25">
      <c r="D461" s="37" t="str" cm="1">
        <f t="array" ref="D461">Common_InputFunctions.Utility_DisplayArrayInTable(Scope3_SourceData.Scope3_Livestock_Data(), Table_SourceData_Scope3_Animals[[#Headers],[Category]], 0, 2)</f>
        <v>Beef cattle</v>
      </c>
      <c r="E461" s="37" t="str" cm="1">
        <f t="array" ref="E461">Common_InputFunctions.Utility_DisplayArrayInTable(Scope3_SourceData.Scope3_Livestock_Data(), Table_SourceData_Scope3_Animals[[#Headers],[Category]], 0, 2)</f>
        <v>Cattle, weaners</v>
      </c>
      <c r="F461" s="37" t="str" cm="1">
        <f t="array" ref="F461">Common_InputFunctions.Utility_DisplayArrayInTable(Scope3_SourceData.Scope3_Livestock_Data(), Table_SourceData_Scope3_Animals[[#Headers],[Category]], 0, 2)</f>
        <v>NT</v>
      </c>
      <c r="G461" s="37" t="str" cm="1">
        <f t="array" ref="G461">Common_InputFunctions.Utility_DisplayArrayInTable(Scope3_SourceData.Scope3_Livestock_Data(), Table_SourceData_Scope3_Animals[[#Headers],[Category]], 0, 2)</f>
        <v>kg liveweight</v>
      </c>
      <c r="H461" s="37" cm="1">
        <f t="array" ref="H461">Common_InputFunctions.Utility_DisplayArrayInTable(Scope3_SourceData.Scope3_Livestock_Data(), Table_SourceData_Scope3_Animals[[#Headers],[Category]], 0, 2)</f>
        <v>19.100000000000001</v>
      </c>
      <c r="I461" s="37" t="str" cm="1">
        <f t="array" ref="I461">Common_InputFunctions.Utility_DisplayArrayInTable(Scope3_SourceData.Scope3_Livestock_Data(), Table_SourceData_Scope3_Animals[[#Headers],[Category]], 0, 2)</f>
        <v>at market</v>
      </c>
    </row>
    <row r="462" spans="4:13" x14ac:dyDescent="0.25">
      <c r="D462" s="37" t="str" cm="1">
        <f t="array" ref="D462">Common_InputFunctions.Utility_DisplayArrayInTable(Scope3_SourceData.Scope3_Livestock_Data(), Table_SourceData_Scope3_Animals[[#Headers],[Category]], 0, 2)</f>
        <v>Beef cattle</v>
      </c>
      <c r="E462" s="37" t="str" cm="1">
        <f t="array" ref="E462">Common_InputFunctions.Utility_DisplayArrayInTable(Scope3_SourceData.Scope3_Livestock_Data(), Table_SourceData_Scope3_Animals[[#Headers],[Category]], 0, 2)</f>
        <v>Cattle, weaners</v>
      </c>
      <c r="F462" s="37" t="str" cm="1">
        <f t="array" ref="F462">Common_InputFunctions.Utility_DisplayArrayInTable(Scope3_SourceData.Scope3_Livestock_Data(), Table_SourceData_Scope3_Animals[[#Headers],[Category]], 0, 2)</f>
        <v>QLD</v>
      </c>
      <c r="G462" s="37" t="str" cm="1">
        <f t="array" ref="G462">Common_InputFunctions.Utility_DisplayArrayInTable(Scope3_SourceData.Scope3_Livestock_Data(), Table_SourceData_Scope3_Animals[[#Headers],[Category]], 0, 2)</f>
        <v>kg liveweight</v>
      </c>
      <c r="H462" s="37" cm="1">
        <f t="array" ref="H462">Common_InputFunctions.Utility_DisplayArrayInTable(Scope3_SourceData.Scope3_Livestock_Data(), Table_SourceData_Scope3_Animals[[#Headers],[Category]], 0, 2)</f>
        <v>20.5</v>
      </c>
      <c r="I462" s="37" t="str" cm="1">
        <f t="array" ref="I462">Common_InputFunctions.Utility_DisplayArrayInTable(Scope3_SourceData.Scope3_Livestock_Data(), Table_SourceData_Scope3_Animals[[#Headers],[Category]], 0, 2)</f>
        <v>at market</v>
      </c>
    </row>
    <row r="463" spans="4:13" x14ac:dyDescent="0.25">
      <c r="D463" s="37" t="str" cm="1">
        <f t="array" ref="D463">Common_InputFunctions.Utility_DisplayArrayInTable(Scope3_SourceData.Scope3_Livestock_Data(), Table_SourceData_Scope3_Animals[[#Headers],[Category]], 0, 2)</f>
        <v>Beef cattle</v>
      </c>
      <c r="E463" s="37" t="str" cm="1">
        <f t="array" ref="E463">Common_InputFunctions.Utility_DisplayArrayInTable(Scope3_SourceData.Scope3_Livestock_Data(), Table_SourceData_Scope3_Animals[[#Headers],[Category]], 0, 2)</f>
        <v>Cattle, weaners</v>
      </c>
      <c r="F463" s="37" t="str" cm="1">
        <f t="array" ref="F463">Common_InputFunctions.Utility_DisplayArrayInTable(Scope3_SourceData.Scope3_Livestock_Data(), Table_SourceData_Scope3_Animals[[#Headers],[Category]], 0, 2)</f>
        <v>SA</v>
      </c>
      <c r="G463" s="37" t="str" cm="1">
        <f t="array" ref="G463">Common_InputFunctions.Utility_DisplayArrayInTable(Scope3_SourceData.Scope3_Livestock_Data(), Table_SourceData_Scope3_Animals[[#Headers],[Category]], 0, 2)</f>
        <v>kg liveweight</v>
      </c>
      <c r="H463" s="37" cm="1">
        <f t="array" ref="H463">Common_InputFunctions.Utility_DisplayArrayInTable(Scope3_SourceData.Scope3_Livestock_Data(), Table_SourceData_Scope3_Animals[[#Headers],[Category]], 0, 2)</f>
        <v>10.8</v>
      </c>
      <c r="I463" s="37" t="str" cm="1">
        <f t="array" ref="I463">Common_InputFunctions.Utility_DisplayArrayInTable(Scope3_SourceData.Scope3_Livestock_Data(), Table_SourceData_Scope3_Animals[[#Headers],[Category]], 0, 2)</f>
        <v>at market</v>
      </c>
    </row>
    <row r="464" spans="4:13" x14ac:dyDescent="0.25">
      <c r="D464" s="37" t="str" cm="1">
        <f t="array" ref="D464">Common_InputFunctions.Utility_DisplayArrayInTable(Scope3_SourceData.Scope3_Livestock_Data(), Table_SourceData_Scope3_Animals[[#Headers],[Category]], 0, 2)</f>
        <v>Beef cattle</v>
      </c>
      <c r="E464" s="37" t="str" cm="1">
        <f t="array" ref="E464">Common_InputFunctions.Utility_DisplayArrayInTable(Scope3_SourceData.Scope3_Livestock_Data(), Table_SourceData_Scope3_Animals[[#Headers],[Category]], 0, 2)</f>
        <v>Cattle, weaners</v>
      </c>
      <c r="F464" s="37" t="str" cm="1">
        <f t="array" ref="F464">Common_InputFunctions.Utility_DisplayArrayInTable(Scope3_SourceData.Scope3_Livestock_Data(), Table_SourceData_Scope3_Animals[[#Headers],[Category]], 0, 2)</f>
        <v>TAS</v>
      </c>
      <c r="G464" s="37" t="str" cm="1">
        <f t="array" ref="G464">Common_InputFunctions.Utility_DisplayArrayInTable(Scope3_SourceData.Scope3_Livestock_Data(), Table_SourceData_Scope3_Animals[[#Headers],[Category]], 0, 2)</f>
        <v>kg liveweight</v>
      </c>
      <c r="H464" s="37" cm="1">
        <f t="array" ref="H464">Common_InputFunctions.Utility_DisplayArrayInTable(Scope3_SourceData.Scope3_Livestock_Data(), Table_SourceData_Scope3_Animals[[#Headers],[Category]], 0, 2)</f>
        <v>13.4</v>
      </c>
      <c r="I464" s="37" t="str" cm="1">
        <f t="array" ref="I464">Common_InputFunctions.Utility_DisplayArrayInTable(Scope3_SourceData.Scope3_Livestock_Data(), Table_SourceData_Scope3_Animals[[#Headers],[Category]], 0, 2)</f>
        <v>at market</v>
      </c>
    </row>
    <row r="465" spans="4:9" x14ac:dyDescent="0.25">
      <c r="D465" s="37" t="str" cm="1">
        <f t="array" ref="D465">Common_InputFunctions.Utility_DisplayArrayInTable(Scope3_SourceData.Scope3_Livestock_Data(), Table_SourceData_Scope3_Animals[[#Headers],[Category]], 0, 2)</f>
        <v>Beef cattle</v>
      </c>
      <c r="E465" s="37" t="str" cm="1">
        <f t="array" ref="E465">Common_InputFunctions.Utility_DisplayArrayInTable(Scope3_SourceData.Scope3_Livestock_Data(), Table_SourceData_Scope3_Animals[[#Headers],[Category]], 0, 2)</f>
        <v>Cattle, weaners</v>
      </c>
      <c r="F465" s="37" t="str" cm="1">
        <f t="array" ref="F465">Common_InputFunctions.Utility_DisplayArrayInTable(Scope3_SourceData.Scope3_Livestock_Data(), Table_SourceData_Scope3_Animals[[#Headers],[Category]], 0, 2)</f>
        <v>VIC</v>
      </c>
      <c r="G465" s="37" t="str" cm="1">
        <f t="array" ref="G465">Common_InputFunctions.Utility_DisplayArrayInTable(Scope3_SourceData.Scope3_Livestock_Data(), Table_SourceData_Scope3_Animals[[#Headers],[Category]], 0, 2)</f>
        <v>kg liveweight</v>
      </c>
      <c r="H465" s="37" cm="1">
        <f t="array" ref="H465">Common_InputFunctions.Utility_DisplayArrayInTable(Scope3_SourceData.Scope3_Livestock_Data(), Table_SourceData_Scope3_Animals[[#Headers],[Category]], 0, 2)</f>
        <v>12</v>
      </c>
      <c r="I465" s="37" t="str" cm="1">
        <f t="array" ref="I465">Common_InputFunctions.Utility_DisplayArrayInTable(Scope3_SourceData.Scope3_Livestock_Data(), Table_SourceData_Scope3_Animals[[#Headers],[Category]], 0, 2)</f>
        <v>at market</v>
      </c>
    </row>
    <row r="466" spans="4:9" x14ac:dyDescent="0.25">
      <c r="D466" s="37" t="str" cm="1">
        <f t="array" ref="D466">Common_InputFunctions.Utility_DisplayArrayInTable(Scope3_SourceData.Scope3_Livestock_Data(), Table_SourceData_Scope3_Animals[[#Headers],[Category]], 0, 2)</f>
        <v>Beef cattle</v>
      </c>
      <c r="E466" s="37" t="str" cm="1">
        <f t="array" ref="E466">Common_InputFunctions.Utility_DisplayArrayInTable(Scope3_SourceData.Scope3_Livestock_Data(), Table_SourceData_Scope3_Animals[[#Headers],[Category]], 0, 2)</f>
        <v>Cattle, weaners</v>
      </c>
      <c r="F466" s="37" t="str" cm="1">
        <f t="array" ref="F466">Common_InputFunctions.Utility_DisplayArrayInTable(Scope3_SourceData.Scope3_Livestock_Data(), Table_SourceData_Scope3_Animals[[#Headers],[Category]], 0, 2)</f>
        <v>WA</v>
      </c>
      <c r="G466" s="37" t="str" cm="1">
        <f t="array" ref="G466">Common_InputFunctions.Utility_DisplayArrayInTable(Scope3_SourceData.Scope3_Livestock_Data(), Table_SourceData_Scope3_Animals[[#Headers],[Category]], 0, 2)</f>
        <v>kg liveweight</v>
      </c>
      <c r="H466" s="37" cm="1">
        <f t="array" ref="H466">Common_InputFunctions.Utility_DisplayArrayInTable(Scope3_SourceData.Scope3_Livestock_Data(), Table_SourceData_Scope3_Animals[[#Headers],[Category]], 0, 2)</f>
        <v>12.4</v>
      </c>
      <c r="I466" s="37" t="str" cm="1">
        <f t="array" ref="I466">Common_InputFunctions.Utility_DisplayArrayInTable(Scope3_SourceData.Scope3_Livestock_Data(), Table_SourceData_Scope3_Animals[[#Headers],[Category]], 0, 2)</f>
        <v>at market</v>
      </c>
    </row>
    <row r="467" spans="4:9" x14ac:dyDescent="0.25">
      <c r="D467" s="37" t="str" cm="1">
        <f t="array" ref="D467">Common_InputFunctions.Utility_DisplayArrayInTable(Scope3_SourceData.Scope3_Livestock_Data(), Table_SourceData_Scope3_Animals[[#Headers],[Category]], 0, 2)</f>
        <v>Chickens</v>
      </c>
      <c r="E467" s="37" t="str" cm="1">
        <f t="array" ref="E467">Common_InputFunctions.Utility_DisplayArrayInTable(Scope3_SourceData.Scope3_Livestock_Data(), Table_SourceData_Scope3_Animals[[#Headers],[Category]], 0, 2)</f>
        <v>Chickens</v>
      </c>
      <c r="F467" s="37" t="str" cm="1">
        <f t="array" ref="F467">Common_InputFunctions.Utility_DisplayArrayInTable(Scope3_SourceData.Scope3_Livestock_Data(), Table_SourceData_Scope3_Animals[[#Headers],[Category]], 0, 2)</f>
        <v>Australia</v>
      </c>
      <c r="G467" s="37" t="str" cm="1">
        <f t="array" ref="G467">Common_InputFunctions.Utility_DisplayArrayInTable(Scope3_SourceData.Scope3_Livestock_Data(), Table_SourceData_Scope3_Animals[[#Headers],[Category]], 0, 2)</f>
        <v>kg liveweight</v>
      </c>
      <c r="H467" s="37" cm="1">
        <f t="array" ref="H467">Common_InputFunctions.Utility_DisplayArrayInTable(Scope3_SourceData.Scope3_Livestock_Data(), Table_SourceData_Scope3_Animals[[#Headers],[Category]], 0, 2)</f>
        <v>1.36</v>
      </c>
      <c r="I467" s="37" t="str" cm="1">
        <f t="array" ref="I467">Common_InputFunctions.Utility_DisplayArrayInTable(Scope3_SourceData.Scope3_Livestock_Data(), Table_SourceData_Scope3_Animals[[#Headers],[Category]], 0, 2)</f>
        <v>at market</v>
      </c>
    </row>
    <row r="468" spans="4:9" x14ac:dyDescent="0.25">
      <c r="D468" s="37" t="str" cm="1">
        <f t="array" ref="D468">Common_InputFunctions.Utility_DisplayArrayInTable(Scope3_SourceData.Scope3_Livestock_Data(), Table_SourceData_Scope3_Animals[[#Headers],[Category]], 0, 2)</f>
        <v>Dairy cattle</v>
      </c>
      <c r="E468" s="37" t="str" cm="1">
        <f t="array" ref="E468">Common_InputFunctions.Utility_DisplayArrayInTable(Scope3_SourceData.Scope3_Livestock_Data(), Table_SourceData_Scope3_Animals[[#Headers],[Category]], 0, 2)</f>
        <v>Dairy cows</v>
      </c>
      <c r="F468" s="37" t="str" cm="1">
        <f t="array" ref="F468">Common_InputFunctions.Utility_DisplayArrayInTable(Scope3_SourceData.Scope3_Livestock_Data(), Table_SourceData_Scope3_Animals[[#Headers],[Category]], 0, 2)</f>
        <v>VIC</v>
      </c>
      <c r="G468" s="37" t="str" cm="1">
        <f t="array" ref="G468">Common_InputFunctions.Utility_DisplayArrayInTable(Scope3_SourceData.Scope3_Livestock_Data(), Table_SourceData_Scope3_Animals[[#Headers],[Category]], 0, 2)</f>
        <v>kg liveweight</v>
      </c>
      <c r="H468" s="37" cm="1">
        <f t="array" ref="H468">Common_InputFunctions.Utility_DisplayArrayInTable(Scope3_SourceData.Scope3_Livestock_Data(), Table_SourceData_Scope3_Animals[[#Headers],[Category]], 0, 2)</f>
        <v>4.41</v>
      </c>
      <c r="I468" s="37" t="str" cm="1">
        <f t="array" ref="I468">Common_InputFunctions.Utility_DisplayArrayInTable(Scope3_SourceData.Scope3_Livestock_Data(), Table_SourceData_Scope3_Animals[[#Headers],[Category]], 0, 2)</f>
        <v>at market</v>
      </c>
    </row>
    <row r="469" spans="4:9" x14ac:dyDescent="0.25">
      <c r="D469" s="37" t="str" cm="1">
        <f t="array" ref="D469">Common_InputFunctions.Utility_DisplayArrayInTable(Scope3_SourceData.Scope3_Livestock_Data(), Table_SourceData_Scope3_Animals[[#Headers],[Category]], 0, 2)</f>
        <v>Pigs</v>
      </c>
      <c r="E469" s="37" t="str" cm="1">
        <f t="array" ref="E469">Common_InputFunctions.Utility_DisplayArrayInTable(Scope3_SourceData.Scope3_Livestock_Data(), Table_SourceData_Scope3_Animals[[#Headers],[Category]], 0, 2)</f>
        <v>Pigs</v>
      </c>
      <c r="F469" s="37" t="str" cm="1">
        <f t="array" ref="F469">Common_InputFunctions.Utility_DisplayArrayInTable(Scope3_SourceData.Scope3_Livestock_Data(), Table_SourceData_Scope3_Animals[[#Headers],[Category]], 0, 2)</f>
        <v>Australia</v>
      </c>
      <c r="G469" s="37" t="str" cm="1">
        <f t="array" ref="G469">Common_InputFunctions.Utility_DisplayArrayInTable(Scope3_SourceData.Scope3_Livestock_Data(), Table_SourceData_Scope3_Animals[[#Headers],[Category]], 0, 2)</f>
        <v>kg liveweight</v>
      </c>
      <c r="H469" s="37" cm="1">
        <f t="array" ref="H469">Common_InputFunctions.Utility_DisplayArrayInTable(Scope3_SourceData.Scope3_Livestock_Data(), Table_SourceData_Scope3_Animals[[#Headers],[Category]], 0, 2)</f>
        <v>3.38</v>
      </c>
      <c r="I469" s="37" t="str" cm="1">
        <f t="array" ref="I469">Common_InputFunctions.Utility_DisplayArrayInTable(Scope3_SourceData.Scope3_Livestock_Data(), Table_SourceData_Scope3_Animals[[#Headers],[Category]], 0, 2)</f>
        <v>at market</v>
      </c>
    </row>
    <row r="470" spans="4:9" x14ac:dyDescent="0.25">
      <c r="D470" s="37" t="str" cm="1">
        <f t="array" ref="D470">Common_InputFunctions.Utility_DisplayArrayInTable(Scope3_SourceData.Scope3_Livestock_Data(), Table_SourceData_Scope3_Animals[[#Headers],[Category]], 0, 2)</f>
        <v>Sheep</v>
      </c>
      <c r="E470" s="37" t="str" cm="1">
        <f t="array" ref="E470">Common_InputFunctions.Utility_DisplayArrayInTable(Scope3_SourceData.Scope3_Livestock_Data(), Table_SourceData_Scope3_Animals[[#Headers],[Category]], 0, 2)</f>
        <v>Sheep, for mutton</v>
      </c>
      <c r="F470" s="37" t="str" cm="1">
        <f t="array" ref="F470">Common_InputFunctions.Utility_DisplayArrayInTable(Scope3_SourceData.Scope3_Livestock_Data(), Table_SourceData_Scope3_Animals[[#Headers],[Category]], 0, 2)</f>
        <v>Australia</v>
      </c>
      <c r="G470" s="37" t="str" cm="1">
        <f t="array" ref="G470">Common_InputFunctions.Utility_DisplayArrayInTable(Scope3_SourceData.Scope3_Livestock_Data(), Table_SourceData_Scope3_Animals[[#Headers],[Category]], 0, 2)</f>
        <v>kg liveweight</v>
      </c>
      <c r="H470" s="37" cm="1">
        <f t="array" ref="H470">Common_InputFunctions.Utility_DisplayArrayInTable(Scope3_SourceData.Scope3_Livestock_Data(), Table_SourceData_Scope3_Animals[[#Headers],[Category]], 0, 2)</f>
        <v>6.81</v>
      </c>
      <c r="I470" s="37" t="str" cm="1">
        <f t="array" ref="I470">Common_InputFunctions.Utility_DisplayArrayInTable(Scope3_SourceData.Scope3_Livestock_Data(), Table_SourceData_Scope3_Animals[[#Headers],[Category]], 0, 2)</f>
        <v>at market</v>
      </c>
    </row>
    <row r="471" spans="4:9" x14ac:dyDescent="0.25">
      <c r="D471" s="37" t="str" cm="1">
        <f t="array" ref="D471">Common_InputFunctions.Utility_DisplayArrayInTable(Scope3_SourceData.Scope3_Livestock_Data(), Table_SourceData_Scope3_Animals[[#Headers],[Category]], 0, 2)</f>
        <v>Sheep</v>
      </c>
      <c r="E471" s="37" t="str" cm="1">
        <f t="array" ref="E471">Common_InputFunctions.Utility_DisplayArrayInTable(Scope3_SourceData.Scope3_Livestock_Data(), Table_SourceData_Scope3_Animals[[#Headers],[Category]], 0, 2)</f>
        <v>Sheep, for mutton</v>
      </c>
      <c r="F471" s="37" t="str" cm="1">
        <f t="array" ref="F471">Common_InputFunctions.Utility_DisplayArrayInTable(Scope3_SourceData.Scope3_Livestock_Data(), Table_SourceData_Scope3_Animals[[#Headers],[Category]], 0, 2)</f>
        <v>NSW</v>
      </c>
      <c r="G471" s="37" t="str" cm="1">
        <f t="array" ref="G471">Common_InputFunctions.Utility_DisplayArrayInTable(Scope3_SourceData.Scope3_Livestock_Data(), Table_SourceData_Scope3_Animals[[#Headers],[Category]], 0, 2)</f>
        <v>kg liveweight</v>
      </c>
      <c r="H471" s="37" cm="1">
        <f t="array" ref="H471">Common_InputFunctions.Utility_DisplayArrayInTable(Scope3_SourceData.Scope3_Livestock_Data(), Table_SourceData_Scope3_Animals[[#Headers],[Category]], 0, 2)</f>
        <v>2.2599999999999998</v>
      </c>
      <c r="I471" s="37" t="str" cm="1">
        <f t="array" ref="I471">Common_InputFunctions.Utility_DisplayArrayInTable(Scope3_SourceData.Scope3_Livestock_Data(), Table_SourceData_Scope3_Animals[[#Headers],[Category]], 0, 2)</f>
        <v>at market</v>
      </c>
    </row>
    <row r="472" spans="4:9" x14ac:dyDescent="0.25">
      <c r="D472" s="37" t="str" cm="1">
        <f t="array" ref="D472">Common_InputFunctions.Utility_DisplayArrayInTable(Scope3_SourceData.Scope3_Livestock_Data(), Table_SourceData_Scope3_Animals[[#Headers],[Category]], 0, 2)</f>
        <v>Sheep</v>
      </c>
      <c r="E472" s="37" t="str" cm="1">
        <f t="array" ref="E472">Common_InputFunctions.Utility_DisplayArrayInTable(Scope3_SourceData.Scope3_Livestock_Data(), Table_SourceData_Scope3_Animals[[#Headers],[Category]], 0, 2)</f>
        <v>Sheep, for mutton</v>
      </c>
      <c r="F472" s="37" t="str" cm="1">
        <f t="array" ref="F472">Common_InputFunctions.Utility_DisplayArrayInTable(Scope3_SourceData.Scope3_Livestock_Data(), Table_SourceData_Scope3_Animals[[#Headers],[Category]], 0, 2)</f>
        <v>QLD</v>
      </c>
      <c r="G472" s="37" t="str" cm="1">
        <f t="array" ref="G472">Common_InputFunctions.Utility_DisplayArrayInTable(Scope3_SourceData.Scope3_Livestock_Data(), Table_SourceData_Scope3_Animals[[#Headers],[Category]], 0, 2)</f>
        <v>kg liveweight</v>
      </c>
      <c r="H472" s="37" cm="1">
        <f t="array" ref="H472">Common_InputFunctions.Utility_DisplayArrayInTable(Scope3_SourceData.Scope3_Livestock_Data(), Table_SourceData_Scope3_Animals[[#Headers],[Category]], 0, 2)</f>
        <v>6.33</v>
      </c>
      <c r="I472" s="37" t="str" cm="1">
        <f t="array" ref="I472">Common_InputFunctions.Utility_DisplayArrayInTable(Scope3_SourceData.Scope3_Livestock_Data(), Table_SourceData_Scope3_Animals[[#Headers],[Category]], 0, 2)</f>
        <v>at market</v>
      </c>
    </row>
    <row r="473" spans="4:9" x14ac:dyDescent="0.25">
      <c r="D473" s="37" t="str" cm="1">
        <f t="array" ref="D473">Common_InputFunctions.Utility_DisplayArrayInTable(Scope3_SourceData.Scope3_Livestock_Data(), Table_SourceData_Scope3_Animals[[#Headers],[Category]], 0, 2)</f>
        <v>Sheep</v>
      </c>
      <c r="E473" s="37" t="str" cm="1">
        <f t="array" ref="E473">Common_InputFunctions.Utility_DisplayArrayInTable(Scope3_SourceData.Scope3_Livestock_Data(), Table_SourceData_Scope3_Animals[[#Headers],[Category]], 0, 2)</f>
        <v>Sheep, for mutton</v>
      </c>
      <c r="F473" s="37" t="str" cm="1">
        <f t="array" ref="F473">Common_InputFunctions.Utility_DisplayArrayInTable(Scope3_SourceData.Scope3_Livestock_Data(), Table_SourceData_Scope3_Animals[[#Headers],[Category]], 0, 2)</f>
        <v>SA</v>
      </c>
      <c r="G473" s="37" t="str" cm="1">
        <f t="array" ref="G473">Common_InputFunctions.Utility_DisplayArrayInTable(Scope3_SourceData.Scope3_Livestock_Data(), Table_SourceData_Scope3_Animals[[#Headers],[Category]], 0, 2)</f>
        <v>kg liveweight</v>
      </c>
      <c r="H473" s="37" cm="1">
        <f t="array" ref="H473">Common_InputFunctions.Utility_DisplayArrayInTable(Scope3_SourceData.Scope3_Livestock_Data(), Table_SourceData_Scope3_Animals[[#Headers],[Category]], 0, 2)</f>
        <v>6.18</v>
      </c>
      <c r="I473" s="37" t="str" cm="1">
        <f t="array" ref="I473">Common_InputFunctions.Utility_DisplayArrayInTable(Scope3_SourceData.Scope3_Livestock_Data(), Table_SourceData_Scope3_Animals[[#Headers],[Category]], 0, 2)</f>
        <v>at market</v>
      </c>
    </row>
    <row r="474" spans="4:9" x14ac:dyDescent="0.25">
      <c r="D474" s="37" t="str" cm="1">
        <f t="array" ref="D474">Common_InputFunctions.Utility_DisplayArrayInTable(Scope3_SourceData.Scope3_Livestock_Data(), Table_SourceData_Scope3_Animals[[#Headers],[Category]], 0, 2)</f>
        <v>Sheep</v>
      </c>
      <c r="E474" s="37" t="str" cm="1">
        <f t="array" ref="E474">Common_InputFunctions.Utility_DisplayArrayInTable(Scope3_SourceData.Scope3_Livestock_Data(), Table_SourceData_Scope3_Animals[[#Headers],[Category]], 0, 2)</f>
        <v>Sheep, for mutton</v>
      </c>
      <c r="F474" s="37" t="str" cm="1">
        <f t="array" ref="F474">Common_InputFunctions.Utility_DisplayArrayInTable(Scope3_SourceData.Scope3_Livestock_Data(), Table_SourceData_Scope3_Animals[[#Headers],[Category]], 0, 2)</f>
        <v>TAS</v>
      </c>
      <c r="G474" s="37" t="str" cm="1">
        <f t="array" ref="G474">Common_InputFunctions.Utility_DisplayArrayInTable(Scope3_SourceData.Scope3_Livestock_Data(), Table_SourceData_Scope3_Animals[[#Headers],[Category]], 0, 2)</f>
        <v>kg liveweight</v>
      </c>
      <c r="H474" s="37" cm="1">
        <f t="array" ref="H474">Common_InputFunctions.Utility_DisplayArrayInTable(Scope3_SourceData.Scope3_Livestock_Data(), Table_SourceData_Scope3_Animals[[#Headers],[Category]], 0, 2)</f>
        <v>7.5</v>
      </c>
      <c r="I474" s="37" t="str" cm="1">
        <f t="array" ref="I474">Common_InputFunctions.Utility_DisplayArrayInTable(Scope3_SourceData.Scope3_Livestock_Data(), Table_SourceData_Scope3_Animals[[#Headers],[Category]], 0, 2)</f>
        <v>at market</v>
      </c>
    </row>
    <row r="475" spans="4:9" x14ac:dyDescent="0.25">
      <c r="D475" s="37" t="str" cm="1">
        <f t="array" ref="D475">Common_InputFunctions.Utility_DisplayArrayInTable(Scope3_SourceData.Scope3_Livestock_Data(), Table_SourceData_Scope3_Animals[[#Headers],[Category]], 0, 2)</f>
        <v>Sheep</v>
      </c>
      <c r="E475" s="37" t="str" cm="1">
        <f t="array" ref="E475">Common_InputFunctions.Utility_DisplayArrayInTable(Scope3_SourceData.Scope3_Livestock_Data(), Table_SourceData_Scope3_Animals[[#Headers],[Category]], 0, 2)</f>
        <v>Sheep, for mutton</v>
      </c>
      <c r="F475" s="37" t="str" cm="1">
        <f t="array" ref="F475">Common_InputFunctions.Utility_DisplayArrayInTable(Scope3_SourceData.Scope3_Livestock_Data(), Table_SourceData_Scope3_Animals[[#Headers],[Category]], 0, 2)</f>
        <v>VIC</v>
      </c>
      <c r="G475" s="37" t="str" cm="1">
        <f t="array" ref="G475">Common_InputFunctions.Utility_DisplayArrayInTable(Scope3_SourceData.Scope3_Livestock_Data(), Table_SourceData_Scope3_Animals[[#Headers],[Category]], 0, 2)</f>
        <v>kg liveweight</v>
      </c>
      <c r="H475" s="37" cm="1">
        <f t="array" ref="H475">Common_InputFunctions.Utility_DisplayArrayInTable(Scope3_SourceData.Scope3_Livestock_Data(), Table_SourceData_Scope3_Animals[[#Headers],[Category]], 0, 2)</f>
        <v>8.08</v>
      </c>
      <c r="I475" s="37" t="str" cm="1">
        <f t="array" ref="I475">Common_InputFunctions.Utility_DisplayArrayInTable(Scope3_SourceData.Scope3_Livestock_Data(), Table_SourceData_Scope3_Animals[[#Headers],[Category]], 0, 2)</f>
        <v>at market</v>
      </c>
    </row>
    <row r="476" spans="4:9" x14ac:dyDescent="0.25">
      <c r="D476" s="37" t="str" cm="1">
        <f t="array" ref="D476">Common_InputFunctions.Utility_DisplayArrayInTable(Scope3_SourceData.Scope3_Livestock_Data(), Table_SourceData_Scope3_Animals[[#Headers],[Category]], 0, 2)</f>
        <v>Sheep</v>
      </c>
      <c r="E476" s="37" t="str" cm="1">
        <f t="array" ref="E476">Common_InputFunctions.Utility_DisplayArrayInTable(Scope3_SourceData.Scope3_Livestock_Data(), Table_SourceData_Scope3_Animals[[#Headers],[Category]], 0, 2)</f>
        <v>Sheep, for mutton</v>
      </c>
      <c r="F476" s="37" t="str" cm="1">
        <f t="array" ref="F476">Common_InputFunctions.Utility_DisplayArrayInTable(Scope3_SourceData.Scope3_Livestock_Data(), Table_SourceData_Scope3_Animals[[#Headers],[Category]], 0, 2)</f>
        <v>WA</v>
      </c>
      <c r="G476" s="37" t="str" cm="1">
        <f t="array" ref="G476">Common_InputFunctions.Utility_DisplayArrayInTable(Scope3_SourceData.Scope3_Livestock_Data(), Table_SourceData_Scope3_Animals[[#Headers],[Category]], 0, 2)</f>
        <v>kg liveweight</v>
      </c>
      <c r="H476" s="37" cm="1">
        <f t="array" ref="H476">Common_InputFunctions.Utility_DisplayArrayInTable(Scope3_SourceData.Scope3_Livestock_Data(), Table_SourceData_Scope3_Animals[[#Headers],[Category]], 0, 2)</f>
        <v>5.45</v>
      </c>
      <c r="I476" s="37" t="str" cm="1">
        <f t="array" ref="I476">Common_InputFunctions.Utility_DisplayArrayInTable(Scope3_SourceData.Scope3_Livestock_Data(), Table_SourceData_Scope3_Animals[[#Headers],[Category]], 0, 2)</f>
        <v>at market</v>
      </c>
    </row>
    <row r="477" spans="4:9" x14ac:dyDescent="0.25">
      <c r="D477" s="37" t="str" cm="1">
        <f t="array" ref="D477">Common_InputFunctions.Utility_DisplayArrayInTable(Scope3_SourceData.Scope3_Livestock_Data(), Table_SourceData_Scope3_Animals[[#Headers],[Category]], 0, 2)</f>
        <v>Sheep</v>
      </c>
      <c r="E477" s="37" t="str" cm="1">
        <f t="array" ref="E477">Common_InputFunctions.Utility_DisplayArrayInTable(Scope3_SourceData.Scope3_Livestock_Data(), Table_SourceData_Scope3_Animals[[#Headers],[Category]], 0, 2)</f>
        <v>Sheep, for prime lamb</v>
      </c>
      <c r="F477" s="37" t="str" cm="1">
        <f t="array" ref="F477">Common_InputFunctions.Utility_DisplayArrayInTable(Scope3_SourceData.Scope3_Livestock_Data(), Table_SourceData_Scope3_Animals[[#Headers],[Category]], 0, 2)</f>
        <v>Australia</v>
      </c>
      <c r="G477" s="37" t="str" cm="1">
        <f t="array" ref="G477">Common_InputFunctions.Utility_DisplayArrayInTable(Scope3_SourceData.Scope3_Livestock_Data(), Table_SourceData_Scope3_Animals[[#Headers],[Category]], 0, 2)</f>
        <v>kg liveweight</v>
      </c>
      <c r="H477" s="37" cm="1">
        <f t="array" ref="H477">Common_InputFunctions.Utility_DisplayArrayInTable(Scope3_SourceData.Scope3_Livestock_Data(), Table_SourceData_Scope3_Animals[[#Headers],[Category]], 0, 2)</f>
        <v>7.15</v>
      </c>
      <c r="I477" s="37" t="str" cm="1">
        <f t="array" ref="I477">Common_InputFunctions.Utility_DisplayArrayInTable(Scope3_SourceData.Scope3_Livestock_Data(), Table_SourceData_Scope3_Animals[[#Headers],[Category]], 0, 2)</f>
        <v>at market</v>
      </c>
    </row>
    <row r="478" spans="4:9" x14ac:dyDescent="0.25">
      <c r="D478" s="37" t="str" cm="1">
        <f t="array" ref="D478">Common_InputFunctions.Utility_DisplayArrayInTable(Scope3_SourceData.Scope3_Livestock_Data(), Table_SourceData_Scope3_Animals[[#Headers],[Category]], 0, 2)</f>
        <v>Sheep</v>
      </c>
      <c r="E478" s="37" t="str" cm="1">
        <f t="array" ref="E478">Common_InputFunctions.Utility_DisplayArrayInTable(Scope3_SourceData.Scope3_Livestock_Data(), Table_SourceData_Scope3_Animals[[#Headers],[Category]], 0, 2)</f>
        <v>Sheep, for prime lamb</v>
      </c>
      <c r="F478" s="37" t="str" cm="1">
        <f t="array" ref="F478">Common_InputFunctions.Utility_DisplayArrayInTable(Scope3_SourceData.Scope3_Livestock_Data(), Table_SourceData_Scope3_Animals[[#Headers],[Category]], 0, 2)</f>
        <v>NSW</v>
      </c>
      <c r="G478" s="37" t="str" cm="1">
        <f t="array" ref="G478">Common_InputFunctions.Utility_DisplayArrayInTable(Scope3_SourceData.Scope3_Livestock_Data(), Table_SourceData_Scope3_Animals[[#Headers],[Category]], 0, 2)</f>
        <v>kg liveweight</v>
      </c>
      <c r="H478" s="37" cm="1">
        <f t="array" ref="H478">Common_InputFunctions.Utility_DisplayArrayInTable(Scope3_SourceData.Scope3_Livestock_Data(), Table_SourceData_Scope3_Animals[[#Headers],[Category]], 0, 2)</f>
        <v>8.2899999999999991</v>
      </c>
      <c r="I478" s="37" t="str" cm="1">
        <f t="array" ref="I478">Common_InputFunctions.Utility_DisplayArrayInTable(Scope3_SourceData.Scope3_Livestock_Data(), Table_SourceData_Scope3_Animals[[#Headers],[Category]], 0, 2)</f>
        <v>at market</v>
      </c>
    </row>
    <row r="479" spans="4:9" x14ac:dyDescent="0.25">
      <c r="D479" s="37" t="str" cm="1">
        <f t="array" ref="D479">Common_InputFunctions.Utility_DisplayArrayInTable(Scope3_SourceData.Scope3_Livestock_Data(), Table_SourceData_Scope3_Animals[[#Headers],[Category]], 0, 2)</f>
        <v>Sheep</v>
      </c>
      <c r="E479" s="37" t="str" cm="1">
        <f t="array" ref="E479">Common_InputFunctions.Utility_DisplayArrayInTable(Scope3_SourceData.Scope3_Livestock_Data(), Table_SourceData_Scope3_Animals[[#Headers],[Category]], 0, 2)</f>
        <v>Sheep, for prime lamb</v>
      </c>
      <c r="F479" s="37" t="str" cm="1">
        <f t="array" ref="F479">Common_InputFunctions.Utility_DisplayArrayInTable(Scope3_SourceData.Scope3_Livestock_Data(), Table_SourceData_Scope3_Animals[[#Headers],[Category]], 0, 2)</f>
        <v>QLD</v>
      </c>
      <c r="G479" s="37" t="str" cm="1">
        <f t="array" ref="G479">Common_InputFunctions.Utility_DisplayArrayInTable(Scope3_SourceData.Scope3_Livestock_Data(), Table_SourceData_Scope3_Animals[[#Headers],[Category]], 0, 2)</f>
        <v>kg liveweight</v>
      </c>
      <c r="H479" s="37" cm="1">
        <f t="array" ref="H479">Common_InputFunctions.Utility_DisplayArrayInTable(Scope3_SourceData.Scope3_Livestock_Data(), Table_SourceData_Scope3_Animals[[#Headers],[Category]], 0, 2)</f>
        <v>6.39</v>
      </c>
      <c r="I479" s="37" t="str" cm="1">
        <f t="array" ref="I479">Common_InputFunctions.Utility_DisplayArrayInTable(Scope3_SourceData.Scope3_Livestock_Data(), Table_SourceData_Scope3_Animals[[#Headers],[Category]], 0, 2)</f>
        <v>at market</v>
      </c>
    </row>
    <row r="480" spans="4:9" x14ac:dyDescent="0.25">
      <c r="D480" s="37" t="str" cm="1">
        <f t="array" ref="D480">Common_InputFunctions.Utility_DisplayArrayInTable(Scope3_SourceData.Scope3_Livestock_Data(), Table_SourceData_Scope3_Animals[[#Headers],[Category]], 0, 2)</f>
        <v>Sheep</v>
      </c>
      <c r="E480" s="37" t="str" cm="1">
        <f t="array" ref="E480">Common_InputFunctions.Utility_DisplayArrayInTable(Scope3_SourceData.Scope3_Livestock_Data(), Table_SourceData_Scope3_Animals[[#Headers],[Category]], 0, 2)</f>
        <v>Sheep, for prime lamb</v>
      </c>
      <c r="F480" s="37" t="str" cm="1">
        <f t="array" ref="F480">Common_InputFunctions.Utility_DisplayArrayInTable(Scope3_SourceData.Scope3_Livestock_Data(), Table_SourceData_Scope3_Animals[[#Headers],[Category]], 0, 2)</f>
        <v>SA</v>
      </c>
      <c r="G480" s="37" t="str" cm="1">
        <f t="array" ref="G480">Common_InputFunctions.Utility_DisplayArrayInTable(Scope3_SourceData.Scope3_Livestock_Data(), Table_SourceData_Scope3_Animals[[#Headers],[Category]], 0, 2)</f>
        <v>kg liveweight</v>
      </c>
      <c r="H480" s="37" cm="1">
        <f t="array" ref="H480">Common_InputFunctions.Utility_DisplayArrayInTable(Scope3_SourceData.Scope3_Livestock_Data(), Table_SourceData_Scope3_Animals[[#Headers],[Category]], 0, 2)</f>
        <v>6.87</v>
      </c>
      <c r="I480" s="37" t="str" cm="1">
        <f t="array" ref="I480">Common_InputFunctions.Utility_DisplayArrayInTable(Scope3_SourceData.Scope3_Livestock_Data(), Table_SourceData_Scope3_Animals[[#Headers],[Category]], 0, 2)</f>
        <v>at market</v>
      </c>
    </row>
    <row r="481" spans="4:9" x14ac:dyDescent="0.25">
      <c r="D481" s="37" t="str" cm="1">
        <f t="array" ref="D481">Common_InputFunctions.Utility_DisplayArrayInTable(Scope3_SourceData.Scope3_Livestock_Data(), Table_SourceData_Scope3_Animals[[#Headers],[Category]], 0, 2)</f>
        <v>Sheep</v>
      </c>
      <c r="E481" s="37" t="str" cm="1">
        <f t="array" ref="E481">Common_InputFunctions.Utility_DisplayArrayInTable(Scope3_SourceData.Scope3_Livestock_Data(), Table_SourceData_Scope3_Animals[[#Headers],[Category]], 0, 2)</f>
        <v>Sheep, for prime lamb</v>
      </c>
      <c r="F481" s="37" t="str" cm="1">
        <f t="array" ref="F481">Common_InputFunctions.Utility_DisplayArrayInTable(Scope3_SourceData.Scope3_Livestock_Data(), Table_SourceData_Scope3_Animals[[#Headers],[Category]], 0, 2)</f>
        <v>TAS</v>
      </c>
      <c r="G481" s="37" t="str" cm="1">
        <f t="array" ref="G481">Common_InputFunctions.Utility_DisplayArrayInTable(Scope3_SourceData.Scope3_Livestock_Data(), Table_SourceData_Scope3_Animals[[#Headers],[Category]], 0, 2)</f>
        <v>kg liveweight</v>
      </c>
      <c r="H481" s="37" cm="1">
        <f t="array" ref="H481">Common_InputFunctions.Utility_DisplayArrayInTable(Scope3_SourceData.Scope3_Livestock_Data(), Table_SourceData_Scope3_Animals[[#Headers],[Category]], 0, 2)</f>
        <v>8.66</v>
      </c>
      <c r="I481" s="37" t="str" cm="1">
        <f t="array" ref="I481">Common_InputFunctions.Utility_DisplayArrayInTable(Scope3_SourceData.Scope3_Livestock_Data(), Table_SourceData_Scope3_Animals[[#Headers],[Category]], 0, 2)</f>
        <v>at market</v>
      </c>
    </row>
    <row r="482" spans="4:9" x14ac:dyDescent="0.25">
      <c r="D482" s="37" t="str" cm="1">
        <f t="array" ref="D482">Common_InputFunctions.Utility_DisplayArrayInTable(Scope3_SourceData.Scope3_Livestock_Data(), Table_SourceData_Scope3_Animals[[#Headers],[Category]], 0, 2)</f>
        <v>Sheep</v>
      </c>
      <c r="E482" s="37" t="str" cm="1">
        <f t="array" ref="E482">Common_InputFunctions.Utility_DisplayArrayInTable(Scope3_SourceData.Scope3_Livestock_Data(), Table_SourceData_Scope3_Animals[[#Headers],[Category]], 0, 2)</f>
        <v>Sheep, for prime lamb</v>
      </c>
      <c r="F482" s="37" t="str" cm="1">
        <f t="array" ref="F482">Common_InputFunctions.Utility_DisplayArrayInTable(Scope3_SourceData.Scope3_Livestock_Data(), Table_SourceData_Scope3_Animals[[#Headers],[Category]], 0, 2)</f>
        <v>VIC</v>
      </c>
      <c r="G482" s="37" t="str" cm="1">
        <f t="array" ref="G482">Common_InputFunctions.Utility_DisplayArrayInTable(Scope3_SourceData.Scope3_Livestock_Data(), Table_SourceData_Scope3_Animals[[#Headers],[Category]], 0, 2)</f>
        <v>kg liveweight</v>
      </c>
      <c r="H482" s="37" cm="1">
        <f t="array" ref="H482">Common_InputFunctions.Utility_DisplayArrayInTable(Scope3_SourceData.Scope3_Livestock_Data(), Table_SourceData_Scope3_Animals[[#Headers],[Category]], 0, 2)</f>
        <v>10</v>
      </c>
      <c r="I482" s="37" t="str" cm="1">
        <f t="array" ref="I482">Common_InputFunctions.Utility_DisplayArrayInTable(Scope3_SourceData.Scope3_Livestock_Data(), Table_SourceData_Scope3_Animals[[#Headers],[Category]], 0, 2)</f>
        <v>at market</v>
      </c>
    </row>
    <row r="483" spans="4:9" x14ac:dyDescent="0.25">
      <c r="D483" s="37" t="str" cm="1">
        <f t="array" ref="D483">Common_InputFunctions.Utility_DisplayArrayInTable(Scope3_SourceData.Scope3_Livestock_Data(), Table_SourceData_Scope3_Animals[[#Headers],[Category]], 0, 2)</f>
        <v>Sheep</v>
      </c>
      <c r="E483" s="37" t="str" cm="1">
        <f t="array" ref="E483">Common_InputFunctions.Utility_DisplayArrayInTable(Scope3_SourceData.Scope3_Livestock_Data(), Table_SourceData_Scope3_Animals[[#Headers],[Category]], 0, 2)</f>
        <v>Sheep, for prime lamb</v>
      </c>
      <c r="F483" s="37" t="str" cm="1">
        <f t="array" ref="F483">Common_InputFunctions.Utility_DisplayArrayInTable(Scope3_SourceData.Scope3_Livestock_Data(), Table_SourceData_Scope3_Animals[[#Headers],[Category]], 0, 2)</f>
        <v>WA</v>
      </c>
      <c r="G483" s="37" t="str" cm="1">
        <f t="array" ref="G483">Common_InputFunctions.Utility_DisplayArrayInTable(Scope3_SourceData.Scope3_Livestock_Data(), Table_SourceData_Scope3_Animals[[#Headers],[Category]], 0, 2)</f>
        <v>kg liveweight</v>
      </c>
      <c r="H483" s="37" cm="1">
        <f t="array" ref="H483">Common_InputFunctions.Utility_DisplayArrayInTable(Scope3_SourceData.Scope3_Livestock_Data(), Table_SourceData_Scope3_Animals[[#Headers],[Category]], 0, 2)</f>
        <v>5.67</v>
      </c>
      <c r="I483" s="37"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B5480-17BD-465B-9E85-DA8D9CE034E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7" t="s">
        <v>392</v>
      </c>
      <c r="E31" s="37" t="s">
        <v>406</v>
      </c>
      <c r="F31" s="1" t="s">
        <v>407</v>
      </c>
    </row>
    <row r="32" spans="1:8" ht="20.100000000000001" customHeight="1" x14ac:dyDescent="0.25">
      <c r="D32" s="37" t="str" cm="1">
        <f t="array" ref="D32">Common_InputFunctions.Utility_DisplayArrayInTable(CommonLivestock_SourceData.SourceData_Livestock_Product_BeefCattle_Data(),Table_SourceData_LivestockProduct_Beefcattle[[#Headers],[Product]],0)</f>
        <v>Cattle, for manufacturing beef</v>
      </c>
      <c r="E32" s="37"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7"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7"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7"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7"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7"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7"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7"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7" t="s">
        <v>392</v>
      </c>
      <c r="E43" s="37" t="s">
        <v>406</v>
      </c>
      <c r="F43" s="1" t="s">
        <v>408</v>
      </c>
    </row>
    <row r="44" spans="4:6" ht="20.100000000000001" customHeight="1" x14ac:dyDescent="0.25">
      <c r="D44" s="37" t="str" cm="1">
        <f t="array" ref="D44">Common_InputFunctions.Utility_DisplayArrayInTable(CommonLivestock_SourceData.SourceData_Livestock_Product_Sheep_Data(),Table_SourceData_LivestockProduct_Sheep[[#Headers],[Product]],0)</f>
        <v>Sheep, for mutton</v>
      </c>
      <c r="E44" s="37"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7" t="str" cm="1">
        <f t="array" ref="D45">Common_InputFunctions.Utility_DisplayArrayInTable(CommonLivestock_SourceData.SourceData_Livestock_Product_Sheep_Data(),Table_SourceData_LivestockProduct_Sheep[[#Headers],[Product]],0)</f>
        <v>Sheep, for prime lamb</v>
      </c>
      <c r="E45" s="37"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7" t="str" cm="1">
        <f t="array" ref="D46">Common_InputFunctions.Utility_DisplayArrayInTable(CommonLivestock_SourceData.SourceData_Livestock_Product_Sheep_Data(),Table_SourceData_LivestockProduct_Sheep[[#Headers],[Product]],0)</f>
        <v/>
      </c>
      <c r="E46" s="37"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7" t="str" cm="1">
        <f t="array" ref="D47">Common_InputFunctions.Utility_DisplayArrayInTable(CommonLivestock_SourceData.SourceData_Livestock_Product_Sheep_Data(),Table_SourceData_LivestockProduct_Sheep[[#Headers],[Product]],0)</f>
        <v/>
      </c>
      <c r="E47" s="37"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7" t="str" cm="1">
        <f t="array" ref="D48">Common_InputFunctions.Utility_DisplayArrayInTable(CommonLivestock_SourceData.SourceData_Livestock_Product_Sheep_Data(),Table_SourceData_LivestockProduct_Sheep[[#Headers],[Product]],0)</f>
        <v/>
      </c>
      <c r="E48" s="37"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7" t="str" cm="1">
        <f t="array" ref="D49">Common_InputFunctions.Utility_DisplayArrayInTable(CommonLivestock_SourceData.SourceData_Livestock_Product_Sheep_Data(),Table_SourceData_LivestockProduct_Sheep[[#Headers],[Product]],0)</f>
        <v/>
      </c>
      <c r="E49" s="37"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7" t="str" cm="1">
        <f t="array" ref="D50">Common_InputFunctions.Utility_DisplayArrayInTable(CommonLivestock_SourceData.SourceData_Livestock_Product_Sheep_Data(),Table_SourceData_LivestockProduct_Sheep[[#Headers],[Product]],0)</f>
        <v/>
      </c>
      <c r="E50" s="37"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7" t="s">
        <v>392</v>
      </c>
      <c r="E54" s="37" t="s">
        <v>406</v>
      </c>
      <c r="F54" s="1" t="s">
        <v>409</v>
      </c>
    </row>
    <row r="55" spans="4:6" ht="20.100000000000001" customHeight="1" x14ac:dyDescent="0.25">
      <c r="D55" s="37" t="str" cm="1">
        <f t="array" ref="D55">Common_InputFunctions.Utility_DisplayArrayInTable(CommonLivestock_SourceData.SourceData_Livestock_Product_Chickens_Data(),Table_SourceData_LivestockProduct_Chickens[[#Headers],[Product]],0)</f>
        <v>Chickens</v>
      </c>
      <c r="E55" s="37"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7" t="s">
        <v>392</v>
      </c>
      <c r="E59" s="37" t="s">
        <v>406</v>
      </c>
      <c r="F59" s="1" t="s">
        <v>410</v>
      </c>
    </row>
    <row r="60" spans="4:6" ht="20.100000000000001" customHeight="1" x14ac:dyDescent="0.25">
      <c r="D60" s="37" t="str" cm="1">
        <f t="array" ref="D60">Common_InputFunctions.Utility_DisplayArrayInTable(CommonLivestock_SourceData.SourceData_Livestock_Product_Dairycattle_Data(),Table_SourceData_LivestockProduct_Dairycattle[[#Headers],[Product]],0)</f>
        <v>Dairy cows</v>
      </c>
      <c r="E60" s="37"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7" t="s">
        <v>392</v>
      </c>
      <c r="E64" s="37" t="s">
        <v>406</v>
      </c>
      <c r="F64" s="1" t="s">
        <v>411</v>
      </c>
    </row>
    <row r="65" spans="4:5" x14ac:dyDescent="0.25">
      <c r="D65" s="37" t="str" cm="1">
        <f t="array" ref="D65">Common_InputFunctions.Utility_DisplayArrayInTable(CommonLivestock_SourceData.SourceData_Livestock_Product_Pigs_Data(),Table_SourceData_LivestockProduct_Pigs[[#Headers],[Product]],0)</f>
        <v>Pigs</v>
      </c>
      <c r="E65" s="37"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