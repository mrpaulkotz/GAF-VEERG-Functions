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BBFDA1C-7A70-4F9F-AC80-A00CE720DA6B}" xr6:coauthVersionLast="47" xr6:coauthVersionMax="47" xr10:uidLastSave="{00000000-0000-0000-0000-000000000000}"/>
  <bookViews>
    <workbookView xWindow="3120" yWindow="3120" windowWidth="28800" windowHeight="15345" firstSheet="6"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8"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Beef'!$E$181</definedName>
    <definedName name="X_Cell_PastureBeef_CalculatedMMSPastureRangeAndPaddock">'Input - Pasture Beef'!$E$180</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1" i="70" l="1"/>
  <c r="E180" i="70"/>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33" i="15"/>
  <c r="E32" i="15"/>
  <c r="E31" i="15"/>
  <c r="E30" i="15"/>
  <c r="E29" i="15"/>
  <c r="E13" i="15"/>
  <c r="A24" i="74"/>
  <c r="A23" i="74"/>
  <c r="A22" i="74"/>
  <c r="A21" i="74"/>
  <c r="A20" i="74"/>
  <c r="A16" i="74"/>
  <c r="A15" i="74"/>
  <c r="A14" i="74"/>
  <c r="A13" i="74"/>
  <c r="A9" i="74"/>
  <c r="A8" i="74"/>
  <c r="A4" i="74"/>
  <c r="A3" i="74"/>
  <c r="A24" i="72"/>
  <c r="A23" i="72"/>
  <c r="A22" i="72"/>
  <c r="A21" i="72"/>
  <c r="A20" i="72"/>
  <c r="A16" i="72"/>
  <c r="A15" i="72"/>
  <c r="A14" i="72"/>
  <c r="A13" i="72"/>
  <c r="A9" i="72"/>
  <c r="A8" i="72"/>
  <c r="A4" i="72"/>
  <c r="A3" i="72"/>
  <c r="A24" i="43"/>
  <c r="A23" i="43"/>
  <c r="A22" i="43"/>
  <c r="A21" i="43"/>
  <c r="A20" i="43"/>
  <c r="A16" i="43"/>
  <c r="A15" i="43"/>
  <c r="A14" i="43"/>
  <c r="A13" i="43"/>
  <c r="A9" i="43"/>
  <c r="A8" i="43"/>
  <c r="A4" i="43"/>
  <c r="A3" i="43"/>
  <c r="A24" i="108"/>
  <c r="A23" i="108"/>
  <c r="A22" i="108"/>
  <c r="A21" i="108"/>
  <c r="A20" i="108"/>
  <c r="A16" i="108"/>
  <c r="A15" i="108"/>
  <c r="A14" i="108"/>
  <c r="A13" i="108"/>
  <c r="A9" i="108"/>
  <c r="A8" i="108"/>
  <c r="A4" i="108"/>
  <c r="A3" i="108"/>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A24" i="71"/>
  <c r="A23" i="71"/>
  <c r="A22" i="71"/>
  <c r="A21" i="71"/>
  <c r="A20" i="71"/>
  <c r="A16" i="71"/>
  <c r="A15" i="71"/>
  <c r="A14" i="71"/>
  <c r="A13" i="71"/>
  <c r="A9" i="71"/>
  <c r="A8" i="71"/>
  <c r="A4" i="71"/>
  <c r="A3" i="71"/>
  <c r="D9" i="79"/>
  <c r="D8" i="79"/>
  <c r="I33" i="98"/>
  <c r="X172" i="69"/>
  <c r="X171" i="69"/>
  <c r="I14" i="98"/>
  <c r="I29" i="97"/>
  <c r="I34" i="98"/>
  <c r="I30" i="97"/>
  <c r="H226" i="76"/>
  <c r="P39" i="98"/>
  <c r="G39" i="98"/>
  <c r="Q38" i="97"/>
  <c r="G38" i="97"/>
  <c r="X270" i="76"/>
  <c r="G232" i="76"/>
  <c r="Z279" i="69"/>
  <c r="G247" i="69"/>
  <c r="M28" i="76"/>
  <c r="L28" i="76"/>
  <c r="K28" i="76"/>
  <c r="J28" i="76"/>
  <c r="I28" i="76"/>
  <c r="H28" i="76"/>
  <c r="G28" i="76"/>
  <c r="F28" i="76"/>
  <c r="E28" i="76"/>
  <c r="D28" i="76"/>
  <c r="E172" i="69"/>
  <c r="E171"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c r="E175" i="108" a="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J200" i="70" a="1"/>
  <c r="J200" i="70" s="1"/>
  <c r="J199" i="70" a="1"/>
  <c r="J199" i="70" s="1"/>
  <c r="J198" i="70" a="1"/>
  <c r="J198" i="70" s="1"/>
  <c r="J197" i="70" a="1"/>
  <c r="J197" i="70" s="1"/>
  <c r="J196" i="70" a="1"/>
  <c r="J196" i="70" s="1"/>
  <c r="J195" i="70" a="1"/>
  <c r="J195" i="70" s="1"/>
  <c r="J194" i="70" a="1"/>
  <c r="J194" i="70" s="1"/>
  <c r="J193" i="70" a="1"/>
  <c r="J193" i="70" s="1"/>
  <c r="J192" i="70" a="1"/>
  <c r="J192" i="70" s="1"/>
  <c r="I216" i="70"/>
  <c r="I215" i="70"/>
  <c r="I214" i="70"/>
  <c r="I213" i="70"/>
  <c r="I212" i="70"/>
  <c r="I211" i="70"/>
  <c r="I210" i="70"/>
  <c r="I209" i="70"/>
  <c r="I208" i="70"/>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E26" i="98"/>
  <c r="E22" i="97"/>
  <c r="E218" i="76"/>
  <c r="H53" i="108" l="1"/>
  <c r="H52" i="108"/>
  <c r="H50" i="108"/>
  <c r="H48" i="108"/>
  <c r="H51" i="108"/>
  <c r="H54" i="108"/>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I207" i="70" l="1"/>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I158" i="69" l="1"/>
  <c r="J124" i="70"/>
  <c r="J123" i="70"/>
  <c r="J122" i="70"/>
  <c r="J121" i="70"/>
  <c r="K123" i="70"/>
  <c r="K122" i="70"/>
  <c r="K121" i="70"/>
  <c r="K124" i="70"/>
  <c r="M114" i="70"/>
  <c r="M113" i="70"/>
  <c r="M112" i="70"/>
  <c r="M111" i="70"/>
  <c r="L114" i="70"/>
  <c r="L113" i="70"/>
  <c r="L111" i="70"/>
  <c r="L112"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H225" i="76" s="1"/>
  <c r="I33" i="97"/>
  <c r="L121" i="70"/>
  <c r="L123" i="70"/>
  <c r="L122" i="70"/>
  <c r="M121" i="70"/>
  <c r="N121" i="70" s="1"/>
  <c r="L124" i="70"/>
  <c r="M124" i="70"/>
  <c r="M123" i="70"/>
  <c r="M122" i="70"/>
  <c r="W172" i="69"/>
  <c r="W171" i="69"/>
  <c r="O121" i="70" l="1"/>
  <c r="N124" i="70"/>
  <c r="O124" i="70" s="1"/>
  <c r="N122" i="70"/>
  <c r="O122" i="70" s="1"/>
  <c r="N123" i="70"/>
  <c r="O123" i="70" s="1"/>
  <c r="G87" i="76"/>
  <c r="F87" i="76"/>
  <c r="E87" i="76"/>
  <c r="D87" i="76"/>
  <c r="D111" i="70"/>
  <c r="F128" i="70"/>
  <c r="Y22" i="69" s="1"/>
  <c r="E128" i="70"/>
  <c r="V92" i="76" s="1"/>
  <c r="G128" i="70"/>
  <c r="Z22" i="69" s="1"/>
  <c r="D125" i="70"/>
  <c r="E121" i="70"/>
  <c r="D127" i="70" s="1"/>
  <c r="U93" i="76" s="1"/>
  <c r="E120" i="70"/>
  <c r="D126" i="70" s="1"/>
  <c r="D6" i="69" a="1"/>
  <c r="D6" i="69" s="1"/>
  <c r="I148" i="76"/>
  <c r="U92" i="76" l="1"/>
  <c r="V109" i="76" s="1" a="1"/>
  <c r="V109" i="76" s="1"/>
  <c r="W22" i="69"/>
  <c r="X92" i="76"/>
  <c r="D128"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O20" i="98"/>
  <c r="E7" i="98"/>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X262" i="69"/>
  <c r="X261" i="69"/>
  <c r="X260" i="69"/>
  <c r="X259" i="69"/>
  <c r="X258" i="69"/>
  <c r="X257" i="69"/>
  <c r="X256" i="69"/>
  <c r="X255" i="69"/>
  <c r="X254" i="69"/>
  <c r="X253" i="69"/>
  <c r="X264" i="69"/>
  <c r="X263"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I110" i="69" s="1"/>
  <c r="D421" i="79" a="1"/>
  <c r="D421" i="79" s="1"/>
  <c r="D420" i="79" a="1"/>
  <c r="D420" i="79" s="1"/>
  <c r="D419" i="79" a="1"/>
  <c r="D419" i="79" s="1"/>
  <c r="D418" i="79" a="1"/>
  <c r="D418" i="79" s="1"/>
  <c r="E206" i="69" a="1"/>
  <c r="E104" i="76" a="1"/>
  <c r="E178" i="76" a="1"/>
  <c r="E148" i="69" a="1"/>
  <c r="E136" i="76" a="1"/>
  <c r="E39" i="69" a="1"/>
  <c r="E7" i="76" a="1"/>
  <c r="E101" i="69" a="1"/>
  <c r="E42" i="76"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6" i="69" l="1"/>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V164" i="76"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E229" i="76" s="1"/>
  <c r="G231" i="76"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J13" i="97" l="1"/>
  <c r="E16" i="97" s="1" a="1"/>
  <c r="E16" i="97" s="1"/>
  <c r="I28" i="97" s="1"/>
  <c r="E35" i="97" s="1" a="1"/>
  <c r="E35" i="97" s="1"/>
  <c r="I13" i="98"/>
  <c r="E20" i="98" s="1" a="1"/>
  <c r="E20" i="98" s="1"/>
  <c r="I32" i="98" s="1"/>
  <c r="E36" i="98" s="1" a="1"/>
  <c r="E36" i="98"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G246" i="69" s="1"/>
  <c r="E8" i="13"/>
  <c r="E10" i="13" l="1"/>
  <c r="G38" i="98"/>
  <c r="E9" i="13"/>
  <c r="G37" i="97"/>
  <c r="E249" i="69" a="1"/>
  <c r="E249" i="69" s="1"/>
  <c r="H7" i="13" s="1"/>
  <c r="E7" i="13"/>
  <c r="X276" i="69"/>
  <c r="Z278" i="69" s="1"/>
  <c r="V261" i="76"/>
  <c r="V267" i="76" s="1"/>
  <c r="X269" i="76" s="1"/>
  <c r="E41" i="98" a="1"/>
  <c r="E41" i="98" s="1"/>
  <c r="H10" i="13" s="1"/>
  <c r="E40" i="97" a="1"/>
  <c r="E40" i="97" s="1"/>
  <c r="H9" i="13" s="1"/>
  <c r="E234" i="76" a="1"/>
  <c r="E234" i="76" s="1"/>
  <c r="H8" i="13" s="1"/>
  <c r="T13" i="97" l="1"/>
  <c r="O16" i="97" s="1" a="1"/>
  <c r="O16" i="97" s="1"/>
  <c r="S28" i="97" s="1"/>
  <c r="O35" i="97" s="1" a="1"/>
  <c r="O35" i="97" s="1"/>
  <c r="R13" i="98"/>
  <c r="N20" i="98" s="1" a="1"/>
  <c r="N20" i="98" s="1"/>
  <c r="R32" i="98" s="1"/>
  <c r="N36" i="98" s="1" a="1"/>
  <c r="N36" i="98" s="1"/>
  <c r="X281" i="69" a="1"/>
  <c r="X281" i="69" s="1"/>
  <c r="I7" i="13" s="1"/>
  <c r="F7" i="13"/>
  <c r="F8" i="13"/>
  <c r="H11" i="13"/>
  <c r="F10" i="13" l="1"/>
  <c r="P38" i="98"/>
  <c r="F9" i="13"/>
  <c r="Q37" i="97"/>
  <c r="O40" i="97" s="1" a="1"/>
  <c r="O40" i="97" s="1"/>
  <c r="I9" i="13" s="1"/>
  <c r="N41" i="98" a="1"/>
  <c r="N41" i="98" s="1"/>
  <c r="I10" i="13" s="1"/>
  <c r="V272" i="76"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<sst xmlns="http://schemas.openxmlformats.org/spreadsheetml/2006/main" count="1960" uniqueCount="405">
  <si>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</si>
  <si>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</si>
  <si>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</si>
  <si>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</si>
  <si>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</si>
  <si>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</si>
  <si>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</si>
  <si>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</si>
  <si>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</si>
  <si>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</si>
  <si>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</si>
  <si>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</si>
  <si>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</si>
  <si>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</si>
  <si>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</si>
  <si>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</si>
  <si>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</si>
  <si>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</si>
  <si>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</si>
  <si>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</si>
  <si>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</si>
  <si>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</si>
  <si>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</si>
  <si>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</si>
  <si>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</si>
  <si>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</si>
  <si>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</si>
  <si>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</si>
  <si>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</si>
  <si>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</si>
  <si>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</si>
  <si>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</si>
  <si>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</si>
  <si>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</si>
  <si>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</si>
  <si>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</si>
  <si>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</si>
  <si>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</si>
  <si>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</si>
  <si>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</si>
  <si>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</si>
  <si>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</si>
  <si>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</si>
  <si>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</si>
  <si>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</si>
  <si>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</si>
  <si>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</si>
  <si>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</si>
  <si>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</si>
  <si>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</si>
  <si>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</si>
  <si>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</si>
  <si>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</si>
  <si>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</si>
  <si>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</si>
  <si>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</si>
  <si>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</si>
  <si>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</si>
  <si>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</si>
  <si>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</si>
  <si>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</si>
  <si>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</si>
  <si>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</si>
  <si>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</si>
  <si>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</si>
  <si>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</si>
  <si>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</si>
  <si>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</si>
  <si>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</si>
  <si>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</si>
  <si>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</si>
  <si>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</si>
  <si>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</si>
  <si>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</si>
  <si>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</si>
  <si>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</si>
  <si>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</si>
  <si>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</si>
  <si>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</si>
  <si>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</si>
  <si>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</si>
  <si>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</si>
  <si>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</si>
  <si>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</si>
  <si>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</si>
  <si>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</si>
  <si>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</si>
  <si>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</si>
  <si>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</si>
  <si>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</si>
  <si>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</si>
  <si>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</si>
  <si>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</si>
  <si>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</si>
  <si>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</si>
  <si>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</si>
  <si>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</si>
  <si>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</si>
  <si>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</si>
  <si>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</si>
  <si>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</si>
  <si>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</si>
  <si>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</si>
  <si>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</si>
  <si>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</si>
  <si>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</si>
  <si>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</si>
  <si>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</si>
  <si>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</si>
  <si>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</si>
  <si>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</si>
  <si>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</si>
  <si>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</si>
  <si>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</si>
  <si>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</si>
  <si>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</si>
  <si>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</si>
  <si>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</si>
  <si>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</si>
  <si>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</si>
  <si>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</si>
  <si>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</si>
  <si>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</si>
  <si>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</si>
  <si>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</si>
  <si>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</si>
  <si>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</si>
  <si>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</si>
  <si>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</si>
  <si>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</si>
  <si>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</si>
  <si>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</si>
  <si>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</si>
  <si>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</si>
  <si>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</si>
  <si>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</si>
  <si>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</si>
  <si>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</si>
  <si>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</si>
  <si>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</si>
  <si>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</si>
  <si>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</si>
  <si>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</si>
  <si>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</si>
  <si>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</si>
  <si>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</si>
  <si>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</si>
  <si>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</si>
  <si>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</si>
  <si>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</si>
  <si>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</si>
  <si>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</si>
  <si>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</si>
  <si>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</si>
  <si>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</si>
  <si>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</si>
  <si>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</si>
  <si>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</si>
  <si>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</si>
  <si>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</si>
  <si>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</si>
  <si>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</si>
  <si>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</si>
  <si>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</si>
  <si>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</si>
  <si>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</si>
  <si>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</si>
  <si>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</si>
  <si>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</si>
  <si>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</si>
  <si>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</si>
  <si>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</si>
  <si>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</si>
  <si>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</si>
  <si>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</si>
  <si>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</si>
  <si>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</si>
  <si>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</si>
  <si>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</si>
  <si>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</si>
  <si>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</si>
  <si>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</si>
  <si>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</si>
  <si>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</si>
  <si>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</si>
  <si>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</si>
  <si>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</si>
  <si>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</si>
  <si>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</si>
  <si>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</si>
  <si>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</si>
  <si>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</si>
  <si>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</si>
  <si>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</si>
  <si>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</si>
  <si>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</si>
  <si>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</si>
  <si>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</si>
  <si>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</si>
  <si>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</si>
  <si>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</si>
  <si>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</si>
  <si>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</si>
  <si>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</si>
  <si>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</si>
  <si>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</si>
  <si>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</si>
  <si>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</si>
  <si>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</si>
  <si>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</si>
  <si>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</si>
  <si>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</si>
  <si>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</si>
  <si>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</si>
  <si>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</si>
  <si>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</si>
  <si>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</si>
  <si>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</si>
  <si>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</si>
  <si>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</si>
  <si>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</si>
  <si>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</si>
  <si>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</si>
  <si>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</si>
  <si>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</si>
  <si>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</si>
  <si>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</si>
  <si>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</si>
  <si>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</si>
  <si>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</si>
  <si>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</si>
  <si>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</si>
  <si>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</si>
  <si>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</si>
  <si>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</si>
  <si>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</si>
  <si>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</si>
  <si>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</si>
  <si>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</si>
  <si>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</si>
  <si>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</si>
  <si>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</si>
  <si>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</si>
  <si>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</si>
  <si>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</si>
  <si>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</si>
  <si>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</si>
  <si>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</si>
  <si>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</si>
  <si>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</si>
  <si>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</si>
  <si>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</si>
  <si>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</si>
  <si>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</si>
  <si>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</si>
  <si>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</si>
  <si>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</si>
  <si>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</si>
  <si>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</si>
  <si>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</si>
  <si>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</si>
  <si>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</si>
  <si>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</si>
  <si>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</si>
  <si>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</si>
  <si>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</si>
  <si>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</si>
  <si>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</si>
  <si>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</si>
  <si>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</si>
  <si>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</si>
  <si>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</si>
  <si>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</si>
  <si>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</si>
  <si>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</si>
  <si>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</si>
  <si>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</si>
  <si>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</si>
  <si>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</si>
  <si>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</si>
  <si>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</si>
  <si>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</si>
  <si>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</si>
  <si>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</si>
  <si>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</si>
  <si>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</si>
  <si>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</si>
  <si>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</si>
  <si>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</si>
  <si>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</si>
  <si>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</si>
  <si>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</si>
  <si>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</si>
  <si>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</si>
  <si>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</si>
  <si>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</si>
  <si>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</si>
  <si>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</si>
  <si>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</si>
  <si>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</si>
  <si>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</si>
  <si>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</si>
  <si>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</si>
  <si>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</si>
  <si>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</si>
  <si>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</si>
  <si>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</si>
  <si>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</si>
  <si>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</si>
  <si>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</si>
  <si>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</si>
  <si>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</si>
  <si>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</si>
  <si>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</si>
  <si>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</si>
  <si>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</si>
  <si>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</si>
  <si>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</si>
  <si>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</si>
  <si>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</si>
  <si>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</si>
  <si>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</si>
  <si>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</si>
  <si>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</si>
  <si>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</si>
  <si>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</si>
  <si>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</si>
  <si>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</si>
  <si>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</si>
  <si>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</si>
  <si>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</si>
  <si>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</si>
  <si>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</si>
  <si>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</si>
  <si>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</si>
  <si>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</si>
  <si>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</si>
  <si>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</si>
  <si>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</si>
  <si>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</si>
  <si>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</si>
  <si>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</si>
  <si>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</si>
  <si>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</si>
  <si>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</si>
  <si>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</si>
  <si>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</si>
  <si>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</si>
  <si>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</si>
  <si>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</si>
  <si>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</si>
  <si>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</si>
  <si>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</si>
  <si>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</si>
  <si>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</si>
  <si>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</si>
  <si>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</si>
  <si>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</si>
  <si>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</si>
  <si>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</si>
  <si>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</si>
  <si>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</si>
  <si>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Livestock sales</t>
  </si>
  <si>
    <t>Sale date</t>
  </si>
  <si>
    <t>Head sold</t>
  </si>
  <si>
    <t>Average weight per head (kg)</t>
  </si>
  <si>
    <t>Total liveweight sold</t>
  </si>
  <si>
    <t>Class (select)</t>
  </si>
  <si>
    <t>⚠️ Livestock sales are not automatically reflected in the duration and head tables below - you will need to manually adjust head count and average liveweight</t>
  </si>
  <si>
    <t>Livestock purchases</t>
  </si>
  <si>
    <t>Table_LivestockClasses_Beefcattle</t>
  </si>
  <si>
    <t>Livestock class</t>
  </si>
  <si>
    <t>Transaction name</t>
  </si>
  <si>
    <t>Purchase date</t>
  </si>
  <si>
    <t>Purchase class (select)</t>
  </si>
  <si>
    <t>Source region (Select)</t>
  </si>
  <si>
    <t>Quantity (head)</t>
  </si>
  <si>
    <t>Liveweight (kg/head) Method 1</t>
  </si>
  <si>
    <t>Liveweight (kg/head) Method 2</t>
  </si>
  <si>
    <t>Cows from Barry</t>
  </si>
  <si>
    <t>Cattle, for prime beef</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</si>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</sst>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5"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37">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171" fontId="0" fillId="0" borderId="0" xfId="8" applyNumberFormat="1" applyFont="1" applyFill="1">
      <alignment horizontal="left" vertical="center"/>
    </xf>
    <xf numFmtId="0" fontId="0" fillId="0" borderId="0" xfId="8" applyFont="1" applyFill="1" applyAlignment="1">
      <alignment horizontal="left" vertical="center" wrapText="1"/>
    </xf>
    <xf numFmtId="15" fontId="3" fillId="0" borderId="2" xfId="15" applyNumberFormat="1">
      <alignment horizontal="center" vertical="center"/>
    </xf>
    <xf numFmtId="0" fontId="4" fillId="12" borderId="2" xfId="16" applyAlignment="1">
      <alignment horizontal="center" vertical="center" wrapText="1"/>
    </xf>
    <xf numFmtId="0" fontId="4" fillId="12" borderId="20" xfId="16" applyBorder="1">
      <alignment horizontal="center" vertical="center"/>
    </xf>
    <xf numFmtId="0" fontId="3" fillId="0" borderId="20" xfId="15" applyBorder="1">
      <alignment horizontal="center" vertical="center"/>
    </xf>
    <xf numFmtId="0" fontId="4" fillId="12" borderId="20" xfId="16" applyBorder="1" applyAlignment="1">
      <alignment horizontal="center" vertical="center" wrapText="1"/>
    </xf>
    <xf numFmtId="0" fontId="3" fillId="0" borderId="20" xfId="59" applyBorder="1">
      <alignment horizontal="center"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8FF98-B3CA-4ACF-A4A7-6C9791C2BC6C}" name="Table_Input_LivestockSales" displayName="Table_Input_LivestockSales"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755F24B7-88B2-4AC0-8B06-72F3C8BD1745}" name="Transaction name" dataCellStyle="Input text"/>
    <tableColumn id="1" xr3:uid="{05B76489-1EF7-42AE-B44C-04EEF7352FAC}" name="Class (select)" dataCellStyle="Input select"/>
    <tableColumn id="2" xr3:uid="{2596D4CB-02DE-4383-A6FE-7F1D3A9BA1A0}" name="Sale date" dataDxfId="123"/>
    <tableColumn id="3" xr3:uid="{72DBF133-1787-4BEF-ACD0-F2E7D2677BE2}" name="Head sold"/>
    <tableColumn id="4" xr3:uid="{D1D1EC0E-BC7D-4056-963B-6114D9C3C386}" name="Average weight per head (kg)"/>
    <tableColumn id="5" xr3:uid="{690E0F2F-991C-4DED-B6FE-D6EB17B2C002}"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38C2A3-81F8-474C-86CB-9B36DB764F55}" name="Table_Input_LivestockPurchases_Beefcattle" displayName="Table_Input_LivestockPurchases_Beefcattle"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DFBB6BF6-26A3-4D99-A5C8-B755A69B47E5}" name="Transaction name" dataCellStyle="Input text"/>
    <tableColumn id="13" xr3:uid="{AC988CAD-AFD4-4847-845B-EED5680D1634}" name="Purchase date" dataCellStyle="Input text"/>
    <tableColumn id="11" xr3:uid="{4830F2D3-12EF-4365-905A-D27B750D9D77}" name="Class (select)" dataDxfId="122" dataCellStyle="Input select"/>
    <tableColumn id="2" xr3:uid="{7F063362-12BB-4418-97CC-E62592B8226F}" name="Purchase class (select)" dataDxfId="121" dataCellStyle="Input select"/>
    <tableColumn id="6" xr3:uid="{7919A336-9815-4A07-A352-86BA6315626F}" name="Source region (Select)" dataDxfId="120" dataCellStyle="Input select"/>
    <tableColumn id="3" xr3:uid="{6DF9AC8F-7703-42E3-A945-4C0686E7B41F}" name="Quantity (head)" dataCellStyle="Input number general"/>
    <tableColumn id="12" xr3:uid="{41BEF5A8-E78A-4FD2-A9AB-1FB47019CCDA}"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3644BC5E-0AD5-41DF-87AC-4144F5062F18}"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31"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30"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5F081C-C6F5-431A-A7CD-A034D8269F0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8DF614A-57D2-41C6-9E64-964CA92028F5}" name="State/Territory">
      <calculatedColumnFormula array="1">Common_InputFunctions.Utility_DisplayArrayInTable(Common_SourceData.Common_SourceData_AustralianStatesTerritories_Data(),Table_AustralianStates[[#Headers],[State/Territory]],0)</calculatedColumnFormula>
    </tableColumn>
    <tableColumn id="2" xr3:uid="{F692CBF8-6796-47D4-B7D0-4C93CF5655A2}" name="Common Name">
      <calculatedColumnFormula array="1">Common_InputFunctions.Utility_DisplayArrayInTable(Common_SourceData.Common_SourceData_AustralianStatesTerritories_Data(),Table_AustralianStates[[#Headers],[State/Territory]],0)</calculatedColumnFormula>
    </tableColumn>
    <tableColumn id="3" xr3:uid="{4A9867C9-FE93-4222-AEBF-0529F41C21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9E0FD4F-C516-422E-9475-A69EF9491B51}" name="Table_WASA4Areas" displayName="Table_WASA4Areas" ref="D20:D30" totalsRowShown="0">
  <autoFilter ref="D20:D30" xr:uid="{5FA81339-C6C8-4D36-BEEA-6C4AEDD9E676}">
    <filterColumn colId="0" hiddenButton="1"/>
  </autoFilter>
  <tableColumns count="1">
    <tableColumn id="1" xr3:uid="{8F5B330D-FAD7-40FC-AF57-1B76FC01D91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7436B2-B41B-42D9-9819-221A726E31DB}" name="Table_GWPData" displayName="Table_GWPData" ref="D36:E43" totalsRowShown="0">
  <autoFilter ref="D36:E43" xr:uid="{B8E87A66-3E41-4AD3-925D-01EE21B43D7A}">
    <filterColumn colId="0" hiddenButton="1"/>
    <filterColumn colId="1" hiddenButton="1"/>
  </autoFilter>
  <tableColumns count="2">
    <tableColumn id="1" xr3:uid="{A1DE5110-C2BB-4900-B550-64FEC93EED20}" name="Gas">
      <calculatedColumnFormula array="1">Common_InputFunctions.Utility_DisplayArrayInTable(Common_SourceData.Common_SourceData_GWP_Data(), Table_GWPData[[#Headers],[Gas]], 0)</calculatedColumnFormula>
    </tableColumn>
    <tableColumn id="2" xr3:uid="{89CB3979-9D7F-432B-A0FC-8BA6671882D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EE71A54-CFE1-4A5B-828D-708F1C8DD9C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E44BC98-A7D9-40C0-9125-46C44F626884}" name="Gas">
      <calculatedColumnFormula array="1">Common_InputFunctions.Utility_DisplayArrayInTable(Common_SourceData.Common_SourceData_ConvertGasElementalToMolecular_Data(),Table_GasToMolecularConversionFactor[[#Headers],[Gas]], 0)</calculatedColumnFormula>
    </tableColumn>
    <tableColumn id="5" xr3:uid="{944E8E2C-C02D-4A0E-9EA5-C3C09AD0E689}" name="Conversion factor">
      <calculatedColumnFormula array="1">Common_InputFunctions.Utility_DisplayArrayInTable(Common_SourceData.Common_SourceData_ConvertGasElementalToMolecular_Data(),Table_GasToMolecularConversionFactor[[#Headers],[Gas]], 0)</calculatedColumnFormula>
    </tableColumn>
    <tableColumn id="2" xr3:uid="{62D6B421-8A7F-4357-9242-BD1A15BA265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F4D4F23-2DBA-4B01-A873-B6F84390EA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52C23D2-C0AF-4F46-B64A-72A4FFD4A2D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4B9F33-6715-4D4F-A8F4-F0FDD89969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0D2781-4A9E-4A88-A6AB-41306C0E96B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8C840A1-909D-48DB-9C8F-2F573AE18A12}"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C47B1E20-4CBA-4298-A435-AF1CD465238F}"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74BC0E69-8BCA-4306-90D9-C6B2F739E042}"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59BB5D70-E1A5-479F-9256-5B4E2863C9B5}"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C011E522-FEFE-4067-9A74-D13A88E7707C}"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019C3CB4-BA1F-4612-AA0F-AC99EA4D076E}"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311299AB-0F6F-4B40-A6B2-1C15AB3847F2}"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BD597E0F-E424-4E56-B130-0A30CA6EFCEE}"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A73660AD-4E38-408E-8D63-3A913E8B551B}"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FDEB88F8-FFA4-4749-B294-5C9A0D3449D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DF5B6A0A-7BDF-4BB5-83F7-9705AD6911DC}"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0CD1B3A4-8BD7-48F9-AA15-994EF4A6A9EB}"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61A696CE-424C-44C9-9B36-B82928FC5FB5}"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FAE30F93-78BF-4B0E-AAC0-5B8318695E08}"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804C4F05-F838-434C-AA85-C0A77B2016D4}"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07597F-0398-4B06-AE83-51136FE4C4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F7F64B7-CD38-4E1E-AE19-A6135FBF9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EAC134-2EDA-4495-A34D-706785758DD3}"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F28A06-B32E-468E-83D8-5D13D1E83D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F8F53CB-59FB-4608-BDB1-A5E1D576261C}" name="Temperature Zone">
      <calculatedColumnFormula array="1">Common_InputFunctions.Utility_DisplayArrayInTable(Common_SourceData.Common_SourceData_TemperatureZones_Data(),Table_SourceData_TemperatureZones[[#Headers],[Temperature Zone]],0)</calculatedColumnFormula>
    </tableColumn>
    <tableColumn id="2" xr3:uid="{1E51637F-A5C6-4DDE-863D-FAC79A573A88}" name="MAT">
      <calculatedColumnFormula array="1">Common_InputFunctions.Utility_DisplayArrayInTable(Common_SourceData.Common_SourceData_TemperatureZones_Data(),Table_SourceData_TemperatureZones[[#Headers],[Temperature Zone]],0)</calculatedColumnFormula>
    </tableColumn>
    <tableColumn id="3" xr3:uid="{7268E9BB-B34C-4365-BF0C-CB8806EBE5D0}" name="Min MAT">
      <calculatedColumnFormula array="1">Common_InputFunctions.Utility_DisplayArrayInTable(Common_SourceData.Common_SourceData_TemperatureZones_Data(),Table_SourceData_TemperatureZones[[#Headers],[Temperature Zone]],0)</calculatedColumnFormula>
    </tableColumn>
    <tableColumn id="4" xr3:uid="{56834330-8DB2-4279-9506-A3C12E10FAD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82C44E4-23BB-401E-9A68-285BAECAB1F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8B2EA5-4F52-4CA4-B6F6-03551065C2A2}" name="Rainfall Zone">
      <calculatedColumnFormula array="1">Common_InputFunctions.Utility_DisplayArrayInTable(Common_SourceData.Common_SourceData_RainfallZones_Data(),Table_SourceData_RainfallZones[[#Headers],[Rainfall Zone]],0)</calculatedColumnFormula>
    </tableColumn>
    <tableColumn id="2" xr3:uid="{28A8E228-16DC-4F98-A275-362E65DF1463}" name="Annual rainfall">
      <calculatedColumnFormula array="1">Common_InputFunctions.Utility_DisplayArrayInTable(Common_SourceData.Common_SourceData_RainfallZones_Data(),Table_SourceData_RainfallZones[[#Headers],[Rainfall Zone]],0)</calculatedColumnFormula>
    </tableColumn>
    <tableColumn id="3" xr3:uid="{E90A3363-78AD-415D-AFC9-2E80BEB9881F}" name="Min rainfall">
      <calculatedColumnFormula array="1">Common_InputFunctions.Utility_DisplayArrayInTable(Common_SourceData.Common_SourceData_RainfallZones_Data(),Table_SourceData_RainfallZones[[#Headers],[Rainfall Zone]],0)</calculatedColumnFormula>
    </tableColumn>
    <tableColumn id="4" xr3:uid="{BA0CE54E-D974-4512-BD06-7EE424C657E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A5BB690-6C83-48E5-B7DA-831C9476ADC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350AF9B-9E31-432F-B299-C320304AE376}" name="Leaching Zone">
      <calculatedColumnFormula array="1">Common_InputFunctions.Utility_DisplayArrayInTable(Common_SourceData.Common_SourceData_LeachingZones_Data(), Table_SourceData_LeachingZones[[#Headers],[Leaching Zone]], 0)</calculatedColumnFormula>
    </tableColumn>
    <tableColumn id="2" xr3:uid="{F5B79EB2-74EA-4894-9BE3-A08BD37E409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E78698-269C-4AEA-8887-1F3D096512D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90D8F04-859F-4301-8529-66B8FCC36476}" name="Data source">
      <calculatedColumnFormula array="1">Common_InputFunctions.Utility_DisplayArrayInTable(Common_SourceData.Common_SourceData_DataScores_Scope3_Data(), Table_SourceData_DataScores_Scope3[[#Headers],[Data source]], 0)</calculatedColumnFormula>
    </tableColumn>
    <tableColumn id="2" xr3:uid="{82602A33-55D3-4EE1-922F-6021846808B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9AD3B10-C9D8-400E-92F5-E671ACE17282}" name="Table_SourceData_FracWET" displayName="Table_SourceData_FracWET" ref="D134:E136" totalsRowShown="0">
  <autoFilter ref="D134:E136" xr:uid="{308E99BE-FE1F-47A4-B2CA-97217277C4E9}">
    <filterColumn colId="0" hiddenButton="1"/>
    <filterColumn colId="1" hiddenButton="1"/>
  </autoFilter>
  <tableColumns count="2">
    <tableColumn id="1" xr3:uid="{8D1358E5-520B-4F9A-86EF-D32A37717E85}" name="Is in leaching zone">
      <calculatedColumnFormula array="1">Common_InputFunctions.Utility_DisplayArrayInTable(Common_SourceData.Common_SourceData_FracWET_Data(),Table_SourceData_FracWET[[#Headers],[Is in leaching zone]],0)</calculatedColumnFormula>
    </tableColumn>
    <tableColumn id="2" xr3:uid="{C0D9EA1B-6DC0-4059-9E32-A791E1E292D6}"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BAA056-3463-425E-A272-9F34200132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A8DE9C5-D6F2-49AB-9D2B-7215870DF58C}" name="Production system j">
      <calculatedColumnFormula array="1">Common_InputFunctions.Utility_DisplayArrayInTable(Common_SourceData.Common_SourceData_EFN2O_Data(), Table_SourceData_Common_EFN2O[[#Headers],[Production system j]], 0)</calculatedColumnFormula>
    </tableColumn>
    <tableColumn id="2" xr3:uid="{7B847DBF-07BE-4F8C-9F57-605A82011712}" name="EFN2O">
      <calculatedColumnFormula array="1">Common_InputFunctions.Utility_DisplayArrayInTable(Common_SourceData.Common_SourceData_EFN2O_Data(), Table_SourceData_Common_EFN2O[[#Headers],[Production system j]], 0)</calculatedColumnFormula>
    </tableColumn>
    <tableColumn id="3" xr3:uid="{940DB998-4E56-4361-A5F5-9852AF57F3F2}" name="Production system only">
      <calculatedColumnFormula array="1">Common_InputFunctions.Utility_DisplayArrayInTable(Common_SourceData.Common_SourceData_EFN2O_Data(), Table_SourceData_Common_EFN2O[[#Headers],[Production system j]], 0)</calculatedColumnFormula>
    </tableColumn>
    <tableColumn id="4" xr3:uid="{FB4524BD-EFD3-4831-8A8D-0ABB405CA192}" name="Irrigation method">
      <calculatedColumnFormula array="1">Common_InputFunctions.Utility_DisplayArrayInTable(Common_SourceData.Common_SourceData_EFN2O_Data(), Table_SourceData_Common_EFN2O[[#Headers],[Production system j]], 0)</calculatedColumnFormula>
    </tableColumn>
    <tableColumn id="5" xr3:uid="{464C40C3-2CD1-4002-B1D7-09A2ECF5DF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252A60F-0B0C-4C01-A64F-2137373D162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F47AB9-8B35-459F-B453-6774DFE24294}" name="Irrigation type i">
      <calculatedColumnFormula array="1">Common_InputFunctions.Utility_DisplayArrayInTable(Common_SourceData.Common_SourceData_FracWETIrrigation_Data(), Table_SourceData_FracWETIrrigation[[#Headers],[Irrigation type i]], 0)</calculatedColumnFormula>
    </tableColumn>
    <tableColumn id="2" xr3:uid="{981381FC-9CF5-4AAB-AB5B-1A32EF297D64}"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7B4450-ECE8-458B-82D7-739CD75A4B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A081E9F-0370-463D-8D52-0C7AA55CAA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263EEAD-A79C-4181-89F7-5BB82DDEDC95}"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556663-6002-4B2E-AC21-12B90A3CA22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A6C95E4-D544-44AC-893E-2F0E054D2B36}" name="Month">
      <calculatedColumnFormula array="1">Common_InputFunctions.Utility_DisplayArrayInTable(Common_SourceData.Common_SourceData_MonthsToSeasons_Data(), Table_SourceData_Common_MonthToSeason[[#Headers],[Month]], 0)</calculatedColumnFormula>
    </tableColumn>
    <tableColumn id="2" xr3:uid="{40B3CDAA-06D2-40D0-8B0B-9C614DA6D2A3}"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3C1E72B-89A1-4C34-807B-44CCD554FA1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E2CC0-D59E-4559-A3ED-9D52B86804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A8D340C-84B5-4A93-9C33-73FB4D01935D}"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99B22DC-EDB9-4B9C-93B2-6E7C0F2F085C}"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EF7CDBD-8CA7-420A-9C1B-0F30F82138ED}"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823A77-2517-4B84-BBC5-03B30BCB8A98}"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0952260-5A80-45E6-A59D-00352FC4CD64}"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805169D-6327-4F71-93EE-30D09610D3FA}"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77A993A-8D4A-4F13-83C7-64A9EEC88A68}"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8017448-6906-4949-A62A-FFE81596EF70}"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4BC53DC-642B-4954-BE32-E97FB413A35B}"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C029DCB-64B5-4F27-97F7-E7EC07ADCE31}"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9B5E0FC-08F3-4B0F-9544-F5E082519E19}"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2BE50F8-9F21-473C-AC1C-75774AC7566C}"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E4714B-C917-4E9F-A839-3AB254E70752}"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ED3F5D-93D2-44E5-9C40-C92623B3FA87}"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49430B-AD1E-4D6F-A471-D7AF0AD635F8}"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A14E5B5-B720-431C-A065-8F960CCD09D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602AF22-6828-4F14-9953-DBF646957C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D165307-C2C2-4D8B-B2DE-383452EB0B3E}"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4" dataCellStyle="Content normal">
  <autoFilter ref="D43:E50" xr:uid="{995536B5-6CA5-4D7D-A704-9B6B595C2491}"/>
  <tableColumns count="2">
    <tableColumn id="1" xr3:uid="{E938630E-8222-4BE2-B52E-4473CFD04435}"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1" dataCellStyle="Content normal">
  <autoFilter ref="D54:E55" xr:uid="{257D8456-031C-4EEF-A8C4-474F215C3208}"/>
  <tableColumns count="2">
    <tableColumn id="1" xr3:uid="{CCAB4FA5-3C71-4C85-9272-34B79637BA1B}"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8" dataCellStyle="Content normal">
  <autoFilter ref="D59:E60" xr:uid="{71833C62-BA2B-4519-92E0-B189E393D12F}"/>
  <tableColumns count="2">
    <tableColumn id="1" xr3:uid="{BB13FB65-BFF1-4C4A-B3E1-18BD0F5BFCC3}"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5" dataCellStyle="Content normal">
  <autoFilter ref="D64:E65" xr:uid="{65FF5EF6-2A75-4137-9345-8328E2DA8F9C}"/>
  <tableColumns count="2">
    <tableColumn id="1" xr3:uid="{FF50B2BD-E102-4982-AE25-F8D8E417E7A1}"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26" Type="http://schemas.openxmlformats.org/officeDocument/2006/relationships/table" Target="../tables/table28.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 Id="rId27"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6.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7.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32"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33"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7"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32"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9" t="s">
        <v>108</v>
      </c>
      <c r="E6" s="109" t="s">
        <v>151</v>
      </c>
      <c r="F6" s="109" t="s">
        <v>152</v>
      </c>
      <c r="G6" s="109" t="s">
        <v>121</v>
      </c>
      <c r="H6" s="109" t="s">
        <v>153</v>
      </c>
      <c r="I6" s="109" t="s">
        <v>154</v>
      </c>
      <c r="J6" s="109" t="s">
        <v>122</v>
      </c>
      <c r="K6" s="21"/>
    </row>
    <row r="7" spans="1:11" ht="20.100000000000001"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100000000000001"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100000000000001"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100000000000001"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100000000000001" customHeight="1" x14ac:dyDescent="0.3">
      <c r="C11" s="21"/>
      <c r="D11" s="28" t="s">
        <v>120</v>
      </c>
      <c r="E11" s="22"/>
      <c r="F11" s="22"/>
      <c r="G11" s="28"/>
      <c r="H11" s="108">
        <f ca="1">SUM(H7:H10)</f>
        <v>172.90746835937432</v>
      </c>
      <c r="I11" s="108">
        <f ca="1">SUM(I7:I10)</f>
        <v>168.44936378150695</v>
      </c>
      <c r="J11" s="99" t="s">
        <v>147</v>
      </c>
      <c r="K11" s="21"/>
    </row>
    <row r="12" spans="1:11" ht="20.100000000000001" customHeight="1" x14ac:dyDescent="0.25">
      <c r="A12" s="18" t="s">
        <v>72</v>
      </c>
      <c r="C12" s="21"/>
      <c r="D12" s="1"/>
      <c r="E12" s="1"/>
      <c r="F12" s="1"/>
      <c r="G12" s="23"/>
      <c r="H12" s="21"/>
      <c r="I12" s="1"/>
      <c r="J12" s="1"/>
      <c r="K12" s="21"/>
    </row>
    <row r="13" spans="1:11" ht="20.100000000000001" customHeight="1" x14ac:dyDescent="0.25">
      <c r="A13" s="17" t="str">
        <f>HYPERLINK("#'4.2.1.1-2 Methane'!A1", "4.2.1.1-2 Methane")</f>
        <v>4.2.1.1-2 Methane</v>
      </c>
      <c r="C13" s="21"/>
      <c r="D13" s="1"/>
      <c r="E13" s="1"/>
      <c r="F13" s="1"/>
      <c r="G13" s="1"/>
      <c r="H13" s="23"/>
      <c r="I13" s="21"/>
      <c r="J13" s="21"/>
      <c r="K13" s="21"/>
    </row>
    <row r="14" spans="1:11" ht="20.100000000000001" customHeight="1" x14ac:dyDescent="0.3">
      <c r="A14" s="17" t="str">
        <f>HYPERLINK("#'4.2.1.3-4 Soil direct N20'!A1", "4.2.1.3-4 Soil direct N20")</f>
        <v>4.2.1.3-4 Soil direct N20</v>
      </c>
      <c r="C14" s="21"/>
      <c r="D14" s="1"/>
      <c r="E14" s="1"/>
      <c r="F14" s="1"/>
      <c r="G14" s="1"/>
      <c r="H14" s="26"/>
      <c r="I14" s="21"/>
      <c r="J14" s="21"/>
      <c r="K14" s="21"/>
    </row>
    <row r="15" spans="1:11" ht="20.100000000000001" customHeight="1" x14ac:dyDescent="0.3">
      <c r="A15" s="17" t="str">
        <f>HYPERLINK("#'4.2.1.5-6 Soil Atmos Dep'!A1", "4.2.1.5-6 Soil Atmos Dep")</f>
        <v>4.2.1.5-6 Soil Atmos Dep</v>
      </c>
      <c r="C15" s="21"/>
      <c r="D15" s="1"/>
      <c r="E15" s="1"/>
      <c r="F15" s="1"/>
      <c r="G15" s="1"/>
      <c r="H15" s="26"/>
      <c r="I15" s="21"/>
      <c r="J15" s="21"/>
      <c r="K15" s="21"/>
    </row>
    <row r="16" spans="1:11" ht="20.100000000000001" customHeight="1" x14ac:dyDescent="0.3">
      <c r="A16" s="17" t="str">
        <f>HYPERLINK("#'4.2.1.7-8 Soil leach runoff'!A1", "4.2.1.7-8 Soil leach runoff")</f>
        <v>4.2.1.7-8 Soil leach runoff</v>
      </c>
      <c r="C16" s="21"/>
      <c r="D16" s="1"/>
      <c r="E16" s="1"/>
      <c r="F16" s="1"/>
      <c r="G16" s="1"/>
      <c r="H16" s="26"/>
      <c r="I16" s="21"/>
      <c r="J16" s="21"/>
      <c r="K16" s="21"/>
    </row>
    <row r="17" spans="1:11" ht="20.100000000000001" customHeight="1" x14ac:dyDescent="0.3">
      <c r="C17" s="21"/>
      <c r="D17" s="1"/>
      <c r="E17" s="1"/>
      <c r="F17" s="1"/>
      <c r="G17" s="1"/>
      <c r="H17" s="26"/>
      <c r="I17" s="21"/>
      <c r="J17" s="21"/>
      <c r="K17" s="21"/>
    </row>
    <row r="18" spans="1:11" ht="20.100000000000001" customHeight="1" x14ac:dyDescent="0.3">
      <c r="C18" s="21"/>
      <c r="D18" s="1"/>
      <c r="E18" s="1"/>
      <c r="F18" s="1"/>
      <c r="G18" s="1"/>
      <c r="H18" s="26"/>
      <c r="I18" s="21"/>
      <c r="J18" s="21"/>
      <c r="K18" s="21"/>
    </row>
    <row r="19" spans="1:11" ht="20.100000000000001" customHeight="1" x14ac:dyDescent="0.3">
      <c r="A19" s="133" t="s">
        <v>1</v>
      </c>
      <c r="C19" s="21"/>
      <c r="D19" s="1"/>
      <c r="E19" s="1"/>
      <c r="F19" s="1"/>
      <c r="G19" s="1"/>
      <c r="H19" s="26"/>
      <c r="I19" s="21"/>
      <c r="J19" s="21"/>
      <c r="K19" s="21"/>
    </row>
    <row r="20" spans="1:11" ht="20.100000000000001" customHeight="1" x14ac:dyDescent="0.3">
      <c r="A20" s="17" t="str">
        <f>HYPERLINK("#'Constants - Pasture Beef'!A1", "Constants - Pasture Beef")</f>
        <v>Constants - Pasture Beef</v>
      </c>
      <c r="C20" s="21"/>
      <c r="D20" s="1"/>
      <c r="E20" s="1"/>
      <c r="F20" s="1"/>
      <c r="G20" s="1"/>
      <c r="H20" s="26"/>
      <c r="I20" s="21"/>
      <c r="J20" s="21"/>
      <c r="K20" s="21"/>
    </row>
    <row r="21" spans="1:11" ht="20.100000000000001" customHeight="1" x14ac:dyDescent="0.3">
      <c r="A21" s="17" t="str">
        <f>HYPERLINK("#'Constants - Common'!A1", "Constants - Common")</f>
        <v>Constants - Common</v>
      </c>
      <c r="C21" s="21"/>
      <c r="D21" s="1"/>
      <c r="E21" s="1"/>
      <c r="F21" s="1"/>
      <c r="G21" s="1"/>
      <c r="H21" s="26"/>
      <c r="I21" s="21"/>
      <c r="J21" s="21"/>
      <c r="K21" s="21"/>
    </row>
    <row r="22" spans="1:11" ht="20.100000000000001" customHeight="1" x14ac:dyDescent="0.3">
      <c r="A22" s="17" t="str">
        <f>HYPERLINK("#'Constants - Common Livestock'!A1", "Constants - Common Livestock")</f>
        <v>Constants - Common Livestock</v>
      </c>
      <c r="C22" s="21"/>
      <c r="D22" s="1"/>
      <c r="E22" s="1"/>
      <c r="F22" s="1"/>
      <c r="G22" s="1"/>
      <c r="H22" s="26"/>
      <c r="I22" s="21"/>
      <c r="J22" s="21"/>
      <c r="K22" s="21"/>
    </row>
    <row r="23" spans="1:11" ht="20.100000000000001" customHeight="1" x14ac:dyDescent="0.3">
      <c r="A23" s="17" t="str">
        <f>HYPERLINK("#'Acknowledgements'!A1", "Acknowledgements")</f>
        <v>Acknowledgements</v>
      </c>
      <c r="C23" s="21"/>
      <c r="D23" s="1"/>
      <c r="E23" s="1"/>
      <c r="F23" s="1"/>
      <c r="G23" s="1"/>
      <c r="H23" s="26"/>
      <c r="I23" s="21"/>
      <c r="J23" s="21"/>
      <c r="K23" s="21"/>
    </row>
    <row r="24" spans="1:11" ht="20.100000000000001" customHeight="1" x14ac:dyDescent="0.3">
      <c r="A24" s="17" t="str">
        <f>HYPERLINK("#'Tab template'!A1", "Tab template")</f>
        <v>Tab template</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5"/>
      <c r="J38" s="105"/>
      <c r="K38" s="21"/>
    </row>
    <row r="39" spans="3:11" ht="20.100000000000001" customHeight="1" x14ac:dyDescent="0.25">
      <c r="C39" s="21"/>
      <c r="D39" s="1"/>
      <c r="E39" s="1"/>
      <c r="F39" s="1"/>
      <c r="G39" s="1"/>
      <c r="H39" s="1"/>
      <c r="I39" s="105"/>
      <c r="J39" s="105"/>
      <c r="K39" s="21"/>
    </row>
    <row r="40" spans="3:11" ht="20.100000000000001" customHeight="1" x14ac:dyDescent="0.25">
      <c r="C40" s="21"/>
      <c r="D40" s="1"/>
      <c r="E40" s="1"/>
      <c r="F40" s="1"/>
      <c r="G40" s="1"/>
      <c r="H40" s="1"/>
      <c r="I40" s="105"/>
      <c r="J40" s="105"/>
      <c r="K40" s="21"/>
    </row>
    <row r="41" spans="3:11" ht="20.100000000000001" customHeight="1" x14ac:dyDescent="0.25">
      <c r="C41" s="21"/>
      <c r="D41" s="1"/>
      <c r="E41" s="1"/>
      <c r="F41" s="1"/>
      <c r="G41" s="1"/>
      <c r="H41" s="1"/>
      <c r="I41" s="105"/>
      <c r="J41" s="105"/>
      <c r="K41" s="21"/>
    </row>
    <row r="42" spans="3:11" ht="20.100000000000001" customHeight="1" x14ac:dyDescent="0.25">
      <c r="C42" s="21"/>
      <c r="D42" s="1"/>
      <c r="E42" s="1"/>
      <c r="F42" s="1"/>
      <c r="G42" s="1"/>
      <c r="H42" s="1"/>
      <c r="I42" s="105"/>
      <c r="J42" s="105"/>
      <c r="K42" s="21"/>
    </row>
    <row r="43" spans="3:11" ht="20.100000000000001" customHeight="1" x14ac:dyDescent="0.25">
      <c r="C43" s="21"/>
      <c r="D43" s="1"/>
      <c r="E43" s="1"/>
      <c r="F43" s="1"/>
      <c r="G43" s="1"/>
      <c r="H43" s="1"/>
      <c r="I43" s="105"/>
      <c r="J43" s="105"/>
      <c r="K43" s="21"/>
    </row>
    <row r="44" spans="3:11" ht="20.100000000000001" customHeight="1" x14ac:dyDescent="0.25">
      <c r="C44" s="21"/>
      <c r="D44" s="1"/>
      <c r="E44" s="1"/>
      <c r="F44" s="1"/>
      <c r="G44" s="1"/>
      <c r="H44" s="1"/>
      <c r="I44" s="105"/>
      <c r="J44" s="105"/>
      <c r="K44" s="21"/>
    </row>
    <row r="45" spans="3:11" ht="20.100000000000001" customHeight="1" x14ac:dyDescent="0.25">
      <c r="C45" s="21"/>
      <c r="D45" s="1"/>
      <c r="E45" s="1"/>
      <c r="F45" s="1"/>
      <c r="G45" s="1"/>
      <c r="H45" s="1"/>
      <c r="I45" s="105"/>
      <c r="J45" s="105"/>
      <c r="K45" s="21"/>
    </row>
    <row r="46" spans="3:11" ht="20.100000000000001" customHeight="1" x14ac:dyDescent="0.25">
      <c r="C46" s="21"/>
      <c r="D46" s="1"/>
      <c r="E46" s="1"/>
      <c r="F46" s="1"/>
      <c r="G46" s="1"/>
      <c r="H46" s="1"/>
      <c r="I46" s="105"/>
      <c r="J46" s="105"/>
      <c r="K46" s="21"/>
    </row>
    <row r="47" spans="3:11" ht="20.100000000000001" customHeight="1" x14ac:dyDescent="0.25">
      <c r="C47" s="21"/>
      <c r="D47" s="1"/>
      <c r="E47" s="1"/>
      <c r="F47" s="1"/>
      <c r="G47" s="1"/>
      <c r="H47" s="1"/>
      <c r="I47" s="105"/>
      <c r="J47" s="105"/>
      <c r="K47" s="21"/>
    </row>
    <row r="48" spans="3:11" ht="20.100000000000001" customHeight="1" x14ac:dyDescent="0.25">
      <c r="C48" s="21"/>
      <c r="D48" s="1"/>
      <c r="E48" s="1"/>
      <c r="F48" s="1"/>
      <c r="G48" s="1"/>
      <c r="H48" s="1"/>
      <c r="I48" s="105"/>
      <c r="J48" s="105"/>
      <c r="K48" s="21"/>
    </row>
    <row r="49" spans="3:11" ht="20.100000000000001" customHeight="1" x14ac:dyDescent="0.25">
      <c r="C49" s="21"/>
      <c r="D49" s="1"/>
      <c r="E49" s="1"/>
      <c r="F49" s="1"/>
      <c r="G49" s="1"/>
      <c r="H49" s="105"/>
      <c r="I49" s="105"/>
      <c r="J49" s="105"/>
      <c r="K49" s="21"/>
    </row>
    <row r="50" spans="3:11" ht="20.100000000000001" customHeight="1" x14ac:dyDescent="0.25">
      <c r="C50" s="21"/>
      <c r="D50" s="1"/>
      <c r="E50" s="1"/>
      <c r="F50" s="1"/>
      <c r="G50" s="1"/>
      <c r="H50" s="105"/>
      <c r="I50" s="105"/>
      <c r="J50" s="105"/>
      <c r="K50" s="21"/>
    </row>
    <row r="51" spans="3:11" ht="20.100000000000001" customHeight="1" x14ac:dyDescent="0.25">
      <c r="C51" s="21"/>
      <c r="D51" s="1"/>
      <c r="E51" s="1"/>
      <c r="F51" s="1"/>
      <c r="G51" s="1"/>
      <c r="H51" s="105"/>
      <c r="I51" s="105"/>
      <c r="J51" s="105"/>
      <c r="K51" s="21"/>
    </row>
    <row r="52" spans="3:11" ht="20.100000000000001" customHeight="1" x14ac:dyDescent="0.25">
      <c r="C52" s="21"/>
      <c r="D52" s="1"/>
      <c r="E52" s="1"/>
      <c r="F52" s="1"/>
      <c r="G52" s="1"/>
      <c r="H52" s="105"/>
      <c r="I52" s="105"/>
      <c r="J52" s="105"/>
      <c r="K52" s="21"/>
    </row>
    <row r="53" spans="3:11" ht="20.100000000000001" customHeight="1" x14ac:dyDescent="0.25">
      <c r="C53" s="21"/>
      <c r="D53" s="1"/>
      <c r="E53" s="1"/>
      <c r="F53" s="1"/>
      <c r="G53" s="1"/>
      <c r="H53" s="105"/>
      <c r="I53" s="105"/>
      <c r="J53" s="105"/>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2"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4"/>
      <c r="D4" s="64"/>
      <c r="E4" s="64"/>
      <c r="F4" s="64"/>
      <c r="G4" s="64"/>
      <c r="H4" s="64"/>
      <c r="I4" s="64"/>
      <c r="J4" s="64"/>
      <c r="K4" s="64"/>
    </row>
    <row r="5" spans="1:24" ht="20.100000000000001" customHeight="1" x14ac:dyDescent="0.25">
      <c r="A5"/>
      <c r="D5" s="6" t="s">
        <v>12</v>
      </c>
      <c r="N5" s="39"/>
    </row>
    <row r="6" spans="1:24" ht="20.100000000000001" customHeight="1" x14ac:dyDescent="0.25">
      <c r="A6"/>
      <c r="D6" s="14"/>
      <c r="N6" s="40"/>
    </row>
    <row r="7" spans="1:24" ht="20.100000000000001" customHeight="1" x14ac:dyDescent="0.25">
      <c r="A7" s="19" t="s">
        <v>0</v>
      </c>
      <c r="D7" s="1" t="s">
        <v>4</v>
      </c>
      <c r="E7" s="32" t="s">
        <v>3</v>
      </c>
      <c r="F7" s="2"/>
    </row>
    <row r="8" spans="1:24" ht="20.100000000000001" customHeight="1" x14ac:dyDescent="0.25">
      <c r="A8" s="134" t="str">
        <f>HYPERLINK("#'Input - Site'!A1", "Site")</f>
        <v>Site</v>
      </c>
      <c r="D8" s="10" t="s">
        <v>70</v>
      </c>
      <c r="E8" s="32" t="s">
        <v>71</v>
      </c>
    </row>
    <row r="9" spans="1:24" ht="20.100000000000001" customHeight="1" x14ac:dyDescent="0.25">
      <c r="A9" s="17" t="str">
        <f>HYPERLINK("#'Input - Pasture Beef'!A1", "Pasture Beef")</f>
        <v>Pasture Beef</v>
      </c>
      <c r="N9" s="41"/>
    </row>
    <row r="10" spans="1:24" ht="20.100000000000001" customHeight="1" x14ac:dyDescent="0.25">
      <c r="A10"/>
      <c r="D10" s="89" t="s">
        <v>85</v>
      </c>
      <c r="E10" s="87"/>
      <c r="F10" s="90"/>
      <c r="G10" s="84"/>
      <c r="N10" s="41"/>
    </row>
    <row r="11" spans="1:24" ht="20.100000000000001" customHeight="1" x14ac:dyDescent="0.25">
      <c r="A11"/>
      <c r="N11" s="42"/>
    </row>
    <row r="12" spans="1:24" ht="20.100000000000001" customHeight="1" x14ac:dyDescent="0.25">
      <c r="A12" s="18" t="s">
        <v>72</v>
      </c>
      <c r="D12" s="10" t="s">
        <v>91</v>
      </c>
      <c r="E12" s="61">
        <v>45292</v>
      </c>
      <c r="F12" s="2" t="s">
        <v>68</v>
      </c>
    </row>
    <row r="13" spans="1:24" ht="20.100000000000001" customHeight="1" x14ac:dyDescent="0.25">
      <c r="A13" s="17" t="str">
        <f>HYPERLINK("#'4.2.1.1-2 Methane'!A1", "4.2.1.1-2 Methane")</f>
        <v>4.2.1.1-2 Methane</v>
      </c>
      <c r="D13" s="10" t="s">
        <v>92</v>
      </c>
      <c r="E13" s="65">
        <f>DATE(YEAR(X_Cell_Site_StartDate)+1,MONTH(X_Cell_Site_StartDate),DAY(X_Cell_Site_StartDate))-1</f>
        <v>45657</v>
      </c>
      <c r="F13" s="2" t="s">
        <v>14</v>
      </c>
      <c r="N13" s="37"/>
      <c r="O13" s="37"/>
    </row>
    <row r="14" spans="1:24" ht="20.100000000000001" customHeight="1" x14ac:dyDescent="0.25">
      <c r="A14" s="17" t="str">
        <f>HYPERLINK("#'4.2.1.3-4 Soil direct N20'!A1", "4.2.1.3-4 Soil direct N20")</f>
        <v>4.2.1.3-4 Soil direct N20</v>
      </c>
      <c r="N14" s="37"/>
      <c r="O14" s="37"/>
    </row>
    <row r="15" spans="1:24" ht="20.100000000000001" customHeight="1" x14ac:dyDescent="0.25">
      <c r="A15" s="17" t="str">
        <f>HYPERLINK("#'4.2.1.5-6 Soil Atmos Dep'!A1", "4.2.1.5-6 Soil Atmos Dep")</f>
        <v>4.2.1.5-6 Soil Atmos Dep</v>
      </c>
      <c r="N15" s="37"/>
      <c r="O15" s="37"/>
    </row>
    <row r="16" spans="1:24" ht="20.100000000000001" customHeight="1" x14ac:dyDescent="0.25">
      <c r="A16" s="17" t="str">
        <f>HYPERLINK("#'4.2.1.7-8 Soil leach runoff'!A1", "4.2.1.7-8 Soil leach runoff")</f>
        <v>4.2.1.7-8 Soil leach runoff</v>
      </c>
      <c r="D16" s="6" t="s">
        <v>11</v>
      </c>
      <c r="N16" s="37"/>
      <c r="O16" s="37"/>
    </row>
    <row r="17" spans="1:25" ht="20.100000000000001" customHeight="1" x14ac:dyDescent="0.25">
      <c r="A17"/>
    </row>
    <row r="18" spans="1:25" ht="20.100000000000001" customHeight="1" x14ac:dyDescent="0.25">
      <c r="A18"/>
      <c r="D18" s="91" t="s">
        <v>13</v>
      </c>
      <c r="E18" s="86"/>
      <c r="F18" s="86"/>
      <c r="G18" s="82"/>
    </row>
    <row r="19" spans="1:25" ht="20.100000000000001" customHeight="1" x14ac:dyDescent="0.25">
      <c r="A19" s="133" t="s">
        <v>1</v>
      </c>
      <c r="D19" s="88" t="s">
        <v>69</v>
      </c>
      <c r="E19" s="85"/>
      <c r="F19" s="85"/>
      <c r="G19" s="83"/>
      <c r="N19" s="39"/>
    </row>
    <row r="20" spans="1:25" ht="20.100000000000001" customHeight="1" x14ac:dyDescent="0.25">
      <c r="A20" s="17" t="str">
        <f>HYPERLINK("#'Constants - Pasture Beef'!A1", "Constants - Pasture Beef")</f>
        <v>Constants - Pasture Beef</v>
      </c>
      <c r="D20" s="1"/>
      <c r="E20" s="30"/>
      <c r="F20" s="2"/>
      <c r="N20" s="40"/>
    </row>
    <row r="21" spans="1:25" ht="20.100000000000001" customHeight="1" x14ac:dyDescent="0.25">
      <c r="A21" s="17" t="str">
        <f>HYPERLINK("#'Constants - Common'!A1", "Constants - Common")</f>
        <v>Constants - Common</v>
      </c>
      <c r="D21" s="1" t="s">
        <v>5</v>
      </c>
      <c r="E21" s="38" t="s">
        <v>212</v>
      </c>
      <c r="F21" s="2" t="s">
        <v>8</v>
      </c>
    </row>
    <row r="22" spans="1:25" ht="20.100000000000001" customHeight="1" x14ac:dyDescent="0.25">
      <c r="A22" s="17" t="str">
        <f>HYPERLINK("#'Constants - Common Livestock'!A1", "Constants - Common Livestock")</f>
        <v>Constants - Common Livestock</v>
      </c>
      <c r="D22" s="1" t="s">
        <v>23</v>
      </c>
      <c r="E22" s="38" t="s">
        <v>32</v>
      </c>
      <c r="F22" s="2" t="s">
        <v>8</v>
      </c>
      <c r="G22" s="1"/>
    </row>
    <row r="23" spans="1:25" ht="20.100000000000001" customHeight="1" x14ac:dyDescent="0.25">
      <c r="A23" s="17" t="str">
        <f>HYPERLINK("#'Acknowledgements'!A1", "Acknowledgements")</f>
        <v>Acknowledgements</v>
      </c>
      <c r="D23" s="1" t="s">
        <v>6</v>
      </c>
      <c r="E23" s="38" t="s">
        <v>90</v>
      </c>
      <c r="F23" s="2" t="s">
        <v>8</v>
      </c>
    </row>
    <row r="24" spans="1:25" ht="20.100000000000001" customHeight="1" x14ac:dyDescent="0.25">
      <c r="A24" s="17" t="str">
        <f>HYPERLINK("#'Tab template'!A1", "Tab template")</f>
        <v>Tab template</v>
      </c>
      <c r="D24" s="1" t="s">
        <v>37</v>
      </c>
      <c r="E24" s="32">
        <v>307.7</v>
      </c>
      <c r="F24" s="2" t="s">
        <v>51</v>
      </c>
    </row>
    <row r="25" spans="1:25" ht="20.100000000000001" customHeight="1" x14ac:dyDescent="0.25">
      <c r="A25"/>
      <c r="D25" s="1" t="s">
        <v>59</v>
      </c>
      <c r="E25" s="32">
        <v>18</v>
      </c>
      <c r="F25" s="2" t="s">
        <v>9</v>
      </c>
      <c r="N25" s="40"/>
    </row>
    <row r="26" spans="1:25" ht="20.100000000000001" customHeight="1" x14ac:dyDescent="0.25">
      <c r="A26"/>
      <c r="D26" s="1" t="s">
        <v>60</v>
      </c>
      <c r="E26" s="32">
        <v>601</v>
      </c>
      <c r="F26" s="2" t="s">
        <v>10</v>
      </c>
    </row>
    <row r="27" spans="1:25" ht="20.100000000000001" customHeight="1" x14ac:dyDescent="0.25">
      <c r="A27"/>
      <c r="D27" s="10" t="s">
        <v>61</v>
      </c>
      <c r="E27" s="32">
        <v>1326</v>
      </c>
      <c r="F27" s="2" t="s">
        <v>10</v>
      </c>
    </row>
    <row r="28" spans="1:25" ht="20.100000000000001" customHeight="1" x14ac:dyDescent="0.25">
      <c r="A28"/>
      <c r="D28" s="1" t="s">
        <v>62</v>
      </c>
      <c r="E28" s="32">
        <v>7</v>
      </c>
      <c r="F28" s="2" t="s">
        <v>52</v>
      </c>
    </row>
    <row r="29" spans="1:25" ht="20.100000000000001" customHeight="1" x14ac:dyDescent="0.25">
      <c r="A29"/>
      <c r="D29" s="10" t="s">
        <v>58</v>
      </c>
      <c r="E29" s="50">
        <f>X_Cell_Site_TotalRainfall/X_Cell_Site_PotentialEvapotranspiration</f>
        <v>0.45324283559577677</v>
      </c>
      <c r="F29" s="2"/>
    </row>
    <row r="30" spans="1:25" ht="20.100000000000001" customHeight="1" x14ac:dyDescent="0.25">
      <c r="A30"/>
      <c r="D30" s="10" t="s">
        <v>33</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87</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50</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A163"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100000000000001" customHeight="1" x14ac:dyDescent="0.25">
      <c r="A2"/>
      <c r="Q2" s="54"/>
      <c r="R2" s="54"/>
      <c r="S2" s="54"/>
      <c r="T2" s="54"/>
      <c r="U2" s="54"/>
      <c r="V2" s="54"/>
      <c r="W2" s="54"/>
      <c r="X2" s="54"/>
      <c r="Y2" s="54"/>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95</v>
      </c>
      <c r="P5" s="3"/>
      <c r="T5" s="7"/>
    </row>
    <row r="6" spans="1:25" ht="20.100000000000001" customHeight="1" x14ac:dyDescent="0.25">
      <c r="P6" s="3"/>
      <c r="T6" s="7"/>
    </row>
    <row r="7" spans="1:25" ht="20.100000000000001" customHeight="1" x14ac:dyDescent="0.25">
      <c r="A7" s="19" t="s">
        <v>0</v>
      </c>
      <c r="D7" s="1" t="s">
        <v>5</v>
      </c>
      <c r="E7" s="50" t="str">
        <f>X_Cell_Site_State</f>
        <v>Western Australia</v>
      </c>
      <c r="P7" s="3"/>
      <c r="T7" s="7"/>
    </row>
    <row r="8" spans="1:25" ht="20.100000000000001" customHeight="1" x14ac:dyDescent="0.25">
      <c r="A8" s="17" t="str">
        <f>HYPERLINK("#'Input - Site'!A1", "Site")</f>
        <v>Site</v>
      </c>
      <c r="D8" s="1" t="s">
        <v>198</v>
      </c>
      <c r="E8" s="38" t="s">
        <v>203</v>
      </c>
      <c r="F8" s="2" t="s">
        <v>8</v>
      </c>
      <c r="P8" s="3"/>
      <c r="T8" s="7"/>
    </row>
    <row r="9" spans="1:25" ht="20.100000000000001" customHeight="1" x14ac:dyDescent="0.25">
      <c r="A9" s="134" t="str">
        <f>HYPERLINK("#'Input - Pasture Beef'!A1", "Pasture Beef")</f>
        <v>Pasture Beef</v>
      </c>
      <c r="D9" s="1" t="s">
        <v>225</v>
      </c>
      <c r="E9" s="38" t="s">
        <v>233</v>
      </c>
      <c r="F9" s="2" t="s">
        <v>8</v>
      </c>
      <c r="T9" s="7"/>
    </row>
    <row r="10" spans="1:25" ht="20.100000000000001" customHeight="1" x14ac:dyDescent="0.25">
      <c r="T10" s="7"/>
    </row>
    <row r="11" spans="1:25" ht="20.100000000000001" customHeight="1" x14ac:dyDescent="0.25">
      <c r="T11" s="7"/>
    </row>
    <row r="12" spans="1:25" ht="20.100000000000001" customHeight="1" x14ac:dyDescent="0.25">
      <c r="A12" s="18" t="s">
        <v>72</v>
      </c>
      <c r="T12" s="7"/>
    </row>
    <row r="13" spans="1:25" ht="20.100000000000001" customHeight="1" x14ac:dyDescent="0.25">
      <c r="A13" s="17" t="str">
        <f>HYPERLINK("#'4.2.1.1-2 Methane'!A1", "4.2.1.1-2 Methane")</f>
        <v>4.2.1.1-2 Methane</v>
      </c>
      <c r="D13" s="89" t="s">
        <v>175</v>
      </c>
      <c r="E13" s="90"/>
      <c r="F13" s="90"/>
      <c r="G13" s="84"/>
      <c r="T13" s="37"/>
    </row>
    <row r="14" spans="1:25" ht="20.100000000000001" customHeight="1" x14ac:dyDescent="0.25">
      <c r="A14" s="17" t="str">
        <f>HYPERLINK("#'4.2.1.3-4 Soil direct N20'!A1", "4.2.1.3-4 Soil direct N20")</f>
        <v>4.2.1.3-4 Soil direct N20</v>
      </c>
      <c r="T14" s="37"/>
    </row>
    <row r="15" spans="1:25" ht="20.100000000000001" customHeight="1" x14ac:dyDescent="0.25">
      <c r="A15" s="17" t="str">
        <f>HYPERLINK("#'4.2.1.5-6 Soil Atmos Dep'!A1", "4.2.1.5-6 Soil Atmos Dep")</f>
        <v>4.2.1.5-6 Soil Atmos Dep</v>
      </c>
      <c r="D15" s="46" t="s">
        <v>172</v>
      </c>
      <c r="T15" s="37"/>
    </row>
    <row r="16" spans="1:25" ht="20.100000000000001"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100000000000001" customHeight="1" x14ac:dyDescent="0.25">
      <c r="D17" s="1" t="s">
        <v>167</v>
      </c>
      <c r="E17" s="50">
        <v>91.25</v>
      </c>
      <c r="F17" s="50">
        <v>91.25</v>
      </c>
      <c r="G17" s="50">
        <v>91.25</v>
      </c>
      <c r="H17" s="50">
        <v>91.25</v>
      </c>
      <c r="I17" s="50">
        <v>91.25</v>
      </c>
      <c r="J17" s="50">
        <v>91.25</v>
      </c>
      <c r="K17" s="50">
        <v>91.25</v>
      </c>
      <c r="L17" s="50">
        <v>91.25</v>
      </c>
      <c r="M17" s="50">
        <v>91.25</v>
      </c>
      <c r="N17" s="50">
        <v>91.25</v>
      </c>
      <c r="O17" s="2" t="s">
        <v>52</v>
      </c>
      <c r="T17" s="7"/>
    </row>
    <row r="18" spans="1:20" ht="20.100000000000001" customHeight="1" x14ac:dyDescent="0.25">
      <c r="D18" s="1" t="s">
        <v>168</v>
      </c>
      <c r="E18" s="50">
        <v>91.25</v>
      </c>
      <c r="F18" s="50">
        <v>91.25</v>
      </c>
      <c r="G18" s="50">
        <v>91.25</v>
      </c>
      <c r="H18" s="50">
        <v>91.25</v>
      </c>
      <c r="I18" s="50">
        <v>91.25</v>
      </c>
      <c r="J18" s="50">
        <v>91.25</v>
      </c>
      <c r="K18" s="50">
        <v>91.25</v>
      </c>
      <c r="L18" s="50">
        <v>91.25</v>
      </c>
      <c r="M18" s="50">
        <v>91.25</v>
      </c>
      <c r="N18" s="50">
        <v>91.25</v>
      </c>
      <c r="O18" s="2" t="s">
        <v>52</v>
      </c>
      <c r="T18" s="7"/>
    </row>
    <row r="19" spans="1:20" ht="20.100000000000001" customHeight="1" x14ac:dyDescent="0.25">
      <c r="A19" s="133" t="s">
        <v>1</v>
      </c>
      <c r="D19" s="1" t="s">
        <v>169</v>
      </c>
      <c r="E19" s="50">
        <v>91.25</v>
      </c>
      <c r="F19" s="50">
        <v>91.25</v>
      </c>
      <c r="G19" s="50">
        <v>91.25</v>
      </c>
      <c r="H19" s="50">
        <v>91.25</v>
      </c>
      <c r="I19" s="50">
        <v>91.25</v>
      </c>
      <c r="J19" s="50">
        <v>91.25</v>
      </c>
      <c r="K19" s="50">
        <v>91.25</v>
      </c>
      <c r="L19" s="50">
        <v>91.25</v>
      </c>
      <c r="M19" s="50">
        <v>91.25</v>
      </c>
      <c r="N19" s="50">
        <v>91.25</v>
      </c>
      <c r="O19" s="2" t="s">
        <v>52</v>
      </c>
      <c r="T19" s="7"/>
    </row>
    <row r="20" spans="1:20" ht="20.100000000000001" customHeight="1" x14ac:dyDescent="0.25">
      <c r="A20" s="17" t="str">
        <f>HYPERLINK("#'Constants - Pasture Beef'!A1", "Constants - Pasture Beef")</f>
        <v>Constants - Pasture Beef</v>
      </c>
      <c r="D20" s="1" t="s">
        <v>170</v>
      </c>
      <c r="E20" s="50">
        <v>91.25</v>
      </c>
      <c r="F20" s="50">
        <v>91.25</v>
      </c>
      <c r="G20" s="50">
        <v>91.25</v>
      </c>
      <c r="H20" s="50">
        <v>91.25</v>
      </c>
      <c r="I20" s="50">
        <v>91.25</v>
      </c>
      <c r="J20" s="50">
        <v>91.25</v>
      </c>
      <c r="K20" s="50">
        <v>91.25</v>
      </c>
      <c r="L20" s="50">
        <v>91.25</v>
      </c>
      <c r="M20" s="50">
        <v>91.25</v>
      </c>
      <c r="N20" s="50">
        <v>91.25</v>
      </c>
      <c r="O20" s="2" t="s">
        <v>52</v>
      </c>
      <c r="T20" s="7"/>
    </row>
    <row r="21" spans="1:20" ht="20.100000000000001" customHeight="1" x14ac:dyDescent="0.25">
      <c r="A21" s="17" t="str">
        <f>HYPERLINK("#'Constants - Common'!A1", "Constants - Common")</f>
        <v>Constants - Common</v>
      </c>
      <c r="T21" s="7"/>
    </row>
    <row r="22" spans="1:20" ht="20.100000000000001"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100000000000001" customHeight="1" x14ac:dyDescent="0.25">
      <c r="A23" s="17" t="str">
        <f>HYPERLINK("#'Acknowledgements'!A1", "Acknowledgements")</f>
        <v>Acknowledgements</v>
      </c>
      <c r="D23" s="1" t="str">
        <f>TEXT(X_Cell_Site_StartDate, "mmmm yyyy")</f>
        <v>January 2024</v>
      </c>
      <c r="E23" s="62">
        <f t="shared" ref="E23:N34" si="0">DAY(EOMONTH($D23,0))</f>
        <v>31</v>
      </c>
      <c r="F23" s="62">
        <f t="shared" si="0"/>
        <v>31</v>
      </c>
      <c r="G23" s="62">
        <f t="shared" si="0"/>
        <v>31</v>
      </c>
      <c r="H23" s="62">
        <f t="shared" si="0"/>
        <v>31</v>
      </c>
      <c r="I23" s="62">
        <f t="shared" si="0"/>
        <v>31</v>
      </c>
      <c r="J23" s="62">
        <f t="shared" si="0"/>
        <v>31</v>
      </c>
      <c r="K23" s="62">
        <f t="shared" si="0"/>
        <v>31</v>
      </c>
      <c r="L23" s="62">
        <f t="shared" si="0"/>
        <v>31</v>
      </c>
      <c r="M23" s="62">
        <f t="shared" si="0"/>
        <v>31</v>
      </c>
      <c r="N23" s="62">
        <f t="shared" si="0"/>
        <v>31</v>
      </c>
      <c r="O23" s="2" t="s">
        <v>52</v>
      </c>
      <c r="T23" s="7"/>
    </row>
    <row r="24" spans="1:20" ht="20.100000000000001" customHeight="1" x14ac:dyDescent="0.25">
      <c r="A24" s="17" t="str">
        <f>HYPERLINK("#'Tab template'!A1", "Tab template")</f>
        <v>Tab template</v>
      </c>
      <c r="D24" s="1" t="str">
        <f>TEXT(EDATE(X_Cell_Site_StartDate,1), "mmmm yyyy")</f>
        <v>February 2024</v>
      </c>
      <c r="E24" s="62">
        <f t="shared" si="0"/>
        <v>29</v>
      </c>
      <c r="F24" s="62">
        <f t="shared" si="0"/>
        <v>29</v>
      </c>
      <c r="G24" s="62">
        <f t="shared" si="0"/>
        <v>29</v>
      </c>
      <c r="H24" s="62">
        <f t="shared" si="0"/>
        <v>29</v>
      </c>
      <c r="I24" s="62">
        <f t="shared" si="0"/>
        <v>29</v>
      </c>
      <c r="J24" s="62">
        <f t="shared" si="0"/>
        <v>29</v>
      </c>
      <c r="K24" s="62">
        <f t="shared" si="0"/>
        <v>29</v>
      </c>
      <c r="L24" s="62">
        <f t="shared" si="0"/>
        <v>29</v>
      </c>
      <c r="M24" s="62">
        <f t="shared" si="0"/>
        <v>29</v>
      </c>
      <c r="N24" s="62">
        <f t="shared" si="0"/>
        <v>29</v>
      </c>
      <c r="O24" s="2" t="s">
        <v>52</v>
      </c>
      <c r="T24" s="7"/>
    </row>
    <row r="25" spans="1:20" ht="20.100000000000001" customHeight="1" x14ac:dyDescent="0.25">
      <c r="D25" s="1" t="str">
        <f>TEXT(EDATE(X_Cell_Site_StartDate,2), "mmmm yyyy")</f>
        <v>March 2024</v>
      </c>
      <c r="E25" s="62">
        <f t="shared" si="0"/>
        <v>31</v>
      </c>
      <c r="F25" s="62">
        <f t="shared" si="0"/>
        <v>31</v>
      </c>
      <c r="G25" s="62">
        <f t="shared" si="0"/>
        <v>31</v>
      </c>
      <c r="H25" s="62">
        <f t="shared" si="0"/>
        <v>31</v>
      </c>
      <c r="I25" s="62">
        <f t="shared" si="0"/>
        <v>31</v>
      </c>
      <c r="J25" s="62">
        <f t="shared" si="0"/>
        <v>31</v>
      </c>
      <c r="K25" s="62">
        <f t="shared" si="0"/>
        <v>31</v>
      </c>
      <c r="L25" s="62">
        <f t="shared" si="0"/>
        <v>31</v>
      </c>
      <c r="M25" s="62">
        <f t="shared" si="0"/>
        <v>31</v>
      </c>
      <c r="N25" s="62">
        <f t="shared" si="0"/>
        <v>31</v>
      </c>
      <c r="O25" s="2" t="s">
        <v>52</v>
      </c>
      <c r="T25" s="7"/>
    </row>
    <row r="26" spans="1:20" ht="20.100000000000001" customHeight="1" x14ac:dyDescent="0.25">
      <c r="D26" s="1" t="str">
        <f>TEXT(EDATE(X_Cell_Site_StartDate,3), "mmmm yyyy")</f>
        <v>April 2024</v>
      </c>
      <c r="E26" s="62">
        <f t="shared" si="0"/>
        <v>30</v>
      </c>
      <c r="F26" s="62">
        <f t="shared" si="0"/>
        <v>30</v>
      </c>
      <c r="G26" s="62">
        <f t="shared" si="0"/>
        <v>30</v>
      </c>
      <c r="H26" s="62">
        <f t="shared" si="0"/>
        <v>30</v>
      </c>
      <c r="I26" s="62">
        <f t="shared" si="0"/>
        <v>30</v>
      </c>
      <c r="J26" s="62">
        <f t="shared" si="0"/>
        <v>30</v>
      </c>
      <c r="K26" s="62">
        <f t="shared" si="0"/>
        <v>30</v>
      </c>
      <c r="L26" s="62">
        <f t="shared" si="0"/>
        <v>30</v>
      </c>
      <c r="M26" s="62">
        <f t="shared" si="0"/>
        <v>30</v>
      </c>
      <c r="N26" s="62">
        <f t="shared" si="0"/>
        <v>30</v>
      </c>
      <c r="O26" s="2" t="s">
        <v>52</v>
      </c>
      <c r="T26" s="7"/>
    </row>
    <row r="27" spans="1:20" ht="20.100000000000001" customHeight="1" x14ac:dyDescent="0.25">
      <c r="D27" s="1" t="str">
        <f>TEXT(EDATE(X_Cell_Site_StartDate,4), "mmmm yyyy")</f>
        <v>May 2024</v>
      </c>
      <c r="E27" s="62">
        <f t="shared" si="0"/>
        <v>31</v>
      </c>
      <c r="F27" s="62">
        <f t="shared" si="0"/>
        <v>31</v>
      </c>
      <c r="G27" s="62">
        <f t="shared" si="0"/>
        <v>31</v>
      </c>
      <c r="H27" s="62">
        <f t="shared" si="0"/>
        <v>31</v>
      </c>
      <c r="I27" s="62">
        <f t="shared" si="0"/>
        <v>31</v>
      </c>
      <c r="J27" s="62">
        <f t="shared" si="0"/>
        <v>31</v>
      </c>
      <c r="K27" s="62">
        <f t="shared" si="0"/>
        <v>31</v>
      </c>
      <c r="L27" s="62">
        <f t="shared" si="0"/>
        <v>31</v>
      </c>
      <c r="M27" s="62">
        <f t="shared" si="0"/>
        <v>31</v>
      </c>
      <c r="N27" s="62">
        <f t="shared" si="0"/>
        <v>31</v>
      </c>
      <c r="O27" s="2" t="s">
        <v>52</v>
      </c>
      <c r="T27" s="7"/>
    </row>
    <row r="28" spans="1:20" ht="20.100000000000001" customHeight="1" x14ac:dyDescent="0.25">
      <c r="D28" s="1" t="str">
        <f>TEXT(EDATE(X_Cell_Site_StartDate,5), "mmmm yyyy")</f>
        <v>June 2024</v>
      </c>
      <c r="E28" s="62">
        <f t="shared" si="0"/>
        <v>30</v>
      </c>
      <c r="F28" s="62">
        <f t="shared" si="0"/>
        <v>30</v>
      </c>
      <c r="G28" s="62">
        <f t="shared" si="0"/>
        <v>30</v>
      </c>
      <c r="H28" s="62">
        <f t="shared" si="0"/>
        <v>30</v>
      </c>
      <c r="I28" s="62">
        <f t="shared" si="0"/>
        <v>30</v>
      </c>
      <c r="J28" s="62">
        <f t="shared" si="0"/>
        <v>30</v>
      </c>
      <c r="K28" s="62">
        <f t="shared" si="0"/>
        <v>30</v>
      </c>
      <c r="L28" s="62">
        <f t="shared" si="0"/>
        <v>30</v>
      </c>
      <c r="M28" s="62">
        <f t="shared" si="0"/>
        <v>30</v>
      </c>
      <c r="N28" s="62">
        <f t="shared" si="0"/>
        <v>30</v>
      </c>
      <c r="O28" s="2" t="s">
        <v>52</v>
      </c>
      <c r="T28" s="7"/>
    </row>
    <row r="29" spans="1:20" ht="20.100000000000001" customHeight="1" x14ac:dyDescent="0.25">
      <c r="D29" s="1" t="str">
        <f>TEXT(EDATE(X_Cell_Site_StartDate,6), "mmmm yyyy")</f>
        <v>July 2024</v>
      </c>
      <c r="E29" s="62">
        <f t="shared" si="0"/>
        <v>31</v>
      </c>
      <c r="F29" s="62">
        <f t="shared" si="0"/>
        <v>31</v>
      </c>
      <c r="G29" s="62">
        <f t="shared" si="0"/>
        <v>31</v>
      </c>
      <c r="H29" s="62">
        <f t="shared" si="0"/>
        <v>31</v>
      </c>
      <c r="I29" s="62">
        <f t="shared" si="0"/>
        <v>31</v>
      </c>
      <c r="J29" s="62">
        <f t="shared" si="0"/>
        <v>31</v>
      </c>
      <c r="K29" s="62">
        <f t="shared" si="0"/>
        <v>31</v>
      </c>
      <c r="L29" s="62">
        <f t="shared" si="0"/>
        <v>31</v>
      </c>
      <c r="M29" s="62">
        <f t="shared" si="0"/>
        <v>31</v>
      </c>
      <c r="N29" s="62">
        <f t="shared" si="0"/>
        <v>31</v>
      </c>
      <c r="O29" s="2" t="s">
        <v>52</v>
      </c>
      <c r="T29" s="7"/>
    </row>
    <row r="30" spans="1:20" ht="20.100000000000001" customHeight="1" x14ac:dyDescent="0.25">
      <c r="D30" s="1" t="str">
        <f>TEXT(EDATE(X_Cell_Site_StartDate,7), "mmmm yyyy")</f>
        <v>August 2024</v>
      </c>
      <c r="E30" s="62">
        <f t="shared" si="0"/>
        <v>31</v>
      </c>
      <c r="F30" s="62">
        <f t="shared" si="0"/>
        <v>31</v>
      </c>
      <c r="G30" s="62">
        <f t="shared" si="0"/>
        <v>31</v>
      </c>
      <c r="H30" s="62">
        <f t="shared" si="0"/>
        <v>31</v>
      </c>
      <c r="I30" s="62">
        <f t="shared" si="0"/>
        <v>31</v>
      </c>
      <c r="J30" s="62">
        <f t="shared" si="0"/>
        <v>31</v>
      </c>
      <c r="K30" s="62">
        <f t="shared" si="0"/>
        <v>31</v>
      </c>
      <c r="L30" s="62">
        <f t="shared" si="0"/>
        <v>31</v>
      </c>
      <c r="M30" s="62">
        <f t="shared" si="0"/>
        <v>31</v>
      </c>
      <c r="N30" s="62">
        <f t="shared" si="0"/>
        <v>31</v>
      </c>
      <c r="O30" s="2" t="s">
        <v>52</v>
      </c>
      <c r="T30" s="7"/>
    </row>
    <row r="31" spans="1:20" ht="20.100000000000001" customHeight="1" x14ac:dyDescent="0.25">
      <c r="D31" s="1" t="str">
        <f>TEXT(EDATE(X_Cell_Site_StartDate,8), "mmmm yyyy")</f>
        <v>September 2024</v>
      </c>
      <c r="E31" s="62">
        <f t="shared" si="0"/>
        <v>30</v>
      </c>
      <c r="F31" s="62">
        <f t="shared" si="0"/>
        <v>30</v>
      </c>
      <c r="G31" s="62">
        <f t="shared" si="0"/>
        <v>30</v>
      </c>
      <c r="H31" s="62">
        <f t="shared" si="0"/>
        <v>30</v>
      </c>
      <c r="I31" s="62">
        <f t="shared" si="0"/>
        <v>30</v>
      </c>
      <c r="J31" s="62">
        <f t="shared" si="0"/>
        <v>30</v>
      </c>
      <c r="K31" s="62">
        <f t="shared" si="0"/>
        <v>30</v>
      </c>
      <c r="L31" s="62">
        <f t="shared" si="0"/>
        <v>30</v>
      </c>
      <c r="M31" s="62">
        <f t="shared" si="0"/>
        <v>30</v>
      </c>
      <c r="N31" s="62">
        <f t="shared" si="0"/>
        <v>30</v>
      </c>
      <c r="O31" s="2" t="s">
        <v>52</v>
      </c>
      <c r="T31" s="7"/>
    </row>
    <row r="32" spans="1:20" ht="20.100000000000001" customHeight="1" x14ac:dyDescent="0.25">
      <c r="D32" s="1" t="str">
        <f>TEXT(EDATE(X_Cell_Site_StartDate,9), "mmmm yyyy")</f>
        <v>October 2024</v>
      </c>
      <c r="E32" s="62">
        <f t="shared" si="0"/>
        <v>31</v>
      </c>
      <c r="F32" s="62">
        <f t="shared" si="0"/>
        <v>31</v>
      </c>
      <c r="G32" s="62">
        <f t="shared" si="0"/>
        <v>31</v>
      </c>
      <c r="H32" s="62">
        <f t="shared" si="0"/>
        <v>31</v>
      </c>
      <c r="I32" s="62">
        <f t="shared" si="0"/>
        <v>31</v>
      </c>
      <c r="J32" s="62">
        <f t="shared" si="0"/>
        <v>31</v>
      </c>
      <c r="K32" s="62">
        <f t="shared" si="0"/>
        <v>31</v>
      </c>
      <c r="L32" s="62">
        <f t="shared" si="0"/>
        <v>31</v>
      </c>
      <c r="M32" s="62">
        <f t="shared" si="0"/>
        <v>31</v>
      </c>
      <c r="N32" s="62">
        <f t="shared" si="0"/>
        <v>31</v>
      </c>
      <c r="O32" s="2" t="s">
        <v>52</v>
      </c>
      <c r="T32" s="7"/>
    </row>
    <row r="33" spans="4:20" ht="20.100000000000001" customHeight="1" x14ac:dyDescent="0.25">
      <c r="D33" s="1" t="str">
        <f>TEXT(EDATE(X_Cell_Site_StartDate,10), "mmmm yyyy")</f>
        <v>November 2024</v>
      </c>
      <c r="E33" s="62">
        <f t="shared" si="0"/>
        <v>30</v>
      </c>
      <c r="F33" s="62">
        <f t="shared" si="0"/>
        <v>30</v>
      </c>
      <c r="G33" s="62">
        <f t="shared" si="0"/>
        <v>30</v>
      </c>
      <c r="H33" s="62">
        <f t="shared" si="0"/>
        <v>30</v>
      </c>
      <c r="I33" s="62">
        <f t="shared" si="0"/>
        <v>30</v>
      </c>
      <c r="J33" s="62">
        <f t="shared" si="0"/>
        <v>30</v>
      </c>
      <c r="K33" s="62">
        <f t="shared" si="0"/>
        <v>30</v>
      </c>
      <c r="L33" s="62">
        <f t="shared" si="0"/>
        <v>30</v>
      </c>
      <c r="M33" s="62">
        <f t="shared" si="0"/>
        <v>30</v>
      </c>
      <c r="N33" s="62">
        <f t="shared" si="0"/>
        <v>30</v>
      </c>
      <c r="O33" s="2" t="s">
        <v>52</v>
      </c>
      <c r="T33" s="7"/>
    </row>
    <row r="34" spans="4:20" ht="20.100000000000001" customHeight="1" x14ac:dyDescent="0.25">
      <c r="D34" s="1" t="str">
        <f>TEXT(EDATE(X_Cell_Site_StartDate,11), "mmmm yyyy")</f>
        <v>December 2024</v>
      </c>
      <c r="E34" s="62">
        <f t="shared" si="0"/>
        <v>31</v>
      </c>
      <c r="F34" s="62">
        <f t="shared" si="0"/>
        <v>31</v>
      </c>
      <c r="G34" s="62">
        <f t="shared" si="0"/>
        <v>31</v>
      </c>
      <c r="H34" s="62">
        <f t="shared" si="0"/>
        <v>31</v>
      </c>
      <c r="I34" s="62">
        <f t="shared" si="0"/>
        <v>31</v>
      </c>
      <c r="J34" s="62">
        <f t="shared" si="0"/>
        <v>31</v>
      </c>
      <c r="K34" s="62">
        <f t="shared" si="0"/>
        <v>31</v>
      </c>
      <c r="L34" s="62">
        <f t="shared" si="0"/>
        <v>31</v>
      </c>
      <c r="M34" s="62">
        <f t="shared" si="0"/>
        <v>31</v>
      </c>
      <c r="N34" s="62">
        <f t="shared" si="0"/>
        <v>31</v>
      </c>
      <c r="O34" s="2" t="s">
        <v>52</v>
      </c>
      <c r="T34" s="7"/>
    </row>
    <row r="35" spans="4:20" ht="20.100000000000001" customHeight="1" x14ac:dyDescent="0.25">
      <c r="T35" s="7"/>
    </row>
    <row r="36" spans="4:20" ht="20.100000000000001" customHeight="1" x14ac:dyDescent="0.25">
      <c r="T36" s="7"/>
    </row>
    <row r="37" spans="4:20" ht="20.100000000000001" customHeight="1" x14ac:dyDescent="0.25">
      <c r="D37" s="46" t="s">
        <v>97</v>
      </c>
      <c r="T37" s="7"/>
    </row>
    <row r="38" spans="4:20" ht="20.100000000000001"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100000000000001"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100000000000001"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100000000000001"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100000000000001"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100000000000001" customHeight="1" x14ac:dyDescent="0.25">
      <c r="O43" s="2"/>
      <c r="T43" s="7"/>
    </row>
    <row r="44" spans="4:20" ht="20.100000000000001"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100000000000001"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100000000000001"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100000000000001"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100000000000001"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100000000000001"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100000000000001"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100000000000001"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100000000000001"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100000000000001"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100000000000001"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100000000000001"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100000000000001"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6" t="s">
        <v>134</v>
      </c>
      <c r="P59" s="3"/>
      <c r="T59" s="7"/>
    </row>
    <row r="60" spans="4:20" ht="20.100000000000001"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100000000000001" customHeight="1" x14ac:dyDescent="0.25">
      <c r="D61" s="1" t="s">
        <v>167</v>
      </c>
      <c r="E61" s="50">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100000000000001" customHeight="1" x14ac:dyDescent="0.25">
      <c r="D62" s="1" t="s">
        <v>168</v>
      </c>
      <c r="E62" s="50">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100000000000001" customHeight="1" x14ac:dyDescent="0.25">
      <c r="D63" s="1" t="s">
        <v>169</v>
      </c>
      <c r="E63" s="50">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100000000000001" customHeight="1" x14ac:dyDescent="0.25">
      <c r="D64" s="1" t="s">
        <v>170</v>
      </c>
      <c r="E64" s="50">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100000000000001" customHeight="1" x14ac:dyDescent="0.25">
      <c r="O65" s="2"/>
      <c r="P65" s="3"/>
      <c r="T65" s="7"/>
    </row>
    <row r="66" spans="4:20" ht="20.100000000000001"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100000000000001" customHeight="1" x14ac:dyDescent="0.25">
      <c r="D67" s="1" t="str">
        <f>TEXT(X_Cell_Site_StartDate, "mmmm yyyy")</f>
        <v>January 2024</v>
      </c>
      <c r="E67" s="62">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100000000000001" customHeight="1" x14ac:dyDescent="0.25">
      <c r="D68" s="1" t="str">
        <f>TEXT(EDATE(X_Cell_Site_StartDate,1), "mmmm yyyy")</f>
        <v>February 2024</v>
      </c>
      <c r="E68" s="62">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100000000000001" customHeight="1" x14ac:dyDescent="0.25">
      <c r="D69" s="1" t="str">
        <f>TEXT(EDATE(X_Cell_Site_StartDate,2), "mmmm yyyy")</f>
        <v>March 2024</v>
      </c>
      <c r="E69" s="62">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100000000000001" customHeight="1" x14ac:dyDescent="0.25">
      <c r="D70" s="1" t="str">
        <f>TEXT(EDATE(X_Cell_Site_StartDate,3), "mmmm yyyy")</f>
        <v>April 2024</v>
      </c>
      <c r="E70" s="62">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100000000000001" customHeight="1" x14ac:dyDescent="0.25">
      <c r="D71" s="1" t="str">
        <f>TEXT(EDATE(X_Cell_Site_StartDate,4), "mmmm yyyy")</f>
        <v>May 2024</v>
      </c>
      <c r="E71" s="62">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100000000000001" customHeight="1" x14ac:dyDescent="0.25">
      <c r="D72" s="1" t="str">
        <f>TEXT(EDATE(X_Cell_Site_StartDate,5), "mmmm yyyy")</f>
        <v>June 2024</v>
      </c>
      <c r="E72" s="62">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100000000000001" customHeight="1" x14ac:dyDescent="0.25">
      <c r="D73" s="1" t="str">
        <f>TEXT(EDATE(X_Cell_Site_StartDate,6), "mmmm yyyy")</f>
        <v>July 2024</v>
      </c>
      <c r="E73" s="62">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100000000000001" customHeight="1" x14ac:dyDescent="0.25">
      <c r="D74" s="1" t="str">
        <f>TEXT(EDATE(X_Cell_Site_StartDate,7), "mmmm yyyy")</f>
        <v>August 2024</v>
      </c>
      <c r="E74" s="62">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100000000000001" customHeight="1" x14ac:dyDescent="0.25">
      <c r="D75" s="1" t="str">
        <f>TEXT(EDATE(X_Cell_Site_StartDate,8), "mmmm yyyy")</f>
        <v>September 2024</v>
      </c>
      <c r="E75" s="62">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100000000000001" customHeight="1" x14ac:dyDescent="0.25">
      <c r="D76" s="1" t="str">
        <f>TEXT(EDATE(X_Cell_Site_StartDate,9), "mmmm yyyy")</f>
        <v>October 2024</v>
      </c>
      <c r="E76" s="62">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100000000000001" customHeight="1" x14ac:dyDescent="0.25">
      <c r="D77" s="1" t="str">
        <f>TEXT(EDATE(X_Cell_Site_StartDate,10), "mmmm yyyy")</f>
        <v>November 2024</v>
      </c>
      <c r="E77" s="62">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100000000000001" customHeight="1" x14ac:dyDescent="0.25">
      <c r="D78" s="1" t="str">
        <f>TEXT(EDATE(X_Cell_Site_StartDate,11), "mmmm yyyy")</f>
        <v>December 2024</v>
      </c>
      <c r="E78" s="62">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100000000000001" customHeight="1" x14ac:dyDescent="0.25">
      <c r="T79" s="7"/>
    </row>
    <row r="80" spans="4:20" ht="20.100000000000001" customHeight="1" x14ac:dyDescent="0.25">
      <c r="T80" s="7"/>
    </row>
    <row r="81" spans="4:20" ht="20.100000000000001" customHeight="1" x14ac:dyDescent="0.25">
      <c r="D81" s="46" t="s">
        <v>171</v>
      </c>
      <c r="T81" s="7"/>
    </row>
    <row r="82" spans="4:20" ht="20.100000000000001"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100000000000001" customHeight="1" x14ac:dyDescent="0.25">
      <c r="D83" s="1" t="s">
        <v>167</v>
      </c>
      <c r="E83" s="50">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100000000000001" customHeight="1" x14ac:dyDescent="0.25">
      <c r="D84" s="1" t="s">
        <v>168</v>
      </c>
      <c r="E84" s="50">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100000000000001" customHeight="1" x14ac:dyDescent="0.25">
      <c r="D85" s="1" t="s">
        <v>169</v>
      </c>
      <c r="E85" s="50">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100000000000001" customHeight="1" x14ac:dyDescent="0.25">
      <c r="D86" s="1" t="s">
        <v>170</v>
      </c>
      <c r="E86" s="50">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100000000000001" customHeight="1" x14ac:dyDescent="0.25">
      <c r="O87" s="2"/>
      <c r="T87" s="7"/>
    </row>
    <row r="88" spans="4:20" ht="20.100000000000001"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100000000000001" customHeight="1" x14ac:dyDescent="0.25">
      <c r="D89" s="1" t="str">
        <f>TEXT(X_Cell_Site_StartDate, "mmmm yyyy")</f>
        <v>January 2024</v>
      </c>
      <c r="E89" s="62">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100000000000001" customHeight="1" x14ac:dyDescent="0.25">
      <c r="D90" s="1" t="str">
        <f>TEXT(EDATE(X_Cell_Site_StartDate,1), "mmmm yyyy")</f>
        <v>February 2024</v>
      </c>
      <c r="E90" s="62">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100000000000001" customHeight="1" x14ac:dyDescent="0.25">
      <c r="D91" s="1" t="str">
        <f>TEXT(EDATE(X_Cell_Site_StartDate,2), "mmmm yyyy")</f>
        <v>March 2024</v>
      </c>
      <c r="E91" s="62">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100000000000001" customHeight="1" x14ac:dyDescent="0.25">
      <c r="D92" s="1" t="str">
        <f>TEXT(EDATE(X_Cell_Site_StartDate,3), "mmmm yyyy")</f>
        <v>April 2024</v>
      </c>
      <c r="E92" s="62">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100000000000001" customHeight="1" x14ac:dyDescent="0.25">
      <c r="D93" s="1" t="str">
        <f>TEXT(EDATE(X_Cell_Site_StartDate,4), "mmmm yyyy")</f>
        <v>May 2024</v>
      </c>
      <c r="E93" s="62">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100000000000001" customHeight="1" x14ac:dyDescent="0.25">
      <c r="D94" s="1" t="str">
        <f>TEXT(EDATE(X_Cell_Site_StartDate,5), "mmmm yyyy")</f>
        <v>June 2024</v>
      </c>
      <c r="E94" s="62">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100000000000001" customHeight="1" x14ac:dyDescent="0.25">
      <c r="D95" s="1" t="str">
        <f>TEXT(EDATE(X_Cell_Site_StartDate,6), "mmmm yyyy")</f>
        <v>July 2024</v>
      </c>
      <c r="E95" s="62">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100000000000001" customHeight="1" x14ac:dyDescent="0.25">
      <c r="D96" s="1" t="str">
        <f>TEXT(EDATE(X_Cell_Site_StartDate,7), "mmmm yyyy")</f>
        <v>August 2024</v>
      </c>
      <c r="E96" s="62">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100000000000001" customHeight="1" x14ac:dyDescent="0.25">
      <c r="D97" s="1" t="str">
        <f>TEXT(EDATE(X_Cell_Site_StartDate,8), "mmmm yyyy")</f>
        <v>September 2024</v>
      </c>
      <c r="E97" s="62">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100000000000001" customHeight="1" x14ac:dyDescent="0.25">
      <c r="D98" s="1" t="str">
        <f>TEXT(EDATE(X_Cell_Site_StartDate,9), "mmmm yyyy")</f>
        <v>October 2024</v>
      </c>
      <c r="E98" s="62">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100000000000001" customHeight="1" x14ac:dyDescent="0.25">
      <c r="D99" s="1" t="str">
        <f>TEXT(EDATE(X_Cell_Site_StartDate,10), "mmmm yyyy")</f>
        <v>November 2024</v>
      </c>
      <c r="E99" s="62">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100000000000001" customHeight="1" x14ac:dyDescent="0.25">
      <c r="D100" s="1" t="str">
        <f>TEXT(EDATE(X_Cell_Site_StartDate,11), "mmmm yyyy")</f>
        <v>December 2024</v>
      </c>
      <c r="E100" s="62">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100000000000001" customHeight="1" x14ac:dyDescent="0.25">
      <c r="T101" s="7"/>
    </row>
    <row r="102" spans="4:20" ht="20.100000000000001" customHeight="1" x14ac:dyDescent="0.25">
      <c r="T102" s="7"/>
    </row>
    <row r="103" spans="4:20" ht="20.100000000000001" customHeight="1" x14ac:dyDescent="0.25">
      <c r="D103" s="46" t="s">
        <v>223</v>
      </c>
      <c r="K103" s="2"/>
      <c r="L103" s="2"/>
      <c r="M103" s="2"/>
      <c r="N103" s="2"/>
      <c r="O103" s="2"/>
      <c r="T103" s="7"/>
    </row>
    <row r="104" spans="4:20" ht="20.100000000000001" customHeight="1" x14ac:dyDescent="0.25">
      <c r="D104" s="60" t="s">
        <v>130</v>
      </c>
      <c r="E104" s="60"/>
      <c r="F104" s="60"/>
      <c r="G104" s="60"/>
      <c r="T104" s="7"/>
    </row>
    <row r="105" spans="4:20" ht="20.100000000000001" customHeight="1" x14ac:dyDescent="0.25">
      <c r="D105" s="1" t="s">
        <v>240</v>
      </c>
      <c r="E105" s="38" t="s">
        <v>170</v>
      </c>
      <c r="F105" s="2" t="s">
        <v>8</v>
      </c>
      <c r="T105" s="7"/>
    </row>
    <row r="106" spans="4:20" ht="20.100000000000001" customHeight="1" x14ac:dyDescent="0.25">
      <c r="T106" s="7"/>
    </row>
    <row r="107" spans="4:20" ht="20.100000000000001" customHeight="1" x14ac:dyDescent="0.25"/>
    <row r="108" spans="4:20" ht="20.100000000000001" customHeight="1" x14ac:dyDescent="0.25">
      <c r="K108" s="1" t="s">
        <v>347</v>
      </c>
    </row>
    <row r="109" spans="4:20" ht="20.100000000000001" customHeight="1" x14ac:dyDescent="0.25"/>
    <row r="110" spans="4:20" ht="20.100000000000001" customHeight="1" x14ac:dyDescent="0.25">
      <c r="E110" s="60" t="s">
        <v>343</v>
      </c>
      <c r="F110" s="60" t="s">
        <v>160</v>
      </c>
      <c r="G110" s="60" t="s">
        <v>161</v>
      </c>
      <c r="H110" s="60" t="s">
        <v>162</v>
      </c>
      <c r="L110" s="1" t="s">
        <v>159</v>
      </c>
      <c r="M110" s="1" t="s">
        <v>163</v>
      </c>
      <c r="N110" s="2"/>
      <c r="O110" s="2"/>
    </row>
    <row r="111" spans="4:20" ht="20.100000000000001" customHeight="1" x14ac:dyDescent="0.25">
      <c r="D111" s="1" t="str">
        <f>"Proportion of cows &gt; 1 years in calf in " &amp; E105</f>
        <v>Proportion of cows &gt; 1 years in calf in Winter</v>
      </c>
      <c r="E111" s="38" t="s">
        <v>342</v>
      </c>
      <c r="F111" s="44">
        <v>0.7</v>
      </c>
      <c r="G111" s="44">
        <v>0.5</v>
      </c>
      <c r="H111" s="44">
        <v>0.5</v>
      </c>
      <c r="I111" s="2" t="s">
        <v>16</v>
      </c>
      <c r="L111" s="50">
        <f>MAX(0, G42-G41)</f>
        <v>0</v>
      </c>
      <c r="M111" s="50">
        <f>MAX(0,K42-K41)</f>
        <v>0</v>
      </c>
      <c r="N111" s="2"/>
      <c r="O111" s="2"/>
    </row>
    <row r="112" spans="4:20" ht="20.100000000000001" customHeight="1" x14ac:dyDescent="0.25">
      <c r="D112" s="1" t="s">
        <v>167</v>
      </c>
      <c r="E112" s="38" t="s">
        <v>342</v>
      </c>
      <c r="F112" s="44">
        <v>0.1</v>
      </c>
      <c r="G112" s="44">
        <v>0.4</v>
      </c>
      <c r="H112" s="44">
        <v>0.4</v>
      </c>
      <c r="I112" s="2" t="s">
        <v>16</v>
      </c>
      <c r="L112" s="50">
        <f>MAX(0, G39-G42)</f>
        <v>0</v>
      </c>
      <c r="M112" s="50">
        <f>MAX(0,K39-K42)</f>
        <v>0</v>
      </c>
    </row>
    <row r="113" spans="4:15" ht="20.100000000000001" customHeight="1" x14ac:dyDescent="0.25">
      <c r="D113" s="1" t="s">
        <v>168</v>
      </c>
      <c r="E113" s="38" t="s">
        <v>342</v>
      </c>
      <c r="F113" s="44">
        <v>0.1</v>
      </c>
      <c r="G113" s="44">
        <v>0</v>
      </c>
      <c r="H113" s="44">
        <v>0</v>
      </c>
      <c r="I113" s="2" t="s">
        <v>16</v>
      </c>
      <c r="L113" s="50">
        <f>MAX(0, G40-G39)</f>
        <v>0</v>
      </c>
      <c r="M113" s="50">
        <f>MAX(0,K40-K39)</f>
        <v>0</v>
      </c>
    </row>
    <row r="114" spans="4:15" ht="20.100000000000001" customHeight="1" x14ac:dyDescent="0.25">
      <c r="D114" s="1" t="s">
        <v>169</v>
      </c>
      <c r="E114" s="38" t="s">
        <v>133</v>
      </c>
      <c r="F114" s="44">
        <v>0</v>
      </c>
      <c r="G114" s="44">
        <v>0</v>
      </c>
      <c r="H114" s="44">
        <v>0</v>
      </c>
      <c r="I114" s="2" t="s">
        <v>16</v>
      </c>
      <c r="L114" s="50">
        <f>MAX(0,G41-G40)</f>
        <v>0</v>
      </c>
      <c r="M114" s="50">
        <f>MAX(0,K41-K40)</f>
        <v>0</v>
      </c>
    </row>
    <row r="115" spans="4:15" ht="20.100000000000001" customHeight="1" x14ac:dyDescent="0.25">
      <c r="J115" s="1" t="s">
        <v>348</v>
      </c>
    </row>
    <row r="116" spans="4:15" ht="20.100000000000001" customHeight="1" x14ac:dyDescent="0.25"/>
    <row r="117" spans="4:15" ht="20.100000000000001" customHeight="1" x14ac:dyDescent="0.25"/>
    <row r="118" spans="4:15" ht="20.100000000000001" customHeight="1" x14ac:dyDescent="0.25">
      <c r="D118" s="60" t="s">
        <v>131</v>
      </c>
      <c r="E118" s="60"/>
      <c r="F118" s="60"/>
      <c r="G118" s="60"/>
      <c r="L118" s="123" t="s">
        <v>353</v>
      </c>
    </row>
    <row r="119" spans="4:15" ht="20.100000000000001" customHeight="1" x14ac:dyDescent="0.25">
      <c r="D119" s="1" t="s">
        <v>339</v>
      </c>
      <c r="E119" s="38" t="s">
        <v>335</v>
      </c>
      <c r="F119" s="2" t="s">
        <v>8</v>
      </c>
      <c r="J119" s="51" t="s">
        <v>125</v>
      </c>
    </row>
    <row r="120" spans="4:15" ht="20.100000000000001" customHeight="1" x14ac:dyDescent="0.25">
      <c r="D120" s="1" t="s">
        <v>333</v>
      </c>
      <c r="E120" s="50" t="str">
        <f>TEXT(EDATE(E119,1), "mmmm yyyy")</f>
        <v>September 2024</v>
      </c>
      <c r="J120" s="1" t="s">
        <v>97</v>
      </c>
      <c r="K120" s="1" t="s">
        <v>351</v>
      </c>
      <c r="L120" s="1" t="s">
        <v>348</v>
      </c>
      <c r="M120" s="1" t="s">
        <v>349</v>
      </c>
      <c r="N120" s="1" t="s">
        <v>350</v>
      </c>
      <c r="O120" s="1" t="s">
        <v>352</v>
      </c>
    </row>
    <row r="121" spans="4:15" ht="20.100000000000001" customHeight="1" x14ac:dyDescent="0.25">
      <c r="D121" s="1" t="s">
        <v>334</v>
      </c>
      <c r="E121" s="50" t="str">
        <f>TEXT(EDATE(E119,2), "mmmm yyyy")</f>
        <v>October 2024</v>
      </c>
      <c r="J121" s="50">
        <f>E39</f>
        <v>100</v>
      </c>
      <c r="K121" s="50">
        <f>MAX(0, E39-E42)</f>
        <v>0</v>
      </c>
      <c r="L121" s="1">
        <f>K121/J121</f>
        <v>0</v>
      </c>
      <c r="M121" s="1">
        <f>K124/J121</f>
        <v>0</v>
      </c>
      <c r="N121" s="2">
        <f>1-(L121+M121)</f>
        <v>1</v>
      </c>
      <c r="O121" s="51">
        <f>(L121*6)+(M121*4)+(N121*0)</f>
        <v>0</v>
      </c>
    </row>
    <row r="122" spans="4:15" ht="20.100000000000001" customHeight="1" x14ac:dyDescent="0.25">
      <c r="J122" s="50">
        <f>E40</f>
        <v>100</v>
      </c>
      <c r="K122" s="50">
        <f>MAX(0, E40-E39)</f>
        <v>0</v>
      </c>
      <c r="L122" s="1">
        <f>K122/J122</f>
        <v>0</v>
      </c>
      <c r="M122" s="1">
        <f>K121/J122</f>
        <v>0</v>
      </c>
      <c r="N122" s="2">
        <f>1-(L122+M122)</f>
        <v>1</v>
      </c>
      <c r="O122" s="51">
        <f t="shared" ref="O122:O124" si="1">(L122*6)+(M122*4)+(N122*0)</f>
        <v>0</v>
      </c>
    </row>
    <row r="123" spans="4:15" ht="20.100000000000001" customHeight="1" x14ac:dyDescent="0.25">
      <c r="J123" s="50">
        <f>E41</f>
        <v>100</v>
      </c>
      <c r="K123" s="50">
        <f>MAX(0,E41-E40)</f>
        <v>0</v>
      </c>
      <c r="L123" s="1">
        <f>K123/J123</f>
        <v>0</v>
      </c>
      <c r="M123" s="1">
        <f>K122/J123</f>
        <v>0</v>
      </c>
      <c r="N123" s="2">
        <f>1-(L123+M123)</f>
        <v>1</v>
      </c>
      <c r="O123" s="51">
        <f t="shared" si="1"/>
        <v>0</v>
      </c>
    </row>
    <row r="124" spans="4:15" ht="20.100000000000001" customHeight="1" x14ac:dyDescent="0.25">
      <c r="E124" s="60" t="s">
        <v>160</v>
      </c>
      <c r="F124" s="60" t="s">
        <v>161</v>
      </c>
      <c r="G124" s="60" t="s">
        <v>162</v>
      </c>
      <c r="J124" s="50">
        <f>E42</f>
        <v>100</v>
      </c>
      <c r="K124" s="50">
        <f>MAX(0, E42-E41)</f>
        <v>0</v>
      </c>
      <c r="L124" s="1">
        <f>K124/J124</f>
        <v>0</v>
      </c>
      <c r="M124" s="2">
        <f>K123/J124</f>
        <v>0</v>
      </c>
      <c r="N124" s="2">
        <f>1-(L124+M124)</f>
        <v>1</v>
      </c>
      <c r="O124" s="51">
        <f t="shared" si="1"/>
        <v>0</v>
      </c>
    </row>
    <row r="125" spans="4:15" ht="20.100000000000001" customHeight="1" x14ac:dyDescent="0.25">
      <c r="D125" s="1" t="str">
        <f>E119</f>
        <v>August 2024</v>
      </c>
      <c r="E125" s="44">
        <v>0.25</v>
      </c>
      <c r="F125" s="44">
        <v>0.25</v>
      </c>
      <c r="G125" s="44">
        <v>0.25</v>
      </c>
      <c r="H125" s="2" t="s">
        <v>16</v>
      </c>
      <c r="L125" s="2"/>
      <c r="M125" s="2"/>
      <c r="N125" s="2"/>
      <c r="O125" s="2"/>
    </row>
    <row r="126" spans="4:15" ht="20.100000000000001" customHeight="1" x14ac:dyDescent="0.25">
      <c r="D126" s="1" t="str">
        <f>E120</f>
        <v>September 2024</v>
      </c>
      <c r="E126" s="44">
        <v>0.25</v>
      </c>
      <c r="F126" s="44">
        <v>0.25</v>
      </c>
      <c r="G126" s="44">
        <v>0.25</v>
      </c>
      <c r="H126" s="2" t="s">
        <v>16</v>
      </c>
    </row>
    <row r="127" spans="4:15" ht="20.100000000000001" customHeight="1" x14ac:dyDescent="0.25">
      <c r="D127" s="1" t="str">
        <f>E121</f>
        <v>October 2024</v>
      </c>
      <c r="E127" s="44">
        <v>0.25</v>
      </c>
      <c r="F127" s="44">
        <v>0.25</v>
      </c>
      <c r="G127" s="44">
        <v>0.25</v>
      </c>
      <c r="H127" s="2" t="s">
        <v>16</v>
      </c>
    </row>
    <row r="128" spans="4:15" ht="20.100000000000001" customHeight="1" x14ac:dyDescent="0.25">
      <c r="D128" s="1" t="str">
        <f>"Proportion of cows &gt; 1 years in calf in " &amp; D125 &amp; " to " &amp; D127</f>
        <v>Proportion of cows &gt; 1 years in calf in August 2024 to October 2024</v>
      </c>
      <c r="E128" s="92">
        <f>SUM(E125:E127)</f>
        <v>0.75</v>
      </c>
      <c r="F128" s="92">
        <f>SUM(F125:F127)</f>
        <v>0.75</v>
      </c>
      <c r="G128" s="92">
        <f>SUM(G125:G127)</f>
        <v>0.75</v>
      </c>
      <c r="H128" s="2" t="s">
        <v>16</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6" t="s">
        <v>15</v>
      </c>
      <c r="K131" s="2"/>
      <c r="L131" s="2"/>
      <c r="M131" s="2"/>
      <c r="N131" s="2"/>
      <c r="O131" s="2"/>
    </row>
    <row r="132" spans="4:15" ht="20.100000000000001" customHeight="1" x14ac:dyDescent="0.25">
      <c r="D132" s="60" t="s">
        <v>173</v>
      </c>
      <c r="E132" s="60" t="s">
        <v>125</v>
      </c>
      <c r="F132" s="60" t="s">
        <v>124</v>
      </c>
      <c r="G132" s="60" t="s">
        <v>159</v>
      </c>
      <c r="H132" s="60" t="s">
        <v>160</v>
      </c>
      <c r="I132" s="60" t="s">
        <v>161</v>
      </c>
      <c r="J132" s="60" t="s">
        <v>162</v>
      </c>
      <c r="K132" s="60" t="s">
        <v>163</v>
      </c>
      <c r="L132" s="60" t="s">
        <v>164</v>
      </c>
      <c r="M132" s="60" t="s">
        <v>165</v>
      </c>
      <c r="N132" s="60" t="s">
        <v>166</v>
      </c>
    </row>
    <row r="133" spans="4:15" ht="20.100000000000001" customHeight="1" x14ac:dyDescent="0.25">
      <c r="D133" s="1" t="s">
        <v>167</v>
      </c>
      <c r="E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135</v>
      </c>
    </row>
    <row r="134" spans="4:15" ht="20.100000000000001" customHeight="1" x14ac:dyDescent="0.25">
      <c r="D134" s="1" t="s">
        <v>168</v>
      </c>
      <c r="E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135</v>
      </c>
    </row>
    <row r="135" spans="4:15" ht="20.100000000000001" customHeight="1" x14ac:dyDescent="0.25">
      <c r="D135" s="1" t="s">
        <v>169</v>
      </c>
      <c r="E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135</v>
      </c>
    </row>
    <row r="136" spans="4:15" ht="20.100000000000001" customHeight="1" x14ac:dyDescent="0.25">
      <c r="D136" s="1" t="s">
        <v>170</v>
      </c>
      <c r="E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135</v>
      </c>
    </row>
    <row r="137" spans="4:15" ht="20.100000000000001" customHeight="1" x14ac:dyDescent="0.25"/>
    <row r="138" spans="4:15" ht="20.100000000000001" customHeight="1" x14ac:dyDescent="0.25">
      <c r="D138" s="60" t="s">
        <v>174</v>
      </c>
      <c r="E138" s="60" t="s">
        <v>125</v>
      </c>
      <c r="F138" s="60" t="s">
        <v>124</v>
      </c>
      <c r="G138" s="60" t="s">
        <v>159</v>
      </c>
      <c r="H138" s="60" t="s">
        <v>160</v>
      </c>
      <c r="I138" s="60" t="s">
        <v>161</v>
      </c>
      <c r="J138" s="60" t="s">
        <v>162</v>
      </c>
      <c r="K138" s="60" t="s">
        <v>163</v>
      </c>
      <c r="L138" s="60" t="s">
        <v>164</v>
      </c>
      <c r="M138" s="60" t="s">
        <v>165</v>
      </c>
      <c r="N138" s="60" t="s">
        <v>166</v>
      </c>
    </row>
    <row r="139" spans="4:15" ht="20.100000000000001" customHeight="1" x14ac:dyDescent="0.25">
      <c r="D139" s="1" t="str">
        <f>TEXT(X_Cell_Site_StartDate, "mmmm yyyy")</f>
        <v>January 2024</v>
      </c>
      <c r="E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135</v>
      </c>
    </row>
    <row r="140" spans="4:15" ht="20.100000000000001" customHeight="1" x14ac:dyDescent="0.25">
      <c r="D140" s="1" t="str">
        <f>TEXT(EDATE(X_Cell_Site_StartDate,1), "mmmm yyyy")</f>
        <v>February 2024</v>
      </c>
      <c r="E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135</v>
      </c>
    </row>
    <row r="141" spans="4:15" ht="20.100000000000001" customHeight="1" x14ac:dyDescent="0.25">
      <c r="D141" s="1" t="str">
        <f>TEXT(EDATE(X_Cell_Site_StartDate,2), "mmmm yyyy")</f>
        <v>March 2024</v>
      </c>
      <c r="E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135</v>
      </c>
    </row>
    <row r="142" spans="4:15" ht="20.100000000000001" customHeight="1" x14ac:dyDescent="0.25">
      <c r="D142" s="1" t="str">
        <f>TEXT(EDATE(X_Cell_Site_StartDate,3), "mmmm yyyy")</f>
        <v>April 2024</v>
      </c>
      <c r="E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135</v>
      </c>
    </row>
    <row r="143" spans="4:15" ht="20.100000000000001" customHeight="1" x14ac:dyDescent="0.25">
      <c r="D143" s="1" t="str">
        <f>TEXT(EDATE(X_Cell_Site_StartDate,4), "mmmm yyyy")</f>
        <v>May 2024</v>
      </c>
      <c r="E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135</v>
      </c>
    </row>
    <row r="144" spans="4:15" ht="20.100000000000001" customHeight="1" x14ac:dyDescent="0.25">
      <c r="D144" s="1" t="str">
        <f>TEXT(EDATE(X_Cell_Site_StartDate,5), "mmmm yyyy")</f>
        <v>June 2024</v>
      </c>
      <c r="E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135</v>
      </c>
    </row>
    <row r="145" spans="4:15" ht="20.100000000000001" customHeight="1" x14ac:dyDescent="0.25">
      <c r="D145" s="1" t="str">
        <f>TEXT(EDATE(X_Cell_Site_StartDate,6), "mmmm yyyy")</f>
        <v>July 2024</v>
      </c>
      <c r="E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135</v>
      </c>
    </row>
    <row r="146" spans="4:15" ht="20.100000000000001" customHeight="1" x14ac:dyDescent="0.25">
      <c r="D146" s="1" t="str">
        <f>TEXT(EDATE(X_Cell_Site_StartDate,7), "mmmm yyyy")</f>
        <v>August 2024</v>
      </c>
      <c r="E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135</v>
      </c>
    </row>
    <row r="147" spans="4:15" ht="20.100000000000001" customHeight="1" x14ac:dyDescent="0.25">
      <c r="D147" s="1" t="str">
        <f>TEXT(EDATE(X_Cell_Site_StartDate,8), "mmmm yyyy")</f>
        <v>September 2024</v>
      </c>
      <c r="E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135</v>
      </c>
    </row>
    <row r="148" spans="4:15" ht="20.100000000000001" customHeight="1" x14ac:dyDescent="0.25">
      <c r="D148" s="1" t="str">
        <f>TEXT(EDATE(X_Cell_Site_StartDate,9), "mmmm yyyy")</f>
        <v>October 2024</v>
      </c>
      <c r="E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135</v>
      </c>
    </row>
    <row r="149" spans="4:15" ht="20.100000000000001" customHeight="1" x14ac:dyDescent="0.25">
      <c r="D149" s="1" t="str">
        <f>TEXT(EDATE(X_Cell_Site_StartDate,10), "mmmm yyyy")</f>
        <v>November 2024</v>
      </c>
      <c r="E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135</v>
      </c>
    </row>
    <row r="150" spans="4:15" ht="20.100000000000001" customHeight="1" x14ac:dyDescent="0.25">
      <c r="D150" s="1" t="str">
        <f>TEXT(EDATE(X_Cell_Site_StartDate,11), "mmmm yyyy")</f>
        <v>December 2024</v>
      </c>
      <c r="E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135</v>
      </c>
    </row>
    <row r="151" spans="4:15" ht="20.100000000000001" customHeight="1" x14ac:dyDescent="0.25"/>
    <row r="152" spans="4:15" ht="20.100000000000001" customHeight="1" x14ac:dyDescent="0.25"/>
    <row r="153" spans="4:15" ht="20.100000000000001" customHeight="1" x14ac:dyDescent="0.25">
      <c r="D153" s="46" t="s">
        <v>99</v>
      </c>
      <c r="K153" s="2"/>
      <c r="L153" s="2"/>
      <c r="M153" s="2"/>
      <c r="N153" s="2"/>
      <c r="O153" s="2"/>
    </row>
    <row r="154" spans="4:15" ht="20.100000000000001" customHeight="1" x14ac:dyDescent="0.25">
      <c r="D154" s="60" t="s">
        <v>173</v>
      </c>
      <c r="E154" s="60" t="s">
        <v>125</v>
      </c>
      <c r="F154" s="60" t="s">
        <v>124</v>
      </c>
      <c r="G154" s="60" t="s">
        <v>159</v>
      </c>
      <c r="H154" s="60" t="s">
        <v>160</v>
      </c>
      <c r="I154" s="60" t="s">
        <v>161</v>
      </c>
      <c r="J154" s="60" t="s">
        <v>162</v>
      </c>
      <c r="K154" s="60" t="s">
        <v>163</v>
      </c>
      <c r="L154" s="60" t="s">
        <v>164</v>
      </c>
      <c r="M154" s="60" t="s">
        <v>165</v>
      </c>
      <c r="N154" s="60" t="s">
        <v>166</v>
      </c>
    </row>
    <row r="155" spans="4:15" ht="20.100000000000001" customHeight="1" x14ac:dyDescent="0.25">
      <c r="D155" s="1" t="s">
        <v>167</v>
      </c>
      <c r="E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F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G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H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I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J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K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L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M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N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O155" s="2" t="s">
        <v>135</v>
      </c>
    </row>
    <row r="156" spans="4:15" ht="20.100000000000001" customHeight="1" x14ac:dyDescent="0.25">
      <c r="D156" s="1" t="s">
        <v>168</v>
      </c>
      <c r="E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F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G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H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I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J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K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L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M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N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135</v>
      </c>
    </row>
    <row r="157" spans="4:15" ht="20.100000000000001" customHeight="1" x14ac:dyDescent="0.25">
      <c r="D157" s="1" t="s">
        <v>169</v>
      </c>
      <c r="E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F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G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H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I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J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K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L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M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N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135</v>
      </c>
    </row>
    <row r="158" spans="4:15" ht="20.100000000000001" customHeight="1" x14ac:dyDescent="0.25">
      <c r="D158" s="1" t="s">
        <v>170</v>
      </c>
      <c r="E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F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G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H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I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J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K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L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M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N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O158" s="2" t="s">
        <v>135</v>
      </c>
    </row>
    <row r="159" spans="4:15" ht="20.100000000000001" customHeight="1" x14ac:dyDescent="0.25"/>
    <row r="160" spans="4:15" ht="20.100000000000001" customHeight="1" x14ac:dyDescent="0.25">
      <c r="D160" s="60" t="s">
        <v>174</v>
      </c>
      <c r="E160" s="60" t="s">
        <v>125</v>
      </c>
      <c r="F160" s="60" t="s">
        <v>124</v>
      </c>
      <c r="G160" s="60" t="s">
        <v>159</v>
      </c>
      <c r="H160" s="60" t="s">
        <v>160</v>
      </c>
      <c r="I160" s="60" t="s">
        <v>161</v>
      </c>
      <c r="J160" s="60" t="s">
        <v>162</v>
      </c>
      <c r="K160" s="60" t="s">
        <v>163</v>
      </c>
      <c r="L160" s="60" t="s">
        <v>164</v>
      </c>
      <c r="M160" s="60" t="s">
        <v>165</v>
      </c>
      <c r="N160" s="60" t="s">
        <v>166</v>
      </c>
    </row>
    <row r="161" spans="4:15" ht="20.100000000000001" customHeight="1" x14ac:dyDescent="0.25">
      <c r="D161" s="1" t="str">
        <f>TEXT(X_Cell_Site_StartDate, "mmmm yyyy")</f>
        <v>January 2024</v>
      </c>
      <c r="E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135</v>
      </c>
    </row>
    <row r="162" spans="4:15" ht="20.100000000000001" customHeight="1" x14ac:dyDescent="0.25">
      <c r="D162" s="1" t="str">
        <f>TEXT(EDATE(X_Cell_Site_StartDate,1), "mmmm yyyy")</f>
        <v>February 2024</v>
      </c>
      <c r="E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135</v>
      </c>
    </row>
    <row r="163" spans="4:15" ht="20.100000000000001" customHeight="1" x14ac:dyDescent="0.25">
      <c r="D163" s="1" t="str">
        <f>TEXT(EDATE(X_Cell_Site_StartDate,2), "mmmm yyyy")</f>
        <v>March 2024</v>
      </c>
      <c r="E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135</v>
      </c>
    </row>
    <row r="164" spans="4:15" ht="20.100000000000001" customHeight="1" x14ac:dyDescent="0.25">
      <c r="D164" s="1" t="str">
        <f>TEXT(EDATE(X_Cell_Site_StartDate,3), "mmmm yyyy")</f>
        <v>April 2024</v>
      </c>
      <c r="E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135</v>
      </c>
    </row>
    <row r="165" spans="4:15" ht="20.100000000000001" customHeight="1" x14ac:dyDescent="0.25">
      <c r="D165" s="1" t="str">
        <f>TEXT(EDATE(X_Cell_Site_StartDate,4), "mmmm yyyy")</f>
        <v>May 2024</v>
      </c>
      <c r="E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135</v>
      </c>
    </row>
    <row r="166" spans="4:15" ht="20.100000000000001" customHeight="1" x14ac:dyDescent="0.25">
      <c r="D166" s="1" t="str">
        <f>TEXT(EDATE(X_Cell_Site_StartDate,5), "mmmm yyyy")</f>
        <v>June 2024</v>
      </c>
      <c r="E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135</v>
      </c>
    </row>
    <row r="167" spans="4:15" ht="20.100000000000001" customHeight="1" x14ac:dyDescent="0.25">
      <c r="D167" s="1" t="str">
        <f>TEXT(EDATE(X_Cell_Site_StartDate,6), "mmmm yyyy")</f>
        <v>July 2024</v>
      </c>
      <c r="E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135</v>
      </c>
    </row>
    <row r="168" spans="4:15" ht="20.100000000000001" customHeight="1" x14ac:dyDescent="0.25">
      <c r="D168" s="1" t="str">
        <f>TEXT(EDATE(X_Cell_Site_StartDate,7), "mmmm yyyy")</f>
        <v>August 2024</v>
      </c>
      <c r="E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135</v>
      </c>
    </row>
    <row r="169" spans="4:15" ht="20.100000000000001" customHeight="1" x14ac:dyDescent="0.25">
      <c r="D169" s="1" t="str">
        <f>TEXT(EDATE(X_Cell_Site_StartDate,8), "mmmm yyyy")</f>
        <v>September 2024</v>
      </c>
      <c r="E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135</v>
      </c>
    </row>
    <row r="170" spans="4:15" ht="20.100000000000001" customHeight="1" x14ac:dyDescent="0.25">
      <c r="D170" s="1" t="str">
        <f>TEXT(EDATE(X_Cell_Site_StartDate,9), "mmmm yyyy")</f>
        <v>October 2024</v>
      </c>
      <c r="E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135</v>
      </c>
    </row>
    <row r="171" spans="4:15" ht="20.100000000000001" customHeight="1" x14ac:dyDescent="0.25">
      <c r="D171" s="1" t="str">
        <f>TEXT(EDATE(X_Cell_Site_StartDate,10), "mmmm yyyy")</f>
        <v>November 2024</v>
      </c>
      <c r="E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135</v>
      </c>
    </row>
    <row r="172" spans="4:15" ht="20.100000000000001" customHeight="1" x14ac:dyDescent="0.25">
      <c r="D172" s="1" t="str">
        <f>TEXT(EDATE(X_Cell_Site_StartDate,11), "mmmm yyyy")</f>
        <v>December 2024</v>
      </c>
      <c r="E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135</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6" t="s">
        <v>257</v>
      </c>
      <c r="L175" s="2"/>
      <c r="M175" s="2"/>
      <c r="N175" s="2"/>
      <c r="O175" s="2"/>
    </row>
    <row r="176" spans="4:15" ht="20.100000000000001" customHeight="1" x14ac:dyDescent="0.25"/>
    <row r="177" spans="4:15" ht="20.100000000000001" customHeight="1" x14ac:dyDescent="0.25">
      <c r="D177" s="1" t="s">
        <v>258</v>
      </c>
      <c r="E177" s="38" t="s">
        <v>133</v>
      </c>
      <c r="F177" s="2" t="s">
        <v>8</v>
      </c>
      <c r="L177" s="2"/>
      <c r="M177" s="2"/>
      <c r="N177" s="2"/>
      <c r="O177" s="2"/>
    </row>
    <row r="178" spans="4:15" ht="20.100000000000001" customHeight="1" x14ac:dyDescent="0.25"/>
    <row r="179" spans="4:15" ht="20.100000000000001" customHeight="1" x14ac:dyDescent="0.25">
      <c r="D179" s="60" t="s">
        <v>18</v>
      </c>
      <c r="E179" s="60" t="s">
        <v>259</v>
      </c>
      <c r="L179" s="2"/>
      <c r="M179" s="2"/>
      <c r="N179" s="2"/>
      <c r="O179" s="2"/>
    </row>
    <row r="180" spans="4:15" ht="20.100000000000001" customHeight="1" x14ac:dyDescent="0.25">
      <c r="D180" s="1" t="s">
        <v>132</v>
      </c>
      <c r="E180" s="113">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80" s="2" t="s">
        <v>16</v>
      </c>
      <c r="L180" s="2"/>
      <c r="M180" s="2"/>
      <c r="N180" s="2"/>
      <c r="O180" s="2"/>
    </row>
    <row r="181" spans="4:15" ht="20.100000000000001" customHeight="1" x14ac:dyDescent="0.25">
      <c r="D181" s="1" t="s">
        <v>260</v>
      </c>
      <c r="E181" s="113">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81" s="2" t="s">
        <v>16</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314</v>
      </c>
      <c r="E184" s="38" t="s">
        <v>318</v>
      </c>
      <c r="F184" s="2" t="s">
        <v>8</v>
      </c>
      <c r="L184" s="2"/>
      <c r="M184" s="2"/>
      <c r="N184" s="2"/>
      <c r="O184" s="2"/>
    </row>
    <row r="185" spans="4:15" ht="20.100000000000001" customHeight="1" x14ac:dyDescent="0.25">
      <c r="E185" s="38" t="s">
        <v>117</v>
      </c>
      <c r="F185" s="2" t="s">
        <v>8</v>
      </c>
    </row>
    <row r="186" spans="4:15" ht="20.100000000000001" customHeight="1" x14ac:dyDescent="0.25"/>
    <row r="187" spans="4:15" ht="20.100000000000001" customHeight="1" x14ac:dyDescent="0.25"/>
    <row r="188" spans="4:15" ht="20.100000000000001" customHeight="1" x14ac:dyDescent="0.25">
      <c r="D188" s="6" t="s">
        <v>369</v>
      </c>
    </row>
    <row r="189" spans="4:15" ht="20.100000000000001" customHeight="1" x14ac:dyDescent="0.25">
      <c r="D189" s="100" t="s">
        <v>368</v>
      </c>
    </row>
    <row r="190" spans="4:15" ht="20.100000000000001" customHeight="1" x14ac:dyDescent="0.25">
      <c r="D190" s="36" t="s">
        <v>372</v>
      </c>
      <c r="E190" s="36" t="s">
        <v>373</v>
      </c>
      <c r="F190" s="36" t="s">
        <v>367</v>
      </c>
      <c r="G190" s="36" t="s">
        <v>374</v>
      </c>
      <c r="H190" s="36" t="s">
        <v>375</v>
      </c>
      <c r="I190" s="36" t="s">
        <v>376</v>
      </c>
      <c r="J190" s="125" t="s">
        <v>377</v>
      </c>
      <c r="K190" s="125" t="s">
        <v>378</v>
      </c>
    </row>
    <row r="191" spans="4:15" ht="20.100000000000001" customHeight="1" x14ac:dyDescent="0.25">
      <c r="D191" s="32" t="s">
        <v>379</v>
      </c>
      <c r="E191" s="126">
        <v>45547</v>
      </c>
      <c r="F191" s="38" t="s">
        <v>163</v>
      </c>
      <c r="G191" s="127" t="s">
        <v>380</v>
      </c>
      <c r="H191" s="38" t="s">
        <v>381</v>
      </c>
      <c r="I191" s="62">
        <v>100</v>
      </c>
      <c r="J191" s="50"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2">
        <v>205</v>
      </c>
    </row>
    <row r="192" spans="4:15" ht="20.100000000000001" customHeight="1" x14ac:dyDescent="0.25">
      <c r="D192" s="32"/>
      <c r="E192" s="32"/>
      <c r="F192" s="128"/>
      <c r="G192" s="127"/>
      <c r="H192" s="38"/>
      <c r="I192" s="62"/>
      <c r="J192" s="50"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2"/>
    </row>
    <row r="193" spans="4:27" ht="20.100000000000001" customHeight="1" x14ac:dyDescent="0.25">
      <c r="D193" s="32"/>
      <c r="E193" s="32"/>
      <c r="F193" s="128"/>
      <c r="G193" s="127"/>
      <c r="H193" s="38"/>
      <c r="I193" s="62"/>
      <c r="J193" s="50"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2"/>
    </row>
    <row r="194" spans="4:27" ht="20.100000000000001" customHeight="1" x14ac:dyDescent="0.25">
      <c r="D194" s="32"/>
      <c r="E194" s="32"/>
      <c r="F194" s="128"/>
      <c r="G194" s="127"/>
      <c r="H194" s="38"/>
      <c r="I194" s="62"/>
      <c r="J194" s="50"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2"/>
    </row>
    <row r="195" spans="4:27" ht="20.100000000000001" customHeight="1" x14ac:dyDescent="0.25">
      <c r="D195" s="32"/>
      <c r="E195" s="32"/>
      <c r="F195" s="128"/>
      <c r="G195" s="127"/>
      <c r="H195" s="38"/>
      <c r="I195" s="62"/>
      <c r="J195" s="50"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2"/>
    </row>
    <row r="196" spans="4:27" ht="20.100000000000001" customHeight="1" x14ac:dyDescent="0.25">
      <c r="D196" s="32"/>
      <c r="E196" s="32"/>
      <c r="F196" s="128"/>
      <c r="G196" s="127"/>
      <c r="H196" s="38"/>
      <c r="I196" s="62"/>
      <c r="J196" s="50"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2"/>
    </row>
    <row r="197" spans="4:27" ht="20.100000000000001" customHeight="1" x14ac:dyDescent="0.25">
      <c r="D197" s="32"/>
      <c r="E197" s="32"/>
      <c r="F197" s="128"/>
      <c r="G197" s="127"/>
      <c r="H197" s="38"/>
      <c r="I197" s="62"/>
      <c r="J197" s="50"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2"/>
    </row>
    <row r="198" spans="4:27" ht="20.100000000000001" customHeight="1" x14ac:dyDescent="0.25">
      <c r="D198" s="32"/>
      <c r="E198" s="32"/>
      <c r="F198" s="128"/>
      <c r="G198" s="127"/>
      <c r="H198" s="38"/>
      <c r="I198" s="62"/>
      <c r="J198" s="50"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2"/>
    </row>
    <row r="199" spans="4:27" ht="20.100000000000001" customHeight="1" x14ac:dyDescent="0.25">
      <c r="D199" s="32"/>
      <c r="E199" s="32"/>
      <c r="F199" s="128"/>
      <c r="G199" s="127"/>
      <c r="H199" s="38"/>
      <c r="I199" s="62"/>
      <c r="J199" s="50"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2"/>
    </row>
    <row r="200" spans="4:27" ht="20.100000000000001" customHeight="1" x14ac:dyDescent="0.25">
      <c r="D200" s="129"/>
      <c r="E200" s="129"/>
      <c r="F200" s="128"/>
      <c r="G200" s="130"/>
      <c r="H200" s="128"/>
      <c r="I200" s="131"/>
      <c r="J200" s="50"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1"/>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362</v>
      </c>
    </row>
    <row r="205" spans="4:27" ht="20.100000000000001" customHeight="1" x14ac:dyDescent="0.25">
      <c r="D205" s="100" t="s">
        <v>368</v>
      </c>
      <c r="Z205" s="54"/>
    </row>
    <row r="206" spans="4:27" ht="20.100000000000001" customHeight="1" x14ac:dyDescent="0.25">
      <c r="D206" s="36" t="s">
        <v>372</v>
      </c>
      <c r="E206" s="36" t="s">
        <v>367</v>
      </c>
      <c r="F206" s="36" t="s">
        <v>363</v>
      </c>
      <c r="G206" s="36" t="s">
        <v>364</v>
      </c>
      <c r="H206" s="36" t="s">
        <v>365</v>
      </c>
      <c r="I206" s="36" t="s">
        <v>366</v>
      </c>
      <c r="Z206" s="54"/>
      <c r="AA206" s="54"/>
    </row>
    <row r="207" spans="4:27" ht="20.100000000000001" customHeight="1" x14ac:dyDescent="0.25">
      <c r="D207" s="32"/>
      <c r="E207" s="38" t="s">
        <v>124</v>
      </c>
      <c r="F207" s="124">
        <v>45566</v>
      </c>
      <c r="G207" s="36">
        <v>10</v>
      </c>
      <c r="H207" s="36">
        <v>500</v>
      </c>
      <c r="I207" s="50">
        <f t="shared" ref="I207:I216" si="2">G207*H207</f>
        <v>5000</v>
      </c>
      <c r="Z207" s="54"/>
      <c r="AA207" s="54"/>
    </row>
    <row r="208" spans="4:27" ht="20.100000000000001" customHeight="1" x14ac:dyDescent="0.25">
      <c r="D208" s="32"/>
      <c r="E208" s="38"/>
      <c r="F208" s="124"/>
      <c r="G208" s="36"/>
      <c r="H208" s="36"/>
      <c r="I208" s="50">
        <f t="shared" si="2"/>
        <v>0</v>
      </c>
      <c r="Z208" s="54"/>
      <c r="AA208" s="54"/>
    </row>
    <row r="209" spans="4:27" ht="20.100000000000001" customHeight="1" x14ac:dyDescent="0.25">
      <c r="D209" s="32"/>
      <c r="E209" s="38"/>
      <c r="F209" s="124"/>
      <c r="G209" s="36"/>
      <c r="H209" s="36"/>
      <c r="I209" s="50">
        <f t="shared" si="2"/>
        <v>0</v>
      </c>
      <c r="Z209" s="54"/>
      <c r="AA209" s="54"/>
    </row>
    <row r="210" spans="4:27" ht="20.100000000000001" customHeight="1" x14ac:dyDescent="0.25">
      <c r="D210" s="32"/>
      <c r="E210" s="38"/>
      <c r="F210" s="124"/>
      <c r="G210" s="36"/>
      <c r="H210" s="36"/>
      <c r="I210" s="50">
        <f t="shared" si="2"/>
        <v>0</v>
      </c>
      <c r="Z210" s="54"/>
      <c r="AA210" s="54"/>
    </row>
    <row r="211" spans="4:27" ht="20.100000000000001" customHeight="1" x14ac:dyDescent="0.25">
      <c r="D211" s="32"/>
      <c r="E211" s="38"/>
      <c r="F211" s="124"/>
      <c r="G211" s="36"/>
      <c r="H211" s="36"/>
      <c r="I211" s="50">
        <f t="shared" si="2"/>
        <v>0</v>
      </c>
      <c r="Z211" s="54"/>
      <c r="AA211" s="54"/>
    </row>
    <row r="212" spans="4:27" ht="20.100000000000001" customHeight="1" x14ac:dyDescent="0.25">
      <c r="D212" s="32"/>
      <c r="E212" s="38"/>
      <c r="F212" s="124"/>
      <c r="G212" s="36"/>
      <c r="H212" s="36"/>
      <c r="I212" s="50">
        <f t="shared" si="2"/>
        <v>0</v>
      </c>
      <c r="Z212" s="54"/>
      <c r="AA212" s="54"/>
    </row>
    <row r="213" spans="4:27" ht="20.100000000000001" customHeight="1" x14ac:dyDescent="0.25">
      <c r="D213" s="32"/>
      <c r="E213" s="38"/>
      <c r="F213" s="124"/>
      <c r="G213" s="36"/>
      <c r="H213" s="36"/>
      <c r="I213" s="50">
        <f t="shared" si="2"/>
        <v>0</v>
      </c>
      <c r="Z213" s="54"/>
      <c r="AA213" s="54"/>
    </row>
    <row r="214" spans="4:27" ht="20.100000000000001" customHeight="1" x14ac:dyDescent="0.25">
      <c r="D214" s="32"/>
      <c r="E214" s="38"/>
      <c r="F214" s="124"/>
      <c r="G214" s="36"/>
      <c r="H214" s="36"/>
      <c r="I214" s="50">
        <f t="shared" si="2"/>
        <v>0</v>
      </c>
      <c r="Z214" s="54"/>
      <c r="AA214" s="54"/>
    </row>
    <row r="215" spans="4:27" ht="20.100000000000001" customHeight="1" x14ac:dyDescent="0.25">
      <c r="D215" s="32"/>
      <c r="E215" s="38"/>
      <c r="F215" s="124"/>
      <c r="G215" s="36"/>
      <c r="H215" s="36"/>
      <c r="I215" s="50">
        <f t="shared" si="2"/>
        <v>0</v>
      </c>
      <c r="Z215" s="54"/>
      <c r="AA215" s="54"/>
    </row>
    <row r="216" spans="4:27" ht="20.100000000000001" customHeight="1" x14ac:dyDescent="0.25">
      <c r="D216" s="32"/>
      <c r="E216" s="38"/>
      <c r="F216" s="124"/>
      <c r="G216" s="36"/>
      <c r="H216" s="36"/>
      <c r="I216" s="50">
        <f t="shared" si="2"/>
        <v>0</v>
      </c>
      <c r="Z216" s="54"/>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0"/>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36" operator="lessThan">
      <formula>0</formula>
    </cfRule>
  </conditionalFormatting>
  <conditionalFormatting sqref="F239:F240">
    <cfRule type="cellIs" dxfId="11" priority="27" operator="lessThan">
      <formula>0</formula>
    </cfRule>
  </conditionalFormatting>
  <conditionalFormatting sqref="F244:F245">
    <cfRule type="cellIs" dxfId="10" priority="26" operator="lessThan">
      <formula>0</formula>
    </cfRule>
  </conditionalFormatting>
  <conditionalFormatting sqref="F249:F250">
    <cfRule type="cellIs" dxfId="9" priority="25" operator="lessThan">
      <formula>0</formula>
    </cfRule>
  </conditionalFormatting>
  <conditionalFormatting sqref="F273:F274">
    <cfRule type="cellIs" dxfId="8" priority="19" operator="lessThan">
      <formula>0</formula>
    </cfRule>
  </conditionalFormatting>
  <conditionalFormatting sqref="F278:F279">
    <cfRule type="cellIs" dxfId="7" priority="18" operator="lessThan">
      <formula>0</formula>
    </cfRule>
  </conditionalFormatting>
  <conditionalFormatting sqref="F283:F284">
    <cfRule type="cellIs" dxfId="6" priority="17" operator="lessThan">
      <formula>0</formula>
    </cfRule>
  </conditionalFormatting>
  <conditionalFormatting sqref="H124:K124">
    <cfRule type="cellIs" dxfId="5" priority="7" operator="lessThan">
      <formula>0</formula>
    </cfRule>
  </conditionalFormatting>
  <conditionalFormatting sqref="I130:O131">
    <cfRule type="cellIs" dxfId="4" priority="13" operator="lessThan">
      <formula>0</formula>
    </cfRule>
  </conditionalFormatting>
  <conditionalFormatting sqref="I153:O153">
    <cfRule type="cellIs" dxfId="3" priority="5" operator="lessThan">
      <formula>0</formula>
    </cfRule>
  </conditionalFormatting>
  <conditionalFormatting sqref="K123:K124">
    <cfRule type="cellIs" dxfId="2" priority="4" operator="lessThan">
      <formula>0</formula>
    </cfRule>
  </conditionalFormatting>
  <conditionalFormatting sqref="N121:N123">
    <cfRule type="cellIs" dxfId="1" priority="1" operator="lessThan">
      <formula>0</formula>
    </cfRule>
  </conditionalFormatting>
  <conditionalFormatting sqref="P43:R43">
    <cfRule type="cellIs" dxfId="0" priority="37" operator="lessThan">
      <formula>0</formula>
    </cfRule>
  </conditionalFormatting>
  <dataValidations count="12">
    <dataValidation type="list" allowBlank="1" showInputMessage="1" showErrorMessage="1" sqref="D266" xr:uid="{4E913AB3-F90B-4C35-BCE1-5DBB8FC05107}">
      <formula1>INDIRECT("Table_SourceData_PoultryMMSStage1[MMS]")</formula1>
    </dataValidation>
    <dataValidation type="list" allowBlank="1" showInputMessage="1" showErrorMessage="1" sqref="E238 E243 E248 E282 E277 E272 E177"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5" xr:uid="{964CB593-5D4D-4584-9033-0C54780AC43E}">
      <formula1>INDIRECT("Table_SourceData_PastureBeef_IrrigationMethods[Irrigation method]")</formula1>
    </dataValidation>
    <dataValidation type="list" allowBlank="1" showInputMessage="1" showErrorMessage="1" sqref="E184" xr:uid="{EB9B83E0-A891-43A7-9523-094EA6EFCDCF}">
      <formula1>INDIRECT("Table_SourceData_PastureBeef_CropProdSystems[Production system]")</formula1>
    </dataValidation>
    <dataValidation type="list" allowBlank="1" showInputMessage="1" showErrorMessage="1" sqref="E105" xr:uid="{F19D713C-D639-4E0B-97FE-4871A2D0DBE9}">
      <formula1>"Spring, Summer, Autumn, Winter"</formula1>
    </dataValidation>
    <dataValidation type="list" allowBlank="1" showInputMessage="1" showErrorMessage="1" sqref="E119" xr:uid="{201520A7-DD52-4880-9064-2B6F553814DB}">
      <formula1>$D$23:$D$34</formula1>
    </dataValidation>
    <dataValidation type="list" allowBlank="1" showInputMessage="1" showErrorMessage="1" sqref="F191:F200 E207:E216" xr:uid="{2DAF96E4-73B7-412D-8B0B-7964F9BEDA11}">
      <formula1>INDIRECT("Table_LivestockClasses_Beefcattle[Livestock class]")</formula1>
    </dataValidation>
    <dataValidation type="list" allowBlank="1" showInputMessage="1" showErrorMessage="1" sqref="G191:G200" xr:uid="{AAC5B2F1-7978-437E-83DE-277E0FC86C92}">
      <formula1>INDIRECT(TRIM("Table_SourceData_LivestockProduct_Beefcattle[Product]"))</formula1>
    </dataValidation>
    <dataValidation type="list" allowBlank="1" showInputMessage="1" showErrorMessage="1" sqref="H191:H200" xr:uid="{742E4D6C-A328-4948-AAFC-5788DFB82170}">
      <formula1>INDIRECT("Table_ProductRegions_Beefcattle[Region]")</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20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100000000000001" customHeight="1" x14ac:dyDescent="0.25">
      <c r="A2"/>
    </row>
    <row r="3" spans="1:37" ht="20.100000000000001"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5" t="str" cm="1">
        <f t="array" ref="D6">EntericMethane_PastureBeef_Equations.VEERG_3_2_1_1__4_AdditionalIntakeForMilkProduction_Source()</f>
        <v>VEERG 2026: 3.2.1.1, Equation (4)</v>
      </c>
    </row>
    <row r="7" spans="1:37" ht="20.100000000000001" customHeight="1" x14ac:dyDescent="0.25">
      <c r="A7" s="19" t="s">
        <v>0</v>
      </c>
      <c r="D7" s="13" t="s">
        <v>24</v>
      </c>
      <c r="E7" s="13" t="s">
        <v>336</v>
      </c>
    </row>
    <row r="8" spans="1:37" ht="20.100000000000001" customHeight="1" x14ac:dyDescent="0.25">
      <c r="A8" s="17" t="str">
        <f>HYPERLINK("#'Input - Site'!A1", "Site")</f>
        <v>Site</v>
      </c>
    </row>
    <row r="9" spans="1:37" ht="20.100000000000001" customHeight="1" x14ac:dyDescent="0.25">
      <c r="A9" s="17" t="str">
        <f>HYPERLINK("#'Input - Pasture Beef'!A1", "Pasture Beef")</f>
        <v>Pasture Beef</v>
      </c>
    </row>
    <row r="10" spans="1:37" ht="20.100000000000001" customHeight="1" x14ac:dyDescent="0.25">
      <c r="D10" s="51" t="s">
        <v>27</v>
      </c>
      <c r="E10" s="1" t="str" cm="1">
        <f t="array" ref="E10">EntericMethane_PastureBeef_Equations.VEERG_3_2_1_1__4_AdditionalIntakeForMilkProduction_Variable()</f>
        <v>MA_jk45</v>
      </c>
    </row>
    <row r="11" spans="1:37" ht="20.100000000000001" customHeight="1" x14ac:dyDescent="0.25">
      <c r="D11" s="51" t="s">
        <v>17</v>
      </c>
      <c r="E11" s="52" t="str" cm="1">
        <f t="array" ref="E11">EntericMethane_PastureBeef_Equations.VEERG_3_2_1_1__4_AdditionalIntakeForMilkProduction_Unit()</f>
        <v>fraction</v>
      </c>
    </row>
    <row r="12" spans="1:37" ht="20.100000000000001" customHeight="1" x14ac:dyDescent="0.25">
      <c r="A12" s="18" t="s">
        <v>72</v>
      </c>
    </row>
    <row r="13" spans="1:37" ht="20.100000000000001" customHeight="1" x14ac:dyDescent="0.25">
      <c r="A13" s="135"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100000000000001"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100000000000001" customHeight="1" x14ac:dyDescent="0.25"/>
    <row r="18" spans="1:36" ht="20.100000000000001" customHeight="1" x14ac:dyDescent="0.25"/>
    <row r="19" spans="1:36" ht="20.100000000000001" customHeight="1" x14ac:dyDescent="0.25">
      <c r="A19" s="133" t="s">
        <v>1</v>
      </c>
      <c r="D19" s="94" t="s">
        <v>224</v>
      </c>
      <c r="W19" s="94" t="s">
        <v>243</v>
      </c>
    </row>
    <row r="20" spans="1:36" ht="20.100000000000001" customHeight="1" x14ac:dyDescent="0.25">
      <c r="A20" s="17" t="str">
        <f>HYPERLINK("#'Constants - Pasture Beef'!A1", "Constants - Pasture Beef")</f>
        <v>Constants - Pasture Beef</v>
      </c>
      <c r="D20" s="93" t="s">
        <v>247</v>
      </c>
      <c r="W20" s="93" t="s">
        <v>244</v>
      </c>
    </row>
    <row r="21" spans="1:36" ht="20.100000000000001"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100000000000001" customHeight="1" x14ac:dyDescent="0.25">
      <c r="A22" s="17" t="str">
        <f>HYPERLINK("#'Constants - Common Livestock'!A1", "Constants - Common Livestock")</f>
        <v>Constants - Common Livestock</v>
      </c>
      <c r="D22" s="50" t="s">
        <v>167</v>
      </c>
      <c r="E22" s="50" t="str">
        <f>'Input - Pasture Beef'!$E112</f>
        <v>Yes</v>
      </c>
      <c r="F22" s="50">
        <f>'Input - Pasture Beef'!$F112</f>
        <v>0.1</v>
      </c>
      <c r="G22" s="50">
        <f>'Input - Pasture Beef'!$G112</f>
        <v>0.4</v>
      </c>
      <c r="H22" s="50">
        <f>'Input - Pasture Beef'!$H112</f>
        <v>0.4</v>
      </c>
      <c r="I22" s="2" t="s">
        <v>94</v>
      </c>
      <c r="W22" s="50" t="str">
        <f>TEXT(EDATE('Input - Pasture Beef'!$D$125,0), "mmmm") &amp; ", " &amp; TEXT(EDATE('Input - Pasture Beef'!$D$126,0), "mmmm") &amp; ", " &amp; TEXT(EDATE('Input - Pasture Beef'!$D$127,0), "mmmm")</f>
        <v>August, September, October</v>
      </c>
      <c r="X22" s="50">
        <f>'Input - Pasture Beef'!$E$128</f>
        <v>0.75</v>
      </c>
      <c r="Y22" s="50">
        <f>'Input - Pasture Beef'!$F$128</f>
        <v>0.75</v>
      </c>
      <c r="Z22" s="50">
        <f>'Input - Pasture Beef'!$G$128</f>
        <v>0.75</v>
      </c>
      <c r="AA22" s="2" t="s">
        <v>94</v>
      </c>
    </row>
    <row r="23" spans="1:36" ht="20.100000000000001" customHeight="1" x14ac:dyDescent="0.25">
      <c r="A23" s="17" t="str">
        <f>HYPERLINK("#'Acknowledgements'!A1", "Acknowledgements")</f>
        <v>Acknowledgements</v>
      </c>
      <c r="D23" s="50" t="s">
        <v>168</v>
      </c>
      <c r="E23" s="50" t="str">
        <f>'Input - Pasture Beef'!$E113</f>
        <v>Yes</v>
      </c>
      <c r="F23" s="50">
        <f>'Input - Pasture Beef'!$F113</f>
        <v>0.1</v>
      </c>
      <c r="G23" s="50">
        <f>'Input - Pasture Beef'!$G113</f>
        <v>0</v>
      </c>
      <c r="H23" s="50">
        <f>'Input - Pasture Beef'!$H113</f>
        <v>0</v>
      </c>
      <c r="W23" s="50" t="str">
        <f>TEXT(EDATE('Input - Pasture Beef'!$D$127,1), "mmmm") &amp; ", " &amp; TEXT(EDATE('Input - Pasture Beef'!$D$127,2), "mmmm") &amp; ", " &amp; TEXT(EDATE('Input - Pasture Beef'!$D$127,3), "mmmm")</f>
        <v>November, December, January</v>
      </c>
      <c r="AA23" s="2"/>
    </row>
    <row r="24" spans="1:36" ht="20.100000000000001" customHeight="1" x14ac:dyDescent="0.25">
      <c r="A24" s="17" t="str">
        <f>HYPERLINK("#'Tab template'!A1", "Tab template")</f>
        <v>Tab template</v>
      </c>
      <c r="D24" s="50" t="s">
        <v>169</v>
      </c>
      <c r="E24" s="50" t="str">
        <f>'Input - Pasture Beef'!$E114</f>
        <v>No</v>
      </c>
      <c r="F24" s="50">
        <f>'Input - Pasture Beef'!$F114</f>
        <v>0</v>
      </c>
      <c r="G24" s="50">
        <f>'Input - Pasture Beef'!$G114</f>
        <v>0</v>
      </c>
      <c r="H24" s="50">
        <f>'Input - Pasture Beef'!$H114</f>
        <v>0</v>
      </c>
      <c r="AA24" s="2"/>
    </row>
    <row r="25" spans="1:36" ht="20.100000000000001" customHeight="1" x14ac:dyDescent="0.25">
      <c r="D25" s="50" t="s">
        <v>170</v>
      </c>
      <c r="E25" s="50" t="str">
        <f>'Input - Pasture Beef'!$E112</f>
        <v>Yes</v>
      </c>
      <c r="F25" s="50">
        <f>'Input - Pasture Beef'!$F$111</f>
        <v>0.7</v>
      </c>
      <c r="G25" s="50">
        <f>'Input - Pasture Beef'!$G$111</f>
        <v>0.5</v>
      </c>
      <c r="H25" s="50">
        <f>'Input - Pasture Beef'!$H$111</f>
        <v>0.5</v>
      </c>
      <c r="W25" s="94" t="s">
        <v>245</v>
      </c>
    </row>
    <row r="26" spans="1:36" ht="20.100000000000001" customHeight="1" x14ac:dyDescent="0.25">
      <c r="W26" s="93" t="s">
        <v>246</v>
      </c>
    </row>
    <row r="27" spans="1:36" ht="20.100000000000001"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100000000000001"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100000000000001"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100000000000001" customHeight="1" x14ac:dyDescent="0.25">
      <c r="D30" s="50" t="s">
        <v>167</v>
      </c>
      <c r="E30" s="50" t="str">
        <f>IF('Input - Pasture Beef'!E112="Yes", "Calving season", "")</f>
        <v>Calving season</v>
      </c>
      <c r="F30" s="50" t="str">
        <f>IF('Input - Pasture Beef'!E111="Yes",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100000000000001" customHeight="1" x14ac:dyDescent="0.25">
      <c r="D31" s="50" t="s">
        <v>168</v>
      </c>
      <c r="E31" s="50" t="str">
        <f>IF('Input - Pasture Beef'!E113="Yes", "Calving season", "")</f>
        <v>Calving season</v>
      </c>
      <c r="F31" s="50" t="str">
        <f>IF('Input - Pasture Beef'!E112="Yes",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100000000000001" customHeight="1" x14ac:dyDescent="0.25">
      <c r="D32" s="50" t="s">
        <v>169</v>
      </c>
      <c r="E32" s="50" t="str">
        <f>IF('Input - Pasture Beef'!E114="Yes", "Calving season", "")</f>
        <v/>
      </c>
      <c r="F32" s="50" t="str">
        <f>IF('Input - Pasture Beef'!E113="Yes",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100000000000001" customHeight="1" x14ac:dyDescent="0.25">
      <c r="D33" s="50" t="s">
        <v>170</v>
      </c>
      <c r="E33" s="50" t="str">
        <f>IF('Input - Pasture Beef'!E111="Yes", "Calving season", "")</f>
        <v>Calving season</v>
      </c>
      <c r="F33" s="50" t="str">
        <f>IF('Input - Pasture Beef'!E114="Yes",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100000000000001"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100000000000001"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100000000000001"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100000000000001"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100000000000001" customHeight="1" x14ac:dyDescent="0.25"/>
    <row r="41" spans="3:36" ht="20.100000000000001" customHeight="1" x14ac:dyDescent="0.25">
      <c r="W41" s="94" t="s">
        <v>340</v>
      </c>
    </row>
    <row r="42" spans="3:36" ht="20.100000000000001" customHeight="1" x14ac:dyDescent="0.25">
      <c r="D42" s="51" t="s">
        <v>27</v>
      </c>
      <c r="E42" s="1" t="str" cm="1">
        <f t="array" ref="E42">EntericMethane_PastureBeef_Equations.VEERG_3_2_1_1__3_FeedIntakeForGrazingBeef_Variable()</f>
        <v>I_jkl</v>
      </c>
      <c r="W42" s="93" t="s">
        <v>249</v>
      </c>
    </row>
    <row r="43" spans="3:36" ht="20.100000000000001"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100000000000001"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100000000000001"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100000000000001"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100000000000001"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100000000000001"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100000000000001"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100000000000001"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100000000000001"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100000000000001"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100000000000001"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100000000000001"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100000000000001"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100000000000001" customHeight="1" x14ac:dyDescent="0.25">
      <c r="AI56" s="2"/>
      <c r="AJ56" s="2"/>
    </row>
    <row r="57" spans="4:36" ht="20.100000000000001" customHeight="1" x14ac:dyDescent="0.25">
      <c r="W57" s="94" t="s">
        <v>250</v>
      </c>
      <c r="AI57" s="2"/>
      <c r="AJ57" s="2"/>
    </row>
    <row r="58" spans="4:36" ht="20.100000000000001" customHeight="1" x14ac:dyDescent="0.25">
      <c r="W58" s="93" t="s">
        <v>251</v>
      </c>
      <c r="AI58" s="2"/>
      <c r="AJ58" s="2"/>
    </row>
    <row r="59" spans="4:36" ht="20.100000000000001"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100000000000001"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100000000000001"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100000000000001"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100000000000001"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100000000000001"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100000000000001"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100000000000001"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100000000000001"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100000000000001"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100000000000001"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100000000000001"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100000000000001"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100000000000001" customHeight="1" x14ac:dyDescent="0.25">
      <c r="AI72" s="2"/>
      <c r="AJ72" s="2"/>
    </row>
    <row r="73" spans="4:36" ht="20.100000000000001" customHeight="1" x14ac:dyDescent="0.25">
      <c r="W73" s="94" t="s">
        <v>252</v>
      </c>
      <c r="AI73" s="2"/>
      <c r="AJ73" s="2"/>
    </row>
    <row r="74" spans="4:36" ht="20.100000000000001" customHeight="1" x14ac:dyDescent="0.25">
      <c r="W74" s="93" t="s">
        <v>137</v>
      </c>
      <c r="AI74" s="2"/>
      <c r="AJ74" s="2"/>
    </row>
    <row r="75" spans="4:36" ht="20.100000000000001"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100000000000001"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100000000000001"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100000000000001"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100000000000001"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100000000000001"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24</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1" t="s">
        <v>27</v>
      </c>
      <c r="E105" s="1" t="str" cm="1">
        <f t="array" ref="E105">MMS_PastureBeef_Methane_Equations.VEERG_4_2_1_1__3_VolatileSolidProductionFromGrazingBeef_Variable()</f>
        <v>VS_jkl</v>
      </c>
    </row>
    <row r="106" spans="3:37" ht="20.100000000000001" customHeight="1" x14ac:dyDescent="0.25">
      <c r="D106" s="51" t="s">
        <v>17</v>
      </c>
      <c r="E106" s="52"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100000000000001"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100000000000001"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100000000000001" customHeight="1" x14ac:dyDescent="0.25"/>
    <row r="112" spans="3:37" ht="20.100000000000001" customHeight="1" x14ac:dyDescent="0.25">
      <c r="D112" s="94" t="s">
        <v>253</v>
      </c>
      <c r="W112" s="94" t="s">
        <v>254</v>
      </c>
    </row>
    <row r="113" spans="4:36" ht="20.100000000000001" customHeight="1" x14ac:dyDescent="0.25">
      <c r="D113" s="93" t="s">
        <v>106</v>
      </c>
      <c r="W113" s="93" t="s">
        <v>136</v>
      </c>
    </row>
    <row r="114" spans="4:36" ht="20.100000000000001"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100000000000001"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100000000000001"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100000000000001"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100000000000001"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100000000000001"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100000000000001"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100000000000001"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100000000000001"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100000000000001"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100000000000001"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100000000000001"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100000000000001"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100000000000001" customHeight="1" x14ac:dyDescent="0.25"/>
    <row r="128" spans="4:36" ht="20.100000000000001" customHeight="1" x14ac:dyDescent="0.25">
      <c r="D128" s="94" t="s">
        <v>255</v>
      </c>
      <c r="W128" s="94" t="s">
        <v>256</v>
      </c>
    </row>
    <row r="129" spans="4:36" ht="20.100000000000001" customHeight="1" x14ac:dyDescent="0.25">
      <c r="D129" s="93" t="s">
        <v>105</v>
      </c>
      <c r="W129" s="93" t="s">
        <v>107</v>
      </c>
    </row>
    <row r="130" spans="4:36" ht="20.100000000000001"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100000000000001"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W115</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 t="shared" ref="W132:W142" si="5">W116</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 t="shared" si="5"/>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 t="shared" si="5"/>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0" t="str">
        <f t="shared" si="5"/>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0" t="str">
        <f t="shared" si="5"/>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0" t="str">
        <f t="shared" si="5"/>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0" t="str">
        <f t="shared" si="5"/>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0" t="str">
        <f t="shared" si="5"/>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0" t="str">
        <f t="shared" si="5"/>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0" t="str">
        <f t="shared" si="5"/>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0" t="str">
        <f t="shared" si="5"/>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24</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1" t="s">
        <v>27</v>
      </c>
      <c r="E151" s="1" t="str" cm="1">
        <f t="array" ref="E151">MMS_PastureBeef_Methane_Equations.VEERG_4_2_1_1__2_MethaneProductionFromManure_Variable()</f>
        <v>M_jklm</v>
      </c>
    </row>
    <row r="152" spans="3:37" ht="20.100000000000001" customHeight="1" x14ac:dyDescent="0.25">
      <c r="D152" s="51" t="s">
        <v>17</v>
      </c>
      <c r="E152" s="52"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100000000000001"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100000000000001"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100000000000001"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100000000000001"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100000000000001"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100000000000001" customHeight="1" x14ac:dyDescent="0.25">
      <c r="D160" s="115" t="str">
        <v>i</v>
      </c>
      <c r="E160" s="120" t="str">
        <v>region</v>
      </c>
      <c r="F160" s="119"/>
      <c r="G160" s="115" t="str">
        <v/>
      </c>
      <c r="H160" s="117" t="str">
        <v>Input</v>
      </c>
      <c r="I160" s="115" t="str">
        <f>X_Cell_PastureBeef_ProductionRegion</f>
        <v>South West</v>
      </c>
    </row>
    <row r="161" spans="4:34" ht="20.100000000000001" customHeight="1" x14ac:dyDescent="0.25"/>
    <row r="162" spans="4:34" ht="20.100000000000001" customHeight="1" x14ac:dyDescent="0.25">
      <c r="D162" s="94" t="s">
        <v>263</v>
      </c>
    </row>
    <row r="163" spans="4:34" ht="20.100000000000001" customHeight="1" x14ac:dyDescent="0.25">
      <c r="D163" s="93" t="s">
        <v>262</v>
      </c>
    </row>
    <row r="164" spans="4:34" ht="20.100000000000001" customHeight="1" x14ac:dyDescent="0.25">
      <c r="D164" s="49" t="s">
        <v>65</v>
      </c>
      <c r="E164" s="118" t="s">
        <v>341</v>
      </c>
      <c r="F164" s="2" t="s">
        <v>135</v>
      </c>
    </row>
    <row r="165" spans="4:34" ht="20.100000000000001" customHeight="1" x14ac:dyDescent="0.25">
      <c r="D165" s="50" t="str">
        <f>'Input - Pasture Beef'!$D$180</f>
        <v>Pasture range and paddock</v>
      </c>
      <c r="E165" s="50">
        <f>X_Cell_PastureBeef_CalculatedMMSPastureRangeAndPaddock</f>
        <v>0.99621999999999999</v>
      </c>
      <c r="F165" s="2" t="s">
        <v>135</v>
      </c>
    </row>
    <row r="166" spans="4:34" ht="20.100000000000001" customHeight="1" x14ac:dyDescent="0.25">
      <c r="D166" s="50" t="str">
        <f>'Input - Pasture Beef'!$D$181</f>
        <v>Anaerobic lagoon</v>
      </c>
      <c r="E166" s="50">
        <f>X_Cell_PastureBeef_CalculatedMMSAnaerobicLagoon</f>
        <v>3.7799999999999999E-3</v>
      </c>
    </row>
    <row r="167" spans="4:34" ht="20.100000000000001" customHeight="1" x14ac:dyDescent="0.25"/>
    <row r="168" spans="4:34" ht="20.100000000000001" customHeight="1" x14ac:dyDescent="0.25">
      <c r="D168" s="94" t="s">
        <v>139</v>
      </c>
      <c r="W168" s="94" t="s">
        <v>358</v>
      </c>
    </row>
    <row r="169" spans="4:34" ht="20.100000000000001" customHeight="1" x14ac:dyDescent="0.25">
      <c r="D169" s="93" t="s">
        <v>357</v>
      </c>
      <c r="W169" s="93" t="s">
        <v>359</v>
      </c>
    </row>
    <row r="170" spans="4:34" ht="20.100000000000001" customHeight="1" x14ac:dyDescent="0.25">
      <c r="D170" s="49" t="s">
        <v>65</v>
      </c>
      <c r="E170" s="49" t="s">
        <v>93</v>
      </c>
      <c r="W170" s="49" t="s">
        <v>65</v>
      </c>
      <c r="X170" s="49" t="s">
        <v>93</v>
      </c>
    </row>
    <row r="171" spans="4:34" ht="20.100000000000001" customHeight="1" x14ac:dyDescent="0.25">
      <c r="D171" s="50" t="str">
        <f>'Input - Pasture Beef'!$D$180</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Beef'!$D$180</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0" t="str">
        <f>'Input - Pasture Beef'!$D$181</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Beef'!$D$181</f>
        <v>Anaerobic lagoon</v>
      </c>
      <c r="X172" s="50">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4" t="s">
        <v>264</v>
      </c>
      <c r="W174" s="94" t="s">
        <v>266</v>
      </c>
    </row>
    <row r="175" spans="4:34" ht="20.100000000000001" customHeight="1" x14ac:dyDescent="0.25">
      <c r="D175" s="93" t="s">
        <v>265</v>
      </c>
      <c r="W175" s="93" t="s">
        <v>267</v>
      </c>
    </row>
    <row r="176" spans="4:34" ht="20.100000000000001"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100000000000001" customHeight="1" x14ac:dyDescent="0.25">
      <c r="D177" s="50" t="str">
        <f>'Input - Pasture Beef'!$D$180</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6">$E$152</f>
        <v>kg CH4/head/day</v>
      </c>
      <c r="Q177" s="2"/>
      <c r="R177" s="2"/>
      <c r="S177" s="2"/>
      <c r="W177" s="50" t="str">
        <f>'Input - Pasture Beef'!$D$180</f>
        <v>Pasture range and paddock</v>
      </c>
      <c r="X177" s="50" t="str">
        <f t="shared" ref="X177:X188" si="7">W131</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0" t="str">
        <f>'Input - Pasture Beef'!$D$180</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6"/>
        <v>kg CH4/head/day</v>
      </c>
      <c r="Q178" s="2"/>
      <c r="R178" s="2"/>
      <c r="S178" s="2"/>
      <c r="W178" s="50" t="str">
        <f>'Input - Pasture Beef'!$D$180</f>
        <v>Pasture range and paddock</v>
      </c>
      <c r="X178" s="50" t="str">
        <f t="shared" si="7"/>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0" t="str">
        <f>'Input - Pasture Beef'!$D$180</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6"/>
        <v>kg CH4/head/day</v>
      </c>
      <c r="Q179" s="2"/>
      <c r="R179" s="2"/>
      <c r="S179" s="2"/>
      <c r="W179" s="50" t="str">
        <f>'Input - Pasture Beef'!$D$180</f>
        <v>Pasture range and paddock</v>
      </c>
      <c r="X179" s="50" t="str">
        <f t="shared" si="7"/>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0" t="str">
        <f>'Input - Pasture Beef'!$D$180</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6"/>
        <v>kg CH4/head/day</v>
      </c>
      <c r="Q180" s="2"/>
      <c r="R180" s="2"/>
      <c r="S180" s="2"/>
      <c r="W180" s="50" t="str">
        <f>'Input - Pasture Beef'!$D$180</f>
        <v>Pasture range and paddock</v>
      </c>
      <c r="X180" s="50" t="str">
        <f t="shared" si="7"/>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0" t="str">
        <f>'Input - Pasture Beef'!$D$181</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6"/>
        <v>kg CH4/head/day</v>
      </c>
      <c r="Q181" s="2"/>
      <c r="R181" s="2"/>
      <c r="S181" s="2"/>
      <c r="W181" s="50" t="str">
        <f>'Input - Pasture Beef'!$D$180</f>
        <v>Pasture range and paddock</v>
      </c>
      <c r="X181" s="50" t="str">
        <f t="shared" si="7"/>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0" t="str">
        <f>'Input - Pasture Beef'!$D$181</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6"/>
        <v>kg CH4/head/day</v>
      </c>
      <c r="Q182" s="2"/>
      <c r="R182" s="2"/>
      <c r="S182" s="2"/>
      <c r="W182" s="50" t="str">
        <f>'Input - Pasture Beef'!$D$180</f>
        <v>Pasture range and paddock</v>
      </c>
      <c r="X182" s="50" t="str">
        <f t="shared" si="7"/>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0" t="str">
        <f>'Input - Pasture Beef'!$D$181</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6"/>
        <v>kg CH4/head/day</v>
      </c>
      <c r="Q183" s="2"/>
      <c r="R183" s="2"/>
      <c r="S183" s="2"/>
      <c r="W183" s="50" t="str">
        <f>'Input - Pasture Beef'!$D$180</f>
        <v>Pasture range and paddock</v>
      </c>
      <c r="X183" s="50" t="str">
        <f t="shared" si="7"/>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0" t="str">
        <f>'Input - Pasture Beef'!$D$181</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6"/>
        <v>kg CH4/head/day</v>
      </c>
      <c r="Q184" s="2"/>
      <c r="R184" s="2"/>
      <c r="S184" s="2"/>
      <c r="W184" s="50" t="str">
        <f>'Input - Pasture Beef'!$D$180</f>
        <v>Pasture range and paddock</v>
      </c>
      <c r="X184" s="50" t="str">
        <f t="shared" si="7"/>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0" t="str">
        <f>'Input - Pasture Beef'!$D$180</f>
        <v>Pasture range and paddock</v>
      </c>
      <c r="X185" s="50" t="str">
        <f t="shared" si="7"/>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0" t="str">
        <f>'Input - Pasture Beef'!$D$180</f>
        <v>Pasture range and paddock</v>
      </c>
      <c r="X186" s="50" t="str">
        <f t="shared" si="7"/>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0" t="str">
        <f>'Input - Pasture Beef'!$D$180</f>
        <v>Pasture range and paddock</v>
      </c>
      <c r="X187" s="50" t="str">
        <f t="shared" si="7"/>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0" t="str">
        <f>'Input - Pasture Beef'!$D$180</f>
        <v>Pasture range and paddock</v>
      </c>
      <c r="X188" s="50" t="str">
        <f t="shared" si="7"/>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0" t="str">
        <f>'Input - Pasture Beef'!$D$181</f>
        <v>Anaerobic lagoon</v>
      </c>
      <c r="X189" s="50" t="str">
        <f>W131</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0" t="str">
        <f>'Input - Pasture Beef'!$D$181</f>
        <v>Anaerobic lagoon</v>
      </c>
      <c r="X190" s="50" t="str">
        <f t="shared" ref="X190:X200" si="9">W132</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0" t="str">
        <f>'Input - Pasture Beef'!$D$181</f>
        <v>Anaerobic lagoon</v>
      </c>
      <c r="X191" s="50" t="str">
        <f t="shared" si="9"/>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0" t="str">
        <f>'Input - Pasture Beef'!$D$181</f>
        <v>Anaerobic lagoon</v>
      </c>
      <c r="X192" s="50" t="str">
        <f t="shared" si="9"/>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0" t="str">
        <f>'Input - Pasture Beef'!$D$181</f>
        <v>Anaerobic lagoon</v>
      </c>
      <c r="X193" s="50" t="str">
        <f t="shared" si="9"/>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0" t="str">
        <f>'Input - Pasture Beef'!$D$181</f>
        <v>Anaerobic lagoon</v>
      </c>
      <c r="X194" s="50" t="str">
        <f t="shared" si="9"/>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0" t="str">
        <f>'Input - Pasture Beef'!$D$181</f>
        <v>Anaerobic lagoon</v>
      </c>
      <c r="X195" s="50" t="str">
        <f t="shared" si="9"/>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0" t="str">
        <f>'Input - Pasture Beef'!$D$181</f>
        <v>Anaerobic lagoon</v>
      </c>
      <c r="X196" s="50" t="str">
        <f t="shared" si="9"/>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0" t="str">
        <f>'Input - Pasture Beef'!$D$181</f>
        <v>Anaerobic lagoon</v>
      </c>
      <c r="X197" s="50" t="str">
        <f t="shared" si="9"/>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0" t="str">
        <f>'Input - Pasture Beef'!$D$181</f>
        <v>Anaerobic lagoon</v>
      </c>
      <c r="X198" s="50" t="str">
        <f t="shared" si="9"/>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0" t="str">
        <f>'Input - Pasture Beef'!$D$181</f>
        <v>Anaerobic lagoon</v>
      </c>
      <c r="X199" s="50" t="str">
        <f t="shared" si="9"/>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0" t="str">
        <f>'Input - Pasture Beef'!$D$181</f>
        <v>Anaerobic lagoon</v>
      </c>
      <c r="X200" s="50" t="str">
        <f t="shared" si="9"/>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1" t="s">
        <v>27</v>
      </c>
      <c r="E209" s="1" t="str" cm="1">
        <f t="array" ref="E209">MMS_PastureBeef_Methane_Equations.VEERG_4_2_1_1__1_TotalAnnualMethaneProductionFromManureManagement_Variable()</f>
        <v>E_CH4</v>
      </c>
    </row>
    <row r="210" spans="4:34" ht="20.100000000000001" customHeight="1" x14ac:dyDescent="0.25">
      <c r="D210" s="51" t="s">
        <v>17</v>
      </c>
      <c r="E210" s="52"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100000000000001"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100000000000001"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100000000000001" customHeight="1" x14ac:dyDescent="0.25"/>
    <row r="216" spans="4:34" ht="20.100000000000001" customHeight="1" x14ac:dyDescent="0.25">
      <c r="D216" s="94" t="s">
        <v>268</v>
      </c>
      <c r="W216" s="94" t="s">
        <v>273</v>
      </c>
    </row>
    <row r="217" spans="4:34" ht="20.100000000000001" customHeight="1" x14ac:dyDescent="0.25">
      <c r="D217" s="93" t="s">
        <v>269</v>
      </c>
      <c r="W217" s="93" t="s">
        <v>274</v>
      </c>
    </row>
    <row r="218" spans="4:34" ht="20.100000000000001"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100000000000001"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100000000000001"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100000000000001"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100000000000001"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100000000000001"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100000000000001"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100000000000001"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100000000000001"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100000000000001"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100000000000001"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100000000000001"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100000000000001"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100000000000001" customHeight="1" x14ac:dyDescent="0.25"/>
    <row r="232" spans="4:34" ht="20.100000000000001" customHeight="1" x14ac:dyDescent="0.25">
      <c r="D232" s="94" t="s">
        <v>141</v>
      </c>
      <c r="W232" s="94" t="s">
        <v>143</v>
      </c>
    </row>
    <row r="233" spans="4:34" ht="20.100000000000001" customHeight="1" x14ac:dyDescent="0.25">
      <c r="D233" s="93" t="s">
        <v>272</v>
      </c>
      <c r="W233" s="93" t="s">
        <v>275</v>
      </c>
    </row>
    <row r="234" spans="4:34" ht="20.100000000000001"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100000000000001" customHeight="1" x14ac:dyDescent="0.25">
      <c r="D235" s="50" t="str">
        <f>'Input - Pasture Beef'!$D$180</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100000000000001" customHeight="1" x14ac:dyDescent="0.25">
      <c r="D236" s="50" t="str">
        <f>'Input - Pasture Beef'!$D$180</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10">$E$210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100000000000001" customHeight="1" x14ac:dyDescent="0.25">
      <c r="D237" s="50" t="str">
        <f>'Input - Pasture Beef'!$D$180</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10"/>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100000000000001" customHeight="1" x14ac:dyDescent="0.25">
      <c r="D238" s="50" t="str">
        <f>'Input - Pasture Beef'!$D$180</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10"/>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100000000000001" customHeight="1" x14ac:dyDescent="0.25">
      <c r="D239" s="50" t="str">
        <f>'Input - Pasture Beef'!$D$181</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10"/>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100000000000001" customHeight="1" x14ac:dyDescent="0.25">
      <c r="D240" s="50" t="str">
        <f>'Input - Pasture Beef'!$D$181</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10"/>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100000000000001" customHeight="1" x14ac:dyDescent="0.25">
      <c r="D241" s="50" t="str">
        <f>'Input - Pasture Beef'!$D$181</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10"/>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100000000000001" customHeight="1" x14ac:dyDescent="0.25">
      <c r="D242" s="50" t="str">
        <f>'Input - Pasture Beef'!$D$181</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10"/>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100000000000001"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100000000000001"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100000000000001"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100000000000001" customHeight="1" x14ac:dyDescent="0.25">
      <c r="D246" s="55" t="str" cm="1">
        <f t="array" ref="D246:E247">Common_Equations.Common_ConvertCH4ToCO2e_Arguments()</f>
        <v>ECH4</v>
      </c>
      <c r="E246" s="56" t="str">
        <v>Methane emissions (t CH4)</v>
      </c>
      <c r="F246" s="98"/>
      <c r="G246" s="50">
        <f ca="1">VEERG_4_2_1_1__1_TotalAnnualMethaneProductionFromManureManagement_Result_Method1</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100000000000001"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100000000000001" customHeight="1" x14ac:dyDescent="0.25">
      <c r="W248" s="94" t="s">
        <v>276</v>
      </c>
    </row>
    <row r="249" spans="4:36" ht="20.100000000000001"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100000000000001"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100000000000001" customHeight="1" x14ac:dyDescent="0.25">
      <c r="W251" s="50" t="str">
        <f>'Input - Pasture Beef'!$D$180</f>
        <v>Pasture range and paddock</v>
      </c>
      <c r="X251" s="50" t="str">
        <f>W235</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0" t="str">
        <f>'Input - Pasture Beef'!$D$180</f>
        <v>Pasture range and paddock</v>
      </c>
      <c r="X252" s="50" t="str">
        <f t="shared" ref="X252:X262" si="12">W236</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0" t="str">
        <f>'Input - Pasture Beef'!$D$180</f>
        <v>Pasture range and paddock</v>
      </c>
      <c r="X253" s="50" t="str">
        <f t="shared" si="12"/>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0" t="str">
        <f>'Input - Pasture Beef'!$D$180</f>
        <v>Pasture range and paddock</v>
      </c>
      <c r="X254" s="50" t="str">
        <f t="shared" si="12"/>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0" t="str">
        <f>'Input - Pasture Beef'!$D$180</f>
        <v>Pasture range and paddock</v>
      </c>
      <c r="X255" s="50" t="str">
        <f t="shared" si="12"/>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0" t="str">
        <f>'Input - Pasture Beef'!$D$180</f>
        <v>Pasture range and paddock</v>
      </c>
      <c r="X256" s="50" t="str">
        <f t="shared" si="12"/>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0" t="str">
        <f>'Input - Pasture Beef'!$D$180</f>
        <v>Pasture range and paddock</v>
      </c>
      <c r="X257" s="50" t="str">
        <f t="shared" si="12"/>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0" t="str">
        <f>'Input - Pasture Beef'!$D$180</f>
        <v>Pasture range and paddock</v>
      </c>
      <c r="X258" s="50" t="str">
        <f t="shared" si="12"/>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0" t="str">
        <f>'Input - Pasture Beef'!$D$180</f>
        <v>Pasture range and paddock</v>
      </c>
      <c r="X259" s="50" t="str">
        <f t="shared" si="12"/>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0" t="str">
        <f>'Input - Pasture Beef'!$D$180</f>
        <v>Pasture range and paddock</v>
      </c>
      <c r="X260" s="50" t="str">
        <f t="shared" si="12"/>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0" t="str">
        <f>'Input - Pasture Beef'!$D$180</f>
        <v>Pasture range and paddock</v>
      </c>
      <c r="X261" s="50" t="str">
        <f t="shared" si="12"/>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0" t="str">
        <f>'Input - Pasture Beef'!$D$180</f>
        <v>Pasture range and paddock</v>
      </c>
      <c r="X262" s="50" t="str">
        <f t="shared" si="12"/>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0" t="str">
        <f>'Input - Pasture Beef'!$D$181</f>
        <v>Anaerobic lagoon</v>
      </c>
      <c r="X263" s="50" t="str">
        <f>W235</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0" t="str">
        <f>'Input - Pasture Beef'!$D$181</f>
        <v>Anaerobic lagoon</v>
      </c>
      <c r="X264" s="50" t="str">
        <f t="shared" ref="X264:X274" si="13">W236</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0" t="str">
        <f>'Input - Pasture Beef'!$D$181</f>
        <v>Anaerobic lagoon</v>
      </c>
      <c r="X265" s="50" t="str">
        <f t="shared" si="13"/>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0" t="str">
        <f>'Input - Pasture Beef'!$D$181</f>
        <v>Anaerobic lagoon</v>
      </c>
      <c r="X266" s="50" t="str">
        <f t="shared" si="13"/>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0" t="str">
        <f>'Input - Pasture Beef'!$D$181</f>
        <v>Anaerobic lagoon</v>
      </c>
      <c r="X267" s="50" t="str">
        <f t="shared" si="13"/>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0" t="str">
        <f>'Input - Pasture Beef'!$D$181</f>
        <v>Anaerobic lagoon</v>
      </c>
      <c r="X268" s="50" t="str">
        <f t="shared" si="13"/>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0" t="str">
        <f>'Input - Pasture Beef'!$D$181</f>
        <v>Anaerobic lagoon</v>
      </c>
      <c r="X269" s="50" t="str">
        <f t="shared" si="13"/>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0" t="str">
        <f>'Input - Pasture Beef'!$D$181</f>
        <v>Anaerobic lagoon</v>
      </c>
      <c r="X270" s="50" t="str">
        <f t="shared" si="13"/>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0" t="str">
        <f>'Input - Pasture Beef'!$D$181</f>
        <v>Anaerobic lagoon</v>
      </c>
      <c r="X271" s="50" t="str">
        <f t="shared" si="13"/>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11"/>
        <v>t CH4</v>
      </c>
      <c r="AJ271" s="2"/>
    </row>
    <row r="272" spans="23:36" x14ac:dyDescent="0.25">
      <c r="W272" s="50" t="str">
        <f>'Input - Pasture Beef'!$D$181</f>
        <v>Anaerobic lagoon</v>
      </c>
      <c r="X272" s="50" t="str">
        <f t="shared" si="13"/>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11"/>
        <v>t CH4</v>
      </c>
      <c r="AJ272" s="2"/>
    </row>
    <row r="273" spans="23:36" x14ac:dyDescent="0.25">
      <c r="W273" s="50" t="str">
        <f>'Input - Pasture Beef'!$D$181</f>
        <v>Anaerobic lagoon</v>
      </c>
      <c r="X273" s="50" t="str">
        <f t="shared" si="13"/>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11"/>
        <v>t CH4</v>
      </c>
      <c r="AJ273" s="2"/>
    </row>
    <row r="274" spans="23:36" x14ac:dyDescent="0.25">
      <c r="W274" s="50" t="str">
        <f>'Input - Pasture Beef'!$D$181</f>
        <v>Anaerobic lagoon</v>
      </c>
      <c r="X274" s="50" t="str">
        <f t="shared" si="13"/>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5" t="s">
        <v>295</v>
      </c>
      <c r="X276" s="96">
        <f ca="1">SUM(Y251:AH274)</f>
        <v>0.89029635334910784</v>
      </c>
      <c r="Y276" s="97">
        <f ca="1">X242</f>
        <v>31</v>
      </c>
    </row>
    <row r="278" spans="23:36" x14ac:dyDescent="0.25">
      <c r="W278" s="55" t="str" cm="1">
        <f t="array" ref="W278:X279">Common_Equations.Common_ConvertCH4ToCO2e_Arguments()</f>
        <v>ECH4</v>
      </c>
      <c r="X278" s="56" t="str">
        <v>Methane emissions (t CH4)</v>
      </c>
      <c r="Y278" s="98"/>
      <c r="Z278" s="50">
        <f ca="1">VEERG_4_2_1_1__1_TotalAnnualMethaneProductionFromManureManagement_Result_Method2</f>
        <v>0.89029635334910784</v>
      </c>
    </row>
    <row r="279" spans="23:36" x14ac:dyDescent="0.25">
      <c r="W279" s="55" t="str">
        <v>GWPCH4</v>
      </c>
      <c r="X279" s="56" t="str">
        <v>Global warming potential for methane (t CO2-e / t CH4)</v>
      </c>
      <c r="Y279" s="98"/>
      <c r="Z279" s="50">
        <f>Common_InputFunctions.Utility_LookupValueInTableNumber("CH4",Table_GWPData[Gas],Table_GWPData[CO2-e factor])</f>
        <v>28</v>
      </c>
    </row>
    <row r="281" spans="23:36" ht="18.75" x14ac:dyDescent="0.25">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P24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100000000000001" customHeight="1" x14ac:dyDescent="0.25">
      <c r="A2"/>
    </row>
    <row r="3" spans="1:35" ht="20.100000000000001"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MMS_PastureBeef_Soil_N2ODirect_Equations.VEERG_4_2_1_3__7_RelativeSize_Title()</f>
        <v>Relative size of the cattle</v>
      </c>
    </row>
    <row r="6" spans="1:35" ht="20.100000000000001" customHeight="1" x14ac:dyDescent="0.25">
      <c r="D6" s="5" t="str" cm="1">
        <f t="array" ref="D6">MMS_PastureBeef_Soil_N2ODirect_Equations.VEERG_4_2_1_3__7_RelativeSize_Source()</f>
        <v>VEERG 2026: 4.2.1.3, Equation (7)</v>
      </c>
    </row>
    <row r="7" spans="1:35" ht="20.100000000000001" customHeight="1" x14ac:dyDescent="0.25">
      <c r="A7" s="19" t="s">
        <v>0</v>
      </c>
      <c r="D7" s="13" t="s">
        <v>24</v>
      </c>
      <c r="E7" s="13" t="str" cm="1">
        <f t="array" aca="1" ref="E7" ca="1">Common_InputFunctions.Utility_DisplayFunctionName(E33)</f>
        <v>=MMS_PastureBeef_Soil_N2ODirect_Equations.VEERG_4_2_1_3__7_RelativeSize</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1" t="s">
        <v>27</v>
      </c>
      <c r="E10" s="1" t="str" cm="1">
        <f t="array" ref="E10">MMS_PastureBeef_Soil_N2ODirect_Equations.VEERG_4_2_1_3__7_RelativeSize_Variable()</f>
        <v>Z_jkl</v>
      </c>
    </row>
    <row r="11" spans="1:35" ht="20.100000000000001" customHeight="1" x14ac:dyDescent="0.25">
      <c r="D11" s="51" t="s">
        <v>17</v>
      </c>
      <c r="E11" s="52" t="str" cm="1">
        <f t="array" ref="E11">MMS_PastureBeef_Soil_N2ODirect_Equations.VEERG_4_2_1_3__7_RelativeSize_Unit()</f>
        <v>ratio</v>
      </c>
    </row>
    <row r="12" spans="1:35" ht="20.100000000000001" customHeight="1" x14ac:dyDescent="0.25">
      <c r="A12" s="18" t="s">
        <v>72</v>
      </c>
    </row>
    <row r="13" spans="1:35" ht="20.100000000000001"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100000000000001" customHeight="1" x14ac:dyDescent="0.25">
      <c r="A14" s="135"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100000000000001"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100000000000001" customHeight="1" x14ac:dyDescent="0.25">
      <c r="A16" s="17" t="str">
        <f>HYPERLINK("#'4.2.1.7-8 Soil leach runoff'!A1", "4.2.1.7-8 Soil leach runoff")</f>
        <v>4.2.1.7-8 Soil leach runoff</v>
      </c>
    </row>
    <row r="17" spans="1:34" ht="20.100000000000001" customHeight="1" x14ac:dyDescent="0.25">
      <c r="D17" s="94" t="s">
        <v>279</v>
      </c>
      <c r="U17" s="94" t="s">
        <v>248</v>
      </c>
    </row>
    <row r="18" spans="1:34" ht="20.100000000000001" customHeight="1" x14ac:dyDescent="0.25">
      <c r="D18" s="93" t="s">
        <v>238</v>
      </c>
      <c r="U18" s="93" t="s">
        <v>249</v>
      </c>
    </row>
    <row r="19" spans="1:34" ht="20.100000000000001" customHeight="1" x14ac:dyDescent="0.25">
      <c r="A19" s="133"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100000000000001"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100000000000001"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100000000000001"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100000000000001"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100000000000001"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100000000000001"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100000000000001"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100000000000001"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100000000000001"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100000000000001"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100000000000001"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100000000000001"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100000000000001"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100000000000001"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100000000000001"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100000000000001"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100000000000001"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100000000000001"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100000000000001"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100000000000001"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100000000000001"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100000000000001"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100000000000001"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100000000000001"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100000000000001"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100000000000001"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100000000000001" customHeight="1" x14ac:dyDescent="0.25">
      <c r="T50" s="43"/>
      <c r="U50" s="43"/>
      <c r="V50" s="43"/>
      <c r="W50" s="43"/>
      <c r="X50" s="43"/>
      <c r="Y50" s="43"/>
      <c r="Z50" s="43"/>
      <c r="AA50" s="43"/>
      <c r="AB50" s="43"/>
      <c r="AC50" s="43"/>
      <c r="AD50" s="43"/>
      <c r="AE50" s="43"/>
      <c r="AF50" s="43"/>
      <c r="AG50" s="43"/>
      <c r="AH50" s="43"/>
      <c r="AI50" s="43"/>
    </row>
    <row r="51" spans="4:35" ht="20.100000000000001" customHeight="1" x14ac:dyDescent="0.25">
      <c r="D51" s="94" t="s">
        <v>239</v>
      </c>
      <c r="U51" s="6" t="str" cm="1">
        <f t="array" ref="U51">MMS_PastureBeef_Soil_N2ODirect_Equations.VEERG_4_2_1_3__6_IntakeRelativeToMaintenance_Title()</f>
        <v>Intake relative to that needed for maintenance</v>
      </c>
    </row>
    <row r="52" spans="4:35" ht="20.100000000000001" customHeight="1" x14ac:dyDescent="0.25">
      <c r="D52" s="93" t="s">
        <v>138</v>
      </c>
    </row>
    <row r="53" spans="4:35" ht="20.100000000000001"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100000000000001"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100000000000001"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100000000000001"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100000000000001"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100000000000001"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100000000000001"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100000000000001"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100000000000001"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100000000000001"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100000000000001"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100000000000001"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100000000000001"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100000000000001"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100000000000001"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100000000000001" customHeight="1" x14ac:dyDescent="0.25">
      <c r="C68" s="43"/>
      <c r="D68" s="43"/>
      <c r="E68" s="43"/>
      <c r="F68" s="43"/>
      <c r="G68" s="43"/>
      <c r="H68" s="43"/>
      <c r="I68" s="43"/>
      <c r="J68" s="43"/>
      <c r="K68" s="43"/>
      <c r="L68" s="43"/>
      <c r="M68" s="43"/>
      <c r="N68" s="43"/>
      <c r="O68" s="43"/>
      <c r="P68" s="43"/>
      <c r="Q68" s="43"/>
      <c r="R68" s="43"/>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100000000000001" customHeight="1" x14ac:dyDescent="0.25">
      <c r="D70" s="5" t="str" cm="1">
        <f t="array" ref="D70">MMS_PastureBeef_Soil_N2ODirect_Equations.VEERG_4_2_1_3__5_MilkProductionForCalvingSeason_Source()</f>
        <v>VEERG 2026: 4.2.1.3, Equation (5)</v>
      </c>
      <c r="U70" s="93" t="s">
        <v>145</v>
      </c>
    </row>
    <row r="71" spans="3:34" ht="20.100000000000001"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100000000000001"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100000000000001"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100000000000001"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100000000000001"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4" t="s">
        <v>224</v>
      </c>
    </row>
    <row r="85" spans="4:35" ht="20.100000000000001" customHeight="1" x14ac:dyDescent="0.25">
      <c r="D85" s="93" t="s">
        <v>247</v>
      </c>
    </row>
    <row r="86" spans="4:35" ht="20.100000000000001"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100000000000001" customHeight="1" x14ac:dyDescent="0.25">
      <c r="D87" s="50" t="str">
        <f>'Input - Pasture Beef'!$E$105</f>
        <v>Winter</v>
      </c>
      <c r="E87" s="50">
        <f>'Input - Pasture Beef'!$F$111</f>
        <v>0.7</v>
      </c>
      <c r="F87" s="50">
        <f>'Input - Pasture Beef'!$G$111</f>
        <v>0.5</v>
      </c>
      <c r="G87" s="50">
        <f>'Input - Pasture Beef'!$H$111</f>
        <v>0.5</v>
      </c>
      <c r="H87" s="2" t="s">
        <v>94</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4" t="s">
        <v>243</v>
      </c>
    </row>
    <row r="90" spans="4:35" ht="20.100000000000001" customHeight="1" x14ac:dyDescent="0.25">
      <c r="U90" s="93" t="s">
        <v>244</v>
      </c>
    </row>
    <row r="91" spans="4:35" ht="20.100000000000001" customHeight="1" x14ac:dyDescent="0.25">
      <c r="U91" s="49" t="s">
        <v>126</v>
      </c>
      <c r="V91" s="118" t="s">
        <v>160</v>
      </c>
      <c r="W91" s="118" t="s">
        <v>161</v>
      </c>
      <c r="X91" s="118" t="s">
        <v>162</v>
      </c>
    </row>
    <row r="92" spans="4:35" ht="20.100000000000001" customHeight="1" x14ac:dyDescent="0.25">
      <c r="D92" s="94" t="s">
        <v>287</v>
      </c>
      <c r="U92" s="50" t="str">
        <f>TEXT(EDATE('Input - Pasture Beef'!$D$125,0), "mmmm") &amp; ", " &amp; TEXT(EDATE('Input - Pasture Beef'!$D$126,0), "mmmm") &amp; ", " &amp; TEXT(EDATE('Input - Pasture Beef'!$D$127,0), "mmmm")</f>
        <v>August, September, October</v>
      </c>
      <c r="V92" s="50">
        <f>'Input - Pasture Beef'!$E$128</f>
        <v>0.75</v>
      </c>
      <c r="W92" s="50">
        <f>'Input - Pasture Beef'!$F$128</f>
        <v>0.75</v>
      </c>
      <c r="X92" s="50">
        <f>'Input - Pasture Beef'!$G$128</f>
        <v>0.75</v>
      </c>
      <c r="Y92" s="2" t="s">
        <v>94</v>
      </c>
    </row>
    <row r="93" spans="4:35" ht="20.100000000000001" customHeight="1" x14ac:dyDescent="0.25">
      <c r="D93" s="93" t="s">
        <v>129</v>
      </c>
      <c r="U93" s="50" t="str">
        <f>TEXT(EDATE('Input - Pasture Beef'!$D$127,1), "mmmm") &amp; ", " &amp; TEXT(EDATE('Input - Pasture Beef'!$D$127,2), "mmmm") &amp; ", " &amp; TEXT(EDATE('Input - Pasture Beef'!$D$127,3), "mmmm")</f>
        <v>November, December, January</v>
      </c>
      <c r="Y93" s="2"/>
    </row>
    <row r="94" spans="4:35" ht="20.100000000000001"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100000000000001"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100000000000001"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100000000000001"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100000000000001"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100000000000001"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100000000000001"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100000000000001"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100000000000001"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100000000000001"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100000000000001"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100000000000001"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100000000000001"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100000000000001"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100000000000001"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100000000000001"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100000000000001"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100000000000001"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100000000000001"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4" t="s">
        <v>236</v>
      </c>
    </row>
    <row r="117" spans="4:35" ht="20.100000000000001" customHeight="1" x14ac:dyDescent="0.25">
      <c r="D117" s="93" t="s">
        <v>237</v>
      </c>
      <c r="U117" s="94" t="s">
        <v>250</v>
      </c>
    </row>
    <row r="118" spans="4:35" ht="20.100000000000001"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100000000000001"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100000000000001"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100000000000001"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100000000000001"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100000000000001"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100000000000001"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100000000000001"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100000000000001"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100000000000001"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100000000000001"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100000000000001"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100000000000001"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100000000000001"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100000000000001" customHeight="1" x14ac:dyDescent="0.25"/>
    <row r="133" spans="3:34" ht="20.100000000000001" customHeight="1" x14ac:dyDescent="0.25">
      <c r="C133" s="43"/>
      <c r="D133" s="43"/>
      <c r="E133" s="43"/>
      <c r="F133" s="43"/>
      <c r="G133" s="43"/>
      <c r="H133" s="43"/>
      <c r="I133" s="43"/>
      <c r="J133" s="43"/>
      <c r="K133" s="43"/>
      <c r="L133" s="43"/>
      <c r="M133" s="43"/>
      <c r="N133" s="43"/>
      <c r="O133" s="43"/>
      <c r="P133" s="43"/>
      <c r="Q133" s="43"/>
      <c r="R133" s="43"/>
      <c r="U133" s="94" t="s">
        <v>302</v>
      </c>
    </row>
    <row r="134" spans="3:34" ht="20.100000000000001" customHeight="1" x14ac:dyDescent="0.25">
      <c r="D134" s="6" t="str" cm="1">
        <f t="array" ref="D134">MMS_PastureBeef_Soil_N2ODirect_Equations.VEERG_4_2_1_3__3_NitrogenExcreted_Title()</f>
        <v>Nitrogen excreted</v>
      </c>
      <c r="U134" s="93" t="s">
        <v>303</v>
      </c>
    </row>
    <row r="135" spans="3:34" ht="20.100000000000001"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100000000000001"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5" t="str">
        <v>s</v>
      </c>
      <c r="E148" s="120" t="str">
        <v>Calving season</v>
      </c>
      <c r="F148" s="119"/>
      <c r="G148" s="115" t="str">
        <v/>
      </c>
      <c r="H148" s="117" t="str">
        <v>Input</v>
      </c>
      <c r="I148" s="55" t="str">
        <f>'Input - Pasture Beef'!$E$105</f>
        <v>Winter</v>
      </c>
    </row>
    <row r="149" spans="4:35" ht="20.100000000000001" customHeight="1" x14ac:dyDescent="0.25"/>
    <row r="150" spans="4:35" ht="20.100000000000001"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100000000000001" customHeight="1" x14ac:dyDescent="0.25">
      <c r="D151" s="93" t="s">
        <v>305</v>
      </c>
      <c r="U151" s="6" t="str" cm="1">
        <f t="array" ref="U151">MMS_PastureBeef_Soil_N2ODirect_Equations.VEERG_4_2_1_3__3_NitrogenExcreted_Title()</f>
        <v>Nitrogen excreted</v>
      </c>
    </row>
    <row r="152" spans="4:35" ht="20.100000000000001"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100000000000001"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100000000000001"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100000000000001"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100000000000001"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100000000000001" customHeight="1" x14ac:dyDescent="0.25"/>
    <row r="158" spans="4:35" ht="20.100000000000001" customHeight="1" x14ac:dyDescent="0.25">
      <c r="D158" s="94" t="s">
        <v>290</v>
      </c>
    </row>
    <row r="159" spans="4:35" ht="20.100000000000001" customHeight="1" x14ac:dyDescent="0.25">
      <c r="D159" s="93" t="s">
        <v>307</v>
      </c>
    </row>
    <row r="160" spans="4:35" ht="20.100000000000001"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100000000000001"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100000000000001"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100000000000001"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100000000000001"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100000000000001"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100000000000001"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100000000000001"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100000000000001"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100000000000001"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100000000000001"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100000000000001"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100000000000001"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100000000000001"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100000000000001"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100000000000001"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4" t="s">
        <v>360</v>
      </c>
      <c r="AH177" s="2"/>
    </row>
    <row r="178" spans="4:34" ht="20.100000000000001"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100000000000001"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100000000000001"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100000000000001"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100000000000001"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100000000000001"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100000000000001"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100000000000001"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100000000000001"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100000000000001"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100000000000001"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100000000000001"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100000000000001"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100000000000001"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100000000000001"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100000000000001"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100000000000001"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100000000000001"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100000000000001"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07" t="s">
        <v>294</v>
      </c>
      <c r="E212" s="43">
        <f ca="1">SUM(E207:N210)</f>
        <v>60490.349382369524</v>
      </c>
      <c r="F212" s="99" t="str">
        <f>E182</f>
        <v>kg N</v>
      </c>
    </row>
    <row r="213" spans="3:35" ht="20.100000000000001" customHeight="1" x14ac:dyDescent="0.25">
      <c r="U213" s="94" t="s">
        <v>273</v>
      </c>
    </row>
    <row r="214" spans="3:35" ht="20.100000000000001" customHeight="1" x14ac:dyDescent="0.25">
      <c r="U214" s="93" t="s">
        <v>274</v>
      </c>
    </row>
    <row r="215" spans="3:35" ht="20.100000000000001"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100000000000001" customHeight="1" x14ac:dyDescent="0.25">
      <c r="D218" s="13" t="s">
        <v>24</v>
      </c>
      <c r="E218" s="13" t="str">
        <f ca="1">Common_InputFunctions.Utility_DisplayFunctionName(VEERG_4_2_1_3__1_DirectNitrousOxideEmissionsOnPasture_Result_Method1)</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100000000000001"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100000000000001"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100000000000001"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100000000000001"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100000000000001"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100000000000001"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100000000000001"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100000000000001"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100000000000001"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100000000000001" customHeight="1" x14ac:dyDescent="0.25"/>
    <row r="229" spans="4:34" ht="20.100000000000001" customHeight="1" x14ac:dyDescent="0.25">
      <c r="D229" s="95" t="s">
        <v>104</v>
      </c>
      <c r="E229" s="96">
        <f ca="1">MMS_PastureBeef_Soil_N2ODirect_Equations.VEERG_4_2_1_3__1_DirectNitrousOxideEmissionsOnPasture(VEERG_4_2_1_3__2_TotalNitrogenExcretedToPastureRangeAndPaddock_Result_Method1,$H$225,$H$226)</f>
        <v>0.19011252663030423</v>
      </c>
      <c r="F229" s="97" t="str">
        <f>$E$222</f>
        <v>t N2O</v>
      </c>
      <c r="U229" s="94" t="s">
        <v>143</v>
      </c>
    </row>
    <row r="230" spans="4:34" ht="20.100000000000001" customHeight="1" x14ac:dyDescent="0.25">
      <c r="U230" s="93" t="s">
        <v>275</v>
      </c>
    </row>
    <row r="231" spans="4:34" ht="20.100000000000001" customHeight="1" x14ac:dyDescent="0.25">
      <c r="D231" s="55" t="str" cm="1">
        <f t="array" ref="D231:E232">Common_Equations.Common_ConvertN2OToCO2e_Arguments()</f>
        <v>EN2O</v>
      </c>
      <c r="E231" s="56" t="str">
        <v>Nitrous oxide emissions (t N2O)</v>
      </c>
      <c r="F231" s="98"/>
      <c r="G231" s="50">
        <f ca="1">VEERG_4_2_1_3__1_DirectNitrousOxideEmissionsOnPasture_Result_Method1</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100000000000001"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100000000000001"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100000000000001"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100000000000001"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100000000000001"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100000000000001"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100000000000001"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100000000000001"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100000000000001"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100000000000001"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100000000000001"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100000000000001"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100000000000001" customHeight="1" x14ac:dyDescent="0.25"/>
    <row r="245" spans="21:34" ht="20.100000000000001" customHeight="1" x14ac:dyDescent="0.25">
      <c r="U245" s="94" t="s">
        <v>311</v>
      </c>
    </row>
    <row r="246" spans="21:34" ht="20.100000000000001" customHeight="1" x14ac:dyDescent="0.25">
      <c r="U246" s="93" t="s">
        <v>312</v>
      </c>
    </row>
    <row r="247" spans="21:34" ht="20.100000000000001"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100000000000001"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07" t="s">
        <v>294</v>
      </c>
      <c r="V261" s="43">
        <f ca="1">SUM(V248:AE259)</f>
        <v>58623.490314488175</v>
      </c>
      <c r="W261" s="52" t="str">
        <f>$E$182</f>
        <v>kg N</v>
      </c>
    </row>
    <row r="262" spans="20:35" ht="20.100000000000001" customHeight="1" x14ac:dyDescent="0.25"/>
    <row r="263" spans="20:35" ht="20.100000000000001" customHeight="1" x14ac:dyDescent="0.25"/>
    <row r="264" spans="20:35" ht="20.100000000000001" customHeight="1" x14ac:dyDescent="0.25">
      <c r="T264" s="43"/>
      <c r="U264" s="43"/>
      <c r="V264" s="43"/>
      <c r="W264" s="43"/>
      <c r="X264" s="43"/>
      <c r="Y264" s="43"/>
      <c r="Z264" s="43"/>
      <c r="AA264" s="43"/>
      <c r="AB264" s="43"/>
      <c r="AC264" s="43"/>
      <c r="AD264" s="43"/>
      <c r="AE264" s="43"/>
      <c r="AF264" s="43"/>
      <c r="AG264" s="43"/>
      <c r="AH264" s="43"/>
      <c r="AI264" s="43"/>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5" t="s">
        <v>104</v>
      </c>
      <c r="V267" s="96">
        <f ca="1">MMS_PastureBeef_Soil_N2ODirect_Equations.VEERG_4_2_1_3__1_DirectNitrousOxideEmissionsOnPasture(VEERG_4_2_1_3__2_TotalNitrogenExcretedToPastureRangeAndPaddock_Result_Method2,$H$225,$H$226)</f>
        <v>0.18424525527410571</v>
      </c>
      <c r="W267" s="97" t="str">
        <f>$E$222</f>
        <v>t N2O</v>
      </c>
    </row>
    <row r="268" spans="20:35" ht="20.100000000000001" customHeight="1" x14ac:dyDescent="0.25"/>
    <row r="269" spans="20:35" ht="20.100000000000001" customHeight="1" x14ac:dyDescent="0.25">
      <c r="U269" s="55" t="str" cm="1">
        <f t="array" ref="U269:V270">Common_Equations.Common_ConvertN2OToCO2e_Arguments()</f>
        <v>EN2O</v>
      </c>
      <c r="V269" s="56" t="str">
        <v>Nitrous oxide emissions (t N2O)</v>
      </c>
      <c r="W269" s="98"/>
      <c r="X269" s="50">
        <f ca="1">VEERG_4_2_1_3__1_DirectNitrousOxideEmissionsOnPasture_Result_Method2</f>
        <v>0.18424525527410571</v>
      </c>
    </row>
    <row r="270" spans="20:35" ht="20.100000000000001"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100000000000001" customHeight="1" x14ac:dyDescent="0.25"/>
    <row r="272" spans="20:35" ht="20.100000000000001" customHeight="1" x14ac:dyDescent="0.25">
      <c r="U272" s="43" t="s">
        <v>98</v>
      </c>
      <c r="V272" s="43" cm="1">
        <f t="array" aca="1" ref="V272" ca="1">Common_Equations.Common_ConvertN2OToCO2e(X269,X270)</f>
        <v>48.824992647638012</v>
      </c>
      <c r="W272" s="99"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H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100000000000001" customHeight="1" x14ac:dyDescent="0.25">
      <c r="A2"/>
    </row>
    <row r="3" spans="1:22" ht="20.100000000000001"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100000000000001" customHeight="1" x14ac:dyDescent="0.25">
      <c r="A4" s="17" t="str">
        <f>HYPERLINK("#'Results'!A1", "Results")</f>
        <v>Results</v>
      </c>
    </row>
    <row r="5" spans="1:22" ht="20.100000000000001" customHeight="1" x14ac:dyDescent="0.25">
      <c r="D5" s="6" t="str" cm="1">
        <f t="array" ref="D5">MMS_PastureBeef_Soil_AtmosphericDeposition_Equations.VEERG_4_2_1_5__2_MassOfNitrogenVolatilisedOnPasture_Title()</f>
        <v>Mass of nitrogen volatilised</v>
      </c>
    </row>
    <row r="6" spans="1:22" ht="20.100000000000001" customHeight="1" x14ac:dyDescent="0.25">
      <c r="D6" s="5" t="str" cm="1">
        <f t="array" ref="D6">MMS_PastureBeef_Soil_AtmosphericDeposition_Equations.VEERG_4_2_1_5__2_MassOfNitrogenVolatilisedOnPasture_Source()</f>
        <v>VEERG 2026: 4.2.1.5, Equation (2)</v>
      </c>
    </row>
    <row r="7" spans="1:22" ht="20.100000000000001"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Site'!A1", "Site")</f>
        <v>Site</v>
      </c>
    </row>
    <row r="9" spans="1:22" ht="20.100000000000001" customHeight="1" x14ac:dyDescent="0.25">
      <c r="A9" s="17" t="str">
        <f>HYPERLINK("#'Input - Pasture Beef'!A1", "Pasture Beef")</f>
        <v>Pasture Beef</v>
      </c>
    </row>
    <row r="10" spans="1:22" ht="20.100000000000001" customHeight="1" x14ac:dyDescent="0.25">
      <c r="D10" s="51" t="s">
        <v>27</v>
      </c>
      <c r="E10" s="1" t="str" cm="1">
        <f t="array" ref="E10">MMS_PastureBeef_Soil_AtmosphericDeposition_Equations.VEERG_4_2_1_5__2_MassOfNitrogenVolatilisedOnPasture_Variable()</f>
        <v>M_vol</v>
      </c>
    </row>
    <row r="11" spans="1:22" ht="20.100000000000001" customHeight="1" x14ac:dyDescent="0.25">
      <c r="D11" s="51" t="s">
        <v>17</v>
      </c>
      <c r="E11" s="52" t="str" cm="1">
        <f t="array" ref="E11">MMS_PastureBeef_Soil_AtmosphericDeposition_Equations.VEERG_4_2_1_5__2_MassOfNitrogenVolatilisedOnPasture_Unit()</f>
        <v>kg N</v>
      </c>
    </row>
    <row r="12" spans="1:22" ht="20.100000000000001" customHeight="1" x14ac:dyDescent="0.25">
      <c r="A12" s="18" t="s">
        <v>72</v>
      </c>
    </row>
    <row r="13" spans="1:22" ht="20.100000000000001"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100000000000001"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100000000000001" customHeight="1" x14ac:dyDescent="0.25">
      <c r="A15" s="135" t="str">
        <f>HYPERLINK("#'4.2.1.5-6 Soil Atmos Dep'!A1", "4.2.1.5-6 Soil Atmos Dep")</f>
        <v>4.2.1.5-6 Soil Atmos Dep</v>
      </c>
    </row>
    <row r="16" spans="1:22" ht="20.100000000000001"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100000000000001" customHeight="1" x14ac:dyDescent="0.25">
      <c r="L17" s="54"/>
    </row>
    <row r="18" spans="1:22" ht="20.100000000000001" customHeight="1" x14ac:dyDescent="0.25">
      <c r="L18" s="54"/>
    </row>
    <row r="19" spans="1:22" ht="20.100000000000001" customHeight="1" x14ac:dyDescent="0.25">
      <c r="A19" s="133" t="s">
        <v>1</v>
      </c>
      <c r="C19" s="43"/>
      <c r="D19" s="43"/>
      <c r="E19" s="43"/>
      <c r="F19" s="43"/>
      <c r="G19" s="43"/>
      <c r="H19" s="43"/>
      <c r="I19" s="43"/>
      <c r="J19" s="43"/>
      <c r="K19" s="43"/>
      <c r="L19" s="54"/>
      <c r="M19" s="43"/>
      <c r="N19" s="43"/>
      <c r="O19" s="43"/>
      <c r="P19" s="43"/>
      <c r="Q19" s="43"/>
      <c r="R19" s="43"/>
      <c r="S19" s="43"/>
      <c r="T19" s="43"/>
      <c r="U19" s="43"/>
      <c r="V19" s="43"/>
    </row>
    <row r="20" spans="1:22" ht="20.100000000000001"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t="str">
        <f>HYPERLINK("#'Constants - Common Livestock'!A1", "Constants - Common Livestock")</f>
        <v>Constants - Common Livestock</v>
      </c>
      <c r="D22" s="13" t="s">
        <v>24</v>
      </c>
      <c r="E22" s="1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17" t="str">
        <f>HYPERLINK("#'Acknowledgements'!A1", "Acknowledgements")</f>
        <v>Acknowledgements</v>
      </c>
    </row>
    <row r="24" spans="1:22" ht="20.100000000000001" customHeight="1" x14ac:dyDescent="0.25">
      <c r="A24" s="17" t="str">
        <f>HYPERLINK("#'Tab template'!A1", "Tab template")</f>
        <v>Tab template</v>
      </c>
    </row>
    <row r="25" spans="1:22" ht="20.100000000000001" customHeight="1" x14ac:dyDescent="0.25">
      <c r="D25" s="51" t="s">
        <v>27</v>
      </c>
      <c r="E25" s="1" t="str" cm="1">
        <f t="array" ref="E25">MMS_PastureBeef_Soil_AtmosphericDeposition_Equations.VEERG_4_2_1_5__1_AtmosphericDepositionEmissionsFromUrineAndDungOnPasture_Variable()</f>
        <v>E_N2Oad</v>
      </c>
    </row>
    <row r="26" spans="1:22" ht="20.100000000000001" customHeight="1" x14ac:dyDescent="0.25">
      <c r="D26" s="51" t="s">
        <v>17</v>
      </c>
      <c r="E26" s="52"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100000000000001"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100000000000001"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100000000000001"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100000000000001"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100000000000001"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100000000000001" customHeight="1" x14ac:dyDescent="0.25"/>
    <row r="35" spans="4:19" ht="20.100000000000001"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100000000000001" customHeight="1" x14ac:dyDescent="0.25"/>
    <row r="37" spans="4:19" ht="20.100000000000001" customHeight="1" x14ac:dyDescent="0.25">
      <c r="D37" s="55" t="str" cm="1">
        <f t="array" ref="D37:E38">Common_Equations.Common_ConvertN2OToCO2e_Arguments()</f>
        <v>EN2O</v>
      </c>
      <c r="E37" s="56" t="str">
        <v>Nitrous oxide emissions (t N2O)</v>
      </c>
      <c r="F37" s="98"/>
      <c r="G37" s="50">
        <f ca="1">VEERG_4_2_1_5__1_AtmosphericDepositionEmissionsFromUrineAndDungOnPasture_Result_Method1</f>
        <v>0.11777471024747345</v>
      </c>
      <c r="N37" s="55" t="str" cm="1">
        <f t="array" ref="N37:O38">Common_Equations.Common_ConvertN2OToCO2e_Arguments()</f>
        <v>EN2O</v>
      </c>
      <c r="O37" s="56" t="str">
        <v>Nitrous oxide emissions (t N2O)</v>
      </c>
      <c r="P37" s="98"/>
      <c r="Q37" s="50">
        <f ca="1">VEERG_4_2_1_5__1_AtmosphericDepositionEmissionsFromUrineAndDungOnPasture_Result_Method2</f>
        <v>0.11413993564230847</v>
      </c>
    </row>
    <row r="38" spans="4:19" ht="20.100000000000001"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100000000000001" customHeight="1" x14ac:dyDescent="0.25"/>
    <row r="40" spans="4:19" ht="20.100000000000001"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E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100000000000001" customHeight="1" x14ac:dyDescent="0.25">
      <c r="A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HYPERLINK("#'Results'!A1", "Results")</f>
        <v>Results</v>
      </c>
    </row>
    <row r="5" spans="1:19" ht="20.100000000000001" customHeight="1" x14ac:dyDescent="0.25">
      <c r="D5" s="6" t="str" cm="1">
        <f t="array" ref="D5">MMS_PastureBeef_Soil_LeachingAndRunoff.VEERG_4_2_1_7__2_MassOfNitrogenLostToLeachingAndRunoffOnPasture_Title()</f>
        <v>Mass of nitrogen lost to leaching and runoff</v>
      </c>
    </row>
    <row r="6" spans="1:19" ht="20.100000000000001" customHeight="1" x14ac:dyDescent="0.25">
      <c r="D6" s="5" t="str" cm="1">
        <f t="array" ref="D6">MMS_PastureBeef_Soil_LeachingAndRunoff.VEERG_4_2_1_7__2_MassOfNitrogenLostToLeachingAndRunoffOnPasture_Source()</f>
        <v>VEERG 2026: 4.2.1.7, Equation (2)</v>
      </c>
    </row>
    <row r="7" spans="1:19" ht="20.100000000000001"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Site'!A1", "Site")</f>
        <v>Site</v>
      </c>
    </row>
    <row r="9" spans="1:19" ht="20.100000000000001" customHeight="1" x14ac:dyDescent="0.25">
      <c r="A9" s="17" t="str">
        <f>HYPERLINK("#'Input - Pasture Beef'!A1", "Pasture Beef")</f>
        <v>Pasture Beef</v>
      </c>
    </row>
    <row r="10" spans="1:19" ht="20.100000000000001" customHeight="1" x14ac:dyDescent="0.25">
      <c r="D10" s="51" t="s">
        <v>27</v>
      </c>
      <c r="E10" s="1" t="str" cm="1">
        <f t="array" ref="E10">MMS_PastureBeef_Soil_LeachingAndRunoff.VEERG_4_2_1_7__2_MassOfNitrogenLostToLeachingAndRunoffOnPasture_Variable()</f>
        <v>M_leach</v>
      </c>
    </row>
    <row r="11" spans="1:19" ht="20.100000000000001" customHeight="1" x14ac:dyDescent="0.25">
      <c r="D11" s="51" t="s">
        <v>17</v>
      </c>
      <c r="E11" s="52" t="str" cm="1">
        <f t="array" ref="E11">MMS_PastureBeef_Soil_LeachingAndRunoff.VEERG_4_2_1_7__2_MassOfNitrogenLostToLeachingAndRunoffOnPasture_Unit()</f>
        <v>kg N</v>
      </c>
    </row>
    <row r="12" spans="1:19" ht="20.100000000000001" customHeight="1" x14ac:dyDescent="0.25">
      <c r="A12" s="18" t="s">
        <v>72</v>
      </c>
    </row>
    <row r="13" spans="1:19" ht="20.100000000000001"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100000000000001"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Common_InputFunctions.CommonCropping_GetFracWET(I16,I18,#REF!,#REF!,Table_SourceData_FracWETIrrigation[Irrigation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100000000000001"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100000000000001" customHeight="1" x14ac:dyDescent="0.25">
      <c r="A16" s="135"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100000000000001"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100000000000001"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100000000000001" customHeight="1" x14ac:dyDescent="0.25">
      <c r="A19" s="133" t="s">
        <v>1</v>
      </c>
    </row>
    <row r="20" spans="1:19" ht="20.100000000000001"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100000000000001" customHeight="1" x14ac:dyDescent="0.25">
      <c r="A21" s="17" t="str">
        <f>HYPERLINK("#'Constants - Common'!A1", "Constants - Common")</f>
        <v>Constants - Common</v>
      </c>
      <c r="K21" s="54"/>
    </row>
    <row r="22" spans="1:19" ht="20.100000000000001" customHeight="1" x14ac:dyDescent="0.25">
      <c r="A22" s="17" t="str">
        <f>HYPERLINK("#'Constants - Common Livestock'!A1", "Constants - Common Livestock")</f>
        <v>Constants - Common Livestock</v>
      </c>
      <c r="K22" s="54"/>
    </row>
    <row r="23" spans="1:19" ht="20.100000000000001"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100000000000001"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24</v>
      </c>
      <c r="E26" s="1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1" t="s">
        <v>27</v>
      </c>
      <c r="E29" s="1" t="str" cm="1">
        <f t="array" ref="E29">MMS_PastureBeef_Soil_LeachingAndRunoff.VEERG_4_2_1_7__1_LeachingAndRunoffEmissionsFromUrineAndDungOnPasture_Variable()</f>
        <v>E_N2Oleach</v>
      </c>
    </row>
    <row r="30" spans="1:19" ht="20.100000000000001" customHeight="1" x14ac:dyDescent="0.25">
      <c r="D30" s="51" t="s">
        <v>17</v>
      </c>
      <c r="E30" s="52"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100000000000001"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100000000000001"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100000000000001" customHeight="1" x14ac:dyDescent="0.25"/>
    <row r="36" spans="4:18" ht="20.100000000000001"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100000000000001" customHeight="1" x14ac:dyDescent="0.25"/>
    <row r="38" spans="4:18" ht="20.100000000000001" customHeight="1" x14ac:dyDescent="0.25">
      <c r="D38" s="55" t="str" cm="1">
        <f t="array" ref="D38:E39">Common_Equations.Common_ConvertN2OToCO2e_Arguments()</f>
        <v>EN2O</v>
      </c>
      <c r="E38" s="56" t="str">
        <v>Nitrous oxide emissions (t N2O)</v>
      </c>
      <c r="F38" s="98"/>
      <c r="G38" s="50">
        <f ca="1">VEERG_4_2_1_7__1_LeachingAndRunoffEmissionsFromUrineAndDungOnPasture_Result_Method1</f>
        <v>0.2509485351520015</v>
      </c>
      <c r="M38" s="55" t="str" cm="1">
        <f t="array" ref="M38:N39">Common_Equations.Common_ConvertN2OToCO2e_Arguments()</f>
        <v>EN2O</v>
      </c>
      <c r="N38" s="56" t="str">
        <v>Nitrous oxide emissions (t N2O)</v>
      </c>
      <c r="O38" s="98"/>
      <c r="P38" s="50">
        <f ca="1">VEERG_4_2_1_7__1_LeachingAndRunoffEmissionsFromUrineAndDungOnPasture_Result_Method2</f>
        <v>0.24320373696181949</v>
      </c>
    </row>
    <row r="39" spans="4:18" ht="20.100000000000001"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100000000000001" customHeight="1" x14ac:dyDescent="0.25"/>
    <row r="41" spans="4:18" ht="20.100000000000001"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43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315</v>
      </c>
      <c r="G5" s="6" t="s">
        <v>114</v>
      </c>
      <c r="M5" s="1" t="s">
        <v>200</v>
      </c>
      <c r="O5" s="1" t="s">
        <v>201</v>
      </c>
      <c r="Q5" s="1" t="s">
        <v>202</v>
      </c>
      <c r="S5" s="1" t="s">
        <v>213</v>
      </c>
    </row>
    <row r="6" spans="1:21" ht="20.100000000000001" customHeight="1" x14ac:dyDescent="0.25">
      <c r="M6" s="1"/>
    </row>
    <row r="7" spans="1:21" ht="20.100000000000001" customHeight="1" x14ac:dyDescent="0.25">
      <c r="A7" s="19" t="s">
        <v>0</v>
      </c>
      <c r="D7" s="36" t="s">
        <v>113</v>
      </c>
      <c r="G7" s="36" t="s">
        <v>112</v>
      </c>
      <c r="M7" t="s">
        <v>177</v>
      </c>
      <c r="O7" s="36" t="s">
        <v>177</v>
      </c>
      <c r="Q7" s="36" t="s">
        <v>177</v>
      </c>
      <c r="S7" s="36" t="s">
        <v>177</v>
      </c>
    </row>
    <row r="8" spans="1:21" ht="20.100000000000001" customHeight="1" x14ac:dyDescent="0.25">
      <c r="A8" s="17" t="str">
        <f>HYPERLINK("#'Input - Site'!A1", "Site")</f>
        <v>Site</v>
      </c>
      <c r="D8" s="36" t="str">
        <f>'Constants - Common'!$F$187</f>
        <v>Pasture</v>
      </c>
      <c r="G8" s="36" t="s">
        <v>115</v>
      </c>
      <c r="M8" s="36" t="s">
        <v>203</v>
      </c>
      <c r="O8" s="36" t="s">
        <v>205</v>
      </c>
      <c r="Q8" s="36" t="s">
        <v>208</v>
      </c>
      <c r="S8" s="36" t="s">
        <v>196</v>
      </c>
    </row>
    <row r="9" spans="1:21" ht="20.100000000000001" customHeight="1" x14ac:dyDescent="0.25">
      <c r="A9" s="17" t="str">
        <f>HYPERLINK("#'Input - Pasture Beef'!A1", "Pasture Beef")</f>
        <v>Pasture Beef</v>
      </c>
      <c r="D9" s="1" t="str">
        <f>'Constants - Common'!$F$188</f>
        <v>Crop</v>
      </c>
      <c r="G9" s="36" t="s">
        <v>116</v>
      </c>
      <c r="M9" s="36" t="s">
        <v>204</v>
      </c>
      <c r="O9" s="36" t="s">
        <v>206</v>
      </c>
      <c r="Q9" s="36" t="s">
        <v>209</v>
      </c>
    </row>
    <row r="10" spans="1:21" ht="20.100000000000001" customHeight="1" x14ac:dyDescent="0.25">
      <c r="G10" s="1" t="s">
        <v>117</v>
      </c>
      <c r="M10" s="36" t="s">
        <v>199</v>
      </c>
      <c r="O10" s="36" t="s">
        <v>207</v>
      </c>
      <c r="Q10" s="36" t="s">
        <v>210</v>
      </c>
      <c r="S10" s="1" t="s">
        <v>214</v>
      </c>
    </row>
    <row r="11" spans="1:21" ht="20.100000000000001" customHeight="1" x14ac:dyDescent="0.25">
      <c r="G11" s="1" t="s">
        <v>118</v>
      </c>
      <c r="M11" s="1"/>
      <c r="Q11" s="36" t="s">
        <v>211</v>
      </c>
    </row>
    <row r="12" spans="1:21" ht="20.100000000000001" customHeight="1" x14ac:dyDescent="0.25">
      <c r="A12" s="18" t="s">
        <v>72</v>
      </c>
      <c r="G12" s="1" t="s">
        <v>119</v>
      </c>
      <c r="M12" s="1"/>
      <c r="S12" s="36" t="s">
        <v>177</v>
      </c>
    </row>
    <row r="13" spans="1:21" ht="20.100000000000001" customHeight="1" x14ac:dyDescent="0.25">
      <c r="A13" s="17" t="str">
        <f>HYPERLINK("#'4.2.1.1-2 Methane'!A1", "4.2.1.1-2 Methane")</f>
        <v>4.2.1.1-2 Methane</v>
      </c>
      <c r="M13" s="1"/>
      <c r="S13" s="36" t="s">
        <v>196</v>
      </c>
    </row>
    <row r="14" spans="1:21" ht="20.100000000000001"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100000000000001"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100000000000001"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100000000000001" customHeight="1" x14ac:dyDescent="0.25">
      <c r="D17" s="52" t="str" cm="1">
        <f t="array" ref="D17">SourceData_PastureBeef.SourceData_PastureBeef_Liveweight_Unit()</f>
        <v>kg</v>
      </c>
      <c r="M17" s="1"/>
      <c r="O17" s="1" t="s">
        <v>370</v>
      </c>
      <c r="S17" s="36" t="s">
        <v>177</v>
      </c>
    </row>
    <row r="18" spans="1:19" ht="20.100000000000001" customHeight="1" x14ac:dyDescent="0.25">
      <c r="D18" s="36" t="s">
        <v>5</v>
      </c>
      <c r="E18" s="36" t="s">
        <v>177</v>
      </c>
      <c r="F18" s="36" t="s">
        <v>178</v>
      </c>
      <c r="G18" s="36" t="s">
        <v>179</v>
      </c>
      <c r="H18" s="36" t="s">
        <v>180</v>
      </c>
      <c r="I18" s="36" t="s">
        <v>181</v>
      </c>
      <c r="J18" s="36" t="s">
        <v>182</v>
      </c>
      <c r="K18" s="36" t="s">
        <v>183</v>
      </c>
      <c r="L18" s="36" t="s">
        <v>184</v>
      </c>
      <c r="M18" s="36" t="s">
        <v>185</v>
      </c>
      <c r="O18" s="36" t="s">
        <v>371</v>
      </c>
      <c r="S18" s="36" t="s">
        <v>196</v>
      </c>
    </row>
    <row r="19" spans="1:19" ht="20.100000000000001" customHeight="1" x14ac:dyDescent="0.25">
      <c r="A19" s="133"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100000000000001" customHeight="1" x14ac:dyDescent="0.25">
      <c r="A20" s="136"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100000000000001"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100000000000001"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100000000000001"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100000000000001"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383</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390</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382</v>
      </c>
      <c r="P38" s="36" t="s">
        <v>84</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391</v>
      </c>
      <c r="P39" s="36" t="s">
        <v>84</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381</v>
      </c>
      <c r="P40" s="36" t="s">
        <v>84</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392</v>
      </c>
      <c r="P41" s="36" t="s">
        <v>79</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393</v>
      </c>
      <c r="P42" s="36" t="s">
        <v>79</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394</v>
      </c>
      <c r="P43" s="36" t="s">
        <v>79</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395</v>
      </c>
      <c r="P44" s="36" t="s">
        <v>80</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396</v>
      </c>
      <c r="P45" s="36" t="s">
        <v>80</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397</v>
      </c>
      <c r="P46" s="36" t="s">
        <v>80</v>
      </c>
    </row>
    <row r="47" spans="4:16" ht="20.100000000000001" customHeight="1" x14ac:dyDescent="0.25">
      <c r="M47" s="1"/>
      <c r="O47" s="36" t="s">
        <v>398</v>
      </c>
      <c r="P47" s="36" t="s">
        <v>80</v>
      </c>
    </row>
    <row r="48" spans="4:16" ht="20.100000000000001" customHeight="1" x14ac:dyDescent="0.25">
      <c r="M48" s="1"/>
      <c r="O48" s="1" t="s">
        <v>354</v>
      </c>
      <c r="P48" s="1" t="s">
        <v>354</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2" t="str" cm="1">
        <f t="array" ref="D52">SourceData_PastureBeef.SourceData_PastureBeef_LiveweightNTQLD_Unit()</f>
        <v>kg</v>
      </c>
      <c r="M52" s="1"/>
    </row>
    <row r="53" spans="4:16" ht="20.100000000000001"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195</v>
      </c>
      <c r="M84" s="1"/>
    </row>
    <row r="85" spans="4:22" ht="20.100000000000001"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100000000000001"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2" t="str" cm="1">
        <f t="array" ref="D153">SourceData_PastureBeef.SourceData_PastureBeef_LiveweightGain_Unit()</f>
        <v>kg</v>
      </c>
      <c r="M153" s="1"/>
    </row>
    <row r="154" spans="4:16" ht="20.100000000000001"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2" t="str" cm="1">
        <f t="array" ref="D188">SourceData_PastureBeef.SourceData_PastureBeef_LiveweightGainNTQLD_Unit()</f>
        <v>kg</v>
      </c>
      <c r="M188" s="1"/>
    </row>
    <row r="189" spans="4:16" x14ac:dyDescent="0.25">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195</v>
      </c>
      <c r="M220" s="1"/>
    </row>
    <row r="221" spans="4:16" x14ac:dyDescent="0.25">
      <c r="M221" s="1"/>
    </row>
    <row r="222" spans="4:16" x14ac:dyDescent="0.25">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2" t="str" cm="1">
        <f t="array" ref="D288">SourceData_PastureBeef.SourceData_PastureBeef_DryMatterDigestibility_Unit()</f>
        <v>fraction</v>
      </c>
      <c r="M288" s="21"/>
    </row>
    <row r="289" spans="4:13" x14ac:dyDescent="0.25">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6" t="s">
        <v>5</v>
      </c>
      <c r="E290" s="36" t="s">
        <v>177</v>
      </c>
      <c r="F290" s="36" t="s">
        <v>167</v>
      </c>
      <c r="G290" s="36" t="s">
        <v>168</v>
      </c>
      <c r="H290" s="36" t="s">
        <v>169</v>
      </c>
      <c r="I290" s="36" t="s">
        <v>170</v>
      </c>
      <c r="M290" s="21"/>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2" t="str" cm="1">
        <f t="array" ref="D311">SourceData_PastureBeef.SourceData_PastureBeef_CrudeProteinContent_Unit()</f>
        <v>fraction</v>
      </c>
      <c r="M311" s="21"/>
    </row>
    <row r="312" spans="4:13" x14ac:dyDescent="0.25">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6" t="s">
        <v>5</v>
      </c>
      <c r="E313" s="36" t="s">
        <v>177</v>
      </c>
      <c r="F313" s="36" t="s">
        <v>167</v>
      </c>
      <c r="G313" s="36" t="s">
        <v>168</v>
      </c>
      <c r="H313" s="36" t="s">
        <v>169</v>
      </c>
      <c r="I313" s="36" t="s">
        <v>170</v>
      </c>
      <c r="M313" s="21"/>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3" t="s">
        <v>242</v>
      </c>
      <c r="M333" s="1"/>
    </row>
    <row r="334" spans="4:13" x14ac:dyDescent="0.25">
      <c r="D334" s="36" t="s">
        <v>123</v>
      </c>
      <c r="E334" s="36" t="s">
        <v>178</v>
      </c>
      <c r="F334" s="36" t="s">
        <v>226</v>
      </c>
      <c r="G334" s="36" t="s">
        <v>227</v>
      </c>
      <c r="I334" s="36" t="s">
        <v>123</v>
      </c>
      <c r="J334" s="36" t="s">
        <v>178</v>
      </c>
      <c r="K334" s="36" t="s">
        <v>226</v>
      </c>
      <c r="L334" s="36" t="s">
        <v>227</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2" t="str" cm="1">
        <f t="array" ref="D348">SourceData_PastureBeef.SourceData_PastureBeef_StandardReferenceWeights_Unit()</f>
        <v>kg</v>
      </c>
      <c r="M348" s="1"/>
    </row>
    <row r="349" spans="4:13" x14ac:dyDescent="0.25">
      <c r="D349" s="53"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228</v>
      </c>
      <c r="F350" s="36" t="s">
        <v>229</v>
      </c>
      <c r="G350" s="36" t="s">
        <v>187</v>
      </c>
      <c r="H350" s="36" t="s">
        <v>188</v>
      </c>
      <c r="I350" s="36" t="s">
        <v>230</v>
      </c>
      <c r="J350" s="36" t="s">
        <v>191</v>
      </c>
      <c r="K350" s="36" t="s">
        <v>220</v>
      </c>
      <c r="L350" s="36" t="s">
        <v>231</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2" t="str" cm="1">
        <f t="array" ref="D375">SourceData_PastureBeef.SourceData_PastureBeef_FractionOfManureToMMS_Unit()</f>
        <v>fraction</v>
      </c>
      <c r="E375" s="101" t="s">
        <v>261</v>
      </c>
      <c r="M375" s="1"/>
    </row>
    <row r="376" spans="4:15" x14ac:dyDescent="0.25">
      <c r="D376" s="53" t="str" cm="1">
        <f t="array" ref="D376">SourceData_PastureBeef.SourceData_PastureBeef_FractionOfManureToMMS_Variation()</f>
        <v>VARIATION ON SOURCE: Removed comma from 'Pasture range and paddock' to aid lookup</v>
      </c>
      <c r="M376" s="1"/>
    </row>
    <row r="377" spans="4:15" x14ac:dyDescent="0.25">
      <c r="D377" s="36" t="s">
        <v>5</v>
      </c>
      <c r="E377" s="36" t="s">
        <v>177</v>
      </c>
      <c r="F377" s="36" t="s">
        <v>132</v>
      </c>
      <c r="G377" s="36" t="s">
        <v>232</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2" t="str" cm="1">
        <f t="array" ref="D398">SourceData_PastureBeef.SourceData_PastureBeef_MethaneConversionFactorPerRegion_Unit()</f>
        <v>fraction</v>
      </c>
      <c r="M398" s="1"/>
    </row>
    <row r="399" spans="4:13" x14ac:dyDescent="0.25">
      <c r="D399" s="53"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177</v>
      </c>
      <c r="F400" s="36" t="s">
        <v>132</v>
      </c>
      <c r="G400" s="36" t="s">
        <v>232</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2" t="str" cm="1">
        <f t="array" ref="D421">SourceData_PastureBeef.SourceData_PastureBeef_AshContentOfFeedIntake_Unit()</f>
        <v>fraction</v>
      </c>
      <c r="M421" s="1"/>
    </row>
    <row r="422" spans="4:13" x14ac:dyDescent="0.25">
      <c r="D422" s="51"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2" t="str" cm="1">
        <f t="array" ref="D427">SourceData_PastureBeef.SourceData_PastureBeef_MethaneEmissionsPotential_Unit()</f>
        <v>m3 CH4 / kg VS</v>
      </c>
      <c r="M427" s="1"/>
    </row>
    <row r="428" spans="4:13" x14ac:dyDescent="0.25">
      <c r="D428" s="51"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2" t="str" cm="1">
        <f t="array" ref="D433">SourceData_PastureBeef.SourceData_PastureBeef_FracGASMSoil_Unit()</f>
        <v>fraction</v>
      </c>
      <c r="M433" s="1"/>
    </row>
    <row r="434" spans="4:13" x14ac:dyDescent="0.25">
      <c r="D434" s="51"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2" t="str" cm="1">
        <f t="array" ref="D439">SourceData_PastureBeef.SourceData_PastureBeef_FracLEACH_Unit()</f>
        <v>fraction</v>
      </c>
      <c r="M439" s="1"/>
    </row>
    <row r="440" spans="4:13" x14ac:dyDescent="0.25">
      <c r="D440" s="51" cm="1">
        <f t="array" ref="D440">SourceData_PastureBeef.SourceData_PastureBeef_FracLEACH_Data()</f>
        <v>0.24</v>
      </c>
      <c r="M440" s="1"/>
    </row>
    <row r="441" spans="4:13" x14ac:dyDescent="0.25">
      <c r="M441" s="1"/>
    </row>
    <row r="442" spans="4:13" ht="15" customHeight="1" x14ac:dyDescent="0.25">
      <c r="D442" s="36" t="s">
        <v>384</v>
      </c>
      <c r="E442" s="36" t="s">
        <v>385</v>
      </c>
      <c r="F442" s="36" t="s">
        <v>386</v>
      </c>
      <c r="G442" s="36" t="s">
        <v>387</v>
      </c>
      <c r="H442" s="36" t="s">
        <v>388</v>
      </c>
      <c r="I442" s="36" t="s">
        <v>389</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F72-2E24-4B34-869E-0EB047D8E7BE}">
  <dimension ref="A1:BY259"/>
  <sheetViews>
    <sheetView showGridLines="0" tabSelected="1" topLeftCell="A86" zoomScaleNormal="100" workbookViewId="0">
      <selection activeCell="A23" sqref="A2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19</v>
      </c>
      <c r="E6" s="36" t="s">
        <v>20</v>
      </c>
      <c r="F6" s="36" t="s">
        <v>21</v>
      </c>
    </row>
    <row r="7" spans="1:65" ht="20.100000000000001" customHeight="1" x14ac:dyDescent="0.25">
      <c r="A7" s="19" t="s">
        <v>0</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72</v>
      </c>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HYPERLINK("#'4.2.1.1-2 Methane'!A1", "4.2.1.1-2 Methane")</f>
        <v>4.2.1.1-2 Methane</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HYPERLINK("#'4.2.1.3-4 Soil direct N20'!A1", "4.2.1.3-4 Soil direct N20")</f>
        <v>4.2.1.3-4 Soil direct N20</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HYPERLINK("#'4.2.1.5-6 Soil Atmos Dep'!A1", "4.2.1.5-6 Soil Atmos Dep")</f>
        <v>4.2.1.5-6 Soil Atmos Dep</v>
      </c>
    </row>
    <row r="16" spans="1:65" ht="20.100000000000001" customHeight="1" x14ac:dyDescent="0.25">
      <c r="A16" s="17" t="str">
        <f>HYPERLINK("#'4.2.1.7-8 Soil leach runoff'!A1", "4.2.1.7-8 Soil leach runoff")</f>
        <v>4.2.1.7-8 Soil leach runoff</v>
      </c>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s="133" t="s">
        <v>1</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Pasture Beef'!A1", "Constants - Pasture Beef")</f>
        <v>Constants - Pasture Beef</v>
      </c>
      <c r="D20" s="36" t="s">
        <v>22</v>
      </c>
    </row>
    <row r="21" spans="1:4" ht="20.100000000000001" customHeight="1" x14ac:dyDescent="0.25">
      <c r="A21" s="136" t="str">
        <f>HYPERLINK("#'Constants - Common'!A1", "Constants - Common")</f>
        <v>Constants - Common</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Common Livestock'!A1", "Constants - Common Livestock")</f>
        <v>Constants - Common Livestock</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HYPERLINK("#'Acknowledgements'!A1", "Acknowledgements")</f>
        <v>Acknowledgements</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HYPERLINK("#'Tab template'!A1", "Tab template")</f>
        <v>Tab template</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25</v>
      </c>
      <c r="E36" s="36" t="s">
        <v>26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25</v>
      </c>
      <c r="E47" s="36" t="s">
        <v>28</v>
      </c>
      <c r="F47" s="36" t="s">
        <v>29</v>
      </c>
      <c r="G47" s="36" t="s">
        <v>30</v>
      </c>
      <c r="H47" s="36" t="s">
        <v>31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46</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53</v>
      </c>
      <c r="E109" s="36" t="s">
        <v>34</v>
      </c>
      <c r="F109" s="36" t="s">
        <v>54</v>
      </c>
      <c r="G109" s="36" t="s">
        <v>55</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56</v>
      </c>
      <c r="E119" s="36" t="s">
        <v>57</v>
      </c>
      <c r="F119" s="36" t="s">
        <v>41</v>
      </c>
      <c r="G119" s="36" t="s">
        <v>42</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63</v>
      </c>
      <c r="E127" s="36" t="s">
        <v>64</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146</v>
      </c>
      <c r="E142" s="36" t="s">
        <v>89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66</v>
      </c>
      <c r="E153" s="36" t="s">
        <v>67</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33</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148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126</v>
      </c>
      <c r="E212" s="36" t="s">
        <v>178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355</v>
      </c>
      <c r="E257" s="36" t="s">
        <v>356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5" t="s">
        <v>75</v>
      </c>
      <c r="E9" s="36" t="s">
        <v>18</v>
      </c>
      <c r="F9" s="36" t="s">
        <v>76</v>
      </c>
      <c r="G9" s="3"/>
    </row>
    <row r="10" spans="1:13" ht="20.100000000000001"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33"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36"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385</v>
      </c>
      <c r="E31" s="36" t="s">
        <v>399</v>
      </c>
      <c r="F31" s="1" t="s">
        <v>400</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385</v>
      </c>
      <c r="E43" s="36" t="s">
        <v>399</v>
      </c>
      <c r="F43" s="1" t="s">
        <v>401</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385</v>
      </c>
      <c r="E54" s="36" t="s">
        <v>399</v>
      </c>
      <c r="F54" s="1" t="s">
        <v>402</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385</v>
      </c>
      <c r="E59" s="36" t="s">
        <v>399</v>
      </c>
      <c r="F59" s="1" t="s">
        <v>403</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385</v>
      </c>
      <c r="E64" s="36" t="s">
        <v>399</v>
      </c>
      <c r="F64" s="1" t="s">
        <v>404</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33"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36"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row r="6" spans="1:21" ht="20.100000000000001" customHeight="1" x14ac:dyDescent="0.25"/>
    <row r="7" spans="1:21" ht="20.100000000000001" customHeight="1" x14ac:dyDescent="0.25">
      <c r="A7" s="19" t="s">
        <v>0</v>
      </c>
    </row>
    <row r="8" spans="1:21" ht="20.100000000000001" customHeight="1" x14ac:dyDescent="0.25">
      <c r="A8" s="17" t="str">
        <f>HYPERLINK("#'Input - Site'!A1", "Site")</f>
        <v>Site</v>
      </c>
    </row>
    <row r="9" spans="1:21" ht="20.100000000000001" customHeight="1" x14ac:dyDescent="0.25">
      <c r="A9" s="17" t="str">
        <f>HYPERLINK("#'Input - Pasture Beef'!A1", "Pasture Beef")</f>
        <v>Pasture Beef</v>
      </c>
    </row>
    <row r="10" spans="1:21" ht="20.100000000000001" customHeight="1" x14ac:dyDescent="0.25"/>
    <row r="11" spans="1:21" ht="20.100000000000001" customHeight="1" x14ac:dyDescent="0.25"/>
    <row r="12" spans="1:21" ht="20.100000000000001" customHeight="1" x14ac:dyDescent="0.25">
      <c r="A12" s="18" t="s">
        <v>72</v>
      </c>
    </row>
    <row r="13" spans="1:21" ht="20.100000000000001" customHeight="1" x14ac:dyDescent="0.25">
      <c r="A13" s="17" t="str">
        <f>HYPERLINK("#'4.2.1.1-2 Methane'!A1", "4.2.1.1-2 Methane")</f>
        <v>4.2.1.1-2 Methane</v>
      </c>
    </row>
    <row r="14" spans="1:21" ht="20.100000000000001" customHeight="1" x14ac:dyDescent="0.25">
      <c r="A14" s="17" t="str">
        <f>HYPERLINK("#'4.2.1.3-4 Soil direct N20'!A1", "4.2.1.3-4 Soil direct N20")</f>
        <v>4.2.1.3-4 Soil direct N20</v>
      </c>
    </row>
    <row r="15" spans="1:21" ht="20.100000000000001" customHeight="1" x14ac:dyDescent="0.25">
      <c r="A15" s="17" t="str">
        <f>HYPERLINK("#'4.2.1.5-6 Soil Atmos Dep'!A1", "4.2.1.5-6 Soil Atmos Dep")</f>
        <v>4.2.1.5-6 Soil Atmos Dep</v>
      </c>
    </row>
    <row r="16" spans="1:21" ht="20.100000000000001" customHeight="1" x14ac:dyDescent="0.25">
      <c r="A16" s="17" t="str">
        <f>HYPERLINK("#'4.2.1.7-8 Soil leach runoff'!A1", "4.2.1.7-8 Soil leach runoff")</f>
        <v>4.2.1.7-8 Soil leach runoff</v>
      </c>
    </row>
    <row r="17" spans="1:1" ht="20.100000000000001" customHeight="1" x14ac:dyDescent="0.25"/>
    <row r="18" spans="1:1" ht="20.100000000000001" customHeight="1" x14ac:dyDescent="0.25"/>
    <row r="19" spans="1:1" ht="20.100000000000001" customHeight="1" x14ac:dyDescent="0.25">
      <c r="A19" s="133" t="s">
        <v>1</v>
      </c>
    </row>
    <row r="20" spans="1:1" ht="20.100000000000001" customHeight="1" x14ac:dyDescent="0.25">
      <c r="A20" s="17" t="str">
        <f>HYPERLINK("#'Constants - Pasture Beef'!A1", "Constants - Pasture Beef")</f>
        <v>Constants - Pasture Beef</v>
      </c>
    </row>
    <row r="21" spans="1:1" ht="20.100000000000001" customHeight="1" x14ac:dyDescent="0.25">
      <c r="A21" s="17" t="str">
        <f>HYPERLINK("#'Constants - Common'!A1", "Constants - Common")</f>
        <v>Constants - Common</v>
      </c>
    </row>
    <row r="22" spans="1:1" ht="20.100000000000001" customHeight="1" x14ac:dyDescent="0.25">
      <c r="A22" s="17" t="str">
        <f>HYPERLINK("#'Constants - Common Livestock'!A1", "Constants - Common Livestock")</f>
        <v>Constants - Common Livestock</v>
      </c>
    </row>
    <row r="23" spans="1:1" ht="20.100000000000001" customHeight="1" x14ac:dyDescent="0.25">
      <c r="A23" s="17" t="str">
        <f>HYPERLINK("#'Acknowledgements'!A1", "Acknowledgements")</f>
        <v>Acknowledgements</v>
      </c>
    </row>
    <row r="24" spans="1:1" ht="20.100000000000001" customHeight="1" x14ac:dyDescent="0.25">
      <c r="A24" s="136" t="str">
        <f>HYPERLINK("#'Tab template'!A1", "Tab template")</f>
        <v>Tab template</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104</vt:i4>
      </vt:variant>
    </vt:vector>
  </HeadingPairs>
  <TitlesOfParts>
    <vt:vector size="117"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