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1ADF853-B6C8-4245-A55A-C8BF9D1ACF44}" xr6:coauthVersionLast="47" xr6:coauthVersionMax="47" xr10:uidLastSave="{00000000-0000-0000-0000-000000000000}"/>
  <bookViews>
    <workbookView xWindow="1170" yWindow="1170" windowWidth="28800" windowHeight="15345" firstSheet="6" activeTab="9"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7" r:id="rId10"/>
    <sheet name="Constants - Common Livestock" sheetId="43" r:id="rId11"/>
    <sheet name="Acknowledgements" sheetId="72" r:id="rId12"/>
    <sheet name="Tab template" sheetId="74" r:id="rId13"/>
  </sheets>
  <externalReferences>
    <externalReference r:id="rId14"/>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Beef'!$E$181</definedName>
    <definedName name="X_Cell_PastureBeef_CalculatedMMSPastureRangeAndPaddock">'Input - Pasture Beef'!$E$180</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I33" i="98"/>
  <c r="X172" i="69"/>
  <c r="X171" i="69"/>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H225" i="76"/>
  <c r="I14" i="98"/>
  <c r="I29" i="97"/>
  <c r="E30" i="15"/>
  <c r="E33" i="15"/>
  <c r="E32" i="15"/>
  <c r="E31" i="15"/>
  <c r="I34" i="98"/>
  <c r="I30" i="97"/>
  <c r="H226" i="76"/>
  <c r="P39" i="98"/>
  <c r="G39" i="98"/>
  <c r="Q38" i="97"/>
  <c r="G38" i="97"/>
  <c r="X270" i="76"/>
  <c r="G232" i="76"/>
  <c r="Z279" i="69"/>
  <c r="G247" i="69"/>
  <c r="M28" i="76"/>
  <c r="L28" i="76"/>
  <c r="K28" i="76"/>
  <c r="J28" i="76"/>
  <c r="I28" i="76"/>
  <c r="H28" i="76"/>
  <c r="G28" i="76"/>
  <c r="F28" i="76"/>
  <c r="E28" i="76"/>
  <c r="D28" i="76"/>
  <c r="E172" i="69"/>
  <c r="E171" i="69"/>
  <c r="E181" i="70"/>
  <c r="E180"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c r="D227" i="107" a="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a="1"/>
  <c r="D179" i="107" s="1"/>
  <c r="D178" i="107" a="1"/>
  <c r="D178" i="107" s="1"/>
  <c r="E175" i="107" a="1"/>
  <c r="E175" i="107" s="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a="1"/>
  <c r="D161" i="107" s="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a="1"/>
  <c r="D117" i="107" s="1"/>
  <c r="D116" i="107" a="1"/>
  <c r="D116" i="107" s="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H54" i="107" s="1"/>
  <c r="E54" i="107" a="1"/>
  <c r="E54" i="107" s="1"/>
  <c r="D54" i="107" a="1"/>
  <c r="D54" i="107" s="1"/>
  <c r="G53" i="107" a="1"/>
  <c r="G53" i="107" s="1"/>
  <c r="F53" i="107" a="1"/>
  <c r="F53" i="107" s="1"/>
  <c r="H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H49" i="107" s="1"/>
  <c r="E49" i="107" a="1"/>
  <c r="E49" i="107" s="1"/>
  <c r="D49" i="107" a="1"/>
  <c r="D49" i="107" s="1"/>
  <c r="G48" i="107" a="1"/>
  <c r="G48" i="107" s="1"/>
  <c r="F48" i="107" a="1"/>
  <c r="F48" i="107" s="1"/>
  <c r="E48" i="107" a="1"/>
  <c r="E48" i="107" s="1"/>
  <c r="D48" i="107" a="1"/>
  <c r="D48" i="107" s="1"/>
  <c r="D46" i="107" a="1"/>
  <c r="D46" i="107" s="1"/>
  <c r="D45" i="107" a="1"/>
  <c r="D45" i="107" s="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a="1"/>
  <c r="D35" i="107" s="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a="1"/>
  <c r="D19" i="107" s="1"/>
  <c r="D18" i="107" a="1"/>
  <c r="D18" i="107" s="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a="1"/>
  <c r="D5" i="107"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J200" i="70" a="1"/>
  <c r="J200" i="70" s="1"/>
  <c r="J199" i="70" a="1"/>
  <c r="J199" i="70" s="1"/>
  <c r="J198" i="70" a="1"/>
  <c r="J198" i="70" s="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H48" i="107" l="1"/>
  <c r="H52" i="107"/>
  <c r="H51" i="107"/>
  <c r="H50" i="107"/>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I158" i="69" l="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21" i="70"/>
  <c r="L123" i="70"/>
  <c r="L122" i="70"/>
  <c r="M121" i="70"/>
  <c r="N121" i="70" s="1"/>
  <c r="L124" i="70"/>
  <c r="M124" i="70"/>
  <c r="M123" i="70"/>
  <c r="M122" i="70"/>
  <c r="W172" i="69"/>
  <c r="W171" i="69"/>
  <c r="O121" i="70" l="1"/>
  <c r="N124" i="70"/>
  <c r="O124" i="70" s="1"/>
  <c r="N122" i="70"/>
  <c r="O122" i="70" s="1"/>
  <c r="N123" i="70"/>
  <c r="O123" i="70" s="1"/>
  <c r="G87" i="76"/>
  <c r="F87" i="76"/>
  <c r="E87" i="76"/>
  <c r="D87" i="76"/>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26" i="98" a="1"/>
  <c r="E22" i="97" a="1"/>
  <c r="E7" i="97"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42" i="76" a="1"/>
  <c r="E148" i="69" a="1"/>
  <c r="E178" i="76" a="1"/>
  <c r="E39" i="69" a="1"/>
  <c r="E101" i="69" a="1"/>
  <c r="E136" i="76" a="1"/>
  <c r="E104" i="76" a="1"/>
  <c r="E218" i="76" a="1"/>
  <c r="E7" i="76" a="1"/>
  <c r="E206"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E166" i="69" l="1"/>
  <c r="E165"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J191" i="70" l="1" a="1"/>
  <c r="J191" i="70" s="1"/>
  <c r="V164" i="76"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E9" i="13" s="1"/>
  <c r="I13" i="98"/>
  <c r="E20" i="98" s="1" a="1"/>
  <c r="E20" i="98" s="1"/>
  <c r="I32" i="98" s="1"/>
  <c r="E36" i="98" s="1" a="1"/>
  <c r="E36" i="98" s="1"/>
  <c r="E10" i="13"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E229" i="76" a="1"/>
  <c r="E229" i="76" s="1"/>
  <c r="E8"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T13" i="97" l="1"/>
  <c r="O16" i="97" s="1" a="1"/>
  <c r="O16" i="97" s="1"/>
  <c r="S28" i="97" s="1"/>
  <c r="O35" i="97" s="1" a="1"/>
  <c r="O35" i="97" s="1"/>
  <c r="F9" i="13" s="1"/>
  <c r="R13" i="98"/>
  <c r="N20" i="98" s="1" a="1"/>
  <c r="N20" i="98" s="1"/>
  <c r="R32" i="98" s="1"/>
  <c r="N36" i="98" s="1" a="1"/>
  <c r="N36" i="98" s="1"/>
  <c r="F10" i="13" s="1"/>
  <c r="Z278" i="69"/>
  <c r="X281" i="69" s="1" a="1"/>
  <c r="X281" i="69" s="1"/>
  <c r="I7" i="13" s="1"/>
  <c r="F7" i="13"/>
  <c r="V267" i="76" a="1"/>
  <c r="V267" i="76" s="1"/>
  <c r="F8"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<sst xmlns="http://schemas.openxmlformats.org/spreadsheetml/2006/main" count="1961" uniqueCount="412">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</sst>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 displayName="Table_Input_LivestockSales"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65"/>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64" dataCellStyle="Input select"/>
    <tableColumn id="2" xr3:uid="{7F063362-12BB-4418-97CC-E62592B8226F}" name="Purchase class (select)" dataDxfId="63" dataCellStyle="Input select"/>
    <tableColumn id="6" xr3:uid="{7919A336-9815-4A07-A352-86BA6315626F}" name="Source region (Select)" dataDxfId="62"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1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1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1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10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1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1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1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4" dataCellStyle="Content normal">
      <calculatedColumnFormula>D351</calculatedColumnFormula>
    </tableColumn>
    <tableColumn id="2" xr3:uid="{B172192B-EDB5-47A5-A010-C82516ED13B5}" name="Bulls &lt; 1 year" dataDxfId="93" dataCellStyle="Content normal">
      <calculatedColumnFormula>E351</calculatedColumnFormula>
    </tableColumn>
    <tableColumn id="3" xr3:uid="{F83B528D-B6D7-4E92-967F-018ED1475D9B}" name="Bulls &gt; 1 year" dataDxfId="92" dataCellStyle="Content normal">
      <calculatedColumnFormula>F351</calculatedColumnFormula>
    </tableColumn>
    <tableColumn id="4" xr3:uid="{E83019D4-F113-4C9E-ADA7-433997A968A1}" name="Cows &lt; 1 year" dataDxfId="91" dataCellStyle="Content normal">
      <calculatedColumnFormula>G351</calculatedColumnFormula>
    </tableColumn>
    <tableColumn id="5" xr3:uid="{B51413B2-710F-409C-8C3C-6B72C8E99B49}" name="Cows 1-2 years" dataDxfId="90" dataCellStyle="Content normal">
      <calculatedColumnFormula>H351</calculatedColumnFormula>
    </tableColumn>
    <tableColumn id="6" xr3:uid="{F7B12596-1E7F-417C-83F5-67964BA7AAAE}" name="Cows 2-3 years" dataDxfId="89" dataCellStyle="Content normal">
      <calculatedColumnFormula>I351</calculatedColumnFormula>
    </tableColumn>
    <tableColumn id="7" xr3:uid="{C1B8EAD9-BCCE-49FF-9E3D-15E99DEC329C}" name="Cows &gt; 3 years" dataDxfId="88" dataCellStyle="Content normal">
      <calculatedColumnFormula>I351</calculatedColumnFormula>
    </tableColumn>
    <tableColumn id="8" xr3:uid="{6AB556D2-AF6C-4E98-9AA1-A8C6DC5F5CA9}" name="Steers &lt; 1 year" dataDxfId="87" dataCellStyle="Content normal">
      <calculatedColumnFormula>J351</calculatedColumnFormula>
    </tableColumn>
    <tableColumn id="9" xr3:uid="{46DC3CBA-6FB0-4A95-A39E-B2179DC8CFE6}" name="Steers 1-2 years" dataDxfId="86" dataCellStyle="Content normal">
      <calculatedColumnFormula>K351</calculatedColumnFormula>
    </tableColumn>
    <tableColumn id="10" xr3:uid="{105CEA90-EFAD-4757-B82A-B19E9A3F2664}" name="Steers 2-3 years" dataDxfId="85" dataCellStyle="Content normal"/>
    <tableColumn id="11" xr3:uid="{5E2A59D6-56CA-4967-885E-8602CA905B74}" name="Steers &gt;3 years" dataDxfId="84" dataCellStyle="Content normal"/>
    <tableColumn id="12" xr3:uid="{1C306FC1-FFBA-4C23-8EAD-1C07A5BAAA50}" name="State abbreviation" dataDxfId="8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8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8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8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7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7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71"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70"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9"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8"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7"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C537F9E-254D-4C37-BCD5-4F9439A20FE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4A7E9236-AB4A-4031-AC93-EF56660DB3EA}" name="State/Territory">
      <calculatedColumnFormula array="1">Common_InputFunctions.Utility_DisplayArrayInTable(Common_SourceData.Common_SourceData_AustralianStatesTerritories_Data(),Table_AustralianStates[[#Headers],[State/Territory]],0)</calculatedColumnFormula>
    </tableColumn>
    <tableColumn id="2" xr3:uid="{CCC3779F-0CB0-43BE-B1CA-AF5C8C0074DD}" name="Common Name">
      <calculatedColumnFormula array="1">Common_InputFunctions.Utility_DisplayArrayInTable(Common_SourceData.Common_SourceData_AustralianStatesTerritories_Data(),Table_AustralianStates[[#Headers],[State/Territory]],0)</calculatedColumnFormula>
    </tableColumn>
    <tableColumn id="3" xr3:uid="{A05256D5-C6C8-42F6-8113-3B35F279797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B123952-5EAD-4CBC-B13B-C86ABD69BF53}" name="Table_WASA4Areas" displayName="Table_WASA4Areas" ref="D20:D30" totalsRowShown="0">
  <autoFilter ref="D20:D30" xr:uid="{5FA81339-C6C8-4D36-BEEA-6C4AEDD9E676}">
    <filterColumn colId="0" hiddenButton="1"/>
  </autoFilter>
  <tableColumns count="1">
    <tableColumn id="1" xr3:uid="{C32F6518-D7A2-42A0-A239-15A1045DCB7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AEA6F2-E4C3-4DF3-8A78-4F9B115E50B3}" name="Table_GWPData" displayName="Table_GWPData" ref="D36:E43" totalsRowShown="0">
  <autoFilter ref="D36:E43" xr:uid="{B8E87A66-3E41-4AD3-925D-01EE21B43D7A}">
    <filterColumn colId="0" hiddenButton="1"/>
    <filterColumn colId="1" hiddenButton="1"/>
  </autoFilter>
  <tableColumns count="2">
    <tableColumn id="1" xr3:uid="{04BD9E35-E5E6-42AC-80C9-DBD6C6C360E4}" name="Gas">
      <calculatedColumnFormula array="1">Common_InputFunctions.Utility_DisplayArrayInTable(Common_SourceData.Common_SourceData_GWP_Data(), Table_GWPData[[#Headers],[Gas]], 0)</calculatedColumnFormula>
    </tableColumn>
    <tableColumn id="2" xr3:uid="{86B773B5-F88B-4E96-8802-5A9EF45A5E5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F04965-0165-4467-92DE-F68AD12D987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834A78-D30E-4F52-8267-73EB5EAF9204}" name="Gas">
      <calculatedColumnFormula array="1">Common_InputFunctions.Utility_DisplayArrayInTable(Common_SourceData.Common_SourceData_ConvertGasElementalToMolecular_Data(),Table_GasToMolecularConversionFactor[[#Headers],[Gas]], 0)</calculatedColumnFormula>
    </tableColumn>
    <tableColumn id="5" xr3:uid="{61225448-6B35-49EE-956A-2A2CA6C7AA15}" name="Conversion factor">
      <calculatedColumnFormula array="1">Common_InputFunctions.Utility_DisplayArrayInTable(Common_SourceData.Common_SourceData_ConvertGasElementalToMolecular_Data(),Table_GasToMolecularConversionFactor[[#Headers],[Gas]], 0)</calculatedColumnFormula>
    </tableColumn>
    <tableColumn id="2" xr3:uid="{0529EEE8-CBCE-458F-BC71-A6708AA092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AAF3317-A202-4871-9414-98923EED062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A32AAB4-86EB-4514-86B6-F45B35628B9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C06B8E0-CA75-4AA6-8B11-1E2CB1B4D2B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5222DE3-28FE-4C52-BCEA-0D32E8C9712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BDC03-1914-4D1E-9891-3E5FC1861329}"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98BB405A-164B-4888-87E2-70C6518E5BB4}"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AB5BA1B4-ADF5-4D1A-82A5-B2C9396F94B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D58C4A66-D1A3-4DE0-8166-60E79D83C41B}"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849BCE25-6E28-495D-8573-C6618848A5E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AD1E38A2-F19B-4D49-85AF-A6022574155B}"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CD3FAFB-AECC-489C-B38E-6DB1A364F78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8A197AA-5E84-49EF-B97C-71B01A0FD74C}"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15559958-F0D4-435A-9B10-DD63E781893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87EAC9F-058C-47D1-8241-C8E2F9B9B322}"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38918CE8-49DD-49A6-A17D-83DC7FF25BDA}"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DF288B5F-EC78-4E1C-A233-09E9B8D1B1DE}"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E2D7F8E-6E7A-41C0-BFA4-08F474FBA0E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DC7C1413-9456-411E-BB13-A4CEEB5400C0}"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13E5FF20-BD1A-48BC-B513-C2EEECD32F7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5ED7940-30B8-4107-8A53-007FB8217CF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34E9CA4-B4EB-47AC-984F-2A75B6375C8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32EE883-4E12-4F4A-B67D-C587C41A1371}"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0FCEAF8-CE7F-42CD-B869-1371FA120BB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4554E2F-2825-43C9-8131-E17681EA88AE}" name="Temperature Zone">
      <calculatedColumnFormula array="1">Common_InputFunctions.Utility_DisplayArrayInTable(Common_SourceData.Common_SourceData_TemperatureZones_Data(),Table_SourceData_TemperatureZones[[#Headers],[Temperature Zone]],0)</calculatedColumnFormula>
    </tableColumn>
    <tableColumn id="2" xr3:uid="{8D02BFED-2C09-4722-B7AE-2A36735B126D}" name="MAT">
      <calculatedColumnFormula array="1">Common_InputFunctions.Utility_DisplayArrayInTable(Common_SourceData.Common_SourceData_TemperatureZones_Data(),Table_SourceData_TemperatureZones[[#Headers],[Temperature Zone]],0)</calculatedColumnFormula>
    </tableColumn>
    <tableColumn id="3" xr3:uid="{E7A5300D-8E7B-49A8-BC82-1C5F7E2A0284}" name="Min MAT">
      <calculatedColumnFormula array="1">Common_InputFunctions.Utility_DisplayArrayInTable(Common_SourceData.Common_SourceData_TemperatureZones_Data(),Table_SourceData_TemperatureZones[[#Headers],[Temperature Zone]],0)</calculatedColumnFormula>
    </tableColumn>
    <tableColumn id="4" xr3:uid="{3D14E9DE-3594-46BC-BE7C-2957AAFB3E9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F7B89A2-5725-41F0-B0D7-566391443C7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63A774C-75A1-4132-89A4-E35A37910034}" name="Rainfall Zone">
      <calculatedColumnFormula array="1">Common_InputFunctions.Utility_DisplayArrayInTable(Common_SourceData.Common_SourceData_RainfallZones_Data(),Table_SourceData_RainfallZones[[#Headers],[Rainfall Zone]],0)</calculatedColumnFormula>
    </tableColumn>
    <tableColumn id="2" xr3:uid="{CEBFAB85-D2E5-4D7A-8ECF-072CCA0D541E}" name="Annual rainfall">
      <calculatedColumnFormula array="1">Common_InputFunctions.Utility_DisplayArrayInTable(Common_SourceData.Common_SourceData_RainfallZones_Data(),Table_SourceData_RainfallZones[[#Headers],[Rainfall Zone]],0)</calculatedColumnFormula>
    </tableColumn>
    <tableColumn id="3" xr3:uid="{922E5A63-FF52-466C-9CFF-1C1533392C7C}" name="Min rainfall">
      <calculatedColumnFormula array="1">Common_InputFunctions.Utility_DisplayArrayInTable(Common_SourceData.Common_SourceData_RainfallZones_Data(),Table_SourceData_RainfallZones[[#Headers],[Rainfall Zone]],0)</calculatedColumnFormula>
    </tableColumn>
    <tableColumn id="4" xr3:uid="{2763EB7D-7207-435F-A834-4358D8DEFC3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F68743F-F9D6-4078-B530-EB46F58D131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148AC3-695A-4FAE-8EA7-50535018DFD6}" name="Leaching Zone">
      <calculatedColumnFormula array="1">Common_InputFunctions.Utility_DisplayArrayInTable(Common_SourceData.Common_SourceData_LeachingZones_Data(), Table_SourceData_LeachingZones[[#Headers],[Leaching Zone]], 0)</calculatedColumnFormula>
    </tableColumn>
    <tableColumn id="2" xr3:uid="{1E5B7A94-A217-4CF7-AF11-ED574380AB4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AA0C4BF-9163-4056-9120-D9C1FF485D8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BC546BF-E341-4A16-8665-398B37E73920}" name="Data source">
      <calculatedColumnFormula array="1">Common_InputFunctions.Utility_DisplayArrayInTable(Common_SourceData.Common_SourceData_DataScores_Scope3_Data(), Table_SourceData_DataScores_Scope3[[#Headers],[Data source]], 0)</calculatedColumnFormula>
    </tableColumn>
    <tableColumn id="2" xr3:uid="{2260B5B0-698D-48BB-BD02-673D3AA3264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422D592-459B-4B7D-BF4D-3FB5F863DAA2}" name="Table_SourceData_FracWET" displayName="Table_SourceData_FracWET" ref="D134:E136" totalsRowShown="0">
  <autoFilter ref="D134:E136" xr:uid="{308E99BE-FE1F-47A4-B2CA-97217277C4E9}">
    <filterColumn colId="0" hiddenButton="1"/>
    <filterColumn colId="1" hiddenButton="1"/>
  </autoFilter>
  <tableColumns count="2">
    <tableColumn id="1" xr3:uid="{E1445AC3-43C2-42CF-A2D9-266CB627D8B3}" name="Is in leaching zone">
      <calculatedColumnFormula array="1">Common_InputFunctions.Utility_DisplayArrayInTable(Common_SourceData.Common_SourceData_FracWET_Data(),Table_SourceData_FracWET[[#Headers],[Is in leaching zone]],0)</calculatedColumnFormula>
    </tableColumn>
    <tableColumn id="2" xr3:uid="{59DDA0E4-7AE5-4501-92F6-664BA06BDD26}"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686C981-133C-492A-B1C7-72D52F1944E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92284FA-4E79-425B-B397-EED6B0E72E10}" name="Production system j">
      <calculatedColumnFormula array="1">Common_InputFunctions.Utility_DisplayArrayInTable(Common_SourceData.Common_SourceData_EFN2O_Data(), Table_SourceData_Common_EFN2O[[#Headers],[Production system j]], 0)</calculatedColumnFormula>
    </tableColumn>
    <tableColumn id="2" xr3:uid="{5E966FB7-C763-4317-AD85-DFEC70FAC5B8}" name="EFN2O">
      <calculatedColumnFormula array="1">Common_InputFunctions.Utility_DisplayArrayInTable(Common_SourceData.Common_SourceData_EFN2O_Data(), Table_SourceData_Common_EFN2O[[#Headers],[Production system j]], 0)</calculatedColumnFormula>
    </tableColumn>
    <tableColumn id="3" xr3:uid="{0DEBE405-A254-47D5-929F-A5D61B7D016F}" name="Production system only">
      <calculatedColumnFormula array="1">Common_InputFunctions.Utility_DisplayArrayInTable(Common_SourceData.Common_SourceData_EFN2O_Data(), Table_SourceData_Common_EFN2O[[#Headers],[Production system j]], 0)</calculatedColumnFormula>
    </tableColumn>
    <tableColumn id="4" xr3:uid="{DB243E48-99CC-4711-BF14-0848DE130FBE}" name="Irrigation method">
      <calculatedColumnFormula array="1">Common_InputFunctions.Utility_DisplayArrayInTable(Common_SourceData.Common_SourceData_EFN2O_Data(), Table_SourceData_Common_EFN2O[[#Headers],[Production system j]], 0)</calculatedColumnFormula>
    </tableColumn>
    <tableColumn id="5" xr3:uid="{B571361B-A373-4912-B985-CAC3BB92E4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3DC158C-D077-49DF-A9B7-89D628E39A0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03E34D5-232E-4142-997D-F4284E046CF8}" name="Irrigation type i">
      <calculatedColumnFormula array="1">Common_InputFunctions.Utility_DisplayArrayInTable(Common_SourceData.Common_SourceData_FracWETIrrigation_Data(), Table_SourceData_FracWETIrrigation[[#Headers],[Irrigation type i]], 0)</calculatedColumnFormula>
    </tableColumn>
    <tableColumn id="2" xr3:uid="{2B4B4776-EFD9-487F-BACF-03CCFED42D49}"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C519A23-F83A-4EB0-A44B-230B68CED29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5D3D32F-3CA7-4F90-9A6A-37A239A1AF3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9B8071F-9A7A-4F3C-A1D6-1C35899619C4}"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6DC485E-FBB8-4D55-809B-B4B58B8C976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4781283-6C1E-4F6E-B2B2-A3DF31AD0B59}" name="Month">
      <calculatedColumnFormula array="1">Common_InputFunctions.Utility_DisplayArrayInTable(Common_SourceData.Common_SourceData_MonthsToSeasons_Data(), Table_SourceData_Common_MonthToSeason[[#Headers],[Month]], 0)</calculatedColumnFormula>
    </tableColumn>
    <tableColumn id="2" xr3:uid="{3926B11D-4FFB-4A86-A6B9-1B10150DBB6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FEDB00A-6E64-4308-A975-D429D6507B3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9559A7A-60AC-4FF4-BCEC-AEE15E9E6C9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C1728E-86CC-49BE-B848-5C4F256A11E9}"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44CF068-9A07-4D1D-852D-98A7E04615FF}"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416C8FF-8D53-442F-AF1A-A26BC16B458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9275419-995A-4AFC-B87D-B4EA7AF2088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9532AE0-281C-4C27-A4B9-1DC8099256F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06E73AC-E1C2-4EF2-A3B1-A3180D5AA950}"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2C38509-7B83-4E58-8060-9FCCF420F15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68A63E8-FFB9-4107-BC21-4A65E242D0FB}"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7DE6896-874D-4123-8C9F-4532D843D42E}"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6F3D11A-2507-4644-A5DE-5317F9781286}"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2B6D5C3-DB77-4D9C-8F54-EA5EA7E024F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94ABF71-39B3-4938-8FA0-9B8271A0F100}"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7E099BC-B19A-4BF2-A9C0-89CA48D5B871}"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705A1DB-19B0-4EF7-A995-13189873CF92}"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5820E28-548B-4AB1-975C-C0F9475BB7DD}"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B6F939A-7AEE-4167-B215-18FA3523997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8FB6D58-4C43-4915-864D-4372BC1F5C6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88845BA-D937-4E0D-91CC-D1CE488D97EE}"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6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60" dataCellStyle="Content normal">
  <autoFilter ref="D43:E50" xr:uid="{995536B5-6CA5-4D7D-A704-9B6B595C2491}"/>
  <tableColumns count="2">
    <tableColumn id="1" xr3:uid="{E938630E-8222-4BE2-B52E-4473CFD04435}" name="Product" dataDxfId="5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5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57" dataCellStyle="Content normal">
  <autoFilter ref="D54:E55" xr:uid="{257D8456-031C-4EEF-A8C4-474F215C3208}"/>
  <tableColumns count="2">
    <tableColumn id="1" xr3:uid="{CCAB4FA5-3C71-4C85-9272-34B79637BA1B}" name="Product" dataDxfId="5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5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54" dataCellStyle="Content normal">
  <autoFilter ref="D59:E60" xr:uid="{71833C62-BA2B-4519-92E0-B189E393D12F}"/>
  <tableColumns count="2">
    <tableColumn id="1" xr3:uid="{BB13FB65-BFF1-4C4A-B3E1-18BD0F5BFCC3}" name="Product" dataDxfId="5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5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51" dataCellStyle="Content normal">
  <autoFilter ref="D64:E65" xr:uid="{65FF5EF6-2A75-4137-9345-8328E2DA8F9C}"/>
  <tableColumns count="2">
    <tableColumn id="1" xr3:uid="{FF50B2BD-E102-4982-AE25-F8D8E417E7A1}" name="Product" dataDxfId="5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4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2"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A163" zoomScale="70" zoomScaleNormal="70" workbookViewId="0">
      <selection activeCell="E181" sqref="E18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Z205" s="56"/>
    </row>
    <row r="206" spans="4:27" ht="20.100000000000001" customHeight="1" x14ac:dyDescent="0.25">
      <c r="D206" s="37" t="s">
        <v>379</v>
      </c>
      <c r="E206" s="37" t="s">
        <v>374</v>
      </c>
      <c r="F206" s="37" t="s">
        <v>370</v>
      </c>
      <c r="G206" s="37" t="s">
        <v>371</v>
      </c>
      <c r="H206" s="37" t="s">
        <v>372</v>
      </c>
      <c r="I206" s="37" t="s">
        <v>373</v>
      </c>
      <c r="Z206" s="56"/>
      <c r="AA206" s="56"/>
    </row>
    <row r="207" spans="4:27" ht="20.100000000000001" customHeight="1" x14ac:dyDescent="0.25">
      <c r="D207" s="33"/>
      <c r="E207" s="39" t="s">
        <v>130</v>
      </c>
      <c r="F207" s="128">
        <v>45566</v>
      </c>
      <c r="G207" s="37">
        <v>10</v>
      </c>
      <c r="H207" s="37">
        <v>500</v>
      </c>
      <c r="I207" s="52">
        <f t="shared" ref="I207:I216" si="2">G207*H207</f>
        <v>5000</v>
      </c>
      <c r="Z207" s="56"/>
      <c r="AA207" s="56"/>
    </row>
    <row r="208" spans="4:27" ht="20.100000000000001" customHeight="1" x14ac:dyDescent="0.25">
      <c r="D208" s="33"/>
      <c r="E208" s="39"/>
      <c r="F208" s="128"/>
      <c r="G208" s="37"/>
      <c r="H208" s="37"/>
      <c r="I208" s="52">
        <f t="shared" si="2"/>
        <v>0</v>
      </c>
      <c r="Z208" s="56"/>
      <c r="AA208" s="56"/>
    </row>
    <row r="209" spans="4:27" ht="20.100000000000001" customHeight="1" x14ac:dyDescent="0.25">
      <c r="D209" s="33"/>
      <c r="E209" s="39"/>
      <c r="F209" s="128"/>
      <c r="G209" s="37"/>
      <c r="H209" s="37"/>
      <c r="I209" s="52">
        <f t="shared" si="2"/>
        <v>0</v>
      </c>
      <c r="Z209" s="56"/>
      <c r="AA209" s="56"/>
    </row>
    <row r="210" spans="4:27" ht="20.100000000000001" customHeight="1" x14ac:dyDescent="0.25">
      <c r="D210" s="33"/>
      <c r="E210" s="39"/>
      <c r="F210" s="128"/>
      <c r="G210" s="37"/>
      <c r="H210" s="37"/>
      <c r="I210" s="52">
        <f t="shared" si="2"/>
        <v>0</v>
      </c>
      <c r="Z210" s="56"/>
      <c r="AA210" s="56"/>
    </row>
    <row r="211" spans="4:27" ht="20.100000000000001" customHeight="1" x14ac:dyDescent="0.25">
      <c r="D211" s="33"/>
      <c r="E211" s="39"/>
      <c r="F211" s="128"/>
      <c r="G211" s="37"/>
      <c r="H211" s="37"/>
      <c r="I211" s="52">
        <f t="shared" si="2"/>
        <v>0</v>
      </c>
      <c r="Z211" s="56"/>
      <c r="AA211" s="56"/>
    </row>
    <row r="212" spans="4:27" ht="20.100000000000001" customHeight="1" x14ac:dyDescent="0.25">
      <c r="D212" s="33"/>
      <c r="E212" s="39"/>
      <c r="F212" s="128"/>
      <c r="G212" s="37"/>
      <c r="H212" s="37"/>
      <c r="I212" s="52">
        <f t="shared" si="2"/>
        <v>0</v>
      </c>
      <c r="Z212" s="56"/>
      <c r="AA212" s="56"/>
    </row>
    <row r="213" spans="4:27" ht="20.100000000000001" customHeight="1" x14ac:dyDescent="0.25">
      <c r="D213" s="33"/>
      <c r="E213" s="39"/>
      <c r="F213" s="128"/>
      <c r="G213" s="37"/>
      <c r="H213" s="37"/>
      <c r="I213" s="52">
        <f t="shared" si="2"/>
        <v>0</v>
      </c>
      <c r="Z213" s="56"/>
      <c r="AA213" s="56"/>
    </row>
    <row r="214" spans="4:27" ht="20.100000000000001" customHeight="1" x14ac:dyDescent="0.25">
      <c r="D214" s="33"/>
      <c r="E214" s="39"/>
      <c r="F214" s="128"/>
      <c r="G214" s="37"/>
      <c r="H214" s="37"/>
      <c r="I214" s="52">
        <f t="shared" si="2"/>
        <v>0</v>
      </c>
      <c r="Z214" s="56"/>
      <c r="AA214" s="56"/>
    </row>
    <row r="215" spans="4:27" ht="20.100000000000001" customHeight="1" x14ac:dyDescent="0.25">
      <c r="D215" s="33"/>
      <c r="E215" s="39"/>
      <c r="F215" s="128"/>
      <c r="G215" s="37"/>
      <c r="H215" s="37"/>
      <c r="I215" s="52">
        <f t="shared" si="2"/>
        <v>0</v>
      </c>
      <c r="Z215" s="56"/>
      <c r="AA215" s="56"/>
    </row>
    <row r="216" spans="4:27" ht="20.100000000000001" customHeight="1" x14ac:dyDescent="0.25">
      <c r="D216" s="33"/>
      <c r="E216" s="39"/>
      <c r="F216" s="128"/>
      <c r="G216" s="37"/>
      <c r="H216" s="37"/>
      <c r="I216" s="52">
        <f t="shared" si="2"/>
        <v>0</v>
      </c>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8" priority="36" operator="lessThan">
      <formula>0</formula>
    </cfRule>
  </conditionalFormatting>
  <conditionalFormatting sqref="F239:F240">
    <cfRule type="cellIs" dxfId="47" priority="27" operator="lessThan">
      <formula>0</formula>
    </cfRule>
  </conditionalFormatting>
  <conditionalFormatting sqref="F244:F245">
    <cfRule type="cellIs" dxfId="46" priority="26" operator="lessThan">
      <formula>0</formula>
    </cfRule>
  </conditionalFormatting>
  <conditionalFormatting sqref="F249:F250">
    <cfRule type="cellIs" dxfId="45" priority="25" operator="lessThan">
      <formula>0</formula>
    </cfRule>
  </conditionalFormatting>
  <conditionalFormatting sqref="F273:F274">
    <cfRule type="cellIs" dxfId="44" priority="19" operator="lessThan">
      <formula>0</formula>
    </cfRule>
  </conditionalFormatting>
  <conditionalFormatting sqref="F278:F279">
    <cfRule type="cellIs" dxfId="43" priority="18" operator="lessThan">
      <formula>0</formula>
    </cfRule>
  </conditionalFormatting>
  <conditionalFormatting sqref="F283:F284">
    <cfRule type="cellIs" dxfId="42" priority="17" operator="lessThan">
      <formula>0</formula>
    </cfRule>
  </conditionalFormatting>
  <conditionalFormatting sqref="H124:K124">
    <cfRule type="cellIs" dxfId="41" priority="7" operator="lessThan">
      <formula>0</formula>
    </cfRule>
  </conditionalFormatting>
  <conditionalFormatting sqref="I130:O131">
    <cfRule type="cellIs" dxfId="40" priority="13" operator="lessThan">
      <formula>0</formula>
    </cfRule>
  </conditionalFormatting>
  <conditionalFormatting sqref="I153:O153">
    <cfRule type="cellIs" dxfId="39" priority="5" operator="lessThan">
      <formula>0</formula>
    </cfRule>
  </conditionalFormatting>
  <conditionalFormatting sqref="K123:K124">
    <cfRule type="cellIs" dxfId="38" priority="4" operator="lessThan">
      <formula>0</formula>
    </cfRule>
  </conditionalFormatting>
  <conditionalFormatting sqref="N121:N123">
    <cfRule type="cellIs" dxfId="37" priority="1" operator="lessThan">
      <formula>0</formula>
    </cfRule>
  </conditionalFormatting>
  <conditionalFormatting sqref="P43:R43">
    <cfRule type="cellIs" dxfId="36"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209" zoomScale="70" zoomScaleNormal="70" workbookViewId="0">
      <selection activeCell="W235" sqref="W235:W2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TEXT(X_Cell_Site_StartDate,"mmmm")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TEXT(EDATE(X_Cell_Site_StartDate,1),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TEXT(EDATE(X_Cell_Site_StartDate,2),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TEXT(EDATE(X_Cell_Site_StartDate,3),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TEXT(EDATE(X_Cell_Site_StartDate,4),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TEXT(EDATE(X_Cell_Site_StartDate,5),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TEXT(EDATE(X_Cell_Site_StartDate,6),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TEXT(EDATE(X_Cell_Site_StartDate,7),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TEXT(EDATE(X_Cell_Site_StartDate,8),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TEXT(EDATE(X_Cell_Site_StartDate,9),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TEXT(EDATE(X_Cell_Site_StartDate,10),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TEXT(EDATE(X_Cell_Site_StartDate,11),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TEXT(X_Cell_Site_StartDate,"mmmm")</f>
        <v>January</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TEXT(EDATE(X_Cell_Site_StartDate,1), "mmmm")</f>
        <v>February</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TEXT(EDATE(X_Cell_Site_StartDate,2), "mmmm")</f>
        <v>March</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TEXT(EDATE(X_Cell_Site_StartDate,3), "mmmm")</f>
        <v>April</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TEXT(EDATE(X_Cell_Site_StartDate,4), "mmmm")</f>
        <v>May</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TEXT(EDATE(X_Cell_Site_StartDate,5), "mmmm")</f>
        <v>June</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TEXT(EDATE(X_Cell_Site_StartDate,6), "mmmm")</f>
        <v>July</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TEXT(EDATE(X_Cell_Site_StartDate,7), "mmmm")</f>
        <v>August</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TEXT(EDATE(X_Cell_Site_StartDate,8), "mmmm")</f>
        <v>September</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TEXT(EDATE(X_Cell_Site_StartDate,9), "mmmm")</f>
        <v>October</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TEXT(EDATE(X_Cell_Site_StartDate,10), "mmmm")</f>
        <v>November</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TEXT(EDATE(X_Cell_Site_StartDate,11), "mmmm")</f>
        <v>December</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TEXT(X_Cell_Site_StartDate,"mmmm")</f>
        <v>January</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TEXT(EDATE(X_Cell_Site_StartDate,1), "mmmm")</f>
        <v>February</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TEXT(EDATE(X_Cell_Site_StartDate,2), "mmmm")</f>
        <v>March</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TEXT(EDATE(X_Cell_Site_StartDate,3), "mmmm")</f>
        <v>April</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TEXT(EDATE(X_Cell_Site_StartDate,4), "mmmm")</f>
        <v>May</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TEXT(EDATE(X_Cell_Site_StartDate,5), "mmmm")</f>
        <v>June</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TEXT(EDATE(X_Cell_Site_StartDate,6), "mmmm")</f>
        <v>July</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TEXT(EDATE(X_Cell_Site_StartDate,7), "mmmm")</f>
        <v>August</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TEXT(EDATE(X_Cell_Site_StartDate,8), "mmmm")</f>
        <v>September</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TEXT(EDATE(X_Cell_Site_StartDate,9), "mmmm")</f>
        <v>October</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TEXT(EDATE(X_Cell_Site_StartDate,10), "mmmm")</f>
        <v>November</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TEXT(EDATE(X_Cell_Site_StartDate,11), "mmmm")</f>
        <v>December</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TEXT(X_Cell_Site_StartDate,"mmmm")</f>
        <v>January</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TEXT(EDATE(X_Cell_Site_StartDate,1), "mmmm")</f>
        <v>February</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TEXT(EDATE(X_Cell_Site_StartDate,2), "mmmm")</f>
        <v>March</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TEXT(EDATE(X_Cell_Site_StartDate,3), "mmmm")</f>
        <v>April</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TEXT(EDATE(X_Cell_Site_StartDate,4), "mmmm")</f>
        <v>May</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TEXT(EDATE(X_Cell_Site_StartDate,5), "mmmm")</f>
        <v>June</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TEXT(EDATE(X_Cell_Site_StartDate,6), "mmmm")</f>
        <v>July</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TEXT(EDATE(X_Cell_Site_StartDate,7), "mmmm")</f>
        <v>August</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TEXT(EDATE(X_Cell_Site_StartDate,8), "mmmm")</f>
        <v>September</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TEXT(EDATE(X_Cell_Site_StartDate,9), "mmmm")</f>
        <v>October</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TEXT(EDATE(X_Cell_Site_StartDate,10), "mmmm")</f>
        <v>November</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TEXT(EDATE(X_Cell_Site_StartDate,11), "mmmm")</f>
        <v>December</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SourceData_PastureBeef_AshContentOfFeedIntake_Data</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TEXT(X_Cell_Site_StartDate,"mmmm")</f>
        <v>January</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TEXT(EDATE(X_Cell_Site_StartDate,1), "mmmm")</f>
        <v>February</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TEXT(EDATE(X_Cell_Site_StartDate,2), "mmmm")</f>
        <v>March</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TEXT(EDATE(X_Cell_Site_StartDate,3), "mmmm")</f>
        <v>April</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TEXT(EDATE(X_Cell_Site_StartDate,4), "mmmm")</f>
        <v>May</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TEXT(EDATE(X_Cell_Site_StartDate,5), "mmmm")</f>
        <v>June</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TEXT(EDATE(X_Cell_Site_StartDate,6), "mmmm")</f>
        <v>July</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TEXT(EDATE(X_Cell_Site_StartDate,7), "mmmm")</f>
        <v>August</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TEXT(EDATE(X_Cell_Site_StartDate,8), "mmmm")</f>
        <v>September</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TEXT(EDATE(X_Cell_Site_StartDate,9), "mmmm")</f>
        <v>October</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TEXT(EDATE(X_Cell_Site_StartDate,10), "mmmm")</f>
        <v>November</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TEXT(EDATE(X_Cell_Site_StartDate,11), "mmmm")</f>
        <v>December</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SourceData_PastureBeef_MethaneEmissionsPotential_Data</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Common_SourceData_DensityOfMethane_Data</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X_Cell_PastureBeef_CalculatedMMSPastureRangeAndPaddock</f>
        <v>0.99621999999999999</v>
      </c>
      <c r="F165" s="2" t="s">
        <v>141</v>
      </c>
    </row>
    <row r="166" spans="4:34" ht="20.100000000000001" customHeight="1" x14ac:dyDescent="0.25">
      <c r="D166" s="52" t="str">
        <f>'Input - Pasture Beef'!$D$181</f>
        <v>Anaerobic lagoon</v>
      </c>
      <c r="E166" s="52">
        <f>X_Cell_PastureBeef_CalculatedMMSAnaerobicLagoon</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TEXT(X_Cell_Site_StartDate,"mmmm")</f>
        <v>January</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TEXT(EDATE(X_Cell_Site_StartDate,1), "mmmm")</f>
        <v>February</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TEXT(EDATE(X_Cell_Site_StartDate,2), "mmmm")</f>
        <v>March</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TEXT(EDATE(X_Cell_Site_StartDate,3), "mmmm")</f>
        <v>April</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TEXT(EDATE(X_Cell_Site_StartDate,4), "mmmm")</f>
        <v>May</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TEXT(EDATE(X_Cell_Site_StartDate,5), "mmmm")</f>
        <v>June</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TEXT(EDATE(X_Cell_Site_StartDate,6), "mmmm")</f>
        <v>July</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TEXT(EDATE(X_Cell_Site_StartDate,7), "mmmm")</f>
        <v>August</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TEXT(EDATE(X_Cell_Site_StartDate,8), "mmmm")</f>
        <v>September</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TEXT(EDATE(X_Cell_Site_StartDate,9), "mmmm")</f>
        <v>October</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TEXT(EDATE(X_Cell_Site_StartDate,10), "mmmm")</f>
        <v>November</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TEXT(EDATE(X_Cell_Site_StartDate,11), "mmmm")</f>
        <v>December</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TEXT(X_Cell_Site_StartDate,"mmmm")</f>
        <v>January</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TEXT(EDATE(X_Cell_Site_StartDate,1), "mmmm")</f>
        <v>February</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TEXT(EDATE(X_Cell_Site_StartDate,2), "mmmm")</f>
        <v>March</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TEXT(EDATE(X_Cell_Site_StartDate,3), "mmmm")</f>
        <v>April</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TEXT(EDATE(X_Cell_Site_StartDate,4), "mmmm")</f>
        <v>May</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TEXT(EDATE(X_Cell_Site_StartDate,5), "mmmm")</f>
        <v>June</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TEXT(EDATE(X_Cell_Site_StartDate,6), "mmmm")</f>
        <v>July</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TEXT(EDATE(X_Cell_Site_StartDate,7), "mmmm")</f>
        <v>August</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TEXT(EDATE(X_Cell_Site_StartDate,8), "mmmm")</f>
        <v>September</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TEXT(EDATE(X_Cell_Site_StartDate,9), "mmmm")</f>
        <v>October</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TEXT(EDATE(X_Cell_Site_StartDate,10), "mmmm")</f>
        <v>November</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TEXT(EDATE(X_Cell_Site_StartDate,11), "mmmm")</f>
        <v>December</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U108" sqref="U10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X_Cell_Site_State</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TEXT(X_Cell_Site_StartDate,"mmmm")</f>
        <v>January</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TEXT(EDATE(X_Cell_Site_StartDate,1), "mmmm")</f>
        <v>February</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TEXT(EDATE(X_Cell_Site_StartDate,2), "mmmm")</f>
        <v>March</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TEXT(EDATE(X_Cell_Site_StartDate,3), "mmmm")</f>
        <v>April</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TEXT(EDATE(X_Cell_Site_StartDate,4), "mmmm")</f>
        <v>May</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TEXT(EDATE(X_Cell_Site_StartDate,5), "mmmm")</f>
        <v>June</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TEXT(EDATE(X_Cell_Site_StartDate,6), "mmmm")</f>
        <v>July</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TEXT(EDATE(X_Cell_Site_StartDate,7), "mmmm")</f>
        <v>August</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TEXT(EDATE(X_Cell_Site_StartDate,8), "mmmm")</f>
        <v>September</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TEXT(EDATE(X_Cell_Site_StartDate,9), "mmmm")</f>
        <v>October</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TEXT(EDATE(X_Cell_Site_StartDate,10), "mmmm")</f>
        <v>November</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TEXT(EDATE(X_Cell_Site_StartDate,11), "mmmm")</f>
        <v>December</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TEXT(X_Cell_Site_StartDate,"mmmm")</f>
        <v>January</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TEXT(EDATE(X_Cell_Site_StartDate,1), "mmmm")</f>
        <v>February</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TEXT(EDATE(X_Cell_Site_StartDate,2), "mmmm")</f>
        <v>March</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TEXT(EDATE(X_Cell_Site_StartDate,3), "mmmm")</f>
        <v>April</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TEXT(EDATE(X_Cell_Site_StartDate,4), "mmmm")</f>
        <v>May</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TEXT(EDATE(X_Cell_Site_StartDate,5), "mmmm")</f>
        <v>June</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TEXT(EDATE(X_Cell_Site_StartDate,6), "mmmm")</f>
        <v>July</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TEXT(EDATE(X_Cell_Site_StartDate,7), "mmmm")</f>
        <v>August</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TEXT(EDATE(X_Cell_Site_StartDate,8), "mmmm")</f>
        <v>September</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TEXT(EDATE(X_Cell_Site_StartDate,9), "mmmm")</f>
        <v>October</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TEXT(EDATE(X_Cell_Site_StartDate,10), "mmmm")</f>
        <v>November</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TEXT(EDATE(X_Cell_Site_StartDate,11), "mmmm")</f>
        <v>December</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TEXT(X_Cell_Site_StartDate,"mmmm")</f>
        <v>January</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TEXT(EDATE(X_Cell_Site_StartDate,1), "mmmm")</f>
        <v>February</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TEXT(EDATE(X_Cell_Site_StartDate,2), "mmmm")</f>
        <v>March</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TEXT(EDATE(X_Cell_Site_StartDate,3), "mmmm")</f>
        <v>April</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TEXT(EDATE(X_Cell_Site_StartDate,4), "mmmm")</f>
        <v>May</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TEXT(EDATE(X_Cell_Site_StartDate,5), "mmmm")</f>
        <v>June</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TEXT(EDATE(X_Cell_Site_StartDate,6), "mmmm")</f>
        <v>July</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TEXT(EDATE(X_Cell_Site_StartDate,7), "mmmm")</f>
        <v>August</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TEXT(EDATE(X_Cell_Site_StartDate,8), "mmmm")</f>
        <v>September</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TEXT(EDATE(X_Cell_Site_StartDate,9), "mmmm")</f>
        <v>October</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TEXT(EDATE(X_Cell_Site_StartDate,10), "mmmm")</f>
        <v>November</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TEXT(EDATE(X_Cell_Site_StartDate,11), "mmmm")</f>
        <v>December</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TEXT(X_Cell_Site_StartDate,"mmmm")</f>
        <v>January</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TEXT(EDATE(X_Cell_Site_StartDate,1), "mmmm")</f>
        <v>February</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TEXT(EDATE(X_Cell_Site_StartDate,2), "mmmm")</f>
        <v>March</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TEXT(EDATE(X_Cell_Site_StartDate,3), "mmmm")</f>
        <v>April</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TEXT(EDATE(X_Cell_Site_StartDate,4), "mmmm")</f>
        <v>May</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TEXT(EDATE(X_Cell_Site_StartDate,5), "mmmm")</f>
        <v>June</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TEXT(EDATE(X_Cell_Site_StartDate,6), "mmmm")</f>
        <v>July</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TEXT(EDATE(X_Cell_Site_StartDate,7), "mmmm")</f>
        <v>August</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TEXT(EDATE(X_Cell_Site_StartDate,8), "mmmm")</f>
        <v>September</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TEXT(EDATE(X_Cell_Site_StartDate,9), "mmmm")</f>
        <v>October</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TEXT(EDATE(X_Cell_Site_StartDate,10), "mmmm")</f>
        <v>November</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TEXT(EDATE(X_Cell_Site_StartDate,11), "mmmm")</f>
        <v>December</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TEXT(X_Cell_Site_StartDate,"mmmm")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TEXT(EDATE(X_Cell_Site_StartDate,1),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TEXT(EDATE(X_Cell_Site_StartDate,2),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TEXT(EDATE(X_Cell_Site_StartDate,3),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TEXT(EDATE(X_Cell_Site_StartDate,4),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TEXT(EDATE(X_Cell_Site_StartDate,5),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TEXT(EDATE(X_Cell_Site_StartDate,6),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TEXT(EDATE(X_Cell_Site_StartDate,7),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TEXT(EDATE(X_Cell_Site_StartDate,8),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TEXT(EDATE(X_Cell_Site_StartDate,9),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TEXT(EDATE(X_Cell_Site_StartDate,10),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TEXT(EDATE(X_Cell_Site_StartDate,11),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TEXT(X_Cell_Site_StartDate,"mmmm")</f>
        <v>January</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TEXT(EDATE(X_Cell_Site_StartDate,1), "mmmm")</f>
        <v>February</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TEXT(EDATE(X_Cell_Site_StartDate,2), "mmmm")</f>
        <v>March</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TEXT(EDATE(X_Cell_Site_StartDate,3), "mmmm")</f>
        <v>April</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TEXT(EDATE(X_Cell_Site_StartDate,4), "mmmm")</f>
        <v>May</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TEXT(EDATE(X_Cell_Site_StartDate,5), "mmmm")</f>
        <v>June</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TEXT(EDATE(X_Cell_Site_StartDate,6), "mmmm")</f>
        <v>July</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TEXT(EDATE(X_Cell_Site_StartDate,7), "mmmm")</f>
        <v>August</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TEXT(EDATE(X_Cell_Site_StartDate,8), "mmmm")</f>
        <v>September</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TEXT(EDATE(X_Cell_Site_StartDate,9), "mmmm")</f>
        <v>October</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TEXT(EDATE(X_Cell_Site_StartDate,10), "mmmm")</f>
        <v>November</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TEXT(EDATE(X_Cell_Site_StartDate,11), "mmmm")</f>
        <v>December</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TEXT(X_Cell_Site_StartDate,"mmmm")</f>
        <v>January</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TEXT(EDATE(X_Cell_Site_StartDate,1), "mmmm")</f>
        <v>February</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TEXT(EDATE(X_Cell_Site_StartDate,2), "mmmm")</f>
        <v>March</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TEXT(EDATE(X_Cell_Site_StartDate,3), "mmmm")</f>
        <v>April</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TEXT(EDATE(X_Cell_Site_StartDate,4), "mmmm")</f>
        <v>May</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TEXT(EDATE(X_Cell_Site_StartDate,5), "mmmm")</f>
        <v>June</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TEXT(EDATE(X_Cell_Site_StartDate,6), "mmmm")</f>
        <v>July</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TEXT(EDATE(X_Cell_Site_StartDate,7), "mmmm")</f>
        <v>August</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TEXT(EDATE(X_Cell_Site_StartDate,8), "mmmm")</f>
        <v>September</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TEXT(EDATE(X_Cell_Site_StartDate,9), "mmmm")</f>
        <v>October</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TEXT(EDATE(X_Cell_Site_StartDate,10), "mmmm")</f>
        <v>November</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TEXT(EDATE(X_Cell_Site_StartDate,11), "mmmm")</f>
        <v>December</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TEXT(X_Cell_Site_StartDate,"mmmm")</f>
        <v>January</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TEXT(EDATE(X_Cell_Site_StartDate,1), "mmmm")</f>
        <v>February</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TEXT(EDATE(X_Cell_Site_StartDate,2), "mmmm")</f>
        <v>March</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TEXT(EDATE(X_Cell_Site_StartDate,3), "mmmm")</f>
        <v>April</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TEXT(EDATE(X_Cell_Site_StartDate,4), "mmmm")</f>
        <v>May</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TEXT(EDATE(X_Cell_Site_StartDate,5), "mmmm")</f>
        <v>June</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TEXT(EDATE(X_Cell_Site_StartDate,6), "mmmm")</f>
        <v>July</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TEXT(EDATE(X_Cell_Site_StartDate,7), "mmmm")</f>
        <v>August</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TEXT(EDATE(X_Cell_Site_StartDate,8), "mmmm")</f>
        <v>September</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TEXT(EDATE(X_Cell_Site_StartDate,9), "mmmm")</f>
        <v>October</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TEXT(EDATE(X_Cell_Site_StartDate,10), "mmmm")</f>
        <v>November</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TEXT(EDATE(X_Cell_Site_StartDate,11), "mmmm")</f>
        <v>December</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TEXT(X_Cell_Site_StartDate,"mmmm")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TEXT(EDATE(X_Cell_Site_StartDate,1),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TEXT(EDATE(X_Cell_Site_StartDate,2),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TEXT(EDATE(X_Cell_Site_StartDate,3),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TEXT(EDATE(X_Cell_Site_StartDate,4),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TEXT(EDATE(X_Cell_Site_StartDate,5),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TEXT(EDATE(X_Cell_Site_StartDate,6),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TEXT(EDATE(X_Cell_Site_StartDate,7),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TEXT(EDATE(X_Cell_Site_StartDate,8),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TEXT(EDATE(X_Cell_Site_StartDate,9),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TEXT(EDATE(X_Cell_Site_StartDate,10),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TEXT(EDATE(X_Cell_Site_StartDate,11),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TEXT(X_Cell_Site_StartDate,"mmmm")</f>
        <v>January</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TEXT(EDATE(X_Cell_Site_StartDate,1), "mmmm")</f>
        <v>February</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TEXT(EDATE(X_Cell_Site_StartDate,2), "mmmm")</f>
        <v>March</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TEXT(EDATE(X_Cell_Site_StartDate,3), "mmmm")</f>
        <v>April</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TEXT(EDATE(X_Cell_Site_StartDate,4), "mmmm")</f>
        <v>May</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TEXT(EDATE(X_Cell_Site_StartDate,5), "mmmm")</f>
        <v>June</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TEXT(EDATE(X_Cell_Site_StartDate,6), "mmmm")</f>
        <v>July</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TEXT(EDATE(X_Cell_Site_StartDate,7), "mmmm")</f>
        <v>August</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TEXT(EDATE(X_Cell_Site_StartDate,8), "mmmm")</f>
        <v>September</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TEXT(EDATE(X_Cell_Site_StartDate,9), "mmmm")</f>
        <v>October</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TEXT(EDATE(X_Cell_Site_StartDate,10), "mmmm")</f>
        <v>November</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TEXT(EDATE(X_Cell_Site_StartDate,11), "mmmm")</f>
        <v>December</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TEXT(X_Cell_Site_StartDate,"mmmm")</f>
        <v>January</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TEXT(EDATE(X_Cell_Site_StartDate,1), "mmmm")</f>
        <v>February</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TEXT(EDATE(X_Cell_Site_StartDate,2), "mmmm")</f>
        <v>March</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TEXT(EDATE(X_Cell_Site_StartDate,3), "mmmm")</f>
        <v>April</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TEXT(EDATE(X_Cell_Site_StartDate,4), "mmmm")</f>
        <v>May</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TEXT(EDATE(X_Cell_Site_StartDate,5), "mmmm")</f>
        <v>June</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TEXT(EDATE(X_Cell_Site_StartDate,6), "mmmm")</f>
        <v>July</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TEXT(EDATE(X_Cell_Site_StartDate,7), "mmmm")</f>
        <v>August</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TEXT(EDATE(X_Cell_Site_StartDate,8), "mmmm")</f>
        <v>September</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TEXT(EDATE(X_Cell_Site_StartDate,9), "mmmm")</f>
        <v>October</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TEXT(EDATE(X_Cell_Site_StartDate,10), "mmmm")</f>
        <v>November</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TEXT(EDATE(X_Cell_Site_StartDate,11), "mmmm")</f>
        <v>December</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TEXT(X_Cell_Site_StartDate,"mmmm")</f>
        <v>January</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TEXT(EDATE(X_Cell_Site_StartDate,1), "mmmm")</f>
        <v>February</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TEXT(EDATE(X_Cell_Site_StartDate,2), "mmmm")</f>
        <v>March</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TEXT(EDATE(X_Cell_Site_StartDate,3), "mmmm")</f>
        <v>April</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TEXT(EDATE(X_Cell_Site_StartDate,4), "mmmm")</f>
        <v>May</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TEXT(EDATE(X_Cell_Site_StartDate,5), "mmmm")</f>
        <v>June</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TEXT(EDATE(X_Cell_Site_StartDate,6), "mmmm")</f>
        <v>July</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TEXT(EDATE(X_Cell_Site_StartDate,7), "mmmm")</f>
        <v>August</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TEXT(EDATE(X_Cell_Site_StartDate,8), "mmmm")</f>
        <v>September</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TEXT(EDATE(X_Cell_Site_StartDate,9), "mmmm")</f>
        <v>October</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TEXT(EDATE(X_Cell_Site_StartDate,10), "mmmm")</f>
        <v>November</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TEXT(EDATE(X_Cell_Site_StartDate,11), "mmmm")</f>
        <v>December</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TEXT(X_Cell_Site_StartDate,"mmmm")</f>
        <v>January</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TEXT(EDATE(X_Cell_Site_StartDate,1), "mmmm")</f>
        <v>February</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TEXT(EDATE(X_Cell_Site_StartDate,2), "mmmm")</f>
        <v>March</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TEXT(EDATE(X_Cell_Site_StartDate,3), "mmmm")</f>
        <v>April</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TEXT(EDATE(X_Cell_Site_StartDate,4), "mmmm")</f>
        <v>May</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TEXT(EDATE(X_Cell_Site_StartDate,5), "mmmm")</f>
        <v>June</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TEXT(EDATE(X_Cell_Site_StartDate,6), "mmmm")</f>
        <v>July</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TEXT(EDATE(X_Cell_Site_StartDate,7), "mmmm")</f>
        <v>August</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TEXT(EDATE(X_Cell_Site_StartDate,8), "mmmm")</f>
        <v>September</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TEXT(EDATE(X_Cell_Site_StartDate,9), "mmmm")</f>
        <v>October</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TEXT(EDATE(X_Cell_Site_StartDate,10), "mmmm")</f>
        <v>November</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TEXT(EDATE(X_Cell_Site_StartDate,11), "mmmm")</f>
        <v>December</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workbookViewId="0">
      <selection activeCell="S28" sqref="S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VEERG_4_2_1_3__2_TotalNitrogenExcretedToPastureRangeAndPaddock_Result_Method1</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VEERG_4_2_1_3__2_TotalNitrogenExcretedToPastureRangeAndPaddock_Result_Method2</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SourceData_PastureBeef_FracGASMSoil_Data</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1" workbookViewId="0">
      <selection activeCell="I18" sqref="I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VEERG_4_2_1_3__2_TotalNitrogenExcretedToPastureRangeAndPaddock_Result_Method1</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VEERG_4_2_1_3__2_TotalNitrogenExcretedToPastureRangeAndPaddock_Result_Method2</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SourceData_PastureBeef_FracLEACH_Data</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B5480-17BD-465B-9E85-DA8D9CE034E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2026-07-23T06:26:01Z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