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FEA82253-4563-41A1-BA9B-C494BFBA0632}" xr6:coauthVersionLast="47" xr6:coauthVersionMax="47" xr10:uidLastSave="{00000000-0000-0000-0000-000000000000}"/>
  <bookViews>
    <workbookView xWindow="1560" yWindow="1560" windowWidth="28800" windowHeight="15345" firstSheet="3" activeTab="7" xr2:uid="{992023F3-CAB7-4E5B-A348-08D563A0EF40}"/>
  </bookViews>
  <sheets>
    <sheet name="Home" sheetId="71" r:id="rId1"/>
    <sheet name="Overview" sheetId="100" r:id="rId2"/>
    <sheet name="Results" sheetId="13" r:id="rId3"/>
    <sheet name="Input - Site" sheetId="15" r:id="rId4"/>
    <sheet name="Input - Feedlot" sheetId="70" r:id="rId5"/>
    <sheet name="3.1.1.1-2 Enteric Methane" sheetId="69" r:id="rId6"/>
    <sheet name="Constants - Feedlot" sheetId="79" r:id="rId7"/>
    <sheet name="Constants - Common" sheetId="105" r:id="rId8"/>
    <sheet name="Constants - Livestock" sheetId="43" r:id="rId9"/>
    <sheet name="Acknowledgements" sheetId="72" r:id="rId10"/>
    <sheet name="Tab template" sheetId="74" r:id="rId11"/>
  </sheets>
  <externalReferences>
    <externalReference r:id="rId12"/>
  </externalReference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Feedlot_Equations.VEERG_3_1_1_1__1_TotalAnnualMethaneFromEntericFermentation">_xlfn.LAMBDA(_xlpm.D_j,_xlpm.M_j,_xlpm.N_j, (_xlpm.D_j * _xlpm.M_j * _xlpm.N_j) * 10 ^ -3)</definedName>
    <definedName name="EntericMethane_Feedlot_Equations.VEERG_3_1_1_1__1_TotalAnnualMethaneFromEntericFermentation_Arguments">_xlfn.LAMBDA(_xlfn.MAKEARRAY(3, 4, _xlfn.LAMBDA(_xlpm.r,_xlpm.c, INDEX({"D_j","duration of stay of each cattle lot","days","Input";"M_j","daily methane production","kg CH4/head/day","Calculated from 3.1.1.1, (2)";"N_j","numbers of feedlot cattle in each cattle lot","head","Input"}, _xlpm.r, _xlpm.c))))</definedName>
    <definedName name="EntericMethane_Feedlot_Equations.VEERG_3_1_1_1__1_TotalAnnualMethaneFromEntericFermentation_LatexEquation">_xlfn.LAMBDA("E_{enteric}=\sum\nolimits_j(D_j\times M_j\times N_j)\times 10^{-3}")</definedName>
    <definedName name="EntericMethane_Feedlot_Equations.VEERG_3_1_1_1__1_TotalAnnualMethaneFromEntericFermentation_NIRReference">_xlfn.LAMBDA("")</definedName>
    <definedName name="EntericMethane_Feedlot_Equations.VEERG_3_1_1_1__1_TotalAnnualMethaneFromEntericFermentation_Source">_xlfn.LAMBDA("VEERG 2026: 3.1.1.1, Equation (1)")</definedName>
    <definedName name="EntericMethane_Feedlot_Equations.VEERG_3_1_1_1__1_TotalAnnualMethaneFromEntericFermentation_Title">_xlfn.LAMBDA("Total annual methane production from enteric fermentation in feedlot beef cattle")</definedName>
    <definedName name="EntericMethane_Feedlot_Equations.VEERG_3_1_1_1__1_TotalAnnualMethaneFromEntericFermentation_Unit">_xlfn.LAMBDA("t CH4")</definedName>
    <definedName name="EntericMethane_Feedlot_Equations.VEERG_3_1_1_1__1_TotalAnnualMethaneFromEntericFermentation_Variable">_xlfn.LAMBDA("E_enteric")</definedName>
    <definedName name="EntericMethane_Feedlot_Equations.VEERG_3_1_1_1__2_DailyEntericMethaneProduction">_xlfn.LAMBDA(_xlpm.I_j,_xlpm.EE_j,_xlpm.NDF_j, (5.11 * _xlpm.I_j - 4 * _xlpm.EE_j + 2.26 * _xlpm.NDF_j) * 10 ^ -3)</definedName>
    <definedName name="EntericMethane_Feedlot_Equations.VEERG_3_1_1_1__2_DailyEntericMethaneProduction_Arguments">_xlfn.LAMBDA(_xlfn.MAKEARRAY(3, 4, _xlfn.LAMBDA(_xlpm.r,_xlpm.c, INDEX({"I_j","dry matter intake","kg DM/head/day","Input";"EE_j","ether extract as a percentage of I_j","per cent","Input";"NDF_j","neutral detergent fibre as a percentage of I_j","per cent","Input"}, _xlpm.r, _xlpm.c))))</definedName>
    <definedName name="EntericMethane_Feedlot_Equations.VEERG_3_1_1_1__2_DailyEntericMethaneProduction_LatexEquation">_xlfn.LAMBDA("M_j=(5.11\times I_j-4.00\times EE_j+2.26\times NDF_j)\times 10^{-3}")</definedName>
    <definedName name="EntericMethane_Feedlot_Equations.VEERG_3_1_1_1__2_DailyEntericMethaneProduction_NIRReference">_xlfn.LAMBDA("Almeida et al. (2025)")</definedName>
    <definedName name="EntericMethane_Feedlot_Equations.VEERG_3_1_1_1__2_DailyEntericMethaneProduction_Source">_xlfn.LAMBDA("VEERG 2026: 3.1.1.1, Equation (2)")</definedName>
    <definedName name="EntericMethane_Feedlot_Equations.VEERG_3_1_1_1__2_DailyEntericMethaneProduction_Title">_xlfn.LAMBDA("Daily production of enteric methane")</definedName>
    <definedName name="EntericMethane_Feedlot_Equations.VEERG_3_1_1_1__2_DailyEntericMethaneProduction_Unit">_xlfn.LAMBDA("kg CH4/head/day")</definedName>
    <definedName name="EntericMethane_Feedlot_Equations.VEERG_3_1_1_1__2_DailyEntericMethaneProduction_Variable">_xlfn.LAMBDA("M_j")</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_Site_EndDate">'Input - Site'!$E$13</definedName>
    <definedName name="Input_Site_FarmName">'Input - Site'!$E$7</definedName>
    <definedName name="Input_Site_ReportingEntityName">'Input - Site'!$E$8</definedName>
    <definedName name="Input_Site_StartDate">'Input - Site'!$E$12</definedName>
    <definedName name="M1_Table_E_CH4">'3.1.1.1-2 Enteric Methane'!$D$64:$F$65</definedName>
    <definedName name="M1_Table_EE_j">'3.1.1.1-2 Enteric Methane'!$D$24:$F$25</definedName>
    <definedName name="M1_Table_I_j">'3.1.1.1-2 Enteric Methane'!$D$19:$F$20</definedName>
    <definedName name="M1_Table_M_j">'3.1.1.1-2 Enteric Methane'!$D$34:$F$35</definedName>
    <definedName name="M1_Table_NDF_j">'3.1.1.1-2 Enteric Methane'!$D$29:$F$30</definedName>
    <definedName name="M2_Table_E_CH4">'3.1.1.1-2 Enteric Methane'!$M$64:$O$65</definedName>
    <definedName name="M2_Table_EE_j">'3.1.1.1-2 Enteric Methane'!$M$24:$O$25</definedName>
    <definedName name="M2_Table_I_j">'3.1.1.1-2 Enteric Methane'!$M$19:$O$20</definedName>
    <definedName name="M2_Table_M_j">'3.1.1.1-2 Enteric Methane'!$M$34:$O$35</definedName>
    <definedName name="M2_Table_NDF_j">'3.1.1.1-2 Enteric Methane'!$M$29:$O$30</definedName>
    <definedName name="Range_LivestockStartingValues">#REF!</definedName>
    <definedName name="SourceData_Feedlot.SourceData_Feedlot_AnimalCharacteristics_Data">_xlfn.LAMBDA(_xlfn.MAKEARRAY(10, 7, _xlfn.LAMBDA(_xlpm.r,_xlpm.c, INDEX({"Feedlot type","Characteristic","Unit","2005-2009","2010-2014","2015-2019","2020-2023";"Domestic","Days on feed","days",70,70,70,75;"Domestic","Feed intake","kg DM/day",10,10,10.4,10.4;"Domestic","N retention","per cent of intake",21.1,20.4,20.4,20.4;"Mid-fed","Days on feed","days",115,115,120,150;"Mid-fed","Feed intake","kg DM/day",11.2,10.8,10.8,10.8;"Mid-fed","N retention","per cent of intake",12.5,12.7,12.7,12.7;"Long-fed","Days on feed","days",250,250,250,250;"Long-fed","Feed intake","kg DM/day",9,8.5,8.2,8.2;"Long-fed","N retention","per cent of intake",6.6,7,7,7}, _xlpm.r, _xlpm.c))))</definedName>
    <definedName name="SourceData_Feedlot.SourceData_Feedlot_AnimalCharacteristics_Source">_xlfn.LAMBDA("VEERG 2026: Table A.1.1.2: Beef feedlot cattle - Animal characteristics")</definedName>
    <definedName name="SourceData_Feedlot.SourceData_Feedlot_AnimalCharacteristics_Title">_xlfn.LAMBDA("Beef feedlot cattle - Animal characteristics")</definedName>
    <definedName name="SourceData_Feedlot.SourceData_Feedlot_AnimalCharacteristics_Unit">_xlfn.LAMBDA("")</definedName>
    <definedName name="SourceData_Feedlot.SourceData_Feedlot_AnimalCharacteristics_Variation">_xlfn.LAMBDA(_xlfn.MAKEARRAY(3, 1, _xlfn.LAMBDA(_xlpm.r,_xlpm.c, INDEX({"VARIATION ON SOURCE:";"Moved feedlot types to a separate column to aid lookup.";"Named 'characteristic' column - original has header 'Unit' which covers two columns)"}, _xlpm.r, _xlpm.c))))</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DietProperties_Data">_xlfn.LAMBDA(_xlfn.MAKEARRAY(13, 8, _xlfn.LAMBDA(_xlpm.r,_xlpm.c, INDEX({"Feedlot type","Nutrient analysis","Unit","2005-2009","2010-2014","2015-2019","2020-2023","Converted to fraction";"Domestic","Dry matter digestibility","fraction",0.81,0.81,0.81,0.81,0.81;"Domestic","Crude protein","fraction",0.14,0.14,0.14,0.14,0.14;"Domestic","NDF","per cent",23,22,22,22,0.22;"Domestic","Ether Extract","per cent",4.5,4.5,4.8,4.8,0.048;"Mid-fed","Dry matter digestibility","fraction",0.81,0.81,0.81,0.81,0.81;"Mid-fed","Crude protein","fraction",0.13,0.125,0.12,0.12,0.12;"Mid-fed","NDF","per cent",24,22,22,22,0.22;"Mid-fed","Ether Extract","per cent",5,5,5,5,0.05;"Long-Fed","Dry matter digestibility","fraction",0.81,0.81,0.81,0.81,0.81;"Long-Fed","Crude protein","fraction",0.13,0.125,0.12,0.12,0.12;"Long-Fed","NDF","per cent",24,24,24,24,0.24;"Long-Fed","Ether Extract","per cent",5,5,5.5,5.5,0.055}, _xlpm.r, _xlpm.c))))</definedName>
    <definedName name="SourceData_Feedlot.SourceData_Feedlot_DietProperties_Source">_xlfn.LAMBDA("VEERG 2026: Table A.1.1.3: Beef feedlot cattle - Diet properties")</definedName>
    <definedName name="SourceData_Feedlot.SourceData_Feedlot_DietProperties_Title">_xlfn.LAMBDA("Beef feedlot cattle - Diet properties")</definedName>
    <definedName name="SourceData_Feedlot.SourceData_Feedlot_DietProperties_Unit">_xlfn.LAMBDA("")</definedName>
    <definedName name="SourceData_Feedlot.SourceData_Feedlot_DietProperties_Variation">_xlfn.LAMBDA(_xlfn.MAKEARRAY(3, 1, _xlfn.LAMBDA(_xlpm.r,_xlpm.c, INDEX({"VARIATION ON SOURCE:";"Added 'Converted to fraction column and converted NDF and Ether extract values to fractions.";"Moved feedlot types to a separate column to aid lookup."}, _xlpm.r, _xlpm.c))))</definedName>
    <definedName name="SourceData_Feedlot.SourceData_Feedlot_DurationOfStay_Data">_xlfn.LAMBDA(_xlfn.MAKEARRAY(4, 2, _xlfn.LAMBDA(_xlpm.r,_xlpm.c, INDEX({"Feedlot type","Length of Stay";"Domestic","1-80 days";"Mid-fed","81-200 days";"Long-fed","201+ days"}, _xlpm.r, _xlpm.c))))</definedName>
    <definedName name="SourceData_Feedlot.SourceData_Feedlot_DurationOfStay_Source">_xlfn.LAMBDA("VEERG 2026: Table A.1.1.1: Beef feedlot cattle - Duration of stay (days)")</definedName>
    <definedName name="SourceData_Feedlot.SourceData_Feedlot_DurationOfStay_Title">_xlfn.LAMBDA("Beef feedlot cattle - Duration of stay (days)")</definedName>
    <definedName name="SourceData_Feedlot.SourceData_Feedlot_DurationOfStay_Unit">_xlfn.LAMBDA("")</definedName>
    <definedName name="SourceData_Feedlot.SourceData_Feedlot_DurationOfStay_Variation">_xlfn.LAMBDA("")</definedName>
    <definedName name="SourceData_Feedlot.SourceData_Feedlot_FracNVolatilised_Data">_xlfn.LAMBDA(_xlfn.MAKEARRAY(6, 4, _xlfn.LAMBDA(_xlpm.r,_xlpm.c, INDEX({"Treatment stage T","MMS m","FracGASMmT (kg NH3-N + NOx-N)/kg N","NIR definition";"Primary","Dry lot (Feedpad)",0.6,"Drylot (feed pad)";"Secondary","Solid Storage (Stockpile)",0.25,"Solid storage";"Secondary","Composting (Passive Windrow)",0.4,"Composting (passive windrow)";"Secondary","Direct Application to soil",0,"Direct application";"Tertiary","Uncovered anaerobic lagoon (Effluent pond)",0.35,"Anaerobic lagoon"}, _xlpm.r, _xlpm.c))))</definedName>
    <definedName name="SourceData_Feedlot.SourceData_Feedlot_FracNVolatilised_Source">_xlfn.LAMBDA("VEERG 2026: Table A.1.1.6: Beef feedlot cattle - Fraction of N volatilised by MMS (FracGASMmT)")</definedName>
    <definedName name="SourceData_Feedlot.SourceData_Feedlot_FracNVolatilised_Title">_xlfn.LAMBDA("Feedlot - Fraction of N volatilised by MMS (FracGASMmT)")</definedName>
    <definedName name="SourceData_Feedlot.SourceData_Feedlot_FracNVolatilised_Unit">_xlfn.LAMBDA("")</definedName>
    <definedName name="SourceData_Feedlot.SourceData_Feedlot_FracNVolatilised_Variation">_xlfn.LAMBDA(_xlfn.MAKEARRAY(2, 1, _xlfn.LAMBDA(_xlpm.r,_xlpm.c, INDEX({"VARIATION ON SOURCE:";"Added 'NIR definition' column with MMS names that match NIR definitions."}, _xlpm.r, _xlpm.c))))</definedName>
    <definedName name="SourceData_Feedlot.SourceData_Feedlot_LivestockClasses">_xlfn.LAMBDA(_xlfn.MAKEARRAY(3, 1, _xlfn.LAMBDA(_xlpm.r,_xlpm.c, INDEX({"Domestic";"Export mid fed";"Export long fed"}, _xlpm.r, _xlpm.c))))</definedName>
    <definedName name="SourceData_Feedlot.SourceData_Feedlot_MCF_Data">_xlfn.LAMBDA(_xlfn.MAKEARRAY(6, 11, _xlfn.LAMBDA(_xlpm.r,_xlpm.c, INDEX({"Treatment stage T","MMS m","NSW","ACT","QLD","NT","SA","VIC","WA","TAS","NIR definition";"Primary","Dry lot (Feedpad)",0.01,0.01,0.03,0.03,0.01,0.01,0.01,0.01,"Drylot (feed pad)";"Secondary","Solid Storage (Stockpile)",0.02,0.02,0.02,0.02,0.02,0.02,0.02,0.02,"Solid storage";"Secondary","Composting (Passive Windrow)",0.01,0.01,0.01,0.01,0.01,0.01,0.01,0.01,"Composting (passive windrow)";"Secondary","Direct Application to soil",0,0,0,0,0,0,0,0,"Direct application";"Tertiary","Uncovered anaerobic lagoon (Effluent pond)",0.75,0.75,0.77,0.77,0.75,0.75,0.77,0.75,"Anaerobic lagoon"}, _xlpm.r, _xlpm.c))))</definedName>
    <definedName name="SourceData_Feedlot.SourceData_Feedlot_MCF_Source">_xlfn.LAMBDA("VEERG 2026: Table A.1.1.4: Beef feedlot cattle - MCFs (fraction) (MCFimT)")</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column that duplicates QLD values as per advice from source data provider.";"Added TAS column that duplicates VIC values as per advice from source data provider.";"Added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NitrousOxideEFs_Data">_xlfn.LAMBDA(_xlfn.MAKEARRAY(6, 4, _xlfn.LAMBDA(_xlpm.r,_xlpm.c, INDEX({"Treatment stage T","MMS m","EFmT (kg N2O-N/kg N)","NIR definition";"Primary","Dry lot (Feedpad)",0.0054,"Drylot (feed pad)";"Secondary","Solid Storage (Stockpile)",0.005,"Solid storage";"Secondary","Composting (Passive Windrow)",0.01,"Composting (passive windrow)";"Secondary","Direct Application to soil",0,"Direct application";"Tertiary","Uncovered anaerobic lagoon (Effluent Pond)",0,"Anaerobic lagoon"}, _xlpm.r, _xlpm.c))))</definedName>
    <definedName name="SourceData_Feedlot.SourceData_Feedlot_NitrousOxideEFs_Source">_xlfn.LAMBDA("VEERG 2026: Table A.1.1.5: Beef feedlot cattle - Nitrous oxide EFs (EFmT)")</definedName>
    <definedName name="SourceData_Feedlot.SourceData_Feedlot_NitrousOxideEFs_Title">_xlfn.LAMBDA("Feedlot - Nitrous oxide EFs")</definedName>
    <definedName name="SourceData_Feedlot.SourceData_Feedlot_NitrousOxideEFs_Unit">_xlfn.LAMBDA("")</definedName>
    <definedName name="SourceData_Feedlot.SourceData_Feedlot_NitrousOxideEFs_Variation">_xlfn.LAMBDA(_xlfn.MAKEARRAY(2, 1, _xlfn.LAMBDA(_xlpm.r,_xlpm.c, INDEX({"VARIATION ON SOURCE:";"Added 'NIR definition' column with MMS names that match NIR definitions."}, _xlpm.r, _xlpm.c))))</definedName>
    <definedName name="SourceData_Feedlot.SourceData_Feedlot_Stage1MMSOptions">_xlfn.LAMBDA(_xlfn.MAKEARRAY(1, 1, _xlfn.LAMBDA(_xlpm.r,_xlpm.c, INDEX({"Drylot (feed pad)"}, _xlpm.r, _xlpm.c))))</definedName>
    <definedName name="SourceData_Feedlot.SourceData_Feedlot_Stage2MMSOptions">_xlfn.LAMBDA(_xlfn.MAKEARRAY(4, 1, _xlfn.LAMBDA(_xlpm.r,_xlpm.c, INDEX({"Solid storage";"Composting (passive windrow)";"Direct application";"No MMS"}, _xlpm.r, _xlpm.c))))</definedName>
    <definedName name="SourceData_Feedlot.SourceData_Feedlot_Stage3MMSOptions">_xlfn.LAMBDA(_xlfn.MAKEARRAY(1, 1, _xlfn.LAMBDA(_xlpm.r,_xlpm.c, INDEX({"Anaerobic lagoon"}, _xlpm.r, _xlpm.c))))</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tep1">#REF!</definedName>
    <definedName name="Step2">#REF!</definedName>
    <definedName name="Step3">#REF!</definedName>
    <definedName name="Table_D_j">'3.1.1.1-2 Enteric Methane'!$D$54:$F$55</definedName>
    <definedName name="Table_N_j">'3.1.1.1-2 Enteric Methane'!$D$59:$F$60</definedName>
    <definedName name="VEERG_3_1_1_1__1_TotalAnnualMethaneFromEntericFermentation_Result">'3.1.1.1-2 Enteric Methane'!$E$67</definedName>
    <definedName name="X_Table_Feedlot_HerdMovement">'Input - Feedlot'!$D$7:$G$9</definedName>
    <definedName name="X_Table_Feedlot_Intake_Method1">'Input - Feedlot'!$D$13:$G$16</definedName>
    <definedName name="X_Table_Feedlot_Intake_Method2">'Input - Feedlot'!$D$18:$G$21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79" l="1"/>
  <c r="G28" i="79"/>
  <c r="P70" i="69"/>
  <c r="G70" i="69"/>
  <c r="E259" i="105" a="1"/>
  <c r="E259" i="105" s="1"/>
  <c r="D259" i="105" a="1"/>
  <c r="D259" i="105" s="1"/>
  <c r="E258" i="105" a="1"/>
  <c r="E258" i="105" s="1"/>
  <c r="D258" i="105" a="1"/>
  <c r="D258" i="105" s="1"/>
  <c r="D256" i="105" a="1"/>
  <c r="D256" i="105" s="1"/>
  <c r="D255" i="105"/>
  <c r="D255" i="105" a="1"/>
  <c r="D254" i="105" a="1"/>
  <c r="D254" i="105" s="1"/>
  <c r="D253" i="105" a="1"/>
  <c r="D253" i="105" s="1"/>
  <c r="S250" i="105" a="1"/>
  <c r="S250" i="105" s="1"/>
  <c r="R250" i="105" a="1"/>
  <c r="R250" i="105" s="1"/>
  <c r="Q250" i="105" a="1"/>
  <c r="Q250" i="105" s="1"/>
  <c r="P250" i="105" a="1"/>
  <c r="P250" i="105" s="1"/>
  <c r="O250" i="105" a="1"/>
  <c r="O250" i="105" s="1"/>
  <c r="N250" i="105" a="1"/>
  <c r="N250" i="105" s="1"/>
  <c r="M250" i="105" a="1"/>
  <c r="M250" i="105" s="1"/>
  <c r="L250" i="105" a="1"/>
  <c r="L250" i="105" s="1"/>
  <c r="K250" i="105" a="1"/>
  <c r="K250" i="105" s="1"/>
  <c r="J250" i="105" a="1"/>
  <c r="J250" i="105" s="1"/>
  <c r="I250" i="105" a="1"/>
  <c r="I250" i="105" s="1"/>
  <c r="H250" i="105" a="1"/>
  <c r="H250" i="105" s="1"/>
  <c r="G250" i="105" a="1"/>
  <c r="G250" i="105" s="1"/>
  <c r="F250" i="105" a="1"/>
  <c r="F250" i="105" s="1"/>
  <c r="E250" i="105" a="1"/>
  <c r="E250" i="105" s="1"/>
  <c r="D250" i="105" a="1"/>
  <c r="D250" i="105" s="1"/>
  <c r="S249" i="105" a="1"/>
  <c r="S249" i="105" s="1"/>
  <c r="R249" i="105" a="1"/>
  <c r="R249" i="105" s="1"/>
  <c r="Q249" i="105" a="1"/>
  <c r="Q249" i="105" s="1"/>
  <c r="P249" i="105" a="1"/>
  <c r="P249" i="105" s="1"/>
  <c r="O249" i="105" a="1"/>
  <c r="O249" i="105" s="1"/>
  <c r="N249" i="105" a="1"/>
  <c r="N249" i="105" s="1"/>
  <c r="M249" i="105" a="1"/>
  <c r="M249" i="105" s="1"/>
  <c r="L249" i="105" a="1"/>
  <c r="L249" i="105" s="1"/>
  <c r="K249" i="105" a="1"/>
  <c r="K249" i="105" s="1"/>
  <c r="J249" i="105" a="1"/>
  <c r="J249" i="105" s="1"/>
  <c r="I249" i="105" a="1"/>
  <c r="I249" i="105" s="1"/>
  <c r="H249" i="105" a="1"/>
  <c r="H249" i="105" s="1"/>
  <c r="G249" i="105" a="1"/>
  <c r="G249" i="105" s="1"/>
  <c r="F249" i="105" a="1"/>
  <c r="F249" i="105" s="1"/>
  <c r="E249" i="105" a="1"/>
  <c r="E249" i="105" s="1"/>
  <c r="D249" i="105" a="1"/>
  <c r="D249" i="105" s="1"/>
  <c r="S248" i="105" a="1"/>
  <c r="S248" i="105" s="1"/>
  <c r="R248" i="105" a="1"/>
  <c r="R248" i="105" s="1"/>
  <c r="Q248" i="105" a="1"/>
  <c r="Q248" i="105" s="1"/>
  <c r="P248" i="105" a="1"/>
  <c r="P248" i="105" s="1"/>
  <c r="O248" i="105" a="1"/>
  <c r="O248" i="105" s="1"/>
  <c r="N248" i="105" a="1"/>
  <c r="N248" i="105" s="1"/>
  <c r="M248" i="105" a="1"/>
  <c r="M248" i="105" s="1"/>
  <c r="L248" i="105" a="1"/>
  <c r="L248" i="105" s="1"/>
  <c r="K248" i="105" a="1"/>
  <c r="K248" i="105" s="1"/>
  <c r="J248" i="105" a="1"/>
  <c r="J248" i="105" s="1"/>
  <c r="I248" i="105" a="1"/>
  <c r="I248" i="105" s="1"/>
  <c r="H248" i="105" a="1"/>
  <c r="H248" i="105" s="1"/>
  <c r="G248" i="105" a="1"/>
  <c r="G248" i="105" s="1"/>
  <c r="F248" i="105" a="1"/>
  <c r="F248" i="105" s="1"/>
  <c r="E248" i="105" a="1"/>
  <c r="E248" i="105" s="1"/>
  <c r="D248" i="105" a="1"/>
  <c r="D248" i="105" s="1"/>
  <c r="S247" i="105" a="1"/>
  <c r="S247" i="105" s="1"/>
  <c r="R247" i="105" a="1"/>
  <c r="R247" i="105" s="1"/>
  <c r="Q247" i="105" a="1"/>
  <c r="Q247" i="105" s="1"/>
  <c r="P247" i="105" a="1"/>
  <c r="P247" i="105" s="1"/>
  <c r="O247" i="105" a="1"/>
  <c r="O247" i="105" s="1"/>
  <c r="N247" i="105" a="1"/>
  <c r="N247" i="105" s="1"/>
  <c r="M247" i="105" a="1"/>
  <c r="M247" i="105" s="1"/>
  <c r="L247" i="105" a="1"/>
  <c r="L247" i="105" s="1"/>
  <c r="K247" i="105" a="1"/>
  <c r="K247" i="105" s="1"/>
  <c r="J247" i="105" a="1"/>
  <c r="J247" i="105" s="1"/>
  <c r="I247" i="105" a="1"/>
  <c r="I247" i="105" s="1"/>
  <c r="H247" i="105" a="1"/>
  <c r="H247" i="105" s="1"/>
  <c r="G247" i="105" a="1"/>
  <c r="G247" i="105" s="1"/>
  <c r="F247" i="105" a="1"/>
  <c r="F247" i="105" s="1"/>
  <c r="E247" i="105" a="1"/>
  <c r="E247" i="105" s="1"/>
  <c r="D247" i="105" a="1"/>
  <c r="D247" i="105" s="1"/>
  <c r="S246" i="105" a="1"/>
  <c r="S246" i="105" s="1"/>
  <c r="R246" i="105" a="1"/>
  <c r="R246" i="105" s="1"/>
  <c r="Q246" i="105" a="1"/>
  <c r="Q246" i="105" s="1"/>
  <c r="P246" i="105" a="1"/>
  <c r="P246" i="105" s="1"/>
  <c r="O246" i="105" a="1"/>
  <c r="O246" i="105" s="1"/>
  <c r="N246" i="105" a="1"/>
  <c r="N246" i="105" s="1"/>
  <c r="M246" i="105" a="1"/>
  <c r="M246" i="105" s="1"/>
  <c r="L246" i="105" a="1"/>
  <c r="L246" i="105" s="1"/>
  <c r="K246" i="105" a="1"/>
  <c r="K246" i="105" s="1"/>
  <c r="J246" i="105" a="1"/>
  <c r="J246" i="105" s="1"/>
  <c r="I246" i="105" a="1"/>
  <c r="I246" i="105" s="1"/>
  <c r="H246" i="105" a="1"/>
  <c r="H246" i="105" s="1"/>
  <c r="G246" i="105" a="1"/>
  <c r="G246" i="105" s="1"/>
  <c r="F246" i="105" a="1"/>
  <c r="F246" i="105" s="1"/>
  <c r="E246" i="105" a="1"/>
  <c r="E246" i="105" s="1"/>
  <c r="D246" i="105" a="1"/>
  <c r="D246" i="105" s="1"/>
  <c r="S245" i="105" a="1"/>
  <c r="S245" i="105" s="1"/>
  <c r="R245" i="105" a="1"/>
  <c r="R245" i="105" s="1"/>
  <c r="Q245" i="105" a="1"/>
  <c r="Q245" i="105" s="1"/>
  <c r="P245" i="105" a="1"/>
  <c r="P245" i="105" s="1"/>
  <c r="O245" i="105" a="1"/>
  <c r="O245" i="105" s="1"/>
  <c r="N245" i="105" a="1"/>
  <c r="N245" i="105" s="1"/>
  <c r="M245" i="105" a="1"/>
  <c r="M245" i="105" s="1"/>
  <c r="L245" i="105" a="1"/>
  <c r="L245" i="105" s="1"/>
  <c r="K245" i="105" a="1"/>
  <c r="K245" i="105" s="1"/>
  <c r="J245" i="105" a="1"/>
  <c r="J245" i="105" s="1"/>
  <c r="I245" i="105" a="1"/>
  <c r="I245" i="105" s="1"/>
  <c r="H245" i="105" a="1"/>
  <c r="H245" i="105" s="1"/>
  <c r="G245" i="105" a="1"/>
  <c r="G245" i="105" s="1"/>
  <c r="F245" i="105" a="1"/>
  <c r="F245" i="105" s="1"/>
  <c r="E245" i="105" a="1"/>
  <c r="E245" i="105" s="1"/>
  <c r="D245" i="105" a="1"/>
  <c r="D245" i="105" s="1"/>
  <c r="S244" i="105" a="1"/>
  <c r="S244" i="105" s="1"/>
  <c r="R244" i="105" a="1"/>
  <c r="R244" i="105" s="1"/>
  <c r="Q244" i="105" a="1"/>
  <c r="Q244" i="105" s="1"/>
  <c r="P244" i="105" a="1"/>
  <c r="P244" i="105" s="1"/>
  <c r="O244" i="105" a="1"/>
  <c r="O244" i="105" s="1"/>
  <c r="N244" i="105" a="1"/>
  <c r="N244" i="105" s="1"/>
  <c r="M244" i="105" a="1"/>
  <c r="M244" i="105" s="1"/>
  <c r="L244" i="105" a="1"/>
  <c r="L244" i="105" s="1"/>
  <c r="K244" i="105" a="1"/>
  <c r="K244" i="105" s="1"/>
  <c r="J244" i="105" a="1"/>
  <c r="J244" i="105" s="1"/>
  <c r="I244" i="105" a="1"/>
  <c r="I244" i="105" s="1"/>
  <c r="H244" i="105" a="1"/>
  <c r="H244" i="105" s="1"/>
  <c r="G244" i="105" a="1"/>
  <c r="G244" i="105" s="1"/>
  <c r="F244" i="105" a="1"/>
  <c r="F244" i="105" s="1"/>
  <c r="E244" i="105" a="1"/>
  <c r="E244" i="105" s="1"/>
  <c r="D244" i="105" a="1"/>
  <c r="D244" i="105" s="1"/>
  <c r="S243" i="105" a="1"/>
  <c r="S243" i="105" s="1"/>
  <c r="R243" i="105" a="1"/>
  <c r="R243" i="105" s="1"/>
  <c r="Q243" i="105" a="1"/>
  <c r="Q243" i="105" s="1"/>
  <c r="P243" i="105" a="1"/>
  <c r="P243" i="105" s="1"/>
  <c r="O243" i="105" a="1"/>
  <c r="O243" i="105" s="1"/>
  <c r="N243" i="105" a="1"/>
  <c r="N243" i="105" s="1"/>
  <c r="M243" i="105" a="1"/>
  <c r="M243" i="105" s="1"/>
  <c r="L243" i="105" a="1"/>
  <c r="L243" i="105" s="1"/>
  <c r="K243" i="105" a="1"/>
  <c r="K243" i="105" s="1"/>
  <c r="J243" i="105" a="1"/>
  <c r="J243" i="105" s="1"/>
  <c r="I243" i="105" a="1"/>
  <c r="I243" i="105" s="1"/>
  <c r="H243" i="105" a="1"/>
  <c r="H243" i="105" s="1"/>
  <c r="G243" i="105" a="1"/>
  <c r="G243" i="105" s="1"/>
  <c r="F243" i="105" a="1"/>
  <c r="F243" i="105" s="1"/>
  <c r="E243" i="105" a="1"/>
  <c r="E243" i="105" s="1"/>
  <c r="D243" i="105" a="1"/>
  <c r="D243" i="105" s="1"/>
  <c r="S242" i="105" a="1"/>
  <c r="S242" i="105" s="1"/>
  <c r="R242" i="105" a="1"/>
  <c r="R242" i="105" s="1"/>
  <c r="Q242" i="105" a="1"/>
  <c r="Q242" i="105" s="1"/>
  <c r="P242" i="105" a="1"/>
  <c r="P242" i="105" s="1"/>
  <c r="O242" i="105" a="1"/>
  <c r="O242" i="105" s="1"/>
  <c r="N242" i="105" a="1"/>
  <c r="N242" i="105" s="1"/>
  <c r="M242" i="105" a="1"/>
  <c r="M242" i="105" s="1"/>
  <c r="L242" i="105" a="1"/>
  <c r="L242" i="105" s="1"/>
  <c r="K242" i="105" a="1"/>
  <c r="K242" i="105" s="1"/>
  <c r="J242" i="105" a="1"/>
  <c r="J242" i="105" s="1"/>
  <c r="I242" i="105" a="1"/>
  <c r="I242" i="105" s="1"/>
  <c r="H242" i="105" a="1"/>
  <c r="H242" i="105" s="1"/>
  <c r="G242" i="105" a="1"/>
  <c r="G242" i="105" s="1"/>
  <c r="F242" i="105" a="1"/>
  <c r="F242" i="105" s="1"/>
  <c r="E242" i="105" a="1"/>
  <c r="E242" i="105" s="1"/>
  <c r="D242" i="105" a="1"/>
  <c r="D242" i="105" s="1"/>
  <c r="S241" i="105" a="1"/>
  <c r="S241" i="105" s="1"/>
  <c r="R241" i="105" a="1"/>
  <c r="R241" i="105" s="1"/>
  <c r="Q241" i="105" a="1"/>
  <c r="Q241" i="105" s="1"/>
  <c r="P241" i="105" a="1"/>
  <c r="P241" i="105" s="1"/>
  <c r="O241" i="105" a="1"/>
  <c r="O241" i="105" s="1"/>
  <c r="N241" i="105" a="1"/>
  <c r="N241" i="105" s="1"/>
  <c r="M241" i="105" a="1"/>
  <c r="M241" i="105" s="1"/>
  <c r="L241" i="105" a="1"/>
  <c r="L241" i="105" s="1"/>
  <c r="K241" i="105" a="1"/>
  <c r="K241" i="105" s="1"/>
  <c r="J241" i="105" a="1"/>
  <c r="J241" i="105" s="1"/>
  <c r="I241" i="105" a="1"/>
  <c r="I241" i="105" s="1"/>
  <c r="H241" i="105" a="1"/>
  <c r="H241" i="105" s="1"/>
  <c r="G241" i="105" a="1"/>
  <c r="G241" i="105" s="1"/>
  <c r="F241" i="105" a="1"/>
  <c r="F241" i="105" s="1"/>
  <c r="E241" i="105" a="1"/>
  <c r="E241" i="105" s="1"/>
  <c r="D241" i="105" a="1"/>
  <c r="D241" i="105" s="1"/>
  <c r="S240" i="105" a="1"/>
  <c r="S240" i="105" s="1"/>
  <c r="R240" i="105" a="1"/>
  <c r="R240" i="105" s="1"/>
  <c r="Q240" i="105" a="1"/>
  <c r="Q240" i="105" s="1"/>
  <c r="P240" i="105" a="1"/>
  <c r="P240" i="105" s="1"/>
  <c r="O240" i="105" a="1"/>
  <c r="O240" i="105" s="1"/>
  <c r="N240" i="105" a="1"/>
  <c r="N240" i="105" s="1"/>
  <c r="M240" i="105" a="1"/>
  <c r="M240" i="105" s="1"/>
  <c r="L240" i="105" a="1"/>
  <c r="L240" i="105" s="1"/>
  <c r="K240" i="105" a="1"/>
  <c r="K240" i="105" s="1"/>
  <c r="J240" i="105" a="1"/>
  <c r="J240" i="105" s="1"/>
  <c r="I240" i="105" a="1"/>
  <c r="I240" i="105" s="1"/>
  <c r="H240" i="105" a="1"/>
  <c r="H240" i="105" s="1"/>
  <c r="G240" i="105" a="1"/>
  <c r="G240" i="105" s="1"/>
  <c r="F240" i="105" a="1"/>
  <c r="F240" i="105" s="1"/>
  <c r="E240" i="105" a="1"/>
  <c r="E240" i="105" s="1"/>
  <c r="D240" i="105" a="1"/>
  <c r="D240" i="105" s="1"/>
  <c r="S239" i="105" a="1"/>
  <c r="S239" i="105" s="1"/>
  <c r="R239" i="105" a="1"/>
  <c r="R239" i="105" s="1"/>
  <c r="Q239" i="105" a="1"/>
  <c r="Q239" i="105" s="1"/>
  <c r="P239" i="105" a="1"/>
  <c r="P239" i="105" s="1"/>
  <c r="O239" i="105" a="1"/>
  <c r="O239" i="105" s="1"/>
  <c r="N239" i="105" a="1"/>
  <c r="N239" i="105" s="1"/>
  <c r="M239" i="105" a="1"/>
  <c r="M239" i="105" s="1"/>
  <c r="L239" i="105" a="1"/>
  <c r="L239" i="105" s="1"/>
  <c r="K239" i="105" a="1"/>
  <c r="K239" i="105" s="1"/>
  <c r="J239" i="105" a="1"/>
  <c r="J239" i="105" s="1"/>
  <c r="I239" i="105" a="1"/>
  <c r="I239" i="105" s="1"/>
  <c r="H239" i="105" a="1"/>
  <c r="H239" i="105" s="1"/>
  <c r="G239" i="105" a="1"/>
  <c r="G239" i="105" s="1"/>
  <c r="F239" i="105" a="1"/>
  <c r="F239" i="105" s="1"/>
  <c r="E239" i="105" a="1"/>
  <c r="E239" i="105" s="1"/>
  <c r="D239" i="105" a="1"/>
  <c r="D239" i="105" s="1"/>
  <c r="S238" i="105" a="1"/>
  <c r="S238" i="105" s="1"/>
  <c r="R238" i="105" a="1"/>
  <c r="R238" i="105" s="1"/>
  <c r="Q238" i="105" a="1"/>
  <c r="Q238" i="105" s="1"/>
  <c r="P238" i="105" a="1"/>
  <c r="P238" i="105" s="1"/>
  <c r="O238" i="105" a="1"/>
  <c r="O238" i="105" s="1"/>
  <c r="N238" i="105" a="1"/>
  <c r="N238" i="105" s="1"/>
  <c r="M238" i="105" a="1"/>
  <c r="M238" i="105" s="1"/>
  <c r="L238" i="105" a="1"/>
  <c r="L238" i="105" s="1"/>
  <c r="K238" i="105" a="1"/>
  <c r="K238" i="105" s="1"/>
  <c r="J238" i="105" a="1"/>
  <c r="J238" i="105" s="1"/>
  <c r="I238" i="105" a="1"/>
  <c r="I238" i="105" s="1"/>
  <c r="H238" i="105" a="1"/>
  <c r="H238" i="105" s="1"/>
  <c r="G238" i="105" a="1"/>
  <c r="G238" i="105" s="1"/>
  <c r="F238" i="105" a="1"/>
  <c r="F238" i="105" s="1"/>
  <c r="E238" i="105" a="1"/>
  <c r="E238" i="105" s="1"/>
  <c r="D238" i="105" a="1"/>
  <c r="D238" i="105" s="1"/>
  <c r="S237" i="105" a="1"/>
  <c r="S237" i="105" s="1"/>
  <c r="R237" i="105" a="1"/>
  <c r="R237" i="105" s="1"/>
  <c r="Q237" i="105" a="1"/>
  <c r="Q237" i="105" s="1"/>
  <c r="P237" i="105" a="1"/>
  <c r="P237" i="105" s="1"/>
  <c r="O237" i="105" a="1"/>
  <c r="O237" i="105" s="1"/>
  <c r="N237" i="105" a="1"/>
  <c r="N237" i="105" s="1"/>
  <c r="M237" i="105" a="1"/>
  <c r="M237" i="105" s="1"/>
  <c r="L237" i="105" a="1"/>
  <c r="L237" i="105" s="1"/>
  <c r="K237" i="105" a="1"/>
  <c r="K237" i="105" s="1"/>
  <c r="J237" i="105" a="1"/>
  <c r="J237" i="105" s="1"/>
  <c r="I237" i="105" a="1"/>
  <c r="I237" i="105" s="1"/>
  <c r="H237" i="105" a="1"/>
  <c r="H237" i="105" s="1"/>
  <c r="G237" i="105" a="1"/>
  <c r="G237" i="105" s="1"/>
  <c r="F237" i="105" a="1"/>
  <c r="F237" i="105" s="1"/>
  <c r="E237" i="105" a="1"/>
  <c r="E237" i="105" s="1"/>
  <c r="D237" i="105" a="1"/>
  <c r="D237" i="105" s="1"/>
  <c r="S236" i="105" a="1"/>
  <c r="S236" i="105" s="1"/>
  <c r="R236" i="105" a="1"/>
  <c r="R236" i="105" s="1"/>
  <c r="Q236" i="105" a="1"/>
  <c r="Q236" i="105" s="1"/>
  <c r="P236" i="105" a="1"/>
  <c r="P236" i="105" s="1"/>
  <c r="O236" i="105" a="1"/>
  <c r="O236" i="105" s="1"/>
  <c r="N236" i="105" a="1"/>
  <c r="N236" i="105" s="1"/>
  <c r="M236" i="105" a="1"/>
  <c r="M236" i="105" s="1"/>
  <c r="L236" i="105" a="1"/>
  <c r="L236" i="105" s="1"/>
  <c r="K236" i="105" a="1"/>
  <c r="K236" i="105" s="1"/>
  <c r="J236" i="105" a="1"/>
  <c r="J236" i="105" s="1"/>
  <c r="I236" i="105" a="1"/>
  <c r="I236" i="105" s="1"/>
  <c r="H236" i="105" a="1"/>
  <c r="H236" i="105" s="1"/>
  <c r="G236" i="105" a="1"/>
  <c r="G236" i="105" s="1"/>
  <c r="F236" i="105" a="1"/>
  <c r="F236" i="105" s="1"/>
  <c r="E236" i="105" a="1"/>
  <c r="E236" i="105" s="1"/>
  <c r="D236" i="105" a="1"/>
  <c r="D236" i="105" s="1"/>
  <c r="S235" i="105" a="1"/>
  <c r="S235" i="105" s="1"/>
  <c r="R235" i="105" a="1"/>
  <c r="R235" i="105" s="1"/>
  <c r="Q235" i="105" a="1"/>
  <c r="Q235" i="105" s="1"/>
  <c r="P235" i="105" a="1"/>
  <c r="P235" i="105" s="1"/>
  <c r="O235" i="105" a="1"/>
  <c r="O235" i="105" s="1"/>
  <c r="N235" i="105" a="1"/>
  <c r="N235" i="105" s="1"/>
  <c r="M235" i="105" a="1"/>
  <c r="M235" i="105" s="1"/>
  <c r="L235" i="105" a="1"/>
  <c r="L235" i="105" s="1"/>
  <c r="K235" i="105" a="1"/>
  <c r="K235" i="105" s="1"/>
  <c r="J235" i="105" a="1"/>
  <c r="J235" i="105" s="1"/>
  <c r="I235" i="105" a="1"/>
  <c r="I235" i="105" s="1"/>
  <c r="H235" i="105" a="1"/>
  <c r="H235" i="105" s="1"/>
  <c r="G235" i="105" a="1"/>
  <c r="G235" i="105" s="1"/>
  <c r="F235" i="105" a="1"/>
  <c r="F235" i="105" s="1"/>
  <c r="E235" i="105" a="1"/>
  <c r="E235" i="105" s="1"/>
  <c r="D235" i="105" a="1"/>
  <c r="D235" i="105" s="1"/>
  <c r="S234" i="105" a="1"/>
  <c r="S234" i="105" s="1"/>
  <c r="R234" i="105" a="1"/>
  <c r="R234" i="105" s="1"/>
  <c r="Q234" i="105" a="1"/>
  <c r="Q234" i="105" s="1"/>
  <c r="P234" i="105" a="1"/>
  <c r="P234" i="105" s="1"/>
  <c r="O234" i="105" a="1"/>
  <c r="O234" i="105" s="1"/>
  <c r="N234" i="105" a="1"/>
  <c r="N234" i="105" s="1"/>
  <c r="M234" i="105" a="1"/>
  <c r="M234" i="105" s="1"/>
  <c r="L234" i="105" a="1"/>
  <c r="L234" i="105" s="1"/>
  <c r="K234" i="105" a="1"/>
  <c r="K234" i="105" s="1"/>
  <c r="J234" i="105" a="1"/>
  <c r="J234" i="105" s="1"/>
  <c r="I234" i="105" a="1"/>
  <c r="I234" i="105" s="1"/>
  <c r="H234" i="105" a="1"/>
  <c r="H234" i="105" s="1"/>
  <c r="G234" i="105" a="1"/>
  <c r="G234" i="105" s="1"/>
  <c r="F234" i="105" a="1"/>
  <c r="F234" i="105" s="1"/>
  <c r="E234" i="105" a="1"/>
  <c r="E234" i="105" s="1"/>
  <c r="D234" i="105" a="1"/>
  <c r="D234" i="105" s="1"/>
  <c r="S233" i="105" a="1"/>
  <c r="S233" i="105" s="1"/>
  <c r="R233" i="105" a="1"/>
  <c r="R233" i="105" s="1"/>
  <c r="Q233" i="105" a="1"/>
  <c r="Q233" i="105" s="1"/>
  <c r="P233" i="105" a="1"/>
  <c r="P233" i="105" s="1"/>
  <c r="O233" i="105" a="1"/>
  <c r="O233" i="105" s="1"/>
  <c r="N233" i="105" a="1"/>
  <c r="N233" i="105" s="1"/>
  <c r="M233" i="105" a="1"/>
  <c r="M233" i="105" s="1"/>
  <c r="L233" i="105" a="1"/>
  <c r="L233" i="105" s="1"/>
  <c r="K233" i="105" a="1"/>
  <c r="K233" i="105" s="1"/>
  <c r="J233" i="105" a="1"/>
  <c r="J233" i="105" s="1"/>
  <c r="I233" i="105" a="1"/>
  <c r="I233" i="105" s="1"/>
  <c r="H233" i="105" a="1"/>
  <c r="H233" i="105" s="1"/>
  <c r="G233" i="105" a="1"/>
  <c r="G233" i="105" s="1"/>
  <c r="F233" i="105" a="1"/>
  <c r="F233" i="105" s="1"/>
  <c r="E233" i="105" a="1"/>
  <c r="E233" i="105" s="1"/>
  <c r="D233" i="105" a="1"/>
  <c r="D233" i="105" s="1"/>
  <c r="S232" i="105" a="1"/>
  <c r="S232" i="105" s="1"/>
  <c r="R232" i="105" a="1"/>
  <c r="R232" i="105" s="1"/>
  <c r="Q232" i="105" a="1"/>
  <c r="Q232" i="105" s="1"/>
  <c r="P232" i="105" a="1"/>
  <c r="P232" i="105" s="1"/>
  <c r="O232" i="105" a="1"/>
  <c r="O232" i="105" s="1"/>
  <c r="N232" i="105" a="1"/>
  <c r="N232" i="105" s="1"/>
  <c r="M232" i="105" a="1"/>
  <c r="M232" i="105" s="1"/>
  <c r="L232" i="105" a="1"/>
  <c r="L232" i="105" s="1"/>
  <c r="K232" i="105" a="1"/>
  <c r="K232" i="105" s="1"/>
  <c r="J232" i="105" a="1"/>
  <c r="J232" i="105" s="1"/>
  <c r="I232" i="105" a="1"/>
  <c r="I232" i="105" s="1"/>
  <c r="H232" i="105" a="1"/>
  <c r="H232" i="105" s="1"/>
  <c r="G232" i="105" a="1"/>
  <c r="G232" i="105" s="1"/>
  <c r="F232" i="105" a="1"/>
  <c r="F232" i="105" s="1"/>
  <c r="E232" i="105" a="1"/>
  <c r="E232" i="105" s="1"/>
  <c r="D232" i="105" a="1"/>
  <c r="D232" i="105" s="1"/>
  <c r="D229" i="105"/>
  <c r="D229" i="105" a="1"/>
  <c r="D228" i="105" a="1"/>
  <c r="D228" i="105" s="1"/>
  <c r="D227" i="105" a="1"/>
  <c r="D227" i="105" s="1"/>
  <c r="E224" i="105" a="1"/>
  <c r="E224" i="105" s="1"/>
  <c r="D224" i="105" a="1"/>
  <c r="D224" i="105" s="1"/>
  <c r="E223" i="105" a="1"/>
  <c r="E223" i="105" s="1"/>
  <c r="D223" i="105" a="1"/>
  <c r="D223" i="105" s="1"/>
  <c r="E222" i="105" a="1"/>
  <c r="E222" i="105" s="1"/>
  <c r="D222" i="105" a="1"/>
  <c r="D222" i="105" s="1"/>
  <c r="E221" i="105" a="1"/>
  <c r="E221" i="105" s="1"/>
  <c r="D221" i="105" a="1"/>
  <c r="D221" i="105" s="1"/>
  <c r="E220" i="105" a="1"/>
  <c r="E220" i="105" s="1"/>
  <c r="D220" i="105" a="1"/>
  <c r="D220" i="105" s="1"/>
  <c r="E219" i="105" a="1"/>
  <c r="E219" i="105" s="1"/>
  <c r="D219" i="105" a="1"/>
  <c r="D219" i="105" s="1"/>
  <c r="E218" i="105" a="1"/>
  <c r="E218" i="105" s="1"/>
  <c r="D218" i="105" a="1"/>
  <c r="D218" i="105" s="1"/>
  <c r="E217" i="105" a="1"/>
  <c r="E217" i="105" s="1"/>
  <c r="D217" i="105" a="1"/>
  <c r="D217" i="105" s="1"/>
  <c r="E216" i="105" a="1"/>
  <c r="E216" i="105" s="1"/>
  <c r="D216" i="105" a="1"/>
  <c r="D216" i="105" s="1"/>
  <c r="E215" i="105" a="1"/>
  <c r="E215" i="105" s="1"/>
  <c r="D215" i="105" a="1"/>
  <c r="D215" i="105" s="1"/>
  <c r="E214" i="105" a="1"/>
  <c r="E214" i="105" s="1"/>
  <c r="D214" i="105" a="1"/>
  <c r="D214" i="105" s="1"/>
  <c r="E213" i="105" a="1"/>
  <c r="E213" i="105" s="1"/>
  <c r="D213" i="105" a="1"/>
  <c r="D213" i="105" s="1"/>
  <c r="D211" i="105"/>
  <c r="D211" i="105" a="1"/>
  <c r="E208" i="105" a="1"/>
  <c r="E208" i="105" s="1"/>
  <c r="D208" i="105" a="1"/>
  <c r="D208" i="105" s="1"/>
  <c r="E207" i="105" a="1"/>
  <c r="E207" i="105" s="1"/>
  <c r="D207" i="105" a="1"/>
  <c r="D207" i="105" s="1"/>
  <c r="D205" i="105" a="1"/>
  <c r="D205" i="105" s="1"/>
  <c r="D204" i="105" a="1"/>
  <c r="D204" i="105" s="1"/>
  <c r="D203" i="105" a="1"/>
  <c r="D203" i="105" s="1"/>
  <c r="D202" i="105" a="1"/>
  <c r="D202" i="105" s="1"/>
  <c r="H199" i="105" a="1"/>
  <c r="H199" i="105" s="1"/>
  <c r="G199" i="105" a="1"/>
  <c r="G199" i="105" s="1"/>
  <c r="F199" i="105" a="1"/>
  <c r="F199" i="105" s="1"/>
  <c r="E199" i="105" a="1"/>
  <c r="E199" i="105" s="1"/>
  <c r="D199" i="105" a="1"/>
  <c r="D199" i="105" s="1"/>
  <c r="H198" i="105" a="1"/>
  <c r="H198" i="105" s="1"/>
  <c r="G198" i="105" a="1"/>
  <c r="G198" i="105" s="1"/>
  <c r="F198" i="105" a="1"/>
  <c r="F198" i="105" s="1"/>
  <c r="E198" i="105" a="1"/>
  <c r="E198" i="105" s="1"/>
  <c r="D198" i="105" a="1"/>
  <c r="D198" i="105" s="1"/>
  <c r="H197" i="105" a="1"/>
  <c r="H197" i="105" s="1"/>
  <c r="G197" i="105" a="1"/>
  <c r="G197" i="105" s="1"/>
  <c r="F197" i="105" a="1"/>
  <c r="F197" i="105" s="1"/>
  <c r="E197" i="105" a="1"/>
  <c r="E197" i="105" s="1"/>
  <c r="D197" i="105" a="1"/>
  <c r="D197" i="105" s="1"/>
  <c r="H196" i="105" a="1"/>
  <c r="H196" i="105" s="1"/>
  <c r="G196" i="105" a="1"/>
  <c r="G196" i="105" s="1"/>
  <c r="F196" i="105" a="1"/>
  <c r="F196" i="105" s="1"/>
  <c r="E196" i="105" a="1"/>
  <c r="E196" i="105" s="1"/>
  <c r="D196" i="105" a="1"/>
  <c r="D196" i="105" s="1"/>
  <c r="H195" i="105" a="1"/>
  <c r="H195" i="105" s="1"/>
  <c r="G195" i="105" a="1"/>
  <c r="G195" i="105" s="1"/>
  <c r="F195" i="105" a="1"/>
  <c r="F195" i="105" s="1"/>
  <c r="E195" i="105" a="1"/>
  <c r="E195" i="105" s="1"/>
  <c r="D195" i="105" a="1"/>
  <c r="D195" i="105" s="1"/>
  <c r="H194" i="105" a="1"/>
  <c r="H194" i="105" s="1"/>
  <c r="G194" i="105" a="1"/>
  <c r="G194" i="105" s="1"/>
  <c r="F194" i="105" a="1"/>
  <c r="F194" i="105" s="1"/>
  <c r="E194" i="105" a="1"/>
  <c r="E194" i="105" s="1"/>
  <c r="D194" i="105" a="1"/>
  <c r="D194" i="105" s="1"/>
  <c r="H193" i="105" a="1"/>
  <c r="H193" i="105" s="1"/>
  <c r="G193" i="105" a="1"/>
  <c r="G193" i="105" s="1"/>
  <c r="F193" i="105" a="1"/>
  <c r="F193" i="105" s="1"/>
  <c r="E193" i="105" a="1"/>
  <c r="E193" i="105" s="1"/>
  <c r="D193" i="105" a="1"/>
  <c r="D193" i="105" s="1"/>
  <c r="H192" i="105" a="1"/>
  <c r="H192" i="105" s="1"/>
  <c r="G192" i="105" a="1"/>
  <c r="G192" i="105" s="1"/>
  <c r="F192" i="105" a="1"/>
  <c r="F192" i="105" s="1"/>
  <c r="E192" i="105" a="1"/>
  <c r="E192" i="105" s="1"/>
  <c r="D192" i="105" a="1"/>
  <c r="D192" i="105" s="1"/>
  <c r="H191" i="105" a="1"/>
  <c r="H191" i="105" s="1"/>
  <c r="G191" i="105" a="1"/>
  <c r="G191" i="105" s="1"/>
  <c r="F191" i="105" a="1"/>
  <c r="F191" i="105" s="1"/>
  <c r="E191" i="105" a="1"/>
  <c r="E191" i="105" s="1"/>
  <c r="D191" i="105" a="1"/>
  <c r="D191" i="105" s="1"/>
  <c r="H190" i="105" a="1"/>
  <c r="H190" i="105" s="1"/>
  <c r="G190" i="105" a="1"/>
  <c r="G190" i="105" s="1"/>
  <c r="F190" i="105" a="1"/>
  <c r="F190" i="105" s="1"/>
  <c r="E190" i="105" a="1"/>
  <c r="E190" i="105" s="1"/>
  <c r="D190" i="105" a="1"/>
  <c r="D190" i="105" s="1"/>
  <c r="H189" i="105" a="1"/>
  <c r="H189" i="105" s="1"/>
  <c r="G189" i="105" a="1"/>
  <c r="G189" i="105" s="1"/>
  <c r="F189" i="105" a="1"/>
  <c r="F189" i="105" s="1"/>
  <c r="E189" i="105" a="1"/>
  <c r="E189" i="105" s="1"/>
  <c r="D189" i="105" a="1"/>
  <c r="D189" i="105" s="1"/>
  <c r="H188" i="105" a="1"/>
  <c r="H188" i="105" s="1"/>
  <c r="G188" i="105" a="1"/>
  <c r="G188" i="105" s="1"/>
  <c r="F188" i="105" a="1"/>
  <c r="F188" i="105" s="1"/>
  <c r="E188" i="105" a="1"/>
  <c r="E188" i="105" s="1"/>
  <c r="D188" i="105" a="1"/>
  <c r="D188" i="105" s="1"/>
  <c r="H187" i="105" a="1"/>
  <c r="H187" i="105" s="1"/>
  <c r="G187" i="105" a="1"/>
  <c r="G187" i="105" s="1"/>
  <c r="F187" i="105" a="1"/>
  <c r="F187" i="105" s="1"/>
  <c r="E187" i="105" a="1"/>
  <c r="E187" i="105" s="1"/>
  <c r="D187" i="105" a="1"/>
  <c r="D187" i="105" s="1"/>
  <c r="D181" i="105" a="1"/>
  <c r="D181" i="105" s="1"/>
  <c r="D180" i="105" a="1"/>
  <c r="D180" i="105" s="1"/>
  <c r="D179" i="105" a="1"/>
  <c r="D179" i="105" s="1"/>
  <c r="D178" i="105" a="1"/>
  <c r="D178" i="105" s="1"/>
  <c r="E175" i="105" a="1"/>
  <c r="E175" i="105" s="1"/>
  <c r="D175" i="105" a="1"/>
  <c r="D175" i="105" s="1"/>
  <c r="D174" i="105" a="1"/>
  <c r="D174" i="105" s="1"/>
  <c r="D173" i="105" a="1"/>
  <c r="D173" i="105" s="1"/>
  <c r="D170" i="105" a="1"/>
  <c r="D170" i="105" s="1"/>
  <c r="D169" i="105" a="1"/>
  <c r="D169" i="105" s="1"/>
  <c r="D168" i="105" a="1"/>
  <c r="D168" i="105" s="1"/>
  <c r="D167" i="105" a="1"/>
  <c r="D167" i="105" s="1"/>
  <c r="D164" i="105" a="1"/>
  <c r="D164" i="105" s="1"/>
  <c r="D163" i="105" a="1"/>
  <c r="D163" i="105" s="1"/>
  <c r="D162" i="105" a="1"/>
  <c r="D162" i="105" s="1"/>
  <c r="D161" i="105" a="1"/>
  <c r="D161" i="105" s="1"/>
  <c r="E158" i="105" a="1"/>
  <c r="E158" i="105" s="1"/>
  <c r="D158" i="105" a="1"/>
  <c r="D158" i="105" s="1"/>
  <c r="E157" i="105" a="1"/>
  <c r="E157" i="105" s="1"/>
  <c r="D157" i="105" a="1"/>
  <c r="D157" i="105" s="1"/>
  <c r="E156" i="105" a="1"/>
  <c r="E156" i="105" s="1"/>
  <c r="D156" i="105" a="1"/>
  <c r="D156" i="105" s="1"/>
  <c r="E155" i="105" a="1"/>
  <c r="E155" i="105" s="1"/>
  <c r="D155" i="105" a="1"/>
  <c r="D155" i="105" s="1"/>
  <c r="E154" i="105" a="1"/>
  <c r="E154" i="105" s="1"/>
  <c r="D154" i="105" a="1"/>
  <c r="D154" i="105" s="1"/>
  <c r="D151" i="105" a="1"/>
  <c r="D151" i="105" s="1"/>
  <c r="D150" i="105" a="1"/>
  <c r="D150" i="105" s="1"/>
  <c r="E147" i="105" a="1"/>
  <c r="E147" i="105" s="1"/>
  <c r="D147" i="105" a="1"/>
  <c r="D147" i="105" s="1"/>
  <c r="E146" i="105" a="1"/>
  <c r="E146" i="105" s="1"/>
  <c r="D146" i="105" a="1"/>
  <c r="D146" i="105" s="1"/>
  <c r="E145" i="105" a="1"/>
  <c r="E145" i="105" s="1"/>
  <c r="D145" i="105" a="1"/>
  <c r="D145" i="105" s="1"/>
  <c r="E144" i="105" a="1"/>
  <c r="E144" i="105" s="1"/>
  <c r="D144" i="105" a="1"/>
  <c r="D144" i="105" s="1"/>
  <c r="E143" i="105" a="1"/>
  <c r="E143" i="105" s="1"/>
  <c r="D143" i="105" a="1"/>
  <c r="D143" i="105" s="1"/>
  <c r="D141" i="105" a="1"/>
  <c r="D141" i="105" s="1"/>
  <c r="D140" i="105" a="1"/>
  <c r="D140" i="105" s="1"/>
  <c r="D139" i="105" a="1"/>
  <c r="D139" i="105" s="1"/>
  <c r="E136" i="105" a="1"/>
  <c r="E136" i="105" s="1"/>
  <c r="D136" i="105" a="1"/>
  <c r="D136" i="105" s="1"/>
  <c r="E135" i="105" a="1"/>
  <c r="E135" i="105" s="1"/>
  <c r="D135" i="105" a="1"/>
  <c r="D135" i="105" s="1"/>
  <c r="D133" i="105" a="1"/>
  <c r="D133" i="105" s="1"/>
  <c r="D132" i="105" a="1"/>
  <c r="D132" i="105" s="1"/>
  <c r="E129" i="105" a="1"/>
  <c r="E129" i="105" s="1"/>
  <c r="D129" i="105" a="1"/>
  <c r="D129" i="105" s="1"/>
  <c r="E128" i="105" a="1"/>
  <c r="E128" i="105" s="1"/>
  <c r="D128" i="105" a="1"/>
  <c r="D128" i="105" s="1"/>
  <c r="D125" i="105" a="1"/>
  <c r="D125" i="105" s="1"/>
  <c r="D124" i="105" a="1"/>
  <c r="D124" i="105" s="1"/>
  <c r="G121" i="105" a="1"/>
  <c r="G121" i="105" s="1"/>
  <c r="F121" i="105" a="1"/>
  <c r="F121" i="105" s="1"/>
  <c r="E121" i="105" a="1"/>
  <c r="E121" i="105" s="1"/>
  <c r="D121" i="105" a="1"/>
  <c r="D121" i="105" s="1"/>
  <c r="G120" i="105" a="1"/>
  <c r="G120" i="105" s="1"/>
  <c r="F120" i="105" a="1"/>
  <c r="F120" i="105" s="1"/>
  <c r="E120" i="105" a="1"/>
  <c r="E120" i="105" s="1"/>
  <c r="D120" i="105" a="1"/>
  <c r="D120" i="105" s="1"/>
  <c r="D117" i="105" a="1"/>
  <c r="D117" i="105" s="1"/>
  <c r="D116" i="105" a="1"/>
  <c r="D116" i="105" s="1"/>
  <c r="D115" i="105" a="1"/>
  <c r="D115" i="105" s="1"/>
  <c r="G112" i="105" a="1"/>
  <c r="G112" i="105" s="1"/>
  <c r="F112" i="105" a="1"/>
  <c r="F112" i="105" s="1"/>
  <c r="E112" i="105" a="1"/>
  <c r="E112" i="105" s="1"/>
  <c r="D112" i="105" a="1"/>
  <c r="D112" i="105" s="1"/>
  <c r="G111" i="105" a="1"/>
  <c r="G111" i="105" s="1"/>
  <c r="F111" i="105" a="1"/>
  <c r="F111" i="105" s="1"/>
  <c r="E111" i="105" a="1"/>
  <c r="E111" i="105" s="1"/>
  <c r="D111" i="105" a="1"/>
  <c r="D111" i="105" s="1"/>
  <c r="G110" i="105" a="1"/>
  <c r="G110" i="105" s="1"/>
  <c r="F110" i="105" a="1"/>
  <c r="F110" i="105" s="1"/>
  <c r="E110" i="105" a="1"/>
  <c r="E110" i="105" s="1"/>
  <c r="D110" i="105" a="1"/>
  <c r="D110" i="105" s="1"/>
  <c r="D107" i="105" a="1"/>
  <c r="D107" i="105" s="1"/>
  <c r="D106" i="105" a="1"/>
  <c r="D106" i="105" s="1"/>
  <c r="D105" i="105" a="1"/>
  <c r="D105" i="105" s="1"/>
  <c r="D99" i="105" a="1"/>
  <c r="D99" i="105" s="1"/>
  <c r="S97" i="105" a="1"/>
  <c r="S97" i="105" s="1"/>
  <c r="R97" i="105" a="1"/>
  <c r="R97" i="105" s="1"/>
  <c r="Q97" i="105" a="1"/>
  <c r="Q97" i="105" s="1"/>
  <c r="P97" i="105" a="1"/>
  <c r="P97" i="105" s="1"/>
  <c r="O97" i="105" a="1"/>
  <c r="O97" i="105" s="1"/>
  <c r="N97" i="105" a="1"/>
  <c r="N97" i="105" s="1"/>
  <c r="M97" i="105" a="1"/>
  <c r="M97" i="105" s="1"/>
  <c r="L97" i="105" a="1"/>
  <c r="L97" i="105" s="1"/>
  <c r="K97" i="105" a="1"/>
  <c r="K97" i="105" s="1"/>
  <c r="J97" i="105" a="1"/>
  <c r="J97" i="105" s="1"/>
  <c r="I97" i="105" a="1"/>
  <c r="I97" i="105" s="1"/>
  <c r="H97" i="105" a="1"/>
  <c r="H97" i="105" s="1"/>
  <c r="G97" i="105" a="1"/>
  <c r="G97" i="105" s="1"/>
  <c r="F97" i="105" a="1"/>
  <c r="F97" i="105" s="1"/>
  <c r="E97" i="105" a="1"/>
  <c r="E97" i="105" s="1"/>
  <c r="D97" i="105" a="1"/>
  <c r="D97" i="105" s="1"/>
  <c r="S96" i="105" a="1"/>
  <c r="S96" i="105" s="1"/>
  <c r="R96" i="105" a="1"/>
  <c r="R96" i="105" s="1"/>
  <c r="Q96" i="105" a="1"/>
  <c r="Q96" i="105" s="1"/>
  <c r="P96" i="105" a="1"/>
  <c r="P96" i="105" s="1"/>
  <c r="O96" i="105" a="1"/>
  <c r="O96" i="105" s="1"/>
  <c r="N96" i="105" a="1"/>
  <c r="N96" i="105" s="1"/>
  <c r="M96" i="105" a="1"/>
  <c r="M96" i="105" s="1"/>
  <c r="L96" i="105" a="1"/>
  <c r="L96" i="105" s="1"/>
  <c r="K96" i="105" a="1"/>
  <c r="K96" i="105" s="1"/>
  <c r="J96" i="105" a="1"/>
  <c r="J96" i="105" s="1"/>
  <c r="I96" i="105" a="1"/>
  <c r="I96" i="105" s="1"/>
  <c r="H96" i="105" a="1"/>
  <c r="H96" i="105" s="1"/>
  <c r="G96" i="105" a="1"/>
  <c r="G96" i="105" s="1"/>
  <c r="F96" i="105" a="1"/>
  <c r="F96" i="105" s="1"/>
  <c r="E96" i="105" a="1"/>
  <c r="E96" i="105" s="1"/>
  <c r="D96" i="105" a="1"/>
  <c r="D96" i="105" s="1"/>
  <c r="S95" i="105" a="1"/>
  <c r="S95" i="105" s="1"/>
  <c r="R95" i="105" a="1"/>
  <c r="R95" i="105" s="1"/>
  <c r="Q95" i="105" a="1"/>
  <c r="Q95" i="105" s="1"/>
  <c r="P95" i="105" a="1"/>
  <c r="P95" i="105" s="1"/>
  <c r="O95" i="105" a="1"/>
  <c r="O95" i="105" s="1"/>
  <c r="N95" i="105" a="1"/>
  <c r="N95" i="105" s="1"/>
  <c r="M95" i="105" a="1"/>
  <c r="M95" i="105" s="1"/>
  <c r="L95" i="105" a="1"/>
  <c r="L95" i="105" s="1"/>
  <c r="K95" i="105" a="1"/>
  <c r="K95" i="105" s="1"/>
  <c r="J95" i="105" a="1"/>
  <c r="J95" i="105" s="1"/>
  <c r="I95" i="105" a="1"/>
  <c r="I95" i="105" s="1"/>
  <c r="H95" i="105" a="1"/>
  <c r="H95" i="105" s="1"/>
  <c r="G95" i="105" a="1"/>
  <c r="G95" i="105" s="1"/>
  <c r="F95" i="105" a="1"/>
  <c r="F95" i="105" s="1"/>
  <c r="E95" i="105" a="1"/>
  <c r="E95" i="105" s="1"/>
  <c r="D95" i="105" a="1"/>
  <c r="D95" i="105" s="1"/>
  <c r="S94" i="105" a="1"/>
  <c r="S94" i="105" s="1"/>
  <c r="R94" i="105" a="1"/>
  <c r="R94" i="105" s="1"/>
  <c r="Q94" i="105" a="1"/>
  <c r="Q94" i="105" s="1"/>
  <c r="P94" i="105" a="1"/>
  <c r="P94" i="105" s="1"/>
  <c r="O94" i="105" a="1"/>
  <c r="O94" i="105" s="1"/>
  <c r="N94" i="105" a="1"/>
  <c r="N94" i="105" s="1"/>
  <c r="M94" i="105" a="1"/>
  <c r="M94" i="105" s="1"/>
  <c r="L94" i="105" a="1"/>
  <c r="L94" i="105" s="1"/>
  <c r="K94" i="105" a="1"/>
  <c r="K94" i="105" s="1"/>
  <c r="J94" i="105" a="1"/>
  <c r="J94" i="105" s="1"/>
  <c r="I94" i="105" a="1"/>
  <c r="I94" i="105" s="1"/>
  <c r="H94" i="105" a="1"/>
  <c r="H94" i="105" s="1"/>
  <c r="G94" i="105" a="1"/>
  <c r="G94" i="105" s="1"/>
  <c r="F94" i="105" a="1"/>
  <c r="F94" i="105" s="1"/>
  <c r="E94" i="105" a="1"/>
  <c r="E94" i="105" s="1"/>
  <c r="D94" i="105" a="1"/>
  <c r="D94" i="105" s="1"/>
  <c r="S93" i="105" a="1"/>
  <c r="S93" i="105" s="1"/>
  <c r="R93" i="105" a="1"/>
  <c r="R93" i="105" s="1"/>
  <c r="Q93" i="105" a="1"/>
  <c r="Q93" i="105" s="1"/>
  <c r="P93" i="105" a="1"/>
  <c r="P93" i="105" s="1"/>
  <c r="O93" i="105" a="1"/>
  <c r="O93" i="105" s="1"/>
  <c r="N93" i="105" a="1"/>
  <c r="N93" i="105" s="1"/>
  <c r="M93" i="105" a="1"/>
  <c r="M93" i="105" s="1"/>
  <c r="L93" i="105" a="1"/>
  <c r="L93" i="105" s="1"/>
  <c r="K93" i="105" a="1"/>
  <c r="K93" i="105" s="1"/>
  <c r="J93" i="105" a="1"/>
  <c r="J93" i="105" s="1"/>
  <c r="I93" i="105" a="1"/>
  <c r="I93" i="105" s="1"/>
  <c r="H93" i="105" a="1"/>
  <c r="H93" i="105" s="1"/>
  <c r="G93" i="105" a="1"/>
  <c r="G93" i="105" s="1"/>
  <c r="F93" i="105" a="1"/>
  <c r="F93" i="105" s="1"/>
  <c r="E93" i="105" a="1"/>
  <c r="E93" i="105" s="1"/>
  <c r="D93" i="105" a="1"/>
  <c r="D93" i="105" s="1"/>
  <c r="S92" i="105" a="1"/>
  <c r="S92" i="105" s="1"/>
  <c r="R92" i="105" a="1"/>
  <c r="R92" i="105" s="1"/>
  <c r="Q92" i="105" a="1"/>
  <c r="Q92" i="105" s="1"/>
  <c r="P92" i="105" a="1"/>
  <c r="P92" i="105" s="1"/>
  <c r="O92" i="105" a="1"/>
  <c r="O92" i="105" s="1"/>
  <c r="N92" i="105" a="1"/>
  <c r="N92" i="105" s="1"/>
  <c r="M92" i="105" a="1"/>
  <c r="M92" i="105" s="1"/>
  <c r="L92" i="105" a="1"/>
  <c r="L92" i="105" s="1"/>
  <c r="K92" i="105" a="1"/>
  <c r="K92" i="105" s="1"/>
  <c r="J92" i="105" a="1"/>
  <c r="J92" i="105" s="1"/>
  <c r="I92" i="105" a="1"/>
  <c r="I92" i="105" s="1"/>
  <c r="H92" i="105" a="1"/>
  <c r="H92" i="105" s="1"/>
  <c r="G92" i="105" a="1"/>
  <c r="G92" i="105" s="1"/>
  <c r="F92" i="105" a="1"/>
  <c r="F92" i="105" s="1"/>
  <c r="E92" i="105" a="1"/>
  <c r="E92" i="105" s="1"/>
  <c r="D92" i="105" a="1"/>
  <c r="D92" i="105" s="1"/>
  <c r="S91" i="105" a="1"/>
  <c r="S91" i="105" s="1"/>
  <c r="R91" i="105" a="1"/>
  <c r="R91" i="105" s="1"/>
  <c r="Q91" i="105" a="1"/>
  <c r="Q91" i="105" s="1"/>
  <c r="P91" i="105" a="1"/>
  <c r="P91" i="105" s="1"/>
  <c r="O91" i="105" a="1"/>
  <c r="O91" i="105" s="1"/>
  <c r="N91" i="105" a="1"/>
  <c r="N91" i="105" s="1"/>
  <c r="M91" i="105" a="1"/>
  <c r="M91" i="105" s="1"/>
  <c r="L91" i="105" a="1"/>
  <c r="L91" i="105" s="1"/>
  <c r="K91" i="105" a="1"/>
  <c r="K91" i="105" s="1"/>
  <c r="J91" i="105" a="1"/>
  <c r="J91" i="105" s="1"/>
  <c r="I91" i="105" a="1"/>
  <c r="I91" i="105" s="1"/>
  <c r="H91" i="105" a="1"/>
  <c r="H91" i="105" s="1"/>
  <c r="G91" i="105" a="1"/>
  <c r="G91" i="105" s="1"/>
  <c r="F91" i="105" a="1"/>
  <c r="F91" i="105" s="1"/>
  <c r="E91" i="105" a="1"/>
  <c r="E91" i="105" s="1"/>
  <c r="D91" i="105" a="1"/>
  <c r="D91" i="105" s="1"/>
  <c r="S90" i="105" a="1"/>
  <c r="S90" i="105" s="1"/>
  <c r="R90" i="105" a="1"/>
  <c r="R90" i="105" s="1"/>
  <c r="Q90" i="105" a="1"/>
  <c r="Q90" i="105" s="1"/>
  <c r="P90" i="105" a="1"/>
  <c r="P90" i="105" s="1"/>
  <c r="O90" i="105" a="1"/>
  <c r="O90" i="105" s="1"/>
  <c r="N90" i="105" a="1"/>
  <c r="N90" i="105" s="1"/>
  <c r="M90" i="105" a="1"/>
  <c r="M90" i="105" s="1"/>
  <c r="L90" i="105" a="1"/>
  <c r="L90" i="105" s="1"/>
  <c r="K90" i="105" a="1"/>
  <c r="K90" i="105" s="1"/>
  <c r="J90" i="105" a="1"/>
  <c r="J90" i="105" s="1"/>
  <c r="I90" i="105" a="1"/>
  <c r="I90" i="105" s="1"/>
  <c r="H90" i="105" a="1"/>
  <c r="H90" i="105" s="1"/>
  <c r="G90" i="105" a="1"/>
  <c r="G90" i="105" s="1"/>
  <c r="F90" i="105" a="1"/>
  <c r="F90" i="105" s="1"/>
  <c r="E90" i="105" a="1"/>
  <c r="E90" i="105" s="1"/>
  <c r="D90" i="105" a="1"/>
  <c r="D90" i="105" s="1"/>
  <c r="D83" i="105" a="1"/>
  <c r="D83" i="105" s="1"/>
  <c r="D82" i="105" a="1"/>
  <c r="D82" i="105" s="1"/>
  <c r="D81" i="105" a="1"/>
  <c r="D81" i="105" s="1"/>
  <c r="E77" i="105" a="1"/>
  <c r="E77" i="105" s="1"/>
  <c r="D77" i="105" a="1"/>
  <c r="D77" i="105" s="1"/>
  <c r="E76" i="105" a="1"/>
  <c r="E76" i="105" s="1"/>
  <c r="D76" i="105" a="1"/>
  <c r="D76" i="105" s="1"/>
  <c r="E75" i="105" a="1"/>
  <c r="E75" i="105" s="1"/>
  <c r="D75" i="105" a="1"/>
  <c r="D75" i="105" s="1"/>
  <c r="E74" i="105" a="1"/>
  <c r="E74" i="105" s="1"/>
  <c r="D74" i="105" a="1"/>
  <c r="D74" i="105" s="1"/>
  <c r="E73" i="105" a="1"/>
  <c r="E73" i="105" s="1"/>
  <c r="D73" i="105" a="1"/>
  <c r="D73" i="105" s="1"/>
  <c r="E72" i="105" a="1"/>
  <c r="E72" i="105" s="1"/>
  <c r="D72" i="105" a="1"/>
  <c r="D72" i="105" s="1"/>
  <c r="E71" i="105" a="1"/>
  <c r="E71" i="105" s="1"/>
  <c r="D71" i="105" a="1"/>
  <c r="D71" i="105" s="1"/>
  <c r="E70" i="105" a="1"/>
  <c r="E70" i="105" s="1"/>
  <c r="D70" i="105" a="1"/>
  <c r="D70" i="105" s="1"/>
  <c r="E69" i="105" a="1"/>
  <c r="E69" i="105" s="1"/>
  <c r="D69" i="105" a="1"/>
  <c r="D69" i="105" s="1"/>
  <c r="E68" i="105" a="1"/>
  <c r="E68" i="105" s="1"/>
  <c r="D68" i="105" a="1"/>
  <c r="D68" i="105" s="1"/>
  <c r="E67" i="105" a="1"/>
  <c r="E67" i="105" s="1"/>
  <c r="D67" i="105" a="1"/>
  <c r="D67" i="105" s="1"/>
  <c r="E66" i="105" a="1"/>
  <c r="E66" i="105" s="1"/>
  <c r="D66" i="105" a="1"/>
  <c r="D66" i="105" s="1"/>
  <c r="E65" i="105" a="1"/>
  <c r="E65" i="105" s="1"/>
  <c r="D65" i="105" a="1"/>
  <c r="D65" i="105" s="1"/>
  <c r="E64" i="105" a="1"/>
  <c r="E64" i="105" s="1"/>
  <c r="D64" i="105" a="1"/>
  <c r="D64" i="105" s="1"/>
  <c r="D59" i="105" a="1"/>
  <c r="D59" i="105" s="1"/>
  <c r="D58" i="105" a="1"/>
  <c r="D58" i="105" s="1"/>
  <c r="D57" i="105" a="1"/>
  <c r="D57" i="105" s="1"/>
  <c r="G54" i="105" a="1"/>
  <c r="G54" i="105" s="1"/>
  <c r="F54" i="105" a="1"/>
  <c r="F54" i="105" s="1"/>
  <c r="E54" i="105" a="1"/>
  <c r="E54" i="105" s="1"/>
  <c r="D54" i="105" a="1"/>
  <c r="D54" i="105" s="1"/>
  <c r="G53" i="105" a="1"/>
  <c r="G53" i="105" s="1"/>
  <c r="F53" i="105" a="1"/>
  <c r="F53" i="105" s="1"/>
  <c r="E53" i="105" a="1"/>
  <c r="E53" i="105" s="1"/>
  <c r="D53" i="105" a="1"/>
  <c r="D53" i="105" s="1"/>
  <c r="G52" i="105" a="1"/>
  <c r="G52" i="105" s="1"/>
  <c r="F52" i="105" a="1"/>
  <c r="F52" i="105" s="1"/>
  <c r="E52" i="105" a="1"/>
  <c r="E52" i="105" s="1"/>
  <c r="D52" i="105" a="1"/>
  <c r="D52" i="105" s="1"/>
  <c r="G51" i="105" a="1"/>
  <c r="G51" i="105" s="1"/>
  <c r="F51" i="105" a="1"/>
  <c r="F51" i="105" s="1"/>
  <c r="E51" i="105" a="1"/>
  <c r="E51" i="105" s="1"/>
  <c r="D51" i="105" a="1"/>
  <c r="D51" i="105" s="1"/>
  <c r="G50" i="105" a="1"/>
  <c r="G50" i="105" s="1"/>
  <c r="F50" i="105" a="1"/>
  <c r="F50" i="105" s="1"/>
  <c r="H50" i="105" s="1"/>
  <c r="E50" i="105" a="1"/>
  <c r="E50" i="105" s="1"/>
  <c r="D50" i="105" a="1"/>
  <c r="D50" i="105" s="1"/>
  <c r="G49" i="105" a="1"/>
  <c r="G49" i="105" s="1"/>
  <c r="F49" i="105" a="1"/>
  <c r="F49" i="105" s="1"/>
  <c r="H49" i="105" s="1"/>
  <c r="E49" i="105" a="1"/>
  <c r="E49" i="105" s="1"/>
  <c r="D49" i="105" a="1"/>
  <c r="D49" i="105" s="1"/>
  <c r="G48" i="105" a="1"/>
  <c r="G48" i="105" s="1"/>
  <c r="F48" i="105" a="1"/>
  <c r="F48" i="105" s="1"/>
  <c r="E48" i="105" a="1"/>
  <c r="E48" i="105" s="1"/>
  <c r="D48" i="105" a="1"/>
  <c r="D48" i="105" s="1"/>
  <c r="D46" i="105" a="1"/>
  <c r="D46" i="105" s="1"/>
  <c r="D45" i="105" a="1"/>
  <c r="D45" i="105" s="1"/>
  <c r="E43" i="105" a="1"/>
  <c r="E43" i="105" s="1"/>
  <c r="D43" i="105" a="1"/>
  <c r="D43" i="105" s="1"/>
  <c r="E42" i="105" a="1"/>
  <c r="E42" i="105" s="1"/>
  <c r="D42" i="105" a="1"/>
  <c r="D42" i="105" s="1"/>
  <c r="E41" i="105" a="1"/>
  <c r="E41" i="105" s="1"/>
  <c r="D41" i="105" a="1"/>
  <c r="D41" i="105" s="1"/>
  <c r="E40" i="105" a="1"/>
  <c r="E40" i="105" s="1"/>
  <c r="D40" i="105" a="1"/>
  <c r="D40" i="105" s="1"/>
  <c r="E39" i="105" a="1"/>
  <c r="E39" i="105" s="1"/>
  <c r="D39" i="105" a="1"/>
  <c r="D39" i="105" s="1"/>
  <c r="E38" i="105" a="1"/>
  <c r="E38" i="105" s="1"/>
  <c r="D38" i="105" a="1"/>
  <c r="D38" i="105" s="1"/>
  <c r="E37" i="105" a="1"/>
  <c r="E37" i="105" s="1"/>
  <c r="D37" i="105" a="1"/>
  <c r="D37" i="105" s="1"/>
  <c r="D35" i="105" a="1"/>
  <c r="D35" i="105" s="1"/>
  <c r="D34" i="105" a="1"/>
  <c r="D34" i="105" s="1"/>
  <c r="D30" i="105" a="1"/>
  <c r="D30" i="105" s="1"/>
  <c r="D29" i="105" a="1"/>
  <c r="D29" i="105" s="1"/>
  <c r="D28" i="105" a="1"/>
  <c r="D28" i="105" s="1"/>
  <c r="D27" i="105" a="1"/>
  <c r="D27" i="105" s="1"/>
  <c r="D26" i="105" a="1"/>
  <c r="D26" i="105" s="1"/>
  <c r="D25" i="105" a="1"/>
  <c r="D25" i="105" s="1"/>
  <c r="D24" i="105" a="1"/>
  <c r="D24" i="105" s="1"/>
  <c r="D23" i="105" a="1"/>
  <c r="D23" i="105" s="1"/>
  <c r="D22" i="105" a="1"/>
  <c r="D22" i="105" s="1"/>
  <c r="D21" i="105" a="1"/>
  <c r="D21" i="105" s="1"/>
  <c r="D19" i="105" a="1"/>
  <c r="D19" i="105" s="1"/>
  <c r="D18" i="105" a="1"/>
  <c r="D18" i="105" s="1"/>
  <c r="F14" i="105" a="1"/>
  <c r="F14" i="105" s="1"/>
  <c r="E14" i="105" a="1"/>
  <c r="E14" i="105" s="1"/>
  <c r="D14" i="105" a="1"/>
  <c r="D14" i="105" s="1"/>
  <c r="F13" i="105" a="1"/>
  <c r="F13" i="105" s="1"/>
  <c r="E13" i="105" a="1"/>
  <c r="E13" i="105" s="1"/>
  <c r="D13" i="105" a="1"/>
  <c r="D13" i="105" s="1"/>
  <c r="F12" i="105" a="1"/>
  <c r="F12" i="105" s="1"/>
  <c r="E12" i="105" a="1"/>
  <c r="E12" i="105" s="1"/>
  <c r="D12" i="105" a="1"/>
  <c r="D12" i="105" s="1"/>
  <c r="F11" i="105" a="1"/>
  <c r="F11" i="105" s="1"/>
  <c r="E11" i="105" a="1"/>
  <c r="E11" i="105" s="1"/>
  <c r="D11" i="105" a="1"/>
  <c r="D11" i="105" s="1"/>
  <c r="F10" i="105" a="1"/>
  <c r="F10" i="105" s="1"/>
  <c r="E10" i="105" a="1"/>
  <c r="E10" i="105" s="1"/>
  <c r="D10" i="105" a="1"/>
  <c r="D10" i="105" s="1"/>
  <c r="F9" i="105" a="1"/>
  <c r="F9" i="105" s="1"/>
  <c r="E9" i="105" a="1"/>
  <c r="E9" i="105" s="1"/>
  <c r="D9" i="105" a="1"/>
  <c r="D9" i="105" s="1"/>
  <c r="F8" i="105" a="1"/>
  <c r="F8" i="105" s="1"/>
  <c r="E8" i="105" a="1"/>
  <c r="E8" i="105" s="1"/>
  <c r="D8" i="105" a="1"/>
  <c r="D8" i="105" s="1"/>
  <c r="F7" i="105" a="1"/>
  <c r="F7" i="105" s="1"/>
  <c r="E7" i="105" a="1"/>
  <c r="E7" i="105" s="1"/>
  <c r="D7" i="105" a="1"/>
  <c r="D7" i="105" s="1"/>
  <c r="D5" i="105" a="1"/>
  <c r="D5" i="105" s="1"/>
  <c r="D60" i="69" a="1"/>
  <c r="D60" i="69" s="1"/>
  <c r="D55" i="69" a="1"/>
  <c r="D55" i="69" s="1"/>
  <c r="H54" i="105" l="1"/>
  <c r="H52" i="105"/>
  <c r="H51" i="105"/>
  <c r="H48" i="105"/>
  <c r="H53" i="105"/>
  <c r="A18" i="43"/>
  <c r="A17" i="43"/>
  <c r="A16" i="43"/>
  <c r="A15" i="43"/>
  <c r="A12" i="43"/>
  <c r="A9" i="43"/>
  <c r="A8" i="43"/>
  <c r="A5" i="43"/>
  <c r="A4" i="43"/>
  <c r="A3" i="43"/>
  <c r="A18" i="79"/>
  <c r="A17" i="79"/>
  <c r="A16" i="79"/>
  <c r="A15" i="79"/>
  <c r="A12" i="79"/>
  <c r="A9" i="79"/>
  <c r="A8" i="79"/>
  <c r="A5" i="79"/>
  <c r="A4" i="79"/>
  <c r="A3" i="79"/>
  <c r="A18" i="69"/>
  <c r="A17" i="69"/>
  <c r="A16" i="69"/>
  <c r="A15" i="69"/>
  <c r="A12" i="69"/>
  <c r="A9" i="69"/>
  <c r="A8" i="69"/>
  <c r="A5" i="69"/>
  <c r="A4" i="69"/>
  <c r="A3" i="69"/>
  <c r="A18" i="70"/>
  <c r="A17" i="70"/>
  <c r="A16" i="70"/>
  <c r="A15" i="70"/>
  <c r="A12" i="70"/>
  <c r="A9" i="70"/>
  <c r="A8" i="70"/>
  <c r="A5" i="70"/>
  <c r="A4" i="70"/>
  <c r="A3" i="70"/>
  <c r="A18" i="15"/>
  <c r="A17" i="15"/>
  <c r="A16" i="15"/>
  <c r="A15" i="15"/>
  <c r="A12" i="15"/>
  <c r="A9" i="15"/>
  <c r="A8" i="15"/>
  <c r="A5" i="15"/>
  <c r="A4" i="15"/>
  <c r="A3" i="15"/>
  <c r="A18" i="100"/>
  <c r="A17" i="100"/>
  <c r="A16" i="100"/>
  <c r="A15" i="100"/>
  <c r="A12" i="100"/>
  <c r="A9" i="100"/>
  <c r="A8" i="100"/>
  <c r="A5" i="100"/>
  <c r="A4" i="100"/>
  <c r="A3" i="100"/>
  <c r="A12" i="13"/>
  <c r="A18" i="13"/>
  <c r="A17" i="13"/>
  <c r="A16" i="13"/>
  <c r="A15" i="13"/>
  <c r="I49" i="69" a="1"/>
  <c r="I49" i="69" s="1"/>
  <c r="G48" i="69" a="1"/>
  <c r="G48" i="69" s="1"/>
  <c r="D48" i="69" a="1"/>
  <c r="D48" i="69" s="1"/>
  <c r="E46" i="69" a="1"/>
  <c r="E46" i="69" s="1"/>
  <c r="E45" i="69" a="1"/>
  <c r="E45" i="69" s="1"/>
  <c r="D40" i="69" a="1"/>
  <c r="D40" i="69" s="1"/>
  <c r="D39" i="69" a="1"/>
  <c r="D39" i="69" s="1"/>
  <c r="I15" i="69" a="1"/>
  <c r="I15" i="69" s="1"/>
  <c r="G13" i="69" a="1"/>
  <c r="G13" i="69" s="1"/>
  <c r="G20" i="69" s="1"/>
  <c r="D13" i="69" a="1"/>
  <c r="D13" i="69" s="1"/>
  <c r="E11" i="69" a="1"/>
  <c r="E11" i="69" s="1"/>
  <c r="P35" i="69" s="1"/>
  <c r="E10" i="69" a="1"/>
  <c r="E10" i="69" s="1"/>
  <c r="D6" i="69" a="1"/>
  <c r="D6" i="69" s="1"/>
  <c r="D5" i="69" a="1"/>
  <c r="D5" i="69" s="1"/>
  <c r="E7" i="69" a="1"/>
  <c r="E41" i="69" a="1"/>
  <c r="E41" i="69" l="1"/>
  <c r="P20" i="69"/>
  <c r="P30" i="69"/>
  <c r="P25" i="69"/>
  <c r="G30" i="69"/>
  <c r="G25" i="69"/>
  <c r="E7" i="69"/>
  <c r="A9" i="13"/>
  <c r="A8" i="13"/>
  <c r="A5" i="13"/>
  <c r="A4" i="13"/>
  <c r="A3" i="13"/>
  <c r="I50" i="69" l="1" a="1"/>
  <c r="I50" i="69" s="1"/>
  <c r="I48" i="69" a="1"/>
  <c r="I48" i="69" s="1"/>
  <c r="G55" i="69"/>
  <c r="G60" i="69" l="1"/>
  <c r="I14" i="69" a="1"/>
  <c r="I14" i="69" s="1"/>
  <c r="I13" i="69" a="1"/>
  <c r="I13" i="69" s="1"/>
  <c r="O72" i="69" l="1" a="1"/>
  <c r="O72" i="69" s="1"/>
  <c r="M69" i="69" a="1"/>
  <c r="M69" i="69" s="1"/>
  <c r="D117" i="79" l="1" a="1"/>
  <c r="D117" i="79" s="1"/>
  <c r="E117" i="79" a="1"/>
  <c r="E117" i="79" s="1"/>
  <c r="F117" i="79" a="1"/>
  <c r="F117" i="79" s="1"/>
  <c r="G117" i="79" a="1"/>
  <c r="G117" i="79" s="1"/>
  <c r="D116" i="79" a="1"/>
  <c r="D116" i="79" s="1"/>
  <c r="E116" i="79" a="1"/>
  <c r="E116" i="79" s="1"/>
  <c r="F116" i="79" a="1"/>
  <c r="F116" i="79" s="1"/>
  <c r="G116" i="79" a="1"/>
  <c r="G116" i="79" s="1"/>
  <c r="D115" i="79" a="1"/>
  <c r="D115" i="79" s="1"/>
  <c r="E115" i="79" a="1"/>
  <c r="E115" i="79" s="1"/>
  <c r="F115" i="79" a="1"/>
  <c r="F115" i="79" s="1"/>
  <c r="G115" i="79" a="1"/>
  <c r="G115" i="79" s="1"/>
  <c r="D114" i="79" a="1"/>
  <c r="D114" i="79" s="1"/>
  <c r="E114" i="79" a="1"/>
  <c r="E114" i="79" s="1"/>
  <c r="F114" i="79" a="1"/>
  <c r="F114" i="79" s="1"/>
  <c r="G114" i="79" a="1"/>
  <c r="G114" i="79" s="1"/>
  <c r="G113" i="79" a="1"/>
  <c r="G113" i="79" s="1"/>
  <c r="F113" i="79" a="1"/>
  <c r="F113" i="79" s="1"/>
  <c r="E113" i="79" a="1"/>
  <c r="E113" i="79" s="1"/>
  <c r="D113" i="79" a="1"/>
  <c r="D113" i="79" s="1"/>
  <c r="D109" i="79" a="1"/>
  <c r="D109" i="79" s="1"/>
  <c r="D110" i="79" a="1"/>
  <c r="D110" i="79" s="1"/>
  <c r="D108" i="79" a="1"/>
  <c r="D108" i="79" s="1"/>
  <c r="G105" i="79" a="1"/>
  <c r="G105" i="79" s="1"/>
  <c r="D105" i="79" a="1"/>
  <c r="D105" i="79" s="1"/>
  <c r="E105" i="79" a="1"/>
  <c r="E105" i="79" s="1"/>
  <c r="F105" i="79" a="1"/>
  <c r="F105" i="79" s="1"/>
  <c r="G104" i="79" a="1"/>
  <c r="G104" i="79" s="1"/>
  <c r="D104" i="79" a="1"/>
  <c r="D104" i="79" s="1"/>
  <c r="E104" i="79" a="1"/>
  <c r="E104" i="79" s="1"/>
  <c r="F104" i="79" a="1"/>
  <c r="F104" i="79" s="1"/>
  <c r="G103" i="79" a="1"/>
  <c r="G103" i="79" s="1"/>
  <c r="D103" i="79" a="1"/>
  <c r="D103" i="79" s="1"/>
  <c r="E103" i="79" a="1"/>
  <c r="E103" i="79" s="1"/>
  <c r="F103" i="79" a="1"/>
  <c r="F103" i="79" s="1"/>
  <c r="G102" i="79" a="1"/>
  <c r="G102" i="79" s="1"/>
  <c r="G101" i="79" a="1"/>
  <c r="G101" i="79" s="1"/>
  <c r="D102" i="79" a="1"/>
  <c r="D102" i="79" s="1"/>
  <c r="E102" i="79" a="1"/>
  <c r="E102" i="79" s="1"/>
  <c r="F102" i="79" a="1"/>
  <c r="F102" i="79" s="1"/>
  <c r="F101" i="79" a="1"/>
  <c r="F101" i="79" s="1"/>
  <c r="E101" i="79" a="1"/>
  <c r="E101" i="79" s="1"/>
  <c r="D101" i="79" a="1"/>
  <c r="D101" i="79" s="1"/>
  <c r="D97" i="79" a="1"/>
  <c r="D97" i="79" s="1"/>
  <c r="D98" i="79" a="1"/>
  <c r="D98" i="79" s="1"/>
  <c r="D96" i="79" a="1"/>
  <c r="D96" i="79" s="1"/>
  <c r="D41" i="79" a="1"/>
  <c r="D41" i="79" s="1"/>
  <c r="E41" i="79" a="1"/>
  <c r="E41" i="79" s="1"/>
  <c r="D40" i="79" a="1"/>
  <c r="D40" i="79" s="1"/>
  <c r="E40" i="79" a="1"/>
  <c r="E40" i="79" s="1"/>
  <c r="E39" i="79" a="1"/>
  <c r="E39" i="79" s="1"/>
  <c r="D39" i="79" a="1"/>
  <c r="D39" i="79" s="1"/>
  <c r="D37" i="79" a="1"/>
  <c r="D37" i="79" s="1"/>
  <c r="D36" i="79" a="1"/>
  <c r="D36" i="79" s="1"/>
  <c r="D58" i="79" a="1"/>
  <c r="D58" i="79" s="1"/>
  <c r="E58" i="79" a="1"/>
  <c r="E58" i="79" s="1"/>
  <c r="F58" i="79" a="1"/>
  <c r="F58" i="79" s="1"/>
  <c r="G58" i="79" a="1"/>
  <c r="G58" i="79" s="1"/>
  <c r="H58" i="79" a="1"/>
  <c r="H58" i="79" s="1"/>
  <c r="I58" i="79" a="1"/>
  <c r="I58" i="79" s="1"/>
  <c r="J58" i="79" a="1"/>
  <c r="J58" i="79" s="1"/>
  <c r="D57" i="79" a="1"/>
  <c r="D57" i="79" s="1"/>
  <c r="E57" i="79" a="1"/>
  <c r="E57" i="79" s="1"/>
  <c r="F57" i="79" a="1"/>
  <c r="F57" i="79" s="1"/>
  <c r="G57" i="79" a="1"/>
  <c r="G57" i="79" s="1"/>
  <c r="H57" i="79" a="1"/>
  <c r="H57" i="79" s="1"/>
  <c r="I57" i="79" a="1"/>
  <c r="I57" i="79" s="1"/>
  <c r="J57" i="79" a="1"/>
  <c r="J57" i="79" s="1"/>
  <c r="D56" i="79" a="1"/>
  <c r="D56" i="79" s="1"/>
  <c r="E56" i="79" a="1"/>
  <c r="E56" i="79" s="1"/>
  <c r="F56" i="79" a="1"/>
  <c r="F56" i="79" s="1"/>
  <c r="G56" i="79" a="1"/>
  <c r="G56" i="79" s="1"/>
  <c r="H56" i="79" a="1"/>
  <c r="H56" i="79" s="1"/>
  <c r="I56" i="79" a="1"/>
  <c r="I56" i="79" s="1"/>
  <c r="J56" i="79" a="1"/>
  <c r="J56" i="79" s="1"/>
  <c r="D55" i="79" a="1"/>
  <c r="D55" i="79" s="1"/>
  <c r="E55" i="79" a="1"/>
  <c r="E55" i="79" s="1"/>
  <c r="F55" i="79" a="1"/>
  <c r="F55" i="79" s="1"/>
  <c r="G55" i="79" a="1"/>
  <c r="G55" i="79" s="1"/>
  <c r="H55" i="79" a="1"/>
  <c r="H55" i="79" s="1"/>
  <c r="I55" i="79" a="1"/>
  <c r="I55" i="79" s="1"/>
  <c r="J55" i="79" a="1"/>
  <c r="J55" i="79" s="1"/>
  <c r="D54" i="79" a="1"/>
  <c r="D54" i="79" s="1"/>
  <c r="E54" i="79" a="1"/>
  <c r="E54" i="79" s="1"/>
  <c r="F54" i="79" a="1"/>
  <c r="F54" i="79" s="1"/>
  <c r="G54" i="79" a="1"/>
  <c r="G54" i="79" s="1"/>
  <c r="H54" i="79" a="1"/>
  <c r="H54" i="79" s="1"/>
  <c r="I54" i="79" a="1"/>
  <c r="I54" i="79" s="1"/>
  <c r="J54" i="79" a="1"/>
  <c r="J54" i="79" s="1"/>
  <c r="D53" i="79" a="1"/>
  <c r="D53" i="79" s="1"/>
  <c r="E53" i="79" a="1"/>
  <c r="E53" i="79" s="1"/>
  <c r="F53" i="79" a="1"/>
  <c r="F53" i="79" s="1"/>
  <c r="G53" i="79" a="1"/>
  <c r="G53" i="79" s="1"/>
  <c r="H53" i="79" a="1"/>
  <c r="H53" i="79" s="1"/>
  <c r="I53" i="79" a="1"/>
  <c r="I53" i="79" s="1"/>
  <c r="J53" i="79" a="1"/>
  <c r="J53" i="79" s="1"/>
  <c r="D52" i="79" a="1"/>
  <c r="D52" i="79" s="1"/>
  <c r="E52" i="79" a="1"/>
  <c r="E52" i="79" s="1"/>
  <c r="F52" i="79" a="1"/>
  <c r="F52" i="79" s="1"/>
  <c r="G52" i="79" a="1"/>
  <c r="G52" i="79" s="1"/>
  <c r="H52" i="79" a="1"/>
  <c r="H52" i="79" s="1"/>
  <c r="I52" i="79" a="1"/>
  <c r="I52" i="79" s="1"/>
  <c r="J52" i="79" a="1"/>
  <c r="J52" i="79" s="1"/>
  <c r="D51" i="79" a="1"/>
  <c r="D51" i="79" s="1"/>
  <c r="E51" i="79" a="1"/>
  <c r="E51" i="79" s="1"/>
  <c r="F51" i="79" a="1"/>
  <c r="F51" i="79" s="1"/>
  <c r="G51" i="79" a="1"/>
  <c r="G51" i="79" s="1"/>
  <c r="H51" i="79" a="1"/>
  <c r="H51" i="79" s="1"/>
  <c r="I51" i="79" a="1"/>
  <c r="I51" i="79" s="1"/>
  <c r="J51" i="79" a="1"/>
  <c r="J51" i="79" s="1"/>
  <c r="J50" i="79" a="1"/>
  <c r="J50" i="79" s="1"/>
  <c r="I50" i="79" a="1"/>
  <c r="I50" i="79" s="1"/>
  <c r="H50" i="79" a="1"/>
  <c r="H50" i="79" s="1"/>
  <c r="G50" i="79" a="1"/>
  <c r="G50" i="79" s="1"/>
  <c r="F50" i="79" a="1"/>
  <c r="F50" i="79" s="1"/>
  <c r="E50" i="79" a="1"/>
  <c r="E50" i="79" s="1"/>
  <c r="D50" i="79" a="1"/>
  <c r="D50" i="79" s="1"/>
  <c r="D45" i="79" a="1"/>
  <c r="D45" i="79" s="1"/>
  <c r="D46" i="79" a="1"/>
  <c r="D46" i="79" s="1"/>
  <c r="D44" i="79" a="1"/>
  <c r="D44" i="79" s="1"/>
  <c r="D61" i="79" a="1"/>
  <c r="D61" i="79" s="1"/>
  <c r="D62" i="79" a="1"/>
  <c r="D62" i="79" s="1"/>
  <c r="D63" i="79" a="1"/>
  <c r="D63" i="79" s="1"/>
  <c r="D67" i="79" a="1"/>
  <c r="D67" i="79" s="1"/>
  <c r="E67" i="79" a="1"/>
  <c r="E67" i="79" s="1"/>
  <c r="F67" i="79" a="1"/>
  <c r="F67" i="79" s="1"/>
  <c r="G67" i="79" a="1"/>
  <c r="G67" i="79" s="1"/>
  <c r="H67" i="79" a="1"/>
  <c r="H67" i="79" s="1"/>
  <c r="I67" i="79" a="1"/>
  <c r="I67" i="79" s="1"/>
  <c r="J67" i="79" a="1"/>
  <c r="J67" i="79" s="1"/>
  <c r="D68" i="79" a="1"/>
  <c r="D68" i="79" s="1"/>
  <c r="E68" i="79" a="1"/>
  <c r="E68" i="79" s="1"/>
  <c r="F68" i="79" a="1"/>
  <c r="F68" i="79" s="1"/>
  <c r="G68" i="79" a="1"/>
  <c r="G68" i="79" s="1"/>
  <c r="H68" i="79" a="1"/>
  <c r="H68" i="79" s="1"/>
  <c r="I68" i="79" a="1"/>
  <c r="I68" i="79" s="1"/>
  <c r="J68" i="79" a="1"/>
  <c r="J68" i="79" s="1"/>
  <c r="D69" i="79" a="1"/>
  <c r="D69" i="79" s="1"/>
  <c r="E69" i="79" a="1"/>
  <c r="E69" i="79" s="1"/>
  <c r="F69" i="79" a="1"/>
  <c r="F69" i="79" s="1"/>
  <c r="G69" i="79" a="1"/>
  <c r="G69" i="79" s="1"/>
  <c r="H69" i="79" a="1"/>
  <c r="H69" i="79" s="1"/>
  <c r="I69" i="79" a="1"/>
  <c r="I69" i="79" s="1"/>
  <c r="J69" i="79" a="1"/>
  <c r="J69" i="79" s="1"/>
  <c r="D70" i="79" a="1"/>
  <c r="D70" i="79" s="1"/>
  <c r="E70" i="79" a="1"/>
  <c r="E70" i="79" s="1"/>
  <c r="F70" i="79" a="1"/>
  <c r="F70" i="79" s="1"/>
  <c r="G70" i="79" a="1"/>
  <c r="G70" i="79" s="1"/>
  <c r="H70" i="79" a="1"/>
  <c r="H70" i="79" s="1"/>
  <c r="I70" i="79" a="1"/>
  <c r="I70" i="79" s="1"/>
  <c r="J70" i="79" a="1"/>
  <c r="J70" i="79" s="1"/>
  <c r="D71" i="79" a="1"/>
  <c r="D71" i="79" s="1"/>
  <c r="E71" i="79" a="1"/>
  <c r="E71" i="79" s="1"/>
  <c r="F71" i="79" a="1"/>
  <c r="F71" i="79" s="1"/>
  <c r="G71" i="79" a="1"/>
  <c r="G71" i="79" s="1"/>
  <c r="H71" i="79" a="1"/>
  <c r="H71" i="79" s="1"/>
  <c r="I71" i="79" a="1"/>
  <c r="I71" i="79" s="1"/>
  <c r="J71" i="79" a="1"/>
  <c r="J71" i="79" s="1"/>
  <c r="D72" i="79" a="1"/>
  <c r="D72" i="79" s="1"/>
  <c r="E72" i="79" a="1"/>
  <c r="E72" i="79" s="1"/>
  <c r="F72" i="79" a="1"/>
  <c r="F72" i="79" s="1"/>
  <c r="G72" i="79" a="1"/>
  <c r="G72" i="79" s="1"/>
  <c r="H72" i="79" a="1"/>
  <c r="H72" i="79" s="1"/>
  <c r="I72" i="79" a="1"/>
  <c r="I72" i="79" s="1"/>
  <c r="J72" i="79" a="1"/>
  <c r="J72" i="79" s="1"/>
  <c r="D73" i="79" a="1"/>
  <c r="D73" i="79" s="1"/>
  <c r="E73" i="79" a="1"/>
  <c r="E73" i="79" s="1"/>
  <c r="F73" i="79" a="1"/>
  <c r="F73" i="79" s="1"/>
  <c r="G73" i="79" a="1"/>
  <c r="G73" i="79" s="1"/>
  <c r="H73" i="79" a="1"/>
  <c r="H73" i="79" s="1"/>
  <c r="I73" i="79" a="1"/>
  <c r="I73" i="79" s="1"/>
  <c r="J73" i="79" a="1"/>
  <c r="J73" i="79" s="1"/>
  <c r="D74" i="79" a="1"/>
  <c r="D74" i="79" s="1"/>
  <c r="E74" i="79" a="1"/>
  <c r="E74" i="79" s="1"/>
  <c r="F74" i="79" a="1"/>
  <c r="F74" i="79" s="1"/>
  <c r="G74" i="79" a="1"/>
  <c r="G74" i="79" s="1"/>
  <c r="H74" i="79" a="1"/>
  <c r="H74" i="79" s="1"/>
  <c r="I74" i="79" a="1"/>
  <c r="I74" i="79" s="1"/>
  <c r="J74" i="79" a="1"/>
  <c r="J74" i="79" s="1"/>
  <c r="D75" i="79" a="1"/>
  <c r="D75" i="79" s="1"/>
  <c r="E75" i="79" a="1"/>
  <c r="E75" i="79" s="1"/>
  <c r="F75" i="79" a="1"/>
  <c r="F75" i="79" s="1"/>
  <c r="G75" i="79" a="1"/>
  <c r="G75" i="79" s="1"/>
  <c r="H75" i="79" a="1"/>
  <c r="H75" i="79" s="1"/>
  <c r="I75" i="79" a="1"/>
  <c r="I75" i="79" s="1"/>
  <c r="J75" i="79" a="1"/>
  <c r="J75" i="79" s="1"/>
  <c r="D76" i="79" a="1"/>
  <c r="D76" i="79" s="1"/>
  <c r="E76" i="79" a="1"/>
  <c r="E76" i="79" s="1"/>
  <c r="F76" i="79" a="1"/>
  <c r="F76" i="79" s="1"/>
  <c r="G76" i="79" a="1"/>
  <c r="G76" i="79" s="1"/>
  <c r="H76" i="79" a="1"/>
  <c r="H76" i="79" s="1"/>
  <c r="I76" i="79" a="1"/>
  <c r="I76" i="79" s="1"/>
  <c r="J76" i="79" a="1"/>
  <c r="J76" i="79" s="1"/>
  <c r="D77" i="79" a="1"/>
  <c r="D77" i="79" s="1"/>
  <c r="E77" i="79" a="1"/>
  <c r="E77" i="79" s="1"/>
  <c r="F77" i="79" a="1"/>
  <c r="F77" i="79" s="1"/>
  <c r="G77" i="79" a="1"/>
  <c r="G77" i="79" s="1"/>
  <c r="H77" i="79" a="1"/>
  <c r="H77" i="79" s="1"/>
  <c r="I77" i="79" a="1"/>
  <c r="I77" i="79" s="1"/>
  <c r="J77" i="79" a="1"/>
  <c r="J77" i="79" s="1"/>
  <c r="D78" i="79" a="1"/>
  <c r="D78" i="79" s="1"/>
  <c r="E78" i="79" a="1"/>
  <c r="E78" i="79" s="1"/>
  <c r="F78" i="79" a="1"/>
  <c r="F78" i="79" s="1"/>
  <c r="G78" i="79" a="1"/>
  <c r="G78" i="79" s="1"/>
  <c r="H78" i="79" a="1"/>
  <c r="H78" i="79" s="1"/>
  <c r="I78" i="79" a="1"/>
  <c r="I78" i="79" s="1"/>
  <c r="J78" i="79" a="1"/>
  <c r="J78"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N89" i="79" a="1"/>
  <c r="N89" i="79" s="1"/>
  <c r="M89" i="79" a="1"/>
  <c r="M89" i="79" s="1"/>
  <c r="L89" i="79" a="1"/>
  <c r="L89" i="79" s="1"/>
  <c r="K89" i="79" a="1"/>
  <c r="K89" i="79" s="1"/>
  <c r="J89" i="79" a="1"/>
  <c r="J89" i="79" s="1"/>
  <c r="I89" i="79" a="1"/>
  <c r="I89" i="79" s="1"/>
  <c r="H89" i="79" a="1"/>
  <c r="H89" i="79" s="1"/>
  <c r="G89" i="79" a="1"/>
  <c r="G89" i="79" s="1"/>
  <c r="F89" i="79" a="1"/>
  <c r="F89" i="79" s="1"/>
  <c r="E89" i="79" a="1"/>
  <c r="E89" i="79" s="1"/>
  <c r="D89" i="79" a="1"/>
  <c r="D89" i="79" s="1"/>
  <c r="D83" i="79" a="1"/>
  <c r="D83" i="79" s="1"/>
  <c r="D82" i="79" a="1"/>
  <c r="D82" i="79" s="1"/>
  <c r="D81" i="79" a="1"/>
  <c r="D81" i="79" s="1"/>
  <c r="F22" i="79" a="1"/>
  <c r="F22" i="79" s="1"/>
  <c r="E22" i="79" a="1"/>
  <c r="E22" i="79" s="1"/>
  <c r="D22" i="79" a="1"/>
  <c r="D22" i="79" s="1"/>
  <c r="D21" i="79" a="1"/>
  <c r="D21" i="79" s="1"/>
  <c r="D20" i="79" a="1"/>
  <c r="D20" i="79" s="1"/>
  <c r="F17" i="79" a="1"/>
  <c r="F17" i="79" s="1"/>
  <c r="E17" i="79" a="1"/>
  <c r="E17" i="79" s="1"/>
  <c r="D17" i="79" a="1"/>
  <c r="D17" i="79" s="1"/>
  <c r="D16" i="79" a="1"/>
  <c r="D16" i="79" s="1"/>
  <c r="D15" i="79" a="1"/>
  <c r="D15" i="79" s="1"/>
  <c r="F12" i="79" a="1"/>
  <c r="F12" i="79" s="1"/>
  <c r="E12" i="79" a="1"/>
  <c r="E12" i="79" s="1"/>
  <c r="D12" i="79" a="1"/>
  <c r="D12" i="79" s="1"/>
  <c r="D11" i="79" a="1"/>
  <c r="D11" i="79" s="1"/>
  <c r="D10" i="79" a="1"/>
  <c r="D10" i="79" s="1"/>
  <c r="F7" i="79" a="1"/>
  <c r="F7" i="79" s="1"/>
  <c r="E7" i="79" a="1"/>
  <c r="E7" i="79" s="1"/>
  <c r="D7" i="79" a="1"/>
  <c r="D7" i="79" s="1"/>
  <c r="D6" i="79" a="1"/>
  <c r="D6" i="79" s="1"/>
  <c r="D5" i="79" a="1"/>
  <c r="D5" i="79" s="1"/>
  <c r="A39" i="74"/>
  <c r="A38" i="74"/>
  <c r="A37" i="74"/>
  <c r="A36" i="74"/>
  <c r="A33" i="74"/>
  <c r="A30" i="74"/>
  <c r="A29" i="74"/>
  <c r="A28" i="74"/>
  <c r="A27" i="74"/>
  <c r="A26" i="74"/>
  <c r="A25" i="74"/>
  <c r="A24" i="74"/>
  <c r="A19" i="74"/>
  <c r="A18" i="74"/>
  <c r="A15" i="74"/>
  <c r="A14" i="74"/>
  <c r="A13" i="74"/>
  <c r="A12" i="74"/>
  <c r="A11" i="74"/>
  <c r="A10" i="74"/>
  <c r="A9" i="74"/>
  <c r="A8" i="74"/>
  <c r="A7" i="74"/>
  <c r="A4" i="74"/>
  <c r="E19" i="70" l="1" a="1"/>
  <c r="E19" i="70" s="1"/>
  <c r="M20" i="69" s="1" a="1"/>
  <c r="M20" i="69" s="1"/>
  <c r="G14" i="70" a="1"/>
  <c r="G14" i="70" s="1"/>
  <c r="E15" i="70" a="1"/>
  <c r="E15" i="70" s="1"/>
  <c r="F14" i="70" a="1"/>
  <c r="F14" i="70" s="1"/>
  <c r="E14" i="70" a="1"/>
  <c r="E14" i="70" s="1"/>
  <c r="G21" i="70" a="1"/>
  <c r="G21" i="70" s="1"/>
  <c r="F19" i="70" a="1"/>
  <c r="F19" i="70" s="1"/>
  <c r="G19" i="70" a="1"/>
  <c r="G19" i="70" s="1"/>
  <c r="G15" i="70" a="1"/>
  <c r="G15" i="70" s="1"/>
  <c r="E16" i="70" a="1"/>
  <c r="E16" i="70" s="1"/>
  <c r="F16" i="70" a="1"/>
  <c r="F16" i="70" s="1"/>
  <c r="G16" i="70" a="1"/>
  <c r="G16" i="70" s="1"/>
  <c r="E20" i="70" a="1"/>
  <c r="E20" i="70" s="1"/>
  <c r="E21" i="70" a="1"/>
  <c r="E21" i="70" s="1"/>
  <c r="M30" i="69" s="1" a="1"/>
  <c r="M30" i="69" s="1"/>
  <c r="F21" i="70" a="1"/>
  <c r="F21" i="70" s="1"/>
  <c r="F15" i="70" a="1"/>
  <c r="F15" i="70" s="1"/>
  <c r="F20" i="70" a="1"/>
  <c r="F20" i="70" s="1"/>
  <c r="G20" i="70" a="1"/>
  <c r="G20" i="70" s="1"/>
  <c r="D69" i="69" a="1"/>
  <c r="D69" i="69" s="1"/>
  <c r="F72" i="69" a="1"/>
  <c r="F72" i="69" s="1"/>
  <c r="D25" i="69" l="1" a="1"/>
  <c r="D25" i="69" s="1"/>
  <c r="M25" i="69" a="1"/>
  <c r="M25" i="69" s="1"/>
  <c r="M35" i="69" s="1" a="1"/>
  <c r="M35" i="69" s="1"/>
  <c r="M65" i="69" s="1" a="1"/>
  <c r="M65" i="69" s="1"/>
  <c r="D20" i="69" a="1"/>
  <c r="D20" i="69" s="1"/>
  <c r="D30" i="69" a="1"/>
  <c r="D30" i="69" s="1"/>
  <c r="O35" i="69" l="1" a="1"/>
  <c r="O35" i="69" s="1"/>
  <c r="O65" i="69" s="1" a="1"/>
  <c r="O65" i="69" s="1"/>
  <c r="N35" i="69" a="1"/>
  <c r="N35" i="69" s="1"/>
  <c r="N65" i="69" s="1" a="1"/>
  <c r="N65" i="69" s="1"/>
  <c r="D8" i="70"/>
  <c r="D9" i="70"/>
  <c r="G35" i="69" l="1"/>
  <c r="P65" i="69"/>
  <c r="H69" i="69"/>
  <c r="Q69" i="69"/>
  <c r="G65" i="69"/>
  <c r="O67" i="69"/>
  <c r="F67" i="69"/>
  <c r="G7" i="13" s="1"/>
  <c r="F35" i="69" a="1"/>
  <c r="F35" i="69" s="1"/>
  <c r="F65" i="69" s="1" a="1"/>
  <c r="F65" i="69" s="1"/>
  <c r="E35" i="69" a="1"/>
  <c r="E35" i="69" s="1"/>
  <c r="E65" i="69" s="1" a="1"/>
  <c r="E65" i="69" s="1"/>
  <c r="D35" i="69" a="1"/>
  <c r="D35" i="69" s="1"/>
  <c r="D65" i="69" s="1" a="1"/>
  <c r="D65" i="69" s="1"/>
  <c r="F27" i="43" l="1" a="1"/>
  <c r="F27" i="43" s="1"/>
  <c r="E27" i="43" a="1"/>
  <c r="E27" i="43" s="1"/>
  <c r="D27" i="43" a="1"/>
  <c r="D27" i="43" s="1"/>
  <c r="F26" i="43" a="1"/>
  <c r="F26" i="43" s="1"/>
  <c r="E31" i="79" s="1"/>
  <c r="E26" i="43" a="1"/>
  <c r="E26" i="43" s="1"/>
  <c r="D31" i="79"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30" i="79" s="1"/>
  <c r="E17" i="43" a="1"/>
  <c r="E17" i="43" s="1"/>
  <c r="D17" i="43" a="1"/>
  <c r="D17" i="43" s="1"/>
  <c r="F16" i="43" a="1"/>
  <c r="F16" i="43" s="1"/>
  <c r="E28" i="79" s="1"/>
  <c r="E16" i="43" a="1"/>
  <c r="E16" i="43" s="1"/>
  <c r="D28" i="79" s="1"/>
  <c r="D16" i="43" a="1"/>
  <c r="D16" i="43" s="1"/>
  <c r="F15" i="43" a="1"/>
  <c r="F15" i="43" s="1"/>
  <c r="E29" i="79"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32" i="79" s="1"/>
  <c r="E10" i="43" a="1"/>
  <c r="E10" i="43" s="1"/>
  <c r="D32" i="79" s="1"/>
  <c r="D10" i="43" a="1"/>
  <c r="D10" i="43" s="1"/>
  <c r="D8" i="43" a="1"/>
  <c r="D8" i="43" s="1"/>
  <c r="D7" i="43" a="1"/>
  <c r="D7" i="43" s="1"/>
  <c r="D6" i="43" a="1"/>
  <c r="D6" i="43" s="1"/>
  <c r="D29" i="79" l="1"/>
  <c r="D30" i="79"/>
  <c r="E67" i="69" l="1"/>
  <c r="N67" i="69"/>
  <c r="P69" i="69" s="1"/>
  <c r="N72" i="69" s="1" a="1"/>
  <c r="N72" i="69" s="1"/>
  <c r="I7" i="13" s="1"/>
  <c r="I8" i="13" s="1"/>
  <c r="G69" i="69" l="1"/>
  <c r="E72" i="69" s="1" a="1"/>
  <c r="E72" i="69" s="1"/>
  <c r="H7" i="13" s="1"/>
  <c r="H8" i="13" s="1"/>
  <c r="E7" i="13"/>
  <c r="F7" i="13"/>
  <c r="E13" i="1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<sst xmlns="http://schemas.openxmlformats.org/spreadsheetml/2006/main" count="287" uniqueCount="188">
  <si>
    <t>Home</t>
  </si>
  <si>
    <t>N2O MMS</t>
  </si>
  <si>
    <t>Sources &amp; acknowledgements</t>
  </si>
  <si>
    <t>INPUTS</t>
  </si>
  <si>
    <t>APPENDICES</t>
  </si>
  <si>
    <t>Emissions breakdown</t>
  </si>
  <si>
    <t>Test Farms</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</si>
  <si>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</si>
  <si>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</si>
  <si>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</si>
  <si>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</si>
  <si>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</si>
  <si>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</si>
  <si>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</si>
  <si>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</si>
  <si>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</si>
  <si>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</si>
  <si>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</si>
  <si>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</si>
  <si>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</si>
  <si>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</si>
  <si>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</si>
  <si>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</si>
  <si>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</si>
  <si>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</si>
  <si>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</si>
  <si>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</si>
  <si>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</si>
  <si>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</si>
  <si>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</si>
  <si>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</si>
  <si>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</si>
  <si>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</si>
  <si>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</si>
  <si>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</si>
  <si>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</si>
  <si>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</si>
  <si>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</si>
  <si>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</si>
  <si>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</si>
  <si>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</si>
  <si>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</si>
  <si>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</si>
  <si>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</si>
  <si>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</si>
  <si>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</si>
  <si>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</si>
  <si>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</si>
  <si>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</si>
  <si>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</si>
  <si>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</si>
  <si>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</si>
  <si>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</si>
  <si>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</si>
  <si>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</si>
  <si>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Test Farms Pty Ltd</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</si>
  <si>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</si>
  <si>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</si>
  <si>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</si>
  <si>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</si>
  <si>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</si>
  <si>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</si>
  <si>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</si>
  <si>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</si>
  <si>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</si>
  <si>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</si>
  <si>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</si>
  <si>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</si>
  <si>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</si>
  <si>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</si>
  <si>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</si>
  <si>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</si>
  <si>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</si>
  <si>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</si>
  <si>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</si>
  <si>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</si>
  <si>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</si>
  <si>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</si>
  <si>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NIR definition</t>
  </si>
  <si>
    <t>Intake</t>
  </si>
  <si>
    <t>MMS m</t>
  </si>
  <si>
    <t>kg dry matter / head  day</t>
  </si>
  <si>
    <t>Treatment stage T</t>
  </si>
  <si>
    <t>Feedlot manure management systems</t>
  </si>
  <si>
    <t>Herd movement</t>
  </si>
  <si>
    <t>Duration of stay</t>
  </si>
  <si>
    <t>head</t>
  </si>
  <si>
    <t>Table_D_j</t>
  </si>
  <si>
    <t>Table_N_j</t>
  </si>
  <si>
    <t>Number of head in each group</t>
  </si>
  <si>
    <t>Feedlot type</t>
  </si>
  <si>
    <t>Nutrient analysis</t>
  </si>
  <si>
    <t>2010-2014</t>
  </si>
  <si>
    <t>2015-2019</t>
  </si>
  <si>
    <t>2020-2023</t>
  </si>
  <si>
    <t>Source Data - Feedlot</t>
  </si>
  <si>
    <t>Domestic</t>
  </si>
  <si>
    <t>Mid-fed</t>
  </si>
  <si>
    <t>Long-fed</t>
  </si>
  <si>
    <t>2020-2023 Converted to fraction</t>
  </si>
  <si>
    <t>Characteristic</t>
  </si>
  <si>
    <t>2005-2009</t>
  </si>
  <si>
    <t>Feed intake</t>
  </si>
  <si>
    <t>Length of stay</t>
  </si>
  <si>
    <t>EF mT</t>
  </si>
  <si>
    <t>FracGASMmT</t>
  </si>
  <si>
    <t>M1_Table_I_j</t>
  </si>
  <si>
    <t>M2_Table_I_j</t>
  </si>
  <si>
    <t>Method 1</t>
  </si>
  <si>
    <t>Method 2</t>
  </si>
  <si>
    <t>Dry matter intake (Method 1)</t>
  </si>
  <si>
    <t>Dry matter intake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</si>
  <si>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</si>
  <si>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</si>
  <si>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Scope 1 source</t>
  </si>
  <si>
    <t>Production system j</t>
  </si>
  <si>
    <t>EFN2O</t>
  </si>
  <si>
    <t>Production system only</t>
  </si>
  <si>
    <t>Irrigation method</t>
  </si>
  <si>
    <t>Feedlot crop or pasture production systems</t>
  </si>
  <si>
    <t>Production system</t>
  </si>
  <si>
    <t>Irrigation methods</t>
  </si>
  <si>
    <t>Not irrigated</t>
  </si>
  <si>
    <t>Drip irrigation</t>
  </si>
  <si>
    <t>Sprinkler irrigation</t>
  </si>
  <si>
    <t>Surface irrigation</t>
  </si>
  <si>
    <t>Other irrigation</t>
  </si>
  <si>
    <t>Total</t>
  </si>
  <si>
    <t>GHG Unit</t>
  </si>
  <si>
    <t>CO2-e unit</t>
  </si>
  <si>
    <t>Method 1 default values (Do not edit)</t>
  </si>
  <si>
    <t>Method 2 custom values (Edit if known)</t>
  </si>
  <si>
    <t>Irrigation type i</t>
  </si>
  <si>
    <t>EFPRP</t>
  </si>
  <si>
    <t>Month</t>
  </si>
  <si>
    <t>Season</t>
  </si>
  <si>
    <t>Acknowledgements</t>
  </si>
  <si>
    <t>GHG emissions method 1</t>
  </si>
  <si>
    <t>GHG emissions method 2</t>
  </si>
  <si>
    <t>CO2-e emissions method 1</t>
  </si>
  <si>
    <t>t CO2e</t>
  </si>
  <si>
    <t>CO2-e emissions method 2</t>
  </si>
  <si>
    <t>Direct application</t>
  </si>
  <si>
    <t>days</t>
  </si>
  <si>
    <t>fraction</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</si>
  <si>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</si>
  <si>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</si>
  <si>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</si>
  <si>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</si>
  <si>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</si>
  <si>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</si>
  <si>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</si>
  <si>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</si>
  <si>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</si>
  <si>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</si>
  <si>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</si>
  <si>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</si>
  <si>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</si>
  <si>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</si>
  <si>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t xml:space="preserve">    Click on a box to go to the corresponding calculation.</t>
  </si>
  <si>
    <t>3.1.1.1-2 Enteric Methane</t>
  </si>
  <si>
    <t>Ether extract</t>
  </si>
  <si>
    <t>NDF</t>
  </si>
  <si>
    <t>M1_Table_EE_j</t>
  </si>
  <si>
    <t>Ether extract (Method 1)</t>
  </si>
  <si>
    <t>M1_Table_NDF_j</t>
  </si>
  <si>
    <t>Neutral detergent fibre (Method 1)</t>
  </si>
  <si>
    <t>M1_Table_M_j</t>
  </si>
  <si>
    <t>Daily production of enteric methane (Method 1)</t>
  </si>
  <si>
    <t>M2_Table_M_j</t>
  </si>
  <si>
    <t>Daily production of enteric methane (Method 2)</t>
  </si>
  <si>
    <t>M2_Table_EE_j</t>
  </si>
  <si>
    <t>Ether extract (Method 2)</t>
  </si>
  <si>
    <t>M2_Table_NDF_j</t>
  </si>
  <si>
    <t>Neutral detergent fibre (Method 2)</t>
  </si>
  <si>
    <r>
      <t>E</t>
    </r>
    <r>
      <rPr>
        <b/>
        <vertAlign val="subscript"/>
        <sz val="16"/>
        <color theme="1" tint="0.24994659260841701"/>
        <rFont val="Times New Roman"/>
        <family val="1"/>
      </rPr>
      <t>enteric</t>
    </r>
    <r>
      <rPr>
        <b/>
        <sz val="16"/>
        <color theme="1" tint="0.24994659260841701"/>
        <rFont val="Times New Roman"/>
        <family val="1"/>
      </rPr>
      <t xml:space="preserve"> (Method 1)</t>
    </r>
  </si>
  <si>
    <r>
      <t>E</t>
    </r>
    <r>
      <rPr>
        <b/>
        <vertAlign val="subscript"/>
        <sz val="16"/>
        <color theme="1" tint="0.24994659260841701"/>
        <rFont val="Times New Roman"/>
        <family val="1"/>
      </rPr>
      <t>enteric</t>
    </r>
    <r>
      <rPr>
        <b/>
        <sz val="16"/>
        <color theme="1" tint="0.24994659260841701"/>
        <rFont val="Times New Roman"/>
        <family val="1"/>
      </rPr>
      <t xml:space="preserve"> (Method 2)</t>
    </r>
  </si>
  <si>
    <t>3.1: Enteric Methane: Beef feedlot: Overview</t>
  </si>
  <si>
    <t>3.1 Enteric Methane: Beef Feedlot: Results</t>
  </si>
  <si>
    <t>💡 Below is a diagram that maps the equations used to calculate emissions and how they interact with each other.</t>
  </si>
  <si>
    <t>3.1.1.1-2 Enteric Methane Beef Feedlot</t>
  </si>
  <si>
    <t>Input - Feedlot</t>
  </si>
  <si>
    <t>Climate Zone</t>
  </si>
  <si>
    <t>EFNi &amp; EFN2Oi</t>
  </si>
  <si>
    <t>M2_Table_E_CH4</t>
  </si>
  <si>
    <t>Methane emissions for each group, MMS and treatment stage (Method 2)</t>
  </si>
  <si>
    <t>M1_Table_E_CH4</t>
  </si>
  <si>
    <t>Methane emissions for each group, MMS and treatment stage (Method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</si>
</sst>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6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sz val="20"/>
      <color theme="3" tint="9.9978637043366805E-2"/>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8">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6" fillId="4" borderId="0">
      <alignment horizontal="left" vertical="center"/>
    </xf>
    <xf numFmtId="0" fontId="41" fillId="4" borderId="0">
      <alignment vertical="center"/>
    </xf>
    <xf numFmtId="0" fontId="3" fillId="4" borderId="0">
      <alignment horizontal="left" vertical="center"/>
    </xf>
    <xf numFmtId="0" fontId="38"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3" fillId="13" borderId="8">
      <alignment horizontal="left" vertical="center"/>
    </xf>
    <xf numFmtId="43" fontId="10" fillId="0" borderId="0" applyFont="0" applyFill="0" applyBorder="0" applyAlignment="0" applyProtection="0"/>
    <xf numFmtId="3" fontId="33" fillId="4" borderId="2">
      <alignment horizontal="center" vertical="center"/>
    </xf>
    <xf numFmtId="168" fontId="2" fillId="0" borderId="2">
      <alignment horizontal="center" vertical="center"/>
    </xf>
    <xf numFmtId="0" fontId="34" fillId="0" borderId="0"/>
    <xf numFmtId="0" fontId="10" fillId="0" borderId="0"/>
    <xf numFmtId="0" fontId="34" fillId="0" borderId="0"/>
    <xf numFmtId="166" fontId="33" fillId="4" borderId="2">
      <alignment horizontal="center" vertical="center"/>
    </xf>
    <xf numFmtId="4" fontId="33" fillId="4" borderId="2">
      <alignment horizontal="center" vertical="center"/>
    </xf>
    <xf numFmtId="0" fontId="52" fillId="4" borderId="0">
      <alignment horizontal="left" vertical="center"/>
    </xf>
    <xf numFmtId="0" fontId="37" fillId="4" borderId="0" applyNumberFormat="0">
      <alignment horizontal="center" vertical="center"/>
    </xf>
    <xf numFmtId="165" fontId="33" fillId="4" borderId="2">
      <alignment horizontal="center" vertical="center"/>
    </xf>
    <xf numFmtId="0" fontId="32" fillId="4" borderId="0">
      <alignment horizontal="left" vertical="center"/>
    </xf>
    <xf numFmtId="169" fontId="33" fillId="4" borderId="2">
      <alignment horizontal="center" vertical="center"/>
    </xf>
    <xf numFmtId="0" fontId="33" fillId="4" borderId="2">
      <alignment horizontal="center" vertical="center"/>
    </xf>
    <xf numFmtId="0" fontId="6" fillId="4" borderId="0">
      <alignment horizontal="left" vertical="center"/>
    </xf>
    <xf numFmtId="0" fontId="40" fillId="4" borderId="0">
      <alignment horizontal="left" vertical="center"/>
    </xf>
    <xf numFmtId="0" fontId="10" fillId="0" borderId="0"/>
    <xf numFmtId="0" fontId="2" fillId="0" borderId="2">
      <alignment horizontal="center" vertical="center"/>
    </xf>
    <xf numFmtId="0" fontId="46" fillId="4" borderId="0">
      <alignment horizontal="left" vertical="center"/>
    </xf>
    <xf numFmtId="0" fontId="47" fillId="4" borderId="0">
      <alignment horizontal="left" vertical="center"/>
    </xf>
    <xf numFmtId="0" fontId="53" fillId="4" borderId="0">
      <alignment horizontal="left" vertical="center"/>
    </xf>
    <xf numFmtId="0" fontId="45" fillId="11" borderId="0">
      <alignment horizontal="center" vertical="center"/>
    </xf>
    <xf numFmtId="0" fontId="22" fillId="11" borderId="0">
      <alignment horizontal="left" vertical="center" indent="1"/>
    </xf>
    <xf numFmtId="0" fontId="57" fillId="14" borderId="2">
      <alignment horizontal="center" vertical="center"/>
    </xf>
    <xf numFmtId="0" fontId="58" fillId="15" borderId="2">
      <alignment horizontal="center" vertical="center"/>
    </xf>
    <xf numFmtId="0" fontId="33" fillId="4" borderId="2">
      <alignment horizontal="left" vertical="center"/>
    </xf>
    <xf numFmtId="0" fontId="59" fillId="4" borderId="2">
      <alignment horizontal="left" vertical="center"/>
    </xf>
  </cellStyleXfs>
  <cellXfs count="115">
    <xf numFmtId="0" fontId="0" fillId="0" borderId="0" xfId="0"/>
    <xf numFmtId="0" fontId="38"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1" fillId="4" borderId="0" xfId="6">
      <alignment vertical="center"/>
    </xf>
    <xf numFmtId="0" fontId="36"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4">
      <alignment horizontal="left" vertical="center"/>
    </xf>
    <xf numFmtId="0" fontId="12" fillId="4" borderId="0" xfId="30">
      <alignment vertical="center"/>
    </xf>
    <xf numFmtId="0" fontId="17" fillId="7" borderId="0" xfId="31">
      <alignment vertical="center"/>
    </xf>
    <xf numFmtId="0" fontId="2" fillId="9" borderId="0" xfId="7" applyFont="1" applyFill="1" applyAlignment="1">
      <alignment horizontal="left" vertical="center" indent="1"/>
    </xf>
    <xf numFmtId="0" fontId="2" fillId="0" borderId="0" xfId="34">
      <alignment horizontal="left" vertical="center" indent="1"/>
    </xf>
    <xf numFmtId="0" fontId="19" fillId="9" borderId="5" xfId="35">
      <alignment horizontal="left" vertical="center" indent="1"/>
    </xf>
    <xf numFmtId="0" fontId="20" fillId="9" borderId="5" xfId="35" applyFont="1">
      <alignment horizontal="left" vertical="center" indent="1"/>
    </xf>
    <xf numFmtId="0" fontId="21" fillId="9" borderId="5" xfId="35" applyFont="1">
      <alignment horizontal="left" vertical="center" indent="1"/>
    </xf>
    <xf numFmtId="0" fontId="22" fillId="5" borderId="0" xfId="37">
      <alignment horizontal="left" vertical="center" indent="1"/>
    </xf>
    <xf numFmtId="0" fontId="22" fillId="8" borderId="0" xfId="38">
      <alignment horizontal="left" vertical="center" indent="1"/>
    </xf>
    <xf numFmtId="0" fontId="43" fillId="13" borderId="8" xfId="40">
      <alignment horizontal="left" vertical="center"/>
    </xf>
    <xf numFmtId="0" fontId="0" fillId="4" borderId="0" xfId="0" applyFill="1"/>
    <xf numFmtId="2" fontId="30"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29" fillId="4" borderId="0" xfId="0" applyFont="1" applyFill="1"/>
    <xf numFmtId="2" fontId="30" fillId="4" borderId="0" xfId="0" applyNumberFormat="1" applyFont="1" applyFill="1"/>
    <xf numFmtId="0" fontId="6" fillId="4" borderId="0" xfId="12" applyAlignment="1">
      <alignment horizontal="left" indent="1"/>
    </xf>
    <xf numFmtId="0" fontId="30" fillId="4" borderId="1" xfId="0" applyFont="1" applyFill="1" applyBorder="1"/>
    <xf numFmtId="0" fontId="38" fillId="4" borderId="0" xfId="8" applyAlignment="1">
      <alignment horizontal="right" vertical="center"/>
    </xf>
    <xf numFmtId="0" fontId="2" fillId="0" borderId="2" xfId="14">
      <alignment horizontal="center" vertical="center"/>
    </xf>
    <xf numFmtId="0" fontId="27" fillId="4" borderId="0" xfId="7" applyFont="1" applyAlignment="1">
      <alignment horizontal="center" vertical="center"/>
    </xf>
    <xf numFmtId="166" fontId="27"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29">
      <alignment horizontal="center" vertical="center"/>
      <protection locked="0"/>
    </xf>
    <xf numFmtId="0" fontId="36" fillId="0" borderId="0" xfId="5" applyFill="1">
      <alignment horizontal="left" vertical="center"/>
    </xf>
    <xf numFmtId="0" fontId="41" fillId="0" borderId="0" xfId="6" applyFill="1">
      <alignment vertical="center"/>
    </xf>
    <xf numFmtId="0" fontId="38" fillId="0" borderId="0" xfId="8" applyFill="1">
      <alignment horizontal="left" vertical="center"/>
    </xf>
    <xf numFmtId="0" fontId="9" fillId="0" borderId="0" xfId="12" applyFont="1" applyFill="1" applyAlignment="1">
      <alignment horizontal="left" vertical="center"/>
    </xf>
    <xf numFmtId="0" fontId="35" fillId="0" borderId="0" xfId="0" applyFont="1"/>
    <xf numFmtId="0" fontId="38" fillId="4" borderId="1" xfId="8" applyBorder="1">
      <alignment horizontal="left" vertical="center"/>
    </xf>
    <xf numFmtId="4" fontId="26" fillId="0" borderId="0" xfId="17"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3" fillId="4" borderId="2" xfId="54">
      <alignment horizontal="center" vertical="center"/>
    </xf>
    <xf numFmtId="0" fontId="39" fillId="4" borderId="0" xfId="8" applyFont="1">
      <alignment horizontal="left" vertical="center"/>
    </xf>
    <xf numFmtId="0" fontId="6" fillId="4" borderId="0" xfId="55">
      <alignment horizontal="left" vertical="center"/>
    </xf>
    <xf numFmtId="0" fontId="40" fillId="4" borderId="0" xfId="56">
      <alignment horizontal="left" vertical="center"/>
    </xf>
    <xf numFmtId="0" fontId="10" fillId="0" borderId="0" xfId="57"/>
    <xf numFmtId="0" fontId="33" fillId="4" borderId="2" xfId="54" applyAlignment="1">
      <alignment horizontal="left" vertical="center"/>
    </xf>
    <xf numFmtId="0" fontId="33" fillId="4" borderId="7" xfId="54" applyBorder="1" applyAlignment="1">
      <alignment horizontal="left" vertical="center"/>
    </xf>
    <xf numFmtId="0" fontId="0" fillId="4" borderId="0" xfId="7" applyFont="1">
      <alignment horizontal="left" vertical="center"/>
    </xf>
    <xf numFmtId="0" fontId="13" fillId="6" borderId="0" xfId="28">
      <alignment horizontal="left" vertical="center" indent="1"/>
    </xf>
    <xf numFmtId="168" fontId="2" fillId="0" borderId="2" xfId="43">
      <alignment horizontal="center" vertical="center"/>
    </xf>
    <xf numFmtId="0" fontId="2" fillId="0" borderId="0" xfId="7" applyFont="1" applyFill="1" applyAlignment="1">
      <alignment horizontal="left" vertical="center" indent="1"/>
    </xf>
    <xf numFmtId="0" fontId="2" fillId="0" borderId="2" xfId="58">
      <alignment horizontal="center" vertical="center"/>
    </xf>
    <xf numFmtId="0" fontId="42" fillId="0" borderId="0" xfId="34" applyFont="1">
      <alignment horizontal="left" vertical="center" indent="1"/>
    </xf>
    <xf numFmtId="0" fontId="11" fillId="0" borderId="0" xfId="32"/>
    <xf numFmtId="0" fontId="22" fillId="10" borderId="0" xfId="36">
      <alignment horizontal="left" vertical="center" indent="1"/>
    </xf>
    <xf numFmtId="0" fontId="3" fillId="4" borderId="3" xfId="7" applyBorder="1">
      <alignment horizontal="left" vertical="center"/>
    </xf>
    <xf numFmtId="166" fontId="33" fillId="4" borderId="2" xfId="42" applyNumberFormat="1">
      <alignment horizontal="center" vertical="center"/>
    </xf>
    <xf numFmtId="0" fontId="27" fillId="4" borderId="0" xfId="0" applyFont="1" applyFill="1" applyAlignment="1">
      <alignment horizontal="center" vertical="center"/>
    </xf>
    <xf numFmtId="0" fontId="28" fillId="4" borderId="0" xfId="0" applyFont="1" applyFill="1" applyAlignment="1">
      <alignment horizontal="center" vertical="center"/>
    </xf>
    <xf numFmtId="0" fontId="28" fillId="4" borderId="0" xfId="0" applyFont="1" applyFill="1" applyAlignment="1">
      <alignment horizontal="left" vertical="center"/>
    </xf>
    <xf numFmtId="14" fontId="3" fillId="4" borderId="0" xfId="7" applyNumberFormat="1">
      <alignment horizontal="left" vertical="center"/>
    </xf>
    <xf numFmtId="0" fontId="18" fillId="4" borderId="0" xfId="33" applyFill="1" applyBorder="1"/>
    <xf numFmtId="166" fontId="2" fillId="4" borderId="0" xfId="18" applyNumberFormat="1" applyFill="1" applyBorder="1">
      <alignment horizontal="center" vertical="center"/>
    </xf>
    <xf numFmtId="167" fontId="3" fillId="4" borderId="0" xfId="41" applyNumberFormat="1" applyFont="1" applyFill="1" applyBorder="1" applyAlignment="1">
      <alignment horizontal="center" vertical="center"/>
    </xf>
    <xf numFmtId="0" fontId="31" fillId="4" borderId="0" xfId="0" applyFont="1" applyFill="1"/>
    <xf numFmtId="0" fontId="43" fillId="13" borderId="10" xfId="40" applyBorder="1">
      <alignment horizontal="left" vertical="center"/>
    </xf>
    <xf numFmtId="0" fontId="43" fillId="13" borderId="12" xfId="40" applyBorder="1">
      <alignment horizontal="left" vertical="center"/>
    </xf>
    <xf numFmtId="0" fontId="43" fillId="13" borderId="14" xfId="40" applyBorder="1">
      <alignment horizontal="left" vertical="center"/>
    </xf>
    <xf numFmtId="0" fontId="43" fillId="13" borderId="13" xfId="40" applyBorder="1">
      <alignment horizontal="left" vertical="center"/>
    </xf>
    <xf numFmtId="0" fontId="43" fillId="13" borderId="15" xfId="40" applyBorder="1">
      <alignment horizontal="left" vertical="center"/>
    </xf>
    <xf numFmtId="0" fontId="43" fillId="13" borderId="17" xfId="40" applyBorder="1">
      <alignment horizontal="left" vertical="center"/>
    </xf>
    <xf numFmtId="0" fontId="43" fillId="13" borderId="11" xfId="40" applyBorder="1">
      <alignment horizontal="left" vertical="center"/>
    </xf>
    <xf numFmtId="0" fontId="43" fillId="13" borderId="16" xfId="40" applyBorder="1">
      <alignment horizontal="left" vertical="center"/>
    </xf>
    <xf numFmtId="0" fontId="43" fillId="13" borderId="18" xfId="40" applyBorder="1">
      <alignment horizontal="left" vertical="center"/>
    </xf>
    <xf numFmtId="0" fontId="0" fillId="0" borderId="0" xfId="1" applyFont="1" applyFill="1">
      <alignment horizontal="left" vertical="center" indent="1"/>
      <protection locked="0"/>
    </xf>
    <xf numFmtId="0" fontId="47" fillId="4" borderId="0" xfId="60">
      <alignment horizontal="left" vertical="center"/>
    </xf>
    <xf numFmtId="0" fontId="46" fillId="4" borderId="0" xfId="59">
      <alignment horizontal="left" vertical="center"/>
    </xf>
    <xf numFmtId="3" fontId="2" fillId="0" borderId="2" xfId="18">
      <alignment horizontal="center" vertical="center"/>
    </xf>
    <xf numFmtId="3" fontId="33" fillId="4" borderId="2" xfId="54" applyNumberFormat="1">
      <alignment horizontal="center" vertical="center"/>
    </xf>
    <xf numFmtId="0" fontId="48" fillId="4" borderId="1" xfId="8" applyFont="1" applyBorder="1">
      <alignment horizontal="left" vertical="center"/>
    </xf>
    <xf numFmtId="0" fontId="49" fillId="4" borderId="1" xfId="8" applyFont="1" applyBorder="1">
      <alignment horizontal="left" vertical="center"/>
    </xf>
    <xf numFmtId="0" fontId="50" fillId="4" borderId="1" xfId="55" applyFont="1" applyBorder="1">
      <alignment horizontal="left" vertical="center"/>
    </xf>
    <xf numFmtId="0" fontId="33" fillId="4" borderId="19" xfId="54" applyBorder="1">
      <alignment horizontal="center" vertical="center"/>
    </xf>
    <xf numFmtId="0" fontId="6" fillId="4" borderId="1" xfId="55" applyBorder="1">
      <alignment horizontal="left" vertical="center"/>
    </xf>
    <xf numFmtId="0" fontId="53" fillId="4" borderId="0" xfId="61">
      <alignment horizontal="left" vertical="center"/>
    </xf>
    <xf numFmtId="0" fontId="54" fillId="2" borderId="0" xfId="8" applyFont="1" applyFill="1">
      <alignment horizontal="left" vertical="center"/>
    </xf>
    <xf numFmtId="0" fontId="43" fillId="13" borderId="9" xfId="40" applyBorder="1">
      <alignment horizontal="left" vertical="center"/>
    </xf>
    <xf numFmtId="9" fontId="8" fillId="4" borderId="0" xfId="11">
      <alignment horizontal="center" vertical="center"/>
    </xf>
    <xf numFmtId="164" fontId="8" fillId="4" borderId="0" xfId="10">
      <alignment horizontal="center" vertical="center"/>
    </xf>
    <xf numFmtId="2" fontId="30" fillId="4" borderId="1" xfId="0" applyNumberFormat="1" applyFont="1" applyFill="1" applyBorder="1" applyAlignment="1">
      <alignment horizontal="center"/>
    </xf>
    <xf numFmtId="0" fontId="45" fillId="11" borderId="0" xfId="62">
      <alignment horizontal="center" vertical="center"/>
    </xf>
    <xf numFmtId="0" fontId="22" fillId="11" borderId="0" xfId="63">
      <alignment horizontal="left" vertical="center" indent="1"/>
    </xf>
    <xf numFmtId="0" fontId="56" fillId="0" borderId="0" xfId="2" applyFont="1"/>
    <xf numFmtId="0" fontId="57" fillId="14" borderId="2" xfId="64">
      <alignment horizontal="center" vertical="center"/>
    </xf>
    <xf numFmtId="0" fontId="58" fillId="15" borderId="2" xfId="65">
      <alignment horizontal="center" vertical="center"/>
    </xf>
    <xf numFmtId="0" fontId="33" fillId="4" borderId="2" xfId="66">
      <alignment horizontal="left" vertical="center"/>
    </xf>
    <xf numFmtId="0" fontId="59" fillId="4" borderId="2" xfId="67">
      <alignment horizontal="left" vertical="center"/>
    </xf>
    <xf numFmtId="0" fontId="33" fillId="4" borderId="6" xfId="66" applyBorder="1">
      <alignment horizontal="left" vertical="center"/>
    </xf>
    <xf numFmtId="0" fontId="33" fillId="4" borderId="7" xfId="66" applyBorder="1">
      <alignment horizontal="left" vertical="center"/>
    </xf>
    <xf numFmtId="0" fontId="60" fillId="9" borderId="0" xfId="32" applyFont="1" applyFill="1"/>
    <xf numFmtId="0" fontId="38" fillId="9" borderId="0" xfId="8" applyFill="1">
      <alignment horizontal="left" vertical="center"/>
    </xf>
    <xf numFmtId="0" fontId="17" fillId="11" borderId="0" xfId="31" applyFill="1">
      <alignment vertical="center"/>
    </xf>
    <xf numFmtId="0" fontId="43" fillId="13" borderId="20" xfId="40" applyBorder="1">
      <alignment horizontal="left" vertical="center"/>
    </xf>
    <xf numFmtId="0" fontId="44" fillId="13" borderId="21" xfId="40" applyFont="1" applyBorder="1">
      <alignment horizontal="left" vertical="center"/>
    </xf>
    <xf numFmtId="0" fontId="43" fillId="13" borderId="21" xfId="40" applyBorder="1">
      <alignment horizontal="left" vertical="center"/>
    </xf>
  </cellXfs>
  <cellStyles count="68">
    <cellStyle name="Alert" xfId="61" xr:uid="{34EFE908-8095-4010-8F93-8CFE88055637}"/>
    <cellStyle name="Arguments" xfId="66" xr:uid="{A98BE7F9-9AF1-41BC-93A1-04622A5983FD}"/>
    <cellStyle name="Arguments hyperlink" xfId="67" xr:uid="{5B3BC2F2-D301-4F3B-B97E-D17F59423576}"/>
    <cellStyle name="Block heading" xfId="5" xr:uid="{74527274-3B4A-494A-B37C-EA50686E114C}"/>
    <cellStyle name="Block subheading" xfId="49" xr:uid="{34E62905-A3E0-4883-B81A-BDB58FC88DA7}"/>
    <cellStyle name="Code" xfId="24" xr:uid="{99B3520F-01DD-4F8E-A8D0-24EAA04E90EB}"/>
    <cellStyle name="Comma" xfId="41" builtinId="3"/>
    <cellStyle name="Content bold" xfId="7" xr:uid="{468A1381-682E-4BF1-945B-DF2E2BCA4419}"/>
    <cellStyle name="Content bold total" xfId="27" xr:uid="{17159E75-EF9F-42B8-8195-E83583796F67}"/>
    <cellStyle name="Content hidden" xfId="52"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3" builtinId="8"/>
    <cellStyle name="Information tip" xfId="40" xr:uid="{7D200D09-32E3-4546-9822-1B93AD118A74}"/>
    <cellStyle name="Information variation" xfId="56" xr:uid="{205494A3-14DD-4E6A-BDD3-5C5A864D6FA7}"/>
    <cellStyle name="Input block subheading" xfId="30" xr:uid="{A9FEBDB0-0992-4E30-96E5-9F9CAE92E3FB}"/>
    <cellStyle name="Input date" xfId="43" xr:uid="{A1D72D5E-DCF3-445F-8FC0-A147E105D774}"/>
    <cellStyle name="Input date calculated" xfId="47" xr:uid="{5A42AD0E-F665-46A9-9757-6B6A4BE7013E}"/>
    <cellStyle name="Input number 2 decimal places" xfId="17" xr:uid="{F9671E40-5700-4055-A6D2-272CF9DB620E}"/>
    <cellStyle name="Input number 2 decimal places calculated" xfId="48" xr:uid="{C04BA53C-14E1-48A5-99A3-C9FD44741A2A}"/>
    <cellStyle name="Input number 3 decimal places calculated" xfId="51" xr:uid="{637E6039-0A01-48EF-8C15-C29A497EF449}"/>
    <cellStyle name="Input number 3 decimal places disabled" xfId="22" xr:uid="{6B1B6177-B1C0-4190-858F-6E4C823402C3}"/>
    <cellStyle name="Input number 6 decimal places calculated" xfId="53" xr:uid="{CE70A7A2-3CEE-4689-8FF6-8EB6FCE0A94C}"/>
    <cellStyle name="Input number general" xfId="58" xr:uid="{D8583F7D-F13A-4EA8-BAA6-B42739FDBDDB}"/>
    <cellStyle name="Input number general calculated" xfId="54" xr:uid="{34755FEB-6E4E-4BD7-A478-DF7299A7A914}"/>
    <cellStyle name="Input number no decimals" xfId="18" xr:uid="{B33B4FB5-F3F4-4036-B2DD-663B694E2A90}"/>
    <cellStyle name="Input number no decimals calculated" xfId="42"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50" xr:uid="{43DCF082-1F0D-4E07-9785-CAF41B37CFCC}"/>
    <cellStyle name="Input text disabled" xfId="19" xr:uid="{79E76B35-E5FF-43A1-B0D0-016F346F8B97}"/>
    <cellStyle name="Menu link child" xfId="39" xr:uid="{609090D3-DE1E-48FE-A8AA-233CE9B146E0}"/>
    <cellStyle name="Menu link default" xfId="34" xr:uid="{11B84453-1DD4-492A-B241-FE6AD4CB25FA}"/>
    <cellStyle name="Menu link selected" xfId="36" xr:uid="{B16EBA6F-62C4-483F-8E15-B20D06ABF61F}"/>
    <cellStyle name="Menu link selected equations" xfId="38" xr:uid="{7AFCC545-C221-4BAC-933E-19109D0FB654}"/>
    <cellStyle name="Menu link selected input" xfId="37" xr:uid="{17D327F4-9149-4DAC-85BB-811698090830}"/>
    <cellStyle name="Menu link selected results" xfId="63" xr:uid="{0DC56464-F1A3-42A3-BF89-514E2163E7F0}"/>
    <cellStyle name="Menu section title" xfId="35" xr:uid="{E2117B15-AE58-4F76-B13B-671D455A4107}"/>
    <cellStyle name="Normal" xfId="0" builtinId="0"/>
    <cellStyle name="Normal 2" xfId="57" xr:uid="{FE64FEFB-54C6-42B4-AA7F-D49670F5ED19}"/>
    <cellStyle name="Normal 2 2" xfId="46" xr:uid="{B8803ACE-513D-4EEF-BBE0-0BB76AE7D7F4}"/>
    <cellStyle name="Normal 4" xfId="44" xr:uid="{99CD1B63-5040-4067-BBD7-470030C57E5D}"/>
    <cellStyle name="Normal 5" xfId="45"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2" xr:uid="{A846043F-10AE-4BED-BAA6-90407C977915}"/>
    <cellStyle name="Table description" xfId="60" xr:uid="{8BD2F353-2E3C-42FF-89E9-616E85DC18C5}"/>
    <cellStyle name="Table name" xfId="59" xr:uid="{D56F17A4-9740-44B6-BDDB-150E2C950B8B}"/>
    <cellStyle name="Unit" xfId="12" xr:uid="{90B9E191-F5E0-43AB-A245-D6CA23D4ADFC}"/>
    <cellStyle name="Unit no indent" xfId="55" xr:uid="{2829D020-DAD8-4B7D-9262-450720E27D2B}"/>
    <cellStyle name="Unit total" xfId="25" xr:uid="{65428923-3DAD-47B6-8DDF-0EBD05E7C55B}"/>
    <cellStyle name="Variable type input" xfId="64" xr:uid="{515940C5-98BF-44F7-AAB8-0D7808DD5C6C}"/>
    <cellStyle name="Variable type other" xfId="65" xr:uid="{5D88A237-9D54-45E0-A48E-F67D0639FDE2}"/>
  </cellStyles>
  <dxfs count="76">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5"/>
      <tableStyleElement type="headerRow" dxfId="74"/>
      <tableStyleElement type="totalRow" dxfId="73"/>
      <tableStyleElement type="firstColumn" dxfId="72"/>
      <tableStyleElement type="firstRowStripe" dxfId="71"/>
      <tableStyleElement type="secondRowStripe" dxfId="70"/>
    </tableStyle>
    <tableStyle name="Equation table" pivot="0" count="6" xr9:uid="{B247698E-E41D-4CCD-AA0A-C14817E9DE65}">
      <tableStyleElement type="wholeTable" dxfId="69"/>
      <tableStyleElement type="headerRow" dxfId="68"/>
      <tableStyleElement type="totalRow" dxfId="67"/>
      <tableStyleElement type="firstColumn" dxfId="66"/>
      <tableStyleElement type="firstRowStripe" dxfId="65"/>
      <tableStyleElement type="secondRowStripe" dxfId="64"/>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microsoft.com/office/2022/10/relationships/richValueRel" Target="richData/richValueRel.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2.xml"/><Relationship Id="rId10" Type="http://schemas.openxmlformats.org/officeDocument/2006/relationships/worksheet" Target="worksheets/sheet10.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3.1.1.1-2 Enteric Methane'!D39"/><Relationship Id="rId1" Type="http://schemas.openxmlformats.org/officeDocument/2006/relationships/hyperlink" Target="#'3.1.1.1-2 Enteric Methane'!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417799</xdr:colOff>
      <xdr:row>7</xdr:row>
      <xdr:rowOff>3136</xdr:rowOff>
    </xdr:from>
    <xdr:ext cx="1928078" cy="505267"/>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3094324"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3.1.1.1-2 Enteric Methane</a:t>
          </a:r>
        </a:p>
      </xdr:txBody>
    </xdr:sp>
    <xdr:clientData/>
  </xdr:oneCellAnchor>
  <xdr:twoCellAnchor>
    <xdr:from>
      <xdr:col>3</xdr:col>
      <xdr:colOff>576200</xdr:colOff>
      <xdr:row>9</xdr:row>
      <xdr:rowOff>101310</xdr:rowOff>
    </xdr:from>
    <xdr:to>
      <xdr:col>6</xdr:col>
      <xdr:colOff>256679</xdr:colOff>
      <xdr:row>12</xdr:row>
      <xdr:rowOff>78361</xdr:rowOff>
    </xdr:to>
    <xdr:sp macro="" textlink="'3.1.1.1-2 Enteric Methane'!D5">
      <xdr:nvSpPr>
        <xdr:cNvPr id="16" name="TextBox 15">
          <a:hlinkClick xmlns:r="http://schemas.openxmlformats.org/officeDocument/2006/relationships" r:id="rId1"/>
          <a:extLst>
            <a:ext uri="{FF2B5EF4-FFF2-40B4-BE49-F238E27FC236}">
              <a16:creationId xmlns:a16="http://schemas.microsoft.com/office/drawing/2014/main" id="{A391DA18-C458-4E43-BCCB-7D7FA0C9843E}"/>
            </a:ext>
          </a:extLst>
        </xdr:cNvPr>
        <xdr:cNvSpPr txBox="1"/>
      </xdr:nvSpPr>
      <xdr:spPr>
        <a:xfrm>
          <a:off x="3252725" y="2463510"/>
          <a:ext cx="1509279" cy="72000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pPr algn="ctr"/>
            <a:t>Daily production of enteric methane</a:t>
          </a:fld>
          <a:endParaRPr lang="en-AU" sz="1000">
            <a:solidFill>
              <a:srgbClr val="0C769E"/>
            </a:solidFill>
          </a:endParaRPr>
        </a:p>
      </xdr:txBody>
    </xdr:sp>
    <xdr:clientData/>
  </xdr:twoCellAnchor>
  <xdr:twoCellAnchor>
    <xdr:from>
      <xdr:col>3</xdr:col>
      <xdr:colOff>576200</xdr:colOff>
      <xdr:row>15</xdr:row>
      <xdr:rowOff>54910</xdr:rowOff>
    </xdr:from>
    <xdr:to>
      <xdr:col>6</xdr:col>
      <xdr:colOff>256679</xdr:colOff>
      <xdr:row>18</xdr:row>
      <xdr:rowOff>27010</xdr:rowOff>
    </xdr:to>
    <xdr:sp macro="" textlink="'3.1.1.1-2 Enteric Methane'!D39">
      <xdr:nvSpPr>
        <xdr:cNvPr id="20" name="TextBox 19">
          <a:hlinkClick xmlns:r="http://schemas.openxmlformats.org/officeDocument/2006/relationships" r:id="rId2"/>
          <a:extLst>
            <a:ext uri="{FF2B5EF4-FFF2-40B4-BE49-F238E27FC236}">
              <a16:creationId xmlns:a16="http://schemas.microsoft.com/office/drawing/2014/main" id="{050A7C22-4BD7-4D52-9D6E-89987EDCC59C}"/>
            </a:ext>
          </a:extLst>
        </xdr:cNvPr>
        <xdr:cNvSpPr txBox="1"/>
      </xdr:nvSpPr>
      <xdr:spPr>
        <a:xfrm>
          <a:off x="3252725" y="3903010"/>
          <a:ext cx="1509279" cy="7150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A649BA-C7BB-479F-AEE4-BC8BDC600D58}" type="TxLink">
            <a:rPr lang="en-US" sz="1000" b="1" i="0" u="none" strike="noStrike">
              <a:solidFill>
                <a:srgbClr val="0C769E"/>
              </a:solidFill>
              <a:latin typeface="Times New Roman"/>
              <a:cs typeface="Times New Roman"/>
            </a:rPr>
            <a:pPr algn="ctr"/>
            <a:t>Total annual methane production from enteric fermentation in feedlot beef cattle</a:t>
          </a:fld>
          <a:endParaRPr lang="en-AU" sz="1000" b="1">
            <a:solidFill>
              <a:srgbClr val="0C769E"/>
            </a:solidFill>
          </a:endParaRPr>
        </a:p>
      </xdr:txBody>
    </xdr:sp>
    <xdr:clientData/>
  </xdr:twoCellAnchor>
  <xdr:twoCellAnchor>
    <xdr:from>
      <xdr:col>5</xdr:col>
      <xdr:colOff>105291</xdr:colOff>
      <xdr:row>12</xdr:row>
      <xdr:rowOff>84710</xdr:rowOff>
    </xdr:from>
    <xdr:to>
      <xdr:col>5</xdr:col>
      <xdr:colOff>117991</xdr:colOff>
      <xdr:row>15</xdr:row>
      <xdr:rowOff>61259</xdr:rowOff>
    </xdr:to>
    <xdr:cxnSp macro="">
      <xdr:nvCxnSpPr>
        <xdr:cNvPr id="7" name="Connector: Curved 6">
          <a:extLst>
            <a:ext uri="{FF2B5EF4-FFF2-40B4-BE49-F238E27FC236}">
              <a16:creationId xmlns:a16="http://schemas.microsoft.com/office/drawing/2014/main" id="{EEA36610-345A-E469-2064-F09BCE8567FD}"/>
            </a:ext>
          </a:extLst>
        </xdr:cNvPr>
        <xdr:cNvCxnSpPr>
          <a:stCxn id="16" idx="2"/>
          <a:endCxn id="20" idx="0"/>
        </xdr:cNvCxnSpPr>
      </xdr:nvCxnSpPr>
      <xdr:spPr>
        <a:xfrm rot="5400000">
          <a:off x="3647616" y="3543260"/>
          <a:ext cx="719499"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38100</xdr:colOff>
      <xdr:row>7</xdr:row>
      <xdr:rowOff>138112</xdr:rowOff>
    </xdr:from>
    <xdr:ext cx="3209853"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5.11×</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−4.00×</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+2.26×</m:t>
                        </m:r>
                        <m:r>
                          <a:rPr lang="en-AU" sz="1100" i="1">
                            <a:latin typeface="Cambria Math" panose="02040503050406030204" pitchFamily="18" charset="0"/>
                          </a:rPr>
                          <m:t>𝑁𝐷</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𝑀_𝑗=(5.11×𝐼_𝑗−4.00×𝐸𝐸_𝑗+2.26×𝑁𝐷𝐹_𝑗 )×10^(−3)</a:t>
              </a:r>
              <a:endParaRPr lang="en-AU" sz="1100"/>
            </a:p>
          </xdr:txBody>
        </xdr:sp>
      </mc:Fallback>
    </mc:AlternateContent>
    <xdr:clientData/>
  </xdr:oneCellAnchor>
  <xdr:oneCellAnchor>
    <xdr:from>
      <xdr:col>3</xdr:col>
      <xdr:colOff>14287</xdr:colOff>
      <xdr:row>41</xdr:row>
      <xdr:rowOff>133350</xdr:rowOff>
    </xdr:from>
    <xdr:ext cx="225613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𝐸_𝑒𝑛𝑡𝑒𝑟𝑖𝑐=∑10_𝑗▒(𝐷_𝑗×𝑀_𝑗×𝑁_𝑗 ) ×10^(−3)</a:t>
              </a:r>
              <a:endParaRPr lang="en-AU" sz="1100"/>
            </a:p>
          </xdr:txBody>
        </xdr:sp>
      </mc:Fallback>
    </mc:AlternateContent>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htdocs\zneagcrc\GAF-VEERG-Functions\Excel\Common_v02.xlsx" TargetMode="External"/><Relationship Id="rId1" Type="http://schemas.openxmlformats.org/officeDocument/2006/relationships/externalLinkPath" Target="Common_v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sheetName val="Constants - Common"/>
      <sheetName val="Acknowledgements"/>
    </sheetNames>
    <sheetDataSet>
      <sheetData sheetId="0"/>
      <sheetData sheetId="1"/>
      <sheetData sheetId="2"/>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166EBA0-AB26-48BA-9789-AEA997D57851}" name="Table_SourceData_Feedlot_MCF" displayName="Table_SourceData_Feedlot_MCF" ref="D88:N93" totalsRowShown="0">
  <autoFilter ref="D88:N93"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85FE93-299E-44EB-B503-99C305BD6F41}" name="Treatment stage T">
      <calculatedColumnFormula array="1">Common_InputFunctions.Utility_DisplayArrayInTable(SourceData_Feedlot.SourceData_Feedlot_MCF_Data(), Table_SourceData_Feedlot_MCF[[#Headers],[Treatment stage T]], 0)</calculatedColumnFormula>
    </tableColumn>
    <tableColumn id="2" xr3:uid="{D0E12F95-AC29-47D0-913A-0A0B02931616}" name="MMS m" dataDxfId="63" dataCellStyle="Content normal">
      <calculatedColumnFormula array="1">Common_InputFunctions.Utility_DisplayArrayInTable(SourceData_Feedlot.SourceData_Feedlot_MCF_Data(), Table_SourceData_Feedlot_MCF[[#Headers],[Treatment stage T]], 0)</calculatedColumnFormula>
    </tableColumn>
    <tableColumn id="3" xr3:uid="{E17BE7AB-8FAD-4B5C-9F86-E70E6A00B9B1}" name="NSW" dataDxfId="62" dataCellStyle="Content normal">
      <calculatedColumnFormula array="1">Common_InputFunctions.Utility_DisplayArrayInTable(SourceData_Feedlot.SourceData_Feedlot_MCF_Data(), Table_SourceData_Feedlot_MCF[[#Headers],[Treatment stage T]], 0)</calculatedColumnFormula>
    </tableColumn>
    <tableColumn id="4" xr3:uid="{D4C6F922-2719-4479-B7CC-26C5286F73ED}" name="ACT" dataDxfId="61" dataCellStyle="Content normal">
      <calculatedColumnFormula array="1">Common_InputFunctions.Utility_DisplayArrayInTable(SourceData_Feedlot.SourceData_Feedlot_MCF_Data(), Table_SourceData_Feedlot_MCF[[#Headers],[Treatment stage T]], 0)</calculatedColumnFormula>
    </tableColumn>
    <tableColumn id="5" xr3:uid="{5034DCA1-F046-43BC-A94F-832832E6D634}" name="QLD" dataDxfId="60" dataCellStyle="Content normal">
      <calculatedColumnFormula array="1">Common_InputFunctions.Utility_DisplayArrayInTable(SourceData_Feedlot.SourceData_Feedlot_MCF_Data(), Table_SourceData_Feedlot_MCF[[#Headers],[Treatment stage T]], 0)</calculatedColumnFormula>
    </tableColumn>
    <tableColumn id="6" xr3:uid="{186521AB-DFC2-4E3B-A674-A5382DCC5ACD}" name="NT" dataDxfId="59" dataCellStyle="Content normal">
      <calculatedColumnFormula array="1">Common_InputFunctions.Utility_DisplayArrayInTable(SourceData_Feedlot.SourceData_Feedlot_MCF_Data(), Table_SourceData_Feedlot_MCF[[#Headers],[Treatment stage T]], 0)</calculatedColumnFormula>
    </tableColumn>
    <tableColumn id="7" xr3:uid="{95F9E197-F85F-424A-B68D-774604116729}" name="SA" dataDxfId="58" dataCellStyle="Content normal">
      <calculatedColumnFormula array="1">Common_InputFunctions.Utility_DisplayArrayInTable(SourceData_Feedlot.SourceData_Feedlot_MCF_Data(), Table_SourceData_Feedlot_MCF[[#Headers],[Treatment stage T]], 0)</calculatedColumnFormula>
    </tableColumn>
    <tableColumn id="8" xr3:uid="{A6DDF652-660B-4C41-982D-FECC3B1142AF}" name="VIC" dataDxfId="57" dataCellStyle="Content normal">
      <calculatedColumnFormula array="1">Common_InputFunctions.Utility_DisplayArrayInTable(SourceData_Feedlot.SourceData_Feedlot_MCF_Data(), Table_SourceData_Feedlot_MCF[[#Headers],[Treatment stage T]], 0)</calculatedColumnFormula>
    </tableColumn>
    <tableColumn id="9" xr3:uid="{5163E1D2-D984-4DBA-95A9-1667F628B2D9}" name="WA" dataDxfId="56" dataCellStyle="Content normal">
      <calculatedColumnFormula array="1">Common_InputFunctions.Utility_DisplayArrayInTable(SourceData_Feedlot.SourceData_Feedlot_MCF_Data(), Table_SourceData_Feedlot_MCF[[#Headers],[Treatment stage T]], 0)</calculatedColumnFormula>
    </tableColumn>
    <tableColumn id="10" xr3:uid="{A0E67108-978C-4849-A310-69F8E4739C6D}" name="TAS" dataDxfId="55" dataCellStyle="Content normal">
      <calculatedColumnFormula array="1">Common_InputFunctions.Utility_DisplayArrayInTable(SourceData_Feedlot.SourceData_Feedlot_MCF_Data(), Table_SourceData_Feedlot_MCF[[#Headers],[Treatment stage T]], 0)</calculatedColumnFormula>
    </tableColumn>
    <tableColumn id="11" xr3:uid="{27E929DD-0554-43B8-A58C-34B0A39F2EBA}" name="NIR definition" dataDxfId="54"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FeedlotMMS" displayName="Table_SourceData_FeedlotMMS" ref="D27:E32" totalsRowShown="0">
  <autoFilter ref="D27:E32"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53" dataCellStyle="Content normal"/>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318E90-60C0-4182-A7EC-FD8430FACD15}" name="Table_SourceData_Feedlot_DietProperties" displayName="Table_SourceData_Feedlot_DietProperties" ref="D66:J78" totalsRowShown="0">
  <autoFilter ref="D66:J78" xr:uid="{8B318E90-60C0-4182-A7EC-FD8430FACD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CB848C-205F-48EA-BACF-F54BCD324E05}" name="Feedlot type">
      <calculatedColumnFormula array="1">Common_InputFunctions.Utility_DisplayArrayInTable(SourceData_Feedlot.SourceData_Feedlot_DietProperties_Data(), Table_SourceData_Feedlot_DietProperties[[#Headers],[Feedlot type]], 0)</calculatedColumnFormula>
    </tableColumn>
    <tableColumn id="2" xr3:uid="{3306F917-B06C-4CC9-B1B1-D97D858E6DAA}" name="Nutrient analysis" dataDxfId="52" dataCellStyle="Content normal">
      <calculatedColumnFormula array="1">Common_InputFunctions.Utility_DisplayArrayInTable(SourceData_Feedlot.SourceData_Feedlot_DietProperties_Data(), Table_SourceData_Feedlot_DietProperties[[#Headers],[Feedlot type]], 0)</calculatedColumnFormula>
    </tableColumn>
    <tableColumn id="3" xr3:uid="{F162F7C2-B0FA-499A-BD58-855C4DF97FA8}" name="Unit" dataDxfId="51" dataCellStyle="Content normal">
      <calculatedColumnFormula array="1">Common_InputFunctions.Utility_DisplayArrayInTable(SourceData_Feedlot.SourceData_Feedlot_DietProperties_Data(), Table_SourceData_Feedlot_DietProperties[[#Headers],[Feedlot type]], 0)</calculatedColumnFormula>
    </tableColumn>
    <tableColumn id="4" xr3:uid="{D395A9F5-9A85-4032-A7C1-EC470516DD87}" name="2010-2014" dataDxfId="50" dataCellStyle="Content normal">
      <calculatedColumnFormula array="1">Common_InputFunctions.Utility_DisplayArrayInTable(SourceData_Feedlot.SourceData_Feedlot_DietProperties_Data(), Table_SourceData_Feedlot_DietProperties[[#Headers],[Feedlot type]], 0)</calculatedColumnFormula>
    </tableColumn>
    <tableColumn id="5" xr3:uid="{B149E561-7044-4839-B850-C751ABC364C9}" name="2015-2019" dataDxfId="49" dataCellStyle="Content normal">
      <calculatedColumnFormula array="1">Common_InputFunctions.Utility_DisplayArrayInTable(SourceData_Feedlot.SourceData_Feedlot_DietProperties_Data(), Table_SourceData_Feedlot_DietProperties[[#Headers],[Feedlot type]], 0)</calculatedColumnFormula>
    </tableColumn>
    <tableColumn id="6" xr3:uid="{ECEB8E53-4880-43AE-9D36-F969D05BCB18}" name="2020-2023" dataDxfId="48" dataCellStyle="Content normal">
      <calculatedColumnFormula array="1">Common_InputFunctions.Utility_DisplayArrayInTable(SourceData_Feedlot.SourceData_Feedlot_DietProperties_Data(), Table_SourceData_Feedlot_DietProperties[[#Headers],[Feedlot type]], 0)</calculatedColumnFormula>
    </tableColumn>
    <tableColumn id="7" xr3:uid="{3B7FAEA4-08D7-48B2-9062-7D93639222CC}" name="2020-2023 Converted to fraction" dataDxfId="47" dataCellStyle="Content normal">
      <calculatedColumnFormula array="1">Common_InputFunctions.Utility_DisplayArrayInTable(SourceData_Feedlot.SourceData_Feedlot_DietProperties_Data(), Table_SourceData_Feedlot_DietProperties[[#Headers],[Feedlot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817C83-F195-4AEF-95F6-F63A097B09DF}" name="Table_SourceData_Feedlot_AnimalCharacteristics" displayName="Table_SourceData_Feedlot_AnimalCharacteristics" ref="D49:J58" totalsRowShown="0">
  <autoFilter ref="D49:J58" xr:uid="{F6817C83-F195-4AEF-95F6-F63A097B0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F6B4E3-E1EE-445F-9BCE-628B89FC3727}" name="Feedlot type">
      <calculatedColumnFormula array="1">Common_InputFunctions.Utility_DisplayArrayInTable(SourceData_Feedlot.SourceData_Feedlot_AnimalCharacteristics_Data(), Table_SourceData_Feedlot_AnimalCharacteristics[[#Headers],[Feedlot type]], 0)</calculatedColumnFormula>
    </tableColumn>
    <tableColumn id="2" xr3:uid="{6B651FD0-BCF6-4081-8A93-6B21A1D6CA99}" name="Characteristic" dataDxfId="46"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3" xr3:uid="{3F266A2B-76EA-4E95-B049-75B8E4AB351F}" name="Unit" dataDxfId="45"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4" xr3:uid="{15472767-3F72-4A65-88AC-C3242A8E1662}" name="2005-2009" dataDxfId="44"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5" xr3:uid="{5F74A8B9-7EFB-4457-8ADA-5E1ABA9DA889}" name="2010-2014" dataDxfId="43"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6" xr3:uid="{E54F2812-2E8B-41EB-98A8-46890B5B4E13}" name="2015-2019" dataDxfId="42"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7" xr3:uid="{88EEE0E3-F5D0-41DF-80EF-59472377C29A}" name="2020-2023" dataDxfId="41"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14F7E2-67E4-43CB-A279-981A74F5A716}" name="Table_SourceData_Feedlot_LengthOfStay" displayName="Table_SourceData_Feedlot_LengthOfStay" ref="D38:E41" totalsRowShown="0">
  <autoFilter ref="D38:E41" xr:uid="{BC14F7E2-67E4-43CB-A279-981A74F5A716}">
    <filterColumn colId="0" hiddenButton="1"/>
    <filterColumn colId="1" hiddenButton="1"/>
  </autoFilter>
  <tableColumns count="2">
    <tableColumn id="1" xr3:uid="{9D472457-4D8B-44ED-9567-B889D058C2F1}" name="Feedlot type">
      <calculatedColumnFormula array="1">Common_InputFunctions.Utility_DisplayArrayInTable(SourceData_Feedlot.SourceData_Feedlot_DurationOfStay_Data(), Table_SourceData_Feedlot_LengthOfStay[[#Headers],[Feedlot type]], 0)</calculatedColumnFormula>
    </tableColumn>
    <tableColumn id="2" xr3:uid="{DA3DA009-634B-4C70-926B-C8FB255EB4DC}" name="Length of stay" dataDxfId="40" dataCellStyle="Content normal">
      <calculatedColumnFormula array="1">Common_InputFunctions.Utility_DisplayArrayInTable(SourceData_Feedlot.SourceData_Feedlot_DurationOfStay_Data(), Table_SourceData_Feedlot_LengthOfStay[[#Headers],[Feedlot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EB4578-E7E8-4AF2-A03C-33ADCE6CD603}" name="Table_SourceData_Feedlot_NO2EFs" displayName="Table_SourceData_Feedlot_NO2EFs" ref="D100:G105" totalsRowShown="0">
  <autoFilter ref="D100:G105" xr:uid="{3CEB4578-E7E8-4AF2-A03C-33ADCE6CD603}">
    <filterColumn colId="0" hiddenButton="1"/>
    <filterColumn colId="1" hiddenButton="1"/>
    <filterColumn colId="2" hiddenButton="1"/>
    <filterColumn colId="3" hiddenButton="1"/>
  </autoFilter>
  <tableColumns count="4">
    <tableColumn id="1" xr3:uid="{C80C08D8-3F48-4E18-98E3-9B53ACB6C6D9}" name="Treatment stage T">
      <calculatedColumnFormula array="1">Common_InputFunctions.Utility_DisplayArrayInTable(SourceData_Feedlot.SourceData_Feedlot_NitrousOxideEFs_Data(), Table_SourceData_Feedlot_NO2EFs[[#Headers],[Treatment stage T]], 0)</calculatedColumnFormula>
    </tableColumn>
    <tableColumn id="2" xr3:uid="{2BCD8589-5CB8-4ED1-AF2B-2866CEF779A8}" name="MMS m" dataDxfId="39" dataCellStyle="Content normal">
      <calculatedColumnFormula array="1">Common_InputFunctions.Utility_DisplayArrayInTable(SourceData_Feedlot.SourceData_Feedlot_NitrousOxideEFs_Data(), Table_SourceData_Feedlot_NO2EFs[[#Headers],[Treatment stage T]], 0)</calculatedColumnFormula>
    </tableColumn>
    <tableColumn id="3" xr3:uid="{51E876CD-83B6-49C8-85DD-E2F427A3DCD0}" name="EF mT" dataDxfId="38" dataCellStyle="Content normal">
      <calculatedColumnFormula array="1">Common_InputFunctions.Utility_DisplayArrayInTable(SourceData_Feedlot.SourceData_Feedlot_NitrousOxideEFs_Data(), Table_SourceData_Feedlot_NO2EFs[[#Headers],[Treatment stage T]], 0)</calculatedColumnFormula>
    </tableColumn>
    <tableColumn id="4" xr3:uid="{BEDEE6BB-8013-495A-8D74-2C8D37558C98}" name="NIR definition" dataDxfId="37" dataCellStyle="Content normal">
      <calculatedColumnFormula array="1">Common_InputFunctions.Utility_DisplayArrayInTable(SourceData_Feedlot.SourceData_Feedlot_NitrousOxideEFs_Data(), Table_SourceData_Feedlot_NO2EFs[[#Headers],[Treatment stage T]],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0A8309-C0D3-4638-A47B-72840A042D9A}" name="Table_SourceData_Feedlot_FracGASMmT" displayName="Table_SourceData_Feedlot_FracGASMmT" ref="D112:G117" totalsRowShown="0" headerRowDxfId="36" headerRowCellStyle="Content normal" dataCellStyle="Content normal">
  <autoFilter ref="D112:G117" xr:uid="{100A8309-C0D3-4638-A47B-72840A042D9A}">
    <filterColumn colId="0" hiddenButton="1"/>
    <filterColumn colId="1" hiddenButton="1"/>
    <filterColumn colId="2" hiddenButton="1"/>
    <filterColumn colId="3" hiddenButton="1"/>
  </autoFilter>
  <tableColumns count="4">
    <tableColumn id="1" xr3:uid="{C942D71F-5344-4EC8-8256-848EACA75914}" name="Treatment stage T" dataCellStyle="Content normal">
      <calculatedColumnFormula array="1">Common_InputFunctions.Utility_DisplayArrayInTable(SourceData_Feedlot.SourceData_Feedlot_FracNVolatilised_Data(), Table_SourceData_Feedlot_FracGASMmT[[#Headers],[Treatment stage T]], 0)</calculatedColumnFormula>
    </tableColumn>
    <tableColumn id="2" xr3:uid="{2E6FFC59-11A3-4321-8787-BFA864D074E6}" name="MMS m" dataCellStyle="Content normal">
      <calculatedColumnFormula array="1">Common_InputFunctions.Utility_DisplayArrayInTable(SourceData_Feedlot.SourceData_Feedlot_FracNVolatilised_Data(), Table_SourceData_Feedlot_FracGASMmT[[#Headers],[Treatment stage T]], 0)</calculatedColumnFormula>
    </tableColumn>
    <tableColumn id="3" xr3:uid="{D988373F-1DDE-4103-A79F-7BFD8CB1A36F}" name="FracGASMmT" dataCellStyle="Content normal">
      <calculatedColumnFormula array="1">Common_InputFunctions.Utility_DisplayArrayInTable(SourceData_Feedlot.SourceData_Feedlot_FracNVolatilised_Data(), Table_SourceData_Feedlot_FracGASMmT[[#Headers],[Treatment stage T]], 0)</calculatedColumnFormula>
    </tableColumn>
    <tableColumn id="4" xr3:uid="{792AD32E-175F-4DB9-BD9C-D3841F52A638}" name="NIR definition" dataCellStyle="Content normal">
      <calculatedColumnFormula array="1">Common_InputFunctions.Utility_DisplayArrayInTable(SourceData_Feedlot.SourceData_Feedlot_FracNVolatilised_Data(), Table_SourceData_Feedlot_FracGASMmT[[#Headers],[Treatment stage T]],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Feedlot_CropProdSystems" displayName="Table_SourceData_Feedlot_CropProdSystems" ref="G27:G29" totalsRowShown="0">
  <autoFilter ref="G27:G2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Feedlot_IrrigationMethods" displayName="Table_SourceData_Feedlot_IrrigationMethods" ref="J27:J32" totalsRowShown="0">
  <autoFilter ref="J27:J3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14F1257-9FFD-4A06-BEB3-327873B0D4AA}"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C152B8B0-F310-4DBB-9B49-48BED2E695C2}" name="State/Territory">
      <calculatedColumnFormula array="1">Common_InputFunctions.Utility_DisplayArrayInTable(Common_SourceData.Common_SourceData_AustralianStatesTerritories_Data(),Table_AustralianStates[[#Headers],[State/Territory]],0)</calculatedColumnFormula>
    </tableColumn>
    <tableColumn id="2" xr3:uid="{45AC8637-58DF-4872-9C96-FEB7AD6BF947}" name="Common Name">
      <calculatedColumnFormula array="1">Common_InputFunctions.Utility_DisplayArrayInTable(Common_SourceData.Common_SourceData_AustralianStatesTerritories_Data(),Table_AustralianStates[[#Headers],[State/Territory]],0)</calculatedColumnFormula>
    </tableColumn>
    <tableColumn id="3" xr3:uid="{1BD062A5-5588-423E-A20A-B7E81A43CFA5}"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8A6C99A-ADA3-41C7-96E2-554F9896A918}" name="Table_WASA4Areas" displayName="Table_WASA4Areas" ref="D20:D30" totalsRowShown="0">
  <autoFilter ref="D20:D30" xr:uid="{5FA81339-C6C8-4D36-BEEA-6C4AEDD9E676}">
    <filterColumn colId="0" hiddenButton="1"/>
  </autoFilter>
  <tableColumns count="1">
    <tableColumn id="1" xr3:uid="{190049B8-689A-4E22-A7E1-A08859A5EE69}"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48DD1AAB-ABF0-45BE-B142-28C02310F073}" name="Table_GWPData" displayName="Table_GWPData" ref="D36:E43" totalsRowShown="0">
  <autoFilter ref="D36:E43" xr:uid="{B8E87A66-3E41-4AD3-925D-01EE21B43D7A}">
    <filterColumn colId="0" hiddenButton="1"/>
    <filterColumn colId="1" hiddenButton="1"/>
  </autoFilter>
  <tableColumns count="2">
    <tableColumn id="1" xr3:uid="{F643D369-C343-4011-BD35-602EFB10C326}" name="Gas">
      <calculatedColumnFormula array="1">Common_InputFunctions.Utility_DisplayArrayInTable(Common_SourceData.Common_SourceData_GWP_Data(), Table_GWPData[[#Headers],[Gas]], 0)</calculatedColumnFormula>
    </tableColumn>
    <tableColumn id="2" xr3:uid="{41AE0BEA-86C3-4EBF-BC37-B324B34EECD4}"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C49DEDF-DE26-457F-854D-033636B3330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84968D2C-9FC5-4EF7-8081-E6A28FBFD3F4}" name="Gas">
      <calculatedColumnFormula array="1">Common_InputFunctions.Utility_DisplayArrayInTable(Common_SourceData.Common_SourceData_ConvertGasElementalToMolecular_Data(),Table_GasToMolecularConversionFactor[[#Headers],[Gas]], 0)</calculatedColumnFormula>
    </tableColumn>
    <tableColumn id="5" xr3:uid="{394453BB-BE98-4169-B1E0-C08CEC806CC6}" name="Conversion factor">
      <calculatedColumnFormula array="1">Common_InputFunctions.Utility_DisplayArrayInTable(Common_SourceData.Common_SourceData_ConvertGasElementalToMolecular_Data(),Table_GasToMolecularConversionFactor[[#Headers],[Gas]], 0)</calculatedColumnFormula>
    </tableColumn>
    <tableColumn id="2" xr3:uid="{E5AE10BF-894E-49B1-987D-E45F44EF3570}" name="Conversion factor 1">
      <calculatedColumnFormula array="1">Common_InputFunctions.Utility_DisplayArrayInTable(Common_SourceData.Common_SourceData_ConvertGasElementalToMolecular_Data(),Table_GasToMolecularConversionFactor[[#Headers],[Gas]], 0)</calculatedColumnFormula>
    </tableColumn>
    <tableColumn id="3" xr3:uid="{D2B72DC8-5AEE-46A3-A04F-CC97B488C0DD}" name="Conversion factor 2">
      <calculatedColumnFormula array="1">Common_InputFunctions.Utility_DisplayArrayInTable(Common_SourceData.Common_SourceData_ConvertGasElementalToMolecular_Data(),Table_GasToMolecularConversionFactor[[#Headers],[Gas]], 0)</calculatedColumnFormula>
    </tableColumn>
    <tableColumn id="4" xr3:uid="{C439E5B1-B5F9-42BE-87BC-8DC09F396A57}"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FB26B50D-F016-46A8-8239-55ED56246A7D}"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D60DA58E-B829-4C71-BDF8-1B2F6891D732}"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27E62255-EB41-42E6-AC44-A073C3FA0BB9}"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3AA721EF-C414-4E64-B6AA-BA3C571C5992}"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AF6C16C4-8476-41BD-9A1E-505C48CC25EA}"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451408CF-48F8-4DE1-BB9A-4421C30E1403}"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1623A147-4E8D-492F-89A6-638AED7900C5}"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385D458A-83BF-4728-A479-BF84369BF1DC}"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D876EAC2-AF08-49FE-9B6C-CDE7989EFA83}"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B938A9A8-45AE-4A68-BCA7-9A745D70FB53}"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653F34A5-F52E-4677-8746-13A54EBF92E6}"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70E838A3-A75C-4F3F-81E5-6266275E71DD}"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978E751B-0D52-42F9-AC95-5763E6EBF7B2}"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9FE8CF28-4C0B-478C-A272-F255754E1CFE}"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A0FEAB60-34BD-4B40-9475-AC3E39E73FB0}"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131ECD21-599C-4EEF-A295-27CCF4A40B4C}"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500410B2-FE3C-4B9A-9AD8-967C18CBE996}"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C6F83423-7DF4-41A5-8263-0C29E56778AC}"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E7F87C1F-B811-4840-B256-69E32D64FFD6}"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C5B74237-CC3F-4168-BA47-B1F2AAADA656}"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24D4C30-636C-4DBB-912E-DE120CF69005}"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CA52AA3C-CA89-48F3-8EB2-2A603906105F}" name="Temperature Zone">
      <calculatedColumnFormula array="1">Common_InputFunctions.Utility_DisplayArrayInTable(Common_SourceData.Common_SourceData_TemperatureZones_Data(),Table_SourceData_TemperatureZones[[#Headers],[Temperature Zone]],0)</calculatedColumnFormula>
    </tableColumn>
    <tableColumn id="2" xr3:uid="{A2B9AA01-382C-45E5-B91A-67D67D30AF46}" name="MAT">
      <calculatedColumnFormula array="1">Common_InputFunctions.Utility_DisplayArrayInTable(Common_SourceData.Common_SourceData_TemperatureZones_Data(),Table_SourceData_TemperatureZones[[#Headers],[Temperature Zone]],0)</calculatedColumnFormula>
    </tableColumn>
    <tableColumn id="3" xr3:uid="{3D48B33B-1F25-4CC3-8316-84653C521F29}" name="Min MAT">
      <calculatedColumnFormula array="1">Common_InputFunctions.Utility_DisplayArrayInTable(Common_SourceData.Common_SourceData_TemperatureZones_Data(),Table_SourceData_TemperatureZones[[#Headers],[Temperature Zone]],0)</calculatedColumnFormula>
    </tableColumn>
    <tableColumn id="4" xr3:uid="{69582A6D-1146-4472-A3C8-1A49081BE336}"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58D80980-06E4-45E6-981C-63DD58B175D8}"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7615802A-6D72-425D-9CE4-BC7D542C56CE}" name="Rainfall Zone">
      <calculatedColumnFormula array="1">Common_InputFunctions.Utility_DisplayArrayInTable(Common_SourceData.Common_SourceData_RainfallZones_Data(),Table_SourceData_RainfallZones[[#Headers],[Rainfall Zone]],0)</calculatedColumnFormula>
    </tableColumn>
    <tableColumn id="2" xr3:uid="{E1DB465C-E06F-4F9D-A754-867F715DBD4B}" name="Annual rainfall">
      <calculatedColumnFormula array="1">Common_InputFunctions.Utility_DisplayArrayInTable(Common_SourceData.Common_SourceData_RainfallZones_Data(),Table_SourceData_RainfallZones[[#Headers],[Rainfall Zone]],0)</calculatedColumnFormula>
    </tableColumn>
    <tableColumn id="3" xr3:uid="{224BFC11-2477-4B45-B173-2056A7B51041}" name="Min rainfall">
      <calculatedColumnFormula array="1">Common_InputFunctions.Utility_DisplayArrayInTable(Common_SourceData.Common_SourceData_RainfallZones_Data(),Table_SourceData_RainfallZones[[#Headers],[Rainfall Zone]],0)</calculatedColumnFormula>
    </tableColumn>
    <tableColumn id="4" xr3:uid="{D5E137AF-235A-4427-AC29-3E4A6DCF1833}"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5AB30CCE-77D5-4B5B-904A-973B0D815BBC}"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3354C849-8607-43D4-8D24-6C56D83022FA}" name="Leaching Zone">
      <calculatedColumnFormula array="1">Common_InputFunctions.Utility_DisplayArrayInTable(Common_SourceData.Common_SourceData_LeachingZones_Data(), Table_SourceData_LeachingZones[[#Headers],[Leaching Zone]], 0)</calculatedColumnFormula>
    </tableColumn>
    <tableColumn id="2" xr3:uid="{642C1800-5B0A-4D13-A1FB-D691CAD334A8}"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47FB9FC-F771-4373-8260-0098BD2B1066}"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FC4B030D-100E-48C6-8A19-C9FFD21AD30A}" name="Data source">
      <calculatedColumnFormula array="1">Common_InputFunctions.Utility_DisplayArrayInTable(Common_SourceData.Common_SourceData_DataScores_Scope3_Data(), Table_SourceData_DataScores_Scope3[[#Headers],[Data source]], 0)</calculatedColumnFormula>
    </tableColumn>
    <tableColumn id="2" xr3:uid="{ECE3A7B5-F639-4631-8963-D8108DE9E335}"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1AB46D37-5755-4A18-97F3-E358B0EDC07C}" name="Table_SourceData_FracWET" displayName="Table_SourceData_FracWET" ref="D134:E136" totalsRowShown="0">
  <autoFilter ref="D134:E136" xr:uid="{308E99BE-FE1F-47A4-B2CA-97217277C4E9}">
    <filterColumn colId="0" hiddenButton="1"/>
    <filterColumn colId="1" hiddenButton="1"/>
  </autoFilter>
  <tableColumns count="2">
    <tableColumn id="1" xr3:uid="{591521E2-42B6-43AE-BAF7-25FB48F19A8C}" name="Is in leaching zone">
      <calculatedColumnFormula array="1">Common_InputFunctions.Utility_DisplayArrayInTable(Common_SourceData.Common_SourceData_FracWET_Data(),Table_SourceData_FracWET[[#Headers],[Is in leaching zone]],0)</calculatedColumnFormula>
    </tableColumn>
    <tableColumn id="2" xr3:uid="{C4E89032-2375-4FDA-A7F2-387312E8EDF8}"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66045F48-BB0A-4C8D-8B03-B93E4D2C6C5B}"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B9D6B5A6-37F2-451B-BA7F-C3737937AC79}" name="Production system j">
      <calculatedColumnFormula array="1">Common_InputFunctions.Utility_DisplayArrayInTable(Common_SourceData.Common_SourceData_EFN2O_Data(), Table_SourceData_Common_EFN2O[[#Headers],[Production system j]], 0)</calculatedColumnFormula>
    </tableColumn>
    <tableColumn id="2" xr3:uid="{33A93AC0-8CAF-43CC-A789-48AA6D6A0D05}" name="EFN2O">
      <calculatedColumnFormula array="1">Common_InputFunctions.Utility_DisplayArrayInTable(Common_SourceData.Common_SourceData_EFN2O_Data(), Table_SourceData_Common_EFN2O[[#Headers],[Production system j]], 0)</calculatedColumnFormula>
    </tableColumn>
    <tableColumn id="3" xr3:uid="{5F09F312-EFAC-4BC4-A525-1BB6F76F6E1B}" name="Production system only">
      <calculatedColumnFormula array="1">Common_InputFunctions.Utility_DisplayArrayInTable(Common_SourceData.Common_SourceData_EFN2O_Data(), Table_SourceData_Common_EFN2O[[#Headers],[Production system j]], 0)</calculatedColumnFormula>
    </tableColumn>
    <tableColumn id="4" xr3:uid="{0120D817-F5E6-40C1-ACC7-AC52D299FB39}" name="Irrigation method">
      <calculatedColumnFormula array="1">Common_InputFunctions.Utility_DisplayArrayInTable(Common_SourceData.Common_SourceData_EFN2O_Data(), Table_SourceData_Common_EFN2O[[#Headers],[Production system j]], 0)</calculatedColumnFormula>
    </tableColumn>
    <tableColumn id="5" xr3:uid="{74739519-6B0E-4A93-8AEB-CFBC84040ADB}"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E2C83720-EAFA-43E0-AB96-07947352D813}"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ABE996D6-7FFF-4757-AF1E-8B8AE0A43A75}" name="Irrigation type i">
      <calculatedColumnFormula array="1">Common_InputFunctions.Utility_DisplayArrayInTable(Common_SourceData.Common_SourceData_FracWETIrrigation_Data(), Table_SourceData_FracWETIrrigation[[#Headers],[Irrigation type i]], 0)</calculatedColumnFormula>
    </tableColumn>
    <tableColumn id="2" xr3:uid="{13C88F98-E76F-4886-AAD1-3AE6BFC4DCA1}"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2BDAA0A-5F7E-489B-BD52-916924A9CD66}"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1EAB483F-42C3-4A45-BF25-F1A5679BA057}"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701E9542-D730-4405-BD2C-46F9E7E9789A}"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2C59676A-B785-468F-BA1C-C6C208F0199C}"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9125ECE9-3ADB-40B4-B531-F3DA2F54CFFB}" name="Month">
      <calculatedColumnFormula array="1">Common_InputFunctions.Utility_DisplayArrayInTable(Common_SourceData.Common_SourceData_MonthsToSeasons_Data(), Table_SourceData_Common_MonthToSeason[[#Headers],[Month]], 0)</calculatedColumnFormula>
    </tableColumn>
    <tableColumn id="2" xr3:uid="{582A778C-7F9B-4D94-A7EC-BC86E6FCADDC}"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BD30E199-7266-4CB7-A4BD-DD3CC4DB967D}"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B947232-2215-4E5C-8BE6-82FC5948E9FE}"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EEEBDDC2-30D5-4EFF-A915-8F1E0A7B846F}"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7217E564-89AC-487A-838A-7954E87A0B9F}"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33AE8184-2EB4-48C5-B874-9E826E7D1E90}"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313B6A18-1A3E-4A16-8CCE-B535E36BE6F1}"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47FDE51F-4140-4DF6-A107-72D5712E9140}"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3573E83E-46D5-48B1-BAE0-ACECC1197B12}"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FC56180E-2D5D-4EFD-95AC-7A3C060EB8C1}"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A68CF33F-9F43-4652-8EF5-8A553CA12AF0}"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5ABEE273-FA33-4A93-B1C9-3D6C1ACE4C1E}"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9D69E8E9-80D9-4142-9C6B-E27193081B94}"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BDF6EE34-FC92-48F9-B9B3-4F8AF211AFD9}"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57C14148-A453-4436-9B20-4962AB8B7F03}"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6A43489F-01AE-470A-9ED3-AF64D8A2D8BE}"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C346730-0AF9-4587-98A5-DE005A3BAC9E}"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C703CDD4-666B-4FCD-A94C-EA29E4926EC9}"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D66CFAC6-FEFD-4960-B662-EE72C65B775E}"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353E5E2B-C0FA-405D-B4AF-63E47BDD32A7}"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DF6D7C5F-94B7-4DCF-BABE-EE8D966EF291}"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18" Type="http://schemas.openxmlformats.org/officeDocument/2006/relationships/table" Target="../tables/table26.xml"/><Relationship Id="rId3" Type="http://schemas.openxmlformats.org/officeDocument/2006/relationships/table" Target="../tables/table11.xml"/><Relationship Id="rId7" Type="http://schemas.openxmlformats.org/officeDocument/2006/relationships/table" Target="../tables/table15.xml"/><Relationship Id="rId12" Type="http://schemas.openxmlformats.org/officeDocument/2006/relationships/table" Target="../tables/table20.xml"/><Relationship Id="rId17" Type="http://schemas.openxmlformats.org/officeDocument/2006/relationships/table" Target="../tables/table25.xml"/><Relationship Id="rId2" Type="http://schemas.openxmlformats.org/officeDocument/2006/relationships/table" Target="../tables/table10.xml"/><Relationship Id="rId16" Type="http://schemas.openxmlformats.org/officeDocument/2006/relationships/table" Target="../tables/table24.xml"/><Relationship Id="rId1" Type="http://schemas.openxmlformats.org/officeDocument/2006/relationships/printerSettings" Target="../printerSettings/printerSettings3.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election activeCell="Z27" sqref="Z27"/>
    </sheetView>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heetViews>
  <sheetFormatPr defaultRowHeight="15" x14ac:dyDescent="0.25"/>
  <cols>
    <col min="1" max="1" width="30.7109375" customWidth="1"/>
    <col min="2" max="3" width="4.7109375" customWidth="1"/>
  </cols>
  <sheetData>
    <row r="1" spans="1:64" ht="30" customHeight="1" x14ac:dyDescent="0.35">
      <c r="A1" s="63" t="e" vm="1">
        <v>#VALUE!</v>
      </c>
      <c r="C1" s="109" t="s">
        <v>177</v>
      </c>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110"/>
      <c r="AG1" s="110"/>
    </row>
    <row r="2" spans="1:64" ht="20.100000000000001" customHeight="1" x14ac:dyDescent="0.25">
      <c r="A2" s="9"/>
      <c r="C2" s="110"/>
      <c r="D2" s="110"/>
      <c r="E2" s="110"/>
      <c r="F2" s="110"/>
      <c r="G2" s="110"/>
      <c r="H2" s="110"/>
      <c r="I2" s="110"/>
      <c r="J2" s="110"/>
      <c r="K2" s="110"/>
      <c r="L2" s="110"/>
      <c r="M2" s="110"/>
      <c r="N2" s="110"/>
      <c r="O2" s="110"/>
      <c r="P2" s="110"/>
      <c r="Q2" s="110"/>
      <c r="R2" s="110"/>
      <c r="S2" s="110"/>
      <c r="T2" s="110"/>
      <c r="U2" s="110"/>
      <c r="V2" s="110"/>
      <c r="W2" s="110"/>
      <c r="X2" s="110"/>
      <c r="Y2" s="110"/>
      <c r="Z2" s="110"/>
      <c r="AA2" s="110"/>
      <c r="AB2" s="110"/>
      <c r="AC2" s="110"/>
      <c r="AD2" s="110"/>
      <c r="AE2" s="110"/>
      <c r="AF2" s="110"/>
      <c r="AG2" s="110"/>
    </row>
    <row r="3" spans="1:64" ht="20.100000000000001" customHeight="1" x14ac:dyDescent="0.25">
      <c r="A3" s="17" t="str">
        <f>HYPERLINK("#'Home'!A1", "Home")</f>
        <v>Home</v>
      </c>
      <c r="C3" s="111"/>
      <c r="D3" s="111"/>
      <c r="E3" s="111"/>
      <c r="F3" s="111"/>
      <c r="G3" s="111"/>
      <c r="H3" s="111"/>
      <c r="I3" s="111"/>
      <c r="J3" s="111"/>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c r="AY3" s="111"/>
      <c r="AZ3" s="111"/>
      <c r="BA3" s="111"/>
      <c r="BB3" s="111"/>
      <c r="BC3" s="111"/>
      <c r="BD3" s="111"/>
      <c r="BE3" s="111"/>
      <c r="BF3" s="111"/>
      <c r="BG3" s="111"/>
      <c r="BH3" s="111"/>
      <c r="BI3" s="111"/>
      <c r="BJ3" s="111"/>
      <c r="BK3" s="111"/>
      <c r="BL3" s="111"/>
    </row>
    <row r="4" spans="1:64" ht="20.100000000000001" customHeight="1" x14ac:dyDescent="0.25">
      <c r="A4" s="101"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12" t="s">
        <v>179</v>
      </c>
      <c r="E5" s="112"/>
      <c r="F5" s="112"/>
      <c r="G5" s="112"/>
      <c r="H5" s="112"/>
      <c r="I5" s="96"/>
      <c r="J5" s="79"/>
      <c r="K5" s="79"/>
      <c r="L5" s="79"/>
      <c r="M5" s="79"/>
      <c r="N5" s="79"/>
      <c r="O5" s="75"/>
      <c r="P5" s="1"/>
      <c r="Q5" s="1"/>
      <c r="R5" s="1"/>
      <c r="S5" s="1"/>
      <c r="T5" s="1"/>
      <c r="U5" s="1"/>
      <c r="V5" s="1"/>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13" t="s">
        <v>159</v>
      </c>
      <c r="E6" s="114"/>
      <c r="F6" s="114"/>
      <c r="G6" s="114"/>
      <c r="H6" s="114"/>
      <c r="I6" s="81"/>
      <c r="J6" s="78"/>
      <c r="K6" s="78"/>
      <c r="L6" s="78"/>
      <c r="M6" s="78"/>
      <c r="N6" s="78"/>
      <c r="O6" s="76"/>
      <c r="P6" s="1"/>
      <c r="Q6" s="1"/>
      <c r="R6" s="1"/>
      <c r="S6" s="1"/>
      <c r="T6" s="1"/>
      <c r="U6" s="1"/>
      <c r="V6" s="1"/>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Feedlot'!A1", "Feedlot")</f>
        <v>Feedlot</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58</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HYPERLINK("#'3.1.1.1-2 Enteric Methane'!A1", "3.1.1.1-2 Enteric Methane")</f>
        <v>3.1.1.1-2 Enteric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8" t="s">
        <v>4</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HYPERLINK("#'Constants - Feedlot'!A1", "Constants - Feedlot")</f>
        <v>Constants - Feedlot</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A16" s="17" t="str">
        <f>HYPERLINK("#'Constants - Livestock'!A1", "Constants - Livestock")</f>
        <v>Constants - Livestock</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7" t="str">
        <f>HYPERLINK("#'Constants - Common'!A1", "Constants - Common")</f>
        <v>Constants - Common</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HYPERLINK("#'Acknowledgements'!A1", "Acknowledgements")</f>
        <v>Acknowledgements</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7"/>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I7" sqref="I7"/>
    </sheetView>
  </sheetViews>
  <sheetFormatPr defaultRowHeight="15" x14ac:dyDescent="0.25"/>
  <cols>
    <col min="1" max="1" width="30.7109375" customWidth="1"/>
    <col min="2" max="3" width="2.7109375" customWidth="1"/>
    <col min="4" max="4" width="54.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63" t="e" vm="1">
        <v>#VALUE!</v>
      </c>
      <c r="C1" s="102" t="s">
        <v>178</v>
      </c>
    </row>
    <row r="2" spans="1:12" ht="20.100000000000001" customHeight="1" x14ac:dyDescent="0.25">
      <c r="A2" s="9"/>
      <c r="C2" s="9"/>
    </row>
    <row r="3" spans="1:12" ht="20.100000000000001" customHeight="1" x14ac:dyDescent="0.25">
      <c r="A3" s="17" t="str">
        <f>HYPERLINK("#'Home'!A1", "Home")</f>
        <v>Home</v>
      </c>
      <c r="C3" s="24"/>
      <c r="D3" s="24"/>
      <c r="E3" s="24"/>
      <c r="F3" s="24"/>
      <c r="G3" s="24"/>
      <c r="H3" s="24"/>
      <c r="I3" s="24"/>
      <c r="J3" s="24"/>
      <c r="K3" s="24"/>
      <c r="L3" s="24"/>
    </row>
    <row r="4" spans="1:12" ht="20.100000000000001" customHeight="1" x14ac:dyDescent="0.25">
      <c r="A4" s="17" t="str">
        <f>HYPERLINK("#'Overview'!A1", "Overview")</f>
        <v>Overview</v>
      </c>
      <c r="C4" s="24"/>
      <c r="D4" s="6" t="s">
        <v>5</v>
      </c>
      <c r="E4" s="26"/>
      <c r="F4" s="26"/>
      <c r="G4" s="26"/>
      <c r="H4" s="6"/>
      <c r="I4" s="6"/>
      <c r="J4" s="6"/>
      <c r="K4" s="6"/>
      <c r="L4" s="27"/>
    </row>
    <row r="5" spans="1:12" ht="20.100000000000001" customHeight="1" x14ac:dyDescent="0.3">
      <c r="A5" s="101" t="str">
        <f>HYPERLINK("#'Results'!A1", "Results")</f>
        <v>Results</v>
      </c>
      <c r="C5" s="24"/>
      <c r="D5" s="28"/>
      <c r="E5" s="29"/>
      <c r="F5" s="29"/>
      <c r="G5" s="29"/>
      <c r="H5" s="26"/>
      <c r="I5" s="24"/>
      <c r="J5" s="24"/>
      <c r="K5" s="24"/>
      <c r="L5" s="24"/>
    </row>
    <row r="6" spans="1:12" ht="20.100000000000001" customHeight="1" x14ac:dyDescent="0.25">
      <c r="A6" s="16"/>
      <c r="C6" s="24"/>
      <c r="D6" s="100" t="s">
        <v>114</v>
      </c>
      <c r="E6" s="100" t="s">
        <v>137</v>
      </c>
      <c r="F6" s="100" t="s">
        <v>138</v>
      </c>
      <c r="G6" s="100" t="s">
        <v>128</v>
      </c>
      <c r="H6" s="100" t="s">
        <v>139</v>
      </c>
      <c r="I6" s="100" t="s">
        <v>141</v>
      </c>
      <c r="J6" s="100" t="s">
        <v>129</v>
      </c>
      <c r="K6" s="24"/>
      <c r="L6" s="24"/>
    </row>
    <row r="7" spans="1:12" ht="20.100000000000001" customHeight="1" x14ac:dyDescent="0.25">
      <c r="A7" s="20" t="s">
        <v>3</v>
      </c>
      <c r="C7" s="24"/>
      <c r="D7" s="1" t="s">
        <v>160</v>
      </c>
      <c r="E7" s="98">
        <f ca="1">VEERG_3_1_1_1__1_TotalAnnualMethaneFromEntericFermentation_Result</f>
        <v>35.420230000000004</v>
      </c>
      <c r="F7" s="98">
        <f ca="1">'3.1.1.1-2 Enteric Methane'!N67</f>
        <v>35.420230000000004</v>
      </c>
      <c r="G7" s="52" t="str">
        <f>'3.1.1.1-2 Enteric Methane'!F67</f>
        <v>t CH4</v>
      </c>
      <c r="H7" s="98">
        <f ca="1">'3.1.1.1-2 Enteric Methane'!E72</f>
        <v>991.7664400000001</v>
      </c>
      <c r="I7" s="98">
        <f ca="1">'3.1.1.1-2 Enteric Methane'!N72</f>
        <v>991.7664400000001</v>
      </c>
      <c r="J7" s="52" t="s">
        <v>140</v>
      </c>
      <c r="K7" s="24"/>
      <c r="L7" s="24"/>
    </row>
    <row r="8" spans="1:12" ht="20.100000000000001" customHeight="1" x14ac:dyDescent="0.3">
      <c r="A8" s="17" t="str">
        <f>HYPERLINK("#'Input - Site'!A1", "Site")</f>
        <v>Site</v>
      </c>
      <c r="C8" s="24"/>
      <c r="D8" s="31" t="s">
        <v>127</v>
      </c>
      <c r="E8" s="25"/>
      <c r="F8" s="31"/>
      <c r="G8" s="31"/>
      <c r="H8" s="99">
        <f ca="1">SUM(H7:H7)</f>
        <v>991.7664400000001</v>
      </c>
      <c r="I8" s="99">
        <f ca="1">SUM(I7:I7)</f>
        <v>991.7664400000001</v>
      </c>
      <c r="J8" s="93" t="s">
        <v>140</v>
      </c>
      <c r="K8" s="24"/>
      <c r="L8" s="24"/>
    </row>
    <row r="9" spans="1:12" ht="20.100000000000001" customHeight="1" x14ac:dyDescent="0.25">
      <c r="A9" s="17" t="str">
        <f>HYPERLINK("#'Input - Feedlot'!A1", "Feedlot")</f>
        <v>Feedlot</v>
      </c>
      <c r="C9" s="24"/>
      <c r="D9" s="1"/>
      <c r="E9" s="1"/>
      <c r="F9" s="1"/>
      <c r="G9" s="26"/>
      <c r="H9" s="24"/>
      <c r="I9" s="1"/>
      <c r="J9" s="1"/>
      <c r="K9" s="24"/>
      <c r="L9" s="24"/>
    </row>
    <row r="10" spans="1:12" ht="20.100000000000001" customHeight="1" x14ac:dyDescent="0.25">
      <c r="A10" s="17"/>
      <c r="C10" s="24"/>
      <c r="D10" s="1"/>
      <c r="E10" s="1"/>
      <c r="F10" s="1"/>
      <c r="G10" s="1"/>
      <c r="H10" s="1"/>
      <c r="I10" s="1"/>
      <c r="J10" s="1"/>
      <c r="K10" s="24"/>
      <c r="L10" s="24"/>
    </row>
    <row r="11" spans="1:12" ht="20.100000000000001" customHeight="1" x14ac:dyDescent="0.25">
      <c r="A11" s="19" t="s">
        <v>58</v>
      </c>
      <c r="C11" s="24"/>
      <c r="D11" s="1"/>
      <c r="E11" s="1"/>
      <c r="F11" s="1"/>
      <c r="G11" s="1"/>
      <c r="H11" s="1"/>
      <c r="I11" s="1"/>
      <c r="J11" s="1"/>
      <c r="K11" s="24"/>
      <c r="L11" s="24"/>
    </row>
    <row r="12" spans="1:12" ht="20.100000000000001" customHeight="1" x14ac:dyDescent="0.25">
      <c r="A12" s="17" t="str">
        <f>HYPERLINK("#'3.1.1.1-2 Enteric Methane'!A1", "3.1.1.1-2 Enteric Methane")</f>
        <v>3.1.1.1-2 Enteric Methane</v>
      </c>
      <c r="C12" s="24"/>
      <c r="D12" s="1"/>
      <c r="E12" s="1"/>
      <c r="F12" s="1"/>
      <c r="G12" s="1"/>
      <c r="H12" s="1"/>
      <c r="I12" s="1"/>
      <c r="J12" s="1"/>
      <c r="K12" s="24"/>
      <c r="L12" s="24"/>
    </row>
    <row r="13" spans="1:12" ht="20.100000000000001" customHeight="1" x14ac:dyDescent="0.25">
      <c r="C13" s="24"/>
      <c r="D13" s="1"/>
      <c r="E13" s="1"/>
      <c r="F13" s="1"/>
      <c r="G13" s="1"/>
      <c r="H13" s="1"/>
      <c r="I13" s="1"/>
      <c r="J13" s="1"/>
      <c r="K13" s="24"/>
      <c r="L13" s="24"/>
    </row>
    <row r="14" spans="1:12" ht="20.100000000000001" customHeight="1" x14ac:dyDescent="0.25">
      <c r="A14" s="18" t="s">
        <v>4</v>
      </c>
      <c r="C14" s="24"/>
      <c r="D14" s="1"/>
      <c r="E14" s="1"/>
      <c r="F14" s="1"/>
      <c r="G14" s="1"/>
      <c r="H14" s="1"/>
      <c r="I14" s="1"/>
      <c r="J14" s="1"/>
      <c r="K14" s="24"/>
      <c r="L14" s="24"/>
    </row>
    <row r="15" spans="1:12" ht="20.100000000000001" customHeight="1" x14ac:dyDescent="0.25">
      <c r="A15" s="17" t="str">
        <f>HYPERLINK("#'Constants - Feedlot'!A1", "Constants - Feedlot")</f>
        <v>Constants - Feedlot</v>
      </c>
      <c r="C15" s="24"/>
      <c r="D15" s="1"/>
      <c r="E15" s="1"/>
      <c r="F15" s="1"/>
      <c r="G15" s="1"/>
      <c r="H15" s="1"/>
      <c r="I15" s="1"/>
      <c r="J15" s="1"/>
      <c r="K15" s="24"/>
      <c r="L15" s="24"/>
    </row>
    <row r="16" spans="1:12" ht="20.100000000000001" customHeight="1" x14ac:dyDescent="0.25">
      <c r="A16" s="17" t="str">
        <f>HYPERLINK("#'Constants - Livestock'!A1", "Constants - Livestock")</f>
        <v>Constants - Livestock</v>
      </c>
      <c r="C16" s="24"/>
      <c r="D16" s="1"/>
      <c r="E16" s="1"/>
      <c r="F16" s="1"/>
      <c r="G16" s="1"/>
      <c r="H16" s="1"/>
      <c r="I16" s="1"/>
      <c r="J16" s="1"/>
      <c r="K16" s="24"/>
      <c r="L16" s="24"/>
    </row>
    <row r="17" spans="1:12" ht="20.100000000000001" customHeight="1" x14ac:dyDescent="0.25">
      <c r="A17" s="17" t="str">
        <f>HYPERLINK("#'Constants - Common'!A1", "Constants - Common")</f>
        <v>Constants - Common</v>
      </c>
      <c r="C17" s="24"/>
      <c r="D17" s="1"/>
      <c r="E17" s="1"/>
      <c r="F17" s="1"/>
      <c r="G17" s="1"/>
      <c r="H17" s="1"/>
      <c r="I17" s="1"/>
      <c r="J17" s="1"/>
      <c r="K17" s="24"/>
      <c r="L17" s="24"/>
    </row>
    <row r="18" spans="1:12" ht="20.100000000000001" customHeight="1" x14ac:dyDescent="0.25">
      <c r="A18" s="17" t="str">
        <f>HYPERLINK("#'Acknowledgements'!A1", "Acknowledgements")</f>
        <v>Acknowledgements</v>
      </c>
      <c r="C18" s="24"/>
      <c r="D18" s="1"/>
      <c r="E18" s="1"/>
      <c r="F18" s="1"/>
      <c r="G18" s="1"/>
      <c r="H18" s="1"/>
      <c r="I18" s="1"/>
      <c r="J18" s="1"/>
      <c r="K18" s="24"/>
      <c r="L18" s="24"/>
    </row>
    <row r="19" spans="1:12" ht="20.100000000000001" customHeight="1" x14ac:dyDescent="0.25">
      <c r="C19" s="24"/>
      <c r="D19" s="1"/>
      <c r="E19" s="1"/>
      <c r="F19" s="1"/>
      <c r="G19" s="1"/>
      <c r="H19" s="1"/>
      <c r="I19" s="1"/>
      <c r="J19" s="1"/>
      <c r="K19" s="24"/>
      <c r="L19" s="24"/>
    </row>
    <row r="20" spans="1:12" ht="20.100000000000001" customHeight="1" x14ac:dyDescent="0.25">
      <c r="C20" s="24"/>
      <c r="D20" s="1"/>
      <c r="E20" s="1"/>
      <c r="F20" s="1"/>
      <c r="G20" s="1"/>
      <c r="H20" s="1"/>
      <c r="I20" s="1"/>
      <c r="J20" s="1"/>
      <c r="K20" s="24"/>
      <c r="L20" s="24"/>
    </row>
    <row r="21" spans="1:12" ht="20.100000000000001" customHeight="1" x14ac:dyDescent="0.25">
      <c r="A21" s="17"/>
      <c r="C21" s="24"/>
      <c r="D21" s="1"/>
      <c r="E21" s="1"/>
      <c r="F21" s="1"/>
      <c r="G21" s="1"/>
      <c r="H21" s="1"/>
      <c r="I21" s="1"/>
      <c r="J21" s="1"/>
      <c r="K21" s="24"/>
      <c r="L21" s="24"/>
    </row>
    <row r="22" spans="1:12" ht="20.100000000000001" customHeight="1" x14ac:dyDescent="0.25">
      <c r="C22" s="24"/>
      <c r="D22" s="1"/>
      <c r="E22" s="1"/>
      <c r="F22" s="1"/>
      <c r="G22" s="1"/>
      <c r="H22" s="1"/>
      <c r="I22" s="1"/>
      <c r="J22" s="1"/>
      <c r="K22" s="24"/>
      <c r="L22" s="24"/>
    </row>
    <row r="23" spans="1:12" ht="20.100000000000001" customHeight="1" x14ac:dyDescent="0.25">
      <c r="C23" s="24"/>
      <c r="D23" s="1"/>
      <c r="E23" s="1"/>
      <c r="F23" s="1"/>
      <c r="G23" s="1"/>
      <c r="H23" s="1"/>
      <c r="I23" s="1"/>
      <c r="J23" s="1"/>
      <c r="K23" s="24"/>
      <c r="L23" s="24"/>
    </row>
    <row r="24" spans="1:12" ht="20.100000000000001" customHeight="1" x14ac:dyDescent="0.25">
      <c r="A24" s="17"/>
      <c r="C24" s="24"/>
      <c r="D24" s="1"/>
      <c r="E24" s="1"/>
      <c r="F24" s="1"/>
      <c r="G24" s="1"/>
      <c r="H24" s="1"/>
      <c r="I24" s="1"/>
      <c r="J24" s="1"/>
      <c r="K24" s="24"/>
      <c r="L24" s="24"/>
    </row>
    <row r="25" spans="1:12" ht="20.100000000000001" customHeight="1" x14ac:dyDescent="0.25">
      <c r="A25" s="17"/>
      <c r="C25" s="24"/>
      <c r="D25" s="1"/>
      <c r="E25" s="1"/>
      <c r="F25" s="1"/>
      <c r="G25" s="1"/>
      <c r="H25" s="1"/>
      <c r="I25" s="1"/>
      <c r="J25" s="1"/>
      <c r="K25" s="24"/>
      <c r="L25" s="24"/>
    </row>
    <row r="26" spans="1:12" ht="20.100000000000001" customHeight="1" x14ac:dyDescent="0.25">
      <c r="C26" s="24"/>
      <c r="D26" s="1"/>
      <c r="E26" s="1"/>
      <c r="F26" s="1"/>
      <c r="G26" s="1"/>
      <c r="H26" s="1"/>
      <c r="I26" s="1"/>
      <c r="J26" s="1"/>
      <c r="K26" s="24"/>
      <c r="L26" s="24"/>
    </row>
    <row r="27" spans="1:12" ht="20.100000000000001" customHeight="1" x14ac:dyDescent="0.25">
      <c r="C27" s="24"/>
      <c r="D27" s="1"/>
      <c r="E27" s="1"/>
      <c r="F27" s="1"/>
      <c r="G27" s="1"/>
      <c r="H27" s="1"/>
      <c r="I27" s="1"/>
      <c r="J27" s="1"/>
      <c r="K27" s="24"/>
      <c r="L27" s="24"/>
    </row>
    <row r="28" spans="1:12" ht="20.100000000000001" customHeight="1" x14ac:dyDescent="0.25">
      <c r="C28" s="24"/>
      <c r="D28" s="1"/>
      <c r="E28" s="1"/>
      <c r="F28" s="1"/>
      <c r="G28" s="1"/>
      <c r="H28" s="1"/>
      <c r="I28" s="1"/>
      <c r="J28" s="1"/>
      <c r="K28" s="24"/>
      <c r="L28" s="24"/>
    </row>
    <row r="29" spans="1:12" ht="20.100000000000001" customHeight="1" x14ac:dyDescent="0.25">
      <c r="C29" s="24"/>
      <c r="D29" s="1"/>
      <c r="E29" s="1"/>
      <c r="F29" s="1"/>
      <c r="G29" s="1"/>
      <c r="H29" s="24"/>
      <c r="I29" s="24"/>
      <c r="J29" s="24"/>
      <c r="K29" s="24"/>
      <c r="L29" s="24"/>
    </row>
    <row r="30" spans="1:12" ht="20.100000000000001" customHeight="1" x14ac:dyDescent="0.25">
      <c r="C30" s="24"/>
      <c r="D30" s="1"/>
      <c r="E30" s="1"/>
      <c r="F30" s="1"/>
      <c r="G30" s="1"/>
      <c r="H30" s="24"/>
      <c r="I30" s="24"/>
      <c r="J30" s="24"/>
      <c r="K30" s="24"/>
      <c r="L30" s="24"/>
    </row>
    <row r="31" spans="1:12" ht="20.100000000000001" customHeight="1" x14ac:dyDescent="0.25">
      <c r="C31" s="24"/>
      <c r="D31" s="1"/>
      <c r="E31" s="1"/>
      <c r="F31" s="1"/>
      <c r="G31" s="1"/>
      <c r="H31" s="24"/>
      <c r="I31" s="24"/>
      <c r="J31" s="24"/>
      <c r="K31" s="24"/>
      <c r="L31" s="24"/>
    </row>
    <row r="32" spans="1:12" ht="20.100000000000001" customHeight="1" x14ac:dyDescent="0.25">
      <c r="C32" s="24"/>
      <c r="D32" s="1"/>
      <c r="E32" s="1"/>
      <c r="F32" s="1"/>
      <c r="G32" s="1"/>
      <c r="H32" s="26"/>
      <c r="I32" s="24"/>
      <c r="J32" s="24"/>
      <c r="K32" s="24"/>
      <c r="L32" s="24"/>
    </row>
    <row r="33" spans="3:12" ht="20.100000000000001" customHeight="1" x14ac:dyDescent="0.3">
      <c r="C33" s="24"/>
      <c r="D33" s="1"/>
      <c r="E33" s="1"/>
      <c r="F33" s="1"/>
      <c r="G33" s="1"/>
      <c r="H33" s="29"/>
      <c r="I33" s="24"/>
      <c r="J33" s="24"/>
      <c r="K33" s="24"/>
      <c r="L33" s="24"/>
    </row>
    <row r="34" spans="3:12" ht="20.100000000000001" customHeight="1" x14ac:dyDescent="0.25">
      <c r="C34" s="24"/>
      <c r="D34" s="1"/>
      <c r="E34" s="1"/>
      <c r="F34" s="1"/>
      <c r="G34" s="1"/>
      <c r="H34" s="1"/>
      <c r="I34" s="24"/>
      <c r="J34" s="24"/>
      <c r="K34" s="24"/>
      <c r="L34" s="24"/>
    </row>
    <row r="35" spans="3:12" ht="20.100000000000001" customHeight="1" x14ac:dyDescent="0.25">
      <c r="C35" s="24"/>
      <c r="D35" s="1"/>
      <c r="E35" s="1"/>
      <c r="F35" s="1"/>
      <c r="G35" s="1"/>
      <c r="H35" s="1"/>
      <c r="I35" s="24"/>
      <c r="J35" s="24"/>
      <c r="K35" s="24"/>
      <c r="L35" s="24"/>
    </row>
    <row r="36" spans="3:12" ht="20.100000000000001" customHeight="1" x14ac:dyDescent="0.25">
      <c r="C36" s="24"/>
      <c r="D36" s="1"/>
      <c r="E36" s="1"/>
      <c r="F36" s="1"/>
      <c r="G36" s="1"/>
      <c r="H36" s="1"/>
      <c r="I36" s="24"/>
      <c r="J36" s="24"/>
      <c r="K36" s="24"/>
      <c r="L36" s="24"/>
    </row>
    <row r="37" spans="3:12" ht="20.100000000000001" customHeight="1" x14ac:dyDescent="0.25">
      <c r="C37" s="24"/>
      <c r="D37" s="1"/>
      <c r="E37" s="1"/>
      <c r="F37" s="1"/>
      <c r="G37" s="1"/>
      <c r="H37" s="1"/>
      <c r="I37" s="24"/>
      <c r="J37" s="24"/>
      <c r="K37" s="24"/>
      <c r="L37" s="24"/>
    </row>
    <row r="38" spans="3:12" ht="20.100000000000001" customHeight="1" x14ac:dyDescent="0.25">
      <c r="C38" s="24"/>
      <c r="D38" s="1"/>
      <c r="E38" s="1"/>
      <c r="F38" s="1"/>
      <c r="G38" s="1"/>
      <c r="H38" s="1"/>
      <c r="I38" s="97"/>
      <c r="J38" s="97"/>
      <c r="K38" s="97"/>
      <c r="L38" s="24"/>
    </row>
    <row r="39" spans="3:12" ht="20.100000000000001" customHeight="1" x14ac:dyDescent="0.25">
      <c r="C39" s="24"/>
      <c r="D39" s="1"/>
      <c r="E39" s="1"/>
      <c r="F39" s="1"/>
      <c r="G39" s="1"/>
      <c r="H39" s="1"/>
      <c r="I39" s="97"/>
      <c r="J39" s="97"/>
      <c r="K39" s="97"/>
      <c r="L39" s="24"/>
    </row>
    <row r="40" spans="3:12" ht="20.100000000000001" customHeight="1" x14ac:dyDescent="0.25">
      <c r="C40" s="24"/>
      <c r="D40" s="1"/>
      <c r="E40" s="1"/>
      <c r="F40" s="1"/>
      <c r="G40" s="1"/>
      <c r="H40" s="1"/>
      <c r="I40" s="97"/>
      <c r="J40" s="97"/>
      <c r="K40" s="97"/>
      <c r="L40" s="24"/>
    </row>
    <row r="41" spans="3:12" ht="20.100000000000001" customHeight="1" x14ac:dyDescent="0.25">
      <c r="C41" s="24"/>
      <c r="D41" s="1"/>
      <c r="E41" s="1"/>
      <c r="F41" s="1"/>
      <c r="G41" s="1"/>
      <c r="H41" s="1"/>
      <c r="I41" s="97"/>
      <c r="J41" s="97"/>
      <c r="K41" s="97"/>
      <c r="L41" s="24"/>
    </row>
    <row r="42" spans="3:12" ht="20.100000000000001" customHeight="1" x14ac:dyDescent="0.25">
      <c r="C42" s="24"/>
      <c r="D42" s="1"/>
      <c r="E42" s="1"/>
      <c r="F42" s="1"/>
      <c r="G42" s="1"/>
      <c r="H42" s="1"/>
      <c r="I42" s="97"/>
      <c r="J42" s="97"/>
      <c r="K42" s="97"/>
      <c r="L42" s="24"/>
    </row>
    <row r="43" spans="3:12" ht="20.100000000000001" customHeight="1" x14ac:dyDescent="0.25">
      <c r="C43" s="24"/>
      <c r="D43" s="1"/>
      <c r="E43" s="1"/>
      <c r="F43" s="1"/>
      <c r="G43" s="1"/>
      <c r="H43" s="1"/>
      <c r="I43" s="97"/>
      <c r="J43" s="97"/>
      <c r="K43" s="97"/>
      <c r="L43" s="24"/>
    </row>
    <row r="44" spans="3:12" ht="20.100000000000001" customHeight="1" x14ac:dyDescent="0.25">
      <c r="C44" s="24"/>
      <c r="D44" s="1"/>
      <c r="E44" s="1"/>
      <c r="F44" s="1"/>
      <c r="G44" s="1"/>
      <c r="H44" s="1"/>
      <c r="I44" s="97"/>
      <c r="J44" s="97"/>
      <c r="K44" s="97"/>
      <c r="L44" s="24"/>
    </row>
    <row r="45" spans="3:12" ht="20.100000000000001" customHeight="1" x14ac:dyDescent="0.25">
      <c r="C45" s="24"/>
      <c r="D45" s="1"/>
      <c r="E45" s="1"/>
      <c r="F45" s="1"/>
      <c r="G45" s="1"/>
      <c r="H45" s="1"/>
      <c r="I45" s="97"/>
      <c r="J45" s="97"/>
      <c r="K45" s="97"/>
      <c r="L45" s="24"/>
    </row>
    <row r="46" spans="3:12" ht="20.100000000000001" customHeight="1" x14ac:dyDescent="0.25">
      <c r="C46" s="24"/>
      <c r="D46" s="1"/>
      <c r="E46" s="1"/>
      <c r="F46" s="1"/>
      <c r="G46" s="1"/>
      <c r="H46" s="1"/>
      <c r="I46" s="97"/>
      <c r="J46" s="97"/>
      <c r="K46" s="97"/>
      <c r="L46" s="24"/>
    </row>
    <row r="47" spans="3:12" ht="20.100000000000001" customHeight="1" x14ac:dyDescent="0.25">
      <c r="C47" s="24"/>
      <c r="D47" s="1"/>
      <c r="E47" s="1"/>
      <c r="F47" s="1"/>
      <c r="G47" s="1"/>
      <c r="H47" s="1"/>
      <c r="I47" s="97"/>
      <c r="J47" s="97"/>
      <c r="K47" s="97"/>
      <c r="L47" s="24"/>
    </row>
    <row r="48" spans="3:12" ht="20.100000000000001" customHeight="1" x14ac:dyDescent="0.25">
      <c r="C48" s="24"/>
      <c r="D48" s="1"/>
      <c r="E48" s="1"/>
      <c r="F48" s="1"/>
      <c r="G48" s="1"/>
      <c r="H48" s="1"/>
      <c r="I48" s="97"/>
      <c r="J48" s="97"/>
      <c r="K48" s="97"/>
      <c r="L48" s="24"/>
    </row>
    <row r="49" spans="3:12" ht="20.100000000000001" customHeight="1" x14ac:dyDescent="0.25">
      <c r="C49" s="24"/>
      <c r="D49" s="1"/>
      <c r="E49" s="1"/>
      <c r="F49" s="1"/>
      <c r="G49" s="1"/>
      <c r="H49" s="97"/>
      <c r="I49" s="97"/>
      <c r="J49" s="97"/>
      <c r="K49" s="97"/>
      <c r="L49" s="24"/>
    </row>
    <row r="50" spans="3:12" ht="20.100000000000001" customHeight="1" x14ac:dyDescent="0.25">
      <c r="C50" s="24"/>
      <c r="D50" s="1"/>
      <c r="E50" s="1"/>
      <c r="F50" s="1"/>
      <c r="G50" s="1"/>
      <c r="H50" s="97"/>
      <c r="I50" s="97"/>
      <c r="J50" s="97"/>
      <c r="K50" s="97"/>
      <c r="L50" s="24"/>
    </row>
    <row r="51" spans="3:12" ht="20.100000000000001" customHeight="1" x14ac:dyDescent="0.25">
      <c r="C51" s="24"/>
      <c r="D51" s="1"/>
      <c r="E51" s="1"/>
      <c r="F51" s="1"/>
      <c r="G51" s="1"/>
      <c r="H51" s="97"/>
      <c r="I51" s="97"/>
      <c r="J51" s="97"/>
      <c r="K51" s="97"/>
      <c r="L51" s="24"/>
    </row>
    <row r="52" spans="3:12" ht="20.100000000000001" customHeight="1" x14ac:dyDescent="0.25">
      <c r="C52" s="24"/>
      <c r="D52" s="1"/>
      <c r="E52" s="1"/>
      <c r="F52" s="1"/>
      <c r="G52" s="1"/>
      <c r="H52" s="97"/>
      <c r="I52" s="97"/>
      <c r="J52" s="97"/>
      <c r="K52" s="97"/>
      <c r="L52" s="24"/>
    </row>
    <row r="53" spans="3:12" ht="20.100000000000001" customHeight="1" x14ac:dyDescent="0.25">
      <c r="C53" s="24"/>
      <c r="D53" s="1"/>
      <c r="E53" s="1"/>
      <c r="F53" s="1"/>
      <c r="G53" s="1"/>
      <c r="H53" s="97"/>
      <c r="I53" s="97"/>
      <c r="J53" s="97"/>
      <c r="K53" s="97"/>
      <c r="L53" s="24"/>
    </row>
    <row r="54" spans="3:12" ht="20.100000000000001" customHeight="1" x14ac:dyDescent="0.25">
      <c r="C54" s="24"/>
      <c r="D54" s="1"/>
      <c r="E54" s="1"/>
      <c r="F54" s="1"/>
      <c r="G54" s="1"/>
      <c r="H54" s="24"/>
      <c r="I54" s="24"/>
      <c r="J54" s="24"/>
      <c r="K54" s="24"/>
      <c r="L54" s="24"/>
    </row>
    <row r="55" spans="3:12" ht="20.100000000000001" customHeight="1" x14ac:dyDescent="0.25">
      <c r="C55" s="24"/>
      <c r="D55" s="1"/>
      <c r="E55" s="1"/>
      <c r="F55" s="1"/>
      <c r="G55" s="1"/>
      <c r="H55" s="24"/>
      <c r="I55" s="24"/>
      <c r="J55" s="24"/>
      <c r="K55" s="24"/>
      <c r="L55" s="24"/>
    </row>
    <row r="56" spans="3:12" ht="20.100000000000001" customHeight="1" x14ac:dyDescent="0.25">
      <c r="C56" s="24"/>
      <c r="D56" s="1"/>
      <c r="E56" s="1"/>
      <c r="F56" s="1"/>
      <c r="G56" s="1"/>
      <c r="H56" s="24"/>
      <c r="I56" s="24"/>
      <c r="J56" s="24"/>
      <c r="K56" s="24"/>
      <c r="L56" s="24"/>
    </row>
    <row r="57" spans="3:12" ht="20.100000000000001" customHeight="1" x14ac:dyDescent="0.25">
      <c r="C57" s="24"/>
      <c r="D57" s="1"/>
      <c r="E57" s="1"/>
      <c r="F57" s="1"/>
      <c r="G57" s="1"/>
      <c r="H57" s="24"/>
      <c r="I57" s="24"/>
      <c r="J57" s="24"/>
      <c r="K57" s="24"/>
      <c r="L57" s="24"/>
    </row>
    <row r="58" spans="3:12" ht="20.100000000000001" customHeight="1" x14ac:dyDescent="0.25">
      <c r="C58" s="24"/>
      <c r="D58" s="1"/>
      <c r="E58" s="32"/>
      <c r="F58" s="30"/>
      <c r="G58" s="24"/>
      <c r="H58" s="24"/>
      <c r="I58" s="24"/>
      <c r="J58" s="24"/>
      <c r="K58" s="24"/>
      <c r="L58" s="24"/>
    </row>
    <row r="59" spans="3:12" ht="20.100000000000001" customHeight="1" x14ac:dyDescent="0.25">
      <c r="C59" s="24"/>
      <c r="D59" s="1"/>
      <c r="E59" s="1"/>
      <c r="F59" s="1"/>
      <c r="G59" s="1"/>
      <c r="H59" s="1"/>
      <c r="I59" s="1"/>
      <c r="J59" s="1"/>
      <c r="K59" s="1"/>
      <c r="L59" s="24"/>
    </row>
    <row r="60" spans="3:12" ht="20.100000000000001" customHeight="1" x14ac:dyDescent="0.25">
      <c r="C60" s="24"/>
      <c r="D60" s="1"/>
      <c r="E60" s="1"/>
      <c r="F60" s="1"/>
      <c r="G60" s="1"/>
      <c r="H60" s="1"/>
      <c r="I60" s="1"/>
      <c r="J60" s="1"/>
      <c r="K60" s="1"/>
      <c r="L60" s="24"/>
    </row>
    <row r="61" spans="3:12" ht="20.100000000000001" customHeight="1" x14ac:dyDescent="0.25">
      <c r="C61" s="24"/>
      <c r="D61" s="1"/>
      <c r="E61" s="1"/>
      <c r="F61" s="1"/>
      <c r="G61" s="1"/>
      <c r="H61" s="1"/>
      <c r="I61" s="1"/>
      <c r="J61" s="1"/>
      <c r="K61" s="1"/>
      <c r="L61" s="24"/>
    </row>
    <row r="62" spans="3:12" ht="20.100000000000001" customHeight="1" x14ac:dyDescent="0.25">
      <c r="C62" s="24"/>
      <c r="D62" s="1"/>
      <c r="E62" s="1"/>
      <c r="F62" s="1"/>
      <c r="G62" s="1"/>
      <c r="H62" s="1"/>
      <c r="I62" s="1"/>
      <c r="J62" s="1"/>
      <c r="K62" s="1"/>
      <c r="L62" s="24"/>
    </row>
    <row r="63" spans="3:12" ht="20.100000000000001" customHeight="1" x14ac:dyDescent="0.25">
      <c r="C63" s="24"/>
      <c r="D63" s="1"/>
      <c r="E63" s="1"/>
      <c r="F63" s="1"/>
      <c r="G63" s="1"/>
      <c r="H63" s="1"/>
      <c r="I63" s="1"/>
      <c r="J63" s="1"/>
      <c r="K63" s="1"/>
      <c r="L63" s="24"/>
    </row>
    <row r="64" spans="3:12" ht="20.100000000000001" customHeight="1" x14ac:dyDescent="0.25">
      <c r="C64" s="24"/>
      <c r="D64" s="1"/>
      <c r="E64" s="1"/>
      <c r="F64" s="1"/>
      <c r="G64" s="1"/>
      <c r="H64" s="1"/>
      <c r="I64" s="1"/>
      <c r="J64" s="1"/>
      <c r="K64" s="1"/>
      <c r="L64" s="24"/>
    </row>
    <row r="65" spans="3:12" ht="20.100000000000001" customHeight="1" x14ac:dyDescent="0.25">
      <c r="C65" s="24"/>
      <c r="D65" s="1"/>
      <c r="E65" s="1"/>
      <c r="F65" s="1"/>
      <c r="G65" s="1"/>
      <c r="H65" s="1"/>
      <c r="I65" s="1"/>
      <c r="J65" s="1"/>
      <c r="K65" s="1"/>
      <c r="L65" s="24"/>
    </row>
    <row r="66" spans="3:12" ht="20.100000000000001" customHeight="1" x14ac:dyDescent="0.25">
      <c r="C66" s="24"/>
      <c r="D66" s="1"/>
      <c r="E66" s="1"/>
      <c r="F66" s="1"/>
      <c r="G66" s="1"/>
      <c r="H66" s="1"/>
      <c r="I66" s="1"/>
      <c r="J66" s="1"/>
      <c r="K66" s="1"/>
      <c r="L66" s="24"/>
    </row>
    <row r="67" spans="3:12" ht="20.100000000000001" customHeight="1" x14ac:dyDescent="0.25">
      <c r="C67" s="24"/>
      <c r="D67" s="1"/>
      <c r="E67" s="1"/>
      <c r="F67" s="1"/>
      <c r="G67" s="1"/>
      <c r="H67" s="1"/>
      <c r="I67" s="1"/>
      <c r="J67" s="1"/>
      <c r="K67" s="1"/>
      <c r="L67" s="24"/>
    </row>
    <row r="68" spans="3:12" ht="20.100000000000001" customHeight="1" x14ac:dyDescent="0.25">
      <c r="C68" s="24"/>
      <c r="D68" s="1"/>
      <c r="E68" s="1"/>
      <c r="F68" s="1"/>
      <c r="G68" s="1"/>
      <c r="H68" s="1"/>
      <c r="I68" s="1"/>
      <c r="J68" s="1"/>
      <c r="K68" s="1"/>
      <c r="L68" s="24"/>
    </row>
    <row r="69" spans="3:12" ht="20.100000000000001" customHeight="1" x14ac:dyDescent="0.25">
      <c r="C69" s="24"/>
      <c r="D69" s="1"/>
      <c r="E69" s="1"/>
      <c r="F69" s="1"/>
      <c r="G69" s="1"/>
      <c r="H69" s="1"/>
      <c r="I69" s="1"/>
      <c r="J69" s="1"/>
      <c r="K69" s="1"/>
      <c r="L69" s="24"/>
    </row>
    <row r="70" spans="3:12" ht="20.100000000000001" customHeight="1" x14ac:dyDescent="0.25">
      <c r="C70" s="24"/>
      <c r="D70" s="1"/>
      <c r="E70" s="1"/>
      <c r="F70" s="1"/>
      <c r="G70" s="1"/>
      <c r="H70" s="1"/>
      <c r="I70" s="1"/>
      <c r="J70" s="1"/>
      <c r="K70" s="1"/>
      <c r="L70" s="24"/>
    </row>
    <row r="71" spans="3:12" ht="20.100000000000001" customHeight="1" x14ac:dyDescent="0.25">
      <c r="C71" s="24"/>
      <c r="D71" s="1"/>
      <c r="E71" s="1"/>
      <c r="F71" s="1"/>
      <c r="G71" s="1"/>
      <c r="H71" s="1"/>
      <c r="I71" s="1"/>
      <c r="J71" s="1"/>
      <c r="K71" s="1"/>
      <c r="L71" s="24"/>
    </row>
    <row r="72" spans="3:12" ht="20.100000000000001" customHeight="1" x14ac:dyDescent="0.25">
      <c r="C72" s="24"/>
      <c r="D72" s="1"/>
      <c r="E72" s="1"/>
      <c r="F72" s="1"/>
      <c r="G72" s="1"/>
      <c r="H72" s="1"/>
      <c r="I72" s="1"/>
      <c r="J72" s="1"/>
      <c r="K72" s="1"/>
      <c r="L72" s="24"/>
    </row>
    <row r="73" spans="3:12" ht="20.100000000000001" customHeight="1" x14ac:dyDescent="0.25">
      <c r="C73" s="24"/>
      <c r="D73" s="1"/>
      <c r="E73" s="1"/>
      <c r="F73" s="1"/>
      <c r="G73" s="1"/>
      <c r="H73" s="1"/>
      <c r="I73" s="1"/>
      <c r="J73" s="1"/>
      <c r="K73" s="1"/>
      <c r="L73" s="24"/>
    </row>
    <row r="74" spans="3:12" ht="20.100000000000001" customHeight="1" x14ac:dyDescent="0.25">
      <c r="C74" s="24"/>
      <c r="D74" s="1"/>
      <c r="E74" s="1"/>
      <c r="F74" s="1"/>
      <c r="G74" s="1"/>
      <c r="H74" s="1"/>
      <c r="I74" s="1"/>
      <c r="J74" s="1"/>
      <c r="K74" s="1"/>
      <c r="L74" s="24"/>
    </row>
    <row r="75" spans="3:12" ht="20.100000000000001" customHeight="1" x14ac:dyDescent="0.25">
      <c r="C75" s="24"/>
      <c r="D75" s="1"/>
      <c r="E75" s="1"/>
      <c r="F75" s="1"/>
      <c r="G75" s="1"/>
      <c r="H75" s="1"/>
      <c r="I75" s="1"/>
      <c r="J75" s="1"/>
      <c r="K75" s="1"/>
      <c r="L75" s="24"/>
    </row>
    <row r="76" spans="3:12" ht="15.75" x14ac:dyDescent="0.25">
      <c r="C76" s="24"/>
      <c r="D76" s="1"/>
      <c r="E76" s="1"/>
      <c r="F76" s="1"/>
      <c r="G76" s="1"/>
      <c r="H76" s="1"/>
      <c r="I76" s="1"/>
      <c r="J76" s="1"/>
      <c r="K76" s="1"/>
      <c r="L76" s="24"/>
    </row>
    <row r="77" spans="3:12" ht="15.75" x14ac:dyDescent="0.25">
      <c r="C77" s="24"/>
      <c r="D77" s="1"/>
      <c r="E77" s="1"/>
      <c r="F77" s="1"/>
      <c r="G77" s="1"/>
      <c r="H77" s="1"/>
      <c r="I77" s="1"/>
      <c r="J77" s="1"/>
      <c r="K77" s="1"/>
      <c r="L77" s="24"/>
    </row>
    <row r="78" spans="3:12" ht="15.75" x14ac:dyDescent="0.25">
      <c r="C78" s="24"/>
      <c r="D78" s="1"/>
      <c r="E78" s="1"/>
      <c r="F78" s="1"/>
      <c r="G78" s="1"/>
      <c r="H78" s="1"/>
      <c r="I78" s="1"/>
      <c r="J78" s="1"/>
      <c r="K78" s="1"/>
      <c r="L78" s="24"/>
    </row>
    <row r="79" spans="3:12" ht="15.75" x14ac:dyDescent="0.25">
      <c r="C79" s="24"/>
      <c r="D79" s="1"/>
      <c r="E79" s="1"/>
      <c r="F79" s="1"/>
      <c r="G79" s="1"/>
      <c r="H79" s="1"/>
      <c r="I79" s="1"/>
      <c r="J79" s="1"/>
      <c r="K79" s="1"/>
      <c r="L79" s="24"/>
    </row>
    <row r="80" spans="3:12" ht="15.75" x14ac:dyDescent="0.25">
      <c r="C80" s="24"/>
      <c r="D80" s="1"/>
      <c r="E80" s="1"/>
      <c r="F80" s="1"/>
      <c r="G80" s="1"/>
      <c r="H80" s="1"/>
      <c r="I80" s="1"/>
      <c r="J80" s="1"/>
      <c r="K80" s="1"/>
      <c r="L80" s="24"/>
    </row>
    <row r="81" spans="3:12" ht="15.75" x14ac:dyDescent="0.25">
      <c r="C81" s="24"/>
      <c r="D81" s="1"/>
      <c r="E81" s="1"/>
      <c r="F81" s="1"/>
      <c r="G81" s="1"/>
      <c r="H81" s="1"/>
      <c r="I81" s="1"/>
      <c r="J81" s="1"/>
      <c r="K81" s="1"/>
      <c r="L81" s="24"/>
    </row>
    <row r="82" spans="3:12" ht="15.75" x14ac:dyDescent="0.25">
      <c r="C82" s="24"/>
      <c r="D82" s="1"/>
      <c r="E82" s="1"/>
      <c r="F82" s="1"/>
      <c r="G82" s="1"/>
      <c r="H82" s="1"/>
      <c r="I82" s="1"/>
      <c r="J82" s="1"/>
      <c r="K82" s="1"/>
      <c r="L82" s="24"/>
    </row>
    <row r="83" spans="3:12" ht="15.75" x14ac:dyDescent="0.25">
      <c r="C83" s="24"/>
      <c r="D83" s="1"/>
      <c r="E83" s="1"/>
      <c r="F83" s="1"/>
      <c r="G83" s="1"/>
      <c r="H83" s="1"/>
      <c r="I83" s="1"/>
      <c r="J83" s="1"/>
      <c r="K83" s="1"/>
      <c r="L83" s="24"/>
    </row>
    <row r="84" spans="3:12" ht="15.75" x14ac:dyDescent="0.25">
      <c r="C84" s="24"/>
      <c r="D84" s="1"/>
      <c r="E84" s="1"/>
      <c r="F84" s="1"/>
      <c r="G84" s="1"/>
      <c r="H84" s="1"/>
      <c r="I84" s="1"/>
      <c r="J84" s="1"/>
      <c r="K84" s="1"/>
      <c r="L84" s="24"/>
    </row>
    <row r="85" spans="3:12" ht="15.75" x14ac:dyDescent="0.25">
      <c r="C85" s="24"/>
      <c r="D85" s="1"/>
      <c r="E85" s="1"/>
      <c r="F85" s="1"/>
      <c r="G85" s="1"/>
      <c r="H85" s="1"/>
      <c r="I85" s="1"/>
      <c r="J85" s="1"/>
      <c r="K85" s="1"/>
      <c r="L85" s="24"/>
    </row>
    <row r="86" spans="3:12" x14ac:dyDescent="0.25">
      <c r="C86" s="24"/>
      <c r="D86" s="24"/>
      <c r="E86" s="24"/>
      <c r="F86" s="24"/>
      <c r="G86" s="24"/>
      <c r="H86" s="24"/>
      <c r="I86" s="24"/>
      <c r="J86" s="24"/>
      <c r="K86" s="24"/>
      <c r="L86" s="24"/>
    </row>
    <row r="87" spans="3:12" x14ac:dyDescent="0.25">
      <c r="C87" s="24"/>
      <c r="D87" s="24"/>
      <c r="E87" s="24"/>
      <c r="F87" s="24"/>
      <c r="G87" s="24"/>
      <c r="H87" s="24"/>
      <c r="I87" s="24"/>
      <c r="J87" s="24"/>
      <c r="K87" s="24"/>
      <c r="L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12" sqref="E12"/>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3" t="e" vm="1">
        <v>#VALUE!</v>
      </c>
      <c r="C1" s="12" t="s">
        <v>73</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5"/>
      <c r="D4" s="65"/>
      <c r="E4" s="65"/>
      <c r="F4" s="65"/>
      <c r="G4" s="65"/>
      <c r="H4" s="65"/>
      <c r="I4" s="65"/>
      <c r="J4" s="65"/>
      <c r="K4" s="65"/>
    </row>
    <row r="5" spans="1:24" ht="20.100000000000001" customHeight="1" x14ac:dyDescent="0.25">
      <c r="A5" s="17" t="str">
        <f>HYPERLINK("#'Results'!A1", "Results")</f>
        <v>Results</v>
      </c>
      <c r="D5" s="6" t="s">
        <v>9</v>
      </c>
      <c r="N5" s="40"/>
    </row>
    <row r="6" spans="1:24" ht="20.100000000000001" customHeight="1" x14ac:dyDescent="0.25">
      <c r="D6" s="14"/>
      <c r="N6" s="41"/>
    </row>
    <row r="7" spans="1:24" ht="20.100000000000001" customHeight="1" x14ac:dyDescent="0.25">
      <c r="A7" s="20" t="s">
        <v>3</v>
      </c>
      <c r="D7" s="1" t="s">
        <v>7</v>
      </c>
      <c r="E7" s="33" t="s">
        <v>6</v>
      </c>
      <c r="F7" s="2"/>
    </row>
    <row r="8" spans="1:24" ht="20.100000000000001" customHeight="1" x14ac:dyDescent="0.25">
      <c r="A8" s="21" t="str">
        <f>HYPERLINK("#'Input - Site'!A1", "Site")</f>
        <v>Site</v>
      </c>
      <c r="D8" s="10" t="s">
        <v>54</v>
      </c>
      <c r="E8" s="33" t="s">
        <v>55</v>
      </c>
    </row>
    <row r="9" spans="1:24" ht="20.100000000000001" customHeight="1" x14ac:dyDescent="0.25">
      <c r="A9" s="17" t="str">
        <f>HYPERLINK("#'Input - Feedlot'!A1", "Feedlot")</f>
        <v>Feedlot</v>
      </c>
      <c r="N9" s="42"/>
    </row>
    <row r="10" spans="1:24" ht="20.100000000000001" customHeight="1" x14ac:dyDescent="0.25">
      <c r="A10" s="17"/>
      <c r="D10" s="82" t="s">
        <v>72</v>
      </c>
      <c r="E10" s="80"/>
      <c r="F10" s="83"/>
      <c r="G10" s="77"/>
      <c r="N10" s="42"/>
    </row>
    <row r="11" spans="1:24" ht="20.100000000000001" customHeight="1" x14ac:dyDescent="0.25">
      <c r="A11" s="19" t="s">
        <v>58</v>
      </c>
      <c r="N11" s="43"/>
    </row>
    <row r="12" spans="1:24" ht="20.100000000000001" customHeight="1" x14ac:dyDescent="0.25">
      <c r="A12" s="17" t="str">
        <f>HYPERLINK("#'3.1.1.1-2 Enteric Methane'!A1", "3.1.1.1-2 Enteric Methane")</f>
        <v>3.1.1.1-2 Enteric Methane</v>
      </c>
      <c r="D12" s="10" t="s">
        <v>76</v>
      </c>
      <c r="E12" s="59">
        <v>45292</v>
      </c>
      <c r="F12" s="2" t="s">
        <v>53</v>
      </c>
    </row>
    <row r="13" spans="1:24" ht="20.100000000000001" customHeight="1" x14ac:dyDescent="0.25">
      <c r="A13"/>
      <c r="D13" s="10" t="s">
        <v>77</v>
      </c>
      <c r="E13" s="66">
        <f>DATE(YEAR(E12)+1,MONTH(E12),DAY(E12))-1</f>
        <v>45657</v>
      </c>
      <c r="F13" s="2" t="s">
        <v>10</v>
      </c>
      <c r="N13" s="38"/>
      <c r="O13" s="38"/>
    </row>
    <row r="14" spans="1:24" ht="20.100000000000001" customHeight="1" x14ac:dyDescent="0.25">
      <c r="A14" s="18" t="s">
        <v>4</v>
      </c>
      <c r="N14" s="38"/>
      <c r="O14" s="38"/>
    </row>
    <row r="15" spans="1:24" ht="20.100000000000001" customHeight="1" x14ac:dyDescent="0.25">
      <c r="A15" s="17" t="str">
        <f>HYPERLINK("#'Constants - Feedlot'!A1", "Constants - Feedlot")</f>
        <v>Constants - Feedlot</v>
      </c>
      <c r="D15" s="34"/>
      <c r="E15" s="34"/>
      <c r="F15" s="34"/>
      <c r="G15" s="34"/>
      <c r="H15" s="34"/>
      <c r="I15" s="34"/>
      <c r="J15" s="34"/>
      <c r="K15" s="34"/>
      <c r="N15" s="38"/>
      <c r="O15" s="38"/>
    </row>
    <row r="16" spans="1:24" ht="20.100000000000001" customHeight="1" x14ac:dyDescent="0.25">
      <c r="A16" s="17" t="str">
        <f>HYPERLINK("#'Constants - Livestock'!A1", "Constants - Livestock")</f>
        <v>Constants - Livestock</v>
      </c>
      <c r="D16" s="34"/>
      <c r="E16" s="34"/>
      <c r="F16" s="34"/>
      <c r="G16" s="34"/>
      <c r="H16" s="34"/>
      <c r="I16" s="34"/>
      <c r="J16" s="34"/>
      <c r="K16" s="34"/>
      <c r="N16" s="38"/>
      <c r="O16" s="38"/>
    </row>
    <row r="17" spans="1:25" ht="20.100000000000001" customHeight="1" x14ac:dyDescent="0.25">
      <c r="A17" s="17" t="str">
        <f>HYPERLINK("#'Constants - Common'!A1", "Constants - Common")</f>
        <v>Constants - Common</v>
      </c>
      <c r="D17" s="34"/>
      <c r="E17" s="34"/>
      <c r="F17" s="34"/>
      <c r="G17" s="34"/>
      <c r="H17" s="34"/>
      <c r="I17" s="34"/>
      <c r="J17" s="34"/>
      <c r="K17" s="34"/>
    </row>
    <row r="18" spans="1:25" ht="20.100000000000001" customHeight="1" x14ac:dyDescent="0.25">
      <c r="A18" s="17" t="str">
        <f>HYPERLINK("#'Acknowledgements'!A1", "Acknowledgements")</f>
        <v>Acknowledgements</v>
      </c>
      <c r="D18" s="34"/>
      <c r="E18" s="34"/>
      <c r="F18" s="34"/>
      <c r="G18" s="34"/>
      <c r="H18" s="34"/>
      <c r="I18" s="34"/>
      <c r="J18" s="34"/>
      <c r="K18" s="34"/>
    </row>
    <row r="19" spans="1:25" ht="20.100000000000001" customHeight="1" x14ac:dyDescent="0.25">
      <c r="A19"/>
      <c r="D19" s="34"/>
      <c r="E19" s="34"/>
      <c r="F19" s="34"/>
      <c r="G19" s="34"/>
      <c r="H19" s="34"/>
      <c r="I19" s="34"/>
      <c r="J19" s="34"/>
      <c r="K19" s="34"/>
      <c r="N19" s="40"/>
    </row>
    <row r="20" spans="1:25" ht="20.100000000000001" customHeight="1" x14ac:dyDescent="0.25">
      <c r="A20"/>
      <c r="D20" s="34"/>
      <c r="E20" s="34"/>
      <c r="F20" s="34"/>
      <c r="G20" s="34"/>
      <c r="H20" s="34"/>
      <c r="I20" s="34"/>
      <c r="J20" s="34"/>
      <c r="K20" s="34"/>
      <c r="N20" s="41"/>
    </row>
    <row r="21" spans="1:25" ht="20.100000000000001" customHeight="1" x14ac:dyDescent="0.25">
      <c r="A21" s="17"/>
      <c r="D21" s="34"/>
      <c r="E21" s="34"/>
      <c r="F21" s="34"/>
      <c r="G21" s="34"/>
      <c r="H21" s="34"/>
      <c r="I21" s="34"/>
      <c r="J21" s="34"/>
      <c r="K21" s="34"/>
    </row>
    <row r="22" spans="1:25" ht="20.100000000000001" customHeight="1" x14ac:dyDescent="0.25">
      <c r="A22"/>
      <c r="D22" s="34"/>
      <c r="E22" s="34"/>
      <c r="F22" s="34"/>
      <c r="G22" s="34"/>
      <c r="H22" s="34"/>
      <c r="I22" s="34"/>
      <c r="J22" s="34"/>
      <c r="K22" s="34"/>
    </row>
    <row r="23" spans="1:25" ht="20.100000000000001" customHeight="1" x14ac:dyDescent="0.25">
      <c r="A23"/>
      <c r="D23" s="34"/>
      <c r="E23" s="34"/>
      <c r="F23" s="34"/>
      <c r="G23" s="34"/>
      <c r="H23" s="34"/>
      <c r="I23" s="34"/>
      <c r="J23" s="34"/>
      <c r="K23" s="34"/>
    </row>
    <row r="24" spans="1:25" ht="20.100000000000001" customHeight="1" x14ac:dyDescent="0.25">
      <c r="A24"/>
      <c r="D24" s="34"/>
      <c r="E24" s="34"/>
      <c r="F24" s="34"/>
      <c r="G24" s="34"/>
      <c r="H24" s="34"/>
      <c r="I24" s="34"/>
      <c r="J24" s="34"/>
      <c r="K24" s="34"/>
    </row>
    <row r="25" spans="1:25" ht="20.100000000000001" customHeight="1" x14ac:dyDescent="0.25">
      <c r="A25"/>
      <c r="D25" s="34"/>
      <c r="E25" s="34"/>
      <c r="F25" s="34"/>
      <c r="G25" s="34"/>
      <c r="H25" s="34"/>
      <c r="I25" s="34"/>
      <c r="J25" s="34"/>
      <c r="K25" s="34"/>
      <c r="N25" s="41"/>
    </row>
    <row r="26" spans="1:25" ht="20.100000000000001" customHeight="1" x14ac:dyDescent="0.25">
      <c r="A26"/>
      <c r="D26" s="34"/>
      <c r="E26" s="34"/>
      <c r="F26" s="34"/>
      <c r="G26" s="34"/>
      <c r="H26" s="34"/>
      <c r="I26" s="34"/>
      <c r="J26" s="34"/>
      <c r="K26" s="34"/>
    </row>
    <row r="27" spans="1:25" ht="20.100000000000001" customHeight="1" x14ac:dyDescent="0.25">
      <c r="A27"/>
      <c r="D27" s="34"/>
      <c r="E27" s="34"/>
      <c r="F27" s="34"/>
      <c r="G27" s="34"/>
      <c r="H27" s="34"/>
      <c r="I27" s="34"/>
      <c r="J27" s="34"/>
      <c r="K27" s="34"/>
    </row>
    <row r="28" spans="1:25" ht="20.100000000000001" customHeight="1" x14ac:dyDescent="0.25">
      <c r="A28"/>
      <c r="D28" s="34"/>
      <c r="E28" s="34"/>
      <c r="F28" s="34"/>
      <c r="G28" s="34"/>
      <c r="H28" s="34"/>
      <c r="I28" s="34"/>
      <c r="J28" s="34"/>
      <c r="K28" s="34"/>
    </row>
    <row r="29" spans="1:25" ht="20.100000000000001" customHeight="1" x14ac:dyDescent="0.25">
      <c r="A29"/>
      <c r="D29" s="34"/>
      <c r="E29" s="34"/>
      <c r="F29" s="34"/>
      <c r="G29" s="34"/>
      <c r="H29" s="34"/>
      <c r="I29" s="34"/>
      <c r="J29" s="34"/>
      <c r="K29" s="34"/>
    </row>
    <row r="30" spans="1:25" ht="20.100000000000001" customHeight="1" x14ac:dyDescent="0.25">
      <c r="A30"/>
      <c r="D30" s="34"/>
      <c r="E30" s="34"/>
      <c r="F30" s="34"/>
      <c r="G30" s="34"/>
      <c r="H30" s="34"/>
      <c r="I30" s="34"/>
      <c r="J30" s="34"/>
      <c r="K30" s="34"/>
      <c r="L30" s="47"/>
      <c r="M30" s="47"/>
      <c r="N30" s="47"/>
      <c r="O30" s="47"/>
      <c r="P30" s="47"/>
      <c r="Q30" s="47"/>
      <c r="R30" s="47"/>
      <c r="S30" s="47"/>
      <c r="T30" s="47"/>
      <c r="U30" s="47"/>
      <c r="V30" s="47"/>
      <c r="W30" s="47"/>
      <c r="X30" s="47"/>
      <c r="Y30" s="47"/>
    </row>
    <row r="31" spans="1:25" ht="20.100000000000001" customHeight="1" x14ac:dyDescent="0.25">
      <c r="A31"/>
      <c r="D31" s="34"/>
      <c r="E31" s="34"/>
      <c r="F31" s="34"/>
      <c r="G31" s="34"/>
      <c r="H31" s="34"/>
      <c r="I31" s="34"/>
      <c r="J31" s="34"/>
      <c r="K31" s="34"/>
      <c r="L31" s="46"/>
      <c r="M31" s="46"/>
      <c r="N31" s="46"/>
      <c r="O31" s="46"/>
      <c r="P31" s="46"/>
      <c r="Q31" s="46"/>
      <c r="R31" s="46"/>
      <c r="S31" s="46"/>
      <c r="T31" s="46"/>
      <c r="U31" s="46"/>
      <c r="V31" s="46"/>
      <c r="W31" s="46"/>
      <c r="X31" s="46"/>
      <c r="Y31" s="46"/>
    </row>
    <row r="32" spans="1:25" ht="20.100000000000001" customHeight="1" x14ac:dyDescent="0.25">
      <c r="A32"/>
      <c r="D32" s="34"/>
      <c r="E32" s="34"/>
      <c r="F32" s="34"/>
      <c r="G32" s="34"/>
      <c r="H32" s="34"/>
      <c r="I32" s="34"/>
      <c r="J32" s="34"/>
      <c r="K32" s="34"/>
      <c r="L32" s="46"/>
      <c r="M32" s="46"/>
      <c r="N32" s="46"/>
      <c r="O32" s="46"/>
      <c r="P32" s="46"/>
      <c r="Q32" s="46"/>
      <c r="R32" s="46"/>
      <c r="S32" s="46"/>
      <c r="T32" s="46"/>
      <c r="U32" s="46"/>
      <c r="V32" s="46"/>
      <c r="W32" s="46"/>
      <c r="X32" s="46"/>
      <c r="Y32" s="46"/>
    </row>
    <row r="33" spans="1:25" ht="20.100000000000001" customHeight="1" x14ac:dyDescent="0.25">
      <c r="A33"/>
      <c r="D33" s="34"/>
      <c r="E33" s="34"/>
      <c r="F33" s="34"/>
      <c r="G33" s="34"/>
      <c r="H33" s="34"/>
      <c r="I33" s="34"/>
      <c r="J33" s="34"/>
      <c r="K33" s="34"/>
      <c r="L33" s="46"/>
      <c r="M33" s="46"/>
      <c r="N33" s="46"/>
      <c r="O33" s="46"/>
      <c r="P33" s="46"/>
      <c r="Q33" s="46"/>
      <c r="R33" s="46"/>
      <c r="S33" s="46"/>
      <c r="T33" s="46"/>
      <c r="U33" s="46"/>
      <c r="V33" s="46"/>
      <c r="W33" s="46"/>
      <c r="X33" s="46"/>
      <c r="Y33" s="46"/>
    </row>
    <row r="34" spans="1:25" ht="20.100000000000001" customHeight="1" x14ac:dyDescent="0.25">
      <c r="A34"/>
      <c r="D34" s="34"/>
      <c r="E34" s="34"/>
      <c r="F34" s="34"/>
      <c r="G34" s="34"/>
      <c r="H34" s="34"/>
      <c r="I34" s="34"/>
      <c r="J34" s="34"/>
      <c r="K34" s="34"/>
      <c r="L34" s="46"/>
      <c r="M34" s="46"/>
      <c r="N34" s="46"/>
      <c r="O34" s="46"/>
      <c r="P34" s="46"/>
      <c r="Q34" s="46"/>
      <c r="R34" s="46"/>
      <c r="S34" s="46"/>
      <c r="T34" s="46"/>
      <c r="U34" s="46"/>
      <c r="V34" s="46"/>
      <c r="W34" s="46"/>
      <c r="X34" s="46"/>
      <c r="Y34" s="46"/>
    </row>
    <row r="35" spans="1:25" ht="20.100000000000001" customHeight="1" x14ac:dyDescent="0.25">
      <c r="A35"/>
      <c r="D35" s="34"/>
      <c r="E35" s="34"/>
      <c r="F35" s="34"/>
      <c r="G35" s="34"/>
      <c r="H35" s="34"/>
      <c r="I35" s="34"/>
      <c r="J35" s="34"/>
      <c r="K35" s="34"/>
      <c r="L35" s="46"/>
      <c r="M35" s="46"/>
      <c r="N35" s="46"/>
      <c r="O35" s="46"/>
      <c r="P35" s="46"/>
      <c r="Q35" s="46"/>
      <c r="R35" s="46"/>
      <c r="S35" s="46"/>
      <c r="T35" s="46"/>
      <c r="U35" s="46"/>
      <c r="V35" s="46"/>
      <c r="W35" s="46"/>
      <c r="X35" s="46"/>
      <c r="Y35" s="46"/>
    </row>
    <row r="36" spans="1:25" ht="20.100000000000001" customHeight="1" x14ac:dyDescent="0.25">
      <c r="A36"/>
      <c r="D36" s="34"/>
      <c r="E36" s="34"/>
      <c r="F36" s="34"/>
      <c r="G36" s="34"/>
      <c r="H36" s="34"/>
      <c r="I36" s="34"/>
      <c r="J36" s="34"/>
      <c r="K36" s="34"/>
      <c r="L36" s="46"/>
      <c r="M36" s="46"/>
      <c r="N36" s="46"/>
      <c r="O36" s="46"/>
      <c r="P36" s="46"/>
      <c r="Q36" s="46"/>
      <c r="R36" s="46"/>
      <c r="S36" s="46"/>
      <c r="T36" s="46"/>
      <c r="U36" s="46"/>
      <c r="V36" s="46"/>
      <c r="W36" s="46"/>
      <c r="X36" s="46"/>
      <c r="Y36" s="46"/>
    </row>
    <row r="37" spans="1:25" ht="20.100000000000001" customHeight="1" x14ac:dyDescent="0.25">
      <c r="A37"/>
      <c r="D37" s="34"/>
      <c r="E37" s="34"/>
      <c r="F37" s="34"/>
      <c r="G37" s="34"/>
      <c r="H37" s="34"/>
      <c r="I37" s="34"/>
      <c r="J37" s="34"/>
      <c r="K37" s="34"/>
      <c r="L37" s="46"/>
      <c r="M37" s="46"/>
      <c r="N37" s="46"/>
      <c r="O37" s="46"/>
      <c r="P37" s="46"/>
      <c r="Q37" s="46"/>
      <c r="R37" s="46"/>
      <c r="S37" s="46"/>
      <c r="T37" s="46"/>
      <c r="U37" s="46"/>
      <c r="V37" s="46"/>
      <c r="W37" s="46"/>
      <c r="X37" s="46"/>
      <c r="Y37" s="46"/>
    </row>
    <row r="38" spans="1:25" ht="20.100000000000001" customHeight="1" x14ac:dyDescent="0.25">
      <c r="A38"/>
      <c r="D38" s="34"/>
      <c r="E38" s="34"/>
      <c r="F38" s="34"/>
      <c r="G38" s="34"/>
      <c r="H38" s="34"/>
      <c r="I38" s="34"/>
      <c r="J38" s="34"/>
      <c r="K38" s="34"/>
      <c r="L38" s="46"/>
      <c r="M38" s="46"/>
      <c r="N38" s="46"/>
      <c r="O38" s="46"/>
      <c r="P38" s="46"/>
      <c r="Q38" s="46"/>
      <c r="R38" s="46"/>
      <c r="S38" s="46"/>
      <c r="T38" s="46"/>
      <c r="U38" s="46"/>
      <c r="V38" s="46"/>
      <c r="W38" s="46"/>
      <c r="X38" s="46"/>
      <c r="Y38" s="46"/>
    </row>
    <row r="39" spans="1:25" ht="20.100000000000001" customHeight="1" x14ac:dyDescent="0.25">
      <c r="A39"/>
      <c r="D39" s="34"/>
      <c r="E39" s="34"/>
      <c r="F39" s="34"/>
      <c r="G39" s="34"/>
      <c r="H39" s="34"/>
      <c r="I39" s="34"/>
      <c r="J39" s="34"/>
      <c r="K39" s="34"/>
      <c r="L39" s="46"/>
      <c r="M39" s="46"/>
      <c r="N39" s="46"/>
      <c r="O39" s="46"/>
      <c r="P39" s="46"/>
      <c r="Q39" s="46"/>
      <c r="R39" s="46"/>
      <c r="S39" s="46"/>
      <c r="T39" s="46"/>
      <c r="U39" s="46"/>
      <c r="V39" s="46"/>
      <c r="W39" s="46"/>
      <c r="X39" s="46"/>
      <c r="Y39" s="46"/>
    </row>
    <row r="40" spans="1:25" ht="20.100000000000001" customHeight="1" x14ac:dyDescent="0.25">
      <c r="A40"/>
      <c r="D40" s="34"/>
      <c r="E40" s="34"/>
      <c r="F40" s="34"/>
      <c r="G40" s="34"/>
      <c r="H40" s="34"/>
      <c r="I40" s="34"/>
      <c r="J40" s="34"/>
      <c r="K40" s="34"/>
      <c r="L40" s="48"/>
      <c r="M40" s="48"/>
      <c r="N40" s="48"/>
      <c r="O40" s="48"/>
      <c r="P40" s="48"/>
      <c r="Q40" s="48"/>
      <c r="R40" s="48"/>
      <c r="S40" s="48"/>
      <c r="T40" s="48"/>
      <c r="U40" s="48"/>
      <c r="V40" s="48"/>
      <c r="W40" s="48"/>
      <c r="X40" s="48"/>
      <c r="Y40" s="48"/>
    </row>
    <row r="41" spans="1:25" ht="20.100000000000001" customHeight="1" x14ac:dyDescent="0.25">
      <c r="A41"/>
      <c r="D41" s="34"/>
      <c r="E41" s="34"/>
      <c r="F41" s="34"/>
      <c r="G41" s="34"/>
      <c r="H41" s="34"/>
      <c r="I41" s="34"/>
      <c r="J41" s="34"/>
      <c r="K41" s="34"/>
    </row>
    <row r="42" spans="1:25" ht="20.100000000000001" customHeight="1" x14ac:dyDescent="0.25">
      <c r="A42"/>
      <c r="D42" s="34"/>
      <c r="E42" s="34"/>
      <c r="F42" s="34"/>
      <c r="G42" s="34"/>
      <c r="H42" s="34"/>
      <c r="I42" s="34"/>
      <c r="J42" s="34"/>
      <c r="K42" s="34"/>
    </row>
    <row r="43" spans="1:25" ht="20.100000000000001" customHeight="1" x14ac:dyDescent="0.25">
      <c r="A43"/>
      <c r="D43" s="34"/>
      <c r="E43" s="34"/>
      <c r="F43" s="34"/>
      <c r="G43" s="34"/>
      <c r="H43" s="34"/>
      <c r="I43" s="34"/>
      <c r="J43" s="34"/>
      <c r="K43" s="34"/>
    </row>
    <row r="44" spans="1:25" ht="20.100000000000001" customHeight="1" x14ac:dyDescent="0.25">
      <c r="D44" s="34"/>
      <c r="E44" s="34"/>
      <c r="F44" s="34"/>
      <c r="G44" s="34"/>
      <c r="H44" s="34"/>
      <c r="I44" s="34"/>
      <c r="J44" s="34"/>
      <c r="K44" s="34"/>
    </row>
    <row r="45" spans="1:25" ht="20.100000000000001" customHeight="1" x14ac:dyDescent="0.25">
      <c r="D45" s="34"/>
      <c r="E45" s="34"/>
      <c r="F45" s="34"/>
      <c r="G45" s="34"/>
      <c r="H45" s="34"/>
      <c r="I45" s="34"/>
      <c r="J45" s="34"/>
      <c r="K45" s="34"/>
    </row>
    <row r="46" spans="1:25" ht="20.100000000000001" customHeight="1" x14ac:dyDescent="0.25">
      <c r="D46" s="34"/>
      <c r="E46" s="34"/>
      <c r="F46" s="34"/>
      <c r="G46" s="34"/>
      <c r="H46" s="34"/>
      <c r="I46" s="34"/>
      <c r="J46" s="34"/>
      <c r="K46" s="34"/>
    </row>
    <row r="47" spans="1:25" ht="20.100000000000001" customHeight="1" x14ac:dyDescent="0.25">
      <c r="D47" s="34"/>
      <c r="E47" s="34"/>
      <c r="F47" s="34"/>
      <c r="G47" s="34"/>
      <c r="H47" s="34"/>
      <c r="I47" s="34"/>
      <c r="J47" s="34"/>
      <c r="K47" s="34"/>
    </row>
    <row r="48" spans="1:25" ht="20.100000000000001" customHeight="1" x14ac:dyDescent="0.25">
      <c r="D48" s="34"/>
      <c r="E48" s="34"/>
      <c r="F48" s="34"/>
      <c r="G48" s="34"/>
      <c r="H48" s="34"/>
      <c r="I48" s="34"/>
      <c r="J48" s="34"/>
      <c r="K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67"/>
      <c r="E51" s="68"/>
      <c r="F51" s="68"/>
      <c r="G51" s="68"/>
      <c r="H51" s="69"/>
    </row>
    <row r="52" spans="4:8" ht="20.100000000000001" customHeight="1" x14ac:dyDescent="0.25"/>
    <row r="53" spans="4:8" ht="20.100000000000001" customHeight="1" x14ac:dyDescent="0.25"/>
    <row r="54" spans="4:8" ht="20.100000000000001" customHeight="1" x14ac:dyDescent="0.25">
      <c r="G54" s="70"/>
    </row>
    <row r="55" spans="4:8" ht="20.100000000000001" customHeight="1" x14ac:dyDescent="0.25">
      <c r="D55" s="6"/>
    </row>
    <row r="56" spans="4:8" ht="20.100000000000001" customHeight="1" x14ac:dyDescent="0.25"/>
    <row r="57" spans="4:8" ht="20.100000000000001" customHeight="1" x14ac:dyDescent="0.25">
      <c r="D57" s="23"/>
      <c r="F57" s="71"/>
    </row>
    <row r="58" spans="4:8" ht="20.100000000000001" customHeight="1" x14ac:dyDescent="0.25">
      <c r="D58" s="1"/>
      <c r="E58" s="72"/>
    </row>
    <row r="59" spans="4:8" ht="20.100000000000001" customHeight="1" x14ac:dyDescent="0.25">
      <c r="D59" s="1"/>
      <c r="E59" s="72"/>
    </row>
    <row r="60" spans="4:8" ht="20.100000000000001" customHeight="1" x14ac:dyDescent="0.25">
      <c r="D60" s="1"/>
      <c r="E60" s="73"/>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72"/>
    </row>
    <row r="65" spans="4:9" ht="20.100000000000001" customHeight="1" x14ac:dyDescent="0.25">
      <c r="D65" s="1"/>
      <c r="E65" s="72"/>
    </row>
    <row r="66" spans="4:9" ht="20.100000000000001" customHeight="1" x14ac:dyDescent="0.25">
      <c r="D66" s="1"/>
      <c r="E66" s="73"/>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74"/>
    </row>
    <row r="79" spans="4:9" ht="20.100000000000001" customHeight="1" x14ac:dyDescent="0.25">
      <c r="D79" s="74"/>
    </row>
    <row r="80" spans="4:9" ht="20.100000000000001" customHeight="1" x14ac:dyDescent="0.25">
      <c r="D80" s="74"/>
    </row>
    <row r="81" spans="4:4" ht="20.100000000000001" customHeight="1" x14ac:dyDescent="0.25">
      <c r="D81" s="74"/>
    </row>
    <row r="82" spans="4:4" ht="20.100000000000001" customHeight="1" x14ac:dyDescent="0.25">
      <c r="D82" s="74"/>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zoomScaleNormal="100" workbookViewId="0">
      <selection activeCell="E9" sqref="E9"/>
    </sheetView>
  </sheetViews>
  <sheetFormatPr defaultRowHeight="15.75" x14ac:dyDescent="0.25"/>
  <cols>
    <col min="1" max="1" width="30.7109375" customWidth="1"/>
    <col min="2" max="2" width="4.7109375" customWidth="1"/>
    <col min="3" max="3" width="4.7109375" style="1" customWidth="1"/>
    <col min="4" max="4" width="62.5703125" style="1" customWidth="1"/>
    <col min="5" max="7" width="30.7109375" style="1" customWidth="1"/>
    <col min="8" max="8" width="12.7109375" style="1" customWidth="1"/>
    <col min="9" max="11" width="30.7109375" style="1" customWidth="1"/>
    <col min="12" max="12" width="4.7109375" style="1" customWidth="1"/>
    <col min="13" max="13" width="4.7109375" customWidth="1"/>
    <col min="14" max="14" width="4.7109375" style="54" customWidth="1"/>
    <col min="15" max="20" width="30.7109375" style="54" customWidth="1"/>
    <col min="21" max="21" width="4.7109375" style="54" customWidth="1"/>
  </cols>
  <sheetData>
    <row r="1" spans="1:21" s="63" customFormat="1" ht="30" customHeight="1" x14ac:dyDescent="0.35">
      <c r="A1" s="63" t="e" vm="1">
        <v>#VALUE!</v>
      </c>
      <c r="C1" s="63" t="s">
        <v>181</v>
      </c>
      <c r="N1" s="54"/>
      <c r="O1" s="54"/>
      <c r="P1" s="54"/>
      <c r="Q1" s="54"/>
      <c r="R1" s="54"/>
      <c r="S1" s="54"/>
      <c r="T1" s="54"/>
      <c r="U1" s="54"/>
    </row>
    <row r="2" spans="1:21" s="9" customFormat="1" ht="20.100000000000001" customHeight="1" x14ac:dyDescent="0.25">
      <c r="N2" s="54"/>
      <c r="O2" s="54"/>
      <c r="P2" s="54"/>
      <c r="Q2" s="54"/>
      <c r="R2" s="54"/>
      <c r="S2" s="54"/>
      <c r="T2" s="54"/>
      <c r="U2" s="54"/>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84</v>
      </c>
    </row>
    <row r="6" spans="1:21" ht="20.100000000000001" customHeight="1" x14ac:dyDescent="0.25">
      <c r="A6" s="16"/>
    </row>
    <row r="7" spans="1:21" ht="20.100000000000001" customHeight="1" x14ac:dyDescent="0.25">
      <c r="A7" s="20" t="s">
        <v>3</v>
      </c>
      <c r="D7" s="58"/>
      <c r="E7" s="39" t="s">
        <v>96</v>
      </c>
      <c r="F7" s="39" t="s">
        <v>97</v>
      </c>
      <c r="G7" s="39" t="s">
        <v>98</v>
      </c>
    </row>
    <row r="8" spans="1:21" ht="20.100000000000001" customHeight="1" x14ac:dyDescent="0.25">
      <c r="A8" s="17" t="str">
        <f>HYPERLINK("#'Input - Site'!A1", "Site")</f>
        <v>Site</v>
      </c>
      <c r="D8" s="1" t="str">
        <f>"Average number of head between " &amp; TEXT('Input - Site'!$E$12, "dd mmm yy") &amp; " and " &amp; TEXT('Input - Site'!$E$13, "dd mmm yy")</f>
        <v>Average number of head between 01 Jan 24 and 31 Dec 24</v>
      </c>
      <c r="E8" s="87">
        <v>4300</v>
      </c>
      <c r="F8" s="87">
        <v>100</v>
      </c>
      <c r="G8" s="87">
        <v>100</v>
      </c>
      <c r="H8" s="2" t="s">
        <v>86</v>
      </c>
      <c r="I8" s="2"/>
      <c r="J8" s="2"/>
      <c r="K8" s="2"/>
    </row>
    <row r="9" spans="1:21" ht="20.100000000000001" customHeight="1" x14ac:dyDescent="0.25">
      <c r="A9" s="21" t="str">
        <f>HYPERLINK("#'Input - Feedlot'!A1", "Feedlot")</f>
        <v>Feedlot</v>
      </c>
      <c r="D9" s="1" t="str">
        <f>"Average duration of stay between " &amp; TEXT('Input - Site'!$E$12, "dd mmm yy") &amp; " and " &amp; TEXT('Input - Site'!$E$13, "dd mmm yy")</f>
        <v>Average duration of stay between 01 Jan 24 and 31 Dec 24</v>
      </c>
      <c r="E9" s="87">
        <v>90</v>
      </c>
      <c r="F9" s="87">
        <v>140</v>
      </c>
      <c r="G9" s="87">
        <v>250</v>
      </c>
      <c r="H9" s="2" t="s">
        <v>143</v>
      </c>
      <c r="I9" s="2"/>
      <c r="J9" s="2"/>
      <c r="K9" s="2"/>
    </row>
    <row r="10" spans="1:21" ht="20.100000000000001" customHeight="1" x14ac:dyDescent="0.25">
      <c r="A10" s="17"/>
    </row>
    <row r="11" spans="1:21" ht="20.100000000000001" customHeight="1" x14ac:dyDescent="0.25">
      <c r="A11" s="19" t="s">
        <v>58</v>
      </c>
      <c r="D11" s="6" t="s">
        <v>79</v>
      </c>
    </row>
    <row r="12" spans="1:21" ht="20.100000000000001" customHeight="1" x14ac:dyDescent="0.25">
      <c r="A12" s="17" t="str">
        <f>HYPERLINK("#'3.1.1.1-2 Enteric Methane'!A1", "3.1.1.1-2 Enteric Methane")</f>
        <v>3.1.1.1-2 Enteric Methane</v>
      </c>
    </row>
    <row r="13" spans="1:21" ht="20.100000000000001" customHeight="1" x14ac:dyDescent="0.25">
      <c r="D13" s="58" t="s">
        <v>130</v>
      </c>
      <c r="E13" s="39" t="s">
        <v>96</v>
      </c>
      <c r="F13" s="39" t="s">
        <v>97</v>
      </c>
      <c r="G13" s="39" t="s">
        <v>98</v>
      </c>
    </row>
    <row r="14" spans="1:21" ht="20.100000000000001" customHeight="1" x14ac:dyDescent="0.25">
      <c r="A14" s="18" t="s">
        <v>4</v>
      </c>
      <c r="D14" s="1" t="s">
        <v>102</v>
      </c>
      <c r="E14" s="50" cm="1">
        <f t="array" ref="E14">_xlfn.XLOOKUP(1, (Table_SourceData_Feedlot_AnimalCharacteristics[Feedlot type] = E$13) * (Table_SourceData_Feedlot_AnimalCharacteristics[Characteristic] = $D$14), Table_SourceData_Feedlot_AnimalCharacteristics[2020-2023], "Not Found")</f>
        <v>10.4</v>
      </c>
      <c r="F14" s="50" cm="1">
        <f t="array" ref="F14">_xlfn.XLOOKUP(1, (Table_SourceData_Feedlot_AnimalCharacteristics[Feedlot type] = F$13) * (Table_SourceData_Feedlot_AnimalCharacteristics[Characteristic] = $D$14), Table_SourceData_Feedlot_AnimalCharacteristics[2020-2023], "Not Found")</f>
        <v>10.8</v>
      </c>
      <c r="G14" s="50" cm="1">
        <f t="array" ref="G14">_xlfn.XLOOKUP(1, (Table_SourceData_Feedlot_AnimalCharacteristics[Feedlot type] = G$13) * (Table_SourceData_Feedlot_AnimalCharacteristics[Characteristic] = $D$14), Table_SourceData_Feedlot_AnimalCharacteristics[2020-2023], "Not Found")</f>
        <v>8.1999999999999993</v>
      </c>
      <c r="H14" s="2" t="s">
        <v>81</v>
      </c>
      <c r="I14" s="2"/>
      <c r="J14" s="2"/>
      <c r="K14" s="2"/>
    </row>
    <row r="15" spans="1:21" ht="20.100000000000001" customHeight="1" x14ac:dyDescent="0.25">
      <c r="A15" s="17" t="str">
        <f>HYPERLINK("#'Constants - Feedlot'!A1", "Constants - Feedlot")</f>
        <v>Constants - Feedlot</v>
      </c>
      <c r="D15" s="1" t="s">
        <v>161</v>
      </c>
      <c r="E15" s="50" cm="1">
        <f t="array" ref="E15">_xlfn.XLOOKUP(1, (Table_SourceData_Feedlot_DietProperties[Feedlot type] = E$13) * (Table_SourceData_Feedlot_DietProperties[Nutrient analysis] = $D$15), Table_SourceData_Feedlot_DietProperties[2020-2023 Converted to fraction], "Not Found")</f>
        <v>4.8</v>
      </c>
      <c r="F15" s="50" cm="1">
        <f t="array" ref="F15">_xlfn.XLOOKUP(1, (Table_SourceData_Feedlot_DietProperties[Feedlot type] = F$13) * (Table_SourceData_Feedlot_DietProperties[Nutrient analysis] = $D$15), Table_SourceData_Feedlot_DietProperties[2020-2023 Converted to fraction], "Not Found")</f>
        <v>5</v>
      </c>
      <c r="G15" s="50" cm="1">
        <f t="array" ref="G15">_xlfn.XLOOKUP(1, (Table_SourceData_Feedlot_DietProperties[Feedlot type] = G$13) * (Table_SourceData_Feedlot_DietProperties[Nutrient analysis] = $D$15), Table_SourceData_Feedlot_DietProperties[2020-2023 Converted to fraction], "Not Found")</f>
        <v>5.5</v>
      </c>
      <c r="H15" s="2" t="s">
        <v>144</v>
      </c>
      <c r="I15" s="2"/>
      <c r="J15" s="2"/>
      <c r="K15" s="2"/>
    </row>
    <row r="16" spans="1:21" ht="20.100000000000001" customHeight="1" x14ac:dyDescent="0.25">
      <c r="A16" s="17" t="str">
        <f>HYPERLINK("#'Constants - Livestock'!A1", "Constants - Livestock")</f>
        <v>Constants - Livestock</v>
      </c>
      <c r="D16" s="1" t="s">
        <v>162</v>
      </c>
      <c r="E16" s="50" cm="1">
        <f t="array" ref="E16">_xlfn.XLOOKUP(1, (Table_SourceData_Feedlot_DietProperties[Feedlot type] = E$13) * (Table_SourceData_Feedlot_DietProperties[Nutrient analysis] = $D$16), Table_SourceData_Feedlot_DietProperties[2020-2023 Converted to fraction], "Not Found")</f>
        <v>22</v>
      </c>
      <c r="F16" s="50" cm="1">
        <f t="array" ref="F16">_xlfn.XLOOKUP(1, (Table_SourceData_Feedlot_DietProperties[Feedlot type] = F$13) * (Table_SourceData_Feedlot_DietProperties[Nutrient analysis] = $D$16), Table_SourceData_Feedlot_DietProperties[2020-2023 Converted to fraction], "Not Found")</f>
        <v>22</v>
      </c>
      <c r="G16" s="50" cm="1">
        <f t="array" ref="G16">_xlfn.XLOOKUP(1, (Table_SourceData_Feedlot_DietProperties[Feedlot type] = G$13) * (Table_SourceData_Feedlot_DietProperties[Nutrient analysis] = $D$16), Table_SourceData_Feedlot_DietProperties[2020-2023 Converted to fraction], "Not Found")</f>
        <v>24</v>
      </c>
      <c r="H16" s="2" t="s">
        <v>144</v>
      </c>
      <c r="I16" s="2"/>
      <c r="J16" s="2"/>
      <c r="K16" s="2"/>
    </row>
    <row r="17" spans="1:11" ht="20.100000000000001" customHeight="1" x14ac:dyDescent="0.25">
      <c r="A17" s="17" t="str">
        <f>HYPERLINK("#'Constants - Common'!A1", "Constants - Common")</f>
        <v>Constants - Common</v>
      </c>
      <c r="J17" s="2"/>
      <c r="K17" s="2"/>
    </row>
    <row r="18" spans="1:11" ht="20.100000000000001" customHeight="1" x14ac:dyDescent="0.25">
      <c r="A18" s="17" t="str">
        <f>HYPERLINK("#'Acknowledgements'!A1", "Acknowledgements")</f>
        <v>Acknowledgements</v>
      </c>
      <c r="D18" s="58" t="s">
        <v>131</v>
      </c>
      <c r="E18" s="39" t="s">
        <v>96</v>
      </c>
      <c r="F18" s="39" t="s">
        <v>97</v>
      </c>
      <c r="G18" s="39" t="s">
        <v>98</v>
      </c>
    </row>
    <row r="19" spans="1:11" ht="20.100000000000001" customHeight="1" x14ac:dyDescent="0.25">
      <c r="D19" s="1" t="s">
        <v>102</v>
      </c>
      <c r="E19" s="61" cm="1">
        <f t="array" ref="E19">_xlfn.XLOOKUP(1, (Table_SourceData_Feedlot_AnimalCharacteristics[Feedlot type] = E$18) * (Table_SourceData_Feedlot_AnimalCharacteristics[Characteristic] = $D$19), Table_SourceData_Feedlot_AnimalCharacteristics[2020-2023], "Not Found")</f>
        <v>10.4</v>
      </c>
      <c r="F19" s="61" cm="1">
        <f t="array" ref="F19">_xlfn.XLOOKUP(1, (Table_SourceData_Feedlot_AnimalCharacteristics[Feedlot type] = F$18) * (Table_SourceData_Feedlot_AnimalCharacteristics[Characteristic] = $D$19), Table_SourceData_Feedlot_AnimalCharacteristics[2020-2023], "Not Found")</f>
        <v>10.8</v>
      </c>
      <c r="G19" s="61" cm="1">
        <f t="array" ref="G19">_xlfn.XLOOKUP(1, (Table_SourceData_Feedlot_AnimalCharacteristics[Feedlot type] = G$18) * (Table_SourceData_Feedlot_AnimalCharacteristics[Characteristic] = $D$19), Table_SourceData_Feedlot_AnimalCharacteristics[2020-2023], "Not Found")</f>
        <v>8.1999999999999993</v>
      </c>
      <c r="H19" s="2" t="s">
        <v>81</v>
      </c>
      <c r="I19" s="2"/>
    </row>
    <row r="20" spans="1:11" ht="20.100000000000001" customHeight="1" x14ac:dyDescent="0.25">
      <c r="D20" s="1" t="s">
        <v>161</v>
      </c>
      <c r="E20" s="61" cm="1">
        <f t="array" ref="E20">_xlfn.XLOOKUP(1, (Table_SourceData_Feedlot_DietProperties[Feedlot type] = E$18) * (Table_SourceData_Feedlot_DietProperties[Nutrient analysis] = $D$20), Table_SourceData_Feedlot_DietProperties[2020-2023 Converted to fraction], "Not Found")</f>
        <v>4.8</v>
      </c>
      <c r="F20" s="61" cm="1">
        <f t="array" ref="F20">_xlfn.XLOOKUP(1, (Table_SourceData_Feedlot_DietProperties[Feedlot type] = F$18) * (Table_SourceData_Feedlot_DietProperties[Nutrient analysis] = $D$20), Table_SourceData_Feedlot_DietProperties[2020-2023 Converted to fraction], "Not Found")</f>
        <v>5</v>
      </c>
      <c r="G20" s="61" cm="1">
        <f t="array" ref="G20">_xlfn.XLOOKUP(1, (Table_SourceData_Feedlot_DietProperties[Feedlot type] = G$18) * (Table_SourceData_Feedlot_DietProperties[Nutrient analysis] = $D$20), Table_SourceData_Feedlot_DietProperties[2020-2023 Converted to fraction], "Not Found")</f>
        <v>5.5</v>
      </c>
      <c r="H20" s="2" t="s">
        <v>144</v>
      </c>
      <c r="I20" s="2"/>
      <c r="J20" s="2"/>
      <c r="K20" s="2"/>
    </row>
    <row r="21" spans="1:11" ht="20.100000000000001" customHeight="1" x14ac:dyDescent="0.25">
      <c r="A21" s="17"/>
      <c r="D21" s="1" t="s">
        <v>162</v>
      </c>
      <c r="E21" s="61" cm="1">
        <f t="array" ref="E21">_xlfn.XLOOKUP(1, (Table_SourceData_Feedlot_DietProperties[Feedlot type] = E$18) * (Table_SourceData_Feedlot_DietProperties[Nutrient analysis] = $D$21), Table_SourceData_Feedlot_DietProperties[2020-2023 Converted to fraction], "Not Found")</f>
        <v>22</v>
      </c>
      <c r="F21" s="61" cm="1">
        <f t="array" ref="F21">_xlfn.XLOOKUP(1, (Table_SourceData_Feedlot_DietProperties[Feedlot type] = F$18) * (Table_SourceData_Feedlot_DietProperties[Nutrient analysis] = $D$21), Table_SourceData_Feedlot_DietProperties[2020-2023 Converted to fraction], "Not Found")</f>
        <v>22</v>
      </c>
      <c r="G21" s="61" cm="1">
        <f t="array" ref="G21">_xlfn.XLOOKUP(1, (Table_SourceData_Feedlot_DietProperties[Feedlot type] = G$18) * (Table_SourceData_Feedlot_DietProperties[Nutrient analysis] = $D$21), Table_SourceData_Feedlot_DietProperties[2020-2023 Converted to fraction], "Not Found")</f>
        <v>24</v>
      </c>
      <c r="H21" s="2" t="s">
        <v>144</v>
      </c>
      <c r="I21" s="2"/>
      <c r="J21" s="2"/>
      <c r="K21" s="2"/>
    </row>
    <row r="22" spans="1:11" ht="20.100000000000001" customHeight="1" x14ac:dyDescent="0.25">
      <c r="J22" s="2"/>
      <c r="K22" s="2"/>
    </row>
    <row r="23" spans="1:11" ht="20.100000000000001" customHeight="1" x14ac:dyDescent="0.25">
      <c r="J23" s="2"/>
      <c r="K23" s="2"/>
    </row>
    <row r="24" spans="1:11" ht="20.100000000000001" customHeight="1" x14ac:dyDescent="0.25"/>
    <row r="25" spans="1:11" ht="20.100000000000001" customHeight="1" x14ac:dyDescent="0.25">
      <c r="A25" s="17"/>
      <c r="D25" s="6"/>
    </row>
    <row r="26" spans="1:11" ht="20.100000000000001" customHeight="1" x14ac:dyDescent="0.25">
      <c r="A26" s="17"/>
    </row>
    <row r="27" spans="1:11" ht="20.100000000000001" customHeight="1" x14ac:dyDescent="0.25">
      <c r="A27" s="17"/>
    </row>
    <row r="28" spans="1:11" ht="20.100000000000001" customHeight="1" x14ac:dyDescent="0.25">
      <c r="A28" s="17"/>
    </row>
    <row r="29" spans="1:11" ht="20.100000000000001" customHeight="1" x14ac:dyDescent="0.25">
      <c r="A29" s="17"/>
    </row>
    <row r="30" spans="1:11" ht="20.100000000000001" customHeight="1" x14ac:dyDescent="0.25">
      <c r="A30" s="17"/>
    </row>
    <row r="31" spans="1:11" ht="20.100000000000001" customHeight="1" x14ac:dyDescent="0.25">
      <c r="A31" s="62"/>
    </row>
    <row r="32" spans="1:11" ht="20.100000000000001" customHeight="1" x14ac:dyDescent="0.25">
      <c r="A32" s="62"/>
    </row>
    <row r="33" spans="1:11" ht="20.100000000000001" customHeight="1" x14ac:dyDescent="0.25">
      <c r="A33" s="17"/>
    </row>
    <row r="34" spans="1:11" ht="20.100000000000001" customHeight="1" x14ac:dyDescent="0.25"/>
    <row r="35" spans="1:11" ht="20.100000000000001" customHeight="1" x14ac:dyDescent="0.25"/>
    <row r="36" spans="1:11" ht="20.100000000000001" customHeight="1" x14ac:dyDescent="0.25"/>
    <row r="37" spans="1:11" ht="20.100000000000001" customHeight="1" x14ac:dyDescent="0.25"/>
    <row r="38" spans="1:11" ht="20.100000000000001" customHeight="1" x14ac:dyDescent="0.25"/>
    <row r="39" spans="1:11" ht="20.100000000000001" customHeight="1" x14ac:dyDescent="0.25">
      <c r="A39" s="17"/>
    </row>
    <row r="40" spans="1:11" ht="20.100000000000001" customHeight="1" x14ac:dyDescent="0.25"/>
    <row r="41" spans="1:11" ht="20.100000000000001" customHeight="1" x14ac:dyDescent="0.25">
      <c r="A41" s="44"/>
    </row>
    <row r="42" spans="1:11" ht="20.100000000000001" customHeight="1" x14ac:dyDescent="0.25"/>
    <row r="43" spans="1:11" ht="20.100000000000001" customHeight="1" x14ac:dyDescent="0.25"/>
    <row r="44" spans="1:11" ht="20.100000000000001" customHeight="1" x14ac:dyDescent="0.25"/>
    <row r="45" spans="1:11" ht="20.100000000000001" customHeight="1" x14ac:dyDescent="0.25">
      <c r="I45" s="2"/>
      <c r="J45" s="2"/>
      <c r="K45" s="2"/>
    </row>
    <row r="46" spans="1:11" ht="20.100000000000001" customHeight="1" x14ac:dyDescent="0.25"/>
    <row r="47" spans="1:11" ht="20.100000000000001" customHeight="1" x14ac:dyDescent="0.25"/>
    <row r="48" spans="1: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94"/>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183"/>
  <sheetViews>
    <sheetView showGridLines="0" topLeftCell="A53" zoomScaleNormal="100" workbookViewId="0">
      <selection activeCell="D60" sqref="D60"/>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3" t="e" vm="1">
        <v>#VALUE!</v>
      </c>
      <c r="C1" s="8" t="s">
        <v>180</v>
      </c>
      <c r="K1"/>
    </row>
    <row r="2" spans="1:19" s="9" customFormat="1" ht="20.100000000000001" customHeight="1" x14ac:dyDescent="0.25">
      <c r="K2"/>
    </row>
    <row r="3" spans="1:19" ht="20.100000000000001" customHeight="1" x14ac:dyDescent="0.25">
      <c r="A3" s="17" t="str">
        <f>HYPERLINK("#'Home'!A1", "Home")</f>
        <v>Home</v>
      </c>
      <c r="C3" s="4"/>
      <c r="D3" s="4" t="s">
        <v>108</v>
      </c>
      <c r="E3" s="4"/>
      <c r="F3" s="4"/>
      <c r="G3" s="4"/>
      <c r="H3" s="4"/>
      <c r="I3" s="4"/>
      <c r="J3" s="4"/>
      <c r="L3" s="4"/>
      <c r="M3" s="4" t="s">
        <v>109</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EntericMethane_Feedlot_Equations.VEERG_3_1_1_1__2_DailyEntericMethaneProduction_Title()</f>
        <v>Daily production of enteric methane</v>
      </c>
    </row>
    <row r="6" spans="1:19" ht="20.100000000000001" customHeight="1" x14ac:dyDescent="0.25">
      <c r="A6" s="16"/>
      <c r="D6" s="5" t="str" cm="1">
        <f t="array" ref="D6">EntericMethane_Feedlot_Equations.VEERG_3_1_1_1__2_DailyEntericMethaneProduction_Source()</f>
        <v>VEERG 2026: 3.1.1.1, Equation (2)</v>
      </c>
    </row>
    <row r="7" spans="1:19" ht="20.100000000000001" customHeight="1" x14ac:dyDescent="0.25">
      <c r="A7" s="20" t="s">
        <v>3</v>
      </c>
      <c r="D7" s="13" t="s">
        <v>17</v>
      </c>
      <c r="E7" s="13" t="str" cm="1">
        <f t="array" aca="1" ref="E7" ca="1">Common_InputFunctions.Utility_DisplayFunctionName(D35)</f>
        <v>=EntericMethane_Feedlot_Equations.VEERG_3_1_1_1__2_DailyEntericMethaneProduction</v>
      </c>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c r="D10" s="51" t="s">
        <v>20</v>
      </c>
      <c r="E10" s="1" t="str" cm="1">
        <f t="array" ref="E10">EntericMethane_Feedlot_Equations.VEERG_3_1_1_1__2_DailyEntericMethaneProduction_Variable()</f>
        <v>M_j</v>
      </c>
    </row>
    <row r="11" spans="1:19" ht="20.100000000000001" customHeight="1" x14ac:dyDescent="0.25">
      <c r="A11" s="19" t="s">
        <v>58</v>
      </c>
      <c r="D11" s="51" t="s">
        <v>11</v>
      </c>
      <c r="E11" s="52" t="str" cm="1">
        <f t="array" ref="E11">EntericMethane_Feedlot_Equations.VEERG_3_1_1_1__2_DailyEntericMethaneProduction_Unit()</f>
        <v>kg CH4/head/day</v>
      </c>
    </row>
    <row r="12" spans="1:19" ht="20.100000000000001" customHeight="1" x14ac:dyDescent="0.25">
      <c r="A12" s="22" t="str">
        <f>HYPERLINK("#'3.1.1.1-2 Enteric Methane'!A1", "3.1.1.1-2 Enteric Methane")</f>
        <v>3.1.1.1-2 Enteric Methane</v>
      </c>
    </row>
    <row r="13" spans="1:19" ht="20.100000000000001" customHeight="1" x14ac:dyDescent="0.25">
      <c r="D13" s="105" t="str" cm="1">
        <f t="array" ref="D13:E15">_xlfn.CHOOSECOLS(EntericMethane_Feedlot_Equations.VEERG_3_1_1_1__2_DailyEntericMethaneProduction_Arguments(),1,2)</f>
        <v>I_j</v>
      </c>
      <c r="E13" s="108" t="str">
        <v>dry matter intake</v>
      </c>
      <c r="F13" s="107"/>
      <c r="G13" s="105" t="str" cm="1">
        <f t="array" ref="G13:H15">_xlfn.CHOOSECOLS(EntericMethane_Feedlot_Equations.VEERG_3_1_1_1__2_DailyEntericMethaneProduction_Arguments(),3,4)</f>
        <v>kg DM/head/day</v>
      </c>
      <c r="H13" s="103" t="str">
        <v>Input</v>
      </c>
      <c r="I13" s="106" t="str" cm="1">
        <f t="array" aca="1" ref="I13" ca="1">HYPERLINK(Common_InputFunctions.Utility_SourceHyperlink($D$17),$D$17)</f>
        <v>M1_Table_I_j</v>
      </c>
    </row>
    <row r="14" spans="1:19" ht="20.100000000000001" customHeight="1" x14ac:dyDescent="0.25">
      <c r="A14" s="18" t="s">
        <v>4</v>
      </c>
      <c r="D14" s="105" t="str">
        <v>EE_j</v>
      </c>
      <c r="E14" s="108" t="str">
        <v>ether extract as a percentage of I_j</v>
      </c>
      <c r="F14" s="107"/>
      <c r="G14" s="105" t="str">
        <v>per cent</v>
      </c>
      <c r="H14" s="103" t="str">
        <v>Input</v>
      </c>
      <c r="I14" s="106" t="str" cm="1">
        <f t="array" aca="1" ref="I14" ca="1">HYPERLINK(Common_InputFunctions.Utility_SourceHyperlink($D$22),$D$22)</f>
        <v>M1_Table_EE_j</v>
      </c>
    </row>
    <row r="15" spans="1:19" ht="20.100000000000001" customHeight="1" x14ac:dyDescent="0.25">
      <c r="A15" s="17" t="str">
        <f>HYPERLINK("#'Constants - Feedlot'!A1", "Constants - Feedlot")</f>
        <v>Constants - Feedlot</v>
      </c>
      <c r="D15" s="105" t="str">
        <v>NDF_j</v>
      </c>
      <c r="E15" s="108" t="str">
        <v>neutral detergent fibre as a percentage of I_j</v>
      </c>
      <c r="F15" s="107"/>
      <c r="G15" s="105" t="str">
        <v>per cent</v>
      </c>
      <c r="H15" s="103" t="str">
        <v>Input</v>
      </c>
      <c r="I15" s="106" t="str" cm="1">
        <f t="array" aca="1" ref="I15" ca="1">HYPERLINK(Common_InputFunctions.Utility_SourceHyperlink($D$27),$D$27)</f>
        <v>M1_Table_NDF_j</v>
      </c>
    </row>
    <row r="16" spans="1:19" ht="20.100000000000001" customHeight="1" x14ac:dyDescent="0.25">
      <c r="A16" s="17" t="str">
        <f>HYPERLINK("#'Constants - Livestock'!A1", "Constants - Livestock")</f>
        <v>Constants - Livestock</v>
      </c>
    </row>
    <row r="17" spans="1:16" ht="20.100000000000001" customHeight="1" x14ac:dyDescent="0.25">
      <c r="A17" s="17" t="str">
        <f>HYPERLINK("#'Constants - Common'!A1", "Constants - Common")</f>
        <v>Constants - Common</v>
      </c>
      <c r="D17" s="86" t="s">
        <v>106</v>
      </c>
      <c r="M17" s="86" t="s">
        <v>107</v>
      </c>
    </row>
    <row r="18" spans="1:16" ht="20.100000000000001" customHeight="1" x14ac:dyDescent="0.25">
      <c r="A18" s="17" t="str">
        <f>HYPERLINK("#'Acknowledgements'!A1", "Acknowledgements")</f>
        <v>Acknowledgements</v>
      </c>
      <c r="D18" s="85" t="s">
        <v>110</v>
      </c>
      <c r="M18" s="85" t="s">
        <v>111</v>
      </c>
    </row>
    <row r="19" spans="1:16" ht="20.100000000000001" customHeight="1" x14ac:dyDescent="0.25">
      <c r="D19" s="39" t="s">
        <v>96</v>
      </c>
      <c r="E19" s="39" t="s">
        <v>97</v>
      </c>
      <c r="F19" s="39" t="s">
        <v>98</v>
      </c>
      <c r="M19" s="39" t="s">
        <v>96</v>
      </c>
      <c r="N19" s="39" t="s">
        <v>97</v>
      </c>
      <c r="O19" s="39" t="s">
        <v>98</v>
      </c>
    </row>
    <row r="20" spans="1:16" ht="20.100000000000001" customHeight="1" x14ac:dyDescent="0.25">
      <c r="D20" s="50" cm="1">
        <f t="array" aca="1" ref="D20:F20" ca="1">OFFSET(X_Table_Feedlot_Intake_Method1, 1,1, 1,3)</f>
        <v>10.4</v>
      </c>
      <c r="E20" s="50">
        <f ca="1"/>
        <v>10.8</v>
      </c>
      <c r="F20" s="50">
        <f ca="1"/>
        <v>8.1999999999999993</v>
      </c>
      <c r="G20" s="2" t="str">
        <f>$G$13</f>
        <v>kg DM/head/day</v>
      </c>
      <c r="M20" s="50" cm="1">
        <f t="array" aca="1" ref="M20:O20" ca="1">OFFSET(X_Table_Feedlot_Intake_Method2, 1,1, 1,3)</f>
        <v>10.4</v>
      </c>
      <c r="N20" s="50">
        <f ca="1"/>
        <v>10.8</v>
      </c>
      <c r="O20" s="50">
        <f ca="1"/>
        <v>8.1999999999999993</v>
      </c>
      <c r="P20" s="2" t="str">
        <f>$G$13</f>
        <v>kg DM/head/day</v>
      </c>
    </row>
    <row r="21" spans="1:16" ht="20.100000000000001" customHeight="1" x14ac:dyDescent="0.25">
      <c r="A21" s="17"/>
    </row>
    <row r="22" spans="1:16" ht="20.100000000000001" customHeight="1" x14ac:dyDescent="0.25">
      <c r="D22" s="86" t="s">
        <v>163</v>
      </c>
      <c r="M22" s="86" t="s">
        <v>171</v>
      </c>
    </row>
    <row r="23" spans="1:16" ht="20.100000000000001" customHeight="1" x14ac:dyDescent="0.25">
      <c r="D23" s="85" t="s">
        <v>164</v>
      </c>
      <c r="M23" s="85" t="s">
        <v>172</v>
      </c>
    </row>
    <row r="24" spans="1:16" ht="20.100000000000001" customHeight="1" x14ac:dyDescent="0.25">
      <c r="D24" s="39" t="s">
        <v>96</v>
      </c>
      <c r="E24" s="39" t="s">
        <v>97</v>
      </c>
      <c r="F24" s="39" t="s">
        <v>98</v>
      </c>
      <c r="M24" s="39" t="s">
        <v>96</v>
      </c>
      <c r="N24" s="39" t="s">
        <v>97</v>
      </c>
      <c r="O24" s="39" t="s">
        <v>98</v>
      </c>
    </row>
    <row r="25" spans="1:16" ht="20.100000000000001" customHeight="1" x14ac:dyDescent="0.25">
      <c r="A25" s="17"/>
      <c r="D25" s="50" cm="1">
        <f t="array" aca="1" ref="D25:F25" ca="1">OFFSET(X_Table_Feedlot_Intake_Method1, 2,1, 1,3)</f>
        <v>4.8</v>
      </c>
      <c r="E25" s="50">
        <f ca="1"/>
        <v>5</v>
      </c>
      <c r="F25" s="50">
        <f ca="1"/>
        <v>5.5</v>
      </c>
      <c r="G25" s="2" t="str">
        <f>$G$14</f>
        <v>per cent</v>
      </c>
      <c r="M25" s="50" cm="1">
        <f t="array" aca="1" ref="M25:O25" ca="1">OFFSET(X_Table_Feedlot_Intake_Method2, 2,1, 1,3)</f>
        <v>4.8</v>
      </c>
      <c r="N25" s="50">
        <f ca="1"/>
        <v>5</v>
      </c>
      <c r="O25" s="50">
        <f ca="1"/>
        <v>5.5</v>
      </c>
      <c r="P25" s="2" t="str">
        <f>$G$14</f>
        <v>per cent</v>
      </c>
    </row>
    <row r="26" spans="1:16" ht="20.100000000000001" customHeight="1" x14ac:dyDescent="0.25"/>
    <row r="27" spans="1:16" ht="20.100000000000001" customHeight="1" x14ac:dyDescent="0.25">
      <c r="D27" s="86" t="s">
        <v>165</v>
      </c>
      <c r="M27" s="86" t="s">
        <v>173</v>
      </c>
    </row>
    <row r="28" spans="1:16" ht="20.100000000000001" customHeight="1" x14ac:dyDescent="0.25">
      <c r="D28" s="85" t="s">
        <v>166</v>
      </c>
      <c r="M28" s="85" t="s">
        <v>174</v>
      </c>
    </row>
    <row r="29" spans="1:16" ht="20.100000000000001" customHeight="1" x14ac:dyDescent="0.25">
      <c r="D29" s="39" t="s">
        <v>96</v>
      </c>
      <c r="E29" s="39" t="s">
        <v>97</v>
      </c>
      <c r="F29" s="39" t="s">
        <v>98</v>
      </c>
      <c r="M29" s="39" t="s">
        <v>96</v>
      </c>
      <c r="N29" s="39" t="s">
        <v>97</v>
      </c>
      <c r="O29" s="39" t="s">
        <v>98</v>
      </c>
    </row>
    <row r="30" spans="1:16" ht="20.100000000000001" customHeight="1" x14ac:dyDescent="0.25">
      <c r="D30" s="50" cm="1">
        <f t="array" aca="1" ref="D30:F30" ca="1">OFFSET(X_Table_Feedlot_Intake_Method1, 3,1, 1,3)</f>
        <v>22</v>
      </c>
      <c r="E30" s="50">
        <f ca="1"/>
        <v>22</v>
      </c>
      <c r="F30" s="50">
        <f ca="1"/>
        <v>24</v>
      </c>
      <c r="G30" s="2" t="str">
        <f>$G$15</f>
        <v>per cent</v>
      </c>
      <c r="M30" s="50" cm="1">
        <f t="array" aca="1" ref="M30:O30" ca="1">OFFSET(X_Table_Feedlot_Intake_Method2, 3,1, 1,3)</f>
        <v>22</v>
      </c>
      <c r="N30" s="50">
        <f ca="1"/>
        <v>22</v>
      </c>
      <c r="O30" s="50">
        <f ca="1"/>
        <v>24</v>
      </c>
      <c r="P30" s="2" t="str">
        <f>$G$15</f>
        <v>per cent</v>
      </c>
    </row>
    <row r="31" spans="1:16" ht="20.100000000000001" customHeight="1" x14ac:dyDescent="0.25"/>
    <row r="32" spans="1:16" ht="20.100000000000001" customHeight="1" x14ac:dyDescent="0.25">
      <c r="D32" s="86" t="s">
        <v>167</v>
      </c>
      <c r="M32" s="86" t="s">
        <v>169</v>
      </c>
    </row>
    <row r="33" spans="3:18" ht="20.100000000000001" customHeight="1" x14ac:dyDescent="0.25">
      <c r="D33" s="85" t="s">
        <v>168</v>
      </c>
      <c r="M33" s="85" t="s">
        <v>170</v>
      </c>
    </row>
    <row r="34" spans="3:18" ht="20.100000000000001" customHeight="1" x14ac:dyDescent="0.25">
      <c r="D34" s="49" t="s">
        <v>96</v>
      </c>
      <c r="E34" s="49" t="s">
        <v>97</v>
      </c>
      <c r="F34" s="49" t="s">
        <v>98</v>
      </c>
      <c r="M34" s="49" t="s">
        <v>96</v>
      </c>
      <c r="N34" s="49" t="s">
        <v>97</v>
      </c>
      <c r="O34" s="49" t="s">
        <v>98</v>
      </c>
    </row>
    <row r="35" spans="3:18" ht="20.100000000000001" customHeight="1" x14ac:dyDescent="0.25">
      <c r="D35" s="50" cm="1">
        <f t="array" aca="1" ref="D35" ca="1">EntericMethane_Feedlot_Equations.VEERG_3_1_1_1__2_DailyEntericMethaneProduction(D20,D25,D30)</f>
        <v>8.3664000000000002E-2</v>
      </c>
      <c r="E35" s="50" cm="1">
        <f t="array" aca="1" ref="E35" ca="1">EntericMethane_Feedlot_Equations.VEERG_3_1_1_1__2_DailyEntericMethaneProduction(E20,E25,E30)</f>
        <v>8.4908000000000011E-2</v>
      </c>
      <c r="F35" s="50" cm="1">
        <f t="array" aca="1" ref="F35" ca="1">EntericMethane_Feedlot_Equations.VEERG_3_1_1_1__2_DailyEntericMethaneProduction(F20,F25,F30)</f>
        <v>7.4142E-2</v>
      </c>
      <c r="G35" s="2" t="str">
        <f>$E$11</f>
        <v>kg CH4/head/day</v>
      </c>
      <c r="M35" s="50" cm="1">
        <f t="array" aca="1" ref="M35" ca="1">EntericMethane_Feedlot_Equations.VEERG_3_1_1_1__2_DailyEntericMethaneProduction(M20,M25,M30)</f>
        <v>8.3664000000000002E-2</v>
      </c>
      <c r="N35" s="50" cm="1">
        <f t="array" aca="1" ref="N35" ca="1">EntericMethane_Feedlot_Equations.VEERG_3_1_1_1__2_DailyEntericMethaneProduction(N20,N25,N30)</f>
        <v>8.4908000000000011E-2</v>
      </c>
      <c r="O35" s="50" cm="1">
        <f t="array" aca="1" ref="O35" ca="1">EntericMethane_Feedlot_Equations.VEERG_3_1_1_1__2_DailyEntericMethaneProduction(O20,O25,O30)</f>
        <v>7.4142E-2</v>
      </c>
      <c r="P35" s="2" t="str">
        <f>$E$11</f>
        <v>kg CH4/head/day</v>
      </c>
    </row>
    <row r="36" spans="3:18" ht="20.100000000000001" customHeight="1" x14ac:dyDescent="0.25"/>
    <row r="37" spans="3:18" ht="20.100000000000001" customHeight="1" x14ac:dyDescent="0.25"/>
    <row r="38" spans="3:18" ht="20.100000000000001" customHeight="1" x14ac:dyDescent="0.25">
      <c r="C38" s="45"/>
      <c r="D38" s="45"/>
      <c r="E38" s="45"/>
      <c r="F38" s="45"/>
      <c r="G38" s="45"/>
      <c r="H38" s="45"/>
      <c r="I38" s="45"/>
      <c r="J38" s="45"/>
      <c r="L38" s="45"/>
      <c r="M38" s="45"/>
      <c r="N38" s="45"/>
      <c r="O38" s="45"/>
      <c r="P38" s="45"/>
      <c r="Q38" s="45"/>
      <c r="R38" s="45"/>
    </row>
    <row r="39" spans="3:18" ht="20.100000000000001" customHeight="1" x14ac:dyDescent="0.25">
      <c r="D39" s="6" t="str" cm="1">
        <f t="array" ref="D39">EntericMethane_Feedlot_Equations.VEERG_3_1_1_1__1_TotalAnnualMethaneFromEntericFermentation_Title()</f>
        <v>Total annual methane production from enteric fermentation in feedlot beef cattle</v>
      </c>
    </row>
    <row r="40" spans="3:18" ht="20.100000000000001" customHeight="1" x14ac:dyDescent="0.25">
      <c r="D40" s="5" t="str" cm="1">
        <f t="array" ref="D40">EntericMethane_Feedlot_Equations.VEERG_3_1_1_1__1_TotalAnnualMethaneFromEntericFermentation_Source()</f>
        <v>VEERG 2026: 3.1.1.1, Equation (1)</v>
      </c>
    </row>
    <row r="41" spans="3:18" ht="20.100000000000001" customHeight="1" x14ac:dyDescent="0.25">
      <c r="D41" s="13" t="s">
        <v>17</v>
      </c>
      <c r="E41" s="13" t="str" cm="1">
        <f t="array" aca="1" ref="E41" ca="1">Common_InputFunctions.Utility_DisplayFunctionName(D65)</f>
        <v>=EntericMethane_Feedlot_Equations.VEERG_3_1_1_1__1_TotalAnnualMethaneFromEntericFermentation</v>
      </c>
    </row>
    <row r="42" spans="3:18" ht="20.100000000000001" customHeight="1" x14ac:dyDescent="0.25"/>
    <row r="43" spans="3:18" ht="20.100000000000001" customHeight="1" x14ac:dyDescent="0.25">
      <c r="D43" s="6"/>
    </row>
    <row r="44" spans="3:18" ht="20.100000000000001" customHeight="1" x14ac:dyDescent="0.25"/>
    <row r="45" spans="3:18" ht="20.100000000000001" customHeight="1" x14ac:dyDescent="0.25">
      <c r="D45" s="51" t="s">
        <v>20</v>
      </c>
      <c r="E45" s="1" t="str" cm="1">
        <f t="array" ref="E45">EntericMethane_Feedlot_Equations.VEERG_3_1_1_1__1_TotalAnnualMethaneFromEntericFermentation_Variable()</f>
        <v>E_enteric</v>
      </c>
    </row>
    <row r="46" spans="3:18" ht="20.100000000000001" customHeight="1" x14ac:dyDescent="0.25">
      <c r="D46" s="51" t="s">
        <v>11</v>
      </c>
      <c r="E46" s="52" t="str" cm="1">
        <f t="array" ref="E46">EntericMethane_Feedlot_Equations.VEERG_3_1_1_1__1_TotalAnnualMethaneFromEntericFermentation_Unit()</f>
        <v>t CH4</v>
      </c>
    </row>
    <row r="47" spans="3:18" ht="20.100000000000001" customHeight="1" x14ac:dyDescent="0.25"/>
    <row r="48" spans="3:18" ht="20.100000000000001" customHeight="1" x14ac:dyDescent="0.25">
      <c r="D48" s="105" t="str" cm="1">
        <f t="array" ref="D48:E50">_xlfn.CHOOSECOLS(EntericMethane_Feedlot_Equations.VEERG_3_1_1_1__1_TotalAnnualMethaneFromEntericFermentation_Arguments(),1,2)</f>
        <v>D_j</v>
      </c>
      <c r="E48" s="108" t="str">
        <v>duration of stay of each cattle lot</v>
      </c>
      <c r="F48" s="107"/>
      <c r="G48" s="105" t="str" cm="1">
        <f t="array" ref="G48:H50">_xlfn.CHOOSECOLS(EntericMethane_Feedlot_Equations.VEERG_3_1_1_1__1_TotalAnnualMethaneFromEntericFermentation_Arguments(),3,4)</f>
        <v>days</v>
      </c>
      <c r="H48" s="103" t="str">
        <v>Input</v>
      </c>
      <c r="I48" s="106" t="str" cm="1">
        <f t="array" aca="1" ref="I48" ca="1">HYPERLINK(Common_InputFunctions.Utility_SourceHyperlink($D$52),$D$52)</f>
        <v>Table_D_j</v>
      </c>
    </row>
    <row r="49" spans="4:15" ht="20.100000000000001" customHeight="1" x14ac:dyDescent="0.25">
      <c r="D49" s="105" t="str">
        <v>M_j</v>
      </c>
      <c r="E49" s="108" t="str">
        <v>daily methane production</v>
      </c>
      <c r="F49" s="107"/>
      <c r="G49" s="105" t="str">
        <v>kg CH4/head/day</v>
      </c>
      <c r="H49" s="104" t="str">
        <v>Calculated from 3.1.1.1, (2)</v>
      </c>
      <c r="I49" s="106" t="str" cm="1">
        <f t="array" aca="1" ref="I49" ca="1">HYPERLINK(Common_InputFunctions.Utility_SourceHyperlink($D$32),$D$32)</f>
        <v>M1_Table_M_j</v>
      </c>
    </row>
    <row r="50" spans="4:15" ht="20.100000000000001" customHeight="1" x14ac:dyDescent="0.25">
      <c r="D50" s="105" t="str">
        <v>N_j</v>
      </c>
      <c r="E50" s="108" t="str">
        <v>numbers of feedlot cattle in each cattle lot</v>
      </c>
      <c r="F50" s="107"/>
      <c r="G50" s="105" t="str">
        <v>head</v>
      </c>
      <c r="H50" s="103" t="str">
        <v>Input</v>
      </c>
      <c r="I50" s="106" t="str" cm="1">
        <f t="array" aca="1" ref="I50" ca="1">HYPERLINK(Common_InputFunctions.Utility_SourceHyperlink($D$57),$D$57)</f>
        <v>Table_N_j</v>
      </c>
    </row>
    <row r="51" spans="4:15" ht="20.100000000000001" customHeight="1" x14ac:dyDescent="0.25"/>
    <row r="52" spans="4:15" ht="20.100000000000001" customHeight="1" x14ac:dyDescent="0.25">
      <c r="D52" s="86" t="s">
        <v>87</v>
      </c>
    </row>
    <row r="53" spans="4:15" ht="20.100000000000001" customHeight="1" x14ac:dyDescent="0.25">
      <c r="D53" s="85" t="s">
        <v>85</v>
      </c>
    </row>
    <row r="54" spans="4:15" ht="20.100000000000001" customHeight="1" x14ac:dyDescent="0.25">
      <c r="D54" s="39" t="s">
        <v>96</v>
      </c>
      <c r="E54" s="39" t="s">
        <v>97</v>
      </c>
      <c r="F54" s="39" t="s">
        <v>98</v>
      </c>
    </row>
    <row r="55" spans="4:15" ht="20.100000000000001" customHeight="1" x14ac:dyDescent="0.25">
      <c r="D55" s="88" cm="1">
        <f t="array" aca="1" ref="D55:F55" ca="1">OFFSET(X_Table_Feedlot_HerdMovement, 2, 1, 1, 3)</f>
        <v>90</v>
      </c>
      <c r="E55" s="88">
        <f ca="1"/>
        <v>140</v>
      </c>
      <c r="F55" s="88">
        <f ca="1"/>
        <v>250</v>
      </c>
      <c r="G55" s="2" t="str">
        <f>G48</f>
        <v>days</v>
      </c>
    </row>
    <row r="56" spans="4:15" ht="20.100000000000001" customHeight="1" x14ac:dyDescent="0.25"/>
    <row r="57" spans="4:15" ht="20.100000000000001" customHeight="1" x14ac:dyDescent="0.25">
      <c r="D57" s="86" t="s">
        <v>88</v>
      </c>
    </row>
    <row r="58" spans="4:15" ht="20.100000000000001" customHeight="1" x14ac:dyDescent="0.25">
      <c r="D58" s="85" t="s">
        <v>89</v>
      </c>
    </row>
    <row r="59" spans="4:15" ht="20.100000000000001" customHeight="1" x14ac:dyDescent="0.25">
      <c r="D59" s="39" t="s">
        <v>96</v>
      </c>
      <c r="E59" s="39" t="s">
        <v>97</v>
      </c>
      <c r="F59" s="39" t="s">
        <v>98</v>
      </c>
    </row>
    <row r="60" spans="4:15" ht="20.100000000000001" customHeight="1" x14ac:dyDescent="0.25">
      <c r="D60" s="88" cm="1">
        <f t="array" aca="1" ref="D60:F60" ca="1">OFFSET(X_Table_Feedlot_HerdMovement, 1, 1, 1, 3)</f>
        <v>4300</v>
      </c>
      <c r="E60" s="88">
        <f ca="1"/>
        <v>100</v>
      </c>
      <c r="F60" s="88">
        <f ca="1"/>
        <v>100</v>
      </c>
      <c r="G60" s="2" t="str">
        <f>G50</f>
        <v>head</v>
      </c>
    </row>
    <row r="61" spans="4:15" ht="20.100000000000001" customHeight="1" x14ac:dyDescent="0.25"/>
    <row r="62" spans="4:15" ht="20.100000000000001" customHeight="1" x14ac:dyDescent="0.25">
      <c r="D62" s="86" t="s">
        <v>186</v>
      </c>
      <c r="M62" s="86" t="s">
        <v>184</v>
      </c>
    </row>
    <row r="63" spans="4:15" ht="20.100000000000001" customHeight="1" x14ac:dyDescent="0.25">
      <c r="D63" s="85" t="s">
        <v>187</v>
      </c>
      <c r="M63" s="85" t="s">
        <v>185</v>
      </c>
    </row>
    <row r="64" spans="4:15" ht="20.100000000000001" customHeight="1" x14ac:dyDescent="0.25">
      <c r="D64" s="49" t="s">
        <v>96</v>
      </c>
      <c r="E64" s="49" t="s">
        <v>97</v>
      </c>
      <c r="F64" s="49" t="s">
        <v>98</v>
      </c>
      <c r="M64" s="49" t="s">
        <v>96</v>
      </c>
      <c r="N64" s="49" t="s">
        <v>97</v>
      </c>
      <c r="O64" s="49" t="s">
        <v>98</v>
      </c>
    </row>
    <row r="65" spans="4:17" ht="20.100000000000001" customHeight="1" x14ac:dyDescent="0.25">
      <c r="D65" s="50" cm="1">
        <f t="array" aca="1" ref="D65" ca="1">EntericMethane_Feedlot_Equations.VEERG_3_1_1_1__1_TotalAnnualMethaneFromEntericFermentation(D55,D35,D60)</f>
        <v>32.377968000000003</v>
      </c>
      <c r="E65" s="50" cm="1">
        <f t="array" aca="1" ref="E65" ca="1">EntericMethane_Feedlot_Equations.VEERG_3_1_1_1__1_TotalAnnualMethaneFromEntericFermentation(E55,E35,E60)</f>
        <v>1.1887120000000002</v>
      </c>
      <c r="F65" s="50" cm="1">
        <f t="array" aca="1" ref="F65" ca="1">EntericMethane_Feedlot_Equations.VEERG_3_1_1_1__1_TotalAnnualMethaneFromEntericFermentation(F55,F35,F60)</f>
        <v>1.85355</v>
      </c>
      <c r="G65" s="2" t="str">
        <f>$E$46</f>
        <v>t CH4</v>
      </c>
      <c r="M65" s="50" cm="1">
        <f t="array" aca="1" ref="M65" ca="1">EntericMethane_Feedlot_Equations.VEERG_3_1_1_1__1_TotalAnnualMethaneFromEntericFermentation(D55,M35,D60)</f>
        <v>32.377968000000003</v>
      </c>
      <c r="N65" s="50" cm="1">
        <f t="array" aca="1" ref="N65" ca="1">EntericMethane_Feedlot_Equations.VEERG_3_1_1_1__1_TotalAnnualMethaneFromEntericFermentation(E55,N35,E60)</f>
        <v>1.1887120000000002</v>
      </c>
      <c r="O65" s="50" cm="1">
        <f t="array" aca="1" ref="O65" ca="1">EntericMethane_Feedlot_Equations.VEERG_3_1_1_1__1_TotalAnnualMethaneFromEntericFermentation(F55,O35,F60)</f>
        <v>1.85355</v>
      </c>
      <c r="P65" s="2" t="str">
        <f>$E$46</f>
        <v>t CH4</v>
      </c>
    </row>
    <row r="66" spans="4:17" ht="20.100000000000001" customHeight="1" x14ac:dyDescent="0.25"/>
    <row r="67" spans="4:17" ht="20.100000000000001" customHeight="1" x14ac:dyDescent="0.25">
      <c r="D67" s="89" t="s">
        <v>175</v>
      </c>
      <c r="E67" s="90">
        <f ca="1">SUM(D65:F65)</f>
        <v>35.420230000000004</v>
      </c>
      <c r="F67" s="91" t="str">
        <f>$E$46</f>
        <v>t CH4</v>
      </c>
      <c r="M67" s="89" t="s">
        <v>176</v>
      </c>
      <c r="N67" s="90">
        <f ca="1">SUM(M65:O65)</f>
        <v>35.420230000000004</v>
      </c>
      <c r="O67" s="91" t="str">
        <f>$E$46</f>
        <v>t CH4</v>
      </c>
    </row>
    <row r="68" spans="4:17" ht="20.100000000000001" customHeight="1" x14ac:dyDescent="0.25"/>
    <row r="69" spans="4:17" ht="20.100000000000001" customHeight="1" x14ac:dyDescent="0.25">
      <c r="D69" s="55" t="str" cm="1">
        <f t="array" ref="D69:E70">Common_Equations.Common_ConvertCH4ToCO2e_Arguments()</f>
        <v>ECH4</v>
      </c>
      <c r="E69" s="56" t="str">
        <v>Methane emissions (t CH4)</v>
      </c>
      <c r="F69" s="92"/>
      <c r="G69" s="50">
        <f ca="1">E67</f>
        <v>35.420230000000004</v>
      </c>
      <c r="H69" s="2" t="str">
        <f>$E$46</f>
        <v>t CH4</v>
      </c>
      <c r="M69" s="55" t="str" cm="1">
        <f t="array" ref="M69:N70">Common_Equations.Common_ConvertCH4ToCO2e_Arguments()</f>
        <v>ECH4</v>
      </c>
      <c r="N69" s="56" t="str">
        <v>Methane emissions (t CH4)</v>
      </c>
      <c r="O69" s="92"/>
      <c r="P69" s="50">
        <f ca="1">N67</f>
        <v>35.420230000000004</v>
      </c>
      <c r="Q69" s="2" t="str">
        <f>$E$46</f>
        <v>t CH4</v>
      </c>
    </row>
    <row r="70" spans="4:17" ht="20.100000000000001" customHeight="1" x14ac:dyDescent="0.25">
      <c r="D70" s="55" t="str">
        <v>GWPCH4</v>
      </c>
      <c r="E70" s="56" t="str">
        <v>Global warming potential for methane (t CO2-e / t CH4)</v>
      </c>
      <c r="F70" s="92"/>
      <c r="G70" s="50">
        <f>Common_InputFunctions.Utility_LookupValueInTableNumber("CH4",Table_GWPData[Gas],Table_GWPData[CO2-e factor])</f>
        <v>28</v>
      </c>
      <c r="M70" s="55" t="str">
        <v>GWPCH4</v>
      </c>
      <c r="N70" s="56" t="str">
        <v>Global warming potential for methane (t CO2-e / t CH4)</v>
      </c>
      <c r="O70" s="92"/>
      <c r="P70" s="50">
        <f>Common_InputFunctions.Utility_LookupValueInTableNumber("CH4",Table_GWPData[Gas],Table_GWPData[CO2-e factor])</f>
        <v>28</v>
      </c>
    </row>
    <row r="71" spans="4:17" ht="20.100000000000001" customHeight="1" x14ac:dyDescent="0.25"/>
    <row r="72" spans="4:17" ht="20.100000000000001" customHeight="1" x14ac:dyDescent="0.25">
      <c r="D72" s="45" t="s">
        <v>112</v>
      </c>
      <c r="E72" s="45" cm="1">
        <f t="array" aca="1" ref="E72" ca="1">Common_Equations.Common_ConvertCH4ToCO2e(G69,G70)</f>
        <v>991.7664400000001</v>
      </c>
      <c r="F72" s="93" t="str" cm="1">
        <f t="array" ref="F72">Common_Equations.Common_ConvertN2OToCO2e_Unit()</f>
        <v>t CO2e</v>
      </c>
      <c r="M72" s="45" t="s">
        <v>113</v>
      </c>
      <c r="N72" s="45" cm="1">
        <f t="array" aca="1" ref="N72" ca="1">Common_Equations.Common_ConvertCH4ToCO2e(P69,P70)</f>
        <v>991.7664400000001</v>
      </c>
      <c r="O72" s="93" t="str" cm="1">
        <f t="array" ref="O72">Common_Equations.Common_ConvertN2OToCO2e_Unit()</f>
        <v>t CO2e</v>
      </c>
    </row>
    <row r="73" spans="4:17" ht="20.100000000000001" customHeight="1" x14ac:dyDescent="0.25"/>
    <row r="74" spans="4:17" ht="20.100000000000001" customHeight="1" x14ac:dyDescent="0.25"/>
    <row r="75" spans="4:17" ht="20.100000000000001" customHeight="1" x14ac:dyDescent="0.25"/>
    <row r="76" spans="4:17" ht="20.100000000000001" customHeight="1" x14ac:dyDescent="0.25"/>
    <row r="77" spans="4:17" ht="20.100000000000001" customHeight="1" x14ac:dyDescent="0.25"/>
    <row r="78" spans="4:17" ht="20.100000000000001" customHeight="1" x14ac:dyDescent="0.25"/>
    <row r="79" spans="4:17" ht="20.100000000000001" customHeight="1" x14ac:dyDescent="0.25"/>
    <row r="80" spans="4: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count="1">
    <dataValidation operator="equal" allowBlank="1" showInputMessage="1" showErrorMessage="1" sqref="E133:G133 E138:G138 N138:P138 D55:F55 D60:F60"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31" workbookViewId="0">
      <selection activeCell="I112" sqref="I112"/>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95</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tr" cm="1">
        <f t="array" ref="D5">SourceData_Feedlot.SourceData_Feedlot_VSL_Title()</f>
        <v>Feedlot - Fraction of volatile solids lost during storage in the primary system</v>
      </c>
      <c r="M5" s="1"/>
    </row>
    <row r="6" spans="1:21" ht="20.100000000000001" customHeight="1" x14ac:dyDescent="0.25">
      <c r="A6" s="16"/>
      <c r="D6" s="5" t="str" cm="1">
        <f t="array" ref="D6">SourceData_Feedlot.SourceData_Feedlot_VSL_Source()</f>
        <v>VEERG 2026: 4.1.2.3 CONSTANTS</v>
      </c>
      <c r="M6" s="1"/>
    </row>
    <row r="7" spans="1:21" ht="20.100000000000001" customHeight="1" x14ac:dyDescent="0.25">
      <c r="A7" s="20" t="s">
        <v>3</v>
      </c>
      <c r="D7" s="51" t="str" cm="1">
        <f t="array" ref="D7">SourceData_Feedlot.SourceData_Feedlot_VSL_Variable()</f>
        <v>VSL</v>
      </c>
      <c r="E7" s="1" cm="1">
        <f t="array" ref="E7">SourceData_Feedlot.SourceData_Feedlot_VSL_Data()</f>
        <v>0.5</v>
      </c>
      <c r="F7" s="52" t="str" cm="1">
        <f t="array" ref="F7">SourceData_Feedlot.SourceData_Feedlot_VSL_Unit()</f>
        <v>Fraction</v>
      </c>
      <c r="M7" s="1"/>
    </row>
    <row r="8" spans="1:21" ht="20.100000000000001" customHeight="1" x14ac:dyDescent="0.25">
      <c r="A8" s="17" t="str">
        <f>HYPERLINK("#'Input - Site'!A1", "Site")</f>
        <v>Site</v>
      </c>
      <c r="M8" s="1"/>
    </row>
    <row r="9" spans="1:21" ht="20.100000000000001" customHeight="1" x14ac:dyDescent="0.25">
      <c r="A9" s="17" t="str">
        <f>HYPERLINK("#'Input - Feedlot'!A1", "Feedlot")</f>
        <v>Feedlot</v>
      </c>
      <c r="M9" s="1"/>
    </row>
    <row r="10" spans="1:21" ht="20.100000000000001" customHeight="1" x14ac:dyDescent="0.25">
      <c r="A10" s="17"/>
      <c r="D10" s="6" t="str" cm="1">
        <f t="array" ref="D10">SourceData_Feedlot.SourceData_Feedlot_MMSm1T3_Title()</f>
        <v>Fraction of volatile solids to each tertiary system assumed that 2 per cent is run - off from the feed pad.</v>
      </c>
      <c r="M10" s="1"/>
    </row>
    <row r="11" spans="1:21" ht="20.100000000000001" customHeight="1" x14ac:dyDescent="0.25">
      <c r="A11" s="19" t="s">
        <v>58</v>
      </c>
      <c r="D11" s="5" t="str" cm="1">
        <f t="array" ref="D11">SourceData_Feedlot.SourceData_Feedlot_MMSm1T3_Source()</f>
        <v>VEERG 2026: 4.1.2.3 CONSTANTS</v>
      </c>
      <c r="M11" s="1"/>
    </row>
    <row r="12" spans="1:21" ht="20.100000000000001" customHeight="1" x14ac:dyDescent="0.25">
      <c r="A12" s="17" t="str">
        <f>HYPERLINK("#'3.1.1.1-2 Enteric Methane'!A1", "3.1.1.1-2 Enteric Methane")</f>
        <v>3.1.1.1-2 Enteric Methane</v>
      </c>
      <c r="D12" s="51" t="str" cm="1">
        <f t="array" ref="D12">SourceData_Feedlot.SourceData_Feedlot_MMSm1T3_Variable()</f>
        <v>MMSm1T3</v>
      </c>
      <c r="E12" s="1" cm="1">
        <f t="array" ref="E12">SourceData_Feedlot.SourceData_Feedlot_MMSm1T3_Data()</f>
        <v>0.02</v>
      </c>
      <c r="F12" s="52" t="str" cm="1">
        <f t="array" ref="F12">SourceData_Feedlot.SourceData_Feedlot_MMSm1T3_Unit()</f>
        <v>Fraction</v>
      </c>
      <c r="M12" s="1"/>
    </row>
    <row r="13" spans="1:21" ht="20.100000000000001" customHeight="1" x14ac:dyDescent="0.25">
      <c r="M13" s="1"/>
    </row>
    <row r="14" spans="1:21" ht="20.100000000000001" customHeight="1" x14ac:dyDescent="0.25">
      <c r="A14" s="18" t="s">
        <v>4</v>
      </c>
      <c r="M14" s="1"/>
    </row>
    <row r="15" spans="1:21" ht="20.100000000000001" customHeight="1" x14ac:dyDescent="0.25">
      <c r="A15" s="64" t="str">
        <f>HYPERLINK("#'Constants - Feedlot'!A1", "Constants - Feedlot")</f>
        <v>Constants - Feedlot</v>
      </c>
      <c r="D15" s="6" t="str" cm="1">
        <f t="array" ref="D15">SourceData_Feedlot.SourceData_Feedlot_AshContent_Title()</f>
        <v>Ash content of manure.</v>
      </c>
      <c r="M15" s="1"/>
    </row>
    <row r="16" spans="1:21" ht="20.100000000000001" customHeight="1" x14ac:dyDescent="0.25">
      <c r="A16" s="17" t="str">
        <f>HYPERLINK("#'Constants - Livestock'!A1", "Constants - Livestock")</f>
        <v>Constants - Livestock</v>
      </c>
      <c r="D16" s="5" t="str" cm="1">
        <f t="array" ref="D16">SourceData_Feedlot.SourceData_Feedlot_AshContent_Source()</f>
        <v>VEERG 2026: 4.1.2.3 CONSTANTS</v>
      </c>
      <c r="M16" s="1"/>
    </row>
    <row r="17" spans="1:13" ht="20.100000000000001" customHeight="1" x14ac:dyDescent="0.25">
      <c r="A17" s="17" t="str">
        <f>HYPERLINK("#'Constants - Common'!A1", "Constants - Common")</f>
        <v>Constants - Common</v>
      </c>
      <c r="D17" s="51" t="str" cm="1">
        <f t="array" ref="D17">SourceData_Feedlot.SourceData_Feedlot_AshContent_Variable()</f>
        <v>A</v>
      </c>
      <c r="E17" s="1" cm="1">
        <f t="array" ref="E17">SourceData_Feedlot.SourceData_Feedlot_AshContent_Data()</f>
        <v>0.16</v>
      </c>
      <c r="F17" s="52" t="str" cm="1">
        <f t="array" ref="F17">SourceData_Feedlot.SourceData_Feedlot_AshContent_Unit()</f>
        <v>Fraction</v>
      </c>
      <c r="M17" s="1"/>
    </row>
    <row r="18" spans="1:13" ht="20.100000000000001" customHeight="1" x14ac:dyDescent="0.25">
      <c r="A18" s="17" t="str">
        <f>HYPERLINK("#'Acknowledgements'!A1", "Acknowledgements")</f>
        <v>Acknowledgements</v>
      </c>
      <c r="M18" s="1"/>
    </row>
    <row r="19" spans="1:13" ht="20.100000000000001" customHeight="1" x14ac:dyDescent="0.25">
      <c r="M19" s="1"/>
    </row>
    <row r="20" spans="1:13" ht="20.100000000000001" customHeight="1" x14ac:dyDescent="0.25">
      <c r="D20" s="6" t="str" cm="1">
        <f t="array" ref="D20">SourceData_Feedlot.SourceData_Feedlot_MethaneEmissionsPotential_Title()</f>
        <v>Methane emissions potential.</v>
      </c>
      <c r="M20" s="1"/>
    </row>
    <row r="21" spans="1:13" ht="20.100000000000001" customHeight="1" x14ac:dyDescent="0.25">
      <c r="A21" s="17"/>
      <c r="D21" s="5" t="str" cm="1">
        <f t="array" ref="D21">SourceData_Feedlot.SourceData_Feedlot_MethaneEmissionsPotential_Source()</f>
        <v>VEERG 2026: 4.1.2.3 CONSTANTS</v>
      </c>
      <c r="M21" s="1"/>
    </row>
    <row r="22" spans="1:13" ht="20.100000000000001" customHeight="1" x14ac:dyDescent="0.25">
      <c r="D22" s="51" t="str" cm="1">
        <f t="array" ref="D22">SourceData_Feedlot.SourceData_Feedlot_MethaneEmissionsPotential_Variable()</f>
        <v>B0</v>
      </c>
      <c r="E22" s="1" cm="1">
        <f t="array" ref="E22">SourceData_Feedlot.SourceData_Feedlot_MethaneEmissionsPotential_Data()</f>
        <v>0.19</v>
      </c>
      <c r="F22" s="52" t="str" cm="1">
        <f t="array" ref="F22">SourceData_Feedlot.SourceData_Feedlot_MethaneEmissionsPotential_Unit()</f>
        <v>m3 CH4 / kg VS</v>
      </c>
      <c r="M22" s="1"/>
    </row>
    <row r="23" spans="1:13" ht="20.100000000000001" customHeight="1" x14ac:dyDescent="0.25">
      <c r="M23" s="1"/>
    </row>
    <row r="24" spans="1:13" ht="20.100000000000001" customHeight="1" x14ac:dyDescent="0.25">
      <c r="M24" s="1"/>
    </row>
    <row r="25" spans="1:13" ht="20.100000000000001" customHeight="1" x14ac:dyDescent="0.25">
      <c r="A25" s="17"/>
      <c r="D25" s="6" t="s">
        <v>83</v>
      </c>
      <c r="G25" s="6" t="s">
        <v>119</v>
      </c>
      <c r="J25" s="6" t="s">
        <v>121</v>
      </c>
      <c r="M25" s="1"/>
    </row>
    <row r="26" spans="1:13" ht="20.100000000000001" customHeight="1" x14ac:dyDescent="0.25">
      <c r="M26" s="1"/>
    </row>
    <row r="27" spans="1:13" ht="20.100000000000001" customHeight="1" x14ac:dyDescent="0.25">
      <c r="D27" s="84" t="s">
        <v>50</v>
      </c>
      <c r="E27" s="37" t="s">
        <v>63</v>
      </c>
      <c r="G27" s="37" t="s">
        <v>120</v>
      </c>
      <c r="J27" s="37" t="s">
        <v>118</v>
      </c>
      <c r="M27" s="1"/>
    </row>
    <row r="28" spans="1:13" ht="20.100000000000001" customHeight="1" x14ac:dyDescent="0.25">
      <c r="D28" s="37" t="str">
        <f>'Constants - Livestock'!$E$16</f>
        <v>Drylot (feed pad)</v>
      </c>
      <c r="E28" s="37" t="str">
        <f>'Constants - Livestock'!$F$16</f>
        <v>Drylot (feed pad) (m=5)</v>
      </c>
      <c r="G28" s="37" t="str">
        <f>'Constants - Common'!$F$188</f>
        <v>Crop</v>
      </c>
      <c r="J28" s="37" t="s">
        <v>122</v>
      </c>
      <c r="M28" s="1"/>
    </row>
    <row r="29" spans="1:13" ht="20.100000000000001" customHeight="1" x14ac:dyDescent="0.25">
      <c r="D29" s="37" t="str">
        <f>'Constants - Livestock'!$E$15</f>
        <v>Solid storage</v>
      </c>
      <c r="E29" s="37" t="str">
        <f>'Constants - Livestock'!$F$15</f>
        <v>Solid storage (m=4)</v>
      </c>
      <c r="G29" s="1" t="str">
        <f>'Constants - Common'!$F$187</f>
        <v>Pasture</v>
      </c>
      <c r="J29" s="37" t="s">
        <v>123</v>
      </c>
      <c r="M29" s="1"/>
    </row>
    <row r="30" spans="1:13" ht="20.100000000000001" customHeight="1" x14ac:dyDescent="0.25">
      <c r="D30" s="37" t="str">
        <f>'Constants - Livestock'!$E$17</f>
        <v>Composting (passive windrow)</v>
      </c>
      <c r="E30" s="37" t="str">
        <f>'Constants - Livestock'!$F$17</f>
        <v>Composting (passive windrow) (m=6)</v>
      </c>
      <c r="J30" s="1" t="s">
        <v>124</v>
      </c>
      <c r="M30" s="1"/>
    </row>
    <row r="31" spans="1:13" ht="20.100000000000001" customHeight="1" x14ac:dyDescent="0.25">
      <c r="D31" s="37" t="str">
        <f>'Constants - Livestock'!$E$26</f>
        <v>Direct application</v>
      </c>
      <c r="E31" s="37" t="str">
        <f>'Constants - Livestock'!$F$26</f>
        <v>Direct application (m=13)</v>
      </c>
      <c r="J31" s="1" t="s">
        <v>125</v>
      </c>
      <c r="M31" s="1"/>
    </row>
    <row r="32" spans="1:13" ht="20.100000000000001" customHeight="1" x14ac:dyDescent="0.25">
      <c r="D32" s="1" t="str">
        <f>'Constants - Livestock'!$E$10</f>
        <v>Anaerobic lagoon</v>
      </c>
      <c r="E32" s="1" t="str">
        <f>'Constants - Livestock'!$F$10</f>
        <v>Anaerobic lagoon (m=1)</v>
      </c>
      <c r="J32" s="1" t="s">
        <v>126</v>
      </c>
      <c r="M32" s="1"/>
    </row>
    <row r="33" spans="4:13" ht="20.100000000000001" customHeight="1" x14ac:dyDescent="0.25">
      <c r="M33" s="1"/>
    </row>
    <row r="34" spans="4:13" ht="20.100000000000001" customHeight="1" x14ac:dyDescent="0.25">
      <c r="M34" s="1"/>
    </row>
    <row r="35" spans="4:13" ht="20.100000000000001" customHeight="1" x14ac:dyDescent="0.25">
      <c r="M35" s="1"/>
    </row>
    <row r="36" spans="4:13" ht="20.100000000000001" customHeight="1" x14ac:dyDescent="0.25">
      <c r="D36" s="6" t="str" cm="1">
        <f t="array" ref="D36">SourceData_Feedlot.SourceData_Feedlot_DurationOfStay_Title()</f>
        <v>Beef feedlot cattle - Duration of stay (days)</v>
      </c>
      <c r="M36" s="1"/>
    </row>
    <row r="37" spans="4:13" ht="20.100000000000001" customHeight="1" x14ac:dyDescent="0.25">
      <c r="D37" s="5" t="str" cm="1">
        <f t="array" ref="D37">SourceData_Feedlot.SourceData_Feedlot_DurationOfStay_Source()</f>
        <v>VEERG 2026: Table A.1.1.1: Beef feedlot cattle - Duration of stay (days)</v>
      </c>
      <c r="M37" s="1"/>
    </row>
    <row r="38" spans="4:13" ht="20.100000000000001" customHeight="1" x14ac:dyDescent="0.25">
      <c r="D38" s="37" t="s">
        <v>90</v>
      </c>
      <c r="E38" s="37" t="s">
        <v>103</v>
      </c>
      <c r="M38" s="1"/>
    </row>
    <row r="39" spans="4:13" ht="20.100000000000001" customHeight="1" x14ac:dyDescent="0.25">
      <c r="D39" s="37" t="str" cm="1">
        <f t="array" ref="D39">Common_InputFunctions.Utility_DisplayArrayInTable(SourceData_Feedlot.SourceData_Feedlot_DurationOfStay_Data(), Table_SourceData_Feedlot_LengthOfStay[[#Headers],[Feedlot type]], 0)</f>
        <v>Domestic</v>
      </c>
      <c r="E39" s="37" t="str" cm="1">
        <f t="array" ref="E39">Common_InputFunctions.Utility_DisplayArrayInTable(SourceData_Feedlot.SourceData_Feedlot_DurationOfStay_Data(), Table_SourceData_Feedlot_LengthOfStay[[#Headers],[Feedlot type]], 0)</f>
        <v>1-80 days</v>
      </c>
      <c r="M39" s="24"/>
    </row>
    <row r="40" spans="4:13" ht="20.100000000000001" customHeight="1" x14ac:dyDescent="0.25">
      <c r="D40" s="1" t="str" cm="1">
        <f t="array" ref="D40">Common_InputFunctions.Utility_DisplayArrayInTable(SourceData_Feedlot.SourceData_Feedlot_DurationOfStay_Data(), Table_SourceData_Feedlot_LengthOfStay[[#Headers],[Feedlot type]], 0)</f>
        <v>Mid-fed</v>
      </c>
      <c r="E40" s="37" t="str" cm="1">
        <f t="array" ref="E40">Common_InputFunctions.Utility_DisplayArrayInTable(SourceData_Feedlot.SourceData_Feedlot_DurationOfStay_Data(), Table_SourceData_Feedlot_LengthOfStay[[#Headers],[Feedlot type]], 0)</f>
        <v>81-200 days</v>
      </c>
      <c r="M40" s="24"/>
    </row>
    <row r="41" spans="4:13" ht="20.100000000000001" customHeight="1" x14ac:dyDescent="0.25">
      <c r="D41" s="1" t="str" cm="1">
        <f t="array" ref="D41">Common_InputFunctions.Utility_DisplayArrayInTable(SourceData_Feedlot.SourceData_Feedlot_DurationOfStay_Data(), Table_SourceData_Feedlot_LengthOfStay[[#Headers],[Feedlot type]], 0)</f>
        <v>Long-fed</v>
      </c>
      <c r="E41" s="37" t="str" cm="1">
        <f t="array" ref="E41">Common_InputFunctions.Utility_DisplayArrayInTable(SourceData_Feedlot.SourceData_Feedlot_DurationOfStay_Data(), Table_SourceData_Feedlot_LengthOfStay[[#Headers],[Feedlot type]], 0)</f>
        <v>201+ days</v>
      </c>
      <c r="M41" s="24"/>
    </row>
    <row r="42" spans="4:13" ht="20.100000000000001" customHeight="1" x14ac:dyDescent="0.25">
      <c r="M42" s="24"/>
    </row>
    <row r="43" spans="4:13" ht="20.100000000000001" customHeight="1" x14ac:dyDescent="0.25">
      <c r="M43" s="24"/>
    </row>
    <row r="44" spans="4:13" ht="20.100000000000001" customHeight="1" x14ac:dyDescent="0.25">
      <c r="D44" s="6" t="str" cm="1">
        <f t="array" ref="D44">SourceData_Feedlot.SourceData_Feedlot_AnimalCharacteristics_Title()</f>
        <v>Beef feedlot cattle - Animal characteristics</v>
      </c>
      <c r="M44" s="24"/>
    </row>
    <row r="45" spans="4:13" ht="20.100000000000001" customHeight="1" x14ac:dyDescent="0.25">
      <c r="D45" s="5" t="str" cm="1">
        <f t="array" ref="D45">SourceData_Feedlot.SourceData_Feedlot_AnimalCharacteristics_Source()</f>
        <v>VEERG 2026: Table A.1.1.2: Beef feedlot cattle - Animal characteristics</v>
      </c>
      <c r="M45" s="24"/>
    </row>
    <row r="46" spans="4:13" ht="20.100000000000001" customHeight="1" x14ac:dyDescent="0.25">
      <c r="D46" s="53" t="str" cm="1">
        <f t="array" ref="D46:D48">SourceData_Feedlot.SourceData_Feedlot_AnimalCharacteristics_Variation()</f>
        <v>VARIATION ON SOURCE:</v>
      </c>
      <c r="M46" s="24"/>
    </row>
    <row r="47" spans="4:13" ht="20.100000000000001" customHeight="1" x14ac:dyDescent="0.25">
      <c r="D47" s="53" t="str">
        <v>Moved feedlot types to a separate column to aid lookup.</v>
      </c>
      <c r="M47" s="24"/>
    </row>
    <row r="48" spans="4:13" ht="20.100000000000001" customHeight="1" x14ac:dyDescent="0.25">
      <c r="D48" s="53" t="str">
        <v>Named 'characteristic' column - original has header 'Unit' which covers two columns)</v>
      </c>
      <c r="M48" s="24"/>
    </row>
    <row r="49" spans="4:13" ht="20.100000000000001" customHeight="1" x14ac:dyDescent="0.25">
      <c r="D49" s="37" t="s">
        <v>90</v>
      </c>
      <c r="E49" s="37" t="s">
        <v>100</v>
      </c>
      <c r="F49" s="37" t="s">
        <v>11</v>
      </c>
      <c r="G49" s="37" t="s">
        <v>101</v>
      </c>
      <c r="H49" s="37" t="s">
        <v>92</v>
      </c>
      <c r="I49" s="37" t="s">
        <v>93</v>
      </c>
      <c r="J49" s="37" t="s">
        <v>94</v>
      </c>
      <c r="M49" s="24"/>
    </row>
    <row r="50" spans="4:13" ht="20.100000000000001" customHeight="1" x14ac:dyDescent="0.25">
      <c r="D50" s="37" t="str" cm="1">
        <f t="array" ref="D50">Common_InputFunctions.Utility_DisplayArrayInTable(SourceData_Feedlot.SourceData_Feedlot_AnimalCharacteristics_Data(), Table_SourceData_Feedlot_AnimalCharacteristics[[#Headers],[Feedlot type]], 0)</f>
        <v>Domestic</v>
      </c>
      <c r="E50" s="37" t="str" cm="1">
        <f t="array" ref="E50">Common_InputFunctions.Utility_DisplayArrayInTable(SourceData_Feedlot.SourceData_Feedlot_AnimalCharacteristics_Data(), Table_SourceData_Feedlot_AnimalCharacteristics[[#Headers],[Feedlot type]], 0)</f>
        <v>Days on feed</v>
      </c>
      <c r="F50" s="37" t="str" cm="1">
        <f t="array" ref="F50">Common_InputFunctions.Utility_DisplayArrayInTable(SourceData_Feedlot.SourceData_Feedlot_AnimalCharacteristics_Data(), Table_SourceData_Feedlot_AnimalCharacteristics[[#Headers],[Feedlot type]], 0)</f>
        <v>days</v>
      </c>
      <c r="G50" s="37" cm="1">
        <f t="array" ref="G50">Common_InputFunctions.Utility_DisplayArrayInTable(SourceData_Feedlot.SourceData_Feedlot_AnimalCharacteristics_Data(), Table_SourceData_Feedlot_AnimalCharacteristics[[#Headers],[Feedlot type]], 0)</f>
        <v>70</v>
      </c>
      <c r="H50" s="37" cm="1">
        <f t="array" ref="H50">Common_InputFunctions.Utility_DisplayArrayInTable(SourceData_Feedlot.SourceData_Feedlot_AnimalCharacteristics_Data(), Table_SourceData_Feedlot_AnimalCharacteristics[[#Headers],[Feedlot type]], 0)</f>
        <v>70</v>
      </c>
      <c r="I50" s="37" cm="1">
        <f t="array" ref="I50">Common_InputFunctions.Utility_DisplayArrayInTable(SourceData_Feedlot.SourceData_Feedlot_AnimalCharacteristics_Data(), Table_SourceData_Feedlot_AnimalCharacteristics[[#Headers],[Feedlot type]], 0)</f>
        <v>70</v>
      </c>
      <c r="J50" s="37" cm="1">
        <f t="array" ref="J50">Common_InputFunctions.Utility_DisplayArrayInTable(SourceData_Feedlot.SourceData_Feedlot_AnimalCharacteristics_Data(), Table_SourceData_Feedlot_AnimalCharacteristics[[#Headers],[Feedlot type]], 0)</f>
        <v>75</v>
      </c>
      <c r="M50" s="24"/>
    </row>
    <row r="51" spans="4:13" ht="20.100000000000001" customHeight="1" x14ac:dyDescent="0.25">
      <c r="D51" s="1" t="str" cm="1">
        <f t="array" ref="D51">Common_InputFunctions.Utility_DisplayArrayInTable(SourceData_Feedlot.SourceData_Feedlot_AnimalCharacteristics_Data(), Table_SourceData_Feedlot_AnimalCharacteristics[[#Headers],[Feedlot type]], 0)</f>
        <v>Domestic</v>
      </c>
      <c r="E51" s="37" t="str" cm="1">
        <f t="array" ref="E51">Common_InputFunctions.Utility_DisplayArrayInTable(SourceData_Feedlot.SourceData_Feedlot_AnimalCharacteristics_Data(), Table_SourceData_Feedlot_AnimalCharacteristics[[#Headers],[Feedlot type]], 0)</f>
        <v>Feed intake</v>
      </c>
      <c r="F51" s="37" t="str" cm="1">
        <f t="array" ref="F51">Common_InputFunctions.Utility_DisplayArrayInTable(SourceData_Feedlot.SourceData_Feedlot_AnimalCharacteristics_Data(), Table_SourceData_Feedlot_AnimalCharacteristics[[#Headers],[Feedlot type]], 0)</f>
        <v>kg DM/day</v>
      </c>
      <c r="G51" s="37" cm="1">
        <f t="array" ref="G51">Common_InputFunctions.Utility_DisplayArrayInTable(SourceData_Feedlot.SourceData_Feedlot_AnimalCharacteristics_Data(), Table_SourceData_Feedlot_AnimalCharacteristics[[#Headers],[Feedlot type]], 0)</f>
        <v>10</v>
      </c>
      <c r="H51" s="37" cm="1">
        <f t="array" ref="H51">Common_InputFunctions.Utility_DisplayArrayInTable(SourceData_Feedlot.SourceData_Feedlot_AnimalCharacteristics_Data(), Table_SourceData_Feedlot_AnimalCharacteristics[[#Headers],[Feedlot type]], 0)</f>
        <v>10</v>
      </c>
      <c r="I51" s="37" cm="1">
        <f t="array" ref="I51">Common_InputFunctions.Utility_DisplayArrayInTable(SourceData_Feedlot.SourceData_Feedlot_AnimalCharacteristics_Data(), Table_SourceData_Feedlot_AnimalCharacteristics[[#Headers],[Feedlot type]], 0)</f>
        <v>10.4</v>
      </c>
      <c r="J51" s="37" cm="1">
        <f t="array" ref="J51">Common_InputFunctions.Utility_DisplayArrayInTable(SourceData_Feedlot.SourceData_Feedlot_AnimalCharacteristics_Data(), Table_SourceData_Feedlot_AnimalCharacteristics[[#Headers],[Feedlot type]], 0)</f>
        <v>10.4</v>
      </c>
      <c r="M51" s="24"/>
    </row>
    <row r="52" spans="4:13" ht="20.100000000000001" customHeight="1" x14ac:dyDescent="0.25">
      <c r="D52" s="1" t="str" cm="1">
        <f t="array" ref="D52">Common_InputFunctions.Utility_DisplayArrayInTable(SourceData_Feedlot.SourceData_Feedlot_AnimalCharacteristics_Data(), Table_SourceData_Feedlot_AnimalCharacteristics[[#Headers],[Feedlot type]], 0)</f>
        <v>Domestic</v>
      </c>
      <c r="E52" s="37" t="str" cm="1">
        <f t="array" ref="E52">Common_InputFunctions.Utility_DisplayArrayInTable(SourceData_Feedlot.SourceData_Feedlot_AnimalCharacteristics_Data(), Table_SourceData_Feedlot_AnimalCharacteristics[[#Headers],[Feedlot type]], 0)</f>
        <v>N retention</v>
      </c>
      <c r="F52" s="37" t="str" cm="1">
        <f t="array" ref="F52">Common_InputFunctions.Utility_DisplayArrayInTable(SourceData_Feedlot.SourceData_Feedlot_AnimalCharacteristics_Data(), Table_SourceData_Feedlot_AnimalCharacteristics[[#Headers],[Feedlot type]], 0)</f>
        <v>per cent of intake</v>
      </c>
      <c r="G52" s="37" cm="1">
        <f t="array" ref="G52">Common_InputFunctions.Utility_DisplayArrayInTable(SourceData_Feedlot.SourceData_Feedlot_AnimalCharacteristics_Data(), Table_SourceData_Feedlot_AnimalCharacteristics[[#Headers],[Feedlot type]], 0)</f>
        <v>21.1</v>
      </c>
      <c r="H52" s="37" cm="1">
        <f t="array" ref="H52">Common_InputFunctions.Utility_DisplayArrayInTable(SourceData_Feedlot.SourceData_Feedlot_AnimalCharacteristics_Data(), Table_SourceData_Feedlot_AnimalCharacteristics[[#Headers],[Feedlot type]], 0)</f>
        <v>20.399999999999999</v>
      </c>
      <c r="I52" s="37" cm="1">
        <f t="array" ref="I52">Common_InputFunctions.Utility_DisplayArrayInTable(SourceData_Feedlot.SourceData_Feedlot_AnimalCharacteristics_Data(), Table_SourceData_Feedlot_AnimalCharacteristics[[#Headers],[Feedlot type]], 0)</f>
        <v>20.399999999999999</v>
      </c>
      <c r="J52" s="37" cm="1">
        <f t="array" ref="J52">Common_InputFunctions.Utility_DisplayArrayInTable(SourceData_Feedlot.SourceData_Feedlot_AnimalCharacteristics_Data(), Table_SourceData_Feedlot_AnimalCharacteristics[[#Headers],[Feedlot type]], 0)</f>
        <v>20.399999999999999</v>
      </c>
      <c r="M52" s="24"/>
    </row>
    <row r="53" spans="4:13" ht="20.100000000000001" customHeight="1" x14ac:dyDescent="0.25">
      <c r="D53" s="1" t="str" cm="1">
        <f t="array" ref="D53">Common_InputFunctions.Utility_DisplayArrayInTable(SourceData_Feedlot.SourceData_Feedlot_AnimalCharacteristics_Data(), Table_SourceData_Feedlot_AnimalCharacteristics[[#Headers],[Feedlot type]], 0)</f>
        <v>Mid-fed</v>
      </c>
      <c r="E53" s="37" t="str" cm="1">
        <f t="array" ref="E53">Common_InputFunctions.Utility_DisplayArrayInTable(SourceData_Feedlot.SourceData_Feedlot_AnimalCharacteristics_Data(), Table_SourceData_Feedlot_AnimalCharacteristics[[#Headers],[Feedlot type]], 0)</f>
        <v>Days on feed</v>
      </c>
      <c r="F53" s="37" t="str" cm="1">
        <f t="array" ref="F53">Common_InputFunctions.Utility_DisplayArrayInTable(SourceData_Feedlot.SourceData_Feedlot_AnimalCharacteristics_Data(), Table_SourceData_Feedlot_AnimalCharacteristics[[#Headers],[Feedlot type]], 0)</f>
        <v>days</v>
      </c>
      <c r="G53" s="37" cm="1">
        <f t="array" ref="G53">Common_InputFunctions.Utility_DisplayArrayInTable(SourceData_Feedlot.SourceData_Feedlot_AnimalCharacteristics_Data(), Table_SourceData_Feedlot_AnimalCharacteristics[[#Headers],[Feedlot type]], 0)</f>
        <v>115</v>
      </c>
      <c r="H53" s="37" cm="1">
        <f t="array" ref="H53">Common_InputFunctions.Utility_DisplayArrayInTable(SourceData_Feedlot.SourceData_Feedlot_AnimalCharacteristics_Data(), Table_SourceData_Feedlot_AnimalCharacteristics[[#Headers],[Feedlot type]], 0)</f>
        <v>115</v>
      </c>
      <c r="I53" s="37" cm="1">
        <f t="array" ref="I53">Common_InputFunctions.Utility_DisplayArrayInTable(SourceData_Feedlot.SourceData_Feedlot_AnimalCharacteristics_Data(), Table_SourceData_Feedlot_AnimalCharacteristics[[#Headers],[Feedlot type]], 0)</f>
        <v>120</v>
      </c>
      <c r="J53" s="37" cm="1">
        <f t="array" ref="J53">Common_InputFunctions.Utility_DisplayArrayInTable(SourceData_Feedlot.SourceData_Feedlot_AnimalCharacteristics_Data(), Table_SourceData_Feedlot_AnimalCharacteristics[[#Headers],[Feedlot type]], 0)</f>
        <v>150</v>
      </c>
      <c r="M53" s="24"/>
    </row>
    <row r="54" spans="4:13" ht="20.100000000000001" customHeight="1" x14ac:dyDescent="0.25">
      <c r="D54" s="1" t="str" cm="1">
        <f t="array" ref="D54">Common_InputFunctions.Utility_DisplayArrayInTable(SourceData_Feedlot.SourceData_Feedlot_AnimalCharacteristics_Data(), Table_SourceData_Feedlot_AnimalCharacteristics[[#Headers],[Feedlot type]], 0)</f>
        <v>Mid-fed</v>
      </c>
      <c r="E54" s="37" t="str" cm="1">
        <f t="array" ref="E54">Common_InputFunctions.Utility_DisplayArrayInTable(SourceData_Feedlot.SourceData_Feedlot_AnimalCharacteristics_Data(), Table_SourceData_Feedlot_AnimalCharacteristics[[#Headers],[Feedlot type]], 0)</f>
        <v>Feed intake</v>
      </c>
      <c r="F54" s="37" t="str" cm="1">
        <f t="array" ref="F54">Common_InputFunctions.Utility_DisplayArrayInTable(SourceData_Feedlot.SourceData_Feedlot_AnimalCharacteristics_Data(), Table_SourceData_Feedlot_AnimalCharacteristics[[#Headers],[Feedlot type]], 0)</f>
        <v>kg DM/day</v>
      </c>
      <c r="G54" s="37" cm="1">
        <f t="array" ref="G54">Common_InputFunctions.Utility_DisplayArrayInTable(SourceData_Feedlot.SourceData_Feedlot_AnimalCharacteristics_Data(), Table_SourceData_Feedlot_AnimalCharacteristics[[#Headers],[Feedlot type]], 0)</f>
        <v>11.2</v>
      </c>
      <c r="H54" s="37" cm="1">
        <f t="array" ref="H54">Common_InputFunctions.Utility_DisplayArrayInTable(SourceData_Feedlot.SourceData_Feedlot_AnimalCharacteristics_Data(), Table_SourceData_Feedlot_AnimalCharacteristics[[#Headers],[Feedlot type]], 0)</f>
        <v>10.8</v>
      </c>
      <c r="I54" s="37" cm="1">
        <f t="array" ref="I54">Common_InputFunctions.Utility_DisplayArrayInTable(SourceData_Feedlot.SourceData_Feedlot_AnimalCharacteristics_Data(), Table_SourceData_Feedlot_AnimalCharacteristics[[#Headers],[Feedlot type]], 0)</f>
        <v>10.8</v>
      </c>
      <c r="J54" s="37" cm="1">
        <f t="array" ref="J54">Common_InputFunctions.Utility_DisplayArrayInTable(SourceData_Feedlot.SourceData_Feedlot_AnimalCharacteristics_Data(), Table_SourceData_Feedlot_AnimalCharacteristics[[#Headers],[Feedlot type]], 0)</f>
        <v>10.8</v>
      </c>
      <c r="M54" s="24"/>
    </row>
    <row r="55" spans="4:13" ht="20.100000000000001" customHeight="1" x14ac:dyDescent="0.25">
      <c r="D55" s="1" t="str" cm="1">
        <f t="array" ref="D55">Common_InputFunctions.Utility_DisplayArrayInTable(SourceData_Feedlot.SourceData_Feedlot_AnimalCharacteristics_Data(), Table_SourceData_Feedlot_AnimalCharacteristics[[#Headers],[Feedlot type]], 0)</f>
        <v>Mid-fed</v>
      </c>
      <c r="E55" s="37" t="str" cm="1">
        <f t="array" ref="E55">Common_InputFunctions.Utility_DisplayArrayInTable(SourceData_Feedlot.SourceData_Feedlot_AnimalCharacteristics_Data(), Table_SourceData_Feedlot_AnimalCharacteristics[[#Headers],[Feedlot type]], 0)</f>
        <v>N retention</v>
      </c>
      <c r="F55" s="37" t="str" cm="1">
        <f t="array" ref="F55">Common_InputFunctions.Utility_DisplayArrayInTable(SourceData_Feedlot.SourceData_Feedlot_AnimalCharacteristics_Data(), Table_SourceData_Feedlot_AnimalCharacteristics[[#Headers],[Feedlot type]], 0)</f>
        <v>per cent of intake</v>
      </c>
      <c r="G55" s="37" cm="1">
        <f t="array" ref="G55">Common_InputFunctions.Utility_DisplayArrayInTable(SourceData_Feedlot.SourceData_Feedlot_AnimalCharacteristics_Data(), Table_SourceData_Feedlot_AnimalCharacteristics[[#Headers],[Feedlot type]], 0)</f>
        <v>12.5</v>
      </c>
      <c r="H55" s="37" cm="1">
        <f t="array" ref="H55">Common_InputFunctions.Utility_DisplayArrayInTable(SourceData_Feedlot.SourceData_Feedlot_AnimalCharacteristics_Data(), Table_SourceData_Feedlot_AnimalCharacteristics[[#Headers],[Feedlot type]], 0)</f>
        <v>12.7</v>
      </c>
      <c r="I55" s="37" cm="1">
        <f t="array" ref="I55">Common_InputFunctions.Utility_DisplayArrayInTable(SourceData_Feedlot.SourceData_Feedlot_AnimalCharacteristics_Data(), Table_SourceData_Feedlot_AnimalCharacteristics[[#Headers],[Feedlot type]], 0)</f>
        <v>12.7</v>
      </c>
      <c r="J55" s="37" cm="1">
        <f t="array" ref="J55">Common_InputFunctions.Utility_DisplayArrayInTable(SourceData_Feedlot.SourceData_Feedlot_AnimalCharacteristics_Data(), Table_SourceData_Feedlot_AnimalCharacteristics[[#Headers],[Feedlot type]], 0)</f>
        <v>12.7</v>
      </c>
      <c r="M55" s="24"/>
    </row>
    <row r="56" spans="4:13" ht="20.100000000000001" customHeight="1" x14ac:dyDescent="0.25">
      <c r="D56" s="1" t="str" cm="1">
        <f t="array" ref="D56">Common_InputFunctions.Utility_DisplayArrayInTable(SourceData_Feedlot.SourceData_Feedlot_AnimalCharacteristics_Data(), Table_SourceData_Feedlot_AnimalCharacteristics[[#Headers],[Feedlot type]], 0)</f>
        <v>Long-fed</v>
      </c>
      <c r="E56" s="37" t="str" cm="1">
        <f t="array" ref="E56">Common_InputFunctions.Utility_DisplayArrayInTable(SourceData_Feedlot.SourceData_Feedlot_AnimalCharacteristics_Data(), Table_SourceData_Feedlot_AnimalCharacteristics[[#Headers],[Feedlot type]], 0)</f>
        <v>Days on feed</v>
      </c>
      <c r="F56" s="37" t="str" cm="1">
        <f t="array" ref="F56">Common_InputFunctions.Utility_DisplayArrayInTable(SourceData_Feedlot.SourceData_Feedlot_AnimalCharacteristics_Data(), Table_SourceData_Feedlot_AnimalCharacteristics[[#Headers],[Feedlot type]], 0)</f>
        <v>days</v>
      </c>
      <c r="G56" s="37" cm="1">
        <f t="array" ref="G56">Common_InputFunctions.Utility_DisplayArrayInTable(SourceData_Feedlot.SourceData_Feedlot_AnimalCharacteristics_Data(), Table_SourceData_Feedlot_AnimalCharacteristics[[#Headers],[Feedlot type]], 0)</f>
        <v>250</v>
      </c>
      <c r="H56" s="37" cm="1">
        <f t="array" ref="H56">Common_InputFunctions.Utility_DisplayArrayInTable(SourceData_Feedlot.SourceData_Feedlot_AnimalCharacteristics_Data(), Table_SourceData_Feedlot_AnimalCharacteristics[[#Headers],[Feedlot type]], 0)</f>
        <v>250</v>
      </c>
      <c r="I56" s="37" cm="1">
        <f t="array" ref="I56">Common_InputFunctions.Utility_DisplayArrayInTable(SourceData_Feedlot.SourceData_Feedlot_AnimalCharacteristics_Data(), Table_SourceData_Feedlot_AnimalCharacteristics[[#Headers],[Feedlot type]], 0)</f>
        <v>250</v>
      </c>
      <c r="J56" s="37" cm="1">
        <f t="array" ref="J56">Common_InputFunctions.Utility_DisplayArrayInTable(SourceData_Feedlot.SourceData_Feedlot_AnimalCharacteristics_Data(), Table_SourceData_Feedlot_AnimalCharacteristics[[#Headers],[Feedlot type]], 0)</f>
        <v>250</v>
      </c>
      <c r="M56" s="24"/>
    </row>
    <row r="57" spans="4:13" ht="20.100000000000001" customHeight="1" x14ac:dyDescent="0.25">
      <c r="D57" s="1" t="str" cm="1">
        <f t="array" ref="D57">Common_InputFunctions.Utility_DisplayArrayInTable(SourceData_Feedlot.SourceData_Feedlot_AnimalCharacteristics_Data(), Table_SourceData_Feedlot_AnimalCharacteristics[[#Headers],[Feedlot type]], 0)</f>
        <v>Long-fed</v>
      </c>
      <c r="E57" s="37" t="str" cm="1">
        <f t="array" ref="E57">Common_InputFunctions.Utility_DisplayArrayInTable(SourceData_Feedlot.SourceData_Feedlot_AnimalCharacteristics_Data(), Table_SourceData_Feedlot_AnimalCharacteristics[[#Headers],[Feedlot type]], 0)</f>
        <v>Feed intake</v>
      </c>
      <c r="F57" s="37" t="str" cm="1">
        <f t="array" ref="F57">Common_InputFunctions.Utility_DisplayArrayInTable(SourceData_Feedlot.SourceData_Feedlot_AnimalCharacteristics_Data(), Table_SourceData_Feedlot_AnimalCharacteristics[[#Headers],[Feedlot type]], 0)</f>
        <v>kg DM/day</v>
      </c>
      <c r="G57" s="37" cm="1">
        <f t="array" ref="G57">Common_InputFunctions.Utility_DisplayArrayInTable(SourceData_Feedlot.SourceData_Feedlot_AnimalCharacteristics_Data(), Table_SourceData_Feedlot_AnimalCharacteristics[[#Headers],[Feedlot type]], 0)</f>
        <v>9</v>
      </c>
      <c r="H57" s="37" cm="1">
        <f t="array" ref="H57">Common_InputFunctions.Utility_DisplayArrayInTable(SourceData_Feedlot.SourceData_Feedlot_AnimalCharacteristics_Data(), Table_SourceData_Feedlot_AnimalCharacteristics[[#Headers],[Feedlot type]], 0)</f>
        <v>8.5</v>
      </c>
      <c r="I57" s="37" cm="1">
        <f t="array" ref="I57">Common_InputFunctions.Utility_DisplayArrayInTable(SourceData_Feedlot.SourceData_Feedlot_AnimalCharacteristics_Data(), Table_SourceData_Feedlot_AnimalCharacteristics[[#Headers],[Feedlot type]], 0)</f>
        <v>8.1999999999999993</v>
      </c>
      <c r="J57" s="37" cm="1">
        <f t="array" ref="J57">Common_InputFunctions.Utility_DisplayArrayInTable(SourceData_Feedlot.SourceData_Feedlot_AnimalCharacteristics_Data(), Table_SourceData_Feedlot_AnimalCharacteristics[[#Headers],[Feedlot type]], 0)</f>
        <v>8.1999999999999993</v>
      </c>
      <c r="M57" s="24"/>
    </row>
    <row r="58" spans="4:13" ht="20.100000000000001" customHeight="1" x14ac:dyDescent="0.25">
      <c r="D58" s="1" t="str" cm="1">
        <f t="array" ref="D58">Common_InputFunctions.Utility_DisplayArrayInTable(SourceData_Feedlot.SourceData_Feedlot_AnimalCharacteristics_Data(), Table_SourceData_Feedlot_AnimalCharacteristics[[#Headers],[Feedlot type]], 0)</f>
        <v>Long-fed</v>
      </c>
      <c r="E58" s="37" t="str" cm="1">
        <f t="array" ref="E58">Common_InputFunctions.Utility_DisplayArrayInTable(SourceData_Feedlot.SourceData_Feedlot_AnimalCharacteristics_Data(), Table_SourceData_Feedlot_AnimalCharacteristics[[#Headers],[Feedlot type]], 0)</f>
        <v>N retention</v>
      </c>
      <c r="F58" s="37" t="str" cm="1">
        <f t="array" ref="F58">Common_InputFunctions.Utility_DisplayArrayInTable(SourceData_Feedlot.SourceData_Feedlot_AnimalCharacteristics_Data(), Table_SourceData_Feedlot_AnimalCharacteristics[[#Headers],[Feedlot type]], 0)</f>
        <v>per cent of intake</v>
      </c>
      <c r="G58" s="37" cm="1">
        <f t="array" ref="G58">Common_InputFunctions.Utility_DisplayArrayInTable(SourceData_Feedlot.SourceData_Feedlot_AnimalCharacteristics_Data(), Table_SourceData_Feedlot_AnimalCharacteristics[[#Headers],[Feedlot type]], 0)</f>
        <v>6.6</v>
      </c>
      <c r="H58" s="37" cm="1">
        <f t="array" ref="H58">Common_InputFunctions.Utility_DisplayArrayInTable(SourceData_Feedlot.SourceData_Feedlot_AnimalCharacteristics_Data(), Table_SourceData_Feedlot_AnimalCharacteristics[[#Headers],[Feedlot type]], 0)</f>
        <v>7</v>
      </c>
      <c r="I58" s="37" cm="1">
        <f t="array" ref="I58">Common_InputFunctions.Utility_DisplayArrayInTable(SourceData_Feedlot.SourceData_Feedlot_AnimalCharacteristics_Data(), Table_SourceData_Feedlot_AnimalCharacteristics[[#Headers],[Feedlot type]], 0)</f>
        <v>7</v>
      </c>
      <c r="J58" s="37" cm="1">
        <f t="array" ref="J58">Common_InputFunctions.Utility_DisplayArrayInTable(SourceData_Feedlot.SourceData_Feedlot_AnimalCharacteristics_Data(), Table_SourceData_Feedlot_AnimalCharacteristics[[#Headers],[Feedlot type]], 0)</f>
        <v>7</v>
      </c>
      <c r="M58" s="24"/>
    </row>
    <row r="59" spans="4:13" ht="20.100000000000001" customHeight="1" x14ac:dyDescent="0.25">
      <c r="M59" s="24"/>
    </row>
    <row r="60" spans="4:13" ht="20.100000000000001" customHeight="1" x14ac:dyDescent="0.25">
      <c r="M60" s="24"/>
    </row>
    <row r="61" spans="4:13" ht="20.100000000000001" customHeight="1" x14ac:dyDescent="0.25">
      <c r="D61" s="6" t="str" cm="1">
        <f t="array" ref="D61">SourceData_Feedlot.SourceData_Feedlot_DietProperties_Title()</f>
        <v>Beef feedlot cattle - Diet properties</v>
      </c>
      <c r="M61" s="24"/>
    </row>
    <row r="62" spans="4:13" ht="20.100000000000001" customHeight="1" x14ac:dyDescent="0.25">
      <c r="D62" s="5" t="str" cm="1">
        <f t="array" ref="D62">SourceData_Feedlot.SourceData_Feedlot_DietProperties_Source()</f>
        <v>VEERG 2026: Table A.1.1.3: Beef feedlot cattle - Diet properties</v>
      </c>
      <c r="M62" s="24"/>
    </row>
    <row r="63" spans="4:13" ht="20.100000000000001" customHeight="1" x14ac:dyDescent="0.25">
      <c r="D63" s="53" t="str" cm="1">
        <f t="array" ref="D63:D65">SourceData_Feedlot.SourceData_Feedlot_DietProperties_Variation()</f>
        <v>VARIATION ON SOURCE:</v>
      </c>
      <c r="M63" s="24"/>
    </row>
    <row r="64" spans="4:13" ht="20.100000000000001" customHeight="1" x14ac:dyDescent="0.25">
      <c r="D64" s="53" t="str">
        <v>Added 'Converted to fraction column and converted NDF and Ether extract values to fractions.</v>
      </c>
      <c r="M64" s="24"/>
    </row>
    <row r="65" spans="4:13" ht="20.100000000000001" customHeight="1" x14ac:dyDescent="0.25">
      <c r="D65" s="53" t="str">
        <v>Moved feedlot types to a separate column to aid lookup.</v>
      </c>
      <c r="M65" s="24"/>
    </row>
    <row r="66" spans="4:13" ht="20.100000000000001" customHeight="1" x14ac:dyDescent="0.25">
      <c r="D66" s="37" t="s">
        <v>90</v>
      </c>
      <c r="E66" s="37" t="s">
        <v>91</v>
      </c>
      <c r="F66" s="37" t="s">
        <v>11</v>
      </c>
      <c r="G66" s="37" t="s">
        <v>92</v>
      </c>
      <c r="H66" s="37" t="s">
        <v>93</v>
      </c>
      <c r="I66" s="37" t="s">
        <v>94</v>
      </c>
      <c r="J66" s="37" t="s">
        <v>99</v>
      </c>
      <c r="M66" s="24"/>
    </row>
    <row r="67" spans="4:13" ht="20.100000000000001" customHeight="1" x14ac:dyDescent="0.25">
      <c r="D67" s="37" t="str" cm="1">
        <f t="array" ref="D67">Common_InputFunctions.Utility_DisplayArrayInTable(SourceData_Feedlot.SourceData_Feedlot_DietProperties_Data(), Table_SourceData_Feedlot_DietProperties[[#Headers],[Feedlot type]], 0)</f>
        <v>Domestic</v>
      </c>
      <c r="E67" s="37" t="str" cm="1">
        <f t="array" ref="E67">Common_InputFunctions.Utility_DisplayArrayInTable(SourceData_Feedlot.SourceData_Feedlot_DietProperties_Data(), Table_SourceData_Feedlot_DietProperties[[#Headers],[Feedlot type]], 0)</f>
        <v>Dry matter digestibility</v>
      </c>
      <c r="F67" s="37" t="str" cm="1">
        <f t="array" ref="F67">Common_InputFunctions.Utility_DisplayArrayInTable(SourceData_Feedlot.SourceData_Feedlot_DietProperties_Data(), Table_SourceData_Feedlot_DietProperties[[#Headers],[Feedlot type]], 0)</f>
        <v>fraction</v>
      </c>
      <c r="G67" s="37" cm="1">
        <f t="array" ref="G67">Common_InputFunctions.Utility_DisplayArrayInTable(SourceData_Feedlot.SourceData_Feedlot_DietProperties_Data(), Table_SourceData_Feedlot_DietProperties[[#Headers],[Feedlot type]], 0)</f>
        <v>0.81</v>
      </c>
      <c r="H67" s="37" cm="1">
        <f t="array" ref="H67">Common_InputFunctions.Utility_DisplayArrayInTable(SourceData_Feedlot.SourceData_Feedlot_DietProperties_Data(), Table_SourceData_Feedlot_DietProperties[[#Headers],[Feedlot type]], 0)</f>
        <v>0.81</v>
      </c>
      <c r="I67" s="37" cm="1">
        <f t="array" ref="I67">Common_InputFunctions.Utility_DisplayArrayInTable(SourceData_Feedlot.SourceData_Feedlot_DietProperties_Data(), Table_SourceData_Feedlot_DietProperties[[#Headers],[Feedlot type]], 0)</f>
        <v>0.81</v>
      </c>
      <c r="J67" s="37" cm="1">
        <f t="array" ref="J67">Common_InputFunctions.Utility_DisplayArrayInTable(SourceData_Feedlot.SourceData_Feedlot_DietProperties_Data(), Table_SourceData_Feedlot_DietProperties[[#Headers],[Feedlot type]], 0)</f>
        <v>0.81</v>
      </c>
      <c r="M67" s="24"/>
    </row>
    <row r="68" spans="4:13" ht="20.100000000000001" customHeight="1" x14ac:dyDescent="0.25">
      <c r="D68" s="1" t="str" cm="1">
        <f t="array" ref="D68">Common_InputFunctions.Utility_DisplayArrayInTable(SourceData_Feedlot.SourceData_Feedlot_DietProperties_Data(), Table_SourceData_Feedlot_DietProperties[[#Headers],[Feedlot type]], 0)</f>
        <v>Domestic</v>
      </c>
      <c r="E68" s="37" t="str" cm="1">
        <f t="array" ref="E68">Common_InputFunctions.Utility_DisplayArrayInTable(SourceData_Feedlot.SourceData_Feedlot_DietProperties_Data(), Table_SourceData_Feedlot_DietProperties[[#Headers],[Feedlot type]], 0)</f>
        <v>Crude protein</v>
      </c>
      <c r="F68" s="37" t="str" cm="1">
        <f t="array" ref="F68">Common_InputFunctions.Utility_DisplayArrayInTable(SourceData_Feedlot.SourceData_Feedlot_DietProperties_Data(), Table_SourceData_Feedlot_DietProperties[[#Headers],[Feedlot type]], 0)</f>
        <v>fraction</v>
      </c>
      <c r="G68" s="37" cm="1">
        <f t="array" ref="G68">Common_InputFunctions.Utility_DisplayArrayInTable(SourceData_Feedlot.SourceData_Feedlot_DietProperties_Data(), Table_SourceData_Feedlot_DietProperties[[#Headers],[Feedlot type]], 0)</f>
        <v>0.14000000000000001</v>
      </c>
      <c r="H68" s="37" cm="1">
        <f t="array" ref="H68">Common_InputFunctions.Utility_DisplayArrayInTable(SourceData_Feedlot.SourceData_Feedlot_DietProperties_Data(), Table_SourceData_Feedlot_DietProperties[[#Headers],[Feedlot type]], 0)</f>
        <v>0.14000000000000001</v>
      </c>
      <c r="I68" s="37" cm="1">
        <f t="array" ref="I68">Common_InputFunctions.Utility_DisplayArrayInTable(SourceData_Feedlot.SourceData_Feedlot_DietProperties_Data(), Table_SourceData_Feedlot_DietProperties[[#Headers],[Feedlot type]], 0)</f>
        <v>0.14000000000000001</v>
      </c>
      <c r="J68" s="37" cm="1">
        <f t="array" ref="J68">Common_InputFunctions.Utility_DisplayArrayInTable(SourceData_Feedlot.SourceData_Feedlot_DietProperties_Data(), Table_SourceData_Feedlot_DietProperties[[#Headers],[Feedlot type]], 0)</f>
        <v>0.14000000000000001</v>
      </c>
      <c r="M68" s="24"/>
    </row>
    <row r="69" spans="4:13" ht="20.100000000000001" customHeight="1" x14ac:dyDescent="0.25">
      <c r="D69" s="1" t="str" cm="1">
        <f t="array" ref="D69">Common_InputFunctions.Utility_DisplayArrayInTable(SourceData_Feedlot.SourceData_Feedlot_DietProperties_Data(), Table_SourceData_Feedlot_DietProperties[[#Headers],[Feedlot type]], 0)</f>
        <v>Domestic</v>
      </c>
      <c r="E69" s="37" t="str" cm="1">
        <f t="array" ref="E69">Common_InputFunctions.Utility_DisplayArrayInTable(SourceData_Feedlot.SourceData_Feedlot_DietProperties_Data(), Table_SourceData_Feedlot_DietProperties[[#Headers],[Feedlot type]], 0)</f>
        <v>NDF</v>
      </c>
      <c r="F69" s="37" t="str" cm="1">
        <f t="array" ref="F69">Common_InputFunctions.Utility_DisplayArrayInTable(SourceData_Feedlot.SourceData_Feedlot_DietProperties_Data(), Table_SourceData_Feedlot_DietProperties[[#Headers],[Feedlot type]], 0)</f>
        <v>per cent</v>
      </c>
      <c r="G69" s="37" cm="1">
        <f t="array" ref="G69">Common_InputFunctions.Utility_DisplayArrayInTable(SourceData_Feedlot.SourceData_Feedlot_DietProperties_Data(), Table_SourceData_Feedlot_DietProperties[[#Headers],[Feedlot type]], 0)</f>
        <v>23</v>
      </c>
      <c r="H69" s="37" cm="1">
        <f t="array" ref="H69">Common_InputFunctions.Utility_DisplayArrayInTable(SourceData_Feedlot.SourceData_Feedlot_DietProperties_Data(), Table_SourceData_Feedlot_DietProperties[[#Headers],[Feedlot type]], 0)</f>
        <v>22</v>
      </c>
      <c r="I69" s="37" cm="1">
        <f t="array" ref="I69">Common_InputFunctions.Utility_DisplayArrayInTable(SourceData_Feedlot.SourceData_Feedlot_DietProperties_Data(), Table_SourceData_Feedlot_DietProperties[[#Headers],[Feedlot type]], 0)</f>
        <v>22</v>
      </c>
      <c r="J69" s="37" cm="1">
        <f t="array" ref="J69">Common_InputFunctions.Utility_DisplayArrayInTable(SourceData_Feedlot.SourceData_Feedlot_DietProperties_Data(), Table_SourceData_Feedlot_DietProperties[[#Headers],[Feedlot type]], 0)</f>
        <v>22</v>
      </c>
      <c r="M69" s="24"/>
    </row>
    <row r="70" spans="4:13" ht="20.100000000000001" customHeight="1" x14ac:dyDescent="0.25">
      <c r="D70" s="1" t="str" cm="1">
        <f t="array" ref="D70">Common_InputFunctions.Utility_DisplayArrayInTable(SourceData_Feedlot.SourceData_Feedlot_DietProperties_Data(), Table_SourceData_Feedlot_DietProperties[[#Headers],[Feedlot type]], 0)</f>
        <v>Domestic</v>
      </c>
      <c r="E70" s="37" t="str" cm="1">
        <f t="array" ref="E70">Common_InputFunctions.Utility_DisplayArrayInTable(SourceData_Feedlot.SourceData_Feedlot_DietProperties_Data(), Table_SourceData_Feedlot_DietProperties[[#Headers],[Feedlot type]], 0)</f>
        <v>Ether Extract</v>
      </c>
      <c r="F70" s="37" t="str" cm="1">
        <f t="array" ref="F70">Common_InputFunctions.Utility_DisplayArrayInTable(SourceData_Feedlot.SourceData_Feedlot_DietProperties_Data(), Table_SourceData_Feedlot_DietProperties[[#Headers],[Feedlot type]], 0)</f>
        <v>per cent</v>
      </c>
      <c r="G70" s="37" cm="1">
        <f t="array" ref="G70">Common_InputFunctions.Utility_DisplayArrayInTable(SourceData_Feedlot.SourceData_Feedlot_DietProperties_Data(), Table_SourceData_Feedlot_DietProperties[[#Headers],[Feedlot type]], 0)</f>
        <v>4.5</v>
      </c>
      <c r="H70" s="37" cm="1">
        <f t="array" ref="H70">Common_InputFunctions.Utility_DisplayArrayInTable(SourceData_Feedlot.SourceData_Feedlot_DietProperties_Data(), Table_SourceData_Feedlot_DietProperties[[#Headers],[Feedlot type]], 0)</f>
        <v>4.5</v>
      </c>
      <c r="I70" s="37" cm="1">
        <f t="array" ref="I70">Common_InputFunctions.Utility_DisplayArrayInTable(SourceData_Feedlot.SourceData_Feedlot_DietProperties_Data(), Table_SourceData_Feedlot_DietProperties[[#Headers],[Feedlot type]], 0)</f>
        <v>4.8</v>
      </c>
      <c r="J70" s="37" cm="1">
        <f t="array" ref="J70">Common_InputFunctions.Utility_DisplayArrayInTable(SourceData_Feedlot.SourceData_Feedlot_DietProperties_Data(), Table_SourceData_Feedlot_DietProperties[[#Headers],[Feedlot type]], 0)</f>
        <v>4.8</v>
      </c>
      <c r="M70" s="24"/>
    </row>
    <row r="71" spans="4:13" ht="20.100000000000001" customHeight="1" x14ac:dyDescent="0.25">
      <c r="D71" s="1" t="str" cm="1">
        <f t="array" ref="D71">Common_InputFunctions.Utility_DisplayArrayInTable(SourceData_Feedlot.SourceData_Feedlot_DietProperties_Data(), Table_SourceData_Feedlot_DietProperties[[#Headers],[Feedlot type]], 0)</f>
        <v>Mid-fed</v>
      </c>
      <c r="E71" s="37" t="str" cm="1">
        <f t="array" ref="E71">Common_InputFunctions.Utility_DisplayArrayInTable(SourceData_Feedlot.SourceData_Feedlot_DietProperties_Data(), Table_SourceData_Feedlot_DietProperties[[#Headers],[Feedlot type]], 0)</f>
        <v>Dry matter digestibility</v>
      </c>
      <c r="F71" s="37" t="str" cm="1">
        <f t="array" ref="F71">Common_InputFunctions.Utility_DisplayArrayInTable(SourceData_Feedlot.SourceData_Feedlot_DietProperties_Data(), Table_SourceData_Feedlot_DietProperties[[#Headers],[Feedlot type]], 0)</f>
        <v>fraction</v>
      </c>
      <c r="G71" s="37" cm="1">
        <f t="array" ref="G71">Common_InputFunctions.Utility_DisplayArrayInTable(SourceData_Feedlot.SourceData_Feedlot_DietProperties_Data(), Table_SourceData_Feedlot_DietProperties[[#Headers],[Feedlot type]], 0)</f>
        <v>0.81</v>
      </c>
      <c r="H71" s="37" cm="1">
        <f t="array" ref="H71">Common_InputFunctions.Utility_DisplayArrayInTable(SourceData_Feedlot.SourceData_Feedlot_DietProperties_Data(), Table_SourceData_Feedlot_DietProperties[[#Headers],[Feedlot type]], 0)</f>
        <v>0.81</v>
      </c>
      <c r="I71" s="37" cm="1">
        <f t="array" ref="I71">Common_InputFunctions.Utility_DisplayArrayInTable(SourceData_Feedlot.SourceData_Feedlot_DietProperties_Data(), Table_SourceData_Feedlot_DietProperties[[#Headers],[Feedlot type]], 0)</f>
        <v>0.81</v>
      </c>
      <c r="J71" s="37" cm="1">
        <f t="array" ref="J71">Common_InputFunctions.Utility_DisplayArrayInTable(SourceData_Feedlot.SourceData_Feedlot_DietProperties_Data(), Table_SourceData_Feedlot_DietProperties[[#Headers],[Feedlot type]], 0)</f>
        <v>0.81</v>
      </c>
      <c r="M71" s="24"/>
    </row>
    <row r="72" spans="4:13" ht="20.100000000000001" customHeight="1" x14ac:dyDescent="0.25">
      <c r="D72" s="1" t="str" cm="1">
        <f t="array" ref="D72">Common_InputFunctions.Utility_DisplayArrayInTable(SourceData_Feedlot.SourceData_Feedlot_DietProperties_Data(), Table_SourceData_Feedlot_DietProperties[[#Headers],[Feedlot type]], 0)</f>
        <v>Mid-fed</v>
      </c>
      <c r="E72" s="37" t="str" cm="1">
        <f t="array" ref="E72">Common_InputFunctions.Utility_DisplayArrayInTable(SourceData_Feedlot.SourceData_Feedlot_DietProperties_Data(), Table_SourceData_Feedlot_DietProperties[[#Headers],[Feedlot type]], 0)</f>
        <v>Crude protein</v>
      </c>
      <c r="F72" s="37" t="str" cm="1">
        <f t="array" ref="F72">Common_InputFunctions.Utility_DisplayArrayInTable(SourceData_Feedlot.SourceData_Feedlot_DietProperties_Data(), Table_SourceData_Feedlot_DietProperties[[#Headers],[Feedlot type]], 0)</f>
        <v>fraction</v>
      </c>
      <c r="G72" s="37" cm="1">
        <f t="array" ref="G72">Common_InputFunctions.Utility_DisplayArrayInTable(SourceData_Feedlot.SourceData_Feedlot_DietProperties_Data(), Table_SourceData_Feedlot_DietProperties[[#Headers],[Feedlot type]], 0)</f>
        <v>0.13</v>
      </c>
      <c r="H72" s="37" cm="1">
        <f t="array" ref="H72">Common_InputFunctions.Utility_DisplayArrayInTable(SourceData_Feedlot.SourceData_Feedlot_DietProperties_Data(), Table_SourceData_Feedlot_DietProperties[[#Headers],[Feedlot type]], 0)</f>
        <v>0.125</v>
      </c>
      <c r="I72" s="37" cm="1">
        <f t="array" ref="I72">Common_InputFunctions.Utility_DisplayArrayInTable(SourceData_Feedlot.SourceData_Feedlot_DietProperties_Data(), Table_SourceData_Feedlot_DietProperties[[#Headers],[Feedlot type]], 0)</f>
        <v>0.12</v>
      </c>
      <c r="J72" s="37" cm="1">
        <f t="array" ref="J72">Common_InputFunctions.Utility_DisplayArrayInTable(SourceData_Feedlot.SourceData_Feedlot_DietProperties_Data(), Table_SourceData_Feedlot_DietProperties[[#Headers],[Feedlot type]], 0)</f>
        <v>0.12</v>
      </c>
      <c r="M72" s="24"/>
    </row>
    <row r="73" spans="4:13" ht="20.100000000000001" customHeight="1" x14ac:dyDescent="0.25">
      <c r="D73" s="1" t="str" cm="1">
        <f t="array" ref="D73">Common_InputFunctions.Utility_DisplayArrayInTable(SourceData_Feedlot.SourceData_Feedlot_DietProperties_Data(), Table_SourceData_Feedlot_DietProperties[[#Headers],[Feedlot type]], 0)</f>
        <v>Mid-fed</v>
      </c>
      <c r="E73" s="37" t="str" cm="1">
        <f t="array" ref="E73">Common_InputFunctions.Utility_DisplayArrayInTable(SourceData_Feedlot.SourceData_Feedlot_DietProperties_Data(), Table_SourceData_Feedlot_DietProperties[[#Headers],[Feedlot type]], 0)</f>
        <v>NDF</v>
      </c>
      <c r="F73" s="37" t="str" cm="1">
        <f t="array" ref="F73">Common_InputFunctions.Utility_DisplayArrayInTable(SourceData_Feedlot.SourceData_Feedlot_DietProperties_Data(), Table_SourceData_Feedlot_DietProperties[[#Headers],[Feedlot type]], 0)</f>
        <v>per cent</v>
      </c>
      <c r="G73" s="37" cm="1">
        <f t="array" ref="G73">Common_InputFunctions.Utility_DisplayArrayInTable(SourceData_Feedlot.SourceData_Feedlot_DietProperties_Data(), Table_SourceData_Feedlot_DietProperties[[#Headers],[Feedlot type]], 0)</f>
        <v>24</v>
      </c>
      <c r="H73" s="37" cm="1">
        <f t="array" ref="H73">Common_InputFunctions.Utility_DisplayArrayInTable(SourceData_Feedlot.SourceData_Feedlot_DietProperties_Data(), Table_SourceData_Feedlot_DietProperties[[#Headers],[Feedlot type]], 0)</f>
        <v>22</v>
      </c>
      <c r="I73" s="37" cm="1">
        <f t="array" ref="I73">Common_InputFunctions.Utility_DisplayArrayInTable(SourceData_Feedlot.SourceData_Feedlot_DietProperties_Data(), Table_SourceData_Feedlot_DietProperties[[#Headers],[Feedlot type]], 0)</f>
        <v>22</v>
      </c>
      <c r="J73" s="37" cm="1">
        <f t="array" ref="J73">Common_InputFunctions.Utility_DisplayArrayInTable(SourceData_Feedlot.SourceData_Feedlot_DietProperties_Data(), Table_SourceData_Feedlot_DietProperties[[#Headers],[Feedlot type]], 0)</f>
        <v>22</v>
      </c>
      <c r="M73" s="24"/>
    </row>
    <row r="74" spans="4:13" ht="20.100000000000001" customHeight="1" x14ac:dyDescent="0.25">
      <c r="D74" s="1" t="str" cm="1">
        <f t="array" ref="D74">Common_InputFunctions.Utility_DisplayArrayInTable(SourceData_Feedlot.SourceData_Feedlot_DietProperties_Data(), Table_SourceData_Feedlot_DietProperties[[#Headers],[Feedlot type]], 0)</f>
        <v>Mid-fed</v>
      </c>
      <c r="E74" s="37" t="str" cm="1">
        <f t="array" ref="E74">Common_InputFunctions.Utility_DisplayArrayInTable(SourceData_Feedlot.SourceData_Feedlot_DietProperties_Data(), Table_SourceData_Feedlot_DietProperties[[#Headers],[Feedlot type]], 0)</f>
        <v>Ether Extract</v>
      </c>
      <c r="F74" s="37" t="str" cm="1">
        <f t="array" ref="F74">Common_InputFunctions.Utility_DisplayArrayInTable(SourceData_Feedlot.SourceData_Feedlot_DietProperties_Data(), Table_SourceData_Feedlot_DietProperties[[#Headers],[Feedlot type]], 0)</f>
        <v>per cent</v>
      </c>
      <c r="G74" s="37" cm="1">
        <f t="array" ref="G74">Common_InputFunctions.Utility_DisplayArrayInTable(SourceData_Feedlot.SourceData_Feedlot_DietProperties_Data(), Table_SourceData_Feedlot_DietProperties[[#Headers],[Feedlot type]], 0)</f>
        <v>5</v>
      </c>
      <c r="H74" s="37" cm="1">
        <f t="array" ref="H74">Common_InputFunctions.Utility_DisplayArrayInTable(SourceData_Feedlot.SourceData_Feedlot_DietProperties_Data(), Table_SourceData_Feedlot_DietProperties[[#Headers],[Feedlot type]], 0)</f>
        <v>5</v>
      </c>
      <c r="I74" s="37" cm="1">
        <f t="array" ref="I74">Common_InputFunctions.Utility_DisplayArrayInTable(SourceData_Feedlot.SourceData_Feedlot_DietProperties_Data(), Table_SourceData_Feedlot_DietProperties[[#Headers],[Feedlot type]], 0)</f>
        <v>5</v>
      </c>
      <c r="J74" s="37" cm="1">
        <f t="array" ref="J74">Common_InputFunctions.Utility_DisplayArrayInTable(SourceData_Feedlot.SourceData_Feedlot_DietProperties_Data(), Table_SourceData_Feedlot_DietProperties[[#Headers],[Feedlot type]], 0)</f>
        <v>5</v>
      </c>
      <c r="M74" s="24"/>
    </row>
    <row r="75" spans="4:13" ht="20.100000000000001" customHeight="1" x14ac:dyDescent="0.25">
      <c r="D75" s="1" t="str" cm="1">
        <f t="array" ref="D75">Common_InputFunctions.Utility_DisplayArrayInTable(SourceData_Feedlot.SourceData_Feedlot_DietProperties_Data(), Table_SourceData_Feedlot_DietProperties[[#Headers],[Feedlot type]], 0)</f>
        <v>Long-Fed</v>
      </c>
      <c r="E75" s="37" t="str" cm="1">
        <f t="array" ref="E75">Common_InputFunctions.Utility_DisplayArrayInTable(SourceData_Feedlot.SourceData_Feedlot_DietProperties_Data(), Table_SourceData_Feedlot_DietProperties[[#Headers],[Feedlot type]], 0)</f>
        <v>Dry matter digestibility</v>
      </c>
      <c r="F75" s="37" t="str" cm="1">
        <f t="array" ref="F75">Common_InputFunctions.Utility_DisplayArrayInTable(SourceData_Feedlot.SourceData_Feedlot_DietProperties_Data(), Table_SourceData_Feedlot_DietProperties[[#Headers],[Feedlot type]], 0)</f>
        <v>fraction</v>
      </c>
      <c r="G75" s="37" cm="1">
        <f t="array" ref="G75">Common_InputFunctions.Utility_DisplayArrayInTable(SourceData_Feedlot.SourceData_Feedlot_DietProperties_Data(), Table_SourceData_Feedlot_DietProperties[[#Headers],[Feedlot type]], 0)</f>
        <v>0.81</v>
      </c>
      <c r="H75" s="37" cm="1">
        <f t="array" ref="H75">Common_InputFunctions.Utility_DisplayArrayInTable(SourceData_Feedlot.SourceData_Feedlot_DietProperties_Data(), Table_SourceData_Feedlot_DietProperties[[#Headers],[Feedlot type]], 0)</f>
        <v>0.81</v>
      </c>
      <c r="I75" s="37" cm="1">
        <f t="array" ref="I75">Common_InputFunctions.Utility_DisplayArrayInTable(SourceData_Feedlot.SourceData_Feedlot_DietProperties_Data(), Table_SourceData_Feedlot_DietProperties[[#Headers],[Feedlot type]], 0)</f>
        <v>0.81</v>
      </c>
      <c r="J75" s="37" cm="1">
        <f t="array" ref="J75">Common_InputFunctions.Utility_DisplayArrayInTable(SourceData_Feedlot.SourceData_Feedlot_DietProperties_Data(), Table_SourceData_Feedlot_DietProperties[[#Headers],[Feedlot type]], 0)</f>
        <v>0.81</v>
      </c>
      <c r="M75" s="24"/>
    </row>
    <row r="76" spans="4:13" ht="20.100000000000001" customHeight="1" x14ac:dyDescent="0.25">
      <c r="D76" s="1" t="str" cm="1">
        <f t="array" ref="D76">Common_InputFunctions.Utility_DisplayArrayInTable(SourceData_Feedlot.SourceData_Feedlot_DietProperties_Data(), Table_SourceData_Feedlot_DietProperties[[#Headers],[Feedlot type]], 0)</f>
        <v>Long-Fed</v>
      </c>
      <c r="E76" s="37" t="str" cm="1">
        <f t="array" ref="E76">Common_InputFunctions.Utility_DisplayArrayInTable(SourceData_Feedlot.SourceData_Feedlot_DietProperties_Data(), Table_SourceData_Feedlot_DietProperties[[#Headers],[Feedlot type]], 0)</f>
        <v>Crude protein</v>
      </c>
      <c r="F76" s="37" t="str" cm="1">
        <f t="array" ref="F76">Common_InputFunctions.Utility_DisplayArrayInTable(SourceData_Feedlot.SourceData_Feedlot_DietProperties_Data(), Table_SourceData_Feedlot_DietProperties[[#Headers],[Feedlot type]], 0)</f>
        <v>fraction</v>
      </c>
      <c r="G76" s="37" cm="1">
        <f t="array" ref="G76">Common_InputFunctions.Utility_DisplayArrayInTable(SourceData_Feedlot.SourceData_Feedlot_DietProperties_Data(), Table_SourceData_Feedlot_DietProperties[[#Headers],[Feedlot type]], 0)</f>
        <v>0.13</v>
      </c>
      <c r="H76" s="37" cm="1">
        <f t="array" ref="H76">Common_InputFunctions.Utility_DisplayArrayInTable(SourceData_Feedlot.SourceData_Feedlot_DietProperties_Data(), Table_SourceData_Feedlot_DietProperties[[#Headers],[Feedlot type]], 0)</f>
        <v>0.125</v>
      </c>
      <c r="I76" s="37" cm="1">
        <f t="array" ref="I76">Common_InputFunctions.Utility_DisplayArrayInTable(SourceData_Feedlot.SourceData_Feedlot_DietProperties_Data(), Table_SourceData_Feedlot_DietProperties[[#Headers],[Feedlot type]], 0)</f>
        <v>0.12</v>
      </c>
      <c r="J76" s="37" cm="1">
        <f t="array" ref="J76">Common_InputFunctions.Utility_DisplayArrayInTable(SourceData_Feedlot.SourceData_Feedlot_DietProperties_Data(), Table_SourceData_Feedlot_DietProperties[[#Headers],[Feedlot type]], 0)</f>
        <v>0.12</v>
      </c>
      <c r="M76" s="24"/>
    </row>
    <row r="77" spans="4:13" ht="20.100000000000001" customHeight="1" x14ac:dyDescent="0.25">
      <c r="D77" s="1" t="str" cm="1">
        <f t="array" ref="D77">Common_InputFunctions.Utility_DisplayArrayInTable(SourceData_Feedlot.SourceData_Feedlot_DietProperties_Data(), Table_SourceData_Feedlot_DietProperties[[#Headers],[Feedlot type]], 0)</f>
        <v>Long-Fed</v>
      </c>
      <c r="E77" s="37" t="str" cm="1">
        <f t="array" ref="E77">Common_InputFunctions.Utility_DisplayArrayInTable(SourceData_Feedlot.SourceData_Feedlot_DietProperties_Data(), Table_SourceData_Feedlot_DietProperties[[#Headers],[Feedlot type]], 0)</f>
        <v>NDF</v>
      </c>
      <c r="F77" s="37" t="str" cm="1">
        <f t="array" ref="F77">Common_InputFunctions.Utility_DisplayArrayInTable(SourceData_Feedlot.SourceData_Feedlot_DietProperties_Data(), Table_SourceData_Feedlot_DietProperties[[#Headers],[Feedlot type]], 0)</f>
        <v>per cent</v>
      </c>
      <c r="G77" s="37" cm="1">
        <f t="array" ref="G77">Common_InputFunctions.Utility_DisplayArrayInTable(SourceData_Feedlot.SourceData_Feedlot_DietProperties_Data(), Table_SourceData_Feedlot_DietProperties[[#Headers],[Feedlot type]], 0)</f>
        <v>24</v>
      </c>
      <c r="H77" s="37" cm="1">
        <f t="array" ref="H77">Common_InputFunctions.Utility_DisplayArrayInTable(SourceData_Feedlot.SourceData_Feedlot_DietProperties_Data(), Table_SourceData_Feedlot_DietProperties[[#Headers],[Feedlot type]], 0)</f>
        <v>24</v>
      </c>
      <c r="I77" s="37" cm="1">
        <f t="array" ref="I77">Common_InputFunctions.Utility_DisplayArrayInTable(SourceData_Feedlot.SourceData_Feedlot_DietProperties_Data(), Table_SourceData_Feedlot_DietProperties[[#Headers],[Feedlot type]], 0)</f>
        <v>24</v>
      </c>
      <c r="J77" s="37" cm="1">
        <f t="array" ref="J77">Common_InputFunctions.Utility_DisplayArrayInTable(SourceData_Feedlot.SourceData_Feedlot_DietProperties_Data(), Table_SourceData_Feedlot_DietProperties[[#Headers],[Feedlot type]], 0)</f>
        <v>24</v>
      </c>
      <c r="M77" s="24"/>
    </row>
    <row r="78" spans="4:13" ht="20.100000000000001" customHeight="1" x14ac:dyDescent="0.25">
      <c r="D78" s="1" t="str" cm="1">
        <f t="array" ref="D78">Common_InputFunctions.Utility_DisplayArrayInTable(SourceData_Feedlot.SourceData_Feedlot_DietProperties_Data(), Table_SourceData_Feedlot_DietProperties[[#Headers],[Feedlot type]], 0)</f>
        <v>Long-Fed</v>
      </c>
      <c r="E78" s="37" t="str" cm="1">
        <f t="array" ref="E78">Common_InputFunctions.Utility_DisplayArrayInTable(SourceData_Feedlot.SourceData_Feedlot_DietProperties_Data(), Table_SourceData_Feedlot_DietProperties[[#Headers],[Feedlot type]], 0)</f>
        <v>Ether Extract</v>
      </c>
      <c r="F78" s="37" t="str" cm="1">
        <f t="array" ref="F78">Common_InputFunctions.Utility_DisplayArrayInTable(SourceData_Feedlot.SourceData_Feedlot_DietProperties_Data(), Table_SourceData_Feedlot_DietProperties[[#Headers],[Feedlot type]], 0)</f>
        <v>per cent</v>
      </c>
      <c r="G78" s="37" cm="1">
        <f t="array" ref="G78">Common_InputFunctions.Utility_DisplayArrayInTable(SourceData_Feedlot.SourceData_Feedlot_DietProperties_Data(), Table_SourceData_Feedlot_DietProperties[[#Headers],[Feedlot type]], 0)</f>
        <v>5</v>
      </c>
      <c r="H78" s="37" cm="1">
        <f t="array" ref="H78">Common_InputFunctions.Utility_DisplayArrayInTable(SourceData_Feedlot.SourceData_Feedlot_DietProperties_Data(), Table_SourceData_Feedlot_DietProperties[[#Headers],[Feedlot type]], 0)</f>
        <v>5</v>
      </c>
      <c r="I78" s="37" cm="1">
        <f t="array" ref="I78">Common_InputFunctions.Utility_DisplayArrayInTable(SourceData_Feedlot.SourceData_Feedlot_DietProperties_Data(), Table_SourceData_Feedlot_DietProperties[[#Headers],[Feedlot type]], 0)</f>
        <v>5.5</v>
      </c>
      <c r="J78" s="37" cm="1">
        <f t="array" ref="J78">Common_InputFunctions.Utility_DisplayArrayInTable(SourceData_Feedlot.SourceData_Feedlot_DietProperties_Data(), Table_SourceData_Feedlot_DietProperties[[#Headers],[Feedlot type]], 0)</f>
        <v>5.5</v>
      </c>
      <c r="M78" s="24"/>
    </row>
    <row r="79" spans="4:13" ht="20.100000000000001" customHeight="1" x14ac:dyDescent="0.25">
      <c r="M79" s="24"/>
    </row>
    <row r="80" spans="4:13" ht="20.100000000000001" customHeight="1" x14ac:dyDescent="0.25">
      <c r="M80" s="24"/>
    </row>
    <row r="81" spans="4:14" ht="20.100000000000001" customHeight="1" x14ac:dyDescent="0.25">
      <c r="D81" s="6" t="str" cm="1">
        <f t="array" ref="D81">SourceData_Feedlot.SourceData_Feedlot_MCF_Title()</f>
        <v>Feedlot - MCFs</v>
      </c>
      <c r="M81" s="1"/>
    </row>
    <row r="82" spans="4:14" ht="20.100000000000001" customHeight="1" x14ac:dyDescent="0.25">
      <c r="D82" s="5" t="str" cm="1">
        <f t="array" ref="D82">SourceData_Feedlot.SourceData_Feedlot_MCF_Source()</f>
        <v>VEERG 2026: Table A.1.1.4: Beef feedlot cattle - MCFs (fraction) (MCFimT)</v>
      </c>
      <c r="M82" s="1"/>
    </row>
    <row r="83" spans="4:14" ht="20.100000000000001" customHeight="1" x14ac:dyDescent="0.25">
      <c r="D83" s="53" t="str" cm="1">
        <f t="array" ref="D83:D86">SourceData_Feedlot.SourceData_Feedlot_MCF_Variation()</f>
        <v>VARIATION ON SOURCE:</v>
      </c>
      <c r="M83" s="1"/>
    </row>
    <row r="84" spans="4:14" ht="20.100000000000001" customHeight="1" x14ac:dyDescent="0.25">
      <c r="D84" s="53" t="str">
        <v>Duplicated NSW values for ACT</v>
      </c>
      <c r="M84" s="1"/>
    </row>
    <row r="85" spans="4:14" ht="20.100000000000001" customHeight="1" x14ac:dyDescent="0.25">
      <c r="D85" s="53" t="str">
        <v>Added NT column that duplicates QLD values as per advice from source data provider.</v>
      </c>
      <c r="M85" s="1"/>
    </row>
    <row r="86" spans="4:14" ht="20.100000000000001" customHeight="1" x14ac:dyDescent="0.25">
      <c r="D86" s="53" t="str">
        <v>Added TAS column that duplicates VIC values as per advice from source data provider.</v>
      </c>
      <c r="M86" s="1"/>
    </row>
    <row r="87" spans="4:14" ht="20.100000000000001" customHeight="1" x14ac:dyDescent="0.25">
      <c r="M87" s="1"/>
    </row>
    <row r="88" spans="4:14" ht="20.100000000000001" customHeight="1" x14ac:dyDescent="0.25">
      <c r="D88" s="37" t="s">
        <v>82</v>
      </c>
      <c r="E88" s="37" t="s">
        <v>80</v>
      </c>
      <c r="F88" s="37" t="s">
        <v>65</v>
      </c>
      <c r="G88" s="37" t="s">
        <v>64</v>
      </c>
      <c r="H88" s="37" t="s">
        <v>67</v>
      </c>
      <c r="I88" s="37" t="s">
        <v>66</v>
      </c>
      <c r="J88" s="37" t="s">
        <v>68</v>
      </c>
      <c r="K88" s="37" t="s">
        <v>70</v>
      </c>
      <c r="L88" s="37" t="s">
        <v>71</v>
      </c>
      <c r="M88" s="37" t="s">
        <v>69</v>
      </c>
      <c r="N88" s="37" t="s">
        <v>78</v>
      </c>
    </row>
    <row r="89" spans="4:14" ht="20.100000000000001" customHeight="1" x14ac:dyDescent="0.25">
      <c r="D89" s="37" t="str" cm="1">
        <f t="array" ref="D89">Common_InputFunctions.Utility_DisplayArrayInTable(SourceData_Feedlot.SourceData_Feedlot_MCF_Data(), Table_SourceData_Feedlot_MCF[[#Headers],[Treatment stage T]], 0)</f>
        <v>Primary</v>
      </c>
      <c r="E89" s="37" t="str" cm="1">
        <f t="array" ref="E89">Common_InputFunctions.Utility_DisplayArrayInTable(SourceData_Feedlot.SourceData_Feedlot_MCF_Data(), Table_SourceData_Feedlot_MCF[[#Headers],[Treatment stage T]], 0)</f>
        <v>Dry lot (Feedpad)</v>
      </c>
      <c r="F89" s="37" cm="1">
        <f t="array" ref="F89">Common_InputFunctions.Utility_DisplayArrayInTable(SourceData_Feedlot.SourceData_Feedlot_MCF_Data(), Table_SourceData_Feedlot_MCF[[#Headers],[Treatment stage T]], 0)</f>
        <v>0.01</v>
      </c>
      <c r="G89" s="37" cm="1">
        <f t="array" ref="G89">Common_InputFunctions.Utility_DisplayArrayInTable(SourceData_Feedlot.SourceData_Feedlot_MCF_Data(), Table_SourceData_Feedlot_MCF[[#Headers],[Treatment stage T]], 0)</f>
        <v>0.01</v>
      </c>
      <c r="H89" s="37" cm="1">
        <f t="array" ref="H89">Common_InputFunctions.Utility_DisplayArrayInTable(SourceData_Feedlot.SourceData_Feedlot_MCF_Data(), Table_SourceData_Feedlot_MCF[[#Headers],[Treatment stage T]], 0)</f>
        <v>0.03</v>
      </c>
      <c r="I89" s="37" cm="1">
        <f t="array" ref="I89">Common_InputFunctions.Utility_DisplayArrayInTable(SourceData_Feedlot.SourceData_Feedlot_MCF_Data(), Table_SourceData_Feedlot_MCF[[#Headers],[Treatment stage T]], 0)</f>
        <v>0.03</v>
      </c>
      <c r="J89" s="37" cm="1">
        <f t="array" ref="J89">Common_InputFunctions.Utility_DisplayArrayInTable(SourceData_Feedlot.SourceData_Feedlot_MCF_Data(), Table_SourceData_Feedlot_MCF[[#Headers],[Treatment stage T]], 0)</f>
        <v>0.01</v>
      </c>
      <c r="K89" s="37" cm="1">
        <f t="array" ref="K89">Common_InputFunctions.Utility_DisplayArrayInTable(SourceData_Feedlot.SourceData_Feedlot_MCF_Data(), Table_SourceData_Feedlot_MCF[[#Headers],[Treatment stage T]], 0)</f>
        <v>0.01</v>
      </c>
      <c r="L89" s="37" cm="1">
        <f t="array" ref="L89">Common_InputFunctions.Utility_DisplayArrayInTable(SourceData_Feedlot.SourceData_Feedlot_MCF_Data(), Table_SourceData_Feedlot_MCF[[#Headers],[Treatment stage T]], 0)</f>
        <v>0.01</v>
      </c>
      <c r="M89" s="37" cm="1">
        <f t="array" ref="M89">Common_InputFunctions.Utility_DisplayArrayInTable(SourceData_Feedlot.SourceData_Feedlot_MCF_Data(), Table_SourceData_Feedlot_MCF[[#Headers],[Treatment stage T]], 0)</f>
        <v>0.01</v>
      </c>
      <c r="N89" s="37" t="str" cm="1">
        <f t="array" ref="N89">Common_InputFunctions.Utility_DisplayArrayInTable(SourceData_Feedlot.SourceData_Feedlot_MCF_Data(), Table_SourceData_Feedlot_MCF[[#Headers],[Treatment stage T]], 0)</f>
        <v>Drylot (feed pad)</v>
      </c>
    </row>
    <row r="90" spans="4:14" ht="20.100000000000001" customHeight="1" x14ac:dyDescent="0.25">
      <c r="D90" s="1" t="str" cm="1">
        <f t="array" ref="D90">Common_InputFunctions.Utility_DisplayArrayInTable(SourceData_Feedlot.SourceData_Feedlot_MCF_Data(), Table_SourceData_Feedlot_MCF[[#Headers],[Treatment stage T]], 0)</f>
        <v>Secondary</v>
      </c>
      <c r="E90" s="37" t="str" cm="1">
        <f t="array" ref="E90">Common_InputFunctions.Utility_DisplayArrayInTable(SourceData_Feedlot.SourceData_Feedlot_MCF_Data(), Table_SourceData_Feedlot_MCF[[#Headers],[Treatment stage T]], 0)</f>
        <v>Solid Storage (Stockpile)</v>
      </c>
      <c r="F90" s="37" cm="1">
        <f t="array" ref="F90">Common_InputFunctions.Utility_DisplayArrayInTable(SourceData_Feedlot.SourceData_Feedlot_MCF_Data(), Table_SourceData_Feedlot_MCF[[#Headers],[Treatment stage T]], 0)</f>
        <v>0.02</v>
      </c>
      <c r="G90" s="37" cm="1">
        <f t="array" ref="G90">Common_InputFunctions.Utility_DisplayArrayInTable(SourceData_Feedlot.SourceData_Feedlot_MCF_Data(), Table_SourceData_Feedlot_MCF[[#Headers],[Treatment stage T]], 0)</f>
        <v>0.02</v>
      </c>
      <c r="H90" s="37" cm="1">
        <f t="array" ref="H90">Common_InputFunctions.Utility_DisplayArrayInTable(SourceData_Feedlot.SourceData_Feedlot_MCF_Data(), Table_SourceData_Feedlot_MCF[[#Headers],[Treatment stage T]], 0)</f>
        <v>0.02</v>
      </c>
      <c r="I90" s="37" cm="1">
        <f t="array" ref="I90">Common_InputFunctions.Utility_DisplayArrayInTable(SourceData_Feedlot.SourceData_Feedlot_MCF_Data(), Table_SourceData_Feedlot_MCF[[#Headers],[Treatment stage T]], 0)</f>
        <v>0.02</v>
      </c>
      <c r="J90" s="37" cm="1">
        <f t="array" ref="J90">Common_InputFunctions.Utility_DisplayArrayInTable(SourceData_Feedlot.SourceData_Feedlot_MCF_Data(), Table_SourceData_Feedlot_MCF[[#Headers],[Treatment stage T]], 0)</f>
        <v>0.02</v>
      </c>
      <c r="K90" s="37" cm="1">
        <f t="array" ref="K90">Common_InputFunctions.Utility_DisplayArrayInTable(SourceData_Feedlot.SourceData_Feedlot_MCF_Data(), Table_SourceData_Feedlot_MCF[[#Headers],[Treatment stage T]], 0)</f>
        <v>0.02</v>
      </c>
      <c r="L90" s="37" cm="1">
        <f t="array" ref="L90">Common_InputFunctions.Utility_DisplayArrayInTable(SourceData_Feedlot.SourceData_Feedlot_MCF_Data(), Table_SourceData_Feedlot_MCF[[#Headers],[Treatment stage T]], 0)</f>
        <v>0.02</v>
      </c>
      <c r="M90" s="37" cm="1">
        <f t="array" ref="M90">Common_InputFunctions.Utility_DisplayArrayInTable(SourceData_Feedlot.SourceData_Feedlot_MCF_Data(), Table_SourceData_Feedlot_MCF[[#Headers],[Treatment stage T]], 0)</f>
        <v>0.02</v>
      </c>
      <c r="N90" s="37" t="str" cm="1">
        <f t="array" ref="N90">Common_InputFunctions.Utility_DisplayArrayInTable(SourceData_Feedlot.SourceData_Feedlot_MCF_Data(), Table_SourceData_Feedlot_MCF[[#Headers],[Treatment stage T]], 0)</f>
        <v>Solid storage</v>
      </c>
    </row>
    <row r="91" spans="4:14" ht="20.100000000000001" customHeight="1" x14ac:dyDescent="0.25">
      <c r="D91" s="1" t="str" cm="1">
        <f t="array" ref="D91">Common_InputFunctions.Utility_DisplayArrayInTable(SourceData_Feedlot.SourceData_Feedlot_MCF_Data(), Table_SourceData_Feedlot_MCF[[#Headers],[Treatment stage T]], 0)</f>
        <v>Secondary</v>
      </c>
      <c r="E91" s="37" t="str" cm="1">
        <f t="array" ref="E91">Common_InputFunctions.Utility_DisplayArrayInTable(SourceData_Feedlot.SourceData_Feedlot_MCF_Data(), Table_SourceData_Feedlot_MCF[[#Headers],[Treatment stage T]], 0)</f>
        <v>Composting (Passive Windrow)</v>
      </c>
      <c r="F91" s="37" cm="1">
        <f t="array" ref="F91">Common_InputFunctions.Utility_DisplayArrayInTable(SourceData_Feedlot.SourceData_Feedlot_MCF_Data(), Table_SourceData_Feedlot_MCF[[#Headers],[Treatment stage T]], 0)</f>
        <v>0.01</v>
      </c>
      <c r="G91" s="37" cm="1">
        <f t="array" ref="G91">Common_InputFunctions.Utility_DisplayArrayInTable(SourceData_Feedlot.SourceData_Feedlot_MCF_Data(), Table_SourceData_Feedlot_MCF[[#Headers],[Treatment stage T]], 0)</f>
        <v>0.01</v>
      </c>
      <c r="H91" s="37" cm="1">
        <f t="array" ref="H91">Common_InputFunctions.Utility_DisplayArrayInTable(SourceData_Feedlot.SourceData_Feedlot_MCF_Data(), Table_SourceData_Feedlot_MCF[[#Headers],[Treatment stage T]], 0)</f>
        <v>0.01</v>
      </c>
      <c r="I91" s="37" cm="1">
        <f t="array" ref="I91">Common_InputFunctions.Utility_DisplayArrayInTable(SourceData_Feedlot.SourceData_Feedlot_MCF_Data(), Table_SourceData_Feedlot_MCF[[#Headers],[Treatment stage T]], 0)</f>
        <v>0.01</v>
      </c>
      <c r="J91" s="37" cm="1">
        <f t="array" ref="J91">Common_InputFunctions.Utility_DisplayArrayInTable(SourceData_Feedlot.SourceData_Feedlot_MCF_Data(), Table_SourceData_Feedlot_MCF[[#Headers],[Treatment stage T]], 0)</f>
        <v>0.01</v>
      </c>
      <c r="K91" s="37" cm="1">
        <f t="array" ref="K91">Common_InputFunctions.Utility_DisplayArrayInTable(SourceData_Feedlot.SourceData_Feedlot_MCF_Data(), Table_SourceData_Feedlot_MCF[[#Headers],[Treatment stage T]], 0)</f>
        <v>0.01</v>
      </c>
      <c r="L91" s="37" cm="1">
        <f t="array" ref="L91">Common_InputFunctions.Utility_DisplayArrayInTable(SourceData_Feedlot.SourceData_Feedlot_MCF_Data(), Table_SourceData_Feedlot_MCF[[#Headers],[Treatment stage T]], 0)</f>
        <v>0.01</v>
      </c>
      <c r="M91" s="37" cm="1">
        <f t="array" ref="M91">Common_InputFunctions.Utility_DisplayArrayInTable(SourceData_Feedlot.SourceData_Feedlot_MCF_Data(), Table_SourceData_Feedlot_MCF[[#Headers],[Treatment stage T]], 0)</f>
        <v>0.01</v>
      </c>
      <c r="N91" s="37" t="str" cm="1">
        <f t="array" ref="N91">Common_InputFunctions.Utility_DisplayArrayInTable(SourceData_Feedlot.SourceData_Feedlot_MCF_Data(), Table_SourceData_Feedlot_MCF[[#Headers],[Treatment stage T]], 0)</f>
        <v>Composting (passive windrow)</v>
      </c>
    </row>
    <row r="92" spans="4:14" ht="20.100000000000001" customHeight="1" x14ac:dyDescent="0.25">
      <c r="D92" s="1" t="str" cm="1">
        <f t="array" ref="D92">Common_InputFunctions.Utility_DisplayArrayInTable(SourceData_Feedlot.SourceData_Feedlot_MCF_Data(), Table_SourceData_Feedlot_MCF[[#Headers],[Treatment stage T]], 0)</f>
        <v>Secondary</v>
      </c>
      <c r="E92" s="37" t="str" cm="1">
        <f t="array" ref="E92">Common_InputFunctions.Utility_DisplayArrayInTable(SourceData_Feedlot.SourceData_Feedlot_MCF_Data(), Table_SourceData_Feedlot_MCF[[#Headers],[Treatment stage T]], 0)</f>
        <v>Direct Application to soil</v>
      </c>
      <c r="F92" s="37" cm="1">
        <f t="array" ref="F92">Common_InputFunctions.Utility_DisplayArrayInTable(SourceData_Feedlot.SourceData_Feedlot_MCF_Data(), Table_SourceData_Feedlot_MCF[[#Headers],[Treatment stage T]], 0)</f>
        <v>0</v>
      </c>
      <c r="G92" s="37" cm="1">
        <f t="array" ref="G92">Common_InputFunctions.Utility_DisplayArrayInTable(SourceData_Feedlot.SourceData_Feedlot_MCF_Data(), Table_SourceData_Feedlot_MCF[[#Headers],[Treatment stage T]], 0)</f>
        <v>0</v>
      </c>
      <c r="H92" s="37" cm="1">
        <f t="array" ref="H92">Common_InputFunctions.Utility_DisplayArrayInTable(SourceData_Feedlot.SourceData_Feedlot_MCF_Data(), Table_SourceData_Feedlot_MCF[[#Headers],[Treatment stage T]], 0)</f>
        <v>0</v>
      </c>
      <c r="I92" s="37" cm="1">
        <f t="array" ref="I92">Common_InputFunctions.Utility_DisplayArrayInTable(SourceData_Feedlot.SourceData_Feedlot_MCF_Data(), Table_SourceData_Feedlot_MCF[[#Headers],[Treatment stage T]], 0)</f>
        <v>0</v>
      </c>
      <c r="J92" s="37" cm="1">
        <f t="array" ref="J92">Common_InputFunctions.Utility_DisplayArrayInTable(SourceData_Feedlot.SourceData_Feedlot_MCF_Data(), Table_SourceData_Feedlot_MCF[[#Headers],[Treatment stage T]], 0)</f>
        <v>0</v>
      </c>
      <c r="K92" s="37" cm="1">
        <f t="array" ref="K92">Common_InputFunctions.Utility_DisplayArrayInTable(SourceData_Feedlot.SourceData_Feedlot_MCF_Data(), Table_SourceData_Feedlot_MCF[[#Headers],[Treatment stage T]], 0)</f>
        <v>0</v>
      </c>
      <c r="L92" s="37" cm="1">
        <f t="array" ref="L92">Common_InputFunctions.Utility_DisplayArrayInTable(SourceData_Feedlot.SourceData_Feedlot_MCF_Data(), Table_SourceData_Feedlot_MCF[[#Headers],[Treatment stage T]], 0)</f>
        <v>0</v>
      </c>
      <c r="M92" s="37" cm="1">
        <f t="array" ref="M92">Common_InputFunctions.Utility_DisplayArrayInTable(SourceData_Feedlot.SourceData_Feedlot_MCF_Data(), Table_SourceData_Feedlot_MCF[[#Headers],[Treatment stage T]], 0)</f>
        <v>0</v>
      </c>
      <c r="N92" s="37" t="str" cm="1">
        <f t="array" ref="N92">Common_InputFunctions.Utility_DisplayArrayInTable(SourceData_Feedlot.SourceData_Feedlot_MCF_Data(), Table_SourceData_Feedlot_MCF[[#Headers],[Treatment stage T]], 0)</f>
        <v>Direct application</v>
      </c>
    </row>
    <row r="93" spans="4:14" ht="20.100000000000001" customHeight="1" x14ac:dyDescent="0.25">
      <c r="D93" s="1" t="str" cm="1">
        <f t="array" ref="D93">Common_InputFunctions.Utility_DisplayArrayInTable(SourceData_Feedlot.SourceData_Feedlot_MCF_Data(), Table_SourceData_Feedlot_MCF[[#Headers],[Treatment stage T]], 0)</f>
        <v>Tertiary</v>
      </c>
      <c r="E93" s="37" t="str" cm="1">
        <f t="array" ref="E93">Common_InputFunctions.Utility_DisplayArrayInTable(SourceData_Feedlot.SourceData_Feedlot_MCF_Data(), Table_SourceData_Feedlot_MCF[[#Headers],[Treatment stage T]], 0)</f>
        <v>Uncovered anaerobic lagoon (Effluent pond)</v>
      </c>
      <c r="F93" s="37" cm="1">
        <f t="array" ref="F93">Common_InputFunctions.Utility_DisplayArrayInTable(SourceData_Feedlot.SourceData_Feedlot_MCF_Data(), Table_SourceData_Feedlot_MCF[[#Headers],[Treatment stage T]], 0)</f>
        <v>0.75</v>
      </c>
      <c r="G93" s="37" cm="1">
        <f t="array" ref="G93">Common_InputFunctions.Utility_DisplayArrayInTable(SourceData_Feedlot.SourceData_Feedlot_MCF_Data(), Table_SourceData_Feedlot_MCF[[#Headers],[Treatment stage T]], 0)</f>
        <v>0.75</v>
      </c>
      <c r="H93" s="37" cm="1">
        <f t="array" ref="H93">Common_InputFunctions.Utility_DisplayArrayInTable(SourceData_Feedlot.SourceData_Feedlot_MCF_Data(), Table_SourceData_Feedlot_MCF[[#Headers],[Treatment stage T]], 0)</f>
        <v>0.77</v>
      </c>
      <c r="I93" s="37" cm="1">
        <f t="array" ref="I93">Common_InputFunctions.Utility_DisplayArrayInTable(SourceData_Feedlot.SourceData_Feedlot_MCF_Data(), Table_SourceData_Feedlot_MCF[[#Headers],[Treatment stage T]], 0)</f>
        <v>0.77</v>
      </c>
      <c r="J93" s="37" cm="1">
        <f t="array" ref="J93">Common_InputFunctions.Utility_DisplayArrayInTable(SourceData_Feedlot.SourceData_Feedlot_MCF_Data(), Table_SourceData_Feedlot_MCF[[#Headers],[Treatment stage T]], 0)</f>
        <v>0.75</v>
      </c>
      <c r="K93" s="37" cm="1">
        <f t="array" ref="K93">Common_InputFunctions.Utility_DisplayArrayInTable(SourceData_Feedlot.SourceData_Feedlot_MCF_Data(), Table_SourceData_Feedlot_MCF[[#Headers],[Treatment stage T]], 0)</f>
        <v>0.75</v>
      </c>
      <c r="L93" s="37" cm="1">
        <f t="array" ref="L93">Common_InputFunctions.Utility_DisplayArrayInTable(SourceData_Feedlot.SourceData_Feedlot_MCF_Data(), Table_SourceData_Feedlot_MCF[[#Headers],[Treatment stage T]], 0)</f>
        <v>0.77</v>
      </c>
      <c r="M93" s="37" cm="1">
        <f t="array" ref="M93">Common_InputFunctions.Utility_DisplayArrayInTable(SourceData_Feedlot.SourceData_Feedlot_MCF_Data(), Table_SourceData_Feedlot_MCF[[#Headers],[Treatment stage T]], 0)</f>
        <v>0.75</v>
      </c>
      <c r="N93" s="37" t="str" cm="1">
        <f t="array" ref="N93">Common_InputFunctions.Utility_DisplayArrayInTable(SourceData_Feedlot.SourceData_Feedlot_MCF_Data(), Table_SourceData_Feedlot_MCF[[#Headers],[Treatment stage T]], 0)</f>
        <v>Anaerobic lagoon</v>
      </c>
    </row>
    <row r="94" spans="4:14" ht="20.100000000000001" customHeight="1" x14ac:dyDescent="0.25">
      <c r="M94" s="24"/>
    </row>
    <row r="95" spans="4:14" ht="20.100000000000001" customHeight="1" x14ac:dyDescent="0.25">
      <c r="M95" s="24"/>
    </row>
    <row r="96" spans="4:14" ht="20.100000000000001" customHeight="1" x14ac:dyDescent="0.25">
      <c r="D96" s="6" t="str" cm="1">
        <f t="array" ref="D96">SourceData_Feedlot.SourceData_Feedlot_NitrousOxideEFs_Title()</f>
        <v>Feedlot - Nitrous oxide EFs</v>
      </c>
      <c r="M96" s="24"/>
    </row>
    <row r="97" spans="4:14" ht="20.100000000000001" customHeight="1" x14ac:dyDescent="0.25">
      <c r="D97" s="5" t="str" cm="1">
        <f t="array" ref="D97">SourceData_Feedlot.SourceData_Feedlot_NitrousOxideEFs_Source()</f>
        <v>VEERG 2026: Table A.1.1.5: Beef feedlot cattle - Nitrous oxide EFs (EFmT)</v>
      </c>
      <c r="M97" s="24"/>
    </row>
    <row r="98" spans="4:14" ht="20.100000000000001" customHeight="1" x14ac:dyDescent="0.25">
      <c r="D98" s="53" t="str" cm="1">
        <f t="array" ref="D98:D99">SourceData_Feedlot.SourceData_Feedlot_NitrousOxideEFs_Variation()</f>
        <v>VARIATION ON SOURCE:</v>
      </c>
      <c r="M98" s="24"/>
    </row>
    <row r="99" spans="4:14" ht="20.100000000000001" customHeight="1" x14ac:dyDescent="0.25">
      <c r="D99" s="53" t="str">
        <v>Added 'NIR definition' column with MMS names that match NIR definitions.</v>
      </c>
      <c r="M99" s="24"/>
    </row>
    <row r="100" spans="4:14" ht="20.100000000000001" customHeight="1" x14ac:dyDescent="0.25">
      <c r="D100" s="37" t="s">
        <v>82</v>
      </c>
      <c r="E100" s="37" t="s">
        <v>80</v>
      </c>
      <c r="F100" s="37" t="s">
        <v>104</v>
      </c>
      <c r="G100" s="37" t="s">
        <v>78</v>
      </c>
      <c r="M100" s="1"/>
      <c r="N100" s="24"/>
    </row>
    <row r="101" spans="4:14" ht="20.100000000000001" customHeight="1" x14ac:dyDescent="0.25">
      <c r="D101" s="37" t="str" cm="1">
        <f t="array" ref="D101">Common_InputFunctions.Utility_DisplayArrayInTable(SourceData_Feedlot.SourceData_Feedlot_NitrousOxideEFs_Data(), Table_SourceData_Feedlot_NO2EFs[[#Headers],[Treatment stage T]], 0)</f>
        <v>Primary</v>
      </c>
      <c r="E101" s="37" t="str" cm="1">
        <f t="array" ref="E101">Common_InputFunctions.Utility_DisplayArrayInTable(SourceData_Feedlot.SourceData_Feedlot_NitrousOxideEFs_Data(), Table_SourceData_Feedlot_NO2EFs[[#Headers],[Treatment stage T]], 0)</f>
        <v>Dry lot (Feedpad)</v>
      </c>
      <c r="F101" s="37" cm="1">
        <f t="array" ref="F101">Common_InputFunctions.Utility_DisplayArrayInTable(SourceData_Feedlot.SourceData_Feedlot_NitrousOxideEFs_Data(), Table_SourceData_Feedlot_NO2EFs[[#Headers],[Treatment stage T]], 0)</f>
        <v>5.4000000000000003E-3</v>
      </c>
      <c r="G101" s="37" t="str" cm="1">
        <f t="array" ref="G101">Common_InputFunctions.Utility_DisplayArrayInTable(SourceData_Feedlot.SourceData_Feedlot_NitrousOxideEFs_Data(), Table_SourceData_Feedlot_NO2EFs[[#Headers],[Treatment stage T]], 0)</f>
        <v>Drylot (feed pad)</v>
      </c>
      <c r="M101" s="1"/>
      <c r="N101" s="24"/>
    </row>
    <row r="102" spans="4:14" ht="20.100000000000001" customHeight="1" x14ac:dyDescent="0.25">
      <c r="D102" s="1" t="str" cm="1">
        <f t="array" ref="D102">Common_InputFunctions.Utility_DisplayArrayInTable(SourceData_Feedlot.SourceData_Feedlot_NitrousOxideEFs_Data(), Table_SourceData_Feedlot_NO2EFs[[#Headers],[Treatment stage T]], 0)</f>
        <v>Secondary</v>
      </c>
      <c r="E102" s="37" t="str" cm="1">
        <f t="array" ref="E102">Common_InputFunctions.Utility_DisplayArrayInTable(SourceData_Feedlot.SourceData_Feedlot_NitrousOxideEFs_Data(), Table_SourceData_Feedlot_NO2EFs[[#Headers],[Treatment stage T]], 0)</f>
        <v>Solid Storage (Stockpile)</v>
      </c>
      <c r="F102" s="37" cm="1">
        <f t="array" ref="F102">Common_InputFunctions.Utility_DisplayArrayInTable(SourceData_Feedlot.SourceData_Feedlot_NitrousOxideEFs_Data(), Table_SourceData_Feedlot_NO2EFs[[#Headers],[Treatment stage T]], 0)</f>
        <v>5.0000000000000001E-3</v>
      </c>
      <c r="G102" s="37" t="str" cm="1">
        <f t="array" ref="G102">Common_InputFunctions.Utility_DisplayArrayInTable(SourceData_Feedlot.SourceData_Feedlot_NitrousOxideEFs_Data(), Table_SourceData_Feedlot_NO2EFs[[#Headers],[Treatment stage T]], 0)</f>
        <v>Solid storage</v>
      </c>
      <c r="M102" s="1"/>
      <c r="N102" s="24"/>
    </row>
    <row r="103" spans="4:14" ht="20.100000000000001" customHeight="1" x14ac:dyDescent="0.25">
      <c r="D103" s="1" t="str" cm="1">
        <f t="array" ref="D103">Common_InputFunctions.Utility_DisplayArrayInTable(SourceData_Feedlot.SourceData_Feedlot_NitrousOxideEFs_Data(), Table_SourceData_Feedlot_NO2EFs[[#Headers],[Treatment stage T]], 0)</f>
        <v>Secondary</v>
      </c>
      <c r="E103" s="37" t="str" cm="1">
        <f t="array" ref="E103">Common_InputFunctions.Utility_DisplayArrayInTable(SourceData_Feedlot.SourceData_Feedlot_NitrousOxideEFs_Data(), Table_SourceData_Feedlot_NO2EFs[[#Headers],[Treatment stage T]], 0)</f>
        <v>Composting (Passive Windrow)</v>
      </c>
      <c r="F103" s="37" cm="1">
        <f t="array" ref="F103">Common_InputFunctions.Utility_DisplayArrayInTable(SourceData_Feedlot.SourceData_Feedlot_NitrousOxideEFs_Data(), Table_SourceData_Feedlot_NO2EFs[[#Headers],[Treatment stage T]], 0)</f>
        <v>0.01</v>
      </c>
      <c r="G103" s="37" t="str" cm="1">
        <f t="array" ref="G103">Common_InputFunctions.Utility_DisplayArrayInTable(SourceData_Feedlot.SourceData_Feedlot_NitrousOxideEFs_Data(), Table_SourceData_Feedlot_NO2EFs[[#Headers],[Treatment stage T]], 0)</f>
        <v>Composting (passive windrow)</v>
      </c>
      <c r="M103" s="24"/>
    </row>
    <row r="104" spans="4:14" ht="20.100000000000001" customHeight="1" x14ac:dyDescent="0.25">
      <c r="D104" s="1" t="str" cm="1">
        <f t="array" ref="D104">Common_InputFunctions.Utility_DisplayArrayInTable(SourceData_Feedlot.SourceData_Feedlot_NitrousOxideEFs_Data(), Table_SourceData_Feedlot_NO2EFs[[#Headers],[Treatment stage T]], 0)</f>
        <v>Secondary</v>
      </c>
      <c r="E104" s="37" t="str" cm="1">
        <f t="array" ref="E104">Common_InputFunctions.Utility_DisplayArrayInTable(SourceData_Feedlot.SourceData_Feedlot_NitrousOxideEFs_Data(), Table_SourceData_Feedlot_NO2EFs[[#Headers],[Treatment stage T]], 0)</f>
        <v>Direct Application to soil</v>
      </c>
      <c r="F104" s="37" cm="1">
        <f t="array" ref="F104">Common_InputFunctions.Utility_DisplayArrayInTable(SourceData_Feedlot.SourceData_Feedlot_NitrousOxideEFs_Data(), Table_SourceData_Feedlot_NO2EFs[[#Headers],[Treatment stage T]], 0)</f>
        <v>0</v>
      </c>
      <c r="G104" s="37" t="str" cm="1">
        <f t="array" ref="G104">Common_InputFunctions.Utility_DisplayArrayInTable(SourceData_Feedlot.SourceData_Feedlot_NitrousOxideEFs_Data(), Table_SourceData_Feedlot_NO2EFs[[#Headers],[Treatment stage T]], 0)</f>
        <v>Direct application</v>
      </c>
      <c r="M104" s="24"/>
    </row>
    <row r="105" spans="4:14" ht="20.100000000000001" customHeight="1" x14ac:dyDescent="0.25">
      <c r="D105" s="1" t="str" cm="1">
        <f t="array" ref="D105">Common_InputFunctions.Utility_DisplayArrayInTable(SourceData_Feedlot.SourceData_Feedlot_NitrousOxideEFs_Data(), Table_SourceData_Feedlot_NO2EFs[[#Headers],[Treatment stage T]], 0)</f>
        <v>Tertiary</v>
      </c>
      <c r="E105" s="37" t="str" cm="1">
        <f t="array" ref="E105">Common_InputFunctions.Utility_DisplayArrayInTable(SourceData_Feedlot.SourceData_Feedlot_NitrousOxideEFs_Data(), Table_SourceData_Feedlot_NO2EFs[[#Headers],[Treatment stage T]], 0)</f>
        <v>Uncovered anaerobic lagoon (Effluent Pond)</v>
      </c>
      <c r="F105" s="37" cm="1">
        <f t="array" ref="F105">Common_InputFunctions.Utility_DisplayArrayInTable(SourceData_Feedlot.SourceData_Feedlot_NitrousOxideEFs_Data(), Table_SourceData_Feedlot_NO2EFs[[#Headers],[Treatment stage T]], 0)</f>
        <v>0</v>
      </c>
      <c r="G105" s="37" t="str" cm="1">
        <f t="array" ref="G105">Common_InputFunctions.Utility_DisplayArrayInTable(SourceData_Feedlot.SourceData_Feedlot_NitrousOxideEFs_Data(), Table_SourceData_Feedlot_NO2EFs[[#Headers],[Treatment stage T]], 0)</f>
        <v>Anaerobic lagoon</v>
      </c>
      <c r="M105" s="24"/>
    </row>
    <row r="106" spans="4:14" ht="20.100000000000001" customHeight="1" x14ac:dyDescent="0.25">
      <c r="M106" s="24"/>
    </row>
    <row r="107" spans="4:14" ht="20.100000000000001" customHeight="1" x14ac:dyDescent="0.25">
      <c r="M107" s="24"/>
    </row>
    <row r="108" spans="4:14" ht="20.100000000000001" customHeight="1" x14ac:dyDescent="0.25">
      <c r="D108" s="6" t="str" cm="1">
        <f t="array" ref="D108">SourceData_Feedlot.SourceData_Feedlot_FracNVolatilised_Title()</f>
        <v>Feedlot - Fraction of N volatilised by MMS (FracGASMmT)</v>
      </c>
      <c r="M108" s="24"/>
    </row>
    <row r="109" spans="4:14" ht="20.100000000000001" customHeight="1" x14ac:dyDescent="0.25">
      <c r="D109" s="5" t="str" cm="1">
        <f t="array" ref="D109">SourceData_Feedlot.SourceData_Feedlot_FracNVolatilised_Source()</f>
        <v>VEERG 2026: Table A.1.1.6: Beef feedlot cattle - Fraction of N volatilised by MMS (FracGASMmT)</v>
      </c>
      <c r="M109" s="24"/>
    </row>
    <row r="110" spans="4:14" ht="20.100000000000001" customHeight="1" x14ac:dyDescent="0.25">
      <c r="D110" s="53" t="str" cm="1">
        <f t="array" ref="D110:D111">SourceData_Feedlot.SourceData_Feedlot_FracNVolatilised_Variation()</f>
        <v>VARIATION ON SOURCE:</v>
      </c>
      <c r="M110" s="24"/>
    </row>
    <row r="111" spans="4:14" ht="20.100000000000001" customHeight="1" x14ac:dyDescent="0.25">
      <c r="D111" s="53" t="str">
        <v>Added 'NIR definition' column with MMS names that match NIR definitions.</v>
      </c>
      <c r="M111" s="24"/>
    </row>
    <row r="112" spans="4:14" ht="20.100000000000001" customHeight="1" x14ac:dyDescent="0.25">
      <c r="D112" s="95" t="s">
        <v>82</v>
      </c>
      <c r="E112" s="95" t="s">
        <v>80</v>
      </c>
      <c r="F112" s="95" t="s">
        <v>105</v>
      </c>
      <c r="G112" s="95" t="s">
        <v>78</v>
      </c>
      <c r="M112" s="24"/>
    </row>
    <row r="113" spans="4:22" ht="20.100000000000001" customHeight="1" x14ac:dyDescent="0.25">
      <c r="D113" s="1" t="str" cm="1">
        <f t="array" ref="D113">Common_InputFunctions.Utility_DisplayArrayInTable(SourceData_Feedlot.SourceData_Feedlot_FracNVolatilised_Data(), Table_SourceData_Feedlot_FracGASMmT[[#Headers],[Treatment stage T]], 0)</f>
        <v>Primary</v>
      </c>
      <c r="E113" s="1" t="str" cm="1">
        <f t="array" ref="E113">Common_InputFunctions.Utility_DisplayArrayInTable(SourceData_Feedlot.SourceData_Feedlot_FracNVolatilised_Data(), Table_SourceData_Feedlot_FracGASMmT[[#Headers],[Treatment stage T]], 0)</f>
        <v>Dry lot (Feedpad)</v>
      </c>
      <c r="F113" s="1" cm="1">
        <f t="array" ref="F113">Common_InputFunctions.Utility_DisplayArrayInTable(SourceData_Feedlot.SourceData_Feedlot_FracNVolatilised_Data(), Table_SourceData_Feedlot_FracGASMmT[[#Headers],[Treatment stage T]], 0)</f>
        <v>0.6</v>
      </c>
      <c r="G113" s="1" t="str" cm="1">
        <f t="array" ref="G113">Common_InputFunctions.Utility_DisplayArrayInTable(SourceData_Feedlot.SourceData_Feedlot_FracNVolatilised_Data(), Table_SourceData_Feedlot_FracGASMmT[[#Headers],[Treatment stage T]], 0)</f>
        <v>Drylot (feed pad)</v>
      </c>
      <c r="M113" s="24"/>
    </row>
    <row r="114" spans="4:22" ht="20.100000000000001" customHeight="1" x14ac:dyDescent="0.25">
      <c r="D114" s="1" t="str" cm="1">
        <f t="array" ref="D114">Common_InputFunctions.Utility_DisplayArrayInTable(SourceData_Feedlot.SourceData_Feedlot_FracNVolatilised_Data(), Table_SourceData_Feedlot_FracGASMmT[[#Headers],[Treatment stage T]], 0)</f>
        <v>Secondary</v>
      </c>
      <c r="E114" s="1" t="str" cm="1">
        <f t="array" ref="E114">Common_InputFunctions.Utility_DisplayArrayInTable(SourceData_Feedlot.SourceData_Feedlot_FracNVolatilised_Data(), Table_SourceData_Feedlot_FracGASMmT[[#Headers],[Treatment stage T]], 0)</f>
        <v>Solid Storage (Stockpile)</v>
      </c>
      <c r="F114" s="1" cm="1">
        <f t="array" ref="F114">Common_InputFunctions.Utility_DisplayArrayInTable(SourceData_Feedlot.SourceData_Feedlot_FracNVolatilised_Data(), Table_SourceData_Feedlot_FracGASMmT[[#Headers],[Treatment stage T]], 0)</f>
        <v>0.25</v>
      </c>
      <c r="G114" s="1" t="str" cm="1">
        <f t="array" ref="G114">Common_InputFunctions.Utility_DisplayArrayInTable(SourceData_Feedlot.SourceData_Feedlot_FracNVolatilised_Data(), Table_SourceData_Feedlot_FracGASMmT[[#Headers],[Treatment stage T]], 0)</f>
        <v>Solid storage</v>
      </c>
      <c r="M114" s="24"/>
    </row>
    <row r="115" spans="4:22" ht="20.100000000000001" customHeight="1" x14ac:dyDescent="0.25">
      <c r="D115" s="1" t="str" cm="1">
        <f t="array" ref="D115">Common_InputFunctions.Utility_DisplayArrayInTable(SourceData_Feedlot.SourceData_Feedlot_FracNVolatilised_Data(), Table_SourceData_Feedlot_FracGASMmT[[#Headers],[Treatment stage T]], 0)</f>
        <v>Secondary</v>
      </c>
      <c r="E115" s="1" t="str" cm="1">
        <f t="array" ref="E115">Common_InputFunctions.Utility_DisplayArrayInTable(SourceData_Feedlot.SourceData_Feedlot_FracNVolatilised_Data(), Table_SourceData_Feedlot_FracGASMmT[[#Headers],[Treatment stage T]], 0)</f>
        <v>Composting (Passive Windrow)</v>
      </c>
      <c r="F115" s="1" cm="1">
        <f t="array" ref="F115">Common_InputFunctions.Utility_DisplayArrayInTable(SourceData_Feedlot.SourceData_Feedlot_FracNVolatilised_Data(), Table_SourceData_Feedlot_FracGASMmT[[#Headers],[Treatment stage T]], 0)</f>
        <v>0.4</v>
      </c>
      <c r="G115" s="1" t="str" cm="1">
        <f t="array" ref="G115">Common_InputFunctions.Utility_DisplayArrayInTable(SourceData_Feedlot.SourceData_Feedlot_FracNVolatilised_Data(), Table_SourceData_Feedlot_FracGASMmT[[#Headers],[Treatment stage T]], 0)</f>
        <v>Composting (passive windrow)</v>
      </c>
      <c r="M115" s="24"/>
      <c r="V115" s="1"/>
    </row>
    <row r="116" spans="4:22" ht="20.100000000000001" customHeight="1" x14ac:dyDescent="0.25">
      <c r="D116" s="1" t="str" cm="1">
        <f t="array" ref="D116">Common_InputFunctions.Utility_DisplayArrayInTable(SourceData_Feedlot.SourceData_Feedlot_FracNVolatilised_Data(), Table_SourceData_Feedlot_FracGASMmT[[#Headers],[Treatment stage T]], 0)</f>
        <v>Secondary</v>
      </c>
      <c r="E116" s="1" t="str" cm="1">
        <f t="array" ref="E116">Common_InputFunctions.Utility_DisplayArrayInTable(SourceData_Feedlot.SourceData_Feedlot_FracNVolatilised_Data(), Table_SourceData_Feedlot_FracGASMmT[[#Headers],[Treatment stage T]], 0)</f>
        <v>Direct Application to soil</v>
      </c>
      <c r="F116" s="1" cm="1">
        <f t="array" ref="F116">Common_InputFunctions.Utility_DisplayArrayInTable(SourceData_Feedlot.SourceData_Feedlot_FracNVolatilised_Data(), Table_SourceData_Feedlot_FracGASMmT[[#Headers],[Treatment stage T]], 0)</f>
        <v>0</v>
      </c>
      <c r="G116" s="1" t="str" cm="1">
        <f t="array" ref="G116">Common_InputFunctions.Utility_DisplayArrayInTable(SourceData_Feedlot.SourceData_Feedlot_FracNVolatilised_Data(), Table_SourceData_Feedlot_FracGASMmT[[#Headers],[Treatment stage T]], 0)</f>
        <v>Direct application</v>
      </c>
      <c r="M116" s="24"/>
      <c r="V116" s="1"/>
    </row>
    <row r="117" spans="4:22" ht="20.100000000000001" customHeight="1" x14ac:dyDescent="0.25">
      <c r="D117" s="1" t="str" cm="1">
        <f t="array" ref="D117">Common_InputFunctions.Utility_DisplayArrayInTable(SourceData_Feedlot.SourceData_Feedlot_FracNVolatilised_Data(), Table_SourceData_Feedlot_FracGASMmT[[#Headers],[Treatment stage T]], 0)</f>
        <v>Tertiary</v>
      </c>
      <c r="E117" s="1" t="str" cm="1">
        <f t="array" ref="E117">Common_InputFunctions.Utility_DisplayArrayInTable(SourceData_Feedlot.SourceData_Feedlot_FracNVolatilised_Data(), Table_SourceData_Feedlot_FracGASMmT[[#Headers],[Treatment stage T]], 0)</f>
        <v>Uncovered anaerobic lagoon (Effluent pond)</v>
      </c>
      <c r="F117" s="1" cm="1">
        <f t="array" ref="F117">Common_InputFunctions.Utility_DisplayArrayInTable(SourceData_Feedlot.SourceData_Feedlot_FracNVolatilised_Data(), Table_SourceData_Feedlot_FracGASMmT[[#Headers],[Treatment stage T]], 0)</f>
        <v>0.35</v>
      </c>
      <c r="G117" s="1" t="str" cm="1">
        <f t="array" ref="G117">Common_InputFunctions.Utility_DisplayArrayInTable(SourceData_Feedlot.SourceData_Feedlot_FracNVolatilised_Data(), Table_SourceData_Feedlot_FracGASMmT[[#Headers],[Treatment stage T]], 0)</f>
        <v>Anaerobic lagoon</v>
      </c>
      <c r="M117" s="24"/>
      <c r="V117" s="1"/>
    </row>
    <row r="118" spans="4:22" ht="20.100000000000001" customHeight="1" x14ac:dyDescent="0.25">
      <c r="M118" s="24"/>
    </row>
    <row r="119" spans="4:22" ht="20.100000000000001" customHeight="1" x14ac:dyDescent="0.25">
      <c r="M119" s="24"/>
    </row>
    <row r="120" spans="4:22" ht="20.100000000000001" customHeight="1" x14ac:dyDescent="0.25">
      <c r="M120" s="24"/>
    </row>
    <row r="121" spans="4:22" ht="20.100000000000001" customHeight="1" x14ac:dyDescent="0.25">
      <c r="M121" s="24"/>
    </row>
    <row r="122" spans="4:22" ht="20.100000000000001" customHeight="1" x14ac:dyDescent="0.25">
      <c r="M122" s="24"/>
    </row>
    <row r="123" spans="4:22" ht="20.100000000000001" customHeight="1" x14ac:dyDescent="0.25">
      <c r="M123" s="24"/>
    </row>
    <row r="124" spans="4:22" ht="20.100000000000001" customHeight="1" x14ac:dyDescent="0.25">
      <c r="M124" s="24"/>
    </row>
    <row r="125" spans="4:22" ht="20.100000000000001" customHeight="1" x14ac:dyDescent="0.25">
      <c r="M125" s="24"/>
    </row>
    <row r="126" spans="4:22" ht="20.100000000000001" customHeight="1" x14ac:dyDescent="0.25">
      <c r="M126" s="24"/>
    </row>
    <row r="127" spans="4:22" ht="20.100000000000001" customHeight="1" x14ac:dyDescent="0.25">
      <c r="M127" s="24"/>
    </row>
    <row r="128" spans="4:22" ht="20.100000000000001" customHeight="1" x14ac:dyDescent="0.25">
      <c r="M128" s="24"/>
    </row>
    <row r="129" spans="13:13" ht="20.100000000000001" customHeight="1" x14ac:dyDescent="0.25">
      <c r="M129" s="24"/>
    </row>
    <row r="130" spans="13:13" ht="20.100000000000001" customHeight="1" x14ac:dyDescent="0.25">
      <c r="M130" s="24"/>
    </row>
    <row r="131" spans="13:13" ht="20.100000000000001" customHeight="1" x14ac:dyDescent="0.25">
      <c r="M131" s="24"/>
    </row>
    <row r="132" spans="13:13" ht="20.100000000000001" customHeight="1" x14ac:dyDescent="0.25">
      <c r="M132" s="24"/>
    </row>
    <row r="133" spans="13:13" ht="20.100000000000001" customHeight="1" x14ac:dyDescent="0.25">
      <c r="M133" s="24"/>
    </row>
    <row r="134" spans="13:13" ht="20.100000000000001" customHeight="1" x14ac:dyDescent="0.25">
      <c r="M134" s="24"/>
    </row>
    <row r="135" spans="13:13" ht="20.100000000000001" customHeight="1" x14ac:dyDescent="0.25">
      <c r="M135" s="24"/>
    </row>
    <row r="136" spans="13:13" ht="20.100000000000001" customHeight="1" x14ac:dyDescent="0.25">
      <c r="M136" s="24"/>
    </row>
    <row r="137" spans="13:13" ht="20.100000000000001" customHeight="1" x14ac:dyDescent="0.25">
      <c r="M137" s="24"/>
    </row>
    <row r="138" spans="13:13" ht="20.100000000000001" customHeight="1" x14ac:dyDescent="0.25">
      <c r="M138" s="24"/>
    </row>
    <row r="139" spans="13:13" ht="20.100000000000001" customHeight="1" x14ac:dyDescent="0.25">
      <c r="M139" s="24"/>
    </row>
    <row r="140" spans="13:13" ht="20.100000000000001" customHeight="1" x14ac:dyDescent="0.25">
      <c r="M140" s="24"/>
    </row>
    <row r="141" spans="13:13" ht="20.100000000000001" customHeight="1" x14ac:dyDescent="0.25">
      <c r="M141" s="24"/>
    </row>
    <row r="142" spans="13:13" ht="20.100000000000001" customHeight="1" x14ac:dyDescent="0.25">
      <c r="M142" s="24"/>
    </row>
    <row r="143" spans="13:13" ht="20.100000000000001" customHeight="1" x14ac:dyDescent="0.25">
      <c r="M143" s="24"/>
    </row>
    <row r="144" spans="13:13" ht="20.100000000000001" customHeight="1" x14ac:dyDescent="0.25">
      <c r="M144" s="24"/>
    </row>
    <row r="145" spans="13:13" ht="20.100000000000001" customHeight="1" x14ac:dyDescent="0.25">
      <c r="M145" s="24"/>
    </row>
    <row r="146" spans="13:13" ht="20.100000000000001" customHeight="1" x14ac:dyDescent="0.25">
      <c r="M146" s="24"/>
    </row>
    <row r="147" spans="13:13" ht="20.100000000000001" customHeight="1" x14ac:dyDescent="0.25">
      <c r="M147" s="24"/>
    </row>
    <row r="148" spans="13:13" ht="20.100000000000001" customHeight="1" x14ac:dyDescent="0.25">
      <c r="M148" s="24"/>
    </row>
    <row r="149" spans="13:13" ht="20.100000000000001" customHeight="1" x14ac:dyDescent="0.25">
      <c r="M149" s="24"/>
    </row>
    <row r="150" spans="13:13" ht="20.100000000000001" customHeight="1" x14ac:dyDescent="0.25">
      <c r="M150" s="24"/>
    </row>
    <row r="151" spans="13:13" ht="20.100000000000001" customHeight="1" x14ac:dyDescent="0.25">
      <c r="M151" s="24"/>
    </row>
    <row r="152" spans="13:13" ht="20.100000000000001" customHeight="1" x14ac:dyDescent="0.25">
      <c r="M152" s="24"/>
    </row>
    <row r="153" spans="13:13" ht="20.100000000000001" customHeight="1" x14ac:dyDescent="0.25">
      <c r="M153" s="24"/>
    </row>
    <row r="154" spans="13:13" ht="20.100000000000001" customHeight="1" x14ac:dyDescent="0.25">
      <c r="M154" s="24"/>
    </row>
    <row r="155" spans="13:13" ht="20.100000000000001" customHeight="1" x14ac:dyDescent="0.25">
      <c r="M155" s="24"/>
    </row>
    <row r="156" spans="13:13" ht="20.100000000000001" customHeight="1" x14ac:dyDescent="0.25">
      <c r="M156" s="24"/>
    </row>
    <row r="157" spans="13:13" ht="20.100000000000001" customHeight="1" x14ac:dyDescent="0.25">
      <c r="M157" s="24"/>
    </row>
    <row r="158" spans="13:13" ht="20.100000000000001" customHeight="1" x14ac:dyDescent="0.25">
      <c r="M158" s="24"/>
    </row>
    <row r="159" spans="13:13" ht="20.100000000000001" customHeight="1" x14ac:dyDescent="0.25">
      <c r="M159" s="24"/>
    </row>
    <row r="160" spans="13:13" ht="20.100000000000001" customHeight="1" x14ac:dyDescent="0.25">
      <c r="M160" s="24"/>
    </row>
    <row r="161" spans="13:13" ht="20.100000000000001" customHeight="1" x14ac:dyDescent="0.25">
      <c r="M161" s="24"/>
    </row>
    <row r="162" spans="13:13" ht="20.100000000000001" customHeight="1" x14ac:dyDescent="0.25">
      <c r="M162" s="24"/>
    </row>
    <row r="163" spans="13:13" ht="20.100000000000001" customHeight="1" x14ac:dyDescent="0.25">
      <c r="M163" s="24"/>
    </row>
    <row r="164" spans="13:13" ht="20.100000000000001" customHeight="1" x14ac:dyDescent="0.25">
      <c r="M164" s="24"/>
    </row>
    <row r="165" spans="13:13" ht="20.100000000000001" customHeight="1" x14ac:dyDescent="0.25">
      <c r="M165" s="24"/>
    </row>
    <row r="166" spans="13:13" x14ac:dyDescent="0.25">
      <c r="M166" s="24"/>
    </row>
    <row r="167" spans="13:13" x14ac:dyDescent="0.25">
      <c r="M167" s="24"/>
    </row>
    <row r="168" spans="13:13" x14ac:dyDescent="0.25">
      <c r="M168" s="24"/>
    </row>
    <row r="169" spans="13:13" x14ac:dyDescent="0.25">
      <c r="M169" s="24"/>
    </row>
    <row r="170" spans="13:13" x14ac:dyDescent="0.25">
      <c r="M170" s="24"/>
    </row>
    <row r="171" spans="13:13" x14ac:dyDescent="0.25">
      <c r="M171" s="24"/>
    </row>
    <row r="172" spans="13:13" x14ac:dyDescent="0.25">
      <c r="M172" s="24"/>
    </row>
    <row r="173" spans="13:13" x14ac:dyDescent="0.25">
      <c r="M173" s="24"/>
    </row>
    <row r="174" spans="13:13" x14ac:dyDescent="0.25">
      <c r="M174" s="24"/>
    </row>
    <row r="175" spans="13:13" x14ac:dyDescent="0.25">
      <c r="M175" s="24"/>
    </row>
    <row r="176" spans="13:13" x14ac:dyDescent="0.25">
      <c r="M176" s="24"/>
    </row>
    <row r="177" spans="13:13" x14ac:dyDescent="0.25">
      <c r="M177" s="24"/>
    </row>
    <row r="178" spans="13:13" x14ac:dyDescent="0.25">
      <c r="M178" s="24"/>
    </row>
    <row r="179" spans="13:13" x14ac:dyDescent="0.25">
      <c r="M179" s="24"/>
    </row>
    <row r="180" spans="13:13" x14ac:dyDescent="0.25">
      <c r="M180" s="24"/>
    </row>
    <row r="181" spans="13:13" x14ac:dyDescent="0.25">
      <c r="M181" s="24"/>
    </row>
    <row r="182" spans="13:13" x14ac:dyDescent="0.25">
      <c r="M182" s="24"/>
    </row>
    <row r="183" spans="13:13" x14ac:dyDescent="0.25">
      <c r="M183" s="24"/>
    </row>
    <row r="184" spans="13:13" x14ac:dyDescent="0.25">
      <c r="M184" s="24"/>
    </row>
    <row r="185" spans="13:13" x14ac:dyDescent="0.25">
      <c r="M185" s="24"/>
    </row>
    <row r="186" spans="13:13" x14ac:dyDescent="0.25">
      <c r="M186" s="24"/>
    </row>
    <row r="187" spans="13:13" x14ac:dyDescent="0.25">
      <c r="M187" s="24"/>
    </row>
    <row r="188" spans="13:13" x14ac:dyDescent="0.25">
      <c r="M188" s="24"/>
    </row>
    <row r="189" spans="13:13" x14ac:dyDescent="0.25">
      <c r="M189" s="24"/>
    </row>
    <row r="190" spans="13:13" x14ac:dyDescent="0.25">
      <c r="M190" s="24"/>
    </row>
    <row r="191" spans="13:13" x14ac:dyDescent="0.25">
      <c r="M191" s="24"/>
    </row>
    <row r="192" spans="13:13" x14ac:dyDescent="0.25">
      <c r="M192" s="24"/>
    </row>
    <row r="193" spans="13:13" x14ac:dyDescent="0.25">
      <c r="M193" s="24"/>
    </row>
    <row r="194" spans="13:13" x14ac:dyDescent="0.25">
      <c r="M194" s="24"/>
    </row>
    <row r="195" spans="13:13" x14ac:dyDescent="0.25">
      <c r="M195" s="24"/>
    </row>
    <row r="196" spans="13:13" x14ac:dyDescent="0.25">
      <c r="M196" s="24"/>
    </row>
    <row r="197" spans="13:13" x14ac:dyDescent="0.25">
      <c r="M197" s="24"/>
    </row>
    <row r="198" spans="13:13" x14ac:dyDescent="0.25">
      <c r="M198" s="24"/>
    </row>
    <row r="199" spans="13:13" x14ac:dyDescent="0.25">
      <c r="M199" s="24"/>
    </row>
    <row r="200" spans="13:13" x14ac:dyDescent="0.25">
      <c r="M200" s="24"/>
    </row>
    <row r="201" spans="13:13" x14ac:dyDescent="0.25">
      <c r="M201" s="24"/>
    </row>
    <row r="202" spans="13:13" x14ac:dyDescent="0.25">
      <c r="M202" s="24"/>
    </row>
    <row r="203" spans="13:13" x14ac:dyDescent="0.25">
      <c r="M203" s="24"/>
    </row>
    <row r="204" spans="13:13" x14ac:dyDescent="0.25">
      <c r="M204" s="24"/>
    </row>
    <row r="205" spans="13:13" x14ac:dyDescent="0.25">
      <c r="M205" s="24"/>
    </row>
    <row r="206" spans="13:13" x14ac:dyDescent="0.25">
      <c r="M206" s="24"/>
    </row>
    <row r="207" spans="13:13" x14ac:dyDescent="0.25">
      <c r="M207" s="24"/>
    </row>
    <row r="208" spans="13:13" x14ac:dyDescent="0.25">
      <c r="M208" s="24"/>
    </row>
    <row r="209" spans="13:13" x14ac:dyDescent="0.25">
      <c r="M209" s="24"/>
    </row>
    <row r="210" spans="13:13" x14ac:dyDescent="0.25">
      <c r="M210" s="24"/>
    </row>
    <row r="211" spans="13:13" x14ac:dyDescent="0.25">
      <c r="M211" s="24"/>
    </row>
    <row r="212" spans="13:13" x14ac:dyDescent="0.25">
      <c r="M212" s="24"/>
    </row>
    <row r="213" spans="13:13" x14ac:dyDescent="0.25">
      <c r="M213" s="24"/>
    </row>
    <row r="214" spans="13:13" x14ac:dyDescent="0.25">
      <c r="M214" s="24"/>
    </row>
    <row r="215" spans="13:13" x14ac:dyDescent="0.25">
      <c r="M215" s="24"/>
    </row>
    <row r="216" spans="13:13" x14ac:dyDescent="0.25">
      <c r="M216" s="24"/>
    </row>
    <row r="217" spans="13:13" x14ac:dyDescent="0.25">
      <c r="M217" s="24"/>
    </row>
    <row r="218" spans="13:13" x14ac:dyDescent="0.25">
      <c r="M218" s="24"/>
    </row>
    <row r="219" spans="13:13" x14ac:dyDescent="0.25">
      <c r="M219" s="24"/>
    </row>
    <row r="220" spans="13:13" x14ac:dyDescent="0.25">
      <c r="M220" s="24"/>
    </row>
    <row r="221" spans="13:13" x14ac:dyDescent="0.25">
      <c r="M221" s="24"/>
    </row>
    <row r="222" spans="13:13" x14ac:dyDescent="0.25">
      <c r="M222" s="24"/>
    </row>
    <row r="223" spans="13:13" x14ac:dyDescent="0.25">
      <c r="M223" s="24"/>
    </row>
    <row r="224" spans="13:13" x14ac:dyDescent="0.25">
      <c r="M224" s="24"/>
    </row>
    <row r="225" spans="13:13" x14ac:dyDescent="0.25">
      <c r="M225" s="24"/>
    </row>
    <row r="226" spans="13:13" x14ac:dyDescent="0.25">
      <c r="M226" s="24"/>
    </row>
    <row r="227" spans="13:13" x14ac:dyDescent="0.25">
      <c r="M227" s="24"/>
    </row>
    <row r="228" spans="13:13" x14ac:dyDescent="0.25">
      <c r="M228" s="24"/>
    </row>
    <row r="229" spans="13:13" x14ac:dyDescent="0.25">
      <c r="M229" s="24"/>
    </row>
    <row r="230" spans="13:13" x14ac:dyDescent="0.25">
      <c r="M230" s="24"/>
    </row>
    <row r="231" spans="13:13" x14ac:dyDescent="0.25">
      <c r="M231" s="24"/>
    </row>
    <row r="232" spans="13:13" x14ac:dyDescent="0.25">
      <c r="M232" s="24"/>
    </row>
    <row r="233" spans="13:13" x14ac:dyDescent="0.25">
      <c r="M233" s="24"/>
    </row>
    <row r="234" spans="13:13" x14ac:dyDescent="0.25">
      <c r="M234" s="24"/>
    </row>
    <row r="235" spans="13:13" x14ac:dyDescent="0.25">
      <c r="M235" s="24"/>
    </row>
    <row r="236" spans="13:13" x14ac:dyDescent="0.25">
      <c r="M236" s="24"/>
    </row>
    <row r="237" spans="13:13" x14ac:dyDescent="0.25">
      <c r="M237" s="24"/>
    </row>
    <row r="238" spans="13:13" x14ac:dyDescent="0.25">
      <c r="M238" s="24"/>
    </row>
    <row r="239" spans="13:13" x14ac:dyDescent="0.25">
      <c r="M239" s="24"/>
    </row>
    <row r="240" spans="13: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96979-5D34-4A3F-9D02-E3A93F8DD388}">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59</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13</v>
      </c>
      <c r="E6" s="37" t="s">
        <v>14</v>
      </c>
      <c r="F6" s="37" t="s">
        <v>15</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16</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18</v>
      </c>
      <c r="E36" s="37" t="s">
        <v>19</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18</v>
      </c>
      <c r="E47" s="37" t="s">
        <v>21</v>
      </c>
      <c r="F47" s="37" t="s">
        <v>22</v>
      </c>
      <c r="G47" s="37" t="s">
        <v>23</v>
      </c>
      <c r="H47" s="37" t="s">
        <v>24</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8</v>
      </c>
      <c r="E63" s="37" t="s">
        <v>38</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8</v>
      </c>
      <c r="E89" s="37" t="s">
        <v>26</v>
      </c>
      <c r="F89" s="37" t="s">
        <v>27</v>
      </c>
      <c r="G89" s="37" t="s">
        <v>28</v>
      </c>
      <c r="H89" s="37" t="s">
        <v>29</v>
      </c>
      <c r="I89" s="37" t="s">
        <v>30</v>
      </c>
      <c r="J89" s="37" t="s">
        <v>31</v>
      </c>
      <c r="K89" s="37" t="s">
        <v>32</v>
      </c>
      <c r="L89" s="37" t="s">
        <v>33</v>
      </c>
      <c r="M89" s="37" t="s">
        <v>34</v>
      </c>
      <c r="N89" s="37" t="s">
        <v>35</v>
      </c>
      <c r="O89" s="37" t="s">
        <v>39</v>
      </c>
      <c r="P89" s="37" t="s">
        <v>36</v>
      </c>
      <c r="Q89" s="37" t="s">
        <v>40</v>
      </c>
      <c r="R89" s="37" t="s">
        <v>37</v>
      </c>
      <c r="S89" s="37" t="s">
        <v>41</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2" t="str" cm="1">
        <f t="array" ref="D99:D102">Common_SourceData.Common_SourceData_ClimateZones_Appendices()</f>
        <v>Note:</v>
      </c>
    </row>
    <row r="100" spans="4:20" ht="20.100000000000001" customHeight="1" x14ac:dyDescent="0.25">
      <c r="D100" s="52" t="str">
        <v>MAT = mean annual temperature</v>
      </c>
    </row>
    <row r="101" spans="4:20" ht="20.100000000000001" customHeight="1" x14ac:dyDescent="0.25">
      <c r="D101" s="52" t="str">
        <v>MAP = mean annual precipitation</v>
      </c>
    </row>
    <row r="102" spans="4:20" ht="20.100000000000001" customHeight="1" x14ac:dyDescent="0.25">
      <c r="D102" s="52" t="str">
        <v>PET = potential evapotranspiration</v>
      </c>
    </row>
    <row r="103" spans="4:20" ht="20.100000000000001" customHeight="1" x14ac:dyDescent="0.25">
      <c r="D103" s="52"/>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43</v>
      </c>
      <c r="E109" s="37" t="s">
        <v>26</v>
      </c>
      <c r="F109" s="37" t="s">
        <v>44</v>
      </c>
      <c r="G109" s="37" t="s">
        <v>45</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46</v>
      </c>
      <c r="E119" s="37" t="s">
        <v>47</v>
      </c>
      <c r="F119" s="37" t="s">
        <v>33</v>
      </c>
      <c r="G119" s="37" t="s">
        <v>34</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48</v>
      </c>
      <c r="E127" s="37" t="s">
        <v>49</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74</v>
      </c>
      <c r="E134" t="s">
        <v>75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132</v>
      </c>
      <c r="E142" s="37" t="s">
        <v>75</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51</v>
      </c>
      <c r="E153" s="37" t="s">
        <v>52</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7" t="s">
        <v>115</v>
      </c>
      <c r="E186" s="37" t="s">
        <v>116</v>
      </c>
      <c r="F186" s="37" t="s">
        <v>117</v>
      </c>
      <c r="G186" s="37" t="s">
        <v>118</v>
      </c>
      <c r="H186" s="37" t="s">
        <v>25</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7" t="s">
        <v>8</v>
      </c>
      <c r="E206" s="37" t="s">
        <v>133</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134</v>
      </c>
      <c r="E212" s="37" t="s">
        <v>135</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42</v>
      </c>
      <c r="E231" s="37" t="s">
        <v>145</v>
      </c>
      <c r="F231" s="36" t="s">
        <v>146</v>
      </c>
      <c r="G231" s="37" t="s">
        <v>147</v>
      </c>
      <c r="H231" s="37" t="s">
        <v>148</v>
      </c>
      <c r="I231" s="37" t="s">
        <v>149</v>
      </c>
      <c r="J231" s="37" t="s">
        <v>150</v>
      </c>
      <c r="K231" s="37" t="s">
        <v>151</v>
      </c>
      <c r="L231" s="37" t="s">
        <v>152</v>
      </c>
      <c r="M231" s="37" t="s">
        <v>153</v>
      </c>
      <c r="N231" s="37" t="s">
        <v>154</v>
      </c>
      <c r="O231" s="37" t="s">
        <v>155</v>
      </c>
      <c r="P231" s="37" t="s">
        <v>156</v>
      </c>
      <c r="Q231" s="37" t="s">
        <v>142</v>
      </c>
      <c r="R231" s="37" t="s">
        <v>157</v>
      </c>
      <c r="S231" s="37" t="s">
        <v>158</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7" t="s">
        <v>182</v>
      </c>
      <c r="E257" s="37" t="s">
        <v>183</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15" sqref="A15"/>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0" t="e" vm="1">
        <v>#VALUE!</v>
      </c>
      <c r="C1" s="8" t="s">
        <v>61</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Feedlot'!A1", "Feedlot")</f>
        <v>Feedlot</v>
      </c>
      <c r="D9" s="36" t="s">
        <v>62</v>
      </c>
      <c r="E9" s="37" t="s">
        <v>12</v>
      </c>
      <c r="F9" s="37" t="s">
        <v>63</v>
      </c>
      <c r="G9" s="3"/>
    </row>
    <row r="10" spans="1:13" ht="20.100000000000001" customHeight="1" x14ac:dyDescent="0.25">
      <c r="A10" s="17"/>
      <c r="D10" s="36" t="str" cm="1">
        <f t="array" ref="D10">Common_InputFunctions.Utility_DisplayArrayInTable(CommonLivestock_SourceData.SourceData_Livestock_Common_SymbolsMMS_Data(), Table_Data_MMSSymbols[[#Headers],[Symbol]], 0)</f>
        <v>1</v>
      </c>
      <c r="E10" s="36" t="str" cm="1">
        <f t="array" ref="E10">Common_InputFunctions.Utility_DisplayArrayInTable(CommonLivestock_SourceData.SourceData_Livestock_Common_SymbolsMMS_Data(), Table_Data_MMSSymbols[[#Headers],[Symbol]], 0)</f>
        <v>Anaerobic lagoon</v>
      </c>
      <c r="F10" s="36"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58</v>
      </c>
      <c r="D11" s="36" t="str" cm="1">
        <f t="array" ref="D11">Common_InputFunctions.Utility_DisplayArrayInTable(CommonLivestock_SourceData.SourceData_Livestock_Common_SymbolsMMS_Data(), Table_Data_MMSSymbols[[#Headers],[Symbol]], 0)</f>
        <v>2</v>
      </c>
      <c r="E11" s="36" t="str" cm="1">
        <f t="array" ref="E11">Common_InputFunctions.Utility_DisplayArrayInTable(CommonLivestock_SourceData.SourceData_Livestock_Common_SymbolsMMS_Data(), Table_Data_MMSSymbols[[#Headers],[Symbol]], 0)</f>
        <v>Liquid systems</v>
      </c>
      <c r="F11" s="36"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HYPERLINK("#'3.1.1.1-2 Enteric Methane'!A1", "3.1.1.1-2 Enteric Methane")</f>
        <v>3.1.1.1-2 Enteric Methane</v>
      </c>
      <c r="D12" s="37" t="str" cm="1">
        <f t="array" ref="D12">Common_InputFunctions.Utility_DisplayArrayInTable(CommonLivestock_SourceData.SourceData_Livestock_Common_SymbolsMMS_Data(), Table_Data_MMSSymbols[[#Headers],[Symbol]], 0)</f>
        <v>3</v>
      </c>
      <c r="E12" s="37" t="str" cm="1">
        <f t="array" ref="E12">Common_InputFunctions.Utility_DisplayArrayInTable(CommonLivestock_SourceData.SourceData_Livestock_Common_SymbolsMMS_Data(), Table_Data_MMSSymbols[[#Headers],[Symbol]], 0)</f>
        <v>Daily spread</v>
      </c>
      <c r="F12" s="37"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D13" s="37" t="str" cm="1">
        <f t="array" ref="D13">Common_InputFunctions.Utility_DisplayArrayInTable(CommonLivestock_SourceData.SourceData_Livestock_Common_SymbolsMMS_Data(), Table_Data_MMSSymbols[[#Headers],[Symbol]], 0)</f>
        <v>3a</v>
      </c>
      <c r="E13" s="37" t="str" cm="1">
        <f t="array" ref="E13">Common_InputFunctions.Utility_DisplayArrayInTable(CommonLivestock_SourceData.SourceData_Livestock_Common_SymbolsMMS_Data(), Table_Data_MMSSymbols[[#Headers],[Symbol]], 0)</f>
        <v>Sump and dispersal system</v>
      </c>
      <c r="F13" s="37"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8" t="s">
        <v>4</v>
      </c>
      <c r="D14" s="37" t="str" cm="1">
        <f t="array" ref="D14">Common_InputFunctions.Utility_DisplayArrayInTable(CommonLivestock_SourceData.SourceData_Livestock_Common_SymbolsMMS_Data(), Table_Data_MMSSymbols[[#Headers],[Symbol]], 0)</f>
        <v>3b</v>
      </c>
      <c r="E14" s="37" t="str" cm="1">
        <f t="array" ref="E14">Common_InputFunctions.Utility_DisplayArrayInTable(CommonLivestock_SourceData.SourceData_Livestock_Common_SymbolsMMS_Data(), Table_Data_MMSSymbols[[#Headers],[Symbol]], 0)</f>
        <v>Drains to paddock</v>
      </c>
      <c r="F14" s="37"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HYPERLINK("#'Constants - Feedlot'!A1", "Constants - Feedlot")</f>
        <v>Constants - Feedlot</v>
      </c>
      <c r="D15" s="37" t="str" cm="1">
        <f t="array" ref="D15">Common_InputFunctions.Utility_DisplayArrayInTable(CommonLivestock_SourceData.SourceData_Livestock_Common_SymbolsMMS_Data(), Table_Data_MMSSymbols[[#Headers],[Symbol]], 0)</f>
        <v>4</v>
      </c>
      <c r="E15" s="37" t="str" cm="1">
        <f t="array" ref="E15">Common_InputFunctions.Utility_DisplayArrayInTable(CommonLivestock_SourceData.SourceData_Livestock_Common_SymbolsMMS_Data(), Table_Data_MMSSymbols[[#Headers],[Symbol]], 0)</f>
        <v>Solid storage</v>
      </c>
      <c r="F15" s="37"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64" t="str">
        <f>HYPERLINK("#'Constants - Livestock'!A1", "Constants - Livestock")</f>
        <v>Constants - Livestock</v>
      </c>
      <c r="D16" s="37" t="str" cm="1">
        <f t="array" ref="D16">Common_InputFunctions.Utility_DisplayArrayInTable(CommonLivestock_SourceData.SourceData_Livestock_Common_SymbolsMMS_Data(), Table_Data_MMSSymbols[[#Headers],[Symbol]], 0)</f>
        <v>5</v>
      </c>
      <c r="E16" s="37" t="str" cm="1">
        <f t="array" ref="E16">Common_InputFunctions.Utility_DisplayArrayInTable(CommonLivestock_SourceData.SourceData_Livestock_Common_SymbolsMMS_Data(), Table_Data_MMSSymbols[[#Headers],[Symbol]], 0)</f>
        <v>Drylot (feed pad)</v>
      </c>
      <c r="F16" s="37"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HYPERLINK("#'Constants - Common'!A1", "Constants - Common")</f>
        <v>Constants - Common</v>
      </c>
      <c r="D17" s="37" t="str" cm="1">
        <f t="array" ref="D17">Common_InputFunctions.Utility_DisplayArrayInTable(CommonLivestock_SourceData.SourceData_Livestock_Common_SymbolsMMS_Data(), Table_Data_MMSSymbols[[#Headers],[Symbol]], 0)</f>
        <v>6</v>
      </c>
      <c r="E17" s="37" t="str" cm="1">
        <f t="array" ref="E17">Common_InputFunctions.Utility_DisplayArrayInTable(CommonLivestock_SourceData.SourceData_Livestock_Common_SymbolsMMS_Data(), Table_Data_MMSSymbols[[#Headers],[Symbol]], 0)</f>
        <v>Composting (passive windrow)</v>
      </c>
      <c r="F17" s="37"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HYPERLINK("#'Acknowledgements'!A1", "Acknowledgements")</f>
        <v>Acknowledgements</v>
      </c>
      <c r="D18" s="37" t="str" cm="1">
        <f t="array" ref="D18">Common_InputFunctions.Utility_DisplayArrayInTable(CommonLivestock_SourceData.SourceData_Livestock_Common_SymbolsMMS_Data(), Table_Data_MMSSymbols[[#Headers],[Symbol]], 0)</f>
        <v>7</v>
      </c>
      <c r="E18" s="37" t="str" cm="1">
        <f t="array" ref="E18">Common_InputFunctions.Utility_DisplayArrayInTable(CommonLivestock_SourceData.SourceData_Livestock_Common_SymbolsMMS_Data(), Table_Data_MMSSymbols[[#Headers],[Symbol]], 0)</f>
        <v>Digester / covered lagoons</v>
      </c>
      <c r="F18" s="37"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D19" s="37" t="str" cm="1">
        <f t="array" ref="D19">Common_InputFunctions.Utility_DisplayArrayInTable(CommonLivestock_SourceData.SourceData_Livestock_Common_SymbolsMMS_Data(), Table_Data_MMSSymbols[[#Headers],[Symbol]], 0)</f>
        <v>8</v>
      </c>
      <c r="E19" s="37" t="str" cm="1">
        <f t="array" ref="E19">Common_InputFunctions.Utility_DisplayArrayInTable(CommonLivestock_SourceData.SourceData_Livestock_Common_SymbolsMMS_Data(), Table_Data_MMSSymbols[[#Headers],[Symbol]], 0)</f>
        <v>Deep litter</v>
      </c>
      <c r="F19" s="37"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D20" s="37" t="str" cm="1">
        <f t="array" ref="D20">Common_InputFunctions.Utility_DisplayArrayInTable(CommonLivestock_SourceData.SourceData_Livestock_Common_SymbolsMMS_Data(), Table_Data_MMSSymbols[[#Headers],[Symbol]], 0)</f>
        <v>9</v>
      </c>
      <c r="E20" s="37" t="str" cm="1">
        <f t="array" ref="E20">Common_InputFunctions.Utility_DisplayArrayInTable(CommonLivestock_SourceData.SourceData_Livestock_Common_SymbolsMMS_Data(), Table_Data_MMSSymbols[[#Headers],[Symbol]], 0)</f>
        <v>Pit storage</v>
      </c>
      <c r="F20" s="37"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c r="D21" s="37" t="str" cm="1">
        <f t="array" ref="D21">Common_InputFunctions.Utility_DisplayArrayInTable(CommonLivestock_SourceData.SourceData_Livestock_Common_SymbolsMMS_Data(), Table_Data_MMSSymbols[[#Headers],[Symbol]], 0)</f>
        <v>10</v>
      </c>
      <c r="E21" s="37" t="str" cm="1">
        <f t="array" ref="E21">Common_InputFunctions.Utility_DisplayArrayInTable(CommonLivestock_SourceData.SourceData_Livestock_Common_SymbolsMMS_Data(), Table_Data_MMSSymbols[[#Headers],[Symbol]], 0)</f>
        <v>Poultry manure with bedding</v>
      </c>
      <c r="F21" s="37"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7" t="str" cm="1">
        <f t="array" ref="D22">Common_InputFunctions.Utility_DisplayArrayInTable(CommonLivestock_SourceData.SourceData_Livestock_Common_SymbolsMMS_Data(), Table_Data_MMSSymbols[[#Headers],[Symbol]], 0)</f>
        <v>11</v>
      </c>
      <c r="E22" s="37" t="str" cm="1">
        <f t="array" ref="E22">Common_InputFunctions.Utility_DisplayArrayInTable(CommonLivestock_SourceData.SourceData_Livestock_Common_SymbolsMMS_Data(), Table_Data_MMSSymbols[[#Headers],[Symbol]], 0)</f>
        <v>Poultry manure without bedding</v>
      </c>
      <c r="F22" s="37"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7" t="str" cm="1">
        <f t="array" ref="D23">Common_InputFunctions.Utility_DisplayArrayInTable(CommonLivestock_SourceData.SourceData_Livestock_Common_SymbolsMMS_Data(), Table_Data_MMSSymbols[[#Headers],[Symbol]], 0)</f>
        <v>11a</v>
      </c>
      <c r="E23" s="37" t="str" cm="1">
        <f t="array" ref="E23">Common_InputFunctions.Utility_DisplayArrayInTable(CommonLivestock_SourceData.SourceData_Livestock_Common_SymbolsMMS_Data(), Table_Data_MMSSymbols[[#Headers],[Symbol]], 0)</f>
        <v>Belt manure removal</v>
      </c>
      <c r="F23" s="37"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7" t="str" cm="1">
        <f t="array" ref="D24">Common_InputFunctions.Utility_DisplayArrayInTable(CommonLivestock_SourceData.SourceData_Livestock_Common_SymbolsMMS_Data(), Table_Data_MMSSymbols[[#Headers],[Symbol]], 0)</f>
        <v>11b</v>
      </c>
      <c r="E24" s="37" t="str" cm="1">
        <f t="array" ref="E24">Common_InputFunctions.Utility_DisplayArrayInTable(CommonLivestock_SourceData.SourceData_Livestock_Common_SymbolsMMS_Data(), Table_Data_MMSSymbols[[#Headers],[Symbol]], 0)</f>
        <v>Manure stored in house</v>
      </c>
      <c r="F24" s="37"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c r="D25" s="37" t="str" cm="1">
        <f t="array" ref="D25">Common_InputFunctions.Utility_DisplayArrayInTable(CommonLivestock_SourceData.SourceData_Livestock_Common_SymbolsMMS_Data(), Table_Data_MMSSymbols[[#Headers],[Symbol]], 0)</f>
        <v>12</v>
      </c>
      <c r="E25" s="37" t="str" cm="1">
        <f t="array" ref="E25">Common_InputFunctions.Utility_DisplayArrayInTable(CommonLivestock_SourceData.SourceData_Livestock_Common_SymbolsMMS_Data(), Table_Data_MMSSymbols[[#Headers],[Symbol]], 0)</f>
        <v>Direct processing</v>
      </c>
      <c r="F25" s="37"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7" t="str" cm="1">
        <f t="array" ref="D26">Common_InputFunctions.Utility_DisplayArrayInTable(CommonLivestock_SourceData.SourceData_Livestock_Common_SymbolsMMS_Data(), Table_Data_MMSSymbols[[#Headers],[Symbol]], 0)</f>
        <v>13</v>
      </c>
      <c r="E26" s="37" t="str" cm="1">
        <f t="array" ref="E26">Common_InputFunctions.Utility_DisplayArrayInTable(CommonLivestock_SourceData.SourceData_Livestock_Common_SymbolsMMS_Data(), Table_Data_MMSSymbols[[#Headers],[Symbol]], 0)</f>
        <v>Direct application</v>
      </c>
      <c r="F26" s="37"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7" t="str" cm="1">
        <f t="array" ref="D27">Common_InputFunctions.Utility_DisplayArrayInTable(CommonLivestock_SourceData.SourceData_Livestock_Common_SymbolsMMS_Data(), Table_Data_MMSSymbols[[#Headers],[Symbol]], 0)</f>
        <v>14</v>
      </c>
      <c r="E27" s="37" t="str" cm="1">
        <f t="array" ref="E27">Common_InputFunctions.Utility_DisplayArrayInTable(CommonLivestock_SourceData.SourceData_Livestock_Common_SymbolsMMS_Data(), Table_Data_MMSSymbols[[#Headers],[Symbol]], 0)</f>
        <v>Pasture range and paddock</v>
      </c>
      <c r="F27" s="37"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136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2" t="s">
        <v>60</v>
      </c>
    </row>
    <row r="17" spans="1:1" ht="20.100000000000001" customHeight="1" x14ac:dyDescent="0.25">
      <c r="A17" s="62" t="s">
        <v>56</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58</v>
      </c>
    </row>
    <row r="22" spans="1:1" ht="20.100000000000001" customHeight="1" x14ac:dyDescent="0.25">
      <c r="A22" s="62" t="s">
        <v>1</v>
      </c>
    </row>
    <row r="23" spans="1:1" ht="20.100000000000001" customHeight="1" x14ac:dyDescent="0.25">
      <c r="A23" s="62" t="s">
        <v>57</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2" t="s">
        <v>60</v>
      </c>
    </row>
    <row r="32" spans="1:1" ht="20.100000000000001" customHeight="1" x14ac:dyDescent="0.25">
      <c r="A32" s="62" t="s">
        <v>56</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2" t="s">
        <v>2</v>
      </c>
    </row>
    <row r="41" spans="1:1" ht="20.100000000000001" customHeight="1" x14ac:dyDescent="0.25">
      <c r="A41" s="44"/>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FMAbwB1AHIAYwBlAEQAYQB0AGEAXwBGAGUAZQBkAGwAbwB0ACIALAAiAHQAZQB4AHQAIgA6ACIALwAqACAAXABuAC0ALQAtAC0ALQAtAC0ALQAtAC0ALQAtAC0ALQAtAC0ALQAtAC0ALQAtAC0ALQAtAC0ALQAtAC0ALQAtAC0ALQAtAC0ALQAtAC0ALQBcAG4AUwBvAHUAcgBjAGUARABhAHQAYQBfAEYAZQBlAGQAbABvAHQAXwBWAFMATABcAG4ARgByAGEAYwB0AGkAbwBuACAAbwBmACAAdgBvAGwAYQB0AGkAbABlACAAcwBvAGwAaQBkAHMAIABsAG8AcwB0ACAAaQBuACAAdABoAGUAIABwAHIAaQBtAGEAcgB5ACAATQBNAFMAXABuAC0ALQAtAC0ALQAtAC0ALQAtAC0ALQAtAC0ALQAtAC0ALQAtAC0ALQAtAC0ALQAtAC0ALQAtAC0ALQAtAC0ALQAtAC0ALQAtAC0ALQBcAG4AKgAvAFwAbgBcAG4AUwBvAHUAcgBjAGUARABhAHQAYQBfAEYAZQBlAGQAbABvAHQAXwBWAFMATABfAFQAaQB0AGwAZQBcAG4AIAAgAD0ATABBAE0AQgBEAEEAKABcACIARgBlAGUAZABsAG8AdAAgAC0AIABGAHIAYQBjAHQAaQBvAG4AIABvAGYAIAB2AG8AbABhAHQAaQBsAGUAIABzAG8AbABpAGQAcwAgAGwAbwBzAHQAIABkAHUAcgBpAG4AZwAgAHMAdABvAHIAYQBnAGUAIABpAG4AIAB0AGgAZQAgAHAAcgBpAG0AYQByAHkAIABzAHkAcwB0AGUAbQBcACIAKQA7AFwAbgBcAG4AUwBvAHUAcgBjAGUARABhAHQAYQBfAEYAZQBlAGQAbABvAHQAXwBWAFMATABfAFYAYQByAGkAYQBiAGwAZQBcAG4AIAAgAD0ATABBAE0AQgBEAEEAKABcACIAVgBTAEwAXAAiACkAOwBcAG4AXABuAFMAbwB1AHIAYwBlAEQAYQB0AGEAXwBGAGUAZQBkAGwAbwB0AF8AVgBTAEwAXwBVAG4AaQB0AFwAbgAgACAAPQBMAEEATQBCAEQAQQAoAFwAIgBGAHIAYQBjAHQAaQBvAG4AXAAiACkAOwBcAG4AXABuAFMAbwB1AHIAYwBlAEQAYQB0AGEAXwBGAGUAZQBkAGwAbwB0AF8AVgBTAEwAXwBTAG8AdQByAGMAZQBcAG4AIAAgAD0ATABBAE0AQgBEAEEAKABcACIAVgBFAEUAUgBHACAAMgAwADIANgA6ACAANAAuADEALgAyAC4AMwAgAEMATwBOAFMAVABBAE4AVABTAFwAIgApADsAXABuAFwAbgBTAG8AdQByAGMAZQBEAGEAdABhAF8ARgBlAGUAZABsAG8AdABfAFYAUwBMAF8AVgBhAHIAaQBhAHQAaQBvAG4AXABuACAAIAA9AEwAQQBNAEIARABBACgAXAAiAFwAIgApADsAXABuAFwAbgBTAG8AdQByAGMAZQBEAGEAdABhAF8ARgBlAGUAZABsAG8AdABfAFYAUwBMAF8ARABhAHQAYQBcAG4AIAAgAD0ATABBAE0AQgBEAEEAKAAwAC4ANQApADsAXABuAFwAbgAvACoAIABcAG4ALQAtAC0ALQAtAC0ALQAtAC0ALQAtAC0ALQAtAC0ALQAtAC0ALQAtAC0ALQAtAC0ALQAtAC0ALQAtAC0ALQAtAC0ALQAtAC0ALQAtAFwAbgBTAG8AdQByAGMAZQBEAGEAdABhAF8ARgBlAGUAZABsAG8AdABfAE0ATQBTAG0AMQBUADMAXABuAEYAcgBhAGMAdABpAG8AbgAgAG8AZgAgAHYAbwBsAGEAdABpAGwAZQAgAHMAbwBsAGkAZABzACAAdABvACAAZQBhAGMAaAAgAHQAZQByAHQAaQBhAHIAeQAgAHMAeQBzAHQAZQBtACAAYQBzAHMAdQBtAGUAZAAgAHQAaABhAHQAIAAyACAAcABlAHIAIABjAGUAbgB0ACAAaQBzACAAcgB1AG4AIAAtACAAbwBmAGYAIABmAHIAbwBtACAAdABoAGUAIABmAGUAZQBkACAAcABhAGQALgBcAG4ALQAtAC0ALQAtAC0ALQAtAC0ALQAtAC0ALQAtAC0ALQAtAC0ALQAtAC0ALQAtAC0ALQAtAC0ALQAtAC0ALQAtAC0ALQAtAC0ALQAtAFwAbgAqAC8AXABuAFwAbgBTAG8AdQByAGMAZQBEAGEAdABhAF8ARgBlAGUAZABsAG8AdABfAE0ATQBTAG0AMQBUADMAXwBUAGkAdABsAGUAXABuACAAIAA9AEwAQQBNAEIARABBACgAXAAiAEYAcgBhAGMAdABpAG8AbgAgAG8AZgAgAHYAbwBsAGEAdABpAGwAZQAgAHMAbwBsAGkAZABzACAAdABvACAAZQBhAGMAaAAgAHQAZQByAHQAaQBhAHIAeQAgAHMAeQBzAHQAZQBtACAAYQBzAHMAdQBtAGUAZAAgAHQAaABhAHQAIAAyACAAcABlAHIAIABjAGUAbgB0ACAAaQBzACAAcgB1AG4AIAAtACAAbwBmAGYAIABmAHIAbwBtACAAdABoAGUAIABmAGUAZQBkACAAcABhAGQALgBcACIAKQA7AFwAbgBcAG4AUwBvAHUAcgBjAGUARABhAHQAYQBfAEYAZQBlAGQAbABvAHQAXwBNAE0AUwBtADEAVAAzAF8AVgBhAHIAaQBhAGIAbABlAFwAbgAgACAAPQBMAEEATQBCAEQAQQAoAFwAIgBNAE0AUwBtADEAVAAzAFwAIgApADsAXABuAFwAbgBTAG8AdQByAGMAZQBEAGEAdABhAF8ARgBlAGUAZABsAG8AdABfAE0ATQBTAG0AMQBUADMAXwBVAG4AaQB0AFwAbgAgACAAPQBMAEEATQBCAEQAQQAoAFwAIgBGAHIAYQBjAHQAaQBvAG4AXAAiACkAOwBcAG4AXABuAFMAbwB1AHIAYwBlAEQAYQB0AGEAXwBGAGUAZQBkAGwAbwB0AF8ATQBNAFMAbQAxAFQAMwBfAFMAbwB1AHIAYwBlAFwAbgAgACAAPQBMAEEATQBCAEQAQQAoAFwAIgBWAEUARQBSAEcAIAAyADAAMgA2ADoAIAA0AC4AMQAuADIALgAzACAAQwBPAE4AUwBUAEEATgBUAFMAXAAiACkAOwBcAG4AXABuAFMAbwB1AHIAYwBlAEQAYQB0AGEAXwBGAGUAZQBkAGwAbwB0AF8ATQBNAFMAbQAxAFQAMwBfAFYAYQByAGkAYQB0AGkAbwBuAFwAbgAgACAAPQBMAEEATQBCAEQAQQAoAFwAIgBcACIAKQA7AFwAbgBcAG4AUwBvAHUAcgBjAGUARABhAHQAYQBfAEYAZQBlAGQAbABvAHQAXwBNAE0AUwBtADEAVAAzAF8ARABhAHQAYQBcAG4AIAAgAD0ATABBAE0AQgBEAEEAKAAwAC4AMAAyACkAOwBcAG4AXABuAC8AKgAgAFwAbgAtAC0ALQAtAC0ALQAtAC0ALQAtAC0ALQAtAC0ALQAtAC0ALQAtAC0ALQAtAC0ALQAtAC0ALQAtAC0ALQAtAC0ALQAtAC0ALQAtAC0AXABuAFMAbwB1AHIAYwBlAEQAYQB0AGEAXwBGAGUAZQBkAGwAbwB0AF8AQQBzAGgAQwBvAG4AdABlAG4AdABcAG4AQQBzAGgAIABjAG8AbgB0AGUAbgB0ACAAbwBmACAAbQBhAG4AdQByAGUALgBcAG4ALQAtAC0ALQAtAC0ALQAtAC0ALQAtAC0ALQAtAC0ALQAtAC0ALQAtAC0ALQAtAC0ALQAtAC0ALQAtAC0ALQAtAC0ALQAtAC0ALQAtAFwAbgAqAC8AXABuAFwAbgBTAG8AdQByAGMAZQBEAGEAdABhAF8ARgBlAGUAZABsAG8AdABfAEEAcwBoAEMAbwBuAHQAZQBuAHQAXwBUAGkAdABsAGUAXABuACAAIAA9AEwAQQBNAEIARABBACgAXAAiAEEAcwBoACAAYwBvAG4AdABlAG4AdAAgAG8AZgAgAG0AYQBuAHUAcgBlAC4AXAAiACkAOwBcAG4AXABuAFMAbwB1AHIAYwBlAEQAYQB0AGEAXwBGAGUAZQBkAGwAbwB0AF8AQQBzAGgAQwBvAG4AdABlAG4AdABfAFYAYQByAGkAYQBiAGwAZQBcAG4AIAAgAD0ATABBAE0AQgBEAEEAKABcACIAQQBcACIAKQA7AFwAbgBcAG4AUwBvAHUAcgBjAGUARABhAHQAYQBfAEYAZQBlAGQAbABvAHQAXwBBAHMAaABDAG8AbgB0AGUAbgB0AF8AVQBuAGkAdABcAG4AIAAgAD0ATABBAE0AQgBEAEEAKABcACIARgByAGEAYwB0AGkAbwBuAFwAIgApADsAXABuAFwAbgBTAG8AdQByAGMAZQBEAGEAdABhAF8ARgBlAGUAZABsAG8AdABfAEEAcwBoAEMAbwBuAHQAZQBuAHQAXwBTAG8AdQByAGMAZQBcAG4AIAAgAD0ATABBAE0AQgBEAEEAKABcACIAVgBFAEUAUgBHACAAMgAwADIANgA6ACAANAAuADEALgAyAC4AMwAgAEMATwBOAFMAVABBAE4AVABTAFwAIgApADsAXABuAFwAbgBTAG8AdQByAGMAZQBEAGEAdABhAF8ARgBlAGUAZABsAG8AdABfAEEAcwBoAEMAbwBuAHQAZQBuAHQAXwBWAGEAcgBpAGEAdABpAG8AbgBcAG4AIAAgAD0ATABBAE0AQgBEAEEAKABcACIAXAAiACkAOwBcAG4AXABuAFMAbwB1AHIAYwBlAEQAYQB0AGEAXwBGAGUAZQBkAGwAbwB0AF8AQQBzAGgAQwBvAG4AdABlAG4AdABfAEQAYQB0AGEAXABuACAAIAA9AEwAQQBNAEIARABBACgAMAAuADEANgApADsAXABuAFwAbgAvACoAIABcAG4ALQAtAC0ALQAtAC0ALQAtAC0ALQAtAC0ALQAtAC0ALQAtAC0ALQAtAC0ALQAtAC0ALQAtAC0ALQAtAC0ALQAtAC0ALQAtAC0ALQAtAFwAbgBTAG8AdQByAGMAZQBEAGEAdABhAF8ARgBlAGUAZABsAG8AdA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EYAZQBlAGQAbABvAHQAXwBNAGUAdABoAGEAbgBlAEUAbQBpAHMAcwBpAG8AbgBzAFAAbwB0AGUAbgB0AGkAYQBsAF8AVABpAHQAbABlAFwAbgAgACAAPQBMAEEATQBCAEQAQQAoAFwAIgBNAGUAdABoAGEAbgBlACAAZQBtAGkAcwBzAGkAbwBuAHMAIABwAG8AdABlAG4AdABpAGEAbAAuAFwAIgApADsAXABuAFwAbgBTAG8AdQByAGMAZQBEAGEAdABhAF8ARgBlAGUAZABsAG8AdABfAE0AZQB0AGgAYQBuAGUARQBtAGkAcwBzAGkAbwBuAHMAUABvAHQAZQBuAHQAaQBhAGwAXwBWAGEAcgBpAGEAYgBsAGUAXABuACAAIAA9AEwAQQBNAEIARABBACgAXAAiAEIAMABcACIAKQA7AFwAbgBcAG4AUwBvAHUAcgBjAGUARABhAHQAYQBfAEYAZQBlAGQAbABvAHQAXwBNAGUAdABoAGEAbgBlAEUAbQBpAHMAcwBpAG8AbgBzAFAAbwB0AGUAbgB0AGkAYQBsAF8AVQBuAGkAdABcAG4AIAAgAD0ATABBAE0AQgBEAEEAKABcACIAbQAzACAAQwBIADQAIAAvACAAawBnACAAVgBTAFwAIgApADsAXABuAFwAbgBTAG8AdQByAGMAZQBEAGEAdABhAF8ARgBlAGUAZABsAG8AdABfAE0AZQB0AGgAYQBuAGUARQBtAGkAcwBzAGkAbwBuAHMAUABvAHQAZQBuAHQAaQBhAGwAXwBTAG8AdQByAGMAZQBcAG4AIAAgAD0ATABBAE0AQgBEAEEAKABcACIAVgBFAEUAUgBHACAAMgAwADIANgA6ACAANAAuADEALgAyAC4AMwAgAEMATwBOAFMAVABBAE4AVABTAFwAIgApADsAXABuAFwAbgBTAG8AdQByAGMAZQBEAGEAdABhAF8ARgBlAGUAZABsAG8AdABfAE0AZQB0AGgAYQBuAGUARQBtAGkAcwBzAGkAbwBuAHMAUABvAHQAZQBuAHQAaQBhAGwAXwBWAGEAcgBpAGEAdABpAG8AbgBcAG4AIAAgAD0ATABBAE0AQgBEAEEAKABcACIAXAAiACkAOwBcAG4AXABuAFMAbwB1AHIAYwBlAEQAYQB0AGEAXwBGAGUAZQBkAGwAbwB0AF8ATQBlAHQAaABhAG4AZQBFAG0AaQBzAHMAaQBvAG4AcwBQAG8AdABlAG4AdABpAGEAbABfAEQAYQB0AGEAXABuACAAIAA9AEwAQQBNAEIARABBACgAMAAuADEAOQApADsAXABuAFwAbgBcAG4AUwBvAHUAcgBjAGUARABhAHQAYQBfAEYAZQBlAGQAbABvAHQAXwBTAHQAYQBnAGUAMQBNAE0AUwBPAHAAdABpAG8AbgBzAFwAbgAgACAAPQBMAEEATQBCAEQAQQAoAFwAbgAgACAAIAAgAE0AQQBLAEUAQQBSAFIAQQBZACgAMQAsACAAMQAsAFwAbgAgACAAIAAgACAAIABMAEEATQBCAEQAQQAoAHIALABjACwAXABuACAAIAAgACAAIAAgACAAIABJAE4ARABFAFgAKAB7AFwAbgAgACAAIAAgACAAIAAgACAAIAAgAFwAIgBEAHIAeQBsAG8AdAAgACgAZgBlAGUAZAAgAHAAYQBkACkAXAAiAFwAbgAgACAAIAAgACAAIAAgACAAfQAsACAAcgAsACAAYwApAFwAbgAgACAAIAAgACAAIAApAFwAbgAgACAAIAAgACkAXABuACAAIAApADsAXABuAFwAbgBTAG8AdQByAGMAZQBEAGEAdABhAF8ARgBlAGUAZABsAG8AdABfAFMAdABhAGcAZQAyAE0ATQBTAE8AcAB0AGkAbwBuAHMAXABuACAAIAA9AEwAQQBNAEIARABBACgAXABuACAAIAAgACAATQBBAEsARQBBAFIAUgBBAFkAKAA0ACwAIAAxACwAXABuACAAIAAgACAAIAAgAEwAQQBNAEIARABBACgAcgAsAGMALABcAG4AIAAgACAAIAAgACAAIAAgAEkATgBEAEUAWAAoAHsAXABuACAAIAAgACAAIAAgACAAIAAgACAAXAAiAFMAbwBsAGkAZAAgAHMAdABvAHIAYQBnAGUAXAAiADsAXABuACAAIAAgACAAIAAgACAAIAAgACAAXAAiAEMAbwBtAHAAbwBzAHQAaQBuAGcAIAAoAHAAYQBzAHMAaQB2AGUAIAB3AGkAbgBkAHIAbwB3ACkAXAAiADsAXABuACAAIAAgACAAIAAgACAAIAAgACAAXAAiAEQAaQByAGUAYwB0ACAAYQBwAHAAbABpAGMAYQB0AGkAbwBuAFwAIgA7AFwAbgAgACAAIAAgACAAIAAgACAAIAAgAFwAIgBOAG8AIABNAE0AUwBcACIAXABuACAAIAAgACAAIAAgACAAIAB9ACwAIAByACwAIABjACkAXABuACAAIAAgACAAIAAgACkAXABuACAAIAAgACAAKQBcAG4AIAAgACkAOwBcAG4AXABuAFMAbwB1AHIAYwBlAEQAYQB0AGEAXwBGAGUAZQBkAGwAbwB0AF8AUwB0AGEAZwBlADMATQBNAFMATwBwAHQAaQBvAG4AcwBcAG4AIAAgAD0ATABBAE0AQgBEAEEAKABcAG4AIAAgACAAIABNAEEASwBFAEEAUgBSAEEAWQAoADEALAAgADEALABcAG4AIAAgACAAIAAgACAATABBAE0AQgBEAEEAKAByACwAYwAsAFwAbgAgACAAIAAgACAAIAAgACAASQBOAEQARQBYACgAewBcAG4AIAAgACAAIAAgACAAIAAgACAAIABcACIAQQBuAGEAZQByAG8AYgBpAGMAIABsAGEAZwBvAG8AbgBcACIAXABuACAAIAAgACAAIAAgACAAIAB9ACwAIAByACwAIABjACkAXABuACAAIAAgACAAIAAgACkAXABuACAAIAAgACAAKQBcAG4AIAAgACkAOwBcAG4AXABuAFMAbwB1AHIAYwBlAEQAYQB0AGEAXwBGAGUAZQBkAGwAbwB0AF8ATABpAHYAZQBzAHQAbwBjAGsAQwBsAGEAcwBzAGUAcwBcAG4AIAAgAD0ATABBAE0AQgBEAEEAKABcAG4AIAAgACAAIABNAEEASwBFAEEAUgBSAEEAWQAoADMALAAgADEALABcAG4AIAAgACAAIAAgACAATABBAE0AQgBEAEEAKAByACwAYwAsAFwAbgAgACAAIAAgACAAIAAgACAASQBOAEQARQBYACgAewBcAG4AIAAgACAAIAAgACAAIAAgACAAIABcACIARABvAG0AZQBzAHQAaQBjAFwAIgA7ACAAXABuACAAIAAgACAAIAAgACAAIAAgACAAXAAiAEUAeABwAG8AcgB0ACAAbQBpAGQAIABmAGUAZABcACIAOwAgAFwAbgAgACAAIAAgACAAIAAgACAAIAAgAFwAIgBFAHgAcABvAHIAdAAgAGwAbwBuAGcAIABmAGUAZABcACIAXABuACAAIAAgACAAIAAgACAAIAB9ACwAIAByACwAIABjACkAXABuACAAIAAgACAAIAAgACkAXABuACAAIAAgACAAKQBcAG4AIAAgACkAOwBcAG4AXABuAFwAbgAvACoAIABcAG4ALQAtAC0ALQAtAC0ALQAtAC0ALQAtAC0ALQAtAC0ALQAtAC0ALQAtAC0ALQAtAC0ALQAtAC0ALQAtAC0ALQAtAC0ALQAtAC0ALQAtAFwAbgBTAG8AdQByAGMAZQBEAGEAdABhAF8ARgBlAGUAZABsAG8AdABfAEQAdQByAGEAdABpAG8AbgBPAGYAUwB0AGEAeQBcAG4AVABhAGIAbABlACAAQQAuADEALgAxAC4AMQA6ACAAQgBlAGUAZgAgAGYAZQBlAGQAbABvAHQAIABjAGEAdAB0AGwAZQAgAC0AIABEAHUAcgBhAHQAaQBvAG4AIABvAGYAIABzAHQAYQB5ACAAKABkAGEAeQBzACkAXABuAC0ALQAtAC0ALQAtAC0ALQAtAC0ALQAtAC0ALQAtAC0ALQAtAC0ALQAtAC0ALQAtAC0ALQAtAC0ALQAtAC0ALQAtAC0ALQAtAC0ALQBcAG4AKgAvAFwAbgBcAG4AUwBvAHUAcgBjAGUARABhAHQAYQBfAEYAZQBlAGQAbABvAHQAXwBEAHUAcgBhAHQAaQBvAG4ATwBmAFMAdABhAHkAXwBUAGkAdABsAGUAXABuACAAIAA9AEwAQQBNAEIARABBACgAXAAiAEIAZQBlAGYAIABmAGUAZQBkAGwAbwB0ACAAYwBhAHQAdABsAGUAIAAtACAARAB1AHIAYQB0AGkAbwBuACAAbwBmACAAcwB0AGEAeQAgACgAZABhAHkAcwApAFwAIgApADsAXABuAFwAbgBTAG8AdQByAGMAZQBEAGEAdABhAF8ARgBlAGUAZABsAG8AdABfAEQAdQByAGEAdABpAG8AbgBPAGYAUwB0AGEAeQBfAFUAbgBpAHQAXABuACAAIAA9AEwAQQBNAEIARABBACgAXAAiAFwAIgApADsAXABuAFwAbgBTAG8AdQByAGMAZQBEAGEAdABhAF8ARgBlAGUAZABsAG8AdABfAEQAdQByAGEAdABpAG8AbgBPAGYAUwB0AGEAeQBfAFMAbwB1AHIAYwBlAFwAbgAgACAAPQBMAEEATQBCAEQAQQAoAFwAIgBWAEUARQBSAEcAIAAyADAAMgA2ADoAIABUAGEAYgBsAGUAIABBAC4AMQAuADEALgAxADoAIABCAGUAZQBmACAAZgBlAGUAZABsAG8AdAAgAGMAYQB0AHQAbABlACAALQAgAEQAdQByAGEAdABpAG8AbgAgAG8AZgAgAHMAdABhAHkAIAAoAGQAYQB5AHMAKQBcACIAKQA7AFwAbgBcAG4AUwBvAHUAcgBjAGUARABhAHQAYQBfAEYAZQBlAGQAbABvAHQAXwBEAHUAcgBhAHQAaQBvAG4ATwBmAFMAdABhAHkAXwBWAGEAcgBpAGEAdABpAG8AbgBcAG4AIAAgAD0ATABBAE0AQgBEAEEAKABcACIAXAAiACkAOwBcAG4AXABuAFMAbwB1AHIAYwBlAEQAYQB0AGEAXwBGAGUAZQBkAGwAbwB0AF8ARAB1AHIAYQB0AGkAbwBuAE8AZgBTAHQAYQB5AF8ARABhAHQAYQBcAG4AIAAgAD0ATABBAE0AQgBEAEEAKABcAG4AIAAgACAAIABNAEEASwBFAEEAUgBSAEEAWQAoADQALAAgADIALAAgAFwAbgAgACAAIAAgACAAIABMAEEATQBCAEQAQQAoAHIALABjACwAIABcAG4AIAAgACAAIAAgACAAIAAgAEkATgBEAEUAWAAoAHsAXABuACAAIAAgACAAIAAgACAAIAAgACAAXAAiAEYAZQBlAGQAbABvAHQAIAB0AHkAcABlAFwAIgAsACAAXAAiAEwAZQBuAGcAdABoACAAbwBmACAAUwB0AGEAeQBcACIAOwBcAG4AIAAgACAAIAAgACAAIAAgACAAIABcACIARABvAG0AZQBzAHQAaQBjAFwAIgAsACAAXAAiADEALQA4ADAAIABkAGEAeQBzAFwAIgA7AFwAbgAgACAAIAAgACAAIAAgACAAIAAgAFwAIgBNAGkAZAAtAGYAZQBkAFwAIgAsACAAXAAiADgAMQAtADIAMAAwACAAZABhAHkAcwBcACIAOwBcAG4AIAAgACAAIAAgACAAIAAgACAAIABcACIATABvAG4AZwAtAGYAZQBkAFwAIgAsACAAXAAiADIAMAAxACsAIABkAGEAeQBz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EAbgBpAG0AYQBsAEMAaABhAHIAYQBjAHQAZQByAGkAcwB0AGkAYwBzAFwAbgBUAGEAYgBsAGUAIABBAC4AMQAuADEALgAyADoAIABCAGUAZQBmACAAZgBlAGUAZABsAG8AdAAgAGMAYQB0AHQAbABlACAALQAgAEEAbgBpAG0AYQBsACAAYwBoAGEAcgBhAGMAdABlAHIAaQBzAHQAaQBjAHMAXABuAC0ALQAtAC0ALQAtAC0ALQAtAC0ALQAtAC0ALQAtAC0ALQAtAC0ALQAtAC0ALQAtAC0ALQAtAC0ALQAtAC0ALQAtAC0ALQAtAC0ALQBcAG4AKgAvAFwAbgBcAG4AUwBvAHUAcgBjAGUARABhAHQAYQBfAEYAZQBlAGQAbABvAHQAXwBBAG4AaQBtAGEAbABDAGgAYQByAGEAYwB0AGUAcgBpAHMAdABpAGMAcwBfAFQAaQB0AGwAZQBcAG4AIAAgAD0ATABBAE0AQgBEAEEAKABcACIAQgBlAGUAZgAgAGYAZQBlAGQAbABvAHQAIABjAGEAdAB0AGwAZQAgAC0AIABBAG4AaQBtAGEAbAAgAGMAaABhAHIAYQBjAHQAZQByAGkAcwB0AGkAYwBzAFwAIgApADsAXABuAFwAbgBTAG8AdQByAGMAZQBEAGEAdABhAF8ARgBlAGUAZABsAG8AdABfAEEAbgBpAG0AYQBsAEMAaABhAHIAYQBjAHQAZQByAGkAcwB0AGkAYwBzAF8AVQBuAGkAdABcAG4AIAAgAD0ATABBAE0AQgBEAEEAKABcACIAXAAiACkAOwBcAG4AXABuAFMAbwB1AHIAYwBlAEQAYQB0AGEAXwBGAGUAZQBkAGwAbwB0AF8AQQBuAGkAbQBhAGwAQwBoAGEAcgBhAGMAdABlAHIAaQBzAHQAaQBjAHMAXwBTAG8AdQByAGMAZQBcAG4AIAAgAD0ATABBAE0AQgBEAEEAKABcACIAVgBFAEUAUgBHACAAMgAwADIANgA6ACAAVABhAGIAbABlACAAQQAuADEALgAxAC4AMgA6ACAAQgBlAGUAZgAgAGYAZQBlAGQAbABvAHQAIABjAGEAdAB0AGwAZQAgAC0AIABBAG4AaQBtAGEAbAAgAGMAaABhAHIAYQBjAHQAZQByAGkAcwB0AGkAYwBzAFwAIgApADsAXABuAFwAbgBTAG8AdQByAGMAZQBEAGEAdABhAF8ARgBlAGUAZABsAG8AdABfAEEAbgBpAG0AYQBsAEMAaABhAHIAYQBjAHQAZQByAGkAcwB0AGkAYwBzAF8AVgBhAHIAaQBhAHQAaQBvAG4AXABuACAAIAA9AEwAQQBNAEIARABBACgAXABuACAAIAAgACAATQBBAEsARQBBAFIAUgBBAFkAKAAzACwAIAAxACwAIABcAG4AIAAgACAAIAAgACAATABBAE0AQgBEAEEAKAByACwAYwAsACAAXABuACAAIAAgACAAIAAgACAAIABJAE4ARABFAFgAKAB7AFwAbgAgACAAIAAgACAAIAAgACAAIAAgAFwAIgBWAEEAUgBJAEEAVABJAE8ATgAgAE8ATgAgAFMATwBVAFIAQwBFADoAXAAiADsAXABuACAAIAAgACAAIAAgACAAIAAgACAAXAAiAE0AbwB2AGUAZAAgAGYAZQBlAGQAbABvAHQAIAB0AHkAcABlAHMAIAB0AG8AIABhACAAcwBlAHAAYQByAGEAdABlACAAYwBvAGwAdQBtAG4AIAB0AG8AIABhAGkAZAAgAGwAbwBvAGsAdQBwAC4AXAAiADsAXABuACAAIAAgACAAIAAgACAAIAAgACAAXAAiAE4AYQBtAGUAZAAgAFwAdQAwADAAMgA3AGMAaABhAHIAYQBjAHQAZQByAGkAcwB0AGkAYwBcAHUAMAAwADIANwAgAGMAbwBsAHUAbQBuACAALQAgAG8AcgBpAGcAaQBuAGEAbAAgAGgAYQBzACAAaABlAGEAZABlAHIAIABcAHUAMAAwADIANwBVAG4AaQB0AFwAdQAwADAAMgA3ACAAdwBoAGkAYwBoACAAYwBvAHYAZQByAHMAIAB0AHcAbwAgAGMAbwBsAHUAbQBuAHMAKQBcACIAXABuACAAIAAgACAAIAAgACAAIAB9ACwAIAByACwAIABjACkAXABuACAAIAAgACAAIAAgACkAXABuACAAIAAgACAAKQBcAG4AIAAgACkAOwBcAG4AXABuAFMAbwB1AHIAYwBlAEQAYQB0AGEAXwBGAGUAZQBkAGwAbwB0AF8AQQBuAGkAbQBhAGwAQwBoAGEAcgBhAGMAdABlAHIAaQBzAHQAaQBjAHMAXwBEAGEAdABhAFwAbgAgACAAPQBMAEEATQBCAEQAQQAoAFwAbgAgACAAIAAgAE0AQQBLAEUAQQBSAFIAQQBZACgAMQAwACwAIAA3ACwAIABcAG4AIAAgACAAIAAgACAATABBAE0AQgBEAEEAKAByACwAYwAsACAAXABuACAAIAAgACAAIAAgACAAIABJAE4ARABFAFgAKAB7AFwAbgAgACAAIAAgACAAIAAgACAAIAAgAFwAIgBGAGUAZQBkAGwAbwB0ACAAdAB5AHAAZQBcACIALAAgAFwAIgBDAGgAYQByAGEAYwB0AGUAcgBpAHMAdABpAGMAXAAiACwAIABcACIAVQBuAGkAdABcACIALAAgAFwAIgAyADAAMAA1AC0AMgAwADAAOQBcACIALAAgAFwAIgAyADAAMQAwAC0AMgAwADEANABcACIALAAgAFwAIgAyADAAMQA1AC0AMgAwADEAOQBcACIALAAgAFwAIgAyADAAMgAwAC0AMgAwADIAMwBcACIAOwBcAG4AIAAgACAAIAAgACAAIAAgACAAIABcACIARABvAG0AZQBzAHQAaQBjAFwAIgAsACAAXAAiAEQAYQB5AHMAIABvAG4AIABmAGUAZQBkAFwAIgAsACAAXAAiAGQAYQB5AHMAXAAiACwAIAA3ADAALAAgADcAMAAsACAANwAwACwAIAA3ADUAOwBcAG4AIAAgACAAIAAgACAAIAAgACAAIABcACIARABvAG0AZQBzAHQAaQBjAFwAIgAsACAAXAAiAEYAZQBlAGQAIABpAG4AdABhAGsAZQBcACIALAAgAFwAIgBrAGcAIABEAE0ALwBkAGEAeQBcACIALAAgADEAMAAuADAALAAgADEAMAAuADAALAAgADEAMAAuADQALAAgADEAMAAuADQAOwBcAG4AIAAgACAAIAAgACAAIAAgACAAIABcACIARABvAG0AZQBzAHQAaQBjAFwAIgAsACAAXAAiAE4AIAByAGUAdABlAG4AdABpAG8AbgBcACIALAAgAFwAIgBwAGUAcgAgAGMAZQBuAHQAIABvAGYAIABpAG4AdABhAGsAZQBcACIALAAgADIAMQAuADEALAAgADIAMAAuADQALAAgADIAMAAuADQALAAgADIAMAAuADQAOwBcAG4AIAAgACAAIAAgACAAIAAgACAAIABcACIATQBpAGQALQBmAGUAZABcACIALAAgAFwAIgBEAGEAeQBzACAAbwBuACAAZgBlAGUAZABcACIALAAgAFwAIgBkAGEAeQBzAFwAIgAsACAAMQAxADUALAAgADEAMQA1ACwAIAAxADIAMAAsACAAMQA1ADAAOwBcAG4AIAAgACAAIAAgACAAIAAgACAAIABcACIATQBpAGQALQBmAGUAZABcACIALAAgAFwAIgBGAGUAZQBkACAAaQBuAHQAYQBrAGUAXAAiACwAIABcACIAawBnACAARABNAC8AZABhAHkAXAAiACwAIAAxADEALgAyACwAIAAxADAALgA4ACwAIAAxADAALgA4ACwAIAAxADAALgA4ADsAXABuACAAIAAgACAAIAAgACAAIAAgACAAXAAiAE0AaQBkAC0AZgBlAGQAXAAiACwAIABcACIATgAgAHIAZQB0AGUAbgB0AGkAbwBuAFwAIgAsACAAXAAiAHAAZQByACAAYwBlAG4AdAAgAG8AZgAgAGkAbgB0AGEAawBlAFwAIgAsACAAMQAyAC4ANQAsACAAMQAyAC4ANwAsACAAMQAyAC4ANwAsACAAMQAyAC4ANwA7AFwAbgAgACAAIAAgACAAIAAgACAAIAAgAFwAIgBMAG8AbgBnAC0AZgBlAGQAXAAiACwAIABcACIARABhAHkAcwAgAG8AbgAgAGYAZQBlAGQAXAAiACwAIABcACIAZABhAHkAcwBcACIALAAgADIANQAwACwAIAAyADUAMAAsACAAMgA1ADAALAAgADIANQAwADsAXABuACAAIAAgACAAIAAgACAAIAAgACAAXAAiAEwAbwBuAGcALQBmAGUAZABcACIALAAgAFwAIgBGAGUAZQBkACAAaQBuAHQAYQBrAGUAXAAiACwAIABcACIAawBnACAARABNAC8AZABhAHkAXAAiACwAIAA5AC4AMAAsACAAOAAuADUALAAgADgALgAyACwAIAA4AC4AMgA7AFwAbgAgACAAIAAgACAAIAAgACAAIAAgAFwAIgBMAG8AbgBnAC0AZgBlAGQAXAAiACwAIABcACIATgAgAHIAZQB0AGUAbgB0AGkAbwBuAFwAIgAsACAAXAAiAHAAZQByACAAYwBlAG4AdAAgAG8AZgAgAGkAbgB0AGEAawBlAFwAIgAsACAANgAuADYALAAgADcALgAwACwAIAA3AC4AMAAsACAANwAuADAAXABuACAAIAAgACAAIAAgACAAIAB9ACwAIAByACwAIABjACkAXABuACAAIAAgACAAIAAgACkAXABuACAAIAAgACAAKQBcAG4AIAAgACkAOwBcAG4AXABuAFwAbgBcAG4AXABuAFwAbgBcAG4AXABuAC8AKgAgAFwAbgAtAC0ALQAtAC0ALQAtAC0ALQAtAC0ALQAtAC0ALQAtAC0ALQAtAC0ALQAtAC0ALQAtAC0ALQAtAC0ALQAtAC0ALQAtAC0ALQAtAC0AXABuAFMAbwB1AHIAYwBlAEQAYQB0AGEAXwBGAGUAZQBkAGwAbwB0AF8ARABpAGUAdABQAHIAbwBwAGUAcgB0AGkAZQBzAFwAbgBUAGEAYgBsAGUAIABBAC4AMQAuADEALgAzADoAIABCAGUAZQBmACAAZgBlAGUAZABsAG8AdAAgAGMAYQB0AHQAbABlACAALQAgAEQAaQBlAHQAIABwAHIAbwBwAGUAcgB0AGkAZQBzAFwAbgAtAC0ALQAtAC0ALQAtAC0ALQAtAC0ALQAtAC0ALQAtAC0ALQAtAC0ALQAtAC0ALQAtAC0ALQAtAC0ALQAtAC0ALQAtAC0ALQAtAC0AXABuACoALwBcAG4AXABuAFMAbwB1AHIAYwBlAEQAYQB0AGEAXwBGAGUAZQBkAGwAbwB0AF8ARABpAGUAdABQAHIAbwBwAGUAcgB0AGkAZQBzAF8AVABpAHQAbABlAFwAbgAgACAAPQBMAEEATQBCAEQAQQAoAFwAIgBCAGUAZQBmACAAZgBlAGUAZABsAG8AdAAgAGMAYQB0AHQAbABlACAALQAgAEQAaQBlAHQAIABwAHIAbwBwAGUAcgB0AGkAZQBzAFwAIgApADsAXABuAFwAbgBTAG8AdQByAGMAZQBEAGEAdABhAF8ARgBlAGUAZABsAG8AdABfAEQAaQBlAHQAUAByAG8AcABlAHIAdABpAGUAcwBfAFUAbgBpAHQAXABuACAAIAA9AEwAQQBNAEIARABBACgAXAAiAFwAIgApADsAXABuAFwAbgBTAG8AdQByAGMAZQBEAGEAdABhAF8ARgBlAGUAZABsAG8AdABfAEQAaQBlAHQAUAByAG8AcABlAHIAdABpAGUAcwBfAFMAbwB1AHIAYwBlAFwAbgAgACAAPQBMAEEATQBCAEQAQQAoAFwAIgBWAEUARQBSAEcAIAAyADAAMgA2ADoAIABUAGEAYgBsAGUAIABBAC4AMQAuADEALgAzADoAIABCAGUAZQBmACAAZgBlAGUAZABsAG8AdAAgAGMAYQB0AHQAbABlACAALQAgAEQAaQBlAHQAIABwAHIAbwBwAGUAcgB0AGkAZQBzAFwAIgApADsAXABuAFwAbgBTAG8AdQByAGMAZQBEAGEAdABhAF8ARgBlAGUAZABsAG8AdABfAEQAaQBlAHQAUAByAG8AcABlAHIAdABpAGU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DAG8AbgB2AGUAcgB0AGUAZAAgAHQAbwAgAGYAcgBhAGMAdABpAG8AbgAgAGMAbwBsAHUAbQBuACAAYQBuAGQAIABjAG8AbgB2AGUAcgB0AGUAZAAgAE4ARABGACAAYQBuAGQAIABFAHQAaABlAHIAIABlAHgAdAByAGEAYwB0ACAAdgBhAGwAdQBlAHMAIAB0AG8AIABmAHIAYQBjAHQAaQBvAG4AcwAuAFwAIgA7AFwAbgAgACAAIAAgACAAIAAgACAAIAAgAFwAIgBNAG8AdgBlAGQAIABmAGUAZQBkAGwAbwB0ACAAdAB5AHAAZQBzACAAdABvACAAYQAgAHMAZQBwAGEAcgBhAHQAZQAgAGMAbwBsAHUAbQBuACAAdABvACAAYQBpAGQAIABsAG8AbwBrAHUAcAAuAFwAIgBcAG4AIAAgACAAIAAgACAAIAAgAH0ALAAgAHIALAAgAGMAKQBcAG4AIAAgACAAIAAgACAAKQBcAG4AIAAgACAAIAApAFwAbgAgACAAKQA7AFwAbgBcAG4AUwBvAHUAcgBjAGUARABhAHQAYQBfAEYAZQBlAGQAbABvAHQAXwBEAGkAZQB0AFAAcgBvAHAAZQByAHQAaQBlAHMAXwBEAGEAdABhAFwAbgAgACAAPQBMAEEATQBCAEQAQQAoAFwAbgAgACAAIAAgAE0AQQBLAEUAQQBSAFIAQQBZACgAMQAzACwAIAA4ACwAIABcAG4AIAAgACAAIAAgACAATABBAE0AQgBEAEEAKAByACwAYwAsACAAXABuACAAIAAgACAAIAAgACAAIABJAE4ARABFAFgAKAB7AFwAbgAgACAAIAAgACAAIAAgACAAIAAgAFwAIgBGAGUAZQBkAGwAbwB0ACAAdAB5AHAAZQBcACIALAAgAFwAIgBOAHUAdAByAGkAZQBuAHQAIABhAG4AYQBsAHkAcwBpAHMAXAAiACwAIABcACIAVQBuAGkAdABcACIALAAgAFwAIgAyADAAMAA1AC0AMgAwADAAOQBcACIALAAgAFwAIgAyADAAMQAwAC0AMgAwADEANABcACIALAAgAFwAIgAyADAAMQA1AC0AMgAwADEAOQBcACIALAAgAFwAIgAyADAAMgAwAC0AMgAwADIAMwBcACIALAAgAFwAIgBDAG8AbgB2AGUAcgB0AGUAZAAgAHQAbwAgAGYAcgBhAGMAdABpAG8AbgBcACIAOwBcAG4AIAAgACAAIAAgACAAIAAgACAAIABcACIARABvAG0AZQBzAHQAaQBjAFwAIgAsACAAXAAiAEQAcgB5ACAAbQBhAHQAdABlAHIAIABkAGkAZwBlAHMAdABpAGIAaQBsAGkAdAB5AFwAIgAsACAAXAAiAGYAcgBhAGMAdABpAG8AbgBcACIALAAgADAALgA4ADEALAAgADAALgA4ADEALAAgADAALgA4ADEALAAgADAALgA4ADEALAAgADAALgA4ADEAOwBcAG4AIAAgACAAIAAgACAAIAAgACAAIABcACIARABvAG0AZQBzAHQAaQBjAFwAIgAsACAAXAAiAEMAcgB1AGQAZQAgAHAAcgBvAHQAZQBpAG4AXAAiACwAIABcACIAZgByAGEAYwB0AGkAbwBuAFwAIgAsACAAMAAuADEANAAsACAAMAAuADEANAAsACAAMAAuADEANAAsACAAMAAuADEANAAsACAAMAAuADEANAA7AFwAbgAgACAAIAAgACAAIAAgACAAIAAgAFwAIgBEAG8AbQBlAHMAdABpAGMAXAAiACwAIABcACIATgBEAEYAXAAiACwAIABcACIAcABlAHIAIABjAGUAbgB0AFwAIgAsACAAMgAzAC4AMAAsACAAMgAyAC4AMAAsACAAMgAyAC4AMAAsACAAMgAyAC4AMAAsACAAMAAuADIAMgA7AFwAbgAgACAAIAAgACAAIAAgACAAIAAgAFwAIgBEAG8AbQBlAHMAdABpAGMAXAAiACwAIABcACIARQB0AGgAZQByACAARQB4AHQAcgBhAGMAdABcACIALAAgAFwAIgBwAGUAcgAgAGMAZQBuAHQAXAAiACwAIAA0AC4ANQAsACAANAAuADUALAAgADQALgA4ACwAIAA0AC4AOAAsACAAMAAuADAANAA4ADsAXABuACAAIAAgACAAIAAgACAAIAAgACAAXAAiAE0AaQBkAC0AZgBlAGQAXAAiACwAIABcACIARAByAHkAIABtAGEAdAB0AGUAcgAgAGQAaQBnAGUAcwB0AGkAYgBpAGwAaQB0AHkAXAAiACwAIABcACIAZgByAGEAYwB0AGkAbwBuAFwAIgAsACAAMAAuADgAMQAsACAAMAAuADgAMQAsACAAMAAuADgAMQAsACAAMAAuADgAMQAsACAAMAAuADgAMQA7AFwAbgAgACAAIAAgACAAIAAgACAAIAAgAFwAIgBNAGkAZAAtAGYAZQBkAFwAIgAsACAAXAAiAEMAcgB1AGQAZQAgAHAAcgBvAHQAZQBpAG4AXAAiACwAIABcACIAZgByAGEAYwB0AGkAbwBuAFwAIgAsACAAMAAuADEAMwAsACAAMAAuADEAMgA1ACwAIAAwAC4AMQAyACwAIAAwAC4AMQAyACwAIAAwAC4AMQAyADsAXABuACAAIAAgACAAIAAgACAAIAAgACAAXAAiAE0AaQBkAC0AZgBlAGQAXAAiACwAIABcACIATgBEAEYAXAAiACwAIABcACIAcABlAHIAIABjAGUAbgB0AFwAIgAsACAAMgA0AC4AMAAsACAAMgAyAC4AMAAsACAAMgAyAC4AMAAsACAAMgAyAC4AMAAsACAAMAAuADIAMgA7AFwAbgAgACAAIAAgACAAIAAgACAAIAAgAFwAIgBNAGkAZAAtAGYAZQBkAFwAIgAsACAAXAAiAEUAdABoAGUAcgAgAEUAeAB0AHIAYQBjAHQAXAAiACwAIABcACIAcABlAHIAIABjAGUAbgB0AFwAIgAsACAANQAuADAALAAgADUALgAwACwAIAA1AC4AMAAsACAANQAuADAALAAgADAALgAwADUAOwBcAG4AIAAgACAAIAAgACAAIAAgACAAIABcACIATABvAG4AZwAtAEYAZQBkAFwAIgAsACAAXAAiAEQAcgB5ACAAbQBhAHQAdABlAHIAIABkAGkAZwBlAHMAdABpAGIAaQBsAGkAdAB5AFwAIgAsACAAXAAiAGYAcgBhAGMAdABpAG8AbgBcACIALAAgADAALgA4ADEALAAgADAALgA4ADEALAAgADAALgA4ADEALAAgADAALgA4ADEALAAgADAALgA4ADEAOwBcAG4AIAAgACAAIAAgACAAIAAgACAAIABcACIATABvAG4AZwAtAEYAZQBkAFwAIgAsACAAXAAiAEMAcgB1AGQAZQAgAHAAcgBvAHQAZQBpAG4AXAAiACwAIABcACIAZgByAGEAYwB0AGkAbwBuAFwAIgAsACAAMAAuADEAMwAsACAAMAAuADEAMgA1ACwAIAAwAC4AMQAyACwAIAAwAC4AMQAyACwAIAAwAC4AMQAyADsAXABuACAAIAAgACAAIAAgACAAIAAgACAAXAAiAEwAbwBuAGcALQBGAGUAZABcACIALAAgAFwAIgBOAEQARgBcACIALAAgAFwAIgBwAGUAcgAgAGMAZQBuAHQAXAAiACwAIAAyADQALgAwACwAIAAyADQALgAwACwAIAAyADQALgAwACwAIAAyADQALgAwACwAIAAwAC4AMgA0ADsAXABuACAAIAAgACAAIAAgACAAIAAgACAAXAAiAEwAbwBuAGcALQBGAGUAZABcACIALAAgAFwAIgBFAHQAaABlAHIAIABFAHgAdAByAGEAYwB0AFwAIgAsACAAXAAiAHAAZQByACAAYwBlAG4AdABcACIALAAgADUALgAwACwAIAA1AC4AMAAsACAANQAuADUALAAgADUALgA1ACwAIAAwAC4AMAA1ADUAXABuACAAIAAgACAAIAAgACAAIAB9ACwAIAByACwAIABjACkAXABuACAAIAAgACAAIAAgACkAXABuACAAIAAgACAAKQBcAG4AIAAgACkAOwBcAG4AXABuAFwAbgAvACoAIABcAG4ALQAtAC0ALQAtAC0ALQAtAC0ALQAtAC0ALQAtAC0ALQAtAC0ALQAtAC0ALQAtAC0ALQAtAC0ALQAtAC0ALQAtAC0ALQAtAC0ALQAtAFwAbgBTAG8AdQByAGMAZQBEAGEAdABhAF8ARgBlAGUAZABsAG8AdABfAE0AQwBGAFwAbgBUAGEAYgBsAGUAIABBAC4AMQAuADEALgA0ADoAIABCAGUAZQBmACAAZgBlAGUAZABsAG8AdAAgAGMAYQB0AHQAbABlACAALQAgAE0AQwBGAHMAIAAoAGYAcgBhAGMAdABpAG8AbgApACAAKABNAEMARgBpAG0AVAApAFwAbgAtAC0ALQAtAC0ALQAtAC0ALQAtAC0ALQAtAC0ALQAtAC0ALQAtAC0ALQAtAC0ALQAtAC0ALQAtAC0ALQAtAC0ALQAtAC0ALQAtAC0AXABuACoALwBcAG4AXABuAFMAbwB1AHIAYwBlAEQAYQB0AGEAXwBGAGUAZQBkAGwAbwB0AF8ATQBDAEYAXwBUAGkAdABsAGUAXABuACAAIAA9AEwAQQBNAEIARABBACgAXAAiAEYAZQBlAGQAbABvAHQAIAAtACAATQBDAEYAcwBcACIAKQA7AFwAbgBcAG4AUwBvAHUAcgBjAGUARABhAHQAYQBfAEYAZQBlAGQAbABvAHQAXwBNAEMARgBfAFUAbgBpAHQAXABuACAAIAA9AEwAQQBNAEIARABBACgAXAAiAFwAIgApADsAXABuAFwAbgBTAG8AdQByAGMAZQBEAGEAdABhAF8ARgBlAGUAZABsAG8AdABfAE0AQwBGAF8AUwBvAHUAcgBjAGUAXABuACAAIAA9AEwAQQBNAEIARABBACgAXAAiAFYARQBFAFIARwAgADIAMAAyADYAOgAgAFQAYQBiAGwAZQAgAEEALgAxAC4AMQAuADQAOgAgAEIAZQBlAGYAIABmAGUAZQBkAGwAbwB0ACAAYwBhAHQAdABsAGUAIAAtACAATQBDAEYAcwAgACgAZgByAGEAYwB0AGkAbwBuACkAIAAoAE0AQwBGAGkAbQBUACkAXAAiACkAOwBcAG4AXABuAFMAbwB1AHIAYwBlAEQAYQB0AGEAXwBGAGUAZQBkAGwAbwB0AF8ATQBDAEYAXwBWAGEAcgBpAGEAdABpAG8AbgBcAG4AIAAgAD0ATABBAE0AQgBEAEEAKABcAG4AIAAgACAAIABNAEEASwBFAEEAUgBSAEEAWQAoADQALAAgADEALAAgAFwAbgAgACAAIAAgACAAIABMAEEATQBCAEQAQQAoAHIALABjACwAIABcAG4AIAAgACAAIAAgACAAIAAgAEkATgBEAEUAWAAoAHsAXABuACAAIAAgACAAIAAgACAAIAAgACAAXAAiAFYAQQBSAEkAQQBUAEkATwBOACAATwBOACAAUwBPAFUAUgBDAEUAOgBcACIAOwBcAG4AIAAgACAAIAAgACAAIAAgACAAIABcACIARAB1AHAAbABpAGMAYQB0AGUAZAAgAE4AUwBXACAAdgBhAGwAdQBlAHMAIABmAG8AcgAgAEEAQwBUAFwAIgA7AFwAbgAgACAAIAAgACAAIAAgACAAIAAgAFwAIgBBAGQAZABlAGQAIABOAFQAIABjAG8AbAB1AG0AbgAgAHQAaABhAHQAIABkAHUAcABsAGkAYwBhAHQAZQBzACAAUQBMAEQAIAB2AGEAbAB1AGUAcwAgAGEAcwAgAHAAZQByACAAYQBkAHYAaQBjAGUAIABmAHIAbwBtACAAcwBvAHUAcgBjAGUAIABkAGEAdABhACAAcAByAG8AdgBpAGQAZQByAC4AXAAiADsAXABuACAAIAAgACAAIAAgACAAIAAgACAAXAAiAEEAZABkAGUAZAAgAFQAQQBTACAAYwBvAGwAdQBtAG4AIAB0AGgAYQB0ACAAZAB1AHAAbABpAGMAYQB0AGUAcwAgAFYASQBDACAAdgBhAGwAdQBlAHMAIABhAHMAIABwAGUAcgAgAGEAZAB2AGkAYwBlACAAZgByAG8AbQAgAHMAbwB1AHIAYwBlACAAZABhAHQAYQAgAHAAcgBvAHYAaQBkAGUAcgAu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NAEMARgBfAEQAYQB0AGEAXABuACAAIAA9AEwAQQBNAEIARABBACgAXABuACAAIAAgACAATQBBAEsARQBBAFIAUgBBAFkAKAA2ACwAIAAxADEALAAgAFwAbgAgACAAIAAgACAAIABMAEEATQBCAEQAQQAoAHIALABjACwAIABcAG4AIAAgACAAIAAgACAAIAAgAEkATgBEAEUAWAAoAHsAXABuACAAIAAgACAAIAAgACAAIAAgACAAXAAiAFQAcgBlAGEAdABtAGUAbgB0ACAAcwB0AGEAZwBlACAAVABcACIALAAgAFwAIgBNAE0AUwAgAG0AXAAiACwAIABcACIATgBTAFcAXAAiACwAIABcACIAQQBDAFQAXAAiACwAIABcACIAUQBMAEQAXAAiACwAIABcACIATgBUAFwAIgAsACAAXAAiAFMAQQBcACIALAAgAFwAIgBWAEkAQwBcACIALAAgAFwAIgBXAEEAXAAiACwAIABcACIAVABBAFMAXAAiACwAIABcACIATgBJAFIAIABkAGUAZgBpAG4AaQB0AGkAbwBuAFwAIgA7AFwAbgAgACAAIAAgACAAIAAgACAAIAAgAFwAIgBQAHIAaQBtAGEAcgB5AFwAIgAsACAAXAAiAEQAcgB5ACAAbABvAHQAIAAoAEYAZQBlAGQAcABhAGQAKQBcACIALAAgADAALgAwADEALAAgADAALgAwADEALAAgADAALgAwADMALAAgADAALgAwADMALAAgADAALgAwADEALAAgADAALgAwADEALAAgADAALgAwADEALAAgADAALgAwADEALAAgAFwAIgBEAHIAeQBsAG8AdAAgACgAZgBlAGUAZAAgAHAAYQBkACkAXAAiADsAIABcAG4AIAAgACAAIAAgACAAIAAgACAAIABcACIAUwBlAGMAbwBuAGQAYQByAHkAXAAiACwAIABcACIAUwBvAGwAaQBkACAAUwB0AG8AcgBhAGcAZQAgACgAUwB0AG8AYwBrAHAAaQBsAGUAKQBcACIALAAgADAALgAwADIALAAgADAALgAwADIALAAgADAALgAwADIALAAgADAALgAwADIALAAgADAALgAwADIALAAgADAALgAwADIALAAgADAALgAwADIALAAgADAALgAwADIALAAgAFwAIgBTAG8AbABpAGQAIABzAHQAbwByAGEAZwBlAFwAIgA7ACAAXABuACAAIAAgACAAIAAgACAAIAAgACAAXAAiAFMAZQBjAG8AbgBkAGEAcgB5AFwAIgAsACAAXAAiAEMAbwBtAHAAbwBzAHQAaQBuAGcAIAAoAFAAYQBzAHMAaQB2AGUAIABXAGkAbgBkAHIAbwB3ACkAXAAiACwAIAAwAC4AMAAxACwAIAAwAC4AMAAxACwAIAAwAC4AMAAxACwAIAAwAC4AMAAxACwAIAAwAC4AMAAxACwAIAAwAC4AMAAxACwAIAAwAC4AMAAxACwAIAAwAC4AMAAxACwAIABcACIAQwBvAG0AcABvAHMAdABpAG4AZwAgACgAcABhAHMAcwBpAHYAZQAgAHcAaQBuAGQAcgBvAHcAKQBcACIAOwAgAFwAbgAgACAAIAAgACAAIAAgACAAIAAgAFwAIgBTAGUAYwBvAG4AZABhAHIAeQBcACIALAAgAFwAIgBEAGkAcgBlAGMAdAAgAEEAcABwAGwAaQBjAGEAdABpAG8AbgAgAHQAbwAgAHMAbwBpAGwAXAAiACwAIAAwACwAIAAwACwAIAAwACwAIAAwACwAIAAwACwAIAAwACwAIAAwACwAIAAwACwAIABcACIARABpAHIAZQBjAHQAIABhAHAAcABsAGkAYwBhAHQAaQBvAG4AXAAiADsAIABcAG4AIAAgACAAIAAgACAAIAAgACAAIABcACIAVABlAHIAdABpAGEAcgB5AFwAIgAsACAAXAAiAFUAbgBjAG8AdgBlAHIAZQBkACAAYQBuAGEAZQByAG8AYgBpAGMAIABsAGEAZwBvAG8AbgAgACgARQBmAGYAbAB1AGUAbgB0ACAAcABvAG4AZAApAFwAIgAsACAAMAAuADcANQAsACAAMAAuADcANQAsACAAMAAuADcANwAsACAAMAAuADcANwAsACAAMAAuADcANQAsACAAMAAuADcANQAsACAAMAAuADcANwAsACAAMAAuADcANQ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TgBpAHQAcgBvAHUAcwBPAHgAaQBkAGUARQBGAHMAXABuAFQAYQBiAGwAZQAgAEEALgAxAC4AMQAuADUAOgAgAEIAZQBlAGYAIABmAGUAZQBkAGwAbwB0ACAAYwBhAHQAdABsAGUAIAAtACAATgBpAHQAcgBvAHUAcwAgAG8AeABpAGQAZQAgAEUARgBzACAAKABFAEYAbQBUACkAXABuAC0ALQAtAC0ALQAtAC0ALQAtAC0ALQAtAC0ALQAtAC0ALQAtAC0ALQAtAC0ALQAtAC0ALQAtAC0ALQAtAC0ALQAtAC0ALQAtAC0ALQBcAG4AKgAvAFwAbgBcAG4AUwBvAHUAcgBjAGUARABhAHQAYQBfAEYAZQBlAGQAbABvAHQAXwBOAGkAdAByAG8AdQBzAE8AeABpAGQAZQBFAEYAcwBfAFQAaQB0AGwAZQBcAG4AIAAgAD0ATABBAE0AQgBEAEEAKABcACIARgBlAGUAZABsAG8AdAAgAC0AIABOAGkAdAByAG8AdQBzACAAbwB4AGkAZABlACAARQBGAHMAXAAiACkAOwBcAG4AXABuAFMAbwB1AHIAYwBlAEQAYQB0AGEAXwBGAGUAZQBkAGwAbwB0AF8ATgBpAHQAcgBvAHUAcwBPAHgAaQBkAGUARQBGAHMAXwBVAG4AaQB0AFwAbgAgACAAPQBMAEEATQBCAEQAQQAoAFwAIgBcACIAKQA7AFwAbgBcAG4AUwBvAHUAcgBjAGUARABhAHQAYQBfAEYAZQBlAGQAbABvAHQAXwBOAGkAdAByAG8AdQBzAE8AeABpAGQAZQBFAEYAcwBfAFMAbwB1AHIAYwBlAFwAbgAgACAAPQBMAEEATQBCAEQAQQAoAFwAIgBWAEUARQBSAEcAIAAyADAAMgA2ADoAIABUAGEAYgBsAGUAIABBAC4AMQAuADEALgA1ADoAIABCAGUAZQBmACAAZgBlAGUAZABsAG8AdAAgAGMAYQB0AHQAbABlACAALQAgAE4AaQB0AHIAbwB1AHMAIABvAHgAaQBkAGUAIABFAEYAcwAgACgARQBGAG0AVAApAFwAIgApADsAXABuAFwAbgBTAG8AdQByAGMAZQBEAGEAdABhAF8ARgBlAGUAZABsAG8AdABfAE4AaQB0AHIAbwB1AHMATwB4AGkAZABlAEUARgBz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4AaQB0AHIAbwB1AHMATwB4AGkAZABlAEUARgBzAF8ARABhAHQAYQBcAG4AIAAgAD0ATABBAE0AQgBEAEEAKABcAG4AIAAgACAAIABNAEEASwBFAEEAUgBSAEEAWQAoADYALAAgADQALAAgAFwAbgAgACAAIAAgACAAIABMAEEATQBCAEQAQQAoAHIALABjACwAIABcAG4AIAAgACAAIAAgACAAIAAgAEkATgBEAEUAWAAoAHsAXABuACAAIAAgACAAIAAgACAAIAAgACAAXAAiAFQAcgBlAGEAdABtAGUAbgB0ACAAcwB0AGEAZwBlACAAVABcACIALAAgAFwAIgBNAE0AUwAgAG0AXAAiACwAIABcACIARQBGAG0AVAAgACgAawBnACAATgAyAE8ALQBOAC8AawBnACAATgApAFwAIgAsACAAXAAiAE4ASQBSACAAZABlAGYAaQBuAGkAdABpAG8AbgBcACIAOwBcAG4AIAAgACAAIAAgACAAIAAgACAAIABcACIAUAByAGkAbQBhAHIAeQBcACIALAAgAFwAIgBEAHIAeQAgAGwAbwB0ACAAKABGAGUAZQBkAHAAYQBkACkAXAAiACwAIAAwAC4AMAAwADUANAAsACAAXAAiAEQAcgB5AGwAbwB0ACAAKABmAGUAZQBkACAAcABhAGQAKQBcACIAOwBcAG4AIAAgACAAIAAgACAAIAAgACAAIABcACIAUwBlAGMAbwBuAGQAYQByAHkAXAAiACwAIABcACIAUwBvAGwAaQBkACAAUwB0AG8AcgBhAGcAZQAgACgAUwB0AG8AYwBrAHAAaQBsAGUAKQBcACIALAAgADAALgAwADAANQAsACAAXAAiAFMAbwBsAGkAZAAgAHMAdABvAHIAYQBnAGUAXAAiADsAXABuACAAIAAgACAAIAAgACAAIAAgACAAXAAiAFMAZQBjAG8AbgBkAGEAcgB5AFwAIgAsACAAXAAiAEMAbwBtAHAAbwBzAHQAaQBuAGcAIAAoAFAAYQBzAHMAaQB2AGUAIABXAGkAbgBkAHIAbwB3ACkAXAAiACwAIAAwAC4AMAAxACwAIABcACIAQwBvAG0AcABvAHMAdABpAG4AZwAgACgAcABhAHMAcwBpAHYAZQAgAHcAaQBuAGQAcgBvAHcAKQBcACIAOwBcAG4AIAAgACAAIAAgACAAIAAgACAAIABcACIAUwBlAGMAbwBuAGQAYQByAHkAXAAiACwAIABcACIARABpAHIAZQBjAHQAIABBAHAAcABsAGkAYwBhAHQAaQBvAG4AIAB0AG8AIABzAG8AaQBsAFwAIgAsACAAMAAsACAAXAAiAEQAaQByAGUAYwB0ACAAYQBwAHAAbABpAGMAYQB0AGkAbwBuAFwAIgA7AFwAbgAgACAAIAAgACAAIAAgACAAIAAgAFwAIgBUAGUAcgB0AGkAYQByAHkAXAAiACwAIABcACIAVQBuAGMAbwB2AGUAcgBlAGQAIABhAG4AYQBlAHIAbwBiAGkAYwAgAGwAYQBnAG8AbwBuACAAKABFAGYAZgBsAHUAZQBuAHQAIABQAG8AbgBkACkAXAAiACwAIAAwACwAIABcACIAQQBuAGEAZQByAG8AYgBpAGMAIABsAGEAZwBvAG8Abg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GAHIAYQBjAE4AVgBvAGwAYQB0AGkAbABpAHMAZQBkAFwAbgBUAGEAYgBsAGUAIABBAC4AMQAuADEALgA2ADoAIABCAGUAZQBmACAAZgBlAGUAZABsAG8AdAAgAGMAYQB0AHQAbABlACAALQAgAEYAcgBhAGMAdABpAG8AbgAgAG8AZgAgAE4AIAB2AG8AbABhAHQAaQBsAGkAcwBlAGQAIABiAHkAIABNAE0AUwAgACgARgByAGEAYwBHAEEAUwBNAG0AVAApAFwAbgAtAC0ALQAtAC0ALQAtAC0ALQAtAC0ALQAtAC0ALQAtAC0ALQAtAC0ALQAtAC0ALQAtAC0ALQAtAC0ALQAtAC0ALQAtAC0ALQAtAC0AXABuACoALwBcAG4AXABuAFMAbwB1AHIAYwBlAEQAYQB0AGEAXwBGAGUAZQBkAGwAbwB0AF8ARgByAGEAYwBOAFYAbwBsAGEAdABpAGwAaQBzAGUAZABfAFQAaQB0AGwAZQBcAG4AIAAgAD0ATABBAE0AQgBEAEEAKABcACIARgBlAGUAZABsAG8AdAAgAC0AIABGAHIAYQBjAHQAaQBvAG4AIABvAGYAIABOACAAdgBvAGwAYQB0AGkAbABpAHMAZQBkACAAYgB5ACAATQBNAFMAIAAoAEYAcgBhAGMARwBBAFMATQBtAFQAKQBcACIAKQA7AFwAbgBcAG4AUwBvAHUAcgBjAGUARABhAHQAYQBfAEYAZQBlAGQAbABvAHQAXwBGAHIAYQBjAE4AVgBvAGwAYQB0AGkAbABpAHMAZQBkAF8AVQBuAGkAdABcAG4AIAAgAD0ATABBAE0AQgBEAEEAKABcACIAXAAiACkAOwBcAG4AXABuAFMAbwB1AHIAYwBlAEQAYQB0AGEAXwBGAGUAZQBkAGwAbwB0AF8ARgByAGEAYwBOAFYAbwBsAGEAdABpAGwAaQBzAGUAZABfAFMAbwB1AHIAYwBlAFwAbgAgACAAPQBMAEEATQBCAEQAQQAoAFwAIgBWAEUARQBSAEcAIAAyADAAMgA2ADoAIABUAGEAYgBsAGUAIABBAC4AMQAuADEALgA2ADoAIABCAGUAZQBmACAAZgBlAGUAZABsAG8AdAAgAGMAYQB0AHQAbABlACAALQAgAEYAcgBhAGMAdABpAG8AbgAgAG8AZgAgAE4AIAB2AG8AbABhAHQAaQBsAGkAcwBlAGQAIABiAHkAIABNAE0AUwAgACgARgByAGEAYwBHAEEAUwBNAG0AVAApAFwAIgApADsAXABuAFwAbgBTAG8AdQByAGMAZQBEAGEAdABhAF8ARgBlAGUAZABsAG8AdABfAEYAcgBhAGMATgBWAG8AbABhAHQAaQBsAGkAcwBlAGQAXwBWAGEAcgBpAGEAdABpAG8AbgBcAG4AIAAgAD0ATABBAE0AQgBEAEEAKABcAG4AIAAgACAAIABNAEEASwBFAEEAUgBSAEEAWQAoADI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RgByAGEAYwBOAFYAbwBsAGEAdABpAGwAaQBzAGUAZA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YAcgBhAGMARwBBAFMATQBtAFQAIAAoAGsAZwAgAE4ASAAzAC0ATgAgACsAIABOAE8AeAAtAE4AKQAvAGsAZwAgAE4AXAAiACwAIABcACIATgBJAFIAIABkAGUAZgBpAG4AaQB0AGkAbwBuAFwAIgA7AFwAbgAgACAAIAAgACAAIAAgACAAIAAgAFwAIgBQAHIAaQBtAGEAcgB5AFwAIgAsACAAXAAiAEQAcgB5ACAAbABvAHQAIAAoAEYAZQBlAGQAcABhAGQAKQBcACIALAAgADAALgA2ACwAIABcACIARAByAHkAbABvAHQAIAAoAGYAZQBlAGQAIABwAGEAZAApAFwAIgA7AFwAbgAgACAAIAAgACAAIAAgACAAIAAgAFwAIgBTAGUAYwBvAG4AZABhAHIAeQBcACIALAAgAFwAIgBTAG8AbABpAGQAIABTAHQAbwByAGEAZwBlACAAKABTAHQAbwBjAGsAcABpAGwAZQApAFwAIgAsACAAMAAuADIANQAsACAAXAAiAFMAbwBsAGkAZAAgAHMAdABvAHIAYQBnAGUAXAAiADsAXABuACAAIAAgACAAIAAgACAAIAAgACAAXAAiAFMAZQBjAG8AbgBkAGEAcgB5AFwAIgAsACAAXAAiAEMAbwBtAHAAbwBzAHQAaQBuAGcAIAAoAFAAYQBzAHMAaQB2AGUAIABXAGkAbgBkAHIAbwB3ACkAXAAiACwAIAAwAC4ANA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cABvAG4AZAApAFwAIgAsACAAMAAuADMANQAsACAAXAAiAEEAbgBhAGUAcgBvAGIAaQBjACAAbABhAGcAbwBvAG4AXAAiAFwAbgAgACAAIAAgACAAIAAgACAAfQAsACAAcgAsACAAYwApAFwAbgAgACAAIAAgACAAIAApAFwAbgAgACAAIAAgACkAXABuACAAIAApADsAXABuAFwAbgAiAH0ALAB7ACIAcABhAHQAaAAiADoAIgAvAHAAcgBvAGoAZQBjAHQAcwAvAEUAbgB0AGUAcgBpAGMATQBlAHQAaABhAG4AZQBfAEYAZQBlAGQAbABvAHQAXwBFAHEAdQBhAHQAaQBvAG4AcwAiACwAIgB0AGUAeAB0ACIAOgAiAC8AKgBcAG4APQA9AD0APQA9AD0APQA9AD0APQA9AD0APQA9AD0APQA9AD0APQA9AD0APQA9AD0APQA9AD0APQA9AD0APQA9AD0APQA9AD0APQA9AD0APQA9AD0APQA9AD0APQA9AD0APQA9AD0APQA9AD0APQA9AD0APQA9AD0APQA9AD0APQA9AD0APQA9AD0APQA9AD0APQA9AD0APQBcAG4AMwAuADEAOgAgAEUAbgB0AGUAcgBpAGMAIABNAGUAdABoAGEAbgBlACAALQAgAEYAZQBlAGQAbABvAHQAIABCAGUAZQBmAFwAbgA9AD0APQA9AD0APQA9AD0APQA9AD0APQA9AD0APQA9AD0APQA9AD0APQA9AD0APQA9AD0APQA9AD0APQA9AD0APQA9AD0APQA9AD0APQA9AD0APQA9AD0APQA9AD0APQA9AD0APQA9AD0APQA9AD0APQA9AD0APQA9AD0APQA9AD0APQA9AD0APQA9AD0APQA9AD0APQA9AFwAbgAzAC4AMQAuADEALgAxACAATQBlAHQAaABvAGQAIAAxACAALQAgAEUAbgB0AGUAcgBpAGMAIABCAGUAZQBmACAARgBlAGUAZABsAG8AdA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xAF8AMQBfADEAXwBfADEAXwBUAG8AdABhAGwAQQBuAG4AdQBhAGwATQBlAHQAaABhAG4AZQBGAHIAbwBtAEUAbgB0AGUAcgBpAGMARgBlAHIAbQBlAG4AdABhAHQAaQBvAG4AXABuAFQAbwB0AGEAbAAgAGEAbgBuAHUAYQBsACAAbQBlAHQAaABhAG4AZQAgAHAAcgBvAGQAdQBjAHQAaQBvAG4AIABmAHIAbwBtACAAZQBuAHQAZQByAGkAYwAgAGYAZQByAG0AZQBuAHQAYQB0AGkAbwBuACAAaQBuACAAZgBlAGUAZABsAG8AdAAgAGIAZQBlAGYAIABjAGEAdAB0AGwAZQBcAG4ARQBfAGUAbgB0AGUAcgBpAGMAXABuAHQAIABDAEgANABcAG4ARQBfAHsAZQBuAHQAZQByAGkAYwB9AD0AXABcAHMAdQBtAFwAXABuAG8AbABpAG0AaQB0AHMAXwBqACgARABfAGoAXABcAHQAaQBtAGUAcwAgAE0AXwBqAFwAXAB0AGkAbQBlAHMAIABOAF8AagApAFwAXAB0AGkAbQBlAHMAIAAxADAAXgB7AC0AMwB9AFwAbgBEAF8AagAgAD0AIABkAHUAcgBhAHQAaQBvAG4AIABvAGYAIABzAHQAYQB5ACAAbwBmACAAZQBhAGMAaAAgAGMAYQB0AHQAbABlACAAbABvAHQAIAAoAGQAYQB5AHMAKQBcAG4ATQBfAGoAIAA9ACAAZABhAGkAbAB5ACAAbQBlAHQAaABhAG4AZQAgAHAAcgBvAGQAdQBjAHQAaQBvAG4AIAAoAGsAZwAgAEMASAA0AC8AaABlAGEAZAAvAGQAYQB5ACkAXABuAE4AXwBqACAAPQAgAG4AdQBtAGIAZQByAHMAIABvAGYAIABmAGUAZQBkAGwAbwB0ACAAYwBhAHQAdABsAGUAIABpAG4AIABlAGEAYwBoACAAYwBhAHQAdABsAGUAIABsAG8AdAAgACgAaABlAGEAZAApAFwAbgAtAC0ALQAtAC0ALQAtAC0ALQAtAC0ALQAtAC0ALQAtAC0ALQAtAC0ALQAtAC0ALQAtAC0ALQAtAC0ALQAtAC0ALQAtAC0ALQAtAC0AXABuACoALwBcAG4AXABuAFYARQBFAFIARwBfADMAXwAxAF8AMQBfADEAXwBfADEAXwBUAG8AdABhAGwAQQBuAG4AdQBhAGwATQBlAHQAaABhAG4AZQBGAHIAbwBtAEUAbgB0AGUAcgBpAGMARgBlAHIAbQBlAG4AdABhAHQAaQBvAG4AXABuACAAIAA9AEwAQQBNAEIARABBACgAXABuACAAIAAgACAARABfAGoALAAgAE0AXwBqACwAIABOAF8AagAsAFwAbgAgACAAIAAgACgARABfAGoAIAAqACAATQBfAGoAIAAqACAATgBfAGoAKQAgACoAIAAxADAAIABeACAALQAzAFwAbgAgACAAKQA7AFwAbgBcAG4AVgBFAEUAUgBHAF8AMwBfADEAXwAxAF8AMQBfAF8AMQBfAFQAbwB0AGEAbABBAG4AbgB1AGEAbABNAGUAdABoAGEAbgBlAEYAcgBvAG0ARQBuAHQAZQByAGkAYwBGAGUAcgBtAGUAbgB0AGEAdABpAG8AbgBfAFQAaQB0AGwAZQBcAG4AIAAgAD0ATABBAE0AQgBEAEEAKABcACIAVABvAHQAYQBsACAAYQBuAG4AdQBhAGwAIABtAGUAdABoAGEAbgBlACAAcAByAG8AZAB1AGMAdABpAG8AbgAgAGYAcgBvAG0AIABlAG4AdABlAHIAaQBjACAAZgBlAHIAbQBlAG4AdABhAHQAaQBvAG4AIABpAG4AIABmAGUAZQBkAGwAbwB0ACAAYgBlAGUAZgAgAGMAYQB0AHQAbABlAFwAIgApADsAXABuAFwAbgBWAEUARQBSAEcAXwAzAF8AMQBfADEAXwAxAF8AXwAxAF8AVABvAHQAYQBsAEEAbgBuAHUAYQBsAE0AZQB0AGgAYQBuAGUARgByAG8AbQBFAG4AdABlAHIAaQBjAEYAZQByAG0AZQBuAHQAYQB0AGkAbwBuAF8AVgBhAHIAaQBhAGIAbABlAFwAbgAgACAAPQBMAEEATQBCAEQAQQAoAFwAIgBFAF8AZQBuAHQAZQByAGkAYwBcACIAKQA7AFwAbgBcAG4AVgBFAEUAUgBHAF8AMwBfADEAXwAxAF8AMQBfAF8AMQBfAFQAbwB0AGEAbABBAG4AbgB1AGEAbABNAGUAdABoAGEAbgBlAEYAcgBvAG0ARQBuAHQAZQByAGkAYwBGAGUAcgBtAGUAbgB0AGEAdABpAG8AbgBfAFUAbgBpAHQAXABuACAAIAA9AEwAQQBNAEIARABBACgAXAAiAHQAIABDAEgANABcACIAKQA7AFwAbgBcAG4AVgBFAEUAUgBHAF8AMwBfADEAXwAxAF8AMQBfAF8AMQBfAFQAbwB0AGEAbABBAG4AbgB1AGEAbABNAGUAdABoAGEAbgBlAEYAcgBvAG0ARQBuAHQAZQByAGkAYwBGAGUAcgBtAGUAbgB0AGEAdABpAG8AbgBfAFMAbwB1AHIAYwBlAFwAbgAgACAAPQBMAEEATQBCAEQAQQAoAFwAIgBWAEUARQBSAEcAIAAyADAAMgA2ADoAIAAzAC4AMQAuADEALgAxACwAIABFAHEAdQBhAHQAaQBvAG4AIAAoADEAKQBcACIAKQA7AFwAbgBcAG4AVgBFAEUAUgBHAF8AMwBfADEAXwAxAF8AMQBfAF8AMQBfAFQAbwB0AGEAbABBAG4AbgB1AGEAbABNAGUAdABoAGEAbgBlAEYAcgBvAG0ARQBuAHQAZQByAGkAYwBGAGUAcgBtAGUAbgB0AGEAdABpAG8AbgBfAE4ASQBSAFIAZQBmAGUAcgBlAG4AYwBlAFwAbgAgACAAPQBMAEEATQBCAEQAQQAoAFwAIgBcACIAKQA7AFwAbgBcAG4AVgBFAEUAUgBHAF8AMwBfADEAXwAxAF8AMQBfAF8AMQBfAFQAbwB0AGEAbABBAG4AbgB1AGEAbABNAGUAdABoAGEAbgBlAEYAcgBvAG0ARQBuAHQAZQByAGkAYwBGAGUAcgBtAGUAbgB0AGEAdABpAG8AbgBfAEwAYQB0AGUAeABFAHEAdQBhAHQAaQBvAG4AXABuACAAIAA9AEwAQQBNAEIARABBACgAXAAiAEUAXwB7AGUAbgB0AGUAcgBpAGMAfQA9AFwAXABzAHUAbQBcAFwAbgBvAGwAaQBtAGkAdABzAF8AagAoAEQAXwBqAFwAXAB0AGkAbQBlAHMAIABNAF8AagBcAFwAdABpAG0AZQBzACAATgBfAGoAKQBcAFwAdABpAG0AZQBzACAAMQAwAF4AewAtADMAfQBcACIAKQA7AFwAbgBcAG4AVgBFAEUAUgBHAF8AMwBfADEAXwAxAF8AMQBfAF8AMQBfAFQAbwB0AGEAbABBAG4AbgB1AGEAbABNAGUAdABoAGEAbgBlAEYAcgBvAG0ARQBuAHQAZQByAGkAYwBGAGUAcgBtAGUAbgB0AGEAdABpAG8AbgBfAEEAcgBnAHUAbQBlAG4AdABzAFwAbgAgACAAPQBMAEEATQBCAEQAQQAoAFwAbgAgACAAIAAgAE0AQQBLAEUAQQBSAFIAQQBZACgAMwAsACAANAAsAFwAbgAgACAAIAAgACAAIABMAEEATQBCAEQAQQAoAHIALABjACwAXABuACAAIAAgACAAIAAgACAAIABJAE4ARABFAFgAKAB7AFwAbgAgACAAIAAgACAAIAAgACAAIAAgAFwAIgBEAF8AagBcACIALAAgAFwAIgBkAHUAcgBhAHQAaQBvAG4AIABvAGYAIABzAHQAYQB5ACAAbwBmACAAZQBhAGMAaAAgAGMAYQB0AHQAbABlACAAbABvAHQAXAAiACwAIABcACIAZABhAHkAcwBcACIALAAgAFwAIgBJAG4AcAB1AHQAXAAiADsAXABuACAAIAAgACAAIAAgACAAIAAgACAAXAAiAE0AXwBqAFwAIgAsACAAXAAiAGQAYQBpAGwAeQAgAG0AZQB0AGgAYQBuAGUAIABwAHIAbwBkAHUAYwB0AGkAbwBuAFwAIgAsACAAXAAiAGsAZwAgAEMASAA0AC8AaABlAGEAZAAvAGQAYQB5AFwAIgAsACAAXAAiAEMAYQBsAGMAdQBsAGEAdABlAGQAIABmAHIAbwBtACAAMwAuADEALgAxAC4AMQAsACAAKAAyACkAXAAiADsAXABuACAAIAAgACAAIAAgACAAIAAgACAAXAAiAE4AXwBqAFwAIgAsACAAXAAiAG4AdQBtAGIAZQByAHMAIABvAGYAIABmAGUAZQBkAGwAbwB0ACAAYwBhAHQAdABsAGUAIABpAG4AIABlAGEAYwBoACAAYwBhAHQAdABsAGUAIABsAG8AdA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zAF8AMQBfADEAXwAxAF8AXwAyAF8ARABhAGkAbAB5AEUAbgB0AGUAcgBpAGMATQBlAHQAaABhAG4AZQBQAHIAbwBkAHUAYwB0AGkAbwBuAFwAbgBEAGEAaQBsAHkAIABwAHIAbwBkAHUAYwB0AGkAbwBuACAAbwBmACAAZQBuAHQAZQByAGkAYwAgAG0AZQB0AGgAYQBuAGUAXABuAE0AXwBqAFwAbgBrAGcAIABDAEgANAAvAGgAZQBhAGQALwBkAGEAeQBcAG4ATQBfAGoAPQAoADUALgAxADEAXABcAHQAaQBtAGUAcwAgAEkAXwBqAC0ANAAuADAAMABcAFwAdABpAG0AZQBzACAARQBFAF8AagArADIALgAyADYAXABcAHQAaQBtAGUAcwAgAE4ARABGAF8AagApAFwAXAB0AGkAbQBlAHMAIAAxADAAXgB7AC0AMwB9AFwAbgBJAF8AagAgAD0AIABkAHIAeQAgAG0AYQB0AHQAZQByACAAaQBuAHQAYQBrAGUAIAAoAGsAZwAgAEQATQAvAGgAZQBhAGQALwBkAGEAeQApAFwAbgBFAEUAXwBqACAAPQAgAGUAdABoAGUAcgAgAGUAeAB0AHIAYQBjAHQAIABhAHMAIABhACAAcABlAHIAYwBlAG4AdABhAGcAZQAgAG8AZgAgAEkAXwBqACAAKABwAGUAcgAgAGMAZQBuAHQAKQBcAG4ATgBEAEYAXwBqACAAPQAgAG4AZQB1AHQAcgBhAGwAIABkAGUAdABlAHIAZwBlAG4AdAAgAGYAaQBiAHIAZQAgAGEAcwAgAGEAIABwAGUAcgBjAGUAbgB0AGEAZwBlACAAbwBmACAASQBfAGoAIAAoAHAAZQByACAAYwBlAG4AdAApAFwAbgAtAC0ALQAtAC0ALQAtAC0ALQAtAC0ALQAtAC0ALQAtAC0ALQAtAC0ALQAtAC0ALQAtAC0ALQAtAC0ALQAtAC0ALQAtAC0ALQAtAC0AXABuACoALwBcAG4AXABuAFYARQBFAFIARwBfADMAXwAxAF8AMQBfADEAXwBfADIAXwBEAGEAaQBsAHkARQBuAHQAZQByAGkAYwBNAGUAdABoAGEAbgBlAFAAcgBvAGQAdQBjAHQAaQBvAG4AXABuACAAIAA9AEwAQQBNAEIARABBACgAXABuACAAIAAgACAASQBfAGoALAAgAEUARQBfAGoALAAgAE4ARABGAF8AagAsAFwAbgAgACAAIAAgACgANQAuADEAMQAgACoAIABJAF8AagAgAC0AIAA0AC4AMAAwACAAKgAgAEUARQBfAGoAIAArACAAMgAuADIANgAgACoAIABOAEQARgBfAGoAKQAgACoAIAAxADAAIABeACAALQAzAFwAbgAgACAAKQA7AFwAbgBcAG4AVgBFAEUAUgBHAF8AMwBfADE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QBfADEAXwAxAF8AXwAyAF8ARABhAGkAbAB5AEUAbgB0AGUAcgBpAGMATQBlAHQAaABhAG4AZQBQAHIAbwBkAHUAYwB0AGkAbwBuAF8AVgBhAHIAaQBhAGIAbABlAFwAbgAgACAAPQBMAEEATQBCAEQAQQAoAFwAIgBNAF8AagBcACIAKQA7AFwAbgBcAG4AVgBFAEUAUgBHAF8AMwBfADEAXwAxAF8AMQBfAF8AMgBfAEQAYQBpAGwAeQBFAG4AdABlAHIAaQBjAE0AZQB0AGgAYQBuAGUAUAByAG8AZAB1AGMAdABpAG8AbgBfAFUAbgBpAHQAXABuACAAIAA9AEwAQQBNAEIARABBACgAXAAiAGsAZwAgAEMASAA0AC8AaABlAGEAZAAvAGQAYQB5AFwAIgApADsAXABuAFwAbgBWAEUARQBSAEcAXwAzAF8AMQBfADEAXwAxAF8AXwAyAF8ARABhAGkAbAB5AEUAbgB0AGUAcgBpAGMATQBlAHQAaABhAG4AZQBQAHIAbwBkAHUAYwB0AGkAbwBuAF8AUwBvAHUAcgBjAGUAXABuACAAIAA9AEwAQQBNAEIARABBACgAXAAiAFYARQBFAFIARwAgADIAMAAyADYAOgAgADMALgAxAC4AMQAuADEALAAgAEUAcQB1AGEAdABpAG8AbgAgACgAMgApAFwAIgApADsAXABuAFwAbgBWAEUARQBSAEcAXwAzAF8AMQBfADEAXwAxAF8AXwAyAF8ARABhAGkAbAB5AEUAbgB0AGUAcgBpAGMATQBlAHQAaABhAG4AZQBQAHIAbwBkAHUAYwB0AGkAbwBuAF8ATgBJAFIAUgBlAGYAZQByAGUAbgBjAGUAXABuACAAIAA9AEwAQQBNAEIARABBACgAXAAiAEEAbABtAGUAaQBkAGEAIABlAHQAIABhAGwALgAgACgAMgAwADIANQApAFwAIgApADsAXABuAFwAbgBWAEUARQBSAEcAXwAzAF8AMQBfADEAXwAxAF8AXwAyAF8ARABhAGkAbAB5AEUAbgB0AGUAcgBpAGMATQBlAHQAaABhAG4AZQBQAHIAbwBkAHUAYwB0AGkAbwBuAF8ATABhAHQAZQB4AEUAcQB1AGEAdABpAG8AbgBcAG4AIAAgAD0ATABBAE0AQgBEAEEAKABcACIATQBfAGoAPQAoADUALgAxADEAXABcAHQAaQBtAGUAcwAgAEkAXwBqAC0ANAAuADAAMABcAFwAdABpAG0AZQBzACAARQBFAF8AagArADIALgAyADYAXABcAHQAaQBtAGUAcwAgAE4ARABGAF8AagApAFwAXAB0AGkAbQBlAHMAIAAxADAAXgB7AC0AMwB9AFwAIgApADsAXABuAFwAbgBWAEUARQBSAEcAXwAzAF8AMQBfADEAXwAxAF8AXwAyAF8ARABhAGkAbAB5AEUAbgB0AGUAcgBpAGMATQBlAHQAaABhAG4AZQBQAHIAbwBkAHUAYwB0AGkAbwBuAF8AQQByAGcAdQBtAGUAbgB0AHMAXABuACAAIAA9AEwAQQBNAEIARABBACgAXABuACAAIAAgACAATQBBAEsARQBBAFIAUgBBAFkAKAAzACwAIAA0ACwAXABuACAAIAAgACAAIAAgAEwAQQBNAEIARABBACgAcgAsAGMALABcAG4AIAAgACAAIAAgACAAIAAgAEkATgBEAEUAWAAoAHsAXABuACAAIAAgACAAIAAgACAAIAAgACAAXAAiAEkAXwBqAFwAIgAsACAAXAAiAGQAcgB5ACAAbQBhAHQAdABlAHIAIABpAG4AdABhAGsAZQBcACIALAAgAFwAIgBrAGcAIABEAE0ALwBoAGUAYQBkAC8AZABhAHkAXAAiACwAIABcACIASQBuAHAAdQB0AFwAIgA7AFwAbgAgACAAIAAgACAAIAAgACAAIAAgAFwAIgBFAEUAXwBqAFwAIgAsACAAXAAiAGUAdABoAGUAcgAgAGUAeAB0AHIAYQBjAHQAIABhAHMAIABhACAAcABlAHIAYwBlAG4AdABhAGcAZQAgAG8AZgAgAEkAXwBqAFwAIgAsACAAXAAiAHAAZQByACAAYwBlAG4AdABcACIALAAgAFwAIgBJAG4AcAB1AHQAXAAiADsAXABuACAAIAAgACAAIAAgACAAIAAgACAAXAAiAE4ARABGAF8AagBcACIALAAgAFwAIgBuAGUAdQB0AHIAYQBsACAAZABlAHQAZQByAGcAZQBuAHQAIABmAGkAYgByAGUAIABhAHMAIABhACAAcABlAHIAYwBlAG4AdABhAGcAZQAgAG8AZgAgAEkAXwBqAFwAIgAsACAAXAAiAHAAZQByACAAYwBlAG4AdABcACIALAAgAFwAIgBJAG4AcAB1AHQAXAAiAFwAbgAgACAAIAAgACAAIAAgACAAfQAsACAAcgAsACAAYwApAFwAbgAgACAAIAAgACAAIAApAFwAbgAgACAAIAAgACkAXABuACAAIAApADs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CIALAAiAEMAbwBtAG0AbwBuAF8ASQBuAHAAdQB0AEYAdQBuAGMAdABpAG8AbgBzAC4AVQB0AGkAbABpAHQAeQBfAEQAaQBzAHAAbABhAHkAQQByAGcAdQBtAGUAbgB0AHMAXwAxAF8AMgAiACwAIgBDAG8AbQBtAG8AbgBfAEkAbgBwAHUAdABGAHUAbgBjAHQAaQBvAG4AcwAuAFUAdABpAGwAaQB0AHkAXwBEAGkAcwBwAGwAYQB5AEEAcgBnAHUAbQBlAG4AdABzAF8AMwBfADQAIgAsACIAQwBvAG0AbQBvAG4AXwBJAG4AcAB1AHQARgB1AG4AYwB0AGkAbwBuAHMALgBDAG8AbQBtAG8AbgBfAEcAZQB0AE0AQwBGAFQAZQBtAHAAZQByAGEAdAB1AHIAZQBaAG8AbgBlACIALAAiAFMAbwB1AHIAYwBlAEQAYQB0AGEAXwBGAGUAZQBkAGwAbwB0AC4AUwBvAHUAcgBjAGUARABhAHQAYQBfAEYAZQBlAGQAbABvAHQAXwBWAFMATABfAFQAaQB0AGwAZQAiACwAIgBTAG8AdQByAGMAZQBEAGEAdABhAF8ARgBlAGUAZABsAG8AdAAuAFMAbwB1AHIAYwBlAEQAYQB0AGEAXwBGAGUAZQBkAGwAbwB0AF8AVgBTAEwAXwBWAGEAcgBpAGEAYgBsAGUAIgAsACIAUwBvAHUAcgBjAGUARABhAHQAYQBfAEYAZQBlAGQAbABvAHQALgBTAG8AdQByAGMAZQBEAGEAdABhAF8ARgBlAGUAZABsAG8AdABfAFYAUwBMAF8AVQBuAGkAdAAiACwAIgBTAG8AdQByAGMAZQBEAGEAdABhAF8ARgBlAGUAZABsAG8AdAAuAFMAbwB1AHIAYwBlAEQAYQB0AGEAXwBGAGUAZQBkAGwAbwB0AF8AVgBTAEwAXwBTAG8AdQByAGMAZQAiACwAIgBTAG8AdQByAGMAZQBEAGEAdABhAF8ARgBlAGUAZABsAG8AdAAuAFMAbwB1AHIAYwBlAEQAYQB0AGEAXwBGAGUAZQBkAGwAbwB0AF8AVgBTAEwAXwBWAGEAcgBpAGEAdABpAG8AbgAiACwAIgBTAG8AdQByAGMAZQBEAGEAdABhAF8ARgBlAGUAZABsAG8AdAAuAFMAbwB1AHIAYwBlAEQAYQB0AGEAXwBGAGUAZQBkAGwAbwB0AF8AVgBTAEwAXwBEAGEAdABhACIALAAiAFMAbwB1AHIAYwBlAEQAYQB0AGEAXwBGAGUAZQBkAGwAbwB0AC4AUwBvAHUAcgBjAGUARABhAHQAYQBfAEYAZQBlAGQAbABvAHQAXwBNAE0AUwBtADEAVAAzAF8AVABpAHQAbABlACIALAAiAFMAbwB1AHIAYwBlAEQAYQB0AGEAXwBGAGUAZQBkAGwAbwB0AC4AUwBvAHUAcgBjAGUARABhAHQAYQBfAEYAZQBlAGQAbABvAHQAXwBNAE0AUwBtADEAVAAzAF8AVgBhAHIAaQBhAGIAbABlACIALAAiAFMAbwB1AHIAYwBlAEQAYQB0AGEAXwBGAGUAZQBkAGwAbwB0AC4AUwBvAHUAcgBjAGUARABhAHQAYQBfAEYAZQBlAGQAbABvAHQAXwBNAE0AUwBtADEAVAAzAF8AVQBuAGkAdAAiACwAIgBTAG8AdQByAGMAZQBEAGEAdABhAF8ARgBlAGUAZABsAG8AdAAuAFMAbwB1AHIAYwBlAEQAYQB0AGEAXwBGAGUAZQBkAGwAbwB0AF8ATQBNAFMAbQAxAFQAMwBfAFMAbwB1AHIAYwBlACIALAAiAFMAbwB1AHIAYwBlAEQAYQB0AGEAXwBGAGUAZQBkAGwAbwB0AC4AUwBvAHUAcgBjAGUARABhAHQAYQBfAEYAZQBlAGQAbABvAHQAXwBNAE0AUwBtADEAVAAzAF8AVgBhAHIAaQBhAHQAaQBvAG4AIgAsACIAUwBvAHUAcgBjAGUARABhAHQAYQBfAEYAZQBlAGQAbABvAHQALgBTAG8AdQByAGMAZQBEAGEAdABhAF8ARgBlAGUAZABsAG8AdABfAE0ATQBTAG0AMQBUADMAXwBEAGEAdABhACIALAAiAFMAbwB1AHIAYwBlAEQAYQB0AGEAXwBGAGUAZQBkAGwAbwB0AC4AUwBvAHUAcgBjAGUARABhAHQAYQBfAEYAZQBlAGQAbABvAHQAXwBBAHMAaABDAG8AbgB0AGUAbgB0AF8AVABpAHQAbABlACIALAAiAFMAbwB1AHIAYwBlAEQAYQB0AGEAXwBGAGUAZQBkAGwAbwB0AC4AUwBvAHUAcgBjAGUARABhAHQAYQBfAEYAZQBlAGQAbABvAHQAXwBBAHMAaABDAG8AbgB0AGUAbgB0AF8AVgBhAHIAaQBhAGIAbABlACIALAAiAFMAbwB1AHIAYwBlAEQAYQB0AGEAXwBGAGUAZQBkAGwAbwB0AC4AUwBvAHUAcgBjAGUARABhAHQAYQBfAEYAZQBlAGQAbABvAHQAXwBBAHMAaABDAG8AbgB0AGUAbgB0AF8AVQBuAGkAdAAiACwAIgBTAG8AdQByAGMAZQBEAGEAdABhAF8ARgBlAGUAZABsAG8AdAAuAFMAbwB1AHIAYwBlAEQAYQB0AGEAXwBGAGUAZQBkAGwAbwB0AF8AQQBzAGgAQwBvAG4AdABlAG4AdABfAFMAbwB1AHIAYwBlACIALAAiAFMAbwB1AHIAYwBlAEQAYQB0AGEAXwBGAGUAZQBkAGwAbwB0AC4AUwBvAHUAcgBjAGUARABhAHQAYQBfAEYAZQBlAGQAbABvAHQAXwBBAHMAaABDAG8AbgB0AGUAbgB0AF8AVgBhAHIAaQBhAHQAaQBvAG4AIgAsACIAUwBvAHUAcgBjAGUARABhAHQAYQBfAEYAZQBlAGQAbABvAHQALgBTAG8AdQByAGMAZQBEAGEAdABhAF8ARgBlAGUAZABsAG8AdABfAEEAcwBoAEMAbwBuAHQAZQBuAHQAXwBEAGEAdABhACIALAAiAFMAbwB1AHIAYwBlAEQAYQB0AGEAXwBGAGUAZQBkAGwAbwB0AC4AUwBvAHUAcgBjAGUARABhAHQAYQBfAEYAZQBlAGQAbABvAHQAXwBNAGUAdABoAGEAbgBlAEUAbQBpAHMAcwBpAG8AbgBzAFAAbwB0AGUAbgB0AGkAYQBsAF8AVABpAHQAbABlACIALAAiAFMAbwB1AHIAYwBlAEQAYQB0AGEAXwBGAGUAZQBkAGwAbwB0AC4AUwBvAHUAcgBjAGUARABhAHQAYQBfAEYAZQBlAGQAbABvAHQAXwBNAGUAdABoAGEAbgBlAEUAbQBpAHMAcwBpAG8AbgBzAFAAbwB0AGUAbgB0AGkAYQBsAF8AVgBhAHIAaQBhAGIAbABlACIALAAiAFMAbwB1AHIAYwBlAEQAYQB0AGEAXwBGAGUAZQBkAGwAbwB0AC4AUwBvAHUAcgBjAGUARABhAHQAYQBfAEYAZQBlAGQAbABvAHQAXwBNAGUAdABoAGEAbgBlAEUAbQBpAHMAcwBpAG8AbgBzAFAAbwB0AGUAbgB0AGkAYQBsAF8AVQBuAGkAdAAiACwAIgBTAG8AdQByAGMAZQBEAGEAdABhAF8ARgBlAGUAZABsAG8AdAAuAFMAbwB1AHIAYwBlAEQAYQB0AGEAXwBGAGUAZQBkAGwAbwB0AF8ATQBlAHQAaABhAG4AZQBFAG0AaQBzAHMAaQBvAG4AcwBQAG8AdABlAG4AdABpAGEAbABfAFMAbwB1AHIAYwBlACIALAAiAFMAbwB1AHIAYwBlAEQAYQB0AGEAXwBGAGUAZQBkAGwAbwB0AC4AUwBvAHUAcgBjAGUARABhAHQAYQBfAEYAZQBlAGQAbABvAHQAXwBNAGUAdABoAGEAbgBlAEUAbQBpAHMAcwBpAG8AbgBzAFAAbwB0AGUAbgB0AGkAYQBsAF8AVgBhAHIAaQBhAHQAaQBvAG4AIgAsACIAUwBvAHUAcgBjAGUARABhAHQAYQBfAEYAZQBlAGQAbABvAHQALgBTAG8AdQByAGMAZQBEAGEAdABhAF8ARgBlAGUAZABsAG8AdABfAE0AZQB0AGgAYQBuAGUARQBtAGkAcwBzAGkAbwBuAHMAUABvAHQAZQBuAHQAaQBhAGwAXwBEAGEAdABhACIALAAiAFMAbwB1AHIAYwBlAEQAYQB0AGEAXwBGAGUAZQBkAGwAbwB0AC4AUwBvAHUAcgBjAGUARABhAHQAYQBfAEYAZQBlAGQAbABvAHQAXwBTAHQAYQBnAGUAMQBNAE0AUwBPAHAAdABpAG8AbgBzACIALAAiAFMAbwB1AHIAYwBlAEQAYQB0AGEAXwBGAGUAZQBkAGwAbwB0AC4AUwBvAHUAcgBjAGUARABhAHQAYQBfAEYAZQBlAGQAbABvAHQAXwBTAHQAYQBnAGUAMgBNAE0AUwBPAHAAdABpAG8AbgBzACIALAAiAFMAbwB1AHIAYwBlAEQAYQB0AGEAXwBGAGUAZQBkAGwAbwB0AC4AUwBvAHUAcgBjAGUARABhAHQAYQBfAEYAZQBlAGQAbABvAHQAXwBTAHQAYQBnAGUAMwBNAE0AUwBPAHAAdABpAG8AbgBzACIALAAiAFMAbwB1AHIAYwBlAEQAYQB0AGEAXwBGAGUAZQBkAGwAbwB0AC4AUwBvAHUAcgBjAGUARABhAHQAYQBfAEYAZQBlAGQAbABvAHQAXwBMAGkAdgBlAHMAdABvAGMAawBDAGwAYQBzAHMAZQBzACIALAAiAFMAbwB1AHIAYwBlAEQAYQB0AGEAXwBGAGUAZQBkAGwAbwB0AC4AUwBvAHUAcgBjAGUARABhAHQAYQBfAEYAZQBlAGQAbABvAHQAXwBEAHUAcgBhAHQAaQBvAG4ATwBmAFMAdABhAHkAXwBUAGkAdABsAGUAIgAsACIAUwBvAHUAcgBjAGUARABhAHQAYQBfAEYAZQBlAGQAbABvAHQALgBTAG8AdQByAGMAZQBEAGEAdABhAF8ARgBlAGUAZABsAG8AdABfAEQAdQByAGEAdABpAG8AbgBPAGYAUwB0AGEAeQBfAFUAbgBpAHQAIgAsACIAUwBvAHUAcgBjAGUARABhAHQAYQBfAEYAZQBlAGQAbABvAHQALgBTAG8AdQByAGMAZQBEAGEAdABhAF8ARgBlAGUAZABsAG8AdABfAEQAdQByAGEAdABpAG8AbgBPAGYAUwB0AGEAeQBfAFMAbwB1AHIAYwBlACIALAAiAFMAbwB1AHIAYwBlAEQAYQB0AGEAXwBGAGUAZQBkAGwAbwB0AC4AUwBvAHUAcgBjAGUARABhAHQAYQBfAEYAZQBlAGQAbABvAHQAXwBEAHUAcgBhAHQAaQBvAG4ATwBmAFMAdABhAHkAXwBWAGEAcgBpAGEAdABpAG8AbgAiACwAIgBTAG8AdQByAGMAZQBEAGEAdABhAF8ARgBlAGUAZABsAG8AdAAuAFMAbwB1AHIAYwBlAEQAYQB0AGEAXwBGAGUAZQBkAGwAbwB0AF8ARAB1AHIAYQB0AGkAbwBuAE8AZgBTAHQAYQB5AF8ARABhAHQAYQAiACwAIgBTAG8AdQByAGMAZQBEAGEAdABhAF8ARgBlAGUAZABsAG8AdAAuAFMAbwB1AHIAYwBlAEQAYQB0AGEAXwBGAGUAZQBkAGwAbwB0AF8AQQBuAGkAbQBhAGwAQwBoAGEAcgBhAGMAdABlAHIAaQBzAHQAaQBjAHMAXwBUAGkAdABsAGUAIgAsACIAUwBvAHUAcgBjAGUARABhAHQAYQBfAEYAZQBlAGQAbABvAHQALgBTAG8AdQByAGMAZQBEAGEAdABhAF8ARgBlAGUAZABsAG8AdABfAEEAbgBpAG0AYQBsAEMAaABhAHIAYQBjAHQAZQByAGkAcwB0AGkAYwBzAF8AVQBuAGkAdAAiACwAIgBTAG8AdQByAGMAZQBEAGEAdABhAF8ARgBlAGUAZABsAG8AdAAuAFMAbwB1AHIAYwBlAEQAYQB0AGEAXwBGAGUAZQBkAGwAbwB0AF8AQQBuAGkAbQBhAGwAQwBoAGEAcgBhAGMAdABlAHIAaQBzAHQAaQBjAHMAXwBTAG8AdQByAGMAZQAiACwAIgBTAG8AdQByAGMAZQBEAGEAdABhAF8ARgBlAGUAZABsAG8AdAAuAFMAbwB1AHIAYwBlAEQAYQB0AGEAXwBGAGUAZQBkAGwAbwB0AF8AQQBuAGkAbQBhAGwAQwBoAGEAcgBhAGMAdABlAHIAaQBzAHQAaQBjAHMAXwBWAGEAcgBpAGEAdABpAG8AbgAiACwAIgBTAG8AdQByAGMAZQBEAGEAdABhAF8ARgBlAGUAZABsAG8AdAAuAFMAbwB1AHIAYwBlAEQAYQB0AGEAXwBGAGUAZQBkAGwAbwB0AF8AQQBuAGkAbQBhAGwAQwBoAGEAcgBhAGMAdABlAHIAaQBzAHQAaQBjAHMAXwBEAGEAdABhACIALAAiAFMAbwB1AHIAYwBlAEQAYQB0AGEAXwBGAGUAZQBkAGwAbwB0AC4AUwBvAHUAcgBjAGUARABhAHQAYQBfAEYAZQBlAGQAbABvAHQAXwBEAGkAZQB0AFAAcgBvAHAAZQByAHQAaQBlAHMAXwBUAGkAdABsAGUAIgAsACIAUwBvAHUAcgBjAGUARABhAHQAYQBfAEYAZQBlAGQAbABvAHQALgBTAG8AdQByAGMAZQBEAGEAdABhAF8ARgBlAGUAZABsAG8AdABfAEQAaQBlAHQAUAByAG8AcABlAHIAdABpAGUAcwBfAFUAbgBpAHQAIgAsACIAUwBvAHUAcgBjAGUARABhAHQAYQBfAEYAZQBlAGQAbABvAHQALgBTAG8AdQByAGMAZQBEAGEAdABhAF8ARgBlAGUAZABsAG8AdABfAEQAaQBlAHQAUAByAG8AcABlAHIAdABpAGUAcwBfAFMAbwB1AHIAYwBlACIALAAiAFMAbwB1AHIAYwBlAEQAYQB0AGEAXwBGAGUAZQBkAGwAbwB0AC4AUwBvAHUAcgBjAGUARABhAHQAYQBfAEYAZQBlAGQAbABvAHQAXwBEAGkAZQB0AFAAcgBvAHAAZQByAHQAaQBlAHMAXwBWAGEAcgBpAGEAdABpAG8AbgAiACwAIgBTAG8AdQByAGMAZQBEAGEAdABhAF8ARgBlAGUAZABsAG8AdAAuAFMAbwB1AHIAYwBlAEQAYQB0AGEAXwBGAGUAZQBkAGwAbwB0AF8ARABpAGUAdABQAHIAbwBwAGUAcgB0AGkAZQBzAF8ARABhAHQAYQAiACwAIgBTAG8AdQByAGMAZQBEAGEAdABhAF8ARgBlAGUAZABsAG8AdAAuAFMAbwB1AHIAYwBlAEQAYQB0AGEAXwBGAGUAZQBkAGwAbwB0AF8ATQBDAEYAXwBUAGkAdABsAGUAIgAsACIAUwBvAHUAcgBjAGUARABhAHQAYQBfAEYAZQBlAGQAbABvAHQALgBTAG8AdQByAGMAZQBEAGEAdABhAF8ARgBlAGUAZABsAG8AdABfAE0AQwBGAF8AVQBuAGkAdAAiACwAIgBTAG8AdQByAGMAZQBEAGEAdABhAF8ARgBlAGUAZABsAG8AdAAuAFMAbwB1AHIAYwBlAEQAYQB0AGEAXwBGAGUAZQBkAGwAbwB0AF8ATQBDAEYAXwBTAG8AdQByAGMAZQAiACwAIgBTAG8AdQByAGMAZQBEAGEAdABhAF8ARgBlAGUAZABsAG8AdAAuAFMAbwB1AHIAYwBlAEQAYQB0AGEAXwBGAGUAZQBkAGwAbwB0AF8ATQBDAEYAXwBWAGEAcgBpAGEAdABpAG8AbgAiACwAIgBTAG8AdQByAGMAZQBEAGEAdABhAF8ARgBlAGUAZABsAG8AdAAuAFMAbwB1AHIAYwBlAEQAYQB0AGEAXwBGAGUAZQBkAGwAbwB0AF8ATQBDAEYAXwBEAGEAdABhACIALAAiAFMAbwB1AHIAYwBlAEQAYQB0AGEAXwBGAGUAZQBkAGwAbwB0AC4AUwBvAHUAcgBjAGUARABhAHQAYQBfAEYAZQBlAGQAbABvAHQAXwBOAGkAdAByAG8AdQBzAE8AeABpAGQAZQBFAEYAcwBfAFQAaQB0AGwAZQAiACwAIgBTAG8AdQByAGMAZQBEAGEAdABhAF8ARgBlAGUAZABsAG8AdAAuAFMAbwB1AHIAYwBlAEQAYQB0AGEAXwBGAGUAZQBkAGwAbwB0AF8ATgBpAHQAcgBvAHUAcwBPAHgAaQBkAGUARQBGAHMAXwBVAG4AaQB0ACIALAAiAFMAbwB1AHIAYwBlAEQAYQB0AGEAXwBGAGUAZQBkAGwAbwB0AC4AUwBvAHUAcgBjAGUARABhAHQAYQBfAEYAZQBlAGQAbABvAHQAXwBOAGkAdAByAG8AdQBzAE8AeABpAGQAZQBFAEYAcwBfAFMAbwB1AHIAYwBlACIALAAiAFMAbwB1AHIAYwBlAEQAYQB0AGEAXwBGAGUAZQBkAGwAbwB0AC4AUwBvAHUAcgBjAGUARABhAHQAYQBfAEYAZQBlAGQAbABvAHQAXwBOAGkAdAByAG8AdQBzAE8AeABpAGQAZQBFAEYAcwBfAFYAYQByAGkAYQB0AGkAbwBuACIALAAiAFMAbwB1AHIAYwBlAEQAYQB0AGEAXwBGAGUAZQBkAGwAbwB0AC4AUwBvAHUAcgBjAGUARABhAHQAYQBfAEYAZQBlAGQAbABvAHQAXwBOAGkAdAByAG8AdQBzAE8AeABpAGQAZQBFAEYAcwBfAEQAYQB0AGEAIgAsACIAUwBvAHUAcgBjAGUARABhAHQAYQBfAEYAZQBlAGQAbABvAHQALgBTAG8AdQByAGMAZQBEAGEAdABhAF8ARgBlAGUAZABsAG8AdABfAEYAcgBhAGMATgBWAG8AbABhAHQAaQBsAGkAcwBlAGQAXwBUAGkAdABsAGUAIgAsACIAUwBvAHUAcgBjAGUARABhAHQAYQBfAEYAZQBlAGQAbABvAHQALgBTAG8AdQByAGMAZQBEAGEAdABhAF8ARgBlAGUAZABsAG8AdABfAEYAcgBhAGMATgBWAG8AbABhAHQAaQBsAGkAcwBlAGQAXwBVAG4AaQB0ACIALAAiAFMAbwB1AHIAYwBlAEQAYQB0AGEAXwBGAGUAZQBkAGwAbwB0AC4AUwBvAHUAcgBjAGUARABhAHQAYQBfAEYAZQBlAGQAbABvAHQAXwBGAHIAYQBjAE4AVgBvAGwAYQB0AGkAbABpAHMAZQBkAF8AUwBvAHUAcgBjAGUAIgAsACIAUwBvAHUAcgBjAGUARABhAHQAYQBfAEYAZQBlAGQAbABvAHQALgBTAG8AdQByAGMAZQBEAGEAdABhAF8ARgBlAGUAZABsAG8AdABfAEYAcgBhAGMATgBWAG8AbABhAHQAaQBsAGkAcwBlAGQAXwBWAGEAcgBpAGEAdABpAG8AbgAiACwAIgBTAG8AdQByAGMAZQBEAGEAdABhAF8ARgBlAGUAZABsAG8AdAAuAFMAbwB1AHIAYwBlAEQAYQB0AGEAXwBGAGUAZQBkAGwAbwB0AF8ARgByAGEAYwBOAFYAbwBsAGEAdABpAGwAaQBzAGUAZABfAEQAYQB0AGEAIgAsACIARQBuAHQAZQByAGkAYwBNAGUAdABoAGEAbgBlAF8ARgBlAGUAZABsAG8AdABfAEUAcQB1AGEAdABpAG8AbgBzAC4AVgBFAEUAUgBHAF8AMwBfADEAXwAxAF8AMQBfAF8AMQBfAFQAbwB0AGEAbABBAG4AbgB1AGEAbABNAGUAdABoAGEAbgBlAEYAcgBvAG0ARQBuAHQAZQByAGkAYwBGAGUAcgBtAGUAbgB0AGEAdABpAG8AbgAiACwAIgBFAG4AdABlAHIAaQBjAE0AZQB0AGgAYQBuAGUAXwBGAGUAZQBkAGwAbwB0AF8ARQBxAHUAYQB0AGkAbwBuAHMALgBWAEUARQBSAEcAXwAzAF8AMQBfADEAXwAxAF8AXwAxAF8AVABvAHQAYQBsAEEAbgBuAHUAYQBsAE0AZQB0AGgAYQBuAGUARgByAG8AbQBFAG4AdABlAHIAaQBjAEYAZQByAG0AZQBuAHQAYQB0AGkAbwBuAF8AVABpAHQAbABlACIALAAiAEUAbgB0AGUAcgBpAGMATQBlAHQAaABhAG4AZQBfAEYAZQBlAGQAbABvAHQAXwBFAHEAdQBhAHQAaQBvAG4AcwAuAFYARQBFAFIARwBfADMAXwAxAF8AMQBfADEAXwBfADEAXwBUAG8AdABhAGwAQQBuAG4AdQBhAGwATQBlAHQAaABhAG4AZQBGAHIAbwBtAEUAbgB0AGUAcgBpAGMARgBlAHIAbQBlAG4AdABhAHQAaQBvAG4AXwBWAGEAcgBpAGEAYgBsAGUAIgAsACIARQBuAHQAZQByAGkAYwBNAGUAdABoAGEAbgBlAF8ARgBlAGUAZABsAG8AdABfAEUAcQB1AGEAdABpAG8AbgBzAC4AVgBFAEUAUgBHAF8AMwBfADEAXwAxAF8AMQBfAF8AMQBfAFQAbwB0AGEAbABBAG4AbgB1AGEAbABNAGUAdABoAGEAbgBlAEYAcgBvAG0ARQBuAHQAZQByAGkAYwBGAGUAcgBtAGUAbgB0AGEAdABpAG8AbgBfAFUAbgBpAHQAIgAsACIARQBuAHQAZQByAGkAYwBNAGUAdABoAGEAbgBlAF8ARgBlAGUAZABsAG8AdABfAEUAcQB1AGEAdABpAG8AbgBzAC4AVgBFAEUAUgBHAF8AMwBfADEAXwAxAF8AMQBfAF8AMQBfAFQAbwB0AGEAbABBAG4AbgB1AGEAbABNAGUAdABoAGEAbgBlAEYAcgBvAG0ARQBuAHQAZQByAGkAYwBGAGUAcgBtAGUAbgB0AGEAdABpAG8AbgBfAFMAbwB1AHIAYwBlACIALAAiAEUAbgB0AGUAcgBpAGMATQBlAHQAaABhAG4AZQBfAEYAZQBlAGQAbABvAHQAXwBFAHEAdQBhAHQAaQBvAG4AcwAuAFYARQBFAFIARwBfADMAXwAxAF8AMQBfADEAXwBfADEAXwBUAG8AdABhAGwAQQBuAG4AdQBhAGwATQBlAHQAaABhAG4AZQBGAHIAbwBtAEUAbgB0AGUAcgBpAGMARgBlAHIAbQBlAG4AdABhAHQAaQBvAG4AXwBOAEkAUgBSAGUAZgBlAHIAZQBuAGMAZQAiACwAIgBFAG4AdABlAHIAaQBjAE0AZQB0AGgAYQBuAGUAXwBGAGUAZQBkAGwAbwB0AF8ARQBxAHUAYQB0AGkAbwBuAHMALgBWAEUARQBSAEcAXwAzAF8AMQBfADEAXwAxAF8AXwAxAF8AVABvAHQAYQBsAEEAbgBuAHUAYQBsAE0AZQB0AGgAYQBuAGUARgByAG8AbQBFAG4AdABlAHIAaQBjAEYAZQByAG0AZQBuAHQAYQB0AGkAbwBuAF8ATABhAHQAZQB4AEUAcQB1AGEAdABpAG8AbgAiACwAIgBFAG4AdABlAHIAaQBjAE0AZQB0AGgAYQBuAGUAXwBGAGUAZQBkAGwAbwB0AF8ARQBxAHUAYQB0AGkAbwBuAHMALgBWAEUARQBSAEcAXwAzAF8AMQBfADEAXwAxAF8AXwAxAF8AVABvAHQAYQBsAEEAbgBuAHUAYQBsAE0AZQB0AGgAYQBuAGUARgByAG8AbQBFAG4AdABlAHIAaQBjAEYAZQByAG0AZQBuAHQAYQB0AGkAbwBuAF8AQQByAGcAdQBtAGUAbgB0AHMAIgAsACIARQBuAHQAZQByAGkAYwBNAGUAdABoAGEAbgBlAF8ARgBlAGUAZABsAG8AdABfAEUAcQB1AGEAdABpAG8AbgBzAC4AVgBFAEUAUgBHAF8AMwBfADEAXwAxAF8AMQBfAF8AMgBfAEQAYQBpAGwAeQBFAG4AdABlAHIAaQBjAE0AZQB0AGgAYQBuAGUAUAByAG8AZAB1AGMAdABpAG8AbgAiACwAIgBFAG4AdABlAHIAaQBjAE0AZQB0AGgAYQBuAGUAXwBGAGUAZQBkAGwAbwB0AF8ARQBxAHUAYQB0AGkAbwBuAHMALgBWAEUARQBSAEcAXwAzAF8AMQBfADEAXwAxAF8AXwAyAF8ARABhAGkAbAB5AEUAbgB0AGUAcgBpAGMATQBlAHQAaABhAG4AZQBQAHIAbwBkAHUAYwB0AGkAbwBuAF8AVABpAHQAbABlACIALAAiAEUAbgB0AGUAcgBpAGMATQBlAHQAaABhAG4AZQBfAEYAZQBlAGQAbABvAHQAXwBFAHEAdQBhAHQAaQBvAG4AcwAuAFYARQBFAFIARwBfADMAXwAxAF8AMQBfADEAXwBfADIAXwBEAGEAaQBsAHkARQBuAHQAZQByAGkAYwBNAGUAdABoAGEAbgBlAFAAcgBvAGQAdQBjAHQAaQBvAG4AXwBWAGEAcgBpAGEAYgBsAGUAIgAsACIARQBuAHQAZQByAGkAYwBNAGUAdABoAGEAbgBlAF8ARgBlAGUAZABsAG8AdABfAEUAcQB1AGEAdABpAG8AbgBzAC4AVgBFAEUAUgBHAF8AMwBfADEAXwAxAF8AMQBfAF8AMgBfAEQAYQBpAGwAeQBFAG4AdABlAHIAaQBjAE0AZQB0AGgAYQBuAGUAUAByAG8AZAB1AGMAdABpAG8AbgBfAFUAbgBpAHQAIgAsACIARQBuAHQAZQByAGkAYwBNAGUAdABoAGEAbgBlAF8ARgBlAGUAZABsAG8AdABfAEUAcQB1AGEAdABpAG8AbgBzAC4AVgBFAEUAUgBHAF8AMwBfADEAXwAxAF8AMQBfAF8AMgBfAEQAYQBpAGwAeQBFAG4AdABlAHIAaQBjAE0AZQB0AGgAYQBuAGUAUAByAG8AZAB1AGMAdABpAG8AbgBfAFMAbwB1AHIAYwBlACIALAAiAEUAbgB0AGUAcgBpAGMATQBlAHQAaABhAG4AZQBfAEYAZQBlAGQAbABvAHQAXwBFAHEAdQBhAHQAaQBvAG4AcwAuAFYARQBFAFIARwBfADMAXwAxAF8AMQBfADEAXwBfADIAXwBEAGEAaQBsAHkARQBuAHQAZQByAGkAYwBNAGUAdABoAGEAbgBlAFAAcgBvAGQAdQBjAHQAaQBvAG4AXwBOAEkAUgBSAGUAZgBlAHIAZQBuAGMAZQAiACwAIgBFAG4AdABlAHIAaQBjAE0AZQB0AGgAYQBuAGUAXwBGAGUAZQBkAGwAbwB0AF8ARQBxAHUAYQB0AGkAbwBuAHMALgBWAEUARQBSAEcAXwAzAF8AMQBfADEAXwAxAF8AXwAyAF8ARABhAGkAbAB5AEUAbgB0AGUAcgBpAGMATQBlAHQAaABhAG4AZQBQAHIAbwBkAHUAYwB0AGkAbwBuAF8ATABhAHQAZQB4AEUAcQB1AGEAdABpAG8AbgAiACwAIgBFAG4AdABlAHIAaQBjAE0AZQB0AGgAYQBuAGUAXwBGAGUAZQBkAGwAbwB0AF8ARQBxAHUAYQB0AGkAbwBuAHMALgBWAEUARQBSAEcAXwAzAF8AMQBfADEAXwAxAF8AXwAyAF8ARABhAGkAbAB5AEUAbgB0AGUAcgBpAGMATQBlAHQAaABhAG4AZQBQAHIAbwBkAHUAYwB0AGkAbwBu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21</vt:i4>
      </vt:variant>
    </vt:vector>
  </HeadingPairs>
  <TitlesOfParts>
    <vt:vector size="32" baseType="lpstr">
      <vt:lpstr>Home</vt:lpstr>
      <vt:lpstr>Overview</vt:lpstr>
      <vt:lpstr>Results</vt:lpstr>
      <vt:lpstr>Input - Site</vt:lpstr>
      <vt:lpstr>Input - Feedlot</vt:lpstr>
      <vt:lpstr>3.1.1.1-2 Enteric Methane</vt:lpstr>
      <vt:lpstr>Constants - Feedlot</vt:lpstr>
      <vt:lpstr>Constants - Common</vt:lpstr>
      <vt:lpstr>Constants - Livestock</vt:lpstr>
      <vt:lpstr>Acknowledgements</vt:lpstr>
      <vt:lpstr>Tab template</vt:lpstr>
      <vt:lpstr>Common_SourceData_DensityOfMethane_Data</vt:lpstr>
      <vt:lpstr>Input_Site_EndDate</vt:lpstr>
      <vt:lpstr>Input_Site_FarmName</vt:lpstr>
      <vt:lpstr>Input_Site_ReportingEntityName</vt:lpstr>
      <vt:lpstr>Input_Site_StartDate</vt:lpstr>
      <vt:lpstr>M1_Table_E_CH4</vt:lpstr>
      <vt:lpstr>M1_Table_EE_j</vt:lpstr>
      <vt:lpstr>M1_Table_I_j</vt:lpstr>
      <vt:lpstr>M1_Table_M_j</vt:lpstr>
      <vt:lpstr>M1_Table_NDF_j</vt:lpstr>
      <vt:lpstr>M2_Table_E_CH4</vt:lpstr>
      <vt:lpstr>M2_Table_EE_j</vt:lpstr>
      <vt:lpstr>M2_Table_I_j</vt:lpstr>
      <vt:lpstr>M2_Table_M_j</vt:lpstr>
      <vt:lpstr>M2_Table_NDF_j</vt:lpstr>
      <vt:lpstr>Table_D_j</vt:lpstr>
      <vt:lpstr>Table_N_j</vt:lpstr>
      <vt:lpstr>VEERG_3_1_1_1__1_TotalAnnualMethaneFromEntericFermentation_Result</vt:lpstr>
      <vt:lpstr>X_Table_Feedlot_HerdMovement</vt:lpstr>
      <vt:lpstr>X_Table_Feedlot_Intake_Method1</vt:lpstr>
      <vt:lpstr>X_Table_Feedlot_Intake_Method2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2026-07-23T06:17:35Z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