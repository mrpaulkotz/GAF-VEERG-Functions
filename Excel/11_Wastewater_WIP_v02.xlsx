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411F62B-5BC6-4323-9336-3217D798D237}" xr6:coauthVersionLast="47" xr6:coauthVersionMax="47" xr10:uidLastSave="{00000000-0000-0000-0000-000000000000}"/>
  <bookViews>
    <workbookView xWindow="1950" yWindow="1950" windowWidth="28800" windowHeight="15345"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6"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1_1_1_1__1_MethaneEmissionsFromWastewaterTreatment_Result_Method1">'11.1.1-2 Wastewater CH4'!$E$30</definedName>
    <definedName name="VEERG_11_1_3_1__1_NitrousOxideEmissionsFromFlaredBiogas_Result_Method1">'11.1.3-4 Wastewater N2O'!$E$17</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6" l="1" a="1"/>
  <c r="E259" i="126" s="1"/>
  <c r="D259" i="126" a="1"/>
  <c r="D259" i="126" s="1"/>
  <c r="E258" i="126" a="1"/>
  <c r="E258" i="126" s="1"/>
  <c r="D258" i="126" a="1"/>
  <c r="D258" i="126" s="1"/>
  <c r="D256" i="126" a="1"/>
  <c r="D256" i="126" s="1"/>
  <c r="D255" i="126" a="1"/>
  <c r="D255" i="126" s="1"/>
  <c r="D254" i="126" a="1"/>
  <c r="D254" i="126" s="1"/>
  <c r="D253" i="126" a="1"/>
  <c r="D253" i="126" s="1"/>
  <c r="S250" i="126" a="1"/>
  <c r="S250" i="126" s="1"/>
  <c r="R250" i="126" a="1"/>
  <c r="R250" i="126" s="1"/>
  <c r="Q250" i="126" a="1"/>
  <c r="Q250" i="126" s="1"/>
  <c r="P250" i="126" a="1"/>
  <c r="P250" i="126" s="1"/>
  <c r="O250" i="126" a="1"/>
  <c r="O250" i="126" s="1"/>
  <c r="N250" i="126" a="1"/>
  <c r="N250" i="126" s="1"/>
  <c r="M250" i="126" a="1"/>
  <c r="M250" i="126" s="1"/>
  <c r="L250" i="126" a="1"/>
  <c r="L250" i="126" s="1"/>
  <c r="K250" i="126" a="1"/>
  <c r="K250" i="126" s="1"/>
  <c r="J250" i="126" a="1"/>
  <c r="J250" i="126" s="1"/>
  <c r="I250" i="126" a="1"/>
  <c r="I250" i="126" s="1"/>
  <c r="H250" i="126" a="1"/>
  <c r="H250" i="126" s="1"/>
  <c r="G250" i="126" a="1"/>
  <c r="G250" i="126" s="1"/>
  <c r="F250" i="126" a="1"/>
  <c r="F250" i="126" s="1"/>
  <c r="E250" i="126" a="1"/>
  <c r="E250" i="126" s="1"/>
  <c r="D250" i="126" a="1"/>
  <c r="D250" i="126" s="1"/>
  <c r="S249" i="126" a="1"/>
  <c r="S249" i="126" s="1"/>
  <c r="R249" i="126" a="1"/>
  <c r="R249" i="126" s="1"/>
  <c r="Q249" i="126" a="1"/>
  <c r="Q249" i="126" s="1"/>
  <c r="P249" i="126" a="1"/>
  <c r="P249" i="126" s="1"/>
  <c r="O249" i="126" a="1"/>
  <c r="O249" i="126" s="1"/>
  <c r="N249" i="126" a="1"/>
  <c r="N249" i="126" s="1"/>
  <c r="M249" i="126" a="1"/>
  <c r="M249" i="126" s="1"/>
  <c r="L249" i="126" a="1"/>
  <c r="L249" i="126" s="1"/>
  <c r="K249" i="126" a="1"/>
  <c r="K249" i="126" s="1"/>
  <c r="J249" i="126" a="1"/>
  <c r="J249" i="126" s="1"/>
  <c r="I249" i="126" a="1"/>
  <c r="I249" i="126" s="1"/>
  <c r="H249" i="126" a="1"/>
  <c r="H249" i="126" s="1"/>
  <c r="G249" i="126" a="1"/>
  <c r="G249" i="126" s="1"/>
  <c r="F249" i="126" a="1"/>
  <c r="F249" i="126" s="1"/>
  <c r="E249" i="126" a="1"/>
  <c r="E249" i="126" s="1"/>
  <c r="D249" i="126" a="1"/>
  <c r="D249" i="126" s="1"/>
  <c r="S248" i="126" a="1"/>
  <c r="S248" i="126" s="1"/>
  <c r="R248" i="126" a="1"/>
  <c r="R248" i="126" s="1"/>
  <c r="Q248" i="126" a="1"/>
  <c r="Q248" i="126" s="1"/>
  <c r="P248" i="126" a="1"/>
  <c r="P248" i="126" s="1"/>
  <c r="O248" i="126" a="1"/>
  <c r="O248" i="126" s="1"/>
  <c r="N248" i="126" a="1"/>
  <c r="N248" i="126" s="1"/>
  <c r="M248" i="126" a="1"/>
  <c r="M248" i="126" s="1"/>
  <c r="L248" i="126" a="1"/>
  <c r="L248" i="126" s="1"/>
  <c r="K248" i="126" a="1"/>
  <c r="K248" i="126" s="1"/>
  <c r="J248" i="126" a="1"/>
  <c r="J248" i="126" s="1"/>
  <c r="I248" i="126" a="1"/>
  <c r="I248" i="126" s="1"/>
  <c r="H248" i="126" a="1"/>
  <c r="H248" i="126" s="1"/>
  <c r="G248" i="126" a="1"/>
  <c r="G248" i="126" s="1"/>
  <c r="F248" i="126" a="1"/>
  <c r="F248" i="126" s="1"/>
  <c r="E248" i="126" a="1"/>
  <c r="E248" i="126" s="1"/>
  <c r="D248" i="126" a="1"/>
  <c r="D248" i="126" s="1"/>
  <c r="S247" i="126" a="1"/>
  <c r="S247" i="126" s="1"/>
  <c r="R247" i="126" a="1"/>
  <c r="R247" i="126" s="1"/>
  <c r="Q247" i="126" a="1"/>
  <c r="Q247" i="126" s="1"/>
  <c r="P247" i="126" a="1"/>
  <c r="P247" i="126" s="1"/>
  <c r="O247" i="126" a="1"/>
  <c r="O247" i="126" s="1"/>
  <c r="N247" i="126" a="1"/>
  <c r="N247" i="126" s="1"/>
  <c r="M247" i="126" a="1"/>
  <c r="M247" i="126" s="1"/>
  <c r="L247" i="126" a="1"/>
  <c r="L247" i="126" s="1"/>
  <c r="K247" i="126" a="1"/>
  <c r="K247" i="126" s="1"/>
  <c r="J247" i="126" a="1"/>
  <c r="J247" i="126" s="1"/>
  <c r="I247" i="126" a="1"/>
  <c r="I247" i="126" s="1"/>
  <c r="H247" i="126" a="1"/>
  <c r="H247" i="126" s="1"/>
  <c r="G247" i="126" a="1"/>
  <c r="G247" i="126" s="1"/>
  <c r="F247" i="126" a="1"/>
  <c r="F247" i="126" s="1"/>
  <c r="E247" i="126" a="1"/>
  <c r="E247" i="126" s="1"/>
  <c r="D247" i="126" a="1"/>
  <c r="D247" i="126" s="1"/>
  <c r="S246" i="126" a="1"/>
  <c r="S246" i="126" s="1"/>
  <c r="R246" i="126" a="1"/>
  <c r="R246" i="126" s="1"/>
  <c r="Q246" i="126" a="1"/>
  <c r="Q246" i="126" s="1"/>
  <c r="P246" i="126" a="1"/>
  <c r="P246" i="126" s="1"/>
  <c r="O246" i="126" a="1"/>
  <c r="O246" i="126" s="1"/>
  <c r="N246" i="126" a="1"/>
  <c r="N246" i="126" s="1"/>
  <c r="M246" i="126" a="1"/>
  <c r="M246" i="126" s="1"/>
  <c r="L246" i="126" a="1"/>
  <c r="L246" i="126" s="1"/>
  <c r="K246" i="126" a="1"/>
  <c r="K246" i="126" s="1"/>
  <c r="J246" i="126" a="1"/>
  <c r="J246" i="126" s="1"/>
  <c r="I246" i="126" a="1"/>
  <c r="I246" i="126" s="1"/>
  <c r="H246" i="126" a="1"/>
  <c r="H246" i="126" s="1"/>
  <c r="G246" i="126" a="1"/>
  <c r="G246" i="126" s="1"/>
  <c r="F246" i="126" a="1"/>
  <c r="F246" i="126" s="1"/>
  <c r="E246" i="126" a="1"/>
  <c r="E246" i="126" s="1"/>
  <c r="D246" i="126" a="1"/>
  <c r="D246" i="126" s="1"/>
  <c r="S245" i="126" a="1"/>
  <c r="S245" i="126" s="1"/>
  <c r="R245" i="126" a="1"/>
  <c r="R245" i="126" s="1"/>
  <c r="Q245" i="126" a="1"/>
  <c r="Q245" i="126" s="1"/>
  <c r="P245" i="126" a="1"/>
  <c r="P245" i="126" s="1"/>
  <c r="O245" i="126" a="1"/>
  <c r="O245" i="126" s="1"/>
  <c r="N245" i="126" a="1"/>
  <c r="N245" i="126" s="1"/>
  <c r="M245" i="126" a="1"/>
  <c r="M245" i="126" s="1"/>
  <c r="L245" i="126" a="1"/>
  <c r="L245" i="126" s="1"/>
  <c r="K245" i="126" a="1"/>
  <c r="K245" i="126" s="1"/>
  <c r="J245" i="126" a="1"/>
  <c r="J245" i="126" s="1"/>
  <c r="I245" i="126" a="1"/>
  <c r="I245" i="126" s="1"/>
  <c r="H245" i="126" a="1"/>
  <c r="H245" i="126" s="1"/>
  <c r="G245" i="126" a="1"/>
  <c r="G245" i="126" s="1"/>
  <c r="F245" i="126" a="1"/>
  <c r="F245" i="126" s="1"/>
  <c r="E245" i="126" a="1"/>
  <c r="E245" i="126" s="1"/>
  <c r="D245" i="126" a="1"/>
  <c r="D245" i="126" s="1"/>
  <c r="S244" i="126" a="1"/>
  <c r="S244" i="126" s="1"/>
  <c r="R244" i="126" a="1"/>
  <c r="R244" i="126" s="1"/>
  <c r="Q244" i="126" a="1"/>
  <c r="Q244" i="126" s="1"/>
  <c r="P244" i="126" a="1"/>
  <c r="P244" i="126" s="1"/>
  <c r="O244" i="126" a="1"/>
  <c r="O244" i="126" s="1"/>
  <c r="N244" i="126" a="1"/>
  <c r="N244" i="126" s="1"/>
  <c r="M244" i="126" a="1"/>
  <c r="M244" i="126" s="1"/>
  <c r="L244" i="126" a="1"/>
  <c r="L244" i="126" s="1"/>
  <c r="K244" i="126" a="1"/>
  <c r="K244" i="126" s="1"/>
  <c r="J244" i="126" a="1"/>
  <c r="J244" i="126" s="1"/>
  <c r="I244" i="126" a="1"/>
  <c r="I244" i="126" s="1"/>
  <c r="H244" i="126" a="1"/>
  <c r="H244" i="126" s="1"/>
  <c r="G244" i="126" a="1"/>
  <c r="G244" i="126" s="1"/>
  <c r="F244" i="126" a="1"/>
  <c r="F244" i="126" s="1"/>
  <c r="E244" i="126" a="1"/>
  <c r="E244" i="126" s="1"/>
  <c r="D244" i="126" a="1"/>
  <c r="D244" i="126" s="1"/>
  <c r="S243" i="126" a="1"/>
  <c r="S243" i="126" s="1"/>
  <c r="R243" i="126" a="1"/>
  <c r="R243" i="126" s="1"/>
  <c r="Q243" i="126" a="1"/>
  <c r="Q243" i="126" s="1"/>
  <c r="P243" i="126" a="1"/>
  <c r="P243" i="126" s="1"/>
  <c r="O243" i="126" a="1"/>
  <c r="O243" i="126" s="1"/>
  <c r="N243" i="126" a="1"/>
  <c r="N243" i="126" s="1"/>
  <c r="M243" i="126" a="1"/>
  <c r="M243" i="126" s="1"/>
  <c r="L243" i="126" a="1"/>
  <c r="L243" i="126" s="1"/>
  <c r="K243" i="126" a="1"/>
  <c r="K243" i="126" s="1"/>
  <c r="J243" i="126" a="1"/>
  <c r="J243" i="126" s="1"/>
  <c r="I243" i="126" a="1"/>
  <c r="I243" i="126" s="1"/>
  <c r="H243" i="126" a="1"/>
  <c r="H243" i="126" s="1"/>
  <c r="G243" i="126" a="1"/>
  <c r="G243" i="126" s="1"/>
  <c r="F243" i="126" a="1"/>
  <c r="F243" i="126" s="1"/>
  <c r="E243" i="126" a="1"/>
  <c r="E243" i="126" s="1"/>
  <c r="D243" i="126" a="1"/>
  <c r="D243" i="126" s="1"/>
  <c r="S242" i="126" a="1"/>
  <c r="S242" i="126" s="1"/>
  <c r="R242" i="126" a="1"/>
  <c r="R242" i="126" s="1"/>
  <c r="Q242" i="126" a="1"/>
  <c r="Q242" i="126" s="1"/>
  <c r="P242" i="126" a="1"/>
  <c r="P242" i="126" s="1"/>
  <c r="O242" i="126" a="1"/>
  <c r="O242" i="126" s="1"/>
  <c r="N242" i="126" a="1"/>
  <c r="N242" i="126" s="1"/>
  <c r="M242" i="126" a="1"/>
  <c r="M242" i="126" s="1"/>
  <c r="L242" i="126" a="1"/>
  <c r="L242" i="126" s="1"/>
  <c r="K242" i="126" a="1"/>
  <c r="K242" i="126" s="1"/>
  <c r="J242" i="126" a="1"/>
  <c r="J242" i="126" s="1"/>
  <c r="I242" i="126" a="1"/>
  <c r="I242" i="126" s="1"/>
  <c r="H242" i="126" a="1"/>
  <c r="H242" i="126" s="1"/>
  <c r="G242" i="126" a="1"/>
  <c r="G242" i="126" s="1"/>
  <c r="F242" i="126" a="1"/>
  <c r="F242" i="126" s="1"/>
  <c r="E242" i="126" a="1"/>
  <c r="E242" i="126" s="1"/>
  <c r="D242" i="126" a="1"/>
  <c r="D242" i="126" s="1"/>
  <c r="S241" i="126" a="1"/>
  <c r="S241" i="126" s="1"/>
  <c r="R241" i="126" a="1"/>
  <c r="R241" i="126" s="1"/>
  <c r="Q241" i="126" a="1"/>
  <c r="Q241" i="126" s="1"/>
  <c r="P241" i="126" a="1"/>
  <c r="P241" i="126" s="1"/>
  <c r="O241" i="126" a="1"/>
  <c r="O241" i="126" s="1"/>
  <c r="N241" i="126" a="1"/>
  <c r="N241" i="126" s="1"/>
  <c r="M241" i="126" a="1"/>
  <c r="M241" i="126" s="1"/>
  <c r="L241" i="126" a="1"/>
  <c r="L241" i="126" s="1"/>
  <c r="K241" i="126" a="1"/>
  <c r="K241" i="126" s="1"/>
  <c r="J241" i="126" a="1"/>
  <c r="J241" i="126" s="1"/>
  <c r="I241" i="126" a="1"/>
  <c r="I241" i="126" s="1"/>
  <c r="H241" i="126" a="1"/>
  <c r="H241" i="126" s="1"/>
  <c r="G241" i="126" a="1"/>
  <c r="G241" i="126" s="1"/>
  <c r="F241" i="126" a="1"/>
  <c r="F241" i="126" s="1"/>
  <c r="E241" i="126" a="1"/>
  <c r="E241" i="126" s="1"/>
  <c r="D241" i="126" a="1"/>
  <c r="D241" i="126" s="1"/>
  <c r="S240" i="126" a="1"/>
  <c r="S240" i="126" s="1"/>
  <c r="R240" i="126" a="1"/>
  <c r="R240" i="126" s="1"/>
  <c r="Q240" i="126" a="1"/>
  <c r="Q240" i="126" s="1"/>
  <c r="P240" i="126" a="1"/>
  <c r="P240" i="126" s="1"/>
  <c r="O240" i="126" a="1"/>
  <c r="O240" i="126" s="1"/>
  <c r="N240" i="126" a="1"/>
  <c r="N240" i="126" s="1"/>
  <c r="M240" i="126" a="1"/>
  <c r="M240" i="126" s="1"/>
  <c r="L240" i="126" a="1"/>
  <c r="L240" i="126" s="1"/>
  <c r="K240" i="126" a="1"/>
  <c r="K240" i="126" s="1"/>
  <c r="J240" i="126" a="1"/>
  <c r="J240" i="126" s="1"/>
  <c r="I240" i="126" a="1"/>
  <c r="I240" i="126" s="1"/>
  <c r="H240" i="126" a="1"/>
  <c r="H240" i="126" s="1"/>
  <c r="G240" i="126" a="1"/>
  <c r="G240" i="126" s="1"/>
  <c r="F240" i="126" a="1"/>
  <c r="F240" i="126" s="1"/>
  <c r="E240" i="126" a="1"/>
  <c r="E240" i="126" s="1"/>
  <c r="D240" i="126" a="1"/>
  <c r="D240" i="126" s="1"/>
  <c r="S239" i="126" a="1"/>
  <c r="S239" i="126" s="1"/>
  <c r="R239" i="126" a="1"/>
  <c r="R239" i="126" s="1"/>
  <c r="Q239" i="126" a="1"/>
  <c r="Q239" i="126" s="1"/>
  <c r="P239" i="126" a="1"/>
  <c r="P239" i="126" s="1"/>
  <c r="O239" i="126" a="1"/>
  <c r="O239" i="126" s="1"/>
  <c r="N239" i="126" a="1"/>
  <c r="N239" i="126" s="1"/>
  <c r="M239" i="126" a="1"/>
  <c r="M239" i="126" s="1"/>
  <c r="L239" i="126" a="1"/>
  <c r="L239" i="126" s="1"/>
  <c r="K239" i="126" a="1"/>
  <c r="K239" i="126" s="1"/>
  <c r="J239" i="126" a="1"/>
  <c r="J239" i="126" s="1"/>
  <c r="I239" i="126" a="1"/>
  <c r="I239" i="126" s="1"/>
  <c r="H239" i="126" a="1"/>
  <c r="H239" i="126" s="1"/>
  <c r="G239" i="126" a="1"/>
  <c r="G239" i="126" s="1"/>
  <c r="F239" i="126" a="1"/>
  <c r="F239" i="126" s="1"/>
  <c r="E239" i="126" a="1"/>
  <c r="E239" i="126" s="1"/>
  <c r="D239" i="126" a="1"/>
  <c r="D239" i="126" s="1"/>
  <c r="S238" i="126" a="1"/>
  <c r="S238" i="126" s="1"/>
  <c r="R238" i="126" a="1"/>
  <c r="R238" i="126" s="1"/>
  <c r="Q238" i="126" a="1"/>
  <c r="Q238" i="126" s="1"/>
  <c r="P238" i="126" a="1"/>
  <c r="P238" i="126" s="1"/>
  <c r="O238" i="126" a="1"/>
  <c r="O238" i="126" s="1"/>
  <c r="N238" i="126" a="1"/>
  <c r="N238" i="126" s="1"/>
  <c r="M238" i="126" a="1"/>
  <c r="M238" i="126" s="1"/>
  <c r="L238" i="126" a="1"/>
  <c r="L238" i="126" s="1"/>
  <c r="K238" i="126" a="1"/>
  <c r="K238" i="126" s="1"/>
  <c r="J238" i="126" a="1"/>
  <c r="J238" i="126" s="1"/>
  <c r="I238" i="126" a="1"/>
  <c r="I238" i="126" s="1"/>
  <c r="H238" i="126" a="1"/>
  <c r="H238" i="126" s="1"/>
  <c r="G238" i="126" a="1"/>
  <c r="G238" i="126" s="1"/>
  <c r="F238" i="126" a="1"/>
  <c r="F238" i="126" s="1"/>
  <c r="E238" i="126" a="1"/>
  <c r="E238" i="126" s="1"/>
  <c r="D238" i="126" a="1"/>
  <c r="D238" i="126" s="1"/>
  <c r="S237" i="126" a="1"/>
  <c r="S237" i="126" s="1"/>
  <c r="R237" i="126" a="1"/>
  <c r="R237" i="126" s="1"/>
  <c r="Q237" i="126" a="1"/>
  <c r="Q237" i="126" s="1"/>
  <c r="P237" i="126" a="1"/>
  <c r="P237" i="126" s="1"/>
  <c r="O237" i="126" a="1"/>
  <c r="O237" i="126" s="1"/>
  <c r="N237" i="126" a="1"/>
  <c r="N237" i="126" s="1"/>
  <c r="M237" i="126" a="1"/>
  <c r="M237" i="126" s="1"/>
  <c r="L237" i="126" a="1"/>
  <c r="L237" i="126" s="1"/>
  <c r="K237" i="126" a="1"/>
  <c r="K237" i="126" s="1"/>
  <c r="J237" i="126" a="1"/>
  <c r="J237" i="126" s="1"/>
  <c r="I237" i="126" a="1"/>
  <c r="I237" i="126" s="1"/>
  <c r="H237" i="126" a="1"/>
  <c r="H237" i="126" s="1"/>
  <c r="G237" i="126" a="1"/>
  <c r="G237" i="126" s="1"/>
  <c r="F237" i="126" a="1"/>
  <c r="F237" i="126" s="1"/>
  <c r="E237" i="126" a="1"/>
  <c r="E237" i="126" s="1"/>
  <c r="D237" i="126" a="1"/>
  <c r="D237" i="126" s="1"/>
  <c r="S236" i="126" a="1"/>
  <c r="S236" i="126" s="1"/>
  <c r="R236" i="126" a="1"/>
  <c r="R236" i="126" s="1"/>
  <c r="Q236" i="126" a="1"/>
  <c r="Q236" i="126" s="1"/>
  <c r="P236" i="126" a="1"/>
  <c r="P236" i="126" s="1"/>
  <c r="O236" i="126" a="1"/>
  <c r="O236" i="126" s="1"/>
  <c r="N236" i="126" a="1"/>
  <c r="N236" i="126" s="1"/>
  <c r="M236" i="126" a="1"/>
  <c r="M236" i="126" s="1"/>
  <c r="L236" i="126" a="1"/>
  <c r="L236" i="126" s="1"/>
  <c r="K236" i="126" a="1"/>
  <c r="K236" i="126" s="1"/>
  <c r="J236" i="126" a="1"/>
  <c r="J236" i="126" s="1"/>
  <c r="I236" i="126" a="1"/>
  <c r="I236" i="126" s="1"/>
  <c r="H236" i="126" a="1"/>
  <c r="H236" i="126" s="1"/>
  <c r="G236" i="126" a="1"/>
  <c r="G236" i="126" s="1"/>
  <c r="F236" i="126" a="1"/>
  <c r="F236" i="126" s="1"/>
  <c r="E236" i="126" a="1"/>
  <c r="E236" i="126" s="1"/>
  <c r="D236" i="126" a="1"/>
  <c r="D236" i="126" s="1"/>
  <c r="S235" i="126" a="1"/>
  <c r="S235" i="126" s="1"/>
  <c r="R235" i="126" a="1"/>
  <c r="R235" i="126" s="1"/>
  <c r="Q235" i="126" a="1"/>
  <c r="Q235" i="126" s="1"/>
  <c r="P235" i="126" a="1"/>
  <c r="P235" i="126" s="1"/>
  <c r="O235" i="126" a="1"/>
  <c r="O235" i="126" s="1"/>
  <c r="N235" i="126" a="1"/>
  <c r="N235" i="126" s="1"/>
  <c r="M235" i="126" a="1"/>
  <c r="M235" i="126" s="1"/>
  <c r="L235" i="126" a="1"/>
  <c r="L235" i="126" s="1"/>
  <c r="K235" i="126" a="1"/>
  <c r="K235" i="126" s="1"/>
  <c r="J235" i="126" a="1"/>
  <c r="J235" i="126" s="1"/>
  <c r="I235" i="126" a="1"/>
  <c r="I235" i="126" s="1"/>
  <c r="H235" i="126" a="1"/>
  <c r="H235" i="126" s="1"/>
  <c r="G235" i="126" a="1"/>
  <c r="G235" i="126" s="1"/>
  <c r="F235" i="126" a="1"/>
  <c r="F235" i="126" s="1"/>
  <c r="E235" i="126" a="1"/>
  <c r="E235" i="126" s="1"/>
  <c r="D235" i="126" a="1"/>
  <c r="D235" i="126" s="1"/>
  <c r="S234" i="126" a="1"/>
  <c r="S234" i="126" s="1"/>
  <c r="R234" i="126" a="1"/>
  <c r="R234" i="126" s="1"/>
  <c r="Q234" i="126" a="1"/>
  <c r="Q234" i="126" s="1"/>
  <c r="P234" i="126" a="1"/>
  <c r="P234" i="126" s="1"/>
  <c r="O234" i="126" a="1"/>
  <c r="O234" i="126" s="1"/>
  <c r="N234" i="126" a="1"/>
  <c r="N234" i="126" s="1"/>
  <c r="M234" i="126" a="1"/>
  <c r="M234" i="126" s="1"/>
  <c r="L234" i="126" a="1"/>
  <c r="L234" i="126" s="1"/>
  <c r="K234" i="126" a="1"/>
  <c r="K234" i="126" s="1"/>
  <c r="J234" i="126" a="1"/>
  <c r="J234" i="126" s="1"/>
  <c r="I234" i="126" a="1"/>
  <c r="I234" i="126" s="1"/>
  <c r="H234" i="126" a="1"/>
  <c r="H234" i="126" s="1"/>
  <c r="G234" i="126" a="1"/>
  <c r="G234" i="126" s="1"/>
  <c r="F234" i="126" a="1"/>
  <c r="F234" i="126" s="1"/>
  <c r="E234" i="126" a="1"/>
  <c r="E234" i="126" s="1"/>
  <c r="D234" i="126" a="1"/>
  <c r="D234" i="126" s="1"/>
  <c r="S233" i="126" a="1"/>
  <c r="S233" i="126" s="1"/>
  <c r="R233" i="126" a="1"/>
  <c r="R233" i="126" s="1"/>
  <c r="Q233" i="126" a="1"/>
  <c r="Q233" i="126" s="1"/>
  <c r="P233" i="126" a="1"/>
  <c r="P233" i="126" s="1"/>
  <c r="O233" i="126" a="1"/>
  <c r="O233" i="126" s="1"/>
  <c r="N233" i="126" a="1"/>
  <c r="N233" i="126" s="1"/>
  <c r="M233" i="126" a="1"/>
  <c r="M233" i="126" s="1"/>
  <c r="L233" i="126" a="1"/>
  <c r="L233" i="126" s="1"/>
  <c r="K233" i="126" a="1"/>
  <c r="K233" i="126" s="1"/>
  <c r="J233" i="126" a="1"/>
  <c r="J233" i="126" s="1"/>
  <c r="I233" i="126" a="1"/>
  <c r="I233" i="126" s="1"/>
  <c r="H233" i="126" a="1"/>
  <c r="H233" i="126" s="1"/>
  <c r="G233" i="126" a="1"/>
  <c r="G233" i="126" s="1"/>
  <c r="F233" i="126" a="1"/>
  <c r="F233" i="126" s="1"/>
  <c r="E233" i="126" a="1"/>
  <c r="E233" i="126" s="1"/>
  <c r="D233" i="126" a="1"/>
  <c r="D233" i="126" s="1"/>
  <c r="S232" i="126" a="1"/>
  <c r="S232" i="126" s="1"/>
  <c r="R232" i="126" a="1"/>
  <c r="R232" i="126" s="1"/>
  <c r="Q232" i="126" a="1"/>
  <c r="Q232" i="126" s="1"/>
  <c r="P232" i="126" a="1"/>
  <c r="P232" i="126" s="1"/>
  <c r="O232" i="126" a="1"/>
  <c r="O232" i="126" s="1"/>
  <c r="N232" i="126" a="1"/>
  <c r="N232" i="126" s="1"/>
  <c r="M232" i="126" a="1"/>
  <c r="M232" i="126" s="1"/>
  <c r="L232" i="126" a="1"/>
  <c r="L232" i="126" s="1"/>
  <c r="K232" i="126" a="1"/>
  <c r="K232" i="126" s="1"/>
  <c r="J232" i="126" a="1"/>
  <c r="J232" i="126" s="1"/>
  <c r="I232" i="126" a="1"/>
  <c r="I232" i="126" s="1"/>
  <c r="H232" i="126" a="1"/>
  <c r="H232" i="126" s="1"/>
  <c r="G232" i="126" a="1"/>
  <c r="G232" i="126" s="1"/>
  <c r="F232" i="126" a="1"/>
  <c r="F232" i="126" s="1"/>
  <c r="E232" i="126" a="1"/>
  <c r="E232" i="126" s="1"/>
  <c r="D232" i="126" a="1"/>
  <c r="D232" i="126" s="1"/>
  <c r="D229" i="126" a="1"/>
  <c r="D229" i="126" s="1"/>
  <c r="D228" i="126" a="1"/>
  <c r="D228" i="126" s="1"/>
  <c r="D227" i="126" a="1"/>
  <c r="D227" i="126" s="1"/>
  <c r="E224" i="126" a="1"/>
  <c r="E224" i="126" s="1"/>
  <c r="D224" i="126" a="1"/>
  <c r="D224" i="126" s="1"/>
  <c r="E223" i="126" a="1"/>
  <c r="E223" i="126" s="1"/>
  <c r="D223" i="126" a="1"/>
  <c r="D223" i="126" s="1"/>
  <c r="E222" i="126" a="1"/>
  <c r="E222" i="126" s="1"/>
  <c r="D222" i="126" a="1"/>
  <c r="D222" i="126" s="1"/>
  <c r="E221" i="126" a="1"/>
  <c r="E221" i="126" s="1"/>
  <c r="D221" i="126" a="1"/>
  <c r="D221" i="126" s="1"/>
  <c r="E220" i="126" a="1"/>
  <c r="E220" i="126" s="1"/>
  <c r="D220" i="126" a="1"/>
  <c r="D220" i="126" s="1"/>
  <c r="E219" i="126" a="1"/>
  <c r="E219" i="126" s="1"/>
  <c r="D219" i="126" a="1"/>
  <c r="D219" i="126" s="1"/>
  <c r="E218" i="126" a="1"/>
  <c r="E218" i="126" s="1"/>
  <c r="D218" i="126" a="1"/>
  <c r="D218" i="126" s="1"/>
  <c r="E217" i="126" a="1"/>
  <c r="E217" i="126" s="1"/>
  <c r="D217" i="126" a="1"/>
  <c r="D217" i="126" s="1"/>
  <c r="E216" i="126" a="1"/>
  <c r="E216" i="126" s="1"/>
  <c r="D216" i="126" a="1"/>
  <c r="D216" i="126" s="1"/>
  <c r="E215" i="126" a="1"/>
  <c r="E215" i="126" s="1"/>
  <c r="D215" i="126" a="1"/>
  <c r="D215" i="126" s="1"/>
  <c r="E214" i="126" a="1"/>
  <c r="E214" i="126" s="1"/>
  <c r="D214" i="126" a="1"/>
  <c r="D214" i="126" s="1"/>
  <c r="E213" i="126" a="1"/>
  <c r="E213" i="126" s="1"/>
  <c r="D213" i="126" a="1"/>
  <c r="D213" i="126" s="1"/>
  <c r="D211" i="126" a="1"/>
  <c r="D211" i="126" s="1"/>
  <c r="E208" i="126" a="1"/>
  <c r="E208" i="126" s="1"/>
  <c r="D208" i="126" a="1"/>
  <c r="D208" i="126" s="1"/>
  <c r="E207" i="126" a="1"/>
  <c r="E207" i="126" s="1"/>
  <c r="D207" i="126" a="1"/>
  <c r="D207" i="126" s="1"/>
  <c r="D205" i="126" a="1"/>
  <c r="D205" i="126" s="1"/>
  <c r="D204" i="126" a="1"/>
  <c r="D204" i="126" s="1"/>
  <c r="D203" i="126" a="1"/>
  <c r="D203" i="126" s="1"/>
  <c r="D202" i="126" a="1"/>
  <c r="D202" i="126" s="1"/>
  <c r="H199" i="126" a="1"/>
  <c r="H199" i="126" s="1"/>
  <c r="G199" i="126" a="1"/>
  <c r="G199" i="126" s="1"/>
  <c r="F199" i="126" a="1"/>
  <c r="F199" i="126" s="1"/>
  <c r="E199" i="126" a="1"/>
  <c r="E199" i="126" s="1"/>
  <c r="D199" i="126" a="1"/>
  <c r="D199" i="126" s="1"/>
  <c r="H198" i="126" a="1"/>
  <c r="H198" i="126" s="1"/>
  <c r="G198" i="126" a="1"/>
  <c r="G198" i="126" s="1"/>
  <c r="F198" i="126" a="1"/>
  <c r="F198" i="126" s="1"/>
  <c r="E198" i="126" a="1"/>
  <c r="E198" i="126" s="1"/>
  <c r="D198" i="126" a="1"/>
  <c r="D198" i="126" s="1"/>
  <c r="H197" i="126" a="1"/>
  <c r="H197" i="126" s="1"/>
  <c r="G197" i="126" a="1"/>
  <c r="G197" i="126" s="1"/>
  <c r="F197" i="126" a="1"/>
  <c r="F197" i="126" s="1"/>
  <c r="E197" i="126" a="1"/>
  <c r="E197" i="126" s="1"/>
  <c r="D197" i="126" a="1"/>
  <c r="D197" i="126" s="1"/>
  <c r="H196" i="126" a="1"/>
  <c r="H196" i="126" s="1"/>
  <c r="G196" i="126" a="1"/>
  <c r="G196" i="126" s="1"/>
  <c r="F196" i="126" a="1"/>
  <c r="F196" i="126" s="1"/>
  <c r="E196" i="126" a="1"/>
  <c r="E196" i="126" s="1"/>
  <c r="D196" i="126" a="1"/>
  <c r="D196" i="126" s="1"/>
  <c r="H195" i="126" a="1"/>
  <c r="H195" i="126" s="1"/>
  <c r="G195" i="126" a="1"/>
  <c r="G195" i="126" s="1"/>
  <c r="F195" i="126" a="1"/>
  <c r="F195" i="126" s="1"/>
  <c r="E195" i="126" a="1"/>
  <c r="E195" i="126" s="1"/>
  <c r="D195" i="126" a="1"/>
  <c r="D195" i="126" s="1"/>
  <c r="H194" i="126" a="1"/>
  <c r="H194" i="126" s="1"/>
  <c r="G194" i="126" a="1"/>
  <c r="G194" i="126" s="1"/>
  <c r="F194" i="126" a="1"/>
  <c r="F194" i="126" s="1"/>
  <c r="E194" i="126" a="1"/>
  <c r="E194" i="126" s="1"/>
  <c r="D194" i="126" a="1"/>
  <c r="D194" i="126" s="1"/>
  <c r="H193" i="126" a="1"/>
  <c r="H193" i="126" s="1"/>
  <c r="G193" i="126" a="1"/>
  <c r="G193" i="126" s="1"/>
  <c r="F193" i="126" a="1"/>
  <c r="F193" i="126" s="1"/>
  <c r="E193" i="126" a="1"/>
  <c r="E193" i="126" s="1"/>
  <c r="D193" i="126" a="1"/>
  <c r="D193" i="126" s="1"/>
  <c r="H192" i="126" a="1"/>
  <c r="H192" i="126" s="1"/>
  <c r="G192" i="126" a="1"/>
  <c r="G192" i="126" s="1"/>
  <c r="F192" i="126" a="1"/>
  <c r="F192" i="126" s="1"/>
  <c r="E192" i="126" a="1"/>
  <c r="E192" i="126" s="1"/>
  <c r="D192" i="126" a="1"/>
  <c r="D192" i="126" s="1"/>
  <c r="H191" i="126" a="1"/>
  <c r="H191" i="126" s="1"/>
  <c r="G191" i="126" a="1"/>
  <c r="G191" i="126" s="1"/>
  <c r="F191" i="126" a="1"/>
  <c r="F191" i="126" s="1"/>
  <c r="E191" i="126" a="1"/>
  <c r="E191" i="126" s="1"/>
  <c r="D191" i="126" a="1"/>
  <c r="D191" i="126" s="1"/>
  <c r="H190" i="126" a="1"/>
  <c r="H190" i="126" s="1"/>
  <c r="G190" i="126" a="1"/>
  <c r="G190" i="126" s="1"/>
  <c r="F190" i="126" a="1"/>
  <c r="F190" i="126" s="1"/>
  <c r="E190" i="126" a="1"/>
  <c r="E190" i="126" s="1"/>
  <c r="D190" i="126" a="1"/>
  <c r="D190" i="126" s="1"/>
  <c r="H189" i="126" a="1"/>
  <c r="H189" i="126" s="1"/>
  <c r="G189" i="126" a="1"/>
  <c r="G189" i="126" s="1"/>
  <c r="F189" i="126" a="1"/>
  <c r="F189" i="126" s="1"/>
  <c r="E189" i="126" a="1"/>
  <c r="E189" i="126" s="1"/>
  <c r="D189" i="126" a="1"/>
  <c r="D189" i="126" s="1"/>
  <c r="H188" i="126" a="1"/>
  <c r="H188" i="126" s="1"/>
  <c r="G188" i="126" a="1"/>
  <c r="G188" i="126" s="1"/>
  <c r="F188" i="126" a="1"/>
  <c r="F188" i="126" s="1"/>
  <c r="E188" i="126" a="1"/>
  <c r="E188" i="126" s="1"/>
  <c r="D188" i="126" a="1"/>
  <c r="D188" i="126" s="1"/>
  <c r="H187" i="126" a="1"/>
  <c r="H187" i="126" s="1"/>
  <c r="G187" i="126" a="1"/>
  <c r="G187" i="126" s="1"/>
  <c r="F187" i="126" a="1"/>
  <c r="F187" i="126" s="1"/>
  <c r="E187" i="126" a="1"/>
  <c r="E187" i="126" s="1"/>
  <c r="D187" i="126" a="1"/>
  <c r="D187" i="126" s="1"/>
  <c r="D181" i="126" a="1"/>
  <c r="D181" i="126" s="1"/>
  <c r="D180" i="126" a="1"/>
  <c r="D180" i="126" s="1"/>
  <c r="D179" i="126" a="1"/>
  <c r="D179" i="126" s="1"/>
  <c r="D178" i="126" a="1"/>
  <c r="D178" i="126" s="1"/>
  <c r="E175" i="126" a="1"/>
  <c r="E175" i="126" s="1"/>
  <c r="D175" i="126" a="1"/>
  <c r="D175" i="126" s="1"/>
  <c r="D174" i="126" a="1"/>
  <c r="D174" i="126" s="1"/>
  <c r="D173" i="126" a="1"/>
  <c r="D173" i="126" s="1"/>
  <c r="D170" i="126" a="1"/>
  <c r="D170" i="126" s="1"/>
  <c r="D169" i="126" a="1"/>
  <c r="D169" i="126" s="1"/>
  <c r="D168" i="126" a="1"/>
  <c r="D168" i="126" s="1"/>
  <c r="D167" i="126" a="1"/>
  <c r="D167" i="126" s="1"/>
  <c r="D164" i="126" a="1"/>
  <c r="D164" i="126" s="1"/>
  <c r="D163" i="126" a="1"/>
  <c r="D163" i="126" s="1"/>
  <c r="D162" i="126" a="1"/>
  <c r="D162" i="126" s="1"/>
  <c r="D161" i="126" a="1"/>
  <c r="D161" i="126" s="1"/>
  <c r="E158" i="126" a="1"/>
  <c r="E158" i="126" s="1"/>
  <c r="D158" i="126" a="1"/>
  <c r="D158" i="126" s="1"/>
  <c r="E157" i="126" a="1"/>
  <c r="E157" i="126" s="1"/>
  <c r="D157" i="126" a="1"/>
  <c r="D157" i="126" s="1"/>
  <c r="E156" i="126" a="1"/>
  <c r="E156" i="126" s="1"/>
  <c r="D156" i="126" a="1"/>
  <c r="D156" i="126" s="1"/>
  <c r="E155" i="126" a="1"/>
  <c r="E155" i="126" s="1"/>
  <c r="D155" i="126" a="1"/>
  <c r="D155" i="126" s="1"/>
  <c r="E154" i="126" a="1"/>
  <c r="E154" i="126" s="1"/>
  <c r="D154" i="126" a="1"/>
  <c r="D154" i="126" s="1"/>
  <c r="D151" i="126" a="1"/>
  <c r="D151" i="126" s="1"/>
  <c r="D150" i="126" a="1"/>
  <c r="D150" i="126" s="1"/>
  <c r="E147" i="126" a="1"/>
  <c r="E147" i="126" s="1"/>
  <c r="D147" i="126" a="1"/>
  <c r="D147" i="126" s="1"/>
  <c r="E146" i="126" a="1"/>
  <c r="E146" i="126" s="1"/>
  <c r="D146" i="126" a="1"/>
  <c r="D146" i="126" s="1"/>
  <c r="E145" i="126" a="1"/>
  <c r="E145" i="126" s="1"/>
  <c r="D145" i="126" a="1"/>
  <c r="D145" i="126" s="1"/>
  <c r="E144" i="126" a="1"/>
  <c r="E144" i="126" s="1"/>
  <c r="D144" i="126" a="1"/>
  <c r="D144" i="126" s="1"/>
  <c r="E143" i="126" a="1"/>
  <c r="E143" i="126" s="1"/>
  <c r="D143" i="126" a="1"/>
  <c r="D143" i="126" s="1"/>
  <c r="D141" i="126" a="1"/>
  <c r="D141" i="126" s="1"/>
  <c r="D140" i="126" a="1"/>
  <c r="D140" i="126" s="1"/>
  <c r="D139" i="126" a="1"/>
  <c r="D139" i="126" s="1"/>
  <c r="E136" i="126" a="1"/>
  <c r="E136" i="126" s="1"/>
  <c r="D136" i="126" a="1"/>
  <c r="D136" i="126" s="1"/>
  <c r="E135" i="126" a="1"/>
  <c r="E135" i="126" s="1"/>
  <c r="D135" i="126" a="1"/>
  <c r="D135" i="126" s="1"/>
  <c r="D133" i="126"/>
  <c r="D133" i="126" a="1"/>
  <c r="D132" i="126" a="1"/>
  <c r="D132" i="126" s="1"/>
  <c r="E129" i="126" a="1"/>
  <c r="E129" i="126" s="1"/>
  <c r="D129" i="126" a="1"/>
  <c r="D129" i="126" s="1"/>
  <c r="E128" i="126" a="1"/>
  <c r="E128" i="126" s="1"/>
  <c r="D128" i="126" a="1"/>
  <c r="D128" i="126" s="1"/>
  <c r="D125" i="126" a="1"/>
  <c r="D125" i="126" s="1"/>
  <c r="D124" i="126" a="1"/>
  <c r="D124" i="126" s="1"/>
  <c r="G121" i="126" a="1"/>
  <c r="G121" i="126" s="1"/>
  <c r="F121" i="126" a="1"/>
  <c r="F121" i="126" s="1"/>
  <c r="E121" i="126" a="1"/>
  <c r="E121" i="126" s="1"/>
  <c r="D121" i="126" a="1"/>
  <c r="D121" i="126" s="1"/>
  <c r="G120" i="126" a="1"/>
  <c r="G120" i="126" s="1"/>
  <c r="F120" i="126" a="1"/>
  <c r="F120" i="126" s="1"/>
  <c r="E120" i="126" a="1"/>
  <c r="E120" i="126" s="1"/>
  <c r="D120" i="126" a="1"/>
  <c r="D120" i="126" s="1"/>
  <c r="D117" i="126" a="1"/>
  <c r="D117" i="126" s="1"/>
  <c r="D116" i="126" a="1"/>
  <c r="D116" i="126" s="1"/>
  <c r="D115" i="126" a="1"/>
  <c r="D115" i="126" s="1"/>
  <c r="G112" i="126" a="1"/>
  <c r="G112" i="126" s="1"/>
  <c r="F112" i="126" a="1"/>
  <c r="F112" i="126" s="1"/>
  <c r="E112" i="126" a="1"/>
  <c r="E112" i="126" s="1"/>
  <c r="D112" i="126" a="1"/>
  <c r="D112" i="126" s="1"/>
  <c r="G111" i="126" a="1"/>
  <c r="G111" i="126" s="1"/>
  <c r="F111" i="126" a="1"/>
  <c r="F111" i="126" s="1"/>
  <c r="E111" i="126" a="1"/>
  <c r="E111" i="126" s="1"/>
  <c r="D111" i="126" a="1"/>
  <c r="D111" i="126" s="1"/>
  <c r="G110" i="126" a="1"/>
  <c r="G110" i="126" s="1"/>
  <c r="F110" i="126" a="1"/>
  <c r="F110" i="126" s="1"/>
  <c r="E110" i="126" a="1"/>
  <c r="E110" i="126" s="1"/>
  <c r="D110" i="126" a="1"/>
  <c r="D110" i="126" s="1"/>
  <c r="D107" i="126" a="1"/>
  <c r="D107" i="126" s="1"/>
  <c r="D106" i="126" a="1"/>
  <c r="D106" i="126" s="1"/>
  <c r="D105" i="126" a="1"/>
  <c r="D105" i="126" s="1"/>
  <c r="D99" i="126" a="1"/>
  <c r="D99" i="126" s="1"/>
  <c r="S97" i="126" a="1"/>
  <c r="S97" i="126" s="1"/>
  <c r="R97" i="126" a="1"/>
  <c r="R97" i="126" s="1"/>
  <c r="Q97" i="126" a="1"/>
  <c r="Q97" i="126" s="1"/>
  <c r="P97" i="126" a="1"/>
  <c r="P97" i="126" s="1"/>
  <c r="O97" i="126" a="1"/>
  <c r="O97" i="126" s="1"/>
  <c r="N97" i="126" a="1"/>
  <c r="N97" i="126" s="1"/>
  <c r="M97" i="126" a="1"/>
  <c r="M97" i="126" s="1"/>
  <c r="L97" i="126" a="1"/>
  <c r="L97" i="126" s="1"/>
  <c r="K97" i="126" a="1"/>
  <c r="K97" i="126" s="1"/>
  <c r="J97" i="126" a="1"/>
  <c r="J97" i="126" s="1"/>
  <c r="I97" i="126" a="1"/>
  <c r="I97" i="126" s="1"/>
  <c r="H97" i="126" a="1"/>
  <c r="H97" i="126" s="1"/>
  <c r="G97" i="126" a="1"/>
  <c r="G97" i="126" s="1"/>
  <c r="F97" i="126" a="1"/>
  <c r="F97" i="126" s="1"/>
  <c r="E97" i="126" a="1"/>
  <c r="E97" i="126" s="1"/>
  <c r="D97" i="126" a="1"/>
  <c r="D97" i="126" s="1"/>
  <c r="S96" i="126" a="1"/>
  <c r="S96" i="126" s="1"/>
  <c r="R96" i="126" a="1"/>
  <c r="R96" i="126" s="1"/>
  <c r="Q96" i="126" a="1"/>
  <c r="Q96" i="126" s="1"/>
  <c r="P96" i="126" a="1"/>
  <c r="P96" i="126" s="1"/>
  <c r="O96" i="126" a="1"/>
  <c r="O96" i="126" s="1"/>
  <c r="N96" i="126" a="1"/>
  <c r="N96" i="126" s="1"/>
  <c r="M96" i="126" a="1"/>
  <c r="M96" i="126" s="1"/>
  <c r="L96" i="126" a="1"/>
  <c r="L96" i="126" s="1"/>
  <c r="K96" i="126" a="1"/>
  <c r="K96" i="126" s="1"/>
  <c r="J96" i="126" a="1"/>
  <c r="J96" i="126" s="1"/>
  <c r="I96" i="126" a="1"/>
  <c r="I96" i="126" s="1"/>
  <c r="H96" i="126" a="1"/>
  <c r="H96" i="126" s="1"/>
  <c r="G96" i="126" a="1"/>
  <c r="G96" i="126" s="1"/>
  <c r="F96" i="126" a="1"/>
  <c r="F96" i="126" s="1"/>
  <c r="E96" i="126" a="1"/>
  <c r="E96" i="126" s="1"/>
  <c r="D96" i="126" a="1"/>
  <c r="D96" i="126" s="1"/>
  <c r="S95" i="126" a="1"/>
  <c r="S95" i="126" s="1"/>
  <c r="R95" i="126" a="1"/>
  <c r="R95" i="126" s="1"/>
  <c r="Q95" i="126" a="1"/>
  <c r="Q95" i="126" s="1"/>
  <c r="P95" i="126" a="1"/>
  <c r="P95" i="126" s="1"/>
  <c r="O95" i="126" a="1"/>
  <c r="O95" i="126" s="1"/>
  <c r="N95" i="126" a="1"/>
  <c r="N95" i="126" s="1"/>
  <c r="M95" i="126" a="1"/>
  <c r="M95" i="126" s="1"/>
  <c r="L95" i="126" a="1"/>
  <c r="L95" i="126" s="1"/>
  <c r="K95" i="126" a="1"/>
  <c r="K95" i="126" s="1"/>
  <c r="J95" i="126" a="1"/>
  <c r="J95" i="126" s="1"/>
  <c r="I95" i="126" a="1"/>
  <c r="I95" i="126" s="1"/>
  <c r="H95" i="126" a="1"/>
  <c r="H95" i="126" s="1"/>
  <c r="G95" i="126" a="1"/>
  <c r="G95" i="126" s="1"/>
  <c r="F95" i="126" a="1"/>
  <c r="F95" i="126" s="1"/>
  <c r="E95" i="126" a="1"/>
  <c r="E95" i="126" s="1"/>
  <c r="D95" i="126" a="1"/>
  <c r="D95" i="126" s="1"/>
  <c r="S94" i="126" a="1"/>
  <c r="S94" i="126" s="1"/>
  <c r="R94" i="126" a="1"/>
  <c r="R94" i="126" s="1"/>
  <c r="Q94" i="126" a="1"/>
  <c r="Q94" i="126" s="1"/>
  <c r="P94" i="126" a="1"/>
  <c r="P94" i="126" s="1"/>
  <c r="O94" i="126" a="1"/>
  <c r="O94" i="126" s="1"/>
  <c r="N94" i="126" a="1"/>
  <c r="N94" i="126" s="1"/>
  <c r="M94" i="126" a="1"/>
  <c r="M94" i="126" s="1"/>
  <c r="L94" i="126" a="1"/>
  <c r="L94" i="126" s="1"/>
  <c r="K94" i="126" a="1"/>
  <c r="K94" i="126" s="1"/>
  <c r="J94" i="126" a="1"/>
  <c r="J94" i="126" s="1"/>
  <c r="I94" i="126" a="1"/>
  <c r="I94" i="126" s="1"/>
  <c r="H94" i="126" a="1"/>
  <c r="H94" i="126" s="1"/>
  <c r="G94" i="126" a="1"/>
  <c r="G94" i="126" s="1"/>
  <c r="F94" i="126" a="1"/>
  <c r="F94" i="126" s="1"/>
  <c r="E94" i="126" a="1"/>
  <c r="E94" i="126" s="1"/>
  <c r="D94" i="126" a="1"/>
  <c r="D94" i="126" s="1"/>
  <c r="S93" i="126" a="1"/>
  <c r="S93" i="126" s="1"/>
  <c r="R93" i="126" a="1"/>
  <c r="R93" i="126" s="1"/>
  <c r="Q93" i="126" a="1"/>
  <c r="Q93" i="126" s="1"/>
  <c r="P93" i="126" a="1"/>
  <c r="P93" i="126" s="1"/>
  <c r="O93" i="126" a="1"/>
  <c r="O93" i="126" s="1"/>
  <c r="N93" i="126" a="1"/>
  <c r="N93" i="126" s="1"/>
  <c r="M93" i="126" a="1"/>
  <c r="M93" i="126" s="1"/>
  <c r="L93" i="126" a="1"/>
  <c r="L93" i="126" s="1"/>
  <c r="K93" i="126" a="1"/>
  <c r="K93" i="126" s="1"/>
  <c r="J93" i="126" a="1"/>
  <c r="J93" i="126" s="1"/>
  <c r="I93" i="126" a="1"/>
  <c r="I93" i="126" s="1"/>
  <c r="H93" i="126" a="1"/>
  <c r="H93" i="126" s="1"/>
  <c r="G93" i="126" a="1"/>
  <c r="G93" i="126" s="1"/>
  <c r="F93" i="126" a="1"/>
  <c r="F93" i="126" s="1"/>
  <c r="E93" i="126" a="1"/>
  <c r="E93" i="126" s="1"/>
  <c r="D93" i="126" a="1"/>
  <c r="D93" i="126" s="1"/>
  <c r="S92" i="126" a="1"/>
  <c r="S92" i="126" s="1"/>
  <c r="R92" i="126" a="1"/>
  <c r="R92" i="126" s="1"/>
  <c r="Q92" i="126" a="1"/>
  <c r="Q92" i="126" s="1"/>
  <c r="P92" i="126" a="1"/>
  <c r="P92" i="126" s="1"/>
  <c r="O92" i="126" a="1"/>
  <c r="O92" i="126" s="1"/>
  <c r="N92" i="126" a="1"/>
  <c r="N92" i="126" s="1"/>
  <c r="M92" i="126" a="1"/>
  <c r="M92" i="126" s="1"/>
  <c r="L92" i="126" a="1"/>
  <c r="L92" i="126" s="1"/>
  <c r="K92" i="126" a="1"/>
  <c r="K92" i="126" s="1"/>
  <c r="J92" i="126" a="1"/>
  <c r="J92" i="126" s="1"/>
  <c r="I92" i="126" a="1"/>
  <c r="I92" i="126" s="1"/>
  <c r="H92" i="126" a="1"/>
  <c r="H92" i="126" s="1"/>
  <c r="G92" i="126" a="1"/>
  <c r="G92" i="126" s="1"/>
  <c r="F92" i="126" a="1"/>
  <c r="F92" i="126" s="1"/>
  <c r="E92" i="126" a="1"/>
  <c r="E92" i="126" s="1"/>
  <c r="D92" i="126" a="1"/>
  <c r="D92" i="126" s="1"/>
  <c r="S91" i="126" a="1"/>
  <c r="S91" i="126" s="1"/>
  <c r="R91" i="126" a="1"/>
  <c r="R91" i="126" s="1"/>
  <c r="Q91" i="126" a="1"/>
  <c r="Q91" i="126" s="1"/>
  <c r="P91" i="126" a="1"/>
  <c r="P91" i="126" s="1"/>
  <c r="O91" i="126" a="1"/>
  <c r="O91" i="126" s="1"/>
  <c r="N91" i="126" a="1"/>
  <c r="N91" i="126" s="1"/>
  <c r="M91" i="126" a="1"/>
  <c r="M91" i="126" s="1"/>
  <c r="L91" i="126" a="1"/>
  <c r="L91" i="126" s="1"/>
  <c r="K91" i="126" a="1"/>
  <c r="K91" i="126" s="1"/>
  <c r="J91" i="126" a="1"/>
  <c r="J91" i="126" s="1"/>
  <c r="I91" i="126" a="1"/>
  <c r="I91" i="126" s="1"/>
  <c r="H91" i="126" a="1"/>
  <c r="H91" i="126" s="1"/>
  <c r="G91" i="126" a="1"/>
  <c r="G91" i="126" s="1"/>
  <c r="F91" i="126" a="1"/>
  <c r="F91" i="126" s="1"/>
  <c r="E91" i="126" a="1"/>
  <c r="E91" i="126" s="1"/>
  <c r="D91" i="126" a="1"/>
  <c r="D91" i="126" s="1"/>
  <c r="S90" i="126" a="1"/>
  <c r="S90" i="126" s="1"/>
  <c r="R90" i="126" a="1"/>
  <c r="R90" i="126" s="1"/>
  <c r="Q90" i="126" a="1"/>
  <c r="Q90" i="126" s="1"/>
  <c r="P90" i="126" a="1"/>
  <c r="P90" i="126" s="1"/>
  <c r="O90" i="126" a="1"/>
  <c r="O90" i="126" s="1"/>
  <c r="N90" i="126" a="1"/>
  <c r="N90" i="126" s="1"/>
  <c r="M90" i="126" a="1"/>
  <c r="M90" i="126" s="1"/>
  <c r="L90" i="126" a="1"/>
  <c r="L90" i="126" s="1"/>
  <c r="K90" i="126" a="1"/>
  <c r="K90" i="126" s="1"/>
  <c r="J90" i="126" a="1"/>
  <c r="J90" i="126" s="1"/>
  <c r="I90" i="126" a="1"/>
  <c r="I90" i="126" s="1"/>
  <c r="H90" i="126" a="1"/>
  <c r="H90" i="126" s="1"/>
  <c r="G90" i="126" a="1"/>
  <c r="G90" i="126" s="1"/>
  <c r="F90" i="126" a="1"/>
  <c r="F90" i="126" s="1"/>
  <c r="E90" i="126" a="1"/>
  <c r="E90" i="126" s="1"/>
  <c r="D90" i="126" a="1"/>
  <c r="D90" i="126" s="1"/>
  <c r="D83" i="126" a="1"/>
  <c r="D83" i="126" s="1"/>
  <c r="D82" i="126" a="1"/>
  <c r="D82" i="126" s="1"/>
  <c r="D81" i="126" a="1"/>
  <c r="D81" i="126" s="1"/>
  <c r="E77" i="126" a="1"/>
  <c r="E77" i="126" s="1"/>
  <c r="D77" i="126" a="1"/>
  <c r="D77" i="126" s="1"/>
  <c r="E76" i="126" a="1"/>
  <c r="E76" i="126" s="1"/>
  <c r="D76" i="126" a="1"/>
  <c r="D76" i="126" s="1"/>
  <c r="E75" i="126" a="1"/>
  <c r="E75" i="126" s="1"/>
  <c r="D75" i="126" a="1"/>
  <c r="D75" i="126" s="1"/>
  <c r="E74" i="126" a="1"/>
  <c r="E74" i="126" s="1"/>
  <c r="D74" i="126" a="1"/>
  <c r="D74" i="126" s="1"/>
  <c r="E73" i="126" a="1"/>
  <c r="E73" i="126" s="1"/>
  <c r="D73" i="126" a="1"/>
  <c r="D73" i="126" s="1"/>
  <c r="E72" i="126" a="1"/>
  <c r="E72" i="126" s="1"/>
  <c r="D72" i="126" a="1"/>
  <c r="D72" i="126" s="1"/>
  <c r="E71" i="126" a="1"/>
  <c r="E71" i="126" s="1"/>
  <c r="D71" i="126" a="1"/>
  <c r="D71" i="126" s="1"/>
  <c r="E70" i="126" a="1"/>
  <c r="E70" i="126" s="1"/>
  <c r="D70" i="126" a="1"/>
  <c r="D70" i="126" s="1"/>
  <c r="E69" i="126" a="1"/>
  <c r="E69" i="126" s="1"/>
  <c r="D69" i="126" a="1"/>
  <c r="D69" i="126" s="1"/>
  <c r="E68" i="126" a="1"/>
  <c r="E68" i="126" s="1"/>
  <c r="D68" i="126" a="1"/>
  <c r="D68" i="126" s="1"/>
  <c r="E67" i="126" a="1"/>
  <c r="E67" i="126" s="1"/>
  <c r="D67" i="126" a="1"/>
  <c r="D67" i="126" s="1"/>
  <c r="E66" i="126" a="1"/>
  <c r="E66" i="126" s="1"/>
  <c r="D66" i="126" a="1"/>
  <c r="D66" i="126" s="1"/>
  <c r="E65" i="126" a="1"/>
  <c r="E65" i="126" s="1"/>
  <c r="D65" i="126" a="1"/>
  <c r="D65" i="126" s="1"/>
  <c r="E64" i="126" a="1"/>
  <c r="E64" i="126" s="1"/>
  <c r="D64" i="126" a="1"/>
  <c r="D64" i="126" s="1"/>
  <c r="D59" i="126" a="1"/>
  <c r="D59" i="126" s="1"/>
  <c r="D58" i="126" a="1"/>
  <c r="D58" i="126" s="1"/>
  <c r="D57" i="126" a="1"/>
  <c r="D57" i="126" s="1"/>
  <c r="G54" i="126" a="1"/>
  <c r="G54" i="126" s="1"/>
  <c r="F54" i="126" a="1"/>
  <c r="F54" i="126" s="1"/>
  <c r="E54" i="126" a="1"/>
  <c r="E54" i="126" s="1"/>
  <c r="D54" i="126" a="1"/>
  <c r="D54" i="126" s="1"/>
  <c r="G53" i="126" a="1"/>
  <c r="G53" i="126" s="1"/>
  <c r="F53" i="126" a="1"/>
  <c r="F53" i="126" s="1"/>
  <c r="E53" i="126" a="1"/>
  <c r="E53" i="126" s="1"/>
  <c r="D53" i="126" a="1"/>
  <c r="D53" i="126" s="1"/>
  <c r="G52" i="126" a="1"/>
  <c r="G52" i="126" s="1"/>
  <c r="F52" i="126" a="1"/>
  <c r="F52" i="126" s="1"/>
  <c r="E52" i="126" a="1"/>
  <c r="E52" i="126" s="1"/>
  <c r="D52" i="126" a="1"/>
  <c r="D52" i="126" s="1"/>
  <c r="G51" i="126" a="1"/>
  <c r="G51" i="126" s="1"/>
  <c r="F51" i="126" a="1"/>
  <c r="F51" i="126" s="1"/>
  <c r="E51" i="126" a="1"/>
  <c r="E51" i="126" s="1"/>
  <c r="D51" i="126" a="1"/>
  <c r="D51" i="126" s="1"/>
  <c r="G50" i="126" a="1"/>
  <c r="G50" i="126" s="1"/>
  <c r="F50" i="126" a="1"/>
  <c r="F50" i="126" s="1"/>
  <c r="H50" i="126" s="1"/>
  <c r="E50" i="126" a="1"/>
  <c r="E50" i="126" s="1"/>
  <c r="D50" i="126" a="1"/>
  <c r="D50" i="126" s="1"/>
  <c r="G49" i="126" a="1"/>
  <c r="G49" i="126" s="1"/>
  <c r="F49" i="126" a="1"/>
  <c r="F49" i="126" s="1"/>
  <c r="E49" i="126" a="1"/>
  <c r="E49" i="126" s="1"/>
  <c r="D49" i="126" a="1"/>
  <c r="D49" i="126" s="1"/>
  <c r="G48" i="126" a="1"/>
  <c r="G48" i="126" s="1"/>
  <c r="F48" i="126" a="1"/>
  <c r="F48" i="126" s="1"/>
  <c r="E48" i="126" a="1"/>
  <c r="E48" i="126" s="1"/>
  <c r="D48" i="126" a="1"/>
  <c r="D48" i="126" s="1"/>
  <c r="D46" i="126" a="1"/>
  <c r="D46" i="126" s="1"/>
  <c r="D45" i="126" a="1"/>
  <c r="D45" i="126" s="1"/>
  <c r="E43" i="126" a="1"/>
  <c r="E43" i="126" s="1"/>
  <c r="D43" i="126" a="1"/>
  <c r="D43" i="126" s="1"/>
  <c r="E42" i="126" a="1"/>
  <c r="E42" i="126" s="1"/>
  <c r="D42" i="126" a="1"/>
  <c r="D42" i="126" s="1"/>
  <c r="E41" i="126" a="1"/>
  <c r="E41" i="126" s="1"/>
  <c r="D41" i="126" a="1"/>
  <c r="D41" i="126" s="1"/>
  <c r="E40" i="126" a="1"/>
  <c r="E40" i="126" s="1"/>
  <c r="D40" i="126" a="1"/>
  <c r="D40" i="126" s="1"/>
  <c r="E39" i="126" a="1"/>
  <c r="E39" i="126" s="1"/>
  <c r="D39" i="126" a="1"/>
  <c r="D39" i="126" s="1"/>
  <c r="E38" i="126" a="1"/>
  <c r="E38" i="126" s="1"/>
  <c r="D38" i="126" a="1"/>
  <c r="D38" i="126" s="1"/>
  <c r="E37" i="126" a="1"/>
  <c r="E37" i="126" s="1"/>
  <c r="D37" i="126" a="1"/>
  <c r="D37" i="126" s="1"/>
  <c r="D35" i="126" a="1"/>
  <c r="D35" i="126" s="1"/>
  <c r="D34" i="126" a="1"/>
  <c r="D34"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19" i="126" a="1"/>
  <c r="D19" i="126" s="1"/>
  <c r="D18" i="126" a="1"/>
  <c r="D18" i="126" s="1"/>
  <c r="F14" i="126" a="1"/>
  <c r="F14" i="126" s="1"/>
  <c r="E14" i="126" a="1"/>
  <c r="E14" i="126" s="1"/>
  <c r="D14" i="126" a="1"/>
  <c r="D14" i="126" s="1"/>
  <c r="F13" i="126" a="1"/>
  <c r="F13" i="126" s="1"/>
  <c r="E13" i="126" a="1"/>
  <c r="E13" i="126" s="1"/>
  <c r="D13" i="126" a="1"/>
  <c r="D13" i="126" s="1"/>
  <c r="F12" i="126" a="1"/>
  <c r="F12" i="126" s="1"/>
  <c r="E12" i="126" a="1"/>
  <c r="E12" i="126" s="1"/>
  <c r="D12" i="126" a="1"/>
  <c r="D12" i="126" s="1"/>
  <c r="F11" i="126" a="1"/>
  <c r="F11" i="126" s="1"/>
  <c r="E11" i="126" a="1"/>
  <c r="E11" i="126" s="1"/>
  <c r="D11" i="126" a="1"/>
  <c r="D11" i="126" s="1"/>
  <c r="F10" i="126" a="1"/>
  <c r="F10" i="126" s="1"/>
  <c r="E10" i="126" a="1"/>
  <c r="E10" i="126" s="1"/>
  <c r="D10" i="126" a="1"/>
  <c r="D10" i="126" s="1"/>
  <c r="F9" i="126" a="1"/>
  <c r="F9" i="126" s="1"/>
  <c r="E9" i="126" a="1"/>
  <c r="E9" i="126" s="1"/>
  <c r="D9" i="126" a="1"/>
  <c r="D9" i="126" s="1"/>
  <c r="F8" i="126" a="1"/>
  <c r="F8" i="126" s="1"/>
  <c r="E8" i="126" a="1"/>
  <c r="E8" i="126" s="1"/>
  <c r="D8" i="126" a="1"/>
  <c r="D8" i="126" s="1"/>
  <c r="F7" i="126" a="1"/>
  <c r="F7" i="126" s="1"/>
  <c r="E7" i="126" a="1"/>
  <c r="E7" i="126" s="1"/>
  <c r="D7" i="126" a="1"/>
  <c r="D7" i="126" s="1"/>
  <c r="D5" i="126" a="1"/>
  <c r="D5" i="126" s="1"/>
  <c r="I13" i="120"/>
  <c r="J28" i="69"/>
  <c r="J25" i="69"/>
  <c r="J24" i="69"/>
  <c r="J23" i="69"/>
  <c r="J20" i="69"/>
  <c r="J17" i="69"/>
  <c r="J16" i="69"/>
  <c r="J15" i="69"/>
  <c r="J14" i="69"/>
  <c r="A16" i="70"/>
  <c r="A15" i="70"/>
  <c r="A12" i="70"/>
  <c r="A11" i="70"/>
  <c r="A8" i="70"/>
  <c r="A5" i="70"/>
  <c r="A4" i="70"/>
  <c r="A3" i="70"/>
  <c r="A16" i="110"/>
  <c r="A15" i="110"/>
  <c r="A12" i="110"/>
  <c r="A11" i="110"/>
  <c r="A8" i="110"/>
  <c r="A5" i="110"/>
  <c r="A4" i="110"/>
  <c r="A3" i="110"/>
  <c r="A16" i="120"/>
  <c r="A15" i="120"/>
  <c r="A12" i="120"/>
  <c r="A11" i="120"/>
  <c r="A8" i="120"/>
  <c r="A5" i="120"/>
  <c r="A4" i="120"/>
  <c r="A3" i="120"/>
  <c r="A16" i="69"/>
  <c r="A15" i="69"/>
  <c r="A12" i="69"/>
  <c r="A11" i="69"/>
  <c r="A8" i="69"/>
  <c r="A5" i="69"/>
  <c r="A4" i="69"/>
  <c r="A3" i="69"/>
  <c r="A16" i="118"/>
  <c r="A15" i="118"/>
  <c r="A12" i="118"/>
  <c r="A11" i="118"/>
  <c r="A8" i="118"/>
  <c r="A5" i="118"/>
  <c r="A4" i="118"/>
  <c r="A3" i="118"/>
  <c r="A12" i="13"/>
  <c r="A11" i="13"/>
  <c r="D19" i="120" a="1"/>
  <c r="D19" i="120" s="1"/>
  <c r="F22" i="120" a="1"/>
  <c r="F22" i="120" s="1"/>
  <c r="G13" i="120" a="1"/>
  <c r="G13" i="120" s="1"/>
  <c r="D13" i="120" a="1"/>
  <c r="D13" i="120" s="1"/>
  <c r="E11" i="120" a="1"/>
  <c r="E11" i="120" s="1"/>
  <c r="F17" i="120" s="1"/>
  <c r="E10" i="120" a="1"/>
  <c r="E10" i="120" s="1"/>
  <c r="D6" i="120" a="1"/>
  <c r="D6" i="120" s="1"/>
  <c r="D5" i="120" a="1"/>
  <c r="D5" i="120" s="1"/>
  <c r="A136" i="120"/>
  <c r="A109" i="120"/>
  <c r="A66" i="120"/>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J26" i="69"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J19" i="69"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A16" i="13"/>
  <c r="A15" i="13"/>
  <c r="A8" i="13"/>
  <c r="A5" i="13"/>
  <c r="A4" i="13"/>
  <c r="A3" i="13"/>
  <c r="F35" i="69" a="1"/>
  <c r="F35" i="69" s="1"/>
  <c r="D32" i="69" a="1"/>
  <c r="D32" i="69" s="1"/>
  <c r="E7" i="120" a="1"/>
  <c r="H54" i="126" l="1"/>
  <c r="H53" i="126"/>
  <c r="H52" i="126"/>
  <c r="H48" i="126"/>
  <c r="H51" i="126"/>
  <c r="H49" i="126"/>
  <c r="I14" i="120"/>
  <c r="E17" i="120" a="1"/>
  <c r="E17" i="120" s="1"/>
  <c r="E10" i="13" s="1"/>
  <c r="E7" i="120"/>
  <c r="J27" i="69"/>
  <c r="G19" i="120" l="1"/>
  <c r="E22" i="120" s="1" a="1"/>
  <c r="E22" i="120" s="1"/>
  <c r="H10" i="13" s="1"/>
  <c r="I10" i="13" s="1"/>
  <c r="F10" i="13"/>
  <c r="D7" i="69" a="1"/>
  <c r="D7" i="69" s="1"/>
  <c r="J21" i="69" a="1"/>
  <c r="J21" i="69" s="1"/>
  <c r="J18" i="69" a="1"/>
  <c r="J18" i="69" s="1"/>
  <c r="H14" i="69" a="1"/>
  <c r="H14" i="69" s="1"/>
  <c r="D14" i="69" a="1"/>
  <c r="D14" i="69" s="1"/>
  <c r="E12" i="69" a="1"/>
  <c r="E12" i="69" s="1"/>
  <c r="F30" i="69" s="1"/>
  <c r="E11" i="69" a="1"/>
  <c r="E11" i="69" s="1"/>
  <c r="D6" i="69" a="1"/>
  <c r="D6" i="69" s="1"/>
  <c r="D5" i="69" a="1"/>
  <c r="D5" i="69" s="1"/>
  <c r="E8" i="69" a="1"/>
  <c r="E30" i="69" l="1" a="1"/>
  <c r="E30" i="69" s="1"/>
  <c r="E9" i="13" s="1"/>
  <c r="E8" i="69"/>
  <c r="G32" i="69" l="1"/>
  <c r="E35" i="69" s="1" a="1"/>
  <c r="E35" i="69" s="1"/>
  <c r="H9" i="13" s="1"/>
  <c r="D57" i="70"/>
  <c r="H11" i="13" l="1"/>
  <c r="I9" i="13"/>
  <c r="I11" i="13" s="1"/>
  <c r="A77" i="110"/>
  <c r="A49" i="110"/>
  <c r="A109" i="69"/>
  <c r="A136" i="69"/>
  <c r="A66" i="69"/>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<sst xmlns="http://schemas.openxmlformats.org/spreadsheetml/2006/main" count="171" uniqueCount="132">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</sst>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9">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51" fillId="4" borderId="1" xfId="53" applyFont="1" applyBorder="1">
      <alignment horizontal="left" vertical="center"/>
    </xf>
    <xf numFmtId="0" fontId="2" fillId="0" borderId="2" xfId="56">
      <alignment horizontal="center" vertical="center"/>
    </xf>
    <xf numFmtId="0" fontId="36" fillId="13" borderId="17" xfId="39" applyBorder="1">
      <alignment horizontal="left" vertical="center"/>
    </xf>
    <xf numFmtId="0" fontId="41"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58" dataCellStyle="Content normal">
  <autoFilter ref="D9:E14" xr:uid="{86752300-1056-4C92-8247-C96E2D7BEDD4}">
    <filterColumn colId="0" hiddenButton="1"/>
    <filterColumn colId="1" hiddenButton="1"/>
  </autoFilter>
  <tableColumns count="2">
    <tableColumn id="1" xr3:uid="{60322701-4B4B-459F-8E0D-E1FDA0005D7E}" name="Facility type t" dataDxfId="57"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56"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55" dataCellStyle="Content normal">
  <autoFilter ref="D21:E26" xr:uid="{CAC655BD-F756-4971-8D46-22867B90DE87}">
    <filterColumn colId="0" hiddenButton="1"/>
    <filterColumn colId="1" hiddenButton="1"/>
  </autoFilter>
  <tableColumns count="2">
    <tableColumn id="1" xr3:uid="{D1DF76B8-1010-4952-AD56-4DF4622F5028}" name="Facility type t" dataDxfId="54"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53"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4A8BF73-AB1F-4876-97DB-FB9A59CDC3B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4E0E87C-74DB-459F-8D38-4A92FCFAF92C}" name="State/Territory">
      <calculatedColumnFormula array="1">Common_InputFunctions.Utility_DisplayArrayInTable(Common_SourceData.Common_SourceData_AustralianStatesTerritories_Data(),Table_AustralianStates[[#Headers],[State/Territory]],0)</calculatedColumnFormula>
    </tableColumn>
    <tableColumn id="2" xr3:uid="{B0770D34-8F9E-4D6E-8ECE-07DD6443B418}" name="Common Name">
      <calculatedColumnFormula array="1">Common_InputFunctions.Utility_DisplayArrayInTable(Common_SourceData.Common_SourceData_AustralianStatesTerritories_Data(),Table_AustralianStates[[#Headers],[State/Territory]],0)</calculatedColumnFormula>
    </tableColumn>
    <tableColumn id="3" xr3:uid="{2DF21ADF-7676-4B64-BA33-AC56F90712B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0028BA-C056-4027-A942-09366FE560EE}" name="Table_WASA4Areas" displayName="Table_WASA4Areas" ref="D20:D30" totalsRowShown="0">
  <autoFilter ref="D20:D30" xr:uid="{5FA81339-C6C8-4D36-BEEA-6C4AEDD9E676}">
    <filterColumn colId="0" hiddenButton="1"/>
  </autoFilter>
  <tableColumns count="1">
    <tableColumn id="1" xr3:uid="{EF471855-05EC-440A-91DB-3E6BF22DEC8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3C94305-F4C5-4CF3-852E-A0C29CC85D52}" name="Table_GWPData" displayName="Table_GWPData" ref="D36:E43" totalsRowShown="0">
  <autoFilter ref="D36:E43" xr:uid="{B8E87A66-3E41-4AD3-925D-01EE21B43D7A}">
    <filterColumn colId="0" hiddenButton="1"/>
    <filterColumn colId="1" hiddenButton="1"/>
  </autoFilter>
  <tableColumns count="2">
    <tableColumn id="1" xr3:uid="{6BFDB535-1902-44B2-B400-CD82F7B55B30}" name="Gas">
      <calculatedColumnFormula array="1">Common_InputFunctions.Utility_DisplayArrayInTable(Common_SourceData.Common_SourceData_GWP_Data(), Table_GWPData[[#Headers],[Gas]], 0)</calculatedColumnFormula>
    </tableColumn>
    <tableColumn id="2" xr3:uid="{4054A850-E3E9-4208-8F49-31B351D86D7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9FA6EFC-F767-4F03-9595-93D12005005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5D8FB12-91D1-4D75-8C29-81CF1719CF75}" name="Gas">
      <calculatedColumnFormula array="1">Common_InputFunctions.Utility_DisplayArrayInTable(Common_SourceData.Common_SourceData_ConvertGasElementalToMolecular_Data(),Table_GasToMolecularConversionFactor[[#Headers],[Gas]], 0)</calculatedColumnFormula>
    </tableColumn>
    <tableColumn id="5" xr3:uid="{5B206A8A-A046-4E95-917C-8311C5D26F5E}" name="Conversion factor">
      <calculatedColumnFormula array="1">Common_InputFunctions.Utility_DisplayArrayInTable(Common_SourceData.Common_SourceData_ConvertGasElementalToMolecular_Data(),Table_GasToMolecularConversionFactor[[#Headers],[Gas]], 0)</calculatedColumnFormula>
    </tableColumn>
    <tableColumn id="2" xr3:uid="{6B8264DD-67B3-4A71-A211-02B91A63A0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DCE3117-153C-4991-9DAB-F7B4917A0A5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71CC504-21C3-4FAD-B783-C73055500CC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A8A5644-FEF2-4F23-8350-4B25BF47833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79B743-50F4-4EF1-8356-AA9C4A60C2C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2AC2A8A-13C1-467A-8907-B685D3A9EB24}"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16D4DD7-7FBE-40DF-A5D0-A42A8D49897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D88DB054-1FC7-49B8-A267-C1C7EFCDEB9E}"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3B608F0C-BF5B-46D0-92FC-6F2B5D5BB1F9}"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A01F1254-1B3D-4A35-8C85-F0536AF902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29DCCB92-BB35-4455-9C8F-B0599D6F2CEC}"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AF8145E-1292-4752-932A-83438A0D6A79}"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E6848A1F-BC28-4BAD-98C5-84C27707488A}"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9FFF62D-4812-4984-9F65-DCB7BCD9A909}"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8312F0B7-9284-4CC8-9964-B19BC1F4AAA1}"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1D3746FF-D9FF-45D2-8037-85C5F6D3AEC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757AAC29-B4B9-421B-BF37-11A1F02960DB}"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F5F07B98-8F3B-43DE-8868-8B6521EE70B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54854D9D-3B0B-4FAC-911A-2F06DA7073DC}"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1C1FDB01-8B0D-4AB2-B0BB-435B21235AF0}"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AB30C9A-68A6-4E05-BD40-E763298777F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23A3ECC-39D0-48A8-AA45-F9862E2024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9D975DC-0646-44FB-A9C6-DAC7D2D476C0}"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35FD7F6-BFEE-4A32-B504-C9C8FF8D143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73B00C1-3A07-4CF7-A093-491807F38D70}" name="Temperature Zone">
      <calculatedColumnFormula array="1">Common_InputFunctions.Utility_DisplayArrayInTable(Common_SourceData.Common_SourceData_TemperatureZones_Data(),Table_SourceData_TemperatureZones[[#Headers],[Temperature Zone]],0)</calculatedColumnFormula>
    </tableColumn>
    <tableColumn id="2" xr3:uid="{48E05620-9CFF-45B1-8B9B-D606D44FA94F}" name="MAT">
      <calculatedColumnFormula array="1">Common_InputFunctions.Utility_DisplayArrayInTable(Common_SourceData.Common_SourceData_TemperatureZones_Data(),Table_SourceData_TemperatureZones[[#Headers],[Temperature Zone]],0)</calculatedColumnFormula>
    </tableColumn>
    <tableColumn id="3" xr3:uid="{B1FD170D-4DF7-4386-BE47-2F44EA68243E}" name="Min MAT">
      <calculatedColumnFormula array="1">Common_InputFunctions.Utility_DisplayArrayInTable(Common_SourceData.Common_SourceData_TemperatureZones_Data(),Table_SourceData_TemperatureZones[[#Headers],[Temperature Zone]],0)</calculatedColumnFormula>
    </tableColumn>
    <tableColumn id="4" xr3:uid="{FB1CD6A0-82C1-4157-B50D-DA3E1C3D198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5309467-765B-4B94-8584-08DA6915B57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471FF18-87B1-48D8-B4B5-5A60B311127B}" name="Rainfall Zone">
      <calculatedColumnFormula array="1">Common_InputFunctions.Utility_DisplayArrayInTable(Common_SourceData.Common_SourceData_RainfallZones_Data(),Table_SourceData_RainfallZones[[#Headers],[Rainfall Zone]],0)</calculatedColumnFormula>
    </tableColumn>
    <tableColumn id="2" xr3:uid="{D28DC9EE-82D3-4672-A649-FC74C1256A4D}" name="Annual rainfall">
      <calculatedColumnFormula array="1">Common_InputFunctions.Utility_DisplayArrayInTable(Common_SourceData.Common_SourceData_RainfallZones_Data(),Table_SourceData_RainfallZones[[#Headers],[Rainfall Zone]],0)</calculatedColumnFormula>
    </tableColumn>
    <tableColumn id="3" xr3:uid="{864292BE-FF8A-4034-BEB8-594E669F7D72}" name="Min rainfall">
      <calculatedColumnFormula array="1">Common_InputFunctions.Utility_DisplayArrayInTable(Common_SourceData.Common_SourceData_RainfallZones_Data(),Table_SourceData_RainfallZones[[#Headers],[Rainfall Zone]],0)</calculatedColumnFormula>
    </tableColumn>
    <tableColumn id="4" xr3:uid="{9B41CF01-C2D0-4168-A3CC-D6EE46CFE08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3C23522-9E9D-44F8-8336-C06AF43B79C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8922A4B-9C89-46CA-8E64-8BD8B7E28956}" name="Leaching Zone">
      <calculatedColumnFormula array="1">Common_InputFunctions.Utility_DisplayArrayInTable(Common_SourceData.Common_SourceData_LeachingZones_Data(), Table_SourceData_LeachingZones[[#Headers],[Leaching Zone]], 0)</calculatedColumnFormula>
    </tableColumn>
    <tableColumn id="2" xr3:uid="{FB5AAD60-432B-40CF-9A10-32A95B59991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A615DB4-CDA2-43C7-8BBD-245FE9C24A3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1090E5A-1810-49EB-BCFC-D8A93F1B5BB7}" name="Data source">
      <calculatedColumnFormula array="1">Common_InputFunctions.Utility_DisplayArrayInTable(Common_SourceData.Common_SourceData_DataScores_Scope3_Data(), Table_SourceData_DataScores_Scope3[[#Headers],[Data source]], 0)</calculatedColumnFormula>
    </tableColumn>
    <tableColumn id="2" xr3:uid="{549056A9-6139-4141-8419-133BF7F0CB0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F96C5B8-244B-4352-9A57-A52F72FEF06D}" name="Table_SourceData_FracWET" displayName="Table_SourceData_FracWET" ref="D134:E136" totalsRowShown="0">
  <autoFilter ref="D134:E136" xr:uid="{308E99BE-FE1F-47A4-B2CA-97217277C4E9}">
    <filterColumn colId="0" hiddenButton="1"/>
    <filterColumn colId="1" hiddenButton="1"/>
  </autoFilter>
  <tableColumns count="2">
    <tableColumn id="1" xr3:uid="{4C4A6D74-20F8-4403-8C9B-E918177D37BA}" name="Is in leaching zone">
      <calculatedColumnFormula array="1">Common_InputFunctions.Utility_DisplayArrayInTable(Common_SourceData.Common_SourceData_FracWET_Data(),Table_SourceData_FracWET[[#Headers],[Is in leaching zone]],0)</calculatedColumnFormula>
    </tableColumn>
    <tableColumn id="2" xr3:uid="{927B7BBA-6E6F-4B41-AD64-57BC67EADAF2}"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735D655-506C-4162-9223-8CDD640948F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3A924E3-84DE-4BF7-9397-70DCCDC92771}" name="Production system j">
      <calculatedColumnFormula array="1">Common_InputFunctions.Utility_DisplayArrayInTable(Common_SourceData.Common_SourceData_EFN2O_Data(), Table_SourceData_Common_EFN2O[[#Headers],[Production system j]], 0)</calculatedColumnFormula>
    </tableColumn>
    <tableColumn id="2" xr3:uid="{7CCE1CE0-3549-410F-B6C6-6B4D834CE41D}" name="EFN2O">
      <calculatedColumnFormula array="1">Common_InputFunctions.Utility_DisplayArrayInTable(Common_SourceData.Common_SourceData_EFN2O_Data(), Table_SourceData_Common_EFN2O[[#Headers],[Production system j]], 0)</calculatedColumnFormula>
    </tableColumn>
    <tableColumn id="3" xr3:uid="{A161BDA7-827E-4EE1-8909-FCCDD5EED965}" name="Production system only">
      <calculatedColumnFormula array="1">Common_InputFunctions.Utility_DisplayArrayInTable(Common_SourceData.Common_SourceData_EFN2O_Data(), Table_SourceData_Common_EFN2O[[#Headers],[Production system j]], 0)</calculatedColumnFormula>
    </tableColumn>
    <tableColumn id="4" xr3:uid="{31CE4569-521F-4634-B509-10F42D229D26}" name="Irrigation method">
      <calculatedColumnFormula array="1">Common_InputFunctions.Utility_DisplayArrayInTable(Common_SourceData.Common_SourceData_EFN2O_Data(), Table_SourceData_Common_EFN2O[[#Headers],[Production system j]], 0)</calculatedColumnFormula>
    </tableColumn>
    <tableColumn id="5" xr3:uid="{8AA2CDF3-F5D4-4178-9C99-A5971CE8024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30651BA-F6AA-4CD5-8D87-D6B68CD9E56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FEE1AC2-D8BF-439B-929A-0E1A17D616BC}" name="Irrigation type i">
      <calculatedColumnFormula array="1">Common_InputFunctions.Utility_DisplayArrayInTable(Common_SourceData.Common_SourceData_FracWETIrrigation_Data(), Table_SourceData_FracWETIrrigation[[#Headers],[Irrigation type i]], 0)</calculatedColumnFormula>
    </tableColumn>
    <tableColumn id="2" xr3:uid="{F4A9A605-754F-427A-A047-09B491F3E3F3}"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85E657B-A70C-4772-935F-B3FE5750BB5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3B9452A-0D0D-4336-B1FA-9B49DEDEB1A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51858C8-5465-42EA-84B8-B18B16187376}"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8A1032A-4E0E-4678-BF62-41AFAC38569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EC06FF8-9F42-4E82-A71A-B23978FE85F4}" name="Month">
      <calculatedColumnFormula array="1">Common_InputFunctions.Utility_DisplayArrayInTable(Common_SourceData.Common_SourceData_MonthsToSeasons_Data(), Table_SourceData_Common_MonthToSeason[[#Headers],[Month]], 0)</calculatedColumnFormula>
    </tableColumn>
    <tableColumn id="2" xr3:uid="{4DE004E1-7EB7-43F1-A618-7C4A35E7ECA2}"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A03D208-CF3E-4849-A4DA-23BC9B58A68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7BD02DD-8DF0-4ECB-9857-A00B6832CB6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D59A1CA-957C-484C-85EF-53E72157ED2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04462D2-A921-430A-A3AE-13A509AA54C9}"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02B89D-7F0C-472A-8E84-042EC8C1C51C}"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29746F9-9824-4163-85B6-802EBFF8CFE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843E2B1-6F87-447C-975B-C49E032B65D3}"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35124B8-74CB-4E5F-8FDC-0F88CB76089D}"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4C1CED1-0ECF-4912-B899-53606483D34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0289777-FA8F-4CE3-B2E0-F7AA23D7F743}"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72727FA-208E-45F1-BA53-9C6D68CA4B2A}"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16C38AB5-A1D4-4FE9-BE30-C422550C9606}"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EABE97B-0FD8-48FD-8756-FE63185F4FD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EEA4CDA-6757-4352-9233-5449A959853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618B227-3888-4E54-BA6B-9F6C4F1B1798}"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3049CBE-13F5-4945-BB22-68A29336BC20}"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57331C5-698C-4B8E-BA8D-279F0612FD2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36CDA43-E8DC-4ADE-9F8B-49C4D68A3FD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8E93F2D-D728-48B5-90C6-D582AA92CB4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AF6E213-C0B8-4B2B-9BFC-25CD0D5E9A6E}"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3" t="s">
        <v>86</v>
      </c>
      <c r="D1" s="54"/>
      <c r="E1" s="54"/>
      <c r="F1" s="54"/>
      <c r="G1" s="54"/>
      <c r="H1" s="54"/>
      <c r="I1" s="54"/>
      <c r="J1" s="54"/>
      <c r="K1" s="54"/>
      <c r="L1" s="54"/>
      <c r="M1" s="54"/>
      <c r="N1" s="54"/>
      <c r="O1" s="54"/>
      <c r="P1" s="54"/>
    </row>
    <row r="2" spans="1:17" ht="20.100000000000001" customHeight="1" x14ac:dyDescent="0.25">
      <c r="A2" s="8"/>
      <c r="C2" s="54"/>
      <c r="D2" s="54"/>
      <c r="E2" s="54"/>
      <c r="F2" s="54"/>
      <c r="G2" s="54"/>
      <c r="H2" s="54"/>
      <c r="I2" s="54"/>
      <c r="J2" s="54"/>
      <c r="K2" s="54"/>
      <c r="L2" s="54"/>
      <c r="M2" s="54"/>
      <c r="N2" s="54"/>
      <c r="O2" s="54"/>
      <c r="P2" s="54"/>
      <c r="Q2" s="55"/>
    </row>
    <row r="3" spans="1:17" ht="20.100000000000001" customHeight="1" x14ac:dyDescent="0.25">
      <c r="A3" s="13" t="str">
        <f>HYPERLINK("#'Home'!A1", "Home")</f>
        <v>Home</v>
      </c>
      <c r="C3" s="56"/>
      <c r="D3" s="56"/>
      <c r="E3" s="56"/>
      <c r="F3" s="56"/>
      <c r="G3" s="56"/>
      <c r="H3" s="56"/>
      <c r="I3" s="56"/>
      <c r="J3" s="56"/>
      <c r="K3" s="56"/>
      <c r="L3" s="56"/>
      <c r="M3" s="56"/>
      <c r="N3" s="56"/>
      <c r="O3" s="56"/>
      <c r="P3" s="56"/>
    </row>
    <row r="4" spans="1:17" ht="20.100000000000001" customHeight="1" x14ac:dyDescent="0.25">
      <c r="A4" s="42" t="str">
        <f>HYPERLINK("#'Overview'!A1", "Overview")</f>
        <v>Overview</v>
      </c>
    </row>
    <row r="5" spans="1:17" ht="20.100000000000001" customHeight="1" x14ac:dyDescent="0.25">
      <c r="A5" s="13" t="str">
        <f>HYPERLINK("#'Results'!A1", "Results")</f>
        <v>Results</v>
      </c>
      <c r="D5" s="40" t="s">
        <v>83</v>
      </c>
      <c r="E5" s="37"/>
      <c r="F5" s="37"/>
      <c r="G5" s="37"/>
      <c r="H5" s="37"/>
      <c r="I5" s="37"/>
      <c r="J5" s="37"/>
      <c r="K5" s="37"/>
      <c r="L5" s="37"/>
      <c r="M5" s="37"/>
      <c r="N5" s="37"/>
      <c r="O5" s="34"/>
    </row>
    <row r="6" spans="1:17" ht="20.100000000000001" customHeight="1" x14ac:dyDescent="0.25">
      <c r="A6" s="12"/>
      <c r="D6" s="57"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Wastewater'!A1", "Wastewater")</f>
        <v>Wastewater</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HYPERLINK("#'11.1.1-2 Wastewater CH4'!A1", "10.1.1-2 Wastewater CH4")</f>
        <v>10.1.1-2 Wastewater CH4</v>
      </c>
    </row>
    <row r="12" spans="1:17" ht="20.100000000000001" customHeight="1" x14ac:dyDescent="0.25">
      <c r="A12" s="13" t="str">
        <f>HYPERLINK("#'11.1.3-4 Wastewater N2O'!A1", "10.1.3-4 Wastewater N2O")</f>
        <v>10.1.3-4 Wastewater N2O</v>
      </c>
    </row>
    <row r="13" spans="1:17" ht="20.100000000000001" customHeight="1" x14ac:dyDescent="0.25">
      <c r="A13" s="13"/>
    </row>
    <row r="14" spans="1:17" ht="20.100000000000001" customHeight="1" x14ac:dyDescent="0.25">
      <c r="A14" s="14" t="s">
        <v>2</v>
      </c>
      <c r="O14" s="1" t="s">
        <v>85</v>
      </c>
    </row>
    <row r="15" spans="1:17" ht="20.100000000000001" customHeight="1" x14ac:dyDescent="0.25">
      <c r="A15" s="13" t="str">
        <f>HYPERLINK("#'Constants - Wastewater'!A1", "Constants - Wastewater")</f>
        <v>Constants - Wastewater</v>
      </c>
    </row>
    <row r="16" spans="1:17" ht="20.100000000000001" customHeight="1" x14ac:dyDescent="0.25">
      <c r="A16" s="13"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15" sqref="F15"/>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3" t="e" vm="1">
        <v>#VALUE!</v>
      </c>
      <c r="C1" s="53" t="s">
        <v>87</v>
      </c>
    </row>
    <row r="2" spans="1:11" ht="20.100000000000001" customHeight="1" x14ac:dyDescent="0.25">
      <c r="A2" s="8"/>
      <c r="C2" s="8"/>
    </row>
    <row r="3" spans="1:11" ht="20.100000000000001" customHeight="1" x14ac:dyDescent="0.25">
      <c r="A3" s="13" t="str">
        <f>HYPERLINK("#'Home'!A1", "Home")</f>
        <v>Home</v>
      </c>
      <c r="C3" s="18"/>
      <c r="D3" s="18"/>
      <c r="E3" s="18"/>
      <c r="F3" s="18"/>
      <c r="G3" s="18"/>
      <c r="H3" s="18"/>
      <c r="I3" s="18"/>
      <c r="J3" s="18"/>
      <c r="K3" s="18"/>
    </row>
    <row r="4" spans="1:11" ht="20.100000000000001" customHeight="1" x14ac:dyDescent="0.25">
      <c r="A4" s="13" t="str">
        <f>HYPERLINK("#'Overview'!A1", "Overview")</f>
        <v>Overview</v>
      </c>
      <c r="C4" s="18"/>
      <c r="D4" s="5" t="s">
        <v>3</v>
      </c>
      <c r="E4" s="19"/>
      <c r="F4" s="19"/>
      <c r="G4" s="19"/>
      <c r="H4" s="19"/>
      <c r="I4" s="19"/>
      <c r="J4" s="19"/>
      <c r="K4" s="20"/>
    </row>
    <row r="5" spans="1:11" ht="20.100000000000001" customHeight="1" x14ac:dyDescent="0.3">
      <c r="A5" s="42" t="str">
        <f>HYPERLINK("#'Results'!A1", "Results")</f>
        <v>Results</v>
      </c>
      <c r="C5" s="18"/>
      <c r="D5" s="21"/>
      <c r="E5" s="22"/>
      <c r="F5" s="22"/>
      <c r="G5" s="22"/>
      <c r="H5" s="22"/>
      <c r="I5" s="22"/>
      <c r="J5" s="22"/>
      <c r="K5" s="18"/>
    </row>
    <row r="6" spans="1:11" ht="20.100000000000001" customHeight="1" x14ac:dyDescent="0.25">
      <c r="A6" s="12"/>
      <c r="C6" s="18"/>
      <c r="D6" s="17" t="s">
        <v>80</v>
      </c>
      <c r="E6" s="18"/>
      <c r="F6" s="18"/>
      <c r="G6" s="18"/>
      <c r="H6" s="18"/>
      <c r="I6" s="18"/>
      <c r="J6" s="18"/>
      <c r="K6" s="18"/>
    </row>
    <row r="7" spans="1:11" ht="20.100000000000001" customHeight="1" x14ac:dyDescent="0.25">
      <c r="A7" s="16" t="s">
        <v>1</v>
      </c>
      <c r="C7" s="18"/>
      <c r="D7" s="18"/>
      <c r="E7" s="18"/>
      <c r="F7" s="18"/>
      <c r="G7" s="18"/>
      <c r="H7" s="18"/>
      <c r="I7" s="18"/>
      <c r="J7" s="18"/>
      <c r="K7" s="18"/>
    </row>
    <row r="8" spans="1:11" ht="20.100000000000001" customHeight="1" x14ac:dyDescent="0.25">
      <c r="A8" s="13" t="str">
        <f>HYPERLINK("#'Input - Wastewater'!A1", "Wastewater")</f>
        <v>Wastewater</v>
      </c>
      <c r="C8" s="18"/>
      <c r="D8" s="39" t="s">
        <v>50</v>
      </c>
      <c r="E8" s="39" t="s">
        <v>60</v>
      </c>
      <c r="F8" s="39" t="s">
        <v>61</v>
      </c>
      <c r="G8" s="39" t="s">
        <v>55</v>
      </c>
      <c r="H8" s="39" t="s">
        <v>128</v>
      </c>
      <c r="I8" s="39" t="s">
        <v>129</v>
      </c>
      <c r="J8" s="39" t="s">
        <v>130</v>
      </c>
      <c r="K8" s="18"/>
    </row>
    <row r="9" spans="1:11" ht="20.100000000000001" customHeight="1" x14ac:dyDescent="0.25">
      <c r="A9" s="13"/>
      <c r="C9" s="18"/>
      <c r="D9" s="1" t="s">
        <v>124</v>
      </c>
      <c r="E9" s="52">
        <f>VEERG_11_1_1_1__1_MethaneEmissionsFromWastewaterTreatment_Result_Method1</f>
        <v>4.7159433000000001E-2</v>
      </c>
      <c r="F9" s="52">
        <f>E9</f>
        <v>4.7159433000000001E-2</v>
      </c>
      <c r="G9" s="30" t="s">
        <v>126</v>
      </c>
      <c r="H9" s="52">
        <f>'11.1.1-2 Wastewater CH4'!E35</f>
        <v>1.3204641239999999</v>
      </c>
      <c r="I9" s="52">
        <f>H9</f>
        <v>1.3204641239999999</v>
      </c>
      <c r="J9" s="30" t="s">
        <v>58</v>
      </c>
      <c r="K9" s="18"/>
    </row>
    <row r="10" spans="1:11" ht="20.100000000000001" customHeight="1" x14ac:dyDescent="0.25">
      <c r="A10" s="15" t="s">
        <v>45</v>
      </c>
      <c r="C10" s="18"/>
      <c r="D10" s="1" t="s">
        <v>125</v>
      </c>
      <c r="E10" s="75">
        <f>VEERG_11_1_3_1__1_NitrousOxideEmissionsFromFlaredBiogas_Result_Method1</f>
        <v>4.26764E-7</v>
      </c>
      <c r="F10" s="75">
        <f>E10</f>
        <v>4.26764E-7</v>
      </c>
      <c r="G10" s="30" t="s">
        <v>127</v>
      </c>
      <c r="H10" s="52">
        <f>'11.1.3-4 Wastewater N2O'!E22</f>
        <v>1.1309246E-4</v>
      </c>
      <c r="I10" s="52">
        <f>H10</f>
        <v>1.1309246E-4</v>
      </c>
      <c r="J10" s="30" t="s">
        <v>58</v>
      </c>
      <c r="K10" s="18"/>
    </row>
    <row r="11" spans="1:11" ht="20.100000000000001" customHeight="1" x14ac:dyDescent="0.3">
      <c r="A11" s="13" t="str">
        <f>HYPERLINK("#'11.1.1-2 Wastewater CH4'!A1", "10.1.1-2 Wastewater CH4")</f>
        <v>10.1.1-2 Wastewater CH4</v>
      </c>
      <c r="C11" s="18"/>
      <c r="D11" s="76" t="s">
        <v>131</v>
      </c>
      <c r="E11" s="77"/>
      <c r="F11" s="77"/>
      <c r="G11" s="76"/>
      <c r="H11" s="78">
        <f>SUM(H9:H10)</f>
        <v>1.3205772164599998</v>
      </c>
      <c r="I11" s="78">
        <f>SUM(I9:I10)</f>
        <v>1.3205772164599998</v>
      </c>
      <c r="J11" s="74" t="s">
        <v>58</v>
      </c>
      <c r="K11" s="18"/>
    </row>
    <row r="12" spans="1:11" ht="20.100000000000001" customHeight="1" x14ac:dyDescent="0.25">
      <c r="A12" s="13" t="str">
        <f>HYPERLINK("#'11.1.3-4 Wastewater N2O'!A1", "10.1.3-4 Wastewater N2O")</f>
        <v>10.1.3-4 Wastewater N2O</v>
      </c>
      <c r="C12" s="18"/>
      <c r="D12" s="1"/>
      <c r="E12" s="1"/>
      <c r="F12" s="1"/>
      <c r="G12" s="1"/>
      <c r="H12" s="1"/>
      <c r="I12" s="1"/>
      <c r="J12" s="1"/>
      <c r="K12" s="18"/>
    </row>
    <row r="13" spans="1:11" ht="20.100000000000001" customHeight="1" x14ac:dyDescent="0.25">
      <c r="A13" s="13"/>
      <c r="C13" s="18"/>
      <c r="D13" s="1"/>
      <c r="E13" s="1"/>
      <c r="F13" s="1"/>
      <c r="G13" s="1"/>
      <c r="H13" s="1"/>
      <c r="I13" s="1"/>
      <c r="J13" s="1"/>
      <c r="K13" s="18"/>
    </row>
    <row r="14" spans="1:11" ht="20.100000000000001" customHeight="1" x14ac:dyDescent="0.25">
      <c r="A14" s="14" t="s">
        <v>2</v>
      </c>
      <c r="C14" s="18"/>
      <c r="D14" s="1"/>
      <c r="E14" s="1"/>
      <c r="F14" s="1"/>
      <c r="G14" s="1"/>
      <c r="H14" s="1"/>
      <c r="I14" s="1"/>
      <c r="J14" s="1"/>
      <c r="K14" s="18"/>
    </row>
    <row r="15" spans="1:11" ht="20.100000000000001" customHeight="1" x14ac:dyDescent="0.25">
      <c r="A15" s="13" t="str">
        <f>HYPERLINK("#'Constants - Wastewater'!A1", "Constants - Wastewater")</f>
        <v>Constants - Wastewater</v>
      </c>
      <c r="C15" s="18"/>
      <c r="D15" s="1"/>
      <c r="E15" s="1"/>
      <c r="F15" s="1"/>
      <c r="G15" s="1"/>
      <c r="H15" s="1"/>
      <c r="I15" s="1"/>
      <c r="J15" s="1"/>
      <c r="K15" s="18"/>
    </row>
    <row r="16" spans="1:11" ht="20.100000000000001" customHeight="1" x14ac:dyDescent="0.25">
      <c r="A16" s="13" t="str">
        <f>HYPERLINK("#'Constants - Common'!A1", "Constants - Common")</f>
        <v>Constants - Common</v>
      </c>
      <c r="C16" s="18"/>
      <c r="D16" s="1"/>
      <c r="E16" s="1"/>
      <c r="F16" s="1"/>
      <c r="G16" s="1"/>
      <c r="H16" s="1"/>
      <c r="I16" s="1"/>
      <c r="J16" s="1"/>
      <c r="K16" s="18"/>
    </row>
    <row r="17" spans="1:11" ht="20.100000000000001" customHeight="1" x14ac:dyDescent="0.25">
      <c r="C17" s="18"/>
      <c r="D17" s="1"/>
      <c r="E17" s="1"/>
      <c r="F17" s="1"/>
      <c r="G17" s="1"/>
      <c r="H17" s="1"/>
      <c r="I17" s="1"/>
      <c r="J17" s="1"/>
      <c r="K17" s="18"/>
    </row>
    <row r="18" spans="1:11" ht="20.100000000000001" customHeight="1" x14ac:dyDescent="0.25">
      <c r="C18" s="18"/>
      <c r="D18" s="1"/>
      <c r="E18" s="1"/>
      <c r="F18" s="1"/>
      <c r="G18" s="1"/>
      <c r="H18" s="1"/>
      <c r="I18" s="1"/>
      <c r="J18" s="1"/>
      <c r="K18" s="18"/>
    </row>
    <row r="19" spans="1:11" ht="20.100000000000001" customHeight="1" x14ac:dyDescent="0.25">
      <c r="C19" s="18"/>
      <c r="D19" s="1"/>
      <c r="E19" s="1"/>
      <c r="F19" s="1"/>
      <c r="G19" s="1"/>
      <c r="H19" s="1"/>
      <c r="I19" s="1"/>
      <c r="J19" s="1"/>
      <c r="K19" s="18"/>
    </row>
    <row r="20" spans="1:11" ht="20.100000000000001" customHeight="1" x14ac:dyDescent="0.25">
      <c r="C20" s="18"/>
      <c r="D20" s="1"/>
      <c r="E20" s="1"/>
      <c r="F20" s="1"/>
      <c r="G20" s="1"/>
      <c r="H20" s="1"/>
      <c r="I20" s="1"/>
      <c r="J20" s="1"/>
      <c r="K20" s="18"/>
    </row>
    <row r="21" spans="1:11" ht="20.100000000000001" customHeight="1" x14ac:dyDescent="0.25">
      <c r="A21" s="13"/>
      <c r="C21" s="18"/>
      <c r="D21" s="1"/>
      <c r="E21" s="1"/>
      <c r="F21" s="1"/>
      <c r="G21" s="1"/>
      <c r="H21" s="1"/>
      <c r="I21" s="1"/>
      <c r="J21" s="1"/>
      <c r="K21" s="18"/>
    </row>
    <row r="22" spans="1:11" ht="20.100000000000001" customHeight="1" x14ac:dyDescent="0.25">
      <c r="C22" s="18"/>
      <c r="D22" s="1"/>
      <c r="E22" s="1"/>
      <c r="F22" s="1"/>
      <c r="G22" s="1"/>
      <c r="H22" s="1"/>
      <c r="I22" s="1"/>
      <c r="J22" s="1"/>
      <c r="K22" s="18"/>
    </row>
    <row r="23" spans="1:11" ht="20.100000000000001" customHeight="1" x14ac:dyDescent="0.25">
      <c r="A23" s="13"/>
      <c r="C23" s="18"/>
      <c r="D23" s="1"/>
      <c r="E23" s="1"/>
      <c r="F23" s="1"/>
      <c r="G23" s="1"/>
      <c r="H23" s="1"/>
      <c r="I23" s="1"/>
      <c r="J23" s="1"/>
      <c r="K23" s="18"/>
    </row>
    <row r="24" spans="1:11" ht="20.100000000000001" customHeight="1" x14ac:dyDescent="0.25">
      <c r="C24" s="18"/>
      <c r="D24" s="1"/>
      <c r="E24" s="1"/>
      <c r="F24" s="1"/>
      <c r="G24" s="1"/>
      <c r="H24" s="1"/>
      <c r="I24" s="1"/>
      <c r="J24" s="1"/>
      <c r="K24" s="18"/>
    </row>
    <row r="25" spans="1:11" ht="20.100000000000001" customHeight="1" x14ac:dyDescent="0.25">
      <c r="C25" s="18"/>
      <c r="D25" s="1"/>
      <c r="E25" s="1"/>
      <c r="F25" s="1"/>
      <c r="G25" s="1"/>
      <c r="H25" s="1"/>
      <c r="I25" s="1"/>
      <c r="J25" s="1"/>
      <c r="K25" s="18"/>
    </row>
    <row r="26" spans="1:11" ht="20.100000000000001" customHeight="1" x14ac:dyDescent="0.25">
      <c r="C26" s="18"/>
      <c r="D26" s="1"/>
      <c r="E26" s="1"/>
      <c r="F26" s="1"/>
      <c r="G26" s="1"/>
      <c r="H26" s="1"/>
      <c r="I26" s="1"/>
      <c r="J26" s="1"/>
      <c r="K26" s="18"/>
    </row>
    <row r="27" spans="1:11" ht="20.100000000000001" customHeight="1" x14ac:dyDescent="0.25">
      <c r="C27" s="18"/>
      <c r="D27" s="1"/>
      <c r="E27" s="1"/>
      <c r="F27" s="1"/>
      <c r="G27" s="1"/>
      <c r="H27" s="1"/>
      <c r="I27" s="1"/>
      <c r="J27" s="1"/>
      <c r="K27" s="18"/>
    </row>
    <row r="28" spans="1:11" ht="20.100000000000001" customHeight="1" x14ac:dyDescent="0.25">
      <c r="C28" s="18"/>
      <c r="D28" s="1"/>
      <c r="E28" s="1"/>
      <c r="F28" s="1"/>
      <c r="G28" s="1"/>
      <c r="H28" s="1"/>
      <c r="I28" s="1"/>
      <c r="J28" s="1"/>
      <c r="K28" s="18"/>
    </row>
    <row r="29" spans="1:11" ht="20.100000000000001" customHeight="1" x14ac:dyDescent="0.25">
      <c r="C29" s="18"/>
      <c r="D29" s="1"/>
      <c r="E29" s="1"/>
      <c r="F29" s="1"/>
      <c r="G29" s="1"/>
      <c r="H29" s="1"/>
      <c r="I29" s="1"/>
      <c r="J29" s="1"/>
      <c r="K29" s="18"/>
    </row>
    <row r="30" spans="1:11" ht="20.100000000000001" customHeight="1" x14ac:dyDescent="0.25">
      <c r="C30" s="18"/>
      <c r="D30" s="1"/>
      <c r="E30" s="1"/>
      <c r="F30" s="1"/>
      <c r="G30" s="1"/>
      <c r="H30" s="1"/>
      <c r="I30" s="1"/>
      <c r="J30" s="1"/>
      <c r="K30" s="18"/>
    </row>
    <row r="31" spans="1:11" ht="20.100000000000001" customHeight="1" x14ac:dyDescent="0.25">
      <c r="C31" s="18"/>
      <c r="D31" s="1"/>
      <c r="E31" s="1"/>
      <c r="F31" s="1"/>
      <c r="G31" s="1"/>
      <c r="H31" s="1"/>
      <c r="I31" s="1"/>
      <c r="J31" s="1"/>
      <c r="K31" s="18"/>
    </row>
    <row r="32" spans="1:11" ht="20.100000000000001" customHeight="1" x14ac:dyDescent="0.25">
      <c r="C32" s="18"/>
      <c r="D32" s="1"/>
      <c r="E32" s="1"/>
      <c r="F32" s="1"/>
      <c r="G32" s="1"/>
      <c r="H32" s="1"/>
      <c r="I32" s="1"/>
      <c r="J32" s="1"/>
      <c r="K32" s="18"/>
    </row>
    <row r="33" spans="3:11" ht="20.100000000000001" customHeight="1" x14ac:dyDescent="0.25">
      <c r="C33" s="18"/>
      <c r="D33" s="1"/>
      <c r="E33" s="1"/>
      <c r="F33" s="1"/>
      <c r="G33" s="1"/>
      <c r="H33" s="1"/>
      <c r="I33" s="1"/>
      <c r="J33" s="1"/>
      <c r="K33" s="18"/>
    </row>
    <row r="34" spans="3:11" ht="20.100000000000001" customHeight="1" x14ac:dyDescent="0.25">
      <c r="C34" s="18"/>
      <c r="D34" s="1"/>
      <c r="E34" s="1"/>
      <c r="F34" s="1"/>
      <c r="G34" s="1"/>
      <c r="H34" s="1"/>
      <c r="I34" s="1"/>
      <c r="J34" s="1"/>
      <c r="K34" s="18"/>
    </row>
    <row r="35" spans="3:11" ht="20.100000000000001" customHeight="1" x14ac:dyDescent="0.25">
      <c r="C35" s="18"/>
      <c r="D35" s="1"/>
      <c r="E35" s="1"/>
      <c r="F35" s="1"/>
      <c r="G35" s="1"/>
      <c r="H35" s="1"/>
      <c r="I35" s="1"/>
      <c r="J35" s="1"/>
      <c r="K35" s="18"/>
    </row>
    <row r="36" spans="3:11" ht="20.100000000000001" customHeight="1" x14ac:dyDescent="0.25">
      <c r="C36" s="18"/>
      <c r="D36" s="1"/>
      <c r="E36" s="1"/>
      <c r="F36" s="1"/>
      <c r="G36" s="1"/>
      <c r="H36" s="1"/>
      <c r="I36" s="1"/>
      <c r="J36" s="1"/>
      <c r="K36" s="18"/>
    </row>
    <row r="37" spans="3:11" ht="20.100000000000001" customHeight="1" x14ac:dyDescent="0.25">
      <c r="C37" s="18"/>
      <c r="D37" s="1"/>
      <c r="E37" s="1"/>
      <c r="F37" s="1"/>
      <c r="G37" s="1"/>
      <c r="H37" s="1"/>
      <c r="I37" s="1"/>
      <c r="J37" s="1"/>
      <c r="K37" s="18"/>
    </row>
    <row r="38" spans="3:11" ht="20.100000000000001" customHeight="1" x14ac:dyDescent="0.25">
      <c r="C38" s="18"/>
      <c r="D38" s="1"/>
      <c r="E38" s="1"/>
      <c r="F38" s="1"/>
      <c r="G38" s="1"/>
      <c r="H38" s="1"/>
      <c r="I38" s="1"/>
      <c r="J38" s="1"/>
      <c r="K38" s="18"/>
    </row>
    <row r="39" spans="3:11" ht="20.100000000000001" customHeight="1" x14ac:dyDescent="0.25">
      <c r="C39" s="18"/>
      <c r="D39" s="1"/>
      <c r="E39" s="1"/>
      <c r="F39" s="1"/>
      <c r="G39" s="1"/>
      <c r="H39" s="1"/>
      <c r="I39" s="1"/>
      <c r="J39" s="1"/>
      <c r="K39" s="18"/>
    </row>
    <row r="40" spans="3:11" ht="20.100000000000001" customHeight="1" x14ac:dyDescent="0.25">
      <c r="C40" s="18"/>
      <c r="D40" s="1"/>
      <c r="E40" s="1"/>
      <c r="F40" s="1"/>
      <c r="G40" s="1"/>
      <c r="H40" s="1"/>
      <c r="I40" s="1"/>
      <c r="J40" s="1"/>
      <c r="K40" s="18"/>
    </row>
    <row r="41" spans="3:11" ht="20.100000000000001" customHeight="1" x14ac:dyDescent="0.25">
      <c r="C41" s="18"/>
      <c r="D41" s="1"/>
      <c r="E41" s="1"/>
      <c r="F41" s="1"/>
      <c r="G41" s="1"/>
      <c r="H41" s="1"/>
      <c r="I41" s="1"/>
      <c r="J41" s="1"/>
      <c r="K41" s="18"/>
    </row>
    <row r="42" spans="3:11" ht="20.100000000000001" customHeight="1" x14ac:dyDescent="0.25">
      <c r="C42" s="18"/>
      <c r="D42" s="1"/>
      <c r="E42" s="1"/>
      <c r="F42" s="1"/>
      <c r="G42" s="1"/>
      <c r="H42" s="1"/>
      <c r="I42" s="1"/>
      <c r="J42" s="1"/>
      <c r="K42" s="18"/>
    </row>
    <row r="43" spans="3:11" ht="20.100000000000001" customHeight="1" x14ac:dyDescent="0.25">
      <c r="C43" s="18"/>
      <c r="D43" s="1"/>
      <c r="E43" s="1"/>
      <c r="F43" s="1"/>
      <c r="G43" s="1"/>
      <c r="H43" s="1"/>
      <c r="I43" s="1"/>
      <c r="J43" s="1"/>
      <c r="K43" s="18"/>
    </row>
    <row r="44" spans="3:11" ht="20.100000000000001" customHeight="1" x14ac:dyDescent="0.25">
      <c r="C44" s="18"/>
      <c r="D44" s="1"/>
      <c r="E44" s="1"/>
      <c r="F44" s="1"/>
      <c r="G44" s="1"/>
      <c r="H44" s="1"/>
      <c r="I44" s="1"/>
      <c r="J44" s="1"/>
      <c r="K44" s="18"/>
    </row>
    <row r="45" spans="3:11" ht="20.100000000000001" customHeight="1" x14ac:dyDescent="0.25">
      <c r="C45" s="18"/>
      <c r="D45" s="1"/>
      <c r="E45" s="1"/>
      <c r="F45" s="1"/>
      <c r="G45" s="1"/>
      <c r="H45" s="1"/>
      <c r="I45" s="1"/>
      <c r="J45" s="1"/>
      <c r="K45" s="18"/>
    </row>
    <row r="46" spans="3:11" ht="20.100000000000001" customHeight="1" x14ac:dyDescent="0.25">
      <c r="C46" s="18"/>
      <c r="D46" s="1"/>
      <c r="E46" s="1"/>
      <c r="F46" s="1"/>
      <c r="G46" s="1"/>
      <c r="H46" s="1"/>
      <c r="I46" s="1"/>
      <c r="J46" s="1"/>
      <c r="K46" s="18"/>
    </row>
    <row r="47" spans="3:11" ht="20.100000000000001" customHeight="1" x14ac:dyDescent="0.25">
      <c r="C47" s="18"/>
      <c r="D47" s="1"/>
      <c r="E47" s="1"/>
      <c r="F47" s="1"/>
      <c r="G47" s="1"/>
      <c r="H47" s="1"/>
      <c r="I47" s="1"/>
      <c r="J47" s="1"/>
      <c r="K47" s="18"/>
    </row>
    <row r="48" spans="3:11" ht="20.100000000000001" customHeight="1" x14ac:dyDescent="0.25">
      <c r="C48" s="18"/>
      <c r="D48" s="1"/>
      <c r="E48" s="1"/>
      <c r="F48" s="1"/>
      <c r="G48" s="1"/>
      <c r="H48" s="1"/>
      <c r="I48" s="1"/>
      <c r="J48" s="1"/>
      <c r="K48" s="18"/>
    </row>
    <row r="49" spans="3:11" ht="20.100000000000001" customHeight="1" x14ac:dyDescent="0.25">
      <c r="C49" s="18"/>
      <c r="D49" s="1"/>
      <c r="E49" s="1"/>
      <c r="F49" s="1"/>
      <c r="G49" s="1"/>
      <c r="H49" s="1"/>
      <c r="I49" s="1"/>
      <c r="J49" s="1"/>
      <c r="K49" s="18"/>
    </row>
    <row r="50" spans="3:11" ht="20.100000000000001" customHeight="1" x14ac:dyDescent="0.25">
      <c r="C50" s="18"/>
      <c r="D50" s="1"/>
      <c r="E50" s="1"/>
      <c r="F50" s="1"/>
      <c r="G50" s="1"/>
      <c r="H50" s="1"/>
      <c r="I50" s="1"/>
      <c r="J50" s="1"/>
      <c r="K50" s="18"/>
    </row>
    <row r="51" spans="3:11" ht="20.100000000000001" customHeight="1" x14ac:dyDescent="0.25">
      <c r="C51" s="18"/>
      <c r="D51" s="1"/>
      <c r="E51" s="1"/>
      <c r="F51" s="1"/>
      <c r="G51" s="1"/>
      <c r="H51" s="1"/>
      <c r="I51" s="1"/>
      <c r="J51" s="1"/>
      <c r="K51" s="18"/>
    </row>
    <row r="52" spans="3:11" ht="20.100000000000001" customHeight="1" x14ac:dyDescent="0.25">
      <c r="C52" s="18"/>
      <c r="D52" s="1"/>
      <c r="E52" s="1"/>
      <c r="F52" s="1"/>
      <c r="G52" s="1"/>
      <c r="H52" s="1"/>
      <c r="I52" s="1"/>
      <c r="J52" s="1"/>
      <c r="K52" s="18"/>
    </row>
    <row r="53" spans="3:11" ht="20.100000000000001" customHeight="1" x14ac:dyDescent="0.25">
      <c r="C53" s="18"/>
      <c r="D53" s="1"/>
      <c r="E53" s="1"/>
      <c r="F53" s="1"/>
      <c r="G53" s="1"/>
      <c r="H53" s="1"/>
      <c r="I53" s="1"/>
      <c r="J53" s="1"/>
      <c r="K53" s="18"/>
    </row>
    <row r="54" spans="3:11" ht="20.100000000000001" customHeight="1" x14ac:dyDescent="0.25">
      <c r="C54" s="18"/>
      <c r="D54" s="1"/>
      <c r="E54" s="1"/>
      <c r="F54" s="1"/>
      <c r="G54" s="1"/>
      <c r="H54" s="1"/>
      <c r="I54" s="1"/>
      <c r="J54" s="1"/>
      <c r="K54" s="18"/>
    </row>
    <row r="55" spans="3:11" ht="20.100000000000001" customHeight="1" x14ac:dyDescent="0.25">
      <c r="C55" s="18"/>
      <c r="D55" s="1"/>
      <c r="E55" s="1"/>
      <c r="F55" s="1"/>
      <c r="G55" s="1"/>
      <c r="H55" s="1"/>
      <c r="I55" s="1"/>
      <c r="J55" s="1"/>
      <c r="K55" s="18"/>
    </row>
    <row r="56" spans="3:11" ht="20.100000000000001" customHeight="1" x14ac:dyDescent="0.25">
      <c r="C56" s="18"/>
      <c r="D56" s="1"/>
      <c r="E56" s="1"/>
      <c r="F56" s="1"/>
      <c r="G56" s="1"/>
      <c r="H56" s="1"/>
      <c r="I56" s="1"/>
      <c r="J56" s="1"/>
      <c r="K56" s="18"/>
    </row>
    <row r="57" spans="3:11" ht="20.100000000000001" customHeight="1" x14ac:dyDescent="0.25">
      <c r="C57" s="18"/>
      <c r="D57" s="1"/>
      <c r="E57" s="1"/>
      <c r="F57" s="1"/>
      <c r="G57" s="1"/>
      <c r="H57" s="1"/>
      <c r="I57" s="1"/>
      <c r="J57" s="1"/>
      <c r="K57" s="18"/>
    </row>
    <row r="58" spans="3:11" ht="20.100000000000001" customHeight="1" x14ac:dyDescent="0.25">
      <c r="C58" s="18"/>
      <c r="D58" s="1"/>
      <c r="E58" s="24"/>
      <c r="F58" s="23"/>
      <c r="G58" s="18"/>
      <c r="H58" s="18"/>
      <c r="I58" s="18"/>
      <c r="J58" s="18"/>
      <c r="K58" s="18"/>
    </row>
    <row r="59" spans="3:11" ht="20.100000000000001" customHeight="1" x14ac:dyDescent="0.25">
      <c r="C59" s="18"/>
      <c r="D59" s="1"/>
      <c r="E59" s="1"/>
      <c r="F59" s="1"/>
      <c r="G59" s="1"/>
      <c r="H59" s="1"/>
      <c r="I59" s="1"/>
      <c r="J59" s="1"/>
      <c r="K59" s="18"/>
    </row>
    <row r="60" spans="3:11" ht="20.100000000000001" customHeight="1" x14ac:dyDescent="0.25">
      <c r="C60" s="18"/>
      <c r="D60" s="1"/>
      <c r="E60" s="1"/>
      <c r="F60" s="1"/>
      <c r="G60" s="1"/>
      <c r="H60" s="1"/>
      <c r="I60" s="1"/>
      <c r="J60" s="1"/>
      <c r="K60" s="18"/>
    </row>
    <row r="61" spans="3:11" ht="20.100000000000001" customHeight="1" x14ac:dyDescent="0.25">
      <c r="C61" s="18"/>
      <c r="D61" s="1"/>
      <c r="E61" s="1"/>
      <c r="F61" s="1"/>
      <c r="G61" s="1"/>
      <c r="H61" s="1"/>
      <c r="I61" s="1"/>
      <c r="J61" s="1"/>
      <c r="K61" s="18"/>
    </row>
    <row r="62" spans="3:11" ht="20.100000000000001" customHeight="1" x14ac:dyDescent="0.25">
      <c r="C62" s="18"/>
      <c r="D62" s="1"/>
      <c r="E62" s="1"/>
      <c r="F62" s="1"/>
      <c r="G62" s="1"/>
      <c r="H62" s="1"/>
      <c r="I62" s="1"/>
      <c r="J62" s="1"/>
      <c r="K62" s="18"/>
    </row>
    <row r="63" spans="3:11" ht="20.100000000000001" customHeight="1" x14ac:dyDescent="0.25">
      <c r="C63" s="18"/>
      <c r="D63" s="1"/>
      <c r="E63" s="1"/>
      <c r="F63" s="1"/>
      <c r="G63" s="1"/>
      <c r="H63" s="1"/>
      <c r="I63" s="1"/>
      <c r="J63" s="1"/>
      <c r="K63" s="18"/>
    </row>
    <row r="64" spans="3:11" ht="20.100000000000001" customHeight="1" x14ac:dyDescent="0.25">
      <c r="C64" s="18"/>
      <c r="D64" s="1"/>
      <c r="E64" s="1"/>
      <c r="F64" s="1"/>
      <c r="G64" s="1"/>
      <c r="H64" s="1"/>
      <c r="I64" s="1"/>
      <c r="J64" s="1"/>
      <c r="K64" s="18"/>
    </row>
    <row r="65" spans="3:11" ht="20.100000000000001" customHeight="1" x14ac:dyDescent="0.25">
      <c r="C65" s="18"/>
      <c r="D65" s="1"/>
      <c r="E65" s="1"/>
      <c r="F65" s="1"/>
      <c r="G65" s="1"/>
      <c r="H65" s="1"/>
      <c r="I65" s="1"/>
      <c r="J65" s="1"/>
      <c r="K65" s="18"/>
    </row>
    <row r="66" spans="3:11" ht="20.100000000000001" customHeight="1" x14ac:dyDescent="0.25">
      <c r="C66" s="18"/>
      <c r="D66" s="1"/>
      <c r="E66" s="1"/>
      <c r="F66" s="1"/>
      <c r="G66" s="1"/>
      <c r="H66" s="1"/>
      <c r="I66" s="1"/>
      <c r="J66" s="1"/>
      <c r="K66" s="18"/>
    </row>
    <row r="67" spans="3:11" ht="20.100000000000001" customHeight="1" x14ac:dyDescent="0.25">
      <c r="C67" s="18"/>
      <c r="D67" s="1"/>
      <c r="E67" s="1"/>
      <c r="F67" s="1"/>
      <c r="G67" s="1"/>
      <c r="H67" s="1"/>
      <c r="I67" s="1"/>
      <c r="J67" s="1"/>
      <c r="K67" s="18"/>
    </row>
    <row r="68" spans="3:11" ht="20.100000000000001" customHeight="1" x14ac:dyDescent="0.25">
      <c r="C68" s="18"/>
      <c r="D68" s="1"/>
      <c r="E68" s="1"/>
      <c r="F68" s="1"/>
      <c r="G68" s="1"/>
      <c r="H68" s="1"/>
      <c r="I68" s="1"/>
      <c r="J68" s="1"/>
      <c r="K68" s="18"/>
    </row>
    <row r="69" spans="3:11" ht="20.100000000000001" customHeight="1" x14ac:dyDescent="0.25">
      <c r="C69" s="18"/>
      <c r="D69" s="1"/>
      <c r="E69" s="1"/>
      <c r="F69" s="1"/>
      <c r="G69" s="1"/>
      <c r="H69" s="1"/>
      <c r="I69" s="1"/>
      <c r="J69" s="1"/>
      <c r="K69" s="18"/>
    </row>
    <row r="70" spans="3:11" ht="20.100000000000001" customHeight="1" x14ac:dyDescent="0.25">
      <c r="C70" s="18"/>
      <c r="D70" s="1"/>
      <c r="E70" s="1"/>
      <c r="F70" s="1"/>
      <c r="G70" s="1"/>
      <c r="H70" s="1"/>
      <c r="I70" s="1"/>
      <c r="J70" s="1"/>
      <c r="K70" s="18"/>
    </row>
    <row r="71" spans="3:11" ht="20.100000000000001" customHeight="1" x14ac:dyDescent="0.25">
      <c r="C71" s="18"/>
      <c r="D71" s="1"/>
      <c r="E71" s="1"/>
      <c r="F71" s="1"/>
      <c r="G71" s="1"/>
      <c r="H71" s="1"/>
      <c r="I71" s="1"/>
      <c r="J71" s="1"/>
      <c r="K71" s="18"/>
    </row>
    <row r="72" spans="3:11" ht="20.100000000000001" customHeight="1" x14ac:dyDescent="0.25">
      <c r="C72" s="18"/>
      <c r="D72" s="1"/>
      <c r="E72" s="1"/>
      <c r="F72" s="1"/>
      <c r="G72" s="1"/>
      <c r="H72" s="1"/>
      <c r="I72" s="1"/>
      <c r="J72" s="1"/>
      <c r="K72" s="18"/>
    </row>
    <row r="73" spans="3:11" ht="20.100000000000001" customHeight="1" x14ac:dyDescent="0.25">
      <c r="C73" s="18"/>
      <c r="D73" s="1"/>
      <c r="E73" s="1"/>
      <c r="F73" s="1"/>
      <c r="G73" s="1"/>
      <c r="H73" s="1"/>
      <c r="I73" s="1"/>
      <c r="J73" s="1"/>
      <c r="K73" s="18"/>
    </row>
    <row r="74" spans="3:11" ht="20.100000000000001" customHeight="1" x14ac:dyDescent="0.25">
      <c r="C74" s="18"/>
      <c r="D74" s="1"/>
      <c r="E74" s="1"/>
      <c r="F74" s="1"/>
      <c r="G74" s="1"/>
      <c r="H74" s="1"/>
      <c r="I74" s="1"/>
      <c r="J74" s="1"/>
      <c r="K74" s="18"/>
    </row>
    <row r="75" spans="3:11" ht="20.100000000000001" customHeight="1" x14ac:dyDescent="0.25">
      <c r="C75" s="18"/>
      <c r="D75" s="1"/>
      <c r="E75" s="1"/>
      <c r="F75" s="1"/>
      <c r="G75" s="1"/>
      <c r="H75" s="1"/>
      <c r="I75" s="1"/>
      <c r="J75" s="1"/>
      <c r="K75" s="18"/>
    </row>
    <row r="76" spans="3:11" ht="15.75" x14ac:dyDescent="0.25">
      <c r="C76" s="18"/>
      <c r="D76" s="1"/>
      <c r="E76" s="1"/>
      <c r="F76" s="1"/>
      <c r="G76" s="1"/>
      <c r="H76" s="1"/>
      <c r="I76" s="1"/>
      <c r="J76" s="1"/>
      <c r="K76" s="18"/>
    </row>
    <row r="77" spans="3:11" ht="15.75" x14ac:dyDescent="0.25">
      <c r="C77" s="18"/>
      <c r="D77" s="1"/>
      <c r="E77" s="1"/>
      <c r="F77" s="1"/>
      <c r="G77" s="1"/>
      <c r="H77" s="1"/>
      <c r="I77" s="1"/>
      <c r="J77" s="1"/>
      <c r="K77" s="18"/>
    </row>
    <row r="78" spans="3:11" ht="15.75" x14ac:dyDescent="0.25">
      <c r="C78" s="18"/>
      <c r="D78" s="1"/>
      <c r="E78" s="1"/>
      <c r="F78" s="1"/>
      <c r="G78" s="1"/>
      <c r="H78" s="1"/>
      <c r="I78" s="1"/>
      <c r="J78" s="1"/>
      <c r="K78" s="18"/>
    </row>
    <row r="79" spans="3:11" ht="15.75" x14ac:dyDescent="0.25">
      <c r="C79" s="18"/>
      <c r="D79" s="1"/>
      <c r="E79" s="1"/>
      <c r="F79" s="1"/>
      <c r="G79" s="1"/>
      <c r="H79" s="1"/>
      <c r="I79" s="1"/>
      <c r="J79" s="1"/>
      <c r="K79" s="18"/>
    </row>
    <row r="80" spans="3:11" ht="15.75" x14ac:dyDescent="0.25">
      <c r="C80" s="18"/>
      <c r="D80" s="1"/>
      <c r="E80" s="1"/>
      <c r="F80" s="1"/>
      <c r="G80" s="1"/>
      <c r="H80" s="1"/>
      <c r="I80" s="1"/>
      <c r="J80" s="1"/>
      <c r="K80" s="18"/>
    </row>
    <row r="81" spans="3:11" ht="15.75" x14ac:dyDescent="0.25">
      <c r="C81" s="18"/>
      <c r="D81" s="1"/>
      <c r="E81" s="1"/>
      <c r="F81" s="1"/>
      <c r="G81" s="1"/>
      <c r="H81" s="1"/>
      <c r="I81" s="1"/>
      <c r="J81" s="1"/>
      <c r="K81" s="18"/>
    </row>
    <row r="82" spans="3:11" ht="15.75" x14ac:dyDescent="0.25">
      <c r="C82" s="18"/>
      <c r="D82" s="1"/>
      <c r="E82" s="1"/>
      <c r="F82" s="1"/>
      <c r="G82" s="1"/>
      <c r="H82" s="1"/>
      <c r="I82" s="1"/>
      <c r="J82" s="1"/>
      <c r="K82" s="18"/>
    </row>
    <row r="83" spans="3:11" ht="15.75" x14ac:dyDescent="0.25">
      <c r="C83" s="18"/>
      <c r="D83" s="1"/>
      <c r="E83" s="1"/>
      <c r="F83" s="1"/>
      <c r="G83" s="1"/>
      <c r="H83" s="1"/>
      <c r="I83" s="1"/>
      <c r="J83" s="1"/>
      <c r="K83" s="18"/>
    </row>
    <row r="84" spans="3:11" ht="15.75" x14ac:dyDescent="0.25">
      <c r="C84" s="18"/>
      <c r="D84" s="1"/>
      <c r="E84" s="1"/>
      <c r="F84" s="1"/>
      <c r="G84" s="1"/>
      <c r="H84" s="1"/>
      <c r="I84" s="1"/>
      <c r="J84" s="1"/>
      <c r="K84" s="18"/>
    </row>
    <row r="85" spans="3:11" ht="15.75" x14ac:dyDescent="0.25">
      <c r="C85" s="18"/>
      <c r="D85" s="1"/>
      <c r="E85" s="1"/>
      <c r="F85" s="1"/>
      <c r="G85" s="1"/>
      <c r="H85" s="1"/>
      <c r="I85" s="1"/>
      <c r="J85" s="1"/>
      <c r="K85" s="18"/>
    </row>
    <row r="86" spans="3:11" x14ac:dyDescent="0.25">
      <c r="C86" s="18"/>
      <c r="D86" s="18"/>
      <c r="E86" s="18"/>
      <c r="F86" s="18"/>
      <c r="G86" s="18"/>
      <c r="H86" s="18"/>
      <c r="I86" s="18"/>
      <c r="J86" s="18"/>
      <c r="K86" s="18"/>
    </row>
    <row r="87" spans="3:11" x14ac:dyDescent="0.25">
      <c r="C87" s="18"/>
      <c r="D87" s="18"/>
      <c r="E87" s="18"/>
      <c r="F87" s="18"/>
      <c r="G87" s="18"/>
      <c r="H87" s="18"/>
      <c r="I87" s="18"/>
      <c r="J87" s="18"/>
      <c r="K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F7" sqref="F7"/>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123</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91</v>
      </c>
    </row>
    <row r="6" spans="1:10" ht="20.100000000000001" customHeight="1" x14ac:dyDescent="0.25">
      <c r="A6" s="12"/>
    </row>
    <row r="7" spans="1:10" ht="20.100000000000001" customHeight="1" x14ac:dyDescent="0.25">
      <c r="A7" s="16" t="s">
        <v>1</v>
      </c>
      <c r="D7" s="1" t="s">
        <v>117</v>
      </c>
      <c r="F7" s="27" t="s">
        <v>119</v>
      </c>
      <c r="G7" s="70" t="s">
        <v>118</v>
      </c>
    </row>
    <row r="8" spans="1:10" ht="20.100000000000001" customHeight="1" x14ac:dyDescent="0.25">
      <c r="A8" s="41" t="str">
        <f>HYPERLINK("#'Input - Wastewater'!A1", "Wastewater")</f>
        <v>Wastewater</v>
      </c>
      <c r="D8" s="1" t="s">
        <v>93</v>
      </c>
      <c r="F8" s="67">
        <v>1000</v>
      </c>
      <c r="G8" s="70" t="s">
        <v>92</v>
      </c>
    </row>
    <row r="9" spans="1:10" ht="20.100000000000001" customHeight="1" x14ac:dyDescent="0.25">
      <c r="A9" s="13"/>
    </row>
    <row r="10" spans="1:10" ht="20.100000000000001" customHeight="1" x14ac:dyDescent="0.25">
      <c r="A10" s="15" t="s">
        <v>45</v>
      </c>
      <c r="D10" s="69" t="s">
        <v>115</v>
      </c>
    </row>
    <row r="11" spans="1:10" ht="20.100000000000001" customHeight="1" x14ac:dyDescent="0.25">
      <c r="A11" s="13" t="str">
        <f>HYPERLINK("#'11.1.1-2 Wastewater CH4'!A1", "10.1.1-2 Wastewater CH4")</f>
        <v>10.1.1-2 Wastewater CH4</v>
      </c>
    </row>
    <row r="12" spans="1:10" ht="20.100000000000001" customHeight="1" x14ac:dyDescent="0.25">
      <c r="A12" s="13" t="str">
        <f>HYPERLINK("#'11.1.3-4 Wastewater N2O'!A1", "10.1.3-4 Wastewater N2O")</f>
        <v>10.1.3-4 Wastewater N2O</v>
      </c>
      <c r="D12" s="59" t="s">
        <v>116</v>
      </c>
      <c r="E12" s="68"/>
      <c r="F12" s="60"/>
    </row>
    <row r="13" spans="1:10" ht="20.100000000000001" customHeight="1" x14ac:dyDescent="0.25">
      <c r="A13" s="13"/>
    </row>
    <row r="14" spans="1:10" ht="20.100000000000001" customHeight="1" x14ac:dyDescent="0.25">
      <c r="A14" s="14" t="s">
        <v>2</v>
      </c>
      <c r="D14" s="1" t="s">
        <v>94</v>
      </c>
      <c r="F14" s="67">
        <v>0.9</v>
      </c>
      <c r="G14" s="70" t="s">
        <v>95</v>
      </c>
    </row>
    <row r="15" spans="1:10" ht="20.100000000000001" customHeight="1" x14ac:dyDescent="0.25">
      <c r="A15" s="13" t="str">
        <f>HYPERLINK("#'Constants - Wastewater'!A1", "Constants - Wastewater")</f>
        <v>Constants - Wastewater</v>
      </c>
      <c r="D15" s="1" t="s">
        <v>102</v>
      </c>
      <c r="F15" s="67">
        <v>0.5</v>
      </c>
      <c r="G15" s="70" t="s">
        <v>101</v>
      </c>
    </row>
    <row r="16" spans="1:10" ht="20.100000000000001" customHeight="1" x14ac:dyDescent="0.25">
      <c r="A16" s="13" t="str">
        <f>HYPERLINK("#'Constants - Common'!A1", "Constants - Common")</f>
        <v>Constants - Common</v>
      </c>
      <c r="D16" s="1" t="s">
        <v>114</v>
      </c>
      <c r="F16" s="67">
        <v>0.2</v>
      </c>
      <c r="G16" s="70" t="s">
        <v>101</v>
      </c>
    </row>
    <row r="17" spans="1:11" ht="20.100000000000001" customHeight="1" x14ac:dyDescent="0.25">
      <c r="D17" s="1" t="s">
        <v>96</v>
      </c>
      <c r="F17" s="67">
        <v>0.1</v>
      </c>
      <c r="G17" s="70" t="s">
        <v>95</v>
      </c>
    </row>
    <row r="18" spans="1:11" ht="20.100000000000001" customHeight="1" x14ac:dyDescent="0.25"/>
    <row r="19" spans="1:11" ht="20.100000000000001" customHeight="1" x14ac:dyDescent="0.25"/>
    <row r="20" spans="1:11" ht="20.100000000000001" customHeight="1" x14ac:dyDescent="0.25">
      <c r="D20" s="69" t="s">
        <v>113</v>
      </c>
    </row>
    <row r="21" spans="1:11" ht="20.100000000000001" customHeight="1" x14ac:dyDescent="0.25">
      <c r="A21" s="13"/>
    </row>
    <row r="22" spans="1:11" ht="20.100000000000001" customHeight="1" x14ac:dyDescent="0.25">
      <c r="D22" s="59" t="s">
        <v>112</v>
      </c>
      <c r="E22" s="68"/>
      <c r="F22" s="60"/>
    </row>
    <row r="23" spans="1:11" ht="20.100000000000001" customHeight="1" x14ac:dyDescent="0.25">
      <c r="A23" s="13"/>
    </row>
    <row r="24" spans="1:11" ht="20.100000000000001" customHeight="1" x14ac:dyDescent="0.25">
      <c r="D24" s="1" t="s">
        <v>97</v>
      </c>
      <c r="F24" s="67">
        <v>100</v>
      </c>
      <c r="G24" s="70" t="s">
        <v>100</v>
      </c>
    </row>
    <row r="25" spans="1:11" ht="20.100000000000001" customHeight="1" x14ac:dyDescent="0.25">
      <c r="D25" s="1" t="s">
        <v>98</v>
      </c>
      <c r="F25" s="67">
        <v>100</v>
      </c>
      <c r="G25" s="70" t="s">
        <v>100</v>
      </c>
    </row>
    <row r="26" spans="1:11" ht="20.100000000000001" customHeight="1" x14ac:dyDescent="0.25">
      <c r="D26" s="1" t="s">
        <v>99</v>
      </c>
      <c r="F26" s="67">
        <v>100</v>
      </c>
      <c r="G26" s="70" t="s">
        <v>100</v>
      </c>
    </row>
    <row r="27" spans="1:11" ht="20.100000000000001" customHeight="1" x14ac:dyDescent="0.25"/>
    <row r="28" spans="1:11" ht="20.100000000000001" customHeight="1" x14ac:dyDescent="0.25"/>
    <row r="29" spans="1:11" ht="20.100000000000001" customHeight="1" x14ac:dyDescent="0.25">
      <c r="A29" s="13"/>
      <c r="K29" s="46"/>
    </row>
    <row r="30" spans="1:11" ht="20.100000000000001" customHeight="1" x14ac:dyDescent="0.25">
      <c r="A30" s="13"/>
      <c r="K30" s="46"/>
    </row>
    <row r="31" spans="1:11" ht="20.100000000000001" customHeight="1" x14ac:dyDescent="0.25">
      <c r="A31" s="32"/>
      <c r="K31" s="46"/>
    </row>
    <row r="32" spans="1:11" ht="20.100000000000001" customHeight="1" x14ac:dyDescent="0.25">
      <c r="A32" s="32"/>
      <c r="K32" s="46"/>
    </row>
    <row r="33" spans="1:12" ht="20.100000000000001" customHeight="1" x14ac:dyDescent="0.25">
      <c r="A33" s="13"/>
      <c r="K33" s="46"/>
    </row>
    <row r="34" spans="1:12" ht="20.100000000000001" customHeight="1" x14ac:dyDescent="0.25">
      <c r="K34" s="46"/>
    </row>
    <row r="35" spans="1:12" ht="20.100000000000001" customHeight="1" x14ac:dyDescent="0.25"/>
    <row r="36" spans="1:12" ht="20.100000000000001" customHeight="1" x14ac:dyDescent="0.25">
      <c r="L36" s="46"/>
    </row>
    <row r="37" spans="1:12" ht="20.100000000000001" customHeight="1" x14ac:dyDescent="0.25">
      <c r="L37" s="46"/>
    </row>
    <row r="38" spans="1:12" ht="20.100000000000001" customHeight="1" x14ac:dyDescent="0.25">
      <c r="C38" s="45"/>
    </row>
    <row r="39" spans="1:12" ht="20.100000000000001" customHeight="1" x14ac:dyDescent="0.25">
      <c r="A39" s="13"/>
      <c r="C39" s="45"/>
      <c r="J39" s="45"/>
    </row>
    <row r="40" spans="1:12" s="46" customFormat="1" ht="20.100000000000001" customHeight="1" x14ac:dyDescent="0.25">
      <c r="C40" s="1"/>
      <c r="D40" s="1"/>
      <c r="E40" s="1"/>
      <c r="F40" s="1"/>
      <c r="G40" s="1"/>
      <c r="H40" s="1"/>
      <c r="I40" s="1"/>
      <c r="J40" s="1"/>
    </row>
    <row r="41" spans="1:12" s="46" customFormat="1" ht="20.100000000000001" customHeight="1" x14ac:dyDescent="0.25">
      <c r="A41" s="47"/>
      <c r="C41" s="1"/>
      <c r="D41" s="1"/>
      <c r="E41" s="1"/>
      <c r="F41" s="1"/>
      <c r="G41" s="1"/>
      <c r="H41" s="1"/>
      <c r="I41" s="1"/>
      <c r="J41" s="1"/>
      <c r="L41" s="46" t="s">
        <v>85</v>
      </c>
    </row>
    <row r="42" spans="1:12" ht="20.100000000000001" customHeight="1" x14ac:dyDescent="0.25"/>
    <row r="43" spans="1:12" ht="20.100000000000001" customHeight="1" x14ac:dyDescent="0.25"/>
    <row r="44" spans="1:12" ht="20.100000000000001" customHeight="1" x14ac:dyDescent="0.25">
      <c r="A44" s="51"/>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104</v>
      </c>
    </row>
    <row r="55" spans="4:5" ht="20.100000000000001" customHeight="1" x14ac:dyDescent="0.25">
      <c r="E55" s="1" t="s">
        <v>110</v>
      </c>
    </row>
    <row r="56" spans="4:5" ht="20.100000000000001" customHeight="1" x14ac:dyDescent="0.25">
      <c r="D56" s="1" t="s">
        <v>103</v>
      </c>
    </row>
    <row r="57" spans="4:5" ht="20.100000000000001" customHeight="1" x14ac:dyDescent="0.25">
      <c r="D57" s="1">
        <f>F8*(F14*(1-F15)-F17)</f>
        <v>350</v>
      </c>
    </row>
    <row r="58" spans="4:5" ht="20.100000000000001" customHeight="1" x14ac:dyDescent="0.25"/>
    <row r="59" spans="4:5" ht="20.100000000000001" customHeight="1" x14ac:dyDescent="0.25">
      <c r="E59" s="1" t="s">
        <v>110</v>
      </c>
    </row>
    <row r="60" spans="4:5" ht="20.100000000000001" customHeight="1" x14ac:dyDescent="0.25">
      <c r="D60" s="1" t="s">
        <v>105</v>
      </c>
    </row>
    <row r="61" spans="4:5" ht="20.100000000000001" customHeight="1" x14ac:dyDescent="0.25"/>
    <row r="62" spans="4:5" ht="20.100000000000001" customHeight="1" x14ac:dyDescent="0.25">
      <c r="D62" s="1" t="s">
        <v>108</v>
      </c>
    </row>
    <row r="63" spans="4:5" ht="20.100000000000001" customHeight="1" x14ac:dyDescent="0.25"/>
    <row r="64" spans="4:5" ht="20.100000000000001" customHeight="1" x14ac:dyDescent="0.25"/>
    <row r="65" spans="4:5" ht="20.100000000000001" customHeight="1" x14ac:dyDescent="0.25">
      <c r="D65" s="1" t="s">
        <v>107</v>
      </c>
      <c r="E65" s="1" t="s">
        <v>109</v>
      </c>
    </row>
    <row r="66" spans="4:5" ht="20.100000000000001" customHeight="1" x14ac:dyDescent="0.25"/>
    <row r="67" spans="4:5" ht="20.100000000000001" customHeight="1" x14ac:dyDescent="0.25"/>
    <row r="68" spans="4:5" ht="20.100000000000001" customHeight="1" x14ac:dyDescent="0.25">
      <c r="D68" s="1" t="s">
        <v>106</v>
      </c>
    </row>
    <row r="69" spans="4:5" ht="20.100000000000001" customHeight="1" x14ac:dyDescent="0.25"/>
    <row r="70" spans="4:5" ht="20.100000000000001" customHeight="1" x14ac:dyDescent="0.25">
      <c r="D70" s="1" t="s">
        <v>111</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D39:H43">
    <cfRule type="cellIs" dxfId="52" priority="1" operator="lessThan">
      <formula>0</formula>
    </cfRule>
  </conditionalFormatting>
  <conditionalFormatting sqref="F148:F149">
    <cfRule type="cellIs" dxfId="51" priority="21" operator="lessThan">
      <formula>0</formula>
    </cfRule>
  </conditionalFormatting>
  <conditionalFormatting sqref="F160:F161">
    <cfRule type="cellIs" dxfId="50" priority="20" operator="lessThan">
      <formula>0</formula>
    </cfRule>
  </conditionalFormatting>
  <conditionalFormatting sqref="F172:F173">
    <cfRule type="cellIs" dxfId="49" priority="19" operator="lessThan">
      <formula>0</formula>
    </cfRule>
  </conditionalFormatting>
  <conditionalFormatting sqref="F260:F261">
    <cfRule type="cellIs" dxfId="48" priority="94" operator="lessThan">
      <formula>0</formula>
    </cfRule>
  </conditionalFormatting>
  <conditionalFormatting sqref="F265:F266">
    <cfRule type="cellIs" dxfId="47" priority="93" operator="lessThan">
      <formula>0</formula>
    </cfRule>
  </conditionalFormatting>
  <conditionalFormatting sqref="F270:F271">
    <cfRule type="cellIs" dxfId="46" priority="92" operator="lessThan">
      <formula>0</formula>
    </cfRule>
  </conditionalFormatting>
  <conditionalFormatting sqref="F294:F295">
    <cfRule type="cellIs" dxfId="45" priority="86" operator="lessThan">
      <formula>0</formula>
    </cfRule>
  </conditionalFormatting>
  <conditionalFormatting sqref="F299:F300">
    <cfRule type="cellIs" dxfId="44" priority="85" operator="lessThan">
      <formula>0</formula>
    </cfRule>
  </conditionalFormatting>
  <conditionalFormatting sqref="F304:F305">
    <cfRule type="cellIs" dxfId="43" priority="84" operator="lessThan">
      <formula>0</formula>
    </cfRule>
  </conditionalFormatting>
  <conditionalFormatting sqref="I65:I69">
    <cfRule type="cellIs" dxfId="42" priority="6" operator="lessThan">
      <formula>0</formula>
    </cfRule>
  </conditionalFormatting>
  <conditionalFormatting sqref="I73 I132">
    <cfRule type="cellIs" dxfId="41" priority="75" operator="lessThan">
      <formula>0</formula>
    </cfRule>
  </conditionalFormatting>
  <conditionalFormatting sqref="I84:I86">
    <cfRule type="cellIs" dxfId="40" priority="5" operator="lessThan">
      <formula>0</formula>
    </cfRule>
  </conditionalFormatting>
  <conditionalFormatting sqref="I90:I93">
    <cfRule type="cellIs" dxfId="39" priority="4" operator="lessThan">
      <formula>0</formula>
    </cfRule>
  </conditionalFormatting>
  <conditionalFormatting sqref="I97:I101">
    <cfRule type="cellIs" dxfId="38" priority="2" operator="lessThan">
      <formula>0</formula>
    </cfRule>
  </conditionalFormatting>
  <conditionalFormatting sqref="J8 I51:I52 H53:H55 I54 I56:I58 I60:I61 I212 I218 E220:G220">
    <cfRule type="cellIs" dxfId="37" priority="80" operator="lessThan">
      <formula>0</formula>
    </cfRule>
  </conditionalFormatting>
  <conditionalFormatting sqref="J37 I45 F136:F137">
    <cfRule type="cellIs" dxfId="36"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124</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A6" s="12"/>
      <c r="D6" s="4" t="str" cm="1">
        <f t="array" ref="D6">Wastewater_Methane_Equations.VEERG_11_1_1_1__1_MethaneEmissionsFromWastewaterTreatment_Source()</f>
        <v>VEERG 2026: 11.1.1.1, Equation (1)</v>
      </c>
    </row>
    <row r="7" spans="1:12" ht="20.100000000000001" customHeight="1" x14ac:dyDescent="0.25">
      <c r="A7" s="16" t="s">
        <v>1</v>
      </c>
      <c r="D7" s="31"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3" t="str">
        <f>HYPERLINK("#'Input - Wastewater'!A1", "Wastewater")</f>
        <v>Wastewater</v>
      </c>
      <c r="D8" s="10" t="s">
        <v>10</v>
      </c>
      <c r="E8" s="10" t="str" cm="1">
        <f t="array" aca="1" ref="E8" ca="1">Common_InputFunctions.Utility_DisplayFunctionName(E30)</f>
        <v>=Wastewater_Methane_Equations.VEERG_11_1_1_1__1_MethaneEmissionsFromWastewaterTreatment</v>
      </c>
    </row>
    <row r="9" spans="1:12" ht="20.100000000000001" customHeight="1" x14ac:dyDescent="0.25">
      <c r="A9" s="13"/>
    </row>
    <row r="10" spans="1:12" ht="20.100000000000001" customHeight="1" x14ac:dyDescent="0.25">
      <c r="A10" s="15" t="s">
        <v>45</v>
      </c>
    </row>
    <row r="11" spans="1:12" ht="20.100000000000001" customHeight="1" x14ac:dyDescent="0.25">
      <c r="A11" s="65" t="str">
        <f>HYPERLINK("#'11.1.1-2 Wastewater CH4'!A1", "10.1.1-2 Wastewater CH4")</f>
        <v>10.1.1-2 Wastewater CH4</v>
      </c>
      <c r="D11" s="29" t="s">
        <v>13</v>
      </c>
      <c r="E11" s="1" t="str" cm="1">
        <f t="array" ref="E11">Wastewater_Methane_Equations.VEERG_11_1_1_1__1_MethaneEmissionsFromWastewaterTreatment_Variable()</f>
        <v>E_CH4</v>
      </c>
    </row>
    <row r="12" spans="1:12" ht="20.100000000000001" customHeight="1" x14ac:dyDescent="0.25">
      <c r="A12" s="13" t="str">
        <f>HYPERLINK("#'11.1.3-4 Wastewater N2O'!A1", "10.1.3-4 Wastewater N2O")</f>
        <v>10.1.3-4 Wastewater N2O</v>
      </c>
      <c r="D12" s="29" t="s">
        <v>5</v>
      </c>
      <c r="E12" s="30" t="str" cm="1">
        <f t="array" ref="E12">Wastewater_Methane_Equations.VEERG_11_1_1_1__1_MethaneEmissionsFromWastewaterTreatment_Unit()</f>
        <v>t CH4</v>
      </c>
    </row>
    <row r="13" spans="1:12" ht="20.100000000000001" customHeight="1" x14ac:dyDescent="0.25">
      <c r="A13" s="13"/>
    </row>
    <row r="14" spans="1:12" ht="20.100000000000001" customHeight="1" x14ac:dyDescent="0.25">
      <c r="A14" s="14" t="s">
        <v>2</v>
      </c>
      <c r="D14" s="48" t="str" cm="1">
        <f t="array" ref="D14:E28">_xlfn.CHOOSECOLS(Wastewater_Methane_Equations.VEERG_11_1_1_1__1_MethaneEmissionsFromWastewaterTreatment_Arguments(),1,2)</f>
        <v>W_t</v>
      </c>
      <c r="E14" s="50" t="str">
        <v>quantity of wastewater treated at facility type t</v>
      </c>
      <c r="F14" s="64"/>
      <c r="G14" s="49"/>
      <c r="H14" s="48" t="str" cm="1">
        <f t="array" ref="H14:I28">_xlfn.CHOOSECOLS(Wastewater_Methane_Equations.VEERG_11_1_1_1__1_MethaneEmissionsFromWastewaterTreatment_Arguments(),3,4)</f>
        <v>m3</v>
      </c>
      <c r="I14" s="44" t="str">
        <v>Input</v>
      </c>
      <c r="J14" s="48">
        <f>X_Cell_Wastewater_QuantityInM3</f>
        <v>1000</v>
      </c>
    </row>
    <row r="15" spans="1:12" ht="20.100000000000001" customHeight="1" x14ac:dyDescent="0.25">
      <c r="A15" s="13" t="str">
        <f>HYPERLINK("#'Constants - Wastewater'!A1", "Constants - Wastewater")</f>
        <v>Constants - Wastewater</v>
      </c>
      <c r="D15" s="48" t="str">
        <v>COD_in</v>
      </c>
      <c r="E15" s="50" t="str">
        <v>average inlet Chemical Oxygen Demand concentration of wastewater</v>
      </c>
      <c r="F15" s="64"/>
      <c r="G15" s="49"/>
      <c r="H15" s="48" t="str">
        <v>kg COD/m3</v>
      </c>
      <c r="I15" s="44" t="str">
        <v>Input</v>
      </c>
      <c r="J15" s="48">
        <f>X_Cell_Wastewater_InletCOD</f>
        <v>0.9</v>
      </c>
    </row>
    <row r="16" spans="1:12" ht="20.100000000000001" customHeight="1" x14ac:dyDescent="0.25">
      <c r="A16" s="13" t="str">
        <f>HYPERLINK("#'Constants - Common'!A1", "Constants - Common")</f>
        <v>Constants - Common</v>
      </c>
      <c r="D16" s="48" t="str">
        <v>F_sludge</v>
      </c>
      <c r="E16" s="50" t="str">
        <v>fraction of COD removed from wastewater as sludge</v>
      </c>
      <c r="F16" s="64"/>
      <c r="G16" s="49"/>
      <c r="H16" s="48" t="str">
        <v>fraction</v>
      </c>
      <c r="I16" s="44" t="str">
        <v>Input</v>
      </c>
      <c r="J16" s="48">
        <f>X_Cell_Wastewater_FractionCODRemovedAsSludge</f>
        <v>0.5</v>
      </c>
    </row>
    <row r="17" spans="1:10" ht="20.100000000000001" customHeight="1" x14ac:dyDescent="0.25">
      <c r="D17" s="48" t="str">
        <v>COD_out</v>
      </c>
      <c r="E17" s="50" t="str">
        <v>average outlet COD concentration of wastewater</v>
      </c>
      <c r="F17" s="64"/>
      <c r="G17" s="49"/>
      <c r="H17" s="48" t="str">
        <v>kg COD/m3</v>
      </c>
      <c r="I17" s="44" t="str">
        <v>Input</v>
      </c>
      <c r="J17" s="48">
        <f>X_Cell_Wastewater_OutletCOD</f>
        <v>0.1</v>
      </c>
    </row>
    <row r="18" spans="1:10" ht="20.100000000000001" customHeight="1" x14ac:dyDescent="0.25">
      <c r="D18" s="48" t="str">
        <v>CF_ww_t</v>
      </c>
      <c r="E18" s="50" t="str">
        <v>methane correction factor for facility type t used to treat wastewater</v>
      </c>
      <c r="F18" s="64"/>
      <c r="G18" s="49"/>
      <c r="H18" s="48" t="str">
        <v>fraction</v>
      </c>
      <c r="I18" s="43" t="str">
        <v>Constant</v>
      </c>
      <c r="J18" s="48" cm="1">
        <f t="array" ref="J18">Common_InputFunctions.Utility_LookupValueInTableNumber(J28,Table_SourceData_MCF_Wastewater[Facility type t],Table_SourceData_MCF_Wastewater[CFww,t])</f>
        <v>0.3</v>
      </c>
    </row>
    <row r="19" spans="1:10" ht="20.100000000000001" customHeight="1" x14ac:dyDescent="0.25">
      <c r="D19" s="48" t="str">
        <v>EF_ww</v>
      </c>
      <c r="E19" s="50" t="str">
        <v>methane emission factor for wastewater</v>
      </c>
      <c r="F19" s="64"/>
      <c r="G19" s="49"/>
      <c r="H19" s="48" t="str">
        <v>kg CH4/kg COD</v>
      </c>
      <c r="I19" s="43" t="str">
        <v>Constant</v>
      </c>
      <c r="J19" s="48">
        <f>'Constants - Wastewater'!$E$31</f>
        <v>0.25</v>
      </c>
    </row>
    <row r="20" spans="1:10" ht="20.100000000000001" customHeight="1" x14ac:dyDescent="0.25">
      <c r="D20" s="48" t="str">
        <v>F_removed</v>
      </c>
      <c r="E20" s="50" t="str">
        <v>fraction of COD removed from the wastewater treatment facility and transferred elsewhere</v>
      </c>
      <c r="F20" s="64"/>
      <c r="G20" s="49"/>
      <c r="H20" s="48" t="str">
        <v>fraction</v>
      </c>
      <c r="I20" s="44" t="str">
        <v>Input</v>
      </c>
      <c r="J20" s="48">
        <f>X_Cell_Wastewater_FractionCODRemovedAndTransferred</f>
        <v>0.2</v>
      </c>
    </row>
    <row r="21" spans="1:10" ht="20.100000000000001" customHeight="1" x14ac:dyDescent="0.25">
      <c r="A21" s="13"/>
      <c r="D21" s="48" t="str">
        <v>CF_sludge_t</v>
      </c>
      <c r="E21" s="50" t="str">
        <v>methane correction factor for facility type t used to treat sludge</v>
      </c>
      <c r="F21" s="64"/>
      <c r="G21" s="49"/>
      <c r="H21" s="48" t="str">
        <v>fraction</v>
      </c>
      <c r="I21" s="43" t="str">
        <v>Constant</v>
      </c>
      <c r="J21" s="48" cm="1">
        <f t="array" ref="J21">Common_InputFunctions.Utility_LookupValueInTableNumber(J28,Table_SourceData_MCF_Sludge[Facility type t],Table_SourceData_MCF_Sludge[CFsludge,t])</f>
        <v>0.3</v>
      </c>
    </row>
    <row r="22" spans="1:10" ht="20.100000000000001" customHeight="1" x14ac:dyDescent="0.25">
      <c r="D22" s="48" t="str">
        <v>EF_sludge</v>
      </c>
      <c r="E22" s="50" t="str">
        <v>methane emission factor for sludge</v>
      </c>
      <c r="F22" s="64"/>
      <c r="G22" s="49"/>
      <c r="H22" s="48" t="str">
        <v>kg CH4/kg COD</v>
      </c>
      <c r="I22" s="43" t="str">
        <v>Constant</v>
      </c>
      <c r="J22" s="48">
        <f>'Constants - Wastewater'!$E$36</f>
        <v>0.25</v>
      </c>
    </row>
    <row r="23" spans="1:10" ht="20.100000000000001" customHeight="1" x14ac:dyDescent="0.25">
      <c r="A23" s="13"/>
      <c r="D23" s="48" t="str">
        <v>Q_cap</v>
      </c>
      <c r="E23" s="50" t="str">
        <v>quantity of methane in sludge biogas captured for combustion</v>
      </c>
      <c r="F23" s="64"/>
      <c r="G23" s="49"/>
      <c r="H23" s="48" t="str">
        <v>m3 CH4</v>
      </c>
      <c r="I23" s="44" t="str">
        <v>Input</v>
      </c>
      <c r="J23" s="48">
        <f>X_Cell_Wastewater_SludgeMethaneCapturedForCombustion</f>
        <v>100</v>
      </c>
    </row>
    <row r="24" spans="1:10" ht="20.100000000000001" customHeight="1" x14ac:dyDescent="0.25">
      <c r="D24" s="48" t="str">
        <v>Q_flared</v>
      </c>
      <c r="E24" s="50" t="str">
        <v>quantity of methane in sludge biogas flared by the treatment facility</v>
      </c>
      <c r="F24" s="64"/>
      <c r="G24" s="49"/>
      <c r="H24" s="48" t="str">
        <v>m3 CH4</v>
      </c>
      <c r="I24" s="44" t="str">
        <v>Input</v>
      </c>
      <c r="J24" s="48">
        <f>X_Cell_Wastewater_SludgeMethaneFlared</f>
        <v>100</v>
      </c>
    </row>
    <row r="25" spans="1:10" ht="20.100000000000001" customHeight="1" x14ac:dyDescent="0.25">
      <c r="D25" s="48" t="str">
        <v>Q_out</v>
      </c>
      <c r="E25" s="50" t="str">
        <v>quantity of methane in sludge biogas transferred out of the treatment facility</v>
      </c>
      <c r="F25" s="64"/>
      <c r="G25" s="49"/>
      <c r="H25" s="48" t="str">
        <v>m3 CH4</v>
      </c>
      <c r="I25" s="44" t="str">
        <v>Input</v>
      </c>
      <c r="J25" s="48">
        <f>X_Cell_Wastewater_SludgeMethaneTransferred</f>
        <v>100</v>
      </c>
    </row>
    <row r="26" spans="1:10" ht="20.100000000000001" customHeight="1" x14ac:dyDescent="0.25">
      <c r="D26" s="48" t="str">
        <v>EC_flared</v>
      </c>
      <c r="E26" s="50" t="str">
        <v>energy content factor of methane in sludge biogas flared</v>
      </c>
      <c r="F26" s="64"/>
      <c r="G26" s="49"/>
      <c r="H26" s="48" t="str">
        <v>GJ/m3</v>
      </c>
      <c r="I26" s="43" t="str">
        <v>Constant</v>
      </c>
      <c r="J26" s="48">
        <f>'Constants - Wastewater'!$E$41</f>
        <v>3.7699999999999997E-2</v>
      </c>
    </row>
    <row r="27" spans="1:10" ht="20.100000000000001" customHeight="1" x14ac:dyDescent="0.25">
      <c r="D27" s="48" t="str">
        <v>EF_flaredCH4</v>
      </c>
      <c r="E27" s="50" t="str">
        <v>methane emission factor for sludge biogas flared</v>
      </c>
      <c r="F27" s="64"/>
      <c r="G27" s="49"/>
      <c r="H27" s="48" t="str">
        <v>kg CH4/GJ</v>
      </c>
      <c r="I27" s="43" t="str">
        <v>Constant</v>
      </c>
      <c r="J27" s="48">
        <f>'Constants - Wastewater'!$E$46</f>
        <v>0.22889999999999999</v>
      </c>
    </row>
    <row r="28" spans="1:10" ht="20.100000000000001" customHeight="1" x14ac:dyDescent="0.25">
      <c r="D28" s="48" t="str">
        <v>t</v>
      </c>
      <c r="E28" s="50" t="str">
        <v>treatment facility type</v>
      </c>
      <c r="F28" s="64"/>
      <c r="G28" s="49"/>
      <c r="H28" s="48" t="str">
        <v/>
      </c>
      <c r="I28" s="44" t="str">
        <v>Input</v>
      </c>
      <c r="J28" s="48" t="str">
        <f>X_Cell_Wastewater_TreatmentFacilityType</f>
        <v>Unmanaged aerobic treatment</v>
      </c>
    </row>
    <row r="29" spans="1:10" ht="20.100000000000001" customHeight="1" x14ac:dyDescent="0.25"/>
    <row r="30" spans="1:10" ht="20.100000000000001" customHeight="1" x14ac:dyDescent="0.25">
      <c r="D30" s="61" t="s">
        <v>120</v>
      </c>
      <c r="E30" s="63" cm="1">
        <f t="array" ref="E30">Wastewater_Methane_Equations.VEERG_11_1_1_1__1_MethaneEmissionsFromWastewaterTreatment(J14,J15,J16,J17,J18,J19,J20,J21,J22,J23,J24,J25,J26,J27)</f>
        <v>4.7159433000000001E-2</v>
      </c>
      <c r="F30" s="66" t="str">
        <f>$E$12</f>
        <v>t CH4</v>
      </c>
    </row>
    <row r="31" spans="1:10" ht="20.100000000000001" customHeight="1" x14ac:dyDescent="0.25"/>
    <row r="32" spans="1:10" ht="20.100000000000001" customHeight="1" x14ac:dyDescent="0.25">
      <c r="D32" s="71" t="str" cm="1">
        <f t="array" ref="D32:E33">Common_Equations.Common_ConvertCH4ToCO2e_Arguments()</f>
        <v>ECH4</v>
      </c>
      <c r="E32" s="72" t="str">
        <v>Methane emissions (t CH4)</v>
      </c>
      <c r="F32" s="73"/>
      <c r="G32" s="28">
        <f>E30</f>
        <v>4.7159433000000001E-2</v>
      </c>
    </row>
    <row r="33" spans="4:7" ht="20.100000000000001" customHeight="1" x14ac:dyDescent="0.25">
      <c r="D33" s="71" t="str">
        <v>GWPCH4</v>
      </c>
      <c r="E33" s="72" t="str">
        <v>Global warming potential for methane (t CO2-e / t CH4)</v>
      </c>
      <c r="F33" s="73"/>
      <c r="G33" s="28">
        <v>28</v>
      </c>
    </row>
    <row r="34" spans="4:7" ht="20.100000000000001" customHeight="1" x14ac:dyDescent="0.25"/>
    <row r="35" spans="4:7" ht="20.100000000000001" customHeight="1" x14ac:dyDescent="0.25">
      <c r="D35" s="62" t="s">
        <v>121</v>
      </c>
      <c r="E35" s="62" cm="1">
        <f t="array" ref="E35">Common_Equations.Common_ConvertN2OToCO2e(G32,G33)</f>
        <v>1.3204641239999999</v>
      </c>
      <c r="F35" s="74"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3" t="e" vm="1">
        <v>#VALUE!</v>
      </c>
      <c r="C1" s="7" t="s">
        <v>125</v>
      </c>
    </row>
    <row r="2" spans="1:10" s="8" customFormat="1" ht="20.100000000000001" customHeight="1" x14ac:dyDescent="0.25"/>
    <row r="3" spans="1:10" ht="20.100000000000001" customHeight="1" x14ac:dyDescent="0.25">
      <c r="A3" s="13" t="str">
        <f>HYPERLINK("#'Home'!A1", "Home")</f>
        <v>Home</v>
      </c>
      <c r="C3" s="3"/>
      <c r="D3" s="3" t="s">
        <v>49</v>
      </c>
      <c r="E3" s="3"/>
      <c r="F3" s="3"/>
      <c r="G3" s="3"/>
      <c r="H3" s="3"/>
      <c r="I3" s="3"/>
      <c r="J3" s="3"/>
    </row>
    <row r="4" spans="1:10" ht="20.100000000000001" customHeight="1" x14ac:dyDescent="0.25">
      <c r="A4" s="13" t="str">
        <f>HYPERLINK("#'Overview'!A1", "Overview")</f>
        <v>Overview</v>
      </c>
    </row>
    <row r="5" spans="1:10" ht="20.100000000000001" customHeight="1" x14ac:dyDescent="0.25">
      <c r="A5" s="13"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A6" s="12"/>
      <c r="D6" s="4" t="str" cm="1">
        <f t="array" ref="D6">Wastewater_N2O_Equations.VEERG_11_1_3_1__1_NitrousOxideEmissionsFromFlaredBiogas_Source()</f>
        <v>VEERG 2026: 11.1.3.1, Equation (1)</v>
      </c>
    </row>
    <row r="7" spans="1:10" ht="20.100000000000001" customHeight="1" x14ac:dyDescent="0.25">
      <c r="A7" s="16" t="s">
        <v>1</v>
      </c>
      <c r="D7" s="10" t="s">
        <v>10</v>
      </c>
      <c r="E7" s="10" t="str" cm="1">
        <f t="array" aca="1" ref="E7" ca="1">Common_InputFunctions.Utility_DisplayFunctionName(E17)</f>
        <v>=Wastewater_N2O_Equations.VEERG_11_1_3_1__1_NitrousOxideEmissionsFromFlaredBiogas</v>
      </c>
    </row>
    <row r="8" spans="1:10" ht="20.100000000000001" customHeight="1" x14ac:dyDescent="0.25">
      <c r="A8" s="13" t="str">
        <f>HYPERLINK("#'Input - Wastewater'!A1", "Wastewater")</f>
        <v>Wastewater</v>
      </c>
    </row>
    <row r="9" spans="1:10" ht="20.100000000000001" customHeight="1" x14ac:dyDescent="0.25">
      <c r="A9" s="13"/>
    </row>
    <row r="10" spans="1:10" ht="20.100000000000001" customHeight="1" x14ac:dyDescent="0.25">
      <c r="A10" s="15" t="s">
        <v>45</v>
      </c>
      <c r="D10" s="29" t="s">
        <v>13</v>
      </c>
      <c r="E10" s="1" t="str" cm="1">
        <f t="array" ref="E10">Wastewater_N2O_Equations.VEERG_11_1_3_1__1_NitrousOxideEmissionsFromFlaredBiogas_Variable()</f>
        <v>E_N2O</v>
      </c>
    </row>
    <row r="11" spans="1:10" ht="20.100000000000001" customHeight="1" x14ac:dyDescent="0.25">
      <c r="A11" s="13" t="str">
        <f>HYPERLINK("#'11.1.1-2 Wastewater CH4'!A1", "10.1.1-2 Wastewater CH4")</f>
        <v>10.1.1-2 Wastewater CH4</v>
      </c>
      <c r="D11" s="29" t="s">
        <v>5</v>
      </c>
      <c r="E11" s="30" t="str" cm="1">
        <f t="array" ref="E11">Wastewater_N2O_Equations.VEERG_11_1_3_1__1_NitrousOxideEmissionsFromFlaredBiogas_Unit()</f>
        <v>t N2O</v>
      </c>
    </row>
    <row r="12" spans="1:10" ht="20.100000000000001" customHeight="1" x14ac:dyDescent="0.25">
      <c r="A12" s="65" t="str">
        <f>HYPERLINK("#'11.1.3-4 Wastewater N2O'!A1", "10.1.3-4 Wastewater N2O")</f>
        <v>10.1.3-4 Wastewater N2O</v>
      </c>
    </row>
    <row r="13" spans="1:10" ht="20.100000000000001" customHeight="1" x14ac:dyDescent="0.25">
      <c r="A13" s="13"/>
      <c r="D13" s="48" t="str" cm="1">
        <f t="array" ref="D13:E15">_xlfn.CHOOSECOLS(Wastewater_N2O_Equations.VEERG_11_1_3_1__1_NitrousOxideEmissionsFromFlaredBiogas_Arguments(),1,2)</f>
        <v>Q_flared</v>
      </c>
      <c r="E13" s="50" t="str">
        <v>volume of biogas flared</v>
      </c>
      <c r="F13" s="49"/>
      <c r="G13" s="48" t="str" cm="1">
        <f t="array" ref="G13:H15">_xlfn.CHOOSECOLS(Wastewater_N2O_Equations.VEERG_11_1_3_1__1_NitrousOxideEmissionsFromFlaredBiogas_Arguments(),3,4)</f>
        <v>m3</v>
      </c>
      <c r="H13" s="44" t="str">
        <v>Input</v>
      </c>
      <c r="I13" s="48">
        <f>X_Cell_Wastewater_SludgeMethaneFlared</f>
        <v>100</v>
      </c>
    </row>
    <row r="14" spans="1:10" ht="20.100000000000001" customHeight="1" x14ac:dyDescent="0.25">
      <c r="A14" s="14" t="s">
        <v>2</v>
      </c>
      <c r="D14" s="48" t="str">
        <v>EC_flared</v>
      </c>
      <c r="E14" s="50" t="str">
        <v>energy content factor of sludge biogas flared</v>
      </c>
      <c r="F14" s="49"/>
      <c r="G14" s="48" t="str">
        <v>GJ/m3</v>
      </c>
      <c r="H14" s="43" t="str">
        <v>Constant</v>
      </c>
      <c r="I14" s="48">
        <f>'Constants - Wastewater'!E41</f>
        <v>3.7699999999999997E-2</v>
      </c>
    </row>
    <row r="15" spans="1:10" ht="20.100000000000001" customHeight="1" x14ac:dyDescent="0.25">
      <c r="A15" s="13" t="str">
        <f>HYPERLINK("#'Constants - Wastewater'!A1", "Constants - Wastewater")</f>
        <v>Constants - Wastewater</v>
      </c>
      <c r="D15" s="48" t="str">
        <v>EF_flaredN2O</v>
      </c>
      <c r="E15" s="50" t="str">
        <v>nitrous oxide emission factor for flared biogas</v>
      </c>
      <c r="F15" s="49"/>
      <c r="G15" s="48" t="str">
        <v>kg N2O/GJ</v>
      </c>
      <c r="H15" s="43" t="str">
        <v>Constant</v>
      </c>
      <c r="I15" s="48">
        <f>'Constants - Wastewater'!E51</f>
        <v>1.132E-4</v>
      </c>
    </row>
    <row r="16" spans="1:10" ht="20.100000000000001" customHeight="1" x14ac:dyDescent="0.25">
      <c r="A16" s="13" t="str">
        <f>HYPERLINK("#'Constants - Common'!A1", "Constants - Common")</f>
        <v>Constants - Common</v>
      </c>
    </row>
    <row r="17" spans="1:7" ht="20.100000000000001" customHeight="1" x14ac:dyDescent="0.25">
      <c r="D17" s="61" t="s">
        <v>120</v>
      </c>
      <c r="E17" s="63" cm="1">
        <f t="array" ref="E17">Wastewater_N2O_Equations.VEERG_11_1_3_1__1_NitrousOxideEmissionsFromFlaredBiogas(I13,I14,I15)</f>
        <v>4.26764E-7</v>
      </c>
      <c r="F17" s="66" t="str">
        <f>$E$11</f>
        <v>t N2O</v>
      </c>
    </row>
    <row r="18" spans="1:7" ht="20.100000000000001" customHeight="1" x14ac:dyDescent="0.25"/>
    <row r="19" spans="1:7" ht="20.100000000000001" customHeight="1" x14ac:dyDescent="0.25">
      <c r="D19" s="71" t="str" cm="1">
        <f t="array" ref="D19:E20">Common_Equations.Common_ConvertN2OToCO2e_Arguments()</f>
        <v>EN2O</v>
      </c>
      <c r="E19" s="72" t="str">
        <v>Nitrous oxide emissions (t N2O)</v>
      </c>
      <c r="F19" s="73"/>
      <c r="G19" s="28">
        <f>E17</f>
        <v>4.26764E-7</v>
      </c>
    </row>
    <row r="20" spans="1:7" ht="20.100000000000001" customHeight="1" x14ac:dyDescent="0.25">
      <c r="D20" s="71" t="str">
        <v>GWPN2O</v>
      </c>
      <c r="E20" s="72" t="str">
        <v>Global warming potential for nitrous oxide (t CO2-e / t N2O)</v>
      </c>
      <c r="F20" s="73"/>
      <c r="G20" s="28">
        <v>265</v>
      </c>
    </row>
    <row r="21" spans="1:7" ht="20.100000000000001" customHeight="1" x14ac:dyDescent="0.25">
      <c r="A21" s="13"/>
    </row>
    <row r="22" spans="1:7" ht="20.100000000000001" customHeight="1" x14ac:dyDescent="0.25">
      <c r="D22" s="62" t="s">
        <v>121</v>
      </c>
      <c r="E22" s="62" cm="1">
        <f t="array" ref="E22">Common_Equations.Common_ConvertN2OToCO2e(G19,G20)</f>
        <v>1.1309246E-4</v>
      </c>
      <c r="F22" s="74" t="str" cm="1">
        <f t="array" ref="F22">Common_Equations.Common_ConvertN2OToCO2e_Unit()</f>
        <v>t CO2e</v>
      </c>
    </row>
    <row r="23" spans="1:7" ht="20.100000000000001" customHeight="1" x14ac:dyDescent="0.25">
      <c r="A23" s="13"/>
    </row>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F26" sqref="F2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122</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A6" s="12"/>
      <c r="D6" s="4" t="str" cm="1">
        <f t="array" ref="D6">Wastewater_SourceData.Waste_MethaneCorrectionFactorWastewater_Source()</f>
        <v>VEERG 2026: Table A.4.1.3</v>
      </c>
    </row>
    <row r="7" spans="1:35" ht="20.100000000000001" customHeight="1" x14ac:dyDescent="0.25">
      <c r="A7" s="16" t="s">
        <v>1</v>
      </c>
      <c r="D7" s="1" t="str" cm="1">
        <f t="array" ref="D7">Wastewater_SourceData.Waste_MethaneCorrectionFactorWastewater_Variable()</f>
        <v>CFww,t</v>
      </c>
    </row>
    <row r="8" spans="1:35" ht="20.100000000000001" customHeight="1" x14ac:dyDescent="0.25">
      <c r="A8" s="13" t="str">
        <f>HYPERLINK("#'Input - Wastewater'!A1", "Wastewater")</f>
        <v>Wastewater</v>
      </c>
      <c r="D8" s="30" t="str" cm="1">
        <f t="array" ref="D8">Wastewater_SourceData.Waste_MethaneCorrectionFactorWastewater_Unit()</f>
        <v>fraction</v>
      </c>
    </row>
    <row r="9" spans="1:35" ht="20.100000000000001" customHeight="1" x14ac:dyDescent="0.25">
      <c r="A9" s="13"/>
      <c r="D9" s="26" t="s">
        <v>88</v>
      </c>
      <c r="E9" s="26" t="s">
        <v>89</v>
      </c>
    </row>
    <row r="10" spans="1:35" ht="20.100000000000001" customHeight="1" x14ac:dyDescent="0.25">
      <c r="A10" s="15" t="s">
        <v>45</v>
      </c>
      <c r="D10" s="26" t="str" cm="1">
        <f t="array" ref="D10">Common_InputFunctions.Utility_DisplayArrayInTable(Wastewater_SourceData.Waste_MethaneCorrectionFactorWastewater_Data(), Table_SourceData_MCF_Wastewater[[#Headers],[Facility type t]], 0)</f>
        <v>Managed aerobic treatment</v>
      </c>
      <c r="E10" s="26" cm="1">
        <f t="array" ref="E10">Common_InputFunctions.Utility_DisplayArrayInTable(Wastewater_SourceData.Waste_MethaneCorrectionFactorWastewater_Data(), Table_SourceData_MCF_Wastewater[[#Headers],[Facility type t]], 0)</f>
        <v>0</v>
      </c>
    </row>
    <row r="11" spans="1:35" ht="20.100000000000001" customHeight="1" x14ac:dyDescent="0.25">
      <c r="A11" s="13" t="str">
        <f>HYPERLINK("#'11.1.1-2 Wastewater CH4'!A1", "10.1.1-2 Wastewater CH4")</f>
        <v>10.1.1-2 Wastewater CH4</v>
      </c>
      <c r="D11" s="26" t="str" cm="1">
        <f t="array" ref="D11">Common_InputFunctions.Utility_DisplayArrayInTable(Wastewater_SourceData.Waste_MethaneCorrectionFactorWastewater_Data(), Table_SourceData_MCF_Wastewater[[#Headers],[Facility type t]], 0)</f>
        <v>Unmanaged aerobic treatment</v>
      </c>
      <c r="E11" s="26"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tr">
        <f>HYPERLINK("#'11.1.3-4 Wastewater N2O'!A1", "10.1.3-4 Wastewater N2O")</f>
        <v>10.1.3-4 Wastewater N2O</v>
      </c>
      <c r="D12" s="26" t="str" cm="1">
        <f t="array" ref="D12">Common_InputFunctions.Utility_DisplayArrayInTable(Wastewater_SourceData.Waste_MethaneCorrectionFactorWastewater_Data(), Table_SourceData_MCF_Wastewater[[#Headers],[Facility type t]], 0)</f>
        <v>Anaerobic digestor/reactor</v>
      </c>
      <c r="E12" s="26"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3"/>
      <c r="D13" s="26" t="str" cm="1">
        <f t="array" ref="D13">Common_InputFunctions.Utility_DisplayArrayInTable(Wastewater_SourceData.Waste_MethaneCorrectionFactorWastewater_Data(), Table_SourceData_MCF_Wastewater[[#Headers],[Facility type t]], 0)</f>
        <v>Shallow anaerobic lagoon (≤ 2 m)</v>
      </c>
      <c r="E13" s="26"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4" t="s">
        <v>2</v>
      </c>
      <c r="D14" s="26" t="str" cm="1">
        <f t="array" ref="D14">Common_InputFunctions.Utility_DisplayArrayInTable(Wastewater_SourceData.Waste_MethaneCorrectionFactorWastewater_Data(), Table_SourceData_MCF_Wastewater[[#Headers],[Facility type t]], 0)</f>
        <v>Deep anaerobic lagoon (&gt; 2m)</v>
      </c>
      <c r="E14" s="26" cm="1">
        <f t="array" ref="E14">Common_InputFunctions.Utility_DisplayArrayInTable(Wastewater_SourceData.Waste_MethaneCorrectionFactorWastewater_Data(), Table_SourceData_MCF_Wastewater[[#Headers],[Facility type t]], 0)</f>
        <v>0.8</v>
      </c>
    </row>
    <row r="15" spans="1:35" ht="20.100000000000001" customHeight="1" x14ac:dyDescent="0.25">
      <c r="A15" s="58" t="str">
        <f>HYPERLINK("#'Constants - Wastewater'!A1", "Constants - Wastewater")</f>
        <v>Constants - Wastewater</v>
      </c>
    </row>
    <row r="16" spans="1:35" ht="20.100000000000001" customHeight="1" x14ac:dyDescent="0.25">
      <c r="A16" s="13" t="str">
        <f>HYPERLINK("#'Constants - Common'!A1", "Constants - Common")</f>
        <v>Constants - Common</v>
      </c>
    </row>
    <row r="17" spans="1:6" ht="20.100000000000001" customHeight="1" x14ac:dyDescent="0.25">
      <c r="D17" s="5" t="str" cm="1">
        <f t="array" ref="D17">Wastewater_SourceData.Waste_MethaneCorrectionFactorSludge_Title()</f>
        <v>Methane correction factor for treatment facility type t used to treat sludge</v>
      </c>
    </row>
    <row r="18" spans="1:6" ht="20.100000000000001" customHeight="1" x14ac:dyDescent="0.25">
      <c r="D18" s="4" t="str" cm="1">
        <f t="array" ref="D18">Wastewater_SourceData.Waste_MethaneCorrectionFactorSludge_Source()</f>
        <v>VEERG 2026: Table A.4.1.4</v>
      </c>
    </row>
    <row r="19" spans="1:6" ht="20.100000000000001" customHeight="1" x14ac:dyDescent="0.25">
      <c r="D19" s="1" t="str" cm="1">
        <f t="array" ref="D19">Wastewater_SourceData.Waste_MethaneCorrectionFactorSludge_Variable()</f>
        <v>CFsludge,t</v>
      </c>
    </row>
    <row r="20" spans="1:6" ht="20.100000000000001" customHeight="1" x14ac:dyDescent="0.25">
      <c r="D20" s="30" t="str" cm="1">
        <f t="array" ref="D20">Wastewater_SourceData.Waste_MethaneCorrectionFactorSludge_Unit()</f>
        <v>fraction</v>
      </c>
    </row>
    <row r="21" spans="1:6" ht="20.100000000000001" customHeight="1" x14ac:dyDescent="0.25">
      <c r="A21" s="13"/>
      <c r="D21" s="26" t="s">
        <v>88</v>
      </c>
      <c r="E21" s="26" t="s">
        <v>90</v>
      </c>
    </row>
    <row r="22" spans="1:6" ht="20.100000000000001" customHeight="1" x14ac:dyDescent="0.25">
      <c r="D22" s="26" t="str" cm="1">
        <f t="array" ref="D22">Common_InputFunctions.Utility_DisplayArrayInTable(Wastewater_SourceData.Waste_MethaneCorrectionFactorSludge_Data(), Table_SourceData_MCF_Sludge[[#Headers],[Facility type t]], 0)</f>
        <v>Managed aerobic treatment</v>
      </c>
      <c r="E22" s="26" cm="1">
        <f t="array" ref="E22">Common_InputFunctions.Utility_DisplayArrayInTable(Wastewater_SourceData.Waste_MethaneCorrectionFactorSludge_Data(), Table_SourceData_MCF_Sludge[[#Headers],[Facility type t]], 0)</f>
        <v>0</v>
      </c>
    </row>
    <row r="23" spans="1:6" ht="20.100000000000001" customHeight="1" x14ac:dyDescent="0.25">
      <c r="A23" s="13"/>
      <c r="D23" s="26" t="str" cm="1">
        <f t="array" ref="D23">Common_InputFunctions.Utility_DisplayArrayInTable(Wastewater_SourceData.Waste_MethaneCorrectionFactorSludge_Data(), Table_SourceData_MCF_Sludge[[#Headers],[Facility type t]], 0)</f>
        <v>Unmanaged aerobic treatment</v>
      </c>
      <c r="E23" s="26" cm="1">
        <f t="array" ref="E23">Common_InputFunctions.Utility_DisplayArrayInTable(Wastewater_SourceData.Waste_MethaneCorrectionFactorSludge_Data(), Table_SourceData_MCF_Sludge[[#Headers],[Facility type t]], 0)</f>
        <v>0.3</v>
      </c>
    </row>
    <row r="24" spans="1:6" ht="20.100000000000001" customHeight="1" x14ac:dyDescent="0.25">
      <c r="D24" s="26" t="str" cm="1">
        <f t="array" ref="D24">Common_InputFunctions.Utility_DisplayArrayInTable(Wastewater_SourceData.Waste_MethaneCorrectionFactorSludge_Data(), Table_SourceData_MCF_Sludge[[#Headers],[Facility type t]], 0)</f>
        <v>Anaerobic digestor/reactor</v>
      </c>
      <c r="E24" s="26" cm="1">
        <f t="array" ref="E24">Common_InputFunctions.Utility_DisplayArrayInTable(Wastewater_SourceData.Waste_MethaneCorrectionFactorSludge_Data(), Table_SourceData_MCF_Sludge[[#Headers],[Facility type t]], 0)</f>
        <v>0.8</v>
      </c>
    </row>
    <row r="25" spans="1:6" ht="20.100000000000001" customHeight="1" x14ac:dyDescent="0.25">
      <c r="D25" s="26" t="str" cm="1">
        <f t="array" ref="D25">Common_InputFunctions.Utility_DisplayArrayInTable(Wastewater_SourceData.Waste_MethaneCorrectionFactorSludge_Data(), Table_SourceData_MCF_Sludge[[#Headers],[Facility type t]], 0)</f>
        <v>Shallow anaerobic lagoon (≤ 2 m)</v>
      </c>
      <c r="E25" s="26" cm="1">
        <f t="array" ref="E25">Common_InputFunctions.Utility_DisplayArrayInTable(Wastewater_SourceData.Waste_MethaneCorrectionFactorSludge_Data(), Table_SourceData_MCF_Sludge[[#Headers],[Facility type t]], 0)</f>
        <v>0.2</v>
      </c>
    </row>
    <row r="26" spans="1:6" ht="20.100000000000001" customHeight="1" x14ac:dyDescent="0.25">
      <c r="D26" s="26" t="str" cm="1">
        <f t="array" ref="D26">Common_InputFunctions.Utility_DisplayArrayInTable(Wastewater_SourceData.Waste_MethaneCorrectionFactorSludge_Data(), Table_SourceData_MCF_Sludge[[#Headers],[Facility type t]], 0)</f>
        <v>Deep anaerobic lagoon (&gt; 2m)</v>
      </c>
      <c r="E26" s="26"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9" t="str" cm="1">
        <f t="array" ref="D31">Wastewater_SourceData.Waste_MethaneEmissionFactorWastewater_Variable()</f>
        <v>EFww</v>
      </c>
      <c r="E31" s="1" cm="1">
        <f t="array" ref="E31">Wastewater_SourceData.Waste_MethaneEmissionFactorWastewater_Data()</f>
        <v>0.25</v>
      </c>
      <c r="F31" s="30"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9" t="str" cm="1">
        <f t="array" ref="D36">Wastewater_SourceData.Waste_MethaneEmissionFactorSludge_Variable()</f>
        <v>EFsludge</v>
      </c>
      <c r="E36" s="1" cm="1">
        <f t="array" ref="E36">Wastewater_SourceData.Waste_MethaneEmissionFactorSludge_Data()</f>
        <v>0.25</v>
      </c>
      <c r="F36" s="30"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9" t="str" cm="1">
        <f t="array" ref="D41">Wastewater_SourceData.Waste_EnergyContentFactorSludgeBiogasFlared_Variable()</f>
        <v>ECflared</v>
      </c>
      <c r="E41" s="1" cm="1">
        <f t="array" ref="E41">Wastewater_SourceData.Waste_EnergyContentFactorSludgeBiogasFlared_Data()</f>
        <v>3.7699999999999997E-2</v>
      </c>
      <c r="F41" s="30"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9" t="str" cm="1">
        <f t="array" ref="D46">Wastewater_SourceData.Waste_MethaneEmissionFactorSludgeBiogasFlared_Variable()</f>
        <v>EFflared,CH4</v>
      </c>
      <c r="E46" s="1" cm="1">
        <f t="array" ref="E46">Wastewater_SourceData.Waste_MethaneEmissionFactorSludgeBiogasFlared_Data()</f>
        <v>0.22889999999999999</v>
      </c>
      <c r="F46" s="30" t="str" cm="1">
        <f t="array" ref="F46">Wastewater_SourceData.Waste_MethaneEmissionFactorSludgeBiogasFlared_Unit()</f>
        <v>kg CH4 / GJ</v>
      </c>
    </row>
    <row r="47" spans="4:6" ht="20.100000000000001" customHeight="1" x14ac:dyDescent="0.25"/>
    <row r="48" spans="4:6" ht="20.100000000000001" customHeight="1" x14ac:dyDescent="0.25"/>
    <row r="49" spans="1:6" ht="20.100000000000001" customHeight="1" x14ac:dyDescent="0.25">
      <c r="A49" s="51" t="str">
        <f>HYPERLINK("#A1", "▲ Back to top")</f>
        <v>▲ Back to top</v>
      </c>
      <c r="D49" s="5" t="str" cm="1">
        <f t="array" ref="D49">Wastewater_SourceData.Waste_NitrousOxideEmissionFactorSludgeBiogasFlared_Title()</f>
        <v>Nitrous oxide emission factor for sludge biogas flared</v>
      </c>
    </row>
    <row r="50" spans="1:6" ht="20.100000000000001" customHeight="1" x14ac:dyDescent="0.25">
      <c r="D50" s="4" t="str" cm="1">
        <f t="array" ref="D50">Wastewater_SourceData.Waste_NitrousOxideEmissionFactorSludgeBiogasFlared_Source()</f>
        <v>VEERG 2026: 11.2.3 Constants</v>
      </c>
    </row>
    <row r="51" spans="1:6" ht="20.100000000000001" customHeight="1" x14ac:dyDescent="0.25">
      <c r="D51" s="29" t="str" cm="1">
        <f t="array" ref="D51">Wastewater_SourceData.Waste_NitrousOxideEmissionFactorSludgeBiogasFlared_Variable()</f>
        <v>EFflared,N2O</v>
      </c>
      <c r="E51" s="1" cm="1">
        <f t="array" ref="E51">Wastewater_SourceData.Waste_NitrousOxideEmissionFactorSludgeBiogasFlared_Data()</f>
        <v>1.132E-4</v>
      </c>
      <c r="F51" s="30" t="str" cm="1">
        <f t="array" ref="F51">Wastewater_SourceData.Waste_NitrousOxideEmissionFactorSludgeBiogasFlared_Unit()</f>
        <v>kg N2O / GJ</v>
      </c>
    </row>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1"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035A7-00F4-4A58-AF60-DFD77BBE8707}">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