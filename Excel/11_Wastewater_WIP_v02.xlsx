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7623E65-2795-4A97-A8CB-2B068FC593E7}" xr6:coauthVersionLast="47" xr6:coauthVersionMax="47" xr10:uidLastSave="{00000000-0000-0000-0000-000000000000}"/>
  <bookViews>
    <workbookView xWindow="1020" yWindow="0" windowWidth="34605" windowHeight="18645" activeTab="2" xr2:uid="{992023F3-CAB7-4E5B-A348-08D563A0EF40}"/>
  </bookViews>
  <sheets>
    <sheet name="Home" sheetId="71" r:id="rId1"/>
    <sheet name="Overview" sheetId="118" r:id="rId2"/>
    <sheet name="Results" sheetId="13" r:id="rId3"/>
    <sheet name="Input - Wastewater" sheetId="70" r:id="rId4"/>
    <sheet name="11.1.1-2 Wastewater CH4" sheetId="69" r:id="rId5"/>
    <sheet name="11.1.3-4 Wastewater N2O" sheetId="120" r:id="rId6"/>
    <sheet name="Constants - Wastewater" sheetId="110" r:id="rId7"/>
    <sheet name="Constants - Common" sheetId="124" r:id="rId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VEERG_11_1_1_1__1_MethaneEmissionsFromWastewaterTreatment_Result_Method1">'11.1.1-2 Wastewater CH4'!$E$30</definedName>
    <definedName name="VEERG_11_1_3_1__1_NitrousOxideEmissionsFromFlaredBiogas_Result_Method1">'11.1.3-4 Wastewater N2O'!$E$17</definedName>
    <definedName name="Wastewater_Methane_Equations.VEERG_11_1_1_1__1_MethaneEmissionsFromWastewaterTreatment">_xlfn.LAMBDA(_xlpm.W_t,_xlpm.COD_in,_xlpm.F_sludge,_xlpm.COD_out,_xlpm.CF_ww_t,_xlpm.EF_ww,_xlpm.F_removed,_xlpm.CF_sludge_t,_xlpm.EF_sludge,_xlpm.Q_cap,_xlpm.Q_flared,_xlpm.Q_out,_xlpm.EC_flared,_xlpm.EF_flaredCH4, (1 / 1000) * ((_xlpm.W_t * (_xlpm.COD_in * (1 - _xlpm.F_sludge) - _xlpm.COD_out) * _xlpm.CF_ww_t * _xlpm.EF_ww) + (_xlpm.W_t * (_xlpm.COD_in * (_xlpm.F_sludge - _xlpm.F_removed)) * _xlpm.CF_sludge_t * _xlpm.EF_sludge) - (6.784 * 10 ^ -4 * (_xlpm.Q_cap + _xlpm.Q_flared + _xlpm.Q_out)) + (_xlpm.Q_flared * (_xlpm.EC_flared * _xlpm.EF_flaredCH4))))</definedName>
    <definedName name="Wastewater_Methane_Equations.VEERG_11_1_1_1__1_MethaneEmissionsFromWastewaterTreatment_Arguments">_xlfn.LAMBDA(_xlfn.MAKEARRAY(15, 4, _xlfn.LAMBDA(_xlpm.r,_xlpm.c, INDEX({"W_t","quantity of wastewater treated at facility type t","m3","Input";"COD_in","average inlet Chemical Oxygen Demand concentration of wastewater","kg COD/m3","Input";"F_sludge","fraction of COD removed from wastewater as sludge","fraction","Input";"COD_out","average outlet COD concentration of wastewater","kg COD/m3","Input";"CF_ww_t","methane correction factor for facility type t used to treat wastewater","fraction","Constant";"EF_ww","methane emission factor for wastewater","kg CH4/kg COD","Constant";"F_removed","fraction of COD removed from the wastewater treatment facility and transferred elsewhere","fraction","Input";"CF_sludge_t","methane correction factor for facility type t used to treat sludge","fraction","Constant";"EF_sludge","methane emission factor for sludge","kg CH4/kg COD","Constant";"Q_cap","quantity of methane in sludge biogas captured for combustion","m3 CH4","Input";"Q_flared","quantity of methane in sludge biogas flared by the treatment facility","m3 CH4","Input";"Q_out","quantity of methane in sludge biogas transferred out of the treatment facility","m3 CH4","Input";"EC_flared","energy content factor of methane in sludge biogas flared","GJ/m3","Constant";"EF_flaredCH4","methane emission factor for sludge biogas flared","kg CH4/GJ","Constant";"t","treatment facility type","","Input"}, _xlpm.r, _xlpm.c))))</definedName>
    <definedName name="Wastewater_Methane_Equations.VEERG_11_1_1_1__1_MethaneEmissionsFromWastewaterTreatment_LatexEquation">_xlfn.LAMBDA(_xlfn._LONGTEXT("E_{CH4}=\frac{1}{1000}\times\left{\left{W_t\times\left[COD_{in}\times(1-F_{sludge})-COD_{out}\right]\times CF_{ww,t}\times EF_{ww}\right}+\left{W_t\times\left[COD_{in}\times(F_{sludge}-F_{removed})\right]\times CF_{sludge,t}\times EF_{sludge}\right}-\left","{6.784\times 10^{-4}\times \left[ Q_{cap}+Q_{flared}+Q_{out}\right]\right}+\left{Q_{flared}\times \left[ EC_{flared}\times EF_{flared,CH4}\right]\right}\right}"))</definedName>
    <definedName name="Wastewater_Methane_Equations.VEERG_11_1_1_1__1_MethaneEmissionsFromWastewaterTreatment_NIRReference">_xlfn.LAMBDA("National Greenhouse and Energy Reporting Measurement Determination 2008")</definedName>
    <definedName name="Wastewater_Methane_Equations.VEERG_11_1_1_1__1_MethaneEmissionsFromWastewaterTreatment_Source">_xlfn.LAMBDA("VEERG 2026: 11.1.1.1, Equation (1)")</definedName>
    <definedName name="Wastewater_Methane_Equations.VEERG_11_1_1_1__1_MethaneEmissionsFromWastewaterTreatment_Title">_xlfn.LAMBDA("Methane emissions from wastewater treatment")</definedName>
    <definedName name="Wastewater_Methane_Equations.VEERG_11_1_1_1__1_MethaneEmissionsFromWastewaterTreatment_Unit">_xlfn.LAMBDA("t CH4")</definedName>
    <definedName name="Wastewater_Methane_Equations.VEERG_11_1_1_1__1_MethaneEmissionsFromWastewaterTreatment_Variable">_xlfn.LAMBDA("E_CH4")</definedName>
    <definedName name="Wastewater_Methane_Equations.VEERG_11_1_1_1__1_MethaneEmissionsFromWastewaterTreatment_Variation">_xlfn.LAMBDA("VARIATION ON SOURCE: Changed units of EF_ww, EF_Sludge and EF_flared from CO2e to CH4 to match data in Table ")</definedName>
    <definedName name="Wastewater_N2O_Equations.VEERG_11_1_3_1__1_NitrousOxideEmissionsFromFlaredBiogas">_xlfn.LAMBDA(_xlpm.Q_flared,_xlpm.EC_flared,_xlpm.EF_flaredN2O, (_xlpm.Q_flared / 1000) * (_xlpm.EC_flared * _xlpm.EF_flaredN2O))</definedName>
    <definedName name="Wastewater_N2O_Equations.VEERG_11_1_3_1__1_NitrousOxideEmissionsFromFlaredBiogas_Arguments">_xlfn.LAMBDA(_xlfn.MAKEARRAY(3, 4, _xlfn.LAMBDA(_xlpm.r,_xlpm.c, INDEX({"Q_flared","volume of biogas flared","m3","Input";"EC_flared","energy content factor of sludge biogas flared","GJ/m3","Constant";"EF_flaredN2O","nitrous oxide emission factor for flared biogas","kg N2O/GJ","Constant"}, _xlpm.r, _xlpm.c))))</definedName>
    <definedName name="Wastewater_N2O_Equations.VEERG_11_1_3_1__1_NitrousOxideEmissionsFromFlaredBiogas_LatexEquation">_xlfn.LAMBDA("E_{N2O}=\frac{Q_{flared}}{1000}\times \left[EC_{flared} \times EF_{flared,N2O}\right]")</definedName>
    <definedName name="Wastewater_N2O_Equations.VEERG_11_1_3_1__1_NitrousOxideEmissionsFromFlaredBiogas_NIRReference">_xlfn.LAMBDA("")</definedName>
    <definedName name="Wastewater_N2O_Equations.VEERG_11_1_3_1__1_NitrousOxideEmissionsFromFlaredBiogas_Source">_xlfn.LAMBDA("VEERG 2026: 11.1.3.1, Equation (1)")</definedName>
    <definedName name="Wastewater_N2O_Equations.VEERG_11_1_3_1__1_NitrousOxideEmissionsFromFlaredBiogas_Title">_xlfn.LAMBDA("Nitrous oxide emissions from flared biogas")</definedName>
    <definedName name="Wastewater_N2O_Equations.VEERG_11_1_3_1__1_NitrousOxideEmissionsFromFlaredBiogas_Unit">_xlfn.LAMBDA("t N2O")</definedName>
    <definedName name="Wastewater_N2O_Equations.VEERG_11_1_3_1__1_NitrousOxideEmissionsFromFlaredBiogas_Variable">_xlfn.LAMBDA("E_N2O")</definedName>
    <definedName name="Wastewater_SourceData.Waste_EnergyContentFactorSludgeBiogasFlared_Data">_xlfn.LAMBDA(0.0377)</definedName>
    <definedName name="Wastewater_SourceData.Waste_EnergyContentFactorSludgeBiogasFlared_Source">_xlfn.LAMBDA(("VEERG 2026: 11.2.3 Constants"))</definedName>
    <definedName name="Wastewater_SourceData.Waste_EnergyContentFactorSludgeBiogasFlared_Title">_xlfn.LAMBDA(("Energy content factor of sludge biogas flared"))</definedName>
    <definedName name="Wastewater_SourceData.Waste_EnergyContentFactorSludgeBiogasFlared_Unit">_xlfn.LAMBDA(("GJ / m3"))</definedName>
    <definedName name="Wastewater_SourceData.Waste_EnergyContentFactorSludgeBiogasFlared_Variable">_xlfn.LAMBDA(("ECflared"))</definedName>
    <definedName name="Wastewater_SourceData.Waste_MethaneCorrectionFactorSludge_Data">_xlfn.LAMBDA(_xlfn.MAKEARRAY(6, 2, _xlfn.LAMBDA(_xlpm.r,_xlpm.c, INDEX({"Facility type t","CFsludge,t";"Managed aerobic treatment",0;"Unmanaged aerobic treatment",0.3;"Anaerobic digestor/reactor",0.8;"Shallow anaerobic lagoon (≤ 2 m)",0.2;"Deep anaerobic lagoon (&gt; 2m)",0.8}, _xlpm.r, _xlpm.c))))</definedName>
    <definedName name="Wastewater_SourceData.Waste_MethaneCorrectionFactorSludge_Source">_xlfn.LAMBDA(("VEERG 2026: Table A.4.1.4"))</definedName>
    <definedName name="Wastewater_SourceData.Waste_MethaneCorrectionFactorSludge_Title">_xlfn.LAMBDA(("Methane correction factor for treatment facility type t used to treat sludge"))</definedName>
    <definedName name="Wastewater_SourceData.Waste_MethaneCorrectionFactorSludge_Unit">_xlfn.LAMBDA(("fraction"))</definedName>
    <definedName name="Wastewater_SourceData.Waste_MethaneCorrectionFactorSludge_Variable">_xlfn.LAMBDA(("CFsludge,t"))</definedName>
    <definedName name="Wastewater_SourceData.Waste_MethaneCorrectionFactorSludge_Variation">_xlfn.LAMBDA((""))</definedName>
    <definedName name="Wastewater_SourceData.Waste_MethaneCorrectionFactorWastewater_Data">_xlfn.LAMBDA(_xlfn.MAKEARRAY(6, 2, _xlfn.LAMBDA(_xlpm.r,_xlpm.c, INDEX({"Facility type t","CFww,t";"Managed aerobic treatment",0;"Unmanaged aerobic treatment",0.3;"Anaerobic digestor/reactor",0.8;"Shallow anaerobic lagoon (≤ 2 m)",0.2;"Deep anaerobic lagoon (&gt; 2m)",0.8}, _xlpm.r, _xlpm.c))))</definedName>
    <definedName name="Wastewater_SourceData.Waste_MethaneCorrectionFactorWastewater_Source">_xlfn.LAMBDA(("VEERG 2026: Table A.4.1.3"))</definedName>
    <definedName name="Wastewater_SourceData.Waste_MethaneCorrectionFactorWastewater_Title">_xlfn.LAMBDA(("Methane correction factor for treatment facility type t used to treat wastewater"))</definedName>
    <definedName name="Wastewater_SourceData.Waste_MethaneCorrectionFactorWastewater_Unit">_xlfn.LAMBDA(("fraction"))</definedName>
    <definedName name="Wastewater_SourceData.Waste_MethaneCorrectionFactorWastewater_Variable">_xlfn.LAMBDA(("CFww,t"))</definedName>
    <definedName name="Wastewater_SourceData.Waste_MethaneCorrectionFactorWastewater_Variation">_xlfn.LAMBDA((""))</definedName>
    <definedName name="Wastewater_SourceData.Waste_MethaneEmissionFactorSludge_Data">_xlfn.LAMBDA(0.25)</definedName>
    <definedName name="Wastewater_SourceData.Waste_MethaneEmissionFactorSludge_Source">_xlfn.LAMBDA(("VEERG 2026: 11.2.3 Constants"))</definedName>
    <definedName name="Wastewater_SourceData.Waste_MethaneEmissionFactorSludge_Title">_xlfn.LAMBDA(("Methane emission factor for sludge"))</definedName>
    <definedName name="Wastewater_SourceData.Waste_MethaneEmissionFactorSludge_Unit">_xlfn.LAMBDA(("kg CH4 / kg COD"))</definedName>
    <definedName name="Wastewater_SourceData.Waste_MethaneEmissionFactorSludge_Variable">_xlfn.LAMBDA(("EFsludge"))</definedName>
    <definedName name="Wastewater_SourceData.Waste_MethaneEmissionFactorSludgeBiogasFlared_Data">_xlfn.LAMBDA(0.2289)</definedName>
    <definedName name="Wastewater_SourceData.Waste_MethaneEmissionFactorSludgeBiogasFlared_Source">_xlfn.LAMBDA(("VEERG 2026: 11.2.3 Constants"))</definedName>
    <definedName name="Wastewater_SourceData.Waste_MethaneEmissionFactorSludgeBiogasFlared_Title">_xlfn.LAMBDA(("Methane emission factor for sludge biogas flared"))</definedName>
    <definedName name="Wastewater_SourceData.Waste_MethaneEmissionFactorSludgeBiogasFlared_Unit">_xlfn.LAMBDA(("kg CH4 / GJ"))</definedName>
    <definedName name="Wastewater_SourceData.Waste_MethaneEmissionFactorSludgeBiogasFlared_Variable">_xlfn.LAMBDA(("EFflared,CH4"))</definedName>
    <definedName name="Wastewater_SourceData.Waste_MethaneEmissionFactorWastewater_Data">_xlfn.LAMBDA(0.25)</definedName>
    <definedName name="Wastewater_SourceData.Waste_MethaneEmissionFactorWastewater_Source">_xlfn.LAMBDA(("VEERG 2026: 11.2.3 Constants"))</definedName>
    <definedName name="Wastewater_SourceData.Waste_MethaneEmissionFactorWastewater_Title">_xlfn.LAMBDA(("Methane emission factor for wastewater"))</definedName>
    <definedName name="Wastewater_SourceData.Waste_MethaneEmissionFactorWastewater_Unit">_xlfn.LAMBDA(("kg CH4 / kg COD"))</definedName>
    <definedName name="Wastewater_SourceData.Waste_MethaneEmissionFactorWastewater_Variable">_xlfn.LAMBDA(("EFww"))</definedName>
    <definedName name="Wastewater_SourceData.Waste_NitrousOxideEmissionFactorSludgeBiogasFlared_Data">_xlfn.LAMBDA(0.0001132)</definedName>
    <definedName name="Wastewater_SourceData.Waste_NitrousOxideEmissionFactorSludgeBiogasFlared_Source">_xlfn.LAMBDA(("VEERG 2026: 11.2.3 Constants"))</definedName>
    <definedName name="Wastewater_SourceData.Waste_NitrousOxideEmissionFactorSludgeBiogasFlared_Title">_xlfn.LAMBDA(("Nitrous oxide emission factor for sludge biogas flared"))</definedName>
    <definedName name="Wastewater_SourceData.Waste_NitrousOxideEmissionFactorSludgeBiogasFlared_Unit">_xlfn.LAMBDA(("kg N2O / GJ"))</definedName>
    <definedName name="Wastewater_SourceData.Waste_NitrousOxideEmissionFactorSludgeBiogasFlared_Variable">_xlfn.LAMBDA(("EFflared,N2O"))</definedName>
    <definedName name="X_Cell_Wastewater_FractionCODRemovedAndTransferred">'Input - Wastewater'!$F$16</definedName>
    <definedName name="X_Cell_Wastewater_FractionCODRemovedAsSludge">'Input - Wastewater'!$F$15</definedName>
    <definedName name="X_Cell_Wastewater_InletCOD">'Input - Wastewater'!$F$14</definedName>
    <definedName name="X_Cell_Wastewater_OutletCOD">'Input - Wastewater'!$F$17</definedName>
    <definedName name="X_Cell_Wastewater_QuantityInM3">'Input - Wastewater'!$F$8</definedName>
    <definedName name="X_Cell_Wastewater_SludgeMethaneCapturedForCombustion">'Input - Wastewater'!$F$24</definedName>
    <definedName name="X_Cell_Wastewater_SludgeMethaneFlared">'Input - Wastewater'!$F$25</definedName>
    <definedName name="X_Cell_Wastewater_SludgeMethaneTransferred">'Input - Wastewater'!$F$26</definedName>
    <definedName name="X_Cell_Wastewater_TreatmentFacilityType">'Input - Wastewater'!$F$7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4" l="1" a="1"/>
  <c r="E259" i="124" s="1"/>
  <c r="D259" i="124" a="1"/>
  <c r="D259" i="124" s="1"/>
  <c r="E258" i="124" a="1"/>
  <c r="E258" i="124" s="1"/>
  <c r="D258" i="124" a="1"/>
  <c r="D258" i="124" s="1"/>
  <c r="D256" i="124" a="1"/>
  <c r="D256" i="124" s="1"/>
  <c r="D255" i="124"/>
  <c r="D255" i="124" a="1"/>
  <c r="D254" i="124" a="1"/>
  <c r="D254" i="124" s="1"/>
  <c r="D253" i="124" a="1"/>
  <c r="D253" i="124" s="1"/>
  <c r="S250" i="124" a="1"/>
  <c r="S250" i="124" s="1"/>
  <c r="R250" i="124" a="1"/>
  <c r="R250" i="124" s="1"/>
  <c r="Q250" i="124" a="1"/>
  <c r="Q250" i="124" s="1"/>
  <c r="P250" i="124" a="1"/>
  <c r="P250" i="124" s="1"/>
  <c r="O250" i="124" a="1"/>
  <c r="O250" i="124" s="1"/>
  <c r="N250" i="124" a="1"/>
  <c r="N250" i="124" s="1"/>
  <c r="M250" i="124" a="1"/>
  <c r="M250" i="124" s="1"/>
  <c r="L250" i="124" a="1"/>
  <c r="L250" i="124" s="1"/>
  <c r="K250" i="124" a="1"/>
  <c r="K250" i="124" s="1"/>
  <c r="J250" i="124" a="1"/>
  <c r="J250" i="124" s="1"/>
  <c r="I250" i="124" a="1"/>
  <c r="I250" i="124" s="1"/>
  <c r="H250" i="124" a="1"/>
  <c r="H250" i="124" s="1"/>
  <c r="G250" i="124" a="1"/>
  <c r="G250" i="124" s="1"/>
  <c r="F250" i="124" a="1"/>
  <c r="F250" i="124" s="1"/>
  <c r="E250" i="124" a="1"/>
  <c r="E250" i="124" s="1"/>
  <c r="D250" i="124" a="1"/>
  <c r="D250" i="124" s="1"/>
  <c r="S249" i="124" a="1"/>
  <c r="S249" i="124" s="1"/>
  <c r="R249" i="124" a="1"/>
  <c r="R249" i="124" s="1"/>
  <c r="Q249" i="124" a="1"/>
  <c r="Q249" i="124" s="1"/>
  <c r="P249" i="124" a="1"/>
  <c r="P249" i="124" s="1"/>
  <c r="O249" i="124" a="1"/>
  <c r="O249" i="124" s="1"/>
  <c r="N249" i="124" a="1"/>
  <c r="N249" i="124" s="1"/>
  <c r="M249" i="124" a="1"/>
  <c r="M249" i="124" s="1"/>
  <c r="L249" i="124" a="1"/>
  <c r="L249" i="124" s="1"/>
  <c r="K249" i="124" a="1"/>
  <c r="K249" i="124" s="1"/>
  <c r="J249" i="124" a="1"/>
  <c r="J249" i="124" s="1"/>
  <c r="I249" i="124" a="1"/>
  <c r="I249" i="124" s="1"/>
  <c r="H249" i="124" a="1"/>
  <c r="H249" i="124" s="1"/>
  <c r="G249" i="124" a="1"/>
  <c r="G249" i="124" s="1"/>
  <c r="F249" i="124" a="1"/>
  <c r="F249" i="124" s="1"/>
  <c r="E249" i="124" a="1"/>
  <c r="E249" i="124" s="1"/>
  <c r="D249" i="124" a="1"/>
  <c r="D249" i="124" s="1"/>
  <c r="S248" i="124" a="1"/>
  <c r="S248" i="124" s="1"/>
  <c r="R248" i="124" a="1"/>
  <c r="R248" i="124" s="1"/>
  <c r="Q248" i="124" a="1"/>
  <c r="Q248" i="124" s="1"/>
  <c r="P248" i="124" a="1"/>
  <c r="P248" i="124" s="1"/>
  <c r="O248" i="124" a="1"/>
  <c r="O248" i="124" s="1"/>
  <c r="N248" i="124" a="1"/>
  <c r="N248" i="124" s="1"/>
  <c r="M248" i="124" a="1"/>
  <c r="M248" i="124" s="1"/>
  <c r="L248" i="124" a="1"/>
  <c r="L248" i="124" s="1"/>
  <c r="K248" i="124" a="1"/>
  <c r="K248" i="124" s="1"/>
  <c r="J248" i="124" a="1"/>
  <c r="J248" i="124" s="1"/>
  <c r="I248" i="124" a="1"/>
  <c r="I248" i="124" s="1"/>
  <c r="H248" i="124" a="1"/>
  <c r="H248" i="124" s="1"/>
  <c r="G248" i="124" a="1"/>
  <c r="G248" i="124" s="1"/>
  <c r="F248" i="124" a="1"/>
  <c r="F248" i="124" s="1"/>
  <c r="E248" i="124" a="1"/>
  <c r="E248" i="124" s="1"/>
  <c r="D248" i="124" a="1"/>
  <c r="D248" i="124" s="1"/>
  <c r="S247" i="124" a="1"/>
  <c r="S247" i="124" s="1"/>
  <c r="R247" i="124" a="1"/>
  <c r="R247" i="124" s="1"/>
  <c r="Q247" i="124" a="1"/>
  <c r="Q247" i="124" s="1"/>
  <c r="P247" i="124" a="1"/>
  <c r="P247" i="124" s="1"/>
  <c r="O247" i="124" a="1"/>
  <c r="O247" i="124" s="1"/>
  <c r="N247" i="124" a="1"/>
  <c r="N247" i="124" s="1"/>
  <c r="M247" i="124" a="1"/>
  <c r="M247" i="124" s="1"/>
  <c r="L247" i="124" a="1"/>
  <c r="L247" i="124" s="1"/>
  <c r="K247" i="124" a="1"/>
  <c r="K247" i="124" s="1"/>
  <c r="J247" i="124" a="1"/>
  <c r="J247" i="124" s="1"/>
  <c r="I247" i="124" a="1"/>
  <c r="I247" i="124" s="1"/>
  <c r="H247" i="124" a="1"/>
  <c r="H247" i="124" s="1"/>
  <c r="G247" i="124" a="1"/>
  <c r="G247" i="124" s="1"/>
  <c r="F247" i="124" a="1"/>
  <c r="F247" i="124" s="1"/>
  <c r="E247" i="124" a="1"/>
  <c r="E247" i="124" s="1"/>
  <c r="D247" i="124" a="1"/>
  <c r="D247" i="124" s="1"/>
  <c r="S246" i="124" a="1"/>
  <c r="S246" i="124" s="1"/>
  <c r="R246" i="124" a="1"/>
  <c r="R246" i="124" s="1"/>
  <c r="Q246" i="124" a="1"/>
  <c r="Q246" i="124" s="1"/>
  <c r="P246" i="124" a="1"/>
  <c r="P246" i="124" s="1"/>
  <c r="O246" i="124" a="1"/>
  <c r="O246" i="124" s="1"/>
  <c r="N246" i="124" a="1"/>
  <c r="N246" i="124" s="1"/>
  <c r="M246" i="124" a="1"/>
  <c r="M246" i="124" s="1"/>
  <c r="L246" i="124" a="1"/>
  <c r="L246" i="124" s="1"/>
  <c r="K246" i="124" a="1"/>
  <c r="K246" i="124" s="1"/>
  <c r="J246" i="124" a="1"/>
  <c r="J246" i="124" s="1"/>
  <c r="I246" i="124" a="1"/>
  <c r="I246" i="124" s="1"/>
  <c r="H246" i="124" a="1"/>
  <c r="H246" i="124" s="1"/>
  <c r="G246" i="124" a="1"/>
  <c r="G246" i="124" s="1"/>
  <c r="F246" i="124" a="1"/>
  <c r="F246" i="124" s="1"/>
  <c r="E246" i="124" a="1"/>
  <c r="E246" i="124" s="1"/>
  <c r="D246" i="124" a="1"/>
  <c r="D246" i="124" s="1"/>
  <c r="S245" i="124" a="1"/>
  <c r="S245" i="124" s="1"/>
  <c r="R245" i="124" a="1"/>
  <c r="R245" i="124" s="1"/>
  <c r="Q245" i="124" a="1"/>
  <c r="Q245" i="124" s="1"/>
  <c r="P245" i="124" a="1"/>
  <c r="P245" i="124" s="1"/>
  <c r="O245" i="124" a="1"/>
  <c r="O245" i="124" s="1"/>
  <c r="N245" i="124" a="1"/>
  <c r="N245" i="124" s="1"/>
  <c r="M245" i="124" a="1"/>
  <c r="M245" i="124" s="1"/>
  <c r="L245" i="124" a="1"/>
  <c r="L245" i="124" s="1"/>
  <c r="K245" i="124" a="1"/>
  <c r="K245" i="124" s="1"/>
  <c r="J245" i="124" a="1"/>
  <c r="J245" i="124" s="1"/>
  <c r="I245" i="124" a="1"/>
  <c r="I245" i="124" s="1"/>
  <c r="H245" i="124" a="1"/>
  <c r="H245" i="124" s="1"/>
  <c r="G245" i="124" a="1"/>
  <c r="G245" i="124" s="1"/>
  <c r="F245" i="124" a="1"/>
  <c r="F245" i="124" s="1"/>
  <c r="E245" i="124" a="1"/>
  <c r="E245" i="124" s="1"/>
  <c r="D245" i="124" a="1"/>
  <c r="D245" i="124" s="1"/>
  <c r="S244" i="124" a="1"/>
  <c r="S244" i="124" s="1"/>
  <c r="R244" i="124" a="1"/>
  <c r="R244" i="124" s="1"/>
  <c r="Q244" i="124" a="1"/>
  <c r="Q244" i="124" s="1"/>
  <c r="P244" i="124" a="1"/>
  <c r="P244" i="124" s="1"/>
  <c r="O244" i="124" a="1"/>
  <c r="O244" i="124" s="1"/>
  <c r="N244" i="124" a="1"/>
  <c r="N244" i="124" s="1"/>
  <c r="M244" i="124" a="1"/>
  <c r="M244" i="124" s="1"/>
  <c r="L244" i="124" a="1"/>
  <c r="L244" i="124" s="1"/>
  <c r="K244" i="124" a="1"/>
  <c r="K244" i="124" s="1"/>
  <c r="J244" i="124" a="1"/>
  <c r="J244" i="124" s="1"/>
  <c r="I244" i="124" a="1"/>
  <c r="I244" i="124" s="1"/>
  <c r="H244" i="124" a="1"/>
  <c r="H244" i="124" s="1"/>
  <c r="G244" i="124" a="1"/>
  <c r="G244" i="124" s="1"/>
  <c r="F244" i="124" a="1"/>
  <c r="F244" i="124" s="1"/>
  <c r="E244" i="124" a="1"/>
  <c r="E244" i="124" s="1"/>
  <c r="D244" i="124" a="1"/>
  <c r="D244" i="124" s="1"/>
  <c r="S243" i="124" a="1"/>
  <c r="S243" i="124" s="1"/>
  <c r="R243" i="124" a="1"/>
  <c r="R243" i="124" s="1"/>
  <c r="Q243" i="124" a="1"/>
  <c r="Q243" i="124" s="1"/>
  <c r="P243" i="124" a="1"/>
  <c r="P243" i="124" s="1"/>
  <c r="O243" i="124" a="1"/>
  <c r="O243" i="124" s="1"/>
  <c r="N243" i="124" a="1"/>
  <c r="N243" i="124" s="1"/>
  <c r="M243" i="124" a="1"/>
  <c r="M243" i="124" s="1"/>
  <c r="L243" i="124" a="1"/>
  <c r="L243" i="124" s="1"/>
  <c r="K243" i="124" a="1"/>
  <c r="K243" i="124" s="1"/>
  <c r="J243" i="124" a="1"/>
  <c r="J243" i="124" s="1"/>
  <c r="I243" i="124" a="1"/>
  <c r="I243" i="124" s="1"/>
  <c r="H243" i="124" a="1"/>
  <c r="H243" i="124" s="1"/>
  <c r="G243" i="124" a="1"/>
  <c r="G243" i="124" s="1"/>
  <c r="F243" i="124" a="1"/>
  <c r="F243" i="124" s="1"/>
  <c r="E243" i="124" a="1"/>
  <c r="E243" i="124" s="1"/>
  <c r="D243" i="124" a="1"/>
  <c r="D243" i="124" s="1"/>
  <c r="S242" i="124" a="1"/>
  <c r="S242" i="124" s="1"/>
  <c r="R242" i="124" a="1"/>
  <c r="R242" i="124" s="1"/>
  <c r="Q242" i="124" a="1"/>
  <c r="Q242" i="124" s="1"/>
  <c r="P242" i="124" a="1"/>
  <c r="P242" i="124" s="1"/>
  <c r="O242" i="124" a="1"/>
  <c r="O242" i="124" s="1"/>
  <c r="N242" i="124" a="1"/>
  <c r="N242" i="124" s="1"/>
  <c r="M242" i="124" a="1"/>
  <c r="M242" i="124" s="1"/>
  <c r="L242" i="124" a="1"/>
  <c r="L242" i="124" s="1"/>
  <c r="K242" i="124" a="1"/>
  <c r="K242" i="124" s="1"/>
  <c r="J242" i="124" a="1"/>
  <c r="J242" i="124" s="1"/>
  <c r="I242" i="124" a="1"/>
  <c r="I242" i="124" s="1"/>
  <c r="H242" i="124" a="1"/>
  <c r="H242" i="124" s="1"/>
  <c r="G242" i="124" a="1"/>
  <c r="G242" i="124" s="1"/>
  <c r="F242" i="124" a="1"/>
  <c r="F242" i="124" s="1"/>
  <c r="E242" i="124" a="1"/>
  <c r="E242" i="124" s="1"/>
  <c r="D242" i="124" a="1"/>
  <c r="D242" i="124" s="1"/>
  <c r="S241" i="124" a="1"/>
  <c r="S241" i="124" s="1"/>
  <c r="R241" i="124" a="1"/>
  <c r="R241" i="124" s="1"/>
  <c r="Q241" i="124" a="1"/>
  <c r="Q241" i="124" s="1"/>
  <c r="P241" i="124" a="1"/>
  <c r="P241" i="124" s="1"/>
  <c r="O241" i="124" a="1"/>
  <c r="O241" i="124" s="1"/>
  <c r="N241" i="124" a="1"/>
  <c r="N241" i="124" s="1"/>
  <c r="M241" i="124" a="1"/>
  <c r="M241" i="124" s="1"/>
  <c r="L241" i="124" a="1"/>
  <c r="L241" i="124" s="1"/>
  <c r="K241" i="124" a="1"/>
  <c r="K241" i="124" s="1"/>
  <c r="J241" i="124" a="1"/>
  <c r="J241" i="124" s="1"/>
  <c r="I241" i="124" a="1"/>
  <c r="I241" i="124" s="1"/>
  <c r="H241" i="124" a="1"/>
  <c r="H241" i="124" s="1"/>
  <c r="G241" i="124" a="1"/>
  <c r="G241" i="124" s="1"/>
  <c r="F241" i="124" a="1"/>
  <c r="F241" i="124" s="1"/>
  <c r="E241" i="124" a="1"/>
  <c r="E241" i="124" s="1"/>
  <c r="D241" i="124" a="1"/>
  <c r="D241" i="124" s="1"/>
  <c r="S240" i="124" a="1"/>
  <c r="S240" i="124" s="1"/>
  <c r="R240" i="124" a="1"/>
  <c r="R240" i="124" s="1"/>
  <c r="Q240" i="124" a="1"/>
  <c r="Q240" i="124" s="1"/>
  <c r="P240" i="124" a="1"/>
  <c r="P240" i="124" s="1"/>
  <c r="O240" i="124" a="1"/>
  <c r="O240" i="124" s="1"/>
  <c r="N240" i="124" a="1"/>
  <c r="N240" i="124" s="1"/>
  <c r="M240" i="124" a="1"/>
  <c r="M240" i="124" s="1"/>
  <c r="L240" i="124" a="1"/>
  <c r="L240" i="124" s="1"/>
  <c r="K240" i="124" a="1"/>
  <c r="K240" i="124" s="1"/>
  <c r="J240" i="124" a="1"/>
  <c r="J240" i="124" s="1"/>
  <c r="I240" i="124" a="1"/>
  <c r="I240" i="124" s="1"/>
  <c r="H240" i="124" a="1"/>
  <c r="H240" i="124" s="1"/>
  <c r="G240" i="124" a="1"/>
  <c r="G240" i="124" s="1"/>
  <c r="F240" i="124" a="1"/>
  <c r="F240" i="124" s="1"/>
  <c r="E240" i="124" a="1"/>
  <c r="E240" i="124" s="1"/>
  <c r="D240" i="124" a="1"/>
  <c r="D240" i="124" s="1"/>
  <c r="S239" i="124" a="1"/>
  <c r="S239" i="124" s="1"/>
  <c r="R239" i="124" a="1"/>
  <c r="R239" i="124" s="1"/>
  <c r="Q239" i="124" a="1"/>
  <c r="Q239" i="124" s="1"/>
  <c r="P239" i="124" a="1"/>
  <c r="P239" i="124" s="1"/>
  <c r="O239" i="124" a="1"/>
  <c r="O239" i="124" s="1"/>
  <c r="N239" i="124" a="1"/>
  <c r="N239" i="124" s="1"/>
  <c r="M239" i="124" a="1"/>
  <c r="M239" i="124" s="1"/>
  <c r="L239" i="124" a="1"/>
  <c r="L239" i="124" s="1"/>
  <c r="K239" i="124" a="1"/>
  <c r="K239" i="124" s="1"/>
  <c r="J239" i="124" a="1"/>
  <c r="J239" i="124" s="1"/>
  <c r="I239" i="124" a="1"/>
  <c r="I239" i="124" s="1"/>
  <c r="H239" i="124" a="1"/>
  <c r="H239" i="124" s="1"/>
  <c r="G239" i="124" a="1"/>
  <c r="G239" i="124" s="1"/>
  <c r="F239" i="124" a="1"/>
  <c r="F239" i="124" s="1"/>
  <c r="E239" i="124" a="1"/>
  <c r="E239" i="124" s="1"/>
  <c r="D239" i="124" a="1"/>
  <c r="D239" i="124" s="1"/>
  <c r="S238" i="124" a="1"/>
  <c r="S238" i="124" s="1"/>
  <c r="R238" i="124" a="1"/>
  <c r="R238" i="124" s="1"/>
  <c r="Q238" i="124" a="1"/>
  <c r="Q238" i="124" s="1"/>
  <c r="P238" i="124" a="1"/>
  <c r="P238" i="124" s="1"/>
  <c r="O238" i="124" a="1"/>
  <c r="O238" i="124" s="1"/>
  <c r="N238" i="124" a="1"/>
  <c r="N238" i="124" s="1"/>
  <c r="M238" i="124" a="1"/>
  <c r="M238" i="124" s="1"/>
  <c r="L238" i="124" a="1"/>
  <c r="L238" i="124" s="1"/>
  <c r="K238" i="124" a="1"/>
  <c r="K238" i="124" s="1"/>
  <c r="J238" i="124" a="1"/>
  <c r="J238" i="124" s="1"/>
  <c r="I238" i="124" a="1"/>
  <c r="I238" i="124" s="1"/>
  <c r="H238" i="124" a="1"/>
  <c r="H238" i="124" s="1"/>
  <c r="G238" i="124" a="1"/>
  <c r="G238" i="124" s="1"/>
  <c r="F238" i="124" a="1"/>
  <c r="F238" i="124" s="1"/>
  <c r="E238" i="124" a="1"/>
  <c r="E238" i="124" s="1"/>
  <c r="D238" i="124" a="1"/>
  <c r="D238" i="124" s="1"/>
  <c r="S237" i="124" a="1"/>
  <c r="S237" i="124" s="1"/>
  <c r="R237" i="124" a="1"/>
  <c r="R237" i="124" s="1"/>
  <c r="Q237" i="124" a="1"/>
  <c r="Q237" i="124" s="1"/>
  <c r="P237" i="124" a="1"/>
  <c r="P237" i="124" s="1"/>
  <c r="O237" i="124" a="1"/>
  <c r="O237" i="124" s="1"/>
  <c r="N237" i="124" a="1"/>
  <c r="N237" i="124" s="1"/>
  <c r="M237" i="124" a="1"/>
  <c r="M237" i="124" s="1"/>
  <c r="L237" i="124" a="1"/>
  <c r="L237" i="124" s="1"/>
  <c r="K237" i="124" a="1"/>
  <c r="K237" i="124" s="1"/>
  <c r="J237" i="124" a="1"/>
  <c r="J237" i="124" s="1"/>
  <c r="I237" i="124" a="1"/>
  <c r="I237" i="124" s="1"/>
  <c r="H237" i="124" a="1"/>
  <c r="H237" i="124" s="1"/>
  <c r="G237" i="124" a="1"/>
  <c r="G237" i="124" s="1"/>
  <c r="F237" i="124" a="1"/>
  <c r="F237" i="124" s="1"/>
  <c r="E237" i="124" a="1"/>
  <c r="E237" i="124" s="1"/>
  <c r="D237" i="124" a="1"/>
  <c r="D237" i="124" s="1"/>
  <c r="S236" i="124" a="1"/>
  <c r="S236" i="124" s="1"/>
  <c r="R236" i="124" a="1"/>
  <c r="R236" i="124" s="1"/>
  <c r="Q236" i="124" a="1"/>
  <c r="Q236" i="124" s="1"/>
  <c r="P236" i="124" a="1"/>
  <c r="P236" i="124" s="1"/>
  <c r="O236" i="124" a="1"/>
  <c r="O236" i="124" s="1"/>
  <c r="N236" i="124" a="1"/>
  <c r="N236" i="124" s="1"/>
  <c r="M236" i="124" a="1"/>
  <c r="M236" i="124" s="1"/>
  <c r="L236" i="124" a="1"/>
  <c r="L236" i="124" s="1"/>
  <c r="K236" i="124" a="1"/>
  <c r="K236" i="124" s="1"/>
  <c r="J236" i="124" a="1"/>
  <c r="J236" i="124" s="1"/>
  <c r="I236" i="124" a="1"/>
  <c r="I236" i="124" s="1"/>
  <c r="H236" i="124" a="1"/>
  <c r="H236" i="124" s="1"/>
  <c r="G236" i="124" a="1"/>
  <c r="G236" i="124" s="1"/>
  <c r="F236" i="124" a="1"/>
  <c r="F236" i="124" s="1"/>
  <c r="E236" i="124" a="1"/>
  <c r="E236" i="124" s="1"/>
  <c r="D236" i="124" a="1"/>
  <c r="D236" i="124" s="1"/>
  <c r="S235" i="124" a="1"/>
  <c r="S235" i="124" s="1"/>
  <c r="R235" i="124" a="1"/>
  <c r="R235" i="124" s="1"/>
  <c r="Q235" i="124" a="1"/>
  <c r="Q235" i="124" s="1"/>
  <c r="P235" i="124" a="1"/>
  <c r="P235" i="124" s="1"/>
  <c r="O235" i="124" a="1"/>
  <c r="O235" i="124" s="1"/>
  <c r="N235" i="124" a="1"/>
  <c r="N235" i="124" s="1"/>
  <c r="M235" i="124" a="1"/>
  <c r="M235" i="124" s="1"/>
  <c r="L235" i="124" a="1"/>
  <c r="L235" i="124" s="1"/>
  <c r="K235" i="124" a="1"/>
  <c r="K235" i="124" s="1"/>
  <c r="J235" i="124" a="1"/>
  <c r="J235" i="124" s="1"/>
  <c r="I235" i="124" a="1"/>
  <c r="I235" i="124" s="1"/>
  <c r="H235" i="124" a="1"/>
  <c r="H235" i="124" s="1"/>
  <c r="G235" i="124" a="1"/>
  <c r="G235" i="124" s="1"/>
  <c r="F235" i="124" a="1"/>
  <c r="F235" i="124" s="1"/>
  <c r="E235" i="124" a="1"/>
  <c r="E235" i="124" s="1"/>
  <c r="D235" i="124" a="1"/>
  <c r="D235" i="124" s="1"/>
  <c r="S234" i="124" a="1"/>
  <c r="S234" i="124" s="1"/>
  <c r="R234" i="124" a="1"/>
  <c r="R234" i="124" s="1"/>
  <c r="Q234" i="124" a="1"/>
  <c r="Q234" i="124" s="1"/>
  <c r="P234" i="124" a="1"/>
  <c r="P234" i="124" s="1"/>
  <c r="O234" i="124" a="1"/>
  <c r="O234" i="124" s="1"/>
  <c r="N234" i="124" a="1"/>
  <c r="N234" i="124" s="1"/>
  <c r="M234" i="124" a="1"/>
  <c r="M234" i="124" s="1"/>
  <c r="L234" i="124" a="1"/>
  <c r="L234" i="124" s="1"/>
  <c r="K234" i="124" a="1"/>
  <c r="K234" i="124" s="1"/>
  <c r="J234" i="124" a="1"/>
  <c r="J234" i="124" s="1"/>
  <c r="I234" i="124" a="1"/>
  <c r="I234" i="124" s="1"/>
  <c r="H234" i="124" a="1"/>
  <c r="H234" i="124" s="1"/>
  <c r="G234" i="124" a="1"/>
  <c r="G234" i="124" s="1"/>
  <c r="F234" i="124" a="1"/>
  <c r="F234" i="124" s="1"/>
  <c r="E234" i="124" a="1"/>
  <c r="E234" i="124" s="1"/>
  <c r="D234" i="124" a="1"/>
  <c r="D234" i="124" s="1"/>
  <c r="S233" i="124" a="1"/>
  <c r="S233" i="124" s="1"/>
  <c r="R233" i="124" a="1"/>
  <c r="R233" i="124" s="1"/>
  <c r="Q233" i="124" a="1"/>
  <c r="Q233" i="124" s="1"/>
  <c r="P233" i="124" a="1"/>
  <c r="P233" i="124" s="1"/>
  <c r="O233" i="124" a="1"/>
  <c r="O233" i="124" s="1"/>
  <c r="N233" i="124" a="1"/>
  <c r="N233" i="124" s="1"/>
  <c r="M233" i="124" a="1"/>
  <c r="M233" i="124" s="1"/>
  <c r="L233" i="124" a="1"/>
  <c r="L233" i="124" s="1"/>
  <c r="K233" i="124" a="1"/>
  <c r="K233" i="124" s="1"/>
  <c r="J233" i="124" a="1"/>
  <c r="J233" i="124" s="1"/>
  <c r="I233" i="124" a="1"/>
  <c r="I233" i="124" s="1"/>
  <c r="H233" i="124" a="1"/>
  <c r="H233" i="124" s="1"/>
  <c r="G233" i="124" a="1"/>
  <c r="G233" i="124" s="1"/>
  <c r="F233" i="124" a="1"/>
  <c r="F233" i="124" s="1"/>
  <c r="E233" i="124" a="1"/>
  <c r="E233" i="124" s="1"/>
  <c r="D233" i="124" a="1"/>
  <c r="D233" i="124" s="1"/>
  <c r="S232" i="124" a="1"/>
  <c r="S232" i="124" s="1"/>
  <c r="R232" i="124" a="1"/>
  <c r="R232" i="124" s="1"/>
  <c r="Q232" i="124" a="1"/>
  <c r="Q232" i="124" s="1"/>
  <c r="P232" i="124" a="1"/>
  <c r="P232" i="124" s="1"/>
  <c r="O232" i="124" a="1"/>
  <c r="O232" i="124" s="1"/>
  <c r="N232" i="124" a="1"/>
  <c r="N232" i="124" s="1"/>
  <c r="M232" i="124" a="1"/>
  <c r="M232" i="124" s="1"/>
  <c r="L232" i="124" a="1"/>
  <c r="L232" i="124" s="1"/>
  <c r="K232" i="124" a="1"/>
  <c r="K232" i="124" s="1"/>
  <c r="J232" i="124" a="1"/>
  <c r="J232" i="124" s="1"/>
  <c r="I232" i="124" a="1"/>
  <c r="I232" i="124" s="1"/>
  <c r="H232" i="124" a="1"/>
  <c r="H232" i="124" s="1"/>
  <c r="G232" i="124" a="1"/>
  <c r="G232" i="124" s="1"/>
  <c r="F232" i="124" a="1"/>
  <c r="F232" i="124" s="1"/>
  <c r="E232" i="124" a="1"/>
  <c r="E232" i="124" s="1"/>
  <c r="D232" i="124" a="1"/>
  <c r="D232" i="124" s="1"/>
  <c r="D229" i="124" a="1"/>
  <c r="D229" i="124" s="1"/>
  <c r="D228" i="124" a="1"/>
  <c r="D228" i="124" s="1"/>
  <c r="D227" i="124" a="1"/>
  <c r="D227" i="124" s="1"/>
  <c r="E224" i="124" a="1"/>
  <c r="E224" i="124" s="1"/>
  <c r="D224" i="124" a="1"/>
  <c r="D224" i="124" s="1"/>
  <c r="E223" i="124" a="1"/>
  <c r="E223" i="124" s="1"/>
  <c r="D223" i="124" a="1"/>
  <c r="D223" i="124" s="1"/>
  <c r="E222" i="124" a="1"/>
  <c r="E222" i="124" s="1"/>
  <c r="D222" i="124" a="1"/>
  <c r="D222" i="124" s="1"/>
  <c r="E221" i="124" a="1"/>
  <c r="E221" i="124" s="1"/>
  <c r="D221" i="124" a="1"/>
  <c r="D221" i="124" s="1"/>
  <c r="E220" i="124" a="1"/>
  <c r="E220" i="124" s="1"/>
  <c r="D220" i="124" a="1"/>
  <c r="D220" i="124" s="1"/>
  <c r="E219" i="124" a="1"/>
  <c r="E219" i="124" s="1"/>
  <c r="D219" i="124" a="1"/>
  <c r="D219" i="124" s="1"/>
  <c r="E218" i="124" a="1"/>
  <c r="E218" i="124" s="1"/>
  <c r="D218" i="124" a="1"/>
  <c r="D218" i="124" s="1"/>
  <c r="E217" i="124" a="1"/>
  <c r="E217" i="124" s="1"/>
  <c r="D217" i="124" a="1"/>
  <c r="D217" i="124" s="1"/>
  <c r="E216" i="124" a="1"/>
  <c r="E216" i="124" s="1"/>
  <c r="D216" i="124" a="1"/>
  <c r="D216" i="124" s="1"/>
  <c r="E215" i="124" a="1"/>
  <c r="E215" i="124" s="1"/>
  <c r="D215" i="124" a="1"/>
  <c r="D215" i="124" s="1"/>
  <c r="E214" i="124" a="1"/>
  <c r="E214" i="124" s="1"/>
  <c r="D214" i="124" a="1"/>
  <c r="D214" i="124" s="1"/>
  <c r="E213" i="124" a="1"/>
  <c r="E213" i="124" s="1"/>
  <c r="D213" i="124" a="1"/>
  <c r="D213" i="124" s="1"/>
  <c r="D211" i="124"/>
  <c r="D211" i="124" a="1"/>
  <c r="E208" i="124" a="1"/>
  <c r="E208" i="124" s="1"/>
  <c r="D208" i="124" a="1"/>
  <c r="D208" i="124" s="1"/>
  <c r="E207" i="124" a="1"/>
  <c r="E207" i="124" s="1"/>
  <c r="D207" i="124" a="1"/>
  <c r="D207" i="124" s="1"/>
  <c r="D205" i="124" a="1"/>
  <c r="D205" i="124" s="1"/>
  <c r="D204" i="124" a="1"/>
  <c r="D204" i="124" s="1"/>
  <c r="D203" i="124" a="1"/>
  <c r="D203" i="124" s="1"/>
  <c r="D202" i="124"/>
  <c r="D202" i="124" a="1"/>
  <c r="H199" i="124" a="1"/>
  <c r="H199" i="124" s="1"/>
  <c r="G199" i="124" a="1"/>
  <c r="G199" i="124" s="1"/>
  <c r="F199" i="124" a="1"/>
  <c r="F199" i="124" s="1"/>
  <c r="E199" i="124" a="1"/>
  <c r="E199" i="124" s="1"/>
  <c r="D199" i="124" a="1"/>
  <c r="D199" i="124" s="1"/>
  <c r="H198" i="124" a="1"/>
  <c r="H198" i="124" s="1"/>
  <c r="G198" i="124" a="1"/>
  <c r="G198" i="124" s="1"/>
  <c r="F198" i="124" a="1"/>
  <c r="F198" i="124" s="1"/>
  <c r="E198" i="124" a="1"/>
  <c r="E198" i="124" s="1"/>
  <c r="D198" i="124" a="1"/>
  <c r="D198" i="124" s="1"/>
  <c r="H197" i="124" a="1"/>
  <c r="H197" i="124" s="1"/>
  <c r="G197" i="124" a="1"/>
  <c r="G197" i="124" s="1"/>
  <c r="F197" i="124" a="1"/>
  <c r="F197" i="124" s="1"/>
  <c r="E197" i="124" a="1"/>
  <c r="E197" i="124" s="1"/>
  <c r="D197" i="124" a="1"/>
  <c r="D197" i="124" s="1"/>
  <c r="H196" i="124" a="1"/>
  <c r="H196" i="124" s="1"/>
  <c r="G196" i="124" a="1"/>
  <c r="G196" i="124" s="1"/>
  <c r="F196" i="124" a="1"/>
  <c r="F196" i="124" s="1"/>
  <c r="E196" i="124" a="1"/>
  <c r="E196" i="124" s="1"/>
  <c r="D196" i="124" a="1"/>
  <c r="D196" i="124" s="1"/>
  <c r="H195" i="124" a="1"/>
  <c r="H195" i="124" s="1"/>
  <c r="G195" i="124" a="1"/>
  <c r="G195" i="124" s="1"/>
  <c r="F195" i="124" a="1"/>
  <c r="F195" i="124" s="1"/>
  <c r="E195" i="124" a="1"/>
  <c r="E195" i="124" s="1"/>
  <c r="D195" i="124" a="1"/>
  <c r="D195" i="124" s="1"/>
  <c r="H194" i="124" a="1"/>
  <c r="H194" i="124" s="1"/>
  <c r="G194" i="124" a="1"/>
  <c r="G194" i="124" s="1"/>
  <c r="F194" i="124" a="1"/>
  <c r="F194" i="124" s="1"/>
  <c r="E194" i="124" a="1"/>
  <c r="E194" i="124" s="1"/>
  <c r="D194" i="124" a="1"/>
  <c r="D194" i="124" s="1"/>
  <c r="H193" i="124" a="1"/>
  <c r="H193" i="124" s="1"/>
  <c r="G193" i="124" a="1"/>
  <c r="G193" i="124" s="1"/>
  <c r="F193" i="124" a="1"/>
  <c r="F193" i="124" s="1"/>
  <c r="E193" i="124" a="1"/>
  <c r="E193" i="124" s="1"/>
  <c r="D193" i="124" a="1"/>
  <c r="D193" i="124" s="1"/>
  <c r="H192" i="124" a="1"/>
  <c r="H192" i="124" s="1"/>
  <c r="G192" i="124" a="1"/>
  <c r="G192" i="124" s="1"/>
  <c r="F192" i="124" a="1"/>
  <c r="F192" i="124" s="1"/>
  <c r="E192" i="124" a="1"/>
  <c r="E192" i="124" s="1"/>
  <c r="D192" i="124" a="1"/>
  <c r="D192" i="124" s="1"/>
  <c r="H191" i="124" a="1"/>
  <c r="H191" i="124" s="1"/>
  <c r="G191" i="124" a="1"/>
  <c r="G191" i="124" s="1"/>
  <c r="F191" i="124" a="1"/>
  <c r="F191" i="124" s="1"/>
  <c r="E191" i="124" a="1"/>
  <c r="E191" i="124" s="1"/>
  <c r="D191" i="124" a="1"/>
  <c r="D191" i="124" s="1"/>
  <c r="H190" i="124" a="1"/>
  <c r="H190" i="124" s="1"/>
  <c r="G190" i="124" a="1"/>
  <c r="G190" i="124" s="1"/>
  <c r="F190" i="124" a="1"/>
  <c r="F190" i="124" s="1"/>
  <c r="E190" i="124" a="1"/>
  <c r="E190" i="124" s="1"/>
  <c r="D190" i="124" a="1"/>
  <c r="D190" i="124" s="1"/>
  <c r="H189" i="124" a="1"/>
  <c r="H189" i="124" s="1"/>
  <c r="G189" i="124" a="1"/>
  <c r="G189" i="124" s="1"/>
  <c r="F189" i="124" a="1"/>
  <c r="F189" i="124" s="1"/>
  <c r="E189" i="124" a="1"/>
  <c r="E189" i="124" s="1"/>
  <c r="D189" i="124" a="1"/>
  <c r="D189" i="124" s="1"/>
  <c r="H188" i="124" a="1"/>
  <c r="H188" i="124" s="1"/>
  <c r="G188" i="124" a="1"/>
  <c r="G188" i="124" s="1"/>
  <c r="F188" i="124" a="1"/>
  <c r="F188" i="124" s="1"/>
  <c r="E188" i="124" a="1"/>
  <c r="E188" i="124" s="1"/>
  <c r="D188" i="124" a="1"/>
  <c r="D188" i="124" s="1"/>
  <c r="H187" i="124" a="1"/>
  <c r="H187" i="124" s="1"/>
  <c r="G187" i="124" a="1"/>
  <c r="G187" i="124" s="1"/>
  <c r="F187" i="124" a="1"/>
  <c r="F187" i="124" s="1"/>
  <c r="E187" i="124" a="1"/>
  <c r="E187" i="124" s="1"/>
  <c r="D187" i="124" a="1"/>
  <c r="D187" i="124" s="1"/>
  <c r="D181" i="124" a="1"/>
  <c r="D181" i="124" s="1"/>
  <c r="D180" i="124" a="1"/>
  <c r="D180" i="124" s="1"/>
  <c r="D179" i="124" a="1"/>
  <c r="D179" i="124" s="1"/>
  <c r="D178" i="124" a="1"/>
  <c r="D178" i="124" s="1"/>
  <c r="E175" i="124" a="1"/>
  <c r="E175" i="124" s="1"/>
  <c r="D175" i="124" a="1"/>
  <c r="D175" i="124" s="1"/>
  <c r="D174" i="124" a="1"/>
  <c r="D174" i="124" s="1"/>
  <c r="D173" i="124" a="1"/>
  <c r="D173" i="124" s="1"/>
  <c r="D170" i="124" a="1"/>
  <c r="D170" i="124" s="1"/>
  <c r="D169" i="124" a="1"/>
  <c r="D169" i="124" s="1"/>
  <c r="D168" i="124" a="1"/>
  <c r="D168" i="124" s="1"/>
  <c r="D167" i="124" a="1"/>
  <c r="D167" i="124" s="1"/>
  <c r="D164" i="124" a="1"/>
  <c r="D164" i="124" s="1"/>
  <c r="D163" i="124" a="1"/>
  <c r="D163" i="124" s="1"/>
  <c r="D162" i="124" a="1"/>
  <c r="D162" i="124" s="1"/>
  <c r="D161" i="124" a="1"/>
  <c r="D161" i="124" s="1"/>
  <c r="E158" i="124" a="1"/>
  <c r="E158" i="124" s="1"/>
  <c r="D158" i="124" a="1"/>
  <c r="D158" i="124" s="1"/>
  <c r="E157" i="124" a="1"/>
  <c r="E157" i="124" s="1"/>
  <c r="D157" i="124" a="1"/>
  <c r="D157" i="124" s="1"/>
  <c r="E156" i="124" a="1"/>
  <c r="E156" i="124" s="1"/>
  <c r="D156" i="124" a="1"/>
  <c r="D156" i="124" s="1"/>
  <c r="E155" i="124" a="1"/>
  <c r="E155" i="124" s="1"/>
  <c r="D155" i="124" a="1"/>
  <c r="D155" i="124" s="1"/>
  <c r="E154" i="124" a="1"/>
  <c r="E154" i="124" s="1"/>
  <c r="D154" i="124" a="1"/>
  <c r="D154" i="124" s="1"/>
  <c r="D151" i="124" a="1"/>
  <c r="D151" i="124" s="1"/>
  <c r="D150" i="124" a="1"/>
  <c r="D150" i="124" s="1"/>
  <c r="E147" i="124" a="1"/>
  <c r="E147" i="124" s="1"/>
  <c r="D147" i="124" a="1"/>
  <c r="D147" i="124" s="1"/>
  <c r="E146" i="124" a="1"/>
  <c r="E146" i="124" s="1"/>
  <c r="D146" i="124" a="1"/>
  <c r="D146" i="124" s="1"/>
  <c r="E145" i="124" a="1"/>
  <c r="E145" i="124" s="1"/>
  <c r="D145" i="124" a="1"/>
  <c r="D145" i="124" s="1"/>
  <c r="E144" i="124" a="1"/>
  <c r="E144" i="124" s="1"/>
  <c r="D144" i="124" a="1"/>
  <c r="D144" i="124" s="1"/>
  <c r="E143" i="124" a="1"/>
  <c r="E143" i="124" s="1"/>
  <c r="D143" i="124" a="1"/>
  <c r="D143" i="124" s="1"/>
  <c r="D141" i="124" a="1"/>
  <c r="D141" i="124" s="1"/>
  <c r="D140" i="124"/>
  <c r="D140" i="124" a="1"/>
  <c r="D139" i="124" a="1"/>
  <c r="D139" i="124" s="1"/>
  <c r="E136" i="124" a="1"/>
  <c r="E136" i="124" s="1"/>
  <c r="D136" i="124" a="1"/>
  <c r="D136" i="124" s="1"/>
  <c r="E135" i="124" a="1"/>
  <c r="E135" i="124" s="1"/>
  <c r="D135" i="124" a="1"/>
  <c r="D135" i="124" s="1"/>
  <c r="D133" i="124" a="1"/>
  <c r="D133" i="124" s="1"/>
  <c r="D132" i="124" a="1"/>
  <c r="D132" i="124" s="1"/>
  <c r="E129" i="124" a="1"/>
  <c r="E129" i="124" s="1"/>
  <c r="D129" i="124" a="1"/>
  <c r="D129" i="124" s="1"/>
  <c r="E128" i="124" a="1"/>
  <c r="E128" i="124" s="1"/>
  <c r="D128" i="124" a="1"/>
  <c r="D128" i="124" s="1"/>
  <c r="D125" i="124"/>
  <c r="D125" i="124" a="1"/>
  <c r="D124" i="124"/>
  <c r="D124" i="124" a="1"/>
  <c r="G121" i="124" a="1"/>
  <c r="G121" i="124" s="1"/>
  <c r="F121" i="124" a="1"/>
  <c r="F121" i="124" s="1"/>
  <c r="E121" i="124" a="1"/>
  <c r="E121" i="124" s="1"/>
  <c r="D121" i="124" a="1"/>
  <c r="D121" i="124" s="1"/>
  <c r="G120" i="124" a="1"/>
  <c r="G120" i="124" s="1"/>
  <c r="F120" i="124" a="1"/>
  <c r="F120" i="124" s="1"/>
  <c r="E120" i="124" a="1"/>
  <c r="E120" i="124" s="1"/>
  <c r="D120" i="124" a="1"/>
  <c r="D120" i="124" s="1"/>
  <c r="D117" i="124" a="1"/>
  <c r="D117" i="124" s="1"/>
  <c r="D116" i="124" a="1"/>
  <c r="D116" i="124" s="1"/>
  <c r="D115" i="124" a="1"/>
  <c r="D115" i="124" s="1"/>
  <c r="G112" i="124" a="1"/>
  <c r="G112" i="124" s="1"/>
  <c r="F112" i="124" a="1"/>
  <c r="F112" i="124" s="1"/>
  <c r="E112" i="124" a="1"/>
  <c r="E112" i="124" s="1"/>
  <c r="D112" i="124" a="1"/>
  <c r="D112" i="124" s="1"/>
  <c r="G111" i="124" a="1"/>
  <c r="G111" i="124" s="1"/>
  <c r="F111" i="124" a="1"/>
  <c r="F111" i="124" s="1"/>
  <c r="E111" i="124" a="1"/>
  <c r="E111" i="124" s="1"/>
  <c r="D111" i="124" a="1"/>
  <c r="D111" i="124" s="1"/>
  <c r="G110" i="124" a="1"/>
  <c r="G110" i="124" s="1"/>
  <c r="F110" i="124" a="1"/>
  <c r="F110" i="124" s="1"/>
  <c r="E110" i="124" a="1"/>
  <c r="E110" i="124" s="1"/>
  <c r="D110" i="124" a="1"/>
  <c r="D110" i="124" s="1"/>
  <c r="D107" i="124" a="1"/>
  <c r="D107" i="124" s="1"/>
  <c r="D106" i="124" a="1"/>
  <c r="D106" i="124" s="1"/>
  <c r="D105" i="124" a="1"/>
  <c r="D105" i="124" s="1"/>
  <c r="D99" i="124" a="1"/>
  <c r="D99" i="124" s="1"/>
  <c r="S97" i="124" a="1"/>
  <c r="S97" i="124" s="1"/>
  <c r="R97" i="124" a="1"/>
  <c r="R97" i="124" s="1"/>
  <c r="Q97" i="124" a="1"/>
  <c r="Q97" i="124" s="1"/>
  <c r="P97" i="124" a="1"/>
  <c r="P97" i="124" s="1"/>
  <c r="O97" i="124" a="1"/>
  <c r="O97" i="124" s="1"/>
  <c r="N97" i="124" a="1"/>
  <c r="N97" i="124" s="1"/>
  <c r="M97" i="124" a="1"/>
  <c r="M97" i="124" s="1"/>
  <c r="L97" i="124" a="1"/>
  <c r="L97" i="124" s="1"/>
  <c r="K97" i="124" a="1"/>
  <c r="K97" i="124" s="1"/>
  <c r="J97" i="124" a="1"/>
  <c r="J97" i="124" s="1"/>
  <c r="I97" i="124" a="1"/>
  <c r="I97" i="124" s="1"/>
  <c r="H97" i="124" a="1"/>
  <c r="H97" i="124" s="1"/>
  <c r="G97" i="124" a="1"/>
  <c r="G97" i="124" s="1"/>
  <c r="F97" i="124" a="1"/>
  <c r="F97" i="124" s="1"/>
  <c r="E97" i="124" a="1"/>
  <c r="E97" i="124" s="1"/>
  <c r="D97" i="124" a="1"/>
  <c r="D97" i="124" s="1"/>
  <c r="S96" i="124" a="1"/>
  <c r="S96" i="124" s="1"/>
  <c r="R96" i="124" a="1"/>
  <c r="R96" i="124" s="1"/>
  <c r="Q96" i="124" a="1"/>
  <c r="Q96" i="124" s="1"/>
  <c r="P96" i="124" a="1"/>
  <c r="P96" i="124" s="1"/>
  <c r="O96" i="124" a="1"/>
  <c r="O96" i="124" s="1"/>
  <c r="N96" i="124" a="1"/>
  <c r="N96" i="124" s="1"/>
  <c r="M96" i="124" a="1"/>
  <c r="M96" i="124" s="1"/>
  <c r="L96" i="124" a="1"/>
  <c r="L96" i="124" s="1"/>
  <c r="K96" i="124" a="1"/>
  <c r="K96" i="124" s="1"/>
  <c r="J96" i="124" a="1"/>
  <c r="J96" i="124" s="1"/>
  <c r="I96" i="124" a="1"/>
  <c r="I96" i="124" s="1"/>
  <c r="H96" i="124" a="1"/>
  <c r="H96" i="124" s="1"/>
  <c r="G96" i="124" a="1"/>
  <c r="G96" i="124" s="1"/>
  <c r="F96" i="124" a="1"/>
  <c r="F96" i="124" s="1"/>
  <c r="E96" i="124" a="1"/>
  <c r="E96" i="124" s="1"/>
  <c r="D96" i="124" a="1"/>
  <c r="D96" i="124" s="1"/>
  <c r="S95" i="124" a="1"/>
  <c r="S95" i="124" s="1"/>
  <c r="R95" i="124" a="1"/>
  <c r="R95" i="124" s="1"/>
  <c r="Q95" i="124" a="1"/>
  <c r="Q95" i="124" s="1"/>
  <c r="P95" i="124" a="1"/>
  <c r="P95" i="124" s="1"/>
  <c r="O95" i="124" a="1"/>
  <c r="O95" i="124" s="1"/>
  <c r="N95" i="124" a="1"/>
  <c r="N95" i="124" s="1"/>
  <c r="M95" i="124" a="1"/>
  <c r="M95" i="124" s="1"/>
  <c r="L95" i="124" a="1"/>
  <c r="L95" i="124" s="1"/>
  <c r="K95" i="124" a="1"/>
  <c r="K95" i="124" s="1"/>
  <c r="J95" i="124" a="1"/>
  <c r="J95" i="124" s="1"/>
  <c r="I95" i="124" a="1"/>
  <c r="I95" i="124" s="1"/>
  <c r="H95" i="124" a="1"/>
  <c r="H95" i="124" s="1"/>
  <c r="G95" i="124" a="1"/>
  <c r="G95" i="124" s="1"/>
  <c r="F95" i="124" a="1"/>
  <c r="F95" i="124" s="1"/>
  <c r="E95" i="124" a="1"/>
  <c r="E95" i="124" s="1"/>
  <c r="D95" i="124" a="1"/>
  <c r="D95" i="124" s="1"/>
  <c r="S94" i="124" a="1"/>
  <c r="S94" i="124" s="1"/>
  <c r="R94" i="124" a="1"/>
  <c r="R94" i="124" s="1"/>
  <c r="Q94" i="124" a="1"/>
  <c r="Q94" i="124" s="1"/>
  <c r="P94" i="124" a="1"/>
  <c r="P94" i="124" s="1"/>
  <c r="O94" i="124" a="1"/>
  <c r="O94" i="124" s="1"/>
  <c r="N94" i="124" a="1"/>
  <c r="N94" i="124" s="1"/>
  <c r="M94" i="124" a="1"/>
  <c r="M94" i="124" s="1"/>
  <c r="L94" i="124" a="1"/>
  <c r="L94" i="124" s="1"/>
  <c r="K94" i="124" a="1"/>
  <c r="K94" i="124" s="1"/>
  <c r="J94" i="124" a="1"/>
  <c r="J94" i="124" s="1"/>
  <c r="I94" i="124" a="1"/>
  <c r="I94" i="124" s="1"/>
  <c r="H94" i="124" a="1"/>
  <c r="H94" i="124" s="1"/>
  <c r="G94" i="124" a="1"/>
  <c r="G94" i="124" s="1"/>
  <c r="F94" i="124" a="1"/>
  <c r="F94" i="124" s="1"/>
  <c r="E94" i="124" a="1"/>
  <c r="E94" i="124" s="1"/>
  <c r="D94" i="124" a="1"/>
  <c r="D94" i="124" s="1"/>
  <c r="S93" i="124" a="1"/>
  <c r="S93" i="124" s="1"/>
  <c r="R93" i="124" a="1"/>
  <c r="R93" i="124" s="1"/>
  <c r="Q93" i="124" a="1"/>
  <c r="Q93" i="124" s="1"/>
  <c r="P93" i="124" a="1"/>
  <c r="P93" i="124" s="1"/>
  <c r="O93" i="124" a="1"/>
  <c r="O93" i="124" s="1"/>
  <c r="N93" i="124" a="1"/>
  <c r="N93" i="124" s="1"/>
  <c r="M93" i="124" a="1"/>
  <c r="M93" i="124" s="1"/>
  <c r="L93" i="124" a="1"/>
  <c r="L93" i="124" s="1"/>
  <c r="K93" i="124" a="1"/>
  <c r="K93" i="124" s="1"/>
  <c r="J93" i="124" a="1"/>
  <c r="J93" i="124" s="1"/>
  <c r="I93" i="124" a="1"/>
  <c r="I93" i="124" s="1"/>
  <c r="H93" i="124" a="1"/>
  <c r="H93" i="124" s="1"/>
  <c r="G93" i="124" a="1"/>
  <c r="G93" i="124" s="1"/>
  <c r="F93" i="124" a="1"/>
  <c r="F93" i="124" s="1"/>
  <c r="E93" i="124" a="1"/>
  <c r="E93" i="124" s="1"/>
  <c r="D93" i="124" a="1"/>
  <c r="D93" i="124" s="1"/>
  <c r="S92" i="124" a="1"/>
  <c r="S92" i="124" s="1"/>
  <c r="R92" i="124" a="1"/>
  <c r="R92" i="124" s="1"/>
  <c r="Q92" i="124" a="1"/>
  <c r="Q92" i="124" s="1"/>
  <c r="P92" i="124" a="1"/>
  <c r="P92" i="124" s="1"/>
  <c r="O92" i="124" a="1"/>
  <c r="O92" i="124" s="1"/>
  <c r="N92" i="124" a="1"/>
  <c r="N92" i="124" s="1"/>
  <c r="M92" i="124" a="1"/>
  <c r="M92" i="124" s="1"/>
  <c r="L92" i="124" a="1"/>
  <c r="L92" i="124" s="1"/>
  <c r="K92" i="124" a="1"/>
  <c r="K92" i="124" s="1"/>
  <c r="J92" i="124" a="1"/>
  <c r="J92" i="124" s="1"/>
  <c r="I92" i="124" a="1"/>
  <c r="I92" i="124" s="1"/>
  <c r="H92" i="124" a="1"/>
  <c r="H92" i="124" s="1"/>
  <c r="G92" i="124" a="1"/>
  <c r="G92" i="124" s="1"/>
  <c r="F92" i="124" a="1"/>
  <c r="F92" i="124" s="1"/>
  <c r="E92" i="124" a="1"/>
  <c r="E92" i="124" s="1"/>
  <c r="D92" i="124" a="1"/>
  <c r="D92" i="124" s="1"/>
  <c r="S91" i="124" a="1"/>
  <c r="S91" i="124" s="1"/>
  <c r="R91" i="124" a="1"/>
  <c r="R91" i="124" s="1"/>
  <c r="Q91" i="124" a="1"/>
  <c r="Q91" i="124" s="1"/>
  <c r="P91" i="124" a="1"/>
  <c r="P91" i="124" s="1"/>
  <c r="O91" i="124" a="1"/>
  <c r="O91" i="124" s="1"/>
  <c r="N91" i="124" a="1"/>
  <c r="N91" i="124" s="1"/>
  <c r="M91" i="124" a="1"/>
  <c r="M91" i="124" s="1"/>
  <c r="L91" i="124" a="1"/>
  <c r="L91" i="124" s="1"/>
  <c r="K91" i="124" a="1"/>
  <c r="K91" i="124" s="1"/>
  <c r="J91" i="124" a="1"/>
  <c r="J91" i="124" s="1"/>
  <c r="I91" i="124" a="1"/>
  <c r="I91" i="124" s="1"/>
  <c r="H91" i="124" a="1"/>
  <c r="H91" i="124" s="1"/>
  <c r="G91" i="124" a="1"/>
  <c r="G91" i="124" s="1"/>
  <c r="F91" i="124" a="1"/>
  <c r="F91" i="124" s="1"/>
  <c r="E91" i="124" a="1"/>
  <c r="E91" i="124" s="1"/>
  <c r="D91" i="124" a="1"/>
  <c r="D91" i="124" s="1"/>
  <c r="S90" i="124" a="1"/>
  <c r="S90" i="124" s="1"/>
  <c r="R90" i="124" a="1"/>
  <c r="R90" i="124" s="1"/>
  <c r="Q90" i="124" a="1"/>
  <c r="Q90" i="124" s="1"/>
  <c r="P90" i="124" a="1"/>
  <c r="P90" i="124" s="1"/>
  <c r="O90" i="124" a="1"/>
  <c r="O90" i="124" s="1"/>
  <c r="N90" i="124" a="1"/>
  <c r="N90" i="124" s="1"/>
  <c r="M90" i="124" a="1"/>
  <c r="M90" i="124" s="1"/>
  <c r="L90" i="124" a="1"/>
  <c r="L90" i="124" s="1"/>
  <c r="K90" i="124" a="1"/>
  <c r="K90" i="124" s="1"/>
  <c r="J90" i="124" a="1"/>
  <c r="J90" i="124" s="1"/>
  <c r="I90" i="124" a="1"/>
  <c r="I90" i="124" s="1"/>
  <c r="H90" i="124" a="1"/>
  <c r="H90" i="124" s="1"/>
  <c r="G90" i="124" a="1"/>
  <c r="G90" i="124" s="1"/>
  <c r="F90" i="124" a="1"/>
  <c r="F90" i="124" s="1"/>
  <c r="E90" i="124" a="1"/>
  <c r="E90" i="124" s="1"/>
  <c r="D90" i="124" a="1"/>
  <c r="D90" i="124" s="1"/>
  <c r="D83" i="124" a="1"/>
  <c r="D83" i="124" s="1"/>
  <c r="D82" i="124" a="1"/>
  <c r="D82" i="124" s="1"/>
  <c r="D81" i="124"/>
  <c r="D81" i="124" a="1"/>
  <c r="E77" i="124" a="1"/>
  <c r="E77" i="124" s="1"/>
  <c r="D77" i="124" a="1"/>
  <c r="D77" i="124" s="1"/>
  <c r="E76" i="124" a="1"/>
  <c r="E76" i="124" s="1"/>
  <c r="D76" i="124" a="1"/>
  <c r="D76" i="124" s="1"/>
  <c r="E75" i="124" a="1"/>
  <c r="E75" i="124" s="1"/>
  <c r="D75" i="124" a="1"/>
  <c r="D75" i="124" s="1"/>
  <c r="E74" i="124" a="1"/>
  <c r="E74" i="124" s="1"/>
  <c r="D74" i="124" a="1"/>
  <c r="D74" i="124" s="1"/>
  <c r="E73" i="124" a="1"/>
  <c r="E73" i="124" s="1"/>
  <c r="D73" i="124" a="1"/>
  <c r="D73" i="124" s="1"/>
  <c r="E72" i="124" a="1"/>
  <c r="E72" i="124" s="1"/>
  <c r="D72" i="124" a="1"/>
  <c r="D72" i="124" s="1"/>
  <c r="E71" i="124" a="1"/>
  <c r="E71" i="124" s="1"/>
  <c r="D71" i="124" a="1"/>
  <c r="D71" i="124" s="1"/>
  <c r="E70" i="124" a="1"/>
  <c r="E70" i="124" s="1"/>
  <c r="D70" i="124" a="1"/>
  <c r="D70" i="124" s="1"/>
  <c r="E69" i="124" a="1"/>
  <c r="E69" i="124" s="1"/>
  <c r="D69" i="124" a="1"/>
  <c r="D69" i="124" s="1"/>
  <c r="E68" i="124" a="1"/>
  <c r="E68" i="124" s="1"/>
  <c r="D68" i="124" a="1"/>
  <c r="D68" i="124" s="1"/>
  <c r="E67" i="124" a="1"/>
  <c r="E67" i="124" s="1"/>
  <c r="D67" i="124" a="1"/>
  <c r="D67" i="124" s="1"/>
  <c r="E66" i="124" a="1"/>
  <c r="E66" i="124" s="1"/>
  <c r="D66" i="124" a="1"/>
  <c r="D66" i="124" s="1"/>
  <c r="E65" i="124" a="1"/>
  <c r="E65" i="124" s="1"/>
  <c r="D65" i="124" a="1"/>
  <c r="D65" i="124" s="1"/>
  <c r="E64" i="124" a="1"/>
  <c r="E64" i="124" s="1"/>
  <c r="D64" i="124" a="1"/>
  <c r="D64" i="124" s="1"/>
  <c r="D59" i="124" a="1"/>
  <c r="D59" i="124" s="1"/>
  <c r="D58" i="124" a="1"/>
  <c r="D58" i="124" s="1"/>
  <c r="D57" i="124" a="1"/>
  <c r="D57" i="124" s="1"/>
  <c r="G54" i="124" a="1"/>
  <c r="G54" i="124" s="1"/>
  <c r="F54" i="124" a="1"/>
  <c r="F54" i="124" s="1"/>
  <c r="E54" i="124" a="1"/>
  <c r="E54" i="124" s="1"/>
  <c r="D54" i="124" a="1"/>
  <c r="D54" i="124" s="1"/>
  <c r="G53" i="124" a="1"/>
  <c r="G53" i="124" s="1"/>
  <c r="F53" i="124" a="1"/>
  <c r="F53" i="124" s="1"/>
  <c r="E53" i="124" a="1"/>
  <c r="E53" i="124" s="1"/>
  <c r="D53" i="124" a="1"/>
  <c r="D53" i="124" s="1"/>
  <c r="G52" i="124" a="1"/>
  <c r="G52" i="124" s="1"/>
  <c r="F52" i="124" a="1"/>
  <c r="F52" i="124" s="1"/>
  <c r="E52" i="124" a="1"/>
  <c r="E52" i="124" s="1"/>
  <c r="D52" i="124" a="1"/>
  <c r="D52" i="124" s="1"/>
  <c r="G51" i="124" a="1"/>
  <c r="G51" i="124" s="1"/>
  <c r="F51" i="124" a="1"/>
  <c r="F51" i="124" s="1"/>
  <c r="E51" i="124" a="1"/>
  <c r="E51" i="124" s="1"/>
  <c r="D51" i="124" a="1"/>
  <c r="D51" i="124" s="1"/>
  <c r="G50" i="124" a="1"/>
  <c r="G50" i="124" s="1"/>
  <c r="F50" i="124" a="1"/>
  <c r="F50" i="124" s="1"/>
  <c r="E50" i="124" a="1"/>
  <c r="E50" i="124" s="1"/>
  <c r="D50" i="124" a="1"/>
  <c r="D50" i="124" s="1"/>
  <c r="G49" i="124" a="1"/>
  <c r="G49" i="124" s="1"/>
  <c r="F49" i="124" a="1"/>
  <c r="F49" i="124" s="1"/>
  <c r="E49" i="124" a="1"/>
  <c r="E49" i="124" s="1"/>
  <c r="D49" i="124" a="1"/>
  <c r="D49" i="124" s="1"/>
  <c r="G48" i="124" a="1"/>
  <c r="G48" i="124" s="1"/>
  <c r="F48" i="124" a="1"/>
  <c r="F48" i="124" s="1"/>
  <c r="E48" i="124" a="1"/>
  <c r="E48" i="124" s="1"/>
  <c r="D48" i="124" a="1"/>
  <c r="D48" i="124" s="1"/>
  <c r="D46" i="124"/>
  <c r="D46" i="124" a="1"/>
  <c r="D45" i="124" a="1"/>
  <c r="D45" i="124" s="1"/>
  <c r="E43" i="124" a="1"/>
  <c r="E43" i="124" s="1"/>
  <c r="D43" i="124" a="1"/>
  <c r="D43" i="124" s="1"/>
  <c r="E42" i="124" a="1"/>
  <c r="E42" i="124" s="1"/>
  <c r="D42" i="124" a="1"/>
  <c r="D42" i="124" s="1"/>
  <c r="E41" i="124" a="1"/>
  <c r="E41" i="124" s="1"/>
  <c r="D41" i="124" a="1"/>
  <c r="D41" i="124" s="1"/>
  <c r="E40" i="124" a="1"/>
  <c r="E40" i="124" s="1"/>
  <c r="D40" i="124" a="1"/>
  <c r="D40" i="124" s="1"/>
  <c r="E39" i="124" a="1"/>
  <c r="E39" i="124" s="1"/>
  <c r="D39" i="124" a="1"/>
  <c r="D39" i="124" s="1"/>
  <c r="E38" i="124" a="1"/>
  <c r="E38" i="124" s="1"/>
  <c r="D38" i="124" a="1"/>
  <c r="D38" i="124" s="1"/>
  <c r="E37" i="124" a="1"/>
  <c r="E37" i="124" s="1"/>
  <c r="D37" i="124" a="1"/>
  <c r="D37" i="124" s="1"/>
  <c r="D35" i="124" a="1"/>
  <c r="D35" i="124" s="1"/>
  <c r="D34" i="124" a="1"/>
  <c r="D34" i="124" s="1"/>
  <c r="D30" i="124" a="1"/>
  <c r="D30" i="124" s="1"/>
  <c r="D29" i="124" a="1"/>
  <c r="D29" i="124" s="1"/>
  <c r="D28" i="124" a="1"/>
  <c r="D28" i="124" s="1"/>
  <c r="D27" i="124" a="1"/>
  <c r="D27" i="124" s="1"/>
  <c r="D26" i="124" a="1"/>
  <c r="D26" i="124" s="1"/>
  <c r="D25" i="124" a="1"/>
  <c r="D25" i="124" s="1"/>
  <c r="D24" i="124" a="1"/>
  <c r="D24" i="124" s="1"/>
  <c r="D23" i="124" a="1"/>
  <c r="D23" i="124" s="1"/>
  <c r="D22" i="124" a="1"/>
  <c r="D22" i="124" s="1"/>
  <c r="D21" i="124" a="1"/>
  <c r="D21" i="124" s="1"/>
  <c r="D19" i="124"/>
  <c r="D19" i="124" a="1"/>
  <c r="D18" i="124" a="1"/>
  <c r="D18" i="124" s="1"/>
  <c r="F14" i="124" a="1"/>
  <c r="F14" i="124" s="1"/>
  <c r="E14" i="124" a="1"/>
  <c r="E14" i="124" s="1"/>
  <c r="D14" i="124" a="1"/>
  <c r="D14" i="124" s="1"/>
  <c r="F13" i="124" a="1"/>
  <c r="F13" i="124" s="1"/>
  <c r="E13" i="124" a="1"/>
  <c r="E13" i="124" s="1"/>
  <c r="D13" i="124" a="1"/>
  <c r="D13" i="124" s="1"/>
  <c r="F12" i="124" a="1"/>
  <c r="F12" i="124" s="1"/>
  <c r="E12" i="124" a="1"/>
  <c r="E12" i="124" s="1"/>
  <c r="D12" i="124" a="1"/>
  <c r="D12" i="124" s="1"/>
  <c r="F11" i="124" a="1"/>
  <c r="F11" i="124" s="1"/>
  <c r="E11" i="124" a="1"/>
  <c r="E11" i="124" s="1"/>
  <c r="D11" i="124" a="1"/>
  <c r="D11" i="124" s="1"/>
  <c r="F10" i="124" a="1"/>
  <c r="F10" i="124" s="1"/>
  <c r="E10" i="124" a="1"/>
  <c r="E10" i="124" s="1"/>
  <c r="D10" i="124" a="1"/>
  <c r="D10" i="124" s="1"/>
  <c r="F9" i="124" a="1"/>
  <c r="F9" i="124" s="1"/>
  <c r="E9" i="124" a="1"/>
  <c r="E9" i="124" s="1"/>
  <c r="D9" i="124" a="1"/>
  <c r="D9" i="124" s="1"/>
  <c r="F8" i="124" a="1"/>
  <c r="F8" i="124" s="1"/>
  <c r="E8" i="124" a="1"/>
  <c r="E8" i="124" s="1"/>
  <c r="D8" i="124" a="1"/>
  <c r="D8" i="124" s="1"/>
  <c r="F7" i="124" a="1"/>
  <c r="F7" i="124" s="1"/>
  <c r="E7" i="124" a="1"/>
  <c r="E7" i="124" s="1"/>
  <c r="D7" i="124" a="1"/>
  <c r="D7" i="124" s="1"/>
  <c r="D5" i="124" a="1"/>
  <c r="D5" i="124" s="1"/>
  <c r="A16" i="70"/>
  <c r="A15" i="70"/>
  <c r="A12" i="70"/>
  <c r="A11" i="70"/>
  <c r="A8" i="70"/>
  <c r="A5" i="70"/>
  <c r="A4" i="70"/>
  <c r="A3" i="70"/>
  <c r="A16" i="110"/>
  <c r="A15" i="110"/>
  <c r="A12" i="110"/>
  <c r="A11" i="110"/>
  <c r="A8" i="110"/>
  <c r="A5" i="110"/>
  <c r="A4" i="110"/>
  <c r="A3" i="110"/>
  <c r="A16" i="120"/>
  <c r="A15" i="120"/>
  <c r="A12" i="120"/>
  <c r="A11" i="120"/>
  <c r="A8" i="120"/>
  <c r="A5" i="120"/>
  <c r="A4" i="120"/>
  <c r="A3" i="120"/>
  <c r="A16" i="69"/>
  <c r="A15" i="69"/>
  <c r="A12" i="69"/>
  <c r="A11" i="69"/>
  <c r="A8" i="69"/>
  <c r="A5" i="69"/>
  <c r="A4" i="69"/>
  <c r="A3" i="69"/>
  <c r="A16" i="118"/>
  <c r="A15" i="118"/>
  <c r="A12" i="118"/>
  <c r="A11" i="118"/>
  <c r="A8" i="118"/>
  <c r="A5" i="118"/>
  <c r="A4" i="118"/>
  <c r="A3" i="118"/>
  <c r="A12" i="13"/>
  <c r="A11" i="13"/>
  <c r="D19" i="120" a="1"/>
  <c r="D19" i="120" s="1"/>
  <c r="I14" i="120"/>
  <c r="F22" i="120" a="1"/>
  <c r="F22" i="120" s="1"/>
  <c r="G13" i="120" a="1"/>
  <c r="G13" i="120" s="1"/>
  <c r="D13" i="120" a="1"/>
  <c r="D13" i="120" s="1"/>
  <c r="E11" i="120" a="1"/>
  <c r="E11" i="120" s="1"/>
  <c r="F17" i="120" s="1"/>
  <c r="E10" i="120" a="1"/>
  <c r="E10" i="120" s="1"/>
  <c r="D6" i="120" a="1"/>
  <c r="D6" i="120" s="1"/>
  <c r="D5" i="120" a="1"/>
  <c r="D5" i="120" s="1"/>
  <c r="I13" i="120"/>
  <c r="A136" i="120"/>
  <c r="A109" i="120"/>
  <c r="A66" i="120"/>
  <c r="F51" i="110" a="1"/>
  <c r="F51" i="110" s="1"/>
  <c r="E51" i="110" a="1"/>
  <c r="E51" i="110" s="1"/>
  <c r="I15" i="120" s="1"/>
  <c r="D51" i="110" a="1"/>
  <c r="D51" i="110" s="1"/>
  <c r="D50" i="110" a="1"/>
  <c r="D50" i="110" s="1"/>
  <c r="D49" i="110" a="1"/>
  <c r="D49" i="110" s="1"/>
  <c r="F46" i="110" a="1"/>
  <c r="F46" i="110" s="1"/>
  <c r="E46" i="110" a="1"/>
  <c r="E46" i="110" s="1"/>
  <c r="D46" i="110" a="1"/>
  <c r="D46" i="110" s="1"/>
  <c r="D45" i="110" a="1"/>
  <c r="D45" i="110" s="1"/>
  <c r="D44" i="110" a="1"/>
  <c r="D44" i="110" s="1"/>
  <c r="F41" i="110" a="1"/>
  <c r="F41" i="110" s="1"/>
  <c r="E41" i="110" a="1"/>
  <c r="E41" i="110" s="1"/>
  <c r="J26" i="69" s="1"/>
  <c r="D41" i="110" a="1"/>
  <c r="D41" i="110" s="1"/>
  <c r="D40" i="110" a="1"/>
  <c r="D40" i="110" s="1"/>
  <c r="D39" i="110" a="1"/>
  <c r="D39" i="110" s="1"/>
  <c r="F36" i="110" a="1"/>
  <c r="F36" i="110" s="1"/>
  <c r="E36" i="110" a="1"/>
  <c r="E36" i="110" s="1"/>
  <c r="J22" i="69" s="1"/>
  <c r="D36" i="110" a="1"/>
  <c r="D36" i="110" s="1"/>
  <c r="D35" i="110" a="1"/>
  <c r="D35" i="110" s="1"/>
  <c r="D34" i="110" a="1"/>
  <c r="D34" i="110" s="1"/>
  <c r="E31" i="110" a="1"/>
  <c r="E31" i="110" s="1"/>
  <c r="J19" i="69" s="1"/>
  <c r="F31" i="110" a="1"/>
  <c r="F31" i="110" s="1"/>
  <c r="D31" i="110" a="1"/>
  <c r="D31" i="110" s="1"/>
  <c r="D30" i="110" a="1"/>
  <c r="D30" i="110" s="1"/>
  <c r="D29" i="110" a="1"/>
  <c r="D29" i="110" s="1"/>
  <c r="E14" i="110" a="1"/>
  <c r="E14" i="110" s="1"/>
  <c r="D14" i="110" a="1"/>
  <c r="D14" i="110" s="1"/>
  <c r="E13" i="110" a="1"/>
  <c r="E13" i="110" s="1"/>
  <c r="D13" i="110" a="1"/>
  <c r="D13" i="110" s="1"/>
  <c r="E12" i="110" a="1"/>
  <c r="E12" i="110" s="1"/>
  <c r="D12" i="110" a="1"/>
  <c r="D12" i="110" s="1"/>
  <c r="E11" i="110" a="1"/>
  <c r="E11" i="110" s="1"/>
  <c r="D11" i="110" a="1"/>
  <c r="D11" i="110" s="1"/>
  <c r="E10" i="110" a="1"/>
  <c r="E10" i="110" s="1"/>
  <c r="E26" i="110" a="1"/>
  <c r="E26" i="110" s="1"/>
  <c r="D26" i="110" a="1"/>
  <c r="D26" i="110" s="1"/>
  <c r="E25" i="110" a="1"/>
  <c r="E25" i="110" s="1"/>
  <c r="D25" i="110" a="1"/>
  <c r="D25" i="110" s="1"/>
  <c r="E24" i="110" a="1"/>
  <c r="E24" i="110" s="1"/>
  <c r="D24" i="110" a="1"/>
  <c r="D24" i="110" s="1"/>
  <c r="E23" i="110" a="1"/>
  <c r="E23" i="110" s="1"/>
  <c r="D23" i="110" a="1"/>
  <c r="D23" i="110" s="1"/>
  <c r="E22" i="110" a="1"/>
  <c r="E22" i="110" s="1"/>
  <c r="D22" i="110" a="1"/>
  <c r="D22" i="110" s="1"/>
  <c r="D20" i="110" a="1"/>
  <c r="D20" i="110" s="1"/>
  <c r="D19" i="110" a="1"/>
  <c r="D19" i="110" s="1"/>
  <c r="D18" i="110" a="1"/>
  <c r="D18" i="110" s="1"/>
  <c r="D17" i="110" a="1"/>
  <c r="D17" i="110" s="1"/>
  <c r="D10" i="110" a="1"/>
  <c r="D10" i="110" s="1"/>
  <c r="D8" i="110" a="1"/>
  <c r="D8" i="110" s="1"/>
  <c r="D7" i="110" a="1"/>
  <c r="D7" i="110" s="1"/>
  <c r="D6" i="110" a="1"/>
  <c r="D6" i="110" s="1"/>
  <c r="D5" i="110" a="1"/>
  <c r="D5" i="110" s="1"/>
  <c r="A16" i="13"/>
  <c r="A15" i="13"/>
  <c r="A8" i="13"/>
  <c r="A5" i="13"/>
  <c r="A4" i="13"/>
  <c r="A3" i="13"/>
  <c r="F35" i="69" a="1"/>
  <c r="F35" i="69" s="1"/>
  <c r="D32" i="69" a="1"/>
  <c r="D32" i="69" s="1"/>
  <c r="E7" i="120" a="1"/>
  <c r="H49" i="124" l="1"/>
  <c r="H48" i="124"/>
  <c r="H51" i="124"/>
  <c r="H52" i="124"/>
  <c r="H53" i="124"/>
  <c r="H54" i="124"/>
  <c r="H50" i="124"/>
  <c r="E17" i="120" a="1"/>
  <c r="E17" i="120" s="1"/>
  <c r="E7" i="120"/>
  <c r="J27" i="69"/>
  <c r="G19" i="120" l="1"/>
  <c r="E22" i="120" s="1" a="1"/>
  <c r="E22" i="120" s="1"/>
  <c r="H10" i="13" s="1"/>
  <c r="I10" i="13" s="1"/>
  <c r="E10" i="13"/>
  <c r="F10" i="13" s="1"/>
  <c r="D7" i="69" a="1"/>
  <c r="D7" i="69" s="1"/>
  <c r="J25" i="69"/>
  <c r="J24" i="69"/>
  <c r="J23" i="69"/>
  <c r="J21" i="69" a="1"/>
  <c r="J21" i="69" s="1"/>
  <c r="J20" i="69"/>
  <c r="J28" i="69"/>
  <c r="J18" i="69" a="1"/>
  <c r="J18" i="69" s="1"/>
  <c r="J17" i="69"/>
  <c r="J16" i="69"/>
  <c r="J15" i="69"/>
  <c r="J14" i="69"/>
  <c r="H14" i="69" a="1"/>
  <c r="H14" i="69" s="1"/>
  <c r="D14" i="69" a="1"/>
  <c r="D14" i="69" s="1"/>
  <c r="E12" i="69" a="1"/>
  <c r="E12" i="69" s="1"/>
  <c r="F30" i="69" s="1"/>
  <c r="E11" i="69" a="1"/>
  <c r="E11" i="69" s="1"/>
  <c r="D6" i="69" a="1"/>
  <c r="D6" i="69" s="1"/>
  <c r="D5" i="69" a="1"/>
  <c r="D5" i="69" s="1"/>
  <c r="E8" i="69" a="1"/>
  <c r="E30" i="69" l="1" a="1"/>
  <c r="E30" i="69" s="1"/>
  <c r="E8" i="69"/>
  <c r="G32" i="69" l="1"/>
  <c r="E35" i="69" s="1" a="1"/>
  <c r="E35" i="69" s="1"/>
  <c r="H9" i="13" s="1"/>
  <c r="E9" i="13"/>
  <c r="D57" i="70"/>
  <c r="H11" i="13" l="1"/>
  <c r="I9" i="13"/>
  <c r="I11" i="13" s="1"/>
  <c r="A77" i="110"/>
  <c r="A49" i="110"/>
  <c r="A109" i="69"/>
  <c r="A136" i="69"/>
  <c r="A66" i="69"/>
  <c r="F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<sst xmlns="http://schemas.openxmlformats.org/spreadsheetml/2006/main" count="171" uniqueCount="132">
  <si>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</si>
  <si>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</si>
  <si>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</si>
  <si>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</si>
  <si>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</si>
  <si>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</si>
  <si>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</si>
  <si>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</si>
  <si>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</si>
  <si>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</si>
  <si>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</si>
  <si>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</si>
  <si>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</si>
  <si>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</si>
  <si>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</si>
  <si>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</si>
  <si>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</si>
  <si>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</si>
  <si>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</si>
  <si>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</si>
  <si>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</si>
  <si>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</si>
  <si>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</si>
  <si>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</si>
  <si>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</si>
  <si>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</si>
  <si>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</si>
  <si>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</si>
  <si>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</si>
  <si>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</si>
  <si>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</si>
  <si>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</si>
  <si>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</si>
  <si>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</si>
  <si>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</si>
  <si>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</si>
  <si>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</si>
  <si>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</si>
  <si>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</si>
  <si>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</si>
  <si>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</si>
  <si>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</si>
  <si>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</si>
  <si>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</si>
  <si>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</si>
  <si>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</si>
  <si>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</si>
  <si>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</si>
  <si>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</si>
  <si>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</si>
  <si>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</si>
  <si>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</si>
  <si>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</si>
  <si>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</si>
  <si>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</si>
  <si>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</si>
  <si>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</si>
  <si>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</si>
  <si>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</si>
  <si>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</si>
  <si>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</si>
  <si>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</si>
  <si>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</si>
  <si>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</si>
  <si>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</si>
  <si>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</si>
  <si>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</si>
  <si>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</si>
  <si>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</si>
  <si>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</si>
  <si>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</si>
  <si>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</si>
  <si>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</si>
  <si>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</si>
  <si>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</si>
  <si>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</si>
  <si>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</si>
  <si>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</si>
  <si>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</si>
  <si>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</si>
  <si>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</si>
  <si>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</si>
  <si>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</si>
  <si>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</si>
  <si>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</si>
  <si>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</si>
  <si>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14: Electricity use scope 2: Overview</t>
  </si>
  <si>
    <t>14: Electricity use scope 2: Results</t>
  </si>
  <si>
    <t>Facility type t</t>
  </si>
  <si>
    <t>CFww,t</t>
  </si>
  <si>
    <t>CFsludge,t</t>
  </si>
  <si>
    <t>Wastewater treatment</t>
  </si>
  <si>
    <t>m3</t>
  </si>
  <si>
    <t>Quantity of wastewater in cubic metres</t>
  </si>
  <si>
    <t>Average inlet chemical oxygen demand (COD)</t>
  </si>
  <si>
    <t>kg COD/m3</t>
  </si>
  <si>
    <t xml:space="preserve">Average outlet chemical oxygen demand </t>
  </si>
  <si>
    <t>Quantity of methane in sludge biogas captured for combustion at the facility</t>
  </si>
  <si>
    <t>Quantity of methane in sludge biogas flared by the treatment facility</t>
  </si>
  <si>
    <t>Quantity of methane in sludge biogas transferred out of the treatment facility</t>
  </si>
  <si>
    <t>m3 CH4</t>
  </si>
  <si>
    <t>fraction</t>
  </si>
  <si>
    <t>Fraction of chemical oxygen demand removed from the treatment facility as sludge</t>
  </si>
  <si>
    <t>COD that can emit during treatment is what's put in, less what's removed as sludge and what eventually leaves after treatment</t>
  </si>
  <si>
    <t>Methane from treated wastewater - organic material in water</t>
  </si>
  <si>
    <t>PLUS emissions from sludge that was removed from COD minus what sludge was sent offsite (becoming a scope 3 emission)</t>
  </si>
  <si>
    <t>PLUS Emissions from methane in sludge that was flared</t>
  </si>
  <si>
    <t>MINUS "methane released from wastewater handling"</t>
  </si>
  <si>
    <t>Equals CH4</t>
  </si>
  <si>
    <t>does not convert to CO2e</t>
  </si>
  <si>
    <t>EF is converted to from NGER CO2e to CH4</t>
  </si>
  <si>
    <t>Convert to CO2e later with GWP</t>
  </si>
  <si>
    <t>If you know the quantity of sludge biogas but not the amount of methane, assume that the methane content is 70% of the biogas amount.</t>
  </si>
  <si>
    <t>Management of sludge biogas</t>
  </si>
  <si>
    <t>Fraction of chemical oxygen demand removed from the treatment facility and transferred for processing or to landfilll</t>
  </si>
  <si>
    <t>Chemical oxygen demand</t>
  </si>
  <si>
    <t>"Chemical oxygen demand" (COD) is an indicator of the amount of organic pollutants in wastewater</t>
  </si>
  <si>
    <t>Treatment facility type</t>
  </si>
  <si>
    <r>
      <rPr>
        <sz val="12"/>
        <color theme="1" tint="0.34998626667073579"/>
        <rFont val="Times New Roman"/>
        <family val="1"/>
      </rPr>
      <t>←</t>
    </r>
    <r>
      <rPr>
        <i/>
        <sz val="12"/>
        <color theme="1" tint="0.34998626667073579"/>
        <rFont val="Times New Roman"/>
        <family val="1"/>
      </rPr>
      <t xml:space="preserve"> Please select</t>
    </r>
  </si>
  <si>
    <t>Unmanaged aerobic treatment</t>
  </si>
  <si>
    <r>
      <rPr>
        <b/>
        <sz val="16"/>
        <color theme="1" tint="0.24994659260841701"/>
        <rFont val="Times New Roman"/>
        <family val="1"/>
      </rPr>
      <t>E</t>
    </r>
    <r>
      <rPr>
        <b/>
        <vertAlign val="subscript"/>
        <sz val="16"/>
        <color theme="1" tint="0.24994659260841701"/>
        <rFont val="Times New Roman"/>
        <family val="1"/>
      </rPr>
      <t>CH4</t>
    </r>
  </si>
  <si>
    <r>
      <t>E</t>
    </r>
    <r>
      <rPr>
        <vertAlign val="subscript"/>
        <sz val="12"/>
        <color theme="1" tint="0.24994659260841701"/>
        <rFont val="Times New Roman"/>
        <family val="1"/>
      </rPr>
      <t>CO2e</t>
    </r>
  </si>
  <si>
    <t>Constants - Wastewater</t>
  </si>
  <si>
    <t>Input - Wastewater</t>
  </si>
  <si>
    <t>11.1.1-2 Wastewater CH4</t>
  </si>
  <si>
    <t>11.1.3-4 Wastewater N2O</t>
  </si>
  <si>
    <t>t CH4</t>
  </si>
  <si>
    <t>t N2O</t>
  </si>
  <si>
    <t>CO2-e emissions method 1</t>
  </si>
  <si>
    <t>CO2-e emissions method 2</t>
  </si>
  <si>
    <t>CO2-e unit</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</si>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</sst>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
    <numFmt numFmtId="165" formatCode="#,##0.000"/>
    <numFmt numFmtId="166" formatCode="d/mm/yyyy;@"/>
    <numFmt numFmtId="167" formatCode="[$-C09]dd\-mmmm\-yyyy;@"/>
    <numFmt numFmtId="168" formatCode="#,##0.000000"/>
    <numFmt numFmtId="169" formatCode="0.0000"/>
    <numFmt numFmtId="170" formatCode="0.0000000000"/>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style="thin">
        <color theme="3" tint="0.749961851863155"/>
      </top>
      <bottom style="thin">
        <color theme="3" tint="0.749961851863155"/>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79">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42" fillId="4" borderId="0" xfId="59">
      <alignment horizontal="left" vertical="center"/>
    </xf>
    <xf numFmtId="0" fontId="38" fillId="11" borderId="0" xfId="60">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36" fillId="13" borderId="14" xfId="39" applyBorder="1">
      <alignment horizontal="left" vertical="center"/>
    </xf>
    <xf numFmtId="0" fontId="36" fillId="13" borderId="15" xfId="39" applyBorder="1">
      <alignment horizontal="left" vertical="center"/>
    </xf>
    <xf numFmtId="0" fontId="49" fillId="4" borderId="1" xfId="8" applyFont="1" applyBorder="1">
      <alignment horizontal="left" vertical="center"/>
    </xf>
    <xf numFmtId="0" fontId="31" fillId="4" borderId="1" xfId="8" applyBorder="1">
      <alignment horizontal="left" vertical="center"/>
    </xf>
    <xf numFmtId="0" fontId="48" fillId="4" borderId="1" xfId="8" applyFont="1" applyBorder="1">
      <alignment horizontal="left" vertical="center"/>
    </xf>
    <xf numFmtId="0" fontId="26" fillId="4" borderId="16" xfId="65" applyBorder="1">
      <alignment horizontal="left" vertical="center"/>
    </xf>
    <xf numFmtId="0" fontId="20" fillId="8" borderId="0" xfId="37">
      <alignment horizontal="left" vertical="center" indent="1"/>
    </xf>
    <xf numFmtId="0" fontId="51" fillId="4" borderId="1" xfId="53" applyFont="1" applyBorder="1">
      <alignment horizontal="left" vertical="center"/>
    </xf>
    <xf numFmtId="0" fontId="2" fillId="0" borderId="2" xfId="56">
      <alignment horizontal="center" vertical="center"/>
    </xf>
    <xf numFmtId="0" fontId="36" fillId="13" borderId="17" xfId="39" applyBorder="1">
      <alignment horizontal="left" vertical="center"/>
    </xf>
    <xf numFmtId="0" fontId="41" fillId="4" borderId="0" xfId="47">
      <alignment horizontal="left" vertical="center"/>
    </xf>
    <xf numFmtId="0" fontId="6" fillId="4" borderId="0" xfId="12">
      <alignment horizontal="left" vertical="center" indent="1"/>
    </xf>
    <xf numFmtId="0" fontId="26" fillId="4" borderId="2" xfId="52" applyAlignment="1">
      <alignment horizontal="left" vertical="center"/>
    </xf>
    <xf numFmtId="0" fontId="26" fillId="4" borderId="6" xfId="52" applyBorder="1" applyAlignment="1">
      <alignment horizontal="left" vertical="center"/>
    </xf>
    <xf numFmtId="0" fontId="26" fillId="4" borderId="16" xfId="52" applyBorder="1">
      <alignment horizontal="center" vertical="center"/>
    </xf>
    <xf numFmtId="0" fontId="6" fillId="4" borderId="1" xfId="53" applyBorder="1">
      <alignment horizontal="left" vertical="center"/>
    </xf>
    <xf numFmtId="170" fontId="8" fillId="4" borderId="0" xfId="10" applyNumberFormat="1">
      <alignment horizontal="center" vertical="center"/>
    </xf>
    <xf numFmtId="0" fontId="24" fillId="4" borderId="1" xfId="0" applyFont="1" applyFill="1" applyBorder="1"/>
    <xf numFmtId="2" fontId="24" fillId="4" borderId="1" xfId="0" applyNumberFormat="1" applyFont="1" applyFill="1" applyBorder="1"/>
    <xf numFmtId="169" fontId="24" fillId="4" borderId="1" xfId="0" applyNumberFormat="1" applyFont="1" applyFill="1" applyBorder="1" applyAlignment="1">
      <alignment horizont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Equation table" pivot="0" count="6" xr9:uid="{B247698E-E41D-4CCD-AA0A-C14817E9DE65}">
      <tableStyleElement type="wholeTable" dxfId="64"/>
      <tableStyleElement type="headerRow" dxfId="63"/>
      <tableStyleElement type="totalRow" dxfId="62"/>
      <tableStyleElement type="firstColumn" dxfId="61"/>
      <tableStyleElement type="firstRowStripe" dxfId="60"/>
      <tableStyleElement type="secondRowStripe" dxfId="59"/>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2" Type="http://schemas.openxmlformats.org/officeDocument/2006/relationships/hyperlink" Target="#'11.1.3-4 Wastewater N2O'!D5"/><Relationship Id="rId1" Type="http://schemas.openxmlformats.org/officeDocument/2006/relationships/hyperlink" Target="#'11.1.1-2 Wastewater CH4'!D5"/></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106369</xdr:rowOff>
    </xdr:from>
    <xdr:ext cx="2099527" cy="298800"/>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973269"/>
          <a:ext cx="209952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14.1.1-2 Wastewater CH4</a:t>
          </a:r>
        </a:p>
      </xdr:txBody>
    </xdr:sp>
    <xdr:clientData/>
  </xdr:oneCellAnchor>
  <xdr:twoCellAnchor>
    <xdr:from>
      <xdr:col>3</xdr:col>
      <xdr:colOff>282285</xdr:colOff>
      <xdr:row>9</xdr:row>
      <xdr:rowOff>132483</xdr:rowOff>
    </xdr:from>
    <xdr:to>
      <xdr:col>5</xdr:col>
      <xdr:colOff>575085</xdr:colOff>
      <xdr:row>12</xdr:row>
      <xdr:rowOff>109533</xdr:rowOff>
    </xdr:to>
    <xdr:sp macro="" textlink="'11.1.1-2 Wastewater CH4'!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Methane emissions from wastewater treatment</a:t>
          </a:fld>
          <a:endParaRPr lang="en-AU" sz="1000">
            <a:solidFill>
              <a:srgbClr val="0C769E"/>
            </a:solidFill>
          </a:endParaRPr>
        </a:p>
      </xdr:txBody>
    </xdr:sp>
    <xdr:clientData/>
  </xdr:twoCellAnchor>
  <xdr:oneCellAnchor>
    <xdr:from>
      <xdr:col>7</xdr:col>
      <xdr:colOff>62647</xdr:colOff>
      <xdr:row>7</xdr:row>
      <xdr:rowOff>106369</xdr:rowOff>
    </xdr:from>
    <xdr:ext cx="2099527" cy="298800"/>
    <xdr:sp macro="" textlink="">
      <xdr:nvSpPr>
        <xdr:cNvPr id="3" name="TextBox 2">
          <a:extLst>
            <a:ext uri="{FF2B5EF4-FFF2-40B4-BE49-F238E27FC236}">
              <a16:creationId xmlns:a16="http://schemas.microsoft.com/office/drawing/2014/main" id="{C7012A6D-637C-48F8-B41F-4D0704F1FF44}"/>
            </a:ext>
          </a:extLst>
        </xdr:cNvPr>
        <xdr:cNvSpPr txBox="1"/>
      </xdr:nvSpPr>
      <xdr:spPr>
        <a:xfrm>
          <a:off x="5177572" y="1973269"/>
          <a:ext cx="209952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14.1.3-4 Wastewater N2O</a:t>
          </a:r>
        </a:p>
      </xdr:txBody>
    </xdr:sp>
    <xdr:clientData/>
  </xdr:oneCellAnchor>
  <xdr:twoCellAnchor>
    <xdr:from>
      <xdr:col>7</xdr:col>
      <xdr:colOff>368010</xdr:colOff>
      <xdr:row>9</xdr:row>
      <xdr:rowOff>132483</xdr:rowOff>
    </xdr:from>
    <xdr:to>
      <xdr:col>10</xdr:col>
      <xdr:colOff>51210</xdr:colOff>
      <xdr:row>12</xdr:row>
      <xdr:rowOff>109533</xdr:rowOff>
    </xdr:to>
    <xdr:sp macro="" textlink="'11.1.3-4 Wastewater N2O'!D5">
      <xdr:nvSpPr>
        <xdr:cNvPr id="7" name="TextBox 6">
          <a:hlinkClick xmlns:r="http://schemas.openxmlformats.org/officeDocument/2006/relationships" r:id="rId2"/>
          <a:extLst>
            <a:ext uri="{FF2B5EF4-FFF2-40B4-BE49-F238E27FC236}">
              <a16:creationId xmlns:a16="http://schemas.microsoft.com/office/drawing/2014/main" id="{1E5CDF69-5E97-4C10-84CF-D0C6CFEE739F}"/>
            </a:ext>
          </a:extLst>
        </xdr:cNvPr>
        <xdr:cNvSpPr txBox="1"/>
      </xdr:nvSpPr>
      <xdr:spPr>
        <a:xfrm>
          <a:off x="5482935"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1D420-5510-4F7D-A38B-480C54C6057C}" type="TxLink">
            <a:rPr lang="en-US" sz="1000" b="0" i="0" u="none" strike="noStrike">
              <a:solidFill>
                <a:srgbClr val="0C769E"/>
              </a:solidFill>
              <a:latin typeface="Times New Roman"/>
              <a:cs typeface="Times New Roman"/>
            </a:rPr>
            <a:pPr algn="ctr"/>
            <a:t>Nitrous oxide emissions from flared biogas</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0</xdr:colOff>
      <xdr:row>54</xdr:row>
      <xdr:rowOff>0</xdr:rowOff>
    </xdr:from>
    <xdr:to>
      <xdr:col>3</xdr:col>
      <xdr:colOff>3543795</xdr:colOff>
      <xdr:row>55</xdr:row>
      <xdr:rowOff>57193</xdr:rowOff>
    </xdr:to>
    <xdr:pic>
      <xdr:nvPicPr>
        <xdr:cNvPr id="2" name="Picture 1">
          <a:extLst>
            <a:ext uri="{FF2B5EF4-FFF2-40B4-BE49-F238E27FC236}">
              <a16:creationId xmlns:a16="http://schemas.microsoft.com/office/drawing/2014/main" id="{822125B2-E6C7-E475-0EDB-75F68DC52FCA}"/>
            </a:ext>
          </a:extLst>
        </xdr:cNvPr>
        <xdr:cNvPicPr>
          <a:picLocks noChangeAspect="1"/>
        </xdr:cNvPicPr>
      </xdr:nvPicPr>
      <xdr:blipFill>
        <a:blip xmlns:r="http://schemas.openxmlformats.org/officeDocument/2006/relationships" r:embed="rId1"/>
        <a:stretch>
          <a:fillRect/>
        </a:stretch>
      </xdr:blipFill>
      <xdr:spPr>
        <a:xfrm>
          <a:off x="2676525" y="9296400"/>
          <a:ext cx="3543795" cy="304843"/>
        </a:xfrm>
        <a:prstGeom prst="rect">
          <a:avLst/>
        </a:prstGeom>
      </xdr:spPr>
    </xdr:pic>
    <xdr:clientData/>
  </xdr:twoCellAnchor>
  <xdr:twoCellAnchor editAs="oneCell">
    <xdr:from>
      <xdr:col>3</xdr:col>
      <xdr:colOff>0</xdr:colOff>
      <xdr:row>58</xdr:row>
      <xdr:rowOff>0</xdr:rowOff>
    </xdr:from>
    <xdr:to>
      <xdr:col>3</xdr:col>
      <xdr:colOff>3743847</xdr:colOff>
      <xdr:row>58</xdr:row>
      <xdr:rowOff>238158</xdr:rowOff>
    </xdr:to>
    <xdr:pic>
      <xdr:nvPicPr>
        <xdr:cNvPr id="3" name="Picture 2">
          <a:extLst>
            <a:ext uri="{FF2B5EF4-FFF2-40B4-BE49-F238E27FC236}">
              <a16:creationId xmlns:a16="http://schemas.microsoft.com/office/drawing/2014/main" id="{F9836A8A-3147-663A-4CBF-6C47FF6555BF}"/>
            </a:ext>
          </a:extLst>
        </xdr:cNvPr>
        <xdr:cNvPicPr>
          <a:picLocks noChangeAspect="1"/>
        </xdr:cNvPicPr>
      </xdr:nvPicPr>
      <xdr:blipFill>
        <a:blip xmlns:r="http://schemas.openxmlformats.org/officeDocument/2006/relationships" r:embed="rId2"/>
        <a:stretch>
          <a:fillRect/>
        </a:stretch>
      </xdr:blipFill>
      <xdr:spPr>
        <a:xfrm>
          <a:off x="2676525" y="10287000"/>
          <a:ext cx="3743847" cy="238158"/>
        </a:xfrm>
        <a:prstGeom prst="rect">
          <a:avLst/>
        </a:prstGeom>
      </xdr:spPr>
    </xdr:pic>
    <xdr:clientData/>
  </xdr:twoCellAnchor>
  <xdr:twoCellAnchor editAs="oneCell">
    <xdr:from>
      <xdr:col>3</xdr:col>
      <xdr:colOff>0</xdr:colOff>
      <xdr:row>63</xdr:row>
      <xdr:rowOff>0</xdr:rowOff>
    </xdr:from>
    <xdr:to>
      <xdr:col>3</xdr:col>
      <xdr:colOff>2638793</xdr:colOff>
      <xdr:row>64</xdr:row>
      <xdr:rowOff>47666</xdr:rowOff>
    </xdr:to>
    <xdr:pic>
      <xdr:nvPicPr>
        <xdr:cNvPr id="4" name="Picture 3">
          <a:extLst>
            <a:ext uri="{FF2B5EF4-FFF2-40B4-BE49-F238E27FC236}">
              <a16:creationId xmlns:a16="http://schemas.microsoft.com/office/drawing/2014/main" id="{24062F9E-EDD2-B94F-1FDB-7D386C163F03}"/>
            </a:ext>
          </a:extLst>
        </xdr:cNvPr>
        <xdr:cNvPicPr>
          <a:picLocks noChangeAspect="1"/>
        </xdr:cNvPicPr>
      </xdr:nvPicPr>
      <xdr:blipFill>
        <a:blip xmlns:r="http://schemas.openxmlformats.org/officeDocument/2006/relationships" r:embed="rId3"/>
        <a:stretch>
          <a:fillRect/>
        </a:stretch>
      </xdr:blipFill>
      <xdr:spPr>
        <a:xfrm>
          <a:off x="2676525" y="11029950"/>
          <a:ext cx="2638793" cy="295316"/>
        </a:xfrm>
        <a:prstGeom prst="rect">
          <a:avLst/>
        </a:prstGeom>
      </xdr:spPr>
    </xdr:pic>
    <xdr:clientData/>
  </xdr:twoCellAnchor>
  <xdr:twoCellAnchor editAs="oneCell">
    <xdr:from>
      <xdr:col>3</xdr:col>
      <xdr:colOff>0</xdr:colOff>
      <xdr:row>66</xdr:row>
      <xdr:rowOff>0</xdr:rowOff>
    </xdr:from>
    <xdr:to>
      <xdr:col>3</xdr:col>
      <xdr:colOff>2276793</xdr:colOff>
      <xdr:row>67</xdr:row>
      <xdr:rowOff>35</xdr:rowOff>
    </xdr:to>
    <xdr:pic>
      <xdr:nvPicPr>
        <xdr:cNvPr id="5" name="Picture 4">
          <a:extLst>
            <a:ext uri="{FF2B5EF4-FFF2-40B4-BE49-F238E27FC236}">
              <a16:creationId xmlns:a16="http://schemas.microsoft.com/office/drawing/2014/main" id="{80B0E769-36E3-9F5F-F1A3-582BC2C36588}"/>
            </a:ext>
          </a:extLst>
        </xdr:cNvPr>
        <xdr:cNvPicPr>
          <a:picLocks noChangeAspect="1"/>
        </xdr:cNvPicPr>
      </xdr:nvPicPr>
      <xdr:blipFill>
        <a:blip xmlns:r="http://schemas.openxmlformats.org/officeDocument/2006/relationships" r:embed="rId4"/>
        <a:stretch>
          <a:fillRect/>
        </a:stretch>
      </xdr:blipFill>
      <xdr:spPr>
        <a:xfrm>
          <a:off x="2676525" y="11772900"/>
          <a:ext cx="2276793" cy="247685"/>
        </a:xfrm>
        <a:prstGeom prst="rect">
          <a:avLst/>
        </a:prstGeom>
      </xdr:spPr>
    </xdr:pic>
    <xdr:clientData/>
  </xdr:twoCellAnchor>
  <xdr:twoCellAnchor editAs="oneCell">
    <xdr:from>
      <xdr:col>3</xdr:col>
      <xdr:colOff>3857625</xdr:colOff>
      <xdr:row>62</xdr:row>
      <xdr:rowOff>104775</xdr:rowOff>
    </xdr:from>
    <xdr:to>
      <xdr:col>6</xdr:col>
      <xdr:colOff>1734637</xdr:colOff>
      <xdr:row>63</xdr:row>
      <xdr:rowOff>142915</xdr:rowOff>
    </xdr:to>
    <xdr:pic>
      <xdr:nvPicPr>
        <xdr:cNvPr id="6" name="Picture 5">
          <a:extLst>
            <a:ext uri="{FF2B5EF4-FFF2-40B4-BE49-F238E27FC236}">
              <a16:creationId xmlns:a16="http://schemas.microsoft.com/office/drawing/2014/main" id="{D85C185A-E36D-A65C-0CFF-AA393B4E37D6}"/>
            </a:ext>
          </a:extLst>
        </xdr:cNvPr>
        <xdr:cNvPicPr>
          <a:picLocks noChangeAspect="1"/>
        </xdr:cNvPicPr>
      </xdr:nvPicPr>
      <xdr:blipFill>
        <a:blip xmlns:r="http://schemas.openxmlformats.org/officeDocument/2006/relationships" r:embed="rId5"/>
        <a:stretch>
          <a:fillRect/>
        </a:stretch>
      </xdr:blipFill>
      <xdr:spPr>
        <a:xfrm>
          <a:off x="6534150" y="11382375"/>
          <a:ext cx="7792537" cy="28579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2</xdr:col>
      <xdr:colOff>280147</xdr:colOff>
      <xdr:row>8</xdr:row>
      <xdr:rowOff>100293</xdr:rowOff>
    </xdr:from>
    <xdr:ext cx="13636232" cy="31803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42347" y="2214843"/>
              <a:ext cx="13636232"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1000</m:t>
                        </m:r>
                      </m:den>
                    </m:f>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𝑡</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𝑖𝑛</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e>
                                </m:d>
                                <m:r>
                                  <a:rPr lang="en-AU" sz="1100" i="1">
                                    <a:latin typeface="Cambria Math" panose="02040503050406030204" pitchFamily="18" charset="0"/>
                                  </a:rPr>
                                  <m:t>−</m:t>
                                </m:r>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𝑜𝑢𝑡</m:t>
                                    </m:r>
                                  </m:sub>
                                </m:sSub>
                              </m:e>
                            </m:d>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𝑤𝑤</m:t>
                                </m:r>
                                <m:r>
                                  <a:rPr lang="en-AU" sz="1100" i="1">
                                    <a:latin typeface="Cambria Math" panose="02040503050406030204" pitchFamily="18" charset="0"/>
                                  </a:rPr>
                                  <m:t>,</m:t>
                                </m:r>
                                <m:r>
                                  <a:rPr lang="en-AU" sz="1100" i="1">
                                    <a:latin typeface="Cambria Math" panose="02040503050406030204" pitchFamily="18" charset="0"/>
                                  </a:rPr>
                                  <m:t>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𝑤𝑤</m:t>
                                </m:r>
                              </m:sub>
                            </m:sSub>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𝑡</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𝑖𝑛</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𝑟𝑒𝑚𝑜𝑣𝑒𝑑</m:t>
                                        </m:r>
                                      </m:sub>
                                    </m:sSub>
                                  </m:e>
                                </m:d>
                              </m:e>
                            </m:d>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r>
                                  <a:rPr lang="en-AU" sz="1100" i="1">
                                    <a:latin typeface="Cambria Math" panose="02040503050406030204" pitchFamily="18" charset="0"/>
                                  </a:rPr>
                                  <m:t>,</m:t>
                                </m:r>
                                <m:r>
                                  <a:rPr lang="en-AU" sz="1100" i="1">
                                    <a:latin typeface="Cambria Math" panose="02040503050406030204" pitchFamily="18" charset="0"/>
                                  </a:rPr>
                                  <m:t>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6.784×</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𝑐𝑎𝑝</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𝑜𝑢𝑡</m:t>
                                    </m:r>
                                  </m:sub>
                                </m:sSub>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𝑓𝑙𝑎𝑟𝑒𝑑</m:t>
                                    </m:r>
                                    <m:r>
                                      <a:rPr lang="en-AU" sz="1100" i="1">
                                        <a:latin typeface="Cambria Math" panose="02040503050406030204" pitchFamily="18" charset="0"/>
                                      </a:rPr>
                                      <m:t>,</m:t>
                                    </m:r>
                                    <m:r>
                                      <a:rPr lang="en-AU" sz="1100" i="1">
                                        <a:latin typeface="Cambria Math" panose="02040503050406030204" pitchFamily="18" charset="0"/>
                                      </a:rPr>
                                      <m:t>𝐶𝐻</m:t>
                                    </m:r>
                                    <m:r>
                                      <a:rPr lang="en-AU" sz="1100" i="1">
                                        <a:latin typeface="Cambria Math" panose="02040503050406030204" pitchFamily="18" charset="0"/>
                                      </a:rPr>
                                      <m:t>4</m:t>
                                    </m:r>
                                  </m:sub>
                                </m:sSub>
                              </m:e>
                            </m:d>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42347" y="2214843"/>
              <a:ext cx="13636232"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𝐸_𝐶𝐻4=1/1000×{{𝑊_𝑡×[𝐶𝑂𝐷_𝑖𝑛×(1−𝐹_𝑠𝑙𝑢𝑑𝑔𝑒 )−𝐶𝑂𝐷_𝑜𝑢𝑡 ]×𝐶𝐹_(𝑤𝑤,𝑡)×𝐸𝐹_𝑤𝑤 }+{𝑊_𝑡×[𝐶𝑂𝐷_𝑖𝑛×(𝐹_𝑠𝑙𝑢𝑑𝑔𝑒−𝐹_𝑟𝑒𝑚𝑜𝑣𝑒𝑑 )]×𝐶𝐹_(𝑠𝑙𝑢𝑑𝑔𝑒,𝑡)×𝐸𝐹_𝑠𝑙𝑢𝑑𝑔𝑒 }−{6.784×10^(−4)×[𝑄_𝑐𝑎𝑝+𝑄_𝑓𝑙𝑎𝑟𝑒𝑑+𝑄_𝑜𝑢𝑡 ]}+{𝑄_𝑓𝑙𝑎𝑟𝑒𝑑×[𝐸𝐶_𝑓𝑙𝑎𝑟𝑒𝑑×𝐸𝐹_(𝑓𝑙𝑎𝑟𝑒𝑑,𝐶𝐻4) ]}}</a:t>
              </a:r>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280147</xdr:colOff>
      <xdr:row>7</xdr:row>
      <xdr:rowOff>100293</xdr:rowOff>
    </xdr:from>
    <xdr:ext cx="2623988" cy="32278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E79457-D312-4519-BFC9-0BC26C19A481}"/>
                </a:ext>
              </a:extLst>
            </xdr:cNvPr>
            <xdr:cNvSpPr txBox="1"/>
          </xdr:nvSpPr>
          <xdr:spPr>
            <a:xfrm>
              <a:off x="2642347" y="2214843"/>
              <a:ext cx="2623988" cy="3227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num>
                      <m:den>
                        <m:r>
                          <a:rPr lang="en-AU" sz="1100" i="1">
                            <a:latin typeface="Cambria Math" panose="02040503050406030204" pitchFamily="18" charset="0"/>
                          </a:rPr>
                          <m:t>1000</m:t>
                        </m:r>
                      </m:den>
                    </m:f>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𝑓𝑙𝑎𝑟𝑒𝑑</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74E79457-D312-4519-BFC9-0BC26C19A481}"/>
                </a:ext>
              </a:extLst>
            </xdr:cNvPr>
            <xdr:cNvSpPr txBox="1"/>
          </xdr:nvSpPr>
          <xdr:spPr>
            <a:xfrm>
              <a:off x="2642347" y="2214843"/>
              <a:ext cx="2623988" cy="3227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𝐸_𝑁2𝑂=𝑄_𝑓𝑙𝑎𝑟𝑒𝑑/1000×[𝐸𝐶_𝑓𝑙𝑎𝑟𝑒𝑑×𝐸𝐹_(𝑓𝑙𝑎𝑟𝑒𝑑,𝑁2𝑂) ]</a:t>
              </a:r>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752300-1056-4C92-8247-C96E2D7BEDD4}" name="Table_SourceData_MCF_Wastewater" displayName="Table_SourceData_MCF_Wastewater" ref="D9:E14" totalsRowShown="0" dataDxfId="22" dataCellStyle="Content normal">
  <autoFilter ref="D9:E14" xr:uid="{86752300-1056-4C92-8247-C96E2D7BEDD4}">
    <filterColumn colId="0" hiddenButton="1"/>
    <filterColumn colId="1" hiddenButton="1"/>
  </autoFilter>
  <tableColumns count="2">
    <tableColumn id="1" xr3:uid="{60322701-4B4B-459F-8E0D-E1FDA0005D7E}" name="Facility type t" dataDxfId="21" dataCellStyle="Content normal">
      <calculatedColumnFormula array="1">Common_InputFunctions.Utility_DisplayArrayInTable(Wastewater_SourceData.Waste_MethaneCorrectionFactorWastewater_Data(), Table_SourceData_MCF_Wastewater[[#Headers],[Facility type t]], 0)</calculatedColumnFormula>
    </tableColumn>
    <tableColumn id="2" xr3:uid="{DD81C2AC-C02C-4272-B2E3-0B8EF13E42DC}" name="CFww,t" dataDxfId="20" dataCellStyle="Content normal">
      <calculatedColumnFormula array="1">Common_InputFunctions.Utility_DisplayArrayInTable(Wastewater_SourceData.Waste_MethaneCorrectionFactorWastewater_Data(), Table_SourceData_MCF_Wastewater[[#Headers],[Facility type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AC655BD-F756-4971-8D46-22867B90DE87}" name="Table_SourceData_MCF_Sludge" displayName="Table_SourceData_MCF_Sludge" ref="D21:E26" totalsRowShown="0" dataDxfId="19" dataCellStyle="Content normal">
  <autoFilter ref="D21:E26" xr:uid="{CAC655BD-F756-4971-8D46-22867B90DE87}">
    <filterColumn colId="0" hiddenButton="1"/>
    <filterColumn colId="1" hiddenButton="1"/>
  </autoFilter>
  <tableColumns count="2">
    <tableColumn id="1" xr3:uid="{D1DF76B8-1010-4952-AD56-4DF4622F5028}" name="Facility type t" dataDxfId="18" dataCellStyle="Content normal">
      <calculatedColumnFormula array="1">Common_InputFunctions.Utility_DisplayArrayInTable(Wastewater_SourceData.Waste_MethaneCorrectionFactorSludge_Data(), Table_SourceData_MCF_Sludge[[#Headers],[Facility type t]], 0)</calculatedColumnFormula>
    </tableColumn>
    <tableColumn id="2" xr3:uid="{D0EA373F-22E1-4557-BE26-A505C4693CDC}" name="CFsludge,t" dataDxfId="17" dataCellStyle="Content normal">
      <calculatedColumnFormula array="1">Common_InputFunctions.Utility_DisplayArrayInTable(Wastewater_SourceData.Waste_MethaneCorrectionFactorSludge_Data(), Table_SourceData_MCF_Sludge[[#Headers],[Facility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AB9D8D8-A94C-4765-A2F4-FBF3EB858A25}"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71512E4-DD77-45F5-A7DC-7F756E38E58B}" name="State/Territory">
      <calculatedColumnFormula array="1">Common_InputFunctions.Utility_DisplayArrayInTable(Common_SourceData.Common_SourceData_AustralianStatesTerritories_Data(),Table_AustralianStates[[#Headers],[State/Territory]],0)</calculatedColumnFormula>
    </tableColumn>
    <tableColumn id="2" xr3:uid="{67A2E349-9D96-4192-BF1C-973FE556FADB}" name="Common Name">
      <calculatedColumnFormula array="1">Common_InputFunctions.Utility_DisplayArrayInTable(Common_SourceData.Common_SourceData_AustralianStatesTerritories_Data(),Table_AustralianStates[[#Headers],[State/Territory]],0)</calculatedColumnFormula>
    </tableColumn>
    <tableColumn id="3" xr3:uid="{6C9B778A-6BC0-4CBC-92FC-621305E6382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49E782-62CC-4024-A8A1-E5EA1E498D2A}" name="Table_WASA4Areas" displayName="Table_WASA4Areas" ref="D20:D30" totalsRowShown="0">
  <autoFilter ref="D20:D30" xr:uid="{5FA81339-C6C8-4D36-BEEA-6C4AEDD9E676}">
    <filterColumn colId="0" hiddenButton="1"/>
  </autoFilter>
  <tableColumns count="1">
    <tableColumn id="1" xr3:uid="{9D56D53A-6694-4B57-A02F-8E9551CB7A1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DA15D44-60E0-4864-879A-DD3FCF3315EE}" name="Table_GWPData" displayName="Table_GWPData" ref="D36:E43" totalsRowShown="0">
  <autoFilter ref="D36:E43" xr:uid="{B8E87A66-3E41-4AD3-925D-01EE21B43D7A}">
    <filterColumn colId="0" hiddenButton="1"/>
    <filterColumn colId="1" hiddenButton="1"/>
  </autoFilter>
  <tableColumns count="2">
    <tableColumn id="1" xr3:uid="{29D0E979-289C-49F4-93D3-6124A7F51BE5}" name="Gas">
      <calculatedColumnFormula array="1">Common_InputFunctions.Utility_DisplayArrayInTable(Common_SourceData.Common_SourceData_GWP_Data(), Table_GWPData[[#Headers],[Gas]], 0)</calculatedColumnFormula>
    </tableColumn>
    <tableColumn id="2" xr3:uid="{F1769B4A-4D35-4F1E-B9DA-F65441424CD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352728F-1C63-4F70-B975-4EF1CA2C819D}"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4AD24F5B-C1DA-4F22-BB17-81A6F8D71410}" name="Gas">
      <calculatedColumnFormula array="1">Common_InputFunctions.Utility_DisplayArrayInTable(Common_SourceData.Common_SourceData_ConvertGasElementalToMolecular_Data(),Table_GasToMolecularConversionFactor[[#Headers],[Gas]], 0)</calculatedColumnFormula>
    </tableColumn>
    <tableColumn id="5" xr3:uid="{B50E9557-5672-4944-AC8B-E65E187DE052}" name="Conversion factor">
      <calculatedColumnFormula array="1">Common_InputFunctions.Utility_DisplayArrayInTable(Common_SourceData.Common_SourceData_ConvertGasElementalToMolecular_Data(),Table_GasToMolecularConversionFactor[[#Headers],[Gas]], 0)</calculatedColumnFormula>
    </tableColumn>
    <tableColumn id="2" xr3:uid="{85EF82D1-0A91-4FC0-96CC-52E8DE88242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C9DBC6F-DAFE-493B-A2AD-0B39C1BB80D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B37F38D1-8FCD-4B3A-A678-FA02F0A28A6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570EA12-3286-4560-9BE6-60258611BC9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ED0CF1D-7CD9-4066-8EE4-25FE923E5D3B}"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F963462-2F2C-4BF6-A892-086541529F20}" name="MAT"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3" xr3:uid="{1B3F3876-9D6F-447A-A423-66E21AC0558A}" name="MA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4" xr3:uid="{A4802F3E-DC20-40F1-AC5A-D182C68519BB}" name="Frost days per year"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5" xr3:uid="{1F7F9556-3126-439E-875C-D76E463F8036}" name="Elevation"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6" xr3:uid="{DBB23AF3-C817-42CE-BE89-ADDA8D904773}" name="MAP:PET"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7" xr3:uid="{60216B5C-783A-4916-AACF-4280FF3BECAD}" name="Min temp"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8" xr3:uid="{1FE05885-DAC3-47B8-BEB3-6920E3033122}" name="Max temp"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9" xr3:uid="{2B644226-778B-401E-99C4-CEB1DE3EDAE1}" name="Min rainfall"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0" xr3:uid="{B73B8CF5-08DF-4843-B82E-B9FB1813470C}" name="Max rainfall"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1" xr3:uid="{2516891E-4C4A-426D-8B84-5149409BFCBC}" name="Min frost days"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5" xr3:uid="{189C1E5A-6304-4676-A9EB-8B293F4544B2}" name="Max frost days"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2" xr3:uid="{14B9E9DB-0BCC-48C2-8CCA-57C75DB45D61}" name="Min elevation"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6" xr3:uid="{67D82299-FF27-4038-A32D-781A02A531ED}" name="Max elevation"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3" xr3:uid="{FB2C0315-064C-437A-86D7-3E8FA9F4822B}" name="Min MAP:PET"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7" xr3:uid="{378C37E5-D887-4B5C-9001-232EF0A792B4}" name="Max MAP:PET" totalsRowDxfId="4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D2F7A40-370B-4A1A-BB7E-6930F4763E1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4AAB7B6-31A0-4522-84AE-3428F2D4D02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8619F0C7-D005-4F89-B453-E75937AA076E}" name="Wet or Dry Zone" totalsRowDxfId="4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A18547E-C2B9-4253-9B23-ECFAF5D3F0C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5952A61-6A28-4826-9977-99686E3CA96D}" name="Temperature Zone">
      <calculatedColumnFormula array="1">Common_InputFunctions.Utility_DisplayArrayInTable(Common_SourceData.Common_SourceData_TemperatureZones_Data(),Table_SourceData_TemperatureZones[[#Headers],[Temperature Zone]],0)</calculatedColumnFormula>
    </tableColumn>
    <tableColumn id="2" xr3:uid="{F49ABE84-00CE-4251-9431-9E6E70A546AC}" name="MAT">
      <calculatedColumnFormula array="1">Common_InputFunctions.Utility_DisplayArrayInTable(Common_SourceData.Common_SourceData_TemperatureZones_Data(),Table_SourceData_TemperatureZones[[#Headers],[Temperature Zone]],0)</calculatedColumnFormula>
    </tableColumn>
    <tableColumn id="3" xr3:uid="{0323FC01-6733-41DC-9E79-98C1FED01EC8}" name="Min MAT">
      <calculatedColumnFormula array="1">Common_InputFunctions.Utility_DisplayArrayInTable(Common_SourceData.Common_SourceData_TemperatureZones_Data(),Table_SourceData_TemperatureZones[[#Headers],[Temperature Zone]],0)</calculatedColumnFormula>
    </tableColumn>
    <tableColumn id="4" xr3:uid="{F9992E54-F3A7-462B-BC56-E5BA0C72765F}"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FAB6A22-121F-4A50-9152-A8E58012281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2A7B006-3B9B-490B-A956-7F904A9BC1A0}" name="Rainfall Zone">
      <calculatedColumnFormula array="1">Common_InputFunctions.Utility_DisplayArrayInTable(Common_SourceData.Common_SourceData_RainfallZones_Data(),Table_SourceData_RainfallZones[[#Headers],[Rainfall Zone]],0)</calculatedColumnFormula>
    </tableColumn>
    <tableColumn id="2" xr3:uid="{A3178854-1904-46B6-9601-FBCC390F839C}" name="Annual rainfall">
      <calculatedColumnFormula array="1">Common_InputFunctions.Utility_DisplayArrayInTable(Common_SourceData.Common_SourceData_RainfallZones_Data(),Table_SourceData_RainfallZones[[#Headers],[Rainfall Zone]],0)</calculatedColumnFormula>
    </tableColumn>
    <tableColumn id="3" xr3:uid="{D21F920E-74C3-43C6-8E18-6CFD69944EC3}" name="Min rainfall">
      <calculatedColumnFormula array="1">Common_InputFunctions.Utility_DisplayArrayInTable(Common_SourceData.Common_SourceData_RainfallZones_Data(),Table_SourceData_RainfallZones[[#Headers],[Rainfall Zone]],0)</calculatedColumnFormula>
    </tableColumn>
    <tableColumn id="4" xr3:uid="{39CF9EA2-C9B6-41EC-AC58-E1943DCC6E03}"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DB5808CD-4C52-49C0-8D9C-DDD27E7ABF8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4B17C9DE-741E-4223-8B98-9DA237A2543C}" name="Leaching Zone">
      <calculatedColumnFormula array="1">Common_InputFunctions.Utility_DisplayArrayInTable(Common_SourceData.Common_SourceData_LeachingZones_Data(), Table_SourceData_LeachingZones[[#Headers],[Leaching Zone]], 0)</calculatedColumnFormula>
    </tableColumn>
    <tableColumn id="2" xr3:uid="{9AE87DF0-C92B-4748-9688-790D35C88B2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F67892C5-921B-4BA8-8C3E-941A4EBD545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1C79171-18D4-4538-B8B5-4035B9BDADE4}" name="Data source">
      <calculatedColumnFormula array="1">Common_InputFunctions.Utility_DisplayArrayInTable(Common_SourceData.Common_SourceData_DataScores_Scope3_Data(), Table_SourceData_DataScores_Scope3[[#Headers],[Data source]], 0)</calculatedColumnFormula>
    </tableColumn>
    <tableColumn id="2" xr3:uid="{F4879EF9-AFF2-4FBB-8AC4-10E9136CB39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B1B8ACAC-A09F-4E48-8944-728EA0065A24}" name="Table_SourceData_FracWET" displayName="Table_SourceData_FracWET" ref="D134:E136" totalsRowShown="0">
  <autoFilter ref="D134:E136" xr:uid="{308E99BE-FE1F-47A4-B2CA-97217277C4E9}">
    <filterColumn colId="0" hiddenButton="1"/>
    <filterColumn colId="1" hiddenButton="1"/>
  </autoFilter>
  <tableColumns count="2">
    <tableColumn id="1" xr3:uid="{AC686EA2-8D9A-4D6D-A8A8-062FB3B515CC}" name="Is in leaching zone">
      <calculatedColumnFormula array="1">Common_InputFunctions.Utility_DisplayArrayInTable(Common_SourceData.Common_SourceData_FracWET_Data(),Table_SourceData_FracWET[[#Headers],[Is in leaching zone]],0)</calculatedColumnFormula>
    </tableColumn>
    <tableColumn id="2" xr3:uid="{1FCEBDA5-65F4-46B1-B370-C11FB49932FA}" name="FracWET" dataDxfId="4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90C0F7AC-0F98-4652-98CC-95BA4A16C131}"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C10BB70-498C-4145-BAE7-7A04D5280125}" name="Production system j">
      <calculatedColumnFormula array="1">Common_InputFunctions.Utility_DisplayArrayInTable(Common_SourceData.Common_SourceData_EFN2O_Data(), Table_SourceData_Common_EFN2O[[#Headers],[Production system j]], 0)</calculatedColumnFormula>
    </tableColumn>
    <tableColumn id="2" xr3:uid="{9A35A152-BB7C-4846-9F6E-3E9C99E73442}" name="EFN2O">
      <calculatedColumnFormula array="1">Common_InputFunctions.Utility_DisplayArrayInTable(Common_SourceData.Common_SourceData_EFN2O_Data(), Table_SourceData_Common_EFN2O[[#Headers],[Production system j]], 0)</calculatedColumnFormula>
    </tableColumn>
    <tableColumn id="3" xr3:uid="{748EC603-7F46-49E5-A98E-535FE8846206}" name="Production system only">
      <calculatedColumnFormula array="1">Common_InputFunctions.Utility_DisplayArrayInTable(Common_SourceData.Common_SourceData_EFN2O_Data(), Table_SourceData_Common_EFN2O[[#Headers],[Production system j]], 0)</calculatedColumnFormula>
    </tableColumn>
    <tableColumn id="4" xr3:uid="{A56CD644-C6AA-445E-9F25-4B23A92A9B64}" name="Irrigation method">
      <calculatedColumnFormula array="1">Common_InputFunctions.Utility_DisplayArrayInTable(Common_SourceData.Common_SourceData_EFN2O_Data(), Table_SourceData_Common_EFN2O[[#Headers],[Production system j]], 0)</calculatedColumnFormula>
    </tableColumn>
    <tableColumn id="5" xr3:uid="{CCAB1984-3AF3-43D3-81A5-8CE900C9816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165A077-B250-4DEE-B369-59E4E767990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2C9E476-6A55-47D9-B3E7-C67EA63535FA}" name="Irrigation type i">
      <calculatedColumnFormula array="1">Common_InputFunctions.Utility_DisplayArrayInTable(Common_SourceData.Common_SourceData_FracWETIrrigation_Data(), Table_SourceData_FracWETIrrigation[[#Headers],[Irrigation type i]], 0)</calculatedColumnFormula>
    </tableColumn>
    <tableColumn id="2" xr3:uid="{88DAA629-0590-41E1-A2CC-610CF9FDB97C}" name="FracWET" dataDxfId="4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87CE216A-9BD9-485A-9EB8-B9E0DFCC2C93}"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F9CBDC1-27EF-4EED-B8DF-92F594F394C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1AF672B-1B1A-422D-A6B3-621D6214B60E}" name="EFPRP" dataDxfId="4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EDBE9B8-7638-405B-BBEA-28F4A90E5FDC}"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56D4BDC-1A8D-48FE-B31E-DE67F81E1C52}" name="Month">
      <calculatedColumnFormula array="1">Common_InputFunctions.Utility_DisplayArrayInTable(Common_SourceData.Common_SourceData_MonthsToSeasons_Data(), Table_SourceData_Common_MonthToSeason[[#Headers],[Month]], 0)</calculatedColumnFormula>
    </tableColumn>
    <tableColumn id="2" xr3:uid="{84A8C1F6-0D04-4FAE-AC8C-5DCE94CD2667}" name="Season" dataDxfId="3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B2C0D77-D19C-4F62-8E5B-44E9019BF69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0787CE1-8BC3-48A0-BD72-4D31FF2981A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36F7AC5-AA7A-4B5B-A91D-B3234A850B1F}" name="MAT (ºC)"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188DBCE-83A9-4948-B739-6D8CFA8FB1F1}" name="Anaerobic lagoon"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F0A7CCE-9091-445B-A615-A547A51F5200}" name="Digester / covered lagoons"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45FD72F-73B7-4580-B927-C93DC98F52E5}" name="Liquid systems"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72DB022-C4D0-41C7-A672-C4F576EDC815}" name="Daily spread"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98BE1154-A30B-4B37-8D42-1FCB8196ADFF}" name="Composting (passive windrow)"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E6F67A9-BD27-47E8-B501-A2D2DDFAFD2B}" name="Solid storage"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612D188-6F19-4A62-9F7B-984763732FCD}" name="Pit storage"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2B629FE-D9AC-43BB-8712-0244FAFED160}" name="Deep litter"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EB1AAB3-C1F7-4609-811C-C8F71F27BEA7}" name="Poultry manure with bedding"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0CD3C79-0D8E-4E7F-87FD-8F4EA6115707}" name="Poultry manure without bedding"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6966C78-6D1B-4D36-AF62-930896F91722}" name="Direct processing"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19A832A-BD0E-4DCC-BA3B-3FE865BD158B}" name="Direct applicati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1A0A5924-316D-4A5B-BC7C-60065B83EB70}" name="Pasture range and paddock"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41772124-674F-460B-8395-C3AE2FD9C178}" name="MAT raw"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79E744CC-76BA-4DD4-AC67-44F809197B90}"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399ABC9-646D-4864-8875-225CB798A12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28CCD4A-4F4D-4667-8FE5-C00753040270}" name="EFNi &amp; EFN2Oi" dataDxfId="2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3" Type="http://schemas.openxmlformats.org/officeDocument/2006/relationships/table" Target="../tables/table4.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 Type="http://schemas.openxmlformats.org/officeDocument/2006/relationships/table" Target="../tables/table3.xml"/><Relationship Id="rId16" Type="http://schemas.openxmlformats.org/officeDocument/2006/relationships/table" Target="../tables/table17.xml"/><Relationship Id="rId1" Type="http://schemas.openxmlformats.org/officeDocument/2006/relationships/printerSettings" Target="../printerSettings/printerSettings5.bin"/><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3" t="e" vm="1">
        <v>#VALUE!</v>
      </c>
      <c r="C1" s="53" t="s">
        <v>86</v>
      </c>
      <c r="D1" s="54"/>
      <c r="E1" s="54"/>
      <c r="F1" s="54"/>
      <c r="G1" s="54"/>
      <c r="H1" s="54"/>
      <c r="I1" s="54"/>
      <c r="J1" s="54"/>
      <c r="K1" s="54"/>
      <c r="L1" s="54"/>
      <c r="M1" s="54"/>
      <c r="N1" s="54"/>
      <c r="O1" s="54"/>
      <c r="P1" s="54"/>
    </row>
    <row r="2" spans="1:17" ht="20.100000000000001" customHeight="1" x14ac:dyDescent="0.25">
      <c r="A2" s="8"/>
      <c r="C2" s="54"/>
      <c r="D2" s="54"/>
      <c r="E2" s="54"/>
      <c r="F2" s="54"/>
      <c r="G2" s="54"/>
      <c r="H2" s="54"/>
      <c r="I2" s="54"/>
      <c r="J2" s="54"/>
      <c r="K2" s="54"/>
      <c r="L2" s="54"/>
      <c r="M2" s="54"/>
      <c r="N2" s="54"/>
      <c r="O2" s="54"/>
      <c r="P2" s="54"/>
      <c r="Q2" s="55"/>
    </row>
    <row r="3" spans="1:17" ht="20.100000000000001" customHeight="1" x14ac:dyDescent="0.25">
      <c r="A3" s="13" t="str">
        <f>HYPERLINK("#'Home'!A1", "Home")</f>
        <v>Home</v>
      </c>
      <c r="C3" s="56"/>
      <c r="D3" s="56"/>
      <c r="E3" s="56"/>
      <c r="F3" s="56"/>
      <c r="G3" s="56"/>
      <c r="H3" s="56"/>
      <c r="I3" s="56"/>
      <c r="J3" s="56"/>
      <c r="K3" s="56"/>
      <c r="L3" s="56"/>
      <c r="M3" s="56"/>
      <c r="N3" s="56"/>
      <c r="O3" s="56"/>
      <c r="P3" s="56"/>
    </row>
    <row r="4" spans="1:17" ht="20.100000000000001" customHeight="1" x14ac:dyDescent="0.25">
      <c r="A4" s="42" t="str">
        <f>HYPERLINK("#'Overview'!A1", "Overview")</f>
        <v>Overview</v>
      </c>
    </row>
    <row r="5" spans="1:17" ht="20.100000000000001" customHeight="1" x14ac:dyDescent="0.25">
      <c r="A5" s="13" t="str">
        <f>HYPERLINK("#'Results'!A1", "Results")</f>
        <v>Results</v>
      </c>
      <c r="D5" s="40" t="s">
        <v>83</v>
      </c>
      <c r="E5" s="37"/>
      <c r="F5" s="37"/>
      <c r="G5" s="37"/>
      <c r="H5" s="37"/>
      <c r="I5" s="37"/>
      <c r="J5" s="37"/>
      <c r="K5" s="37"/>
      <c r="L5" s="37"/>
      <c r="M5" s="37"/>
      <c r="N5" s="37"/>
      <c r="O5" s="34"/>
    </row>
    <row r="6" spans="1:17" ht="20.100000000000001" customHeight="1" x14ac:dyDescent="0.25">
      <c r="A6" s="12"/>
      <c r="D6" s="57" t="s">
        <v>84</v>
      </c>
      <c r="E6" s="36"/>
      <c r="F6" s="36"/>
      <c r="G6" s="36"/>
      <c r="H6" s="36"/>
      <c r="I6" s="36"/>
      <c r="J6" s="36"/>
      <c r="K6" s="36"/>
      <c r="L6" s="36"/>
      <c r="M6" s="36"/>
      <c r="N6" s="36"/>
      <c r="O6" s="35"/>
    </row>
    <row r="7" spans="1:17" ht="20.100000000000001" customHeight="1" x14ac:dyDescent="0.25">
      <c r="A7" s="16" t="s">
        <v>1</v>
      </c>
    </row>
    <row r="8" spans="1:17" ht="20.100000000000001" customHeight="1" x14ac:dyDescent="0.25">
      <c r="A8" s="13" t="str">
        <f>HYPERLINK("#'Input - Wastewater'!A1", "Wastewater")</f>
        <v>Wastewater</v>
      </c>
    </row>
    <row r="9" spans="1:17" ht="20.100000000000001" customHeight="1" x14ac:dyDescent="0.25">
      <c r="A9" s="13"/>
    </row>
    <row r="10" spans="1:17" ht="20.100000000000001" customHeight="1" x14ac:dyDescent="0.25">
      <c r="A10" s="15" t="s">
        <v>45</v>
      </c>
    </row>
    <row r="11" spans="1:17" ht="20.100000000000001" customHeight="1" x14ac:dyDescent="0.25">
      <c r="A11" s="13" t="str">
        <f>HYPERLINK("#'11.1.1-2 Wastewater CH4'!A1", "10.1.1-2 Wastewater CH4")</f>
        <v>10.1.1-2 Wastewater CH4</v>
      </c>
    </row>
    <row r="12" spans="1:17" ht="20.100000000000001" customHeight="1" x14ac:dyDescent="0.25">
      <c r="A12" s="13" t="str">
        <f>HYPERLINK("#'11.1.3-4 Wastewater N2O'!A1", "10.1.3-4 Wastewater N2O")</f>
        <v>10.1.3-4 Wastewater N2O</v>
      </c>
    </row>
    <row r="13" spans="1:17" ht="20.100000000000001" customHeight="1" x14ac:dyDescent="0.25">
      <c r="A13" s="13"/>
    </row>
    <row r="14" spans="1:17" ht="20.100000000000001" customHeight="1" x14ac:dyDescent="0.25">
      <c r="A14" s="14" t="s">
        <v>2</v>
      </c>
      <c r="O14" s="1" t="s">
        <v>85</v>
      </c>
    </row>
    <row r="15" spans="1:17" ht="20.100000000000001" customHeight="1" x14ac:dyDescent="0.25">
      <c r="A15" s="13" t="str">
        <f>HYPERLINK("#'Constants - Wastewater'!A1", "Constants - Wastewater")</f>
        <v>Constants - Wastewater</v>
      </c>
    </row>
    <row r="16" spans="1:17" ht="20.100000000000001" customHeight="1" x14ac:dyDescent="0.25">
      <c r="A16" s="13" t="str">
        <f>HYPERLINK("#'Constants - Common'!A1", "Constants - Common")</f>
        <v>Constants - Common</v>
      </c>
    </row>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abSelected="1" zoomScaleNormal="100" workbookViewId="0">
      <selection activeCell="F15" sqref="F15"/>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33" t="e" vm="1">
        <v>#VALUE!</v>
      </c>
      <c r="C1" s="53" t="s">
        <v>87</v>
      </c>
    </row>
    <row r="2" spans="1:11" ht="20.100000000000001" customHeight="1" x14ac:dyDescent="0.25">
      <c r="A2" s="8"/>
      <c r="C2" s="8"/>
    </row>
    <row r="3" spans="1:11" ht="20.100000000000001" customHeight="1" x14ac:dyDescent="0.25">
      <c r="A3" s="13" t="str">
        <f>HYPERLINK("#'Home'!A1", "Home")</f>
        <v>Home</v>
      </c>
      <c r="C3" s="18"/>
      <c r="D3" s="18"/>
      <c r="E3" s="18"/>
      <c r="F3" s="18"/>
      <c r="G3" s="18"/>
      <c r="H3" s="18"/>
      <c r="I3" s="18"/>
      <c r="J3" s="18"/>
      <c r="K3" s="18"/>
    </row>
    <row r="4" spans="1:11" ht="20.100000000000001" customHeight="1" x14ac:dyDescent="0.25">
      <c r="A4" s="13" t="str">
        <f>HYPERLINK("#'Overview'!A1", "Overview")</f>
        <v>Overview</v>
      </c>
      <c r="C4" s="18"/>
      <c r="D4" s="5" t="s">
        <v>3</v>
      </c>
      <c r="E4" s="19"/>
      <c r="F4" s="19"/>
      <c r="G4" s="19"/>
      <c r="H4" s="19"/>
      <c r="I4" s="19"/>
      <c r="J4" s="19"/>
      <c r="K4" s="20"/>
    </row>
    <row r="5" spans="1:11" ht="20.100000000000001" customHeight="1" x14ac:dyDescent="0.3">
      <c r="A5" s="42" t="str">
        <f>HYPERLINK("#'Results'!A1", "Results")</f>
        <v>Results</v>
      </c>
      <c r="C5" s="18"/>
      <c r="D5" s="21"/>
      <c r="E5" s="22"/>
      <c r="F5" s="22"/>
      <c r="G5" s="22"/>
      <c r="H5" s="22"/>
      <c r="I5" s="22"/>
      <c r="J5" s="22"/>
      <c r="K5" s="18"/>
    </row>
    <row r="6" spans="1:11" ht="20.100000000000001" customHeight="1" x14ac:dyDescent="0.25">
      <c r="A6" s="12"/>
      <c r="C6" s="18"/>
      <c r="D6" s="17" t="s">
        <v>80</v>
      </c>
      <c r="E6" s="18"/>
      <c r="F6" s="18"/>
      <c r="G6" s="18"/>
      <c r="H6" s="18"/>
      <c r="I6" s="18"/>
      <c r="J6" s="18"/>
      <c r="K6" s="18"/>
    </row>
    <row r="7" spans="1:11" ht="20.100000000000001" customHeight="1" x14ac:dyDescent="0.25">
      <c r="A7" s="16" t="s">
        <v>1</v>
      </c>
      <c r="C7" s="18"/>
      <c r="D7" s="18"/>
      <c r="E7" s="18"/>
      <c r="F7" s="18"/>
      <c r="G7" s="18"/>
      <c r="H7" s="18"/>
      <c r="I7" s="18"/>
      <c r="J7" s="18"/>
      <c r="K7" s="18"/>
    </row>
    <row r="8" spans="1:11" ht="20.100000000000001" customHeight="1" x14ac:dyDescent="0.25">
      <c r="A8" s="13" t="str">
        <f>HYPERLINK("#'Input - Wastewater'!A1", "Wastewater")</f>
        <v>Wastewater</v>
      </c>
      <c r="C8" s="18"/>
      <c r="D8" s="39" t="s">
        <v>50</v>
      </c>
      <c r="E8" s="39" t="s">
        <v>60</v>
      </c>
      <c r="F8" s="39" t="s">
        <v>61</v>
      </c>
      <c r="G8" s="39" t="s">
        <v>55</v>
      </c>
      <c r="H8" s="39" t="s">
        <v>128</v>
      </c>
      <c r="I8" s="39" t="s">
        <v>129</v>
      </c>
      <c r="J8" s="39" t="s">
        <v>130</v>
      </c>
      <c r="K8" s="18"/>
    </row>
    <row r="9" spans="1:11" ht="20.100000000000001" customHeight="1" x14ac:dyDescent="0.25">
      <c r="A9" s="13"/>
      <c r="C9" s="18"/>
      <c r="D9" s="1" t="s">
        <v>124</v>
      </c>
      <c r="E9" s="52">
        <f>'11.1.1-2 Wastewater CH4'!E30</f>
        <v>4.7159433000000001E-2</v>
      </c>
      <c r="F9" s="52">
        <f>E9</f>
        <v>4.7159433000000001E-2</v>
      </c>
      <c r="G9" s="30" t="s">
        <v>126</v>
      </c>
      <c r="H9" s="52">
        <f>'11.1.1-2 Wastewater CH4'!E35</f>
        <v>1.3204641239999999</v>
      </c>
      <c r="I9" s="52">
        <f>H9</f>
        <v>1.3204641239999999</v>
      </c>
      <c r="J9" s="30" t="s">
        <v>58</v>
      </c>
      <c r="K9" s="18"/>
    </row>
    <row r="10" spans="1:11" ht="20.100000000000001" customHeight="1" x14ac:dyDescent="0.25">
      <c r="A10" s="15" t="s">
        <v>45</v>
      </c>
      <c r="C10" s="18"/>
      <c r="D10" s="1" t="s">
        <v>125</v>
      </c>
      <c r="E10" s="75">
        <f>'11.1.3-4 Wastewater N2O'!E17</f>
        <v>4.26764E-7</v>
      </c>
      <c r="F10" s="75">
        <f>E10</f>
        <v>4.26764E-7</v>
      </c>
      <c r="G10" s="30" t="s">
        <v>127</v>
      </c>
      <c r="H10" s="52">
        <f>'11.1.3-4 Wastewater N2O'!E22</f>
        <v>1.1309246E-4</v>
      </c>
      <c r="I10" s="52">
        <f>H10</f>
        <v>1.1309246E-4</v>
      </c>
      <c r="J10" s="30" t="s">
        <v>58</v>
      </c>
      <c r="K10" s="18"/>
    </row>
    <row r="11" spans="1:11" ht="20.100000000000001" customHeight="1" x14ac:dyDescent="0.3">
      <c r="A11" s="13" t="str">
        <f>HYPERLINK("#'11.1.1-2 Wastewater CH4'!A1", "10.1.1-2 Wastewater CH4")</f>
        <v>10.1.1-2 Wastewater CH4</v>
      </c>
      <c r="C11" s="18"/>
      <c r="D11" s="76" t="s">
        <v>131</v>
      </c>
      <c r="E11" s="77"/>
      <c r="F11" s="77"/>
      <c r="G11" s="76"/>
      <c r="H11" s="78">
        <f>SUM(H9:H10)</f>
        <v>1.3205772164599998</v>
      </c>
      <c r="I11" s="78">
        <f>SUM(I9:I10)</f>
        <v>1.3205772164599998</v>
      </c>
      <c r="J11" s="74" t="s">
        <v>58</v>
      </c>
      <c r="K11" s="18"/>
    </row>
    <row r="12" spans="1:11" ht="20.100000000000001" customHeight="1" x14ac:dyDescent="0.25">
      <c r="A12" s="13" t="str">
        <f>HYPERLINK("#'11.1.3-4 Wastewater N2O'!A1", "10.1.3-4 Wastewater N2O")</f>
        <v>10.1.3-4 Wastewater N2O</v>
      </c>
      <c r="C12" s="18"/>
      <c r="D12" s="1"/>
      <c r="E12" s="1"/>
      <c r="F12" s="1"/>
      <c r="G12" s="1"/>
      <c r="H12" s="1"/>
      <c r="I12" s="1"/>
      <c r="J12" s="1"/>
      <c r="K12" s="18"/>
    </row>
    <row r="13" spans="1:11" ht="20.100000000000001" customHeight="1" x14ac:dyDescent="0.25">
      <c r="A13" s="13"/>
      <c r="C13" s="18"/>
      <c r="D13" s="1"/>
      <c r="E13" s="1"/>
      <c r="F13" s="1"/>
      <c r="G13" s="1"/>
      <c r="H13" s="1"/>
      <c r="I13" s="1"/>
      <c r="J13" s="1"/>
      <c r="K13" s="18"/>
    </row>
    <row r="14" spans="1:11" ht="20.100000000000001" customHeight="1" x14ac:dyDescent="0.25">
      <c r="A14" s="14" t="s">
        <v>2</v>
      </c>
      <c r="C14" s="18"/>
      <c r="D14" s="1"/>
      <c r="E14" s="1"/>
      <c r="F14" s="1"/>
      <c r="G14" s="1"/>
      <c r="H14" s="1"/>
      <c r="I14" s="1"/>
      <c r="J14" s="1"/>
      <c r="K14" s="18"/>
    </row>
    <row r="15" spans="1:11" ht="20.100000000000001" customHeight="1" x14ac:dyDescent="0.25">
      <c r="A15" s="13" t="str">
        <f>HYPERLINK("#'Constants - Wastewater'!A1", "Constants - Wastewater")</f>
        <v>Constants - Wastewater</v>
      </c>
      <c r="C15" s="18"/>
      <c r="D15" s="1"/>
      <c r="E15" s="1"/>
      <c r="F15" s="1"/>
      <c r="G15" s="1"/>
      <c r="H15" s="1"/>
      <c r="I15" s="1"/>
      <c r="J15" s="1"/>
      <c r="K15" s="18"/>
    </row>
    <row r="16" spans="1:11" ht="20.100000000000001" customHeight="1" x14ac:dyDescent="0.25">
      <c r="A16" s="13" t="str">
        <f>HYPERLINK("#'Constants - Common'!A1", "Constants - Common")</f>
        <v>Constants - Common</v>
      </c>
      <c r="C16" s="18"/>
      <c r="D16" s="1"/>
      <c r="E16" s="1"/>
      <c r="F16" s="1"/>
      <c r="G16" s="1"/>
      <c r="H16" s="1"/>
      <c r="I16" s="1"/>
      <c r="J16" s="1"/>
      <c r="K16" s="18"/>
    </row>
    <row r="17" spans="1:11" ht="20.100000000000001" customHeight="1" x14ac:dyDescent="0.25">
      <c r="C17" s="18"/>
      <c r="D17" s="1"/>
      <c r="E17" s="1"/>
      <c r="F17" s="1"/>
      <c r="G17" s="1"/>
      <c r="H17" s="1"/>
      <c r="I17" s="1"/>
      <c r="J17" s="1"/>
      <c r="K17" s="18"/>
    </row>
    <row r="18" spans="1:11" ht="20.100000000000001" customHeight="1" x14ac:dyDescent="0.25">
      <c r="C18" s="18"/>
      <c r="D18" s="1"/>
      <c r="E18" s="1"/>
      <c r="F18" s="1"/>
      <c r="G18" s="1"/>
      <c r="H18" s="1"/>
      <c r="I18" s="1"/>
      <c r="J18" s="1"/>
      <c r="K18" s="18"/>
    </row>
    <row r="19" spans="1:11" ht="20.100000000000001" customHeight="1" x14ac:dyDescent="0.25">
      <c r="C19" s="18"/>
      <c r="D19" s="1"/>
      <c r="E19" s="1"/>
      <c r="F19" s="1"/>
      <c r="G19" s="1"/>
      <c r="H19" s="1"/>
      <c r="I19" s="1"/>
      <c r="J19" s="1"/>
      <c r="K19" s="18"/>
    </row>
    <row r="20" spans="1:11" ht="20.100000000000001" customHeight="1" x14ac:dyDescent="0.25">
      <c r="C20" s="18"/>
      <c r="D20" s="1"/>
      <c r="E20" s="1"/>
      <c r="F20" s="1"/>
      <c r="G20" s="1"/>
      <c r="H20" s="1"/>
      <c r="I20" s="1"/>
      <c r="J20" s="1"/>
      <c r="K20" s="18"/>
    </row>
    <row r="21" spans="1:11" ht="20.100000000000001" customHeight="1" x14ac:dyDescent="0.25">
      <c r="A21" s="13"/>
      <c r="C21" s="18"/>
      <c r="D21" s="1"/>
      <c r="E21" s="1"/>
      <c r="F21" s="1"/>
      <c r="G21" s="1"/>
      <c r="H21" s="1"/>
      <c r="I21" s="1"/>
      <c r="J21" s="1"/>
      <c r="K21" s="18"/>
    </row>
    <row r="22" spans="1:11" ht="20.100000000000001" customHeight="1" x14ac:dyDescent="0.25">
      <c r="C22" s="18"/>
      <c r="D22" s="1"/>
      <c r="E22" s="1"/>
      <c r="F22" s="1"/>
      <c r="G22" s="1"/>
      <c r="H22" s="1"/>
      <c r="I22" s="1"/>
      <c r="J22" s="1"/>
      <c r="K22" s="18"/>
    </row>
    <row r="23" spans="1:11" ht="20.100000000000001" customHeight="1" x14ac:dyDescent="0.25">
      <c r="A23" s="13"/>
      <c r="C23" s="18"/>
      <c r="D23" s="1"/>
      <c r="E23" s="1"/>
      <c r="F23" s="1"/>
      <c r="G23" s="1"/>
      <c r="H23" s="1"/>
      <c r="I23" s="1"/>
      <c r="J23" s="1"/>
      <c r="K23" s="18"/>
    </row>
    <row r="24" spans="1:11" ht="20.100000000000001" customHeight="1" x14ac:dyDescent="0.25">
      <c r="C24" s="18"/>
      <c r="D24" s="1"/>
      <c r="E24" s="1"/>
      <c r="F24" s="1"/>
      <c r="G24" s="1"/>
      <c r="H24" s="1"/>
      <c r="I24" s="1"/>
      <c r="J24" s="1"/>
      <c r="K24" s="18"/>
    </row>
    <row r="25" spans="1:11" ht="20.100000000000001" customHeight="1" x14ac:dyDescent="0.25">
      <c r="C25" s="18"/>
      <c r="D25" s="1"/>
      <c r="E25" s="1"/>
      <c r="F25" s="1"/>
      <c r="G25" s="1"/>
      <c r="H25" s="1"/>
      <c r="I25" s="1"/>
      <c r="J25" s="1"/>
      <c r="K25" s="18"/>
    </row>
    <row r="26" spans="1:11" ht="20.100000000000001" customHeight="1" x14ac:dyDescent="0.25">
      <c r="C26" s="18"/>
      <c r="D26" s="1"/>
      <c r="E26" s="1"/>
      <c r="F26" s="1"/>
      <c r="G26" s="1"/>
      <c r="H26" s="1"/>
      <c r="I26" s="1"/>
      <c r="J26" s="1"/>
      <c r="K26" s="18"/>
    </row>
    <row r="27" spans="1:11" ht="20.100000000000001" customHeight="1" x14ac:dyDescent="0.25">
      <c r="C27" s="18"/>
      <c r="D27" s="1"/>
      <c r="E27" s="1"/>
      <c r="F27" s="1"/>
      <c r="G27" s="1"/>
      <c r="H27" s="1"/>
      <c r="I27" s="1"/>
      <c r="J27" s="1"/>
      <c r="K27" s="18"/>
    </row>
    <row r="28" spans="1:11" ht="20.100000000000001" customHeight="1" x14ac:dyDescent="0.25">
      <c r="C28" s="18"/>
      <c r="D28" s="1"/>
      <c r="E28" s="1"/>
      <c r="F28" s="1"/>
      <c r="G28" s="1"/>
      <c r="H28" s="1"/>
      <c r="I28" s="1"/>
      <c r="J28" s="1"/>
      <c r="K28" s="18"/>
    </row>
    <row r="29" spans="1:11" ht="20.100000000000001" customHeight="1" x14ac:dyDescent="0.25">
      <c r="C29" s="18"/>
      <c r="D29" s="1"/>
      <c r="E29" s="1"/>
      <c r="F29" s="1"/>
      <c r="G29" s="1"/>
      <c r="H29" s="1"/>
      <c r="I29" s="1"/>
      <c r="J29" s="1"/>
      <c r="K29" s="18"/>
    </row>
    <row r="30" spans="1:11" ht="20.100000000000001" customHeight="1" x14ac:dyDescent="0.25">
      <c r="C30" s="18"/>
      <c r="D30" s="1"/>
      <c r="E30" s="1"/>
      <c r="F30" s="1"/>
      <c r="G30" s="1"/>
      <c r="H30" s="1"/>
      <c r="I30" s="1"/>
      <c r="J30" s="1"/>
      <c r="K30" s="18"/>
    </row>
    <row r="31" spans="1:11" ht="20.100000000000001" customHeight="1" x14ac:dyDescent="0.25">
      <c r="C31" s="18"/>
      <c r="D31" s="1"/>
      <c r="E31" s="1"/>
      <c r="F31" s="1"/>
      <c r="G31" s="1"/>
      <c r="H31" s="1"/>
      <c r="I31" s="1"/>
      <c r="J31" s="1"/>
      <c r="K31" s="18"/>
    </row>
    <row r="32" spans="1:11" ht="20.100000000000001" customHeight="1" x14ac:dyDescent="0.25">
      <c r="C32" s="18"/>
      <c r="D32" s="1"/>
      <c r="E32" s="1"/>
      <c r="F32" s="1"/>
      <c r="G32" s="1"/>
      <c r="H32" s="1"/>
      <c r="I32" s="1"/>
      <c r="J32" s="1"/>
      <c r="K32" s="18"/>
    </row>
    <row r="33" spans="3:11" ht="20.100000000000001" customHeight="1" x14ac:dyDescent="0.25">
      <c r="C33" s="18"/>
      <c r="D33" s="1"/>
      <c r="E33" s="1"/>
      <c r="F33" s="1"/>
      <c r="G33" s="1"/>
      <c r="H33" s="1"/>
      <c r="I33" s="1"/>
      <c r="J33" s="1"/>
      <c r="K33" s="18"/>
    </row>
    <row r="34" spans="3:11" ht="20.100000000000001" customHeight="1" x14ac:dyDescent="0.25">
      <c r="C34" s="18"/>
      <c r="D34" s="1"/>
      <c r="E34" s="1"/>
      <c r="F34" s="1"/>
      <c r="G34" s="1"/>
      <c r="H34" s="1"/>
      <c r="I34" s="1"/>
      <c r="J34" s="1"/>
      <c r="K34" s="18"/>
    </row>
    <row r="35" spans="3:11" ht="20.100000000000001" customHeight="1" x14ac:dyDescent="0.25">
      <c r="C35" s="18"/>
      <c r="D35" s="1"/>
      <c r="E35" s="1"/>
      <c r="F35" s="1"/>
      <c r="G35" s="1"/>
      <c r="H35" s="1"/>
      <c r="I35" s="1"/>
      <c r="J35" s="1"/>
      <c r="K35" s="18"/>
    </row>
    <row r="36" spans="3:11" ht="20.100000000000001" customHeight="1" x14ac:dyDescent="0.25">
      <c r="C36" s="18"/>
      <c r="D36" s="1"/>
      <c r="E36" s="1"/>
      <c r="F36" s="1"/>
      <c r="G36" s="1"/>
      <c r="H36" s="1"/>
      <c r="I36" s="1"/>
      <c r="J36" s="1"/>
      <c r="K36" s="18"/>
    </row>
    <row r="37" spans="3:11" ht="20.100000000000001" customHeight="1" x14ac:dyDescent="0.25">
      <c r="C37" s="18"/>
      <c r="D37" s="1"/>
      <c r="E37" s="1"/>
      <c r="F37" s="1"/>
      <c r="G37" s="1"/>
      <c r="H37" s="1"/>
      <c r="I37" s="1"/>
      <c r="J37" s="1"/>
      <c r="K37" s="18"/>
    </row>
    <row r="38" spans="3:11" ht="20.100000000000001" customHeight="1" x14ac:dyDescent="0.25">
      <c r="C38" s="18"/>
      <c r="D38" s="1"/>
      <c r="E38" s="1"/>
      <c r="F38" s="1"/>
      <c r="G38" s="1"/>
      <c r="H38" s="1"/>
      <c r="I38" s="1"/>
      <c r="J38" s="1"/>
      <c r="K38" s="18"/>
    </row>
    <row r="39" spans="3:11" ht="20.100000000000001" customHeight="1" x14ac:dyDescent="0.25">
      <c r="C39" s="18"/>
      <c r="D39" s="1"/>
      <c r="E39" s="1"/>
      <c r="F39" s="1"/>
      <c r="G39" s="1"/>
      <c r="H39" s="1"/>
      <c r="I39" s="1"/>
      <c r="J39" s="1"/>
      <c r="K39" s="18"/>
    </row>
    <row r="40" spans="3:11" ht="20.100000000000001" customHeight="1" x14ac:dyDescent="0.25">
      <c r="C40" s="18"/>
      <c r="D40" s="1"/>
      <c r="E40" s="1"/>
      <c r="F40" s="1"/>
      <c r="G40" s="1"/>
      <c r="H40" s="1"/>
      <c r="I40" s="1"/>
      <c r="J40" s="1"/>
      <c r="K40" s="18"/>
    </row>
    <row r="41" spans="3:11" ht="20.100000000000001" customHeight="1" x14ac:dyDescent="0.25">
      <c r="C41" s="18"/>
      <c r="D41" s="1"/>
      <c r="E41" s="1"/>
      <c r="F41" s="1"/>
      <c r="G41" s="1"/>
      <c r="H41" s="1"/>
      <c r="I41" s="1"/>
      <c r="J41" s="1"/>
      <c r="K41" s="18"/>
    </row>
    <row r="42" spans="3:11" ht="20.100000000000001" customHeight="1" x14ac:dyDescent="0.25">
      <c r="C42" s="18"/>
      <c r="D42" s="1"/>
      <c r="E42" s="1"/>
      <c r="F42" s="1"/>
      <c r="G42" s="1"/>
      <c r="H42" s="1"/>
      <c r="I42" s="1"/>
      <c r="J42" s="1"/>
      <c r="K42" s="18"/>
    </row>
    <row r="43" spans="3:11" ht="20.100000000000001" customHeight="1" x14ac:dyDescent="0.25">
      <c r="C43" s="18"/>
      <c r="D43" s="1"/>
      <c r="E43" s="1"/>
      <c r="F43" s="1"/>
      <c r="G43" s="1"/>
      <c r="H43" s="1"/>
      <c r="I43" s="1"/>
      <c r="J43" s="1"/>
      <c r="K43" s="18"/>
    </row>
    <row r="44" spans="3:11" ht="20.100000000000001" customHeight="1" x14ac:dyDescent="0.25">
      <c r="C44" s="18"/>
      <c r="D44" s="1"/>
      <c r="E44" s="1"/>
      <c r="F44" s="1"/>
      <c r="G44" s="1"/>
      <c r="H44" s="1"/>
      <c r="I44" s="1"/>
      <c r="J44" s="1"/>
      <c r="K44" s="18"/>
    </row>
    <row r="45" spans="3:11" ht="20.100000000000001" customHeight="1" x14ac:dyDescent="0.25">
      <c r="C45" s="18"/>
      <c r="D45" s="1"/>
      <c r="E45" s="1"/>
      <c r="F45" s="1"/>
      <c r="G45" s="1"/>
      <c r="H45" s="1"/>
      <c r="I45" s="1"/>
      <c r="J45" s="1"/>
      <c r="K45" s="18"/>
    </row>
    <row r="46" spans="3:11" ht="20.100000000000001" customHeight="1" x14ac:dyDescent="0.25">
      <c r="C46" s="18"/>
      <c r="D46" s="1"/>
      <c r="E46" s="1"/>
      <c r="F46" s="1"/>
      <c r="G46" s="1"/>
      <c r="H46" s="1"/>
      <c r="I46" s="1"/>
      <c r="J46" s="1"/>
      <c r="K46" s="18"/>
    </row>
    <row r="47" spans="3:11" ht="20.100000000000001" customHeight="1" x14ac:dyDescent="0.25">
      <c r="C47" s="18"/>
      <c r="D47" s="1"/>
      <c r="E47" s="1"/>
      <c r="F47" s="1"/>
      <c r="G47" s="1"/>
      <c r="H47" s="1"/>
      <c r="I47" s="1"/>
      <c r="J47" s="1"/>
      <c r="K47" s="18"/>
    </row>
    <row r="48" spans="3:11" ht="20.100000000000001" customHeight="1" x14ac:dyDescent="0.25">
      <c r="C48" s="18"/>
      <c r="D48" s="1"/>
      <c r="E48" s="1"/>
      <c r="F48" s="1"/>
      <c r="G48" s="1"/>
      <c r="H48" s="1"/>
      <c r="I48" s="1"/>
      <c r="J48" s="1"/>
      <c r="K48" s="18"/>
    </row>
    <row r="49" spans="3:11" ht="20.100000000000001" customHeight="1" x14ac:dyDescent="0.25">
      <c r="C49" s="18"/>
      <c r="D49" s="1"/>
      <c r="E49" s="1"/>
      <c r="F49" s="1"/>
      <c r="G49" s="1"/>
      <c r="H49" s="1"/>
      <c r="I49" s="1"/>
      <c r="J49" s="1"/>
      <c r="K49" s="18"/>
    </row>
    <row r="50" spans="3:11" ht="20.100000000000001" customHeight="1" x14ac:dyDescent="0.25">
      <c r="C50" s="18"/>
      <c r="D50" s="1"/>
      <c r="E50" s="1"/>
      <c r="F50" s="1"/>
      <c r="G50" s="1"/>
      <c r="H50" s="1"/>
      <c r="I50" s="1"/>
      <c r="J50" s="1"/>
      <c r="K50" s="18"/>
    </row>
    <row r="51" spans="3:11" ht="20.100000000000001" customHeight="1" x14ac:dyDescent="0.25">
      <c r="C51" s="18"/>
      <c r="D51" s="1"/>
      <c r="E51" s="1"/>
      <c r="F51" s="1"/>
      <c r="G51" s="1"/>
      <c r="H51" s="1"/>
      <c r="I51" s="1"/>
      <c r="J51" s="1"/>
      <c r="K51" s="18"/>
    </row>
    <row r="52" spans="3:11" ht="20.100000000000001" customHeight="1" x14ac:dyDescent="0.25">
      <c r="C52" s="18"/>
      <c r="D52" s="1"/>
      <c r="E52" s="1"/>
      <c r="F52" s="1"/>
      <c r="G52" s="1"/>
      <c r="H52" s="1"/>
      <c r="I52" s="1"/>
      <c r="J52" s="1"/>
      <c r="K52" s="18"/>
    </row>
    <row r="53" spans="3:11" ht="20.100000000000001" customHeight="1" x14ac:dyDescent="0.25">
      <c r="C53" s="18"/>
      <c r="D53" s="1"/>
      <c r="E53" s="1"/>
      <c r="F53" s="1"/>
      <c r="G53" s="1"/>
      <c r="H53" s="1"/>
      <c r="I53" s="1"/>
      <c r="J53" s="1"/>
      <c r="K53" s="18"/>
    </row>
    <row r="54" spans="3:11" ht="20.100000000000001" customHeight="1" x14ac:dyDescent="0.25">
      <c r="C54" s="18"/>
      <c r="D54" s="1"/>
      <c r="E54" s="1"/>
      <c r="F54" s="1"/>
      <c r="G54" s="1"/>
      <c r="H54" s="1"/>
      <c r="I54" s="1"/>
      <c r="J54" s="1"/>
      <c r="K54" s="18"/>
    </row>
    <row r="55" spans="3:11" ht="20.100000000000001" customHeight="1" x14ac:dyDescent="0.25">
      <c r="C55" s="18"/>
      <c r="D55" s="1"/>
      <c r="E55" s="1"/>
      <c r="F55" s="1"/>
      <c r="G55" s="1"/>
      <c r="H55" s="1"/>
      <c r="I55" s="1"/>
      <c r="J55" s="1"/>
      <c r="K55" s="18"/>
    </row>
    <row r="56" spans="3:11" ht="20.100000000000001" customHeight="1" x14ac:dyDescent="0.25">
      <c r="C56" s="18"/>
      <c r="D56" s="1"/>
      <c r="E56" s="1"/>
      <c r="F56" s="1"/>
      <c r="G56" s="1"/>
      <c r="H56" s="1"/>
      <c r="I56" s="1"/>
      <c r="J56" s="1"/>
      <c r="K56" s="18"/>
    </row>
    <row r="57" spans="3:11" ht="20.100000000000001" customHeight="1" x14ac:dyDescent="0.25">
      <c r="C57" s="18"/>
      <c r="D57" s="1"/>
      <c r="E57" s="1"/>
      <c r="F57" s="1"/>
      <c r="G57" s="1"/>
      <c r="H57" s="1"/>
      <c r="I57" s="1"/>
      <c r="J57" s="1"/>
      <c r="K57" s="18"/>
    </row>
    <row r="58" spans="3:11" ht="20.100000000000001" customHeight="1" x14ac:dyDescent="0.25">
      <c r="C58" s="18"/>
      <c r="D58" s="1"/>
      <c r="E58" s="24"/>
      <c r="F58" s="23"/>
      <c r="G58" s="18"/>
      <c r="H58" s="18"/>
      <c r="I58" s="18"/>
      <c r="J58" s="18"/>
      <c r="K58" s="18"/>
    </row>
    <row r="59" spans="3:11" ht="20.100000000000001" customHeight="1" x14ac:dyDescent="0.25">
      <c r="C59" s="18"/>
      <c r="D59" s="1"/>
      <c r="E59" s="1"/>
      <c r="F59" s="1"/>
      <c r="G59" s="1"/>
      <c r="H59" s="1"/>
      <c r="I59" s="1"/>
      <c r="J59" s="1"/>
      <c r="K59" s="18"/>
    </row>
    <row r="60" spans="3:11" ht="20.100000000000001" customHeight="1" x14ac:dyDescent="0.25">
      <c r="C60" s="18"/>
      <c r="D60" s="1"/>
      <c r="E60" s="1"/>
      <c r="F60" s="1"/>
      <c r="G60" s="1"/>
      <c r="H60" s="1"/>
      <c r="I60" s="1"/>
      <c r="J60" s="1"/>
      <c r="K60" s="18"/>
    </row>
    <row r="61" spans="3:11" ht="20.100000000000001" customHeight="1" x14ac:dyDescent="0.25">
      <c r="C61" s="18"/>
      <c r="D61" s="1"/>
      <c r="E61" s="1"/>
      <c r="F61" s="1"/>
      <c r="G61" s="1"/>
      <c r="H61" s="1"/>
      <c r="I61" s="1"/>
      <c r="J61" s="1"/>
      <c r="K61" s="18"/>
    </row>
    <row r="62" spans="3:11" ht="20.100000000000001" customHeight="1" x14ac:dyDescent="0.25">
      <c r="C62" s="18"/>
      <c r="D62" s="1"/>
      <c r="E62" s="1"/>
      <c r="F62" s="1"/>
      <c r="G62" s="1"/>
      <c r="H62" s="1"/>
      <c r="I62" s="1"/>
      <c r="J62" s="1"/>
      <c r="K62" s="18"/>
    </row>
    <row r="63" spans="3:11" ht="20.100000000000001" customHeight="1" x14ac:dyDescent="0.25">
      <c r="C63" s="18"/>
      <c r="D63" s="1"/>
      <c r="E63" s="1"/>
      <c r="F63" s="1"/>
      <c r="G63" s="1"/>
      <c r="H63" s="1"/>
      <c r="I63" s="1"/>
      <c r="J63" s="1"/>
      <c r="K63" s="18"/>
    </row>
    <row r="64" spans="3:11" ht="20.100000000000001" customHeight="1" x14ac:dyDescent="0.25">
      <c r="C64" s="18"/>
      <c r="D64" s="1"/>
      <c r="E64" s="1"/>
      <c r="F64" s="1"/>
      <c r="G64" s="1"/>
      <c r="H64" s="1"/>
      <c r="I64" s="1"/>
      <c r="J64" s="1"/>
      <c r="K64" s="18"/>
    </row>
    <row r="65" spans="3:11" ht="20.100000000000001" customHeight="1" x14ac:dyDescent="0.25">
      <c r="C65" s="18"/>
      <c r="D65" s="1"/>
      <c r="E65" s="1"/>
      <c r="F65" s="1"/>
      <c r="G65" s="1"/>
      <c r="H65" s="1"/>
      <c r="I65" s="1"/>
      <c r="J65" s="1"/>
      <c r="K65" s="18"/>
    </row>
    <row r="66" spans="3:11" ht="20.100000000000001" customHeight="1" x14ac:dyDescent="0.25">
      <c r="C66" s="18"/>
      <c r="D66" s="1"/>
      <c r="E66" s="1"/>
      <c r="F66" s="1"/>
      <c r="G66" s="1"/>
      <c r="H66" s="1"/>
      <c r="I66" s="1"/>
      <c r="J66" s="1"/>
      <c r="K66" s="18"/>
    </row>
    <row r="67" spans="3:11" ht="20.100000000000001" customHeight="1" x14ac:dyDescent="0.25">
      <c r="C67" s="18"/>
      <c r="D67" s="1"/>
      <c r="E67" s="1"/>
      <c r="F67" s="1"/>
      <c r="G67" s="1"/>
      <c r="H67" s="1"/>
      <c r="I67" s="1"/>
      <c r="J67" s="1"/>
      <c r="K67" s="18"/>
    </row>
    <row r="68" spans="3:11" ht="20.100000000000001" customHeight="1" x14ac:dyDescent="0.25">
      <c r="C68" s="18"/>
      <c r="D68" s="1"/>
      <c r="E68" s="1"/>
      <c r="F68" s="1"/>
      <c r="G68" s="1"/>
      <c r="H68" s="1"/>
      <c r="I68" s="1"/>
      <c r="J68" s="1"/>
      <c r="K68" s="18"/>
    </row>
    <row r="69" spans="3:11" ht="20.100000000000001" customHeight="1" x14ac:dyDescent="0.25">
      <c r="C69" s="18"/>
      <c r="D69" s="1"/>
      <c r="E69" s="1"/>
      <c r="F69" s="1"/>
      <c r="G69" s="1"/>
      <c r="H69" s="1"/>
      <c r="I69" s="1"/>
      <c r="J69" s="1"/>
      <c r="K69" s="18"/>
    </row>
    <row r="70" spans="3:11" ht="20.100000000000001" customHeight="1" x14ac:dyDescent="0.25">
      <c r="C70" s="18"/>
      <c r="D70" s="1"/>
      <c r="E70" s="1"/>
      <c r="F70" s="1"/>
      <c r="G70" s="1"/>
      <c r="H70" s="1"/>
      <c r="I70" s="1"/>
      <c r="J70" s="1"/>
      <c r="K70" s="18"/>
    </row>
    <row r="71" spans="3:11" ht="20.100000000000001" customHeight="1" x14ac:dyDescent="0.25">
      <c r="C71" s="18"/>
      <c r="D71" s="1"/>
      <c r="E71" s="1"/>
      <c r="F71" s="1"/>
      <c r="G71" s="1"/>
      <c r="H71" s="1"/>
      <c r="I71" s="1"/>
      <c r="J71" s="1"/>
      <c r="K71" s="18"/>
    </row>
    <row r="72" spans="3:11" ht="20.100000000000001" customHeight="1" x14ac:dyDescent="0.25">
      <c r="C72" s="18"/>
      <c r="D72" s="1"/>
      <c r="E72" s="1"/>
      <c r="F72" s="1"/>
      <c r="G72" s="1"/>
      <c r="H72" s="1"/>
      <c r="I72" s="1"/>
      <c r="J72" s="1"/>
      <c r="K72" s="18"/>
    </row>
    <row r="73" spans="3:11" ht="20.100000000000001" customHeight="1" x14ac:dyDescent="0.25">
      <c r="C73" s="18"/>
      <c r="D73" s="1"/>
      <c r="E73" s="1"/>
      <c r="F73" s="1"/>
      <c r="G73" s="1"/>
      <c r="H73" s="1"/>
      <c r="I73" s="1"/>
      <c r="J73" s="1"/>
      <c r="K73" s="18"/>
    </row>
    <row r="74" spans="3:11" ht="20.100000000000001" customHeight="1" x14ac:dyDescent="0.25">
      <c r="C74" s="18"/>
      <c r="D74" s="1"/>
      <c r="E74" s="1"/>
      <c r="F74" s="1"/>
      <c r="G74" s="1"/>
      <c r="H74" s="1"/>
      <c r="I74" s="1"/>
      <c r="J74" s="1"/>
      <c r="K74" s="18"/>
    </row>
    <row r="75" spans="3:11" ht="20.100000000000001" customHeight="1" x14ac:dyDescent="0.25">
      <c r="C75" s="18"/>
      <c r="D75" s="1"/>
      <c r="E75" s="1"/>
      <c r="F75" s="1"/>
      <c r="G75" s="1"/>
      <c r="H75" s="1"/>
      <c r="I75" s="1"/>
      <c r="J75" s="1"/>
      <c r="K75" s="18"/>
    </row>
    <row r="76" spans="3:11" ht="15.75" x14ac:dyDescent="0.25">
      <c r="C76" s="18"/>
      <c r="D76" s="1"/>
      <c r="E76" s="1"/>
      <c r="F76" s="1"/>
      <c r="G76" s="1"/>
      <c r="H76" s="1"/>
      <c r="I76" s="1"/>
      <c r="J76" s="1"/>
      <c r="K76" s="18"/>
    </row>
    <row r="77" spans="3:11" ht="15.75" x14ac:dyDescent="0.25">
      <c r="C77" s="18"/>
      <c r="D77" s="1"/>
      <c r="E77" s="1"/>
      <c r="F77" s="1"/>
      <c r="G77" s="1"/>
      <c r="H77" s="1"/>
      <c r="I77" s="1"/>
      <c r="J77" s="1"/>
      <c r="K77" s="18"/>
    </row>
    <row r="78" spans="3:11" ht="15.75" x14ac:dyDescent="0.25">
      <c r="C78" s="18"/>
      <c r="D78" s="1"/>
      <c r="E78" s="1"/>
      <c r="F78" s="1"/>
      <c r="G78" s="1"/>
      <c r="H78" s="1"/>
      <c r="I78" s="1"/>
      <c r="J78" s="1"/>
      <c r="K78" s="18"/>
    </row>
    <row r="79" spans="3:11" ht="15.75" x14ac:dyDescent="0.25">
      <c r="C79" s="18"/>
      <c r="D79" s="1"/>
      <c r="E79" s="1"/>
      <c r="F79" s="1"/>
      <c r="G79" s="1"/>
      <c r="H79" s="1"/>
      <c r="I79" s="1"/>
      <c r="J79" s="1"/>
      <c r="K79" s="18"/>
    </row>
    <row r="80" spans="3:11" ht="15.75" x14ac:dyDescent="0.25">
      <c r="C80" s="18"/>
      <c r="D80" s="1"/>
      <c r="E80" s="1"/>
      <c r="F80" s="1"/>
      <c r="G80" s="1"/>
      <c r="H80" s="1"/>
      <c r="I80" s="1"/>
      <c r="J80" s="1"/>
      <c r="K80" s="18"/>
    </row>
    <row r="81" spans="3:11" ht="15.75" x14ac:dyDescent="0.25">
      <c r="C81" s="18"/>
      <c r="D81" s="1"/>
      <c r="E81" s="1"/>
      <c r="F81" s="1"/>
      <c r="G81" s="1"/>
      <c r="H81" s="1"/>
      <c r="I81" s="1"/>
      <c r="J81" s="1"/>
      <c r="K81" s="18"/>
    </row>
    <row r="82" spans="3:11" ht="15.75" x14ac:dyDescent="0.25">
      <c r="C82" s="18"/>
      <c r="D82" s="1"/>
      <c r="E82" s="1"/>
      <c r="F82" s="1"/>
      <c r="G82" s="1"/>
      <c r="H82" s="1"/>
      <c r="I82" s="1"/>
      <c r="J82" s="1"/>
      <c r="K82" s="18"/>
    </row>
    <row r="83" spans="3:11" ht="15.75" x14ac:dyDescent="0.25">
      <c r="C83" s="18"/>
      <c r="D83" s="1"/>
      <c r="E83" s="1"/>
      <c r="F83" s="1"/>
      <c r="G83" s="1"/>
      <c r="H83" s="1"/>
      <c r="I83" s="1"/>
      <c r="J83" s="1"/>
      <c r="K83" s="18"/>
    </row>
    <row r="84" spans="3:11" ht="15.75" x14ac:dyDescent="0.25">
      <c r="C84" s="18"/>
      <c r="D84" s="1"/>
      <c r="E84" s="1"/>
      <c r="F84" s="1"/>
      <c r="G84" s="1"/>
      <c r="H84" s="1"/>
      <c r="I84" s="1"/>
      <c r="J84" s="1"/>
      <c r="K84" s="18"/>
    </row>
    <row r="85" spans="3:11" ht="15.75" x14ac:dyDescent="0.25">
      <c r="C85" s="18"/>
      <c r="D85" s="1"/>
      <c r="E85" s="1"/>
      <c r="F85" s="1"/>
      <c r="G85" s="1"/>
      <c r="H85" s="1"/>
      <c r="I85" s="1"/>
      <c r="J85" s="1"/>
      <c r="K85" s="18"/>
    </row>
    <row r="86" spans="3:11" x14ac:dyDescent="0.25">
      <c r="C86" s="18"/>
      <c r="D86" s="18"/>
      <c r="E86" s="18"/>
      <c r="F86" s="18"/>
      <c r="G86" s="18"/>
      <c r="H86" s="18"/>
      <c r="I86" s="18"/>
      <c r="J86" s="18"/>
      <c r="K86" s="18"/>
    </row>
    <row r="87" spans="3:11" x14ac:dyDescent="0.25">
      <c r="C87" s="18"/>
      <c r="D87" s="18"/>
      <c r="E87" s="18"/>
      <c r="F87" s="18"/>
      <c r="G87" s="18"/>
      <c r="H87" s="18"/>
      <c r="I87" s="18"/>
      <c r="J87" s="18"/>
      <c r="K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71"/>
  <sheetViews>
    <sheetView showGridLines="0" zoomScaleNormal="100" workbookViewId="0">
      <selection activeCell="F7" sqref="F7"/>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3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3" customFormat="1" ht="30" customHeight="1" x14ac:dyDescent="0.35">
      <c r="A1" s="33" t="e" vm="1">
        <v>#VALUE!</v>
      </c>
      <c r="C1" s="33" t="s">
        <v>123</v>
      </c>
    </row>
    <row r="2" spans="1:10" s="8" customFormat="1" ht="20.100000000000001" customHeight="1" x14ac:dyDescent="0.25"/>
    <row r="3" spans="1:10" ht="20.100000000000001" customHeight="1" x14ac:dyDescent="0.25">
      <c r="A3" s="13" t="str">
        <f>HYPERLINK("#'Home'!A1", "Home")</f>
        <v>Home</v>
      </c>
      <c r="C3" s="11"/>
      <c r="D3" s="11"/>
      <c r="E3" s="11"/>
      <c r="F3" s="11"/>
      <c r="G3" s="11"/>
      <c r="H3" s="11"/>
      <c r="I3" s="11"/>
      <c r="J3" s="11"/>
    </row>
    <row r="4" spans="1:10" ht="20.100000000000001" customHeight="1" x14ac:dyDescent="0.25">
      <c r="A4" s="13" t="str">
        <f>HYPERLINK("#'Overview'!A1", "Overview")</f>
        <v>Overview</v>
      </c>
    </row>
    <row r="5" spans="1:10" ht="20.100000000000001" customHeight="1" x14ac:dyDescent="0.25">
      <c r="A5" s="13" t="str">
        <f>HYPERLINK("#'Results'!A1", "Results")</f>
        <v>Results</v>
      </c>
      <c r="D5" s="5" t="s">
        <v>91</v>
      </c>
    </row>
    <row r="6" spans="1:10" ht="20.100000000000001" customHeight="1" x14ac:dyDescent="0.25">
      <c r="A6" s="12"/>
    </row>
    <row r="7" spans="1:10" ht="20.100000000000001" customHeight="1" x14ac:dyDescent="0.25">
      <c r="A7" s="16" t="s">
        <v>1</v>
      </c>
      <c r="D7" s="1" t="s">
        <v>117</v>
      </c>
      <c r="F7" s="27" t="s">
        <v>119</v>
      </c>
      <c r="G7" s="70" t="s">
        <v>118</v>
      </c>
    </row>
    <row r="8" spans="1:10" ht="20.100000000000001" customHeight="1" x14ac:dyDescent="0.25">
      <c r="A8" s="41" t="str">
        <f>HYPERLINK("#'Input - Wastewater'!A1", "Wastewater")</f>
        <v>Wastewater</v>
      </c>
      <c r="D8" s="1" t="s">
        <v>93</v>
      </c>
      <c r="F8" s="67">
        <v>1000</v>
      </c>
      <c r="G8" s="70" t="s">
        <v>92</v>
      </c>
    </row>
    <row r="9" spans="1:10" ht="20.100000000000001" customHeight="1" x14ac:dyDescent="0.25">
      <c r="A9" s="13"/>
    </row>
    <row r="10" spans="1:10" ht="20.100000000000001" customHeight="1" x14ac:dyDescent="0.25">
      <c r="A10" s="15" t="s">
        <v>45</v>
      </c>
      <c r="D10" s="69" t="s">
        <v>115</v>
      </c>
    </row>
    <row r="11" spans="1:10" ht="20.100000000000001" customHeight="1" x14ac:dyDescent="0.25">
      <c r="A11" s="13" t="str">
        <f>HYPERLINK("#'11.1.1-2 Wastewater CH4'!A1", "10.1.1-2 Wastewater CH4")</f>
        <v>10.1.1-2 Wastewater CH4</v>
      </c>
    </row>
    <row r="12" spans="1:10" ht="20.100000000000001" customHeight="1" x14ac:dyDescent="0.25">
      <c r="A12" s="13" t="str">
        <f>HYPERLINK("#'11.1.3-4 Wastewater N2O'!A1", "10.1.3-4 Wastewater N2O")</f>
        <v>10.1.3-4 Wastewater N2O</v>
      </c>
      <c r="D12" s="59" t="s">
        <v>116</v>
      </c>
      <c r="E12" s="68"/>
      <c r="F12" s="60"/>
    </row>
    <row r="13" spans="1:10" ht="20.100000000000001" customHeight="1" x14ac:dyDescent="0.25">
      <c r="A13" s="13"/>
    </row>
    <row r="14" spans="1:10" ht="20.100000000000001" customHeight="1" x14ac:dyDescent="0.25">
      <c r="A14" s="14" t="s">
        <v>2</v>
      </c>
      <c r="D14" s="1" t="s">
        <v>94</v>
      </c>
      <c r="F14" s="67">
        <v>0.9</v>
      </c>
      <c r="G14" s="70" t="s">
        <v>95</v>
      </c>
    </row>
    <row r="15" spans="1:10" ht="20.100000000000001" customHeight="1" x14ac:dyDescent="0.25">
      <c r="A15" s="13" t="str">
        <f>HYPERLINK("#'Constants - Wastewater'!A1", "Constants - Wastewater")</f>
        <v>Constants - Wastewater</v>
      </c>
      <c r="D15" s="1" t="s">
        <v>102</v>
      </c>
      <c r="F15" s="67">
        <v>0.5</v>
      </c>
      <c r="G15" s="70" t="s">
        <v>101</v>
      </c>
    </row>
    <row r="16" spans="1:10" ht="20.100000000000001" customHeight="1" x14ac:dyDescent="0.25">
      <c r="A16" s="13" t="str">
        <f>HYPERLINK("#'Constants - Common'!A1", "Constants - Common")</f>
        <v>Constants - Common</v>
      </c>
      <c r="D16" s="1" t="s">
        <v>114</v>
      </c>
      <c r="F16" s="67">
        <v>0.2</v>
      </c>
      <c r="G16" s="70" t="s">
        <v>101</v>
      </c>
    </row>
    <row r="17" spans="1:11" ht="20.100000000000001" customHeight="1" x14ac:dyDescent="0.25">
      <c r="D17" s="1" t="s">
        <v>96</v>
      </c>
      <c r="F17" s="67">
        <v>0.1</v>
      </c>
      <c r="G17" s="70" t="s">
        <v>95</v>
      </c>
    </row>
    <row r="18" spans="1:11" ht="20.100000000000001" customHeight="1" x14ac:dyDescent="0.25"/>
    <row r="19" spans="1:11" ht="20.100000000000001" customHeight="1" x14ac:dyDescent="0.25"/>
    <row r="20" spans="1:11" ht="20.100000000000001" customHeight="1" x14ac:dyDescent="0.25">
      <c r="D20" s="69" t="s">
        <v>113</v>
      </c>
    </row>
    <row r="21" spans="1:11" ht="20.100000000000001" customHeight="1" x14ac:dyDescent="0.25">
      <c r="A21" s="13"/>
    </row>
    <row r="22" spans="1:11" ht="20.100000000000001" customHeight="1" x14ac:dyDescent="0.25">
      <c r="D22" s="59" t="s">
        <v>112</v>
      </c>
      <c r="E22" s="68"/>
      <c r="F22" s="60"/>
    </row>
    <row r="23" spans="1:11" ht="20.100000000000001" customHeight="1" x14ac:dyDescent="0.25">
      <c r="A23" s="13"/>
    </row>
    <row r="24" spans="1:11" ht="20.100000000000001" customHeight="1" x14ac:dyDescent="0.25">
      <c r="D24" s="1" t="s">
        <v>97</v>
      </c>
      <c r="F24" s="67">
        <v>100</v>
      </c>
      <c r="G24" s="70" t="s">
        <v>100</v>
      </c>
    </row>
    <row r="25" spans="1:11" ht="20.100000000000001" customHeight="1" x14ac:dyDescent="0.25">
      <c r="D25" s="1" t="s">
        <v>98</v>
      </c>
      <c r="F25" s="67">
        <v>100</v>
      </c>
      <c r="G25" s="70" t="s">
        <v>100</v>
      </c>
    </row>
    <row r="26" spans="1:11" ht="20.100000000000001" customHeight="1" x14ac:dyDescent="0.25">
      <c r="D26" s="1" t="s">
        <v>99</v>
      </c>
      <c r="F26" s="67">
        <v>100</v>
      </c>
      <c r="G26" s="70" t="s">
        <v>100</v>
      </c>
    </row>
    <row r="27" spans="1:11" ht="20.100000000000001" customHeight="1" x14ac:dyDescent="0.25"/>
    <row r="28" spans="1:11" ht="20.100000000000001" customHeight="1" x14ac:dyDescent="0.25"/>
    <row r="29" spans="1:11" ht="20.100000000000001" customHeight="1" x14ac:dyDescent="0.25">
      <c r="A29" s="13"/>
      <c r="K29" s="46"/>
    </row>
    <row r="30" spans="1:11" ht="20.100000000000001" customHeight="1" x14ac:dyDescent="0.25">
      <c r="A30" s="13"/>
      <c r="K30" s="46"/>
    </row>
    <row r="31" spans="1:11" ht="20.100000000000001" customHeight="1" x14ac:dyDescent="0.25">
      <c r="A31" s="32"/>
      <c r="K31" s="46"/>
    </row>
    <row r="32" spans="1:11" ht="20.100000000000001" customHeight="1" x14ac:dyDescent="0.25">
      <c r="A32" s="32"/>
      <c r="K32" s="46"/>
    </row>
    <row r="33" spans="1:12" ht="20.100000000000001" customHeight="1" x14ac:dyDescent="0.25">
      <c r="A33" s="13"/>
      <c r="K33" s="46"/>
    </row>
    <row r="34" spans="1:12" ht="20.100000000000001" customHeight="1" x14ac:dyDescent="0.25">
      <c r="K34" s="46"/>
    </row>
    <row r="35" spans="1:12" ht="20.100000000000001" customHeight="1" x14ac:dyDescent="0.25"/>
    <row r="36" spans="1:12" ht="20.100000000000001" customHeight="1" x14ac:dyDescent="0.25">
      <c r="L36" s="46"/>
    </row>
    <row r="37" spans="1:12" ht="20.100000000000001" customHeight="1" x14ac:dyDescent="0.25">
      <c r="L37" s="46"/>
    </row>
    <row r="38" spans="1:12" ht="20.100000000000001" customHeight="1" x14ac:dyDescent="0.25">
      <c r="C38" s="45"/>
    </row>
    <row r="39" spans="1:12" ht="20.100000000000001" customHeight="1" x14ac:dyDescent="0.25">
      <c r="A39" s="13"/>
      <c r="C39" s="45"/>
      <c r="J39" s="45"/>
    </row>
    <row r="40" spans="1:12" s="46" customFormat="1" ht="20.100000000000001" customHeight="1" x14ac:dyDescent="0.25">
      <c r="C40" s="1"/>
      <c r="D40" s="1"/>
      <c r="E40" s="1"/>
      <c r="F40" s="1"/>
      <c r="G40" s="1"/>
      <c r="H40" s="1"/>
      <c r="I40" s="1"/>
      <c r="J40" s="1"/>
    </row>
    <row r="41" spans="1:12" s="46" customFormat="1" ht="20.100000000000001" customHeight="1" x14ac:dyDescent="0.25">
      <c r="A41" s="47"/>
      <c r="C41" s="1"/>
      <c r="D41" s="1"/>
      <c r="E41" s="1"/>
      <c r="F41" s="1"/>
      <c r="G41" s="1"/>
      <c r="H41" s="1"/>
      <c r="I41" s="1"/>
      <c r="J41" s="1"/>
      <c r="L41" s="46" t="s">
        <v>85</v>
      </c>
    </row>
    <row r="42" spans="1:12" ht="20.100000000000001" customHeight="1" x14ac:dyDescent="0.25"/>
    <row r="43" spans="1:12" ht="20.100000000000001" customHeight="1" x14ac:dyDescent="0.25"/>
    <row r="44" spans="1:12" ht="20.100000000000001" customHeight="1" x14ac:dyDescent="0.25">
      <c r="A44" s="51"/>
    </row>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spans="4:5" ht="20.100000000000001" customHeight="1" x14ac:dyDescent="0.25"/>
    <row r="50" spans="4:5" ht="20.100000000000001" customHeight="1" x14ac:dyDescent="0.25"/>
    <row r="51" spans="4:5" ht="20.100000000000001" customHeight="1" x14ac:dyDescent="0.25"/>
    <row r="52" spans="4:5" ht="20.100000000000001" customHeight="1" x14ac:dyDescent="0.25"/>
    <row r="53" spans="4:5" ht="20.100000000000001" customHeight="1" x14ac:dyDescent="0.25"/>
    <row r="54" spans="4:5" ht="20.100000000000001" customHeight="1" x14ac:dyDescent="0.25">
      <c r="D54" s="1" t="s">
        <v>104</v>
      </c>
    </row>
    <row r="55" spans="4:5" ht="20.100000000000001" customHeight="1" x14ac:dyDescent="0.25">
      <c r="E55" s="1" t="s">
        <v>110</v>
      </c>
    </row>
    <row r="56" spans="4:5" ht="20.100000000000001" customHeight="1" x14ac:dyDescent="0.25">
      <c r="D56" s="1" t="s">
        <v>103</v>
      </c>
    </row>
    <row r="57" spans="4:5" ht="20.100000000000001" customHeight="1" x14ac:dyDescent="0.25">
      <c r="D57" s="1">
        <f>F8*(F14*(1-F15)-F17)</f>
        <v>350</v>
      </c>
    </row>
    <row r="58" spans="4:5" ht="20.100000000000001" customHeight="1" x14ac:dyDescent="0.25"/>
    <row r="59" spans="4:5" ht="20.100000000000001" customHeight="1" x14ac:dyDescent="0.25">
      <c r="E59" s="1" t="s">
        <v>110</v>
      </c>
    </row>
    <row r="60" spans="4:5" ht="20.100000000000001" customHeight="1" x14ac:dyDescent="0.25">
      <c r="D60" s="1" t="s">
        <v>105</v>
      </c>
    </row>
    <row r="61" spans="4:5" ht="20.100000000000001" customHeight="1" x14ac:dyDescent="0.25"/>
    <row r="62" spans="4:5" ht="20.100000000000001" customHeight="1" x14ac:dyDescent="0.25">
      <c r="D62" s="1" t="s">
        <v>108</v>
      </c>
    </row>
    <row r="63" spans="4:5" ht="20.100000000000001" customHeight="1" x14ac:dyDescent="0.25"/>
    <row r="64" spans="4:5" ht="20.100000000000001" customHeight="1" x14ac:dyDescent="0.25"/>
    <row r="65" spans="4:5" ht="20.100000000000001" customHeight="1" x14ac:dyDescent="0.25">
      <c r="D65" s="1" t="s">
        <v>107</v>
      </c>
      <c r="E65" s="1" t="s">
        <v>109</v>
      </c>
    </row>
    <row r="66" spans="4:5" ht="20.100000000000001" customHeight="1" x14ac:dyDescent="0.25"/>
    <row r="67" spans="4:5" ht="20.100000000000001" customHeight="1" x14ac:dyDescent="0.25"/>
    <row r="68" spans="4:5" ht="20.100000000000001" customHeight="1" x14ac:dyDescent="0.25">
      <c r="D68" s="1" t="s">
        <v>106</v>
      </c>
    </row>
    <row r="69" spans="4:5" ht="20.100000000000001" customHeight="1" x14ac:dyDescent="0.25"/>
    <row r="70" spans="4:5" ht="20.100000000000001" customHeight="1" x14ac:dyDescent="0.25">
      <c r="D70" s="1" t="s">
        <v>111</v>
      </c>
    </row>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71" spans="4:4" x14ac:dyDescent="0.25">
      <c r="D371" s="38"/>
    </row>
  </sheetData>
  <conditionalFormatting sqref="D39:H43">
    <cfRule type="cellIs" dxfId="16" priority="1" operator="lessThan">
      <formula>0</formula>
    </cfRule>
  </conditionalFormatting>
  <conditionalFormatting sqref="F148:F149">
    <cfRule type="cellIs" dxfId="15" priority="21" operator="lessThan">
      <formula>0</formula>
    </cfRule>
  </conditionalFormatting>
  <conditionalFormatting sqref="F160:F161">
    <cfRule type="cellIs" dxfId="14" priority="20" operator="lessThan">
      <formula>0</formula>
    </cfRule>
  </conditionalFormatting>
  <conditionalFormatting sqref="F172:F173">
    <cfRule type="cellIs" dxfId="13" priority="19" operator="lessThan">
      <formula>0</formula>
    </cfRule>
  </conditionalFormatting>
  <conditionalFormatting sqref="F260:F261">
    <cfRule type="cellIs" dxfId="12" priority="94" operator="lessThan">
      <formula>0</formula>
    </cfRule>
  </conditionalFormatting>
  <conditionalFormatting sqref="F265:F266">
    <cfRule type="cellIs" dxfId="11" priority="93" operator="lessThan">
      <formula>0</formula>
    </cfRule>
  </conditionalFormatting>
  <conditionalFormatting sqref="F270:F271">
    <cfRule type="cellIs" dxfId="10" priority="92" operator="lessThan">
      <formula>0</formula>
    </cfRule>
  </conditionalFormatting>
  <conditionalFormatting sqref="F294:F295">
    <cfRule type="cellIs" dxfId="9" priority="86" operator="lessThan">
      <formula>0</formula>
    </cfRule>
  </conditionalFormatting>
  <conditionalFormatting sqref="F299:F300">
    <cfRule type="cellIs" dxfId="8" priority="85" operator="lessThan">
      <formula>0</formula>
    </cfRule>
  </conditionalFormatting>
  <conditionalFormatting sqref="F304:F305">
    <cfRule type="cellIs" dxfId="7" priority="84" operator="lessThan">
      <formula>0</formula>
    </cfRule>
  </conditionalFormatting>
  <conditionalFormatting sqref="I65:I69">
    <cfRule type="cellIs" dxfId="6" priority="6" operator="lessThan">
      <formula>0</formula>
    </cfRule>
  </conditionalFormatting>
  <conditionalFormatting sqref="I73 I132">
    <cfRule type="cellIs" dxfId="5" priority="75" operator="lessThan">
      <formula>0</formula>
    </cfRule>
  </conditionalFormatting>
  <conditionalFormatting sqref="I84:I86">
    <cfRule type="cellIs" dxfId="4" priority="5" operator="lessThan">
      <formula>0</formula>
    </cfRule>
  </conditionalFormatting>
  <conditionalFormatting sqref="I90:I93">
    <cfRule type="cellIs" dxfId="3" priority="4" operator="lessThan">
      <formula>0</formula>
    </cfRule>
  </conditionalFormatting>
  <conditionalFormatting sqref="I97:I101">
    <cfRule type="cellIs" dxfId="2" priority="2" operator="lessThan">
      <formula>0</formula>
    </cfRule>
  </conditionalFormatting>
  <conditionalFormatting sqref="J8 I51:I52 H53:H55 I54 I56:I58 I60:I61 I212 I218 E220:G220">
    <cfRule type="cellIs" dxfId="1" priority="80" operator="lessThan">
      <formula>0</formula>
    </cfRule>
  </conditionalFormatting>
  <conditionalFormatting sqref="J37 I45 F136:F137">
    <cfRule type="cellIs" dxfId="0" priority="22" operator="lessThan">
      <formula>0</formula>
    </cfRule>
  </conditionalFormatting>
  <dataValidations count="5">
    <dataValidation type="list" allowBlank="1" showInputMessage="1" showErrorMessage="1" sqref="D287" xr:uid="{4E913AB3-F90B-4C35-BCE1-5DBB8FC05107}">
      <formula1>INDIRECT("Table_SourceData_PoultryMMSStage1[MMS]")</formula1>
    </dataValidation>
    <dataValidation type="list" allowBlank="1" showInputMessage="1" showErrorMessage="1" sqref="E235" xr:uid="{9FB53635-991F-44AA-A123-E8ABEF9EE0A6}">
      <formula1>INDIRECT("Table_SourceData_Dairy_ProductionSystemTemplates[Area]")</formula1>
    </dataValidation>
    <dataValidation type="list" allowBlank="1" showInputMessage="1" showErrorMessage="1" sqref="E259 E264 E269 E303 E298 E293 E171 E159 E135 E147" xr:uid="{00A4EA4C-90D3-4150-979D-4D71C7F37A31}">
      <formula1>"Yes, No"</formula1>
    </dataValidation>
    <dataValidation type="list" allowBlank="1" showInputMessage="1" showErrorMessage="1" sqref="E75" xr:uid="{DBA884B0-B52E-420E-8FD2-21B082EB75E2}">
      <formula1>INDIRECT("Table_SourceData_Swine_IrrigationMethods[Irrigation method]")</formula1>
    </dataValidation>
    <dataValidation type="list" allowBlank="1" showInputMessage="1" showErrorMessage="1" sqref="F7" xr:uid="{F398758C-0972-41E2-8DB7-97D63CA8C0C6}">
      <formula1>INDIRECT("Table_SourceData_MCF_Wastewater[Facility type t]")</formula1>
    </dataValidation>
  </dataValidation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L342"/>
  <sheetViews>
    <sheetView showGridLines="0" zoomScaleNormal="100" workbookViewId="0">
      <selection activeCell="D5" sqref="D5"/>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3" t="e" vm="1">
        <v>#VALUE!</v>
      </c>
      <c r="C1" s="7" t="s">
        <v>124</v>
      </c>
    </row>
    <row r="2" spans="1:12" s="8" customFormat="1" ht="20.100000000000001" customHeight="1" x14ac:dyDescent="0.25"/>
    <row r="3" spans="1:12" ht="20.100000000000001" customHeight="1" x14ac:dyDescent="0.25">
      <c r="A3" s="13" t="str">
        <f>HYPERLINK("#'Home'!A1", "Home")</f>
        <v>Home</v>
      </c>
      <c r="C3" s="3"/>
      <c r="D3" s="3" t="s">
        <v>49</v>
      </c>
      <c r="E3" s="3"/>
      <c r="F3" s="3"/>
      <c r="G3" s="3"/>
      <c r="H3" s="3"/>
      <c r="I3" s="3"/>
      <c r="J3" s="3"/>
      <c r="K3" s="3"/>
      <c r="L3" s="3"/>
    </row>
    <row r="4" spans="1:12" ht="20.100000000000001" customHeight="1" x14ac:dyDescent="0.25">
      <c r="A4" s="13" t="str">
        <f>HYPERLINK("#'Overview'!A1", "Overview")</f>
        <v>Overview</v>
      </c>
    </row>
    <row r="5" spans="1:12" ht="20.100000000000001" customHeight="1" x14ac:dyDescent="0.25">
      <c r="A5" s="13" t="str">
        <f>HYPERLINK("#'Results'!A1", "Results")</f>
        <v>Results</v>
      </c>
      <c r="D5" s="5" t="str" cm="1">
        <f t="array" ref="D5">Wastewater_Methane_Equations.VEERG_11_1_1_1__1_MethaneEmissionsFromWastewaterTreatment_Title()</f>
        <v>Methane emissions from wastewater treatment</v>
      </c>
    </row>
    <row r="6" spans="1:12" ht="20.100000000000001" customHeight="1" x14ac:dyDescent="0.25">
      <c r="A6" s="12"/>
      <c r="D6" s="4" t="str" cm="1">
        <f t="array" ref="D6">Wastewater_Methane_Equations.VEERG_11_1_1_1__1_MethaneEmissionsFromWastewaterTreatment_Source()</f>
        <v>VEERG 2026: 11.1.1.1, Equation (1)</v>
      </c>
    </row>
    <row r="7" spans="1:12" ht="20.100000000000001" customHeight="1" x14ac:dyDescent="0.25">
      <c r="A7" s="16" t="s">
        <v>1</v>
      </c>
      <c r="D7" s="31" t="str" cm="1">
        <f t="array" ref="D7">Wastewater_Methane_Equations.VEERG_11_1_1_1__1_MethaneEmissionsFromWastewaterTreatment_Variation()</f>
        <v xml:space="preserve">VARIATION ON SOURCE: Changed units of EF_ww, EF_Sludge and EF_flared from CO2e to CH4 to match data in Table </v>
      </c>
    </row>
    <row r="8" spans="1:12" ht="20.100000000000001" customHeight="1" x14ac:dyDescent="0.25">
      <c r="A8" s="13" t="str">
        <f>HYPERLINK("#'Input - Wastewater'!A1", "Wastewater")</f>
        <v>Wastewater</v>
      </c>
      <c r="D8" s="10" t="s">
        <v>10</v>
      </c>
      <c r="E8" s="10" t="str" cm="1">
        <f t="array" aca="1" ref="E8" ca="1">Common_InputFunctions.Utility_DisplayFunctionName(E30)</f>
        <v>=Wastewater_Methane_Equations.VEERG_11_1_1_1__1_MethaneEmissionsFromWastewaterTreatment</v>
      </c>
    </row>
    <row r="9" spans="1:12" ht="20.100000000000001" customHeight="1" x14ac:dyDescent="0.25">
      <c r="A9" s="13"/>
    </row>
    <row r="10" spans="1:12" ht="20.100000000000001" customHeight="1" x14ac:dyDescent="0.25">
      <c r="A10" s="15" t="s">
        <v>45</v>
      </c>
    </row>
    <row r="11" spans="1:12" ht="20.100000000000001" customHeight="1" x14ac:dyDescent="0.25">
      <c r="A11" s="65" t="str">
        <f>HYPERLINK("#'11.1.1-2 Wastewater CH4'!A1", "10.1.1-2 Wastewater CH4")</f>
        <v>10.1.1-2 Wastewater CH4</v>
      </c>
      <c r="D11" s="29" t="s">
        <v>13</v>
      </c>
      <c r="E11" s="1" t="str" cm="1">
        <f t="array" ref="E11">Wastewater_Methane_Equations.VEERG_11_1_1_1__1_MethaneEmissionsFromWastewaterTreatment_Variable()</f>
        <v>E_CH4</v>
      </c>
    </row>
    <row r="12" spans="1:12" ht="20.100000000000001" customHeight="1" x14ac:dyDescent="0.25">
      <c r="A12" s="13" t="str">
        <f>HYPERLINK("#'11.1.3-4 Wastewater N2O'!A1", "10.1.3-4 Wastewater N2O")</f>
        <v>10.1.3-4 Wastewater N2O</v>
      </c>
      <c r="D12" s="29" t="s">
        <v>5</v>
      </c>
      <c r="E12" s="30" t="str" cm="1">
        <f t="array" ref="E12">Wastewater_Methane_Equations.VEERG_11_1_1_1__1_MethaneEmissionsFromWastewaterTreatment_Unit()</f>
        <v>t CH4</v>
      </c>
    </row>
    <row r="13" spans="1:12" ht="20.100000000000001" customHeight="1" x14ac:dyDescent="0.25">
      <c r="A13" s="13"/>
    </row>
    <row r="14" spans="1:12" ht="20.100000000000001" customHeight="1" x14ac:dyDescent="0.25">
      <c r="A14" s="14" t="s">
        <v>2</v>
      </c>
      <c r="D14" s="48" t="str" cm="1">
        <f t="array" ref="D14:E28">_xlfn.CHOOSECOLS(Wastewater_Methane_Equations.VEERG_11_1_1_1__1_MethaneEmissionsFromWastewaterTreatment_Arguments(),1,2)</f>
        <v>W_t</v>
      </c>
      <c r="E14" s="50" t="str">
        <v>quantity of wastewater treated at facility type t</v>
      </c>
      <c r="F14" s="64"/>
      <c r="G14" s="49"/>
      <c r="H14" s="48" t="str" cm="1">
        <f t="array" ref="H14:I28">_xlfn.CHOOSECOLS(Wastewater_Methane_Equations.VEERG_11_1_1_1__1_MethaneEmissionsFromWastewaterTreatment_Arguments(),3,4)</f>
        <v>m3</v>
      </c>
      <c r="I14" s="44" t="str">
        <v>Input</v>
      </c>
      <c r="J14" s="48">
        <f>'Input - Wastewater'!F8</f>
        <v>1000</v>
      </c>
    </row>
    <row r="15" spans="1:12" ht="20.100000000000001" customHeight="1" x14ac:dyDescent="0.25">
      <c r="A15" s="13" t="str">
        <f>HYPERLINK("#'Constants - Wastewater'!A1", "Constants - Wastewater")</f>
        <v>Constants - Wastewater</v>
      </c>
      <c r="D15" s="48" t="str">
        <v>COD_in</v>
      </c>
      <c r="E15" s="50" t="str">
        <v>average inlet Chemical Oxygen Demand concentration of wastewater</v>
      </c>
      <c r="F15" s="64"/>
      <c r="G15" s="49"/>
      <c r="H15" s="48" t="str">
        <v>kg COD/m3</v>
      </c>
      <c r="I15" s="44" t="str">
        <v>Input</v>
      </c>
      <c r="J15" s="48">
        <f>'Input - Wastewater'!F14</f>
        <v>0.9</v>
      </c>
    </row>
    <row r="16" spans="1:12" ht="20.100000000000001" customHeight="1" x14ac:dyDescent="0.25">
      <c r="A16" s="13" t="str">
        <f>HYPERLINK("#'Constants - Common'!A1", "Constants - Common")</f>
        <v>Constants - Common</v>
      </c>
      <c r="D16" s="48" t="str">
        <v>F_sludge</v>
      </c>
      <c r="E16" s="50" t="str">
        <v>fraction of COD removed from wastewater as sludge</v>
      </c>
      <c r="F16" s="64"/>
      <c r="G16" s="49"/>
      <c r="H16" s="48" t="str">
        <v>fraction</v>
      </c>
      <c r="I16" s="44" t="str">
        <v>Input</v>
      </c>
      <c r="J16" s="48">
        <f>'Input - Wastewater'!F15</f>
        <v>0.5</v>
      </c>
    </row>
    <row r="17" spans="1:10" ht="20.100000000000001" customHeight="1" x14ac:dyDescent="0.25">
      <c r="D17" s="48" t="str">
        <v>COD_out</v>
      </c>
      <c r="E17" s="50" t="str">
        <v>average outlet COD concentration of wastewater</v>
      </c>
      <c r="F17" s="64"/>
      <c r="G17" s="49"/>
      <c r="H17" s="48" t="str">
        <v>kg COD/m3</v>
      </c>
      <c r="I17" s="44" t="str">
        <v>Input</v>
      </c>
      <c r="J17" s="48">
        <f>'Input - Wastewater'!F17</f>
        <v>0.1</v>
      </c>
    </row>
    <row r="18" spans="1:10" ht="20.100000000000001" customHeight="1" x14ac:dyDescent="0.25">
      <c r="D18" s="48" t="str">
        <v>CF_ww_t</v>
      </c>
      <c r="E18" s="50" t="str">
        <v>methane correction factor for facility type t used to treat wastewater</v>
      </c>
      <c r="F18" s="64"/>
      <c r="G18" s="49"/>
      <c r="H18" s="48" t="str">
        <v>fraction</v>
      </c>
      <c r="I18" s="43" t="str">
        <v>Constant</v>
      </c>
      <c r="J18" s="48" cm="1">
        <f t="array" ref="J18">Common_InputFunctions.Utility_LookupValueInTableNumber(J28,Table_SourceData_MCF_Wastewater[Facility type t],Table_SourceData_MCF_Wastewater[CFww,t])</f>
        <v>0.3</v>
      </c>
    </row>
    <row r="19" spans="1:10" ht="20.100000000000001" customHeight="1" x14ac:dyDescent="0.25">
      <c r="D19" s="48" t="str">
        <v>EF_ww</v>
      </c>
      <c r="E19" s="50" t="str">
        <v>methane emission factor for wastewater</v>
      </c>
      <c r="F19" s="64"/>
      <c r="G19" s="49"/>
      <c r="H19" s="48" t="str">
        <v>kg CH4/kg COD</v>
      </c>
      <c r="I19" s="43" t="str">
        <v>Constant</v>
      </c>
      <c r="J19" s="48">
        <f>'Constants - Wastewater'!$E$31</f>
        <v>0.25</v>
      </c>
    </row>
    <row r="20" spans="1:10" ht="20.100000000000001" customHeight="1" x14ac:dyDescent="0.25">
      <c r="D20" s="48" t="str">
        <v>F_removed</v>
      </c>
      <c r="E20" s="50" t="str">
        <v>fraction of COD removed from the wastewater treatment facility and transferred elsewhere</v>
      </c>
      <c r="F20" s="64"/>
      <c r="G20" s="49"/>
      <c r="H20" s="48" t="str">
        <v>fraction</v>
      </c>
      <c r="I20" s="44" t="str">
        <v>Input</v>
      </c>
      <c r="J20" s="48">
        <f>'Input - Wastewater'!F16</f>
        <v>0.2</v>
      </c>
    </row>
    <row r="21" spans="1:10" ht="20.100000000000001" customHeight="1" x14ac:dyDescent="0.25">
      <c r="A21" s="13"/>
      <c r="D21" s="48" t="str">
        <v>CF_sludge_t</v>
      </c>
      <c r="E21" s="50" t="str">
        <v>methane correction factor for facility type t used to treat sludge</v>
      </c>
      <c r="F21" s="64"/>
      <c r="G21" s="49"/>
      <c r="H21" s="48" t="str">
        <v>fraction</v>
      </c>
      <c r="I21" s="43" t="str">
        <v>Constant</v>
      </c>
      <c r="J21" s="48" cm="1">
        <f t="array" ref="J21">Common_InputFunctions.Utility_LookupValueInTableNumber(J28,Table_SourceData_MCF_Sludge[Facility type t],Table_SourceData_MCF_Sludge[CFsludge,t])</f>
        <v>0.3</v>
      </c>
    </row>
    <row r="22" spans="1:10" ht="20.100000000000001" customHeight="1" x14ac:dyDescent="0.25">
      <c r="D22" s="48" t="str">
        <v>EF_sludge</v>
      </c>
      <c r="E22" s="50" t="str">
        <v>methane emission factor for sludge</v>
      </c>
      <c r="F22" s="64"/>
      <c r="G22" s="49"/>
      <c r="H22" s="48" t="str">
        <v>kg CH4/kg COD</v>
      </c>
      <c r="I22" s="43" t="str">
        <v>Constant</v>
      </c>
      <c r="J22" s="48">
        <f>'Constants - Wastewater'!$E$36</f>
        <v>0.25</v>
      </c>
    </row>
    <row r="23" spans="1:10" ht="20.100000000000001" customHeight="1" x14ac:dyDescent="0.25">
      <c r="A23" s="13"/>
      <c r="D23" s="48" t="str">
        <v>Q_cap</v>
      </c>
      <c r="E23" s="50" t="str">
        <v>quantity of methane in sludge biogas captured for combustion</v>
      </c>
      <c r="F23" s="64"/>
      <c r="G23" s="49"/>
      <c r="H23" s="48" t="str">
        <v>m3 CH4</v>
      </c>
      <c r="I23" s="44" t="str">
        <v>Input</v>
      </c>
      <c r="J23" s="48">
        <f>'Input - Wastewater'!F24</f>
        <v>100</v>
      </c>
    </row>
    <row r="24" spans="1:10" ht="20.100000000000001" customHeight="1" x14ac:dyDescent="0.25">
      <c r="D24" s="48" t="str">
        <v>Q_flared</v>
      </c>
      <c r="E24" s="50" t="str">
        <v>quantity of methane in sludge biogas flared by the treatment facility</v>
      </c>
      <c r="F24" s="64"/>
      <c r="G24" s="49"/>
      <c r="H24" s="48" t="str">
        <v>m3 CH4</v>
      </c>
      <c r="I24" s="44" t="str">
        <v>Input</v>
      </c>
      <c r="J24" s="48">
        <f>'Input - Wastewater'!F25</f>
        <v>100</v>
      </c>
    </row>
    <row r="25" spans="1:10" ht="20.100000000000001" customHeight="1" x14ac:dyDescent="0.25">
      <c r="D25" s="48" t="str">
        <v>Q_out</v>
      </c>
      <c r="E25" s="50" t="str">
        <v>quantity of methane in sludge biogas transferred out of the treatment facility</v>
      </c>
      <c r="F25" s="64"/>
      <c r="G25" s="49"/>
      <c r="H25" s="48" t="str">
        <v>m3 CH4</v>
      </c>
      <c r="I25" s="44" t="str">
        <v>Input</v>
      </c>
      <c r="J25" s="48">
        <f>'Input - Wastewater'!F26</f>
        <v>100</v>
      </c>
    </row>
    <row r="26" spans="1:10" ht="20.100000000000001" customHeight="1" x14ac:dyDescent="0.25">
      <c r="D26" s="48" t="str">
        <v>EC_flared</v>
      </c>
      <c r="E26" s="50" t="str">
        <v>energy content factor of methane in sludge biogas flared</v>
      </c>
      <c r="F26" s="64"/>
      <c r="G26" s="49"/>
      <c r="H26" s="48" t="str">
        <v>GJ/m3</v>
      </c>
      <c r="I26" s="43" t="str">
        <v>Constant</v>
      </c>
      <c r="J26" s="48">
        <f>'Constants - Wastewater'!$E$41</f>
        <v>3.7699999999999997E-2</v>
      </c>
    </row>
    <row r="27" spans="1:10" ht="20.100000000000001" customHeight="1" x14ac:dyDescent="0.25">
      <c r="D27" s="48" t="str">
        <v>EF_flaredCH4</v>
      </c>
      <c r="E27" s="50" t="str">
        <v>methane emission factor for sludge biogas flared</v>
      </c>
      <c r="F27" s="64"/>
      <c r="G27" s="49"/>
      <c r="H27" s="48" t="str">
        <v>kg CH4/GJ</v>
      </c>
      <c r="I27" s="43" t="str">
        <v>Constant</v>
      </c>
      <c r="J27" s="48">
        <f>'Constants - Wastewater'!$E$46</f>
        <v>0.22889999999999999</v>
      </c>
    </row>
    <row r="28" spans="1:10" ht="20.100000000000001" customHeight="1" x14ac:dyDescent="0.25">
      <c r="D28" s="48" t="str">
        <v>t</v>
      </c>
      <c r="E28" s="50" t="str">
        <v>treatment facility type</v>
      </c>
      <c r="F28" s="64"/>
      <c r="G28" s="49"/>
      <c r="H28" s="48" t="str">
        <v/>
      </c>
      <c r="I28" s="44" t="str">
        <v>Input</v>
      </c>
      <c r="J28" s="48" t="str">
        <f>'Input - Wastewater'!$F$7</f>
        <v>Unmanaged aerobic treatment</v>
      </c>
    </row>
    <row r="29" spans="1:10" ht="20.100000000000001" customHeight="1" x14ac:dyDescent="0.25"/>
    <row r="30" spans="1:10" ht="20.100000000000001" customHeight="1" x14ac:dyDescent="0.25">
      <c r="D30" s="61" t="s">
        <v>120</v>
      </c>
      <c r="E30" s="63" cm="1">
        <f t="array" ref="E30">Wastewater_Methane_Equations.VEERG_11_1_1_1__1_MethaneEmissionsFromWastewaterTreatment(J14,J15,J16,J17,J18,J19,J20,J21,J22,J23,J24,J25,J26,J27)</f>
        <v>4.7159433000000001E-2</v>
      </c>
      <c r="F30" s="66" t="str">
        <f>$E$12</f>
        <v>t CH4</v>
      </c>
    </row>
    <row r="31" spans="1:10" ht="20.100000000000001" customHeight="1" x14ac:dyDescent="0.25"/>
    <row r="32" spans="1:10" ht="20.100000000000001" customHeight="1" x14ac:dyDescent="0.25">
      <c r="D32" s="71" t="str" cm="1">
        <f t="array" ref="D32:E33">Common_Equations.Common_ConvertCH4ToCO2e_Arguments()</f>
        <v>ECH4</v>
      </c>
      <c r="E32" s="72" t="str">
        <v>Methane emissions (t CH4)</v>
      </c>
      <c r="F32" s="73"/>
      <c r="G32" s="28">
        <f>E30</f>
        <v>4.7159433000000001E-2</v>
      </c>
    </row>
    <row r="33" spans="4:7" ht="20.100000000000001" customHeight="1" x14ac:dyDescent="0.25">
      <c r="D33" s="71" t="str">
        <v>GWPCH4</v>
      </c>
      <c r="E33" s="72" t="str">
        <v>Global warming potential for methane (t CO2-e / t CH4)</v>
      </c>
      <c r="F33" s="73"/>
      <c r="G33" s="28">
        <v>28</v>
      </c>
    </row>
    <row r="34" spans="4:7" ht="20.100000000000001" customHeight="1" x14ac:dyDescent="0.25"/>
    <row r="35" spans="4:7" ht="20.100000000000001" customHeight="1" x14ac:dyDescent="0.25">
      <c r="D35" s="62" t="s">
        <v>121</v>
      </c>
      <c r="E35" s="62" cm="1">
        <f t="array" ref="E35">Common_Equations.Common_ConvertN2OToCO2e(G32,G33)</f>
        <v>1.3204641239999999</v>
      </c>
      <c r="F35" s="74" t="str" cm="1">
        <f t="array" ref="F35">Common_Equations.Common_ConvertN2OToCO2e_Unit()</f>
        <v>t CO2e</v>
      </c>
    </row>
    <row r="36" spans="4:7" ht="20.100000000000001" customHeight="1" x14ac:dyDescent="0.25"/>
    <row r="37" spans="4:7" ht="20.100000000000001" customHeight="1" x14ac:dyDescent="0.25"/>
    <row r="38" spans="4:7" ht="20.100000000000001" customHeight="1" x14ac:dyDescent="0.25"/>
    <row r="39" spans="4:7" ht="20.100000000000001" customHeight="1" x14ac:dyDescent="0.25"/>
    <row r="40" spans="4:7" ht="20.100000000000001" customHeight="1" x14ac:dyDescent="0.25"/>
    <row r="41" spans="4:7" ht="20.100000000000001" customHeight="1" x14ac:dyDescent="0.25"/>
    <row r="42" spans="4:7" ht="20.100000000000001" customHeight="1" x14ac:dyDescent="0.25"/>
    <row r="43" spans="4:7" ht="20.100000000000001" customHeight="1" x14ac:dyDescent="0.25"/>
    <row r="44" spans="4:7" ht="20.100000000000001" customHeight="1" x14ac:dyDescent="0.25"/>
    <row r="45" spans="4:7" ht="20.100000000000001" customHeight="1" x14ac:dyDescent="0.25"/>
    <row r="46" spans="4:7" ht="20.100000000000001" customHeight="1" x14ac:dyDescent="0.25"/>
    <row r="47" spans="4:7" ht="20.100000000000001" customHeight="1" x14ac:dyDescent="0.25"/>
    <row r="48" spans="4:7"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c r="A66" s="51" t="str">
        <f>HYPERLINK("#A1", "▲ Back to top")</f>
        <v>▲ Back to top</v>
      </c>
    </row>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1" ht="20.100000000000001" customHeight="1" x14ac:dyDescent="0.25"/>
    <row r="98" spans="1:1" ht="20.100000000000001" customHeight="1" x14ac:dyDescent="0.25"/>
    <row r="99" spans="1:1" ht="20.100000000000001" customHeight="1" x14ac:dyDescent="0.25"/>
    <row r="100" spans="1:1" ht="20.100000000000001" customHeight="1" x14ac:dyDescent="0.25"/>
    <row r="101" spans="1:1" ht="20.100000000000001" customHeight="1" x14ac:dyDescent="0.25"/>
    <row r="102" spans="1:1" ht="20.100000000000001" customHeight="1" x14ac:dyDescent="0.25"/>
    <row r="103" spans="1:1" ht="20.100000000000001" customHeight="1" x14ac:dyDescent="0.25"/>
    <row r="104" spans="1:1" ht="20.100000000000001" customHeight="1" x14ac:dyDescent="0.25"/>
    <row r="105" spans="1:1" ht="20.100000000000001" customHeight="1" x14ac:dyDescent="0.25"/>
    <row r="106" spans="1:1" ht="20.100000000000001" customHeight="1" x14ac:dyDescent="0.25"/>
    <row r="107" spans="1:1" ht="20.100000000000001" customHeight="1" x14ac:dyDescent="0.25"/>
    <row r="108" spans="1:1" ht="20.100000000000001" customHeight="1" x14ac:dyDescent="0.25"/>
    <row r="109" spans="1:1" ht="20.100000000000001" customHeight="1" x14ac:dyDescent="0.25">
      <c r="A109" s="51" t="str">
        <f>HYPERLINK("#A1", "▲ Back to top")</f>
        <v>▲ Back to top</v>
      </c>
    </row>
    <row r="110" spans="1:1" ht="20.100000000000001" customHeight="1" x14ac:dyDescent="0.25"/>
    <row r="111" spans="1:1" ht="20.100000000000001" customHeight="1" x14ac:dyDescent="0.25"/>
    <row r="112" spans="1:1"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spans="1:1" ht="20.100000000000001" customHeight="1" x14ac:dyDescent="0.25"/>
    <row r="130" spans="1:1" ht="20.100000000000001" customHeight="1" x14ac:dyDescent="0.25"/>
    <row r="131" spans="1:1" ht="20.100000000000001" customHeight="1" x14ac:dyDescent="0.25"/>
    <row r="132" spans="1:1" ht="20.100000000000001" customHeight="1" x14ac:dyDescent="0.25"/>
    <row r="133" spans="1:1" ht="20.100000000000001" customHeight="1" x14ac:dyDescent="0.25"/>
    <row r="134" spans="1:1" ht="20.100000000000001" customHeight="1" x14ac:dyDescent="0.25"/>
    <row r="135" spans="1:1" ht="20.100000000000001" customHeight="1" x14ac:dyDescent="0.25"/>
    <row r="136" spans="1:1" ht="20.100000000000001" customHeight="1" x14ac:dyDescent="0.25">
      <c r="A136" s="51" t="str">
        <f>HYPERLINK("#A1", "▲ Back to top")</f>
        <v>▲ Back to top</v>
      </c>
    </row>
    <row r="137" spans="1:1" ht="20.100000000000001" customHeight="1" x14ac:dyDescent="0.25"/>
    <row r="138" spans="1:1" ht="20.100000000000001" customHeight="1" x14ac:dyDescent="0.25"/>
    <row r="139" spans="1:1" ht="20.100000000000001" customHeight="1" x14ac:dyDescent="0.25"/>
    <row r="140" spans="1:1" ht="20.100000000000001" customHeight="1" x14ac:dyDescent="0.25"/>
    <row r="141" spans="1:1" ht="20.100000000000001" customHeight="1" x14ac:dyDescent="0.25"/>
    <row r="142" spans="1:1" ht="20.100000000000001" customHeight="1" x14ac:dyDescent="0.25"/>
    <row r="143" spans="1:1" ht="20.100000000000001" customHeight="1" x14ac:dyDescent="0.25"/>
    <row r="144" spans="1:1"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F150:I150 F148:I148 I14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3351F-67D6-47A4-BDE6-FCDB902021C5}">
  <dimension ref="A1:J342"/>
  <sheetViews>
    <sheetView showGridLines="0" zoomScaleNormal="100" workbookViewId="0">
      <selection activeCell="D5" sqref="D5"/>
    </sheetView>
  </sheetViews>
  <sheetFormatPr defaultRowHeight="15.75" x14ac:dyDescent="0.25"/>
  <cols>
    <col min="1" max="1" width="30.7109375" customWidth="1"/>
    <col min="2" max="2" width="4.7109375" customWidth="1"/>
    <col min="3" max="3" width="4.7109375" style="1" customWidth="1"/>
    <col min="4" max="4" width="46.28515625" style="1" customWidth="1"/>
    <col min="5" max="9" width="30.7109375" style="1" customWidth="1"/>
    <col min="10" max="10" width="4.7109375" style="1" customWidth="1"/>
  </cols>
  <sheetData>
    <row r="1" spans="1:10" s="7" customFormat="1" ht="30" customHeight="1" x14ac:dyDescent="0.35">
      <c r="A1" s="33" t="e" vm="1">
        <v>#VALUE!</v>
      </c>
      <c r="C1" s="7" t="s">
        <v>125</v>
      </c>
    </row>
    <row r="2" spans="1:10" s="8" customFormat="1" ht="20.100000000000001" customHeight="1" x14ac:dyDescent="0.25"/>
    <row r="3" spans="1:10" ht="20.100000000000001" customHeight="1" x14ac:dyDescent="0.25">
      <c r="A3" s="13" t="str">
        <f>HYPERLINK("#'Home'!A1", "Home")</f>
        <v>Home</v>
      </c>
      <c r="C3" s="3"/>
      <c r="D3" s="3" t="s">
        <v>49</v>
      </c>
      <c r="E3" s="3"/>
      <c r="F3" s="3"/>
      <c r="G3" s="3"/>
      <c r="H3" s="3"/>
      <c r="I3" s="3"/>
      <c r="J3" s="3"/>
    </row>
    <row r="4" spans="1:10" ht="20.100000000000001" customHeight="1" x14ac:dyDescent="0.25">
      <c r="A4" s="13" t="str">
        <f>HYPERLINK("#'Overview'!A1", "Overview")</f>
        <v>Overview</v>
      </c>
    </row>
    <row r="5" spans="1:10" ht="20.100000000000001" customHeight="1" x14ac:dyDescent="0.25">
      <c r="A5" s="13" t="str">
        <f>HYPERLINK("#'Results'!A1", "Results")</f>
        <v>Results</v>
      </c>
      <c r="D5" s="5" t="str" cm="1">
        <f t="array" ref="D5">Wastewater_N2O_Equations.VEERG_11_1_3_1__1_NitrousOxideEmissionsFromFlaredBiogas_Title()</f>
        <v>Nitrous oxide emissions from flared biogas</v>
      </c>
    </row>
    <row r="6" spans="1:10" ht="20.100000000000001" customHeight="1" x14ac:dyDescent="0.25">
      <c r="A6" s="12"/>
      <c r="D6" s="4" t="str" cm="1">
        <f t="array" ref="D6">Wastewater_N2O_Equations.VEERG_11_1_3_1__1_NitrousOxideEmissionsFromFlaredBiogas_Source()</f>
        <v>VEERG 2026: 11.1.3.1, Equation (1)</v>
      </c>
    </row>
    <row r="7" spans="1:10" ht="20.100000000000001" customHeight="1" x14ac:dyDescent="0.25">
      <c r="A7" s="16" t="s">
        <v>1</v>
      </c>
      <c r="D7" s="10" t="s">
        <v>10</v>
      </c>
      <c r="E7" s="10" t="str" cm="1">
        <f t="array" aca="1" ref="E7" ca="1">Common_InputFunctions.Utility_DisplayFunctionName(E17)</f>
        <v>=Wastewater_N2O_Equations.VEERG_11_1_3_1__1_NitrousOxideEmissionsFromFlaredBiogas</v>
      </c>
    </row>
    <row r="8" spans="1:10" ht="20.100000000000001" customHeight="1" x14ac:dyDescent="0.25">
      <c r="A8" s="13" t="str">
        <f>HYPERLINK("#'Input - Wastewater'!A1", "Wastewater")</f>
        <v>Wastewater</v>
      </c>
    </row>
    <row r="9" spans="1:10" ht="20.100000000000001" customHeight="1" x14ac:dyDescent="0.25">
      <c r="A9" s="13"/>
    </row>
    <row r="10" spans="1:10" ht="20.100000000000001" customHeight="1" x14ac:dyDescent="0.25">
      <c r="A10" s="15" t="s">
        <v>45</v>
      </c>
      <c r="D10" s="29" t="s">
        <v>13</v>
      </c>
      <c r="E10" s="1" t="str" cm="1">
        <f t="array" ref="E10">Wastewater_N2O_Equations.VEERG_11_1_3_1__1_NitrousOxideEmissionsFromFlaredBiogas_Variable()</f>
        <v>E_N2O</v>
      </c>
    </row>
    <row r="11" spans="1:10" ht="20.100000000000001" customHeight="1" x14ac:dyDescent="0.25">
      <c r="A11" s="13" t="str">
        <f>HYPERLINK("#'11.1.1-2 Wastewater CH4'!A1", "10.1.1-2 Wastewater CH4")</f>
        <v>10.1.1-2 Wastewater CH4</v>
      </c>
      <c r="D11" s="29" t="s">
        <v>5</v>
      </c>
      <c r="E11" s="30" t="str" cm="1">
        <f t="array" ref="E11">Wastewater_N2O_Equations.VEERG_11_1_3_1__1_NitrousOxideEmissionsFromFlaredBiogas_Unit()</f>
        <v>t N2O</v>
      </c>
    </row>
    <row r="12" spans="1:10" ht="20.100000000000001" customHeight="1" x14ac:dyDescent="0.25">
      <c r="A12" s="65" t="str">
        <f>HYPERLINK("#'11.1.3-4 Wastewater N2O'!A1", "10.1.3-4 Wastewater N2O")</f>
        <v>10.1.3-4 Wastewater N2O</v>
      </c>
    </row>
    <row r="13" spans="1:10" ht="20.100000000000001" customHeight="1" x14ac:dyDescent="0.25">
      <c r="A13" s="13"/>
      <c r="D13" s="48" t="str" cm="1">
        <f t="array" ref="D13:E15">_xlfn.CHOOSECOLS(Wastewater_N2O_Equations.VEERG_11_1_3_1__1_NitrousOxideEmissionsFromFlaredBiogas_Arguments(),1,2)</f>
        <v>Q_flared</v>
      </c>
      <c r="E13" s="50" t="str">
        <v>volume of biogas flared</v>
      </c>
      <c r="F13" s="49"/>
      <c r="G13" s="48" t="str" cm="1">
        <f t="array" ref="G13:H15">_xlfn.CHOOSECOLS(Wastewater_N2O_Equations.VEERG_11_1_3_1__1_NitrousOxideEmissionsFromFlaredBiogas_Arguments(),3,4)</f>
        <v>m3</v>
      </c>
      <c r="H13" s="44" t="str">
        <v>Input</v>
      </c>
      <c r="I13" s="48">
        <f>'Input - Wastewater'!F25</f>
        <v>100</v>
      </c>
    </row>
    <row r="14" spans="1:10" ht="20.100000000000001" customHeight="1" x14ac:dyDescent="0.25">
      <c r="A14" s="14" t="s">
        <v>2</v>
      </c>
      <c r="D14" s="48" t="str">
        <v>EC_flared</v>
      </c>
      <c r="E14" s="50" t="str">
        <v>energy content factor of sludge biogas flared</v>
      </c>
      <c r="F14" s="49"/>
      <c r="G14" s="48" t="str">
        <v>GJ/m3</v>
      </c>
      <c r="H14" s="43" t="str">
        <v>Constant</v>
      </c>
      <c r="I14" s="48">
        <f>'Constants - Wastewater'!E41</f>
        <v>3.7699999999999997E-2</v>
      </c>
    </row>
    <row r="15" spans="1:10" ht="20.100000000000001" customHeight="1" x14ac:dyDescent="0.25">
      <c r="A15" s="13" t="str">
        <f>HYPERLINK("#'Constants - Wastewater'!A1", "Constants - Wastewater")</f>
        <v>Constants - Wastewater</v>
      </c>
      <c r="D15" s="48" t="str">
        <v>EF_flaredN2O</v>
      </c>
      <c r="E15" s="50" t="str">
        <v>nitrous oxide emission factor for flared biogas</v>
      </c>
      <c r="F15" s="49"/>
      <c r="G15" s="48" t="str">
        <v>kg N2O/GJ</v>
      </c>
      <c r="H15" s="43" t="str">
        <v>Constant</v>
      </c>
      <c r="I15" s="48">
        <f>'Constants - Wastewater'!E51</f>
        <v>1.132E-4</v>
      </c>
    </row>
    <row r="16" spans="1:10" ht="20.100000000000001" customHeight="1" x14ac:dyDescent="0.25">
      <c r="A16" s="13" t="str">
        <f>HYPERLINK("#'Constants - Common'!A1", "Constants - Common")</f>
        <v>Constants - Common</v>
      </c>
    </row>
    <row r="17" spans="1:7" ht="20.100000000000001" customHeight="1" x14ac:dyDescent="0.25">
      <c r="D17" s="61" t="s">
        <v>120</v>
      </c>
      <c r="E17" s="63" cm="1">
        <f t="array" ref="E17">Wastewater_N2O_Equations.VEERG_11_1_3_1__1_NitrousOxideEmissionsFromFlaredBiogas(I13,I14,I15)</f>
        <v>4.26764E-7</v>
      </c>
      <c r="F17" s="66" t="str">
        <f>$E$11</f>
        <v>t N2O</v>
      </c>
    </row>
    <row r="18" spans="1:7" ht="20.100000000000001" customHeight="1" x14ac:dyDescent="0.25"/>
    <row r="19" spans="1:7" ht="20.100000000000001" customHeight="1" x14ac:dyDescent="0.25">
      <c r="D19" s="71" t="str" cm="1">
        <f t="array" ref="D19:E20">Common_Equations.Common_ConvertN2OToCO2e_Arguments()</f>
        <v>EN2O</v>
      </c>
      <c r="E19" s="72" t="str">
        <v>Nitrous oxide emissions (t N2O)</v>
      </c>
      <c r="F19" s="73"/>
      <c r="G19" s="28">
        <f>E17</f>
        <v>4.26764E-7</v>
      </c>
    </row>
    <row r="20" spans="1:7" ht="20.100000000000001" customHeight="1" x14ac:dyDescent="0.25">
      <c r="D20" s="71" t="str">
        <v>GWPN2O</v>
      </c>
      <c r="E20" s="72" t="str">
        <v>Global warming potential for nitrous oxide (t CO2-e / t N2O)</v>
      </c>
      <c r="F20" s="73"/>
      <c r="G20" s="28">
        <v>265</v>
      </c>
    </row>
    <row r="21" spans="1:7" ht="20.100000000000001" customHeight="1" x14ac:dyDescent="0.25">
      <c r="A21" s="13"/>
    </row>
    <row r="22" spans="1:7" ht="20.100000000000001" customHeight="1" x14ac:dyDescent="0.25">
      <c r="D22" s="62" t="s">
        <v>121</v>
      </c>
      <c r="E22" s="62" cm="1">
        <f t="array" ref="E22">Common_Equations.Common_ConvertN2OToCO2e(G19,G20)</f>
        <v>1.1309246E-4</v>
      </c>
      <c r="F22" s="74" t="str" cm="1">
        <f t="array" ref="F22">Common_Equations.Common_ConvertN2OToCO2e_Unit()</f>
        <v>t CO2e</v>
      </c>
    </row>
    <row r="23" spans="1:7" ht="20.100000000000001" customHeight="1" x14ac:dyDescent="0.25">
      <c r="A23" s="13"/>
    </row>
    <row r="24" spans="1:7" ht="20.100000000000001" customHeight="1" x14ac:dyDescent="0.25"/>
    <row r="25" spans="1:7" ht="20.100000000000001" customHeight="1" x14ac:dyDescent="0.25"/>
    <row r="26" spans="1:7" ht="20.100000000000001" customHeight="1" x14ac:dyDescent="0.25"/>
    <row r="27" spans="1:7" ht="20.100000000000001" customHeight="1" x14ac:dyDescent="0.25"/>
    <row r="28" spans="1:7" ht="20.100000000000001" customHeight="1" x14ac:dyDescent="0.25"/>
    <row r="29" spans="1:7" ht="20.100000000000001" customHeight="1" x14ac:dyDescent="0.25"/>
    <row r="30" spans="1:7" ht="20.100000000000001" customHeight="1" x14ac:dyDescent="0.25"/>
    <row r="31" spans="1:7" ht="20.100000000000001" customHeight="1" x14ac:dyDescent="0.25"/>
    <row r="32" spans="1:7"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c r="A66" s="51" t="str">
        <f>HYPERLINK("#A1", "▲ Back to top")</f>
        <v>▲ Back to top</v>
      </c>
    </row>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1" ht="20.100000000000001" customHeight="1" x14ac:dyDescent="0.25"/>
    <row r="98" spans="1:1" ht="20.100000000000001" customHeight="1" x14ac:dyDescent="0.25"/>
    <row r="99" spans="1:1" ht="20.100000000000001" customHeight="1" x14ac:dyDescent="0.25"/>
    <row r="100" spans="1:1" ht="20.100000000000001" customHeight="1" x14ac:dyDescent="0.25"/>
    <row r="101" spans="1:1" ht="20.100000000000001" customHeight="1" x14ac:dyDescent="0.25"/>
    <row r="102" spans="1:1" ht="20.100000000000001" customHeight="1" x14ac:dyDescent="0.25"/>
    <row r="103" spans="1:1" ht="20.100000000000001" customHeight="1" x14ac:dyDescent="0.25"/>
    <row r="104" spans="1:1" ht="20.100000000000001" customHeight="1" x14ac:dyDescent="0.25"/>
    <row r="105" spans="1:1" ht="20.100000000000001" customHeight="1" x14ac:dyDescent="0.25"/>
    <row r="106" spans="1:1" ht="20.100000000000001" customHeight="1" x14ac:dyDescent="0.25"/>
    <row r="107" spans="1:1" ht="20.100000000000001" customHeight="1" x14ac:dyDescent="0.25"/>
    <row r="108" spans="1:1" ht="20.100000000000001" customHeight="1" x14ac:dyDescent="0.25"/>
    <row r="109" spans="1:1" ht="20.100000000000001" customHeight="1" x14ac:dyDescent="0.25">
      <c r="A109" s="51" t="str">
        <f>HYPERLINK("#A1", "▲ Back to top")</f>
        <v>▲ Back to top</v>
      </c>
    </row>
    <row r="110" spans="1:1" ht="20.100000000000001" customHeight="1" x14ac:dyDescent="0.25"/>
    <row r="111" spans="1:1" ht="20.100000000000001" customHeight="1" x14ac:dyDescent="0.25"/>
    <row r="112" spans="1:1"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spans="1:1" ht="20.100000000000001" customHeight="1" x14ac:dyDescent="0.25"/>
    <row r="130" spans="1:1" ht="20.100000000000001" customHeight="1" x14ac:dyDescent="0.25"/>
    <row r="131" spans="1:1" ht="20.100000000000001" customHeight="1" x14ac:dyDescent="0.25"/>
    <row r="132" spans="1:1" ht="20.100000000000001" customHeight="1" x14ac:dyDescent="0.25"/>
    <row r="133" spans="1:1" ht="20.100000000000001" customHeight="1" x14ac:dyDescent="0.25"/>
    <row r="134" spans="1:1" ht="20.100000000000001" customHeight="1" x14ac:dyDescent="0.25"/>
    <row r="135" spans="1:1" ht="20.100000000000001" customHeight="1" x14ac:dyDescent="0.25"/>
    <row r="136" spans="1:1" ht="20.100000000000001" customHeight="1" x14ac:dyDescent="0.25">
      <c r="A136" s="51" t="str">
        <f>HYPERLINK("#A1", "▲ Back to top")</f>
        <v>▲ Back to top</v>
      </c>
    </row>
    <row r="137" spans="1:1" ht="20.100000000000001" customHeight="1" x14ac:dyDescent="0.25"/>
    <row r="138" spans="1:1" ht="20.100000000000001" customHeight="1" x14ac:dyDescent="0.25"/>
    <row r="139" spans="1:1" ht="20.100000000000001" customHeight="1" x14ac:dyDescent="0.25"/>
    <row r="140" spans="1:1" ht="20.100000000000001" customHeight="1" x14ac:dyDescent="0.25"/>
    <row r="141" spans="1:1" ht="20.100000000000001" customHeight="1" x14ac:dyDescent="0.25"/>
    <row r="142" spans="1:1" ht="20.100000000000001" customHeight="1" x14ac:dyDescent="0.25"/>
    <row r="143" spans="1:1" ht="20.100000000000001" customHeight="1" x14ac:dyDescent="0.25"/>
    <row r="144" spans="1:1"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F150:I150 F148:I148 I149" xr:uid="{97063CA4-245C-480B-9BF6-900A632AABF2}"/>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2" zoomScaleNormal="100" workbookViewId="0">
      <selection activeCell="F26" sqref="F26"/>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7" t="e" vm="1">
        <v>#VALUE!</v>
      </c>
      <c r="C1" s="7" t="s">
        <v>122</v>
      </c>
      <c r="AG1"/>
      <c r="AH1"/>
      <c r="AI1"/>
    </row>
    <row r="2" spans="1:35" s="8" customFormat="1" ht="20.100000000000001" customHeight="1" x14ac:dyDescent="0.25">
      <c r="AG2"/>
      <c r="AH2"/>
      <c r="AI2"/>
    </row>
    <row r="3" spans="1:35" ht="20.100000000000001" customHeight="1" x14ac:dyDescent="0.25">
      <c r="A3" s="13"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3" t="str">
        <f>HYPERLINK("#'Overview'!A1", "Overview")</f>
        <v>Overview</v>
      </c>
    </row>
    <row r="5" spans="1:35" ht="20.100000000000001" customHeight="1" x14ac:dyDescent="0.25">
      <c r="A5" s="13" t="str">
        <f>HYPERLINK("#'Results'!A1", "Results")</f>
        <v>Results</v>
      </c>
      <c r="D5" s="5" t="str" cm="1">
        <f t="array" ref="D5">Wastewater_SourceData.Waste_MethaneCorrectionFactorWastewater_Title()</f>
        <v>Methane correction factor for treatment facility type t used to treat wastewater</v>
      </c>
    </row>
    <row r="6" spans="1:35" ht="20.100000000000001" customHeight="1" x14ac:dyDescent="0.25">
      <c r="A6" s="12"/>
      <c r="D6" s="4" t="str" cm="1">
        <f t="array" ref="D6">Wastewater_SourceData.Waste_MethaneCorrectionFactorWastewater_Source()</f>
        <v>VEERG 2026: Table A.4.1.3</v>
      </c>
    </row>
    <row r="7" spans="1:35" ht="20.100000000000001" customHeight="1" x14ac:dyDescent="0.25">
      <c r="A7" s="16" t="s">
        <v>1</v>
      </c>
      <c r="D7" s="1" t="str" cm="1">
        <f t="array" ref="D7">Wastewater_SourceData.Waste_MethaneCorrectionFactorWastewater_Variable()</f>
        <v>CFww,t</v>
      </c>
    </row>
    <row r="8" spans="1:35" ht="20.100000000000001" customHeight="1" x14ac:dyDescent="0.25">
      <c r="A8" s="13" t="str">
        <f>HYPERLINK("#'Input - Wastewater'!A1", "Wastewater")</f>
        <v>Wastewater</v>
      </c>
      <c r="D8" s="30" t="str" cm="1">
        <f t="array" ref="D8">Wastewater_SourceData.Waste_MethaneCorrectionFactorWastewater_Unit()</f>
        <v>fraction</v>
      </c>
    </row>
    <row r="9" spans="1:35" ht="20.100000000000001" customHeight="1" x14ac:dyDescent="0.25">
      <c r="A9" s="13"/>
      <c r="D9" s="26" t="s">
        <v>88</v>
      </c>
      <c r="E9" s="26" t="s">
        <v>89</v>
      </c>
    </row>
    <row r="10" spans="1:35" ht="20.100000000000001" customHeight="1" x14ac:dyDescent="0.25">
      <c r="A10" s="15" t="s">
        <v>45</v>
      </c>
      <c r="D10" s="26" t="str" cm="1">
        <f t="array" ref="D10">Common_InputFunctions.Utility_DisplayArrayInTable(Wastewater_SourceData.Waste_MethaneCorrectionFactorWastewater_Data(), Table_SourceData_MCF_Wastewater[[#Headers],[Facility type t]], 0)</f>
        <v>Managed aerobic treatment</v>
      </c>
      <c r="E10" s="26" cm="1">
        <f t="array" ref="E10">Common_InputFunctions.Utility_DisplayArrayInTable(Wastewater_SourceData.Waste_MethaneCorrectionFactorWastewater_Data(), Table_SourceData_MCF_Wastewater[[#Headers],[Facility type t]], 0)</f>
        <v>0</v>
      </c>
    </row>
    <row r="11" spans="1:35" ht="20.100000000000001" customHeight="1" x14ac:dyDescent="0.25">
      <c r="A11" s="13" t="str">
        <f>HYPERLINK("#'11.1.1-2 Wastewater CH4'!A1", "10.1.1-2 Wastewater CH4")</f>
        <v>10.1.1-2 Wastewater CH4</v>
      </c>
      <c r="D11" s="26" t="str" cm="1">
        <f t="array" ref="D11">Common_InputFunctions.Utility_DisplayArrayInTable(Wastewater_SourceData.Waste_MethaneCorrectionFactorWastewater_Data(), Table_SourceData_MCF_Wastewater[[#Headers],[Facility type t]], 0)</f>
        <v>Unmanaged aerobic treatment</v>
      </c>
      <c r="E11" s="26" cm="1">
        <f t="array" ref="E11">Common_InputFunctions.Utility_DisplayArrayInTable(Wastewater_SourceData.Waste_MethaneCorrectionFactorWastewater_Data(), Table_SourceData_MCF_Wastewater[[#Headers],[Facility type t]], 0)</f>
        <v>0.3</v>
      </c>
    </row>
    <row r="12" spans="1:35" ht="20.100000000000001" customHeight="1" x14ac:dyDescent="0.25">
      <c r="A12" s="13" t="str">
        <f>HYPERLINK("#'11.1.3-4 Wastewater N2O'!A1", "10.1.3-4 Wastewater N2O")</f>
        <v>10.1.3-4 Wastewater N2O</v>
      </c>
      <c r="D12" s="26" t="str" cm="1">
        <f t="array" ref="D12">Common_InputFunctions.Utility_DisplayArrayInTable(Wastewater_SourceData.Waste_MethaneCorrectionFactorWastewater_Data(), Table_SourceData_MCF_Wastewater[[#Headers],[Facility type t]], 0)</f>
        <v>Anaerobic digestor/reactor</v>
      </c>
      <c r="E12" s="26" cm="1">
        <f t="array" ref="E12">Common_InputFunctions.Utility_DisplayArrayInTable(Wastewater_SourceData.Waste_MethaneCorrectionFactorWastewater_Data(), Table_SourceData_MCF_Wastewater[[#Headers],[Facility type t]], 0)</f>
        <v>0.8</v>
      </c>
    </row>
    <row r="13" spans="1:35" ht="20.100000000000001" customHeight="1" x14ac:dyDescent="0.25">
      <c r="A13" s="13"/>
      <c r="D13" s="26" t="str" cm="1">
        <f t="array" ref="D13">Common_InputFunctions.Utility_DisplayArrayInTable(Wastewater_SourceData.Waste_MethaneCorrectionFactorWastewater_Data(), Table_SourceData_MCF_Wastewater[[#Headers],[Facility type t]], 0)</f>
        <v>Shallow anaerobic lagoon (≤ 2 m)</v>
      </c>
      <c r="E13" s="26" cm="1">
        <f t="array" ref="E13">Common_InputFunctions.Utility_DisplayArrayInTable(Wastewater_SourceData.Waste_MethaneCorrectionFactorWastewater_Data(), Table_SourceData_MCF_Wastewater[[#Headers],[Facility type t]], 0)</f>
        <v>0.2</v>
      </c>
    </row>
    <row r="14" spans="1:35" ht="20.100000000000001" customHeight="1" x14ac:dyDescent="0.25">
      <c r="A14" s="14" t="s">
        <v>2</v>
      </c>
      <c r="D14" s="26" t="str" cm="1">
        <f t="array" ref="D14">Common_InputFunctions.Utility_DisplayArrayInTable(Wastewater_SourceData.Waste_MethaneCorrectionFactorWastewater_Data(), Table_SourceData_MCF_Wastewater[[#Headers],[Facility type t]], 0)</f>
        <v>Deep anaerobic lagoon (&gt; 2m)</v>
      </c>
      <c r="E14" s="26" cm="1">
        <f t="array" ref="E14">Common_InputFunctions.Utility_DisplayArrayInTable(Wastewater_SourceData.Waste_MethaneCorrectionFactorWastewater_Data(), Table_SourceData_MCF_Wastewater[[#Headers],[Facility type t]], 0)</f>
        <v>0.8</v>
      </c>
    </row>
    <row r="15" spans="1:35" ht="20.100000000000001" customHeight="1" x14ac:dyDescent="0.25">
      <c r="A15" s="58" t="str">
        <f>HYPERLINK("#'Constants - Wastewater'!A1", "Constants - Wastewater")</f>
        <v>Constants - Wastewater</v>
      </c>
    </row>
    <row r="16" spans="1:35" ht="20.100000000000001" customHeight="1" x14ac:dyDescent="0.25">
      <c r="A16" s="13" t="str">
        <f>HYPERLINK("#'Constants - Common'!A1", "Constants - Common")</f>
        <v>Constants - Common</v>
      </c>
    </row>
    <row r="17" spans="1:6" ht="20.100000000000001" customHeight="1" x14ac:dyDescent="0.25">
      <c r="D17" s="5" t="str" cm="1">
        <f t="array" ref="D17">Wastewater_SourceData.Waste_MethaneCorrectionFactorSludge_Title()</f>
        <v>Methane correction factor for treatment facility type t used to treat sludge</v>
      </c>
    </row>
    <row r="18" spans="1:6" ht="20.100000000000001" customHeight="1" x14ac:dyDescent="0.25">
      <c r="D18" s="4" t="str" cm="1">
        <f t="array" ref="D18">Wastewater_SourceData.Waste_MethaneCorrectionFactorSludge_Source()</f>
        <v>VEERG 2026: Table A.4.1.4</v>
      </c>
    </row>
    <row r="19" spans="1:6" ht="20.100000000000001" customHeight="1" x14ac:dyDescent="0.25">
      <c r="D19" s="1" t="str" cm="1">
        <f t="array" ref="D19">Wastewater_SourceData.Waste_MethaneCorrectionFactorSludge_Variable()</f>
        <v>CFsludge,t</v>
      </c>
    </row>
    <row r="20" spans="1:6" ht="20.100000000000001" customHeight="1" x14ac:dyDescent="0.25">
      <c r="D20" s="30" t="str" cm="1">
        <f t="array" ref="D20">Wastewater_SourceData.Waste_MethaneCorrectionFactorSludge_Unit()</f>
        <v>fraction</v>
      </c>
    </row>
    <row r="21" spans="1:6" ht="20.100000000000001" customHeight="1" x14ac:dyDescent="0.25">
      <c r="A21" s="13"/>
      <c r="D21" s="26" t="s">
        <v>88</v>
      </c>
      <c r="E21" s="26" t="s">
        <v>90</v>
      </c>
    </row>
    <row r="22" spans="1:6" ht="20.100000000000001" customHeight="1" x14ac:dyDescent="0.25">
      <c r="D22" s="26" t="str" cm="1">
        <f t="array" ref="D22">Common_InputFunctions.Utility_DisplayArrayInTable(Wastewater_SourceData.Waste_MethaneCorrectionFactorSludge_Data(), Table_SourceData_MCF_Sludge[[#Headers],[Facility type t]], 0)</f>
        <v>Managed aerobic treatment</v>
      </c>
      <c r="E22" s="26" cm="1">
        <f t="array" ref="E22">Common_InputFunctions.Utility_DisplayArrayInTable(Wastewater_SourceData.Waste_MethaneCorrectionFactorSludge_Data(), Table_SourceData_MCF_Sludge[[#Headers],[Facility type t]], 0)</f>
        <v>0</v>
      </c>
    </row>
    <row r="23" spans="1:6" ht="20.100000000000001" customHeight="1" x14ac:dyDescent="0.25">
      <c r="A23" s="13"/>
      <c r="D23" s="26" t="str" cm="1">
        <f t="array" ref="D23">Common_InputFunctions.Utility_DisplayArrayInTable(Wastewater_SourceData.Waste_MethaneCorrectionFactorSludge_Data(), Table_SourceData_MCF_Sludge[[#Headers],[Facility type t]], 0)</f>
        <v>Unmanaged aerobic treatment</v>
      </c>
      <c r="E23" s="26" cm="1">
        <f t="array" ref="E23">Common_InputFunctions.Utility_DisplayArrayInTable(Wastewater_SourceData.Waste_MethaneCorrectionFactorSludge_Data(), Table_SourceData_MCF_Sludge[[#Headers],[Facility type t]], 0)</f>
        <v>0.3</v>
      </c>
    </row>
    <row r="24" spans="1:6" ht="20.100000000000001" customHeight="1" x14ac:dyDescent="0.25">
      <c r="D24" s="26" t="str" cm="1">
        <f t="array" ref="D24">Common_InputFunctions.Utility_DisplayArrayInTable(Wastewater_SourceData.Waste_MethaneCorrectionFactorSludge_Data(), Table_SourceData_MCF_Sludge[[#Headers],[Facility type t]], 0)</f>
        <v>Anaerobic digestor/reactor</v>
      </c>
      <c r="E24" s="26" cm="1">
        <f t="array" ref="E24">Common_InputFunctions.Utility_DisplayArrayInTable(Wastewater_SourceData.Waste_MethaneCorrectionFactorSludge_Data(), Table_SourceData_MCF_Sludge[[#Headers],[Facility type t]], 0)</f>
        <v>0.8</v>
      </c>
    </row>
    <row r="25" spans="1:6" ht="20.100000000000001" customHeight="1" x14ac:dyDescent="0.25">
      <c r="D25" s="26" t="str" cm="1">
        <f t="array" ref="D25">Common_InputFunctions.Utility_DisplayArrayInTable(Wastewater_SourceData.Waste_MethaneCorrectionFactorSludge_Data(), Table_SourceData_MCF_Sludge[[#Headers],[Facility type t]], 0)</f>
        <v>Shallow anaerobic lagoon (≤ 2 m)</v>
      </c>
      <c r="E25" s="26" cm="1">
        <f t="array" ref="E25">Common_InputFunctions.Utility_DisplayArrayInTable(Wastewater_SourceData.Waste_MethaneCorrectionFactorSludge_Data(), Table_SourceData_MCF_Sludge[[#Headers],[Facility type t]], 0)</f>
        <v>0.2</v>
      </c>
    </row>
    <row r="26" spans="1:6" ht="20.100000000000001" customHeight="1" x14ac:dyDescent="0.25">
      <c r="D26" s="26" t="str" cm="1">
        <f t="array" ref="D26">Common_InputFunctions.Utility_DisplayArrayInTable(Wastewater_SourceData.Waste_MethaneCorrectionFactorSludge_Data(), Table_SourceData_MCF_Sludge[[#Headers],[Facility type t]], 0)</f>
        <v>Deep anaerobic lagoon (&gt; 2m)</v>
      </c>
      <c r="E26" s="26" cm="1">
        <f t="array" ref="E26">Common_InputFunctions.Utility_DisplayArrayInTable(Wastewater_SourceData.Waste_MethaneCorrectionFactorSludge_Data(), Table_SourceData_MCF_Sludge[[#Headers],[Facility type t]], 0)</f>
        <v>0.8</v>
      </c>
    </row>
    <row r="27" spans="1:6" ht="20.100000000000001" customHeight="1" x14ac:dyDescent="0.25"/>
    <row r="28" spans="1:6" ht="20.100000000000001" customHeight="1" x14ac:dyDescent="0.25"/>
    <row r="29" spans="1:6" ht="20.100000000000001" customHeight="1" x14ac:dyDescent="0.25">
      <c r="D29" s="5" t="str" cm="1">
        <f t="array" ref="D29">Wastewater_SourceData.Waste_MethaneEmissionFactorWastewater_Title()</f>
        <v>Methane emission factor for wastewater</v>
      </c>
    </row>
    <row r="30" spans="1:6" ht="20.100000000000001" customHeight="1" x14ac:dyDescent="0.25">
      <c r="D30" s="4" t="str" cm="1">
        <f t="array" ref="D30">Wastewater_SourceData.Waste_MethaneEmissionFactorWastewater_Source()</f>
        <v>VEERG 2026: 11.2.3 Constants</v>
      </c>
    </row>
    <row r="31" spans="1:6" ht="20.100000000000001" customHeight="1" x14ac:dyDescent="0.25">
      <c r="D31" s="29" t="str" cm="1">
        <f t="array" ref="D31">Wastewater_SourceData.Waste_MethaneEmissionFactorWastewater_Variable()</f>
        <v>EFww</v>
      </c>
      <c r="E31" s="1" cm="1">
        <f t="array" ref="E31">Wastewater_SourceData.Waste_MethaneEmissionFactorWastewater_Data()</f>
        <v>0.25</v>
      </c>
      <c r="F31" s="30" t="str" cm="1">
        <f t="array" ref="F31">Wastewater_SourceData.Waste_MethaneEmissionFactorWastewater_Unit()</f>
        <v>kg CH4 / kg COD</v>
      </c>
    </row>
    <row r="32" spans="1:6" ht="20.100000000000001" customHeight="1" x14ac:dyDescent="0.25"/>
    <row r="33" spans="4:6" ht="20.100000000000001" customHeight="1" x14ac:dyDescent="0.25"/>
    <row r="34" spans="4:6" ht="20.100000000000001" customHeight="1" x14ac:dyDescent="0.25">
      <c r="D34" s="5" t="str" cm="1">
        <f t="array" ref="D34">Wastewater_SourceData.Waste_MethaneEmissionFactorSludge_Title()</f>
        <v>Methane emission factor for sludge</v>
      </c>
    </row>
    <row r="35" spans="4:6" ht="20.100000000000001" customHeight="1" x14ac:dyDescent="0.25">
      <c r="D35" s="4" t="str" cm="1">
        <f t="array" ref="D35">Wastewater_SourceData.Waste_MethaneEmissionFactorSludge_Source()</f>
        <v>VEERG 2026: 11.2.3 Constants</v>
      </c>
    </row>
    <row r="36" spans="4:6" ht="20.100000000000001" customHeight="1" x14ac:dyDescent="0.25">
      <c r="D36" s="29" t="str" cm="1">
        <f t="array" ref="D36">Wastewater_SourceData.Waste_MethaneEmissionFactorSludge_Variable()</f>
        <v>EFsludge</v>
      </c>
      <c r="E36" s="1" cm="1">
        <f t="array" ref="E36">Wastewater_SourceData.Waste_MethaneEmissionFactorSludge_Data()</f>
        <v>0.25</v>
      </c>
      <c r="F36" s="30" t="str" cm="1">
        <f t="array" ref="F36">Wastewater_SourceData.Waste_MethaneEmissionFactorSludge_Unit()</f>
        <v>kg CH4 / kg COD</v>
      </c>
    </row>
    <row r="37" spans="4:6" ht="20.100000000000001" customHeight="1" x14ac:dyDescent="0.25"/>
    <row r="38" spans="4:6" ht="20.100000000000001" customHeight="1" x14ac:dyDescent="0.25"/>
    <row r="39" spans="4:6" ht="20.100000000000001" customHeight="1" x14ac:dyDescent="0.25">
      <c r="D39" s="5" t="str" cm="1">
        <f t="array" ref="D39">Wastewater_SourceData.Waste_EnergyContentFactorSludgeBiogasFlared_Title()</f>
        <v>Energy content factor of sludge biogas flared</v>
      </c>
    </row>
    <row r="40" spans="4:6" ht="20.100000000000001" customHeight="1" x14ac:dyDescent="0.25">
      <c r="D40" s="4" t="str" cm="1">
        <f t="array" ref="D40">Wastewater_SourceData.Waste_EnergyContentFactorSludgeBiogasFlared_Source()</f>
        <v>VEERG 2026: 11.2.3 Constants</v>
      </c>
    </row>
    <row r="41" spans="4:6" ht="20.100000000000001" customHeight="1" x14ac:dyDescent="0.25">
      <c r="D41" s="29" t="str" cm="1">
        <f t="array" ref="D41">Wastewater_SourceData.Waste_EnergyContentFactorSludgeBiogasFlared_Variable()</f>
        <v>ECflared</v>
      </c>
      <c r="E41" s="1" cm="1">
        <f t="array" ref="E41">Wastewater_SourceData.Waste_EnergyContentFactorSludgeBiogasFlared_Data()</f>
        <v>3.7699999999999997E-2</v>
      </c>
      <c r="F41" s="30" t="str" cm="1">
        <f t="array" ref="F41">Wastewater_SourceData.Waste_EnergyContentFactorSludgeBiogasFlared_Unit()</f>
        <v>GJ / m3</v>
      </c>
    </row>
    <row r="42" spans="4:6" ht="20.100000000000001" customHeight="1" x14ac:dyDescent="0.25"/>
    <row r="43" spans="4:6" ht="20.100000000000001" customHeight="1" x14ac:dyDescent="0.25"/>
    <row r="44" spans="4:6" ht="20.100000000000001" customHeight="1" x14ac:dyDescent="0.25">
      <c r="D44" s="5" t="str" cm="1">
        <f t="array" ref="D44">Wastewater_SourceData.Waste_MethaneEmissionFactorSludgeBiogasFlared_Title()</f>
        <v>Methane emission factor for sludge biogas flared</v>
      </c>
    </row>
    <row r="45" spans="4:6" ht="20.100000000000001" customHeight="1" x14ac:dyDescent="0.25">
      <c r="D45" s="4" t="str" cm="1">
        <f t="array" ref="D45">Wastewater_SourceData.Waste_MethaneEmissionFactorSludgeBiogasFlared_Source()</f>
        <v>VEERG 2026: 11.2.3 Constants</v>
      </c>
    </row>
    <row r="46" spans="4:6" ht="20.100000000000001" customHeight="1" x14ac:dyDescent="0.25">
      <c r="D46" s="29" t="str" cm="1">
        <f t="array" ref="D46">Wastewater_SourceData.Waste_MethaneEmissionFactorSludgeBiogasFlared_Variable()</f>
        <v>EFflared,CH4</v>
      </c>
      <c r="E46" s="1" cm="1">
        <f t="array" ref="E46">Wastewater_SourceData.Waste_MethaneEmissionFactorSludgeBiogasFlared_Data()</f>
        <v>0.22889999999999999</v>
      </c>
      <c r="F46" s="30" t="str" cm="1">
        <f t="array" ref="F46">Wastewater_SourceData.Waste_MethaneEmissionFactorSludgeBiogasFlared_Unit()</f>
        <v>kg CH4 / GJ</v>
      </c>
    </row>
    <row r="47" spans="4:6" ht="20.100000000000001" customHeight="1" x14ac:dyDescent="0.25"/>
    <row r="48" spans="4:6" ht="20.100000000000001" customHeight="1" x14ac:dyDescent="0.25"/>
    <row r="49" spans="1:6" ht="20.100000000000001" customHeight="1" x14ac:dyDescent="0.25">
      <c r="A49" s="51" t="str">
        <f>HYPERLINK("#A1", "▲ Back to top")</f>
        <v>▲ Back to top</v>
      </c>
      <c r="D49" s="5" t="str" cm="1">
        <f t="array" ref="D49">Wastewater_SourceData.Waste_NitrousOxideEmissionFactorSludgeBiogasFlared_Title()</f>
        <v>Nitrous oxide emission factor for sludge biogas flared</v>
      </c>
    </row>
    <row r="50" spans="1:6" ht="20.100000000000001" customHeight="1" x14ac:dyDescent="0.25">
      <c r="D50" s="4" t="str" cm="1">
        <f t="array" ref="D50">Wastewater_SourceData.Waste_NitrousOxideEmissionFactorSludgeBiogasFlared_Source()</f>
        <v>VEERG 2026: 11.2.3 Constants</v>
      </c>
    </row>
    <row r="51" spans="1:6" ht="20.100000000000001" customHeight="1" x14ac:dyDescent="0.25">
      <c r="D51" s="29" t="str" cm="1">
        <f t="array" ref="D51">Wastewater_SourceData.Waste_NitrousOxideEmissionFactorSludgeBiogasFlared_Variable()</f>
        <v>EFflared,N2O</v>
      </c>
      <c r="E51" s="1" cm="1">
        <f t="array" ref="E51">Wastewater_SourceData.Waste_NitrousOxideEmissionFactorSludgeBiogasFlared_Data()</f>
        <v>1.132E-4</v>
      </c>
      <c r="F51" s="30" t="str" cm="1">
        <f t="array" ref="F51">Wastewater_SourceData.Waste_NitrousOxideEmissionFactorSludgeBiogasFlared_Unit()</f>
        <v>kg N2O / GJ</v>
      </c>
    </row>
    <row r="52" spans="1:6" ht="20.100000000000001" customHeight="1" x14ac:dyDescent="0.25"/>
    <row r="53" spans="1:6" ht="20.100000000000001" customHeight="1" x14ac:dyDescent="0.25"/>
    <row r="54" spans="1:6" ht="20.100000000000001" customHeight="1" x14ac:dyDescent="0.25"/>
    <row r="55" spans="1:6" ht="20.100000000000001" customHeight="1" x14ac:dyDescent="0.25"/>
    <row r="56" spans="1:6" ht="20.100000000000001" customHeight="1" x14ac:dyDescent="0.25"/>
    <row r="57" spans="1:6" ht="20.100000000000001" customHeight="1" x14ac:dyDescent="0.25"/>
    <row r="58" spans="1:6" ht="20.100000000000001" customHeight="1" x14ac:dyDescent="0.25"/>
    <row r="59" spans="1:6" ht="20.100000000000001" customHeight="1" x14ac:dyDescent="0.25"/>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c r="A77" s="51" t="str">
        <f>HYPERLINK("#A1", "▲ Back to top")</f>
        <v>▲ Back to top</v>
      </c>
    </row>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2">
    <tablePart r:id="rId2"/>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47BE6-A391-432F-B8D2-A68CD0E0E20E}">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6" t="s">
        <v>6</v>
      </c>
      <c r="E6" s="26" t="s">
        <v>7</v>
      </c>
      <c r="F6" s="26" t="s">
        <v>8</v>
      </c>
    </row>
    <row r="7" spans="1:65" ht="20.100000000000001" customHeight="1" x14ac:dyDescent="0.25">
      <c r="A7"/>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6" t="s">
        <v>9</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6" t="s">
        <v>11</v>
      </c>
      <c r="E36" s="26" t="s">
        <v>12</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6" t="s">
        <v>11</v>
      </c>
      <c r="E47" s="26" t="s">
        <v>14</v>
      </c>
      <c r="F47" s="26" t="s">
        <v>15</v>
      </c>
      <c r="G47" s="26" t="s">
        <v>16</v>
      </c>
      <c r="H47" s="26" t="s">
        <v>17</v>
      </c>
    </row>
    <row r="48" spans="1:8" ht="20.100000000000001" customHeight="1" x14ac:dyDescent="0.25">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4:8" ht="20.100000000000001" customHeight="1" x14ac:dyDescent="0.25">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4:8" ht="20.100000000000001" customHeight="1" x14ac:dyDescent="0.25">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4:8" ht="20.100000000000001" customHeight="1" x14ac:dyDescent="0.25">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4:8" ht="20.100000000000001" customHeight="1" x14ac:dyDescent="0.25">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4:8" ht="20.100000000000001" customHeight="1" x14ac:dyDescent="0.25">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4:8" ht="20.100000000000001" customHeight="1" x14ac:dyDescent="0.25">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1" t="str" cm="1">
        <f t="array" ref="D59:D61">"⚠️" &amp; Common_SourceData.Common_SourceData_WetAndDryZones_Variation()</f>
        <v>⚠️VARIATION OF SOURCE DATA:</v>
      </c>
    </row>
    <row r="60" spans="4:8" ht="20.100000000000001" customHeight="1" x14ac:dyDescent="0.25">
      <c r="D60" s="31" t="str">
        <v>⚠️Added warm / cool temperate moist / dry - low frost and high temp classes to accommodate climate scenarios excluded by VEERG criteria.</v>
      </c>
    </row>
    <row r="61" spans="4:8" ht="20.100000000000001" customHeight="1" x14ac:dyDescent="0.25">
      <c r="D61" s="31" t="str">
        <v>⚠️Fixed typo - Changed 'Fry' to 'Dry'.</v>
      </c>
    </row>
    <row r="62" spans="4:8" ht="20.100000000000001" customHeight="1" x14ac:dyDescent="0.25"/>
    <row r="63" spans="4:8" ht="20.100000000000001" customHeight="1" x14ac:dyDescent="0.25">
      <c r="D63" s="26" t="s">
        <v>4</v>
      </c>
      <c r="E63" s="26" t="s">
        <v>31</v>
      </c>
    </row>
    <row r="64" spans="4:8" ht="20.100000000000001" customHeight="1" x14ac:dyDescent="0.25">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1" t="str" cm="1">
        <f t="array" ref="D83:D87">"⚠️" &amp; Common_SourceData.Common_SourceData_ClimateZones_Variation()</f>
        <v>⚠️VARIATION OF SOURCE DATA:</v>
      </c>
    </row>
    <row r="84" spans="4:20" ht="20.100000000000001" customHeight="1" x14ac:dyDescent="0.25">
      <c r="D84" s="31" t="str">
        <v>⚠️Added warm / cool temperate moist / dry - low frost and high temp classes to accommodate climate scenarios excluded by VEERG criteria.</v>
      </c>
    </row>
    <row r="85" spans="4:20" ht="20.100000000000001" customHeight="1" x14ac:dyDescent="0.25">
      <c r="D85" s="31" t="str">
        <v>⚠️Fixed typo in MAT value for warm temperate dry - changed 10 to 11.</v>
      </c>
    </row>
    <row r="86" spans="4:20" ht="20.100000000000001" customHeight="1" x14ac:dyDescent="0.25">
      <c r="D86" s="31" t="str">
        <v>⚠️Added min and max columns for MAT, MAP, frost days per year, elevation, MAP:PET to calculate zones from real climate data.</v>
      </c>
    </row>
    <row r="87" spans="4:20" ht="20.100000000000001" customHeight="1" x14ac:dyDescent="0.25">
      <c r="D87" s="31" t="str">
        <v>⚠️GAF accepts rainfall as a proxy for precipitation.</v>
      </c>
    </row>
    <row r="88" spans="4:20" ht="20.100000000000001" customHeight="1" x14ac:dyDescent="0.25"/>
    <row r="89" spans="4:20" ht="20.100000000000001" customHeight="1" x14ac:dyDescent="0.25">
      <c r="D89" s="26" t="s">
        <v>4</v>
      </c>
      <c r="E89" s="26" t="s">
        <v>19</v>
      </c>
      <c r="F89" s="26" t="s">
        <v>20</v>
      </c>
      <c r="G89" s="26" t="s">
        <v>21</v>
      </c>
      <c r="H89" s="26" t="s">
        <v>22</v>
      </c>
      <c r="I89" s="26" t="s">
        <v>23</v>
      </c>
      <c r="J89" s="26" t="s">
        <v>24</v>
      </c>
      <c r="K89" s="26" t="s">
        <v>25</v>
      </c>
      <c r="L89" s="26" t="s">
        <v>26</v>
      </c>
      <c r="M89" s="26" t="s">
        <v>27</v>
      </c>
      <c r="N89" s="26" t="s">
        <v>28</v>
      </c>
      <c r="O89" s="26" t="s">
        <v>32</v>
      </c>
      <c r="P89" s="26" t="s">
        <v>29</v>
      </c>
      <c r="Q89" s="26" t="s">
        <v>33</v>
      </c>
      <c r="R89" s="26" t="s">
        <v>30</v>
      </c>
      <c r="S89" s="26" t="s">
        <v>34</v>
      </c>
      <c r="T89" s="26"/>
    </row>
    <row r="90" spans="4:20" ht="20.100000000000001" customHeight="1" x14ac:dyDescent="0.25">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4:20" ht="20.100000000000001" customHeight="1" x14ac:dyDescent="0.25">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4:20" ht="20.100000000000001" customHeight="1" x14ac:dyDescent="0.25">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4:20" ht="20.100000000000001" customHeight="1" x14ac:dyDescent="0.25">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4:20" ht="20.100000000000001" customHeight="1" x14ac:dyDescent="0.25">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4:20" ht="20.100000000000001" customHeight="1" x14ac:dyDescent="0.2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4:20" ht="20.100000000000001" customHeight="1" x14ac:dyDescent="0.25">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4:20" ht="20.100000000000001" customHeight="1" x14ac:dyDescent="0.25">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4:20" ht="20.100000000000001" customHeight="1" x14ac:dyDescent="0.25"/>
    <row r="99" spans="4:20" ht="20.100000000000001" customHeight="1" x14ac:dyDescent="0.25">
      <c r="D99" s="30" t="str" cm="1">
        <f t="array" ref="D99:D102">Common_SourceData.Common_SourceData_ClimateZones_Appendices()</f>
        <v>Note:</v>
      </c>
    </row>
    <row r="100" spans="4:20" ht="20.100000000000001" customHeight="1" x14ac:dyDescent="0.25">
      <c r="D100" s="30" t="str">
        <v>MAT = mean annual temperature</v>
      </c>
    </row>
    <row r="101" spans="4:20" ht="20.100000000000001" customHeight="1" x14ac:dyDescent="0.25">
      <c r="D101" s="30" t="str">
        <v>MAP = mean annual precipitation</v>
      </c>
    </row>
    <row r="102" spans="4:20" ht="20.100000000000001" customHeight="1" x14ac:dyDescent="0.25">
      <c r="D102" s="30" t="str">
        <v>PET = potential evapotranspiration</v>
      </c>
    </row>
    <row r="103" spans="4:20" ht="20.100000000000001" customHeight="1" x14ac:dyDescent="0.25">
      <c r="D103" s="30"/>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6" t="s">
        <v>36</v>
      </c>
      <c r="E109" s="26" t="s">
        <v>19</v>
      </c>
      <c r="F109" s="26" t="s">
        <v>37</v>
      </c>
      <c r="G109" s="26" t="s">
        <v>38</v>
      </c>
    </row>
    <row r="110" spans="4:20" ht="20.100000000000001" customHeight="1" x14ac:dyDescent="0.25">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4:20" ht="20.100000000000001" customHeight="1" x14ac:dyDescent="0.25">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1"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6" t="s">
        <v>39</v>
      </c>
      <c r="E119" s="26" t="s">
        <v>40</v>
      </c>
      <c r="F119" s="26" t="s">
        <v>26</v>
      </c>
      <c r="G119" s="26" t="s">
        <v>27</v>
      </c>
      <c r="BN119" s="6"/>
    </row>
    <row r="120" spans="4:66" ht="20.100000000000001" customHeight="1" x14ac:dyDescent="0.25">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6" t="s">
        <v>41</v>
      </c>
      <c r="E127" s="26" t="s">
        <v>42</v>
      </c>
    </row>
    <row r="128" spans="4:66" ht="20.100000000000001" customHeight="1" x14ac:dyDescent="0.25">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8"/>
    </row>
    <row r="133" spans="4:77" ht="20.100000000000001" customHeight="1" x14ac:dyDescent="0.25">
      <c r="D133" s="4" t="str" cm="1">
        <f t="array" ref="D133">Common_SourceData.Common_SourceData_FracWET_Source()</f>
        <v>VEERG 2026:5.5.2.3 Constant Parameters</v>
      </c>
      <c r="E133" s="18"/>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6" t="s">
        <v>57</v>
      </c>
      <c r="E142" s="26" t="s">
        <v>48</v>
      </c>
      <c r="BN142" s="6"/>
    </row>
    <row r="143" spans="4:77" ht="20.100000000000001" customHeight="1" x14ac:dyDescent="0.25">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6" t="s">
        <v>43</v>
      </c>
      <c r="E153" s="26" t="s">
        <v>44</v>
      </c>
      <c r="BC153" s="2"/>
      <c r="BD153" s="2"/>
      <c r="BE153" s="2"/>
      <c r="BF153" s="2"/>
      <c r="BG153" s="2"/>
      <c r="BH153" s="2"/>
      <c r="BI153" s="2"/>
      <c r="BJ153" s="2"/>
      <c r="BK153" s="2"/>
      <c r="BL153" s="2"/>
      <c r="BM153" s="2"/>
    </row>
    <row r="154" spans="4:66" ht="20.100000000000001" customHeight="1" x14ac:dyDescent="0.25">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4:66" ht="20.100000000000001" customHeight="1" x14ac:dyDescent="0.25">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4:66" ht="20.100000000000001" customHeight="1" x14ac:dyDescent="0.25">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8"/>
    </row>
    <row r="162" spans="4:68" ht="20.100000000000001" customHeight="1" x14ac:dyDescent="0.25">
      <c r="D162" s="4" t="str" cm="1">
        <f t="array" ref="D162">Common_SourceData.Common_SourceData_FracLEACH_Source()</f>
        <v>VEERG 2026:5.5.2.3 Constant Parameters</v>
      </c>
      <c r="E162" s="18"/>
    </row>
    <row r="163" spans="4:68" ht="20.100000000000001" customHeight="1" x14ac:dyDescent="0.25">
      <c r="D163" s="4"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51</v>
      </c>
      <c r="E186" s="26" t="s">
        <v>52</v>
      </c>
      <c r="F186" s="26" t="s">
        <v>53</v>
      </c>
      <c r="G186" s="26" t="s">
        <v>54</v>
      </c>
      <c r="H186" s="26" t="s">
        <v>18</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4</v>
      </c>
      <c r="E206" s="26" t="s">
        <v>59</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56</v>
      </c>
      <c r="E212" s="26" t="s">
        <v>62</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35</v>
      </c>
      <c r="E231" s="26" t="s">
        <v>70</v>
      </c>
      <c r="F231" s="25" t="s">
        <v>71</v>
      </c>
      <c r="G231" s="26" t="s">
        <v>66</v>
      </c>
      <c r="H231" s="26" t="s">
        <v>72</v>
      </c>
      <c r="I231" s="26" t="s">
        <v>73</v>
      </c>
      <c r="J231" s="26" t="s">
        <v>65</v>
      </c>
      <c r="K231" s="26" t="s">
        <v>64</v>
      </c>
      <c r="L231" s="26" t="s">
        <v>74</v>
      </c>
      <c r="M231" s="26" t="s">
        <v>75</v>
      </c>
      <c r="N231" s="26" t="s">
        <v>63</v>
      </c>
      <c r="O231" s="26" t="s">
        <v>76</v>
      </c>
      <c r="P231" s="26" t="s">
        <v>68</v>
      </c>
      <c r="Q231" s="26" t="s">
        <v>69</v>
      </c>
      <c r="R231" s="26" t="s">
        <v>67</v>
      </c>
      <c r="S231" s="26" t="s">
        <v>77</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5" x14ac:dyDescent="0.25">
      <c r="D257" s="26" t="s">
        <v>78</v>
      </c>
      <c r="E257" s="26" t="s">
        <v>79</v>
      </c>
    </row>
    <row r="258" spans="4:5"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FcAYQBzAHQAZQB3AGEAdABlAHI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EAMQAuADEAOgAgAFcAYQBzAHQAZQB3AGEAdABlAHIAXABuAD0APQA9AD0APQA9AD0APQA9AD0APQA9AD0APQA9AD0APQA9AD0APQA9AD0APQA9AD0APQA9AD0APQA9AD0APQA9AD0APQA9AD0APQA9AD0APQA9AD0APQA9AD0APQA9AD0APQA9AD0APQA9AD0APQA9AD0APQA9AD0APQA9AD0APQA9AD0APQA9AD0APQA9AD0APQA9AD0AXABuADEAMQAuADEALgAxAC4AMQAgAE0AZQB0AGgAbwBkACAAMQAgAC0AIABNAGUAdABoAGEAbgBlACAAZQBtAGkAcwBzAGkAbwBuAHMAIABmAHIAbwBtACAAbwBuAHMAaQB0AGUAIABXAGEAcwB0AGUAdwBhAHQAZQByACAATQBhAG4AYQBnAGU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QBfADEAXwAxAF8AMQBfAF8AMQBfAE0AZQB0AGgAYQBuAGUARQBtAGkAcwBzAGkAbwBuAHMARgByAG8AbQBXAGEAcwB0AGUAdwBhAHQAZQByAFQAcgBlAGEAdABtAGUAbgB0AFwAbgBNAGUAdABoAGEAbgBlACAAZQBtAGkAcwBzAGkAbwBuAHMAIABmAHIAbwBtACAAdwBhAHMAdABlAHcAYQB0AGUAcgAgAHQAcgBlAGEAdABtAGUAbgB0AFwAbgBFAF8AQwBIADQAXABuAHQAIABDAEgANABcAG4ARQBfAHsAQwBIADQAfQA9AFwAXABmAHIAYQBjAHsAMQB9AHsAMQAwADAAMAB9AFwAXAB0AGkAbQBlAHMAXABcAGwAZQBmAHQAWwBcAFwAbABlAGYAdAAoAFcAXwB0AFwAXAB0AGkAbQBlAHMAXABcAGwAZQBmAHQAKABDAE8ARABfAHsAaQBuAH0AXABcAHQAaQBtAGUAcwAoADEALQBGAF8AewBzAGwAdQBkAGcAZQB9ACkALQBDAE8ARABfAHsAbwB1AHQAfQBcAFwAcgBpAGcAaAB0ACkAXABcAHQAaQBtAGUAcwAgAEMARgBfAHsAdwB3ACwAdAB9AFwAXAB0AGkAbQBlAHMAIABFAEYAXwB7AHcAdwB9AFwAXAByAGkAZwBoAHQAKQArAFwAXABsAGUAZgB0ACgAVwBfAHQAXABcAHQAaQBtAGUAcwBcAFwAbABlAGYAdAAoAEMATwBEAF8AewBpAG4AfQBcAFwAdABpAG0AZQBzACgARgBfAHsAcwBsAHUAZABnAGUAfQAtAEYAXwB7AHIAZQBtAG8AdgBlAGQAfQApAFwAXAByAGkAZwBoAHQAKQBcAFwAdABpAG0AZQBzACAAQwBGAF8AewBzAGwAdQBkAGcAZQAsAHQAfQBcAFwAdABpAG0AZQBzACAARQBGAF8AewBzAGwAdQBkAGcAZQB9AFwAXAByAGkAZwBoAHQAKQAtAFwAXABsAGUAZgB0ACgANgAuADcAOAA0AFwAXAB0AGkAbQBlAHMAIAAxADAAXgB7AC0ANAB9AFwAXAB0AGkAbQBlAHMAKABRAF8AewBjAGEAcAB9ACsAUQBfAHsAZgBsAGEAcgBlAGQAfQArAFEAXwB7AG8AdQB0AH0AKQBcAFwAcgBpAGcAaAB0ACkAKwBcAFwAbABlAGYAdAAoAFEAXwB7AGYAbABhAHIAZQBkAH0AXABcAHQAaQBtAGUAcwAgAEUAQwBfAHsAZgBsAGEAcgBlAGQAfQBcAFwAdABpAG0AZQBzACAARQBGAF8AewBmAGwAYQByAGUAZAAsAEMASAA0AH0AXABcAHIAaQBnAGgAdAApAFwAXAByAGkAZwBoAHQAXQBcAG4AVwBfAHQAIAA9ACAAcQB1AGEAbgB0AGkAdAB5ACAAbwBmACAAdwBhAHMAdABlAHcAYQB0AGUAcgAgAHQAcgBlAGEAdABlAGQAIABhAHQAIABmAGEAYwBpAGwAaQB0AHkAIAB0AHkAcABlACAAdAAgACgAbQAzACkAXABuAEMATwBEAF8AaQBuACAAPQAgAGEAdgBlAHIAYQBnAGUAIABpAG4AbABlAHQAIABDAGgAZQBtAGkAYwBhAGwAIABPAHgAeQBnAGUAbgAgAEQAZQBtAGEAbgBkACAAYwBvAG4AYwBlAG4AdAByAGEAdABpAG8AbgAgAG8AZgAgAHcAYQBzAHQAZQB3AGEAdABlAHIAIAAoAGsAZwAgAEMATwBEAC8AbQAzACkAXABuAEYAXwBzAGwAdQBkAGcAZQAgAD0AIABmAHIAYQBjAHQAaQBvAG4AIABvAGYAIABDAE8ARAAgAHIAZQBtAG8AdgBlAGQAIABmAHIAbwBtACAAdwBhAHMAdABlAHcAYQB0AGUAcgAgAGEAcwAgAHMAbAB1AGQAZwBlAFwAbgBDAE8ARABfAG8AdQB0ACAAPQAgAGEAdgBlAHIAYQBnAGUAIABvAHUAdABsAGUAdAAgAEMATwBEACAAYwBvAG4AYwBlAG4AdAByAGEAdABpAG8AbgAgAG8AZgAgAHcAYQBzAHQAZQB3AGEAdABlAHIAIAAoAGsAZwAgAEMATwBEAC8AbQAzACkAXABuAEMARgBfAHcAdwBfAHQAIAA9ACAAbQBlAHQAaABhAG4AZQAgAGMAbwByAHIAZQBjAHQAaQBvAG4AIABmAGEAYwB0AG8AcgAgAGYAbwByACAAZgBhAGMAaQBsAGkAdAB5ACAAdAB5AHAAZQAgAHQAIAB1AHMAZQBkACAAdABvACAAdAByAGUAYQB0ACAAdwBhAHMAdABlAHcAYQB0AGUAcgBcAG4ARQBGAF8AdwB3ACAAPQAgAG0AZQB0AGgAYQBuAGUAIABlAG0AaQBzAHMAaQBvAG4AIABmAGEAYwB0AG8AcgAgAGYAbwByACAAdwBhAHMAdABlAHcAYQB0AGUAcgAgACgAawBnACAAQwBPADIAZQAvAGsAZwAgAEMATwBEACkAXABuAEYAXwByAGUAbQBvAHYAZQBkACAAPQAgAGYAcgBhAGMAdABpAG8AbgAgAG8AZgAgAEMATwBEACAAcgBlAG0AbwB2AGUAZAAgAGYAcgBvAG0AIAB0AGgAZQAgAHcAYQBzAHQAZQB3AGEAdABlAHIAIAB0AHIAZQBhAHQAbQBlAG4AdAAgAGYAYQBjAGkAbABpAHQAeQAgAGEAbgBkACAAdAByAGEAbgBzAGYAZQByAHIAZQBkACAAZQBsAHMAZQB3AGgAZQByAGUAXABuAEMARgBfAHMAbAB1AGQAZwBlAF8AdAAgAD0AIABtAGUAdABoAGEAbgBlACAAYwBvAHIAcgBlAGMAdABpAG8AbgAgAGYAYQBjAHQAbwByACAAZgBvAHIAIABmAGEAYwBpAGwAaQB0AHkAIAB0AHkAcABlACAAdAAgAHUAcwBlAGQAIAB0AG8AIAB0AHIAZQBhAHQAIABzAGwAdQBkAGcAZQBcAG4ARQBGAF8AcwBsAHUAZABnAGUAIAA9ACAAbQBlAHQAaABhAG4AZQAgAGUAbQBpAHMAcwBpAG8AbgAgAGYAYQBjAHQAbwByACAAZgBvAHIAIABzAGwAdQBkAGcAZQAgACgAawBnACAAQwBPADIAZQAvAGsAZwAgAEMATwBEACkAXABuAFEAXwBjAGEAcAAgAD0AIABxAHUAYQBuAHQAaQB0AHkAIABvAGYAIABtAGUAdABoAGEAbgBlACAAaQBuACAAcwBsAHUAZABnAGUAIABiAGkAbwBnAGEAcwAgAGMAYQBwAHQAdQByAGUAZAAgAGYAbwByACAAYwBvAG0AYgB1AHMAdABpAG8AbgAgACgAbQAzACAAQwBIADQAKQBcAG4AUQBfAGYAbABhAHIAZQBkACAAPQAgAHEAdQBhAG4AdABpAHQAeQAgAG8AZgAgAG0AZQB0AGgAYQBuAGUAIABpAG4AIABzAGwAdQBkAGcAZQAgAGIAaQBvAGcAYQBzACAAZgBsAGEAcgBlAGQAIAAoAG0AMwAgAEMASAA0ACkAXABuAFEAXwBvAHUAdAAgAD0AIABxAHUAYQBuAHQAaQB0AHkAIABvAGYAIABtAGUAdABoAGEAbgBlACAAaQBuACAAcwBsAHUAZABnAGUAIABiAGkAbwBnAGEAcwAgAHQAcgBhAG4AcwBmAGUAcgByAGUAZAAgAG8AdQB0ACAAbwBmACAAdABoAGUAIAB0AHIAZQBhAHQAbQBlAG4AdAAgAGYAYQBjAGkAbABpAHQAeQAgACgAbQAzACAAQwBIADQAKQBcAG4ARQBDAF8AZgBsAGEAcgBlAGQAIAA9ACAAZQBuAGUAcgBnAHkAIABjAG8AbgB0AGUAbgB0ACAAZgBhAGMAdABvAHIAIABvAGYAIABtAGUAdABoAGEAbgBlACAAaQBuACAAcwBsAHUAZABnAGUAIABiAGkAbwBnAGEAcwAgAGYAbABhAHIAZQBkACAAKABHAEoALwBtADMAKQBcAG4ARQBGAF8AZgBsAGEAcgBlAGQAXwBDAEgANAAgAD0AIABtAGUAdABoAGEAbgBlACAAZQBtAGkAcwBzAGkAbwBuACAAZgBhAGMAdABvAHIAIABmAG8AcgAgAHMAbAB1AGQAZwBlACAAYgBpAG8AZwBhAHMAIABmAGwAYQByAGUAZAAgACgAawBnACAAQwBPADIAZQAvAEcASgApAFwAbgAtAC0ALQAtAC0ALQAtAC0ALQAtAC0ALQAtAC0ALQAtAC0ALQAtAC0ALQAtAC0ALQAtAC0ALQAtAC0ALQAtAC0ALQAtAC0ALQAtAC0AXABuACoALwBcAG4AXABuAFYARQBFAFIARwBfADEAMQBfADEAXwAxAF8AMQBfAF8AMQBfAE0AZQB0AGgAYQBuAGUARQBtAGkAcwBzAGkAbwBuAHMARgByAG8AbQBXAGEAcwB0AGUAdwBhAHQAZQByAFQAcgBlAGEAdABtAGUAbgB0AFwAbgAgACAAPQBMAEEATQBCAEQAQQAoAFwAbgAgACAAIAAgAFcAXwB0ACwAIABDAE8ARABfAGkAbgAsACAARgBfAHMAbAB1AGQAZwBlACwAIABDAE8ARABfAG8AdQB0ACwAIABDAEYAXwB3AHcAXwB0ACwAIABFAEYAXwB3AHcALAAgAEYAXwByAGUAbQBvAHYAZQBkACwAIABDAEYAXwBzAGwAdQBkAGcAZQBfAHQALAAgAEUARgBfAHMAbAB1AGQAZwBlACwAIABRAF8AYwBhAHAALAAgAFEAXwBmAGwAYQByAGUAZAAsACAAUQBfAG8AdQB0ACwAIABFAEMAXwBmAGwAYQByAGUAZAAsACAARQBGAF8AZgBsAGEAcgBlAGQAQwBIADQALABcAG4AIAAgACAAIAAoADEALwAxADAAMAAwACkAIAAqACAAKAAoAFcAXwB0ACAAKgAgACgAQwBPAEQAXwBpAG4AIAAqACAAKAAxACAALQAgAEYAXwBzAGwAdQBkAGcAZQApACAALQAgAEMATwBEAF8AbwB1AHQAKQAgACoAIABDAEYAXwB3AHcAXwB0ACAAKgAgAEUARgBfAHcAdwApACAAKwAgACgAVwBfAHQAIAAqACAAKABDAE8ARABfAGkAbgAgACoAIAAoAEYAXwBzAGwAdQBkAGcAZQAgAC0AIABGAF8AcgBlAG0AbwB2AGUAZAApACkAIAAqACAAQwBGAF8AcwBsAHUAZABnAGUAXwB0ACAAKgAgAEUARgBfAHMAbAB1AGQAZwBlACkAIAAtACAAKAA2AC4ANwA4ADQAIAAqACAAMQAwAF4ALQA0ACAAKgAgACgAUQBfAGMAYQBwACAAKwAgAFEAXwBmAGwAYQByAGUAZAAgACsAIABRAF8AbwB1AHQAKQApACAAKwAgACgAUQBfAGYAbABhAHIAZQBkACAAKgAgACgARQBDAF8AZgBsAGEAcgBlAGQAIAAqACAARQBGAF8AZgBsAGEAcgBlAGQAQwBIADQAKQApACkAXABuACAAIAApADsAXABuAFwAbgBWAEUARQBSAEcAXwAxADEAXwAxAF8AMQBfADEAXwBfADEAXwBNAGUAdABoAGEAbgBlAEUAbQBpAHMAcwBpAG8AbgBzAEYAcgBvAG0AVwBhAHMAdABlAHcAYQB0AGUAcgBUAHIAZQBhAHQAbQBlAG4AdABfAFQAaQB0AGwAZQBcAG4AIAAgAD0ATABBAE0AQgBEAEEAKABcACIATQBlAHQAaABhAG4AZQAgAGUAbQBpAHMAcwBpAG8AbgBzACAAZgByAG8AbQAgAHcAYQBzAHQAZQB3AGEAdABlAHIAIAB0AHIAZQBhAHQAbQBlAG4AdABcACIAKQA7AFwAbgBcAG4AVgBFAEUAUgBHAF8AMQAxAF8AMQBfADEAXwAxAF8AXwAxAF8ATQBlAHQAaABhAG4AZQBFAG0AaQBzAHMAaQBvAG4AcwBGAHIAbwBtAFcAYQBzAHQAZQB3AGEAdABlAHIAVAByAGUAYQB0AG0AZQBuAHQAXwBWAGEAcgBpAGEAYgBsAGUAXABuACAAIAA9AEwAQQBNAEIARABBACgAXAAiAEUAXwBDAEgANABcACIAKQA7AFwAbgBcAG4AVgBFAEUAUgBHAF8AMQAxAF8AMQBfADEAXwAxAF8AXwAxAF8ATQBlAHQAaABhAG4AZQBFAG0AaQBzAHMAaQBvAG4AcwBGAHIAbwBtAFcAYQBzAHQAZQB3AGEAdABlAHIAVAByAGUAYQB0AG0AZQBuAHQAXwBVAG4AaQB0AFwAbgAgACAAPQBMAEEATQBCAEQAQQAoAFwAIgB0ACAAQwBIADQAXAAiACkAOwBcAG4AXABuAFYARQBFAFIARwBfADEAMQBfADEAXwAxAF8AMQBfAF8AMQBfAE0AZQB0AGgAYQBuAGUARQBtAGkAcwBzAGkAbwBuAHMARgByAG8AbQBXAGEAcwB0AGUAdwBhAHQAZQByAFQAcgBlAGEAdABtAGUAbgB0AF8AUwBvAHUAcgBjAGUAXABuACAAIAA9AEwAQQBNAEIARABBACgAXAAiAFYARQBFAFIARwAgADIAMAAyADYAOgAgADEAMQAuADEALgAxAC4AMQAsACAARQBxAHUAYQB0AGkAbwBuACAAKAAxACkAXAAiACkAOwBcAG4AXABuAFYARQBFAFIARwBfADEAMQBfADEAXwAxAF8AMQBfAF8AMQBfAE0AZQB0AGgAYQBuAGUARQBtAGkAcwBzAGkAbwBuAHMARgByAG8AbQBXAGEAcwB0AGUAdwBhAHQAZQByAFQAcgBlAGEAdABtAGUAbgB0AF8ATgBJAFIAUgBlAGYAZQByAGUAbgBjAGUAXABuACAAIAA9AEwAQQBNAEIARABBACgAXAAiAE4AYQB0AGkAbwBuAGEAbAAgAEcAcgBlAGUAbgBoAG8AdQBzAGUAIABhAG4AZAAgAEUAbgBlAHIAZwB5ACAAUgBlAHAAbwByAHQAaQBuAGcAIABNAGUAYQBzAHUAcgBlAG0AZQBuAHQAIABEAGUAdABlAHIAbQBpAG4AYQB0AGkAbwBuACAAMgAwADAAOABcACIAKQA7AFwAbgBcAG4AVgBFAEUAUgBHAF8AMQAxAF8AMQBfADEAXwAxAF8AXwAxAF8ATQBlAHQAaABhAG4AZQBFAG0AaQBzAHMAaQBvAG4AcwBGAHIAbwBtAFcAYQBzAHQAZQB3AGEAdABlAHIAVAByAGUAYQB0AG0AZQBuAHQAXwBMAGEAdABlAHgARQBxAHUAYQB0AGkAbwBuAFwAbgAgACAAPQBMAEEATQBCAEQAQQAoAFwAIgBFAF8AewBDAEgANAB9AD0AXABcAGYAcgBhAGMAewAxAH0AewAxADAAMAAwAH0AXABcAHQAaQBtAGUAcwBcAFwAbABlAGYAdAB7AFwAXABsAGUAZgB0AHsAVwBfAHQAXABcAHQAaQBtAGUAcwBcAFwAbABlAGYAdABbAEMATwBEAF8AewBpAG4AfQBcAFwAdABpAG0AZQBzACgAMQAtAEYAXwB7AHMAbAB1AGQAZwBlAH0AKQAtAEMATwBEAF8AewBvAHUAdAB9AFwAXAByAGkAZwBoAHQAXQBcAFwAdABpAG0AZQBzACAAQwBGAF8AewB3AHcALAB0AH0AXABcAHQAaQBtAGUAcwAgAEUARgBfAHsAdwB3AH0AXABcAHIAaQBnAGgAdAB9ACsAXABcAGwAZQBmAHQAewBXAF8AdABcAFwAdABpAG0AZQBzAFwAXABsAGUAZgB0AFsAQwBPAEQAXwB7AGkAbgB9AFwAXAB0AGkAbQBlAHMAKABGAF8AewBzAGwAdQBkAGcAZQB9AC0ARgBfAHsAcgBlAG0AbwB2AGUAZAB9ACkAXABcAHIAaQBnAGgAdABdAFwAXAB0AGkAbQBlAHMAIABDAEYAXwB7AHMAbAB1AGQAZwBlACwAdAB9AFwAXAB0AGkAbQBlAHMAIABFAEYAXwB7AHMAbAB1AGQAZwBlAH0AXABcAHIAaQBnAGgAdAB9AC0AXABcAGwAZQBmAHQAewA2AC4ANwA4ADQAXABcAHQAaQBtAGUAcwAgADEAMABeAHsALQA0AH0AXABcAHQAaQBtAGUAcwAgAFwAXABsAGUAZgB0AFsAIABRAF8AewBjAGEAcAB9ACsAUQBfAHsAZgBsAGEAcgBlAGQAfQArAFEAXwB7AG8AdQB0AH0AXABcAHIAaQBnAGgAdABdAFwAXAByAGkAZwBoAHQAfQArAFwAXABsAGUAZgB0AHsAUQBfAHsAZgBsAGEAcgBlAGQAfQBcAFwAdABpAG0AZQBzACAAXABcAGwAZQBmAHQAWwAgAEUAQwBfAHsAZgBsAGEAcgBlAGQAfQBcAFwAdABpAG0AZQBzACAARQBGAF8AewBmAGwAYQByAGUAZAAsAEMASAA0AH0AXABcAHIAaQBnAGgAdABdAFwAXAByAGkAZwBoAHQAfQBcAFwAcgBpAGcAaAB0AH0AXAAiACkAOwBcAG4AXABuAFYARQBFAFIARwBfADEAMQBfADEAXwAxAF8AMQBfAF8AMQBfAE0AZQB0AGgAYQBuAGUARQBtAGkAcwBzAGkAbwBuAHMARgByAG8AbQBXAGEAcwB0AGUAdwBhAHQAZQByAFQAcgBlAGEAdABtAGUAbgB0AF8AQQByAGcAdQBtAGUAbgB0AHMAXABuACAAIAA9AEwAQQBNAEIARABBACgAXABuACAAIAAgACAATQBBAEsARQBBAFIAUgBBAFkAKAAxADUALAAgADQALABcAG4AIAAgACAAIAAgACAATABBAE0AQgBEAEEAKAByACwAYwAsAFwAbgAgACAAIAAgACAAIAAgACAASQBOAEQARQBYACgAewBcAG4AIAAgACAAIAAgACAAIAAgACAAIABcACIAVwBfAHQAXAAiACwAIABcACIAcQB1AGEAbgB0AGkAdAB5ACAAbwBmACAAdwBhAHMAdABlAHcAYQB0AGUAcgAgAHQAcgBlAGEAdABlAGQAIABhAHQAIABmAGEAYwBpAGwAaQB0AHkAIAB0AHkAcABlACAAdABcACIALAAgAFwAIgBtADMAXAAiACwAIABcACIASQBuAHAAdQB0AFwAIgA7AFwAbgAgACAAIAAgACAAIAAgACAAIAAgAFwAIgBDAE8ARABfAGkAbgBcACIALAAgAFwAIgBhAHYAZQByAGEAZwBlACAAaQBuAGwAZQB0ACAAQwBoAGUAbQBpAGMAYQBsACAATwB4AHkAZwBlAG4AIABEAGUAbQBhAG4AZAAgAGMAbwBuAGMAZQBuAHQAcgBhAHQAaQBvAG4AIABvAGYAIAB3AGEAcwB0AGUAdwBhAHQAZQByAFwAIgAsACAAXAAiAGsAZwAgAEMATwBEAC8AbQAzAFwAIgAsACAAXAAiAEkAbgBwAHUAdABcACIAOwBcAG4AIAAgACAAIAAgACAAIAAgACAAIABcACIARgBfAHMAbAB1AGQAZwBlAFwAIgAsACAAXAAiAGYAcgBhAGMAdABpAG8AbgAgAG8AZgAgAEMATwBEACAAcgBlAG0AbwB2AGUAZAAgAGYAcgBvAG0AIAB3AGEAcwB0AGUAdwBhAHQAZQByACAAYQBzACAAcwBsAHUAZABnAGUAXAAiACwAIABcACIAZgByAGEAYwB0AGkAbwBuAFwAIgAsACAAXAAiAEkAbgBwAHUAdABcACIAOwBcAG4AIAAgACAAIAAgACAAIAAgACAAIABcACIAQwBPAEQAXwBvAHUAdABcACIALAAgAFwAIgBhAHYAZQByAGEAZwBlACAAbwB1AHQAbABlAHQAIABDAE8ARAAgAGMAbwBuAGMAZQBuAHQAcgBhAHQAaQBvAG4AIABvAGYAIAB3AGEAcwB0AGUAdwBhAHQAZQByAFwAIgAsACAAXAAiAGsAZwAgAEMATwBEAC8AbQAzAFwAIgAsACAAXAAiAEkAbgBwAHUAdABcACIAOwBcAG4AIAAgACAAIAAgACAAIAAgACAAIABcACIAQwBGAF8AdwB3AF8AdABcACIALAAgAFwAIgBtAGUAdABoAGEAbgBlACAAYwBvAHIAcgBlAGMAdABpAG8AbgAgAGYAYQBjAHQAbwByACAAZgBvAHIAIABmAGEAYwBpAGwAaQB0AHkAIAB0AHkAcABlACAAdAAgAHUAcwBlAGQAIAB0AG8AIAB0AHIAZQBhAHQAIAB3AGEAcwB0AGUAdwBhAHQAZQByAFwAIgAsACAAXAAiAGYAcgBhAGMAdABpAG8AbgBcACIALAAgAFwAIgBDAG8AbgBzAHQAYQBuAHQAXAAiADsAXABuACAAIAAgACAAIAAgACAAIAAgACAAXAAiAEUARgBfAHcAdwBcACIALAAgAFwAIgBtAGUAdABoAGEAbgBlACAAZQBtAGkAcwBzAGkAbwBuACAAZgBhAGMAdABvAHIAIABmAG8AcgAgAHcAYQBzAHQAZQB3AGEAdABlAHIAXAAiACwAIABcACIAawBnACAAQwBIADQALwBrAGcAIABDAE8ARABcACIALAAgAFwAIgBDAG8AbgBzAHQAYQBuAHQAXAAiADsAXABuACAAIAAgACAAIAAgACAAIAAgACAAXAAiAEYAXwByAGUAbQBvAHYAZQBkAFwAIgAsACAAXAAiAGYAcgBhAGMAdABpAG8AbgAgAG8AZgAgAEMATwBEACAAcgBlAG0AbwB2AGUAZAAgAGYAcgBvAG0AIAB0AGgAZQAgAHcAYQBzAHQAZQB3AGEAdABlAHIAIAB0AHIAZQBhAHQAbQBlAG4AdAAgAGYAYQBjAGkAbABpAHQAeQAgAGEAbgBkACAAdAByAGEAbgBzAGYAZQByAHIAZQBkACAAZQBsAHMAZQB3AGgAZQByAGUAXAAiACwAIABcACIAZgByAGEAYwB0AGkAbwBuAFwAIgAsACAAXAAiAEkAbgBwAHUAdABcACIAOwBcAG4AIAAgACAAIAAgACAAIAAgACAAIABcACIAQwBGAF8AcwBsAHUAZABnAGUAXwB0AFwAIgAsACAAXAAiAG0AZQB0AGgAYQBuAGUAIABjAG8AcgByAGUAYwB0AGkAbwBuACAAZgBhAGMAdABvAHIAIABmAG8AcgAgAGYAYQBjAGkAbABpAHQAeQAgAHQAeQBwAGUAIAB0ACAAdQBzAGUAZAAgAHQAbwAgAHQAcgBlAGEAdAAgAHMAbAB1AGQAZwBlAFwAIgAsACAAXAAiAGYAcgBhAGMAdABpAG8AbgBcACIALAAgAFwAIgBDAG8AbgBzAHQAYQBuAHQAXAAiADsAXABuACAAIAAgACAAIAAgACAAIAAgACAAXAAiAEUARgBfAHMAbAB1AGQAZwBlAFwAIgAsACAAXAAiAG0AZQB0AGgAYQBuAGUAIABlAG0AaQBzAHMAaQBvAG4AIABmAGEAYwB0AG8AcgAgAGYAbwByACAAcwBsAHUAZABnAGUAXAAiACwAIABcACIAawBnACAAQwBIADQALwBrAGcAIABDAE8ARABcACIALAAgAFwAIgBDAG8AbgBzAHQAYQBuAHQAXAAiADsAXABuACAAIAAgACAAIAAgACAAIAAgACAAXAAiAFEAXwBjAGEAcABcACIALAAgAFwAIgBxAHUAYQBuAHQAaQB0AHkAIABvAGYAIABtAGUAdABoAGEAbgBlACAAaQBuACAAcwBsAHUAZABnAGUAIABiAGkAbwBnAGEAcwAgAGMAYQBwAHQAdQByAGUAZAAgAGYAbwByACAAYwBvAG0AYgB1AHMAdABpAG8AbgBcACIALAAgAFwAIgBtADMAIABDAEgANABcACIALAAgAFwAIgBJAG4AcAB1AHQAXAAiADsAXABuACAAIAAgACAAIAAgACAAIAAgACAAXAAiAFEAXwBmAGwAYQByAGUAZABcACIALAAgAFwAIgBxAHUAYQBuAHQAaQB0AHkAIABvAGYAIABtAGUAdABoAGEAbgBlACAAaQBuACAAcwBsAHUAZABnAGUAIABiAGkAbwBnAGEAcwAgAGYAbABhAHIAZQBkACAAYgB5ACAAdABoAGUAIAB0AHIAZQBhAHQAbQBlAG4AdAAgAGYAYQBjAGkAbABpAHQAeQBcACIALAAgAFwAIgBtADMAIABDAEgANABcACIALAAgAFwAIgBJAG4AcAB1AHQAXAAiADsAXABuACAAIAAgACAAIAAgACAAIAAgACAAXAAiAFEAXwBvAHUAdABcACIALAAgAFwAIgBxAHUAYQBuAHQAaQB0AHkAIABvAGYAIABtAGUAdABoAGEAbgBlACAAaQBuACAAcwBsAHUAZABnAGUAIABiAGkAbwBnAGEAcwAgAHQAcgBhAG4AcwBmAGUAcgByAGUAZAAgAG8AdQB0ACAAbwBmACAAdABoAGUAIAB0AHIAZQBhAHQAbQBlAG4AdAAgAGYAYQBjAGkAbABpAHQAeQBcACIALAAgAFwAIgBtADMAIABDAEgANABcACIALAAgAFwAIgBJAG4AcAB1AHQAXAAiADsAXABuACAAIAAgACAAIAAgACAAIAAgACAAXAAiAEUAQwBfAGYAbABhAHIAZQBkAFwAIgAsACAAXAAiAGUAbgBlAHIAZwB5ACAAYwBvAG4AdABlAG4AdAAgAGYAYQBjAHQAbwByACAAbwBmACAAbQBlAHQAaABhAG4AZQAgAGkAbgAgAHMAbAB1AGQAZwBlACAAYgBpAG8AZwBhAHMAIABmAGwAYQByAGUAZABcACIALAAgAFwAIgBHAEoALwBtADMAXAAiACwAIABcACIAQwBvAG4AcwB0AGEAbgB0AFwAIgA7AFwAbgAgACAAIAAgACAAIAAgACAAIAAgAFwAIgBFAEYAXwBmAGwAYQByAGUAZABDAEgANABcACIALAAgAFwAIgBtAGUAdABoAGEAbgBlACAAZQBtAGkAcwBzAGkAbwBuACAAZgBhAGMAdABvAHIAIABmAG8AcgAgAHMAbAB1AGQAZwBlACAAYgBpAG8AZwBhAHMAIABmAGwAYQByAGUAZABcACIALAAgAFwAIgBrAGcAIABDAEgANAAvAEcASgBcACIALAAgAFwAIgBDAG8AbgBzAHQAYQBuAHQAXAAiADsAXABuACAAIAAgACAAIAAgACAAIAAgACAAXAAiAHQAXAAiACwAIABcACIAdAByAGUAYQB0AG0AZQBuAHQAIABmAGEAYwBpAGwAaQB0AHkAIAB0AHkAcABlAFwAIgAsACAAXAAiAFwAIgAsACAAXAAiAEkAbgBwAHUAdABcACIAXABuACAAIAAgACAAIAAgACAAIAB9ACwAIAByACwAIABjACkAXABuACAAIAAgACAAIAAgACkAXABuACAAIAAgACAAKQBcAG4AIAAgACkAOwBcAG4AXABuAFwAbgBWAEUARQBSAEcAXwAxADEAXwAxAF8AMQBfADEAXwBfADEAXwBNAGUAdABoAGEAbgBlAEUAbQBpAHMAcwBpAG8AbgBzAEYAcgBvAG0AVwBhAHMAdABlAHcAYQB0AGUAcgBUAHIAZQBhAHQAbQBlAG4AdABfAFYAYQByAGkAYQB0AGkAbwBuAFwAbgAgACAAPQBMAEEATQBCAEQAQQAoAFwAIgBWAEEAUgBJAEEAVABJAE8ATgAgAE8ATgAgAFMATwBVAFIAQwBFADoAIABDAGgAYQBuAGcAZQBkACAAdQBuAGkAdABzACAAbwBmACAARQBGAF8AdwB3ACwAIABFAEYAXwBTAGwAdQBkAGcAZQAgAGEAbgBkACAARQBGAF8AZgBsAGEAcgBlAGQAIABmAHIAbwBtACAAQwBPADIAZQAgAHQAbwAgAEMASAA0ACAAdABvACAAbQBhAHQAYwBoACAAZABhAHQAYQAgAGkAbgAgAFQAYQBiAGwAZQAgAFwAIgApADsAIgB9ACwAewAiAHAAYQB0AGgAIgA6ACIALwBwAHIAbwBqAGUAYwB0AHMALwBXAGEAcwB0AGUAdwBhAHQAZQByAF8AUwBvAHUAcgBjAGUARABhAHQAYQAiACwAIgB0AGUAeAB0ACIAOgAiAC8AKgBcAG4APQA9AD0APQA9AD0APQA9AD0APQA9AD0APQA9AD0APQA9AD0APQA9AD0APQA9AD0APQA9AD0APQA9AD0APQA9AD0APQA9AD0APQA9AD0APQA9AD0APQA9AD0APQA9AD0APQA9AD0APQA9AD0APQA9AD0APQA9AD0APQA9AD0APQA9AD0APQA9AD0APQA9AD0APQA9AD0APQBcAG4AVABhAGIAbABlACAAQQAuADQALgAxAC4AMwA6ACAATQBlAHQAaABhAG4AZQAgAGMAbwByAHIAZQBjAHQAaQBvAG4AIABmAGEAYwB0AG8AcgAgAGYAbwByACAAdAByAGUAYQB0AG0AZQBuAHQAIABmAGEAYwBpAGwAaQB0AHkAIAB0AHkAcABlACAAdAAgAHUAcwBlAGQAIAB0AG8AIAB0AHIAZQBhAHQAIAB3AGEAcwB0AGUAdwBhAHQAZQByACAAKABmAHIAYQBjAHQAaQBvAG4AKQAgACgAQwBGAHcAdwAsAHQAKQBcAG4APQA9AD0APQA9AD0APQA9AD0APQA9AD0APQA9AD0APQA9AD0APQA9AD0APQA9AD0APQA9AD0APQA9AD0APQA9AD0APQA9AD0APQA9AD0APQA9AD0APQA9AD0APQA9AD0APQA9AD0APQA9AD0APQA9AD0APQA9AD0APQA9AD0APQA9AD0APQA9AD0APQA9AD0APQA9AD0APQBcAG4AKgAvAFwAbgBcAG4AVwBhAHMAdABlAF8ATQBlAHQAaABhAG4AZQBDAG8AcgByAGUAYwB0AGkAbwBuAEYAYQBjAHQAbwByAFcAYQBzAHQAZQB3AGEAdABlAHIAXwBUAGkAdABsAGUAXABuAD0ATABBAE0AQgBEAEEAKAAoAFwAIgBNAGUAdABoAGEAbgBlACAAYwBvAHIAcgBlAGMAdABpAG8AbgAgAGYAYQBjAHQAbwByACAAZgBvAHIAIAB0AHIAZQBhAHQAbQBlAG4AdAAgAGYAYQBjAGkAbABpAHQAeQAgAHQAeQBwAGUAIAB0ACAAdQBzAGUAZAAgAHQAbwAgAHQAcgBlAGEAdAAgAHcAYQBzAHQAZQB3AGEAdABlAHIAXAAiACkAKQA7AFwAbgBcAG4AVwBhAHMAdABlAF8ATQBlAHQAaABhAG4AZQBDAG8AcgByAGUAYwB0AGkAbwBuAEYAYQBjAHQAbwByAFcAYQBzAHQAZQB3AGEAdABlAHIAXwBWAGEAcgBpAGEAYgBsAGUAXABuAD0ATABBAE0AQgBEAEEAKAAoAFwAIgBDAEYAdwB3ACwAdABcACIAKQApADsAXABuAFwAbgBXAGEAcwB0AGUAXwBNAGUAdABoAGEAbgBlAEMAbwByAHIAZQBjAHQAaQBvAG4ARgBhAGMAdABvAHIAVwBhAHMAdABlAHcAYQB0AGUAcgBfAFUAbgBpAHQAXABuAD0ATABBAE0AQgBEAEEAKAAoAFwAIgBmAHIAYQBjAHQAaQBvAG4AXAAiACkAKQA7AFwAbgBcAG4AVwBhAHMAdABlAF8ATQBlAHQAaABhAG4AZQBDAG8AcgByAGUAYwB0AGkAbwBuAEYAYQBjAHQAbwByAFcAYQBzAHQAZQB3AGEAdABlAHIAXwBTAG8AdQByAGMAZQBcAG4APQBMAEEATQBCAEQAQQAoACgAXAAiAFYARQBFAFIARwAgADIAMAAyADYAOgAgAFQAYQBiAGwAZQAgAEEALgA0AC4AMQAuADMAXAAiACkAKQA7AFwAbgBcAG4AVwBhAHMAdABlAF8ATQBlAHQAaABhAG4AZQBDAG8AcgByAGUAYwB0AGkAbwBuAEYAYQBjAHQAbwByAFcAYQBzAHQAZQB3AGEAdABlAHIAXwBEAGEAdABhAFwAbgA9AEwAQQBNAEIARABBACgAXABuACAAIABNAEEASwBFAEEAUgBSAEEAWQAoADYALAAgADIALABcAG4AIAAgACAAIABMAEEATQBCAEQAQQAoAHIALABjACwAXABuACAAIAAgACAAIAAgAEkATgBEAEUAWAAoAHsAXABuACAAIAAgACAAIAAgACAAIABcACIARgBhAGMAaQBsAGkAdAB5ACAAdAB5AHAAZQAgAHQAXAAiACwAIABcACIAQwBGAHcAdwAsAHQAXAAiADsAXABuACAAIAAgACAAIAAgACAAIABcACIATQBhAG4AYQBnAGUAZAAgAGEAZQByAG8AYgBpAGMAIAB0AHIAZQBhAHQAbQBlAG4AdABcACIALAAgADAAOwBcAG4AIAAgACAAIAAgACAAIAAgAFwAIgBVAG4AbQBhAG4AYQBnAGUAZAAgAGEAZQByAG8AYgBpAGMAIAB0AHIAZQBhAHQAbQBlAG4AdABcACIALAAgADAALgAzADsAXABuACAAIAAgACAAIAAgACAAIABcACIAQQBuAGEAZQByAG8AYgBpAGMAIABkAGkAZwBlAHMAdABvAHIALwByAGUAYQBjAHQAbwByAFwAIgAsACAAMAAuADgAOwBcAG4AIAAgACAAIAAgACAAIAAgAFwAIgBTAGgAYQBsAGwAbwB3ACAAYQBuAGEAZQByAG8AYgBpAGMAIABsAGEAZwBvAG8AbgAgACgAZCIgADIAIABtACkAXAAiACwAIAAwAC4AMgA7AFwAbgAgACAAIAAgACAAIAAgACAAXAAiAEQAZQBlAHAAIABhAG4AYQBlAHIAbwBiAGkAYwAgAGwAYQBnAG8AbwBuACAAKABcAHUAMAAwADMAZQAgADIAbQApAFwAIgAsACAAMAAuADgAXABuACAAIAAgACAAIAAgAH0ALAAgAHIALAAgAGMAKQBcAG4AKQApACkAOwBcAG4AXABuAFcAYQBzAHQAZQBfAE0AZQB0AGgAYQBuAGUAQwBvAHIAcgBlAGMAdABpAG8AbgBGAGEAYwB0AG8AcgBXAGEAcwB0AGUAdwBhAHQAZQBy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UAGEAYgBsAGUAIABBAC4ANAAuADEALgA0ADoAIABNAGUAdABoAGEAbgBlACAAYwBvAHIAcgBlAGMAdABpAG8AbgAgAGYAYQBjAHQAbwByACAAZgBvAHIAIAB0AHIAZQBhAHQAbQBlAG4AdAAgAGYAYQBjAGkAbABpAHQAeQAgAHQAeQBwAGUAIAB0ACAAdQBzAGUAZAAgAHQAbwAgAHQAcgBlAGEAdAAgAHMAbAB1AGQAZwBlACAAKABmAHIAYQBjAHQAaQBvAG4AKQAgACgAQwBGAHMAbAB1AGQAZwBlACwAdAApAFwAbgA9AD0APQA9AD0APQA9AD0APQA9AD0APQA9AD0APQA9AD0APQA9AD0APQA9AD0APQA9AD0APQA9AD0APQA9AD0APQA9AD0APQA9AD0APQA9AD0APQA9AD0APQA9AD0APQA9AD0APQA9AD0APQA9AD0APQA9AD0APQA9AD0APQA9AD0APQA9AD0APQA9AD0APQA9AD0APQA9AFwAbgAqAC8AXABuAFwAbgBXAGEAcwB0AGUAXwBNAGUAdABoAGEAbgBlAEMAbwByAHIAZQBjAHQAaQBvAG4ARgBhAGMAdABvAHIAUwBsAHUAZABnAGUAXwBUAGkAdABsAGUAXABuAD0ATABBAE0AQgBEAEEAKAAoAFwAIgBNAGUAdABoAGEAbgBlACAAYwBvAHIAcgBlAGMAdABpAG8AbgAgAGYAYQBjAHQAbwByACAAZgBvAHIAIAB0AHIAZQBhAHQAbQBlAG4AdAAgAGYAYQBjAGkAbABpAHQAeQAgAHQAeQBwAGUAIAB0ACAAdQBzAGUAZAAgAHQAbwAgAHQAcgBlAGEAdAAgAHMAbAB1AGQAZwBlAFwAIgApACkAOwBcAG4AXABuAFcAYQBzAHQAZQBfAE0AZQB0AGgAYQBuAGUAQwBvAHIAcgBlAGMAdABpAG8AbgBGAGEAYwB0AG8AcgBTAGwAdQBkAGcAZQBfAFYAYQByAGkAYQBiAGwAZQBcAG4APQBMAEEATQBCAEQAQQAoACgAXAAiAEMARgBzAGwAdQBkAGcAZQAsAHQAXAAiACkAKQA7AFwAbgBcAG4AVwBhAHMAdABlAF8ATQBlAHQAaABhAG4AZQBDAG8AcgByAGUAYwB0AGkAbwBuAEYAYQBjAHQAbwByAFMAbAB1AGQAZwBlAF8AVQBuAGkAdABcAG4APQBMAEEATQBCAEQAQQAoACgAXAAiAGYAcgBhAGMAdABpAG8AbgBcACIAKQApADsAXABuAFwAbgBXAGEAcwB0AGUAXwBNAGUAdABoAGEAbgBlAEMAbwByAHIAZQBjAHQAaQBvAG4ARgBhAGMAdABvAHIAUwBsAHUAZABnAGUAXwBTAG8AdQByAGMAZQBcAG4APQBMAEEATQBCAEQAQQAoACgAXAAiAFYARQBFAFIARwAgADIAMAAyADYAOgAgAFQAYQBiAGwAZQAgAEEALgA0AC4AMQAuADQAXAAiACkAKQA7AFwAbgBcAG4AVwBhAHMAdABlAF8ATQBlAHQAaABhAG4AZQBDAG8AcgByAGUAYwB0AGkAbwBuAEYAYQBjAHQAbwByAFMAbAB1AGQAZwBlAF8ARABhAHQAYQBcAG4APQBMAEEATQBCAEQAQQAoAFwAbgAgACAATQBBAEsARQBBAFIAUgBBAFkAKAA2ACwAIAAyACwAXABuACAAIAAgACAATABBAE0AQgBEAEEAKAByACwAYwAsAFwAbgAgACAAIAAgACAAIABJAE4ARABFAFgAKAB7AFwAbgAgACAAIAAgACAAIAAgACAAXAAiAEYAYQBjAGkAbABpAHQAeQAgAHQAeQBwAGUAIAB0AFwAIgAsACAAXAAiAEMARgBzAGwAdQBkAGcAZQAsAHQAXAAiADsAXABuACAAIAAgACAAIAAgACAAIABcACIATQBhAG4AYQBnAGUAZAAgAGEAZQByAG8AYgBpAGMAIAB0AHIAZQBhAHQAbQBlAG4AdABcACIALAAgADAAOwBcAG4AIAAgACAAIAAgACAAIAAgAFwAIgBVAG4AbQBhAG4AYQBnAGUAZAAgAGEAZQByAG8AYgBpAGMAIAB0AHIAZQBhAHQAbQBlAG4AdABcACIALAAgADAALgAzADsAXABuACAAIAAgACAAIAAgACAAIABcACIAQQBuAGEAZQByAG8AYgBpAGMAIABkAGkAZwBlAHMAdABvAHIALwByAGUAYQBjAHQAbwByAFwAIgAsACAAMAAuADgAOwBcAG4AIAAgACAAIAAgACAAIAAgAFwAIgBTAGgAYQBsAGwAbwB3ACAAYQBuAGEAZQByAG8AYgBpAGMAIABsAGEAZwBvAG8AbgAgACgAZCIgADIAIABtACkAXAAiACwAIAAwAC4AMgA7AFwAbgAgACAAIAAgACAAIAAgACAAXAAiAEQAZQBlAHAAIABhAG4AYQBlAHIAbwBiAGkAYwAgAGwAYQBnAG8AbwBuACAAKABcAHUAMAAwADMAZQAgADIAbQApAFwAIgAsACAAMAAuADgAXABuACAAIAAgACAAIAAgAH0ALAAgAHIALAAgAGMAKQBcAG4AKQApACkAOwBcAG4AXABuAFcAYQBzAHQAZQBfAE0AZQB0AGgAYQBuAGUAQwBvAHIAcgBlAGMAdABpAG8AbgBGAGEAYwB0AG8AcgBTAGwAdQBkAGcAZQBfAFYAYQByAGkAYQB0AGkAbwBuAFwAbgA9AEwAQQBNAEIARABBACgAKABcACIAXAAiACkAKQA7AFwAbgBcAG4ALwAqAFwAbgA9AD0APQA9AD0APQA9AD0APQA9AD0APQA9AD0APQA9AD0APQA9AD0APQA9AD0APQA9AD0APQA9AD0APQA9AD0APQA9AD0APQA9AD0APQA9AD0APQA9AD0APQA9AD0APQA9AD0APQA9AD0APQA9AD0APQA9AD0APQA9AD0APQA9AD0APQA9AD0APQA9AD0APQA9AD0APQA9AFwAbgAqAC8AXABuAFwAbgBXAGEAcwB0AGUAXwBNAGUAdABoAGEAbgBlAEUAbQBpAHMAcwBpAG8AbgBGAGEAYwB0AG8AcgBXAGEAcwB0AGUAdwBhAHQAZQByAF8AVABpAHQAbABlAFwAbgA9AEwAQQBNAEIARABBACgAKABcACIATQBlAHQAaABhAG4AZQAgAGUAbQBpAHMAcwBpAG8AbgAgAGYAYQBjAHQAbwByACAAZgBvAHIAIAB3AGEAcwB0AGUAdwBhAHQAZQByAFwAIgApACkAOwBcAG4AXABuAFcAYQBzAHQAZQBfAE0AZQB0AGgAYQBuAGUARQBtAGkAcwBzAGkAbwBuAEYAYQBjAHQAbwByAFcAYQBzAHQAZQB3AGEAdABlAHIAXwBWAGEAcgBpAGEAYgBsAGUAXABuAD0ATABBAE0AQgBEAEEAKAAoAFwAIgBFAEYAdwB3AFwAIgApACkAOwBcAG4AXABuAFcAYQBzAHQAZQBfAE0AZQB0AGgAYQBuAGUARQBtAGkAcwBzAGkAbwBuAEYAYQBjAHQAbwByAFcAYQBzAHQAZQB3AGEAdABlAHIAXwBVAG4AaQB0AFwAbgA9AEwAQQBNAEIARABBACgAKABcACIAawBnACAAQwBIADQAIAAvACAAawBnACAAQwBPAEQAXAAiACkAKQA7AFwAbgBcAG4AVwBhAHMAdABlAF8ATQBlAHQAaABhAG4AZQBFAG0AaQBzAHMAaQBvAG4ARgBhAGMAdABvAHIAVwBhAHMAdABlAHcAYQB0AGUAcgBfAFMAbwB1AHIAYwBlAFwAbgA9AEwAQQBNAEIARABBACgAKABcACIAVgBFAEUAUgBHACAAMgAwADIANgA6ACAAMQAxAC4AMgAuADMAIABDAG8AbgBzAHQAYQBuAHQAcwBcACIAKQApADsAXABuAFwAbgBXAGEAcwB0AGUAXwBNAGUAdABoAGEAbgBlAEUAbQBpAHMAcwBpAG8AbgBGAGEAYwB0AG8AcgBXAGEAcwB0AGUAdwBhAHQAZQByAF8ARABhAHQAYQBcAG4APQBMAEEATQBCAEQAQQAoACAAMAAuADIANQApADsAXABuAFwAbgAvACoAXABuAD0APQA9AD0APQA9AD0APQA9AD0APQA9AD0APQA9AD0APQA9AD0APQA9AD0APQA9AD0APQA9AD0APQA9AD0APQA9AD0APQA9AD0APQA9AD0APQA9AD0APQA9AD0APQA9AD0APQA9AD0APQA9AD0APQA9AD0APQA9AD0APQA9AD0APQA9AD0APQA9AD0APQA9AD0APQA9AD0AXABuACoALwBcAG4AXABuAFcAYQBzAHQAZQBfAE0AZQB0AGgAYQBuAGUARQBtAGkAcwBzAGkAbwBuAEYAYQBjAHQAbwByAFMAbAB1AGQAZwBlAF8AVABpAHQAbABlAFwAbgA9AEwAQQBNAEIARABBACgAKABcACIATQBlAHQAaABhAG4AZQAgAGUAbQBpAHMAcwBpAG8AbgAgAGYAYQBjAHQAbwByACAAZgBvAHIAIABzAGwAdQBkAGcAZQBcACIAKQApADsAXABuAFwAbgBXAGEAcwB0AGUAXwBNAGUAdABoAGEAbgBlAEUAbQBpAHMAcwBpAG8AbgBGAGEAYwB0AG8AcgBTAGwAdQBkAGcAZQBfAFYAYQByAGkAYQBiAGwAZQBcAG4APQBMAEEATQBCAEQAQQAoACgAXAAiAEUARgBzAGwAdQBkAGcAZQBcACIAKQApADsAXABuAFwAbgBXAGEAcwB0AGUAXwBNAGUAdABoAGEAbgBlAEUAbQBpAHMAcwBpAG8AbgBGAGEAYwB0AG8AcgBTAGwAdQBkAGcAZQBfAFUAbgBpAHQAXABuAD0ATABBAE0AQgBEAEEAKAAoAFwAIgBrAGcAIABDAEgANAAgAC8AIABrAGcAIABDAE8ARABcACIAKQApADsAXABuAFwAbgBXAGEAcwB0AGUAXwBNAGUAdABoAGEAbgBlAEUAbQBpAHMAcwBpAG8AbgBGAGEAYwB0AG8AcgBTAGwAdQBkAGcAZQBfAFMAbwB1AHIAYwBlAFwAbgA9AEwAQQBNAEIARABBACgAKABcACIAVgBFAEUAUgBHACAAMgAwADIANgA6ACAAMQAxAC4AMgAuADMAIABDAG8AbgBzAHQAYQBuAHQAcwBcACIAKQApADsAXABuAFwAbgBXAGEAcwB0AGUAXwBNAGUAdABoAGEAbgBlAEUAbQBpAHMAcwBpAG8AbgBGAGEAYwB0AG8AcgBTAGwAdQBkAGcAZQBfAEQAYQB0AGEAXABuAD0ATABBAE0AQgBEAEEAKAAwAC4AMgA1ACkAOwBcAG4AXABuAC8AKgBcAG4APQA9AD0APQA9AD0APQA9AD0APQA9AD0APQA9AD0APQA9AD0APQA9AD0APQA9AD0APQA9AD0APQA9AD0APQA9AD0APQA9AD0APQA9AD0APQA9AD0APQA9AD0APQA9AD0APQA9AD0APQA9AD0APQA9AD0APQA9AD0APQA9AD0APQA9AD0APQA9AD0APQA9AD0APQA9AD0APQBcAG4AKgAvAFwAbgBcAG4AVwBhAHMAdABlAF8ARQBuAGUAcgBnAHkAQwBvAG4AdABlAG4AdABGAGEAYwB0AG8AcgBTAGwAdQBkAGcAZQBCAGkAbwBnAGEAcwBGAGwAYQByAGUAZABfAFQAaQB0AGwAZQBcAG4APQBMAEEATQBCAEQAQQAoACgAXAAiAEUAbgBlAHIAZwB5ACAAYwBvAG4AdABlAG4AdAAgAGYAYQBjAHQAbwByACAAbwBmACAAcwBsAHUAZABnAGUAIABiAGkAbwBnAGEAcwAgAGYAbABhAHIAZQBkAFwAIgApACkAOwBcAG4AXABuAFcAYQBzAHQAZQBfAEUAbgBlAHIAZwB5AEMAbwBuAHQAZQBuAHQARgBhAGMAdABvAHIAUwBsAHUAZABnAGUAQgBpAG8AZwBhAHMARgBsAGEAcgBlAGQAXwBWAGEAcgBpAGEAYgBsAGUAXABuAD0ATABBAE0AQgBEAEEAKAAoAFwAIgBFAEMAZgBsAGEAcgBlAGQAXAAiACkAKQA7AFwAbgBcAG4AVwBhAHMAdABlAF8ARQBuAGUAcgBnAHkAQwBvAG4AdABlAG4AdABGAGEAYwB0AG8AcgBTAGwAdQBkAGcAZQBCAGkAbwBnAGEAcwBGAGwAYQByAGUAZABfAFUAbgBpAHQAXABuAD0ATABBAE0AQgBEAEEAKAAoAFwAIgBHAEoAIAAvACAAbQAzAFwAIgApACkAOwBcAG4AXABuAFcAYQBzAHQAZQBfAEUAbgBlAHIAZwB5AEMAbwBuAHQAZQBuAHQARgBhAGMAdABvAHIAUwBsAHUAZABnAGUAQgBpAG8AZwBhAHMARgBsAGEAcgBlAGQAXwBTAG8AdQByAGMAZQBcAG4APQBMAEEATQBCAEQAQQAoACgAXAAiAFYARQBFAFIARwAgADIAMAAyADYAOgAgADEAMQAuADIALgAzACAAQwBvAG4AcwB0AGEAbgB0AHMAXAAiACkAKQA7AFwAbgBcAG4AVwBhAHMAdABlAF8ARQBuAGUAcgBnAHkAQwBvAG4AdABlAG4AdABGAGEAYwB0AG8AcgBTAGwAdQBkAGcAZQBCAGkAbwBnAGEAcwBGAGwAYQByAGUAZABfAEQAYQB0AGEAXABuAD0ATABBAE0AQgBEAEEAKAAwAC4AMAAzADcANwApADsAXABuAFwAbgAvACoAXABuAD0APQA9AD0APQA9AD0APQA9AD0APQA9AD0APQA9AD0APQA9AD0APQA9AD0APQA9AD0APQA9AD0APQA9AD0APQA9AD0APQA9AD0APQA9AD0APQA9AD0APQA9AD0APQA9AD0APQA9AD0APQA9AD0APQA9AD0APQA9AD0APQA9AD0APQA9AD0APQA9AD0APQA9AD0APQA9AD0AXABuACoALwBcAG4AXABuAFcAYQBzAHQAZQBfAE0AZQB0AGgAYQBuAGUARQBtAGkAcwBzAGkAbwBuAEYAYQBjAHQAbwByAFMAbAB1AGQAZwBlAEIAaQBvAGcAYQBzAEYAbABhAHIAZQBkAF8AVABpAHQAbABlAFwAbgA9AEwAQQBNAEIARABBACgAKABcACIATQBlAHQAaABhAG4AZQAgAGUAbQBpAHMAcwBpAG8AbgAgAGYAYQBjAHQAbwByACAAZgBvAHIAIABzAGwAdQBkAGcAZQAgAGIAaQBvAGcAYQBzACAAZgBsAGEAcgBlAGQAXAAiACkAKQA7AFwAbgBcAG4AVwBhAHMAdABlAF8ATQBlAHQAaABhAG4AZQBFAG0AaQBzAHMAaQBvAG4ARgBhAGMAdABvAHIAUwBsAHUAZABnAGUAQgBpAG8AZwBhAHMARgBsAGEAcgBlAGQAXwBWAGEAcgBpAGEAYgBsAGUAXABuAD0ATABBAE0AQgBEAEEAKAAoAFwAIgBFAEYAZgBsAGEAcgBlAGQALABDAEgANABcACIAKQApADsAXABuAFwAbgBXAGEAcwB0AGUAXwBNAGUAdABoAGEAbgBlAEUAbQBpAHMAcwBpAG8AbgBGAGEAYwB0AG8AcgBTAGwAdQBkAGcAZQBCAGkAbwBnAGEAcwBGAGwAYQByAGUAZABfAFUAbgBpAHQAXABuAD0ATABBAE0AQgBEAEEAKAAoAFwAIgBrAGcAIABDAEgANAAgAC8AIABHAEoAXAAiACkAKQA7AFwAbgBcAG4AVwBhAHMAdABlAF8ATQBlAHQAaABhAG4AZQBFAG0AaQBzAHMAaQBvAG4ARgBhAGMAdABvAHIAUwBsAHUAZABnAGUAQgBpAG8AZwBhAHMARgBsAGEAcgBlAGQAXwBTAG8AdQByAGMAZQBcAG4APQBMAEEATQBCAEQAQQAoACgAXAAiAFYARQBFAFIARwAgADIAMAAyADYAOgAgADEAMQAuADIALgAzACAAQwBvAG4AcwB0AGEAbgB0AHMAXAAiACkAKQA7AFwAbgBcAG4AVwBhAHMAdABlAF8ATQBlAHQAaABhAG4AZQBFAG0AaQBzAHMAaQBvAG4ARgBhAGMAdABvAHIAUwBsAHUAZABnAGUAQgBpAG8AZwBhAHMARgBsAGEAcgBlAGQAXwBEAGEAdABhAFwAbgA9AEwAQQBNAEIARABBACgAMAAuADIAMgA4ADkAKQA7AFwAbgBcAG4ALwAqAFwAbgA9AD0APQA9AD0APQA9AD0APQA9AD0APQA9AD0APQA9AD0APQA9AD0APQA9AD0APQA9AD0APQA9AD0APQA9AD0APQA9AD0APQA9AD0APQA9AD0APQA9AD0APQA9AD0APQA9AD0APQA9AD0APQA9AD0APQA9AD0APQA9AD0APQA9AD0APQA9AD0APQA9AD0APQA9AD0APQA9AFwAbgAqAC8AXABuAFwAbgBXAGEAcwB0AGUAXwBOAGkAdAByAG8AdQBzAE8AeABpAGQAZQBFAG0AaQBzAHMAaQBvAG4ARgBhAGMAdABvAHIAUwBsAHUAZABnAGUAQgBpAG8AZwBhAHMARgBsAGEAcgBlAGQAXwBUAGkAdABsAGUAXABuAD0ATABBAE0AQgBEAEEAKAAoAFwAIgBOAGkAdAByAG8AdQBzACAAbwB4AGkAZABlACAAZQBtAGkAcwBzAGkAbwBuACAAZgBhAGMAdABvAHIAIABmAG8AcgAgAHMAbAB1AGQAZwBlACAAYgBpAG8AZwBhAHMAIABmAGwAYQByAGUAZABcACIAKQApADsAXABuAFwAbgBXAGEAcwB0AGUAXwBOAGkAdAByAG8AdQBzAE8AeABpAGQAZQBFAG0AaQBzAHMAaQBvAG4ARgBhAGMAdABvAHIAUwBsAHUAZABnAGUAQgBpAG8AZwBhAHMARgBsAGEAcgBlAGQAXwBWAGEAcgBpAGEAYgBsAGUAXABuAD0ATABBAE0AQgBEAEEAKAAoAFwAIgBFAEYAZgBsAGEAcgBlAGQALABOADIATwBcACIAKQApADsAXABuAFwAbgBXAGEAcwB0AGUAXwBOAGkAdAByAG8AdQBzAE8AeABpAGQAZQBFAG0AaQBzAHMAaQBvAG4ARgBhAGMAdABvAHIAUwBsAHUAZABnAGUAQgBpAG8AZwBhAHMARgBsAGEAcgBlAGQAXwBVAG4AaQB0AFwAbgA9AEwAQQBNAEIARABBACgAKABcACIAawBnACAATgAyAE8AIAAvACAARwBKAFwAIgApACkAOwBcAG4AXABuAFcAYQBzAHQAZQBfAE4AaQB0AHIAbwB1AHMATwB4AGkAZABlAEUAbQBpAHMAcwBpAG8AbgBGAGEAYwB0AG8AcgBTAGwAdQBkAGcAZQBCAGkAbwBnAGEAcwBGAGwAYQByAGUAZABfAFMAbwB1AHIAYwBlAFwAbgA9AEwAQQBNAEIARABBACgAKABcACIAVgBFAEUAUgBHACAAMgAwADIANgA6ACAAMQAxAC4AMgAuADMAIABDAG8AbgBzAHQAYQBuAHQAcwBcACIAKQApADsAXABuAFwAbgBXAGEAcwB0AGUAXwBOAGkAdAByAG8AdQBzAE8AeABpAGQAZQBFAG0AaQBzAHMAaQBvAG4ARgBhAGMAdABvAHIAUwBsAHUAZABnAGUAQgBpAG8AZwBhAHMARgBsAGEAcgBlAGQAXwBEAGEAdABhAFwAbgA9AEwAQQBNAEIARABBACgAMQAuADEAMwAyAGUALQA0ACkAOwBcAG4AIgB9ACwAewAiAHAAYQB0AGgAIgA6ACIALwBwAHIAbwBqAGUAYwB0AHMALwBXAGEAcwB0AGUAdwBhAHQAZQByAF8ATgAyAE8AXwBFAHEAdQBhAHQAaQBvAG4AcwAiACwAIgB0AGUAeAB0ACIAOgAiAC8AKgBcAG4APQA9AD0APQA9AD0APQA9AD0APQA9AD0APQA9AD0APQA9AD0APQA9AD0APQA9AD0APQA9AD0APQA9AD0APQA9AD0APQA9AD0APQA9AD0APQA9AD0APQA9AD0APQA9AD0APQA9AD0APQA9AD0APQA9AD0APQA9AD0APQA9AD0APQA9AD0APQA9AD0APQA9AD0APQA9AD0APQBcAG4AMQAxAC4AMQA6ACAAVwBhAHMAdABlAHcAYQB0AGUAcgBcAG4APQA9AD0APQA9AD0APQA9AD0APQA9AD0APQA9AD0APQA9AD0APQA9AD0APQA9AD0APQA9AD0APQA9AD0APQA9AD0APQA9AD0APQA9AD0APQA9AD0APQA9AD0APQA9AD0APQA9AD0APQA9AD0APQA9AD0APQA9AD0APQA9AD0APQA9AD0APQA9AD0APQA9AD0APQA9AD0APQBcAG4AMQAxAC4AMQAuADMALgAxACAATQBlAHQAaABvAGQAIAAxACAALQAgAE4AaQB0AHIAbwB1AHMAIABvAHgAaQBkAGUAIABlAG0AaQBzAHMAaQBvAG4AcwAgAGYAcgBvAG0AIABvAG4AcwBpAHQAZQAgAFcAYQBzAHQAZQB3AGEAdABlAHIAIABNAGEAbgBhAGcAZQ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xAF8AMQBfADMAXwAxAF8AXwAxAF8ATgBpAHQAcgBvAHUAcwBPAHgAaQBkAGUARQBtAGkAcwBzAGkAbwBuAHMARgByAG8AbQBGAGwAYQByAGUAZABCAGkAbwBnAGEAcwBcAG4ATgBpAHQAcgBvAHUAcwAgAG8AeABpAGQAZQAgAGUAbQBpAHMAcwBpAG8AbgBzACAAZgByAG8AbQAgAGYAbABhAHIAZQBkACAAYgBpAG8AZwBhAHMAXABuAEUAXwBOADIATwBcAG4AdAAgAE4AMgBPAFwAbgBFAF8AewBOADIATwB9AD0AXABcAGYAcgBhAGMAewBRAF8AewBmAGwAYQByAGUAZAB9AH0AewAxADAAMAAwAH0AXABcAHQAaQBtAGUAcwAgAEUARgBfAHsAZgBsAGEAcgBlAGQALABOADIATwB9AFwAbgBRAF8AZgBsAGEAcgBlAGQAIAA9ACAAdgBvAGwAdQBtAGUAIABvAGYAIABiAGkAbwBnAGEAcwAgAGYAbABhAHIAZQBkACAAKABtADMAIABvAHIAIABHAEoAKQBcAG4ARQBGAF8AZgBsAGEAcgBlAGQAXwBOADIATwAgAD0AIABuAGkAdAByAG8AdQBzACAAbwB4AGkAZABlACAAZQBtAGkAcwBzAGkAbwBuACAAZgBhAGMAdABvAHIAIABmAG8AcgAgAGYAbABhAHIAZQBkACAAYgBpAG8AZwBhAHMAIAAoAGsAZwAgAE4AMgBPAC8ARwBKACkAXABuAC0ALQAtAC0ALQAtAC0ALQAtAC0ALQAtAC0ALQAtAC0ALQAtAC0ALQAtAC0ALQAtAC0ALQAtAC0ALQAtAC0ALQAtAC0ALQAtAC0ALQBcAG4AKgAvAFwAbgBcAG4AVgBFAEUAUgBHAF8AMQAxAF8AMQBfADMAXwAxAF8AXwAxAF8ATgBpAHQAcgBvAHUAcwBPAHgAaQBkAGUARQBtAGkAcwBzAGkAbwBuAHMARgByAG8AbQBGAGwAYQByAGUAZABCAGkAbwBnAGEAcwBcAG4AIAAgAD0ATABBAE0AQgBEAEEAKABcAG4AIAAgACAAIABRAF8AZgBsAGEAcgBlAGQALAAgAEUAQwBfAGYAbABhAHIAZQBkACwAIABFAEYAXwBmAGwAYQByAGUAZABOADIATwAsAFwAbgAgACAAIAAgACgAUQBfAGYAbABhAHIAZQBkACAALwAgADEAMAAwADAAKQAgACoAIAAoAEUAQwBfAGYAbABhAHIAZQBkACAAKgAgAEUARgBfAGYAbABhAHIAZQBkAE4AMgBPACkAXABuACAAIAApADsAXABuAFwAbgBWAEUARQBSAEcAXwAxADEAXwAxAF8AMwBfADEAXwBfADEAXwBOAGkAdAByAG8AdQBzAE8AeABpAGQAZQBFAG0AaQBzAHMAaQBvAG4AcwBGAHIAbwBtAEYAbABhAHIAZQBkAEIAaQBvAGcAYQBzAF8AVABpAHQAbABlAFwAbgAgACAAPQBMAEEATQBCAEQAQQAoAFwAIgBOAGkAdAByAG8AdQBzACAAbwB4AGkAZABlACAAZQBtAGkAcwBzAGkAbwBuAHMAIABmAHIAbwBtACAAZgBsAGEAcgBlAGQAIABiAGkAbwBnAGEAcwBcACIAKQA7AFwAbgBcAG4AVgBFAEUAUgBHAF8AMQAxAF8AMQBfADMAXwAxAF8AXwAxAF8ATgBpAHQAcgBvAHUAcwBPAHgAaQBkAGUARQBtAGkAcwBzAGkAbwBuAHMARgByAG8AbQBGAGwAYQByAGUAZABCAGkAbwBnAGEAcwBfAFYAYQByAGkAYQBiAGwAZQBcAG4AIAAgAD0ATABBAE0AQgBEAEEAKABcACIARQBfAE4AMgBPAFwAIgApADsAXABuAFwAbgBWAEUARQBSAEcAXwAxADEAXwAxAF8AMwBfADEAXwBfADEAXwBOAGkAdAByAG8AdQBzAE8AeABpAGQAZQBFAG0AaQBzAHMAaQBvAG4AcwBGAHIAbwBtAEYAbABhAHIAZQBkAEIAaQBvAGcAYQBzAF8AVQBuAGkAdABcAG4AIAAgAD0ATABBAE0AQgBEAEEAKABcACIAdAAgAE4AMgBPAFwAIgApADsAXABuAFwAbgBWAEUARQBSAEcAXwAxADEAXwAxAF8AMwBfADEAXwBfADEAXwBOAGkAdAByAG8AdQBzAE8AeABpAGQAZQBFAG0AaQBzAHMAaQBvAG4AcwBGAHIAbwBtAEYAbABhAHIAZQBkAEIAaQBvAGcAYQBzAF8AUwBvAHUAcgBjAGUAXABuACAAIAA9AEwAQQBNAEIARABBACgAXAAiAFYARQBFAFIARwAgADIAMAAyADYAOgAgADEAMQAuADEALgAzAC4AMQAsACAARQBxAHUAYQB0AGkAbwBuACAAKAAxACkAXAAiACkAOwBcAG4AXABuAFYARQBFAFIARwBfADEAMQBfADEAXwAzAF8AMQBfAF8AMQBfAE4AaQB0AHIAbwB1AHMATwB4AGkAZABlAEUAbQBpAHMAcwBpAG8AbgBzAEYAcgBvAG0ARgBsAGEAcgBlAGQAQgBpAG8AZwBhAHMAXwBOAEkAUgBSAGUAZgBlAHIAZQBuAGMAZQBcAG4AIAAgAD0ATABBAE0AQgBEAEEAKABcACIAXAAiACkAOwBcAG4AXABuAFYARQBFAFIARwBfADEAMQBfADEAXwAzAF8AMQBfAF8AMQBfAE4AaQB0AHIAbwB1AHMATwB4AGkAZABlAEUAbQBpAHMAcwBpAG8AbgBzAEYAcgBvAG0ARgBsAGEAcgBlAGQAQgBpAG8AZwBhAHMAXwBMAGEAdABlAHgARQBxAHUAYQB0AGkAbwBuAFwAbgAgACAAPQBMAEEATQBCAEQAQQAoAFwAIgBFAF8AewBOADIATwB9AD0AXABcAGYAcgBhAGMAewBRAF8AewBmAGwAYQByAGUAZAB9AH0AewAxADAAMAAwAH0AXABcAHQAaQBtAGUAcwAgAFwAXABsAGUAZgB0AFsARQBDAF8AewBmAGwAYQByAGUAZAB9ACAAXABcAHQAaQBtAGUAcwAgAEUARgBfAHsAZgBsAGEAcgBlAGQALABOADIATwB9AFwAXAByAGkAZwBoAHQAXQBcACIAKQA7AFwAbgBcAG4AVgBFAEUAUgBHAF8AMQAxAF8AMQBfADMAXwAxAF8AXwAxAF8ATgBpAHQAcgBvAHUAcwBPAHgAaQBkAGUARQBtAGkAcwBzAGkAbwBuAHMARgByAG8AbQBGAGwAYQByAGUAZABCAGkAbwBnAGEAcwBfAEEAcgBnAHUAbQBlAG4AdABzAFwAbgAgACAAPQBMAEEATQBCAEQAQQAoAFwAbgAgACAAIAAgAE0AQQBLAEUAQQBSAFIAQQBZACgAMwAsACAANAAsAFwAbgAgACAAIAAgACAAIABMAEEATQBCAEQAQQAoAHIALABjACwAXABuACAAIAAgACAAIAAgACAAIABJAE4ARABFAFgAKAB7AFwAbgAgACAAIAAgACAAIAAgACAAIAAgAFwAIgBRAF8AZgBsAGEAcgBlAGQAXAAiACwAIABcACIAdgBvAGwAdQBtAGUAIABvAGYAIABiAGkAbwBnAGEAcwAgAGYAbABhAHIAZQBkAFwAIgAsACAAXAAiAG0AMwBcACIALAAgAFwAIgBJAG4AcAB1AHQAXAAiADsAXABuACAAIAAgACAAIAAgACAAIAAgACAAXAAiAEUAQwBfAGYAbABhAHIAZQBkAFwAIgAsACAAXAAiAGUAbgBlAHIAZwB5ACAAYwBvAG4AdABlAG4AdAAgAGYAYQBjAHQAbwByACAAbwBmACAAcwBsAHUAZABnAGUAIABiAGkAbwBnAGEAcwAgAGYAbABhAHIAZQBkAFwAIgAsACAAXAAiAEcASgAvAG0AMwBcACIALAAgAFwAIgBDAG8AbgBzAHQAYQBuAHQAXAAiADsAXABuACAAIAAgACAAIAAgACAAIAAgACAAXAAiAEUARgBfAGYAbABhAHIAZQBkAE4AMgBPAFwAIgAsACAAXAAiAG4AaQB0AHIAbwB1AHMAIABvAHgAaQBkAGUAIABlAG0AaQBzAHMAaQBvAG4AIABmAGEAYwB0AG8AcgAgAGYAbwByACAAZgBsAGEAcgBlAGQAIABiAGkAbwBnAGEAcwBcACIALAAgAFwAIgBrAGcAIABOADIATwAvAEcASgBcACIALAAgAFwAIgBDAG8AbgBzAHQAYQBu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XAGEAcwB0AGUAdwBhAHQAZQByAF8ATQBlAHQAaABhAG4AZQBfAEUAcQB1AGEAdABpAG8AbgBzAC4AVgBFAEUAUgBHAF8AMQAxAF8AMQBfADEAXwAxAF8AXwAxAF8ATQBlAHQAaABhAG4AZQBFAG0AaQBzAHMAaQBvAG4AcwBGAHIAbwBtAFcAYQBzAHQAZQB3AGEAdABlAHIAVAByAGUAYQB0AG0AZQBuAHQAIgAsACIAVwBhAHMAdABlAHcAYQB0AGUAcgBfAE0AZQB0AGgAYQBuAGUAXwBFAHEAdQBhAHQAaQBvAG4AcwAuAFYARQBFAFIARwBfADEAMQBfADEAXwAxAF8AMQBfAF8AMQBfAE0AZQB0AGgAYQBuAGUARQBtAGkAcwBzAGkAbwBuAHMARgByAG8AbQBXAGEAcwB0AGUAdwBhAHQAZQByAFQAcgBlAGEAdABtAGUAbgB0AF8AVABpAHQAbABlACIALAAiAFcAYQBzAHQAZQB3AGEAdABlAHIAXwBNAGUAdABoAGEAbgBlAF8ARQBxAHUAYQB0AGkAbwBuAHMALgBWAEUARQBSAEcAXwAxADEAXwAxAF8AMQBfADEAXwBfADEAXwBNAGUAdABoAGEAbgBlAEUAbQBpAHMAcwBpAG8AbgBzAEYAcgBvAG0AVwBhAHMAdABlAHcAYQB0AGUAcgBUAHIAZQBhAHQAbQBlAG4AdABfAFYAYQByAGkAYQBiAGwAZQAiACwAIgBXAGEAcwB0AGUAdwBhAHQAZQByAF8ATQBlAHQAaABhAG4AZQBfAEUAcQB1AGEAdABpAG8AbgBzAC4AVgBFAEUAUgBHAF8AMQAxAF8AMQBfADEAXwAxAF8AXwAxAF8ATQBlAHQAaABhAG4AZQBFAG0AaQBzAHMAaQBvAG4AcwBGAHIAbwBtAFcAYQBzAHQAZQB3AGEAdABlAHIAVAByAGUAYQB0AG0AZQBuAHQAXwBVAG4AaQB0ACIALAAiAFcAYQBzAHQAZQB3AGEAdABlAHIAXwBNAGUAdABoAGEAbgBlAF8ARQBxAHUAYQB0AGkAbwBuAHMALgBWAEUARQBSAEcAXwAxADEAXwAxAF8AMQBfADEAXwBfADEAXwBNAGUAdABoAGEAbgBlAEUAbQBpAHMAcwBpAG8AbgBzAEYAcgBvAG0AVwBhAHMAdABlAHcAYQB0AGUAcgBUAHIAZQBhAHQAbQBlAG4AdABfAFMAbwB1AHIAYwBlACIALAAiAFcAYQBzAHQAZQB3AGEAdABlAHIAXwBNAGUAdABoAGEAbgBlAF8ARQBxAHUAYQB0AGkAbwBuAHMALgBWAEUARQBSAEcAXwAxADEAXwAxAF8AMQBfADEAXwBfADEAXwBNAGUAdABoAGEAbgBlAEUAbQBpAHMAcwBpAG8AbgBzAEYAcgBvAG0AVwBhAHMAdABlAHcAYQB0AGUAcgBUAHIAZQBhAHQAbQBlAG4AdABfAE4ASQBSAFIAZQBmAGUAcgBlAG4AYwBlACIALAAiAFcAYQBzAHQAZQB3AGEAdABlAHIAXwBNAGUAdABoAGEAbgBlAF8ARQBxAHUAYQB0AGkAbwBuAHMALgBWAEUARQBSAEcAXwAxADEAXwAxAF8AMQBfADEAXwBfADEAXwBNAGUAdABoAGEAbgBlAEUAbQBpAHMAcwBpAG8AbgBzAEYAcgBvAG0AVwBhAHMAdABlAHcAYQB0AGUAcgBUAHIAZQBhAHQAbQBlAG4AdABfAEwAYQB0AGUAeABFAHEAdQBhAHQAaQBvAG4AIgAsACIAVwBhAHMAdABlAHcAYQB0AGUAcgBfAE0AZQB0AGgAYQBuAGUAXwBFAHEAdQBhAHQAaQBvAG4AcwAuAFYARQBFAFIARwBfADEAMQBfADEAXwAxAF8AMQBfAF8AMQBfAE0AZQB0AGgAYQBuAGUARQBtAGkAcwBzAGkAbwBuAHMARgByAG8AbQBXAGEAcwB0AGUAdwBhAHQAZQByAFQAcgBlAGEAdABtAGUAbgB0AF8AQQByAGcAdQBtAGUAbgB0AHMAIgAsACIAVwBhAHMAdABlAHcAYQB0AGUAcgBfAE0AZQB0AGgAYQBuAGUAXwBFAHEAdQBhAHQAaQBvAG4AcwAuAFYARQBFAFIARwBfADEAMQBfADEAXwAxAF8AMQBfAF8AMQBfAE0AZQB0AGgAYQBuAGUARQBtAGkAcwBzAGkAbwBuAHMARgByAG8AbQBXAGEAcwB0AGUAdwBhAHQAZQByAFQAcgBlAGEAdABtAGUAbgB0AF8AVgBhAHIAaQBhAHQAaQBvAG4AIgAsACIAVwBhAHMAdABlAHcAYQB0AGUAcgBfAFMAbwB1AHIAYwBlAEQAYQB0AGEALgBXAGEAcwB0AGUAXwBNAGUAdABoAGEAbgBlAEMAbwByAHIAZQBjAHQAaQBvAG4ARgBhAGMAdABvAHIAVwBhAHMAdABlAHcAYQB0AGUAcgBfAFQAaQB0AGwAZQAiACwAIgBXAGEAcwB0AGUAdwBhAHQAZQByAF8AUwBvAHUAcgBjAGUARABhAHQAYQAuAFcAYQBzAHQAZQBfAE0AZQB0AGgAYQBuAGUAQwBvAHIAcgBlAGMAdABpAG8AbgBGAGEAYwB0AG8AcgBXAGEAcwB0AGUAdwBhAHQAZQByAF8AVgBhAHIAaQBhAGIAbABlACIALAAiAFcAYQBzAHQAZQB3AGEAdABlAHIAXwBTAG8AdQByAGMAZQBEAGEAdABhAC4AVwBhAHMAdABlAF8ATQBlAHQAaABhAG4AZQBDAG8AcgByAGUAYwB0AGkAbwBuAEYAYQBjAHQAbwByAFcAYQBzAHQAZQB3AGEAdABlAHIAXwBVAG4AaQB0ACIALAAiAFcAYQBzAHQAZQB3AGEAdABlAHIAXwBTAG8AdQByAGMAZQBEAGEAdABhAC4AVwBhAHMAdABlAF8ATQBlAHQAaABhAG4AZQBDAG8AcgByAGUAYwB0AGkAbwBuAEYAYQBjAHQAbwByAFcAYQBzAHQAZQB3AGEAdABlAHIAXwBTAG8AdQByAGMAZQAiACwAIgBXAGEAcwB0AGUAdwBhAHQAZQByAF8AUwBvAHUAcgBjAGUARABhAHQAYQAuAFcAYQBzAHQAZQBfAE0AZQB0AGgAYQBuAGUAQwBvAHIAcgBlAGMAdABpAG8AbgBGAGEAYwB0AG8AcgBXAGEAcwB0AGUAdwBhAHQAZQByAF8ARABhAHQAYQAiACwAIgBXAGEAcwB0AGUAdwBhAHQAZQByAF8AUwBvAHUAcgBjAGUARABhAHQAYQAuAFcAYQBzAHQAZQBfAE0AZQB0AGgAYQBuAGUAQwBvAHIAcgBlAGMAdABpAG8AbgBGAGEAYwB0AG8AcgBXAGEAcwB0AGUAdwBhAHQAZQByAF8AVgBhAHIAaQBhAHQAaQBvAG4AIgAsACIAVwBhAHMAdABlAHcAYQB0AGUAcgBfAFMAbwB1AHIAYwBlAEQAYQB0AGEALgBXAGEAcwB0AGUAXwBNAGUAdABoAGEAbgBlAEMAbwByAHIAZQBjAHQAaQBvAG4ARgBhAGMAdABvAHIAUwBsAHUAZABnAGUAXwBUAGkAdABsAGUAIgAsACIAVwBhAHMAdABlAHcAYQB0AGUAcgBfAFMAbwB1AHIAYwBlAEQAYQB0AGEALgBXAGEAcwB0AGUAXwBNAGUAdABoAGEAbgBlAEMAbwByAHIAZQBjAHQAaQBvAG4ARgBhAGMAdABvAHIAUwBsAHUAZABnAGUAXwBWAGEAcgBpAGEAYgBsAGUAIgAsACIAVwBhAHMAdABlAHcAYQB0AGUAcgBfAFMAbwB1AHIAYwBlAEQAYQB0AGEALgBXAGEAcwB0AGUAXwBNAGUAdABoAGEAbgBlAEMAbwByAHIAZQBjAHQAaQBvAG4ARgBhAGMAdABvAHIAUwBsAHUAZABnAGUAXwBVAG4AaQB0ACIALAAiAFcAYQBzAHQAZQB3AGEAdABlAHIAXwBTAG8AdQByAGMAZQBEAGEAdABhAC4AVwBhAHMAdABlAF8ATQBlAHQAaABhAG4AZQBDAG8AcgByAGUAYwB0AGkAbwBuAEYAYQBjAHQAbwByAFMAbAB1AGQAZwBlAF8AUwBvAHUAcgBjAGUAIgAsACIAVwBhAHMAdABlAHcAYQB0AGUAcgBfAFMAbwB1AHIAYwBlAEQAYQB0AGEALgBXAGEAcwB0AGUAXwBNAGUAdABoAGEAbgBlAEMAbwByAHIAZQBjAHQAaQBvAG4ARgBhAGMAdABvAHIAUwBsAHUAZABnAGUAXwBEAGEAdABhACIALAAiAFcAYQBzAHQAZQB3AGEAdABlAHIAXwBTAG8AdQByAGMAZQBEAGEAdABhAC4AVwBhAHMAdABlAF8ATQBlAHQAaABhAG4AZQBDAG8AcgByAGUAYwB0AGkAbwBuAEYAYQBjAHQAbwByAFMAbAB1AGQAZwBlAF8AVgBhAHIAaQBhAHQAaQBvAG4AIgAsACIAVwBhAHMAdABlAHcAYQB0AGUAcgBfAFMAbwB1AHIAYwBlAEQAYQB0AGEALgBXAGEAcwB0AGUAXwBNAGUAdABoAGEAbgBlAEUAbQBpAHMAcwBpAG8AbgBGAGEAYwB0AG8AcgBXAGEAcwB0AGUAdwBhAHQAZQByAF8AVABpAHQAbABlACIALAAiAFcAYQBzAHQAZQB3AGEAdABlAHIAXwBTAG8AdQByAGMAZQBEAGEAdABhAC4AVwBhAHMAdABlAF8ATQBlAHQAaABhAG4AZQBFAG0AaQBzAHMAaQBvAG4ARgBhAGMAdABvAHIAVwBhAHMAdABlAHcAYQB0AGUAcgBfAFYAYQByAGkAYQBiAGwAZQAiACwAIgBXAGEAcwB0AGUAdwBhAHQAZQByAF8AUwBvAHUAcgBjAGUARABhAHQAYQAuAFcAYQBzAHQAZQBfAE0AZQB0AGgAYQBuAGUARQBtAGkAcwBzAGkAbwBuAEYAYQBjAHQAbwByAFcAYQBzAHQAZQB3AGEAdABlAHIAXwBVAG4AaQB0ACIALAAiAFcAYQBzAHQAZQB3AGEAdABlAHIAXwBTAG8AdQByAGMAZQBEAGEAdABhAC4AVwBhAHMAdABlAF8ATQBlAHQAaABhAG4AZQBFAG0AaQBzAHMAaQBvAG4ARgBhAGMAdABvAHIAVwBhAHMAdABlAHcAYQB0AGUAcgBfAFMAbwB1AHIAYwBlACIALAAiAFcAYQBzAHQAZQB3AGEAdABlAHIAXwBTAG8AdQByAGMAZQBEAGEAdABhAC4AVwBhAHMAdABlAF8ATQBlAHQAaABhAG4AZQBFAG0AaQBzAHMAaQBvAG4ARgBhAGMAdABvAHIAVwBhAHMAdABlAHcAYQB0AGUAcgBfAEQAYQB0AGEAIgAsACIAVwBhAHMAdABlAHcAYQB0AGUAcgBfAFMAbwB1AHIAYwBlAEQAYQB0AGEALgBXAGEAcwB0AGUAXwBNAGUAdABoAGEAbgBlAEUAbQBpAHMAcwBpAG8AbgBGAGEAYwB0AG8AcgBTAGwAdQBkAGcAZQBfAFQAaQB0AGwAZQAiACwAIgBXAGEAcwB0AGUAdwBhAHQAZQByAF8AUwBvAHUAcgBjAGUARABhAHQAYQAuAFcAYQBzAHQAZQBfAE0AZQB0AGgAYQBuAGUARQBtAGkAcwBzAGkAbwBuAEYAYQBjAHQAbwByAFMAbAB1AGQAZwBlAF8AVgBhAHIAaQBhAGIAbABlACIALAAiAFcAYQBzAHQAZQB3AGEAdABlAHIAXwBTAG8AdQByAGMAZQBEAGEAdABhAC4AVwBhAHMAdABlAF8ATQBlAHQAaABhAG4AZQBFAG0AaQBzAHMAaQBvAG4ARgBhAGMAdABvAHIAUwBsAHUAZABnAGUAXwBVAG4AaQB0ACIALAAiAFcAYQBzAHQAZQB3AGEAdABlAHIAXwBTAG8AdQByAGMAZQBEAGEAdABhAC4AVwBhAHMAdABlAF8ATQBlAHQAaABhAG4AZQBFAG0AaQBzAHMAaQBvAG4ARgBhAGMAdABvAHIAUwBsAHUAZABnAGUAXwBTAG8AdQByAGMAZQAiACwAIgBXAGEAcwB0AGUAdwBhAHQAZQByAF8AUwBvAHUAcgBjAGUARABhAHQAYQAuAFcAYQBzAHQAZQBfAE0AZQB0AGgAYQBuAGUARQBtAGkAcwBzAGkAbwBuAEYAYQBjAHQAbwByAFMAbAB1AGQAZwBlAF8ARABhAHQAYQAiACwAIgBXAGEAcwB0AGUAdwBhAHQAZQByAF8AUwBvAHUAcgBjAGUARABhAHQAYQAuAFcAYQBzAHQAZQBfAEUAbgBlAHIAZwB5AEMAbwBuAHQAZQBuAHQARgBhAGMAdABvAHIAUwBsAHUAZABnAGUAQgBpAG8AZwBhAHMARgBsAGEAcgBlAGQAXwBUAGkAdABsAGUAIgAsACIAVwBhAHMAdABlAHcAYQB0AGUAcgBfAFMAbwB1AHIAYwBlAEQAYQB0AGEALgBXAGEAcwB0AGUAXwBFAG4AZQByAGcAeQBDAG8AbgB0AGUAbgB0AEYAYQBjAHQAbwByAFMAbAB1AGQAZwBlAEIAaQBvAGcAYQBzAEYAbABhAHIAZQBkAF8AVgBhAHIAaQBhAGIAbABlACIALAAiAFcAYQBzAHQAZQB3AGEAdABlAHIAXwBTAG8AdQByAGMAZQBEAGEAdABhAC4AVwBhAHMAdABlAF8ARQBuAGUAcgBnAHkAQwBvAG4AdABlAG4AdABGAGEAYwB0AG8AcgBTAGwAdQBkAGcAZQBCAGkAbwBnAGEAcwBGAGwAYQByAGUAZABfAFUAbgBpAHQAIgAsACIAVwBhAHMAdABlAHcAYQB0AGUAcgBfAFMAbwB1AHIAYwBlAEQAYQB0AGEALgBXAGEAcwB0AGUAXwBFAG4AZQByAGcAeQBDAG8AbgB0AGUAbgB0AEYAYQBjAHQAbwByAFMAbAB1AGQAZwBlAEIAaQBvAGcAYQBzAEYAbABhAHIAZQBkAF8AUwBvAHUAcgBjAGUAIgAsACIAVwBhAHMAdABlAHcAYQB0AGUAcgBfAFMAbwB1AHIAYwBlAEQAYQB0AGEALgBXAGEAcwB0AGUAXwBFAG4AZQByAGcAeQBDAG8AbgB0AGUAbgB0AEYAYQBjAHQAbwByAFMAbAB1AGQAZwBlAEIAaQBvAGcAYQBzAEYAbABhAHIAZQBkAF8ARABhAHQAYQAiACwAIgBXAGEAcwB0AGUAdwBhAHQAZQByAF8AUwBvAHUAcgBjAGUARABhAHQAYQAuAFcAYQBzAHQAZQBfAE0AZQB0AGgAYQBuAGUARQBtAGkAcwBzAGkAbwBuAEYAYQBjAHQAbwByAFMAbAB1AGQAZwBlAEIAaQBvAGcAYQBzAEYAbABhAHIAZQBkAF8AVABpAHQAbABlACIALAAiAFcAYQBzAHQAZQB3AGEAdABlAHIAXwBTAG8AdQByAGMAZQBEAGEAdABhAC4AVwBhAHMAdABlAF8ATQBlAHQAaABhAG4AZQBFAG0AaQBzAHMAaQBvAG4ARgBhAGMAdABvAHIAUwBsAHUAZABnAGUAQgBpAG8AZwBhAHMARgBsAGEAcgBlAGQAXwBWAGEAcgBpAGEAYgBsAGUAIgAsACIAVwBhAHMAdABlAHcAYQB0AGUAcgBfAFMAbwB1AHIAYwBlAEQAYQB0AGEALgBXAGEAcwB0AGUAXwBNAGUAdABoAGEAbgBlAEUAbQBpAHMAcwBpAG8AbgBGAGEAYwB0AG8AcgBTAGwAdQBkAGcAZQBCAGkAbwBnAGEAcwBGAGwAYQByAGUAZABfAFUAbgBpAHQAIgAsACIAVwBhAHMAdABlAHcAYQB0AGUAcgBfAFMAbwB1AHIAYwBlAEQAYQB0AGEALgBXAGEAcwB0AGUAXwBNAGUAdABoAGEAbgBlAEUAbQBpAHMAcwBpAG8AbgBGAGEAYwB0AG8AcgBTAGwAdQBkAGcAZQBCAGkAbwBnAGEAcwBGAGwAYQByAGUAZABfAFMAbwB1AHIAYwBlACIALAAiAFcAYQBzAHQAZQB3AGEAdABlAHIAXwBTAG8AdQByAGMAZQBEAGEAdABhAC4AVwBhAHMAdABlAF8ATQBlAHQAaABhAG4AZQBFAG0AaQBzAHMAaQBvAG4ARgBhAGMAdABvAHIAUwBsAHUAZABnAGUAQgBpAG8AZwBhAHMARgBsAGEAcgBlAGQAXwBEAGEAdABhACIALAAiAFcAYQBzAHQAZQB3AGEAdABlAHIAXwBTAG8AdQByAGMAZQBEAGEAdABhAC4AVwBhAHMAdABlAF8ATgBpAHQAcgBvAHUAcwBPAHgAaQBkAGUARQBtAGkAcwBzAGkAbwBuAEYAYQBjAHQAbwByAFMAbAB1AGQAZwBlAEIAaQBvAGcAYQBzAEYAbABhAHIAZQBkAF8AVABpAHQAbABlACIALAAiAFcAYQBzAHQAZQB3AGEAdABlAHIAXwBTAG8AdQByAGMAZQBEAGEAdABhAC4AVwBhAHMAdABlAF8ATgBpAHQAcgBvAHUAcwBPAHgAaQBkAGUARQBtAGkAcwBzAGkAbwBuAEYAYQBjAHQAbwByAFMAbAB1AGQAZwBlAEIAaQBvAGcAYQBzAEYAbABhAHIAZQBkAF8AVgBhAHIAaQBhAGIAbABlACIALAAiAFcAYQBzAHQAZQB3AGEAdABlAHIAXwBTAG8AdQByAGMAZQBEAGEAdABhAC4AVwBhAHMAdABlAF8ATgBpAHQAcgBvAHUAcwBPAHgAaQBkAGUARQBtAGkAcwBzAGkAbwBuAEYAYQBjAHQAbwByAFMAbAB1AGQAZwBlAEIAaQBvAGcAYQBzAEYAbABhAHIAZQBkAF8AVQBuAGkAdAAiACwAIgBXAGEAcwB0AGUAdwBhAHQAZQByAF8AUwBvAHUAcgBjAGUARABhAHQAYQAuAFcAYQBzAHQAZQBfAE4AaQB0AHIAbwB1AHMATwB4AGkAZABlAEUAbQBpAHMAcwBpAG8AbgBGAGEAYwB0AG8AcgBTAGwAdQBkAGcAZQBCAGkAbwBnAGEAcwBGAGwAYQByAGUAZABfAFMAbwB1AHIAYwBlACIALAAiAFcAYQBzAHQAZQB3AGEAdABlAHIAXwBTAG8AdQByAGMAZQBEAGEAdABhAC4AVwBhAHMAdABlAF8ATgBpAHQAcgBvAHUAcwBPAHgAaQBkAGUARQBtAGkAcwBzAGkAbwBuAEYAYQBjAHQAbwByAFMAbAB1AGQAZwBlAEIAaQBvAGcAYQBzAEYAbABhAHIAZQBkAF8ARABhAHQAYQAiACwAIgBXAGEAcwB0AGUAdwBhAHQAZQByAF8ATgAyAE8AXwBFAHEAdQBhAHQAaQBvAG4AcwAuAFYARQBFAFIARwBfADEAMQBfADEAXwAzAF8AMQBfAF8AMQBfAE4AaQB0AHIAbwB1AHMATwB4AGkAZABlAEUAbQBpAHMAcwBpAG8AbgBzAEYAcgBvAG0ARgBsAGEAcgBlAGQAQgBpAG8AZwBhAHMAIgAsACIAVwBhAHMAdABlAHcAYQB0AGUAcgBfAE4AMgBPAF8ARQBxAHUAYQB0AGkAbwBuAHMALgBWAEUARQBSAEcAXwAxADEAXwAxAF8AMwBfADEAXwBfADEAXwBOAGkAdAByAG8AdQBzAE8AeABpAGQAZQBFAG0AaQBzAHMAaQBvAG4AcwBGAHIAbwBtAEYAbABhAHIAZQBkAEIAaQBvAGcAYQBzAF8AVABpAHQAbABlACIALAAiAFcAYQBzAHQAZQB3AGEAdABlAHIAXwBOADIATwBfAEUAcQB1AGEAdABpAG8AbgBzAC4AVgBFAEUAUgBHAF8AMQAxAF8AMQBfADMAXwAxAF8AXwAxAF8ATgBpAHQAcgBvAHUAcwBPAHgAaQBkAGUARQBtAGkAcwBzAGkAbwBuAHMARgByAG8AbQBGAGwAYQByAGUAZABCAGkAbwBnAGEAcwBfAFYAYQByAGkAYQBiAGwAZQAiACwAIgBXAGEAcwB0AGUAdwBhAHQAZQByAF8ATgAyAE8AXwBFAHEAdQBhAHQAaQBvAG4AcwAuAFYARQBFAFIARwBfADEAMQBfADEAXwAzAF8AMQBfAF8AMQBfAE4AaQB0AHIAbwB1AHMATwB4AGkAZABlAEUAbQBpAHMAcwBpAG8AbgBzAEYAcgBvAG0ARgBsAGEAcgBlAGQAQgBpAG8AZwBhAHMAXwBVAG4AaQB0ACIALAAiAFcAYQBzAHQAZQB3AGEAdABlAHIAXwBOADIATwBfAEUAcQB1AGEAdABpAG8AbgBzAC4AVgBFAEUAUgBHAF8AMQAxAF8AMQBfADMAXwAxAF8AXwAxAF8ATgBpAHQAcgBvAHUAcwBPAHgAaQBkAGUARQBtAGkAcwBzAGkAbwBuAHMARgByAG8AbQBGAGwAYQByAGUAZABCAGkAbwBnAGEAcwBfAFMAbwB1AHIAYwBlACIALAAiAFcAYQBzAHQAZQB3AGEAdABlAHIAXwBOADIATwBfAEUAcQB1AGEAdABpAG8AbgBzAC4AVgBFAEUAUgBHAF8AMQAxAF8AMQBfADMAXwAxAF8AXwAxAF8ATgBpAHQAcgBvAHUAcwBPAHgAaQBkAGUARQBtAGkAcwBzAGkAbwBuAHMARgByAG8AbQBGAGwAYQByAGUAZABCAGkAbwBnAGEAcwBfAE4ASQBSAFIAZQBmAGUAcgBlAG4AYwBlACIALAAiAFcAYQBzAHQAZQB3AGEAdABlAHIAXwBOADIATwBfAEUAcQB1AGEAdABpAG8AbgBzAC4AVgBFAEUAUgBHAF8AMQAxAF8AMQBfADMAXwAxAF8AXwAxAF8ATgBpAHQAcgBvAHUAcwBPAHgAaQBkAGUARQBtAGkAcwBzAGkAbwBuAHMARgByAG8AbQBGAGwAYQByAGUAZABCAGkAbwBnAGEAcwBfAEwAYQB0AGUAeABFAHEAdQBhAHQAaQBvAG4AIgAsACIAVwBhAHMAdABlAHcAYQB0AGUAcgBfAE4AMgBPAF8ARQBxAHUAYQB0AGkAbwBuAHMALgBWAEUARQBSAEcAXwAxADEAXwAxAF8AMwBfADEAXwBfADEAXwBOAGkAdAByAG8AdQBzAE8AeABpAGQAZQBFAG0AaQBzAHMAaQBvAG4AcwBGAHIAbwBtAEYAbABhAHIAZQBkAEIAaQBvAGcAYQBz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Home</vt:lpstr>
      <vt:lpstr>Overview</vt:lpstr>
      <vt:lpstr>Results</vt:lpstr>
      <vt:lpstr>Input - Wastewater</vt:lpstr>
      <vt:lpstr>11.1.1-2 Wastewater CH4</vt:lpstr>
      <vt:lpstr>11.1.3-4 Wastewater N2O</vt:lpstr>
      <vt:lpstr>Constants - Wastewater</vt:lpstr>
      <vt:lpstr>Constants - Common</vt:lpstr>
      <vt:lpstr>VEERG_11_1_1_1__1_MethaneEmissionsFromWastewaterTreatment_Result_Method1</vt:lpstr>
      <vt:lpstr>VEERG_11_1_3_1__1_NitrousOxideEmissionsFromFlaredBiogas_Result_Method1</vt:lpstr>
      <vt:lpstr>X_Cell_Wastewater_FractionCODRemovedAndTransferred</vt:lpstr>
      <vt:lpstr>X_Cell_Wastewater_FractionCODRemovedAsSludge</vt:lpstr>
      <vt:lpstr>X_Cell_Wastewater_InletCOD</vt:lpstr>
      <vt:lpstr>X_Cell_Wastewater_OutletCOD</vt:lpstr>
      <vt:lpstr>X_Cell_Wastewater_QuantityInM3</vt:lpstr>
      <vt:lpstr>X_Cell_Wastewater_SludgeMethaneCapturedForCombustion</vt:lpstr>
      <vt:lpstr>X_Cell_Wastewater_SludgeMethaneFlared</vt:lpstr>
      <vt:lpstr>X_Cell_Wastewater_SludgeMethaneTransferred</vt:lpstr>
      <vt:lpstr>X_Cell_Wastewater_TreatmentFacilityType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2026-06-22T04:04:30Z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