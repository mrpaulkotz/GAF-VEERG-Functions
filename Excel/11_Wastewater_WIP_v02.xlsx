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B2C339C-F995-4455-B4BE-0A75E09419A0}" xr6:coauthVersionLast="47" xr6:coauthVersionMax="47" xr10:uidLastSave="{00000000-0000-0000-0000-000000000000}"/>
  <bookViews>
    <workbookView xWindow="1350" yWindow="360" windowWidth="36255" windowHeight="19140" activeTab="2"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4"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1_1_1_1__1_MethaneEmissionsFromWastewaterTreatment_Result_Method1">'11.1.1-2 Wastewater CH4'!$E$30</definedName>
    <definedName name="VEERG_11_1_3_1__1_NitrousOxideEmissionsFromFlaredBiogas_Result_Method1">'11.1.3-4 Wastewater N2O'!$E$17</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20" l="1"/>
  <c r="J28" i="69"/>
  <c r="J25" i="69"/>
  <c r="J24" i="69"/>
  <c r="J23" i="69"/>
  <c r="J20" i="69"/>
  <c r="J17" i="69"/>
  <c r="J16" i="69"/>
  <c r="J15" i="69"/>
  <c r="J14" i="69"/>
  <c r="E259" i="124" a="1"/>
  <c r="E259" i="124" s="1"/>
  <c r="D259" i="124" a="1"/>
  <c r="D259" i="124" s="1"/>
  <c r="E258" i="124" a="1"/>
  <c r="E258" i="124" s="1"/>
  <c r="D258" i="124" a="1"/>
  <c r="D258" i="124" s="1"/>
  <c r="D256" i="124" a="1"/>
  <c r="D256" i="124" s="1"/>
  <c r="D255" i="124"/>
  <c r="D255" i="124" a="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c r="D211" i="124" a="1"/>
  <c r="E208" i="124" a="1"/>
  <c r="E208" i="124" s="1"/>
  <c r="D208" i="124" a="1"/>
  <c r="D208" i="124" s="1"/>
  <c r="E207" i="124" a="1"/>
  <c r="E207" i="124" s="1"/>
  <c r="D207" i="124" a="1"/>
  <c r="D207" i="124" s="1"/>
  <c r="D205" i="124" a="1"/>
  <c r="D205" i="124" s="1"/>
  <c r="D204" i="124" a="1"/>
  <c r="D204" i="124" s="1"/>
  <c r="D203" i="124" a="1"/>
  <c r="D203" i="124" s="1"/>
  <c r="D202" i="124"/>
  <c r="D202" i="124" a="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c r="D140" i="124" a="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c r="D125" i="124" a="1"/>
  <c r="D124" i="124"/>
  <c r="D124" i="124" a="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c r="D81" i="124" a="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c r="D46" i="124" a="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c r="D19" i="124" a="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I14" i="120"/>
  <c r="F22" i="120" a="1"/>
  <c r="F22" i="120" s="1"/>
  <c r="G13" i="120" a="1"/>
  <c r="G13" i="120" s="1"/>
  <c r="D13" i="120" a="1"/>
  <c r="D13" i="120" s="1"/>
  <c r="E11" i="120" a="1"/>
  <c r="E11" i="120" s="1"/>
  <c r="F17" i="120" s="1"/>
  <c r="E10" i="120" a="1"/>
  <c r="E10" i="120" s="1"/>
  <c r="D6" i="120" a="1"/>
  <c r="D6" i="120" s="1"/>
  <c r="D5" i="120" a="1"/>
  <c r="D5" i="120" s="1"/>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49" i="124" l="1"/>
  <c r="H48" i="124"/>
  <c r="H51" i="124"/>
  <c r="H52" i="124"/>
  <c r="H53" i="124"/>
  <c r="H54" i="124"/>
  <c r="H50" i="124"/>
  <c r="E17" i="120" a="1"/>
  <c r="E17" i="120" s="1"/>
  <c r="E10" i="13" s="1"/>
  <c r="E7" i="120"/>
  <c r="J27" i="69"/>
  <c r="G19" i="120" l="1"/>
  <c r="E22" i="120" s="1" a="1"/>
  <c r="E22" i="120" s="1"/>
  <c r="H10" i="13" s="1"/>
  <c r="I10" i="13" s="1"/>
  <c r="F10" i="13"/>
  <c r="D7" i="69" a="1"/>
  <c r="D7" i="69" s="1"/>
  <c r="J21" i="69" a="1"/>
  <c r="J21" i="69" s="1"/>
  <c r="J18" i="69" a="1"/>
  <c r="J18" i="69" s="1"/>
  <c r="H14" i="69" a="1"/>
  <c r="H14" i="69" s="1"/>
  <c r="D14" i="69" a="1"/>
  <c r="D14" i="69" s="1"/>
  <c r="E12" i="69" a="1"/>
  <c r="E12" i="69" s="1"/>
  <c r="F30" i="69" s="1"/>
  <c r="E11" i="69" a="1"/>
  <c r="E11" i="69" s="1"/>
  <c r="D6" i="69" a="1"/>
  <c r="D6" i="69" s="1"/>
  <c r="D5" i="69" a="1"/>
  <c r="D5" i="69" s="1"/>
  <c r="E8" i="69" a="1"/>
  <c r="E30" i="69" l="1" a="1"/>
  <c r="E30" i="69" s="1"/>
  <c r="E9" i="13" s="1"/>
  <c r="E8" i="69"/>
  <c r="G32" i="69" l="1"/>
  <c r="E35" i="69" s="1" a="1"/>
  <c r="E35" i="69" s="1"/>
  <c r="H9" i="13" s="1"/>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<sst xmlns="http://schemas.openxmlformats.org/spreadsheetml/2006/main" count="171" uniqueCount="132">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</sst>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9">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8" dataCellStyle="Content normal">
  <autoFilter ref="D9:E14" xr:uid="{86752300-1056-4C92-8247-C96E2D7BEDD4}">
    <filterColumn colId="0" hiddenButton="1"/>
    <filterColumn colId="1" hiddenButton="1"/>
  </autoFilter>
  <tableColumns count="2">
    <tableColumn id="1" xr3:uid="{60322701-4B4B-459F-8E0D-E1FDA0005D7E}" name="Facility type 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6"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5" dataCellStyle="Content normal">
  <autoFilter ref="D21:E26" xr:uid="{CAC655BD-F756-4971-8D46-22867B90DE87}">
    <filterColumn colId="0" hiddenButton="1"/>
    <filterColumn colId="1" hiddenButton="1"/>
  </autoFilter>
  <tableColumns count="2">
    <tableColumn id="1" xr3:uid="{D1DF76B8-1010-4952-AD56-4DF4622F5028}" name="Facility type 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3"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B9D8D8-A94C-4765-A2F4-FBF3EB858A2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71512E4-DD77-45F5-A7DC-7F756E38E58B}" name="State/Territory">
      <calculatedColumnFormula array="1">Common_InputFunctions.Utility_DisplayArrayInTable(Common_SourceData.Common_SourceData_AustralianStatesTerritories_Data(),Table_AustralianStates[[#Headers],[State/Territory]],0)</calculatedColumnFormula>
    </tableColumn>
    <tableColumn id="2" xr3:uid="{67A2E349-9D96-4192-BF1C-973FE556FADB}" name="Common Name">
      <calculatedColumnFormula array="1">Common_InputFunctions.Utility_DisplayArrayInTable(Common_SourceData.Common_SourceData_AustralianStatesTerritories_Data(),Table_AustralianStates[[#Headers],[State/Territory]],0)</calculatedColumnFormula>
    </tableColumn>
    <tableColumn id="3" xr3:uid="{6C9B778A-6BC0-4CBC-92FC-621305E6382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49E782-62CC-4024-A8A1-E5EA1E498D2A}" name="Table_WASA4Areas" displayName="Table_WASA4Areas" ref="D20:D30" totalsRowShown="0">
  <autoFilter ref="D20:D30" xr:uid="{5FA81339-C6C8-4D36-BEEA-6C4AEDD9E676}">
    <filterColumn colId="0" hiddenButton="1"/>
  </autoFilter>
  <tableColumns count="1">
    <tableColumn id="1" xr3:uid="{9D56D53A-6694-4B57-A02F-8E9551CB7A1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A15D44-60E0-4864-879A-DD3FCF3315EE}" name="Table_GWPData" displayName="Table_GWPData" ref="D36:E43" totalsRowShown="0">
  <autoFilter ref="D36:E43" xr:uid="{B8E87A66-3E41-4AD3-925D-01EE21B43D7A}">
    <filterColumn colId="0" hiddenButton="1"/>
    <filterColumn colId="1" hiddenButton="1"/>
  </autoFilter>
  <tableColumns count="2">
    <tableColumn id="1" xr3:uid="{29D0E979-289C-49F4-93D3-6124A7F51BE5}" name="Gas">
      <calculatedColumnFormula array="1">Common_InputFunctions.Utility_DisplayArrayInTable(Common_SourceData.Common_SourceData_GWP_Data(), Table_GWPData[[#Headers],[Gas]], 0)</calculatedColumnFormula>
    </tableColumn>
    <tableColumn id="2" xr3:uid="{F1769B4A-4D35-4F1E-B9DA-F65441424CD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352728F-1C63-4F70-B975-4EF1CA2C819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AD24F5B-C1DA-4F22-BB17-81A6F8D71410}" name="Gas">
      <calculatedColumnFormula array="1">Common_InputFunctions.Utility_DisplayArrayInTable(Common_SourceData.Common_SourceData_ConvertGasElementalToMolecular_Data(),Table_GasToMolecularConversionFactor[[#Headers],[Gas]], 0)</calculatedColumnFormula>
    </tableColumn>
    <tableColumn id="5" xr3:uid="{B50E9557-5672-4944-AC8B-E65E187DE052}" name="Conversion factor">
      <calculatedColumnFormula array="1">Common_InputFunctions.Utility_DisplayArrayInTable(Common_SourceData.Common_SourceData_ConvertGasElementalToMolecular_Data(),Table_GasToMolecularConversionFactor[[#Headers],[Gas]], 0)</calculatedColumnFormula>
    </tableColumn>
    <tableColumn id="2" xr3:uid="{85EF82D1-0A91-4FC0-96CC-52E8DE88242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9DBC6F-DAFE-493B-A2AD-0B39C1BB80D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37F38D1-8FCD-4B3A-A678-FA02F0A28A6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570EA12-3286-4560-9BE6-60258611BC9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D0CF1D-7CD9-4066-8EE4-25FE923E5D3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963462-2F2C-4BF6-A892-086541529F20}"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1B3F3876-9D6F-447A-A423-66E21AC0558A}"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A4802F3E-DC20-40F1-AC5A-D182C68519BB}"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1F7F9556-3126-439E-875C-D76E463F8036}"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DBB23AF3-C817-42CE-BE89-ADDA8D904773}"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60216B5C-783A-4916-AACF-4280FF3BECAD}"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1FE05885-DAC3-47B8-BEB3-6920E3033122}"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2B644226-778B-401E-99C4-CEB1DE3EDAE1}"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B73B8CF5-08DF-4843-B82E-B9FB1813470C}"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2516891E-4C4A-426D-8B84-5149409BFCBC}"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189C1E5A-6304-4676-A9EB-8B293F4544B2}"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14B9E9DB-0BCC-48C2-8CCA-57C75DB45D61}"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67D82299-FF27-4038-A32D-781A02A531ED}"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FB2C0315-064C-437A-86D7-3E8FA9F4822B}"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8C37E5-D887-4B5C-9001-232EF0A792B4}"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2F7A40-370B-4A1A-BB7E-6930F4763E1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4AAB7B6-31A0-4522-84AE-3428F2D4D02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619F0C7-D005-4F89-B453-E75937AA076E}"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A18547E-C2B9-4253-9B23-ECFAF5D3F0C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5952A61-6A28-4826-9977-99686E3CA96D}" name="Temperature Zone">
      <calculatedColumnFormula array="1">Common_InputFunctions.Utility_DisplayArrayInTable(Common_SourceData.Common_SourceData_TemperatureZones_Data(),Table_SourceData_TemperatureZones[[#Headers],[Temperature Zone]],0)</calculatedColumnFormula>
    </tableColumn>
    <tableColumn id="2" xr3:uid="{F49ABE84-00CE-4251-9431-9E6E70A546AC}" name="MAT">
      <calculatedColumnFormula array="1">Common_InputFunctions.Utility_DisplayArrayInTable(Common_SourceData.Common_SourceData_TemperatureZones_Data(),Table_SourceData_TemperatureZones[[#Headers],[Temperature Zone]],0)</calculatedColumnFormula>
    </tableColumn>
    <tableColumn id="3" xr3:uid="{0323FC01-6733-41DC-9E79-98C1FED01EC8}" name="Min MAT">
      <calculatedColumnFormula array="1">Common_InputFunctions.Utility_DisplayArrayInTable(Common_SourceData.Common_SourceData_TemperatureZones_Data(),Table_SourceData_TemperatureZones[[#Headers],[Temperature Zone]],0)</calculatedColumnFormula>
    </tableColumn>
    <tableColumn id="4" xr3:uid="{F9992E54-F3A7-462B-BC56-E5BA0C72765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FAB6A22-121F-4A50-9152-A8E58012281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A7B006-3B9B-490B-A956-7F904A9BC1A0}" name="Rainfall Zone">
      <calculatedColumnFormula array="1">Common_InputFunctions.Utility_DisplayArrayInTable(Common_SourceData.Common_SourceData_RainfallZones_Data(),Table_SourceData_RainfallZones[[#Headers],[Rainfall Zone]],0)</calculatedColumnFormula>
    </tableColumn>
    <tableColumn id="2" xr3:uid="{A3178854-1904-46B6-9601-FBCC390F839C}" name="Annual rainfall">
      <calculatedColumnFormula array="1">Common_InputFunctions.Utility_DisplayArrayInTable(Common_SourceData.Common_SourceData_RainfallZones_Data(),Table_SourceData_RainfallZones[[#Headers],[Rainfall Zone]],0)</calculatedColumnFormula>
    </tableColumn>
    <tableColumn id="3" xr3:uid="{D21F920E-74C3-43C6-8E18-6CFD69944EC3}" name="Min rainfall">
      <calculatedColumnFormula array="1">Common_InputFunctions.Utility_DisplayArrayInTable(Common_SourceData.Common_SourceData_RainfallZones_Data(),Table_SourceData_RainfallZones[[#Headers],[Rainfall Zone]],0)</calculatedColumnFormula>
    </tableColumn>
    <tableColumn id="4" xr3:uid="{39CF9EA2-C9B6-41EC-AC58-E1943DCC6E0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B5808CD-4C52-49C0-8D9C-DDD27E7ABF8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B17C9DE-741E-4223-8B98-9DA237A2543C}" name="Leaching Zone">
      <calculatedColumnFormula array="1">Common_InputFunctions.Utility_DisplayArrayInTable(Common_SourceData.Common_SourceData_LeachingZones_Data(), Table_SourceData_LeachingZones[[#Headers],[Leaching Zone]], 0)</calculatedColumnFormula>
    </tableColumn>
    <tableColumn id="2" xr3:uid="{9AE87DF0-C92B-4748-9688-790D35C88B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7892C5-921B-4BA8-8C3E-941A4EBD545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1C79171-18D4-4538-B8B5-4035B9BDADE4}" name="Data source">
      <calculatedColumnFormula array="1">Common_InputFunctions.Utility_DisplayArrayInTable(Common_SourceData.Common_SourceData_DataScores_Scope3_Data(), Table_SourceData_DataScores_Scope3[[#Headers],[Data source]], 0)</calculatedColumnFormula>
    </tableColumn>
    <tableColumn id="2" xr3:uid="{F4879EF9-AFF2-4FBB-8AC4-10E9136CB3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1B8ACAC-A09F-4E48-8944-728EA0065A24}" name="Table_SourceData_FracWET" displayName="Table_SourceData_FracWET" ref="D134:E136" totalsRowShown="0">
  <autoFilter ref="D134:E136" xr:uid="{308E99BE-FE1F-47A4-B2CA-97217277C4E9}">
    <filterColumn colId="0" hiddenButton="1"/>
    <filterColumn colId="1" hiddenButton="1"/>
  </autoFilter>
  <tableColumns count="2">
    <tableColumn id="1" xr3:uid="{AC686EA2-8D9A-4D6D-A8A8-062FB3B515CC}" name="Is in leaching zone">
      <calculatedColumnFormula array="1">Common_InputFunctions.Utility_DisplayArrayInTable(Common_SourceData.Common_SourceData_FracWET_Data(),Table_SourceData_FracWET[[#Headers],[Is in leaching zone]],0)</calculatedColumnFormula>
    </tableColumn>
    <tableColumn id="2" xr3:uid="{1FCEBDA5-65F4-46B1-B370-C11FB49932FA}"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C0F7AC-0F98-4652-98CC-95BA4A16C13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10BB70-498C-4145-BAE7-7A04D5280125}" name="Production system j">
      <calculatedColumnFormula array="1">Common_InputFunctions.Utility_DisplayArrayInTable(Common_SourceData.Common_SourceData_EFN2O_Data(), Table_SourceData_Common_EFN2O[[#Headers],[Production system j]], 0)</calculatedColumnFormula>
    </tableColumn>
    <tableColumn id="2" xr3:uid="{9A35A152-BB7C-4846-9F6E-3E9C99E73442}" name="EFN2O">
      <calculatedColumnFormula array="1">Common_InputFunctions.Utility_DisplayArrayInTable(Common_SourceData.Common_SourceData_EFN2O_Data(), Table_SourceData_Common_EFN2O[[#Headers],[Production system j]], 0)</calculatedColumnFormula>
    </tableColumn>
    <tableColumn id="3" xr3:uid="{748EC603-7F46-49E5-A98E-535FE8846206}" name="Production system only">
      <calculatedColumnFormula array="1">Common_InputFunctions.Utility_DisplayArrayInTable(Common_SourceData.Common_SourceData_EFN2O_Data(), Table_SourceData_Common_EFN2O[[#Headers],[Production system j]], 0)</calculatedColumnFormula>
    </tableColumn>
    <tableColumn id="4" xr3:uid="{A56CD644-C6AA-445E-9F25-4B23A92A9B64}" name="Irrigation method">
      <calculatedColumnFormula array="1">Common_InputFunctions.Utility_DisplayArrayInTable(Common_SourceData.Common_SourceData_EFN2O_Data(), Table_SourceData_Common_EFN2O[[#Headers],[Production system j]], 0)</calculatedColumnFormula>
    </tableColumn>
    <tableColumn id="5" xr3:uid="{CCAB1984-3AF3-43D3-81A5-8CE900C9816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165A077-B250-4DEE-B369-59E4E767990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2C9E476-6A55-47D9-B3E7-C67EA63535FA}" name="Irrigation type i">
      <calculatedColumnFormula array="1">Common_InputFunctions.Utility_DisplayArrayInTable(Common_SourceData.Common_SourceData_FracWETIrrigation_Data(), Table_SourceData_FracWETIrrigation[[#Headers],[Irrigation type i]], 0)</calculatedColumnFormula>
    </tableColumn>
    <tableColumn id="2" xr3:uid="{88DAA629-0590-41E1-A2CC-610CF9FDB97C}"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CE216A-9BD9-485A-9EB8-B9E0DFCC2C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F9CBDC1-27EF-4EED-B8DF-92F594F394C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1AF672B-1B1A-422D-A6B3-621D6214B60E}"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EDBE9B8-7638-405B-BBEA-28F4A90E5F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6D4BDC-1A8D-48FE-B31E-DE67F81E1C52}" name="Month">
      <calculatedColumnFormula array="1">Common_InputFunctions.Utility_DisplayArrayInTable(Common_SourceData.Common_SourceData_MonthsToSeasons_Data(), Table_SourceData_Common_MonthToSeason[[#Headers],[Month]], 0)</calculatedColumnFormula>
    </tableColumn>
    <tableColumn id="2" xr3:uid="{84A8C1F6-0D04-4FAE-AC8C-5DCE94CD2667}"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B2C0D77-D19C-4F62-8E5B-44E9019BF6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787CE1-8BC3-48A0-BD72-4D31FF2981A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6F7AC5-AA7A-4B5B-A91D-B3234A850B1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88DBCE-83A9-4948-B739-6D8CFA8FB1F1}"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F0A7CCE-9091-445B-A615-A547A51F5200}"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5FD72F-73B7-4580-B927-C93DC98F52E5}"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72DB022-C4D0-41C7-A672-C4F576EDC815}"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8BE1154-A30B-4B37-8D42-1FCB8196ADFF}"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E6F67A9-BD27-47E8-B501-A2D2DDFAFD2B}"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612D188-6F19-4A62-9F7B-984763732FCD}"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2B629FE-D9AC-43BB-8712-0244FAFED16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EB1AAB3-C1F7-4609-811C-C8F71F27BEA7}"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CD3C79-0D8E-4E7F-87FD-8F4EA6115707}"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6966C78-6D1B-4D36-AF62-930896F91722}"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19A832A-BD0E-4DCC-BA3B-3FE865BD158B}"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0A5924-316D-4A5B-BC7C-60065B83EB70}"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1772124-674F-460B-8395-C3AE2FD9C17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9E744CC-76BA-4DD4-AC67-44F809197B9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99ABC9-646D-4864-8875-225CB798A12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28CCD4A-4F4D-4667-8FE5-C00753040270}"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F15" sqref="F15"/>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128</v>
      </c>
      <c r="I8" s="39" t="s">
        <v>129</v>
      </c>
      <c r="J8" s="39" t="s">
        <v>130</v>
      </c>
      <c r="K8" s="18"/>
    </row>
    <row r="9" spans="1:11" ht="20.100000000000001" customHeight="1" x14ac:dyDescent="0.25">
      <c r="A9" s="13"/>
      <c r="C9" s="18"/>
      <c r="D9" s="1" t="s">
        <v>124</v>
      </c>
      <c r="E9" s="52">
        <f>VEERG_11_1_1_1__1_MethaneEmissionsFromWastewaterTreatment_Result_Method1</f>
        <v>4.7159433000000001E-2</v>
      </c>
      <c r="F9" s="52">
        <f>E9</f>
        <v>4.7159433000000001E-2</v>
      </c>
      <c r="G9" s="30" t="s">
        <v>126</v>
      </c>
      <c r="H9" s="52">
        <f>'11.1.1-2 Wastewater CH4'!E35</f>
        <v>1.3204641239999999</v>
      </c>
      <c r="I9" s="52">
        <f>H9</f>
        <v>1.3204641239999999</v>
      </c>
      <c r="J9" s="30" t="s">
        <v>58</v>
      </c>
      <c r="K9" s="18"/>
    </row>
    <row r="10" spans="1:11" ht="20.100000000000001" customHeight="1" x14ac:dyDescent="0.25">
      <c r="A10" s="15" t="s">
        <v>45</v>
      </c>
      <c r="C10" s="18"/>
      <c r="D10" s="1" t="s">
        <v>125</v>
      </c>
      <c r="E10" s="75">
        <f>VEERG_11_1_3_1__1_NitrousOxideEmissionsFromFlaredBiogas_Result_Method1</f>
        <v>4.26764E-7</v>
      </c>
      <c r="F10" s="75">
        <f>E10</f>
        <v>4.26764E-7</v>
      </c>
      <c r="G10" s="30" t="s">
        <v>127</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6" t="s">
        <v>131</v>
      </c>
      <c r="E11" s="77"/>
      <c r="F11" s="77"/>
      <c r="G11" s="76"/>
      <c r="H11" s="78">
        <f>SUM(H9:H10)</f>
        <v>1.3205772164599998</v>
      </c>
      <c r="I11" s="78">
        <f>SUM(I9:I10)</f>
        <v>1.3205772164599998</v>
      </c>
      <c r="J11" s="74"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123</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124</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X_Cell_Wastewater_QuantityInM3</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X_Cell_Wastewater_InletCOD</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X_Cell_Wastewater_FractionCODRemovedAsSludge</f>
        <v>0.5</v>
      </c>
    </row>
    <row r="17" spans="1:10" ht="20.100000000000001" customHeight="1" x14ac:dyDescent="0.25">
      <c r="D17" s="48" t="str">
        <v>COD_out</v>
      </c>
      <c r="E17" s="50" t="str">
        <v>average outlet COD concentration of wastewater</v>
      </c>
      <c r="F17" s="64"/>
      <c r="G17" s="49"/>
      <c r="H17" s="48" t="str">
        <v>kg COD/m3</v>
      </c>
      <c r="I17" s="44" t="str">
        <v>Input</v>
      </c>
      <c r="J17" s="48">
        <f>X_Cell_Wastewater_OutletCOD</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X_Cell_Wastewater_FractionCODRemovedAndTransferred</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X_Cell_Wastewater_SludgeMethaneCapturedForCombustion</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X_Cell_Wastewater_SludgeMethaneFlared</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X_Cell_Wastewater_SludgeMethaneTransferred</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X_Cell_Wastewater_TreatmentFacilityType</f>
        <v>Unmanaged aerobic treatment</v>
      </c>
    </row>
    <row r="29" spans="1:10" ht="20.100000000000001" customHeight="1" x14ac:dyDescent="0.25"/>
    <row r="30" spans="1:10" ht="20.100000000000001" customHeight="1" x14ac:dyDescent="0.25">
      <c r="D30" s="61" t="s">
        <v>120</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1" t="str" cm="1">
        <f t="array" ref="D32:E33">Common_Equations.Common_ConvertCH4ToCO2e_Arguments()</f>
        <v>ECH4</v>
      </c>
      <c r="E32" s="72" t="str">
        <v>Methane emissions (t CH4)</v>
      </c>
      <c r="F32" s="73"/>
      <c r="G32" s="28">
        <f>E30</f>
        <v>4.7159433000000001E-2</v>
      </c>
    </row>
    <row r="33" spans="4:7" ht="20.100000000000001" customHeight="1" x14ac:dyDescent="0.25">
      <c r="D33" s="71" t="str">
        <v>GWPCH4</v>
      </c>
      <c r="E33" s="72" t="str">
        <v>Global warming potential for methane (t CO2-e / t CH4)</v>
      </c>
      <c r="F33" s="73"/>
      <c r="G33" s="28">
        <v>28</v>
      </c>
    </row>
    <row r="34" spans="4:7" ht="20.100000000000001" customHeight="1" x14ac:dyDescent="0.25"/>
    <row r="35" spans="4:7" ht="20.100000000000001" customHeight="1" x14ac:dyDescent="0.25">
      <c r="D35" s="62" t="s">
        <v>121</v>
      </c>
      <c r="E35" s="62" cm="1">
        <f t="array" ref="E35">Common_Equations.Common_ConvertN2OToCO2e(G32,G33)</f>
        <v>1.3204641239999999</v>
      </c>
      <c r="F35" s="74"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D5" sqref="D5"/>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125</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X_Cell_Wastewater_SludgeMethaneFlared</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120</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1" t="str" cm="1">
        <f t="array" ref="D19:E20">Common_Equations.Common_ConvertN2OToCO2e_Arguments()</f>
        <v>EN2O</v>
      </c>
      <c r="E19" s="72" t="str">
        <v>Nitrous oxide emissions (t N2O)</v>
      </c>
      <c r="F19" s="73"/>
      <c r="G19" s="28">
        <f>E17</f>
        <v>4.26764E-7</v>
      </c>
    </row>
    <row r="20" spans="1:7" ht="20.100000000000001" customHeight="1" x14ac:dyDescent="0.25">
      <c r="D20" s="71" t="str">
        <v>GWPN2O</v>
      </c>
      <c r="E20" s="72" t="str">
        <v>Global warming potential for nitrous oxide (t CO2-e / t N2O)</v>
      </c>
      <c r="F20" s="73"/>
      <c r="G20" s="28">
        <v>265</v>
      </c>
    </row>
    <row r="21" spans="1:7" ht="20.100000000000001" customHeight="1" x14ac:dyDescent="0.25">
      <c r="A21" s="13"/>
    </row>
    <row r="22" spans="1:7" ht="20.100000000000001" customHeight="1" x14ac:dyDescent="0.25">
      <c r="D22" s="62" t="s">
        <v>121</v>
      </c>
      <c r="E22" s="62" cm="1">
        <f t="array" ref="E22">Common_Equations.Common_ConvertN2OToCO2e(G19,G20)</f>
        <v>1.1309246E-4</v>
      </c>
      <c r="F22" s="74"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F26" sqref="F2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122</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47BE6-A391-432F-B8D2-A68CD0E0E20E}">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cAYQBzAHQAZQB3AGEAdABlAHI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EAMQAuADEAOgAgAFcAYQBzAHQAZQB3AGEAdABlAHIAXABuAD0APQA9AD0APQA9AD0APQA9AD0APQA9AD0APQA9AD0APQA9AD0APQA9AD0APQA9AD0APQA9AD0APQA9AD0APQA9AD0APQA9AD0APQA9AD0APQA9AD0APQA9AD0APQA9AD0APQA9AD0APQA9AD0APQA9AD0APQA9AD0APQA9AD0APQA9AD0APQA9AD0APQA9AD0APQA9AD0AXABuADEAMQAuADEALgAxAC4AMQAgAE0AZQB0AGgAbwBkACAAMQAgAC0AIABNAGUAdABoAGEAbgBlACAAZQBtAGkAcwBzAGkAbwBuAHMAIABmAHIAbwBtACAAbwBuAHMAaQB0AGUAIABXAGEAcwB0AGUAdwBhAHQAZQByACAATQBhAG4AYQBnAGU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QBfADEAXwAxAF8AMQBfAF8AMQBfAE0AZQB0AGgAYQBuAGUARQBtAGkAcwBzAGkAbwBuAHMARgByAG8AbQBXAGEAcwB0AGUAdwBhAHQAZQByAFQAcgBlAGEAdABtAGUAbgB0AFwAbgBNAGUAdABoAGEAbgBlACAAZQBtAGkAcwBzAGkAbwBuAHMAIABmAHIAbwBtACAAdwBhAHMAdABlAHcAYQB0AGUAcgAgAHQAcgBlAGEAdABtAGUAbgB0AFwAbgBFAF8AQwBIADQAXABuAHQAIABDAEgANABcAG4ARQBfAHsAQwBIADQAfQA9AFwAXABmAHIAYQBjAHsAMQB9AHsAMQAwADAAMAB9AFwAXAB0AGkAbQBlAHMAXABcAGwAZQBmAHQAWwBcAFwAbABlAGYAdAAoAFcAXwB0AFwAXAB0AGkAbQBlAHMAXABcAGwAZQBmAHQAKABDAE8ARABfAHsAaQBuAH0AXABcAHQAaQBtAGUAcwAoADEALQBGAF8AewBzAGwAdQBkAGcAZQB9ACkALQBDAE8ARABfAHsAbwB1AHQAfQBcAFwAcgBpAGcAaAB0ACkAXABcAHQAaQBtAGUAcwAgAEMARgBfAHsAdwB3ACwAdAB9AFwAXAB0AGkAbQBlAHMAIABFAEYAXwB7AHcAdwB9AFwAXAByAGkAZwBoAHQAKQArAFwAXABsAGUAZgB0ACgAVwBfAHQAXABcAHQAaQBtAGUAcwBcAFwAbABlAGYAdAAoAEMATwBEAF8AewBpAG4AfQBcAFwAdABpAG0AZQBzACgARgBfAHsAcwBsAHUAZABnAGUAfQAtAEYAXwB7AHIAZQBtAG8AdgBlAGQAfQApAFwAXAByAGkAZwBoAHQAKQBcAFwAdABpAG0AZQBzACAAQwBGAF8AewBzAGwAdQBkAGcAZQAsAHQAfQBcAFwAdABpAG0AZQBzACAARQBGAF8AewBzAGwAdQBkAGcAZQB9AFwAXAByAGkAZwBoAHQAKQAtAFwAXABsAGUAZgB0ACgANgAuADcAOAA0AFwAXAB0AGkAbQBlAHMAIAAxADAAXgB7AC0ANAB9AFwAXAB0AGkAbQBlAHMAKABRAF8AewBjAGEAcAB9ACsAUQBfAHsAZgBsAGEAcgBlAGQAfQArAFEAXwB7AG8AdQB0AH0AKQBcAFwAcgBpAGcAaAB0ACkAKwBcAFwAbABlAGYAdAAoAFEAXwB7AGYAbABhAHIAZQBkAH0AXABcAHQAaQBtAGUAcwAgAEUAQwBfAHsAZgBsAGEAcgBlAGQAfQBcAFwAdABpAG0AZQBzACAARQBGAF8AewBmAGwAYQByAGUAZAAsAEMASAA0AH0AXABcAHIAaQBnAGgAdAApAFwAXAByAGkAZwBoAHQAXQBcAG4AVwBfAHQAIAA9ACAAcQB1AGEAbgB0AGkAdAB5ACAAbwBmACAAdwBhAHMAdABlAHcAYQB0AGUAcgAgAHQAcgBlAGEAdABlAGQAIABhAHQAIABmAGEAYwBpAGwAaQB0AHkAIAB0AHkAcABlACAAdAAgACgAbQAzACkAXABuAEMATwBEAF8AaQBuACAAPQAgAGEAdgBlAHIAYQBnAGUAIABpAG4AbABlAHQAIABDAGgAZQBtAGkAYwBhAGwAIABPAHgAeQBnAGUAbgAgAEQAZQBtAGEAbgBkACAAYwBvAG4AYwBlAG4AdAByAGEAdABpAG8AbgAgAG8AZgAgAHcAYQBzAHQAZQB3AGEAdABlAHIAIAAoAGsAZwAgAEMATwBEAC8AbQAzACkAXABuAEYAXwBzAGwAdQBkAGcAZQAgAD0AIABmAHIAYQBjAHQAaQBvAG4AIABvAGYAIABDAE8ARAAgAHIAZQBtAG8AdgBlAGQAIABmAHIAbwBtACAAdwBhAHMAdABlAHcAYQB0AGUAcgAgAGEAcwAgAHMAbAB1AGQAZwBlAFwAbgBDAE8ARABfAG8AdQB0ACAAPQAgAGEAdgBlAHIAYQBnAGUAIABvAHUAdABsAGUAdAAgAEMATwBEACAAYwBvAG4AYwBlAG4AdAByAGEAdABpAG8AbgAgAG8AZgAgAHcAYQBzAHQAZQB3AGEAdABlAHIAIAAoAGsAZwAgAEMATwBEAC8AbQAzACkAXABuAEMARgBfAHcAdwBfAHQAIAA9ACAAbQBlAHQAaABhAG4AZQAgAGMAbwByAHIAZQBjAHQAaQBvAG4AIABmAGEAYwB0AG8AcgAgAGYAbwByACAAZgBhAGMAaQBsAGkAdAB5ACAAdAB5AHAAZQAgAHQAIAB1AHMAZQBkACAAdABvACAAdAByAGUAYQB0ACAAdwBhAHMAdABlAHcAYQB0AGUAcgBcAG4ARQBGAF8AdwB3ACAAPQAgAG0AZQB0AGgAYQBuAGUAIABlAG0AaQBzAHMAaQBvAG4AIABmAGEAYwB0AG8AcgAgAGYAbwByACAAdwBhAHMAdABlAHcAYQB0AGUAcgAgACgAawBnACAAQwBPADIAZQAvAGsAZwAgAEMATwBEACkAXABuAEYAXwByAGUAbQBvAHYAZQBkACAAPQAgAGYAcgBhAGMAdABpAG8AbgAgAG8AZgAgAEMATwBEACAAcgBlAG0AbwB2AGUAZAAgAGYAcgBvAG0AIAB0AGgAZQAgAHcAYQBzAHQAZQB3AGEAdABlAHIAIAB0AHIAZQBhAHQAbQBlAG4AdAAgAGYAYQBjAGkAbABpAHQAeQAgAGEAbgBkACAAdAByAGEAbgBzAGYAZQByAHIAZQBkACAAZQBsAHMAZQB3AGgAZQByAGUAXABuAEMARgBfAHMAbAB1AGQAZwBlAF8AdAAgAD0AIABtAGUAdABoAGEAbgBlACAAYwBvAHIAcgBlAGMAdABpAG8AbgAgAGYAYQBjAHQAbwByACAAZgBvAHIAIABmAGEAYwBpAGwAaQB0AHkAIAB0AHkAcABlACAAdAAgAHUAcwBlAGQAIAB0AG8AIAB0AHIAZQBhAHQAIABzAGwAdQBkAGcAZQBcAG4ARQBGAF8AcwBsAHUAZABnAGUAIAA9ACAAbQBlAHQAaABhAG4AZQAgAGUAbQBpAHMAcwBpAG8AbgAgAGYAYQBjAHQAbwByACAAZgBvAHIAIABzAGwAdQBkAGcAZQAgACgAawBnACAAQwBPADIAZQAvAGsAZwAgAEMATwBEACkAXABuAFEAXwBjAGEAcAAgAD0AIABxAHUAYQBuAHQAaQB0AHkAIABvAGYAIABtAGUAdABoAGEAbgBlACAAaQBuACAAcwBsAHUAZABnAGUAIABiAGkAbwBnAGEAcwAgAGMAYQBwAHQAdQByAGUAZAAgAGYAbwByACAAYwBvAG0AYgB1AHMAdABpAG8AbgAgACgAbQAzACAAQwBIADQAKQBcAG4AUQBfAGYAbABhAHIAZQBkACAAPQAgAHEAdQBhAG4AdABpAHQAeQAgAG8AZgAgAG0AZQB0AGgAYQBuAGUAIABpAG4AIABzAGwAdQBkAGcAZQAgAGIAaQBvAGcAYQBzACAAZgBsAGEAcgBlAGQAIAAoAG0AMwAgAEMASAA0ACkAXABuAFEAXwBvAHUAdAAgAD0AIABxAHUAYQBuAHQAaQB0AHkAIABvAGYAIABtAGUAdABoAGEAbgBlACAAaQBuACAAcwBsAHUAZABnAGUAIABiAGkAbwBnAGEAcwAgAHQAcgBhAG4AcwBmAGUAcgByAGUAZAAgAG8AdQB0ACAAbwBmACAAdABoAGUAIAB0AHIAZQBhAHQAbQBlAG4AdAAgAGYAYQBjAGkAbABpAHQAeQAgACgAbQAzACAAQwBIADQAKQBcAG4ARQBDAF8AZgBsAGEAcgBlAGQAIAA9ACAAZQBuAGUAcgBnAHkAIABjAG8AbgB0AGUAbgB0ACAAZgBhAGMAdABvAHIAIABvAGYAIABtAGUAdABoAGEAbgBlACAAaQBuACAAcwBsAHUAZABnAGUAIABiAGkAbwBnAGEAcwAgAGYAbABhAHIAZQBkACAAKABHAEoALwBtADMAKQBcAG4ARQBGAF8AZgBsAGEAcgBlAGQAXwBDAEgANAAgAD0AIABtAGUAdABoAGEAbgBlACAAZQBtAGkAcwBzAGkAbwBuACAAZgBhAGMAdABvAHIAIABmAG8AcgAgAHMAbAB1AGQAZwBlACAAYgBpAG8AZwBhAHMAIABmAGwAYQByAGUAZAAgACgAawBnACAAQwBPADIAZQAvAEcASgApAFwAbgAtAC0ALQAtAC0ALQAtAC0ALQAtAC0ALQAtAC0ALQAtAC0ALQAtAC0ALQAtAC0ALQAtAC0ALQAtAC0ALQAtAC0ALQAtAC0ALQAtAC0AXABuACoALwBcAG4AXABuAFYARQBFAFIARwBfADEAMQBfADEAXwAxAF8AMQBfAF8AMQBfAE0AZQB0AGgAYQBuAGUARQBtAGkAcwBzAGkAbwBuAHMARgByAG8AbQBXAGEAcwB0AGUAdwBhAHQAZQByAFQAcgBlAGEAdABtAGUAbgB0AFwAbgAgACAAPQBMAEEATQBCAEQAQQAoAFwAbgAgACAAIAAgAFcAXwB0ACwAIABDAE8ARABfAGkAbgAsACAARgBfAHMAbAB1AGQAZwBlACwAIABDAE8ARABfAG8AdQB0ACwAIABDAEYAXwB3AHcAXwB0ACwAIABFAEYAXwB3AHcALAAgAEYAXwByAGUAbQBvAHYAZQBkACwAIABDAEYAXwBzAGwAdQBkAGcAZQBfAHQALAAgAEUARgBfAHMAbAB1AGQAZwBlACwAIABRAF8AYwBhAHAALAAgAFEAXwBmAGwAYQByAGUAZAAsACAAUQBfAG8AdQB0ACwAIABFAEMAXwBmAGwAYQByAGUAZAAsACAARQBGAF8AZgBsAGEAcgBlAGQAQwBIADQALABcAG4AIAAgACAAIAAoADEALwAxADAAMAAwACkAIAAqACAAKAAoAFcAXwB0ACAAKgAgACgAQwBPAEQAXwBpAG4AIAAqACAAKAAxACAALQAgAEYAXwBzAGwAdQBkAGcAZQApACAALQAgAEMATwBEAF8AbwB1AHQAKQAgACoAIABDAEYAXwB3AHcAXwB0ACAAKgAgAEUARgBfAHcAdwApACAAKwAgACgAVwBfAHQAIAAqACAAKABDAE8ARABfAGkAbgAgACoAIAAoAEYAXwBzAGwAdQBkAGcAZQAgAC0AIABGAF8AcgBlAG0AbwB2AGUAZAApACkAIAAqACAAQwBGAF8AcwBsAHUAZABnAGUAXwB0ACAAKgAgAEUARgBfAHMAbAB1AGQAZwBlACkAIAAtACAAKAA2AC4ANwA4ADQAIAAqACAAMQAwAF4ALQA0ACAAKgAgACgAUQBfAGMAYQBwACAAKwAgAFEAXwBmAGwAYQByAGUAZAAgACsAIABRAF8AbwB1AHQAKQApACAAKwAgACgAUQBfAGYAbABhAHIAZQBkACAAKgAgACgARQBDAF8AZgBsAGEAcgBlAGQAIAAqACAARQBGAF8AZgBsAGEAcgBlAGQAQwBIADQAKQApACkAXABuACAAIAApADsAXABuAFwAbgBWAEUARQBSAEcAXwAxADEAXwAxAF8AMQBfADEAXwBfADEAXwBNAGUAdABoAGEAbgBlAEUAbQBpAHMAcwBpAG8AbgBzAEYAcgBvAG0AVwBhAHMAdABlAHcAYQB0AGUAcgBUAHIAZQBhAHQAbQBlAG4AdABfAFQAaQB0AGwAZQBcAG4AIAAgAD0ATABBAE0AQgBEAEEAKABcACIATQBlAHQAaABhAG4AZQAgAGUAbQBpAHMAcwBpAG8AbgBzACAAZgByAG8AbQAgAHcAYQBzAHQAZQB3AGEAdABlAHIAIAB0AHIAZQBhAHQAbQBlAG4AdABcACIAKQA7AFwAbgBcAG4AVgBFAEUAUgBHAF8AMQAxAF8AMQBfADEAXwAxAF8AXwAxAF8ATQBlAHQAaABhAG4AZQBFAG0AaQBzAHMAaQBvAG4AcwBGAHIAbwBtAFcAYQBzAHQAZQB3AGEAdABlAHIAVAByAGUAYQB0AG0AZQBuAHQAXwBWAGEAcgBpAGEAYgBsAGUAXABuACAAIAA9AEwAQQBNAEIARABBACgAXAAiAEUAXwBDAEgANABcACIAKQA7AFwAbgBcAG4AVgBFAEUAUgBHAF8AMQAxAF8AMQBfADEAXwAxAF8AXwAxAF8ATQBlAHQAaABhAG4AZQBFAG0AaQBzAHMAaQBvAG4AcwBGAHIAbwBtAFcAYQBzAHQAZQB3AGEAdABlAHIAVAByAGUAYQB0AG0AZQBuAHQAXwBVAG4AaQB0AFwAbgAgACAAPQBMAEEATQBCAEQAQQAoAFwAIgB0ACAAQwBIADQAXAAiACkAOwBcAG4AXABuAFYARQBFAFIARwBfADEAMQBfADEAXwAxAF8AMQBfAF8AMQBfAE0AZQB0AGgAYQBuAGUARQBtAGkAcwBzAGkAbwBuAHMARgByAG8AbQBXAGEAcwB0AGUAdwBhAHQAZQByAFQAcgBlAGEAdABtAGUAbgB0AF8AUwBvAHUAcgBjAGUAXABuACAAIAA9AEwAQQBNAEIARABBACgAXAAiAFYARQBFAFIARwAgADIAMAAyADYAOgAgADEAMQAuADEALgAxAC4AMQAsACAARQBxAHUAYQB0AGkAbwBuACAAKAAxACkAXAAiACkAOwBcAG4AXABuAFYARQBFAFIARwBfADEAMQBfADEAXwAxAF8AMQBfAF8AMQBfAE0AZQB0AGgAYQBuAGUARQBtAGkAcwBzAGkAbwBuAHMARgByAG8AbQBXAGEAcwB0AGUAdwBhAHQAZQByAFQAcgBlAGEAdABtAGUAbgB0AF8ATgBJAFIAUgBlAGYAZQByAGUAbgBjAGUAXABuACAAIAA9AEwAQQBNAEIARABBACgAXAAiAE4AYQB0AGkAbwBuAGEAbAAgAEcAcgBlAGUAbgBoAG8AdQBzAGUAIABhAG4AZAAgAEUAbgBlAHIAZwB5ACAAUgBlAHAAbwByAHQAaQBuAGcAIABNAGUAYQBzAHUAcgBlAG0AZQBuAHQAIABEAGUAdABlAHIAbQBpAG4AYQB0AGkAbwBuACAAMgAwADAAOABcACIAKQA7AFwAbgBcAG4AVgBFAEUAUgBHAF8AMQAxAF8AMQBfADEAXwAxAF8AXwAxAF8ATQBlAHQAaABhAG4AZQBFAG0AaQBzAHMAaQBvAG4AcwBGAHIAbwBtAFcAYQBzAHQAZQB3AGEAdABlAHIAVAByAGUAYQB0AG0AZQBuAHQAXwBMAGEAdABlAHgARQBxAHUAYQB0AGkAbwBuAFwAbgAgACAAPQBMAEEATQBCAEQAQQAoAFwAIgBFAF8AewBDAEgANAB9AD0AXABcAGYAcgBhAGMAewAxAH0AewAxADAAMAAwAH0AXABcAHQAaQBtAGUAcwBcAFwAbABlAGYAdAB7AFwAXABsAGUAZgB0AHsAVwBfAHQAXABcAHQAaQBtAGUAcwBcAFwAbABlAGYAdABbAEMATwBEAF8AewBpAG4AfQBcAFwAdABpAG0AZQBzACgAMQAtAEYAXwB7AHMAbAB1AGQAZwBlAH0AKQAtAEMATwBEAF8AewBvAHUAdAB9AFwAXAByAGkAZwBoAHQAXQBcAFwAdABpAG0AZQBzACAAQwBGAF8AewB3AHcALAB0AH0AXABcAHQAaQBtAGUAcwAgAEUARgBfAHsAdwB3AH0AXABcAHIAaQBnAGgAdAB9ACsAXABcAGwAZQBmAHQAewBXAF8AdABcAFwAdABpAG0AZQBzAFwAXABsAGUAZgB0AFsAQwBPAEQAXwB7AGkAbgB9AFwAXAB0AGkAbQBlAHMAKABGAF8AewBzAGwAdQBkAGcAZQB9AC0ARgBfAHsAcgBlAG0AbwB2AGUAZAB9ACkAXABcAHIAaQBnAGgAdABdAFwAXAB0AGkAbQBlAHMAIABDAEYAXwB7AHMAbAB1AGQAZwBlACwAdAB9AFwAXAB0AGkAbQBlAHMAIABFAEYAXwB7AHMAbAB1AGQAZwBlAH0AXABcAHIAaQBnAGgAdAB9AC0AXABcAGwAZQBmAHQAewA2AC4ANwA4ADQAXABcAHQAaQBtAGUAcwAgADEAMABeAHsALQA0AH0AXABcAHQAaQBtAGUAcwAgAFwAXABsAGUAZgB0AFsAIABRAF8AewBjAGEAcAB9ACsAUQBfAHsAZgBsAGEAcgBlAGQAfQArAFEAXwB7AG8AdQB0AH0AXABcAHIAaQBnAGgAdABdAFwAXAByAGkAZwBoAHQAfQArAFwAXABsAGUAZgB0AHsAUQBfAHsAZgBsAGEAcgBlAGQAfQBcAFwAdABpAG0AZQBzACAAXABcAGwAZQBmAHQAWwAgAEUAQwBfAHsAZgBsAGEAcgBlAGQAfQBcAFwAdABpAG0AZQBzACAARQBGAF8AewBmAGwAYQByAGUAZAAsAEMASAA0AH0AXABcAHIAaQBnAGgAdABdAFwAXAByAGkAZwBoAHQAfQBcAFwAcgBpAGcAaAB0AH0AXAAiACkAOwBcAG4AXABuAFYARQBFAFIARwBfADEAMQBfADEAXwAxAF8AMQBfAF8AMQBfAE0AZQB0AGgAYQBuAGUARQBtAGkAcwBzAGkAbwBuAHMARgByAG8AbQBXAGEAcwB0AGUAdwBhAHQAZQByAFQAcgBlAGEAdABtAGUAbgB0AF8AQQByAGcAdQBtAGUAbgB0AHMAXABuACAAIAA9AEwAQQBNAEIARABBACgAXABuACAAIAAgACAATQBBAEsARQBBAFIAUgBBAFkAKAAxADUALAAgADQALABcAG4AIAAgACAAIAAgACAATABBAE0AQgBEAEEAKAByACwAYwAsAFwAbgAgACAAIAAgACAAIAAgACAASQBOAEQARQBYACgAewBcAG4AIAAgACAAIAAgACAAIAAgACAAIABcACIAVwBfAHQAXAAiACwAIABcACIAcQB1AGEAbgB0AGkAdAB5ACAAbwBmACAAdwBhAHMAdABlAHcAYQB0AGUAcgAgAHQAcgBlAGEAdABlAGQAIABhAHQAIABmAGEAYwBpAGwAaQB0AHkAIAB0AHkAcABlACAAdABcACIALAAgAFwAIgBtADMAXAAiACwAIABcACIASQBuAHAAdQB0AFwAIgA7AFwAbgAgACAAIAAgACAAIAAgACAAIAAgAFwAIgBDAE8ARABfAGkAbgBcACIALAAgAFwAIgBhAHYAZQByAGEAZwBlACAAaQBuAGwAZQB0ACAAQwBoAGUAbQBpAGMAYQBsACAATwB4AHkAZwBlAG4AIABEAGUAbQBhAG4AZAAgAGMAbwBuAGMAZQBuAHQAcgBhAHQAaQBvAG4AIABvAGYAIAB3AGEAcwB0AGUAdwBhAHQAZQByAFwAIgAsACAAXAAiAGsAZwAgAEMATwBEAC8AbQAzAFwAIgAsACAAXAAiAEkAbgBwAHUAdABcACIAOwBcAG4AIAAgACAAIAAgACAAIAAgACAAIABcACIARgBfAHMAbAB1AGQAZwBlAFwAIgAsACAAXAAiAGYAcgBhAGMAdABpAG8AbgAgAG8AZgAgAEMATwBEACAAcgBlAG0AbwB2AGUAZAAgAGYAcgBvAG0AIAB3AGEAcwB0AGUAdwBhAHQAZQByACAAYQBzACAAcwBsAHUAZABnAGUAXAAiACwAIABcACIAZgByAGEAYwB0AGkAbwBuAFwAIgAsACAAXAAiAEkAbgBwAHUAdABcACIAOwBcAG4AIAAgACAAIAAgACAAIAAgACAAIABcACIAQwBPAEQAXwBvAHUAdABcACIALAAgAFwAIgBhAHYAZQByAGEAZwBlACAAbwB1AHQAbABlAHQAIABDAE8ARAAgAGMAbwBuAGMAZQBuAHQAcgBhAHQAaQBvAG4AIABvAGYAIAB3AGEAcwB0AGUAdwBhAHQAZQByAFwAIgAsACAAXAAiAGsAZwAgAEMATwBEAC8AbQAzAFwAIgAsACAAXAAiAEkAbgBwAHUAdABcACIAOwBcAG4AIAAgACAAIAAgACAAIAAgACAAIABcACIAQwBGAF8AdwB3AF8AdABcACIALAAgAFwAIgBtAGUAdABoAGEAbgBlACAAYwBvAHIAcgBlAGMAdABpAG8AbgAgAGYAYQBjAHQAbwByACAAZgBvAHIAIABmAGEAYwBpAGwAaQB0AHkAIAB0AHkAcABlACAAdAAgAHUAcwBlAGQAIAB0AG8AIAB0AHIAZQBhAHQAIAB3AGEAcwB0AGUAdwBhAHQAZQByAFwAIgAsACAAXAAiAGYAcgBhAGMAdABpAG8AbgBcACIALAAgAFwAIgBDAG8AbgBzAHQAYQBuAHQAXAAiADsAXABuACAAIAAgACAAIAAgACAAIAAgACAAXAAiAEUARgBfAHcAdwBcACIALAAgAFwAIgBtAGUAdABoAGEAbgBlACAAZQBtAGkAcwBzAGkAbwBuACAAZgBhAGMAdABvAHIAIABmAG8AcgAgAHcAYQBzAHQAZQB3AGEAdABlAHIAXAAiACwAIABcACIAawBnACAAQwBIADQALwBrAGcAIABDAE8ARABcACIALAAgAFwAIgBDAG8AbgBzAHQAYQBuAHQAXAAiADsAXABuACAAIAAgACAAIAAgACAAIAAgACAAXAAiAEYAXwByAGUAbQBvAHYAZQBkAFwAIgAsACAAXAAiAGYAcgBhAGMAdABpAG8AbgAgAG8AZgAgAEMATwBEACAAcgBlAG0AbwB2AGUAZAAgAGYAcgBvAG0AIAB0AGgAZQAgAHcAYQBzAHQAZQB3AGEAdABlAHIAIAB0AHIAZQBhAHQAbQBlAG4AdAAgAGYAYQBjAGkAbABpAHQAeQAgAGEAbgBkACAAdAByAGEAbgBzAGYAZQByAHIAZQBkACAAZQBsAHMAZQB3AGgAZQByAGUAXAAiACwAIABcACIAZgByAGEAYwB0AGkAbwBuAFwAIgAsACAAXAAiAEkAbgBwAHUAdABcACIAOwBcAG4AIAAgACAAIAAgACAAIAAgACAAIABcACIAQwBGAF8AcwBsAHUAZABnAGUAXwB0AFwAIgAsACAAXAAiAG0AZQB0AGgAYQBuAGUAIABjAG8AcgByAGUAYwB0AGkAbwBuACAAZgBhAGMAdABvAHIAIABmAG8AcgAgAGYAYQBjAGkAbABpAHQAeQAgAHQAeQBwAGUAIAB0ACAAdQBzAGUAZAAgAHQAbwAgAHQAcgBlAGEAdAAgAHMAbAB1AGQAZwBlAFwAIgAsACAAXAAiAGYAcgBhAGMAdABpAG8AbgBcACIALAAgAFwAIgBDAG8AbgBzAHQAYQBuAHQAXAAiADsAXABuACAAIAAgACAAIAAgACAAIAAgACAAXAAiAEUARgBfAHMAbAB1AGQAZwBlAFwAIgAsACAAXAAiAG0AZQB0AGgAYQBuAGUAIABlAG0AaQBzAHMAaQBvAG4AIABmAGEAYwB0AG8AcgAgAGYAbwByACAAcwBsAHUAZABnAGUAXAAiACwAIABcACIAawBnACAAQwBIADQALwBrAGcAIABDAE8ARABcACIALAAgAFwAIgBDAG8AbgBzAHQAYQBuAHQAXAAiADsAXABuACAAIAAgACAAIAAgACAAIAAgACAAXAAiAFEAXwBjAGEAcABcACIALAAgAFwAIgBxAHUAYQBuAHQAaQB0AHkAIABvAGYAIABtAGUAdABoAGEAbgBlACAAaQBuACAAcwBsAHUAZABnAGUAIABiAGkAbwBnAGEAcwAgAGMAYQBwAHQAdQByAGUAZAAgAGYAbwByACAAYwBvAG0AYgB1AHMAdABpAG8AbgBcACIALAAgAFwAIgBtADMAIABDAEgANABcACIALAAgAFwAIgBJAG4AcAB1AHQAXAAiADsAXABuACAAIAAgACAAIAAgACAAIAAgACAAXAAiAFEAXwBmAGwAYQByAGUAZABcACIALAAgAFwAIgBxAHUAYQBuAHQAaQB0AHkAIABvAGYAIABtAGUAdABoAGEAbgBlACAAaQBuACAAcwBsAHUAZABnAGUAIABiAGkAbwBnAGEAcwAgAGYAbABhAHIAZQBkACAAYgB5ACAAdABoAGUAIAB0AHIAZQBhAHQAbQBlAG4AdAAgAGYAYQBjAGkAbABpAHQAeQBcACIALAAgAFwAIgBtADMAIABDAEgANABcACIALAAgAFwAIgBJAG4AcAB1AHQAXAAiADsAXABuACAAIAAgACAAIAAgACAAIAAgACAAXAAiAFEAXwBvAHUAdABcACIALAAgAFwAIgBxAHUAYQBuAHQAaQB0AHkAIABvAGYAIABtAGUAdABoAGEAbgBlACAAaQBuACAAcwBsAHUAZABnAGUAIABiAGkAbwBnAGEAcwAgAHQAcgBhAG4AcwBmAGUAcgByAGUAZAAgAG8AdQB0ACAAbwBmACAAdABoAGUAIAB0AHIAZQBhAHQAbQBlAG4AdAAgAGYAYQBjAGkAbABpAHQAeQBcACIALAAgAFwAIgBtADMAIABDAEgANABcACIALAAgAFwAIgBJAG4AcAB1AHQAXAAiADsAXABuACAAIAAgACAAIAAgACAAIAAgACAAXAAiAEUAQwBfAGYAbABhAHIAZQBkAFwAIgAsACAAXAAiAGUAbgBlAHIAZwB5ACAAYwBvAG4AdABlAG4AdAAgAGYAYQBjAHQAbwByACAAbwBmACAAbQBlAHQAaABhAG4AZQAgAGkAbgAgAHMAbAB1AGQAZwBlACAAYgBpAG8AZwBhAHMAIABmAGwAYQByAGUAZABcACIALAAgAFwAIgBHAEoALwBtADMAXAAiACwAIABcACIAQwBvAG4AcwB0AGEAbgB0AFwAIgA7AFwAbgAgACAAIAAgACAAIAAgACAAIAAgAFwAIgBFAEYAXwBmAGwAYQByAGUAZABDAEgANABcACIALAAgAFwAIgBtAGUAdABoAGEAbgBlACAAZQBtAGkAcwBzAGkAbwBuACAAZgBhAGMAdABvAHIAIABmAG8AcgAgAHMAbAB1AGQAZwBlACAAYgBpAG8AZwBhAHMAIABmAGwAYQByAGUAZABcACIALAAgAFwAIgBrAGcAIABDAEgANAAvAEcASgBcACIALAAgAFwAIgBDAG8AbgBzAHQAYQBuAHQAXAAiADsAXABuACAAIAAgACAAIAAgACAAIAAgACAAXAAiAHQAXAAiACwAIABcACIAdAByAGUAYQB0AG0AZQBuAHQAIABmAGEAYwBpAGwAaQB0AHkAIAB0AHkAcABlAFwAIgAsACAAXAAiAFwAIgAsACAAXAAiAEkAbgBwAHUAdABcACIAXABuACAAIAAgACAAIAAgACAAIAB9ACwAIAByACwAIABjACkAXABuACAAIAAgACAAIAAgACkAXABuACAAIAAgACAAKQBcAG4AIAAgACkAOwBcAG4AXABuAFwAbgBWAEUARQBSAEcAXwAxADEAXwAxAF8AMQBfADEAXwBfADEAXwBNAGUAdABoAGEAbgBlAEUAbQBpAHMAcwBpAG8AbgBzAEYAcgBvAG0AVwBhAHMAdABlAHcAYQB0AGUAcgBUAHIAZQBhAHQAbQBlAG4AdABfAFYAYQByAGkAYQB0AGkAbwBuAFwAbgAgACAAPQBMAEEATQBCAEQAQQAoAFwAIgBWAEEAUgBJAEEAVABJAE8ATgAgAE8ATgAgAFMATwBVAFIAQwBFADoAIABDAGgAYQBuAGcAZQBkACAAdQBuAGkAdABzACAAbwBmACAARQBGAF8AdwB3ACwAIABFAEYAXwBTAGwAdQBkAGcAZQAgAGEAbgBkACAARQBGAF8AZgBsAGEAcgBlAGQAIABmAHIAbwBtACAAQwBPADIAZQAgAHQAbwAgAEMASAA0ACAAdABvACAAbQBhAHQAYwBoACAAZABhAHQAYQAgAGkAbgAgAFQAYQBiAGwAZQAgAFwAIgApADsAIgB9ACwAewAiAHAAYQB0AGgAIgA6ACIALwBwAHIAbwBqAGUAYwB0AHMALwBXAGEAcwB0AGUAdwBhAHQ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VABhAGIAbABlACAAQQAuADQALgAxAC4AMwA6ACAATQBlAHQAaABhAG4AZQAgAGMAbwByAHIAZQBjAHQAaQBvAG4AIABmAGEAYwB0AG8AcgAgAGYAbwByACAAdAByAGUAYQB0AG0AZQBuAHQAIABmAGEAYwBpAGwAaQB0AHkAIAB0AHkAcABlACAAdAAgAHUAcwBlAGQAIAB0AG8AIAB0AHIAZQBhAHQAIAB3AGEAcwB0AGUAdwBhAHQAZQByACAAKABmAHIAYQBjAHQAaQBvAG4AKQAgACgAQwBGAHcAdwAsAHQAKQBcAG4APQA9AD0APQA9AD0APQA9AD0APQA9AD0APQA9AD0APQA9AD0APQA9AD0APQA9AD0APQA9AD0APQA9AD0APQA9AD0APQA9AD0APQA9AD0APQA9AD0APQA9AD0APQA9AD0APQA9AD0APQA9AD0APQA9AD0APQA9AD0APQA9AD0APQA9AD0APQA9AD0APQA9AD0APQA9AD0APQBcAG4AKgAvAFwAbgBcAG4AVwBhAHMAdABlAF8ATQBlAHQAaABhAG4AZQBDAG8AcgByAGUAYwB0AGkAbwBuAEYAYQBjAHQAbwByAFcAYQBzAHQAZQB3AGEAdABlAHIAXwBUAGkAdABsAGUAXABuAD0ATABBAE0AQgBEAEEAKAAoAFwAIgBNAGUAdABoAGEAbgBlACAAYwBvAHIAcgBlAGMAdABpAG8AbgAgAGYAYQBjAHQAbwByACAAZgBvAHIAIAB0AHIAZQBhAHQAbQBlAG4AdAAgAGYAYQBjAGkAbABpAHQAeQAgAHQAeQBwAGUAIAB0ACAAdQBzAGUAZAAgAHQAbwAgAHQAcgBlAGEAdAAgAHcAYQBzAHQAZQB3AGEAdABlAHIAXAAiACkAKQA7AFwAbgBcAG4AVwBhAHMAdABlAF8ATQBlAHQAaABhAG4AZQBDAG8AcgByAGUAYwB0AGkAbwBuAEYAYQBjAHQAbwByAFcAYQBzAHQAZQB3AGEAdABlAHIAXwBWAGEAcgBpAGEAYgBsAGUAXABuAD0ATABBAE0AQgBEAEEAKAAoAFwAIgBDAEYAdwB3ACwAdABcACIAKQApADsAXABuAFwAbgBXAGEAcwB0AGUAXwBNAGUAdABoAGEAbgBlAEMAbwByAHIAZQBjAHQAaQBvAG4ARgBhAGMAdABvAHIAVwBhAHMAdABlAHcAYQB0AGUAcgBfAFUAbgBpAHQAXABuAD0ATABBAE0AQgBEAEEAKAAoAFwAIgBmAHIAYQBjAHQAaQBvAG4AXAAiACkAKQA7AFwAbgBcAG4AVwBhAHMAdABlAF8ATQBlAHQAaABhAG4AZQBDAG8AcgByAGUAYwB0AGkAbwBuAEYAYQBjAHQAbwByAFcAYQBzAHQAZQB3AGEAdABlAHIAXwBTAG8AdQByAGMAZQBcAG4APQBMAEEATQBCAEQAQQAoACgAXAAiAFYARQBFAFIARwAgADIAMAAyADYAOgAgAFQAYQBiAGwAZQAgAEEALgA0AC4AMQAuADMAXAAiACkAKQA7AFwAbgBcAG4AVwBhAHMAdABlAF8ATQBlAHQAaABhAG4AZQBDAG8AcgByAGUAYwB0AGkAbwBuAEYAYQBjAHQAbwByAFcAYQBzAHQAZQB3AGEAdABlAHIAXwBEAGEAdABhAFwAbgA9AEwAQQBNAEIARABBACgAXABuACAAIABNAEEASwBFAEEAUgBSAEEAWQAoADYALAAgADIALABcAG4AIAAgACAAIABMAEEATQBCAEQAQQAoAHIALABjACwAXABuACAAIAAgACAAIAAgAEkATgBEAEUAWAAoAHsAXABuACAAIAAgACAAIAAgACAAIABcACIARgBhAGMAaQBsAGkAdAB5ACAAdAB5AHAAZQAgAHQAXAAiACwAIABcACIAQwBGAHcAdw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XAGEAcwB0AGUAdwBhAHQAZQBy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UAGEAYgBsAGUAIABBAC4ANAAuADEALgA0ADoAIABNAGUAdABoAGEAbgBlACAAYwBvAHIAcgBlAGMAdABpAG8AbgAgAGYAYQBjAHQAbwByACAAZgBvAHIAIAB0AHIAZQBhAHQAbQBlAG4AdAAgAGYAYQBjAGkAbABpAHQAeQAgAHQAeQBwAGUAIAB0ACAAdQBzAGUAZAAgAHQAbwAgAHQAcgBlAGEAdAAgAHMAbAB1AGQAZwBlACAAKABmAHIAYQBjAHQAaQBvAG4AKQAgACgAQwBGAHMAbAB1AGQAZwBl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UwBsAHUAZABnAGUAXwBUAGkAdABsAGUAXABuAD0ATABBAE0AQgBEAEEAKAAoAFwAIgBNAGUAdABoAGEAbgBlACAAYwBvAHIAcgBlAGMAdABpAG8AbgAgAGYAYQBjAHQAbwByACAAZgBvAHIAIAB0AHIAZQBhAHQAbQBlAG4AdAAgAGYAYQBjAGkAbABpAHQAeQAgAHQAeQBwAGUAIAB0ACAAdQBzAGUAZAAgAHQAbwAgAHQAcgBlAGEAdAAgAHMAbAB1AGQAZwBlAFwAIgApACkAOwBcAG4AXABuAFcAYQBzAHQAZQBfAE0AZQB0AGgAYQBuAGUAQwBvAHIAcgBlAGMAdABpAG8AbgBGAGEAYwB0AG8AcgBTAGwAdQBkAGcAZQBfAFYAYQByAGkAYQBiAGwAZQBcAG4APQBMAEEATQBCAEQAQQAoACgAXAAiAEMARgBzAGwAdQBkAGcAZQAsAHQAXAAiACkAKQA7AFwAbgBcAG4AVwBhAHMAdABlAF8ATQBlAHQAaABhAG4AZQBDAG8AcgByAGUAYwB0AGkAbwBuAEYAYQBjAHQAbwByAFMAbAB1AGQAZwBlAF8AVQBuAGkAdABcAG4APQBMAEEATQBCAEQAQQAoACgAXAAiAGYAcgBhAGMAdABpAG8AbgBcACIAKQApADsAXABuAFwAbgBXAGEAcwB0AGUAXwBNAGUAdABoAGEAbgBlAEMAbwByAHIAZQBjAHQAaQBvAG4ARgBhAGMAdABvAHIAUwBsAHUAZABnAGUAXwBTAG8AdQByAGMAZQBcAG4APQBMAEEATQBCAEQAQQAoACgAXAAiAFYARQBFAFIARwAgADIAMAAyADYAOgAgAFQAYQBiAGwAZQAgAEEALgA0AC4AMQAuADQAXAAiACkAKQA7AFwAbgBcAG4AVwBhAHMAdABlAF8ATQBlAHQAaABhAG4AZQBDAG8AcgByAGUAYwB0AGkAbwBuAEYAYQBjAHQAbwByAFMAbAB1AGQAZwBlAF8ARABhAHQAYQBcAG4APQBMAEEATQBCAEQAQQAoAFwAbgAgACAATQBBAEsARQBBAFIAUgBBAFkAKAA2ACwAIAAyACwAXABuACAAIAAgACAATABBAE0AQgBEAEEAKAByACwAYwAsAFwAbgAgACAAIAAgACAAIABJAE4ARABFAFgAKAB7AFwAbgAgACAAIAAgACAAIAAgACAAXAAiAEYAYQBjAGkAbABpAHQAeQAgAHQAeQBwAGUAIAB0AFwAIgAsACAAXAAiAEMARgBzAGwAdQBkAGcAZQ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TAGwAdQBkAGcAZQBfAFYAYQByAGkAYQB0AGkAbwBuAFwAbgA9AEwAQQBNAEIARABBACgAKABcACIAXAAiACkAKQA7AFwAbgBcAG4ALwAqAFwAbgA9AD0APQA9AD0APQA9AD0APQA9AD0APQA9AD0APQA9AD0APQA9AD0APQA9AD0APQA9AD0APQA9AD0APQA9AD0APQA9AD0APQA9AD0APQA9AD0APQA9AD0APQA9AD0APQA9AD0APQA9AD0APQA9AD0APQA9AD0APQA9AD0APQA9AD0APQA9AD0APQA9AD0APQA9AD0APQA9AFwAbgAqAC8AXABuAFwAbgBXAGEAcwB0AGUAXwBNAGUAdABoAGEAbgBlAEUAbQBpAHMAcwBpAG8AbgBGAGEAYwB0AG8AcgBXAGEAcwB0AGUAdwBhAHQAZQByAF8AVABpAHQAbABlAFwAbgA9AEwAQQBNAEIARABBACgAKABcACIATQBlAHQAaABhAG4AZQAgAGUAbQBpAHMAcwBpAG8AbgAgAGYAYQBjAHQAbwByACAAZgBvAHIAIAB3AGEAcwB0AGUAdwBhAHQAZQByAFwAIgApACkAOwBcAG4AXABuAFcAYQBzAHQAZQBfAE0AZQB0AGgAYQBuAGUARQBtAGkAcwBzAGkAbwBuAEYAYQBjAHQAbwByAFcAYQBzAHQAZQB3AGEAdABlAHIAXwBWAGEAcgBpAGEAYgBsAGUAXABuAD0ATABBAE0AQgBEAEEAKAAoAFwAIgBFAEYAdwB3AFwAIgApACkAOwBcAG4AXABuAFcAYQBzAHQAZQBfAE0AZQB0AGgAYQBuAGUARQBtAGkAcwBzAGkAbwBuAEYAYQBjAHQAbwByAFcAYQBzAHQAZQB3AGEAdABlAHIAXwBVAG4AaQB0AFwAbgA9AEwAQQBNAEIARABBACgAKABcACIAawBnACAAQwBIADQAIAAvACAAawBnACAAQwBPAEQAXAAiACkAKQA7AFwAbgBcAG4AVwBhAHMAdABlAF8ATQBlAHQAaABhAG4AZQBFAG0AaQBzAHMAaQBvAG4ARgBhAGMAdABvAHIAVwBhAHMAdABlAHcAYQB0AGUAcgBfAFMAbwB1AHIAYwBlAFwAbgA9AEwAQQBNAEIARABBACgAKABcACIAVgBFAEUAUgBHACAAMgAwADIANgA6ACAAMQAxAC4AMgAuADMAIABDAG8AbgBzAHQAYQBuAHQAcwBcACIAKQApADsAXABuAFwAbgBXAGEAcwB0AGUAXwBNAGUAdABoAGEAbgBlAEUAbQBpAHMAcwBpAG8AbgBGAGEAYwB0AG8AcgBXAGEAcwB0AGUAdwBhAHQAZQByAF8ARABhAHQAYQBcAG4APQBMAEEATQBCAEQAQQAoACAAMAAuADIAN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F8AVABpAHQAbABlAFwAbgA9AEwAQQBNAEIARABBACgAKABcACIATQBlAHQAaABhAG4AZQAgAGUAbQBpAHMAcwBpAG8AbgAgAGYAYQBjAHQAbwByACAAZgBvAHIAIABzAGwAdQBkAGcAZQBcACIAKQApADsAXABuAFwAbgBXAGEAcwB0AGUAXwBNAGUAdABoAGEAbgBlAEUAbQBpAHMAcwBpAG8AbgBGAGEAYwB0AG8AcgBTAGwAdQBkAGcAZQBfAFYAYQByAGkAYQBiAGwAZQBcAG4APQBMAEEATQBCAEQAQQAoACgAXAAiAEUARgBzAGwAdQBkAGcAZQBcACIAKQApADsAXABuAFwAbgBXAGEAcwB0AGUAXwBNAGUAdABoAGEAbgBlAEUAbQBpAHMAcwBpAG8AbgBGAGEAYwB0AG8AcgBTAGwAdQBkAGcAZQBfAFUAbgBpAHQAXABuAD0ATABBAE0AQgBEAEEAKAAoAFwAIgBrAGcAIABDAEgANAAgAC8AIABrAGcAIABDAE8ARABcACIAKQApADsAXABuAFwAbgBXAGEAcwB0AGUAXwBNAGUAdABoAGEAbgBlAEUAbQBpAHMAcwBpAG8AbgBGAGEAYwB0AG8AcgBTAGwAdQBkAGcAZQBfAFMAbwB1AHIAYwBlAFwAbgA9AEwAQQBNAEIARABBACgAKABcACIAVgBFAEUAUgBHACAAMgAwADIANgA6ACAAMQAxAC4AMgAuADMAIABDAG8AbgBzAHQAYQBuAHQAcwBcACIAKQApADsAXABuAFwAbgBXAGEAcwB0AGUAXwBNAGUAdABoAGEAbgBlAEUAbQBpAHMAcwBpAG8AbgBGAGEAYwB0AG8AcgBTAGwAdQBkAGcAZQBfAEQAYQB0AGEAXABuAD0ATABBAE0AQgBEAEEAKAAwAC4AMgA1ACkAOwBcAG4AXABuAC8AKgBcAG4APQA9AD0APQA9AD0APQA9AD0APQA9AD0APQA9AD0APQA9AD0APQA9AD0APQA9AD0APQA9AD0APQA9AD0APQA9AD0APQA9AD0APQA9AD0APQA9AD0APQA9AD0APQA9AD0APQA9AD0APQA9AD0APQA9AD0APQA9AD0APQA9AD0APQA9AD0APQA9AD0APQA9AD0APQA9AD0APQBcAG4AKgAvAFwAbgBcAG4AVwBhAHMAdABlAF8ARQBuAGUAcgBnAHkAQwBvAG4AdABlAG4AdABGAGEAYwB0AG8AcgBTAGwAdQBkAGcAZQBCAGkAbwBnAGEAcwBGAGwAYQByAGUAZABfAFQAaQB0AGwAZQBcAG4APQBMAEEATQBCAEQAQQAoACgAXAAiAEUAbgBlAHIAZwB5ACAAYwBvAG4AdABlAG4AdAAgAGYAYQBjAHQAbwByACAAbwBmACAAcwBsAHUAZABnAGUAIABiAGkAbwBnAGEAcwAgAGYAbABhAHIAZQBkAFwAIgApACkAOwBcAG4AXABuAFcAYQBzAHQAZQBfAEUAbgBlAHIAZwB5AEMAbwBuAHQAZQBuAHQARgBhAGMAdABvAHIAUwBsAHUAZABnAGUAQgBpAG8AZwBhAHMARgBsAGEAcgBlAGQAXwBWAGEAcgBpAGEAYgBsAGUAXABuAD0ATABBAE0AQgBEAEEAKAAoAFwAIgBFAEMAZgBsAGEAcgBlAGQAXAAiACkAKQA7AFwAbgBcAG4AVwBhAHMAdABlAF8ARQBuAGUAcgBnAHkAQwBvAG4AdABlAG4AdABGAGEAYwB0AG8AcgBTAGwAdQBkAGcAZQBCAGkAbwBnAGEAcwBGAGwAYQByAGUAZABfAFUAbgBpAHQAXABuAD0ATABBAE0AQgBEAEEAKAAoAFwAIgBHAEoAIAAvACAAbQAzAFwAIgApACkAOwBcAG4AXABuAFcAYQBzAHQAZQBfAEUAbgBlAHIAZwB5AEMAbwBuAHQAZQBuAHQARgBhAGMAdABvAHIAUwBsAHUAZABnAGUAQgBpAG8AZwBhAHMARgBsAGEAcgBlAGQAXwBTAG8AdQByAGMAZQBcAG4APQBMAEEATQBCAEQAQQAoACgAXAAiAFYARQBFAFIARwAgADIAMAAyADYAOgAgADEAMQAuADIALgAzACAAQwBvAG4AcwB0AGEAbgB0AHMAXAAiACkAKQA7AFwAbgBcAG4AVwBhAHMAdABlAF8ARQBuAGUAcgBnAHkAQwBvAG4AdABlAG4AdABGAGEAYwB0AG8AcgBTAGwAdQBkAGcAZQBCAGkAbwBnAGEAcwBGAGwAYQByAGUAZABfAEQAYQB0AGEAXABuAD0ATABBAE0AQgBEAEEAKAAwAC4AMAAzADcANw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EIAaQBvAGcAYQBzAEYAbABhAHIAZQBkAF8AVABpAHQAbABlAFwAbgA9AEwAQQBNAEIARABBACgAKABcACIATQBlAHQAaABhAG4AZQAgAGUAbQBpAHMAcwBpAG8AbgAgAGYAYQBjAHQAbwByACAAZgBvAHIAIABzAGwAdQBkAGcAZQAgAGIAaQBvAGcAYQBzACAAZgBsAGEAcgBlAGQAXAAiACkAKQA7AFwAbgBcAG4AVwBhAHMAdABlAF8ATQBlAHQAaABhAG4AZQBFAG0AaQBzAHMAaQBvAG4ARgBhAGMAdABvAHIAUwBsAHUAZABnAGUAQgBpAG8AZwBhAHMARgBsAGEAcgBlAGQAXwBWAGEAcgBpAGEAYgBsAGUAXABuAD0ATABBAE0AQgBEAEEAKAAoAFwAIgBFAEYAZgBsAGEAcgBlAGQALABDAEgANABcACIAKQApADsAXABuAFwAbgBXAGEAcwB0AGUAXwBNAGUAdABoAGEAbgBlAEUAbQBpAHMAcwBpAG8AbgBGAGEAYwB0AG8AcgBTAGwAdQBkAGcAZQBCAGkAbwBnAGEAcwBGAGwAYQByAGUAZABfAFUAbgBpAHQAXABuAD0ATABBAE0AQgBEAEEAKAAoAFwAIgBrAGcAIABDAEgANAAgAC8AIABHAEoAXAAiACkAKQA7AFwAbgBcAG4AVwBhAHMAdABlAF8ATQBlAHQAaABhAG4AZQBFAG0AaQBzAHMAaQBvAG4ARgBhAGMAdABvAHIAUwBsAHUAZABnAGUAQgBpAG8AZwBhAHMARgBsAGEAcgBlAGQAXwBTAG8AdQByAGMAZQBcAG4APQBMAEEATQBCAEQAQQAoACgAXAAiAFYARQBFAFIARwAgADIAMAAyADYAOgAgADEAMQAuADIALgAzACAAQwBvAG4AcwB0AGEAbgB0AHMAXAAiACkAKQA7AFwAbgBcAG4AVwBhAHMAdABlAF8ATQBlAHQAaABhAG4AZQBFAG0AaQBzAHMAaQBvAG4ARgBhAGMAdABvAHIAUwBsAHUAZABnAGUAQgBpAG8AZwBhAHMARgBsAGEAcgBlAGQAXwBEAGEAdABhAFwAbgA9AEwAQQBNAEIARABBACgAMAAuADIAMgA4ADkAKQA7AFwAbgBcAG4ALwAqAFwAbgA9AD0APQA9AD0APQA9AD0APQA9AD0APQA9AD0APQA9AD0APQA9AD0APQA9AD0APQA9AD0APQA9AD0APQA9AD0APQA9AD0APQA9AD0APQA9AD0APQA9AD0APQA9AD0APQA9AD0APQA9AD0APQA9AD0APQA9AD0APQA9AD0APQA9AD0APQA9AD0APQA9AD0APQA9AD0APQA9AFwAbgAqAC8AXABuAFwAbgBXAGEAcwB0AGUAXwBOAGkAdAByAG8AdQBzAE8AeABpAGQAZQBFAG0AaQBzAHMAaQBvAG4ARgBhAGMAdABvAHIAUwBsAHUAZABnAGUAQgBpAG8AZwBhAHMARgBsAGEAcgBlAGQAXwBUAGkAdABsAGUAXABuAD0ATABBAE0AQgBEAEEAKAAoAFwAIgBOAGkAdAByAG8AdQBzACAAbwB4AGkAZABlACAAZQBtAGkAcwBzAGkAbwBuACAAZgBhAGMAdABvAHIAIABmAG8AcgAgAHMAbAB1AGQAZwBlACAAYgBpAG8AZwBhAHMAIABmAGwAYQByAGUAZABcACIAKQApADsAXABuAFwAbgBXAGEAcwB0AGUAXwBOAGkAdAByAG8AdQBzAE8AeABpAGQAZQBFAG0AaQBzAHMAaQBvAG4ARgBhAGMAdABvAHIAUwBsAHUAZABnAGUAQgBpAG8AZwBhAHMARgBsAGEAcgBlAGQAXwBWAGEAcgBpAGEAYgBsAGUAXABuAD0ATABBAE0AQgBEAEEAKAAoAFwAIgBFAEYAZgBsAGEAcgBlAGQALABOADIATwBcACIAKQApADsAXABuAFwAbgBXAGEAcwB0AGUAXwBOAGkAdAByAG8AdQBzAE8AeABpAGQAZQBFAG0AaQBzAHMAaQBvAG4ARgBhAGMAdABvAHIAUwBsAHUAZABnAGUAQgBpAG8AZwBhAHMARgBsAGEAcgBlAGQAXwBVAG4AaQB0AFwAbgA9AEwAQQBNAEIARABBACgAKABcACIAawBnACAATgAyAE8AIAAvACAARwBKAFwAIgApACkAOwBcAG4AXABuAFcAYQBzAHQAZQBfAE4AaQB0AHIAbwB1AHMATwB4AGkAZABlAEUAbQBpAHMAcwBpAG8AbgBGAGEAYwB0AG8AcgBTAGwAdQBkAGcAZQBCAGkAbwBnAGEAcwBGAGwAYQByAGUAZABfAFMAbwB1AHIAYwBlAFwAbgA9AEwAQQBNAEIARABBACgAKABcACIAVgBFAEUAUgBHACAAMgAwADIANgA6ACAAMQAxAC4AMgAuADMAIABDAG8AbgBzAHQAYQBuAHQAcwBcACIAKQApADsAXABuAFwAbgBXAGEAcwB0AGUAXwBOAGkAdAByAG8AdQBzAE8AeABpAGQAZQBFAG0AaQBzAHMAaQBvAG4ARgBhAGMAdABvAHIAUwBsAHUAZABnAGUAQgBpAG8AZwBhAHMARgBsAGEAcgBlAGQAXwBEAGEAdABhAFwAbgA9AEwAQQBNAEIARABBACgAMQAuADEAMwAyAGUALQA0ACkAOwBcAG4AIgB9ACwAewAiAHAAYQB0AGgAIgA6ACIALwBwAHIAbwBqAGUAYwB0AHMALwBXAGEAcwB0AGUAdwBhAHQAZQByAF8ATgAyAE8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MALgAxACAATQBlAHQAaABvAGQAIAAxACAALQAgAE4AaQB0AHIAbwB1AHMAIABvAHgAaQBk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MAXwAxAF8AXwAxAF8ATgBpAHQAcgBvAHUAcwBPAHgAaQBkAGUARQBtAGkAcwBzAGkAbwBuAHMARgByAG8AbQBGAGwAYQByAGUAZABCAGkAbwBnAGEAcwBcAG4ATgBpAHQAcgBvAHUAcwAgAG8AeABpAGQAZQAgAGUAbQBpAHMAcwBpAG8AbgBzACAAZgByAG8AbQAgAGYAbABhAHIAZQBkACAAYgBpAG8AZwBhAHMAXABuAEUAXwBOADIATwBcAG4AdAAgAE4AMgBPAFwAbgBFAF8AewBOADIATwB9AD0AXABcAGYAcgBhAGMAewBRAF8AewBmAGwAYQByAGUAZAB9AH0AewAxADAAMAAwAH0AXABcAHQAaQBtAGUAcwAgAEUARgBfAHsAZgBsAGEAcgBlAGQALABOADIATwB9AFwAbgBRAF8AZgBsAGEAcgBlAGQAIAA9ACAAdgBvAGwAdQBtAGUAIABvAGYAIABiAGkAbwBnAGEAcwAgAGYAbABhAHIAZQBkACAAKABtADMAIABvAHIAIABHAEoAKQBcAG4ARQBGAF8AZgBsAGEAcgBlAGQAXwBOADIATwAgAD0AIABuAGkAdAByAG8AdQBzACAAbwB4AGkAZABlACAAZQBtAGkAcwBzAGkAbwBuACAAZgBhAGMAdABvAHIAIABmAG8AcgAgAGYAbABhAHIAZQBkACAAYgBpAG8AZwBhAHMAIAAoAGsAZwAgAE4AMgBPAC8ARwBKACkAXABuAC0ALQAtAC0ALQAtAC0ALQAtAC0ALQAtAC0ALQAtAC0ALQAtAC0ALQAtAC0ALQAtAC0ALQAtAC0ALQAtAC0ALQAtAC0ALQAtAC0ALQBcAG4AKgAvAFwAbgBcAG4AVgBFAEUAUgBHAF8AMQAxAF8AMQBfADMAXwAxAF8AXwAxAF8ATgBpAHQAcgBvAHUAcwBPAHgAaQBkAGUARQBtAGkAcwBzAGkAbwBuAHMARgByAG8AbQBGAGwAYQByAGUAZABCAGkAbwBnAGEAcwBcAG4AIAAgAD0ATABBAE0AQgBEAEEAKABcAG4AIAAgACAAIABRAF8AZgBsAGEAcgBlAGQALAAgAEUAQwBfAGYAbABhAHIAZQBkACwAIABFAEYAXwBmAGwAYQByAGUAZABOADIATwAsAFwAbgAgACAAIAAgACgAUQBfAGYAbABhAHIAZQBkACAALwAgADEAMAAwADAAKQAgACoAIAAoAEUAQwBfAGYAbABhAHIAZQBkACAAKgAgAEUARgBfAGYAbABhAHIAZQBkAE4AMgBPACkAXABuACAAIAApADsAXABuAFwAbgBWAEUARQBSAEcAXwAxADEAXwAxAF8AMwBfADEAXwBfADEAXwBOAGkAdAByAG8AdQBzAE8AeABpAGQAZQBFAG0AaQBzAHMAaQBvAG4AcwBGAHIAbwBtAEYAbABhAHIAZQBkAEIAaQBvAGcAYQBzAF8AVABpAHQAbABlAFwAbgAgACAAPQBMAEEATQBCAEQAQQAoAFwAIgBOAGkAdAByAG8AdQBzACAAbwB4AGkAZABlACAAZQBtAGkAcwBzAGkAbwBuAHMAIABmAHIAbwBtACAAZgBsAGEAcgBlAGQAIABiAGkAbwBnAGEAcwBcACIAKQA7AFwAbgBcAG4AVgBFAEUAUgBHAF8AMQAxAF8AMQBfADMAXwAxAF8AXwAxAF8ATgBpAHQAcgBvAHUAcwBPAHgAaQBkAGUARQBtAGkAcwBzAGkAbwBuAHMARgByAG8AbQBGAGwAYQByAGUAZABCAGkAbwBnAGEAcwBfAFYAYQByAGkAYQBiAGwAZQBcAG4AIAAgAD0ATABBAE0AQgBEAEEAKABcACIARQBfAE4AMgBPAFwAIgApADsAXABuAFwAbgBWAEUARQBSAEcAXwAxADEAXwAxAF8AMwBfADEAXwBfADEAXwBOAGkAdAByAG8AdQBzAE8AeABpAGQAZQBFAG0AaQBzAHMAaQBvAG4AcwBGAHIAbwBtAEYAbABhAHIAZQBkAEIAaQBvAGcAYQBzAF8AVQBuAGkAdABcAG4AIAAgAD0ATABBAE0AQgBEAEEAKABcACIAdAAgAE4AMgBPAFwAIgApADsAXABuAFwAbgBWAEUARQBSAEcAXwAxADEAXwAxAF8AMwBfADEAXwBfADEAXwBOAGkAdAByAG8AdQBzAE8AeABpAGQAZQBFAG0AaQBzAHMAaQBvAG4AcwBGAHIAbwBtAEYAbABhAHIAZQBkAEIAaQBvAGcAYQBzAF8AUwBvAHUAcgBjAGUAXABuACAAIAA9AEwAQQBNAEIARABBACgAXAAiAFYARQBFAFIARwAgADIAMAAyADYAOgAgADEAMQAuADEALgAzAC4AMQAsACAARQBxAHUAYQB0AGkAbwBuACAAKAAxACkAXAAiACkAOwBcAG4AXABuAFYARQBFAFIARwBfADEAMQBfADEAXwAzAF8AMQBfAF8AMQBfAE4AaQB0AHIAbwB1AHMATwB4AGkAZABlAEUAbQBpAHMAcwBpAG8AbgBzAEYAcgBvAG0ARgBsAGEAcgBlAGQAQgBpAG8AZwBhAHMAXwBOAEkAUgBSAGUAZgBlAHIAZQBuAGMAZQBcAG4AIAAgAD0ATABBAE0AQgBEAEEAKABcACIAXAAiACkAOwBcAG4AXABuAFYARQBFAFIARwBfADEAMQBfADEAXwAzAF8AMQBfAF8AMQBfAE4AaQB0AHIAbwB1AHMATwB4AGkAZABlAEUAbQBpAHMAcwBpAG8AbgBzAEYAcgBvAG0ARgBsAGEAcgBlAGQAQgBpAG8AZwBhAHMAXwBMAGEAdABlAHgARQBxAHUAYQB0AGkAbwBuAFwAbgAgACAAPQBMAEEATQBCAEQAQQAoAFwAIgBFAF8AewBOADIATwB9AD0AXABcAGYAcgBhAGMAewBRAF8AewBmAGwAYQByAGUAZAB9AH0AewAxADAAMAAwAH0AXABcAHQAaQBtAGUAcwAgAFwAXABsAGUAZgB0AFsARQBDAF8AewBmAGwAYQByAGUAZAB9ACAAXABcAHQAaQBtAGUAcwAgAEUARgBfAHsAZgBsAGEAcgBlAGQALABOADIATwB9AFwAXAByAGkAZwBoAHQAXQBcACIAKQA7AFwAbgBcAG4AVgBFAEUAUgBHAF8AMQAxAF8AMQBfADMAXwAxAF8AXwAxAF8ATgBpAHQAcgBvAHUAcwBPAHgAaQBkAGUARQBtAGkAcwBzAGkAbwBuAHMARgByAG8AbQBGAGwAYQByAGUAZABCAGkAbwBnAGEAcwBfAEEAcgBnAHUAbQBlAG4AdABzAFwAbgAgACAAPQBMAEEATQBCAEQAQQAoAFwAbgAgACAAIAAgAE0AQQBLAEUAQQBSAFIAQQBZACgAMwAsACAANAAsAFwAbgAgACAAIAAgACAAIABMAEEATQBCAEQAQQAoAHIALABjACwAXABuACAAIAAgACAAIAAgACAAIABJAE4ARABFAFgAKAB7AFwAbgAgACAAIAAgACAAIAAgACAAIAAgAFwAIgBRAF8AZgBsAGEAcgBlAGQAXAAiACwAIABcACIAdgBvAGwAdQBtAGUAIABvAGYAIABiAGkAbwBnAGEAcwAgAGYAbABhAHIAZQBkAFwAIgAsACAAXAAiAG0AMwBcACIALAAgAFwAIgBJAG4AcAB1AHQAXAAiADsAXABuACAAIAAgACAAIAAgACAAIAAgACAAXAAiAEUAQwBfAGYAbABhAHIAZQBkAFwAIgAsACAAXAAiAGUAbgBlAHIAZwB5ACAAYwBvAG4AdABlAG4AdAAgAGYAYQBjAHQAbwByACAAbwBmACAAcwBsAHUAZABnAGUAIABiAGkAbwBnAGEAcwAgAGYAbABhAHIAZQBkAFwAIgAsACAAXAAiAEcASgAvAG0AMwBcACIALAAgAFwAIgBDAG8AbgBzAHQAYQBuAHQAXAAiADsAXABuACAAIAAgACAAIAAgACAAIAAgACAAXAAiAEUARgBfAGYAbABhAHIAZQBkAE4AMgBPAFwAIgAsACAAXAAiAG4AaQB0AHIAbwB1AHMAIABvAHgAaQBkAGUAIABlAG0AaQBzAHMAaQBvAG4AIABmAGEAYwB0AG8AcgAgAGYAbwByACAAZgBsAGEAcgBlAGQAIABiAGkAbwBnAGEAcwBcACIALAAgAFwAIgBrAGcAIABOADIATwAvAEcASgBcACIALAAgAFwAIgBDAG8AbgBzAHQAYQBu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XAGEAcwB0AGUAdwBhAHQAZQByAF8ATQBlAHQAaABhAG4AZQBfAEUAcQB1AGEAdABpAG8AbgBzAC4AVgBFAEUAUgBHAF8AMQAxAF8AMQBfADEAXwAxAF8AXwAxAF8ATQBlAHQAaABhAG4AZQBFAG0AaQBzAHMAaQBvAG4AcwBGAHIAbwBtAFcAYQBzAHQAZQB3AGEAdABlAHIAVAByAGUAYQB0AG0AZQBuAHQAIgAsACIAVwBhAHMAdABlAHcAYQB0AGUAcgBfAE0AZQB0AGgAYQBuAGUAXwBFAHEAdQBhAHQAaQBvAG4AcwAuAFYARQBFAFIARwBfADEAMQBfADEAXwAxAF8AMQBfAF8AMQBfAE0AZQB0AGgAYQBuAGUARQBtAGkAcwBzAGkAbwBuAHMARgByAG8AbQBXAGEAcwB0AGUAdwBhAHQAZQByAFQAcgBlAGEAdABtAGUAbgB0AF8AVABpAHQAbABlACIALAAiAFcAYQBzAHQAZQB3AGEAdABlAHIAXwBNAGUAdABoAGEAbgBlAF8ARQBxAHUAYQB0AGkAbwBuAHMALgBWAEUARQBSAEcAXwAxADEAXwAxAF8AMQBfADEAXwBfADEAXwBNAGUAdABoAGEAbgBlAEUAbQBpAHMAcwBpAG8AbgBzAEYAcgBvAG0AVwBhAHMAdABlAHcAYQB0AGUAcgBUAHIAZQBhAHQAbQBlAG4AdABfAFYAYQByAGkAYQBiAGwAZQAiACwAIgBXAGEAcwB0AGUAdwBhAHQAZQByAF8ATQBlAHQAaABhAG4AZQBfAEUAcQB1AGEAdABpAG8AbgBzAC4AVgBFAEUAUgBHAF8AMQAxAF8AMQBfADEAXwAxAF8AXwAxAF8ATQBlAHQAaABhAG4AZQBFAG0AaQBzAHMAaQBvAG4AcwBGAHIAbwBtAFcAYQBzAHQAZQB3AGEAdABlAHIAVAByAGUAYQB0AG0AZQBuAHQAXwBVAG4AaQB0ACIALAAiAFcAYQBzAHQAZQB3AGEAdABlAHIAXwBNAGUAdABoAGEAbgBlAF8ARQBxAHUAYQB0AGkAbwBuAHMALgBWAEUARQBSAEcAXwAxADEAXwAxAF8AMQBfADEAXwBfADEAXwBNAGUAdABoAGEAbgBlAEUAbQBpAHMAcwBpAG8AbgBzAEYAcgBvAG0AVwBhAHMAdABlAHcAYQB0AGUAcgBUAHIAZQBhAHQAbQBlAG4AdABfAFMAbwB1AHIAYwBlACIALAAiAFcAYQBzAHQAZQB3AGEAdABlAHIAXwBNAGUAdABoAGEAbgBlAF8ARQBxAHUAYQB0AGkAbwBuAHMALgBWAEUARQBSAEcAXwAxADEAXwAxAF8AMQBfADEAXwBfADEAXwBNAGUAdABoAGEAbgBlAEUAbQBpAHMAcwBpAG8AbgBzAEYAcgBvAG0AVwBhAHMAdABlAHcAYQB0AGUAcgBUAHIAZQBhAHQAbQBlAG4AdABfAE4ASQBSAFIAZQBmAGUAcgBlAG4AYwBlACIALAAiAFcAYQBzAHQAZQB3AGEAdABlAHIAXwBNAGUAdABoAGEAbgBlAF8ARQBxAHUAYQB0AGkAbwBuAHMALgBWAEUARQBSAEcAXwAxADEAXwAxAF8AMQBfADEAXwBfADEAXwBNAGUAdABoAGEAbgBlAEUAbQBpAHMAcwBpAG8AbgBzAEYAcgBvAG0AVwBhAHMAdABlAHcAYQB0AGUAcgBUAHIAZQBhAHQAbQBlAG4AdABfAEwAYQB0AGUAeABFAHEAdQBhAHQAaQBvAG4AIgAsACIAVwBhAHMAdABlAHcAYQB0AGUAcgBfAE0AZQB0AGgAYQBuAGUAXwBFAHEAdQBhAHQAaQBvAG4AcwAuAFYARQBFAFIARwBfADEAMQBfADEAXwAxAF8AMQBfAF8AMQBfAE0AZQB0AGgAYQBuAGUARQBtAGkAcwBzAGkAbwBuAHMARgByAG8AbQBXAGEAcwB0AGUAdwBhAHQAZQByAFQAcgBlAGEAdABtAGUAbgB0AF8AQQByAGcAdQBtAGUAbgB0AHMAIgAsACIAVwBhAHMAdABlAHcAYQB0AGUAcgBfAE0AZQB0AGgAYQBuAGUAXwBFAHEAdQBhAHQAaQBvAG4AcwAuAFYARQBFAFIARwBfADEAMQBfADEAXwAxAF8AMQBfAF8AMQBfAE0AZQB0AGgAYQBuAGUARQBtAGkAcwBzAGkAbwBuAHMARgByAG8AbQBXAGEAcwB0AGUAdwBhAHQAZQByAFQAcgBlAGEAdABtAGUAbgB0AF8AVgBhAHIAaQBhAHQAaQBvAG4AIgAsACIAVwBhAHMAdABlAHcAYQB0AGUAcgBfAFMAbwB1AHIAYwBlAEQAYQB0AGEALgBXAGEAcwB0AGUAXwBNAGUAdABoAGEAbgBlAEMAbwByAHIAZQBjAHQAaQBvAG4ARgBhAGMAdABvAHIAVwBhAHMAdABlAHcAYQB0AGUAcgBfAFQAaQB0AGwAZQAiACwAIgBXAGEAcwB0AGUAdwBhAHQAZQByAF8AUwBvAHUAcgBjAGUARABhAHQAYQAuAFcAYQBzAHQAZQBfAE0AZQB0AGgAYQBuAGUAQwBvAHIAcgBlAGMAdABpAG8AbgBGAGEAYwB0AG8AcgBXAGEAcwB0AGUAdwBhAHQAZQByAF8AVgBhAHIAaQBhAGIAbABlACIALAAiAFcAYQBzAHQAZQB3AGEAdABlAHIAXwBTAG8AdQByAGMAZQBEAGEAdABhAC4AVwBhAHMAdABlAF8ATQBlAHQAaABhAG4AZQBDAG8AcgByAGUAYwB0AGkAbwBuAEYAYQBjAHQAbwByAFcAYQBzAHQAZQB3AGEAdABlAHIAXwBVAG4AaQB0ACIALAAiAFcAYQBzAHQAZQB3AGEAdABlAHIAXwBTAG8AdQByAGMAZQBEAGEAdABhAC4AVwBhAHMAdABlAF8ATQBlAHQAaABhAG4AZQBDAG8AcgByAGUAYwB0AGkAbwBuAEYAYQBjAHQAbwByAFcAYQBzAHQAZQB3AGEAdABlAHIAXwBTAG8AdQByAGMAZQAiACwAIgBXAGEAcwB0AGUAdwBhAHQAZQByAF8AUwBvAHUAcgBjAGUARABhAHQAYQAuAFcAYQBzAHQAZQBfAE0AZQB0AGgAYQBuAGUAQwBvAHIAcgBlAGMAdABpAG8AbgBGAGEAYwB0AG8AcgBXAGEAcwB0AGUAdwBhAHQAZQByAF8ARABhAHQAYQAiACwAIgBXAGEAcwB0AGUAdwBhAHQAZQByAF8AUwBvAHUAcgBjAGUARABhAHQAYQAuAFcAYQBzAHQAZQBfAE0AZQB0AGgAYQBuAGUAQwBvAHIAcgBlAGMAdABpAG8AbgBGAGEAYwB0AG8AcgBXAGEAcwB0AGUAdwBhAHQAZQByAF8AVgBhAHIAaQBhAHQAaQBvAG4AIgAsACIAVwBhAHMAdABlAHcAYQB0AGUAcgBfAFMAbwB1AHIAYwBlAEQAYQB0AGEALgBXAGEAcwB0AGUAXwBNAGUAdABoAGEAbgBlAEMAbwByAHIAZQBjAHQAaQBvAG4ARgBhAGMAdABvAHIAUwBsAHUAZABnAGUAXwBUAGkAdABsAGUAIgAsACIAVwBhAHMAdABlAHcAYQB0AGUAcgBfAFMAbwB1AHIAYwBlAEQAYQB0AGEALgBXAGEAcwB0AGUAXwBNAGUAdABoAGEAbgBlAEMAbwByAHIAZQBjAHQAaQBvAG4ARgBhAGMAdABvAHIAUwBsAHUAZABnAGUAXwBWAGEAcgBpAGEAYgBsAGUAIgAsACIAVwBhAHMAdABlAHcAYQB0AGUAcgBfAFMAbwB1AHIAYwBlAEQAYQB0AGEALgBXAGEAcwB0AGUAXwBNAGUAdABoAGEAbgBlAEMAbwByAHIAZQBjAHQAaQBvAG4ARgBhAGMAdABvAHIAUwBsAHUAZABnAGUAXwBVAG4AaQB0ACIALAAiAFcAYQBzAHQAZQB3AGEAdABlAHIAXwBTAG8AdQByAGMAZQBEAGEAdABhAC4AVwBhAHMAdABlAF8ATQBlAHQAaABhAG4AZQBDAG8AcgByAGUAYwB0AGkAbwBuAEYAYQBjAHQAbwByAFMAbAB1AGQAZwBlAF8AUwBvAHUAcgBjAGUAIgAsACIAVwBhAHMAdABlAHcAYQB0AGUAcgBfAFMAbwB1AHIAYwBlAEQAYQB0AGEALgBXAGEAcwB0AGUAXwBNAGUAdABoAGEAbgBlAEMAbwByAHIAZQBjAHQAaQBvAG4ARgBhAGMAdABvAHIAUwBsAHUAZABnAGUAXwBEAGEAdABhACIALAAiAFcAYQBzAHQAZQB3AGEAdABlAHIAXwBTAG8AdQByAGMAZQBEAGEAdABhAC4AVwBhAHMAdABlAF8ATQBlAHQAaABhAG4AZQBDAG8AcgByAGUAYwB0AGkAbwBuAEYAYQBjAHQAbwByAFMAbAB1AGQAZwBlAF8AVgBhAHIAaQBhAHQAaQBvAG4AIgAsACIAVwBhAHMAdABlAHcAYQB0AGUAcgBfAFMAbwB1AHIAYwBlAEQAYQB0AGEALgBXAGEAcwB0AGUAXwBNAGUAdABoAGEAbgBlAEUAbQBpAHMAcwBpAG8AbgBGAGEAYwB0AG8AcgBXAGEAcwB0AGUAdwBhAHQAZQByAF8AVABpAHQAbABlACIALAAiAFcAYQBzAHQAZQB3AGEAdABlAHIAXwBTAG8AdQByAGMAZQBEAGEAdABhAC4AVwBhAHMAdABlAF8ATQBlAHQAaABhAG4AZQBFAG0AaQBzAHMAaQBvAG4ARgBhAGMAdABvAHIAVwBhAHMAdABlAHcAYQB0AGUAcgBfAFYAYQByAGkAYQBiAGwAZQAiACwAIgBXAGEAcwB0AGUAdwBhAHQAZQByAF8AUwBvAHUAcgBjAGUARABhAHQAYQAuAFcAYQBzAHQAZQBfAE0AZQB0AGgAYQBuAGUARQBtAGkAcwBzAGkAbwBuAEYAYQBjAHQAbwByAFcAYQBzAHQAZQB3AGEAdABlAHIAXwBVAG4AaQB0ACIALAAiAFcAYQBzAHQAZQB3AGEAdABlAHIAXwBTAG8AdQByAGMAZQBEAGEAdABhAC4AVwBhAHMAdABlAF8ATQBlAHQAaABhAG4AZQBFAG0AaQBzAHMAaQBvAG4ARgBhAGMAdABvAHIAVwBhAHMAdABlAHcAYQB0AGUAcgBfAFMAbwB1AHIAYwBlACIALAAiAFcAYQBzAHQAZQB3AGEAdABlAHIAXwBTAG8AdQByAGMAZQBEAGEAdABhAC4AVwBhAHMAdABlAF8ATQBlAHQAaABhAG4AZQBFAG0AaQBzAHMAaQBvAG4ARgBhAGMAdABvAHIAVwBhAHMAdABlAHcAYQB0AGUAcgBfAEQAYQB0AGEAIgAsACIAVwBhAHMAdABlAHcAYQB0AGUAcgBfAFMAbwB1AHIAYwBlAEQAYQB0AGEALgBXAGEAcwB0AGUAXwBNAGUAdABoAGEAbgBlAEUAbQBpAHMAcwBpAG8AbgBGAGEAYwB0AG8AcgBTAGwAdQBkAGcAZQBfAFQAaQB0AGwAZQAiACwAIgBXAGEAcwB0AGUAdwBhAHQAZQByAF8AUwBvAHUAcgBjAGUARABhAHQAYQAuAFcAYQBzAHQAZQBfAE0AZQB0AGgAYQBuAGUARQBtAGkAcwBzAGkAbwBuAEYAYQBjAHQAbwByAFMAbAB1AGQAZwBlAF8AVgBhAHIAaQBhAGIAbABlACIALAAiAFcAYQBzAHQAZQB3AGEAdABlAHIAXwBTAG8AdQByAGMAZQBEAGEAdABhAC4AVwBhAHMAdABlAF8ATQBlAHQAaABhAG4AZQBFAG0AaQBzAHMAaQBvAG4ARgBhAGMAdABvAHIAUwBsAHUAZABnAGUAXwBVAG4AaQB0ACIALAAiAFcAYQBzAHQAZQB3AGEAdABlAHIAXwBTAG8AdQByAGMAZQBEAGEAdABhAC4AVwBhAHMAdABlAF8ATQBlAHQAaABhAG4AZQBFAG0AaQBzAHMAaQBvAG4ARgBhAGMAdABvAHIAUwBsAHUAZABnAGUAXwBTAG8AdQByAGMAZQAiACwAIgBXAGEAcwB0AGUAdwBhAHQAZQByAF8AUwBvAHUAcgBjAGUARABhAHQAYQAuAFcAYQBzAHQAZQBfAE0AZQB0AGgAYQBuAGUARQBtAGkAcwBzAGkAbwBuAEYAYQBjAHQAbwByAFMAbAB1AGQAZwBlAF8ARABhAHQAYQAiACwAIgBXAGEAcwB0AGUAdwBhAHQAZQByAF8AUwBvAHUAcgBjAGUARABhAHQAYQAuAFcAYQBzAHQAZQBfAEUAbgBlAHIAZwB5AEMAbwBuAHQAZQBuAHQARgBhAGMAdABvAHIAUwBsAHUAZABnAGUAQgBpAG8AZwBhAHMARgBsAGEAcgBlAGQAXwBUAGkAdABsAGUAIgAsACIAVwBhAHMAdABlAHcAYQB0AGUAcgBfAFMAbwB1AHIAYwBlAEQAYQB0AGEALgBXAGEAcwB0AGUAXwBFAG4AZQByAGcAeQBDAG8AbgB0AGUAbgB0AEYAYQBjAHQAbwByAFMAbAB1AGQAZwBlAEIAaQBvAGcAYQBzAEYAbABhAHIAZQBkAF8AVgBhAHIAaQBhAGIAbABlACIALAAiAFcAYQBzAHQAZQB3AGEAdABlAHIAXwBTAG8AdQByAGMAZQBEAGEAdABhAC4AVwBhAHMAdABlAF8ARQBuAGUAcgBnAHkAQwBvAG4AdABlAG4AdABGAGEAYwB0AG8AcgBTAGwAdQBkAGcAZQBCAGkAbwBnAGEAcwBGAGwAYQByAGUAZABfAFUAbgBpAHQAIgAsACIAVwBhAHMAdABlAHcAYQB0AGUAcgBfAFMAbwB1AHIAYwBlAEQAYQB0AGEALgBXAGEAcwB0AGUAXwBFAG4AZQByAGcAeQBDAG8AbgB0AGUAbgB0AEYAYQBjAHQAbwByAFMAbAB1AGQAZwBlAEIAaQBvAGcAYQBzAEYAbABhAHIAZQBkAF8AUwBvAHUAcgBjAGUAIgAsACIAVwBhAHMAdABlAHcAYQB0AGUAcgBfAFMAbwB1AHIAYwBlAEQAYQB0AGEALgBXAGEAcwB0AGUAXwBFAG4AZQByAGcAeQBDAG8AbgB0AGUAbgB0AEYAYQBjAHQAbwByAFMAbAB1AGQAZwBlAEIAaQBvAGcAYQBzAEYAbABhAHIAZQBkAF8ARABhAHQAYQAiACwAIgBXAGEAcwB0AGUAdwBhAHQAZQByAF8AUwBvAHUAcgBjAGUARABhAHQAYQAuAFcAYQBzAHQAZQBfAE0AZQB0AGgAYQBuAGUARQBtAGkAcwBzAGkAbwBuAEYAYQBjAHQAbwByAFMAbAB1AGQAZwBlAEIAaQBvAGcAYQBzAEYAbABhAHIAZQBkAF8AVABpAHQAbABlACIALAAiAFcAYQBzAHQAZQB3AGEAdABlAHIAXwBTAG8AdQByAGMAZQBEAGEAdABhAC4AVwBhAHMAdABlAF8ATQBlAHQAaABhAG4AZQBFAG0AaQBzAHMAaQBvAG4ARgBhAGMAdABvAHIAUwBsAHUAZABnAGUAQgBpAG8AZwBhAHMARgBsAGEAcgBlAGQAXwBWAGEAcgBpAGEAYgBsAGUAIgAsACIAVwBhAHMAdABlAHcAYQB0AGUAcgBfAFMAbwB1AHIAYwBlAEQAYQB0AGEALgBXAGEAcwB0AGUAXwBNAGUAdABoAGEAbgBlAEUAbQBpAHMAcwBpAG8AbgBGAGEAYwB0AG8AcgBTAGwAdQBkAGcAZQBCAGkAbwBnAGEAcwBGAGwAYQByAGUAZABfAFUAbgBpAHQAIgAsACIAVwBhAHMAdABlAHcAYQB0AGUAcgBfAFMAbwB1AHIAYwBlAEQAYQB0AGEALgBXAGEAcwB0AGUAXwBNAGUAdABoAGEAbgBlAEUAbQBpAHMAcwBpAG8AbgBGAGEAYwB0AG8AcgBTAGwAdQBkAGcAZQBCAGkAbwBnAGEAcwBGAGwAYQByAGUAZABfAFMAbwB1AHIAYwBlACIALAAiAFcAYQBzAHQAZQB3AGEAdABlAHIAXwBTAG8AdQByAGMAZQBEAGEAdABhAC4AVwBhAHMAdABlAF8ATQBlAHQAaABhAG4AZQBFAG0AaQBzAHMAaQBvAG4ARgBhAGMAdABvAHIAUwBsAHUAZABnAGUAQgBpAG8AZwBhAHMARgBsAGEAcgBlAGQAXwBEAGEAdABhACIALAAiAFcAYQBzAHQAZQB3AGEAdABlAHIAXwBTAG8AdQByAGMAZQBEAGEAdABhAC4AVwBhAHMAdABlAF8ATgBpAHQAcgBvAHUAcwBPAHgAaQBkAGUARQBtAGkAcwBzAGkAbwBuAEYAYQBjAHQAbwByAFMAbAB1AGQAZwBlAEIAaQBvAGcAYQBzAEYAbABhAHIAZQBkAF8AVABpAHQAbABlACIALAAiAFcAYQBzAHQAZQB3AGEAdABlAHIAXwBTAG8AdQByAGMAZQBEAGEAdABhAC4AVwBhAHMAdABlAF8ATgBpAHQAcgBvAHUAcwBPAHgAaQBkAGUARQBtAGkAcwBzAGkAbwBuAEYAYQBjAHQAbwByAFMAbAB1AGQAZwBlAEIAaQBvAGcAYQBzAEYAbABhAHIAZQBkAF8AVgBhAHIAaQBhAGIAbABlACIALAAiAFcAYQBzAHQAZQB3AGEAdABlAHIAXwBTAG8AdQByAGMAZQBEAGEAdABhAC4AVwBhAHMAdABlAF8ATgBpAHQAcgBvAHUAcwBPAHgAaQBkAGUARQBtAGkAcwBzAGkAbwBuAEYAYQBjAHQAbwByAFMAbAB1AGQAZwBlAEIAaQBvAGcAYQBzAEYAbABhAHIAZQBkAF8AVQBuAGkAdAAiACwAIgBXAGEAcwB0AGUAdwBhAHQAZQByAF8AUwBvAHUAcgBjAGUARABhAHQAYQAuAFcAYQBzAHQAZQBfAE4AaQB0AHIAbwB1AHMATwB4AGkAZABlAEUAbQBpAHMAcwBpAG8AbgBGAGEAYwB0AG8AcgBTAGwAdQBkAGcAZQBCAGkAbwBnAGEAcwBGAGwAYQByAGUAZABfAFMAbwB1AHIAYwBlACIALAAiAFcAYQBzAHQAZQB3AGEAdABlAHIAXwBTAG8AdQByAGMAZQBEAGEAdABhAC4AVwBhAHMAdABlAF8ATgBpAHQAcgBvAHUAcwBPAHgAaQBkAGUARQBtAGkAcwBzAGkAbwBuAEYAYQBjAHQAbwByAFMAbAB1AGQAZwBlAEIAaQBvAGcAYQBzAEYAbABhAHIAZQBkAF8ARABhAHQAYQAiACwAIgBXAGEAcwB0AGUAdwBhAHQAZQByAF8ATgAyAE8AXwBFAHEAdQBhAHQAaQBvAG4AcwAuAFYARQBFAFIARwBfADEAMQBfADEAXwAzAF8AMQBfAF8AMQBfAE4AaQB0AHIAbwB1AHMATwB4AGkAZABlAEUAbQBpAHMAcwBpAG8AbgBzAEYAcgBvAG0ARgBsAGEAcgBlAGQAQgBpAG8AZwBhAHMAIgAsACIAVwBhAHMAdABlAHcAYQB0AGUAcgBfAE4AMgBPAF8ARQBxAHUAYQB0AGkAbwBuAHMALgBWAEUARQBSAEcAXwAxADEAXwAxAF8AMwBfADEAXwBfADEAXwBOAGkAdAByAG8AdQBzAE8AeABpAGQAZQBFAG0AaQBzAHMAaQBvAG4AcwBGAHIAbwBtAEYAbABhAHIAZQBkAEIAaQBvAGcAYQBzAF8AVABpAHQAbABlACIALAAiAFcAYQBzAHQAZQB3AGEAdABlAHIAXwBOADIATwBfAEUAcQB1AGEAdABpAG8AbgBzAC4AVgBFAEUAUgBHAF8AMQAxAF8AMQBfADMAXwAxAF8AXwAxAF8ATgBpAHQAcgBvAHUAcwBPAHgAaQBkAGUARQBtAGkAcwBzAGkAbwBuAHMARgByAG8AbQBGAGwAYQByAGUAZABCAGkAbwBnAGEAcwBfAFYAYQByAGkAYQBiAGwAZQAiACwAIgBXAGEAcwB0AGUAdwBhAHQAZQByAF8ATgAyAE8AXwBFAHEAdQBhAHQAaQBvAG4AcwAuAFYARQBFAFIARwBfADEAMQBfADEAXwAzAF8AMQBfAF8AMQBfAE4AaQB0AHIAbwB1AHMATwB4AGkAZABlAEUAbQBpAHMAcwBpAG8AbgBzAEYAcgBvAG0ARgBsAGEAcgBlAGQAQgBpAG8AZwBhAHMAXwBVAG4AaQB0ACIALAAiAFcAYQBzAHQAZQB3AGEAdABlAHIAXwBOADIATwBfAEUAcQB1AGEAdABpAG8AbgBzAC4AVgBFAEUAUgBHAF8AMQAxAF8AMQBfADMAXwAxAF8AXwAxAF8ATgBpAHQAcgBvAHUAcwBPAHgAaQBkAGUARQBtAGkAcwBzAGkAbwBuAHMARgByAG8AbQBGAGwAYQByAGUAZABCAGkAbwBnAGEAcwBfAFMAbwB1AHIAYwBlACIALAAiAFcAYQBzAHQAZQB3AGEAdABlAHIAXwBOADIATwBfAEUAcQB1AGEAdABpAG8AbgBzAC4AVgBFAEUAUgBHAF8AMQAxAF8AMQBfADMAXwAxAF8AXwAxAF8ATgBpAHQAcgBvAHUAcwBPAHgAaQBkAGUARQBtAGkAcwBzAGkAbwBuAHMARgByAG8AbQBGAGwAYQByAGUAZABCAGkAbwBnAGEAcwBfAE4ASQBSAFIAZQBmAGUAcgBlAG4AYwBlACIALAAiAFcAYQBzAHQAZQB3AGEAdABlAHIAXwBOADIATwBfAEUAcQB1AGEAdABpAG8AbgBzAC4AVgBFAEUAUgBHAF8AMQAxAF8AMQBfADMAXwAxAF8AXwAxAF8ATgBpAHQAcgBvAHUAcwBPAHgAaQBkAGUARQBtAGkAcwBzAGkAbwBuAHMARgByAG8AbQBGAGwAYQByAGUAZABCAGkAbwBnAGEAcwBfAEwAYQB0AGUAeABFAHEAdQBhAHQAaQBvAG4AIgAsACIAVwBhAHMAdABlAHcAYQB0AGUAcgBfAE4AMgBPAF8ARQBxAHUAYQB0AGkAbwBuAHMALgBWAEUARQBSAEcAXwAxADEAXwAxAF8AMwBfADEAXwBfADEAXwBOAGkAdAByAG8AdQBzAE8AeABpAGQAZQBFAG0AaQBzAHMAaQBvAG4AcwBGAHIAbwBtAEYAbABhAHIAZQBkAEIAaQBvAGcAYQB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