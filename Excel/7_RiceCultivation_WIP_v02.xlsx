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E8AB70E-3CFF-451A-A195-09073FE646C2}" xr6:coauthVersionLast="47" xr6:coauthVersionMax="47" xr10:uidLastSave="{00000000-0000-0000-0000-000000000000}"/>
  <bookViews>
    <workbookView xWindow="4680" yWindow="4680" windowWidth="28800" windowHeight="15345" firstSheet="3"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1"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Step1">#REF!</definedName>
    <definedName name="Step2">#REF!</definedName>
    <definedName name="Step3">#REF!</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 i="121" l="1"/>
  <c r="A18" i="121"/>
  <c r="A14" i="121"/>
  <c r="A10" i="121"/>
  <c r="A9" i="121"/>
  <c r="A5" i="121"/>
  <c r="A4" i="121"/>
  <c r="A3" i="121"/>
  <c r="A19" i="110"/>
  <c r="A18" i="110"/>
  <c r="A14" i="110"/>
  <c r="A10" i="110"/>
  <c r="A9" i="110"/>
  <c r="A5" i="110"/>
  <c r="A4" i="110"/>
  <c r="A3" i="110"/>
  <c r="A19" i="69"/>
  <c r="A18" i="69"/>
  <c r="A14" i="69"/>
  <c r="A10" i="69"/>
  <c r="A9" i="69"/>
  <c r="A5" i="69"/>
  <c r="A4" i="69"/>
  <c r="A3" i="69"/>
  <c r="A19" i="70"/>
  <c r="A18" i="70"/>
  <c r="A14" i="70"/>
  <c r="A10" i="70"/>
  <c r="A9" i="70"/>
  <c r="A5" i="70"/>
  <c r="A4" i="70"/>
  <c r="A3" i="70"/>
  <c r="A19" i="15"/>
  <c r="A18" i="15"/>
  <c r="A14" i="15"/>
  <c r="A10" i="15"/>
  <c r="A9" i="15"/>
  <c r="A5" i="15"/>
  <c r="A4" i="15"/>
  <c r="A3" i="15"/>
  <c r="A19" i="13"/>
  <c r="A18" i="13"/>
  <c r="A14" i="13"/>
  <c r="A10" i="13"/>
  <c r="A9" i="13"/>
  <c r="A5" i="13"/>
  <c r="A4" i="13"/>
  <c r="A3" i="13"/>
  <c r="A19" i="118"/>
  <c r="A18" i="118"/>
  <c r="A14" i="118"/>
  <c r="A10" i="118"/>
  <c r="A9" i="118"/>
  <c r="A5" i="118"/>
  <c r="A4" i="118"/>
  <c r="A3" i="118"/>
  <c r="A19" i="71"/>
  <c r="A18" i="71"/>
  <c r="A14" i="71"/>
  <c r="A10" i="71"/>
  <c r="A9" i="71"/>
  <c r="A5" i="71"/>
  <c r="A4" i="71"/>
  <c r="A3" i="71"/>
  <c r="G105"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c r="D228" i="121" a="1"/>
  <c r="D227" i="121"/>
  <c r="D227" i="121" a="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c r="D211" i="121" a="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c r="D178" i="121" a="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a="1"/>
  <c r="D141" i="121" s="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c r="D116" i="121" a="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c r="D45" i="121" a="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c r="D35" i="121" a="1"/>
  <c r="D34" i="121"/>
  <c r="D34" i="121" a="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1" i="121" l="1"/>
  <c r="H53" i="121"/>
  <c r="H52" i="121"/>
  <c r="H48" i="121"/>
  <c r="H50" i="121"/>
  <c r="H54" i="121"/>
  <c r="H49" i="121"/>
  <c r="D80" i="69" a="1"/>
  <c r="D80" i="69" s="1"/>
  <c r="J89" i="69" a="1"/>
  <c r="J89" i="69" s="1"/>
  <c r="J90" i="69" a="1"/>
  <c r="J90" i="69" s="1"/>
  <c r="J88" i="69" a="1"/>
  <c r="J88" i="69" s="1"/>
  <c r="H88" i="69" a="1"/>
  <c r="H88" i="69" s="1"/>
  <c r="D88" i="69" a="1"/>
  <c r="D88" i="69" s="1"/>
  <c r="D104" i="69" a="1"/>
  <c r="D104" i="69" s="1"/>
  <c r="E86" i="69" a="1"/>
  <c r="E86" i="69" s="1"/>
  <c r="E85" i="69" a="1"/>
  <c r="E85" i="69" s="1"/>
  <c r="D79" i="69" a="1"/>
  <c r="D79" i="69" s="1"/>
  <c r="D78" i="69" a="1"/>
  <c r="D78" i="69" s="1"/>
  <c r="J65" i="69" a="1"/>
  <c r="J65" i="69" s="1"/>
  <c r="J64" i="69" a="1"/>
  <c r="J64" i="69" s="1"/>
  <c r="J63" i="69" a="1"/>
  <c r="J63" i="69" s="1"/>
  <c r="J62" i="69" a="1"/>
  <c r="J62" i="69" s="1"/>
  <c r="J61" i="69" a="1"/>
  <c r="J61" i="69" s="1"/>
  <c r="J60" i="69" a="1"/>
  <c r="J60" i="69" s="1"/>
  <c r="D10" i="70"/>
  <c r="E53" i="69" a="1"/>
  <c r="E81"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<sst xmlns="http://schemas.openxmlformats.org/spreadsheetml/2006/main" count="216" uniqueCount="170">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</sst>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59" fillId="0" borderId="0"/>
  </cellStyleXfs>
  <cellXfs count="11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170" fontId="8" fillId="4" borderId="0" xfId="10" applyNumberFormat="1">
      <alignment horizontal="center" vertical="center"/>
    </xf>
    <xf numFmtId="0" fontId="60"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63"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17"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16"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15"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14"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13"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12"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9F2C71-7949-4319-A761-7B9F152BD80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E1F5E1-5403-4D40-8BB3-4C830D3E0124}" name="State/Territory">
      <calculatedColumnFormula array="1">Common_InputFunctions.Utility_DisplayArrayInTable(Common_SourceData.Common_SourceData_AustralianStatesTerritories_Data(),Table_AustralianStates[[#Headers],[State/Territory]],0)</calculatedColumnFormula>
    </tableColumn>
    <tableColumn id="2" xr3:uid="{A562DAD1-AFEA-4B64-9212-26C76AD96885}" name="Common Name">
      <calculatedColumnFormula array="1">Common_InputFunctions.Utility_DisplayArrayInTable(Common_SourceData.Common_SourceData_AustralianStatesTerritories_Data(),Table_AustralianStates[[#Headers],[State/Territory]],0)</calculatedColumnFormula>
    </tableColumn>
    <tableColumn id="3" xr3:uid="{990EFBFB-0F60-4A02-BE6E-B5920C5A1ED8}"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57B357-DC08-4E9D-B447-EFDAB703AC98}" name="Table_WASA4Areas" displayName="Table_WASA4Areas" ref="D20:D30" totalsRowShown="0">
  <autoFilter ref="D20:D30" xr:uid="{5FA81339-C6C8-4D36-BEEA-6C4AEDD9E676}">
    <filterColumn colId="0" hiddenButton="1"/>
  </autoFilter>
  <tableColumns count="1">
    <tableColumn id="1" xr3:uid="{0B059BCA-C44D-447F-BDC2-14E641A0192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D6D0F6-61EF-4B3E-B946-4BEFCDD6906C}" name="Table_GWPData" displayName="Table_GWPData" ref="D36:E43" totalsRowShown="0">
  <autoFilter ref="D36:E43" xr:uid="{B8E87A66-3E41-4AD3-925D-01EE21B43D7A}">
    <filterColumn colId="0" hiddenButton="1"/>
    <filterColumn colId="1" hiddenButton="1"/>
  </autoFilter>
  <tableColumns count="2">
    <tableColumn id="1" xr3:uid="{FBEBA280-A8EC-44D0-BE88-CE2C1D3B3DDD}" name="Gas">
      <calculatedColumnFormula array="1">Common_InputFunctions.Utility_DisplayArrayInTable(Common_SourceData.Common_SourceData_GWP_Data(), Table_GWPData[[#Headers],[Gas]], 0)</calculatedColumnFormula>
    </tableColumn>
    <tableColumn id="2" xr3:uid="{171DA041-A357-41AC-A814-8C797D3F750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1AF29CC-97F2-488B-9F8A-EE1953F183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E4DDF8F-C229-4BA5-B737-9F2513BCCB80}" name="Gas">
      <calculatedColumnFormula array="1">Common_InputFunctions.Utility_DisplayArrayInTable(Common_SourceData.Common_SourceData_ConvertGasElementalToMolecular_Data(),Table_GasToMolecularConversionFactor[[#Headers],[Gas]], 0)</calculatedColumnFormula>
    </tableColumn>
    <tableColumn id="5" xr3:uid="{1E77BC4D-AF1C-49A1-B818-655E663524F1}" name="Conversion factor">
      <calculatedColumnFormula array="1">Common_InputFunctions.Utility_DisplayArrayInTable(Common_SourceData.Common_SourceData_ConvertGasElementalToMolecular_Data(),Table_GasToMolecularConversionFactor[[#Headers],[Gas]], 0)</calculatedColumnFormula>
    </tableColumn>
    <tableColumn id="2" xr3:uid="{6D856132-4FAF-467C-BF04-4A1B4E569EA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65DF7A8-FE65-4A5D-A04B-3FA2682FF34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3AE7AC1-A079-4CE1-886E-B0A550DFAE0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966959C-8843-43C3-9FFB-A5D69543C0B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2B28D50-A034-4DB4-A490-A64A9E8A548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505FF3-32B5-4C99-ABA7-5BA255B37323}" name="MA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3" xr3:uid="{E3B96E6B-F316-4EEC-9D7F-009294682D91}" name="MA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4" xr3:uid="{68BEE58B-963F-47BB-B1B5-A522D3A5C53A}" name="Frost days per year"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5" xr3:uid="{F8A437EF-EB5A-4EC8-B505-D4618F05DEC8}" name="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6" xr3:uid="{45310AA7-5B2C-42B7-9B25-A9FB5D140114}" name="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7" xr3:uid="{A5AACB52-18FB-4666-A3C5-6B1E42CA013B}" name="Min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8" xr3:uid="{578AA7B3-4FC1-4500-8566-45FFD6554344}" name="Max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9" xr3:uid="{71E728CB-79BC-4EBB-B382-57BA8BEBAF42}" name="Min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0" xr3:uid="{3639C603-3EA1-4589-968F-24F11750C017}" name="Max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1" xr3:uid="{B3831A0E-57C9-4EBE-BC45-06FC3AC17059}" name="Min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5" xr3:uid="{DE298B36-E53A-48C8-85EC-797D8AB410D0}" name="Max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2" xr3:uid="{5869E771-1803-4855-88C0-38872F74AB77}" name="Min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6" xr3:uid="{73B45490-B776-47F2-B880-734E845FD77D}" name="Max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3" xr3:uid="{43F6550D-5E97-414A-8F2E-088DAAC56A72}" name="Min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7" xr3:uid="{DF3BC22B-D7AD-4013-87AA-B3C2C846F823}" name="Max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3D3DFA8-2A0F-4293-BA50-6A987BF486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FEC2A23-B63B-498B-A95F-E25594074A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E1E0AA-E22E-4A1C-953F-44360B524662}" name="Wet or Dry Zone" totalsRowDxfId="3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DA56B25-EFD6-4760-BF63-A8F7647724E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3B1A1-71C3-4FCF-95BA-81F6467E852B}" name="Temperature Zone">
      <calculatedColumnFormula array="1">Common_InputFunctions.Utility_DisplayArrayInTable(Common_SourceData.Common_SourceData_TemperatureZones_Data(),Table_SourceData_TemperatureZones[[#Headers],[Temperature Zone]],0)</calculatedColumnFormula>
    </tableColumn>
    <tableColumn id="2" xr3:uid="{1A91D15F-0988-42FF-BE84-EF2E8460E896}" name="MAT">
      <calculatedColumnFormula array="1">Common_InputFunctions.Utility_DisplayArrayInTable(Common_SourceData.Common_SourceData_TemperatureZones_Data(),Table_SourceData_TemperatureZones[[#Headers],[Temperature Zone]],0)</calculatedColumnFormula>
    </tableColumn>
    <tableColumn id="3" xr3:uid="{CAE683C2-8E2C-43C4-B23E-B4C650D9CFC9}" name="Min MAT">
      <calculatedColumnFormula array="1">Common_InputFunctions.Utility_DisplayArrayInTable(Common_SourceData.Common_SourceData_TemperatureZones_Data(),Table_SourceData_TemperatureZones[[#Headers],[Temperature Zone]],0)</calculatedColumnFormula>
    </tableColumn>
    <tableColumn id="4" xr3:uid="{62F6DF8F-E35A-4469-AE17-F85F0E02A73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F59F7E3-F5EA-4FEB-917F-3B66BB81CF4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6E2C7E2-A0D0-4F22-87FC-81D8B123DAF1}" name="Rainfall Zone">
      <calculatedColumnFormula array="1">Common_InputFunctions.Utility_DisplayArrayInTable(Common_SourceData.Common_SourceData_RainfallZones_Data(),Table_SourceData_RainfallZones[[#Headers],[Rainfall Zone]],0)</calculatedColumnFormula>
    </tableColumn>
    <tableColumn id="2" xr3:uid="{29F247EC-D1DC-4C40-91DE-FC0D10878593}" name="Annual rainfall">
      <calculatedColumnFormula array="1">Common_InputFunctions.Utility_DisplayArrayInTable(Common_SourceData.Common_SourceData_RainfallZones_Data(),Table_SourceData_RainfallZones[[#Headers],[Rainfall Zone]],0)</calculatedColumnFormula>
    </tableColumn>
    <tableColumn id="3" xr3:uid="{B4E77F9A-F815-4886-AA6C-48BECBB05314}" name="Min rainfall">
      <calculatedColumnFormula array="1">Common_InputFunctions.Utility_DisplayArrayInTable(Common_SourceData.Common_SourceData_RainfallZones_Data(),Table_SourceData_RainfallZones[[#Headers],[Rainfall Zone]],0)</calculatedColumnFormula>
    </tableColumn>
    <tableColumn id="4" xr3:uid="{A788A069-55B8-4418-A9F5-7C05D4FC2A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ADACA7-8B14-4DD0-A496-EAC6B56729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A2C56F0-13CC-42C1-BA02-30776F544A00}" name="Leaching Zone">
      <calculatedColumnFormula array="1">Common_InputFunctions.Utility_DisplayArrayInTable(Common_SourceData.Common_SourceData_LeachingZones_Data(), Table_SourceData_LeachingZones[[#Headers],[Leaching Zone]], 0)</calculatedColumnFormula>
    </tableColumn>
    <tableColumn id="2" xr3:uid="{F0F954C7-9A1E-469C-9772-C1D30F16621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DA27C6-2B10-42E9-B61C-9BBB344FC96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666537-6ED5-4031-8ECB-23C9AEDC45D3}" name="Data source">
      <calculatedColumnFormula array="1">Common_InputFunctions.Utility_DisplayArrayInTable(Common_SourceData.Common_SourceData_DataScores_Scope3_Data(), Table_SourceData_DataScores_Scope3[[#Headers],[Data source]], 0)</calculatedColumnFormula>
    </tableColumn>
    <tableColumn id="2" xr3:uid="{0BC5AFBF-2F3A-45AC-B785-08479E59FFD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2DEE321-B337-4BC8-9070-167098B674D5}" name="Table_SourceData_FracWET" displayName="Table_SourceData_FracWET" ref="D134:E136" totalsRowShown="0">
  <autoFilter ref="D134:E136" xr:uid="{308E99BE-FE1F-47A4-B2CA-97217277C4E9}">
    <filterColumn colId="0" hiddenButton="1"/>
    <filterColumn colId="1" hiddenButton="1"/>
  </autoFilter>
  <tableColumns count="2">
    <tableColumn id="1" xr3:uid="{DBB178F3-4169-471E-9922-C17C5F637499}" name="Is in leaching zone">
      <calculatedColumnFormula array="1">Common_InputFunctions.Utility_DisplayArrayInTable(Common_SourceData.Common_SourceData_FracWET_Data(),Table_SourceData_FracWET[[#Headers],[Is in leaching zone]],0)</calculatedColumnFormula>
    </tableColumn>
    <tableColumn id="2" xr3:uid="{F3628DE2-FAFC-4288-AFB2-812352B720BC}" name="FracWET" dataDxfId="3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D8156AA-47C5-4304-997D-5EF3F53749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C4D37B5-F284-4EBD-B8A3-CFDDD667EB11}" name="Production system j">
      <calculatedColumnFormula array="1">Common_InputFunctions.Utility_DisplayArrayInTable(Common_SourceData.Common_SourceData_EFN2O_Data(), Table_SourceData_Common_EFN2O[[#Headers],[Production system j]], 0)</calculatedColumnFormula>
    </tableColumn>
    <tableColumn id="2" xr3:uid="{AFC1262B-E8CB-4898-8D52-FD08482C885C}" name="EFN2O">
      <calculatedColumnFormula array="1">Common_InputFunctions.Utility_DisplayArrayInTable(Common_SourceData.Common_SourceData_EFN2O_Data(), Table_SourceData_Common_EFN2O[[#Headers],[Production system j]], 0)</calculatedColumnFormula>
    </tableColumn>
    <tableColumn id="3" xr3:uid="{5A13419B-46E6-47C3-A0AA-0BEDECD2A1D1}" name="Production system only">
      <calculatedColumnFormula array="1">Common_InputFunctions.Utility_DisplayArrayInTable(Common_SourceData.Common_SourceData_EFN2O_Data(), Table_SourceData_Common_EFN2O[[#Headers],[Production system j]], 0)</calculatedColumnFormula>
    </tableColumn>
    <tableColumn id="4" xr3:uid="{392B1761-2983-4CA2-8BE7-A6C347E20451}" name="Irrigation method">
      <calculatedColumnFormula array="1">Common_InputFunctions.Utility_DisplayArrayInTable(Common_SourceData.Common_SourceData_EFN2O_Data(), Table_SourceData_Common_EFN2O[[#Headers],[Production system j]], 0)</calculatedColumnFormula>
    </tableColumn>
    <tableColumn id="5" xr3:uid="{4FA3A003-D7B5-4095-9AAD-E1B03BAFA23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DEC7E83-8E36-4A31-B7A7-690E1AAC31B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47FC800-7BAF-405D-BF5F-EACA4B25D2AA}" name="Irrigation type i">
      <calculatedColumnFormula array="1">Common_InputFunctions.Utility_DisplayArrayInTable(Common_SourceData.Common_SourceData_FracWETIrrigation_Data(), Table_SourceData_FracWETIrrigation[[#Headers],[Irrigation type i]], 0)</calculatedColumnFormula>
    </tableColumn>
    <tableColumn id="2" xr3:uid="{2228D1E9-229D-42AF-A281-92BBC6ACA73F}" name="FracWET" dataDxfId="3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CFC0C3D-26E8-4D4F-8135-D0D076399CB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49D65E5-262A-40B3-9EED-7662FE93DF76}"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379650A-485C-499D-9EA8-36652F76FEFD}" name="EFPRP" dataDxfId="3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FC41DFD-D6CE-48C9-BF8D-41F8FA4941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BCFBB7E-4745-47BC-A9AC-BAEC7FCB8B61}" name="Month">
      <calculatedColumnFormula array="1">Common_InputFunctions.Utility_DisplayArrayInTable(Common_SourceData.Common_SourceData_MonthsToSeasons_Data(), Table_SourceData_Common_MonthToSeason[[#Headers],[Month]], 0)</calculatedColumnFormula>
    </tableColumn>
    <tableColumn id="2" xr3:uid="{7E2715E5-C84F-4923-9C57-3F2D2AC8D78A}" name="Season" dataDxfId="3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7D068E-03B3-4889-90AA-EC8E3C58DAE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E3EA6D4-2D76-480E-8E8C-003972C84F7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12B4895-D189-4E8C-89BF-0C2DFB850C5F}" name="MAT (ºC)"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DD95C64-B5A2-499D-B3A2-D855816ACCE4}" name="Anaerobic lago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36FAF2F-E059-4E41-912C-D2E28CAEBA76}" name="Digester / covered lagoon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8C93FD0-5811-42C4-8436-3F85B4532FE9}" name="Liquid system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AD1E92-3E65-4195-AC92-6AA9177BFE11}" name="Daily spread"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80923AA-2C24-4585-BC82-4B4E72D924C0}" name="Composting (passive windro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D5FF453-7465-43AE-81D9-92E2BBF91C6E}" name="Solid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2279892-4AA1-4EC0-A4DB-F65F4FCDD1FB}" name="Pit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0408C08-C97E-406E-AF16-A019B8F22107}" name="Deep litter"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039FD38-96E0-45DB-A9B6-DC00D4586782}" name="Poultry manure with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32DD85B-8A37-4A39-AB78-490A34D4C1B4}" name="Poultry manure without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8D96EE2-5223-43A8-A850-4FB216FFAA4F}" name="Direct process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4CC81C-5C51-4D0F-ACC8-C879D8F26883}" name="Direct applicati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271E75D-8F59-4BEA-814A-195D1B12B793}" name="Pasture range and paddock"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D14E0E9-D5CF-4426-908A-725521EDF5C0}" name="MAT raw"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2A8EE7E-B31E-45C0-9770-A5D4B123482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0FDE788-39E0-4FF6-AA51-00E4D963E52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B859EB7-4280-4FBE-9E09-D7CFB4EA0C0B}" name="EFNi &amp; EFN2Oi" dataDxfId="1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9"/>
  <sheetViews>
    <sheetView zoomScaleNormal="100" workbookViewId="0">
      <selection activeCell="A19" sqref="A19"/>
    </sheetView>
  </sheetViews>
  <sheetFormatPr defaultRowHeight="15" x14ac:dyDescent="0.25"/>
  <sheetData>
    <row r="1" spans="1:1" ht="25.5" x14ac:dyDescent="0.35">
      <c r="A1" s="56" t="e" vm="1">
        <v>#VALUE!</v>
      </c>
    </row>
    <row r="3" spans="1:1" ht="15.75" x14ac:dyDescent="0.25">
      <c r="A3" s="98"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Rice'!A1", "Rice")</f>
        <v>Rice</v>
      </c>
    </row>
    <row r="13" spans="1:1" x14ac:dyDescent="0.25">
      <c r="A13" s="18" t="s">
        <v>51</v>
      </c>
    </row>
    <row r="14" spans="1:1" ht="15.75" x14ac:dyDescent="0.25">
      <c r="A14" s="17" t="str">
        <f>HYPERLINK("#'7.1.1-2 Rice cultivation'!A1", "7.1.1-2 Rice cultivation")</f>
        <v>7.1.1-2 Rice cultivation</v>
      </c>
    </row>
    <row r="17" spans="1:1" x14ac:dyDescent="0.25">
      <c r="A17" s="118" t="s">
        <v>1</v>
      </c>
    </row>
    <row r="18" spans="1:1" ht="15.75" x14ac:dyDescent="0.25">
      <c r="A18" s="17" t="str">
        <f>HYPERLINK("#'Constants - Rice cultivation'!A1", "Constants - Rice cultivation")</f>
        <v>Constants - Rice cultivation</v>
      </c>
    </row>
    <row r="19" spans="1:1" ht="15.75" x14ac:dyDescent="0.25">
      <c r="A19"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6" t="e" vm="1">
        <v>#VALUE!</v>
      </c>
      <c r="C1" s="111" t="s">
        <v>165</v>
      </c>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row>
    <row r="2" spans="1:42" ht="20.100000000000001" customHeight="1" x14ac:dyDescent="0.25">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3"/>
    </row>
    <row r="3" spans="1:42" ht="20.100000000000001" customHeight="1" x14ac:dyDescent="0.25">
      <c r="A3" s="17" t="str">
        <f>HYPERLINK("#'Home'!A1", "Home")</f>
        <v>Home</v>
      </c>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c r="AM3" s="114"/>
      <c r="AN3" s="114"/>
      <c r="AO3" s="114"/>
    </row>
    <row r="4" spans="1:42" ht="20.100000000000001" customHeight="1" x14ac:dyDescent="0.25">
      <c r="A4" s="98" t="str">
        <f>HYPERLINK("#'Overview'!A1", "Overview")</f>
        <v>Overview</v>
      </c>
    </row>
    <row r="5" spans="1:42" ht="20.100000000000001" customHeight="1" x14ac:dyDescent="0.25">
      <c r="A5" s="17" t="str">
        <f>HYPERLINK("#'Results'!A1", "Results")</f>
        <v>Results</v>
      </c>
      <c r="D5" s="95" t="s">
        <v>101</v>
      </c>
      <c r="E5" s="78"/>
      <c r="F5" s="78"/>
      <c r="G5" s="78"/>
      <c r="H5" s="78"/>
      <c r="I5" s="78"/>
      <c r="J5" s="78"/>
      <c r="K5" s="78"/>
      <c r="L5" s="78"/>
      <c r="M5" s="78"/>
      <c r="N5" s="78"/>
      <c r="O5" s="74"/>
    </row>
    <row r="6" spans="1:42" ht="20.100000000000001" customHeight="1" x14ac:dyDescent="0.25">
      <c r="D6" s="115" t="s">
        <v>102</v>
      </c>
      <c r="E6" s="77"/>
      <c r="F6" s="77"/>
      <c r="G6" s="77"/>
      <c r="H6" s="77"/>
      <c r="I6" s="77"/>
      <c r="J6" s="77"/>
      <c r="K6" s="77"/>
      <c r="L6" s="77"/>
      <c r="M6" s="77"/>
      <c r="N6" s="77"/>
      <c r="O6" s="75"/>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Rice'!A1", "Rice")</f>
        <v>Rice</v>
      </c>
    </row>
    <row r="11" spans="1:42" ht="20.100000000000001" customHeight="1" x14ac:dyDescent="0.25"/>
    <row r="12" spans="1:42" ht="20.100000000000001" customHeight="1" x14ac:dyDescent="0.25"/>
    <row r="13" spans="1:42" ht="20.100000000000001" customHeight="1" x14ac:dyDescent="0.25">
      <c r="A13" s="18" t="s">
        <v>51</v>
      </c>
    </row>
    <row r="14" spans="1:42" ht="20.100000000000001" customHeight="1" x14ac:dyDescent="0.25">
      <c r="A14" s="17" t="str">
        <f>HYPERLINK("#'7.1.1-2 Rice cultivation'!A1", "7.1.1-2 Rice cultivation")</f>
        <v>7.1.1-2 Rice cultivation</v>
      </c>
    </row>
    <row r="15" spans="1:42" ht="20.100000000000001" customHeight="1" x14ac:dyDescent="0.25"/>
    <row r="16" spans="1:42" ht="20.100000000000001" customHeight="1" x14ac:dyDescent="0.25"/>
    <row r="17" spans="1:1" ht="20.100000000000001" customHeight="1" x14ac:dyDescent="0.25">
      <c r="A17" s="118" t="s">
        <v>1</v>
      </c>
    </row>
    <row r="18" spans="1:1" ht="20.100000000000001" customHeight="1" x14ac:dyDescent="0.25">
      <c r="A18" s="17" t="str">
        <f>HYPERLINK("#'Constants - Rice cultivation'!A1", "Constants - Rice cultivation")</f>
        <v>Constants - Rice cultivation</v>
      </c>
    </row>
    <row r="19" spans="1:1" ht="20.100000000000001" customHeight="1" x14ac:dyDescent="0.25">
      <c r="A19" s="17"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99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6" t="e" vm="1">
        <v>#VALUE!</v>
      </c>
      <c r="C1" s="111" t="s">
        <v>166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98" t="str">
        <f>HYPERLINK("#'Results'!A1", "Results")</f>
        <v>Results</v>
      </c>
      <c r="C5" s="21"/>
      <c r="D5" s="25"/>
      <c r="E5" s="26"/>
      <c r="F5" s="26"/>
      <c r="G5" s="26"/>
      <c r="H5" s="23"/>
      <c r="I5" s="21"/>
      <c r="J5" s="21"/>
      <c r="K5" s="21"/>
    </row>
    <row r="6" spans="1:11" ht="20.100000000000001" customHeight="1" x14ac:dyDescent="0.25">
      <c r="C6" s="21"/>
      <c r="D6" s="80" t="s">
        <v>98</v>
      </c>
      <c r="E6" s="76"/>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93" t="s">
        <v>62</v>
      </c>
      <c r="E8" s="93" t="s">
        <v>74</v>
      </c>
      <c r="F8" s="93" t="s">
        <v>75</v>
      </c>
      <c r="G8" s="93" t="s">
        <v>68</v>
      </c>
      <c r="H8" s="93" t="s">
        <v>76</v>
      </c>
      <c r="I8" s="93" t="s">
        <v>77</v>
      </c>
      <c r="J8" s="93" t="s">
        <v>69</v>
      </c>
      <c r="K8" s="21"/>
    </row>
    <row r="9" spans="1:11" ht="20.100000000000001" customHeight="1" x14ac:dyDescent="0.25">
      <c r="A9" s="17" t="str">
        <f>HYPERLINK("#'Input - Site'!A1", "Site")</f>
        <v>Site</v>
      </c>
      <c r="C9" s="21"/>
      <c r="D9" s="1" t="s">
        <v>164</v>
      </c>
      <c r="E9" s="110">
        <f>VEERG_7_1_1_1__1_MethaneEmissionsFromRiceCultivation_Result_Method1</f>
        <v>98.450769394817939</v>
      </c>
      <c r="F9" s="110">
        <f>E9</f>
        <v>98.450769394817939</v>
      </c>
      <c r="G9" s="48" t="s">
        <v>79</v>
      </c>
      <c r="H9" s="91">
        <f>'7.1.1-2 Rice cultivation'!$E$107</f>
        <v>2756.6215430549023</v>
      </c>
      <c r="I9" s="91">
        <f>H9</f>
        <v>2756.6215430549023</v>
      </c>
      <c r="J9" s="48" t="s">
        <v>72</v>
      </c>
      <c r="K9" s="21"/>
    </row>
    <row r="10" spans="1:11" ht="20.100000000000001" customHeight="1" x14ac:dyDescent="0.3">
      <c r="A10" s="17" t="str">
        <f>HYPERLINK("#'Input - Rice'!A1", "Rice")</f>
        <v>Rice</v>
      </c>
      <c r="C10" s="21"/>
      <c r="D10" s="28" t="s">
        <v>67</v>
      </c>
      <c r="E10" s="22"/>
      <c r="F10" s="22"/>
      <c r="G10" s="28"/>
      <c r="H10" s="92">
        <f>SUM(H9:H9)</f>
        <v>2756.6215430549023</v>
      </c>
      <c r="I10" s="92">
        <f>SUM(I9:I9)</f>
        <v>2756.6215430549023</v>
      </c>
      <c r="J10" s="88" t="s">
        <v>72</v>
      </c>
      <c r="K10" s="21"/>
    </row>
    <row r="11" spans="1:11" ht="20.100000000000001" customHeight="1" x14ac:dyDescent="0.25">
      <c r="C11" s="21"/>
      <c r="D11" s="1"/>
      <c r="E11" s="1"/>
      <c r="F11" s="1"/>
      <c r="G11" s="1"/>
      <c r="H11" s="1"/>
      <c r="I11" s="1"/>
      <c r="J11" s="1"/>
      <c r="K11" s="21"/>
    </row>
    <row r="12" spans="1:11" ht="20.100000000000001" customHeight="1" x14ac:dyDescent="0.25">
      <c r="C12" s="21"/>
      <c r="D12" s="89"/>
      <c r="E12" s="89"/>
      <c r="F12" s="89"/>
      <c r="G12" s="89"/>
      <c r="H12" s="89"/>
      <c r="I12" s="89"/>
      <c r="J12" s="89"/>
      <c r="K12" s="21"/>
    </row>
    <row r="13" spans="1:11" ht="20.100000000000001" customHeight="1" x14ac:dyDescent="0.25">
      <c r="A13" s="18" t="s">
        <v>51</v>
      </c>
      <c r="C13" s="21"/>
      <c r="D13" s="89"/>
      <c r="E13" s="1"/>
      <c r="F13" s="1"/>
      <c r="G13" s="1"/>
      <c r="H13" s="1"/>
      <c r="I13" s="1"/>
      <c r="J13" s="21"/>
      <c r="K13" s="21"/>
    </row>
    <row r="14" spans="1:11" ht="20.100000000000001" customHeight="1" x14ac:dyDescent="0.25">
      <c r="A14" s="17" t="str">
        <f>HYPERLINK("#'7.1.1-2 Rice cultivation'!A1", "7.1.1-2 Rice cultivation")</f>
        <v>7.1.1-2 Rice cultivation</v>
      </c>
      <c r="C14" s="21"/>
      <c r="D14" s="96"/>
      <c r="E14" s="1"/>
      <c r="F14" s="1"/>
      <c r="G14" s="1"/>
      <c r="H14" s="1"/>
      <c r="I14" s="1"/>
      <c r="J14" s="21"/>
      <c r="K14" s="21"/>
    </row>
    <row r="15" spans="1:11" ht="20.100000000000001" customHeight="1" x14ac:dyDescent="0.25">
      <c r="C15" s="21"/>
      <c r="D15" s="1"/>
      <c r="E15" s="1"/>
      <c r="F15" s="1"/>
      <c r="G15" s="1"/>
      <c r="H15" s="1"/>
      <c r="I15" s="1"/>
      <c r="J15" s="21"/>
      <c r="K15" s="21"/>
    </row>
    <row r="16" spans="1:11" ht="20.100000000000001" customHeight="1" x14ac:dyDescent="0.25">
      <c r="C16" s="21"/>
      <c r="D16" s="1"/>
      <c r="E16" s="1"/>
      <c r="F16" s="1"/>
      <c r="G16" s="1"/>
      <c r="H16" s="1"/>
      <c r="I16" s="1"/>
      <c r="J16" s="21"/>
      <c r="K16" s="21"/>
    </row>
    <row r="17" spans="1:11" ht="20.100000000000001" customHeight="1" x14ac:dyDescent="0.25">
      <c r="A17" s="118" t="s">
        <v>1</v>
      </c>
      <c r="C17" s="21"/>
      <c r="D17" s="1"/>
      <c r="E17" s="94"/>
      <c r="F17" s="48"/>
      <c r="G17" s="1"/>
      <c r="H17" s="1"/>
      <c r="I17" s="21"/>
      <c r="J17" s="21"/>
      <c r="K17" s="21"/>
    </row>
    <row r="18" spans="1:11" ht="20.100000000000001" customHeight="1" x14ac:dyDescent="0.25">
      <c r="A18" s="17" t="str">
        <f>HYPERLINK("#'Constants - Rice cultivation'!A1", "Constants - Rice cultivation")</f>
        <v>Constants - Rice cultivation</v>
      </c>
      <c r="C18" s="21"/>
      <c r="D18" s="1"/>
      <c r="E18" s="1"/>
      <c r="F18" s="1"/>
      <c r="G18" s="1"/>
      <c r="H18" s="1"/>
      <c r="I18" s="1"/>
      <c r="J18" s="1"/>
      <c r="K18" s="21"/>
    </row>
    <row r="19" spans="1:11" ht="20.100000000000001" customHeight="1" x14ac:dyDescent="0.25">
      <c r="A19" s="17" t="str">
        <f>HYPERLINK("#'Constants - Common'!A1", "Constants - Common")</f>
        <v>Constants - Common</v>
      </c>
      <c r="C19" s="21"/>
      <c r="D19" s="1"/>
      <c r="E19" s="1"/>
      <c r="F19" s="1"/>
      <c r="G19" s="1"/>
      <c r="H19" s="1"/>
      <c r="I19" s="1"/>
      <c r="J19" s="1"/>
      <c r="K19" s="21"/>
    </row>
    <row r="20" spans="1:11" ht="20.100000000000001" customHeight="1" x14ac:dyDescent="0.25">
      <c r="C20" s="21"/>
      <c r="D20" s="1"/>
      <c r="E20" s="1"/>
      <c r="F20" s="1"/>
      <c r="G20" s="1"/>
      <c r="H20" s="1"/>
      <c r="I20" s="1"/>
      <c r="J20" s="1"/>
      <c r="K20" s="21"/>
    </row>
    <row r="21" spans="1:11" ht="20.100000000000001" customHeight="1" x14ac:dyDescent="0.25">
      <c r="C21" s="21"/>
      <c r="D21" s="1"/>
      <c r="E21" s="1"/>
      <c r="F21" s="1"/>
      <c r="G21" s="1"/>
      <c r="H21" s="1"/>
      <c r="I21" s="1"/>
      <c r="J21" s="1"/>
      <c r="K21" s="21"/>
    </row>
    <row r="22" spans="1:11" ht="20.100000000000001" customHeight="1" x14ac:dyDescent="0.25">
      <c r="C22" s="21"/>
      <c r="D22" s="1"/>
      <c r="E22" s="1"/>
      <c r="F22" s="1"/>
      <c r="G22" s="1"/>
      <c r="H22" s="1"/>
      <c r="I22" s="1"/>
      <c r="J22" s="1"/>
      <c r="K22" s="21"/>
    </row>
    <row r="23" spans="1:11" ht="20.100000000000001" customHeight="1" x14ac:dyDescent="0.25">
      <c r="C23" s="21"/>
      <c r="D23" s="1"/>
      <c r="E23" s="1"/>
      <c r="F23" s="1"/>
      <c r="G23" s="1"/>
      <c r="H23" s="1"/>
      <c r="I23" s="1"/>
      <c r="J23" s="1"/>
      <c r="K23" s="21"/>
    </row>
    <row r="24" spans="1:11" ht="20.100000000000001" customHeight="1" x14ac:dyDescent="0.25">
      <c r="C24" s="21"/>
      <c r="D24" s="1"/>
      <c r="E24" s="1"/>
      <c r="F24" s="1"/>
      <c r="G24" s="1"/>
      <c r="H24" s="1"/>
      <c r="I24" s="1"/>
      <c r="J24" s="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0"/>
      <c r="J38" s="90"/>
      <c r="K38" s="21"/>
    </row>
    <row r="39" spans="3:11" ht="20.100000000000001" customHeight="1" x14ac:dyDescent="0.25">
      <c r="C39" s="21"/>
      <c r="D39" s="1"/>
      <c r="E39" s="1"/>
      <c r="F39" s="1"/>
      <c r="G39" s="1"/>
      <c r="H39" s="1"/>
      <c r="I39" s="90"/>
      <c r="J39" s="90"/>
      <c r="K39" s="21"/>
    </row>
    <row r="40" spans="3:11" ht="20.100000000000001" customHeight="1" x14ac:dyDescent="0.25">
      <c r="C40" s="21"/>
      <c r="D40" s="1"/>
      <c r="E40" s="1"/>
      <c r="F40" s="1"/>
      <c r="G40" s="1"/>
      <c r="H40" s="1"/>
      <c r="I40" s="90"/>
      <c r="J40" s="90"/>
      <c r="K40" s="21"/>
    </row>
    <row r="41" spans="3:11" ht="20.100000000000001" customHeight="1" x14ac:dyDescent="0.25">
      <c r="C41" s="21"/>
      <c r="D41" s="1"/>
      <c r="E41" s="1"/>
      <c r="F41" s="1"/>
      <c r="G41" s="1"/>
      <c r="H41" s="1"/>
      <c r="I41" s="90"/>
      <c r="J41" s="90"/>
      <c r="K41" s="21"/>
    </row>
    <row r="42" spans="3:11" ht="20.100000000000001" customHeight="1" x14ac:dyDescent="0.25">
      <c r="C42" s="21"/>
      <c r="D42" s="1"/>
      <c r="E42" s="1"/>
      <c r="F42" s="1"/>
      <c r="G42" s="1"/>
      <c r="H42" s="1"/>
      <c r="I42" s="90"/>
      <c r="J42" s="90"/>
      <c r="K42" s="21"/>
    </row>
    <row r="43" spans="3:11" ht="20.100000000000001" customHeight="1" x14ac:dyDescent="0.25">
      <c r="C43" s="21"/>
      <c r="D43" s="1"/>
      <c r="E43" s="1"/>
      <c r="F43" s="1"/>
      <c r="G43" s="1"/>
      <c r="H43" s="1"/>
      <c r="I43" s="90"/>
      <c r="J43" s="90"/>
      <c r="K43" s="21"/>
    </row>
    <row r="44" spans="3:11" ht="20.100000000000001" customHeight="1" x14ac:dyDescent="0.25">
      <c r="C44" s="21"/>
      <c r="D44" s="1"/>
      <c r="E44" s="1"/>
      <c r="F44" s="1"/>
      <c r="G44" s="1"/>
      <c r="H44" s="1"/>
      <c r="I44" s="90"/>
      <c r="J44" s="90"/>
      <c r="K44" s="21"/>
    </row>
    <row r="45" spans="3:11" ht="20.100000000000001" customHeight="1" x14ac:dyDescent="0.25">
      <c r="C45" s="21"/>
      <c r="D45" s="1"/>
      <c r="E45" s="1"/>
      <c r="F45" s="1"/>
      <c r="G45" s="1"/>
      <c r="H45" s="1"/>
      <c r="I45" s="90"/>
      <c r="J45" s="90"/>
      <c r="K45" s="21"/>
    </row>
    <row r="46" spans="3:11" ht="20.100000000000001" customHeight="1" x14ac:dyDescent="0.25">
      <c r="C46" s="21"/>
      <c r="D46" s="1"/>
      <c r="E46" s="1"/>
      <c r="F46" s="1"/>
      <c r="G46" s="1"/>
      <c r="H46" s="1"/>
      <c r="I46" s="90"/>
      <c r="J46" s="90"/>
      <c r="K46" s="21"/>
    </row>
    <row r="47" spans="3:11" ht="20.100000000000001" customHeight="1" x14ac:dyDescent="0.25">
      <c r="C47" s="21"/>
      <c r="D47" s="1"/>
      <c r="E47" s="1"/>
      <c r="F47" s="1"/>
      <c r="G47" s="1"/>
      <c r="H47" s="1"/>
      <c r="I47" s="90"/>
      <c r="J47" s="90"/>
      <c r="K47" s="21"/>
    </row>
    <row r="48" spans="3:11" ht="20.100000000000001" customHeight="1" x14ac:dyDescent="0.25">
      <c r="C48" s="21"/>
      <c r="D48" s="1"/>
      <c r="E48" s="1"/>
      <c r="F48" s="1"/>
      <c r="G48" s="1"/>
      <c r="H48" s="1"/>
      <c r="I48" s="90"/>
      <c r="J48" s="90"/>
      <c r="K48" s="21"/>
    </row>
    <row r="49" spans="3:11" ht="20.100000000000001" customHeight="1" x14ac:dyDescent="0.25">
      <c r="C49" s="21"/>
      <c r="D49" s="1"/>
      <c r="E49" s="1"/>
      <c r="F49" s="1"/>
      <c r="G49" s="1"/>
      <c r="H49" s="90"/>
      <c r="I49" s="90"/>
      <c r="J49" s="90"/>
      <c r="K49" s="21"/>
    </row>
    <row r="50" spans="3:11" ht="20.100000000000001" customHeight="1" x14ac:dyDescent="0.25">
      <c r="C50" s="21"/>
      <c r="D50" s="1"/>
      <c r="E50" s="1"/>
      <c r="F50" s="1"/>
      <c r="G50" s="1"/>
      <c r="H50" s="90"/>
      <c r="I50" s="90"/>
      <c r="J50" s="90"/>
      <c r="K50" s="21"/>
    </row>
    <row r="51" spans="3:11" ht="20.100000000000001" customHeight="1" x14ac:dyDescent="0.25">
      <c r="C51" s="21"/>
      <c r="D51" s="1"/>
      <c r="E51" s="1"/>
      <c r="F51" s="1"/>
      <c r="G51" s="1"/>
      <c r="H51" s="90"/>
      <c r="I51" s="90"/>
      <c r="J51" s="90"/>
      <c r="K51" s="21"/>
    </row>
    <row r="52" spans="3:11" ht="20.100000000000001" customHeight="1" x14ac:dyDescent="0.25">
      <c r="C52" s="21"/>
      <c r="D52" s="1"/>
      <c r="E52" s="1"/>
      <c r="F52" s="1"/>
      <c r="G52" s="1"/>
      <c r="H52" s="90"/>
      <c r="I52" s="90"/>
      <c r="J52" s="90"/>
      <c r="K52" s="21"/>
    </row>
    <row r="53" spans="3:11" ht="20.100000000000001" customHeight="1" x14ac:dyDescent="0.25">
      <c r="C53" s="21"/>
      <c r="D53" s="1"/>
      <c r="E53" s="1"/>
      <c r="F53" s="1"/>
      <c r="G53" s="1"/>
      <c r="H53" s="90"/>
      <c r="I53" s="90"/>
      <c r="J53" s="9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19" sqref="A1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6"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7"/>
      <c r="D4" s="57"/>
      <c r="E4" s="57"/>
      <c r="F4" s="57"/>
      <c r="G4" s="57"/>
      <c r="H4" s="57"/>
      <c r="I4" s="57"/>
      <c r="J4" s="57"/>
      <c r="K4" s="57"/>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7" t="str">
        <f>HYPERLINK("#'Input - Site'!A1", "Site")</f>
        <v>Site</v>
      </c>
      <c r="N9" s="39"/>
    </row>
    <row r="10" spans="1:24" ht="20.100000000000001" customHeight="1" x14ac:dyDescent="0.25">
      <c r="A10" s="17" t="str">
        <f>HYPERLINK("#'Input - Rice'!A1", "Rice")</f>
        <v>Rice</v>
      </c>
      <c r="D10" s="80" t="s">
        <v>53</v>
      </c>
      <c r="E10" s="79"/>
      <c r="F10" s="81"/>
      <c r="G10" s="76"/>
      <c r="N10" s="39"/>
    </row>
    <row r="11" spans="1:24" ht="20.100000000000001" customHeight="1" x14ac:dyDescent="0.25">
      <c r="A11"/>
      <c r="N11" s="40"/>
    </row>
    <row r="12" spans="1:24" ht="20.100000000000001" customHeight="1" x14ac:dyDescent="0.25">
      <c r="A12"/>
      <c r="D12" s="10" t="s">
        <v>57</v>
      </c>
      <c r="E12" s="55">
        <v>45292</v>
      </c>
      <c r="F12" s="2" t="s">
        <v>48</v>
      </c>
    </row>
    <row r="13" spans="1:24" ht="20.100000000000001" customHeight="1" x14ac:dyDescent="0.25">
      <c r="A13" s="18" t="s">
        <v>51</v>
      </c>
      <c r="D13" s="10" t="s">
        <v>58</v>
      </c>
      <c r="E13" s="58">
        <f>DATE(YEAR(E12)+1,MONTH(E12),DAY(E12))-1</f>
        <v>45657</v>
      </c>
      <c r="F13" s="2" t="s">
        <v>7</v>
      </c>
      <c r="N13" s="35"/>
      <c r="O13" s="35"/>
    </row>
    <row r="14" spans="1:24" ht="20.100000000000001" customHeight="1" x14ac:dyDescent="0.25">
      <c r="A14" s="17" t="str">
        <f>HYPERLINK("#'7.1.1-2 Rice cultivation'!A1", "7.1.1-2 Rice cultivation")</f>
        <v>7.1.1-2 Rice cultivation</v>
      </c>
      <c r="N14" s="35"/>
      <c r="O14" s="35"/>
    </row>
    <row r="15" spans="1:24" ht="20.100000000000001" customHeight="1" x14ac:dyDescent="0.25">
      <c r="A15"/>
      <c r="D15" s="1"/>
      <c r="E15" s="1"/>
      <c r="F15" s="1"/>
      <c r="G15" s="1"/>
      <c r="H15" s="1"/>
      <c r="N15" s="35"/>
      <c r="O15" s="35"/>
    </row>
    <row r="16" spans="1:24" ht="20.100000000000001" customHeight="1" x14ac:dyDescent="0.25">
      <c r="A16"/>
      <c r="D16" s="1"/>
      <c r="E16" s="1"/>
      <c r="F16" s="1"/>
      <c r="G16" s="1"/>
      <c r="H16" s="1"/>
      <c r="N16" s="35"/>
      <c r="O16" s="35"/>
    </row>
    <row r="17" spans="1:25" ht="20.100000000000001" customHeight="1" x14ac:dyDescent="0.25">
      <c r="A17" s="118" t="s">
        <v>1</v>
      </c>
      <c r="D17" s="1"/>
      <c r="E17" s="1"/>
      <c r="F17" s="1"/>
      <c r="G17" s="1"/>
      <c r="H17" s="1"/>
    </row>
    <row r="18" spans="1:25" ht="20.100000000000001" customHeight="1" x14ac:dyDescent="0.25">
      <c r="A18" s="17" t="str">
        <f>HYPERLINK("#'Constants - Rice cultivation'!A1", "Constants - Rice cultivation")</f>
        <v>Constants - Rice cultivation</v>
      </c>
      <c r="D18" s="1"/>
      <c r="E18" s="1"/>
      <c r="F18" s="1"/>
      <c r="G18" s="1"/>
      <c r="H18" s="1"/>
    </row>
    <row r="19" spans="1:25" ht="20.100000000000001" customHeight="1" x14ac:dyDescent="0.25">
      <c r="A19" s="17" t="str">
        <f>HYPERLINK("#'Constants - Common'!A1", "Constants - Common")</f>
        <v>Constants - Common</v>
      </c>
      <c r="D19" s="1"/>
      <c r="E19" s="1"/>
      <c r="F19" s="1"/>
      <c r="G19" s="1"/>
      <c r="H19" s="1"/>
      <c r="N19" s="37"/>
    </row>
    <row r="20" spans="1:25" ht="20.100000000000001" customHeight="1" x14ac:dyDescent="0.25">
      <c r="A20"/>
      <c r="D20" s="1"/>
      <c r="E20" s="1"/>
      <c r="F20" s="1"/>
      <c r="G20" s="1"/>
      <c r="H20" s="1"/>
      <c r="N20" s="38"/>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8"/>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3"/>
      <c r="M30" s="43"/>
      <c r="N30" s="43"/>
      <c r="O30" s="43"/>
      <c r="P30" s="43"/>
      <c r="Q30" s="43"/>
      <c r="R30" s="43"/>
      <c r="S30" s="43"/>
      <c r="T30" s="43"/>
      <c r="U30" s="43"/>
      <c r="V30" s="43"/>
      <c r="W30" s="43"/>
      <c r="X30" s="43"/>
      <c r="Y30" s="43"/>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3"/>
      <c r="K34" s="61"/>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3"/>
      <c r="K35" s="61"/>
      <c r="L35" s="42"/>
      <c r="M35" s="42"/>
      <c r="N35" s="42"/>
      <c r="O35" s="42"/>
      <c r="P35" s="42"/>
      <c r="Q35" s="42"/>
      <c r="R35" s="42"/>
      <c r="S35" s="42"/>
      <c r="T35" s="42"/>
      <c r="U35" s="42"/>
      <c r="V35" s="42"/>
      <c r="W35" s="42"/>
      <c r="X35" s="42"/>
      <c r="Y35" s="42"/>
    </row>
    <row r="36" spans="1:25" ht="20.100000000000001" customHeight="1" x14ac:dyDescent="0.25">
      <c r="A36"/>
      <c r="D36" s="1"/>
      <c r="E36" s="1"/>
      <c r="F36" s="1"/>
      <c r="G36" s="1"/>
      <c r="H36" s="1"/>
      <c r="I36" s="54"/>
      <c r="J36" s="53"/>
      <c r="K36" s="61"/>
      <c r="L36" s="42"/>
      <c r="M36" s="42"/>
      <c r="N36" s="42"/>
      <c r="O36" s="42"/>
      <c r="P36" s="42"/>
      <c r="Q36" s="42"/>
      <c r="R36" s="42"/>
      <c r="S36" s="42"/>
      <c r="T36" s="42"/>
      <c r="U36" s="42"/>
      <c r="V36" s="42"/>
      <c r="W36" s="42"/>
      <c r="X36" s="42"/>
      <c r="Y36" s="42"/>
    </row>
    <row r="37" spans="1:25" ht="20.100000000000001" customHeight="1" x14ac:dyDescent="0.25">
      <c r="A37"/>
      <c r="D37" s="59"/>
      <c r="E37" s="59"/>
      <c r="F37" s="60"/>
      <c r="G37" s="53"/>
      <c r="H37" s="53"/>
      <c r="I37" s="54"/>
      <c r="J37" s="53"/>
      <c r="K37" s="61"/>
      <c r="L37" s="42"/>
      <c r="M37" s="42"/>
      <c r="N37" s="42"/>
      <c r="O37" s="42"/>
      <c r="P37" s="42"/>
      <c r="Q37" s="42"/>
      <c r="R37" s="42"/>
      <c r="S37" s="42"/>
      <c r="T37" s="42"/>
      <c r="U37" s="42"/>
      <c r="V37" s="42"/>
      <c r="W37" s="42"/>
      <c r="X37" s="42"/>
      <c r="Y37" s="42"/>
    </row>
    <row r="38" spans="1:25" ht="20.100000000000001" customHeight="1" x14ac:dyDescent="0.25">
      <c r="A38"/>
      <c r="D38" s="59"/>
      <c r="E38" s="59"/>
      <c r="F38" s="60"/>
      <c r="G38" s="53"/>
      <c r="H38" s="53"/>
      <c r="I38" s="54"/>
      <c r="J38" s="53"/>
      <c r="K38" s="61"/>
      <c r="L38" s="42"/>
      <c r="M38" s="42"/>
      <c r="N38" s="42"/>
      <c r="O38" s="42"/>
      <c r="P38" s="42"/>
      <c r="Q38" s="42"/>
      <c r="R38" s="42"/>
      <c r="S38" s="42"/>
      <c r="T38" s="42"/>
      <c r="U38" s="42"/>
      <c r="V38" s="42"/>
      <c r="W38" s="42"/>
      <c r="X38" s="42"/>
      <c r="Y38" s="42"/>
    </row>
    <row r="39" spans="1:25" ht="20.100000000000001" customHeight="1" x14ac:dyDescent="0.25">
      <c r="A39"/>
      <c r="D39" s="59"/>
      <c r="E39" s="59"/>
      <c r="F39" s="60"/>
      <c r="G39" s="53"/>
      <c r="H39" s="53"/>
      <c r="I39" s="54"/>
      <c r="J39" s="53"/>
      <c r="K39" s="61"/>
      <c r="L39" s="42"/>
      <c r="M39" s="42"/>
      <c r="N39" s="42"/>
      <c r="O39" s="42"/>
      <c r="P39" s="42"/>
      <c r="Q39" s="42"/>
      <c r="R39" s="42"/>
      <c r="S39" s="42"/>
      <c r="T39" s="42"/>
      <c r="U39" s="42"/>
      <c r="V39" s="42"/>
      <c r="W39" s="42"/>
      <c r="X39" s="42"/>
      <c r="Y39" s="42"/>
    </row>
    <row r="40" spans="1:25" ht="20.100000000000001" customHeight="1" x14ac:dyDescent="0.25">
      <c r="A40"/>
      <c r="D40" s="62"/>
      <c r="E40" s="62"/>
      <c r="F40" s="62"/>
      <c r="G40" s="63"/>
      <c r="H40" s="64"/>
      <c r="I40" s="64"/>
      <c r="J40" s="64"/>
      <c r="K40" s="64"/>
      <c r="L40" s="44"/>
      <c r="M40" s="44"/>
      <c r="N40" s="44"/>
      <c r="O40" s="44"/>
      <c r="P40" s="44"/>
      <c r="Q40" s="44"/>
      <c r="R40" s="44"/>
      <c r="S40" s="44"/>
      <c r="T40" s="44"/>
      <c r="U40" s="44"/>
      <c r="V40" s="44"/>
      <c r="W40" s="44"/>
      <c r="X40" s="44"/>
      <c r="Y40" s="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5"/>
      <c r="E47" s="65"/>
      <c r="F47" s="65"/>
      <c r="G47" s="65"/>
      <c r="H47" s="65"/>
    </row>
    <row r="48" spans="1:25" ht="20.100000000000001" customHeight="1" x14ac:dyDescent="0.25">
      <c r="A48"/>
      <c r="D48" s="31"/>
      <c r="E48" s="31"/>
      <c r="F48" s="32"/>
      <c r="G48" s="32"/>
      <c r="H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6"/>
    </row>
    <row r="56" spans="1:8" ht="20.100000000000001" customHeight="1" x14ac:dyDescent="0.25">
      <c r="A56"/>
    </row>
    <row r="57" spans="1:8" ht="20.100000000000001" customHeight="1" x14ac:dyDescent="0.25">
      <c r="A57"/>
      <c r="D57" s="20"/>
      <c r="F57" s="70"/>
    </row>
    <row r="58" spans="1:8" ht="20.100000000000001" customHeight="1" x14ac:dyDescent="0.25">
      <c r="A58"/>
      <c r="D58" s="1"/>
      <c r="E58" s="71"/>
    </row>
    <row r="59" spans="1:8" ht="20.100000000000001" customHeight="1" x14ac:dyDescent="0.25">
      <c r="A59"/>
      <c r="D59" s="1"/>
      <c r="E59" s="71"/>
    </row>
    <row r="60" spans="1:8" ht="20.100000000000001" customHeight="1" x14ac:dyDescent="0.25">
      <c r="A60"/>
      <c r="D60" s="1"/>
      <c r="E60" s="72"/>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1"/>
    </row>
    <row r="65" spans="1:9" ht="20.100000000000001" customHeight="1" x14ac:dyDescent="0.25">
      <c r="A65"/>
      <c r="D65" s="1"/>
      <c r="E65" s="71"/>
    </row>
    <row r="66" spans="1:9" ht="20.100000000000001" customHeight="1" x14ac:dyDescent="0.25">
      <c r="A66"/>
      <c r="D66" s="1"/>
      <c r="E66" s="72"/>
    </row>
    <row r="67" spans="1:9" ht="20.100000000000001" customHeight="1" x14ac:dyDescent="0.25">
      <c r="A67"/>
    </row>
    <row r="68" spans="1:9" ht="20.100000000000001" customHeight="1" x14ac:dyDescent="0.25">
      <c r="A68"/>
    </row>
    <row r="69" spans="1:9" ht="20.100000000000001" customHeight="1" x14ac:dyDescent="0.25">
      <c r="A69"/>
      <c r="D69" s="52"/>
      <c r="E69" s="52"/>
      <c r="F69" s="52"/>
      <c r="G69" s="52"/>
      <c r="H69" s="52"/>
      <c r="I69" s="52"/>
    </row>
    <row r="70" spans="1:9" ht="20.100000000000001" customHeight="1" x14ac:dyDescent="0.25">
      <c r="A70"/>
      <c r="D70" s="52"/>
      <c r="E70" s="52"/>
      <c r="F70" s="52"/>
      <c r="G70" s="52"/>
      <c r="H70" s="52"/>
      <c r="I70" s="52"/>
    </row>
    <row r="71" spans="1:9" ht="20.100000000000001" customHeight="1" x14ac:dyDescent="0.25">
      <c r="A71"/>
      <c r="D71" s="52"/>
      <c r="E71" s="52"/>
      <c r="F71" s="52"/>
      <c r="G71" s="52"/>
      <c r="H71" s="52"/>
      <c r="I71" s="52"/>
    </row>
    <row r="72" spans="1:9" ht="20.100000000000001" customHeight="1" x14ac:dyDescent="0.25">
      <c r="A72"/>
      <c r="D72" s="52"/>
      <c r="E72" s="52"/>
      <c r="F72" s="52"/>
      <c r="G72" s="52"/>
      <c r="H72" s="52"/>
      <c r="I72" s="5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6" customFormat="1" ht="30" customHeight="1" x14ac:dyDescent="0.35">
      <c r="A1" s="56" t="e" vm="1">
        <v>#VALUE!</v>
      </c>
      <c r="C1" s="56" t="s">
        <v>106</v>
      </c>
    </row>
    <row r="2" spans="1:11" s="9" customFormat="1" ht="20.100000000000001" customHeight="1" x14ac:dyDescent="0.25">
      <c r="A2"/>
    </row>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103</v>
      </c>
    </row>
    <row r="6" spans="1:11" ht="20.100000000000001" customHeight="1" x14ac:dyDescent="0.25"/>
    <row r="7" spans="1:11" ht="20.100000000000001" customHeight="1" x14ac:dyDescent="0.25">
      <c r="D7" s="80" t="s">
        <v>104</v>
      </c>
      <c r="E7" s="81"/>
      <c r="F7" s="81"/>
      <c r="G7" s="76"/>
    </row>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97" t="str">
        <f>HYPERLINK("#'Input - Rice'!A1", "Rice")</f>
        <v>Rice</v>
      </c>
      <c r="D10" s="1" t="str">
        <f>"Number of full growing seasons between "&amp;TEXT('Input - Site'!$E$12,"d/m/yy")&amp;" and " &amp; TEXT('Input - Site'!$E$13,"d/m/yy") &amp; " that are managed the same way"</f>
        <v>Number of full growing seasons between 1/1/24 and 31/12/24 that are managed the same way</v>
      </c>
      <c r="E10" s="104">
        <v>2</v>
      </c>
      <c r="F10" s="2" t="s">
        <v>151</v>
      </c>
    </row>
    <row r="11" spans="1:11" ht="20.100000000000001" customHeight="1" x14ac:dyDescent="0.25"/>
    <row r="12" spans="1:11" ht="20.100000000000001" customHeight="1" x14ac:dyDescent="0.25">
      <c r="D12" s="6" t="s">
        <v>113</v>
      </c>
    </row>
    <row r="13" spans="1:11" ht="20.100000000000001" customHeight="1" x14ac:dyDescent="0.25">
      <c r="A13" s="18" t="s">
        <v>51</v>
      </c>
    </row>
    <row r="14" spans="1:11" ht="20.100000000000001" customHeight="1" x14ac:dyDescent="0.25">
      <c r="A14" s="17" t="str">
        <f>HYPERLINK("#'7.1.1-2 Rice cultivation'!A1", "7.1.1-2 Rice cultivation")</f>
        <v>7.1.1-2 Rice cultivation</v>
      </c>
      <c r="D14" s="99" t="s">
        <v>131</v>
      </c>
      <c r="E14" s="99" t="s">
        <v>168</v>
      </c>
      <c r="F14" s="99" t="s">
        <v>169</v>
      </c>
      <c r="G14" s="99" t="s">
        <v>115</v>
      </c>
      <c r="H14" s="99" t="s">
        <v>116</v>
      </c>
      <c r="I14" s="99" t="s">
        <v>117</v>
      </c>
      <c r="J14" s="99" t="s">
        <v>118</v>
      </c>
    </row>
    <row r="15" spans="1:11" ht="20.100000000000001" customHeight="1" x14ac:dyDescent="0.25">
      <c r="D15" s="34" t="s">
        <v>152</v>
      </c>
      <c r="E15" s="34">
        <v>2</v>
      </c>
      <c r="F15" s="34">
        <v>0</v>
      </c>
      <c r="G15" s="34">
        <v>2</v>
      </c>
      <c r="H15" s="34">
        <v>0</v>
      </c>
      <c r="I15" s="34">
        <v>2</v>
      </c>
      <c r="J15" s="34">
        <v>0</v>
      </c>
    </row>
    <row r="16" spans="1:11" ht="20.100000000000001" customHeight="1" x14ac:dyDescent="0.25">
      <c r="D16" s="34" t="s">
        <v>153</v>
      </c>
      <c r="E16" s="34">
        <v>0</v>
      </c>
      <c r="F16" s="34">
        <v>2</v>
      </c>
      <c r="G16" s="34">
        <v>0</v>
      </c>
      <c r="H16" s="34">
        <v>2</v>
      </c>
      <c r="I16" s="34">
        <v>0</v>
      </c>
      <c r="J16" s="34">
        <v>2</v>
      </c>
    </row>
    <row r="17" spans="1:10" ht="20.100000000000001" customHeight="1" x14ac:dyDescent="0.25">
      <c r="A17" s="118" t="s">
        <v>1</v>
      </c>
    </row>
    <row r="18" spans="1:10" ht="20.100000000000001" customHeight="1" x14ac:dyDescent="0.25">
      <c r="A18" s="17" t="str">
        <f>HYPERLINK("#'Constants - Rice cultivation'!A1", "Constants - Rice cultivation")</f>
        <v>Constants - Rice cultivation</v>
      </c>
    </row>
    <row r="19" spans="1:10" ht="20.100000000000001" customHeight="1" x14ac:dyDescent="0.25">
      <c r="A19" s="17" t="str">
        <f>HYPERLINK("#'Constants - Common'!A1", "Constants - Common")</f>
        <v>Constants - Common</v>
      </c>
      <c r="D19" s="6" t="s">
        <v>107</v>
      </c>
    </row>
    <row r="20" spans="1:10" ht="20.100000000000001" customHeight="1" x14ac:dyDescent="0.25"/>
    <row r="21" spans="1:10" ht="20.100000000000001" customHeight="1" x14ac:dyDescent="0.25">
      <c r="D21" s="99" t="s">
        <v>109</v>
      </c>
      <c r="E21" s="99" t="s">
        <v>160</v>
      </c>
      <c r="F21" s="99" t="s">
        <v>122</v>
      </c>
      <c r="G21" s="99" t="s">
        <v>121</v>
      </c>
      <c r="H21" s="99" t="s">
        <v>120</v>
      </c>
      <c r="I21" s="99" t="s">
        <v>119</v>
      </c>
      <c r="J21" s="99" t="s">
        <v>158</v>
      </c>
    </row>
    <row r="22" spans="1:10" ht="20.100000000000001" customHeight="1" x14ac:dyDescent="0.25">
      <c r="D22" s="34" t="s">
        <v>140</v>
      </c>
      <c r="E22" s="34">
        <v>100</v>
      </c>
      <c r="F22" s="36" t="s">
        <v>142</v>
      </c>
      <c r="G22" s="36" t="s">
        <v>149</v>
      </c>
      <c r="H22" s="36" t="s">
        <v>155</v>
      </c>
      <c r="I22" s="36" t="s">
        <v>152</v>
      </c>
      <c r="J22" s="34">
        <v>100</v>
      </c>
    </row>
    <row r="23" spans="1:10" ht="20.100000000000001" customHeight="1" x14ac:dyDescent="0.25">
      <c r="D23" s="34" t="s">
        <v>141</v>
      </c>
      <c r="E23" s="34">
        <v>100</v>
      </c>
      <c r="F23" s="36" t="s">
        <v>150</v>
      </c>
      <c r="G23" s="36" t="s">
        <v>147</v>
      </c>
      <c r="H23" s="36" t="s">
        <v>148</v>
      </c>
      <c r="I23" s="36" t="s">
        <v>153</v>
      </c>
      <c r="J23" s="34">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2"/>
    </row>
    <row r="38" spans="1:11" ht="20.100000000000001" customHeight="1" x14ac:dyDescent="0.25">
      <c r="C38" s="102"/>
    </row>
    <row r="39" spans="1:11" ht="20.100000000000001" customHeight="1" x14ac:dyDescent="0.25"/>
    <row r="40" spans="1:11" s="103" customFormat="1" ht="20.100000000000001" customHeight="1" x14ac:dyDescent="0.25">
      <c r="A40"/>
      <c r="C40" s="1"/>
      <c r="D40" s="1"/>
      <c r="E40" s="1"/>
      <c r="F40" s="1"/>
      <c r="G40" s="1"/>
      <c r="H40" s="1"/>
      <c r="I40" s="1"/>
      <c r="J40" s="1"/>
      <c r="K40" s="1"/>
    </row>
    <row r="41" spans="1:11" s="103"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89"/>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6" t="e" vm="1">
        <v>#VALUE!</v>
      </c>
      <c r="C1" s="8" t="s">
        <v>105</v>
      </c>
      <c r="M1"/>
    </row>
    <row r="2" spans="1:22" s="9" customFormat="1" ht="20.100000000000001" customHeight="1" x14ac:dyDescent="0.25">
      <c r="A2"/>
      <c r="M2"/>
    </row>
    <row r="3" spans="1:22" ht="20.100000000000001" customHeight="1" x14ac:dyDescent="0.25">
      <c r="A3" s="17" t="str">
        <f>HYPERLINK("#'Home'!A1", "Home")</f>
        <v>Home</v>
      </c>
      <c r="C3" s="4"/>
      <c r="D3" s="4" t="s">
        <v>60</v>
      </c>
      <c r="E3" s="4"/>
      <c r="F3" s="4"/>
      <c r="G3" s="4"/>
      <c r="H3" s="4"/>
      <c r="I3" s="4"/>
      <c r="J3" s="4"/>
      <c r="K3" s="4"/>
      <c r="L3" s="4"/>
      <c r="N3" s="4"/>
      <c r="O3" s="4" t="s">
        <v>61</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1"/>
      <c r="F5" s="21"/>
      <c r="G5" s="21"/>
      <c r="H5" s="21"/>
    </row>
    <row r="6" spans="1:22" ht="20.100000000000001" customHeight="1" x14ac:dyDescent="0.25">
      <c r="D6" s="5" t="str" cm="1">
        <f t="array" ref="D6">RiceCultivation_Equations.VEERG_7_1_1_1__3_OrganicAmendmentsScalingFactor_Source()</f>
        <v>VEERG 2026: 7.1.1.1, Equation (3)</v>
      </c>
      <c r="E6" s="21"/>
      <c r="F6" s="21"/>
      <c r="G6" s="21"/>
      <c r="H6" s="21"/>
      <c r="L6" s="21"/>
    </row>
    <row r="7" spans="1:22" ht="20.100000000000001" customHeight="1" x14ac:dyDescent="0.25">
      <c r="D7" s="49" t="str" cm="1">
        <f t="array" ref="D7:D10">RiceCultivation_Equations.VEERG_7_1_1_1__3_OrganicAmendmentsScalingFactor_Variation()</f>
        <v>VARIATION ON SOURCE:</v>
      </c>
      <c r="L7" s="21"/>
    </row>
    <row r="8" spans="1:22" ht="20.100000000000001" customHeight="1" x14ac:dyDescent="0.25">
      <c r="A8" s="19" t="s">
        <v>0</v>
      </c>
      <c r="D8" s="49" t="str">
        <v>Included inorganic fertiliser as amendment as per VEERG equation description:</v>
      </c>
      <c r="L8" s="21"/>
    </row>
    <row r="9" spans="1:22" ht="20.100000000000001" customHeight="1" x14ac:dyDescent="0.25">
      <c r="A9" s="17" t="str">
        <f>HYPERLINK("#'Input - Site'!A1", "Site")</f>
        <v>Site</v>
      </c>
      <c r="D9" s="49" t="str">
        <v>Where inorganic fertiliser is applied to the rice fields rather than organic amendments, SF_o is set to 1.</v>
      </c>
      <c r="L9" s="21"/>
    </row>
    <row r="10" spans="1:22" ht="20.100000000000001" customHeight="1" x14ac:dyDescent="0.25">
      <c r="A10" s="17" t="str">
        <f>HYPERLINK("#'Input - Rice'!A1", "Rice")</f>
        <v>Rice</v>
      </c>
      <c r="D10" s="49" t="str">
        <v>Declared each amendment separately to allow summing in Excel in one equation</v>
      </c>
    </row>
    <row r="11" spans="1:22" ht="20.100000000000001" customHeight="1" x14ac:dyDescent="0.25">
      <c r="D11" s="13" t="s">
        <v>13</v>
      </c>
      <c r="E11" s="13" t="str" cm="1">
        <f t="array" aca="1" ref="E11" ca="1">Common_InputFunctions.Utility_DisplayFunctionName(E43)</f>
        <v>=RiceCultivation_Equations.VEERG_7_1_1_1__3_OrganicAmendmentsScalingFactorVariation</v>
      </c>
      <c r="F11" s="21"/>
      <c r="G11" s="21"/>
      <c r="H11" s="21"/>
      <c r="L11" s="21"/>
    </row>
    <row r="12" spans="1:22" ht="20.100000000000001" customHeight="1" x14ac:dyDescent="0.25">
      <c r="F12" s="5"/>
      <c r="G12" s="21"/>
      <c r="H12" s="21"/>
      <c r="L12" s="21"/>
    </row>
    <row r="13" spans="1:22" ht="20.100000000000001" customHeight="1" x14ac:dyDescent="0.25">
      <c r="A13" s="18" t="s">
        <v>51</v>
      </c>
      <c r="D13" s="21"/>
      <c r="E13" s="21"/>
      <c r="F13" s="21"/>
      <c r="G13" s="21"/>
      <c r="H13" s="21"/>
      <c r="L13" s="21"/>
    </row>
    <row r="14" spans="1:22" ht="20.100000000000001" customHeight="1" x14ac:dyDescent="0.25">
      <c r="A14" s="116" t="str">
        <f>HYPERLINK("#'7.1.1-2 Rice cultivation'!A1", "7.1.1-2 Rice cultivation")</f>
        <v>7.1.1-2 Rice cultivation</v>
      </c>
      <c r="D14" s="47" t="s">
        <v>16</v>
      </c>
      <c r="E14" s="1" t="str" cm="1">
        <f t="array" ref="E14">RiceCultivation_Equations.VEERG_7_1_1_1__3_OrganicAmendmentsScalingFactor_Variable()</f>
        <v>SF_o</v>
      </c>
      <c r="F14" s="21"/>
      <c r="G14" s="21"/>
      <c r="H14" s="21"/>
      <c r="L14" s="21"/>
    </row>
    <row r="15" spans="1:22" ht="20.100000000000001" customHeight="1" x14ac:dyDescent="0.25">
      <c r="D15" s="47" t="s">
        <v>8</v>
      </c>
      <c r="E15" s="48" t="str" cm="1">
        <f t="array" ref="E15">RiceCultivation_Equations.VEERG_7_1_1_1__3_OrganicAmendmentsScalingFactor_Unit()</f>
        <v>dimensionless</v>
      </c>
      <c r="F15" s="6"/>
      <c r="G15" s="21"/>
      <c r="H15" s="21"/>
      <c r="L15" s="21"/>
    </row>
    <row r="16" spans="1:22" ht="20.100000000000001" customHeight="1" x14ac:dyDescent="0.25">
      <c r="D16" s="21"/>
      <c r="E16" s="21"/>
      <c r="F16" s="21"/>
      <c r="G16" s="21"/>
    </row>
    <row r="17" spans="1:11" ht="20.100000000000001" customHeight="1" x14ac:dyDescent="0.25">
      <c r="A17" s="118" t="s">
        <v>1</v>
      </c>
      <c r="D17" s="106" t="str" cm="1">
        <f t="array" ref="D17:E19">_xlfn.CHOOSECOLS(RiceCultivation_Equations.VEERG_7_1_1_1__3_OrganicAmendmentsScalingFactor_Arguments(), 1, 2)</f>
        <v>ROA_o</v>
      </c>
      <c r="E17" s="108" t="str">
        <v>application rate of organic amendment o</v>
      </c>
      <c r="F17" s="107"/>
      <c r="G17" s="106" t="str" cm="1">
        <f t="array" ref="G17:H19">_xlfn.CHOOSECOLS(RiceCultivation_Equations.VEERG_7_1_1_1__3_OrganicAmendmentsScalingFactor_Arguments(), 3,4)</f>
        <v>tonnes/ha</v>
      </c>
      <c r="H17" s="101" t="str">
        <v>Input</v>
      </c>
      <c r="I17" s="105" t="str" cm="1">
        <f t="array" aca="1" ref="I17" ca="1">HYPERLINK(Common_InputFunctions.Utility_SourceHyperlink($D$21),$D$21)</f>
        <v>Table_ROA_o</v>
      </c>
    </row>
    <row r="18" spans="1:11" ht="20.100000000000001" customHeight="1" x14ac:dyDescent="0.25">
      <c r="A18" s="17" t="str">
        <f>HYPERLINK("#'Constants - Rice cultivation'!A1", "Constants - Rice cultivation")</f>
        <v>Constants - Rice cultivation</v>
      </c>
      <c r="D18" s="106" t="str">
        <v>CFOA_o</v>
      </c>
      <c r="E18" s="108" t="str">
        <v>conversion factor of organic amendment o</v>
      </c>
      <c r="F18" s="107"/>
      <c r="G18" s="106" t="str">
        <v>fraction</v>
      </c>
      <c r="H18" s="100" t="str">
        <v>Constant</v>
      </c>
      <c r="I18" s="105" t="str" cm="1">
        <f t="array" aca="1" ref="I18" ca="1">HYPERLINK(Common_InputFunctions.Utility_SourceHyperlink($D$30),$D$30)</f>
        <v>Table_CFOA_o</v>
      </c>
    </row>
    <row r="19" spans="1:11" ht="20.100000000000001" customHeight="1" x14ac:dyDescent="0.25">
      <c r="A19" s="17" t="str">
        <f>HYPERLINK("#'Constants - Common'!A1", "Constants - Common")</f>
        <v>Constants - Common</v>
      </c>
      <c r="D19" s="106" t="str">
        <v>o</v>
      </c>
      <c r="E19" s="108" t="str">
        <v>organic amendment type</v>
      </c>
      <c r="F19" s="107"/>
      <c r="G19" s="106" t="str">
        <v/>
      </c>
      <c r="H19" s="101" t="str">
        <v>Input</v>
      </c>
      <c r="I19" s="105" t="str" cm="1">
        <f t="array" aca="1" ref="I19" ca="1">HYPERLINK(Common_InputFunctions.Utility_SourceHyperlink($D$21),$D$21)</f>
        <v>Table_ROA_o</v>
      </c>
    </row>
    <row r="20" spans="1:11" ht="20.100000000000001" customHeight="1" x14ac:dyDescent="0.25">
      <c r="D20" s="21"/>
      <c r="E20" s="21"/>
      <c r="F20" s="21"/>
      <c r="G20" s="21"/>
      <c r="H20" s="21"/>
    </row>
    <row r="21" spans="1:11" ht="20.100000000000001" customHeight="1" x14ac:dyDescent="0.25">
      <c r="D21" s="83" t="s">
        <v>136</v>
      </c>
      <c r="E21" s="21"/>
      <c r="F21" s="6"/>
      <c r="G21" s="21"/>
    </row>
    <row r="22" spans="1:11" ht="20.100000000000001" customHeight="1" x14ac:dyDescent="0.25">
      <c r="D22" s="82" t="s">
        <v>112</v>
      </c>
      <c r="E22" s="21"/>
      <c r="F22" s="21"/>
      <c r="G22" s="21"/>
      <c r="H22" s="21"/>
    </row>
    <row r="23" spans="1:11" ht="20.100000000000001" customHeight="1" x14ac:dyDescent="0.25">
      <c r="D23" s="99" t="s">
        <v>130</v>
      </c>
      <c r="E23" s="99" t="str">
        <f>'Constants - Rice cultivation'!D39</f>
        <v>Straw incorporated shortly (&lt;30 days) before cultivation</v>
      </c>
      <c r="F23" s="99" t="str">
        <f>'Constants - Rice cultivation'!D40</f>
        <v>Straw incorporated long (&gt;30 days) before cultivation</v>
      </c>
      <c r="G23" s="99" t="str">
        <f>'Constants - Rice cultivation'!D41</f>
        <v>Compost</v>
      </c>
      <c r="H23" s="99" t="str">
        <f>'Constants - Rice cultivation'!D42</f>
        <v>Farm yard manure</v>
      </c>
      <c r="I23" s="99" t="str">
        <f>'Constants - Rice cultivation'!D43</f>
        <v>Green manure</v>
      </c>
      <c r="J23" s="99" t="s">
        <v>114</v>
      </c>
    </row>
    <row r="24" spans="1:11" ht="20.100000000000001" customHeight="1" x14ac:dyDescent="0.25">
      <c r="D24" s="46" t="str" cm="1">
        <f t="array" ref="D24:D28">IFERROR(INDEX(Table_Input_AmendmentBlends[Amendment mix name], _xlfn.SEQUENCE(5)), "")</f>
        <v>Mix 1</v>
      </c>
      <c r="E24" s="46" cm="1">
        <f t="array" ref="E24:E28">IFERROR(INDEX(Table_Input_AmendmentBlends[Straw added &lt; 30 days precultivation (t/ha)], _xlfn.SEQUENCE(5)), 0)</f>
        <v>2</v>
      </c>
      <c r="F24" s="46" cm="1">
        <f t="array" ref="F24:F28">IFERROR(INDEX(Table_Input_AmendmentBlends[Straw added 30+ days pre cultivation (t/ha)], _xlfn.SEQUENCE(5)), 0)</f>
        <v>0</v>
      </c>
      <c r="G24" s="46" cm="1">
        <f t="array" ref="G24:G28">IFERROR(INDEX(Table_Input_AmendmentBlends[Compost (t/ha)], _xlfn.SEQUENCE(5)), 0)</f>
        <v>2</v>
      </c>
      <c r="H24" s="46" cm="1">
        <f t="array" ref="H24:H28">IFERROR(INDEX(Table_Input_AmendmentBlends[Farm yard manure (t/ha)], _xlfn.SEQUENCE(5)), 0)</f>
        <v>0</v>
      </c>
      <c r="I24" s="46" cm="1">
        <f t="array" ref="I24:I28">IFERROR(INDEX(Table_Input_AmendmentBlends[Green manure (t/ha)], _xlfn.SEQUENCE(5)), 0)</f>
        <v>2</v>
      </c>
      <c r="J24" s="46" cm="1">
        <f t="array" ref="J24:J28">IFERROR(INDEX(Table_Input_AmendmentBlends[Inorganic fertiliser (t/ha)], _xlfn.SEQUENCE(5)), 0)</f>
        <v>0</v>
      </c>
      <c r="K24" s="2" t="str">
        <f>G17</f>
        <v>tonnes/ha</v>
      </c>
    </row>
    <row r="25" spans="1:11" ht="20.100000000000001" customHeight="1" x14ac:dyDescent="0.25">
      <c r="D25" s="46" t="str">
        <v>Mix 2</v>
      </c>
      <c r="E25" s="46">
        <v>0</v>
      </c>
      <c r="F25" s="46">
        <v>2</v>
      </c>
      <c r="G25" s="46">
        <v>0</v>
      </c>
      <c r="H25" s="46">
        <v>2</v>
      </c>
      <c r="I25" s="46">
        <v>0</v>
      </c>
      <c r="J25" s="46">
        <v>2</v>
      </c>
    </row>
    <row r="26" spans="1:11" ht="20.100000000000001" customHeight="1" x14ac:dyDescent="0.25">
      <c r="D26" s="46" t="str">
        <v/>
      </c>
      <c r="E26" s="46">
        <v>0</v>
      </c>
      <c r="F26" s="46">
        <v>0</v>
      </c>
      <c r="G26" s="46">
        <v>0</v>
      </c>
      <c r="H26" s="46">
        <v>0</v>
      </c>
      <c r="I26" s="46">
        <v>0</v>
      </c>
      <c r="J26" s="46">
        <v>0</v>
      </c>
    </row>
    <row r="27" spans="1:11" ht="20.100000000000001" customHeight="1" x14ac:dyDescent="0.25">
      <c r="D27" s="46" t="str">
        <v/>
      </c>
      <c r="E27" s="46">
        <v>0</v>
      </c>
      <c r="F27" s="46">
        <v>0</v>
      </c>
      <c r="G27" s="46">
        <v>0</v>
      </c>
      <c r="H27" s="46">
        <v>0</v>
      </c>
      <c r="I27" s="46">
        <v>0</v>
      </c>
      <c r="J27" s="46">
        <v>0</v>
      </c>
    </row>
    <row r="28" spans="1:11" ht="20.100000000000001" customHeight="1" x14ac:dyDescent="0.25">
      <c r="D28" s="46" t="str">
        <v/>
      </c>
      <c r="E28" s="46">
        <v>0</v>
      </c>
      <c r="F28" s="46">
        <v>0</v>
      </c>
      <c r="G28" s="46">
        <v>0</v>
      </c>
      <c r="H28" s="46">
        <v>0</v>
      </c>
      <c r="I28" s="46">
        <v>0</v>
      </c>
      <c r="J28" s="46">
        <v>0</v>
      </c>
    </row>
    <row r="29" spans="1:11" ht="20.100000000000001" customHeight="1" x14ac:dyDescent="0.25"/>
    <row r="30" spans="1:11" ht="20.100000000000001" customHeight="1" x14ac:dyDescent="0.25">
      <c r="D30" s="83" t="s">
        <v>132</v>
      </c>
    </row>
    <row r="31" spans="1:11" ht="20.100000000000001" customHeight="1" x14ac:dyDescent="0.25">
      <c r="D31" s="82" t="s">
        <v>133</v>
      </c>
    </row>
    <row r="32" spans="1:11" ht="20.100000000000001" customHeight="1" x14ac:dyDescent="0.25">
      <c r="D32" s="45" t="s">
        <v>134</v>
      </c>
      <c r="E32" s="45" t="s">
        <v>135</v>
      </c>
    </row>
    <row r="33" spans="4:6" ht="20.100000000000001" customHeight="1" x14ac:dyDescent="0.25">
      <c r="D33" s="46" t="str">
        <f>'Constants - Rice cultivation'!D39</f>
        <v>Straw incorporated shortly (&lt;30 days) before cultivation</v>
      </c>
      <c r="E33" s="46">
        <f>'Constants - Rice cultivation'!E39</f>
        <v>1</v>
      </c>
      <c r="F33" s="2" t="str">
        <f>G18</f>
        <v>fraction</v>
      </c>
    </row>
    <row r="34" spans="4:6" ht="20.100000000000001" customHeight="1" x14ac:dyDescent="0.25">
      <c r="D34" s="46" t="str">
        <f>'Constants - Rice cultivation'!D40</f>
        <v>Straw incorporated long (&gt;30 days) before cultivation</v>
      </c>
      <c r="E34" s="46">
        <f>'Constants - Rice cultivation'!E40</f>
        <v>0.19</v>
      </c>
    </row>
    <row r="35" spans="4:6" ht="20.100000000000001" customHeight="1" x14ac:dyDescent="0.25">
      <c r="D35" s="46" t="str">
        <f>'Constants - Rice cultivation'!D41</f>
        <v>Compost</v>
      </c>
      <c r="E35" s="46">
        <f>'Constants - Rice cultivation'!E41</f>
        <v>0.17</v>
      </c>
    </row>
    <row r="36" spans="4:6" ht="20.100000000000001" customHeight="1" x14ac:dyDescent="0.25">
      <c r="D36" s="46" t="str">
        <f>'Constants - Rice cultivation'!D42</f>
        <v>Farm yard manure</v>
      </c>
      <c r="E36" s="46">
        <f>'Constants - Rice cultivation'!E42</f>
        <v>0.21</v>
      </c>
    </row>
    <row r="37" spans="4:6" ht="20.100000000000001" customHeight="1" x14ac:dyDescent="0.25">
      <c r="D37" s="46" t="str">
        <f>'Constants - Rice cultivation'!D43</f>
        <v>Green manure</v>
      </c>
      <c r="E37" s="46">
        <f>'Constants - Rice cultivation'!E43</f>
        <v>0.45</v>
      </c>
    </row>
    <row r="38" spans="4:6" ht="20.100000000000001" customHeight="1" x14ac:dyDescent="0.25">
      <c r="D38" s="46" t="str">
        <f>'Constants - Rice cultivation'!D44</f>
        <v>Inorganic fertiliser</v>
      </c>
      <c r="E38" s="46">
        <f>'Constants - Rice cultivation'!E44</f>
        <v>1</v>
      </c>
    </row>
    <row r="39" spans="4:6" ht="20.100000000000001" customHeight="1" x14ac:dyDescent="0.25"/>
    <row r="40" spans="4:6" ht="20.100000000000001" customHeight="1" x14ac:dyDescent="0.25">
      <c r="D40" s="83" t="s">
        <v>129</v>
      </c>
    </row>
    <row r="41" spans="4:6" ht="20.100000000000001" customHeight="1" x14ac:dyDescent="0.25">
      <c r="D41" s="82" t="s">
        <v>137</v>
      </c>
    </row>
    <row r="42" spans="4:6" ht="20.100000000000001" customHeight="1" x14ac:dyDescent="0.25">
      <c r="D42" s="45" t="s">
        <v>130</v>
      </c>
      <c r="E42" s="45" t="s">
        <v>138</v>
      </c>
    </row>
    <row r="43" spans="4:6" ht="20.100000000000001" customHeight="1" x14ac:dyDescent="0.25">
      <c r="D43" s="46" t="str" cm="1">
        <f t="array" ref="D43:D47">IFERROR(INDEX(Table_Input_AmendmentBlends[Amendment mix name], _xlfn.SEQUENCE(5)), "")</f>
        <v>Mix 1</v>
      </c>
      <c r="E43" s="46" cm="1">
        <f t="array" ref="E43">RiceCultivation_Equations.VEERG_7_1_1_1__3_OrganicAmendmentsScalingFactorVariation(E24, $E$33, F24, $E$34, G24, $E$35,H24,$E$36, I24,$E$37,J24,$E$38)</f>
        <v>2.3450162437672319</v>
      </c>
    </row>
    <row r="44" spans="4:6" ht="20.100000000000001" customHeight="1" x14ac:dyDescent="0.25">
      <c r="D44" s="46" t="str">
        <v>Mix 2</v>
      </c>
      <c r="E44" s="46" cm="1">
        <f t="array" ref="E44">RiceCultivation_Equations.VEERG_7_1_1_1__3_OrganicAmendmentsScalingFactorVariation(E25, $E$33, F25, $E$34, G25, $E$35,H25,$E$36, I25,$E$37,J25,$E$38)</f>
        <v>2.1982259075210928</v>
      </c>
    </row>
    <row r="45" spans="4:6" ht="20.100000000000001" customHeight="1" x14ac:dyDescent="0.25">
      <c r="D45" s="46" t="str">
        <v/>
      </c>
      <c r="E45" s="46" cm="1">
        <f t="array" ref="E45">RiceCultivation_Equations.VEERG_7_1_1_1__3_OrganicAmendmentsScalingFactorVariation(E26, $E$33, F26, $E$34, G26, $E$35,H26,$E$36, I26,$E$37,J26,$E$38)</f>
        <v>1</v>
      </c>
    </row>
    <row r="46" spans="4:6" ht="20.100000000000001" customHeight="1" x14ac:dyDescent="0.25">
      <c r="D46" s="46" t="str">
        <v/>
      </c>
      <c r="E46" s="46" cm="1">
        <f t="array" ref="E46">RiceCultivation_Equations.VEERG_7_1_1_1__3_OrganicAmendmentsScalingFactorVariation(E27, $E$33, F27, $E$34, G27, $E$35,H27,$E$36, I27,$E$37,J27,$E$38)</f>
        <v>1</v>
      </c>
    </row>
    <row r="47" spans="4:6" ht="20.100000000000001" customHeight="1" x14ac:dyDescent="0.25">
      <c r="D47" s="46" t="str">
        <v/>
      </c>
      <c r="E47" s="46" cm="1">
        <f t="array" ref="E47">RiceCultivation_Equations.VEERG_7_1_1_1__3_OrganicAmendmentsScalingFactorVariation(E28, $E$33, F28, $E$34, G28, $E$35,H28,$E$36, I28,$E$37,J28,$E$38)</f>
        <v>1</v>
      </c>
    </row>
    <row r="48" spans="4:6" ht="20.100000000000001" customHeight="1" x14ac:dyDescent="0.25"/>
    <row r="49" spans="3:12" ht="20.100000000000001" customHeight="1" x14ac:dyDescent="0.25"/>
    <row r="50" spans="3:12" ht="20.100000000000001" customHeight="1" x14ac:dyDescent="0.25">
      <c r="C50" s="41"/>
      <c r="D50" s="41"/>
      <c r="E50" s="41"/>
      <c r="F50" s="41"/>
      <c r="G50" s="41"/>
      <c r="H50" s="41"/>
      <c r="I50" s="41"/>
      <c r="J50" s="41"/>
      <c r="K50" s="41"/>
      <c r="L50" s="41"/>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13</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7" t="s">
        <v>16</v>
      </c>
      <c r="E56" s="1" t="str" cm="1">
        <f t="array" ref="E56">RiceCultivation_Equations.VEERG_7_1_1_1__2_EmissionFactorForRiceCultivation_Variable()</f>
        <v>EF_ricewpo</v>
      </c>
    </row>
    <row r="57" spans="3:12" ht="20.100000000000001" customHeight="1" x14ac:dyDescent="0.25">
      <c r="D57" s="47" t="s">
        <v>8</v>
      </c>
      <c r="E57" s="48" t="str" cm="1">
        <f t="array" ref="E57">RiceCultivation_Equations.VEERG_7_1_1_1__2_EmissionFactorForRiceCultivation_Unit()</f>
        <v>kg CH4/ha/day</v>
      </c>
    </row>
    <row r="58" spans="3:12" ht="20.100000000000001" customHeight="1" x14ac:dyDescent="0.25"/>
    <row r="59" spans="3:12" ht="20.100000000000001" customHeight="1" x14ac:dyDescent="0.25">
      <c r="D59" s="106" t="str" cm="1">
        <f t="array" ref="D59:E65">_xlfn.CHOOSECOLS(RiceCultivation_Equations.VEERG_7_1_1_1__2_EmissionFactorForRiceCultivation_Arguments(),1,2)</f>
        <v>EF_c</v>
      </c>
      <c r="E59" s="108" t="str">
        <v>baseline emission factor for continuously flooded fields without organic amendments</v>
      </c>
      <c r="F59" s="109"/>
      <c r="G59" s="107"/>
      <c r="H59" s="106" t="str" cm="1">
        <f t="array" ref="H59:I65">_xlfn.CHOOSECOLS(RiceCultivation_Equations.VEERG_7_1_1_1__2_EmissionFactorForRiceCultivation_Arguments(),3,4)</f>
        <v>kg CH4/ha/day</v>
      </c>
      <c r="I59" s="100" t="str">
        <v>Constant</v>
      </c>
      <c r="J59" s="106">
        <f>SourceData_RiceCultivation_BaselineEF_Data</f>
        <v>1.19</v>
      </c>
    </row>
    <row r="60" spans="3:12" ht="20.100000000000001" customHeight="1" x14ac:dyDescent="0.25">
      <c r="D60" s="106" t="str">
        <v>SF_w</v>
      </c>
      <c r="E60" s="108" t="str">
        <v>scaling factor for water regime during the growing season</v>
      </c>
      <c r="F60" s="109"/>
      <c r="G60" s="107"/>
      <c r="H60" s="106" t="str">
        <v>fraction</v>
      </c>
      <c r="I60" s="100" t="str">
        <v>Constant</v>
      </c>
      <c r="J60" s="105" t="str" cm="1">
        <f t="array" aca="1" ref="J60" ca="1">HYPERLINK(Common_InputFunctions.Utility_SourceHyperlink($D$67), $D$67)</f>
        <v>Table_EF_rice_w_p_o</v>
      </c>
    </row>
    <row r="61" spans="3:12" ht="20.100000000000001" customHeight="1" x14ac:dyDescent="0.25">
      <c r="D61" s="106" t="str">
        <v>SF_p</v>
      </c>
      <c r="E61" s="108" t="str">
        <v>scaling factor for water regime in the pre-season</v>
      </c>
      <c r="F61" s="109"/>
      <c r="G61" s="107"/>
      <c r="H61" s="106" t="str">
        <v>fraction</v>
      </c>
      <c r="I61" s="100" t="str">
        <v>Constant</v>
      </c>
      <c r="J61" s="105" t="str" cm="1">
        <f t="array" aca="1" ref="J61" ca="1">HYPERLINK(Common_InputFunctions.Utility_SourceHyperlink($D$67), $D$67)</f>
        <v>Table_EF_rice_w_p_o</v>
      </c>
    </row>
    <row r="62" spans="3:12" ht="20.100000000000001" customHeight="1" x14ac:dyDescent="0.25">
      <c r="D62" s="106" t="str">
        <v>SF_o</v>
      </c>
      <c r="E62" s="108" t="str">
        <v>scaling factor for type and amount of organic amendments</v>
      </c>
      <c r="F62" s="109"/>
      <c r="G62" s="107"/>
      <c r="H62" s="106" t="str">
        <v>fraction</v>
      </c>
      <c r="I62" s="100" t="str">
        <v>Calculated from 7.1.1.1, (3)</v>
      </c>
      <c r="J62" s="105" t="str" cm="1">
        <f t="array" aca="1" ref="J62" ca="1">HYPERLINK(Common_InputFunctions.Utility_SourceHyperlink($D$67), $D$67)</f>
        <v>Table_EF_rice_w_p_o</v>
      </c>
    </row>
    <row r="63" spans="3:12" ht="20.100000000000001" customHeight="1" x14ac:dyDescent="0.25">
      <c r="D63" s="106" t="str">
        <v>w</v>
      </c>
      <c r="E63" s="108" t="str">
        <v>water regime during growing season</v>
      </c>
      <c r="F63" s="109"/>
      <c r="G63" s="107"/>
      <c r="H63" s="106" t="str">
        <v/>
      </c>
      <c r="I63" s="101" t="str">
        <v>Input</v>
      </c>
      <c r="J63" s="105" t="str" cm="1">
        <f t="array" aca="1" ref="J63" ca="1">HYPERLINK(Common_InputFunctions.Utility_SourceHyperlink($D$67), $D$67)</f>
        <v>Table_EF_rice_w_p_o</v>
      </c>
      <c r="L63" s="21"/>
    </row>
    <row r="64" spans="3:12" ht="20.100000000000001" customHeight="1" x14ac:dyDescent="0.25">
      <c r="D64" s="106" t="str">
        <v>p</v>
      </c>
      <c r="E64" s="108" t="str">
        <v>pre-season water regime</v>
      </c>
      <c r="F64" s="109"/>
      <c r="G64" s="107"/>
      <c r="H64" s="106" t="str">
        <v/>
      </c>
      <c r="I64" s="101" t="str">
        <v>Input</v>
      </c>
      <c r="J64" s="105" t="str" cm="1">
        <f t="array" aca="1" ref="J64" ca="1">HYPERLINK(Common_InputFunctions.Utility_SourceHyperlink($D$67), $D$67)</f>
        <v>Table_EF_rice_w_p_o</v>
      </c>
      <c r="L64" s="21"/>
    </row>
    <row r="65" spans="3:12" ht="20.100000000000001" customHeight="1" x14ac:dyDescent="0.25">
      <c r="D65" s="106" t="str">
        <v>o</v>
      </c>
      <c r="E65" s="108" t="str">
        <v>organic amendment</v>
      </c>
      <c r="F65" s="109"/>
      <c r="G65" s="107"/>
      <c r="H65" s="106" t="str">
        <v/>
      </c>
      <c r="I65" s="101" t="str">
        <v>Input</v>
      </c>
      <c r="J65" s="105" t="str" cm="1">
        <f t="array" aca="1" ref="J65" ca="1">HYPERLINK(Common_InputFunctions.Utility_SourceHyperlink($D$67), $D$67)</f>
        <v>Table_EF_rice_w_p_o</v>
      </c>
    </row>
    <row r="66" spans="3:12" ht="20.100000000000001" customHeight="1" x14ac:dyDescent="0.25"/>
    <row r="67" spans="3:12" ht="20.100000000000001" customHeight="1" x14ac:dyDescent="0.25">
      <c r="D67" s="83" t="s">
        <v>156</v>
      </c>
    </row>
    <row r="68" spans="3:12" ht="20.100000000000001" customHeight="1" x14ac:dyDescent="0.25">
      <c r="D68" s="82" t="s">
        <v>157</v>
      </c>
    </row>
    <row r="69" spans="3:12" ht="20.100000000000001" customHeight="1" x14ac:dyDescent="0.25">
      <c r="D69" s="99" t="s">
        <v>139</v>
      </c>
      <c r="E69" s="99" t="s">
        <v>110</v>
      </c>
      <c r="F69" s="99" t="s">
        <v>111</v>
      </c>
      <c r="G69" s="99" t="s">
        <v>130</v>
      </c>
      <c r="H69" s="45" t="s">
        <v>138</v>
      </c>
      <c r="I69" s="45" t="s">
        <v>126</v>
      </c>
      <c r="J69" s="45" t="s">
        <v>124</v>
      </c>
      <c r="K69" s="45" t="s">
        <v>154</v>
      </c>
    </row>
    <row r="70" spans="3:12" ht="20.100000000000001" customHeight="1" x14ac:dyDescent="0.25">
      <c r="D70" s="46" t="str" cm="1">
        <f t="array" ref="D70:D74">IFERROR(INDEX(Table_Input_Regimes[Regime name], _xlfn.SEQUENCE(5)), "")</f>
        <v>Regime 1</v>
      </c>
      <c r="E70" s="46" t="str" cm="1">
        <f t="array" ref="E70:E74">IFERROR(INDEX(Table_Input_Regimes[Pre-cultivation water regime (select)], _xlfn.SEQUENCE(5)), "")</f>
        <v>Non flooded pre-season &lt;180 days</v>
      </c>
      <c r="F70" s="46" t="str" cm="1">
        <f t="array" ref="F70:F74">IFERROR(INDEX(Table_Input_Regimes[Water regime sub-type (select)], _xlfn.SEQUENCE(5)), "")</f>
        <v>Drought prone</v>
      </c>
      <c r="G70" s="46" t="str" cm="1">
        <f t="array" ref="G70:G74">IFERROR(INDEX(Table_Input_Regimes[Amendment blend (select)], _xlfn.SEQUENCE(5)), "")</f>
        <v>Mix 1</v>
      </c>
      <c r="H70" s="46" cm="1">
        <f t="array" ref="H70">Common_InputFunctions.Utility_LookupValueInTableNumber(G70,$D$43:$D$47,$E$43:$E$47)</f>
        <v>2.3450162437672319</v>
      </c>
      <c r="I70" s="46" cm="1">
        <f t="array" ref="I70">Common_InputFunctions.Utility_LookupValueInTableNumber(E70,Table_SourceData_WaterScalingFactorPreSeason[Water regime prior to cultivation],Table_SourceData_WaterScalingFactorPreSeason[SFp])</f>
        <v>1</v>
      </c>
      <c r="J70" s="46" cm="1">
        <f t="array" ref="J70">Common_InputFunctions.Utility_LookupValueInTableNumber(F70,Table_SourceData_WaterScalingFactorGrowingSeason[Water regime sub-type],Table_SourceData_WaterScalingFactorGrowingSeason[SFw])</f>
        <v>0.16</v>
      </c>
      <c r="K70" s="46" cm="1">
        <f t="array" ref="K70">RiceCultivation_Equations.VEERG_7_1_1_1__2_EmissionFactorForRiceCultivation($J$59,J70,I70,H70)</f>
        <v>0.44649109281328092</v>
      </c>
    </row>
    <row r="71" spans="3:12" ht="20.100000000000001" customHeight="1" x14ac:dyDescent="0.25">
      <c r="D71" s="46" t="str">
        <v>Regime 2</v>
      </c>
      <c r="E71" s="46" t="str">
        <v>Flooded pre-season &gt;30 days</v>
      </c>
      <c r="F71" s="46" t="str">
        <v>Single drainage period</v>
      </c>
      <c r="G71" s="46" t="str">
        <v>Mix 2</v>
      </c>
      <c r="H71" s="46" cm="1">
        <f t="array" ref="H71">Common_InputFunctions.Utility_LookupValueInTableNumber(G71,$D$43:$D$47,$E$43:$E$47)</f>
        <v>2.1982259075210928</v>
      </c>
      <c r="I71" s="46" cm="1">
        <f t="array" ref="I71">Common_InputFunctions.Utility_LookupValueInTableNumber(E71,Table_SourceData_WaterScalingFactorPreSeason[Water regime prior to cultivation],Table_SourceData_WaterScalingFactorPreSeason[SFp])</f>
        <v>2.41</v>
      </c>
      <c r="J71" s="46" cm="1">
        <f t="array" ref="J71">Common_InputFunctions.Utility_LookupValueInTableNumber(F71,Table_SourceData_WaterScalingFactorGrowingSeason[Water regime sub-type],Table_SourceData_WaterScalingFactorGrowingSeason[SFw])</f>
        <v>0.71</v>
      </c>
      <c r="K71" s="46" cm="1">
        <f t="array" ref="K71">RiceCultivation_Equations.VEERG_7_1_1_1__2_EmissionFactorForRiceCultivation($J$59,J71,I71,H71)</f>
        <v>4.4760473769276166</v>
      </c>
    </row>
    <row r="72" spans="3:12" ht="20.100000000000001" customHeight="1" x14ac:dyDescent="0.25">
      <c r="D72" s="46" t="str">
        <v/>
      </c>
      <c r="E72" s="46" t="str">
        <v/>
      </c>
      <c r="F72" s="46" t="str">
        <v/>
      </c>
      <c r="G72" s="46" t="str">
        <v/>
      </c>
      <c r="H72" s="46" cm="1">
        <f t="array" ref="H72">Common_InputFunctions.Utility_LookupValueInTableNumber(G72,$D$43:$D$47,$E$43:$E$47)</f>
        <v>1</v>
      </c>
      <c r="I72" s="46" cm="1">
        <f t="array" ref="I72">Common_InputFunctions.Utility_LookupValueInTableNumber(E72,Table_SourceData_WaterScalingFactorPreSeason[Water regime prior to cultivation],Table_SourceData_WaterScalingFactorPreSeason[SFp])</f>
        <v>0</v>
      </c>
      <c r="J72" s="46" cm="1">
        <f t="array" ref="J72">Common_InputFunctions.Utility_LookupValueInTableNumber(F72,Table_SourceData_WaterScalingFactorGrowingSeason[Water regime sub-type],Table_SourceData_WaterScalingFactorGrowingSeason[SFw])</f>
        <v>0</v>
      </c>
      <c r="K72" s="46" cm="1">
        <f t="array" ref="K72">RiceCultivation_Equations.VEERG_7_1_1_1__2_EmissionFactorForRiceCultivation($J$59,J72,I72,H72)</f>
        <v>0</v>
      </c>
    </row>
    <row r="73" spans="3:12" ht="20.100000000000001" customHeight="1" x14ac:dyDescent="0.25">
      <c r="D73" s="46" t="str">
        <v/>
      </c>
      <c r="E73" s="46" t="str">
        <v/>
      </c>
      <c r="F73" s="46" t="str">
        <v/>
      </c>
      <c r="G73" s="46" t="str">
        <v/>
      </c>
      <c r="H73" s="46" cm="1">
        <f t="array" ref="H73">Common_InputFunctions.Utility_LookupValueInTableNumber(G73,$D$43:$D$47,$E$43:$E$47)</f>
        <v>1</v>
      </c>
      <c r="I73" s="46" cm="1">
        <f t="array" ref="I73">Common_InputFunctions.Utility_LookupValueInTableNumber(E73,Table_SourceData_WaterScalingFactorPreSeason[Water regime prior to cultivation],Table_SourceData_WaterScalingFactorPreSeason[SFp])</f>
        <v>0</v>
      </c>
      <c r="J73" s="46" cm="1">
        <f t="array" ref="J73">Common_InputFunctions.Utility_LookupValueInTableNumber(F73,Table_SourceData_WaterScalingFactorGrowingSeason[Water regime sub-type],Table_SourceData_WaterScalingFactorGrowingSeason[SFw])</f>
        <v>0</v>
      </c>
      <c r="K73" s="46" cm="1">
        <f t="array" ref="K73">RiceCultivation_Equations.VEERG_7_1_1_1__2_EmissionFactorForRiceCultivation($J$59,J73,I73,H73)</f>
        <v>0</v>
      </c>
    </row>
    <row r="74" spans="3:12" ht="20.100000000000001" customHeight="1" x14ac:dyDescent="0.25">
      <c r="D74" s="46" t="str">
        <v/>
      </c>
      <c r="E74" s="46" t="str">
        <v/>
      </c>
      <c r="F74" s="46" t="str">
        <v/>
      </c>
      <c r="G74" s="46" t="str">
        <v/>
      </c>
      <c r="H74" s="46" cm="1">
        <f t="array" ref="H74">Common_InputFunctions.Utility_LookupValueInTableNumber(G74,$D$43:$D$47,$E$43:$E$47)</f>
        <v>1</v>
      </c>
      <c r="I74" s="46" cm="1">
        <f t="array" ref="I74">Common_InputFunctions.Utility_LookupValueInTableNumber(E74,Table_SourceData_WaterScalingFactorPreSeason[Water regime prior to cultivation],Table_SourceData_WaterScalingFactorPreSeason[SFp])</f>
        <v>0</v>
      </c>
      <c r="J74" s="46" cm="1">
        <f t="array" ref="J74">Common_InputFunctions.Utility_LookupValueInTableNumber(F74,Table_SourceData_WaterScalingFactorGrowingSeason[Water regime sub-type],Table_SourceData_WaterScalingFactorGrowingSeason[SFw])</f>
        <v>0</v>
      </c>
      <c r="K74" s="46"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1"/>
      <c r="D77" s="41"/>
      <c r="E77" s="41"/>
      <c r="F77" s="41"/>
      <c r="G77" s="41"/>
      <c r="H77" s="41"/>
      <c r="I77" s="41"/>
      <c r="J77" s="41"/>
      <c r="K77" s="41"/>
      <c r="L77" s="41"/>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49"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4:10" ht="20.100000000000001" customHeight="1" x14ac:dyDescent="0.25">
      <c r="D81" s="13" t="s">
        <v>13</v>
      </c>
      <c r="E81" s="13" t="str" cm="1">
        <f t="array" aca="1" ref="E81" ca="1">Common_InputFunctions.Utility_DisplayFunctionName(G96)</f>
        <v>=RiceCultivation_Equations.VEERG_7_1_1_1__1_MethaneEmissionsFromRiceCultivation</v>
      </c>
    </row>
    <row r="82" spans="4:10" ht="20.100000000000001" customHeight="1" x14ac:dyDescent="0.25"/>
    <row r="83" spans="4:10" ht="20.100000000000001" customHeight="1" x14ac:dyDescent="0.25"/>
    <row r="84" spans="4:10" ht="20.100000000000001" customHeight="1" x14ac:dyDescent="0.25"/>
    <row r="85" spans="4:10" ht="20.100000000000001" customHeight="1" x14ac:dyDescent="0.25">
      <c r="D85" s="47" t="s">
        <v>16</v>
      </c>
      <c r="E85" s="1" t="str" cm="1">
        <f t="array" ref="E85">RiceCultivation_Equations.VEERG_7_1_1_1__1_MethaneEmissionsFromRiceCultivation_Variable()</f>
        <v>E_rice</v>
      </c>
    </row>
    <row r="86" spans="4:10" ht="20.100000000000001" customHeight="1" x14ac:dyDescent="0.25">
      <c r="D86" s="47" t="s">
        <v>8</v>
      </c>
      <c r="E86" s="48" t="str" cm="1">
        <f t="array" ref="E86">RiceCultivation_Equations.VEERG_7_1_1_1__1_MethaneEmissionsFromRiceCultivation_Unit()</f>
        <v>t CH4</v>
      </c>
    </row>
    <row r="87" spans="4:10" ht="20.100000000000001" customHeight="1" x14ac:dyDescent="0.25"/>
    <row r="88" spans="4:10" ht="20.100000000000001" customHeight="1" x14ac:dyDescent="0.25">
      <c r="D88" s="106" t="str" cm="1">
        <f t="array" ref="D88:E91">_xlfn.CHOOSECOLS(RiceCultivation_Equations.VEERG_7_1_1_1__1_MethaneEmissionsFromRiceCultivation_Arguments(),1,2)</f>
        <v>A_ricewpo</v>
      </c>
      <c r="E88" s="108" t="str">
        <v>annual area of rice cultivation under water regime w, pre-season water regime p, and organic amendment condition o</v>
      </c>
      <c r="F88" s="109"/>
      <c r="G88" s="107"/>
      <c r="H88" s="106" t="str" cm="1">
        <f t="array" ref="H88:I91">_xlfn.CHOOSECOLS(RiceCultivation_Equations.VEERG_7_1_1_1__1_MethaneEmissionsFromRiceCultivation_Arguments(),3,4)</f>
        <v>ha</v>
      </c>
      <c r="I88" s="101" t="str">
        <v>Input</v>
      </c>
      <c r="J88" s="105" t="str" cm="1">
        <f t="array" aca="1" ref="J88" ca="1">HYPERLINK(Common_InputFunctions.Utility_SourceHyperlink($D$93), $D$93)</f>
        <v>Table_E_rice</v>
      </c>
    </row>
    <row r="89" spans="4:10" ht="20.100000000000001" customHeight="1" x14ac:dyDescent="0.25">
      <c r="D89" s="106" t="str">
        <v>EF_ricewpo</v>
      </c>
      <c r="E89" s="108" t="str">
        <v>emission factor for rice cultivation under conditions w, p, and o</v>
      </c>
      <c r="F89" s="109"/>
      <c r="G89" s="107"/>
      <c r="H89" s="106" t="str">
        <v>kg CH4/ha/day</v>
      </c>
      <c r="I89" s="100" t="str">
        <v>Calculated from 7.1.1.1, (2)</v>
      </c>
      <c r="J89" s="105" t="str" cm="1">
        <f t="array" aca="1" ref="J89" ca="1">HYPERLINK(Common_InputFunctions.Utility_SourceHyperlink($D$67),$D$67)</f>
        <v>Table_EF_rice_w_p_o</v>
      </c>
    </row>
    <row r="90" spans="4:10" ht="20.100000000000001" customHeight="1" x14ac:dyDescent="0.25">
      <c r="D90" s="106" t="str">
        <v>t_ricewpo</v>
      </c>
      <c r="E90" s="108" t="str">
        <v>cultivation period for rice under conditions w, p, and o</v>
      </c>
      <c r="F90" s="109"/>
      <c r="G90" s="107"/>
      <c r="H90" s="106" t="str">
        <v>days</v>
      </c>
      <c r="I90" s="101" t="str">
        <v>Input</v>
      </c>
      <c r="J90" s="105" t="str" cm="1">
        <f t="array" aca="1" ref="J90" ca="1">HYPERLINK(Common_InputFunctions.Utility_SourceHyperlink($D$93), $D$93)</f>
        <v>Table_E_rice</v>
      </c>
    </row>
    <row r="91" spans="4:10" ht="20.100000000000001" customHeight="1" x14ac:dyDescent="0.25">
      <c r="D91" s="106" t="str">
        <v>s</v>
      </c>
      <c r="E91" s="108" t="str">
        <v>number of cropping seasons in reporting period managed this way</v>
      </c>
      <c r="F91" s="109"/>
      <c r="G91" s="107"/>
      <c r="H91" s="106" t="str">
        <v>seasons</v>
      </c>
      <c r="I91" s="101" t="str">
        <v>Input</v>
      </c>
      <c r="J91" s="106">
        <f>X_Cell_NumberGorwingSeasons</f>
        <v>2</v>
      </c>
    </row>
    <row r="92" spans="4:10" ht="20.100000000000001" customHeight="1" x14ac:dyDescent="0.25"/>
    <row r="93" spans="4:10" ht="20.100000000000001" customHeight="1" x14ac:dyDescent="0.25">
      <c r="D93" s="83" t="s">
        <v>162</v>
      </c>
    </row>
    <row r="94" spans="4:10" ht="20.100000000000001" customHeight="1" x14ac:dyDescent="0.25">
      <c r="D94" s="82" t="s">
        <v>163</v>
      </c>
    </row>
    <row r="95" spans="4:10" ht="20.100000000000001" customHeight="1" x14ac:dyDescent="0.25">
      <c r="D95" s="99" t="s">
        <v>139</v>
      </c>
      <c r="E95" s="99" t="s">
        <v>161</v>
      </c>
      <c r="F95" s="99" t="s">
        <v>167</v>
      </c>
      <c r="G95" s="45" t="s">
        <v>159</v>
      </c>
    </row>
    <row r="96" spans="4:10" ht="20.100000000000001" customHeight="1" x14ac:dyDescent="0.25">
      <c r="D96" s="46" t="str" cm="1">
        <f t="array" ref="D96:D100">IFERROR(INDEX(Table_Input_Regimes[Regime name], _xlfn.SEQUENCE(5)), "")</f>
        <v>Regime 1</v>
      </c>
      <c r="E96" s="46" cm="1">
        <f t="array" ref="E96:E100">IFERROR(INDEX(Table_Input_Regimes[Area under cultivation (hectares)]*J91, _xlfn.SEQUENCE(5)), 0)</f>
        <v>200</v>
      </c>
      <c r="F96" s="46" cm="1">
        <f t="array" ref="F96:F100">IFERROR(INDEX(Table_Input_Regimes[Cultivation period (days)], _xlfn.SEQUENCE(5)), 0)</f>
        <v>100</v>
      </c>
      <c r="G96" s="46" cm="1">
        <f t="array" ref="G96">RiceCultivation_Equations.VEERG_7_1_1_1__1_MethaneEmissionsFromRiceCultivation(E96,K70,F96)</f>
        <v>8.9298218562656189</v>
      </c>
      <c r="H96" s="2" t="str">
        <f>E86</f>
        <v>t CH4</v>
      </c>
    </row>
    <row r="97" spans="4:12" ht="20.100000000000001" customHeight="1" x14ac:dyDescent="0.25">
      <c r="D97" s="46" t="str">
        <v>Regime 2</v>
      </c>
      <c r="E97" s="46">
        <v>200</v>
      </c>
      <c r="F97" s="46">
        <v>100</v>
      </c>
      <c r="G97" s="46" cm="1">
        <f t="array" ref="G97">RiceCultivation_Equations.VEERG_7_1_1_1__1_MethaneEmissionsFromRiceCultivation(E97,K71,F97)</f>
        <v>89.520947538552321</v>
      </c>
    </row>
    <row r="98" spans="4:12" ht="20.100000000000001" customHeight="1" x14ac:dyDescent="0.25">
      <c r="D98" s="46" t="str">
        <v/>
      </c>
      <c r="E98" s="46">
        <v>0</v>
      </c>
      <c r="F98" s="46">
        <v>0</v>
      </c>
      <c r="G98" s="46" cm="1">
        <f t="array" ref="G98">RiceCultivation_Equations.VEERG_7_1_1_1__1_MethaneEmissionsFromRiceCultivation(E98,K72,F98)</f>
        <v>0</v>
      </c>
    </row>
    <row r="99" spans="4:12" ht="20.100000000000001" customHeight="1" x14ac:dyDescent="0.25">
      <c r="D99" s="46" t="str">
        <v/>
      </c>
      <c r="E99" s="46">
        <v>0</v>
      </c>
      <c r="F99" s="46">
        <v>0</v>
      </c>
      <c r="G99" s="46" cm="1">
        <f t="array" ref="G99">RiceCultivation_Equations.VEERG_7_1_1_1__1_MethaneEmissionsFromRiceCultivation(E99,K73,F99)</f>
        <v>0</v>
      </c>
    </row>
    <row r="100" spans="4:12" ht="20.100000000000001" customHeight="1" x14ac:dyDescent="0.25">
      <c r="D100" s="46" t="str">
        <v/>
      </c>
      <c r="E100" s="46">
        <v>0</v>
      </c>
      <c r="F100" s="46">
        <v>0</v>
      </c>
      <c r="G100" s="46" cm="1">
        <f t="array" ref="G100">RiceCultivation_Equations.VEERG_7_1_1_1__1_MethaneEmissionsFromRiceCultivation(E100,K74,F100)</f>
        <v>0</v>
      </c>
    </row>
    <row r="101" spans="4:12" ht="20.100000000000001" customHeight="1" x14ac:dyDescent="0.25"/>
    <row r="102" spans="4:12" ht="20.100000000000001" customHeight="1" x14ac:dyDescent="0.25">
      <c r="D102" s="84" t="s">
        <v>87</v>
      </c>
      <c r="E102" s="85">
        <f>SUM(G96:G100)</f>
        <v>98.450769394817939</v>
      </c>
      <c r="F102" s="86" t="str">
        <f>E86</f>
        <v>t CH4</v>
      </c>
    </row>
    <row r="103" spans="4:12" ht="20.100000000000001" customHeight="1" x14ac:dyDescent="0.25"/>
    <row r="104" spans="4:12" ht="20.100000000000001" customHeight="1" x14ac:dyDescent="0.25">
      <c r="D104" s="50" t="str" cm="1">
        <f t="array" ref="D104:E105">Common_Equations.Common_ConvertCH4ToCO2e_Arguments()</f>
        <v>ECH4</v>
      </c>
      <c r="E104" s="51" t="str">
        <v>Methane emissions (t CH4)</v>
      </c>
      <c r="F104" s="87"/>
      <c r="G104" s="46">
        <f>E102</f>
        <v>98.450769394817939</v>
      </c>
    </row>
    <row r="105" spans="4:12" ht="20.100000000000001" customHeight="1" x14ac:dyDescent="0.25">
      <c r="D105" s="50" t="str">
        <v>GWPCH4</v>
      </c>
      <c r="E105" s="51" t="str">
        <v>Global warming potential for methane (t CO2-e / t CH4)</v>
      </c>
      <c r="F105" s="87"/>
      <c r="G105" s="46">
        <f>Common_InputFunctions.Utility_LookupValueInTableNumber("CH4",Table_GWPData[Gas],Table_GWPData[CO2-e factor])</f>
        <v>28</v>
      </c>
    </row>
    <row r="106" spans="4:12" ht="20.100000000000001" customHeight="1" x14ac:dyDescent="0.25"/>
    <row r="107" spans="4:12" ht="20.100000000000001" customHeight="1" x14ac:dyDescent="0.25">
      <c r="D107" s="41" t="s">
        <v>59</v>
      </c>
      <c r="E107" s="41" cm="1">
        <f t="array" ref="E107">Common_Equations.Common_ConvertN2OToCO2e(G104,G105)</f>
        <v>2756.6215430549023</v>
      </c>
      <c r="F107" s="88" t="str" cm="1">
        <f t="array" ref="F107">Common_Equations.Common_ConvertN2OToCO2e_Unit()</f>
        <v>t CO2e</v>
      </c>
    </row>
    <row r="108" spans="4:12" ht="20.100000000000001" customHeight="1" x14ac:dyDescent="0.25"/>
    <row r="109" spans="4:12" ht="20.100000000000001" customHeight="1" x14ac:dyDescent="0.25">
      <c r="D109" s="21"/>
      <c r="E109" s="21"/>
      <c r="F109" s="21"/>
      <c r="G109" s="21"/>
      <c r="H109" s="21"/>
    </row>
    <row r="110" spans="4:12" ht="20.100000000000001" customHeight="1" x14ac:dyDescent="0.25"/>
    <row r="111" spans="4:12" ht="20.100000000000001" customHeight="1" x14ac:dyDescent="0.25"/>
    <row r="112" spans="4:12" ht="20.100000000000001" customHeight="1" x14ac:dyDescent="0.25">
      <c r="H112" s="21"/>
      <c r="L112" s="21"/>
    </row>
    <row r="113" spans="4:12" ht="20.100000000000001" customHeight="1" x14ac:dyDescent="0.25">
      <c r="L113" s="21"/>
    </row>
    <row r="114" spans="4:12" ht="20.100000000000001" customHeight="1" x14ac:dyDescent="0.25">
      <c r="H114" s="21"/>
      <c r="L114" s="21"/>
    </row>
    <row r="115" spans="4:12" ht="20.100000000000001" customHeight="1" x14ac:dyDescent="0.25">
      <c r="H115" s="21"/>
      <c r="L115" s="21"/>
    </row>
    <row r="116" spans="4:12" ht="20.100000000000001" customHeight="1" x14ac:dyDescent="0.25">
      <c r="D116" s="21"/>
      <c r="E116" s="21"/>
      <c r="F116" s="94"/>
      <c r="G116" s="21"/>
      <c r="H116" s="21"/>
      <c r="I116" s="21"/>
      <c r="J116" s="21"/>
      <c r="K116" s="21"/>
      <c r="L116" s="21"/>
    </row>
    <row r="117" spans="4:12" ht="20.100000000000001" customHeight="1" x14ac:dyDescent="0.25">
      <c r="L117" s="21"/>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56" t="e" vm="1">
        <v>#VALUE!</v>
      </c>
      <c r="C1" s="8" t="s">
        <v>123</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D6" s="5" t="str" cm="1">
        <f t="array" ref="D6">RiceCultivation_SourceData.SourceData_RiceCultivation_WaterScalingFactorGrowingSeason_Source()</f>
        <v>VEERG 2026: Table A.2.3.1</v>
      </c>
    </row>
    <row r="7" spans="1:35" ht="20.100000000000001" customHeight="1" x14ac:dyDescent="0.25">
      <c r="D7" s="1" t="str" cm="1">
        <f t="array" ref="D7">RiceCultivation_SourceData.SourceData_RiceCultivation_WaterScalingFactorGrowingSeason_Variable()</f>
        <v>SFw</v>
      </c>
      <c r="AG7" s="1"/>
      <c r="AH7" s="1"/>
      <c r="AI7" s="1"/>
    </row>
    <row r="8" spans="1:35" ht="20.100000000000001" customHeight="1" x14ac:dyDescent="0.25">
      <c r="A8" s="19" t="s">
        <v>0</v>
      </c>
      <c r="D8" s="48" t="str" cm="1">
        <f t="array" ref="D8">RiceCultivation_SourceData.SourceData_RiceCultivation_WaterScalingFactorGrowingSeason_Unit()</f>
        <v>fraction</v>
      </c>
      <c r="H8" s="1" t="s">
        <v>143</v>
      </c>
      <c r="J8" s="1" t="s">
        <v>144</v>
      </c>
      <c r="L8" s="1" t="s">
        <v>145</v>
      </c>
      <c r="AG8" s="1"/>
      <c r="AH8" s="1"/>
      <c r="AI8" s="1"/>
    </row>
    <row r="9" spans="1:35" ht="20.100000000000001" customHeight="1" x14ac:dyDescent="0.25">
      <c r="A9" s="17" t="str">
        <f>HYPERLINK("#'Input - Site'!A1", "Site")</f>
        <v>Site</v>
      </c>
      <c r="D9" s="34" t="s">
        <v>108</v>
      </c>
      <c r="E9" s="34" t="s">
        <v>111</v>
      </c>
      <c r="F9" s="34" t="s">
        <v>124</v>
      </c>
      <c r="H9" s="34" t="s">
        <v>146</v>
      </c>
      <c r="J9" s="34" t="s">
        <v>146</v>
      </c>
      <c r="L9" s="34" t="s">
        <v>146</v>
      </c>
      <c r="AG9" s="1"/>
      <c r="AH9" s="1"/>
      <c r="AI9" s="1"/>
    </row>
    <row r="10" spans="1:35" ht="20.100000000000001" customHeight="1" x14ac:dyDescent="0.25">
      <c r="A10" s="17" t="str">
        <f>HYPERLINK("#'Input - Rice'!A1", "Rice")</f>
        <v>Rice</v>
      </c>
      <c r="D10" s="34" t="str" cm="1">
        <f t="array" ref="D10">Common_InputFunctions.Utility_DisplayArrayInTable(RiceCultivation_SourceData.SourceData_RiceCultivation_WaterScalingFactorGrowingSeason_Data(),Table_SourceData_WaterScalingFactorGrowingSeason[[#Headers],[Water regime type]],0)</f>
        <v>Upland</v>
      </c>
      <c r="E10" s="34" t="str" cm="1">
        <f t="array" ref="E10">Common_InputFunctions.Utility_DisplayArrayInTable(RiceCultivation_SourceData.SourceData_RiceCultivation_WaterScalingFactorGrowingSeason_Data(),Table_SourceData_WaterScalingFactorGrowingSeason[[#Headers],[Water regime type]],0)</f>
        <v>Paddy rotation</v>
      </c>
      <c r="F10" s="34" cm="1">
        <f t="array" ref="F10">Common_InputFunctions.Utility_DisplayArrayInTable(RiceCultivation_SourceData.SourceData_RiceCultivation_WaterScalingFactorGrowingSeason_Data(),Table_SourceData_WaterScalingFactorGrowingSeason[[#Headers],[Water regime type]],0)</f>
        <v>0</v>
      </c>
      <c r="H10" s="34" t="str">
        <f>E10</f>
        <v>Paddy rotation</v>
      </c>
      <c r="J10" s="34" t="str">
        <f>E12</f>
        <v>Continuously flooded</v>
      </c>
      <c r="L10" s="34" t="str">
        <f>E15</f>
        <v>Regular rainfed</v>
      </c>
      <c r="AG10" s="1"/>
      <c r="AH10" s="1"/>
      <c r="AI10" s="1"/>
    </row>
    <row r="11" spans="1:35" ht="20.100000000000001" customHeight="1" x14ac:dyDescent="0.25">
      <c r="D11" s="1" t="str" cm="1">
        <f t="array" ref="D11">Common_InputFunctions.Utility_DisplayArrayInTable(RiceCultivation_SourceData.SourceData_RiceCultivation_WaterScalingFactorGrowingSeason_Data(),Table_SourceData_WaterScalingFactorGrowingSeason[[#Headers],[Water regime type]],0)</f>
        <v>Upland</v>
      </c>
      <c r="E11" s="34"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4" cm="1">
        <f t="array" ref="F11">Common_InputFunctions.Utility_DisplayArrayInTable(RiceCultivation_SourceData.SourceData_RiceCultivation_WaterScalingFactorGrowingSeason_Data(),Table_SourceData_WaterScalingFactorGrowingSeason[[#Headers],[Water regime type]],0)</f>
        <v>0</v>
      </c>
      <c r="H11" s="34" t="str">
        <f>E11</f>
        <v>Fallow without flooding in previous year</v>
      </c>
      <c r="J11" s="34" t="str">
        <f>E13</f>
        <v>Single drainage period</v>
      </c>
      <c r="L11" s="34" t="str">
        <f>E16</f>
        <v>Drought prone</v>
      </c>
    </row>
    <row r="12" spans="1:35" ht="20.100000000000001" customHeight="1" x14ac:dyDescent="0.25">
      <c r="D12" s="1" t="str" cm="1">
        <f t="array" ref="D12">Common_InputFunctions.Utility_DisplayArrayInTable(RiceCultivation_SourceData.SourceData_RiceCultivation_WaterScalingFactorGrowingSeason_Data(),Table_SourceData_WaterScalingFactorGrowingSeason[[#Headers],[Water regime type]],0)</f>
        <v>Irrigated</v>
      </c>
      <c r="E12" s="34" t="str" cm="1">
        <f t="array" ref="E12">Common_InputFunctions.Utility_DisplayArrayInTable(RiceCultivation_SourceData.SourceData_RiceCultivation_WaterScalingFactorGrowingSeason_Data(),Table_SourceData_WaterScalingFactorGrowingSeason[[#Headers],[Water regime type]],0)</f>
        <v>Continuously flooded</v>
      </c>
      <c r="F12" s="34" cm="1">
        <f t="array" ref="F12">Common_InputFunctions.Utility_DisplayArrayInTable(RiceCultivation_SourceData.SourceData_RiceCultivation_WaterScalingFactorGrowingSeason_Data(),Table_SourceData_WaterScalingFactorGrowingSeason[[#Headers],[Water regime type]],0)</f>
        <v>1</v>
      </c>
      <c r="J12" s="34" t="str">
        <f>E14</f>
        <v>Multiple drainage periods</v>
      </c>
      <c r="L12" s="34" t="str">
        <f>E17</f>
        <v>Deep water</v>
      </c>
    </row>
    <row r="13" spans="1:35" ht="20.100000000000001" customHeight="1" x14ac:dyDescent="0.25">
      <c r="A13" s="18" t="s">
        <v>51</v>
      </c>
      <c r="D13" s="1" t="str" cm="1">
        <f t="array" ref="D13">Common_InputFunctions.Utility_DisplayArrayInTable(RiceCultivation_SourceData.SourceData_RiceCultivation_WaterScalingFactorGrowingSeason_Data(),Table_SourceData_WaterScalingFactorGrowingSeason[[#Headers],[Water regime type]],0)</f>
        <v>Irrigated</v>
      </c>
      <c r="E13" s="34" t="str" cm="1">
        <f t="array" ref="E13">Common_InputFunctions.Utility_DisplayArrayInTable(RiceCultivation_SourceData.SourceData_RiceCultivation_WaterScalingFactorGrowingSeason_Data(),Table_SourceData_WaterScalingFactorGrowingSeason[[#Headers],[Water regime type]],0)</f>
        <v>Single drainage period</v>
      </c>
      <c r="F13" s="34"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7" t="str">
        <f>HYPERLINK("#'7.1.1-2 Rice cultivation'!A1", "7.1.1-2 Rice cultivation")</f>
        <v>7.1.1-2 Rice cultivation</v>
      </c>
      <c r="D14" s="1" t="str" cm="1">
        <f t="array" ref="D14">Common_InputFunctions.Utility_DisplayArrayInTable(RiceCultivation_SourceData.SourceData_RiceCultivation_WaterScalingFactorGrowingSeason_Data(),Table_SourceData_WaterScalingFactorGrowingSeason[[#Headers],[Water regime type]],0)</f>
        <v>Irrigated</v>
      </c>
      <c r="E14" s="34" t="str" cm="1">
        <f t="array" ref="E14">Common_InputFunctions.Utility_DisplayArrayInTable(RiceCultivation_SourceData.SourceData_RiceCultivation_WaterScalingFactorGrowingSeason_Data(),Table_SourceData_WaterScalingFactorGrowingSeason[[#Headers],[Water regime type]],0)</f>
        <v>Multiple drainage periods</v>
      </c>
      <c r="F14" s="34"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4" t="str" cm="1">
        <f t="array" ref="E15">Common_InputFunctions.Utility_DisplayArrayInTable(RiceCultivation_SourceData.SourceData_RiceCultivation_WaterScalingFactorGrowingSeason_Data(),Table_SourceData_WaterScalingFactorGrowingSeason[[#Headers],[Water regime type]],0)</f>
        <v>Regular rainfed</v>
      </c>
      <c r="F15" s="34"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4" t="str" cm="1">
        <f t="array" ref="E16">Common_InputFunctions.Utility_DisplayArrayInTable(RiceCultivation_SourceData.SourceData_RiceCultivation_WaterScalingFactorGrowingSeason_Data(),Table_SourceData_WaterScalingFactorGrowingSeason[[#Headers],[Water regime type]],0)</f>
        <v>Drought prone</v>
      </c>
      <c r="F16" s="34"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A17" s="118" t="s">
        <v>1</v>
      </c>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4" t="str" cm="1">
        <f t="array" ref="E17">Common_InputFunctions.Utility_DisplayArrayInTable(RiceCultivation_SourceData.SourceData_RiceCultivation_WaterScalingFactorGrowingSeason_Data(),Table_SourceData_WaterScalingFactorGrowingSeason[[#Headers],[Water regime type]],0)</f>
        <v>Deep water</v>
      </c>
      <c r="F17" s="34"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c r="A18" s="117" t="str">
        <f>HYPERLINK("#'Constants - Rice cultivation'!A1", "Constants - Rice cultivation")</f>
        <v>Constants - Rice cultivation</v>
      </c>
    </row>
    <row r="19" spans="1:6" ht="20.100000000000001" customHeight="1" x14ac:dyDescent="0.25">
      <c r="A19" s="17" t="str">
        <f>HYPERLINK("#'Constants - Common'!A1", "Constants - Common")</f>
        <v>Constants - Common</v>
      </c>
    </row>
    <row r="20" spans="1:6" ht="20.100000000000001" customHeight="1" x14ac:dyDescent="0.25">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8" t="str" cm="1">
        <f t="array" ref="D23">RiceCultivation_SourceData.SourceData_RiceCultivation_WaterScalingFactorPreSeason_Unit()</f>
        <v>fraction</v>
      </c>
    </row>
    <row r="24" spans="1:6" ht="20.100000000000001" customHeight="1" x14ac:dyDescent="0.25">
      <c r="D24" s="34" t="s">
        <v>125</v>
      </c>
      <c r="E24" s="34" t="s">
        <v>126</v>
      </c>
    </row>
    <row r="25" spans="1:6" ht="20.100000000000001" customHeight="1" x14ac:dyDescent="0.25">
      <c r="D25" s="34"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4"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4"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4"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4"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49" t="str" cm="1">
        <f t="array" ref="D33:D35">RiceCultivation_SourceData.SourceData_RiceCultivation_OrganicAmendmentConversionFactor_Variation()</f>
        <v>VARIATION ON SOURCE:</v>
      </c>
    </row>
    <row r="34" spans="4:5" ht="20.100000000000001" customHeight="1" x14ac:dyDescent="0.25">
      <c r="D34" s="49" t="str">
        <v>Included inorganic fertiliser as amendment as per VEERG equation description:</v>
      </c>
    </row>
    <row r="35" spans="4:5" ht="20.100000000000001" customHeight="1" x14ac:dyDescent="0.25">
      <c r="D35" s="49"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8" t="str" cm="1">
        <f t="array" ref="D37">RiceCultivation_SourceData.SourceData_RiceCultivation_OrganicAmendmentConversionFactor_Unit()</f>
        <v>fraction</v>
      </c>
    </row>
    <row r="38" spans="4:5" ht="20.100000000000001" customHeight="1" x14ac:dyDescent="0.25">
      <c r="D38" s="34" t="s">
        <v>127</v>
      </c>
      <c r="E38" s="34" t="s">
        <v>128</v>
      </c>
    </row>
    <row r="39" spans="4:5" ht="20.100000000000001" customHeight="1" x14ac:dyDescent="0.25">
      <c r="D39" s="34" t="str" cm="1">
        <f t="array" ref="D39">Common_InputFunctions.Utility_DisplayArrayInTable(RiceCultivation_SourceData.SourceData_RiceCultivation_OrganicAmendmentConversionFactor_Data(),Table15[[#Headers],[Organic amendment i]],0)</f>
        <v>Straw incorporated shortly (&lt;30 days) before cultivation</v>
      </c>
      <c r="E39" s="34"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4"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4"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4"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4"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4"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7" t="str" cm="1">
        <f t="array" ref="D49">RiceCultivation_SourceData.SourceData_RiceCultivation_BaselineEF_Variable()</f>
        <v>EFc</v>
      </c>
      <c r="E49" s="1" cm="1">
        <f t="array" ref="E49">RiceCultivation_SourceData.SourceData_RiceCultivation_BaselineEF_Data()</f>
        <v>1.19</v>
      </c>
      <c r="F49" s="48"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806A4-3D1F-4F50-AEE9-CDBCDCC0131B}">
  <dimension ref="A1:BY259"/>
  <sheetViews>
    <sheetView showGridLines="0" tabSelected="1" topLeftCell="A86" zoomScaleNormal="100" workbookViewId="0">
      <selection activeCell="A18" sqref="A1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6"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4" t="s">
        <v>9</v>
      </c>
      <c r="E6" s="34" t="s">
        <v>10</v>
      </c>
      <c r="F6" s="34" t="s">
        <v>11</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Rice'!A1", "Rice")</f>
        <v>Rice</v>
      </c>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51</v>
      </c>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HYPERLINK("#'7.1.1-2 Rice cultivation'!A1", "7.1.1-2 Rice cultivation")</f>
        <v>7.1.1-2 Rice cultivation</v>
      </c>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18" t="s">
        <v>1</v>
      </c>
    </row>
    <row r="18" spans="1:4" ht="20.100000000000001" customHeight="1" x14ac:dyDescent="0.25">
      <c r="A18" s="17" t="str">
        <f>HYPERLINK("#'Constants - Rice cultivation'!A1", "Constants - Rice cultivation")</f>
        <v>Constants - Rice cultivation</v>
      </c>
      <c r="D18" s="6" t="str" cm="1">
        <f t="array" ref="D18">Common_SourceData.Common_SourceData_WASA4Areas_Title()</f>
        <v>ABS Statistcal Areas Level 4 - Western Australia</v>
      </c>
    </row>
    <row r="19" spans="1:4" ht="20.100000000000001" customHeight="1" x14ac:dyDescent="0.25">
      <c r="A19" s="117"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71</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73</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70</v>
      </c>
      <c r="E212" s="34" t="s">
        <v>78</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88</v>
      </c>
      <c r="F231" s="33" t="s">
        <v>89</v>
      </c>
      <c r="G231" s="34" t="s">
        <v>83</v>
      </c>
      <c r="H231" s="34" t="s">
        <v>90</v>
      </c>
      <c r="I231" s="34" t="s">
        <v>91</v>
      </c>
      <c r="J231" s="34" t="s">
        <v>82</v>
      </c>
      <c r="K231" s="34" t="s">
        <v>81</v>
      </c>
      <c r="L231" s="34" t="s">
        <v>92</v>
      </c>
      <c r="M231" s="34" t="s">
        <v>93</v>
      </c>
      <c r="N231" s="34" t="s">
        <v>80</v>
      </c>
      <c r="O231" s="34" t="s">
        <v>94</v>
      </c>
      <c r="P231" s="34" t="s">
        <v>85</v>
      </c>
      <c r="Q231" s="34" t="s">
        <v>86</v>
      </c>
      <c r="R231" s="34" t="s">
        <v>84</v>
      </c>
      <c r="S231" s="34" t="s">
        <v>95</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5" x14ac:dyDescent="0.25">
      <c r="D257" s="34" t="s">
        <v>96</v>
      </c>
      <c r="E257" s="34" t="s">
        <v>97</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