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3E0F81D-F1BB-4099-93AF-62F0B7E998D4}" xr6:coauthVersionLast="47" xr6:coauthVersionMax="47" xr10:uidLastSave="{00000000-0000-0000-0000-000000000000}"/>
  <bookViews>
    <workbookView xWindow="735" yWindow="735" windowWidth="37170" windowHeight="19920" activeTab="3"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23"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
    _xlfn.MAKEARRAY(7, 2,
      _xlfn.LAMBDA(_xlpm.r,_xlpm.c,
        INDEX({"Organic amendment i","CFOAi";"Straw incorporated shortly (&lt;30 days) before cultivation",1;"Straw incorporated long (&gt;30 days) before cultivation",0.19;"Compost",0.17;"Farm yard manure",0.21;"Green manure",0.45;"Inorganic fertiliser",1}, _xlpm.r, _xlpm.c)
      )
    )
  )</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ourceData_RiceCultivation_BaselineEF_Data">'Constants - Rice cultivation'!$E$49</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5" i="69" l="1"/>
  <c r="E259" i="123"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c r="D205" i="123" a="1"/>
  <c r="D204" i="123" a="1"/>
  <c r="D204" i="123" s="1"/>
  <c r="D203" i="123" a="1"/>
  <c r="D203" i="123" s="1"/>
  <c r="D202" i="123"/>
  <c r="D202" i="123" a="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c r="D175" i="123" a="1"/>
  <c r="D174" i="123" a="1"/>
  <c r="D174" i="123" s="1"/>
  <c r="D173" i="123" a="1"/>
  <c r="D173" i="123" s="1"/>
  <c r="D170" i="123" a="1"/>
  <c r="D170" i="123" s="1"/>
  <c r="D169" i="123" a="1"/>
  <c r="D169" i="123" s="1"/>
  <c r="D168" i="123" a="1"/>
  <c r="D168" i="123" s="1"/>
  <c r="D167" i="123"/>
  <c r="D167" i="123" a="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c r="D151" i="123" a="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c r="D107" i="123" a="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a="1"/>
  <c r="D34" i="123" s="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c r="D18" i="123" a="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A8" i="123"/>
  <c r="F7" i="123" a="1"/>
  <c r="F7" i="123" s="1"/>
  <c r="E7" i="123" a="1"/>
  <c r="E7" i="123" s="1"/>
  <c r="D7" i="123" a="1"/>
  <c r="D7" i="123" s="1"/>
  <c r="A7" i="123"/>
  <c r="D5" i="123" a="1"/>
  <c r="D5" i="123" s="1"/>
  <c r="A3" i="123"/>
  <c r="A8" i="71"/>
  <c r="A7" i="71"/>
  <c r="A3" i="71"/>
  <c r="E13" i="15"/>
  <c r="D10" i="70" s="1"/>
  <c r="A19" i="110"/>
  <c r="A18" i="110"/>
  <c r="A14" i="110"/>
  <c r="A10" i="110"/>
  <c r="A9" i="110"/>
  <c r="A5" i="110"/>
  <c r="A4" i="110"/>
  <c r="A3" i="110"/>
  <c r="A19" i="69"/>
  <c r="A18" i="69"/>
  <c r="A14" i="69"/>
  <c r="A10" i="69"/>
  <c r="A9" i="69"/>
  <c r="A5" i="69"/>
  <c r="A4" i="69"/>
  <c r="A3" i="69"/>
  <c r="A19" i="70"/>
  <c r="A18" i="70"/>
  <c r="A14" i="70"/>
  <c r="A10" i="70"/>
  <c r="A9" i="70"/>
  <c r="A5" i="70"/>
  <c r="A4" i="70"/>
  <c r="A3" i="70"/>
  <c r="A19" i="15"/>
  <c r="A18" i="15"/>
  <c r="A14" i="15"/>
  <c r="A10" i="15"/>
  <c r="A9" i="15"/>
  <c r="A5" i="15"/>
  <c r="A4" i="15"/>
  <c r="A3" i="15"/>
  <c r="A19" i="13"/>
  <c r="A18" i="13"/>
  <c r="A14" i="13"/>
  <c r="A10" i="13"/>
  <c r="A9" i="13"/>
  <c r="A5" i="13"/>
  <c r="A4" i="13"/>
  <c r="A3" i="13"/>
  <c r="A19" i="118"/>
  <c r="A18" i="118"/>
  <c r="A14" i="118"/>
  <c r="A10" i="118"/>
  <c r="A9" i="118"/>
  <c r="A5" i="118"/>
  <c r="A4" i="118"/>
  <c r="A3" i="118"/>
  <c r="J91" i="69"/>
  <c r="E96" i="69" s="1" a="1"/>
  <c r="E96" i="69" s="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F96" i="69" a="1"/>
  <c r="F96" i="69" s="1"/>
  <c r="D96" i="69" a="1"/>
  <c r="D96" i="69" s="1"/>
  <c r="H51" i="123" l="1"/>
  <c r="H50" i="123"/>
  <c r="H53" i="123"/>
  <c r="H48" i="123"/>
  <c r="H54" i="123"/>
  <c r="H49" i="123"/>
  <c r="H52" i="123"/>
  <c r="D80" i="69" a="1"/>
  <c r="D80" i="69" s="1"/>
  <c r="J89" i="69" a="1"/>
  <c r="J89" i="69" s="1"/>
  <c r="J90" i="69" a="1"/>
  <c r="J90" i="69" s="1"/>
  <c r="J88" i="69" a="1"/>
  <c r="J88" i="69" s="1"/>
  <c r="H88" i="69" a="1"/>
  <c r="H88" i="69" s="1"/>
  <c r="D88" i="69" a="1"/>
  <c r="D88" i="69" s="1"/>
  <c r="D104" i="69" a="1"/>
  <c r="D104" i="69" s="1"/>
  <c r="E86" i="69" a="1"/>
  <c r="E86" i="69" s="1"/>
  <c r="E85" i="69" a="1"/>
  <c r="E85" i="69" s="1"/>
  <c r="D79" i="69" a="1"/>
  <c r="D79" i="69" s="1"/>
  <c r="D78" i="69" a="1"/>
  <c r="D78" i="69" s="1"/>
  <c r="J65" i="69" a="1"/>
  <c r="J65" i="69" s="1"/>
  <c r="J64" i="69" a="1"/>
  <c r="J64" i="69" s="1"/>
  <c r="J63" i="69" a="1"/>
  <c r="J63" i="69" s="1"/>
  <c r="J62" i="69" a="1"/>
  <c r="J62" i="69" s="1"/>
  <c r="J61" i="69" a="1"/>
  <c r="J61" i="69" s="1"/>
  <c r="J60" i="69" a="1"/>
  <c r="J60" i="69" s="1"/>
  <c r="E53" i="69" a="1"/>
  <c r="E81" i="69" a="1"/>
  <c r="F102" i="69" l="1"/>
  <c r="H96" i="6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G104" i="69" s="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E107" i="69" l="1" a="1"/>
  <c r="E107" i="69" s="1"/>
  <c r="H9" i="13" s="1"/>
  <c r="H10" i="13" l="1"/>
  <c r="I9" i="13"/>
  <c r="I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<sst xmlns="http://schemas.openxmlformats.org/spreadsheetml/2006/main" count="270" uniqueCount="219">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</sst>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59" fillId="0" borderId="0"/>
  </cellStyleXfs>
  <cellXfs count="12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170" fontId="8" fillId="4" borderId="0" xfId="10" applyNumberFormat="1">
      <alignment horizontal="center" vertical="center"/>
    </xf>
    <xf numFmtId="0" fontId="60"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63"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008000"/>
      <color rgb="FFC44340"/>
      <color rgb="FFFFCCCC"/>
      <color rgb="FFCC660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17"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16"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15"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14"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13"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12"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FCB453-FEE1-482A-BFAC-D3E9E454A3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828FFBA-79DA-4AA9-9BA3-4F6C7B27E6AE}" name="State/Territory">
      <calculatedColumnFormula array="1">Common_InputFunctions.Utility_DisplayArrayInTable(Common_SourceData.Common_SourceData_AustralianStatesTerritories_Data(),Table_AustralianStates[[#Headers],[State/Territory]],0)</calculatedColumnFormula>
    </tableColumn>
    <tableColumn id="2" xr3:uid="{6EAC1EE6-D45B-431A-9AA9-98252796654F}" name="Common Name">
      <calculatedColumnFormula array="1">Common_InputFunctions.Utility_DisplayArrayInTable(Common_SourceData.Common_SourceData_AustralianStatesTerritories_Data(),Table_AustralianStates[[#Headers],[State/Territory]],0)</calculatedColumnFormula>
    </tableColumn>
    <tableColumn id="3" xr3:uid="{8F9D19D2-9EFB-4E3B-AA2C-EF0483EDBE5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1DC5F7-5DC3-4870-9742-7899655413DF}" name="Table_WASA4Areas" displayName="Table_WASA4Areas" ref="D20:D30" totalsRowShown="0">
  <autoFilter ref="D20:D30" xr:uid="{5FA81339-C6C8-4D36-BEEA-6C4AEDD9E676}">
    <filterColumn colId="0" hiddenButton="1"/>
  </autoFilter>
  <tableColumns count="1">
    <tableColumn id="1" xr3:uid="{47CA6C72-4D3E-453D-A782-DDDFD7F0C15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14E28CC-45AA-40ED-BAAF-145FFC003BDE}" name="Table_GWPData" displayName="Table_GWPData" ref="D36:E43" totalsRowShown="0">
  <autoFilter ref="D36:E43" xr:uid="{B8E87A66-3E41-4AD3-925D-01EE21B43D7A}">
    <filterColumn colId="0" hiddenButton="1"/>
    <filterColumn colId="1" hiddenButton="1"/>
  </autoFilter>
  <tableColumns count="2">
    <tableColumn id="1" xr3:uid="{DFDA9E02-5032-42CA-BE00-20906FDCEA2D}" name="Gas">
      <calculatedColumnFormula array="1">Common_InputFunctions.Utility_DisplayArrayInTable(Common_SourceData.Common_SourceData_GWP_Data(), Table_GWPData[[#Headers],[Gas]], 0)</calculatedColumnFormula>
    </tableColumn>
    <tableColumn id="2" xr3:uid="{AD37BC6F-A9D1-41DA-8CAD-71D34485427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0152A7-D54E-4719-A24D-0BB70A8B2A3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36522F2-F07F-4A08-A039-7DC2365E23A4}" name="Gas">
      <calculatedColumnFormula array="1">Common_InputFunctions.Utility_DisplayArrayInTable(Common_SourceData.Common_SourceData_ConvertGasElementalToMolecular_Data(),Table_GasToMolecularConversionFactor[[#Headers],[Gas]], 0)</calculatedColumnFormula>
    </tableColumn>
    <tableColumn id="5" xr3:uid="{28EE11EF-7F4A-48EF-8FAB-96835A2C4E2A}" name="Conversion factor">
      <calculatedColumnFormula array="1">Common_InputFunctions.Utility_DisplayArrayInTable(Common_SourceData.Common_SourceData_ConvertGasElementalToMolecular_Data(),Table_GasToMolecularConversionFactor[[#Headers],[Gas]], 0)</calculatedColumnFormula>
    </tableColumn>
    <tableColumn id="2" xr3:uid="{640674E2-BD17-4618-911C-FFD3B88B4EE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4566824-CB9F-4500-B2DA-B55F300EE3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13C8433-1315-47C5-AE77-82CEF6732F2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754E2B-817D-42D8-8435-E3D33FAE56F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A74A3E-5061-47A6-8030-EA9216D75D9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B6F04A8-621B-4051-A35D-2A2C8653074B}" name="MA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3" xr3:uid="{8636EC23-22B8-4BD0-8DD2-E1DE69C015A6}" name="MA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4" xr3:uid="{1560BDC1-05AF-4BC0-9BE0-29EBB27EF171}" name="Frost days per year"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5" xr3:uid="{E5BECF75-F7E9-4C48-A0DA-6DD96FF93513}" name="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6" xr3:uid="{A85827CC-F0DD-4E58-A715-47629180F9F8}" name="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7" xr3:uid="{D2FCA055-FEEA-4412-8363-1A9328DA27B8}" name="Min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8" xr3:uid="{ECAE64EA-FABE-4DF7-80F6-9ED55A298129}" name="Max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9" xr3:uid="{1E5C9E90-CAAE-4528-BCF3-C3612CBEF639}" name="Min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0" xr3:uid="{DEDB3BEA-7235-4372-ADB8-C010C609A0EE}" name="Max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1" xr3:uid="{2A9B2BDB-8DD5-4965-8A9E-7CC374E90506}" name="Min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5" xr3:uid="{B24D432C-8930-4CDD-B039-383120ADF036}" name="Max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2" xr3:uid="{5DBD679E-FD12-4E8A-9BB3-F080320895CD}" name="Min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6" xr3:uid="{DDD35B50-B1E6-4E73-952E-251F61DF59C2}" name="Max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3" xr3:uid="{D568682A-DB8C-4864-AEDE-60983BBD52AE}" name="Min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7" xr3:uid="{5A9339C1-8665-4C20-947A-83DCCBE5675A}" name="Max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AC9E643-8F59-4214-A48E-5B02DB4441B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C2C197D-3221-4569-981F-0E627D20F9D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F25238C-0675-4265-8072-B3C358591C2F}" name="Wet or Dry Zone" totalsRowDxfId="3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FF1D251-FBBC-4EC6-A09C-D3A85501871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51E5E40-ABC0-44B2-99E8-5FB2AB59883D}" name="Temperature Zone">
      <calculatedColumnFormula array="1">Common_InputFunctions.Utility_DisplayArrayInTable(Common_SourceData.Common_SourceData_TemperatureZones_Data(),Table_SourceData_TemperatureZones[[#Headers],[Temperature Zone]],0)</calculatedColumnFormula>
    </tableColumn>
    <tableColumn id="2" xr3:uid="{B6343D17-E2F9-4B74-A776-B2C9CDA05D43}" name="MAT">
      <calculatedColumnFormula array="1">Common_InputFunctions.Utility_DisplayArrayInTable(Common_SourceData.Common_SourceData_TemperatureZones_Data(),Table_SourceData_TemperatureZones[[#Headers],[Temperature Zone]],0)</calculatedColumnFormula>
    </tableColumn>
    <tableColumn id="3" xr3:uid="{4BB2DB7E-EC16-4FF5-A961-5BFE0527D3AD}" name="Min MAT">
      <calculatedColumnFormula array="1">Common_InputFunctions.Utility_DisplayArrayInTable(Common_SourceData.Common_SourceData_TemperatureZones_Data(),Table_SourceData_TemperatureZones[[#Headers],[Temperature Zone]],0)</calculatedColumnFormula>
    </tableColumn>
    <tableColumn id="4" xr3:uid="{DEE39425-81BF-46C2-807D-97869D98429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A424095-7457-4068-BE9F-BD21AC5A05C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52D77C7-C92C-4C12-9E51-BB1505707127}" name="Rainfall Zone">
      <calculatedColumnFormula array="1">Common_InputFunctions.Utility_DisplayArrayInTable(Common_SourceData.Common_SourceData_RainfallZones_Data(),Table_SourceData_RainfallZones[[#Headers],[Rainfall Zone]],0)</calculatedColumnFormula>
    </tableColumn>
    <tableColumn id="2" xr3:uid="{D650BDAF-7CF3-4515-88CB-4937F33A9122}" name="Annual rainfall">
      <calculatedColumnFormula array="1">Common_InputFunctions.Utility_DisplayArrayInTable(Common_SourceData.Common_SourceData_RainfallZones_Data(),Table_SourceData_RainfallZones[[#Headers],[Rainfall Zone]],0)</calculatedColumnFormula>
    </tableColumn>
    <tableColumn id="3" xr3:uid="{9620A713-3B6E-40E6-95FB-4A59D93CB8FF}" name="Min rainfall">
      <calculatedColumnFormula array="1">Common_InputFunctions.Utility_DisplayArrayInTable(Common_SourceData.Common_SourceData_RainfallZones_Data(),Table_SourceData_RainfallZones[[#Headers],[Rainfall Zone]],0)</calculatedColumnFormula>
    </tableColumn>
    <tableColumn id="4" xr3:uid="{093DFCFA-8B39-4B33-9CE4-0E6A290931C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3E235FE-1F6D-42F4-B5D8-69E9C258DF3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AC4DB7-3868-405C-A4EE-244DAA8CA4CA}" name="Leaching Zone">
      <calculatedColumnFormula array="1">Common_InputFunctions.Utility_DisplayArrayInTable(Common_SourceData.Common_SourceData_LeachingZones_Data(), Table_SourceData_LeachingZones[[#Headers],[Leaching Zone]], 0)</calculatedColumnFormula>
    </tableColumn>
    <tableColumn id="2" xr3:uid="{CAFC82A1-44DE-4BC0-A35B-FDCF13AD8B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6F2AB68-0487-4E15-ABDE-F9AFC04D125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33AC771-C520-48F3-9C25-6F07EAEA6C28}" name="Data source">
      <calculatedColumnFormula array="1">Common_InputFunctions.Utility_DisplayArrayInTable(Common_SourceData.Common_SourceData_DataScores_Scope3_Data(), Table_SourceData_DataScores_Scope3[[#Headers],[Data source]], 0)</calculatedColumnFormula>
    </tableColumn>
    <tableColumn id="2" xr3:uid="{750DFA8A-319D-4C61-BD10-ABAF1207152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B952FFA-D3F3-49D8-ACD7-DFCD487041D7}" name="Table_SourceData_FracWET" displayName="Table_SourceData_FracWET" ref="D134:E136" totalsRowShown="0">
  <autoFilter ref="D134:E136" xr:uid="{308E99BE-FE1F-47A4-B2CA-97217277C4E9}">
    <filterColumn colId="0" hiddenButton="1"/>
    <filterColumn colId="1" hiddenButton="1"/>
  </autoFilter>
  <tableColumns count="2">
    <tableColumn id="1" xr3:uid="{46856F61-E4F9-41D9-B151-9E5505BC5F86}" name="Is in leaching zone">
      <calculatedColumnFormula array="1">Common_InputFunctions.Utility_DisplayArrayInTable(Common_SourceData.Common_SourceData_FracWET_Data(),Table_SourceData_FracWET[[#Headers],[Is in leaching zone]],0)</calculatedColumnFormula>
    </tableColumn>
    <tableColumn id="2" xr3:uid="{2D9EB9A7-3185-4F34-B809-D56279CC4BB1}" name="FracWET" dataDxfId="3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CFF8B4F-9548-454A-99E7-C31847718C9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242A36E-68A9-4DF1-A161-012FA5412FE3}" name="Production system j">
      <calculatedColumnFormula array="1">Common_InputFunctions.Utility_DisplayArrayInTable(Common_SourceData.Common_SourceData_EFN2O_Data(), Table_SourceData_Common_EFN2O[[#Headers],[Production system j]], 0)</calculatedColumnFormula>
    </tableColumn>
    <tableColumn id="2" xr3:uid="{4EF579F0-7821-414A-8272-0A0B78B919E9}" name="EFN2O">
      <calculatedColumnFormula array="1">Common_InputFunctions.Utility_DisplayArrayInTable(Common_SourceData.Common_SourceData_EFN2O_Data(), Table_SourceData_Common_EFN2O[[#Headers],[Production system j]], 0)</calculatedColumnFormula>
    </tableColumn>
    <tableColumn id="3" xr3:uid="{7743F284-7A28-49A8-9A54-B01C3CE6ED83}" name="Production system only">
      <calculatedColumnFormula array="1">Common_InputFunctions.Utility_DisplayArrayInTable(Common_SourceData.Common_SourceData_EFN2O_Data(), Table_SourceData_Common_EFN2O[[#Headers],[Production system j]], 0)</calculatedColumnFormula>
    </tableColumn>
    <tableColumn id="4" xr3:uid="{95FBFB9E-5B69-4381-9670-3C09ADFDD885}" name="Irrigation method">
      <calculatedColumnFormula array="1">Common_InputFunctions.Utility_DisplayArrayInTable(Common_SourceData.Common_SourceData_EFN2O_Data(), Table_SourceData_Common_EFN2O[[#Headers],[Production system j]], 0)</calculatedColumnFormula>
    </tableColumn>
    <tableColumn id="5" xr3:uid="{828328D9-66FC-4870-9A7B-61890070F3A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A6D4B88-3919-45F7-BC73-82A69809409A}"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0A47335-A8FB-46FC-B7E9-AC6AA878DCC8}" name="Irrigation type i">
      <calculatedColumnFormula array="1">Common_InputFunctions.Utility_DisplayArrayInTable(Common_SourceData.Common_SourceData_FracWETIrrigation_Data(), Table_SourceData_FracWETIrrigation[[#Headers],[Irrigation type i]], 0)</calculatedColumnFormula>
    </tableColumn>
    <tableColumn id="2" xr3:uid="{88B7F4E8-95FC-456E-A01A-58EB69F2393C}" name="FracWET" dataDxfId="3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DD9BE02-43C9-4AFB-A524-F20FA42B42B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8AE55F0-3864-4838-B1AA-9922EB348C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6D3852E-548B-4F6F-9ED5-DCC5BC4382E1}" name="EFPRP" dataDxfId="3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69A80D2-C93C-4008-A7DB-B02DF04CBAA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A5FBEFC-8533-434E-9B31-D5E0D48337B5}" name="Month">
      <calculatedColumnFormula array="1">Common_InputFunctions.Utility_DisplayArrayInTable(Common_SourceData.Common_SourceData_MonthsToSeasons_Data(), Table_SourceData_Common_MonthToSeason[[#Headers],[Month]], 0)</calculatedColumnFormula>
    </tableColumn>
    <tableColumn id="2" xr3:uid="{1E5F297D-5900-4961-8155-AA98427EA154}" name="Season" dataDxfId="3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7F253F1-DBB2-4944-9FAC-DBD7E4C39CE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880DFA9-4770-4EA9-B95D-E892950F19A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5B3D070-513E-45C3-A27A-03FFEF32C03D}" name="MAT (ºC)"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74B00-1F76-415E-8C0E-233FA6FC6CAD}" name="Anaerobic lago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2E3287B-0B90-4ED3-94ED-8AAC8852C649}" name="Digester / covered lagoon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28CD235-7AEA-4DF0-AF2D-D8A180980EA8}" name="Liquid system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65CB696-E6D7-4F8F-A63F-AF7CEC48F8F4}" name="Daily spread"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8F82A9-1A1A-4006-A799-CDD9E6F10152}" name="Composting (passive windro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41CA8CB-EF6E-40E4-8EEB-68D900FABA06}" name="Solid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AF1A9A7-D66C-48E5-AC96-AB98D42B2E6B}" name="Pit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7FFA168-6E48-4561-A5BE-04B97B001D68}" name="Deep litter"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9D98416-34D7-492D-8D63-54389787A755}" name="Poultry manure with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A25358C-E587-468E-ACBF-87553788571E}" name="Poultry manure without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46D367C-D840-4832-82EF-F3251D2E1C1A}" name="Direct process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1420DC8-6446-472C-B952-507B5803D943}" name="Direct applicati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E38AA7F-EDE4-443E-A9BC-B0E080B747BF}" name="Pasture range and paddock"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304A499-8C10-4B7E-94F8-36ABB47BD9B3}" name="MAT raw"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5CC4DB-41D6-4944-B2C3-53A555F260A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A98287-2305-4B17-96A7-D8B36F33360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AB3D80A-FEB2-412B-9382-BF38487C1DA8}" name="EFNi &amp; EFN2Oi" dataDxfId="1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77DA04E-4263-4CF9-AF43-D01A828FDEC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C2125AA-4EC3-429D-9736-197FDE57E38B}" name="Description" dataDxfId="18" dataCellStyle="Content normal"/>
    <tableColumn id="1" xr3:uid="{ED0F5991-497C-49C7-BCB7-48A3D5DC69C6}" name="ID"/>
    <tableColumn id="3" xr3:uid="{5C87EF9E-A04E-4278-835D-E7C29D72AD3E}"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E8B37ADA-C4EF-4FF9-87DE-942AEACBFE0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C212FDDB-0F55-4869-B355-2CC4627668C9}" name="Description"/>
    <tableColumn id="2" xr3:uid="{D92B8EE5-E794-4B12-A8B9-7F1C93C9B385}" name="ID"/>
    <tableColumn id="3" xr3:uid="{19F95C82-EB1A-451B-BD80-B20C6BD96813}"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E5F237D-EDF9-4999-B9F9-855807C18212}"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14712BB-ABD6-475A-92F9-3859CB764427}" name="Description"/>
    <tableColumn id="2" xr3:uid="{7FC1AD1F-445C-4731-98A4-B1D7A5DB9A58}" name="ID"/>
    <tableColumn id="3" xr3:uid="{406F1562-A584-4BF8-9957-56728115C343}"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F36868B-CB6F-4BBD-8063-ADBF89DFCAE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E8BFAA01-CB9B-44EE-8A22-7FF621A416CA}" name="Description"/>
    <tableColumn id="2" xr3:uid="{37AC1E15-4AA6-4E2E-9CA8-EB0F44C96997}" name="ID"/>
    <tableColumn id="3" xr3:uid="{7893BEAC-52E2-4850-9FC4-9DE634FE320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9" sqref="A19"/>
    </sheetView>
  </sheetViews>
  <sheetFormatPr defaultRowHeight="15" x14ac:dyDescent="0.25"/>
  <sheetData>
    <row r="1" spans="1:1" x14ac:dyDescent="0.25">
      <c r="A1" t="s">
        <v>170</v>
      </c>
    </row>
    <row r="3" spans="1:1" x14ac:dyDescent="0.25">
      <c r="A3" s="119" t="str">
        <f>HYPERLINK("#'Home'!A1", "Home")</f>
        <v>Home</v>
      </c>
    </row>
    <row r="6" spans="1:1" x14ac:dyDescent="0.25">
      <c r="A6" s="118"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AV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6" t="e" vm="1">
        <v>#VALUE!</v>
      </c>
      <c r="C1" s="111" t="s">
        <v>165</v>
      </c>
      <c r="D1" s="112"/>
      <c r="E1" s="112"/>
      <c r="F1" s="112"/>
      <c r="G1" s="112"/>
      <c r="H1" s="112"/>
      <c r="I1" s="112"/>
      <c r="J1" s="112"/>
      <c r="K1" s="112"/>
      <c r="L1" s="112"/>
      <c r="M1" s="112"/>
      <c r="N1" s="112"/>
      <c r="O1" s="112"/>
      <c r="P1" s="112"/>
      <c r="Q1" s="112"/>
      <c r="R1" s="112"/>
      <c r="S1" s="112"/>
      <c r="T1" s="112"/>
      <c r="U1" s="112"/>
      <c r="V1" s="112"/>
      <c r="W1" s="112"/>
      <c r="X1" s="112"/>
      <c r="Y1" s="112"/>
      <c r="Z1" s="112"/>
      <c r="AA1" s="112"/>
      <c r="AB1" s="112"/>
      <c r="AC1" s="112"/>
      <c r="AD1" s="112"/>
      <c r="AE1" s="112"/>
      <c r="AF1" s="112"/>
      <c r="AG1" s="112"/>
      <c r="AH1" s="112"/>
      <c r="AI1" s="112"/>
      <c r="AJ1" s="112"/>
      <c r="AK1" s="112"/>
      <c r="AL1" s="112"/>
      <c r="AM1" s="112"/>
      <c r="AN1" s="112"/>
      <c r="AO1" s="112"/>
    </row>
    <row r="2" spans="1:42" ht="20.100000000000001" customHeight="1" x14ac:dyDescent="0.25">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c r="AF2" s="112"/>
      <c r="AG2" s="112"/>
      <c r="AH2" s="112"/>
      <c r="AI2" s="112"/>
      <c r="AJ2" s="112"/>
      <c r="AK2" s="112"/>
      <c r="AL2" s="112"/>
      <c r="AM2" s="112"/>
      <c r="AN2" s="112"/>
      <c r="AO2" s="112"/>
      <c r="AP2" s="113"/>
    </row>
    <row r="3" spans="1:42" ht="20.100000000000001" customHeight="1" x14ac:dyDescent="0.25">
      <c r="A3" s="17" t="str">
        <f>HYPERLINK("#'Home'!A1", "Home")</f>
        <v>Home</v>
      </c>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c r="AJ3" s="114"/>
      <c r="AK3" s="114"/>
      <c r="AL3" s="114"/>
      <c r="AM3" s="114"/>
      <c r="AN3" s="114"/>
      <c r="AO3" s="114"/>
    </row>
    <row r="4" spans="1:42" ht="20.100000000000001" customHeight="1" x14ac:dyDescent="0.25">
      <c r="A4" s="98" t="str">
        <f>HYPERLINK("#'Overview'!A1", "Overview")</f>
        <v>Overview</v>
      </c>
    </row>
    <row r="5" spans="1:42" ht="20.100000000000001" customHeight="1" x14ac:dyDescent="0.25">
      <c r="A5" s="17" t="str">
        <f>HYPERLINK("#'Results'!A1", "Results")</f>
        <v>Results</v>
      </c>
      <c r="D5" s="95" t="s">
        <v>101</v>
      </c>
      <c r="E5" s="78"/>
      <c r="F5" s="78"/>
      <c r="G5" s="78"/>
      <c r="H5" s="78"/>
      <c r="I5" s="78"/>
      <c r="J5" s="78"/>
      <c r="K5" s="78"/>
      <c r="L5" s="78"/>
      <c r="M5" s="78"/>
      <c r="N5" s="78"/>
      <c r="O5" s="74"/>
    </row>
    <row r="6" spans="1:42" ht="20.100000000000001" customHeight="1" x14ac:dyDescent="0.25">
      <c r="D6" s="115" t="s">
        <v>102</v>
      </c>
      <c r="E6" s="77"/>
      <c r="F6" s="77"/>
      <c r="G6" s="77"/>
      <c r="H6" s="77"/>
      <c r="I6" s="77"/>
      <c r="J6" s="77"/>
      <c r="K6" s="77"/>
      <c r="L6" s="77"/>
      <c r="M6" s="77"/>
      <c r="N6" s="77"/>
      <c r="O6" s="75"/>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Rice'!A1", "Rice")</f>
        <v>Rice</v>
      </c>
    </row>
    <row r="11" spans="1:42" ht="20.100000000000001" customHeight="1" x14ac:dyDescent="0.25"/>
    <row r="12" spans="1:42" ht="20.100000000000001" customHeight="1" x14ac:dyDescent="0.25"/>
    <row r="13" spans="1:42" ht="20.100000000000001" customHeight="1" x14ac:dyDescent="0.25">
      <c r="A13" s="18" t="s">
        <v>51</v>
      </c>
    </row>
    <row r="14" spans="1:42" ht="20.100000000000001" customHeight="1" x14ac:dyDescent="0.25">
      <c r="A14" s="17" t="str">
        <f>HYPERLINK("#'7.1.1-2 Rice cultivation'!A1", "7.1.1-2 Rice cultivation")</f>
        <v>7.1.1-2 Rice cultivation</v>
      </c>
    </row>
    <row r="15" spans="1:42" ht="20.100000000000001" customHeight="1" x14ac:dyDescent="0.25"/>
    <row r="16" spans="1:42" ht="20.100000000000001" customHeight="1" x14ac:dyDescent="0.25"/>
    <row r="17" spans="1:1" ht="20.100000000000001" customHeight="1" x14ac:dyDescent="0.25">
      <c r="A17" s="118" t="s">
        <v>1</v>
      </c>
    </row>
    <row r="18" spans="1:1" ht="20.100000000000001" customHeight="1" x14ac:dyDescent="0.25">
      <c r="A18" s="17" t="str">
        <f>HYPERLINK("#'Constants - Rice cultivation'!A1", "Constants - Rice cultivation")</f>
        <v>Constants - Rice cultivation</v>
      </c>
    </row>
    <row r="19" spans="1:1" ht="20.100000000000001" customHeight="1" x14ac:dyDescent="0.25">
      <c r="A19" s="17"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99</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6" t="e" vm="1">
        <v>#VALUE!</v>
      </c>
      <c r="C1" s="111" t="s">
        <v>166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98" t="str">
        <f>HYPERLINK("#'Results'!A1", "Results")</f>
        <v>Results</v>
      </c>
      <c r="C5" s="21"/>
      <c r="D5" s="25"/>
      <c r="E5" s="26"/>
      <c r="F5" s="26"/>
      <c r="G5" s="26"/>
      <c r="H5" s="23"/>
      <c r="I5" s="21"/>
      <c r="J5" s="21"/>
      <c r="K5" s="21"/>
    </row>
    <row r="6" spans="1:11" ht="20.100000000000001" customHeight="1" x14ac:dyDescent="0.25">
      <c r="C6" s="21"/>
      <c r="D6" s="80" t="s">
        <v>98</v>
      </c>
      <c r="E6" s="76"/>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93" t="s">
        <v>62</v>
      </c>
      <c r="E8" s="93" t="s">
        <v>74</v>
      </c>
      <c r="F8" s="93" t="s">
        <v>75</v>
      </c>
      <c r="G8" s="93" t="s">
        <v>68</v>
      </c>
      <c r="H8" s="93" t="s">
        <v>76</v>
      </c>
      <c r="I8" s="93" t="s">
        <v>77</v>
      </c>
      <c r="J8" s="93" t="s">
        <v>69</v>
      </c>
      <c r="K8" s="21"/>
    </row>
    <row r="9" spans="1:11" ht="20.100000000000001" customHeight="1" x14ac:dyDescent="0.25">
      <c r="A9" s="17" t="str">
        <f>HYPERLINK("#'Input - Site'!A1", "Site")</f>
        <v>Site</v>
      </c>
      <c r="C9" s="21"/>
      <c r="D9" s="1" t="s">
        <v>164</v>
      </c>
      <c r="E9" s="110">
        <f>VEERG_7_1_1_1__1_MethaneEmissionsFromRiceCultivation_Result_Method1</f>
        <v>98.450769394817939</v>
      </c>
      <c r="F9" s="110">
        <f>E9</f>
        <v>98.450769394817939</v>
      </c>
      <c r="G9" s="48" t="s">
        <v>79</v>
      </c>
      <c r="H9" s="91">
        <f>'7.1.1-2 Rice cultivation'!$E$107</f>
        <v>2756.6215430549023</v>
      </c>
      <c r="I9" s="91">
        <f>H9</f>
        <v>2756.6215430549023</v>
      </c>
      <c r="J9" s="48" t="s">
        <v>72</v>
      </c>
      <c r="K9" s="21"/>
    </row>
    <row r="10" spans="1:11" ht="20.100000000000001" customHeight="1" x14ac:dyDescent="0.3">
      <c r="A10" s="17" t="str">
        <f>HYPERLINK("#'Input - Rice'!A1", "Rice")</f>
        <v>Rice</v>
      </c>
      <c r="C10" s="21"/>
      <c r="D10" s="28" t="s">
        <v>67</v>
      </c>
      <c r="E10" s="22"/>
      <c r="F10" s="22"/>
      <c r="G10" s="28"/>
      <c r="H10" s="92">
        <f>SUM(H9:H9)</f>
        <v>2756.6215430549023</v>
      </c>
      <c r="I10" s="92">
        <f>SUM(I9:I9)</f>
        <v>2756.6215430549023</v>
      </c>
      <c r="J10" s="88" t="s">
        <v>72</v>
      </c>
      <c r="K10" s="21"/>
    </row>
    <row r="11" spans="1:11" ht="20.100000000000001" customHeight="1" x14ac:dyDescent="0.25">
      <c r="C11" s="21"/>
      <c r="D11" s="1"/>
      <c r="E11" s="1"/>
      <c r="F11" s="1"/>
      <c r="G11" s="1"/>
      <c r="H11" s="1"/>
      <c r="I11" s="1"/>
      <c r="J11" s="1"/>
      <c r="K11" s="21"/>
    </row>
    <row r="12" spans="1:11" ht="20.100000000000001" customHeight="1" x14ac:dyDescent="0.25">
      <c r="C12" s="21"/>
      <c r="D12" s="89"/>
      <c r="E12" s="89"/>
      <c r="F12" s="89"/>
      <c r="G12" s="89"/>
      <c r="H12" s="89"/>
      <c r="I12" s="89"/>
      <c r="J12" s="89"/>
      <c r="K12" s="21"/>
    </row>
    <row r="13" spans="1:11" ht="20.100000000000001" customHeight="1" x14ac:dyDescent="0.25">
      <c r="A13" s="18" t="s">
        <v>51</v>
      </c>
      <c r="C13" s="21"/>
      <c r="D13" s="89"/>
      <c r="E13" s="1"/>
      <c r="F13" s="1"/>
      <c r="G13" s="1"/>
      <c r="H13" s="1"/>
      <c r="I13" s="1"/>
      <c r="J13" s="21"/>
      <c r="K13" s="21"/>
    </row>
    <row r="14" spans="1:11" ht="20.100000000000001" customHeight="1" x14ac:dyDescent="0.25">
      <c r="A14" s="17" t="str">
        <f>HYPERLINK("#'7.1.1-2 Rice cultivation'!A1", "7.1.1-2 Rice cultivation")</f>
        <v>7.1.1-2 Rice cultivation</v>
      </c>
      <c r="C14" s="21"/>
      <c r="D14" s="96"/>
      <c r="E14" s="1"/>
      <c r="F14" s="1"/>
      <c r="G14" s="1"/>
      <c r="H14" s="1"/>
      <c r="I14" s="1"/>
      <c r="J14" s="21"/>
      <c r="K14" s="21"/>
    </row>
    <row r="15" spans="1:11" ht="20.100000000000001" customHeight="1" x14ac:dyDescent="0.25">
      <c r="C15" s="21"/>
      <c r="D15" s="1"/>
      <c r="E15" s="1"/>
      <c r="F15" s="1"/>
      <c r="G15" s="1"/>
      <c r="H15" s="1"/>
      <c r="I15" s="1"/>
      <c r="J15" s="21"/>
      <c r="K15" s="21"/>
    </row>
    <row r="16" spans="1:11" ht="20.100000000000001" customHeight="1" x14ac:dyDescent="0.25">
      <c r="C16" s="21"/>
      <c r="D16" s="1"/>
      <c r="E16" s="1"/>
      <c r="F16" s="1"/>
      <c r="G16" s="1"/>
      <c r="H16" s="1"/>
      <c r="I16" s="1"/>
      <c r="J16" s="21"/>
      <c r="K16" s="21"/>
    </row>
    <row r="17" spans="1:11" ht="20.100000000000001" customHeight="1" x14ac:dyDescent="0.25">
      <c r="A17" s="118" t="s">
        <v>1</v>
      </c>
      <c r="C17" s="21"/>
      <c r="D17" s="1"/>
      <c r="E17" s="94"/>
      <c r="F17" s="48"/>
      <c r="G17" s="1"/>
      <c r="H17" s="1"/>
      <c r="I17" s="21"/>
      <c r="J17" s="21"/>
      <c r="K17" s="21"/>
    </row>
    <row r="18" spans="1:11" ht="20.100000000000001" customHeight="1" x14ac:dyDescent="0.25">
      <c r="A18" s="17" t="str">
        <f>HYPERLINK("#'Constants - Rice cultivation'!A1", "Constants - Rice cultivation")</f>
        <v>Constants - Rice cultivation</v>
      </c>
      <c r="C18" s="21"/>
      <c r="D18" s="1"/>
      <c r="E18" s="1"/>
      <c r="F18" s="1"/>
      <c r="G18" s="1"/>
      <c r="H18" s="1"/>
      <c r="I18" s="1"/>
      <c r="J18" s="1"/>
      <c r="K18" s="21"/>
    </row>
    <row r="19" spans="1:11" ht="20.100000000000001" customHeight="1" x14ac:dyDescent="0.25">
      <c r="A19" s="17" t="str">
        <f>HYPERLINK("#'Constants - Common'!A1", "Constants - Common")</f>
        <v>Constants - Common</v>
      </c>
      <c r="C19" s="21"/>
      <c r="D19" s="1"/>
      <c r="E19" s="1"/>
      <c r="F19" s="1"/>
      <c r="G19" s="1"/>
      <c r="H19" s="1"/>
      <c r="I19" s="1"/>
      <c r="J19" s="1"/>
      <c r="K19" s="21"/>
    </row>
    <row r="20" spans="1:11" ht="20.100000000000001" customHeight="1" x14ac:dyDescent="0.25">
      <c r="C20" s="21"/>
      <c r="D20" s="1"/>
      <c r="E20" s="1"/>
      <c r="F20" s="1"/>
      <c r="G20" s="1"/>
      <c r="H20" s="1"/>
      <c r="I20" s="1"/>
      <c r="J20" s="1"/>
      <c r="K20" s="21"/>
    </row>
    <row r="21" spans="1:11" ht="20.100000000000001" customHeight="1" x14ac:dyDescent="0.25">
      <c r="C21" s="21"/>
      <c r="D21" s="1"/>
      <c r="E21" s="1"/>
      <c r="F21" s="1"/>
      <c r="G21" s="1"/>
      <c r="H21" s="1"/>
      <c r="I21" s="1"/>
      <c r="J21" s="1"/>
      <c r="K21" s="21"/>
    </row>
    <row r="22" spans="1:11" ht="20.100000000000001" customHeight="1" x14ac:dyDescent="0.25">
      <c r="C22" s="21"/>
      <c r="D22" s="1"/>
      <c r="E22" s="1"/>
      <c r="F22" s="1"/>
      <c r="G22" s="1"/>
      <c r="H22" s="1"/>
      <c r="I22" s="1"/>
      <c r="J22" s="1"/>
      <c r="K22" s="21"/>
    </row>
    <row r="23" spans="1:11" ht="20.100000000000001" customHeight="1" x14ac:dyDescent="0.25">
      <c r="C23" s="21"/>
      <c r="D23" s="1"/>
      <c r="E23" s="1"/>
      <c r="F23" s="1"/>
      <c r="G23" s="1"/>
      <c r="H23" s="1"/>
      <c r="I23" s="1"/>
      <c r="J23" s="1"/>
      <c r="K23" s="21"/>
    </row>
    <row r="24" spans="1:11" ht="20.100000000000001" customHeight="1" x14ac:dyDescent="0.25">
      <c r="C24" s="21"/>
      <c r="D24" s="1"/>
      <c r="E24" s="1"/>
      <c r="F24" s="1"/>
      <c r="G24" s="1"/>
      <c r="H24" s="1"/>
      <c r="I24" s="1"/>
      <c r="J24" s="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0"/>
      <c r="J38" s="90"/>
      <c r="K38" s="21"/>
    </row>
    <row r="39" spans="3:11" ht="20.100000000000001" customHeight="1" x14ac:dyDescent="0.25">
      <c r="C39" s="21"/>
      <c r="D39" s="1"/>
      <c r="E39" s="1"/>
      <c r="F39" s="1"/>
      <c r="G39" s="1"/>
      <c r="H39" s="1"/>
      <c r="I39" s="90"/>
      <c r="J39" s="90"/>
      <c r="K39" s="21"/>
    </row>
    <row r="40" spans="3:11" ht="20.100000000000001" customHeight="1" x14ac:dyDescent="0.25">
      <c r="C40" s="21"/>
      <c r="D40" s="1"/>
      <c r="E40" s="1"/>
      <c r="F40" s="1"/>
      <c r="G40" s="1"/>
      <c r="H40" s="1"/>
      <c r="I40" s="90"/>
      <c r="J40" s="90"/>
      <c r="K40" s="21"/>
    </row>
    <row r="41" spans="3:11" ht="20.100000000000001" customHeight="1" x14ac:dyDescent="0.25">
      <c r="C41" s="21"/>
      <c r="D41" s="1"/>
      <c r="E41" s="1"/>
      <c r="F41" s="1"/>
      <c r="G41" s="1"/>
      <c r="H41" s="1"/>
      <c r="I41" s="90"/>
      <c r="J41" s="90"/>
      <c r="K41" s="21"/>
    </row>
    <row r="42" spans="3:11" ht="20.100000000000001" customHeight="1" x14ac:dyDescent="0.25">
      <c r="C42" s="21"/>
      <c r="D42" s="1"/>
      <c r="E42" s="1"/>
      <c r="F42" s="1"/>
      <c r="G42" s="1"/>
      <c r="H42" s="1"/>
      <c r="I42" s="90"/>
      <c r="J42" s="90"/>
      <c r="K42" s="21"/>
    </row>
    <row r="43" spans="3:11" ht="20.100000000000001" customHeight="1" x14ac:dyDescent="0.25">
      <c r="C43" s="21"/>
      <c r="D43" s="1"/>
      <c r="E43" s="1"/>
      <c r="F43" s="1"/>
      <c r="G43" s="1"/>
      <c r="H43" s="1"/>
      <c r="I43" s="90"/>
      <c r="J43" s="90"/>
      <c r="K43" s="21"/>
    </row>
    <row r="44" spans="3:11" ht="20.100000000000001" customHeight="1" x14ac:dyDescent="0.25">
      <c r="C44" s="21"/>
      <c r="D44" s="1"/>
      <c r="E44" s="1"/>
      <c r="F44" s="1"/>
      <c r="G44" s="1"/>
      <c r="H44" s="1"/>
      <c r="I44" s="90"/>
      <c r="J44" s="90"/>
      <c r="K44" s="21"/>
    </row>
    <row r="45" spans="3:11" ht="20.100000000000001" customHeight="1" x14ac:dyDescent="0.25">
      <c r="C45" s="21"/>
      <c r="D45" s="1"/>
      <c r="E45" s="1"/>
      <c r="F45" s="1"/>
      <c r="G45" s="1"/>
      <c r="H45" s="1"/>
      <c r="I45" s="90"/>
      <c r="J45" s="90"/>
      <c r="K45" s="21"/>
    </row>
    <row r="46" spans="3:11" ht="20.100000000000001" customHeight="1" x14ac:dyDescent="0.25">
      <c r="C46" s="21"/>
      <c r="D46" s="1"/>
      <c r="E46" s="1"/>
      <c r="F46" s="1"/>
      <c r="G46" s="1"/>
      <c r="H46" s="1"/>
      <c r="I46" s="90"/>
      <c r="J46" s="90"/>
      <c r="K46" s="21"/>
    </row>
    <row r="47" spans="3:11" ht="20.100000000000001" customHeight="1" x14ac:dyDescent="0.25">
      <c r="C47" s="21"/>
      <c r="D47" s="1"/>
      <c r="E47" s="1"/>
      <c r="F47" s="1"/>
      <c r="G47" s="1"/>
      <c r="H47" s="1"/>
      <c r="I47" s="90"/>
      <c r="J47" s="90"/>
      <c r="K47" s="21"/>
    </row>
    <row r="48" spans="3:11" ht="20.100000000000001" customHeight="1" x14ac:dyDescent="0.25">
      <c r="C48" s="21"/>
      <c r="D48" s="1"/>
      <c r="E48" s="1"/>
      <c r="F48" s="1"/>
      <c r="G48" s="1"/>
      <c r="H48" s="1"/>
      <c r="I48" s="90"/>
      <c r="J48" s="90"/>
      <c r="K48" s="21"/>
    </row>
    <row r="49" spans="3:11" ht="20.100000000000001" customHeight="1" x14ac:dyDescent="0.25">
      <c r="C49" s="21"/>
      <c r="D49" s="1"/>
      <c r="E49" s="1"/>
      <c r="F49" s="1"/>
      <c r="G49" s="1"/>
      <c r="H49" s="90"/>
      <c r="I49" s="90"/>
      <c r="J49" s="90"/>
      <c r="K49" s="21"/>
    </row>
    <row r="50" spans="3:11" ht="20.100000000000001" customHeight="1" x14ac:dyDescent="0.25">
      <c r="C50" s="21"/>
      <c r="D50" s="1"/>
      <c r="E50" s="1"/>
      <c r="F50" s="1"/>
      <c r="G50" s="1"/>
      <c r="H50" s="90"/>
      <c r="I50" s="90"/>
      <c r="J50" s="90"/>
      <c r="K50" s="21"/>
    </row>
    <row r="51" spans="3:11" ht="20.100000000000001" customHeight="1" x14ac:dyDescent="0.25">
      <c r="C51" s="21"/>
      <c r="D51" s="1"/>
      <c r="E51" s="1"/>
      <c r="F51" s="1"/>
      <c r="G51" s="1"/>
      <c r="H51" s="90"/>
      <c r="I51" s="90"/>
      <c r="J51" s="90"/>
      <c r="K51" s="21"/>
    </row>
    <row r="52" spans="3:11" ht="20.100000000000001" customHeight="1" x14ac:dyDescent="0.25">
      <c r="C52" s="21"/>
      <c r="D52" s="1"/>
      <c r="E52" s="1"/>
      <c r="F52" s="1"/>
      <c r="G52" s="1"/>
      <c r="H52" s="90"/>
      <c r="I52" s="90"/>
      <c r="J52" s="90"/>
      <c r="K52" s="21"/>
    </row>
    <row r="53" spans="3:11" ht="20.100000000000001" customHeight="1" x14ac:dyDescent="0.25">
      <c r="C53" s="21"/>
      <c r="D53" s="1"/>
      <c r="E53" s="1"/>
      <c r="F53" s="1"/>
      <c r="G53" s="1"/>
      <c r="H53" s="90"/>
      <c r="I53" s="90"/>
      <c r="J53" s="9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6"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7"/>
      <c r="D4" s="57"/>
      <c r="E4" s="57"/>
      <c r="F4" s="57"/>
      <c r="G4" s="57"/>
      <c r="H4" s="57"/>
      <c r="I4" s="57"/>
      <c r="J4" s="57"/>
      <c r="K4" s="57"/>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7" t="str">
        <f>HYPERLINK("#'Input - Site'!A1", "Site")</f>
        <v>Site</v>
      </c>
      <c r="N9" s="39"/>
    </row>
    <row r="10" spans="1:24" ht="20.100000000000001" customHeight="1" x14ac:dyDescent="0.25">
      <c r="A10" s="17" t="str">
        <f>HYPERLINK("#'Input - Rice'!A1", "Rice")</f>
        <v>Rice</v>
      </c>
      <c r="D10" s="80" t="s">
        <v>53</v>
      </c>
      <c r="E10" s="79"/>
      <c r="F10" s="81"/>
      <c r="G10" s="76"/>
      <c r="N10" s="39"/>
    </row>
    <row r="11" spans="1:24" ht="20.100000000000001" customHeight="1" x14ac:dyDescent="0.25">
      <c r="A11"/>
      <c r="N11" s="40"/>
    </row>
    <row r="12" spans="1:24" ht="20.100000000000001" customHeight="1" x14ac:dyDescent="0.25">
      <c r="A12"/>
      <c r="D12" s="10" t="s">
        <v>57</v>
      </c>
      <c r="E12" s="55">
        <v>45292</v>
      </c>
      <c r="F12" s="2" t="s">
        <v>48</v>
      </c>
    </row>
    <row r="13" spans="1:24" ht="20.100000000000001" customHeight="1" x14ac:dyDescent="0.25">
      <c r="A13" s="18" t="s">
        <v>51</v>
      </c>
      <c r="D13" s="10" t="s">
        <v>58</v>
      </c>
      <c r="E13" s="58">
        <f>DATE(YEAR(X_Cell_Site_StartDate)+1,MONTH(X_Cell_Site_StartDate),DAY(X_Cell_Site_StartDate))-1</f>
        <v>45657</v>
      </c>
      <c r="F13" s="2" t="s">
        <v>7</v>
      </c>
      <c r="N13" s="35"/>
      <c r="O13" s="35"/>
    </row>
    <row r="14" spans="1:24" ht="20.100000000000001" customHeight="1" x14ac:dyDescent="0.25">
      <c r="A14" s="17" t="str">
        <f>HYPERLINK("#'7.1.1-2 Rice cultivation'!A1", "7.1.1-2 Rice cultivation")</f>
        <v>7.1.1-2 Rice cultivation</v>
      </c>
      <c r="N14" s="35"/>
      <c r="O14" s="35"/>
    </row>
    <row r="15" spans="1:24" ht="20.100000000000001" customHeight="1" x14ac:dyDescent="0.25">
      <c r="A15"/>
      <c r="D15" s="1"/>
      <c r="E15" s="1"/>
      <c r="F15" s="1"/>
      <c r="G15" s="1"/>
      <c r="H15" s="1"/>
      <c r="N15" s="35"/>
      <c r="O15" s="35"/>
    </row>
    <row r="16" spans="1:24" ht="20.100000000000001" customHeight="1" x14ac:dyDescent="0.25">
      <c r="A16"/>
      <c r="D16" s="1"/>
      <c r="E16" s="1"/>
      <c r="F16" s="1"/>
      <c r="G16" s="1"/>
      <c r="H16" s="1"/>
      <c r="N16" s="35"/>
      <c r="O16" s="35"/>
    </row>
    <row r="17" spans="1:25" ht="20.100000000000001" customHeight="1" x14ac:dyDescent="0.25">
      <c r="A17" s="118" t="s">
        <v>1</v>
      </c>
      <c r="D17" s="1"/>
      <c r="E17" s="1"/>
      <c r="F17" s="1"/>
      <c r="G17" s="1"/>
      <c r="H17" s="1"/>
    </row>
    <row r="18" spans="1:25" ht="20.100000000000001" customHeight="1" x14ac:dyDescent="0.25">
      <c r="A18" s="17" t="str">
        <f>HYPERLINK("#'Constants - Rice cultivation'!A1", "Constants - Rice cultivation")</f>
        <v>Constants - Rice cultivation</v>
      </c>
      <c r="D18" s="1"/>
      <c r="E18" s="1"/>
      <c r="F18" s="1"/>
      <c r="G18" s="1"/>
      <c r="H18" s="1"/>
    </row>
    <row r="19" spans="1:25" ht="20.100000000000001" customHeight="1" x14ac:dyDescent="0.25">
      <c r="A19" s="17" t="str">
        <f>HYPERLINK("#'Constants - Common'!A1", "Constants - Common")</f>
        <v>Constants - Common</v>
      </c>
      <c r="D19" s="1"/>
      <c r="E19" s="1"/>
      <c r="F19" s="1"/>
      <c r="G19" s="1"/>
      <c r="H19" s="1"/>
      <c r="N19" s="37"/>
    </row>
    <row r="20" spans="1:25" ht="20.100000000000001" customHeight="1" x14ac:dyDescent="0.25">
      <c r="A20"/>
      <c r="D20" s="1"/>
      <c r="E20" s="1"/>
      <c r="F20" s="1"/>
      <c r="G20" s="1"/>
      <c r="H20" s="1"/>
      <c r="N20" s="38"/>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8"/>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3"/>
      <c r="M30" s="43"/>
      <c r="N30" s="43"/>
      <c r="O30" s="43"/>
      <c r="P30" s="43"/>
      <c r="Q30" s="43"/>
      <c r="R30" s="43"/>
      <c r="S30" s="43"/>
      <c r="T30" s="43"/>
      <c r="U30" s="43"/>
      <c r="V30" s="43"/>
      <c r="W30" s="43"/>
      <c r="X30" s="43"/>
      <c r="Y30" s="43"/>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3"/>
      <c r="K34" s="61"/>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3"/>
      <c r="K35" s="61"/>
      <c r="L35" s="42"/>
      <c r="M35" s="42"/>
      <c r="N35" s="42"/>
      <c r="O35" s="42"/>
      <c r="P35" s="42"/>
      <c r="Q35" s="42"/>
      <c r="R35" s="42"/>
      <c r="S35" s="42"/>
      <c r="T35" s="42"/>
      <c r="U35" s="42"/>
      <c r="V35" s="42"/>
      <c r="W35" s="42"/>
      <c r="X35" s="42"/>
      <c r="Y35" s="42"/>
    </row>
    <row r="36" spans="1:25" ht="20.100000000000001" customHeight="1" x14ac:dyDescent="0.25">
      <c r="A36"/>
      <c r="D36" s="1"/>
      <c r="E36" s="1"/>
      <c r="F36" s="1"/>
      <c r="G36" s="1"/>
      <c r="H36" s="1"/>
      <c r="I36" s="54"/>
      <c r="J36" s="53"/>
      <c r="K36" s="61"/>
      <c r="L36" s="42"/>
      <c r="M36" s="42"/>
      <c r="N36" s="42"/>
      <c r="O36" s="42"/>
      <c r="P36" s="42"/>
      <c r="Q36" s="42"/>
      <c r="R36" s="42"/>
      <c r="S36" s="42"/>
      <c r="T36" s="42"/>
      <c r="U36" s="42"/>
      <c r="V36" s="42"/>
      <c r="W36" s="42"/>
      <c r="X36" s="42"/>
      <c r="Y36" s="42"/>
    </row>
    <row r="37" spans="1:25" ht="20.100000000000001" customHeight="1" x14ac:dyDescent="0.25">
      <c r="A37"/>
      <c r="D37" s="59"/>
      <c r="E37" s="59"/>
      <c r="F37" s="60"/>
      <c r="G37" s="53"/>
      <c r="H37" s="53"/>
      <c r="I37" s="54"/>
      <c r="J37" s="53"/>
      <c r="K37" s="61"/>
      <c r="L37" s="42"/>
      <c r="M37" s="42"/>
      <c r="N37" s="42"/>
      <c r="O37" s="42"/>
      <c r="P37" s="42"/>
      <c r="Q37" s="42"/>
      <c r="R37" s="42"/>
      <c r="S37" s="42"/>
      <c r="T37" s="42"/>
      <c r="U37" s="42"/>
      <c r="V37" s="42"/>
      <c r="W37" s="42"/>
      <c r="X37" s="42"/>
      <c r="Y37" s="42"/>
    </row>
    <row r="38" spans="1:25" ht="20.100000000000001" customHeight="1" x14ac:dyDescent="0.25">
      <c r="A38"/>
      <c r="D38" s="59"/>
      <c r="E38" s="59"/>
      <c r="F38" s="60"/>
      <c r="G38" s="53"/>
      <c r="H38" s="53"/>
      <c r="I38" s="54"/>
      <c r="J38" s="53"/>
      <c r="K38" s="61"/>
      <c r="L38" s="42"/>
      <c r="M38" s="42"/>
      <c r="N38" s="42"/>
      <c r="O38" s="42"/>
      <c r="P38" s="42"/>
      <c r="Q38" s="42"/>
      <c r="R38" s="42"/>
      <c r="S38" s="42"/>
      <c r="T38" s="42"/>
      <c r="U38" s="42"/>
      <c r="V38" s="42"/>
      <c r="W38" s="42"/>
      <c r="X38" s="42"/>
      <c r="Y38" s="42"/>
    </row>
    <row r="39" spans="1:25" ht="20.100000000000001" customHeight="1" x14ac:dyDescent="0.25">
      <c r="A39"/>
      <c r="D39" s="59"/>
      <c r="E39" s="59"/>
      <c r="F39" s="60"/>
      <c r="G39" s="53"/>
      <c r="H39" s="53"/>
      <c r="I39" s="54"/>
      <c r="J39" s="53"/>
      <c r="K39" s="61"/>
      <c r="L39" s="42"/>
      <c r="M39" s="42"/>
      <c r="N39" s="42"/>
      <c r="O39" s="42"/>
      <c r="P39" s="42"/>
      <c r="Q39" s="42"/>
      <c r="R39" s="42"/>
      <c r="S39" s="42"/>
      <c r="T39" s="42"/>
      <c r="U39" s="42"/>
      <c r="V39" s="42"/>
      <c r="W39" s="42"/>
      <c r="X39" s="42"/>
      <c r="Y39" s="42"/>
    </row>
    <row r="40" spans="1:25" ht="20.100000000000001" customHeight="1" x14ac:dyDescent="0.25">
      <c r="A40"/>
      <c r="D40" s="62"/>
      <c r="E40" s="62"/>
      <c r="F40" s="62"/>
      <c r="G40" s="63"/>
      <c r="H40" s="64"/>
      <c r="I40" s="64"/>
      <c r="J40" s="64"/>
      <c r="K40" s="64"/>
      <c r="L40" s="44"/>
      <c r="M40" s="44"/>
      <c r="N40" s="44"/>
      <c r="O40" s="44"/>
      <c r="P40" s="44"/>
      <c r="Q40" s="44"/>
      <c r="R40" s="44"/>
      <c r="S40" s="44"/>
      <c r="T40" s="44"/>
      <c r="U40" s="44"/>
      <c r="V40" s="44"/>
      <c r="W40" s="44"/>
      <c r="X40" s="44"/>
      <c r="Y40" s="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5"/>
      <c r="E47" s="65"/>
      <c r="F47" s="65"/>
      <c r="G47" s="65"/>
      <c r="H47" s="65"/>
    </row>
    <row r="48" spans="1:25" ht="20.100000000000001" customHeight="1" x14ac:dyDescent="0.25">
      <c r="A48"/>
      <c r="D48" s="31"/>
      <c r="E48" s="31"/>
      <c r="F48" s="32"/>
      <c r="G48" s="32"/>
      <c r="H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66"/>
      <c r="E51" s="67"/>
      <c r="F51" s="67"/>
      <c r="G51" s="67"/>
      <c r="H51" s="68"/>
    </row>
    <row r="52" spans="1:8" ht="20.100000000000001" customHeight="1" x14ac:dyDescent="0.25">
      <c r="A52"/>
    </row>
    <row r="53" spans="1:8" ht="20.100000000000001" customHeight="1" x14ac:dyDescent="0.25">
      <c r="A53"/>
    </row>
    <row r="54" spans="1:8" ht="20.100000000000001" customHeight="1" x14ac:dyDescent="0.25">
      <c r="A54"/>
      <c r="G54" s="69"/>
    </row>
    <row r="55" spans="1:8" ht="20.100000000000001" customHeight="1" x14ac:dyDescent="0.25">
      <c r="A55"/>
      <c r="D55" s="6"/>
    </row>
    <row r="56" spans="1:8" ht="20.100000000000001" customHeight="1" x14ac:dyDescent="0.25">
      <c r="A56"/>
    </row>
    <row r="57" spans="1:8" ht="20.100000000000001" customHeight="1" x14ac:dyDescent="0.25">
      <c r="A57"/>
      <c r="D57" s="20"/>
      <c r="F57" s="70"/>
    </row>
    <row r="58" spans="1:8" ht="20.100000000000001" customHeight="1" x14ac:dyDescent="0.25">
      <c r="A58"/>
      <c r="D58" s="1"/>
      <c r="E58" s="71"/>
    </row>
    <row r="59" spans="1:8" ht="20.100000000000001" customHeight="1" x14ac:dyDescent="0.25">
      <c r="A59"/>
      <c r="D59" s="1"/>
      <c r="E59" s="71"/>
    </row>
    <row r="60" spans="1:8" ht="20.100000000000001" customHeight="1" x14ac:dyDescent="0.25">
      <c r="A60"/>
      <c r="D60" s="1"/>
      <c r="E60" s="72"/>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1"/>
    </row>
    <row r="65" spans="1:9" ht="20.100000000000001" customHeight="1" x14ac:dyDescent="0.25">
      <c r="A65"/>
      <c r="D65" s="1"/>
      <c r="E65" s="71"/>
    </row>
    <row r="66" spans="1:9" ht="20.100000000000001" customHeight="1" x14ac:dyDescent="0.25">
      <c r="A66"/>
      <c r="D66" s="1"/>
      <c r="E66" s="72"/>
    </row>
    <row r="67" spans="1:9" ht="20.100000000000001" customHeight="1" x14ac:dyDescent="0.25">
      <c r="A67"/>
    </row>
    <row r="68" spans="1:9" ht="20.100000000000001" customHeight="1" x14ac:dyDescent="0.25">
      <c r="A68"/>
    </row>
    <row r="69" spans="1:9" ht="20.100000000000001" customHeight="1" x14ac:dyDescent="0.25">
      <c r="A69"/>
      <c r="D69" s="52"/>
      <c r="E69" s="52"/>
      <c r="F69" s="52"/>
      <c r="G69" s="52"/>
      <c r="H69" s="52"/>
      <c r="I69" s="52"/>
    </row>
    <row r="70" spans="1:9" ht="20.100000000000001" customHeight="1" x14ac:dyDescent="0.25">
      <c r="A70"/>
      <c r="D70" s="52"/>
      <c r="E70" s="52"/>
      <c r="F70" s="52"/>
      <c r="G70" s="52"/>
      <c r="H70" s="52"/>
      <c r="I70" s="52"/>
    </row>
    <row r="71" spans="1:9" ht="20.100000000000001" customHeight="1" x14ac:dyDescent="0.25">
      <c r="A71"/>
      <c r="D71" s="52"/>
      <c r="E71" s="52"/>
      <c r="F71" s="52"/>
      <c r="G71" s="52"/>
      <c r="H71" s="52"/>
      <c r="I71" s="52"/>
    </row>
    <row r="72" spans="1:9" ht="20.100000000000001" customHeight="1" x14ac:dyDescent="0.25">
      <c r="A72"/>
      <c r="D72" s="52"/>
      <c r="E72" s="52"/>
      <c r="F72" s="52"/>
      <c r="G72" s="52"/>
      <c r="H72" s="52"/>
      <c r="I72" s="5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3"/>
    </row>
    <row r="79" spans="1:9" ht="20.100000000000001" customHeight="1" x14ac:dyDescent="0.25">
      <c r="A79"/>
      <c r="D79" s="73"/>
    </row>
    <row r="80" spans="1:9" ht="20.100000000000001" customHeight="1" x14ac:dyDescent="0.25">
      <c r="A80"/>
      <c r="D80" s="73"/>
    </row>
    <row r="81" spans="1:4" ht="20.100000000000001" customHeight="1" x14ac:dyDescent="0.25">
      <c r="A81"/>
      <c r="D81" s="73"/>
    </row>
    <row r="82" spans="1:4" ht="20.100000000000001" customHeight="1" x14ac:dyDescent="0.25">
      <c r="A82"/>
      <c r="D82" s="7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K363"/>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6" customFormat="1" ht="30" customHeight="1" x14ac:dyDescent="0.35">
      <c r="A1" s="56" t="e" vm="1">
        <v>#VALUE!</v>
      </c>
      <c r="C1" s="56" t="s">
        <v>106</v>
      </c>
    </row>
    <row r="2" spans="1:11" s="9" customFormat="1" ht="20.100000000000001" customHeight="1" x14ac:dyDescent="0.25">
      <c r="A2"/>
    </row>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103</v>
      </c>
    </row>
    <row r="6" spans="1:11" ht="20.100000000000001" customHeight="1" x14ac:dyDescent="0.25"/>
    <row r="7" spans="1:11" ht="20.100000000000001" customHeight="1" x14ac:dyDescent="0.25">
      <c r="D7" s="80" t="s">
        <v>104</v>
      </c>
      <c r="E7" s="81"/>
      <c r="F7" s="81"/>
      <c r="G7" s="76"/>
    </row>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97" t="str">
        <f>HYPERLINK("#'Input - Rice'!A1", "Rice")</f>
        <v>Rice</v>
      </c>
      <c r="D10" s="1" t="str">
        <f>"Number of full growing seasons between "&amp;TEXT(X_Cell_Site_StartDate,"d/m/yy")&amp;" and " &amp; TEXT(X_Cell_Site_EndDate,"d/m/yy") &amp; " that are managed the same way"</f>
        <v>Number of full growing seasons between 1/1/24 and 31/12/24 that are managed the same way</v>
      </c>
      <c r="E10" s="104">
        <v>2</v>
      </c>
      <c r="F10" s="2" t="s">
        <v>151</v>
      </c>
    </row>
    <row r="11" spans="1:11" ht="20.100000000000001" customHeight="1" x14ac:dyDescent="0.25"/>
    <row r="12" spans="1:11" ht="20.100000000000001" customHeight="1" x14ac:dyDescent="0.25">
      <c r="D12" s="6" t="s">
        <v>113</v>
      </c>
    </row>
    <row r="13" spans="1:11" ht="20.100000000000001" customHeight="1" x14ac:dyDescent="0.25">
      <c r="A13" s="18" t="s">
        <v>51</v>
      </c>
    </row>
    <row r="14" spans="1:11" ht="20.100000000000001" customHeight="1" x14ac:dyDescent="0.25">
      <c r="A14" s="17" t="str">
        <f>HYPERLINK("#'7.1.1-2 Rice cultivation'!A1", "7.1.1-2 Rice cultivation")</f>
        <v>7.1.1-2 Rice cultivation</v>
      </c>
      <c r="D14" s="99" t="s">
        <v>131</v>
      </c>
      <c r="E14" s="99" t="s">
        <v>168</v>
      </c>
      <c r="F14" s="99" t="s">
        <v>169</v>
      </c>
      <c r="G14" s="99" t="s">
        <v>115</v>
      </c>
      <c r="H14" s="99" t="s">
        <v>116</v>
      </c>
      <c r="I14" s="99" t="s">
        <v>117</v>
      </c>
      <c r="J14" s="99" t="s">
        <v>118</v>
      </c>
    </row>
    <row r="15" spans="1:11" ht="20.100000000000001" customHeight="1" x14ac:dyDescent="0.25">
      <c r="D15" s="34" t="s">
        <v>152</v>
      </c>
      <c r="E15" s="34">
        <v>2</v>
      </c>
      <c r="F15" s="34">
        <v>0</v>
      </c>
      <c r="G15" s="34">
        <v>2</v>
      </c>
      <c r="H15" s="34">
        <v>0</v>
      </c>
      <c r="I15" s="34">
        <v>2</v>
      </c>
      <c r="J15" s="34">
        <v>0</v>
      </c>
    </row>
    <row r="16" spans="1:11" ht="20.100000000000001" customHeight="1" x14ac:dyDescent="0.25">
      <c r="D16" s="34" t="s">
        <v>153</v>
      </c>
      <c r="E16" s="34">
        <v>0</v>
      </c>
      <c r="F16" s="34">
        <v>2</v>
      </c>
      <c r="G16" s="34">
        <v>0</v>
      </c>
      <c r="H16" s="34">
        <v>2</v>
      </c>
      <c r="I16" s="34">
        <v>0</v>
      </c>
      <c r="J16" s="34">
        <v>2</v>
      </c>
    </row>
    <row r="17" spans="1:10" ht="20.100000000000001" customHeight="1" x14ac:dyDescent="0.25">
      <c r="A17" s="118" t="s">
        <v>1</v>
      </c>
    </row>
    <row r="18" spans="1:10" ht="20.100000000000001" customHeight="1" x14ac:dyDescent="0.25">
      <c r="A18" s="17" t="str">
        <f>HYPERLINK("#'Constants - Rice cultivation'!A1", "Constants - Rice cultivation")</f>
        <v>Constants - Rice cultivation</v>
      </c>
    </row>
    <row r="19" spans="1:10" ht="20.100000000000001" customHeight="1" x14ac:dyDescent="0.25">
      <c r="A19" s="17" t="str">
        <f>HYPERLINK("#'Constants - Common'!A1", "Constants - Common")</f>
        <v>Constants - Common</v>
      </c>
      <c r="D19" s="6" t="s">
        <v>107</v>
      </c>
    </row>
    <row r="20" spans="1:10" ht="20.100000000000001" customHeight="1" x14ac:dyDescent="0.25"/>
    <row r="21" spans="1:10" ht="20.100000000000001" customHeight="1" x14ac:dyDescent="0.25">
      <c r="D21" s="99" t="s">
        <v>109</v>
      </c>
      <c r="E21" s="99" t="s">
        <v>160</v>
      </c>
      <c r="F21" s="99" t="s">
        <v>122</v>
      </c>
      <c r="G21" s="99" t="s">
        <v>121</v>
      </c>
      <c r="H21" s="99" t="s">
        <v>120</v>
      </c>
      <c r="I21" s="99" t="s">
        <v>119</v>
      </c>
      <c r="J21" s="99" t="s">
        <v>158</v>
      </c>
    </row>
    <row r="22" spans="1:10" ht="20.100000000000001" customHeight="1" x14ac:dyDescent="0.25">
      <c r="D22" s="34" t="s">
        <v>140</v>
      </c>
      <c r="E22" s="34">
        <v>100</v>
      </c>
      <c r="F22" s="36" t="s">
        <v>142</v>
      </c>
      <c r="G22" s="36" t="s">
        <v>149</v>
      </c>
      <c r="H22" s="36" t="s">
        <v>155</v>
      </c>
      <c r="I22" s="36" t="s">
        <v>152</v>
      </c>
      <c r="J22" s="34">
        <v>100</v>
      </c>
    </row>
    <row r="23" spans="1:10" ht="20.100000000000001" customHeight="1" x14ac:dyDescent="0.25">
      <c r="D23" s="34" t="s">
        <v>141</v>
      </c>
      <c r="E23" s="34">
        <v>100</v>
      </c>
      <c r="F23" s="36" t="s">
        <v>150</v>
      </c>
      <c r="G23" s="36" t="s">
        <v>147</v>
      </c>
      <c r="H23" s="36" t="s">
        <v>148</v>
      </c>
      <c r="I23" s="36" t="s">
        <v>153</v>
      </c>
      <c r="J23" s="34">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2"/>
    </row>
    <row r="38" spans="1:11" ht="20.100000000000001" customHeight="1" x14ac:dyDescent="0.25">
      <c r="C38" s="102"/>
    </row>
    <row r="39" spans="1:11" ht="20.100000000000001" customHeight="1" x14ac:dyDescent="0.25"/>
    <row r="40" spans="1:11" s="103" customFormat="1" ht="20.100000000000001" customHeight="1" x14ac:dyDescent="0.25">
      <c r="A40"/>
      <c r="C40" s="1"/>
      <c r="D40" s="1"/>
      <c r="E40" s="1"/>
      <c r="F40" s="1"/>
      <c r="G40" s="1"/>
      <c r="H40" s="1"/>
      <c r="I40" s="1"/>
      <c r="J40" s="1"/>
      <c r="K40" s="1"/>
    </row>
    <row r="41" spans="1:11" s="103"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89"/>
    </row>
  </sheetData>
  <conditionalFormatting sqref="F86">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J211 E212:I212">
    <cfRule type="cellIs" dxfId="0"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V342"/>
  <sheetViews>
    <sheetView showGridLines="0" topLeftCell="A8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6" t="e" vm="1">
        <v>#VALUE!</v>
      </c>
      <c r="C1" s="8" t="s">
        <v>105</v>
      </c>
      <c r="M1"/>
    </row>
    <row r="2" spans="1:22" s="9" customFormat="1" ht="20.100000000000001" customHeight="1" x14ac:dyDescent="0.25">
      <c r="A2"/>
      <c r="M2"/>
    </row>
    <row r="3" spans="1:22" ht="20.100000000000001" customHeight="1" x14ac:dyDescent="0.25">
      <c r="A3" s="17" t="str">
        <f>HYPERLINK("#'Home'!A1", "Home")</f>
        <v>Home</v>
      </c>
      <c r="C3" s="4"/>
      <c r="D3" s="4" t="s">
        <v>60</v>
      </c>
      <c r="E3" s="4"/>
      <c r="F3" s="4"/>
      <c r="G3" s="4"/>
      <c r="H3" s="4"/>
      <c r="I3" s="4"/>
      <c r="J3" s="4"/>
      <c r="K3" s="4"/>
      <c r="L3" s="4"/>
      <c r="N3" s="4"/>
      <c r="O3" s="4" t="s">
        <v>61</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1"/>
      <c r="F5" s="21"/>
      <c r="G5" s="21"/>
      <c r="H5" s="21"/>
    </row>
    <row r="6" spans="1:22" ht="20.100000000000001" customHeight="1" x14ac:dyDescent="0.25">
      <c r="D6" s="5" t="str" cm="1">
        <f t="array" ref="D6">RiceCultivation_Equations.VEERG_7_1_1_1__3_OrganicAmendmentsScalingFactor_Source()</f>
        <v>VEERG 2026: 7.1.1.1, Equation (3)</v>
      </c>
      <c r="E6" s="21"/>
      <c r="F6" s="21"/>
      <c r="G6" s="21"/>
      <c r="H6" s="21"/>
      <c r="L6" s="21"/>
    </row>
    <row r="7" spans="1:22" ht="20.100000000000001" customHeight="1" x14ac:dyDescent="0.25">
      <c r="D7" s="49" t="str" cm="1">
        <f t="array" ref="D7:D10">RiceCultivation_Equations.VEERG_7_1_1_1__3_OrganicAmendmentsScalingFactor_Variation()</f>
        <v>VARIATION ON SOURCE:</v>
      </c>
      <c r="L7" s="21"/>
    </row>
    <row r="8" spans="1:22" ht="20.100000000000001" customHeight="1" x14ac:dyDescent="0.25">
      <c r="A8" s="19" t="s">
        <v>0</v>
      </c>
      <c r="D8" s="49" t="str">
        <v>Included inorganic fertiliser as amendment as per VEERG equation description:</v>
      </c>
      <c r="L8" s="21"/>
    </row>
    <row r="9" spans="1:22" ht="20.100000000000001" customHeight="1" x14ac:dyDescent="0.25">
      <c r="A9" s="17" t="str">
        <f>HYPERLINK("#'Input - Site'!A1", "Site")</f>
        <v>Site</v>
      </c>
      <c r="D9" s="49" t="str">
        <v>Where inorganic fertiliser is applied to the rice fields rather than organic amendments, SF_o is set to 1.</v>
      </c>
      <c r="L9" s="21"/>
    </row>
    <row r="10" spans="1:22" ht="20.100000000000001" customHeight="1" x14ac:dyDescent="0.25">
      <c r="A10" s="17" t="str">
        <f>HYPERLINK("#'Input - Rice'!A1", "Rice")</f>
        <v>Rice</v>
      </c>
      <c r="D10" s="49" t="str">
        <v>Declared each amendment separately to allow summing in Excel in one equation</v>
      </c>
    </row>
    <row r="11" spans="1:22" ht="20.100000000000001" customHeight="1" x14ac:dyDescent="0.25">
      <c r="D11" s="13" t="s">
        <v>13</v>
      </c>
      <c r="E11" s="13" t="str" cm="1">
        <f t="array" aca="1" ref="E11" ca="1">Common_InputFunctions.Utility_DisplayFunctionName(E43)</f>
        <v>=RiceCultivation_Equations.VEERG_7_1_1_1__3_OrganicAmendmentsScalingFactorVariation</v>
      </c>
      <c r="F11" s="21"/>
      <c r="G11" s="21"/>
      <c r="H11" s="21"/>
      <c r="L11" s="21"/>
    </row>
    <row r="12" spans="1:22" ht="20.100000000000001" customHeight="1" x14ac:dyDescent="0.25">
      <c r="F12" s="5"/>
      <c r="G12" s="21"/>
      <c r="H12" s="21"/>
      <c r="L12" s="21"/>
    </row>
    <row r="13" spans="1:22" ht="20.100000000000001" customHeight="1" x14ac:dyDescent="0.25">
      <c r="A13" s="18" t="s">
        <v>51</v>
      </c>
      <c r="D13" s="21"/>
      <c r="E13" s="21"/>
      <c r="F13" s="21"/>
      <c r="G13" s="21"/>
      <c r="H13" s="21"/>
      <c r="L13" s="21"/>
    </row>
    <row r="14" spans="1:22" ht="20.100000000000001" customHeight="1" x14ac:dyDescent="0.25">
      <c r="A14" s="116" t="str">
        <f>HYPERLINK("#'7.1.1-2 Rice cultivation'!A1", "7.1.1-2 Rice cultivation")</f>
        <v>7.1.1-2 Rice cultivation</v>
      </c>
      <c r="D14" s="47" t="s">
        <v>16</v>
      </c>
      <c r="E14" s="1" t="str" cm="1">
        <f t="array" ref="E14">RiceCultivation_Equations.VEERG_7_1_1_1__3_OrganicAmendmentsScalingFactor_Variable()</f>
        <v>SF_o</v>
      </c>
      <c r="F14" s="21"/>
      <c r="G14" s="21"/>
      <c r="H14" s="21"/>
      <c r="L14" s="21"/>
    </row>
    <row r="15" spans="1:22" ht="20.100000000000001" customHeight="1" x14ac:dyDescent="0.25">
      <c r="D15" s="47" t="s">
        <v>8</v>
      </c>
      <c r="E15" s="48" t="str" cm="1">
        <f t="array" ref="E15">RiceCultivation_Equations.VEERG_7_1_1_1__3_OrganicAmendmentsScalingFactor_Unit()</f>
        <v>dimensionless</v>
      </c>
      <c r="F15" s="6"/>
      <c r="G15" s="21"/>
      <c r="H15" s="21"/>
      <c r="L15" s="21"/>
    </row>
    <row r="16" spans="1:22" ht="20.100000000000001" customHeight="1" x14ac:dyDescent="0.25">
      <c r="D16" s="21"/>
      <c r="E16" s="21"/>
      <c r="F16" s="21"/>
      <c r="G16" s="21"/>
    </row>
    <row r="17" spans="1:11" ht="20.100000000000001" customHeight="1" x14ac:dyDescent="0.25">
      <c r="A17" s="118" t="s">
        <v>1</v>
      </c>
      <c r="D17" s="106" t="str" cm="1">
        <f t="array" ref="D17:E19">_xlfn.CHOOSECOLS(RiceCultivation_Equations.VEERG_7_1_1_1__3_OrganicAmendmentsScalingFactor_Arguments(), 1, 2)</f>
        <v>ROA_o</v>
      </c>
      <c r="E17" s="108" t="str">
        <v>application rate of organic amendment o</v>
      </c>
      <c r="F17" s="107"/>
      <c r="G17" s="106" t="str" cm="1">
        <f t="array" ref="G17:H19">_xlfn.CHOOSECOLS(RiceCultivation_Equations.VEERG_7_1_1_1__3_OrganicAmendmentsScalingFactor_Arguments(), 3,4)</f>
        <v>tonnes/ha</v>
      </c>
      <c r="H17" s="101" t="str">
        <v>Input</v>
      </c>
      <c r="I17" s="105" t="str" cm="1">
        <f t="array" aca="1" ref="I17" ca="1">HYPERLINK(Common_InputFunctions.Utility_SourceHyperlink($D$21),$D$21)</f>
        <v>Table_ROA_o</v>
      </c>
    </row>
    <row r="18" spans="1:11" ht="20.100000000000001" customHeight="1" x14ac:dyDescent="0.25">
      <c r="A18" s="17" t="str">
        <f>HYPERLINK("#'Constants - Rice cultivation'!A1", "Constants - Rice cultivation")</f>
        <v>Constants - Rice cultivation</v>
      </c>
      <c r="D18" s="106" t="str">
        <v>CFOA_o</v>
      </c>
      <c r="E18" s="108" t="str">
        <v>conversion factor of organic amendment o</v>
      </c>
      <c r="F18" s="107"/>
      <c r="G18" s="106" t="str">
        <v>fraction</v>
      </c>
      <c r="H18" s="100" t="str">
        <v>Constant</v>
      </c>
      <c r="I18" s="105" t="str" cm="1">
        <f t="array" aca="1" ref="I18" ca="1">HYPERLINK(Common_InputFunctions.Utility_SourceHyperlink($D$30),$D$30)</f>
        <v>Table_CFOA_o</v>
      </c>
    </row>
    <row r="19" spans="1:11" ht="20.100000000000001" customHeight="1" x14ac:dyDescent="0.25">
      <c r="A19" s="17" t="str">
        <f>HYPERLINK("#'Constants - Common'!A1", "Constants - Common")</f>
        <v>Constants - Common</v>
      </c>
      <c r="D19" s="106" t="str">
        <v>o</v>
      </c>
      <c r="E19" s="108" t="str">
        <v>organic amendment type</v>
      </c>
      <c r="F19" s="107"/>
      <c r="G19" s="106" t="str">
        <v/>
      </c>
      <c r="H19" s="101" t="str">
        <v>Input</v>
      </c>
      <c r="I19" s="105" t="str" cm="1">
        <f t="array" aca="1" ref="I19" ca="1">HYPERLINK(Common_InputFunctions.Utility_SourceHyperlink($D$21),$D$21)</f>
        <v>Table_ROA_o</v>
      </c>
    </row>
    <row r="20" spans="1:11" ht="20.100000000000001" customHeight="1" x14ac:dyDescent="0.25">
      <c r="D20" s="21"/>
      <c r="E20" s="21"/>
      <c r="F20" s="21"/>
      <c r="G20" s="21"/>
      <c r="H20" s="21"/>
    </row>
    <row r="21" spans="1:11" ht="20.100000000000001" customHeight="1" x14ac:dyDescent="0.25">
      <c r="D21" s="83" t="s">
        <v>136</v>
      </c>
      <c r="E21" s="21"/>
      <c r="F21" s="6"/>
      <c r="G21" s="21"/>
    </row>
    <row r="22" spans="1:11" ht="20.100000000000001" customHeight="1" x14ac:dyDescent="0.25">
      <c r="D22" s="82" t="s">
        <v>112</v>
      </c>
      <c r="E22" s="21"/>
      <c r="F22" s="21"/>
      <c r="G22" s="21"/>
      <c r="H22" s="21"/>
    </row>
    <row r="23" spans="1:11" ht="20.100000000000001" customHeight="1" x14ac:dyDescent="0.25">
      <c r="D23" s="99" t="s">
        <v>130</v>
      </c>
      <c r="E23" s="99" t="str">
        <f>'Constants - Rice cultivation'!D39</f>
        <v>Straw incorporated shortly (&lt;30 days) before cultivation</v>
      </c>
      <c r="F23" s="99" t="str">
        <f>'Constants - Rice cultivation'!D40</f>
        <v>Straw incorporated long (&gt;30 days) before cultivation</v>
      </c>
      <c r="G23" s="99" t="str">
        <f>'Constants - Rice cultivation'!D41</f>
        <v>Compost</v>
      </c>
      <c r="H23" s="99" t="str">
        <f>'Constants - Rice cultivation'!D42</f>
        <v>Farm yard manure</v>
      </c>
      <c r="I23" s="99" t="str">
        <f>'Constants - Rice cultivation'!D43</f>
        <v>Green manure</v>
      </c>
      <c r="J23" s="99" t="s">
        <v>114</v>
      </c>
    </row>
    <row r="24" spans="1:11" ht="20.100000000000001" customHeight="1" x14ac:dyDescent="0.25">
      <c r="D24" s="46" t="str" cm="1">
        <f t="array" ref="D24:D28">IFERROR(INDEX(Table_Input_AmendmentBlends[Amendment mix name], _xlfn.SEQUENCE(5)), "")</f>
        <v>Mix 1</v>
      </c>
      <c r="E24" s="46" cm="1">
        <f t="array" ref="E24:E28">IFERROR(INDEX(Table_Input_AmendmentBlends[Straw added &lt; 30 days precultivation (t/ha)], _xlfn.SEQUENCE(5)), 0)</f>
        <v>2</v>
      </c>
      <c r="F24" s="46" cm="1">
        <f t="array" ref="F24:F28">IFERROR(INDEX(Table_Input_AmendmentBlends[Straw added 30+ days pre cultivation (t/ha)], _xlfn.SEQUENCE(5)), 0)</f>
        <v>0</v>
      </c>
      <c r="G24" s="46" cm="1">
        <f t="array" ref="G24:G28">IFERROR(INDEX(Table_Input_AmendmentBlends[Compost (t/ha)], _xlfn.SEQUENCE(5)), 0)</f>
        <v>2</v>
      </c>
      <c r="H24" s="46" cm="1">
        <f t="array" ref="H24:H28">IFERROR(INDEX(Table_Input_AmendmentBlends[Farm yard manure (t/ha)], _xlfn.SEQUENCE(5)), 0)</f>
        <v>0</v>
      </c>
      <c r="I24" s="46" cm="1">
        <f t="array" ref="I24:I28">IFERROR(INDEX(Table_Input_AmendmentBlends[Green manure (t/ha)], _xlfn.SEQUENCE(5)), 0)</f>
        <v>2</v>
      </c>
      <c r="J24" s="46" cm="1">
        <f t="array" ref="J24:J28">IFERROR(INDEX(Table_Input_AmendmentBlends[Inorganic fertiliser (t/ha)], _xlfn.SEQUENCE(5)), 0)</f>
        <v>0</v>
      </c>
      <c r="K24" s="2" t="str">
        <f>G17</f>
        <v>tonnes/ha</v>
      </c>
    </row>
    <row r="25" spans="1:11" ht="20.100000000000001" customHeight="1" x14ac:dyDescent="0.25">
      <c r="D25" s="46" t="str">
        <v>Mix 2</v>
      </c>
      <c r="E25" s="46">
        <v>0</v>
      </c>
      <c r="F25" s="46">
        <v>2</v>
      </c>
      <c r="G25" s="46">
        <v>0</v>
      </c>
      <c r="H25" s="46">
        <v>2</v>
      </c>
      <c r="I25" s="46">
        <v>0</v>
      </c>
      <c r="J25" s="46">
        <v>2</v>
      </c>
    </row>
    <row r="26" spans="1:11" ht="20.100000000000001" customHeight="1" x14ac:dyDescent="0.25">
      <c r="D26" s="46" t="str">
        <v/>
      </c>
      <c r="E26" s="46">
        <v>0</v>
      </c>
      <c r="F26" s="46">
        <v>0</v>
      </c>
      <c r="G26" s="46">
        <v>0</v>
      </c>
      <c r="H26" s="46">
        <v>0</v>
      </c>
      <c r="I26" s="46">
        <v>0</v>
      </c>
      <c r="J26" s="46">
        <v>0</v>
      </c>
    </row>
    <row r="27" spans="1:11" ht="20.100000000000001" customHeight="1" x14ac:dyDescent="0.25">
      <c r="D27" s="46" t="str">
        <v/>
      </c>
      <c r="E27" s="46">
        <v>0</v>
      </c>
      <c r="F27" s="46">
        <v>0</v>
      </c>
      <c r="G27" s="46">
        <v>0</v>
      </c>
      <c r="H27" s="46">
        <v>0</v>
      </c>
      <c r="I27" s="46">
        <v>0</v>
      </c>
      <c r="J27" s="46">
        <v>0</v>
      </c>
    </row>
    <row r="28" spans="1:11" ht="20.100000000000001" customHeight="1" x14ac:dyDescent="0.25">
      <c r="D28" s="46" t="str">
        <v/>
      </c>
      <c r="E28" s="46">
        <v>0</v>
      </c>
      <c r="F28" s="46">
        <v>0</v>
      </c>
      <c r="G28" s="46">
        <v>0</v>
      </c>
      <c r="H28" s="46">
        <v>0</v>
      </c>
      <c r="I28" s="46">
        <v>0</v>
      </c>
      <c r="J28" s="46">
        <v>0</v>
      </c>
    </row>
    <row r="29" spans="1:11" ht="20.100000000000001" customHeight="1" x14ac:dyDescent="0.25"/>
    <row r="30" spans="1:11" ht="20.100000000000001" customHeight="1" x14ac:dyDescent="0.25">
      <c r="D30" s="83" t="s">
        <v>132</v>
      </c>
    </row>
    <row r="31" spans="1:11" ht="20.100000000000001" customHeight="1" x14ac:dyDescent="0.25">
      <c r="D31" s="82" t="s">
        <v>133</v>
      </c>
    </row>
    <row r="32" spans="1:11" ht="20.100000000000001" customHeight="1" x14ac:dyDescent="0.25">
      <c r="D32" s="45" t="s">
        <v>134</v>
      </c>
      <c r="E32" s="45" t="s">
        <v>135</v>
      </c>
    </row>
    <row r="33" spans="4:6" ht="20.100000000000001" customHeight="1" x14ac:dyDescent="0.25">
      <c r="D33" s="46" t="str">
        <f>'Constants - Rice cultivation'!D39</f>
        <v>Straw incorporated shortly (&lt;30 days) before cultivation</v>
      </c>
      <c r="E33" s="46">
        <f>'Constants - Rice cultivation'!E39</f>
        <v>1</v>
      </c>
      <c r="F33" s="2" t="str">
        <f>G18</f>
        <v>fraction</v>
      </c>
    </row>
    <row r="34" spans="4:6" ht="20.100000000000001" customHeight="1" x14ac:dyDescent="0.25">
      <c r="D34" s="46" t="str">
        <f>'Constants - Rice cultivation'!D40</f>
        <v>Straw incorporated long (&gt;30 days) before cultivation</v>
      </c>
      <c r="E34" s="46">
        <f>'Constants - Rice cultivation'!E40</f>
        <v>0.19</v>
      </c>
    </row>
    <row r="35" spans="4:6" ht="20.100000000000001" customHeight="1" x14ac:dyDescent="0.25">
      <c r="D35" s="46" t="str">
        <f>'Constants - Rice cultivation'!D41</f>
        <v>Compost</v>
      </c>
      <c r="E35" s="46">
        <f>'Constants - Rice cultivation'!E41</f>
        <v>0.17</v>
      </c>
    </row>
    <row r="36" spans="4:6" ht="20.100000000000001" customHeight="1" x14ac:dyDescent="0.25">
      <c r="D36" s="46" t="str">
        <f>'Constants - Rice cultivation'!D42</f>
        <v>Farm yard manure</v>
      </c>
      <c r="E36" s="46">
        <f>'Constants - Rice cultivation'!E42</f>
        <v>0.21</v>
      </c>
    </row>
    <row r="37" spans="4:6" ht="20.100000000000001" customHeight="1" x14ac:dyDescent="0.25">
      <c r="D37" s="46" t="str">
        <f>'Constants - Rice cultivation'!D43</f>
        <v>Green manure</v>
      </c>
      <c r="E37" s="46">
        <f>'Constants - Rice cultivation'!E43</f>
        <v>0.45</v>
      </c>
    </row>
    <row r="38" spans="4:6" ht="20.100000000000001" customHeight="1" x14ac:dyDescent="0.25">
      <c r="D38" s="46" t="str">
        <f>'Constants - Rice cultivation'!D44</f>
        <v>Inorganic fertiliser</v>
      </c>
      <c r="E38" s="46">
        <f>'Constants - Rice cultivation'!E44</f>
        <v>1</v>
      </c>
    </row>
    <row r="39" spans="4:6" ht="20.100000000000001" customHeight="1" x14ac:dyDescent="0.25"/>
    <row r="40" spans="4:6" ht="20.100000000000001" customHeight="1" x14ac:dyDescent="0.25">
      <c r="D40" s="83" t="s">
        <v>129</v>
      </c>
    </row>
    <row r="41" spans="4:6" ht="20.100000000000001" customHeight="1" x14ac:dyDescent="0.25">
      <c r="D41" s="82" t="s">
        <v>137</v>
      </c>
    </row>
    <row r="42" spans="4:6" ht="20.100000000000001" customHeight="1" x14ac:dyDescent="0.25">
      <c r="D42" s="45" t="s">
        <v>130</v>
      </c>
      <c r="E42" s="45" t="s">
        <v>138</v>
      </c>
    </row>
    <row r="43" spans="4:6" ht="20.100000000000001" customHeight="1" x14ac:dyDescent="0.25">
      <c r="D43" s="46" t="str" cm="1">
        <f t="array" ref="D43:D47">IFERROR(INDEX(Table_Input_AmendmentBlends[Amendment mix name], _xlfn.SEQUENCE(5)), "")</f>
        <v>Mix 1</v>
      </c>
      <c r="E43" s="46" cm="1">
        <f t="array" ref="E43">RiceCultivation_Equations.VEERG_7_1_1_1__3_OrganicAmendmentsScalingFactorVariation(E24, $E$33, F24, $E$34, G24, $E$35,H24,$E$36, I24,$E$37,J24,$E$38)</f>
        <v>2.3450162437672319</v>
      </c>
    </row>
    <row r="44" spans="4:6" ht="20.100000000000001" customHeight="1" x14ac:dyDescent="0.25">
      <c r="D44" s="46" t="str">
        <v>Mix 2</v>
      </c>
      <c r="E44" s="46" cm="1">
        <f t="array" ref="E44">RiceCultivation_Equations.VEERG_7_1_1_1__3_OrganicAmendmentsScalingFactorVariation(E25, $E$33, F25, $E$34, G25, $E$35,H25,$E$36, I25,$E$37,J25,$E$38)</f>
        <v>2.1982259075210928</v>
      </c>
    </row>
    <row r="45" spans="4:6" ht="20.100000000000001" customHeight="1" x14ac:dyDescent="0.25">
      <c r="D45" s="46" t="str">
        <v/>
      </c>
      <c r="E45" s="46" cm="1">
        <f t="array" ref="E45">RiceCultivation_Equations.VEERG_7_1_1_1__3_OrganicAmendmentsScalingFactorVariation(E26, $E$33, F26, $E$34, G26, $E$35,H26,$E$36, I26,$E$37,J26,$E$38)</f>
        <v>1</v>
      </c>
    </row>
    <row r="46" spans="4:6" ht="20.100000000000001" customHeight="1" x14ac:dyDescent="0.25">
      <c r="D46" s="46" t="str">
        <v/>
      </c>
      <c r="E46" s="46" cm="1">
        <f t="array" ref="E46">RiceCultivation_Equations.VEERG_7_1_1_1__3_OrganicAmendmentsScalingFactorVariation(E27, $E$33, F27, $E$34, G27, $E$35,H27,$E$36, I27,$E$37,J27,$E$38)</f>
        <v>1</v>
      </c>
    </row>
    <row r="47" spans="4:6" ht="20.100000000000001" customHeight="1" x14ac:dyDescent="0.25">
      <c r="D47" s="46" t="str">
        <v/>
      </c>
      <c r="E47" s="46" cm="1">
        <f t="array" ref="E47">RiceCultivation_Equations.VEERG_7_1_1_1__3_OrganicAmendmentsScalingFactorVariation(E28, $E$33, F28, $E$34, G28, $E$35,H28,$E$36, I28,$E$37,J28,$E$38)</f>
        <v>1</v>
      </c>
    </row>
    <row r="48" spans="4:6" ht="20.100000000000001" customHeight="1" x14ac:dyDescent="0.25"/>
    <row r="49" spans="3:12" ht="20.100000000000001" customHeight="1" x14ac:dyDescent="0.25"/>
    <row r="50" spans="3:12" ht="20.100000000000001" customHeight="1" x14ac:dyDescent="0.25">
      <c r="C50" s="41"/>
      <c r="D50" s="41"/>
      <c r="E50" s="41"/>
      <c r="F50" s="41"/>
      <c r="G50" s="41"/>
      <c r="H50" s="41"/>
      <c r="I50" s="41"/>
      <c r="J50" s="41"/>
      <c r="K50" s="41"/>
      <c r="L50" s="41"/>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13</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7" t="s">
        <v>16</v>
      </c>
      <c r="E56" s="1" t="str" cm="1">
        <f t="array" ref="E56">RiceCultivation_Equations.VEERG_7_1_1_1__2_EmissionFactorForRiceCultivation_Variable()</f>
        <v>EF_ricewpo</v>
      </c>
    </row>
    <row r="57" spans="3:12" ht="20.100000000000001" customHeight="1" x14ac:dyDescent="0.25">
      <c r="D57" s="47" t="s">
        <v>8</v>
      </c>
      <c r="E57" s="48" t="str" cm="1">
        <f t="array" ref="E57">RiceCultivation_Equations.VEERG_7_1_1_1__2_EmissionFactorForRiceCultivation_Unit()</f>
        <v>kg CH4/ha/day</v>
      </c>
    </row>
    <row r="58" spans="3:12" ht="20.100000000000001" customHeight="1" x14ac:dyDescent="0.25"/>
    <row r="59" spans="3:12" ht="20.100000000000001" customHeight="1" x14ac:dyDescent="0.25">
      <c r="D59" s="106" t="str" cm="1">
        <f t="array" ref="D59:E65">_xlfn.CHOOSECOLS(RiceCultivation_Equations.VEERG_7_1_1_1__2_EmissionFactorForRiceCultivation_Arguments(),1,2)</f>
        <v>EF_c</v>
      </c>
      <c r="E59" s="108" t="str">
        <v>baseline emission factor for continuously flooded fields without organic amendments</v>
      </c>
      <c r="F59" s="109"/>
      <c r="G59" s="107"/>
      <c r="H59" s="106" t="str" cm="1">
        <f t="array" ref="H59:I65">_xlfn.CHOOSECOLS(RiceCultivation_Equations.VEERG_7_1_1_1__2_EmissionFactorForRiceCultivation_Arguments(),3,4)</f>
        <v>kg CH4/ha/day</v>
      </c>
      <c r="I59" s="100" t="str">
        <v>Constant</v>
      </c>
      <c r="J59" s="106">
        <f>SourceData_RiceCultivation_BaselineEF_Data</f>
        <v>1.19</v>
      </c>
    </row>
    <row r="60" spans="3:12" ht="20.100000000000001" customHeight="1" x14ac:dyDescent="0.25">
      <c r="D60" s="106" t="str">
        <v>SF_w</v>
      </c>
      <c r="E60" s="108" t="str">
        <v>scaling factor for water regime during the growing season</v>
      </c>
      <c r="F60" s="109"/>
      <c r="G60" s="107"/>
      <c r="H60" s="106" t="str">
        <v>fraction</v>
      </c>
      <c r="I60" s="100" t="str">
        <v>Constant</v>
      </c>
      <c r="J60" s="105" t="str" cm="1">
        <f t="array" aca="1" ref="J60" ca="1">HYPERLINK(Common_InputFunctions.Utility_SourceHyperlink($D$67), $D$67)</f>
        <v>Table_EF_rice_w_p_o</v>
      </c>
    </row>
    <row r="61" spans="3:12" ht="20.100000000000001" customHeight="1" x14ac:dyDescent="0.25">
      <c r="D61" s="106" t="str">
        <v>SF_p</v>
      </c>
      <c r="E61" s="108" t="str">
        <v>scaling factor for water regime in the pre-season</v>
      </c>
      <c r="F61" s="109"/>
      <c r="G61" s="107"/>
      <c r="H61" s="106" t="str">
        <v>fraction</v>
      </c>
      <c r="I61" s="100" t="str">
        <v>Constant</v>
      </c>
      <c r="J61" s="105" t="str" cm="1">
        <f t="array" aca="1" ref="J61" ca="1">HYPERLINK(Common_InputFunctions.Utility_SourceHyperlink($D$67), $D$67)</f>
        <v>Table_EF_rice_w_p_o</v>
      </c>
    </row>
    <row r="62" spans="3:12" ht="20.100000000000001" customHeight="1" x14ac:dyDescent="0.25">
      <c r="D62" s="106" t="str">
        <v>SF_o</v>
      </c>
      <c r="E62" s="108" t="str">
        <v>scaling factor for type and amount of organic amendments</v>
      </c>
      <c r="F62" s="109"/>
      <c r="G62" s="107"/>
      <c r="H62" s="106" t="str">
        <v>fraction</v>
      </c>
      <c r="I62" s="100" t="str">
        <v>Calculated from 7.1.1.1, (3)</v>
      </c>
      <c r="J62" s="105" t="str" cm="1">
        <f t="array" aca="1" ref="J62" ca="1">HYPERLINK(Common_InputFunctions.Utility_SourceHyperlink($D$67), $D$67)</f>
        <v>Table_EF_rice_w_p_o</v>
      </c>
    </row>
    <row r="63" spans="3:12" ht="20.100000000000001" customHeight="1" x14ac:dyDescent="0.25">
      <c r="D63" s="106" t="str">
        <v>w</v>
      </c>
      <c r="E63" s="108" t="str">
        <v>water regime during growing season</v>
      </c>
      <c r="F63" s="109"/>
      <c r="G63" s="107"/>
      <c r="H63" s="106" t="str">
        <v/>
      </c>
      <c r="I63" s="101" t="str">
        <v>Input</v>
      </c>
      <c r="J63" s="105" t="str" cm="1">
        <f t="array" aca="1" ref="J63" ca="1">HYPERLINK(Common_InputFunctions.Utility_SourceHyperlink($D$67), $D$67)</f>
        <v>Table_EF_rice_w_p_o</v>
      </c>
      <c r="L63" s="21"/>
    </row>
    <row r="64" spans="3:12" ht="20.100000000000001" customHeight="1" x14ac:dyDescent="0.25">
      <c r="D64" s="106" t="str">
        <v>p</v>
      </c>
      <c r="E64" s="108" t="str">
        <v>pre-season water regime</v>
      </c>
      <c r="F64" s="109"/>
      <c r="G64" s="107"/>
      <c r="H64" s="106" t="str">
        <v/>
      </c>
      <c r="I64" s="101" t="str">
        <v>Input</v>
      </c>
      <c r="J64" s="105" t="str" cm="1">
        <f t="array" aca="1" ref="J64" ca="1">HYPERLINK(Common_InputFunctions.Utility_SourceHyperlink($D$67), $D$67)</f>
        <v>Table_EF_rice_w_p_o</v>
      </c>
      <c r="L64" s="21"/>
    </row>
    <row r="65" spans="3:12" ht="20.100000000000001" customHeight="1" x14ac:dyDescent="0.25">
      <c r="D65" s="106" t="str">
        <v>o</v>
      </c>
      <c r="E65" s="108" t="str">
        <v>organic amendment</v>
      </c>
      <c r="F65" s="109"/>
      <c r="G65" s="107"/>
      <c r="H65" s="106" t="str">
        <v/>
      </c>
      <c r="I65" s="101" t="str">
        <v>Input</v>
      </c>
      <c r="J65" s="105" t="str" cm="1">
        <f t="array" aca="1" ref="J65" ca="1">HYPERLINK(Common_InputFunctions.Utility_SourceHyperlink($D$67), $D$67)</f>
        <v>Table_EF_rice_w_p_o</v>
      </c>
    </row>
    <row r="66" spans="3:12" ht="20.100000000000001" customHeight="1" x14ac:dyDescent="0.25"/>
    <row r="67" spans="3:12" ht="20.100000000000001" customHeight="1" x14ac:dyDescent="0.25">
      <c r="D67" s="83" t="s">
        <v>156</v>
      </c>
    </row>
    <row r="68" spans="3:12" ht="20.100000000000001" customHeight="1" x14ac:dyDescent="0.25">
      <c r="D68" s="82" t="s">
        <v>157</v>
      </c>
    </row>
    <row r="69" spans="3:12" ht="20.100000000000001" customHeight="1" x14ac:dyDescent="0.25">
      <c r="D69" s="99" t="s">
        <v>139</v>
      </c>
      <c r="E69" s="99" t="s">
        <v>110</v>
      </c>
      <c r="F69" s="99" t="s">
        <v>111</v>
      </c>
      <c r="G69" s="99" t="s">
        <v>130</v>
      </c>
      <c r="H69" s="45" t="s">
        <v>138</v>
      </c>
      <c r="I69" s="45" t="s">
        <v>126</v>
      </c>
      <c r="J69" s="45" t="s">
        <v>124</v>
      </c>
      <c r="K69" s="45" t="s">
        <v>154</v>
      </c>
    </row>
    <row r="70" spans="3:12" ht="20.100000000000001" customHeight="1" x14ac:dyDescent="0.25">
      <c r="D70" s="46" t="str" cm="1">
        <f t="array" ref="D70:D74">IFERROR(INDEX(Table_Input_Regimes[Regime name], _xlfn.SEQUENCE(5)), "")</f>
        <v>Regime 1</v>
      </c>
      <c r="E70" s="46" t="str" cm="1">
        <f t="array" ref="E70:E74">IFERROR(INDEX(Table_Input_Regimes[Pre-cultivation water regime (select)], _xlfn.SEQUENCE(5)), "")</f>
        <v>Non flooded pre-season &lt;180 days</v>
      </c>
      <c r="F70" s="46" t="str" cm="1">
        <f t="array" ref="F70:F74">IFERROR(INDEX(Table_Input_Regimes[Water regime sub-type (select)], _xlfn.SEQUENCE(5)), "")</f>
        <v>Drought prone</v>
      </c>
      <c r="G70" s="46" t="str" cm="1">
        <f t="array" ref="G70:G74">IFERROR(INDEX(Table_Input_Regimes[Amendment blend (select)], _xlfn.SEQUENCE(5)), "")</f>
        <v>Mix 1</v>
      </c>
      <c r="H70" s="46" cm="1">
        <f t="array" ref="H70">Common_InputFunctions.Utility_LookupValueInTableNumber(G70,$D$43:$D$47,$E$43:$E$47)</f>
        <v>2.3450162437672319</v>
      </c>
      <c r="I70" s="46" cm="1">
        <f t="array" ref="I70">Common_InputFunctions.Utility_LookupValueInTableNumber(E70,Table_SourceData_WaterScalingFactorPreSeason[Water regime prior to cultivation],Table_SourceData_WaterScalingFactorPreSeason[SFp])</f>
        <v>1</v>
      </c>
      <c r="J70" s="46" cm="1">
        <f t="array" ref="J70">Common_InputFunctions.Utility_LookupValueInTableNumber(F70,Table_SourceData_WaterScalingFactorGrowingSeason[Water regime sub-type],Table_SourceData_WaterScalingFactorGrowingSeason[SFw])</f>
        <v>0.16</v>
      </c>
      <c r="K70" s="46" cm="1">
        <f t="array" ref="K70">RiceCultivation_Equations.VEERG_7_1_1_1__2_EmissionFactorForRiceCultivation($J$59,J70,I70,H70)</f>
        <v>0.44649109281328092</v>
      </c>
    </row>
    <row r="71" spans="3:12" ht="20.100000000000001" customHeight="1" x14ac:dyDescent="0.25">
      <c r="D71" s="46" t="str">
        <v>Regime 2</v>
      </c>
      <c r="E71" s="46" t="str">
        <v>Flooded pre-season &gt;30 days</v>
      </c>
      <c r="F71" s="46" t="str">
        <v>Single drainage period</v>
      </c>
      <c r="G71" s="46" t="str">
        <v>Mix 2</v>
      </c>
      <c r="H71" s="46" cm="1">
        <f t="array" ref="H71">Common_InputFunctions.Utility_LookupValueInTableNumber(G71,$D$43:$D$47,$E$43:$E$47)</f>
        <v>2.1982259075210928</v>
      </c>
      <c r="I71" s="46" cm="1">
        <f t="array" ref="I71">Common_InputFunctions.Utility_LookupValueInTableNumber(E71,Table_SourceData_WaterScalingFactorPreSeason[Water regime prior to cultivation],Table_SourceData_WaterScalingFactorPreSeason[SFp])</f>
        <v>2.41</v>
      </c>
      <c r="J71" s="46" cm="1">
        <f t="array" ref="J71">Common_InputFunctions.Utility_LookupValueInTableNumber(F71,Table_SourceData_WaterScalingFactorGrowingSeason[Water regime sub-type],Table_SourceData_WaterScalingFactorGrowingSeason[SFw])</f>
        <v>0.71</v>
      </c>
      <c r="K71" s="46" cm="1">
        <f t="array" ref="K71">RiceCultivation_Equations.VEERG_7_1_1_1__2_EmissionFactorForRiceCultivation($J$59,J71,I71,H71)</f>
        <v>4.4760473769276166</v>
      </c>
    </row>
    <row r="72" spans="3:12" ht="20.100000000000001" customHeight="1" x14ac:dyDescent="0.25">
      <c r="D72" s="46" t="str">
        <v/>
      </c>
      <c r="E72" s="46" t="str">
        <v/>
      </c>
      <c r="F72" s="46" t="str">
        <v/>
      </c>
      <c r="G72" s="46" t="str">
        <v/>
      </c>
      <c r="H72" s="46" cm="1">
        <f t="array" ref="H72">Common_InputFunctions.Utility_LookupValueInTableNumber(G72,$D$43:$D$47,$E$43:$E$47)</f>
        <v>1</v>
      </c>
      <c r="I72" s="46" cm="1">
        <f t="array" ref="I72">Common_InputFunctions.Utility_LookupValueInTableNumber(E72,Table_SourceData_WaterScalingFactorPreSeason[Water regime prior to cultivation],Table_SourceData_WaterScalingFactorPreSeason[SFp])</f>
        <v>0</v>
      </c>
      <c r="J72" s="46" cm="1">
        <f t="array" ref="J72">Common_InputFunctions.Utility_LookupValueInTableNumber(F72,Table_SourceData_WaterScalingFactorGrowingSeason[Water regime sub-type],Table_SourceData_WaterScalingFactorGrowingSeason[SFw])</f>
        <v>0</v>
      </c>
      <c r="K72" s="46" cm="1">
        <f t="array" ref="K72">RiceCultivation_Equations.VEERG_7_1_1_1__2_EmissionFactorForRiceCultivation($J$59,J72,I72,H72)</f>
        <v>0</v>
      </c>
    </row>
    <row r="73" spans="3:12" ht="20.100000000000001" customHeight="1" x14ac:dyDescent="0.25">
      <c r="D73" s="46" t="str">
        <v/>
      </c>
      <c r="E73" s="46" t="str">
        <v/>
      </c>
      <c r="F73" s="46" t="str">
        <v/>
      </c>
      <c r="G73" s="46" t="str">
        <v/>
      </c>
      <c r="H73" s="46" cm="1">
        <f t="array" ref="H73">Common_InputFunctions.Utility_LookupValueInTableNumber(G73,$D$43:$D$47,$E$43:$E$47)</f>
        <v>1</v>
      </c>
      <c r="I73" s="46" cm="1">
        <f t="array" ref="I73">Common_InputFunctions.Utility_LookupValueInTableNumber(E73,Table_SourceData_WaterScalingFactorPreSeason[Water regime prior to cultivation],Table_SourceData_WaterScalingFactorPreSeason[SFp])</f>
        <v>0</v>
      </c>
      <c r="J73" s="46" cm="1">
        <f t="array" ref="J73">Common_InputFunctions.Utility_LookupValueInTableNumber(F73,Table_SourceData_WaterScalingFactorGrowingSeason[Water regime sub-type],Table_SourceData_WaterScalingFactorGrowingSeason[SFw])</f>
        <v>0</v>
      </c>
      <c r="K73" s="46" cm="1">
        <f t="array" ref="K73">RiceCultivation_Equations.VEERG_7_1_1_1__2_EmissionFactorForRiceCultivation($J$59,J73,I73,H73)</f>
        <v>0</v>
      </c>
    </row>
    <row r="74" spans="3:12" ht="20.100000000000001" customHeight="1" x14ac:dyDescent="0.25">
      <c r="D74" s="46" t="str">
        <v/>
      </c>
      <c r="E74" s="46" t="str">
        <v/>
      </c>
      <c r="F74" s="46" t="str">
        <v/>
      </c>
      <c r="G74" s="46" t="str">
        <v/>
      </c>
      <c r="H74" s="46" cm="1">
        <f t="array" ref="H74">Common_InputFunctions.Utility_LookupValueInTableNumber(G74,$D$43:$D$47,$E$43:$E$47)</f>
        <v>1</v>
      </c>
      <c r="I74" s="46" cm="1">
        <f t="array" ref="I74">Common_InputFunctions.Utility_LookupValueInTableNumber(E74,Table_SourceData_WaterScalingFactorPreSeason[Water regime prior to cultivation],Table_SourceData_WaterScalingFactorPreSeason[SFp])</f>
        <v>0</v>
      </c>
      <c r="J74" s="46" cm="1">
        <f t="array" ref="J74">Common_InputFunctions.Utility_LookupValueInTableNumber(F74,Table_SourceData_WaterScalingFactorGrowingSeason[Water regime sub-type],Table_SourceData_WaterScalingFactorGrowingSeason[SFw])</f>
        <v>0</v>
      </c>
      <c r="K74" s="46"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1"/>
      <c r="D77" s="41"/>
      <c r="E77" s="41"/>
      <c r="F77" s="41"/>
      <c r="G77" s="41"/>
      <c r="H77" s="41"/>
      <c r="I77" s="41"/>
      <c r="J77" s="41"/>
      <c r="K77" s="41"/>
      <c r="L77" s="41"/>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49"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4:10" ht="20.100000000000001" customHeight="1" x14ac:dyDescent="0.25">
      <c r="D81" s="13" t="s">
        <v>13</v>
      </c>
      <c r="E81" s="13" t="str" cm="1">
        <f t="array" aca="1" ref="E81" ca="1">Common_InputFunctions.Utility_DisplayFunctionName(G96)</f>
        <v>=RiceCultivation_Equations.VEERG_7_1_1_1__1_MethaneEmissionsFromRiceCultivation</v>
      </c>
    </row>
    <row r="82" spans="4:10" ht="20.100000000000001" customHeight="1" x14ac:dyDescent="0.25"/>
    <row r="83" spans="4:10" ht="20.100000000000001" customHeight="1" x14ac:dyDescent="0.25"/>
    <row r="84" spans="4:10" ht="20.100000000000001" customHeight="1" x14ac:dyDescent="0.25"/>
    <row r="85" spans="4:10" ht="20.100000000000001" customHeight="1" x14ac:dyDescent="0.25">
      <c r="D85" s="47" t="s">
        <v>16</v>
      </c>
      <c r="E85" s="1" t="str" cm="1">
        <f t="array" ref="E85">RiceCultivation_Equations.VEERG_7_1_1_1__1_MethaneEmissionsFromRiceCultivation_Variable()</f>
        <v>E_rice</v>
      </c>
    </row>
    <row r="86" spans="4:10" ht="20.100000000000001" customHeight="1" x14ac:dyDescent="0.25">
      <c r="D86" s="47" t="s">
        <v>8</v>
      </c>
      <c r="E86" s="48" t="str" cm="1">
        <f t="array" ref="E86">RiceCultivation_Equations.VEERG_7_1_1_1__1_MethaneEmissionsFromRiceCultivation_Unit()</f>
        <v>t CH4</v>
      </c>
    </row>
    <row r="87" spans="4:10" ht="20.100000000000001" customHeight="1" x14ac:dyDescent="0.25"/>
    <row r="88" spans="4:10" ht="20.100000000000001" customHeight="1" x14ac:dyDescent="0.25">
      <c r="D88" s="106" t="str" cm="1">
        <f t="array" ref="D88:E91">_xlfn.CHOOSECOLS(RiceCultivation_Equations.VEERG_7_1_1_1__1_MethaneEmissionsFromRiceCultivation_Arguments(),1,2)</f>
        <v>A_ricewpo</v>
      </c>
      <c r="E88" s="108" t="str">
        <v>annual area of rice cultivation under water regime w, pre-season water regime p, and organic amendment condition o</v>
      </c>
      <c r="F88" s="109"/>
      <c r="G88" s="107"/>
      <c r="H88" s="106" t="str" cm="1">
        <f t="array" ref="H88:I91">_xlfn.CHOOSECOLS(RiceCultivation_Equations.VEERG_7_1_1_1__1_MethaneEmissionsFromRiceCultivation_Arguments(),3,4)</f>
        <v>ha</v>
      </c>
      <c r="I88" s="101" t="str">
        <v>Input</v>
      </c>
      <c r="J88" s="105" t="str" cm="1">
        <f t="array" aca="1" ref="J88" ca="1">HYPERLINK(Common_InputFunctions.Utility_SourceHyperlink($D$93), $D$93)</f>
        <v>Table_E_rice</v>
      </c>
    </row>
    <row r="89" spans="4:10" ht="20.100000000000001" customHeight="1" x14ac:dyDescent="0.25">
      <c r="D89" s="106" t="str">
        <v>EF_ricewpo</v>
      </c>
      <c r="E89" s="108" t="str">
        <v>emission factor for rice cultivation under conditions w, p, and o</v>
      </c>
      <c r="F89" s="109"/>
      <c r="G89" s="107"/>
      <c r="H89" s="106" t="str">
        <v>kg CH4/ha/day</v>
      </c>
      <c r="I89" s="100" t="str">
        <v>Calculated from 7.1.1.1, (2)</v>
      </c>
      <c r="J89" s="105" t="str" cm="1">
        <f t="array" aca="1" ref="J89" ca="1">HYPERLINK(Common_InputFunctions.Utility_SourceHyperlink($D$67),$D$67)</f>
        <v>Table_EF_rice_w_p_o</v>
      </c>
    </row>
    <row r="90" spans="4:10" ht="20.100000000000001" customHeight="1" x14ac:dyDescent="0.25">
      <c r="D90" s="106" t="str">
        <v>t_ricewpo</v>
      </c>
      <c r="E90" s="108" t="str">
        <v>cultivation period for rice under conditions w, p, and o</v>
      </c>
      <c r="F90" s="109"/>
      <c r="G90" s="107"/>
      <c r="H90" s="106" t="str">
        <v>days</v>
      </c>
      <c r="I90" s="101" t="str">
        <v>Input</v>
      </c>
      <c r="J90" s="105" t="str" cm="1">
        <f t="array" aca="1" ref="J90" ca="1">HYPERLINK(Common_InputFunctions.Utility_SourceHyperlink($D$93), $D$93)</f>
        <v>Table_E_rice</v>
      </c>
    </row>
    <row r="91" spans="4:10" ht="20.100000000000001" customHeight="1" x14ac:dyDescent="0.25">
      <c r="D91" s="106" t="str">
        <v>s</v>
      </c>
      <c r="E91" s="108" t="str">
        <v>number of cropping seasons in reporting period managed this way</v>
      </c>
      <c r="F91" s="109"/>
      <c r="G91" s="107"/>
      <c r="H91" s="106" t="str">
        <v>seasons</v>
      </c>
      <c r="I91" s="101" t="str">
        <v>Input</v>
      </c>
      <c r="J91" s="106">
        <f>X_Cell_NumberGorwingSeasons</f>
        <v>2</v>
      </c>
    </row>
    <row r="92" spans="4:10" ht="20.100000000000001" customHeight="1" x14ac:dyDescent="0.25"/>
    <row r="93" spans="4:10" ht="20.100000000000001" customHeight="1" x14ac:dyDescent="0.25">
      <c r="D93" s="83" t="s">
        <v>162</v>
      </c>
    </row>
    <row r="94" spans="4:10" ht="20.100000000000001" customHeight="1" x14ac:dyDescent="0.25">
      <c r="D94" s="82" t="s">
        <v>163</v>
      </c>
    </row>
    <row r="95" spans="4:10" ht="20.100000000000001" customHeight="1" x14ac:dyDescent="0.25">
      <c r="D95" s="99" t="s">
        <v>139</v>
      </c>
      <c r="E95" s="99" t="s">
        <v>161</v>
      </c>
      <c r="F95" s="99" t="s">
        <v>167</v>
      </c>
      <c r="G95" s="45" t="s">
        <v>159</v>
      </c>
    </row>
    <row r="96" spans="4:10" ht="20.100000000000001" customHeight="1" x14ac:dyDescent="0.25">
      <c r="D96" s="46" t="str" cm="1">
        <f t="array" ref="D96:D100">IFERROR(INDEX(Table_Input_Regimes[Regime name], _xlfn.SEQUENCE(5)), "")</f>
        <v>Regime 1</v>
      </c>
      <c r="E96" s="46" cm="1">
        <f t="array" ref="E96:E100">IFERROR(INDEX(Table_Input_Regimes[Area under cultivation (hectares)]*J91, _xlfn.SEQUENCE(5)), 0)</f>
        <v>200</v>
      </c>
      <c r="F96" s="46" cm="1">
        <f t="array" ref="F96:F100">IFERROR(INDEX(Table_Input_Regimes[Cultivation period (days)], _xlfn.SEQUENCE(5)), 0)</f>
        <v>100</v>
      </c>
      <c r="G96" s="46" cm="1">
        <f t="array" ref="G96">RiceCultivation_Equations.VEERG_7_1_1_1__1_MethaneEmissionsFromRiceCultivation(E96,K70,F96)</f>
        <v>8.9298218562656189</v>
      </c>
      <c r="H96" s="2" t="str">
        <f>E86</f>
        <v>t CH4</v>
      </c>
    </row>
    <row r="97" spans="4:12" ht="20.100000000000001" customHeight="1" x14ac:dyDescent="0.25">
      <c r="D97" s="46" t="str">
        <v>Regime 2</v>
      </c>
      <c r="E97" s="46">
        <v>200</v>
      </c>
      <c r="F97" s="46">
        <v>100</v>
      </c>
      <c r="G97" s="46" cm="1">
        <f t="array" ref="G97">RiceCultivation_Equations.VEERG_7_1_1_1__1_MethaneEmissionsFromRiceCultivation(E97,K71,F97)</f>
        <v>89.520947538552321</v>
      </c>
    </row>
    <row r="98" spans="4:12" ht="20.100000000000001" customHeight="1" x14ac:dyDescent="0.25">
      <c r="D98" s="46" t="str">
        <v/>
      </c>
      <c r="E98" s="46">
        <v>0</v>
      </c>
      <c r="F98" s="46">
        <v>0</v>
      </c>
      <c r="G98" s="46" cm="1">
        <f t="array" ref="G98">RiceCultivation_Equations.VEERG_7_1_1_1__1_MethaneEmissionsFromRiceCultivation(E98,K72,F98)</f>
        <v>0</v>
      </c>
    </row>
    <row r="99" spans="4:12" ht="20.100000000000001" customHeight="1" x14ac:dyDescent="0.25">
      <c r="D99" s="46" t="str">
        <v/>
      </c>
      <c r="E99" s="46">
        <v>0</v>
      </c>
      <c r="F99" s="46">
        <v>0</v>
      </c>
      <c r="G99" s="46" cm="1">
        <f t="array" ref="G99">RiceCultivation_Equations.VEERG_7_1_1_1__1_MethaneEmissionsFromRiceCultivation(E99,K73,F99)</f>
        <v>0</v>
      </c>
    </row>
    <row r="100" spans="4:12" ht="20.100000000000001" customHeight="1" x14ac:dyDescent="0.25">
      <c r="D100" s="46" t="str">
        <v/>
      </c>
      <c r="E100" s="46">
        <v>0</v>
      </c>
      <c r="F100" s="46">
        <v>0</v>
      </c>
      <c r="G100" s="46" cm="1">
        <f t="array" ref="G100">RiceCultivation_Equations.VEERG_7_1_1_1__1_MethaneEmissionsFromRiceCultivation(E100,K74,F100)</f>
        <v>0</v>
      </c>
    </row>
    <row r="101" spans="4:12" ht="20.100000000000001" customHeight="1" x14ac:dyDescent="0.25"/>
    <row r="102" spans="4:12" ht="20.100000000000001" customHeight="1" x14ac:dyDescent="0.25">
      <c r="D102" s="84" t="s">
        <v>87</v>
      </c>
      <c r="E102" s="85">
        <f>SUM(G96:G100)</f>
        <v>98.450769394817939</v>
      </c>
      <c r="F102" s="86" t="str">
        <f>E86</f>
        <v>t CH4</v>
      </c>
    </row>
    <row r="103" spans="4:12" ht="20.100000000000001" customHeight="1" x14ac:dyDescent="0.25"/>
    <row r="104" spans="4:12" ht="20.100000000000001" customHeight="1" x14ac:dyDescent="0.25">
      <c r="D104" s="50" t="str" cm="1">
        <f t="array" ref="D104:E105">Common_Equations.Common_ConvertCH4ToCO2e_Arguments()</f>
        <v>ECH4</v>
      </c>
      <c r="E104" s="51" t="str">
        <v>Methane emissions (t CH4)</v>
      </c>
      <c r="F104" s="87"/>
      <c r="G104" s="46">
        <f>VEERG_7_1_1_1__1_MethaneEmissionsFromRiceCultivation_Result_Method1</f>
        <v>98.450769394817939</v>
      </c>
    </row>
    <row r="105" spans="4:12" ht="20.100000000000001" customHeight="1" x14ac:dyDescent="0.25">
      <c r="D105" s="50" t="str">
        <v>GWPCH4</v>
      </c>
      <c r="E105" s="51" t="str">
        <v>Global warming potential for methane (t CO2-e / t CH4)</v>
      </c>
      <c r="F105" s="87"/>
      <c r="G105" s="46">
        <f>Common_InputFunctions.Utility_LookupValueInTableNumber("CH4",Table_GWPData[Gas],Table_GWPData[CO2-e factor])</f>
        <v>28</v>
      </c>
    </row>
    <row r="106" spans="4:12" ht="20.100000000000001" customHeight="1" x14ac:dyDescent="0.25"/>
    <row r="107" spans="4:12" ht="20.100000000000001" customHeight="1" x14ac:dyDescent="0.25">
      <c r="D107" s="41" t="s">
        <v>59</v>
      </c>
      <c r="E107" s="41" cm="1">
        <f t="array" ref="E107">Common_Equations.Common_ConvertN2OToCO2e(G104,G105)</f>
        <v>2756.6215430549023</v>
      </c>
      <c r="F107" s="88" t="str" cm="1">
        <f t="array" ref="F107">Common_Equations.Common_ConvertN2OToCO2e_Unit()</f>
        <v>t CO2e</v>
      </c>
    </row>
    <row r="108" spans="4:12" ht="20.100000000000001" customHeight="1" x14ac:dyDescent="0.25"/>
    <row r="109" spans="4:12" ht="20.100000000000001" customHeight="1" x14ac:dyDescent="0.25">
      <c r="D109" s="21"/>
      <c r="E109" s="21"/>
      <c r="F109" s="21"/>
      <c r="G109" s="21"/>
      <c r="H109" s="21"/>
    </row>
    <row r="110" spans="4:12" ht="20.100000000000001" customHeight="1" x14ac:dyDescent="0.25"/>
    <row r="111" spans="4:12" ht="20.100000000000001" customHeight="1" x14ac:dyDescent="0.25"/>
    <row r="112" spans="4:12" ht="20.100000000000001" customHeight="1" x14ac:dyDescent="0.25">
      <c r="H112" s="21"/>
      <c r="L112" s="21"/>
    </row>
    <row r="113" spans="4:12" ht="20.100000000000001" customHeight="1" x14ac:dyDescent="0.25">
      <c r="L113" s="21"/>
    </row>
    <row r="114" spans="4:12" ht="20.100000000000001" customHeight="1" x14ac:dyDescent="0.25">
      <c r="H114" s="21"/>
      <c r="L114" s="21"/>
    </row>
    <row r="115" spans="4:12" ht="20.100000000000001" customHeight="1" x14ac:dyDescent="0.25">
      <c r="H115" s="21"/>
      <c r="L115" s="21"/>
    </row>
    <row r="116" spans="4:12" ht="20.100000000000001" customHeight="1" x14ac:dyDescent="0.25">
      <c r="D116" s="21"/>
      <c r="E116" s="21"/>
      <c r="F116" s="94"/>
      <c r="G116" s="21"/>
      <c r="H116" s="21"/>
      <c r="I116" s="21"/>
      <c r="J116" s="21"/>
      <c r="K116" s="21"/>
      <c r="L116" s="21"/>
    </row>
    <row r="117" spans="4:12" ht="20.100000000000001" customHeight="1" x14ac:dyDescent="0.25">
      <c r="L117" s="21"/>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56" t="e" vm="1">
        <v>#VALUE!</v>
      </c>
      <c r="C1" s="8" t="s">
        <v>123</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D6" s="5" t="str" cm="1">
        <f t="array" ref="D6">RiceCultivation_SourceData.SourceData_RiceCultivation_WaterScalingFactorGrowingSeason_Source()</f>
        <v>VEERG 2026: Table A.2.3.1</v>
      </c>
    </row>
    <row r="7" spans="1:35" ht="20.100000000000001" customHeight="1" x14ac:dyDescent="0.25">
      <c r="D7" s="1" t="str" cm="1">
        <f t="array" ref="D7">RiceCultivation_SourceData.SourceData_RiceCultivation_WaterScalingFactorGrowingSeason_Variable()</f>
        <v>SFw</v>
      </c>
      <c r="AG7" s="1"/>
      <c r="AH7" s="1"/>
      <c r="AI7" s="1"/>
    </row>
    <row r="8" spans="1:35" ht="20.100000000000001" customHeight="1" x14ac:dyDescent="0.25">
      <c r="A8" s="19" t="s">
        <v>0</v>
      </c>
      <c r="D8" s="48" t="str" cm="1">
        <f t="array" ref="D8">RiceCultivation_SourceData.SourceData_RiceCultivation_WaterScalingFactorGrowingSeason_Unit()</f>
        <v>fraction</v>
      </c>
      <c r="H8" s="1" t="s">
        <v>143</v>
      </c>
      <c r="J8" s="1" t="s">
        <v>144</v>
      </c>
      <c r="L8" s="1" t="s">
        <v>145</v>
      </c>
      <c r="AG8" s="1"/>
      <c r="AH8" s="1"/>
      <c r="AI8" s="1"/>
    </row>
    <row r="9" spans="1:35" ht="20.100000000000001" customHeight="1" x14ac:dyDescent="0.25">
      <c r="A9" s="17" t="str">
        <f>HYPERLINK("#'Input - Site'!A1", "Site")</f>
        <v>Site</v>
      </c>
      <c r="D9" s="34" t="s">
        <v>108</v>
      </c>
      <c r="E9" s="34" t="s">
        <v>111</v>
      </c>
      <c r="F9" s="34" t="s">
        <v>124</v>
      </c>
      <c r="H9" s="34" t="s">
        <v>146</v>
      </c>
      <c r="J9" s="34" t="s">
        <v>146</v>
      </c>
      <c r="L9" s="34" t="s">
        <v>146</v>
      </c>
      <c r="AG9" s="1"/>
      <c r="AH9" s="1"/>
      <c r="AI9" s="1"/>
    </row>
    <row r="10" spans="1:35" ht="20.100000000000001" customHeight="1" x14ac:dyDescent="0.25">
      <c r="A10" s="17" t="str">
        <f>HYPERLINK("#'Input - Rice'!A1", "Rice")</f>
        <v>Rice</v>
      </c>
      <c r="D10" s="34" t="str" cm="1">
        <f t="array" ref="D10">Common_InputFunctions.Utility_DisplayArrayInTable(RiceCultivation_SourceData.SourceData_RiceCultivation_WaterScalingFactorGrowingSeason_Data(),Table_SourceData_WaterScalingFactorGrowingSeason[[#Headers],[Water regime type]],0)</f>
        <v>Upland</v>
      </c>
      <c r="E10" s="34" t="str" cm="1">
        <f t="array" ref="E10">Common_InputFunctions.Utility_DisplayArrayInTable(RiceCultivation_SourceData.SourceData_RiceCultivation_WaterScalingFactorGrowingSeason_Data(),Table_SourceData_WaterScalingFactorGrowingSeason[[#Headers],[Water regime type]],0)</f>
        <v>Paddy rotation</v>
      </c>
      <c r="F10" s="34" cm="1">
        <f t="array" ref="F10">Common_InputFunctions.Utility_DisplayArrayInTable(RiceCultivation_SourceData.SourceData_RiceCultivation_WaterScalingFactorGrowingSeason_Data(),Table_SourceData_WaterScalingFactorGrowingSeason[[#Headers],[Water regime type]],0)</f>
        <v>0</v>
      </c>
      <c r="H10" s="34" t="str">
        <f>E10</f>
        <v>Paddy rotation</v>
      </c>
      <c r="J10" s="34" t="str">
        <f>E12</f>
        <v>Continuously flooded</v>
      </c>
      <c r="L10" s="34" t="str">
        <f>E15</f>
        <v>Regular rainfed</v>
      </c>
      <c r="AG10" s="1"/>
      <c r="AH10" s="1"/>
      <c r="AI10" s="1"/>
    </row>
    <row r="11" spans="1:35" ht="20.100000000000001" customHeight="1" x14ac:dyDescent="0.25">
      <c r="D11" s="1" t="str" cm="1">
        <f t="array" ref="D11">Common_InputFunctions.Utility_DisplayArrayInTable(RiceCultivation_SourceData.SourceData_RiceCultivation_WaterScalingFactorGrowingSeason_Data(),Table_SourceData_WaterScalingFactorGrowingSeason[[#Headers],[Water regime type]],0)</f>
        <v>Upland</v>
      </c>
      <c r="E11" s="34"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4" cm="1">
        <f t="array" ref="F11">Common_InputFunctions.Utility_DisplayArrayInTable(RiceCultivation_SourceData.SourceData_RiceCultivation_WaterScalingFactorGrowingSeason_Data(),Table_SourceData_WaterScalingFactorGrowingSeason[[#Headers],[Water regime type]],0)</f>
        <v>0</v>
      </c>
      <c r="H11" s="34" t="str">
        <f>E11</f>
        <v>Fallow without flooding in previous year</v>
      </c>
      <c r="J11" s="34" t="str">
        <f>E13</f>
        <v>Single drainage period</v>
      </c>
      <c r="L11" s="34" t="str">
        <f>E16</f>
        <v>Drought prone</v>
      </c>
    </row>
    <row r="12" spans="1:35" ht="20.100000000000001" customHeight="1" x14ac:dyDescent="0.25">
      <c r="D12" s="1" t="str" cm="1">
        <f t="array" ref="D12">Common_InputFunctions.Utility_DisplayArrayInTable(RiceCultivation_SourceData.SourceData_RiceCultivation_WaterScalingFactorGrowingSeason_Data(),Table_SourceData_WaterScalingFactorGrowingSeason[[#Headers],[Water regime type]],0)</f>
        <v>Irrigated</v>
      </c>
      <c r="E12" s="34" t="str" cm="1">
        <f t="array" ref="E12">Common_InputFunctions.Utility_DisplayArrayInTable(RiceCultivation_SourceData.SourceData_RiceCultivation_WaterScalingFactorGrowingSeason_Data(),Table_SourceData_WaterScalingFactorGrowingSeason[[#Headers],[Water regime type]],0)</f>
        <v>Continuously flooded</v>
      </c>
      <c r="F12" s="34" cm="1">
        <f t="array" ref="F12">Common_InputFunctions.Utility_DisplayArrayInTable(RiceCultivation_SourceData.SourceData_RiceCultivation_WaterScalingFactorGrowingSeason_Data(),Table_SourceData_WaterScalingFactorGrowingSeason[[#Headers],[Water regime type]],0)</f>
        <v>1</v>
      </c>
      <c r="J12" s="34" t="str">
        <f>E14</f>
        <v>Multiple drainage periods</v>
      </c>
      <c r="L12" s="34" t="str">
        <f>E17</f>
        <v>Deep water</v>
      </c>
    </row>
    <row r="13" spans="1:35" ht="20.100000000000001" customHeight="1" x14ac:dyDescent="0.25">
      <c r="A13" s="18" t="s">
        <v>51</v>
      </c>
      <c r="D13" s="1" t="str" cm="1">
        <f t="array" ref="D13">Common_InputFunctions.Utility_DisplayArrayInTable(RiceCultivation_SourceData.SourceData_RiceCultivation_WaterScalingFactorGrowingSeason_Data(),Table_SourceData_WaterScalingFactorGrowingSeason[[#Headers],[Water regime type]],0)</f>
        <v>Irrigated</v>
      </c>
      <c r="E13" s="34" t="str" cm="1">
        <f t="array" ref="E13">Common_InputFunctions.Utility_DisplayArrayInTable(RiceCultivation_SourceData.SourceData_RiceCultivation_WaterScalingFactorGrowingSeason_Data(),Table_SourceData_WaterScalingFactorGrowingSeason[[#Headers],[Water regime type]],0)</f>
        <v>Single drainage period</v>
      </c>
      <c r="F13" s="34"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7" t="str">
        <f>HYPERLINK("#'7.1.1-2 Rice cultivation'!A1", "7.1.1-2 Rice cultivation")</f>
        <v>7.1.1-2 Rice cultivation</v>
      </c>
      <c r="D14" s="1" t="str" cm="1">
        <f t="array" ref="D14">Common_InputFunctions.Utility_DisplayArrayInTable(RiceCultivation_SourceData.SourceData_RiceCultivation_WaterScalingFactorGrowingSeason_Data(),Table_SourceData_WaterScalingFactorGrowingSeason[[#Headers],[Water regime type]],0)</f>
        <v>Irrigated</v>
      </c>
      <c r="E14" s="34" t="str" cm="1">
        <f t="array" ref="E14">Common_InputFunctions.Utility_DisplayArrayInTable(RiceCultivation_SourceData.SourceData_RiceCultivation_WaterScalingFactorGrowingSeason_Data(),Table_SourceData_WaterScalingFactorGrowingSeason[[#Headers],[Water regime type]],0)</f>
        <v>Multiple drainage periods</v>
      </c>
      <c r="F14" s="34"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4" t="str" cm="1">
        <f t="array" ref="E15">Common_InputFunctions.Utility_DisplayArrayInTable(RiceCultivation_SourceData.SourceData_RiceCultivation_WaterScalingFactorGrowingSeason_Data(),Table_SourceData_WaterScalingFactorGrowingSeason[[#Headers],[Water regime type]],0)</f>
        <v>Regular rainfed</v>
      </c>
      <c r="F15" s="34"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4" t="str" cm="1">
        <f t="array" ref="E16">Common_InputFunctions.Utility_DisplayArrayInTable(RiceCultivation_SourceData.SourceData_RiceCultivation_WaterScalingFactorGrowingSeason_Data(),Table_SourceData_WaterScalingFactorGrowingSeason[[#Headers],[Water regime type]],0)</f>
        <v>Drought prone</v>
      </c>
      <c r="F16" s="34"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A17" s="118" t="s">
        <v>1</v>
      </c>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4" t="str" cm="1">
        <f t="array" ref="E17">Common_InputFunctions.Utility_DisplayArrayInTable(RiceCultivation_SourceData.SourceData_RiceCultivation_WaterScalingFactorGrowingSeason_Data(),Table_SourceData_WaterScalingFactorGrowingSeason[[#Headers],[Water regime type]],0)</f>
        <v>Deep water</v>
      </c>
      <c r="F17" s="34"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c r="A18" s="117" t="str">
        <f>HYPERLINK("#'Constants - Rice cultivation'!A1", "Constants - Rice cultivation")</f>
        <v>Constants - Rice cultivation</v>
      </c>
    </row>
    <row r="19" spans="1:6" ht="20.100000000000001" customHeight="1" x14ac:dyDescent="0.25">
      <c r="A19" s="17" t="str">
        <f>HYPERLINK("#'Constants - Common'!A1", "Constants - Common")</f>
        <v>Constants - Common</v>
      </c>
    </row>
    <row r="20" spans="1:6" ht="20.100000000000001" customHeight="1" x14ac:dyDescent="0.25">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8" t="str" cm="1">
        <f t="array" ref="D23">RiceCultivation_SourceData.SourceData_RiceCultivation_WaterScalingFactorPreSeason_Unit()</f>
        <v>fraction</v>
      </c>
    </row>
    <row r="24" spans="1:6" ht="20.100000000000001" customHeight="1" x14ac:dyDescent="0.25">
      <c r="D24" s="34" t="s">
        <v>125</v>
      </c>
      <c r="E24" s="34" t="s">
        <v>126</v>
      </c>
    </row>
    <row r="25" spans="1:6" ht="20.100000000000001" customHeight="1" x14ac:dyDescent="0.25">
      <c r="D25" s="34"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4"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4"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4"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4"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49" t="str" cm="1">
        <f t="array" ref="D33:D35">RiceCultivation_SourceData.SourceData_RiceCultivation_OrganicAmendmentConversionFactor_Variation()</f>
        <v>VARIATION ON SOURCE:</v>
      </c>
    </row>
    <row r="34" spans="4:5" ht="20.100000000000001" customHeight="1" x14ac:dyDescent="0.25">
      <c r="D34" s="49" t="str">
        <v>Included inorganic fertiliser as amendment as per VEERG equation description:</v>
      </c>
    </row>
    <row r="35" spans="4:5" ht="20.100000000000001" customHeight="1" x14ac:dyDescent="0.25">
      <c r="D35" s="49"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8" t="str" cm="1">
        <f t="array" ref="D37">RiceCultivation_SourceData.SourceData_RiceCultivation_OrganicAmendmentConversionFactor_Unit()</f>
        <v>fraction</v>
      </c>
    </row>
    <row r="38" spans="4:5" ht="20.100000000000001" customHeight="1" x14ac:dyDescent="0.25">
      <c r="D38" s="34" t="s">
        <v>127</v>
      </c>
      <c r="E38" s="34" t="s">
        <v>128</v>
      </c>
    </row>
    <row r="39" spans="4:5" ht="20.100000000000001" customHeight="1" x14ac:dyDescent="0.25">
      <c r="D39" s="34" t="str" cm="1">
        <f t="array" ref="D39">Common_InputFunctions.Utility_DisplayArrayInTable(RiceCultivation_SourceData.SourceData_RiceCultivation_OrganicAmendmentConversionFactor_Data(),Table15[[#Headers],[Organic amendment i]],0)</f>
        <v>Straw incorporated shortly (&lt;30 days) before cultivation</v>
      </c>
      <c r="E39" s="34"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4"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4"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4"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4"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4"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7" t="str" cm="1">
        <f t="array" ref="D49">RiceCultivation_SourceData.SourceData_RiceCultivation_BaselineEF_Variable()</f>
        <v>EFc</v>
      </c>
      <c r="E49" s="1" cm="1">
        <f t="array" ref="E49">RiceCultivation_SourceData.SourceData_RiceCultivation_BaselineEF_Data()</f>
        <v>1.19</v>
      </c>
      <c r="F49" s="48"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D3FBC-4DFE-4756-91A7-5BA7C1B51405}">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8" t="s">
        <v>1</v>
      </c>
      <c r="D6" s="34" t="s">
        <v>9</v>
      </c>
      <c r="E6" s="34" t="s">
        <v>10</v>
      </c>
      <c r="F6" s="34" t="s">
        <v>11</v>
      </c>
    </row>
    <row r="7" spans="1:65" ht="20.100000000000001" customHeight="1" x14ac:dyDescent="0.25">
      <c r="A7" s="117" t="str">
        <f>HYPERLINK("#'Constants - Common'!A1", "Constants - Common")</f>
        <v>Constants - Common</v>
      </c>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71</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73</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70</v>
      </c>
      <c r="E212" s="34" t="s">
        <v>78</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88</v>
      </c>
      <c r="F231" s="33" t="s">
        <v>89</v>
      </c>
      <c r="G231" s="34" t="s">
        <v>83</v>
      </c>
      <c r="H231" s="34" t="s">
        <v>90</v>
      </c>
      <c r="I231" s="34" t="s">
        <v>91</v>
      </c>
      <c r="J231" s="34" t="s">
        <v>82</v>
      </c>
      <c r="K231" s="34" t="s">
        <v>81</v>
      </c>
      <c r="L231" s="34" t="s">
        <v>92</v>
      </c>
      <c r="M231" s="34" t="s">
        <v>93</v>
      </c>
      <c r="N231" s="34" t="s">
        <v>80</v>
      </c>
      <c r="O231" s="34" t="s">
        <v>94</v>
      </c>
      <c r="P231" s="34" t="s">
        <v>85</v>
      </c>
      <c r="Q231" s="34" t="s">
        <v>86</v>
      </c>
      <c r="R231" s="34" t="s">
        <v>84</v>
      </c>
      <c r="S231" s="34" t="s">
        <v>95</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6" x14ac:dyDescent="0.25">
      <c r="D257" s="34" t="s">
        <v>96</v>
      </c>
      <c r="E257" s="34" t="s">
        <v>97</v>
      </c>
    </row>
    <row r="258" spans="4:6"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171</v>
      </c>
    </row>
    <row r="264" spans="4:6" x14ac:dyDescent="0.25">
      <c r="D264" s="1" t="s">
        <v>172</v>
      </c>
    </row>
    <row r="265" spans="4:6" x14ac:dyDescent="0.25">
      <c r="D265" s="34" t="s">
        <v>173</v>
      </c>
      <c r="E265" s="34" t="s">
        <v>174</v>
      </c>
      <c r="F265" s="34" t="s">
        <v>175</v>
      </c>
    </row>
    <row r="266" spans="4:6" x14ac:dyDescent="0.25">
      <c r="D266" s="34" t="s">
        <v>176</v>
      </c>
      <c r="E266" s="34" t="s">
        <v>177</v>
      </c>
      <c r="F266" s="34">
        <v>5</v>
      </c>
    </row>
    <row r="267" spans="4:6" x14ac:dyDescent="0.25">
      <c r="D267" s="34" t="s">
        <v>178</v>
      </c>
      <c r="E267" s="34" t="s">
        <v>179</v>
      </c>
      <c r="F267" s="34">
        <v>4</v>
      </c>
    </row>
    <row r="268" spans="4:6" x14ac:dyDescent="0.25">
      <c r="D268" s="34" t="s">
        <v>180</v>
      </c>
      <c r="E268" s="34" t="s">
        <v>181</v>
      </c>
      <c r="F268" s="34">
        <v>3</v>
      </c>
    </row>
    <row r="269" spans="4:6" x14ac:dyDescent="0.25">
      <c r="D269" s="34" t="s">
        <v>182</v>
      </c>
      <c r="E269" s="34" t="s">
        <v>183</v>
      </c>
      <c r="F269" s="34">
        <v>2</v>
      </c>
    </row>
    <row r="270" spans="4:6" x14ac:dyDescent="0.25">
      <c r="D270" s="34" t="s">
        <v>184</v>
      </c>
      <c r="E270" s="34" t="s">
        <v>185</v>
      </c>
      <c r="F270" s="34">
        <v>1</v>
      </c>
    </row>
    <row r="273" spans="4:6" x14ac:dyDescent="0.25">
      <c r="D273" s="1" t="s">
        <v>186</v>
      </c>
    </row>
    <row r="274" spans="4:6" x14ac:dyDescent="0.25">
      <c r="D274" s="34" t="s">
        <v>173</v>
      </c>
      <c r="E274" s="34" t="s">
        <v>174</v>
      </c>
      <c r="F274" s="34" t="s">
        <v>175</v>
      </c>
    </row>
    <row r="275" spans="4:6" x14ac:dyDescent="0.25">
      <c r="D275" s="34" t="s">
        <v>187</v>
      </c>
      <c r="E275" s="34" t="s">
        <v>188</v>
      </c>
      <c r="F275" s="34">
        <v>5</v>
      </c>
    </row>
    <row r="276" spans="4:6" x14ac:dyDescent="0.25">
      <c r="D276" s="34" t="s">
        <v>189</v>
      </c>
      <c r="E276" s="34" t="s">
        <v>190</v>
      </c>
      <c r="F276" s="34">
        <v>4</v>
      </c>
    </row>
    <row r="277" spans="4:6" x14ac:dyDescent="0.25">
      <c r="D277" s="34" t="s">
        <v>191</v>
      </c>
      <c r="E277" s="34" t="s">
        <v>192</v>
      </c>
      <c r="F277" s="34">
        <v>3</v>
      </c>
    </row>
    <row r="278" spans="4:6" x14ac:dyDescent="0.25">
      <c r="D278" s="34" t="s">
        <v>193</v>
      </c>
      <c r="E278" s="34" t="s">
        <v>194</v>
      </c>
      <c r="F278" s="34">
        <v>2</v>
      </c>
    </row>
    <row r="279" spans="4:6" x14ac:dyDescent="0.25">
      <c r="D279" s="34" t="s">
        <v>195</v>
      </c>
      <c r="E279" s="34" t="s">
        <v>196</v>
      </c>
      <c r="F279" s="34">
        <v>1</v>
      </c>
    </row>
    <row r="282" spans="4:6" x14ac:dyDescent="0.25">
      <c r="D282" s="1" t="s">
        <v>197</v>
      </c>
    </row>
    <row r="283" spans="4:6" x14ac:dyDescent="0.25">
      <c r="D283" s="34" t="s">
        <v>173</v>
      </c>
      <c r="E283" s="34" t="s">
        <v>174</v>
      </c>
      <c r="F283" s="34" t="s">
        <v>175</v>
      </c>
    </row>
    <row r="284" spans="4:6" x14ac:dyDescent="0.25">
      <c r="D284" s="34" t="s">
        <v>198</v>
      </c>
      <c r="E284" s="34" t="s">
        <v>199</v>
      </c>
      <c r="F284" s="34">
        <v>5</v>
      </c>
    </row>
    <row r="285" spans="4:6" x14ac:dyDescent="0.25">
      <c r="D285" s="34" t="s">
        <v>200</v>
      </c>
      <c r="E285" s="34" t="s">
        <v>201</v>
      </c>
      <c r="F285" s="34">
        <v>4</v>
      </c>
    </row>
    <row r="286" spans="4:6" x14ac:dyDescent="0.25">
      <c r="D286" s="34" t="s">
        <v>202</v>
      </c>
      <c r="E286" s="34" t="s">
        <v>203</v>
      </c>
      <c r="F286" s="34">
        <v>3</v>
      </c>
    </row>
    <row r="287" spans="4:6" x14ac:dyDescent="0.25">
      <c r="D287" s="34" t="s">
        <v>204</v>
      </c>
      <c r="E287" s="34" t="s">
        <v>205</v>
      </c>
      <c r="F287" s="34">
        <v>2</v>
      </c>
    </row>
    <row r="288" spans="4:6" x14ac:dyDescent="0.25">
      <c r="D288" s="34" t="s">
        <v>206</v>
      </c>
      <c r="E288" s="34" t="s">
        <v>207</v>
      </c>
      <c r="F288" s="34">
        <v>1</v>
      </c>
    </row>
    <row r="291" spans="4:6" x14ac:dyDescent="0.25">
      <c r="D291" s="1" t="s">
        <v>208</v>
      </c>
    </row>
    <row r="292" spans="4:6" x14ac:dyDescent="0.25">
      <c r="D292" s="34" t="s">
        <v>173</v>
      </c>
      <c r="E292" s="34" t="s">
        <v>174</v>
      </c>
      <c r="F292" s="34" t="s">
        <v>175</v>
      </c>
    </row>
    <row r="293" spans="4:6" x14ac:dyDescent="0.25">
      <c r="D293" s="34" t="s">
        <v>209</v>
      </c>
      <c r="E293" s="34" t="s">
        <v>210</v>
      </c>
      <c r="F293" s="34">
        <v>5</v>
      </c>
    </row>
    <row r="294" spans="4:6" x14ac:dyDescent="0.25">
      <c r="D294" s="34" t="s">
        <v>211</v>
      </c>
      <c r="E294" s="34" t="s">
        <v>212</v>
      </c>
      <c r="F294" s="34">
        <v>4</v>
      </c>
    </row>
    <row r="295" spans="4:6" x14ac:dyDescent="0.25">
      <c r="D295" s="34" t="s">
        <v>213</v>
      </c>
      <c r="E295" s="34" t="s">
        <v>214</v>
      </c>
      <c r="F295" s="34">
        <v>3</v>
      </c>
    </row>
    <row r="296" spans="4:6" x14ac:dyDescent="0.25">
      <c r="D296" s="34" t="s">
        <v>215</v>
      </c>
      <c r="E296" s="34" t="s">
        <v>216</v>
      </c>
      <c r="F296" s="34">
        <v>2</v>
      </c>
    </row>
    <row r="297" spans="4:6" x14ac:dyDescent="0.25">
      <c r="D297" s="34" t="s">
        <v>217</v>
      </c>
      <c r="E297" s="34" t="s">
        <v>218</v>
      </c>
      <c r="F297" s="3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SAGkAYwBlAEMAdQBsAHQAaQB2AGEAdABpAG8AbgBfAFMAbwB1AHIAYwBlAEQAYQB0AGEAIgAsACIAdABlAHgAdAAiADoAIgBcAG4ALwAqACAAXABuAC0ALQAtAC0ALQAtAC0ALQAtAC0ALQAtAC0ALQAtAC0ALQAtAC0ALQAtAC0ALQAtAC0ALQAtAC0ALQAtAC0ALQAtAC0ALQAtAC0ALQBcAG4AUwBvAHUAcgBjAGUARABhAHQAYQBfAFIAaQBjAGUAQwB1AGwAdABpAHYAYQB0AGkAbwBuAF8AVwBhAHQAZQByAFMAYwBhAGwAaQBuAGcARgBhAGMAdABvAHIARwByAG8AdwBpAG4AZwBTAGUAYQBzAG8AbgBcAG4ALQAtAC0ALQAtAC0ALQAtAC0ALQAtAC0ALQAtAC0ALQAtAC0ALQAtAC0ALQAtAC0ALQAtAC0ALQAtAC0ALQAtAC0ALQAtAC0ALQAtAFwAbgAqAC8AXABuAFwAbgBTAG8AdQByAGMAZQBEAGEAdABhAF8AUgBpAGMAZQBDAHUAbAB0AGkAdgBhAHQAaQBvAG4AXwBXAGEAdABlAHIAUwBjAGEAbABpAG4AZwBGAGEAYwB0AG8AcgBHAHIAbwB3AGkAbgBnAFMAZQBhAHMAbwBuAF8AVABpAHQAbABlAFwAbgAgACAAPQBMAEEATQBCAEQAQQAoAFwAIgBTAGMAYQBsAGkAbgBnACAAZgBhAGMAdABvAHIAIABiAGEAcwBlAGQAIABvAG4AIAB0AGgAZQAgAHcAYQB0AGUAcgAgAHIAZQBnAGkAbQBlACAAZQBtAHAAbABvAHkAZQBkACAAZAB1AHIAaQBuAGcAIAB0AGgAZQAgAGcAcgBvAHcAaQBuAGcAIABzAGUAYQBzAG8AbgAgAGMAdQBsAHQAaQB2AGEAdABpAG8AbgAgAHAAZQByAGkAbwBkAFwAIgApADsAXABuAFwAbgBTAG8AdQByAGMAZQBEAGEAdABhAF8AUgBpAGMAZQBDAHUAbAB0AGkAdgBhAHQAaQBvAG4AXwBXAGEAdABlAHIAUwBjAGEAbABpAG4AZwBGAGEAYwB0AG8AcgBHAHIAbwB3AGkAbgBnAFMAZQBhAHMAbwBuAF8AVgBhAHIAaQBhAGIAbABlAFwAbgAgACAAPQBMAEEATQBCAEQAQQAoAFwAIgBTAEYAdwBcACIAKQA7AFwAbgBcAG4AUwBvAHUAcgBjAGUARABhAHQAYQBfAFIAaQBjAGUAQwB1AGwAdABpAHYAYQB0AGkAbwBuAF8AVwBhAHQAZQByAFMAYwBhAGwAaQBuAGcARgBhAGMAdABvAHIARwByAG8AdwBpAG4AZwBTAGUAYQBzAG8AbgBfAFUAbgBpAHQAXABuACAAIAA9AEwAQQBNAEIARABBACgAXAAiAGYAcgBhAGMAdABpAG8AbgBcACIAKQA7AFwAbgBcAG4AUwBvAHUAcgBjAGUARABhAHQAYQBfAFIAaQBjAGUAQwB1AGwAdABpAHYAYQB0AGkAbwBuAF8AVwBhAHQAZQByAFMAYwBhAGwAaQBuAGcARgBhAGMAdABvAHIARwByAG8AdwBpAG4AZwBTAGUAYQBzAG8AbgBfAFMAbwB1AHIAYwBlAFwAbgAgACAAPQBMAEEATQBCAEQAQQAoAFwAIgBWAEUARQBSAEcAIAAyADAAMgA2ADoAIABUAGEAYgBsAGUAIABBAC4AMgAuADMALgAxAFwAIgApADsAXABuAFwAbgBTAG8AdQByAGMAZQBEAGEAdABhAF8AUgBpAGMAZQBDAHUAbAB0AGkAdgBhAHQAaQBvAG4AXwBXAGEAdABlAHIAUwBjAGEAbABpAG4AZwBGAGEAYwB0AG8AcgBHAHIAbwB3AGkAbgBnAFMAZQBhAHMAbwBuAF8AVgBhAHIAaQBhAHQAaQBvAG4AXABuACAAIAA9AEwAQQBNAEIARABBACgAXAAiAFwAIgApADsAXABuAFwAbgBTAG8AdQByAGMAZQBEAGEAdABhAF8AUgBpAGMAZQBDAHUAbAB0AGkAdgBhAHQAaQBvAG4AXwBXAGEAdABlAHIAUwBjAGEAbABpAG4AZwBGAGEAYwB0AG8AcgBHAHIAbwB3AGkAbgBnAFMAZQBhAHMAbwBuAF8ARABhAHQAYQBcAG4AIAAgAD0ATABBAE0AQgBEAEEAKABcAG4AIAAgACAAIABNAEEASwBFAEEAUgBSAEEAWQAoADkALAAgADMALAAgAFwAbgAgACAAIAAgACAAIABMAEEATQBCAEQAQQAoAHIALABjACwAIABcAG4AIAAgACAAIAAgACAAIAAgAEkATgBEAEUAWAAoAHsAXABuACAAIAAgACAAIAAgACAAIAAgACAAXAAiAFcAYQB0AGUAcgAgAHIAZQBnAGkAbQBlACAAdAB5AHAAZQBcACIALAAgAFwAIgBXAGEAdABlAHIAIAByAGUAZwBpAG0AZQAgAHMAdQBiACAALQAgAHQAeQBwAGUAXAAiACwAIABcACIAUwBGAHcAXAAiADsAXABuACAAIAAgACAAIAAgACAAIAAgACAAXAAiAFUAcABsAGEAbgBkAFwAIgAsACAAXAAiAFAAYQBkAGQAeQAgAHIAbwB0AGEAdABpAG8AbgBcACIALAAgADAAOwBcAG4AIAAgACAAIAAgACAAIAAgACAAIABcACIAVQBwAGwAYQBuAGQAXAAiACwAIABcACIARgBhAGwAbABvAHcAIAB3AGkAdABoAG8AdQB0ACAAZgBsAG8AbwBkAGkAbgBnACAAaQBuACAAcAByAGUAdgBpAG8AdQBzACAAeQBlAGEAcgBcACIALAAgADAAOwBcAG4AIAAgACAAIAAgACAAIAAgACAAIABcACIASQByAHIAaQBnAGEAdABlAGQAXAAiACwAIABcACIAQwBvAG4AdABpAG4AdQBvAHUAcwBsAHkAIABmAGwAbwBvAGQAZQBkAFwAIgAsACAAMQA7AFwAbgAgACAAIAAgACAAIAAgACAAIAAgAFwAIgBJAHIAcgBpAGcAYQB0AGUAZABcACIALAAgAFwAIgBTAGkAbgBnAGwAZQAgAGQAcgBhAGkAbgBhAGcAZQAgAHAAZQByAGkAbwBkAFwAIgAsACAAMAAuADcAMQA7AFwAbgAgACAAIAAgACAAIAAgACAAIAAgAFwAIgBJAHIAcgBpAGcAYQB0AGUAZABcACIALAAgAFwAIgBNAHUAbAB0AGkAcABsAGUAIABkAHIAYQBpAG4AYQBnAGUAIABwAGUAcgBpAG8AZABzAFwAIgAsACAAMAAuADUANQA7AFwAbgAgACAAIAAgACAAIAAgACAAIAAgAFwAIgBSAGEAaQBuAGYAZQBkACAAYQBuAGQAIABkAGUAZQBwACAAdwBhAHQAZQByAFwAIgAsACAAXAAiAFIAZQBnAHUAbABhAHIAIAByAGEAaQBuAGYAZQBkAFwAIgAsACAAMAAuADUANAA7AFwAbgAgACAAIAAgACAAIAAgACAAIAAgAFwAIgBSAGEAaQBuAGYAZQBkACAAYQBuAGQAIABkAGUAZQBwACAAdwBhAHQAZQByAFwAIgAsACAAXAAiAEQAcgBvAHUAZwBoAHQAIABwAHIAbwBuAGUAXAAiACwAIAAwAC4AMQA2ADsAXABuACAAIAAgACAAIAAgACAAIAAgACAAXAAiAFIAYQBpAG4AZgBlAGQAIABhAG4AZAAgAGQAZQBlAHAAIAB3AGEAdABlAHIAXAAiACwAIABcACIARABlAGUAcAAgAHcAYQB0AGUAcgBcACIALAAgADAALgAwADYAXABuACAAIAAgACAAIAAgACAAIAB9ACwAIAByACwAIABjACkAXABuACAAIAAgACAAIAAgACkAXABuACAAIAAgACAAKQBcAG4AIAAgACkAOwBcAG4AXABuAFwAbgBcAG4ALwAqACAAXABuAC0ALQAtAC0ALQAtAC0ALQAtAC0ALQAtAC0ALQAtAC0ALQAtAC0ALQAtAC0ALQAtAC0ALQAtAC0ALQAtAC0ALQAtAC0ALQAtAC0ALQBcAG4AUwBvAHUAcgBjAGUARABhAHQAYQBfAFIAaQBjAGUAQwB1AGwAdABpAHYAYQB0AGkAbwBuAF8AVwBhAHQAZQByAFMAYwBhAGwAaQBuAGcARgBhAGMAdABvAHIAUAByAGUAUwBlAGEAcwBvAG4AXABuAC0ALQAtAC0ALQAtAC0ALQAtAC0ALQAtAC0ALQAtAC0ALQAtAC0ALQAtAC0ALQAtAC0ALQAtAC0ALQAtAC0ALQAtAC0ALQAtAC0ALQBcAG4AKgAvAFwAbgBcAG4AUwBvAHUAcgBjAGUARABhAHQAYQBfAFIAaQBjAGUAQwB1AGwAdABpAHYAYQB0AGkAbwBuAF8AVwBhAHQAZQByAFMAYwBhAGwAaQBuAGcARgBhAGMAdABvAHIAUAByAGUAUwBlAGEAcwBvAG4AXwBUAGkAdABsAGUAXABuACAAIAA9AEwAQQBNAEIARABBACgAXAAiAFMAYwBhAGwAaQBuAGcAIABmAGEAYwB0AG8AcgAgAGIAYQBzAGUAZAAgAG8AbgAgAHQAaABlACAAdwBhAHQAZQByACAAcgBlAGcAaQBtAGUAIABlAG0AcABsAG8AeQBlAGQAIABpAG4AIAB0AGgAZQAgAHAAcgBlACAALQAgAHMAZQBhAHMAbwBuACAAYgBlAGYAbwByAGUAIAB0AGgAZQAgAGcAcgBvAHcAaQBuAGcAIABwAGUAcgBpAG8AZABcACIAKQA7AFwAbgBcAG4AUwBvAHUAcgBjAGUARABhAHQAYQBfAFIAaQBjAGUAQwB1AGwAdABpAHYAYQB0AGkAbwBuAF8AVwBhAHQAZQByAFMAYwBhAGwAaQBuAGcARgBhAGMAdABvAHIAUAByAGUAUwBlAGEAcwBvAG4AXwBWAGEAcgBpAGEAYgBsAGUAXABuACAAIAA9AEwAQQBNAEIARABBACgAXAAiAFMARgBwAFwAIgApADsAXABuAFwAbgBTAG8AdQByAGMAZQBEAGEAdABhAF8AUgBpAGMAZQBDAHUAbAB0AGkAdgBhAHQAaQBvAG4AXwBXAGEAdABlAHIAUwBjAGEAbABpAG4AZwBGAGEAYwB0AG8AcgBQAHIAZQBTAGUAYQBzAG8AbgBfAFUAbgBpAHQAXABuACAAIAA9AEwAQQBNAEIARABBACgAXAAiAGYAcgBhAGMAdABpAG8AbgBcACIAKQA7AFwAbgBcAG4AUwBvAHUAcgBjAGUARABhAHQAYQBfAFIAaQBjAGUAQwB1AGwAdABpAHYAYQB0AGkAbwBuAF8AVwBhAHQAZQByAFMAYwBhAGwAaQBuAGcARgBhAGMAdABvAHIAUAByAGUAUwBlAGEAcwBvAG4AXwBTAG8AdQByAGMAZQBcAG4AIAAgAD0ATABBAE0AQgBEAEEAKABcACIAVgBFAEUAUgBHACAAMgAwADIANgA6ACAAVABhAGIAbABlACAAQQAuADIALgAzAC4AMgBcACIAKQA7AFwAbgBcAG4AUwBvAHUAcgBjAGUARABhAHQAYQBfAFIAaQBjAGUAQwB1AGwAdABpAHYAYQB0AGkAbwBuAF8AVwBhAHQAZQByAFMAYwBhAGwAaQBuAGcARgBhAGMAdABvAHIAUAByAGUAUwBlAGEAcwBvAG4AXwBWAGEAcgBpAGEAdABpAG8AbgBcAG4AIAAgAD0ATABBAE0AQgBEAEEAKABcACIAXAAiACkAOwBcAG4AXABuAFMAbwB1AHIAYwBlAEQAYQB0AGEAXwBSAGkAYwBlAEMAdQBsAHQAaQB2AGEAdABpAG8AbgBfAFcAYQB0AGUAcgBTAGMAYQBsAGkAbgBnAEYAYQBjAHQAbwByAFAAcgBlAFMAZQBhAHMAbwBuAF8ARABhAHQAYQBcAG4AIAAgAD0ATABBAE0AQgBEAEEAKABcAG4AIAAgACAAIABNAEEASwBFAEEAUgBSAEEAWQAoADUALAAgADIALAAgAFwAbgAgACAAIAAgACAAIABMAEEATQBCAEQAQQAoAHIALABjACwAIABcAG4AIAAgACAAIAAgACAAIAAgAEkATgBEAEUAWAAoAHsAXABuACAAIAAgACAAIAAgACAAIAAgACAAXAAiAFcAYQB0AGUAcgAgAHIAZQBnAGkAbQBlACAAcAByAGkAbwByACAAdABvACAAYwB1AGwAdABpAHYAYQB0AGkAbwBuACAAcABlAHIAaQBvAGQAIABwAFwAIgAsACAAXAAiAFMARgBwAFwAIgA7AFwAbgAgACAAIAAgACAAIAAgACAAIAAgAFwAIgBOAG8AbgAgAGYAbABvAG8AZABlAGQAIABwAHIAZQAtAHMAZQBhAHMAbwBuACAAXAB1ADAAMAAzAGMAMQA4ADAAIABkAGEAeQBzAFwAIgAsACAAMQA7AFwAbgAgACAAIAAgACAAIAAgACAAIAAgAFwAIgBOAG8AbgAgAGYAbABvAG8AZABlAGQAIABwAHIAZQAtAHMAZQBhAHMAbwBuACAAXAB1ADAAMAAzAGUAMQA4ADAAIABkAGEAeQBzAFwAIgAsACAAMAAuADgAOQA7AFwAbgAgACAAIAAgACAAIAAgACAAIAAgAFwAIgBGAGwAbwBvAGQAZQBkACAAcAByAGUALQBzAGUAYQBzAG8AbgAgAFwAdQAwADAAMwBlADMAMAAgAGQAYQB5AHMAXAAiACwAIAAyAC4ANAAxADsAXABuACAAIAAgACAAIAAgACAAIAAgACAAXAAiAE4AbwBuAC0AZgBsAG8AbwBkAGUAZAAgAHAAcgBlAC0AcwBlAGEAcwBvAG4AIABcAHUAMAAwADMAZQAzADYANQAgAGQAYQB5AHMAXAAiACwAIAAwAC4ANQA5AFwAbgAgACAAIAAgACAAIAAgACAAfQAsACAAcgAsACAAYwApAFwAbgAgACAAIAAgACAAIAApAFwAbgAgACAAIAAgACkAXABuACAAIAApADsAXABuAFwAbgBcAG4ALwAqACAAXABuAC0ALQAtAC0ALQAtAC0ALQAtAC0ALQAtAC0ALQAtAC0ALQAtAC0ALQAtAC0ALQAtAC0ALQAtAC0ALQAtAC0ALQAtAC0ALQAtAC0ALQBcAG4AUwBvAHUAcgBjAGUARABhAHQAYQBfAFIAaQBjAGUAQwB1AGwAdABpAHYAYQB0AGkAbwBuAF8ATwByAGcAYQBuAGkAYwBBAG0AZQBuAGQAbQBlAG4AdABDAG8AbgB2AGUAcgBzAGkAbwBuAEYAYQBjAHQAbwByAFwAbgAtAC0ALQAtAC0ALQAtAC0ALQAtAC0ALQAtAC0ALQAtAC0ALQAtAC0ALQAtAC0ALQAtAC0ALQAtAC0ALQAtAC0ALQAtAC0ALQAtAC0AXABuACoALwBcAG4AXABuAFMAbwB1AHIAYwBlAEQAYQB0AGEAXwBSAGkAYwBlAEMAdQBsAHQAaQB2AGEAdABpAG8AbgBfAE8AcgBnAGEAbgBpAGMAQQBtAGUAbgBkAG0AZQBuAHQAQwBvAG4AdgBlAHIAcwBpAG8AbgBGAGEAYwB0AG8AcgBfAFQAaQB0AGwAZQBcAG4AIAAgAD0ATABBAE0AQgBEAEEAKABcACIAQwBvAG4AdgBlAHIAcwBpAG8AbgAgAGYAYQBjAHQAbwByACAAZgBvAHIAIABvAHIAZwBhAG4AaQBjACAAYQBtAGUAbgBkAG0AZQBuAHQAIABpAFwAIgApADsAXABuAFwAbgBTAG8AdQByAGMAZQBEAGEAdABhAF8AUgBpAGMAZQBDAHUAbAB0AGkAdgBhAHQAaQBvAG4AXwBPAHIAZwBhAG4AaQBjAEEAbQBlAG4AZABtAGUAbgB0AEMAbwBuAHYAZQByAHMAaQBvAG4ARgBhAGMAdABvAHIAXwBWAGEAcgBpAGEAYgBsAGUAXABuACAAIAA9AEwAQQBNAEIARABBACgAXAAiAEMARgBPAEEAaQBcACIAKQA7AFwAbgBcAG4AUwBvAHUAcgBjAGUARABhAHQAYQBfAFIAaQBjAGUAQwB1AGwAdABpAHYAYQB0AGkAbwBuAF8ATwByAGcAYQBuAGkAYwBBAG0AZQBuAGQAbQBlAG4AdABDAG8AbgB2AGUAcgBzAGkAbwBuAEYAYQBjAHQAbwByAF8AVQBuAGkAdABcAG4AIAAgAD0ATABBAE0AQgBEAEEAKABcACIAZgByAGEAYwB0AGkAbwBuAFwAIgApADsAXABuAFwAbgBTAG8AdQByAGMAZQBEAGEAdABhAF8AUgBpAGMAZQBDAHUAbAB0AGkAdgBhAHQAaQBvAG4AXwBPAHIAZwBhAG4AaQBjAEEAbQBlAG4AZABtAGUAbgB0AEMAbwBuAHYAZQByAHMAaQBvAG4ARgBhAGMAdABvAHIAXwBTAG8AdQByAGMAZQBcAG4AIAAgAD0ATABBAE0AQgBEAEEAKABcACIAVgBFAEUAUgBHACAAMgAwADIANgA6ACAAVABhAGIAbABlACAAQQAuADIALgAzAC4AMwBcACIAKQA7AFwAbgBcAG4AUwBvAHUAcgBjAGUARABhAHQAYQBfAFIAaQBjAGUAQwB1AGwAdABpAHYAYQB0AGkAbwBuAF8ATwByAGcAYQBuAGkAYwBBAG0AZQBuAGQAbQBlAG4AdABDAG8AbgB2AGUAcgBzAGkAbwBuAEYAYQBjAHQAbwByAF8AVgBhAHIAaQBhAHQAaQBvAG4AXABu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BcAG4AIAAgACAAIAAgACAAIAAgAH0ALAAgAHIALAAgAGMAKQBcAG4AIAAgACAAIAAgACAAKQBcAG4AIAAgACAAIAApAFwAbgAgACAAKQA7AFwAbgBcAG4AUwBvAHUAcgBjAGUARABhAHQAYQBfAFIAaQBjAGUAQwB1AGwAdABpAHYAYQB0AGkAbwBuAF8ATwByAGcAYQBuAGkAYwBBAG0AZQBuAGQAbQBlAG4AdABDAG8AbgB2AGUAcgBzAGkAbwBuAEYAYQBjAHQAbwByAF8ARABhAHQAYQBcAG4AIAAgAD0ATABBAE0AQgBEAEEAKABcAG4AIAAgACAAIABNAEEASwBFAEEAUgBSAEEAWQAoADcALAAgADIALAAgAFwAbgAgACAAIAAgACAAIABMAEEATQBCAEQAQQAoAHIALABjACwAIABcAG4AIAAgACAAIAAgACAAIAAgAEkATgBEAEUAWAAoAHsAXABuACAAIAAgACAAIAAgACAAIAAgACAAXAAiAE8AcgBnAGEAbgBpAGMAIABhAG0AZQBuAGQAbQBlAG4AdAAgAGkAXAAiACwAIABcACIAQwBGAE8AQQBpAFwAIgA7AFwAbgAgACAAIAAgACAAIAAgACAAIAAgAFwAIgBTAHQAcgBhAHcAIABpAG4AYwBvAHIAcABvAHIAYQB0AGUAZAAgAHMAaABvAHIAdABsAHkAIAAoAFwAdQAwADAAMwBjADMAMAAgAGQAYQB5AHMAKQAgAGIAZQBmAG8AcgBlACAAYwB1AGwAdABpAHYAYQB0AGkAbwBuAFwAIgAsACAAMQAuADAAMAA7AFwAbgAgACAAIAAgACAAIAAgACAAIAAgAFwAIgBTAHQAcgBhAHcAIABpAG4AYwBvAHIAcABvAHIAYQB0AGUAZAAgAGwAbwBuAGcAIAAoAFwAdQAwADAAMwBlADMAMAAgAGQAYQB5AHMAKQAgAGIAZQBmAG8AcgBlACAAYwB1AGwAdABpAHYAYQB0AGkAbwBuAFwAIgAsACAAMAAuADEAOQA7AFwAbgAgACAAIAAgACAAIAAgACAAIAAgAFwAIgBDAG8AbQBwAG8AcwB0AFwAIgAsACAAMAAuADEANwA7AFwAbgAgACAAIAAgACAAIAAgACAAIAAgAFwAIgBGAGEAcgBtACAAeQBhAHIAZAAgAG0AYQBuAHUAcgBlAFwAIgAsACAAMAAuADIAMQA7AFwAbgAgACAAIAAgACAAIAAgACAAIAAgAFwAIgBHAHIAZQBlAG4AIABtAGEAbgB1AHIAZQBcACIALAAgADAALgA0ADUAOwBcAG4AIAAgACAAIAAgACAAIAAgACAAIABcACIASQBuAG8AcgBnAGEAbgBpAGMAIABmAGUAcgB0AGkAbABpAHMAZQByAFwAIgAsACAAM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IAYQBzAGUAbABpAG4AZQBFAEYAXABuAC0ALQAtAC0ALQAtAC0ALQAtAC0ALQAtAC0ALQAtAC0ALQAtAC0ALQAtAC0ALQAtAC0ALQAtAC0ALQAtAC0ALQAtAC0ALQAtAC0ALQBcAG4AKgAvAFwAbgBcAG4AUwBvAHUAcgBjAGUARABhAHQAYQBfAFIAaQBjAGUAQwB1AGwAdABpAHYAYQB0AGkAbwBuAF8AQgBhAHMAZQBsAGkAbgBlAEUARgBfAFQAaQB0AGwAZQBcAG4AIAAgAD0ATABBAE0AQgBEAEEAKABcACIAQgBhAHMAZQBsAGkAbgBlACAAZQBtAGkAcwBzAGkAbwBuACAAZgBhAGMAdABvAHIAIABmAG8AcgAgAGMAbwBuAHQAaQBuAHUAbwB1AHMAbAB5ACAAZgBsAG8AbwBkAGUAZAAgAGYAaQBlAGwAZABzACAAdwBpAHQAaABvAHUAdAAgAG8AcgBnAGEAbgBpAGMAIABhAG0AZQBuAGQAbQBlAG4AdABzAFwAIgApADsAXABuAFwAbgBTAG8AdQByAGMAZQBEAGEAdABhAF8AUgBpAGMAZQBDAHUAbAB0AGkAdgBhAHQAaQBvAG4AXwBCAGEAcwBlAGwAaQBuAGUARQBGAF8AVgBhAHIAaQBhAGIAbABlAFwAbgAgACAAPQBMAEEATQBCAEQAQQAoAFwAIgBFAEYAYwBcACIAKQA7AFwAbgBcAG4AUwBvAHUAcgBjAGUARABhAHQAYQBfAFIAaQBjAGUAQwB1AGwAdABpAHYAYQB0AGkAbwBuAF8AQgBhAHMAZQBsAGkAbgBlAEUARgBfAFUAbgBpAHQAXABuACAAIAA9AEwAQQBNAEIARABBACgAXAAiAGsAZwAgAEMASAA0ACAALwAgAGgAYQAgAC8AIABkAGEAeQBcACIAKQA7AFwAbgBcAG4AUwBvAHUAcgBjAGUARABhAHQAYQBfAFIAaQBjAGUAQwB1AGwAdABpAHYAYQB0AGkAbwBuAF8AQgBhAHMAZQBsAGkAbgBlAEUARgBfAFMAbwB1AHIAYwBlAFwAbgAgACAAPQBMAEEATQBCAEQAQQAoAFwAIgBWAEUARQBSAEcAIAAyADAAMgA2ADoAIAA3AC4AMgAuADMAIABDAG8AbgBzAHQAYQBuAHQAIABQAGEAcgBhAG0AZQB0AGUAcgBzAFwAIgApADsAXABuAFwAbgBTAG8AdQByAGMAZQBEAGEAdABhAF8AUgBpAGMAZQBDAHUAbAB0AGkAdgBhAHQAaQBvAG4AXwBCAGEAcwBlAGwAaQBuAGUARQBGAF8AVgBhAHIAaQBhAHQAaQBvAG4AXABuACAAIAA9AEwAQQBNAEIARABBACgAXAAiAFwAIgApADsAXABuAFwAbgBTAG8AdQByAGMAZQBEAGEAdABhAF8AUgBpAGMAZQBDAHUAbAB0AGkAdgBhAHQAaQBvAG4AXwBCAGEAcwBlAGwAaQBuAGUARQBGAF8ARABhAHQAYQBcAG4AIAAgAD0ATABBAE0AQgBEAEEAKAAxAC4AMQA5ACkAOwAiAH0ALAB7ACIAcABhAHQAaAAiADoAIgAvAHAAcgBvAGoAZQBjAHQAcwAvAFIAaQBjAGUAQwB1AGwAdABpAHYAY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cALgAxADoAIABSAGkAYwBlACAAQwB1AGwAdABpAHYAYQB0AGkAbwBuAFwAbgA9AD0APQA9AD0APQA9AD0APQA9AD0APQA9AD0APQA9AD0APQA9AD0APQA9AD0APQA9AD0APQA9AD0APQA9AD0APQA9AD0APQA9AD0APQA9AD0APQA9AD0APQA9AD0APQA9AD0APQA9AD0APQA9AD0APQA9AD0APQA9AD0APQA9AD0APQA9AD0APQA9AD0APQA9AD0APQA9AFwAbgA3AC4AMQAuADEALgAxACAATQBlAHQAaABvAGQAIAAxACAALQAgAFIAaQBjAGUAIABDAHUAbAB0AGkAdgBhAHQAaQBvAG4AIABDAEgANA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wBfADEAXwAxAF8AMQBfAF8AMQBfAE0AZQB0AGgAYQBuAGUARQBtAGkAcwBzAGkAbwBuAHMARgByAG8AbQBSAGkAYwBlAEMAdQBsAHQAaQB2AGEAdABpAG8AbgBcAG4ATQBlAHQAaABhAG4AZQAgAGUAbQBpAHMAcwBpAG8AbgBzACAAZgByAG8AbQAgAHIAaQBjAGUAIABjAHUAbAB0AGkAdgBhAHQAaQBvAG4AXABuAEUAXwByAGkAYwBlAFwAbgB0ACAAQwBIADQAXABuAEUAXwB7AHIAaQBjAGUAfQA9AFwAXABzAHUAbQBfAHcAXABcAHMAdQBtAF8AcABcAFwAcwB1AG0AXwBvACgAQQBfAHsAcgBpAGMAZQAsAHcAcABvAH0AXABcAHQAaQBtAGUAcwAgAEUARgBfAHsAcgBpAGMAZQAsAHcAcABvAH0AXABcAHQAaQBtAGUAcwAgAHQAXwB7AHIAaQBjAGUALAB3AHAAbwB9ACkAXABcAHQAaQBtAGUAcwAgADEAMABeAHsALQAzAH0AXABuAEEAXwByAGkAYwBlAHcAcABvACAAPQAgAGEAbgBuAHUAYQBsACAAYQByAGUAYQAgAG8AZgAgAHIAaQBjAGUAIABjAHUAbAB0AGkAdgBhAHQAaQBvAG4AIAB1AG4AZABlAHIAIAB3AGEAdABlAHIAIAByAGUAZwBpAG0AZQAgAHcALAAgAHAAcgBlAC0AcwBlAGEAcwBvAG4AIAB3AGEAdABlAHIAIAByAGUAZwBpAG0AZQAgAHAALAAgAGEAbgBkACAAbwByAGcAYQBuAGkAYwAgAGEAbQBlAG4AZABtAGUAbgB0ACAAYwBvAG4AZABpAHQAaQBvAG4AIABvACAAKABoAGEAKQBcAG4ARQBGAF8AcgBpAGMAZQB3AHAAbwAgAD0AIABlAG0AaQBzAHMAaQBvAG4AIABmAGEAYwB0AG8AcgAgAGYAbwByACAAcgBpAGMAZQAgAGMAdQBsAHQAaQB2AGEAdABpAG8AbgAgAHUAbgBkAGUAcgAgAGMAbwBuAGQAaQB0AGkAbwBuAHMAIAB3ACwAIABwACwAIABhAG4AZAAgAG8AIAAoAGsAZwAgAEMASAA0AC8AaABhAC8AZABhAHkAKQBcAG4AdABfAHIAaQBjAGUAdwBwAG8AIAA9ACAAYwB1AGwAdABpAHYAYQB0AGkAbwBuACAAcABlAHIAaQBvAGQAIABmAG8AcgAgAHIAaQBjAGUAIAB1AG4AZABlAHIAIABjAG8AbgBkAGkAdABpAG8AbgBzACAAdwAsACAAcAAsACAAYQBuAGQAIABvACAAKABkAGEAeQBzACkAXABuAC0ALQAtAC0ALQAtAC0ALQAtAC0ALQAtAC0ALQAtAC0ALQAtAC0ALQAtAC0ALQAtAC0ALQAtAC0ALQAtAC0ALQAtAC0ALQAtAC0ALQBcAG4AKgAvAFwAbgBcAG4AVgBFAEUAUgBHAF8ANwBfADEAXwAxAF8AMQBfAF8AMQBfAE0AZQB0AGgAYQBuAGUARQBtAGkAcwBzAGkAbwBuAHMARgByAG8AbQBSAGkAYwBlAEMAdQBsAHQAaQB2AGEAdABpAG8AbgBcAG4AIAAgAD0ATABBAE0AQgBEAEEAKABcAG4AIAAgACAAIABBAF8AcgBpAGMAZQB3AHAAbwAsACAARQBGAF8AcgBpAGMAZQB3AHAAbwAsACAAdABfAHIAaQBjAGUAdwBwAG8ALABcAG4AIAAgACAAIABTAFUATQAoAEEAXwByAGkAYwBlAHcAcABvACAAKgAgAEUARgBfAHIAaQBjAGUAdwBwAG8AIAAqACAAdABfAHIAaQBjAGUAdwBwAG8AKQAgACoAIAAxADAAIABeACAALQAzAFwAbgAgACAAKQA7AFwAbgBcAG4AVgBFAEUAUgBHAF8ANwBfADEAXwAxAF8AMQBfAF8AMQBfAE0AZQB0AGgAYQBuAGUARQBtAGkAcwBzAGkAbwBuAHMARgByAG8AbQBSAGkAYwBlAEMAdQBsAHQAaQB2AGEAdABpAG8AbgBfAFQAaQB0AGwAZQBcAG4AIAAgAD0ATABBAE0AQgBEAEEAKABcACIATQBlAHQAaABhAG4AZQAgAGUAbQBpAHMAcwBpAG8AbgBzACAAZgByAG8AbQAgAHIAaQBjAGUAIABjAHUAbAB0AGkAdgBhAHQAaQBvAG4AXAAiACkAOwBcAG4AXABuAFYARQBFAFIARwBfADcAXwAxAF8AMQBfADEAXwBfADEAXwBNAGUAdABoAGEAbgBlAEUAbQBpAHMAcwBpAG8AbgBzAEYAcgBvAG0AUgBpAGMAZQBDAHUAbAB0AGkAdgBhAHQAaQBvAG4AXwBWAGEAcgBpAGEAYgBsAGUAXABuACAAIAA9AEwAQQBNAEIARABBACgAXAAiAEUAXwByAGkAYwBlAFwAIgApADsAXABuAFwAbgBWAEUARQBSAEcAXwA3AF8AMQBfADEAXwAxAF8AXwAxAF8ATQBlAHQAaABhAG4AZQBFAG0AaQBzAHMAaQBvAG4AcwBGAHIAbwBtAFIAaQBjAGUAQwB1AGwAdABpAHYAYQB0AGkAbwBuAF8AVQBuAGkAdABcAG4AIAAgAD0ATABBAE0AQgBEAEEAKABcACIAdAAgAEMASAA0AFwAIgApADsAXABuAFwAbgBWAEUARQBSAEcAXwA3AF8AMQBfADEAXwAxAF8AXwAxAF8ATQBlAHQAaABhAG4AZQBFAG0AaQBzAHMAaQBvAG4AcwBGAHIAbwBtAFIAaQBjAGUAQwB1AGwAdABpAHYAYQB0AGkAbwBuAF8AUwBvAHUAcgBjAGUAXABuACAAIAA9AEwAQQBNAEIARABBACgAXAAiAFYARQBFAFIARwAgADIAMAAyADYAOgAgADcALgAxAC4AMQAuADEALAAgAEUAcQB1AGEAdABpAG8AbgAgACgAMQApAFwAIgApADsAXABuAFwAbgBWAEUARQBSAEcAXwA3AF8AMQBfADEAXwAxAF8AXwAxAF8ATQBlAHQAaABhAG4AZQBFAG0AaQBzAHMAaQBvAG4AcwBGAHIAbwBtAFIAaQBjAGUAQwB1AGwAdABpAHYAYQB0AGkAbwBuAF8ATgBJAFIAUgBlAGYAZQByAGUAbgBjAGUAXABuACAAIAA9AEwAQQBNAEIARABBACgAXAAiAFwAIgApADsAXABuAFwAbgBWAEUARQBSAEcAXwA3AF8AMQBfADEAXwAxAF8AXwAxAF8ATQBlAHQAaABhAG4AZQBFAG0AaQBzAHMAaQBvAG4AcwBGAHIAbwBtAFIAaQBjAGUAQwB1AGwAdABpAHYAYQB0AGkAbwBuAF8ATABhAHQAZQB4AEUAcQB1AGEAdABpAG8AbgBcAG4AIAAgAD0ATABBAE0AQgBEAEEAKABcACIARQBfAHsAcgBpAGMAZQB9AD0AXABcAHMAdQBtAF8AdwBcAFwAcwB1AG0AXwBwAFwAXABzAHUAbQBfAG8AKABBAF8AewByAGkAYwBlACwAdwBwAG8AfQBcAFwAdABpAG0AZQBzACAARQBGAF8AewByAGkAYwBlACwAdwBwAG8AfQBcAFwAdABpAG0AZQBzACAAdABfAHsAcgBpAGMAZQAsAHcAcABvAH0AKQBcAFwAdABpAG0AZQBzACAAMQAwAF4AewAtADMAfQBcACIAKQA7AFwAbgBcAG4AVgBFAEUAUgBHAF8ANwBfADEAXwAxAF8AMQBfAF8AMQBfAE0AZQB0AGgAYQBuAGUARQBtAGkAcwBzAGkAbwBuAHMARgByAG8AbQBSAGkAYwBlAEMAdQBsAHQAaQB2AGEAdABpAG8AbgBfAEEAcgBnAHUAbQBlAG4AdABzAFwAbgAgACAAPQBMAEEATQBCAEQAQQAoAFwAbgAgACAAIAAgAE0AQQBLAEUAQQBSAFIAQQBZACgANAAsACAANAAsAFwAbgAgACAAIAAgACAAIABMAEEATQBCAEQAQQAoAHIALABjACwAXABuACAAIAAgACAAIAAgACAAIABJAE4ARABFAFgAKAB7AFwAbgAgACAAIAAgACAAIAAgACAAIAAgAFwAIgBBAF8AcgBpAGMAZQB3AHAAbwBcACIALAAgAFwAIg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BcACIALAAgAFwAIgBoAGEAXAAiACwAIABcACIASQBuAHAAdQB0AFwAIgA7AFwAbgAgACAAIAAgACAAIAAgACAAIAAgAFwAIgBFAEYAXwByAGkAYwBlAHcAcABvAFwAIgAsACAAXAAiAGUAbQBpAHMAcwBpAG8AbgAgAGYAYQBjAHQAbwByACAAZgBvAHIAIAByAGkAYwBlACAAYwB1AGwAdABpAHYAYQB0AGkAbwBuACAAdQBuAGQAZQByACAAYwBvAG4AZABpAHQAaQBvAG4AcwAgAHcALAAgAHAALAAgAGEAbgBkACAAbwBcACIALAAgAFwAIgBrAGcAIABDAEgANAAvAGgAYQAvAGQAYQB5AFwAIgAsACAAXAAiAEMAYQBsAGMAdQBsAGEAdABlAGQAIABmAHIAbwBtACAANwAuADEALgAxAC4AMQAsACAAKAAyACkAXAAiADsAXABuACAAIAAgACAAIAAgACAAIAAgACAAXAAiAHQAXwByAGkAYwBlAHcAcABvAFwAIgAsACAAXAAiAGMAdQBsAHQAaQB2AGEAdABpAG8AbgAgAHAAZQByAGkAbwBkACAAZgBvAHIAIAByAGkAYwBlACAAdQBuAGQAZQByACAAYwBvAG4AZABpAHQAaQBvAG4AcwAgAHcALAAgAHAALAAgAGEAbgBkACAAbwBcACIALAAgAFwAIgBkAGEAeQBzAFwAIgAsACAAXAAiAEkAbgBwAHUAdABcACIAOwBcAG4AIAAgACAAIAAgACAAIAAgACAAIABcACIAcwBcACIALAAgAFwAIgBuAHUAbQBiAGUAcgAgAG8AZgAgAGMAcgBvAHAAcABpAG4AZwAgAHMAZQBhAHMAbwBuAHMAIABpAG4AIAByAGUAcABvAHIAdABpAG4AZwAgAHAAZQByAGkAbwBkACAAbQBhAG4AYQBnAGUAZAAgAHQAaABpAHMAIAB3AGEAeQBcACIALAAgAFwAIgBzAGUAYQBzAG8AbgBzAFwAIgAsACAAXAAiAEkAbgBwAHUAdABcACIAXABuACAAIAAgACAAIAAgACAAIAB9ACwAIAByACwAIABjACkAXABuACAAIAAgACAAIAAgACkAXABuACAAIAAgACAAKQBcAG4AIAAgACkAOwBcAG4AXABuAFYARQBFAFIARwBfADcAXwAxAF8AMQBfADEAXwBfADEAXwBNAGUAdABoAGEAbgBlAEUAbQBpAHMAcwBpAG8AbgBzAEYAcgBvAG0AUgBpAGMAZQBDAHUAbAB0AGkAdgBhAHQAaQBvAG4AXwBWAGEAcgBpAGEAdABpAG8AbgBcAG4AIAAgAD0ATABBAE0AQgBEAEEAKABcACIAQQBkAGQAZQBkACAAXAB1ADAAMAAyADcAbgB1AG0AYgBlAHIAIABvAGYAIABzAGUAYQBzAG8AbgBzAFwAdQAwADAAMgA3ACAAdgBhAHIAaQBhAGIAbABlACAAYQBzACAAcABlAHIAIABWAEUARQBSAEcAIABkAGUAcwBjAHIAaQBwAHQAaQBvAG4AIABpAG4AIAA3AC4AMgAuADEAIABcAHUAMAAwADIANwBXAGgAZQByAGUAIAB0AGgAZQByAGUAIABpAHMAIABtAG8AcgBlACAAdABoAGEAbgAgAG8AbgBlACAAYwByAG8AcABwAGkAbgBnACAAcwBlAGEAcwBvAG4AIABwAGUAcgAgAHkAZQBhAHIALAAgAEEAcgBpAGMAZQAsAHcAcABvACAAcwBoAGEAbABsACAAYgBlACAAcwBjAGEAbABlAGQAIABhAGMAYwBvAHIAZABpAG4AZwBsAHkAXAB1ADAAMAAyADcAXAAiACkAOwBcAG4AXABuAC8AKgBcAG4ALQAtAC0ALQAtAC0ALQAtAC0ALQAtAC0ALQAtAC0ALQAtAC0ALQAtAC0ALQAtAC0ALQAtAC0ALQAtAC0ALQAtAC0ALQAtAC0ALQAtAFwAbgBWAEUARQBSAEcAXwA3AF8AMQBfADEAXwAxAF8AXwAyAF8ARQBtAGkAcwBzAGkAbwBuAEYAYQBjAHQAbwByAEYAbwByAFIAaQBjAGUAQwB1AGwAdABpAHYAYQB0AGkAbwBuAFwAbgBFAG0AaQBzAHMAaQBvAG4AIABmAGEAYwB0AG8AcgAgAGYAbwByACAAcgBpAGMAZQAgAGMAdQBsAHQAaQB2AGEAdABpAG8AbgBcAG4ARQBGAF8AcgBpAGMAZQB3AHAAbwBcAG4AawBnACAAQwBIADQALwBoAGEALwBkAGEAeQBcAG4ARQBGAF8AewByAGkAYwBlACwAdwBwAG8AfQA9AEUARgBfAGMAXABcAHQAaQBtAGUAcwAgAFMARgBfAHcAXABcAHQAaQBtAGUAcwAgAFMARgBfAHAAXABcAHQAaQBtAGUAcwAgAFMARgBfAG8AXABuAEUARgBfAGMAIAA9ACAAYgBhAHMAZQBsAGkAbgBlACAAZQBtAGkAcwBzAGkAbwBuACAAZgBhAGMAdABvAHIAIABmAG8AcgAgAGMAbwBuAHQAaQBuAHUAbwB1AHMAbAB5ACAAZgBsAG8AbwBkAGUAZAAgAGYAaQBlAGwAZABzACAAdwBpAHQAaABvAHUAdAAgAG8AcgBnAGEAbgBpAGMAIABhAG0AZQBuAGQAbQBlAG4AdABzACAAKABrAGcAIABDAEgANAAvAGgAYQAvAGQAYQB5ACkAXABuAFMARgBfAHcAIAA9ACAAcwBjAGEAbABpAG4AZwAgAGYAYQBjAHQAbwByACAAZgBvAHIAIAB3AGEAdABlAHIAIAByAGUAZwBpAG0AZQAgAGQAdQByAGkAbgBnACAAdABoAGUAIABnAHIAbwB3AGkAbgBnACAAcwBlAGEAcwBvAG4AXABuAFMARgBfAHAAIAA9ACAAcwBjAGEAbABpAG4AZwAgAGYAYQBjAHQAbwByACAAZgBvAHIAIAB3AGEAdABlAHIAIAByAGUAZwBpAG0AZQAgAGkAbgAgAHQAaABlACAAcAByAGUALQBzAGUAYQBzAG8AbgBcAG4AUwBGAF8AbwAgAD0AIABzAGMAYQBsAGkAbgBnACAAZgBhAGMAdABvAHIAIABmAG8AcgAgAHQAeQBwAGUAIABhAG4AZAAgAGEAbQBvAHUAbgB0ACAAbwBmACAAbwByAGcAYQBuAGkAYwAgAGEAbQBlAG4AZABtAGUAbgB0AHMAIAAoAHMAZQB0ACAAdABvACAAMQAgAGYAbwByACAAaQBuAG8AcgBnAGEAbgBpAGMAIABmAGUAcgB0AGkAbABpAHMAZQByACAAdQBzAGUAKQBcAG4ALQAtAC0ALQAtAC0ALQAtAC0ALQAtAC0ALQAtAC0ALQAtAC0ALQAtAC0ALQAtAC0ALQAtAC0ALQAtAC0ALQAtAC0ALQAtAC0ALQAtAFwAbgAqAC8AXABuAFwAbgBWAEUARQBSAEcAXwA3AF8AMQBfADEAXwAxAF8AXwAyAF8ARQBtAGkAcwBzAGkAbwBuAEYAYQBjAHQAbwByAEYAbwByAFIAaQBjAGUAQwB1AGwAdABpAHYAYQB0AGkAbwBuAFwAbgAgACAAPQBMAEEATQBCAEQAQQAoAFwAbgAgACAAIAAgAEUARgBfAGMALAAgAFMARgBfAHcALAAgAFMARgBfAHAALAAgAFMARgBfAG8ALABcAG4AIAAgACAAIABFAEYAXwBjACAAKgAgAFMARgBfAHcAIAAqACAAUwBGAF8AcAAgACoAIABTAEYAXwBvAFwAbgAgACAAKQA7AFwAbgBcAG4AVgBFAEUAUgBHAF8ANwBfADEAXwAxAF8AMQBfAF8AMgBfAEUAbQBpAHMAcwBpAG8AbgBGAGEAYwB0AG8AcgBGAG8AcgBSAGkAYwBlAEMAdQBsAHQAaQB2AGEAdABpAG8AbgBfAFQAaQB0AGwAZQBcAG4AIAAgAD0ATABBAE0AQgBEAEEAKABcACIARQBtAGkAcwBzAGkAbwBuACAAZgBhAGMAdABvAHIAIABmAG8AcgAgAHIAaQBjAGUAIABjAHUAbAB0AGkAdgBhAHQAaQBvAG4AXAAiACkAOwBcAG4AXABuAFYARQBFAFIARwBfADcAXwAxAF8AMQBfADEAXwBfADIAXwBFAG0AaQBzAHMAaQBvAG4ARgBhAGMAdABvAHIARgBvAHIAUgBpAGMAZQBDAHUAbAB0AGkAdgBhAHQAaQBvAG4AXwBWAGEAcgBpAGEAYgBsAGUAXABuACAAIAA9AEwAQQBNAEIARABBACgAXAAiAEUARgBfAHIAaQBjAGUAdwBwAG8AXAAiACkAOwBcAG4AXABuAFYARQBFAFIARwBfADcAXwAxAF8AMQBfADEAXwBfADIAXwBFAG0AaQBzAHMAaQBvAG4ARgBhAGMAdABvAHIARgBvAHIAUgBpAGMAZQBDAHUAbAB0AGkAdgBhAHQAaQBvAG4AXwBVAG4AaQB0AFwAbgAgACAAPQBMAEEATQBCAEQAQQAoAFwAIgBrAGcAIABDAEgANAAvAGgAYQAvAGQAYQB5AFwAIgApADsAXABuAFwAbgBWAEUARQBSAEcAXwA3AF8AMQBfADEAXwAxAF8AXwAyAF8ARQBtAGkAcwBzAGkAbwBuAEYAYQBjAHQAbwByAEYAbwByAFIAaQBjAGUAQwB1AGwAdABpAHYAYQB0AGkAbwBuAF8AUwBvAHUAcgBjAGUAXABuACAAIAA9AEwAQQBNAEIARABBACgAXAAiAFYARQBFAFIARwAgADIAMAAyADYAOgAgADcALgAxAC4AMQAuADEALAAgAEUAcQB1AGEAdABpAG8AbgAgACgAMgApAFwAIgApADsAXABuAFwAbgBWAEUARQBSAEcAXwA3AF8AMQBfADEAXwAxAF8AXwAyAF8ARQBtAGkAcwBzAGkAbwBuAEYAYQBjAHQAbwByAEYAbwByAFIAaQBjAGUAQwB1AGwAdABpAHYAYQB0AGkAbwBuAF8ATgBJAFIAUgBlAGYAZQByAGUAbgBjAGUAXABuACAAIAA9AEwAQQBNAEIARABBACgAXAAiAFwAIgApADsAXABuAFwAbgBWAEUARQBSAEcAXwA3AF8AMQBfADEAXwAxAF8AXwAyAF8ARQBtAGkAcwBzAGkAbwBuAEYAYQBjAHQAbwByAEYAbwByAFIAaQBjAGUAQwB1AGwAdABpAHYAYQB0AGkAbwBuAF8ATABhAHQAZQB4AEUAcQB1AGEAdABpAG8AbgBcAG4AIAAgAD0ATABBAE0AQgBEAEEAKABcACIARQBGAF8AewByAGkAYwBlACwAdwBwAG8AfQA9AEUARgBfAGMAXABcAHQAaQBtAGUAcwAgAFMARgBfAHcAXABcAHQAaQBtAGUAcwAgAFMARgBfAHAAXABcAHQAaQBtAGUAcwAgAFMARgBfAG8AXAAiACkAOwBcAG4AXABuAFYARQBFAFIARwBfADcAXwAxAF8AMQBfADEAXwBfADIAXwBFAG0AaQBzAHMAaQBvAG4ARgBhAGMAdABvAHIARgBvAHIAUgBpAGMAZQBDAHUAbAB0AGkAdgBhAHQAaQBvAG4AXwBBAHIAZwB1AG0AZQBuAHQAcwBcAG4AIAAgAD0ATABBAE0AQgBEAEEAKABcAG4AIAAgACAAIABNAEEASwBFAEEAUgBSAEEAWQAoADcALAAgADQALABcAG4AIAAgACAAIAAgACAATABBAE0AQgBEAEEAKAByACwAYwAsAFwAbgAgACAAIAAgACAAIAAgACAASQBOAEQARQBYACgAewBcAG4AIAAgACAAIAAgACAAIAAgACAAIABcACIARQBGAF8AYwBcACIALAAgAFwAIgBiAGEAcwBlAGwAaQBuAGUAIABlAG0AaQBzAHMAaQBvAG4AIABmAGEAYwB0AG8AcgAgAGYAbwByACAAYwBvAG4AdABpAG4AdQBvAHUAcwBsAHkAIABmAGwAbwBvAGQAZQBkACAAZgBpAGUAbABkAHMAIAB3AGkAdABoAG8AdQB0ACAAbwByAGcAYQBuAGkAYwAgAGEAbQBlAG4AZABtAGUAbgB0AHMAXAAiACwAIABcACIAawBnACAAQwBIADQALwBoAGEALwBkAGEAeQBcACIALAAgAFwAIgBDAG8AbgBzAHQAYQBuAHQAXAAiADsAXABuACAAIAAgACAAIAAgACAAIAAgACAAXAAiAFMARgBfAHcAXAAiACwAIABcACIAcwBjAGEAbABpAG4AZwAgAGYAYQBjAHQAbwByACAAZgBvAHIAIAB3AGEAdABlAHIAIAByAGUAZwBpAG0AZQAgAGQAdQByAGkAbgBnACAAdABoAGUAIABnAHIAbwB3AGkAbgBnACAAcwBlAGEAcwBvAG4AXAAiACwAIABcACIAZgByAGEAYwB0AGkAbwBuAFwAIgAsACAAXAAiAEMAbwBuAHMAdABhAG4AdABcACIAOwBcAG4AIAAgACAAIAAgACAAIAAgACAAIABcACIAUwBGAF8AcABcACIALAAgAFwAIgBzAGMAYQBsAGkAbgBnACAAZgBhAGMAdABvAHIAIABmAG8AcgAgAHcAYQB0AGUAcgAgAHIAZQBnAGkAbQBlACAAaQBuACAAdABoAGUAIABwAHIAZQAtAHMAZQBhAHMAbwBuAFwAIgAsACAAXAAiAGYAcgBhAGMAdABpAG8AbgBcACIALAAgAFwAIgBDAG8AbgBzAHQAYQBuAHQAXAAiADsAXABuACAAIAAgACAAIAAgACAAIAAgACAAXAAiAFMARgBfAG8AXAAiACwAIABcACIAcwBjAGEAbABpAG4AZwAgAGYAYQBjAHQAbwByACAAZgBvAHIAIAB0AHkAcABlACAAYQBuAGQAIABhAG0AbwB1AG4AdAAgAG8AZgAgAG8AcgBnAGEAbgBpAGMAIABhAG0AZQBuAGQAbQBlAG4AdABzAFwAIgAsACAAXAAiAGYAcgBhAGMAdABpAG8AbgBcACIALAAgAFwAIgBDAGEAbABjAHUAbABhAHQAZQBkACAAZgByAG8AbQAgADcALgAxAC4AMQAuADEALAAgACgAMwApAFwAIgA7AFwAbgAgACAAIAAgACAAIAAgACAAIAAgAFwAIgB3AFwAIgAsACAAXAAiAHcAYQB0AGUAcgAgAHIAZQBnAGkAbQBlACAAZAB1AHIAaQBuAGcAIABnAHIAbwB3AGkAbgBnACAAcwBlAGEAcwBvAG4AXAAiACwAIABcACIAXAAiACwAIABcACIASQBuAHAAdQB0AFwAIgA7AFwAbgAgACAAIAAgACAAIAAgACAAIAAgAFwAIgBwAFwAIgAsACAAXAAiAHAAcgBlAC0AcwBlAGEAcwBvAG4AIAB3AGEAdABlAHIAIAByAGUAZwBpAG0AZQBcACIALAAgAFwAIgBcACIALAAgAFwAIgBJAG4AcAB1AHQAXAAiADsAXABuACAAIAAgACAAIAAgACAAIAAgACAAXAAiAG8AXAAiACwAIABcACIAbwByAGcAYQBuAGkAYwAgAGEAbQBlAG4AZABtAGUAbgB0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3AF8AMQBfADEAXwAxAF8AXwAzAF8ATwByAGcAYQBuAGkAYwBBAG0AZQBuAGQAbQBlAG4AdABzAFMAYwBhAGwAaQBuAGcARgBhAGMAdABvAHIAXABuAE8AcgBnAGEAbgBpAGMAIABhAG0AZQBuAGQAbQBlAG4AdABzACAAcwBjAGEAbABpAG4AZwAgAGYAYQBjAHQAbwByAFwAbgBTAEYAXwBvAFwAbgBkAGkAbQBlAG4AcwBpAG8AbgBsAGUAcwBzAFwAbgBTAEYAXwBvAD0AKAAxACsAXABcAHMAdQBtAF8AbwAoAFIATwBBAF8AbwBcAFwAdABpAG0AZQBzACAAQwBGAE8AQQBfAG8AKQApAF4AewAwAC4ANQA5AH0AXABuAFIATwBBAF8AbwAgAD0AIABhAHAAcABsAGkAYwBhAHQAaQBvAG4AIAByAGEAdABlACAAbwBmACAAbwByAGcAYQBuAGkAYwAgAGEAbQBlAG4AZABtAGUAbgB0ACAAbwAgACgAdABvAG4AbgBlAHMALwBoAGEAKQBcAG4AQwBGAE8AQQBfAG8AIAA9ACAAYwBvAG4AdgBlAHIAcwBpAG8AbgAgAGYAYQBjAHQAbwByACAAbwBmACAAbwByAGcAYQBuAGkAYwAgAGEAbQBlAG4AZABtAGUAbgB0ACAAbwBcAG4ALQAtAC0ALQAtAC0ALQAtAC0ALQAtAC0ALQAtAC0ALQAtAC0ALQAtAC0ALQAtAC0ALQAtAC0ALQAtAC0ALQAtAC0ALQAtAC0ALQAtAFwAbgAqAC8AXABuAFwAbgBWAEUARQBSAEcAXwA3AF8AMQBfADEAXwAxAF8AXwAzAF8ATwByAGcAYQBuAGkAYwBBAG0AZQBuAGQAbQBlAG4AdABzAFMAYwBhAGwAaQBuAGcARgBhAGMAdABvAHIAXABuACAAIAA9AEwAQQBNAEIARABBACgAXABuACAAIAAgACAAUgBPAEEAXwBvACwAIABDAEYATwBBAF8AbwAsAFwAbgAgACAAIAAgACgAMQAgACsAIABTAFUATQAoAFIATwBBAF8AbwAgACoAIABDAEYATwBBAF8AbwApACkAIABeACAAMAAuADUAOQBcAG4AIAAgACkAOwBcAG4AXABuAFYARQBFAFIARwBfADcAXwAxAF8AMQBfADEAXwBfADMAXwBPAHIAZwBhAG4AaQBjAEEAbQBlAG4AZABtAGUAbgB0AHMAUwBjAGEAbABpAG4AZwBGAGEAYwB0AG8AcgBWAGEAcgBpAGEAdABpAG8AbgBcAG4AIAAgAD0ATABBAE0AQgBEAEEAKABcAG4AIAAgACAAIABSAE8AQQBfAG8AMQAsACAAQwBGAE8AQQBfAG8AMQAsACAAUgBPAEEAXwBvADIALAAgAEMARgBPAEEAXwBvADIALAAgAFIATwBBAF8AbwAzACwAIABDAEYATwBBAF8AbwAzACwAIABSAE8AQQBfAG8ANAAsACAAQwBGAE8AQQBfAG8ANAAsACAAUgBPAEEAXwBvADUALAAgAEMARgBPAEEAXwBvADUALAAgAFIATwBBAF8AbwA2ACwAIABDAEYATwBBAF8AbwA2ACwAXABuACAAIAAgACAAKAAxACAAKwAgACgAKABSAE8AQQBfAG8AMQAgACoAIABDAEYATwBBAF8AbwAxACkAIAArACAAKABSAE8AQQBfAG8AMgAgACoAIABDAEYATwBBAF8AbwAyACkAIAArACAAKABSAE8AQQBfAG8AMwAgACoAIABDAEYATwBBAF8AbwAzACkAKwAgACgAUgBPAEEAXwBvADQAIAAqACAAQwBGAE8AQQBfAG8ANAApACAAKwAgACgAUgBPAEEAXwBvADUAIAAqACAAQwBGAE8AQQBfAG8ANQApACAAKwAgACgAUgBPAEEAXwBvADYAIAAqACAAQwBGAE8AQQBfAG8ANgApACkAKQAgAF4AIAAwAC4ANQA5AFwAbgAgACAAKQA7AFwAbgBcAG4AVgBFAEUAUgBHAF8ANwBfADEAXwAxAF8AMQBfAF8AMwBfAE8AcgBnAGEAbgBpAGMAQQBtAGUAbgBkAG0AZQBuAHQAcwBTAGMAYQBsAGkAbgBnAEYAYQBjAHQAbwByAF8AVABpAHQAbABlAFwAbgAgACAAPQBMAEEATQBCAEQAQQAoAFwAIgBPAHIAZwBhAG4AaQBjACAAYQBtAGUAbgBkAG0AZQBuAHQAcwAgAHMAYwBhAGwAaQBuAGcAIABmAGEAYwB0AG8AcgBcACIAKQA7AFwAbgBcAG4AVgBFAEUAUgBHAF8ANwBfADEAXwAxAF8AMQBfAF8AMwBfAE8AcgBnAGEAbgBpAGMAQQBtAGUAbgBkAG0AZQBuAHQAcwBTAGMAYQBsAGkAbgBnAEYAYQBjAHQAbwByAF8AVgBhAHIAaQBhAGIAbABlAFwAbgAgACAAPQBMAEEATQBCAEQAQQAoAFwAIgBTAEYAXwBvAFwAIgApADsAXABuAFwAbgBWAEUARQBSAEcAXwA3AF8AMQBfADEAXwAxAF8AXwAzAF8ATwByAGcAYQBuAGkAYwBBAG0AZQBuAGQAbQBlAG4AdABzAFMAYwBhAGwAaQBuAGcARgBhAGMAdABvAHIAXwBVAG4AaQB0AFwAbgAgACAAPQBMAEEATQBCAEQAQQAoAFwAIgBkAGkAbQBlAG4AcwBpAG8AbgBsAGUAcwBzAFwAIgApADsAXABuAFwAbgBWAEUARQBSAEcAXwA3AF8AMQBfADEAXwAxAF8AXwAzAF8ATwByAGcAYQBuAGkAYwBBAG0AZQBuAGQAbQBlAG4AdABzAFMAYwBhAGwAaQBuAGcARgBhAGMAdABvAHIAXwBTAG8AdQByAGMAZQBcAG4AIAAgAD0ATABBAE0AQgBEAEEAKABcACIAVgBFAEUAUgBHACAAMgAwADIANgA6ACAANwAuADEALgAxAC4AMQAsACAARQBxAHUAYQB0AGkAbwBuACAAKAAzACkAXAAiACkAOwBcAG4AXABuAFYARQBFAFIARwBfADcAXwAxAF8AMQBfADEAXwBfADMAXwBPAHIAZwBhAG4AaQBjAEEAbQBlAG4AZABtAGUAbgB0AHMAUwBjAGEAbABpAG4AZwBGAGEAYwB0AG8AcgBfAE4ASQBSAFIAZQBmAGUAcgBlAG4AYwBlAFwAbgAgACAAPQBMAEEATQBCAEQAQQAoAFwAIgBcACIAKQA7AFwAbgBcAG4AVgBFAEUAUgBHAF8ANwBfADEAXwAxAF8AMQBfAF8AMwBfAE8AcgBnAGEAbgBpAGMAQQBtAGUAbgBkAG0AZQBuAHQAcwBTAGMAYQBsAGkAbgBnAEYAYQBjAHQAbwByAF8ATABhAHQAZQB4AEUAcQB1AGEAdABpAG8AbgBcAG4AIAAgAD0ATABBAE0AQgBEAEEAKABcACIAUwBGAF8AbwA9ACgAMQArAFwAXABzAHUAbQBfAG8AUgBPAEEAXwBvAFwAXAB0AGkAbQBlAHMAIABDAEYATwBBAF8AbwApAF4AewAwAC4ANQA5AH0AXAAiACkAOwBcAG4AXABuAFYARQBFAFIARwBfADcAXwAxAF8AMQBfADEAXwBfADMAXwBPAHIAZwBhAG4AaQBjAEEAbQBlAG4AZABtAGUAbgB0AHMAUwBjAGEAbABpAG4AZwBGAGEAYwB0AG8AcgBfAEwAYQB0AGUAeABFAHEAdQBhAHQAaQBvAG4AVgBhAHIAaQBhAHQAaQBvAG4AXABuACAAIAA9AEwAQQBNAEIARABBACgAXAAiAFMARgBfAG8APQAoADEAKwAgACgAKABSAE8AQQBfAG8AMQBcAFwAdABpAG0AZQBzACAAQwBGAE8AQQBfAG8AMQApACAAKwAgACgAUgBPAEEAXwBvADIAXABcAHQAaQBtAGUAcwAgAEMARgBPAEEAXwBvADIAKQAgACsAIAAoAFIATwBBAF8AbwAzAFwAXAB0AGkAbQBlAHMAIABDAEYATwBBAF8AbwAzACkAIAArACAAKABSAE8AQQBfAG8ANABcAFwAdABpAG0AZQBzACAAQwBGAE8AQQBfAG8ANAApACAAKwAgACgAUgBPAEEAXwBvADUAXABcAHQAaQBtAGUAcwAgAEMARgBPAEEAXwBvADUAKQAgACsAIAAoAFIATwBBAF8AbwA2AFwAXAB0AGkAbQBlAHMAIABDAEYATwBBAF8AbwA2ACkAKQBeAHsAMAAuADUAOQB9AFwAIgApADsAXABuAFwAbgBWAEUARQBSAEcAXwA3AF8AMQBfADEAXwAxAF8AXwAzAF8ATwByAGcAYQBuAGkAYwBBAG0AZQBuAGQAbQBlAG4AdABzAFMAYwBhAGwAaQBuAGcARgBhAGMAdABvAHIAXwBBAHIAZwB1AG0AZQBuAHQAcwBcAG4AIAAgAD0ATABBAE0AQgBEAEEAKABcAG4AIAAgACAAIABNAEEASwBFAEEAUgBSAEEAWQAoADMALAAgADQALABcAG4AIAAgACAAIAAgACAATABBAE0AQgBEAEEAKAByACwAYwAsAFwAbgAgACAAIAAgACAAIAAgACAASQBOAEQARQBYACgAewBcAG4AIAAgACAAIAAgACAAIAAgACAAIABcACIAUgBPAEEAXwBvAFwAIgAsACAAXAAiAGEAcABwAGwAaQBjAGEAdABpAG8AbgAgAHIAYQB0AGUAIABvAGYAIABvAHIAZwBhAG4AaQBjACAAYQBtAGUAbgBkAG0AZQBuAHQAIABvAFwAIgAsACAAXAAiAHQAbwBuAG4AZQBzAC8AaABhAFwAIgAsACAAXAAiAEkAbgBwAHUAdABcACIAOwBcAG4AIAAgACAAIAAgACAAIAAgACAAIABcACIAQwBGAE8AQQBfAG8AXAAiACwAIABcACIAYwBvAG4AdgBlAHIAcwBpAG8AbgAgAGYAYQBjAHQAbwByACAAbwBmACAAbwByAGcAYQBuAGkAYwAgAGEAbQBlAG4AZABtAGUAbgB0ACAAbwBcACIALAAgAFwAIgBmAHIAYQBjAHQAaQBvAG4AXAAiACwAIABcACIAQwBvAG4AcwB0AGEAbgB0AFwAIgA7AFwAbgAgACAAIAAgACAAIAAgACAAIAAgAFwAIgBvAFwAIgAsACAAXAAiAG8AcgBnAGEAbgBpAGMAIABhAG0AZQBuAGQAbQBlAG4AdAAgAHQAeQBwAGUAXAAiACwAIABcACIAXAAiACwAIABcACIASQBuAHAAdQB0AFwAIgBcAG4AIAAgACAAIAAgACAAIAAgAH0ALAAgAHIALAAgAGMAKQBcAG4AIAAgACAAIAAgACAAKQBcAG4AIAAgACAAIAApAFwAbgAgACAAKQA7AFwAbgBcAG4AVgBFAEUAUgBHAF8ANwBfADEAXwAxAF8AMQBfAF8AMwBfAE8AcgBnAGEAbgBpAGMAQQBtAGUAbgBkAG0AZQBuAHQAcwBTAGMAYQBsAGkAbgBnAEYAYQBjAHQAbwByAF8AVgBhAHIAaQBhAHQAaQBvAG4AXABuACAAIAA9AEwAQQBNAEIARABBACgAXABuACAAIAAgACAATQBBAEsARQBBAFIAUgBBAFkAKAA0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A7AFwAbgAgACAAIAAgACAAIAAgACAAIAAgAFwAIgBEAGUAYwBsAGEAcgBlAGQAIABlAGEAYwBoACAAYQBtAGUAbgBkAG0AZQBuAHQAIABzAGUAcABhAHIAYQB0AGUAbAB5ACAAdABvACAAYQBsAGwAbwB3ACAAcwB1AG0AbQBpAG4AZwAgAGkAbgAgAEUAeABjAGUAbAAgAGkAbgAgAG8AbgBlACAAZQBxAHUAYQ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UgBpAGMAZQBDAHUAbAB0AGkAdgBhAHQAaQBvAG4AXwBTAG8AdQByAGMAZQBEAGEAdABhAC4AUwBvAHUAcgBjAGUARABhAHQAYQBfAFIAaQBjAGUAQwB1AGwAdABpAHYAYQB0AGkAbwBuAF8AVwBhAHQAZQByAFMAYwBhAGwAaQBuAGcARgBhAGMAdABvAHIARwByAG8AdwBpAG4AZwBTAGUAYQBzAG8AbgBfAFQAaQB0AGwAZQAiACwAIgBSAGkAYwBlAEMAdQBsAHQAaQB2AGEAdABpAG8AbgBfAFMAbwB1AHIAYwBlAEQAYQB0AGEALgBTAG8AdQByAGMAZQBEAGEAdABhAF8AUgBpAGMAZQBDAHUAbAB0AGkAdgBhAHQAaQBvAG4AXwBXAGEAdABlAHIAUwBjAGEAbABpAG4AZwBGAGEAYwB0AG8AcgBHAHIAbwB3AGkAbgBnAFMAZQBhAHMAbwBuAF8AVgBhAHIAaQBhAGIAbABlACIALAAiAFIAaQBjAGUAQwB1AGwAdABpAHYAYQB0AGkAbwBuAF8AUwBvAHUAcgBjAGUARABhAHQAYQAuAFMAbwB1AHIAYwBlAEQAYQB0AGEAXwBSAGkAYwBlAEMAdQBsAHQAaQB2AGEAdABpAG8AbgBfAFcAYQB0AGUAcgBTAGMAYQBsAGkAbgBnAEYAYQBjAHQAbwByAEcAcgBvAHcAaQBuAGcAUwBlAGEAcwBvAG4AXwBVAG4AaQB0ACIALAAiAFIAaQBjAGUAQwB1AGwAdABpAHYAYQB0AGkAbwBuAF8AUwBvAHUAcgBjAGUARABhAHQAYQAuAFMAbwB1AHIAYwBlAEQAYQB0AGEAXwBSAGkAYwBlAEMAdQBsAHQAaQB2AGEAdABpAG8AbgBfAFcAYQB0AGUAcgBTAGMAYQBsAGkAbgBnAEYAYQBjAHQAbwByAEcAcgBvAHcAaQBuAGcAUwBlAGEAcwBvAG4AXwBTAG8AdQByAGMAZQAiACwAIgBSAGkAYwBlAEMAdQBsAHQAaQB2AGEAdABpAG8AbgBfAFMAbwB1AHIAYwBlAEQAYQB0AGEALgBTAG8AdQByAGMAZQBEAGEAdABhAF8AUgBpAGMAZQBDAHUAbAB0AGkAdgBhAHQAaQBvAG4AXwBXAGEAdABlAHIAUwBjAGEAbABpAG4AZwBGAGEAYwB0AG8AcgBHAHIAbwB3AGkAbgBnAFMAZQBhAHMAbwBuAF8AVgBhAHIAaQBhAHQAaQBvAG4AIgAsACIAUgBpAGMAZQBDAHUAbAB0AGkAdgBhAHQAaQBvAG4AXwBTAG8AdQByAGMAZQBEAGEAdABhAC4AUwBvAHUAcgBjAGUARABhAHQAYQBfAFIAaQBjAGUAQwB1AGwAdABpAHYAYQB0AGkAbwBuAF8AVwBhAHQAZQByAFMAYwBhAGwAaQBuAGcARgBhAGMAdABvAHIARwByAG8AdwBpAG4AZwBTAGUAYQBzAG8AbgBfAEQAYQB0AGEAIgAsACIAUgBpAGMAZQBDAHUAbAB0AGkAdgBhAHQAaQBvAG4AXwBTAG8AdQByAGMAZQBEAGEAdABhAC4AUwBvAHUAcgBjAGUARABhAHQAYQBfAFIAaQBjAGUAQwB1AGwAdABpAHYAYQB0AGkAbwBuAF8AVwBhAHQAZQByAFMAYwBhAGwAaQBuAGcARgBhAGMAdABvAHIAUAByAGUAUwBlAGEAcwBvAG4AXwBUAGkAdABsAGUAIgAsACIAUgBpAGMAZQBDAHUAbAB0AGkAdgBhAHQAaQBvAG4AXwBTAG8AdQByAGMAZQBEAGEAdABhAC4AUwBvAHUAcgBjAGUARABhAHQAYQBfAFIAaQBjAGUAQwB1AGwAdABpAHYAYQB0AGkAbwBuAF8AVwBhAHQAZQByAFMAYwBhAGwAaQBuAGcARgBhAGMAdABvAHIAUAByAGUAUwBlAGEAcwBvAG4AXwBWAGEAcgBpAGEAYgBsAGUAIgAsACIAUgBpAGMAZQBDAHUAbAB0AGkAdgBhAHQAaQBvAG4AXwBTAG8AdQByAGMAZQBEAGEAdABhAC4AUwBvAHUAcgBjAGUARABhAHQAYQBfAFIAaQBjAGUAQwB1AGwAdABpAHYAYQB0AGkAbwBuAF8AVwBhAHQAZQByAFMAYwBhAGwAaQBuAGcARgBhAGMAdABvAHIAUAByAGUAUwBlAGEAcwBvAG4AXwBVAG4AaQB0ACIALAAiAFIAaQBjAGUAQwB1AGwAdABpAHYAYQB0AGkAbwBuAF8AUwBvAHUAcgBjAGUARABhAHQAYQAuAFMAbwB1AHIAYwBlAEQAYQB0AGEAXwBSAGkAYwBlAEMAdQBsAHQAaQB2AGEAdABpAG8AbgBfAFcAYQB0AGUAcgBTAGMAYQBsAGkAbgBnAEYAYQBjAHQAbwByAFAAcgBlAFMAZQBhAHMAbwBuAF8AUwBvAHUAcgBjAGUAIgAsACIAUgBpAGMAZQBDAHUAbAB0AGkAdgBhAHQAaQBvAG4AXwBTAG8AdQByAGMAZQBEAGEAdABhAC4AUwBvAHUAcgBjAGUARABhAHQAYQBfAFIAaQBjAGUAQwB1AGwAdABpAHYAYQB0AGkAbwBuAF8AVwBhAHQAZQByAFMAYwBhAGwAaQBuAGcARgBhAGMAdABvAHIAUAByAGUAUwBlAGEAcwBvAG4AXwBWAGEAcgBpAGEAdABpAG8AbgAiACwAIgBSAGkAYwBlAEMAdQBsAHQAaQB2AGEAdABpAG8AbgBfAFMAbwB1AHIAYwBlAEQAYQB0AGEALgBTAG8AdQByAGMAZQBEAGEAdABhAF8AUgBpAGMAZQBDAHUAbAB0AGkAdgBhAHQAaQBvAG4AXwBXAGEAdABlAHIAUwBjAGEAbABpAG4AZwBGAGEAYwB0AG8AcgBQAHIAZQBTAGUAYQBzAG8AbgBfAEQAYQB0AGEAIgAsACIAUgBpAGMAZQBDAHUAbAB0AGkAdgBhAHQAaQBvAG4AXwBTAG8AdQByAGMAZQBEAGEAdABhAC4AUwBvAHUAcgBjAGUARABhAHQAYQBfAFIAaQBjAGUAQwB1AGwAdABpAHYAYQB0AGkAbwBuAF8ATwByAGcAYQBuAGkAYwBBAG0AZQBuAGQAbQBlAG4AdABDAG8AbgB2AGUAcgBzAGkAbwBuAEYAYQBjAHQAbwByAF8AVABpAHQAbABlACIALAAiAFIAaQBjAGUAQwB1AGwAdABpAHYAYQB0AGkAbwBuAF8AUwBvAHUAcgBjAGUARABhAHQAYQAuAFMAbwB1AHIAYwBlAEQAYQB0AGEAXwBSAGkAYwBlAEMAdQBsAHQAaQB2AGEAdABpAG8AbgBfAE8AcgBnAGEAbgBpAGMAQQBtAGUAbgBkAG0AZQBuAHQAQwBvAG4AdgBlAHIAcwBpAG8AbgBGAGEAYwB0AG8AcgBfAFYAYQByAGkAYQBiAGwAZQAiACwAIgBSAGkAYwBlAEMAdQBsAHQAaQB2AGEAdABpAG8AbgBfAFMAbwB1AHIAYwBlAEQAYQB0AGEALgBTAG8AdQByAGMAZQBEAGEAdABhAF8AUgBpAGMAZQBDAHUAbAB0AGkAdgBhAHQAaQBvAG4AXwBPAHIAZwBhAG4AaQBjAEEAbQBlAG4AZABtAGUAbgB0AEMAbwBuAHYAZQByAHMAaQBvAG4ARgBhAGMAdABvAHIAXwBVAG4AaQB0ACIALAAiAFIAaQBjAGUAQwB1AGwAdABpAHYAYQB0AGkAbwBuAF8AUwBvAHUAcgBjAGUARABhAHQAYQAuAFMAbwB1AHIAYwBlAEQAYQB0AGEAXwBSAGkAYwBlAEMAdQBsAHQAaQB2AGEAdABpAG8AbgBfAE8AcgBnAGEAbgBpAGMAQQBtAGUAbgBkAG0AZQBuAHQAQwBvAG4AdgBlAHIAcwBpAG8AbgBGAGEAYwB0AG8AcgBfAFMAbwB1AHIAYwBlACIALAAiAFIAaQBjAGUAQwB1AGwAdABpAHYAYQB0AGkAbwBuAF8AUwBvAHUAcgBjAGUARABhAHQAYQAuAFMAbwB1AHIAYwBlAEQAYQB0AGEAXwBSAGkAYwBlAEMAdQBsAHQAaQB2AGEAdABpAG8AbgBfAE8AcgBnAGEAbgBpAGMAQQBtAGUAbgBkAG0AZQBuAHQAQwBvAG4AdgBlAHIAcwBpAG8AbgBGAGEAYwB0AG8AcgBfAFYAYQByAGkAYQB0AGkAbwBuACIALAAiAFIAaQBjAGUAQwB1AGwAdABpAHYAYQB0AGkAbwBuAF8AUwBvAHUAcgBjAGUARABhAHQAYQAuAFMAbwB1AHIAYwBlAEQAYQB0AGEAXwBSAGkAYwBlAEMAdQBsAHQAaQB2AGEAdABpAG8AbgBfAE8AcgBnAGEAbgBpAGMAQQBtAGUAbgBkAG0AZQBuAHQAQwBvAG4AdgBlAHIAcwBpAG8AbgBGAGEAYwB0AG8AcgBfAEQAYQB0AGEAIgAsACIAUgBpAGMAZQBDAHUAbAB0AGkAdgBhAHQAaQBvAG4AXwBTAG8AdQByAGMAZQBEAGEAdABhAC4AUwBvAHUAcgBjAGUARABhAHQAYQBfAFIAaQBjAGUAQwB1AGwAdABpAHYAYQB0AGkAbwBuAF8AQgBhAHMAZQBsAGkAbgBlAEUARgBfAFQAaQB0AGwAZQAiACwAIgBSAGkAYwBlAEMAdQBsAHQAaQB2AGEAdABpAG8AbgBfAFMAbwB1AHIAYwBlAEQAYQB0AGEALgBTAG8AdQByAGMAZQBEAGEAdABhAF8AUgBpAGMAZQBDAHUAbAB0AGkAdgBhAHQAaQBvAG4AXwBCAGEAcwBlAGwAaQBuAGUARQBGAF8AVgBhAHIAaQBhAGIAbABlACIALAAiAFIAaQBjAGUAQwB1AGwAdABpAHYAYQB0AGkAbwBuAF8AUwBvAHUAcgBjAGUARABhAHQAYQAuAFMAbwB1AHIAYwBlAEQAYQB0AGEAXwBSAGkAYwBlAEMAdQBsAHQAaQB2AGEAdABpAG8AbgBfAEIAYQBzAGUAbABpAG4AZQBFAEYAXwBVAG4AaQB0ACIALAAiAFIAaQBjAGUAQwB1AGwAdABpAHYAYQB0AGkAbwBuAF8AUwBvAHUAcgBjAGUARABhAHQAYQAuAFMAbwB1AHIAYwBlAEQAYQB0AGEAXwBSAGkAYwBlAEMAdQBsAHQAaQB2AGEAdABpAG8AbgBfAEIAYQBzAGUAbABpAG4AZQBFAEYAXwBTAG8AdQByAGMAZQAiACwAIgBSAGkAYwBlAEMAdQBsAHQAaQB2AGEAdABpAG8AbgBfAFMAbwB1AHIAYwBlAEQAYQB0AGEALgBTAG8AdQByAGMAZQBEAGEAdABhAF8AUgBpAGMAZQBDAHUAbAB0AGkAdgBhAHQAaQBvAG4AXwBCAGEAcwBlAGwAaQBuAGUARQBGAF8AVgBhAHIAaQBhAHQAaQBvAG4AIgAsACIAUgBpAGMAZQBDAHUAbAB0AGkAdgBhAHQAaQBvAG4AXwBTAG8AdQByAGMAZQBEAGEAdABhAC4AUwBvAHUAcgBjAGUARABhAHQAYQBfAFIAaQBjAGUAQwB1AGwAdABpAHYAYQB0AGkAbwBuAF8AQgBhAHMAZQBsAGkAbgBlAEUARgBfAEQAYQB0AGEAIgAsACIAUgBpAGMAZQBDAHUAbAB0AGkAdgBhAHQAaQBvAG4AXwBFAHEAdQBhAHQAaQBvAG4AcwAuAFYARQBFAFIARwBfADcAXwAxAF8AMQBfADEAXwBfADEAXwBNAGUAdABoAGEAbgBlAEUAbQBpAHMAcwBpAG8AbgBzAEYAcgBvAG0AUgBpAGMAZQBDAHUAbAB0AGkAdgBhAHQAaQBvAG4AIgAsACIAUgBpAGMAZQBDAHUAbAB0AGkAdgBhAHQAaQBvAG4AXwBFAHEAdQBhAHQAaQBvAG4AcwAuAFYARQBFAFIARwBfADcAXwAxAF8AMQBfADEAXwBfADEAXwBNAGUAdABoAGEAbgBlAEUAbQBpAHMAcwBpAG8AbgBzAEYAcgBvAG0AUgBpAGMAZQBDAHUAbAB0AGkAdgBhAHQAaQBvAG4AXwBUAGkAdABsAGUAIgAsACIAUgBpAGMAZQBDAHUAbAB0AGkAdgBhAHQAaQBvAG4AXwBFAHEAdQBhAHQAaQBvAG4AcwAuAFYARQBFAFIARwBfADcAXwAxAF8AMQBfADEAXwBfADEAXwBNAGUAdABoAGEAbgBlAEUAbQBpAHMAcwBpAG8AbgBzAEYAcgBvAG0AUgBpAGMAZQBDAHUAbAB0AGkAdgBhAHQAaQBvAG4AXwBWAGEAcgBpAGEAYgBsAGUAIgAsACIAUgBpAGMAZQBDAHUAbAB0AGkAdgBhAHQAaQBvAG4AXwBFAHEAdQBhAHQAaQBvAG4AcwAuAFYARQBFAFIARwBfADcAXwAxAF8AMQBfADEAXwBfADEAXwBNAGUAdABoAGEAbgBlAEUAbQBpAHMAcwBpAG8AbgBzAEYAcgBvAG0AUgBpAGMAZQBDAHUAbAB0AGkAdgBhAHQAaQBvAG4AXwBVAG4AaQB0ACIALAAiAFIAaQBjAGUAQwB1AGwAdABpAHYAYQB0AGkAbwBuAF8ARQBxAHUAYQB0AGkAbwBuAHMALgBWAEUARQBSAEcAXwA3AF8AMQBfADEAXwAxAF8AXwAxAF8ATQBlAHQAaABhAG4AZQBFAG0AaQBzAHMAaQBvAG4AcwBGAHIAbwBtAFIAaQBjAGUAQwB1AGwAdABpAHYAYQB0AGkAbwBuAF8AUwBvAHUAcgBjAGUAIgAsACIAUgBpAGMAZQBDAHUAbAB0AGkAdgBhAHQAaQBvAG4AXwBFAHEAdQBhAHQAaQBvAG4AcwAuAFYARQBFAFIARwBfADcAXwAxAF8AMQBfADEAXwBfADEAXwBNAGUAdABoAGEAbgBlAEUAbQBpAHMAcwBpAG8AbgBzAEYAcgBvAG0AUgBpAGMAZQBDAHUAbAB0AGkAdgBhAHQAaQBvAG4AXwBOAEkAUgBSAGUAZgBlAHIAZQBuAGMAZQAiACwAIgBSAGkAYwBlAEMAdQBsAHQAaQB2AGEAdABpAG8AbgBfAEUAcQB1AGEAdABpAG8AbgBzAC4AVgBFAEUAUgBHAF8ANwBfADEAXwAxAF8AMQBfAF8AMQBfAE0AZQB0AGgAYQBuAGUARQBtAGkAcwBzAGkAbwBuAHMARgByAG8AbQBSAGkAYwBlAEMAdQBsAHQAaQB2AGEAdABpAG8AbgBfAEwAYQB0AGUAeABFAHEAdQBhAHQAaQBvAG4AIgAsACIAUgBpAGMAZQBDAHUAbAB0AGkAdgBhAHQAaQBvAG4AXwBFAHEAdQBhAHQAaQBvAG4AcwAuAFYARQBFAFIARwBfADcAXwAxAF8AMQBfADEAXwBfADEAXwBNAGUAdABoAGEAbgBlAEUAbQBpAHMAcwBpAG8AbgBzAEYAcgBvAG0AUgBpAGMAZQBDAHUAbAB0AGkAdgBhAHQAaQBvAG4AXwBBAHIAZwB1AG0AZQBuAHQAcwAiACwAIgBSAGkAYwBlAEMAdQBsAHQAaQB2AGEAdABpAG8AbgBfAEUAcQB1AGEAdABpAG8AbgBzAC4AVgBFAEUAUgBHAF8ANwBfADEAXwAxAF8AMQBfAF8AMQBfAE0AZQB0AGgAYQBuAGUARQBtAGkAcwBzAGkAbwBuAHMARgByAG8AbQBSAGkAYwBlAEMAdQBsAHQAaQB2AGEAdABpAG8AbgBfAFYAYQByAGkAYQB0AGkAbwBuACIALAAiAFIAaQBjAGUAQwB1AGwAdABpAHYAYQB0AGkAbwBuAF8ARQBxAHUAYQB0AGkAbwBuAHMALgBWAEUARQBSAEcAXwA3AF8AMQBfADEAXwAxAF8AXwAyAF8ARQBtAGkAcwBzAGkAbwBuAEYAYQBjAHQAbwByAEYAbwByAFIAaQBjAGUAQwB1AGwAdABpAHYAYQB0AGkAbwBuACIALAAiAFIAaQBjAGUAQwB1AGwAdABpAHYAYQB0AGkAbwBuAF8ARQBxAHUAYQB0AGkAbwBuAHMALgBWAEUARQBSAEcAXwA3AF8AMQBfADEAXwAxAF8AXwAyAF8ARQBtAGkAcwBzAGkAbwBuAEYAYQBjAHQAbwByAEYAbwByAFIAaQBjAGUAQwB1AGwAdABpAHYAYQB0AGkAbwBuAF8AVABpAHQAbABlACIALAAiAFIAaQBjAGUAQwB1AGwAdABpAHYAYQB0AGkAbwBuAF8ARQBxAHUAYQB0AGkAbwBuAHMALgBWAEUARQBSAEcAXwA3AF8AMQBfADEAXwAxAF8AXwAyAF8ARQBtAGkAcwBzAGkAbwBuAEYAYQBjAHQAbwByAEYAbwByAFIAaQBjAGUAQwB1AGwAdABpAHYAYQB0AGkAbwBuAF8AVgBhAHIAaQBhAGIAbABlACIALAAiAFIAaQBjAGUAQwB1AGwAdABpAHYAYQB0AGkAbwBuAF8ARQBxAHUAYQB0AGkAbwBuAHMALgBWAEUARQBSAEcAXwA3AF8AMQBfADEAXwAxAF8AXwAyAF8ARQBtAGkAcwBzAGkAbwBuAEYAYQBjAHQAbwByAEYAbwByAFIAaQBjAGUAQwB1AGwAdABpAHYAYQB0AGkAbwBuAF8AVQBuAGkAdAAiACwAIgBSAGkAYwBlAEMAdQBsAHQAaQB2AGEAdABpAG8AbgBfAEUAcQB1AGEAdABpAG8AbgBzAC4AVgBFAEUAUgBHAF8ANwBfADEAXwAxAF8AMQBfAF8AMgBfAEUAbQBpAHMAcwBpAG8AbgBGAGEAYwB0AG8AcgBGAG8AcgBSAGkAYwBlAEMAdQBsAHQAaQB2AGEAdABpAG8AbgBfAFMAbwB1AHIAYwBlACIALAAiAFIAaQBjAGUAQwB1AGwAdABpAHYAYQB0AGkAbwBuAF8ARQBxAHUAYQB0AGkAbwBuAHMALgBWAEUARQBSAEcAXwA3AF8AMQBfADEAXwAxAF8AXwAyAF8ARQBtAGkAcwBzAGkAbwBuAEYAYQBjAHQAbwByAEYAbwByAFIAaQBjAGUAQwB1AGwAdABpAHYAYQB0AGkAbwBuAF8ATgBJAFIAUgBlAGYAZQByAGUAbgBjAGUAIgAsACIAUgBpAGMAZQBDAHUAbAB0AGkAdgBhAHQAaQBvAG4AXwBFAHEAdQBhAHQAaQBvAG4AcwAuAFYARQBFAFIARwBfADcAXwAxAF8AMQBfADEAXwBfADIAXwBFAG0AaQBzAHMAaQBvAG4ARgBhAGMAdABvAHIARgBvAHIAUgBpAGMAZQBDAHUAbAB0AGkAdgBhAHQAaQBvAG4AXwBMAGEAdABlAHgARQBxAHUAYQB0AGkAbwBuACIALAAiAFIAaQBjAGUAQwB1AGwAdABpAHYAYQB0AGkAbwBuAF8ARQBxAHUAYQB0AGkAbwBuAHMALgBWAEUARQBSAEcAXwA3AF8AMQBfADEAXwAxAF8AXwAyAF8ARQBtAGkAcwBzAGkAbwBuAEYAYQBjAHQAbwByAEYAbwByAFIAaQBjAGUAQwB1AGwAdABpAHYAYQB0AGkAbwBuAF8AQQByAGcAdQBtAGUAbgB0AHMAIgAsACIAUgBpAGMAZQBDAHUAbAB0AGkAdgBhAHQAaQBvAG4AXwBFAHEAdQBhAHQAaQBvAG4AcwAuAFYARQBFAFIARwBfADcAXwAxAF8AMQBfADEAXwBfADMAXwBPAHIAZwBhAG4AaQBjAEEAbQBlAG4AZABtAGUAbgB0AHMAUwBjAGEAbABpAG4AZwBGAGEAYwB0AG8AcgAiACwAIgBSAGkAYwBlAEMAdQBsAHQAaQB2AGEAdABpAG8AbgBfAEUAcQB1AGEAdABpAG8AbgBzAC4AVgBFAEUAUgBHAF8ANwBfADEAXwAxAF8AMQBfAF8AMwBfAE8AcgBnAGEAbgBpAGMAQQBtAGUAbgBkAG0AZQBuAHQAcwBTAGMAYQBsAGkAbgBnAEYAYQBjAHQAbwByAFYAYQByAGkAYQB0AGkAbwBuACIALAAiAFIAaQBjAGUAQwB1AGwAdABpAHYAYQB0AGkAbwBuAF8ARQBxAHUAYQB0AGkAbwBuAHMALgBWAEUARQBSAEcAXwA3AF8AMQBfADEAXwAxAF8AXwAzAF8ATwByAGcAYQBuAGkAYwBBAG0AZQBuAGQAbQBlAG4AdABzAFMAYwBhAGwAaQBuAGcARgBhAGMAdABvAHIAXwBUAGkAdABsAGUAIgAsACIAUgBpAGMAZQBDAHUAbAB0AGkAdgBhAHQAaQBvAG4AXwBFAHEAdQBhAHQAaQBvAG4AcwAuAFYARQBFAFIARwBfADcAXwAxAF8AMQBfADEAXwBfADMAXwBPAHIAZwBhAG4AaQBjAEEAbQBlAG4AZABtAGUAbgB0AHMAUwBjAGEAbABpAG4AZwBGAGEAYwB0AG8AcgBfAFYAYQByAGkAYQBiAGwAZQAiACwAIgBSAGkAYwBlAEMAdQBsAHQAaQB2AGEAdABpAG8AbgBfAEUAcQB1AGEAdABpAG8AbgBzAC4AVgBFAEUAUgBHAF8ANwBfADEAXwAxAF8AMQBfAF8AMwBfAE8AcgBnAGEAbgBpAGMAQQBtAGUAbgBkAG0AZQBuAHQAcwBTAGMAYQBsAGkAbgBnAEYAYQBjAHQAbwByAF8AVQBuAGkAdAAiACwAIgBSAGkAYwBlAEMAdQBsAHQAaQB2AGEAdABpAG8AbgBfAEUAcQB1AGEAdABpAG8AbgBzAC4AVgBFAEUAUgBHAF8ANwBfADEAXwAxAF8AMQBfAF8AMwBfAE8AcgBnAGEAbgBpAGMAQQBtAGUAbgBkAG0AZQBuAHQAcwBTAGMAYQBsAGkAbgBnAEYAYQBjAHQAbwByAF8AUwBvAHUAcgBjAGUAIgAsACIAUgBpAGMAZQBDAHUAbAB0AGkAdgBhAHQAaQBvAG4AXwBFAHEAdQBhAHQAaQBvAG4AcwAuAFYARQBFAFIARwBfADcAXwAxAF8AMQBfADEAXwBfADMAXwBPAHIAZwBhAG4AaQBjAEEAbQBlAG4AZABtAGUAbgB0AHMAUwBjAGEAbABpAG4AZwBGAGEAYwB0AG8AcgBfAE4ASQBSAFIAZQBmAGUAcgBlAG4AYwBlACIALAAiAFIAaQBjAGUAQwB1AGwAdABpAHYAYQB0AGkAbwBuAF8ARQBxAHUAYQB0AGkAbwBuAHMALgBWAEUARQBSAEcAXwA3AF8AMQBfADEAXwAxAF8AXwAzAF8ATwByAGcAYQBuAGkAYwBBAG0AZQBuAGQAbQBlAG4AdABzAFMAYwBhAGwAaQBuAGcARgBhAGMAdABvAHIAXwBMAGEAdABlAHgARQBxAHUAYQB0AGkAbwBuACIALAAiAFIAaQBjAGUAQwB1AGwAdABpAHYAYQB0AGkAbwBuAF8ARQBxAHUAYQB0AGkAbwBuAHMALgBWAEUARQBSAEcAXwA3AF8AMQBfADEAXwAxAF8AXwAzAF8ATwByAGcAYQBuAGkAYwBBAG0AZQBuAGQAbQBlAG4AdABzAFMAYwBhAGwAaQBuAGcARgBhAGMAdABvAHIAXwBMAGEAdABlAHgARQBxAHUAYQB0AGkAbwBuAFYAYQByAGkAYQB0AGkAbwBuACIALAAiAFIAaQBjAGUAQwB1AGwAdABpAHYAYQB0AGkAbwBuAF8ARQBxAHUAYQB0AGkAbwBuAHMALgBWAEUARQBSAEcAXwA3AF8AMQBfADEAXwAxAF8AXwAzAF8ATwByAGcAYQBuAGkAYwBBAG0AZQBuAGQAbQBlAG4AdABzAFMAYwBhAGwAaQBuAGcARgBhAGMAdABvAHIAXwBBAHIAZwB1AG0AZQBuAHQAcwAiACwAIgBSAGkAYwBlAEMAdQBsAHQAaQB2AGEAdABpAG8AbgBfAEUAcQB1AGEAdABpAG8AbgBzAC4AVgBFAEUAUgBHAF8ANwBfADEAXwAxAF8AMQBfAF8AMwBfAE8AcgBnAGEAbgBpAGMAQQBtAGUAbgBkAG0AZQBuAHQAcwBTAGMAYQBsAGkAbgBnAEYAYQBjAHQAbwBy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Home</vt:lpstr>
      <vt:lpstr>Overview</vt:lpstr>
      <vt:lpstr>Results</vt:lpstr>
      <vt:lpstr>Input - Site</vt:lpstr>
      <vt:lpstr>Input - Rice</vt:lpstr>
      <vt:lpstr>7.1.1-2 Rice cultivation</vt:lpstr>
      <vt:lpstr>Constants - Rice cultivation</vt:lpstr>
      <vt:lpstr>Constants - Common</vt:lpstr>
      <vt:lpstr>Common_SourceData_DensityOfMethane_Data</vt:lpstr>
      <vt:lpstr>SourceData_RiceCultivation_BaselineEF_Data</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2026-08-14T00:03:07Z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