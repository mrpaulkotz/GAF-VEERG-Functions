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DCE1B11-4284-4CD7-839F-32BB88E4EED6}" xr6:coauthVersionLast="47" xr6:coauthVersionMax="47" xr10:uidLastSave="{00000000-0000-0000-0000-000000000000}"/>
  <bookViews>
    <workbookView xWindow="1350" yWindow="360" windowWidth="36255" windowHeight="19140" activeTab="4"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19"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_xlfn.LAMBDA(_xlfn.MAKEARRAY(7, 2, _xlfn.LAMBDA(_xlpm.r,_xlpm.c, INDEX({"Organic amendment i","CFOAi";"Straw incorporated shortly (&lt;30 days) before cultivation",1;"Straw incorporated long (&gt;30 days) before cultivation",0.19;"Compost",0.17;"Farm yard manure",0.21;"Green manure",0.45;"Inorganic fertiliser",1}, _xlpm.r, _xlpm.c))))</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Step1">#REF!</definedName>
    <definedName name="Step2">#REF!</definedName>
    <definedName name="Step3">#REF!</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9" i="69" l="1"/>
  <c r="J91" i="69"/>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E96" i="69" a="1"/>
  <c r="E96" i="69" s="1"/>
  <c r="F96" i="69" a="1"/>
  <c r="F96" i="69" s="1"/>
  <c r="D96" i="69" a="1"/>
  <c r="D96" i="69" s="1"/>
  <c r="G105" i="69" l="1"/>
  <c r="E259" i="119" a="1"/>
  <c r="E259" i="119" s="1"/>
  <c r="D259" i="119" a="1"/>
  <c r="D259" i="119" s="1"/>
  <c r="E258" i="119" a="1"/>
  <c r="E258" i="119" s="1"/>
  <c r="D258" i="119" a="1"/>
  <c r="D258" i="119" s="1"/>
  <c r="D256" i="119" a="1"/>
  <c r="D256" i="119" s="1"/>
  <c r="D255" i="119"/>
  <c r="D255" i="119" a="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c r="D57" i="119" a="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H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H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D80" i="69" a="1"/>
  <c r="D80" i="69" s="1"/>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J89" i="69" a="1"/>
  <c r="J89" i="69" s="1"/>
  <c r="J90" i="69" a="1"/>
  <c r="J90" i="69" s="1"/>
  <c r="J88" i="69" a="1"/>
  <c r="J88" i="69" s="1"/>
  <c r="H88" i="69" a="1"/>
  <c r="H88" i="69" s="1"/>
  <c r="D88" i="69" a="1"/>
  <c r="D88" i="69" s="1"/>
  <c r="D104" i="69" a="1"/>
  <c r="D104" i="69" s="1"/>
  <c r="E86" i="69" a="1"/>
  <c r="E86" i="69" s="1"/>
  <c r="E85" i="69" a="1"/>
  <c r="E85" i="69" s="1"/>
  <c r="D79" i="69" a="1"/>
  <c r="D79" i="69"/>
  <c r="D78" i="69" a="1"/>
  <c r="D78" i="69"/>
  <c r="J65" i="69" a="1"/>
  <c r="J65" i="69" s="1"/>
  <c r="J64" i="69" a="1"/>
  <c r="J64" i="69" s="1"/>
  <c r="J63" i="69" a="1"/>
  <c r="J63" i="69" s="1"/>
  <c r="J62" i="69" a="1"/>
  <c r="J62" i="69" s="1"/>
  <c r="J61" i="69" a="1"/>
  <c r="J61" i="69" s="1"/>
  <c r="J60" i="69" a="1"/>
  <c r="J60" i="69" s="1"/>
  <c r="D10" i="70"/>
  <c r="E81" i="69" a="1"/>
  <c r="E53" i="69" a="1"/>
  <c r="H49" i="119" l="1"/>
  <c r="H54" i="119"/>
  <c r="H50" i="119"/>
  <c r="F102" i="69"/>
  <c r="H96" i="69"/>
  <c r="H53" i="119"/>
  <c r="H52" i="11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A47" i="69" l="1"/>
  <c r="A16" i="118" l="1"/>
  <c r="A8" i="118"/>
  <c r="A5" i="118"/>
  <c r="A4" i="118"/>
  <c r="A3" i="118"/>
  <c r="A44" i="70" l="1"/>
  <c r="A83" i="69"/>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<sst xmlns="http://schemas.openxmlformats.org/spreadsheetml/2006/main" count="211" uniqueCount="171">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</sst>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53"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2"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0"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49"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8"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292D7-9159-4DA8-868F-97A60010C68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56CCF88-C654-4845-97D7-9D7D362BCE69}" name="State/Territory">
      <calculatedColumnFormula array="1">Common_InputFunctions.Utility_DisplayArrayInTable(Common_SourceData.Common_SourceData_AustralianStatesTerritories_Data(),Table_AustralianStates[[#Headers],[State/Territory]],0)</calculatedColumnFormula>
    </tableColumn>
    <tableColumn id="2" xr3:uid="{281E9821-9727-41EE-9BB2-A0EE34626517}" name="Common Name">
      <calculatedColumnFormula array="1">Common_InputFunctions.Utility_DisplayArrayInTable(Common_SourceData.Common_SourceData_AustralianStatesTerritories_Data(),Table_AustralianStates[[#Headers],[State/Territory]],0)</calculatedColumnFormula>
    </tableColumn>
    <tableColumn id="3" xr3:uid="{DB9ED2A9-4530-4389-9F51-62F4D51CBA8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986F30-D9EC-4803-8DA0-95980EFC62A0}" name="Table_WASA4Areas" displayName="Table_WASA4Areas" ref="D20:D30" totalsRowShown="0">
  <autoFilter ref="D20:D30" xr:uid="{5FA81339-C6C8-4D36-BEEA-6C4AEDD9E676}">
    <filterColumn colId="0" hiddenButton="1"/>
  </autoFilter>
  <tableColumns count="1">
    <tableColumn id="1" xr3:uid="{DB52865D-6F2D-4651-9C10-87FA05E28ED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5A8FF1-51D1-4DC7-A67C-E1BB1D169339}" name="Table_GWPData" displayName="Table_GWPData" ref="D36:E43" totalsRowShown="0">
  <autoFilter ref="D36:E43" xr:uid="{B8E87A66-3E41-4AD3-925D-01EE21B43D7A}">
    <filterColumn colId="0" hiddenButton="1"/>
    <filterColumn colId="1" hiddenButton="1"/>
  </autoFilter>
  <tableColumns count="2">
    <tableColumn id="1" xr3:uid="{DE7AB944-8934-40CD-9BD0-1EB0965AAF53}" name="Gas">
      <calculatedColumnFormula array="1">Common_InputFunctions.Utility_DisplayArrayInTable(Common_SourceData.Common_SourceData_GWP_Data(), Table_GWPData[[#Headers],[Gas]], 0)</calculatedColumnFormula>
    </tableColumn>
    <tableColumn id="2" xr3:uid="{BF74DAA5-1727-4598-8BDF-A1FFEAF3679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4EB336F-AD27-4469-81D9-D75BF39270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FF8E719-A496-4146-95F1-5C74FB0907DF}" name="Gas">
      <calculatedColumnFormula array="1">Common_InputFunctions.Utility_DisplayArrayInTable(Common_SourceData.Common_SourceData_ConvertGasElementalToMolecular_Data(),Table_GasToMolecularConversionFactor[[#Headers],[Gas]], 0)</calculatedColumnFormula>
    </tableColumn>
    <tableColumn id="5" xr3:uid="{141A87B3-BDC7-4BC9-86AA-9AEF8E4516F0}" name="Conversion factor">
      <calculatedColumnFormula array="1">Common_InputFunctions.Utility_DisplayArrayInTable(Common_SourceData.Common_SourceData_ConvertGasElementalToMolecular_Data(),Table_GasToMolecularConversionFactor[[#Headers],[Gas]], 0)</calculatedColumnFormula>
    </tableColumn>
    <tableColumn id="2" xr3:uid="{6EEA02FE-9CA9-42CC-9715-CE1AE379A7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3DBA7EA-762D-4502-893E-4F59C65F1D0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5503ED-E349-402E-BE70-522640844EB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64F6EE9-601E-431C-889B-F490F94AAF6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EAE8D7-79F7-4CFF-AA60-81BEB0D1F9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0558006-D3B7-45CA-BB08-CBC5FB2D525E}"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31536C54-9D90-4BA1-8630-5A5825932E3D}"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C736DFB1-216D-41C0-9BDA-AF1DACA0D28E}"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EBC9733B-D9D6-44EF-92E6-EAE63368707E}"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86BD24B4-BCF5-43E4-9791-66486A239A29}"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4625927-EE66-47A4-9B56-E9FF16A40381}"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6D7849-AF37-4F92-B3BC-F00F938473A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79B2D447-365C-4E5B-9B46-EB9A6FEABC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15AE00CB-0DCC-4C76-9A69-811B2102ABD0}"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453B192C-DCF9-4759-9B4F-A3C3978C4EAF}"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399D591D-E030-4FE8-8A4D-14B154F55401}"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7BB2477B-60BA-4ACB-81E8-FD8FE87495FF}"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0A47AD04-56FF-4DD7-A870-3813EAA5B320}"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FE9A6C0E-201D-4A67-8D4D-C6A488CA05EA}"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3378CC43-2399-435F-A3FE-BB19D039E80F}"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D035090-ADB1-4F10-9C19-A48DE1D5960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ECE3957-9413-4408-BDB8-77552A7231E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3FFA737-2FA7-48E9-A115-73FA50C9393D}"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EF50EEC-58C1-4511-A309-1BA0389F0D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CB9DB5A-F79A-4195-A2D3-345C295DFC8A}" name="Temperature Zone">
      <calculatedColumnFormula array="1">Common_InputFunctions.Utility_DisplayArrayInTable(Common_SourceData.Common_SourceData_TemperatureZones_Data(),Table_SourceData_TemperatureZones[[#Headers],[Temperature Zone]],0)</calculatedColumnFormula>
    </tableColumn>
    <tableColumn id="2" xr3:uid="{25D74762-0A2D-4400-B824-894D618905BB}" name="MAT">
      <calculatedColumnFormula array="1">Common_InputFunctions.Utility_DisplayArrayInTable(Common_SourceData.Common_SourceData_TemperatureZones_Data(),Table_SourceData_TemperatureZones[[#Headers],[Temperature Zone]],0)</calculatedColumnFormula>
    </tableColumn>
    <tableColumn id="3" xr3:uid="{1205EC90-4A04-43FC-A053-69E387CE1D3F}" name="Min MAT">
      <calculatedColumnFormula array="1">Common_InputFunctions.Utility_DisplayArrayInTable(Common_SourceData.Common_SourceData_TemperatureZones_Data(),Table_SourceData_TemperatureZones[[#Headers],[Temperature Zone]],0)</calculatedColumnFormula>
    </tableColumn>
    <tableColumn id="4" xr3:uid="{A0CC6FD8-F8F6-4A79-9CDF-BE796852DAF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56F1A3E-799D-40CF-8D17-7ECCC24A893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FCA308-B091-442E-94CA-E0A51124F1E1}" name="Rainfall Zone">
      <calculatedColumnFormula array="1">Common_InputFunctions.Utility_DisplayArrayInTable(Common_SourceData.Common_SourceData_RainfallZones_Data(),Table_SourceData_RainfallZones[[#Headers],[Rainfall Zone]],0)</calculatedColumnFormula>
    </tableColumn>
    <tableColumn id="2" xr3:uid="{71D5D2C7-753E-4961-91F7-5D8FD4EBBBB8}" name="Annual rainfall">
      <calculatedColumnFormula array="1">Common_InputFunctions.Utility_DisplayArrayInTable(Common_SourceData.Common_SourceData_RainfallZones_Data(),Table_SourceData_RainfallZones[[#Headers],[Rainfall Zone]],0)</calculatedColumnFormula>
    </tableColumn>
    <tableColumn id="3" xr3:uid="{6FA6F6A2-93E0-4091-A742-AE671B909E65}" name="Min rainfall">
      <calculatedColumnFormula array="1">Common_InputFunctions.Utility_DisplayArrayInTable(Common_SourceData.Common_SourceData_RainfallZones_Data(),Table_SourceData_RainfallZones[[#Headers],[Rainfall Zone]],0)</calculatedColumnFormula>
    </tableColumn>
    <tableColumn id="4" xr3:uid="{EBBE1093-D022-42FA-A758-FE815C9D665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2C58793-EC57-49E4-811D-88A2C42FD54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DEDD535-7F20-4744-95AD-A4D8DE59C041}" name="Leaching Zone">
      <calculatedColumnFormula array="1">Common_InputFunctions.Utility_DisplayArrayInTable(Common_SourceData.Common_SourceData_LeachingZones_Data(), Table_SourceData_LeachingZones[[#Headers],[Leaching Zone]], 0)</calculatedColumnFormula>
    </tableColumn>
    <tableColumn id="2" xr3:uid="{413AA76F-C255-42F1-A6D5-5CD24BBBAF2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111242-9C75-4E29-97AB-7B805B52270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DB9D991-F5EB-4B03-9F51-46A4472289C1}" name="Data source">
      <calculatedColumnFormula array="1">Common_InputFunctions.Utility_DisplayArrayInTable(Common_SourceData.Common_SourceData_DataScores_Scope3_Data(), Table_SourceData_DataScores_Scope3[[#Headers],[Data source]], 0)</calculatedColumnFormula>
    </tableColumn>
    <tableColumn id="2" xr3:uid="{01E97336-A13E-4773-A06E-95DCCDC3855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F5DAA02-E4E8-4624-A2C5-096D1B60A921}" name="Table_SourceData_FracWET" displayName="Table_SourceData_FracWET" ref="D134:E136" totalsRowShown="0">
  <autoFilter ref="D134:E136" xr:uid="{308E99BE-FE1F-47A4-B2CA-97217277C4E9}">
    <filterColumn colId="0" hiddenButton="1"/>
    <filterColumn colId="1" hiddenButton="1"/>
  </autoFilter>
  <tableColumns count="2">
    <tableColumn id="1" xr3:uid="{1FF542F2-F612-45D7-AC03-2F170C811D2C}" name="Is in leaching zone">
      <calculatedColumnFormula array="1">Common_InputFunctions.Utility_DisplayArrayInTable(Common_SourceData.Common_SourceData_FracWET_Data(),Table_SourceData_FracWET[[#Headers],[Is in leaching zone]],0)</calculatedColumnFormula>
    </tableColumn>
    <tableColumn id="2" xr3:uid="{CAF3234F-1744-4CC7-97FB-29E26283D105}"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C4B023C-39DC-4A61-B287-ACF14E1CC6B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8E69A42-D0D6-4FBD-91D3-EC4843CB8995}" name="Production system j">
      <calculatedColumnFormula array="1">Common_InputFunctions.Utility_DisplayArrayInTable(Common_SourceData.Common_SourceData_EFN2O_Data(), Table_SourceData_Common_EFN2O[[#Headers],[Production system j]], 0)</calculatedColumnFormula>
    </tableColumn>
    <tableColumn id="2" xr3:uid="{FB6F1229-41A4-4698-ADAF-85A7F3BDC850}" name="EFN2O">
      <calculatedColumnFormula array="1">Common_InputFunctions.Utility_DisplayArrayInTable(Common_SourceData.Common_SourceData_EFN2O_Data(), Table_SourceData_Common_EFN2O[[#Headers],[Production system j]], 0)</calculatedColumnFormula>
    </tableColumn>
    <tableColumn id="3" xr3:uid="{48F26286-FAFA-4819-9AFA-F6ECAE3F6B49}" name="Production system only">
      <calculatedColumnFormula array="1">Common_InputFunctions.Utility_DisplayArrayInTable(Common_SourceData.Common_SourceData_EFN2O_Data(), Table_SourceData_Common_EFN2O[[#Headers],[Production system j]], 0)</calculatedColumnFormula>
    </tableColumn>
    <tableColumn id="4" xr3:uid="{99A2A834-E5E1-4659-9E7A-BC2543C1E44F}" name="Irrigation method">
      <calculatedColumnFormula array="1">Common_InputFunctions.Utility_DisplayArrayInTable(Common_SourceData.Common_SourceData_EFN2O_Data(), Table_SourceData_Common_EFN2O[[#Headers],[Production system j]], 0)</calculatedColumnFormula>
    </tableColumn>
    <tableColumn id="5" xr3:uid="{4316727C-0C8D-4A2E-947B-24A6E48379F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71BEDC-DFB7-49CC-BFDB-089589025B0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349773D-F8B1-4F20-8D67-02CFFC1D5B01}" name="Irrigation type i">
      <calculatedColumnFormula array="1">Common_InputFunctions.Utility_DisplayArrayInTable(Common_SourceData.Common_SourceData_FracWETIrrigation_Data(), Table_SourceData_FracWETIrrigation[[#Headers],[Irrigation type i]], 0)</calculatedColumnFormula>
    </tableColumn>
    <tableColumn id="2" xr3:uid="{E1A81332-451C-4F13-819A-08B47B324E1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B56AF9D-3A20-46F2-9DF6-908E16C583F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9ECEEA9-A0E2-448E-9242-5EB4612E5A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C812F-1B20-433B-A220-45B290E585E4}"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254172A-1F0A-4DA8-AF3D-FBD2D01D81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2EF0B5-08C2-435D-AD90-194AA40AF483}" name="Month">
      <calculatedColumnFormula array="1">Common_InputFunctions.Utility_DisplayArrayInTable(Common_SourceData.Common_SourceData_MonthsToSeasons_Data(), Table_SourceData_Common_MonthToSeason[[#Headers],[Month]], 0)</calculatedColumnFormula>
    </tableColumn>
    <tableColumn id="2" xr3:uid="{1B155342-2AE7-4ACF-A9BA-20CE30CBC6E1}"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87B9ADF-B9E3-4BCF-ABE8-F47F94E4CCD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609039-97C4-4729-BC48-B95334FF569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18B5A5E-83DE-4F01-B188-8A16EF097844}"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36388A3-2885-4653-8CA5-464AC2653131}"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C1AA35B-D1B9-4F13-9AFE-E084527288D4}"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6AFD6DE-B5F7-4FA0-8661-5137CBBDF314}"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9AC720-CEA6-4B40-B794-DA1221D8A639}"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54AD809-4295-4C51-9928-79A9335C5131}"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B58D073-0610-4780-89E8-72FD5F9DE29F}"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054B9BB-77F9-4163-856D-1F02090BD29E}"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761C4A1-7DEB-4A74-ABFE-16C4A40CA65E}"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BEF1D1-4341-4566-AE85-0BAE80513B23}"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AC3B56F-0E3B-46E4-881E-4A4C23336DB8}"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E2D555B-CCCB-47A0-ABC6-4BBE59B69EB8}"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ABF9296-D829-4357-B8D0-BF198B1CB558}"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43C946F-C17F-411D-99BA-FB5337573E30}"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76FAEC-5772-4EAC-8F56-60AF713901CD}"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62A48A5-6B2F-4D2D-8025-572DAB9FE02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C964A67-F781-4D99-8B91-5BFC8B5214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C008960-0F7E-4D6F-90B0-1B33D47696C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166</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9" sqref="F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165</v>
      </c>
      <c r="E9" s="114">
        <f>VEERG_7_1_1_1__1_MethaneEmissionsFromRiceCultivation_Result_Method1</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tabSelected="1" zoomScaleNormal="100" workbookViewId="0">
      <selection activeCell="E10" sqref="E10"/>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169</v>
      </c>
      <c r="F14" s="101" t="s">
        <v>170</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35" t="s">
        <v>153</v>
      </c>
      <c r="E15" s="35">
        <v>2</v>
      </c>
      <c r="F15" s="35">
        <v>0</v>
      </c>
      <c r="G15" s="35">
        <v>2</v>
      </c>
      <c r="H15" s="35">
        <v>0</v>
      </c>
      <c r="I15" s="35">
        <v>2</v>
      </c>
      <c r="J15" s="35">
        <v>0</v>
      </c>
    </row>
    <row r="16" spans="1:11" ht="20.100000000000001" customHeight="1" x14ac:dyDescent="0.25">
      <c r="A16" s="17" t="str">
        <f>HYPERLINK("#'Constants - Common'!A1", "Constants - Common")</f>
        <v>Constants - Common</v>
      </c>
      <c r="D16" s="35" t="s">
        <v>154</v>
      </c>
      <c r="E16" s="35">
        <v>0</v>
      </c>
      <c r="F16" s="35">
        <v>2</v>
      </c>
      <c r="G16" s="35">
        <v>0</v>
      </c>
      <c r="H16" s="35">
        <v>2</v>
      </c>
      <c r="I16" s="35">
        <v>0</v>
      </c>
      <c r="J16" s="35">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161</v>
      </c>
      <c r="F21" s="101" t="s">
        <v>123</v>
      </c>
      <c r="G21" s="101" t="s">
        <v>122</v>
      </c>
      <c r="H21" s="101" t="s">
        <v>121</v>
      </c>
      <c r="I21" s="101" t="s">
        <v>120</v>
      </c>
      <c r="J21" s="101" t="s">
        <v>159</v>
      </c>
    </row>
    <row r="22" spans="1:10" ht="20.100000000000001" customHeight="1" x14ac:dyDescent="0.25">
      <c r="D22" s="35" t="s">
        <v>141</v>
      </c>
      <c r="E22" s="35">
        <v>100</v>
      </c>
      <c r="F22" s="37" t="s">
        <v>143</v>
      </c>
      <c r="G22" s="37" t="s">
        <v>150</v>
      </c>
      <c r="H22" s="37" t="s">
        <v>156</v>
      </c>
      <c r="I22" s="37" t="s">
        <v>153</v>
      </c>
      <c r="J22" s="35">
        <v>100</v>
      </c>
    </row>
    <row r="23" spans="1:10" ht="20.100000000000001" customHeight="1" x14ac:dyDescent="0.25">
      <c r="D23" s="35" t="s">
        <v>142</v>
      </c>
      <c r="E23" s="35">
        <v>100</v>
      </c>
      <c r="F23" s="37" t="s">
        <v>151</v>
      </c>
      <c r="G23" s="37" t="s">
        <v>148</v>
      </c>
      <c r="H23" s="37" t="s">
        <v>149</v>
      </c>
      <c r="I23" s="37" t="s">
        <v>154</v>
      </c>
      <c r="J23" s="35">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D96" sqref="D9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8">IFERROR(INDEX(Table_Input_AmendmentBlends[Amendment mix name], _xlfn.SEQUENCE(5)), "")</f>
        <v>Mix 1</v>
      </c>
      <c r="E24" s="47" cm="1">
        <f t="array" ref="E24:E28">IFERROR(INDEX(Table_Input_AmendmentBlends[Straw added &lt; 30 days precultivation (t/ha)], _xlfn.SEQUENCE(5)), 0)</f>
        <v>2</v>
      </c>
      <c r="F24" s="47" cm="1">
        <f t="array" ref="F24:F28">IFERROR(INDEX(Table_Input_AmendmentBlends[Straw added 30+ days pre cultivation (t/ha)], _xlfn.SEQUENCE(5)), 0)</f>
        <v>0</v>
      </c>
      <c r="G24" s="47" cm="1">
        <f t="array" ref="G24:G28">IFERROR(INDEX(Table_Input_AmendmentBlends[Compost (t/ha)], _xlfn.SEQUENCE(5)), 0)</f>
        <v>2</v>
      </c>
      <c r="H24" s="47" cm="1">
        <f t="array" ref="H24:H28">IFERROR(INDEX(Table_Input_AmendmentBlends[Farm yard manure (t/ha)], _xlfn.SEQUENCE(5)), 0)</f>
        <v>0</v>
      </c>
      <c r="I24" s="47" cm="1">
        <f t="array" ref="I24:I28">IFERROR(INDEX(Table_Input_AmendmentBlends[Green manure (t/ha)], _xlfn.SEQUENCE(5)), 0)</f>
        <v>2</v>
      </c>
      <c r="J24" s="47" cm="1">
        <f t="array" ref="J24:J28">IFERROR(INDEX(Table_Input_AmendmentBlends[Inorganic fertiliser (t/ha)], _xlfn.SEQUENCE(5)), 0)</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t="str">
        <v/>
      </c>
      <c r="E26" s="47">
        <v>0</v>
      </c>
      <c r="F26" s="47">
        <v>0</v>
      </c>
      <c r="G26" s="47">
        <v>0</v>
      </c>
      <c r="H26" s="47">
        <v>0</v>
      </c>
      <c r="I26" s="47">
        <v>0</v>
      </c>
      <c r="J26" s="47">
        <v>0</v>
      </c>
    </row>
    <row r="27" spans="1:11" ht="20.100000000000001" customHeight="1" x14ac:dyDescent="0.25">
      <c r="D27" s="47" t="str">
        <v/>
      </c>
      <c r="E27" s="47">
        <v>0</v>
      </c>
      <c r="F27" s="47">
        <v>0</v>
      </c>
      <c r="G27" s="47">
        <v>0</v>
      </c>
      <c r="H27" s="47">
        <v>0</v>
      </c>
      <c r="I27" s="47">
        <v>0</v>
      </c>
      <c r="J27" s="47">
        <v>0</v>
      </c>
    </row>
    <row r="28" spans="1:11" ht="20.100000000000001" customHeight="1" x14ac:dyDescent="0.25">
      <c r="D28" s="47" t="str">
        <v/>
      </c>
      <c r="E28" s="47">
        <v>0</v>
      </c>
      <c r="F28" s="47">
        <v>0</v>
      </c>
      <c r="G28" s="47">
        <v>0</v>
      </c>
      <c r="H28" s="47">
        <v>0</v>
      </c>
      <c r="I28" s="47">
        <v>0</v>
      </c>
      <c r="J28" s="47">
        <v>0</v>
      </c>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7">IFERROR(INDEX(Table_Input_AmendmentBlends[Amendment mix name], _xlfn.SEQUENCE(5)), "")</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t="str">
        <v/>
      </c>
      <c r="E45" s="47" cm="1">
        <f t="array" ref="E45">RiceCultivation_Equations.VEERG_7_1_1_1__3_OrganicAmendmentsScalingFactorVariation(E26, $E$33, F26, $E$34, G26, $E$35,H26,$E$36, I26,$E$37,J26,$E$38)</f>
        <v>1</v>
      </c>
    </row>
    <row r="46" spans="1:6" ht="20.100000000000001" customHeight="1" x14ac:dyDescent="0.25">
      <c r="D46" s="47" t="str">
        <v/>
      </c>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t="str">
        <v/>
      </c>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SourceData_RiceCultivation_BaselineEF_Data</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157</v>
      </c>
    </row>
    <row r="68" spans="3:12" ht="20.100000000000001" customHeight="1" x14ac:dyDescent="0.25">
      <c r="D68" s="84" t="s">
        <v>158</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4">IFERROR(INDEX(Table_Input_Regimes[Regime name], _xlfn.SEQUENCE(5)), "")</f>
        <v>Regime 1</v>
      </c>
      <c r="E70" s="47" t="str" cm="1">
        <f t="array" ref="E70:E74">IFERROR(INDEX(Table_Input_Regimes[Pre-cultivation water regime (select)], _xlfn.SEQUENCE(5)), "")</f>
        <v>Non flooded pre-season &lt;180 days</v>
      </c>
      <c r="F70" s="47" t="str" cm="1">
        <f t="array" ref="F70:F74">IFERROR(INDEX(Table_Input_Regimes[Water regime sub-type (select)], _xlfn.SEQUENCE(5)), "")</f>
        <v>Drought prone</v>
      </c>
      <c r="G70" s="47" t="str" cm="1">
        <f t="array" ref="G70:G74">IFERROR(INDEX(Table_Input_Regimes[Amendment blend (select)], _xlfn.SEQUENCE(5)), "")</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t="str">
        <v/>
      </c>
      <c r="E72" s="47" t="str">
        <v/>
      </c>
      <c r="F72" s="47" t="str">
        <v/>
      </c>
      <c r="G72" s="47" t="str">
        <v/>
      </c>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t="str">
        <v/>
      </c>
      <c r="E73" s="47" t="str">
        <v/>
      </c>
      <c r="F73" s="47" t="str">
        <v/>
      </c>
      <c r="G73" s="47" t="str">
        <v/>
      </c>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t="str">
        <v/>
      </c>
      <c r="E74" s="47" t="str">
        <v/>
      </c>
      <c r="F74" s="47" t="str">
        <v/>
      </c>
      <c r="G74" s="47" t="str">
        <v/>
      </c>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X_Cell_NumberGorwingSeasons</f>
        <v>2</v>
      </c>
    </row>
    <row r="92" spans="1:10" ht="20.100000000000001" customHeight="1" x14ac:dyDescent="0.25"/>
    <row r="93" spans="1:10" ht="20.100000000000001" customHeight="1" x14ac:dyDescent="0.25">
      <c r="D93" s="85" t="s">
        <v>163</v>
      </c>
    </row>
    <row r="94" spans="1:10" ht="20.100000000000001" customHeight="1" x14ac:dyDescent="0.25">
      <c r="D94" s="84" t="s">
        <v>164</v>
      </c>
    </row>
    <row r="95" spans="1:10" ht="20.100000000000001" customHeight="1" x14ac:dyDescent="0.25">
      <c r="D95" s="101" t="s">
        <v>140</v>
      </c>
      <c r="E95" s="101" t="s">
        <v>162</v>
      </c>
      <c r="F95" s="101" t="s">
        <v>168</v>
      </c>
      <c r="G95" s="46" t="s">
        <v>160</v>
      </c>
    </row>
    <row r="96" spans="1:10" ht="20.100000000000001" customHeight="1" x14ac:dyDescent="0.25">
      <c r="D96" s="47" t="str" cm="1">
        <f t="array" ref="D96:D100">IFERROR(INDEX(Table_Input_Regimes[Regime name], _xlfn.SEQUENCE(5)), "")</f>
        <v>Regime 1</v>
      </c>
      <c r="E96" s="47" cm="1">
        <f t="array" ref="E96:E100">IFERROR(INDEX(Table_Input_Regimes[Area under cultivation (hectares)]*J91, _xlfn.SEQUENCE(5)), 0)</f>
        <v>200</v>
      </c>
      <c r="F96" s="47" cm="1">
        <f t="array" ref="F96:F100">IFERROR(INDEX(Table_Input_Regimes[Cultivation period (days)], _xlfn.SEQUENCE(5)), 0)</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t="str">
        <v/>
      </c>
      <c r="E98" s="47">
        <v>0</v>
      </c>
      <c r="F98" s="47">
        <v>0</v>
      </c>
      <c r="G98" s="47" cm="1">
        <f t="array" ref="G98">RiceCultivation_Equations.VEERG_7_1_1_1__1_MethaneEmissionsFromRiceCultivation(E98,K72,F98)</f>
        <v>0</v>
      </c>
    </row>
    <row r="99" spans="4:12" ht="20.100000000000001" customHeight="1" x14ac:dyDescent="0.25">
      <c r="D99" s="47" t="str">
        <v/>
      </c>
      <c r="E99" s="47">
        <v>0</v>
      </c>
      <c r="F99" s="47">
        <v>0</v>
      </c>
      <c r="G99" s="47" cm="1">
        <f t="array" ref="G99">RiceCultivation_Equations.VEERG_7_1_1_1__1_MethaneEmissionsFromRiceCultivation(E99,K73,F99)</f>
        <v>0</v>
      </c>
    </row>
    <row r="100" spans="4:12" ht="20.100000000000001" customHeight="1" x14ac:dyDescent="0.25">
      <c r="D100" s="47" t="str">
        <v/>
      </c>
      <c r="E100" s="47">
        <v>0</v>
      </c>
      <c r="F100" s="47">
        <v>0</v>
      </c>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35" t="s">
        <v>109</v>
      </c>
      <c r="E9" s="35" t="s">
        <v>112</v>
      </c>
      <c r="F9" s="35" t="s">
        <v>125</v>
      </c>
      <c r="H9" s="35" t="s">
        <v>147</v>
      </c>
      <c r="J9" s="35" t="s">
        <v>147</v>
      </c>
      <c r="L9" s="35" t="s">
        <v>147</v>
      </c>
      <c r="AG9" s="1"/>
      <c r="AH9" s="1"/>
      <c r="AI9" s="1"/>
    </row>
    <row r="10" spans="1:35" ht="20.100000000000001" customHeight="1" x14ac:dyDescent="0.25">
      <c r="D10" s="35" t="str" cm="1">
        <f t="array" ref="D10">Common_InputFunctions.Utility_DisplayArrayInTable(RiceCultivation_SourceData.SourceData_RiceCultivation_WaterScalingFactorGrowingSeason_Data(),Table_SourceData_WaterScalingFactorGrowingSeason[[#Headers],[Water regime type]],0)</f>
        <v>Upland</v>
      </c>
      <c r="E10" s="35" t="str" cm="1">
        <f t="array" ref="E10">Common_InputFunctions.Utility_DisplayArrayInTable(RiceCultivation_SourceData.SourceData_RiceCultivation_WaterScalingFactorGrowingSeason_Data(),Table_SourceData_WaterScalingFactorGrowingSeason[[#Headers],[Water regime type]],0)</f>
        <v>Paddy rotation</v>
      </c>
      <c r="F10" s="35" cm="1">
        <f t="array" ref="F10">Common_InputFunctions.Utility_DisplayArrayInTable(RiceCultivation_SourceData.SourceData_RiceCultivation_WaterScalingFactorGrowingSeason_Data(),Table_SourceData_WaterScalingFactorGrowingSeason[[#Headers],[Water regime type]],0)</f>
        <v>0</v>
      </c>
      <c r="H10" s="35" t="str">
        <f>E10</f>
        <v>Paddy rotation</v>
      </c>
      <c r="J10" s="35" t="str">
        <f>E12</f>
        <v>Continuously flooded</v>
      </c>
      <c r="L10" s="35"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35" t="str">
        <f>E11</f>
        <v>Fallow without flooding in previous year</v>
      </c>
      <c r="J11" s="35" t="str">
        <f>E13</f>
        <v>Single drainage period</v>
      </c>
      <c r="L11" s="35"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35" t="str">
        <f>E14</f>
        <v>Multiple drainage periods</v>
      </c>
      <c r="L12" s="35"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35" t="s">
        <v>126</v>
      </c>
      <c r="E24" s="35" t="s">
        <v>127</v>
      </c>
    </row>
    <row r="25" spans="1:6" ht="20.100000000000001" customHeight="1" x14ac:dyDescent="0.25">
      <c r="D25" s="35"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5"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35" t="s">
        <v>128</v>
      </c>
      <c r="E38" s="35" t="s">
        <v>129</v>
      </c>
    </row>
    <row r="39" spans="4:5" ht="20.100000000000001" customHeight="1" x14ac:dyDescent="0.25">
      <c r="D39" s="35" t="str" cm="1">
        <f t="array" ref="D39">Common_InputFunctions.Utility_DisplayArrayInTable(RiceCultivation_SourceData.SourceData_RiceCultivation_OrganicAmendmentConversionFactor_Data(),Table15[[#Headers],[Organic amendment i]],0)</f>
        <v>Straw incorporated shortly (&lt;30 days) before cultivation</v>
      </c>
      <c r="E39" s="35"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628F-C552-4DBE-BEDA-1D3AB479C82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gBpAGMAZQBDAHUAbAB0AGkAdgBhAHQAaQBvAG4AXwBTAG8AdQByAGMAZQBEAGEAdABhACIALAAiAHQAZQB4AHQAIgA6ACIAXABuAC8AKgAgAFwAbgAtAC0ALQAtAC0ALQAtAC0ALQAtAC0ALQAtAC0ALQAtAC0ALQAtAC0ALQAtAC0ALQAtAC0ALQAtAC0ALQAtAC0ALQAtAC0ALQAtAC0AXABuAFMAbwB1AHIAYwBlAEQAYQB0AGEAXwBSAGkAYwBlAEMAdQBsAHQAaQB2AGEAdABpAG8AbgBfAFcAYQB0AGUAcgBTAGMAYQBsAGkAbgBnAEYAYQBjAHQAbwByAEcAcgBvAHcAaQBuAGcAUwBlAGEAcwBvAG4AXABuAC0ALQAtAC0ALQAtAC0ALQAtAC0ALQAtAC0ALQAtAC0ALQAtAC0ALQAtAC0ALQAtAC0ALQAtAC0ALQAtAC0ALQAtAC0ALQAtAC0ALQBcAG4AKgAvAFwAbgBcAG4AUwBvAHUAcgBjAGUARABhAHQAYQBfAFIAaQBjAGUAQwB1AGwAdABpAHYAYQB0AGkAbwBuAF8AVwBhAHQAZQByAFMAYwBhAGwAaQBuAGcARgBhAGMAdABvAHIARwByAG8AdwBpAG4AZwBTAGUAYQBzAG8AbgBfAFQAaQB0AGwAZQBcAG4AIAAgAD0ATABBAE0AQgBEAEEAKABcACIAUwBjAGEAbABpAG4AZwAgAGYAYQBjAHQAbwByACAAYgBhAHMAZQBkACAAbwBuACAAdABoAGUAIAB3AGEAdABlAHIAIAByAGUAZwBpAG0AZQAgAGUAbQBwAGwAbwB5AGUAZAAgAGQAdQByAGkAbgBnACAAdABoAGUAIABnAHIAbwB3AGkAbgBnACAAcwBlAGEAcwBvAG4AIABjAHUAbAB0AGkAdgBhAHQAaQBvAG4AIABwAGUAcgBpAG8AZABcACIAKQA7AFwAbgBcAG4AUwBvAHUAcgBjAGUARABhAHQAYQBfAFIAaQBjAGUAQwB1AGwAdABpAHYAYQB0AGkAbwBuAF8AVwBhAHQAZQByAFMAYwBhAGwAaQBuAGcARgBhAGMAdABvAHIARwByAG8AdwBpAG4AZwBTAGUAYQBzAG8AbgBfAFYAYQByAGkAYQBiAGwAZQBcAG4AIAAgAD0ATABBAE0AQgBEAEEAKABcACIAUwBGAHcAXAAiACkAOwBcAG4AXABuAFMAbwB1AHIAYwBlAEQAYQB0AGEAXwBSAGkAYwBlAEMAdQBsAHQAaQB2AGEAdABpAG8AbgBfAFcAYQB0AGUAcgBTAGMAYQBsAGkAbgBnAEYAYQBjAHQAbwByAEcAcgBvAHcAaQBuAGcAUwBlAGEAcwBvAG4AXwBVAG4AaQB0AFwAbgAgACAAPQBMAEEATQBCAEQAQQAoAFwAIgBmAHIAYQBjAHQAaQBvAG4AXAAiACkAOwBcAG4AXABuAFMAbwB1AHIAYwBlAEQAYQB0AGEAXwBSAGkAYwBlAEMAdQBsAHQAaQB2AGEAdABpAG8AbgBfAFcAYQB0AGUAcgBTAGMAYQBsAGkAbgBnAEYAYQBjAHQAbwByAEcAcgBvAHcAaQBuAGcAUwBlAGEAcwBvAG4AXwBTAG8AdQByAGMAZQBcAG4AIAAgAD0ATABBAE0AQgBEAEEAKABcACIAVgBFAEUAUgBHACAAMgAwADIANgA6ACAAVABhAGIAbABlACAAQQAuADIALgAzAC4AMQBcACIAKQA7AFwAbgBcAG4AUwBvAHUAcgBjAGUARABhAHQAYQBfAFIAaQBjAGUAQwB1AGwAdABpAHYAYQB0AGkAbwBuAF8AVwBhAHQAZQByAFMAYwBhAGwAaQBuAGcARgBhAGMAdABvAHIARwByAG8AdwBpAG4AZwBTAGUAYQBzAG8AbgBfAFYAYQByAGkAYQB0AGkAbwBuAFwAbgAgACAAPQBMAEEATQBCAEQAQQAoAFwAIgBcACIAKQA7AFwAbgBcAG4AUwBvAHUAcgBjAGUARABhAHQAYQBfAFIAaQBjAGUAQwB1AGwAdABpAHYAYQB0AGkAbwBuAF8AVwBhAHQAZQByAFMAYwBhAGwAaQBuAGcARgBhAGMAdABvAHIARwByAG8AdwBpAG4AZwBTAGUAYQBzAG8AbgBfAEQAYQB0AGEAXABuACAAIAA9AEwAQQBNAEIARABBACgAXABuACAAIAAgACAATQBBAEsARQBBAFIAUgBBAFkAKAA5ACwAIAAzACwAIABcAG4AIAAgACAAIAAgACAATABBAE0AQgBEAEEAKAByACwAYwAsACAAXABuACAAIAAgACAAIAAgACAAIABJAE4ARABFAFgAKAB7AFwAbgAgACAAIAAgACAAIAAgACAAIAAgAFwAIgBXAGEAdABlAHIAIAByAGUAZwBpAG0AZQAgAHQAeQBwAGUAXAAiACwAIABcACIAVwBhAHQAZQByACAAcgBlAGcAaQBtAGUAIABzAHUAYgAgAC0AIAB0AHkAcABlAFwAIgAsACAAXAAiAFMARgB3AFwAIgA7AFwAbgAgACAAIAAgACAAIAAgACAAIAAgAFwAIgBVAHAAbABhAG4AZABcACIALAAgAFwAIgBQAGEAZABkAHkAIAByAG8AdABhAHQAaQBvAG4AXAAiACwAIAAwADsAXABuACAAIAAgACAAIAAgACAAIAAgACAAXAAiAFUAcABsAGEAbgBkAFwAIgAsACAAXAAiAEYAYQBsAGwAbwB3ACAAdwBpAHQAaABvAHUAdAAgAGYAbABvAG8AZABpAG4AZwAgAGkAbgAgAHAAcgBlAHYAaQBvAHUAcwAgAHkAZQBhAHIAXAAiACwAIAAwADsAXABuACAAIAAgACAAIAAgACAAIAAgACAAXAAiAEkAcgByAGkAZwBhAHQAZQBkAFwAIgAsACAAXAAiAEMAbwBuAHQAaQBuAHUAbwB1AHMAbAB5ACAAZgBsAG8AbwBkAGUAZABcACIALAAgADEAOwBcAG4AIAAgACAAIAAgACAAIAAgACAAIABcACIASQByAHIAaQBnAGEAdABlAGQAXAAiACwAIABcACIAUwBpAG4AZwBsAGUAIABkAHIAYQBpAG4AYQBnAGUAIABwAGUAcgBpAG8AZABcACIALAAgADAALgA3ADEAOwBcAG4AIAAgACAAIAAgACAAIAAgACAAIABcACIASQByAHIAaQBnAGEAdABlAGQAXAAiACwAIABcACIATQB1AGwAdABpAHAAbABlACAAZAByAGEAaQBuAGEAZwBlACAAcABlAHIAaQBvAGQAcwBcACIALAAgADAALgA1ADUAOwBcAG4AIAAgACAAIAAgACAAIAAgACAAIABcACIAUgBhAGkAbgBmAGUAZAAgAGEAbgBkACAAZABlAGUAcAAgAHcAYQB0AGUAcgBcACIALAAgAFwAIgBSAGUAZwB1AGwAYQByACAAcgBhAGkAbgBmAGUAZABcACIALAAgADAALgA1ADQAOwBcAG4AIAAgACAAIAAgACAAIAAgACAAIABcACIAUgBhAGkAbgBmAGUAZAAgAGEAbgBkACAAZABlAGUAcAAgAHcAYQB0AGUAcgBcACIALAAgAFwAIgBEAHIAbwB1AGcAaAB0ACAAcAByAG8AbgBlAFwAIgAsACAAMAAuADEANgA7AFwAbgAgACAAIAAgACAAIAAgACAAIAAgAFwAIgBSAGEAaQBuAGYAZQBkACAAYQBuAGQAIABkAGUAZQBwACAAdwBhAHQAZQByAFwAIgAsACAAXAAiAEQAZQBlAHAAIAB3AGEAdABlAHIAXAAiACwAIAAwAC4AMAA2AFwAbgAgACAAIAAgACAAIAAgACAAfQAsACAAcgAsACAAYwApAFwAbgAgACAAIAAgACAAIAApAFwAbgAgACAAIAAgACkAXABuACAAIAApADsAXABuAFwAbgBcAG4AXABuAC8AKgAgAFwAbgAtAC0ALQAtAC0ALQAtAC0ALQAtAC0ALQAtAC0ALQAtAC0ALQAtAC0ALQAtAC0ALQAtAC0ALQAtAC0ALQAtAC0ALQAtAC0ALQAtAC0AXABuAFMAbwB1AHIAYwBlAEQAYQB0AGEAXwBSAGkAYwBlAEMAdQBsAHQAaQB2AGEAdABpAG8AbgBfAFcAYQB0AGUAcgBTAGMAYQBsAGkAbgBnAEYAYQBjAHQAbwByAFAAcgBlAFMAZQBhAHMAbwBuAFwAbgAtAC0ALQAtAC0ALQAtAC0ALQAtAC0ALQAtAC0ALQAtAC0ALQAtAC0ALQAtAC0ALQAtAC0ALQAtAC0ALQAtAC0ALQAtAC0ALQAtAC0AXABuACoALwBcAG4AXABuAFMAbwB1AHIAYwBlAEQAYQB0AGEAXwBSAGkAYwBlAEMAdQBsAHQAaQB2AGEAdABpAG8AbgBfAFcAYQB0AGUAcgBTAGMAYQBsAGkAbgBnAEYAYQBjAHQAbwByAFAAcgBlAFMAZQBhAHMAbwBuAF8AVABpAHQAbABlAFwAbgAgACAAPQBMAEEATQBCAEQAQQAoAFwAIgBTAGMAYQBsAGkAbgBnACAAZgBhAGMAdABvAHIAIABiAGEAcwBlAGQAIABvAG4AIAB0AGgAZQAgAHcAYQB0AGUAcgAgAHIAZQBnAGkAbQBlACAAZQBtAHAAbABvAHkAZQBkACAAaQBuACAAdABoAGUAIABwAHIAZQAgAC0AIABzAGUAYQBzAG8AbgAgAGIAZQBmAG8AcgBlACAAdABoAGUAIABnAHIAbwB3AGkAbgBnACAAcABlAHIAaQBvAGQAXAAiACkAOwBcAG4AXABuAFMAbwB1AHIAYwBlAEQAYQB0AGEAXwBSAGkAYwBlAEMAdQBsAHQAaQB2AGEAdABpAG8AbgBfAFcAYQB0AGUAcgBTAGMAYQBsAGkAbgBnAEYAYQBjAHQAbwByAFAAcgBlAFMAZQBhAHMAbwBuAF8AVgBhAHIAaQBhAGIAbABlAFwAbgAgACAAPQBMAEEATQBCAEQAQQAoAFwAIgBTAEYAcABcACIAKQA7AFwAbgBcAG4AUwBvAHUAcgBjAGUARABhAHQAYQBfAFIAaQBjAGUAQwB1AGwAdABpAHYAYQB0AGkAbwBuAF8AVwBhAHQAZQByAFMAYwBhAGwAaQBuAGcARgBhAGMAdABvAHIAUAByAGUAUwBlAGEAcwBvAG4AXwBVAG4AaQB0AFwAbgAgACAAPQBMAEEATQBCAEQAQQAoAFwAIgBmAHIAYQBjAHQAaQBvAG4AXAAiACkAOwBcAG4AXABuAFMAbwB1AHIAYwBlAEQAYQB0AGEAXwBSAGkAYwBlAEMAdQBsAHQAaQB2AGEAdABpAG8AbgBfAFcAYQB0AGUAcgBTAGMAYQBsAGkAbgBnAEYAYQBjAHQAbwByAFAAcgBlAFMAZQBhAHMAbwBuAF8AUwBvAHUAcgBjAGUAXABuACAAIAA9AEwAQQBNAEIARABBACgAXAAiAFYARQBFAFIARwAgADIAMAAyADYAOgAgAFQAYQBiAGwAZQAgAEEALgAyAC4AMwAuADIAXAAiACkAOwBcAG4AXABuAFMAbwB1AHIAYwBlAEQAYQB0AGEAXwBSAGkAYwBlAEMAdQBsAHQAaQB2AGEAdABpAG8AbgBfAFcAYQB0AGUAcgBTAGMAYQBsAGkAbgBnAEYAYQBjAHQAbwByAFAAcgBlAFMAZQBhAHMAbwBuAF8AVgBhAHIAaQBhAHQAaQBvAG4AXABuACAAIAA9AEwAQQBNAEIARABBACgAXAAiAFwAIgApADsAXABuAFwAbgBTAG8AdQByAGMAZQBEAGEAdABhAF8AUgBpAGMAZQBDAHUAbAB0AGkAdgBhAHQAaQBvAG4AXwBXAGEAdABlAHIAUwBjAGEAbABpAG4AZwBGAGEAYwB0AG8AcgBQAHIAZQBTAGUAYQBzAG8AbgBfAEQAYQB0AGEAXABuACAAIAA9AEwAQQBNAEIARABBACgAXABuACAAIAAgACAATQBBAEsARQBBAFIAUgBBAFkAKAA1ACwAIAAyACwAIABcAG4AIAAgACAAIAAgACAATABBAE0AQgBEAEEAKAByACwAYwAsACAAXABuACAAIAAgACAAIAAgACAAIABJAE4ARABFAFgAKAB7AFwAbgAgACAAIAAgACAAIAAgACAAIAAgAFwAIgBXAGEAdABlAHIAIAByAGUAZwBpAG0AZQAgAHAAcgBpAG8AcgAgAHQAbwAgAGMAdQBsAHQAaQB2AGEAdABpAG8AbgAgAHAAZQByAGkAbwBkACAAcABcACIALAAgAFwAIgBTAEYAcABcACIAOwBcAG4AIAAgACAAIAAgACAAIAAgACAAIABcACIATgBvAG4AIABmAGwAbwBvAGQAZQBkACAAcAByAGUALQBzAGUAYQBzAG8AbgAgAFwAdQAwADAAMwBjADEAOAAwACAAZABhAHkAcwBcACIALAAgADEAOwBcAG4AIAAgACAAIAAgACAAIAAgACAAIABcACIATgBvAG4AIABmAGwAbwBvAGQAZQBkACAAcAByAGUALQBzAGUAYQBzAG8AbgAgAFwAdQAwADAAMwBlADEAOAAwACAAZABhAHkAcwBcACIALAAgADAALgA4ADkAOwBcAG4AIAAgACAAIAAgACAAIAAgACAAIABcACIARgBsAG8AbwBkAGUAZAAgAHAAcgBlAC0AcwBlAGEAcwBvAG4AIABcAHUAMAAwADMAZQAzADAAIABkAGEAeQBzAFwAIgAsACAAMgAuADQAMQA7AFwAbgAgACAAIAAgACAAIAAgACAAIAAgAFwAIgBOAG8AbgAtAGYAbABvAG8AZABlAGQAIABwAHIAZQAtAHMAZQBhAHMAbwBuACAAXAB1ADAAMAAzAGUAMwA2ADUAIABkAGEAeQBzAFwAIgAsACAAMAAuADUAO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8AcgBnAGEAbgBpAGMAQQBtAGUAbgBkAG0AZQBuAHQAQwBvAG4AdgBlAHIAcwBpAG8AbgBGAGEAYwB0AG8AcgBcAG4ALQAtAC0ALQAtAC0ALQAtAC0ALQAtAC0ALQAtAC0ALQAtAC0ALQAtAC0ALQAtAC0ALQAtAC0ALQAtAC0ALQAtAC0ALQAtAC0ALQAtAFwAbgAqAC8AXABuAFwAbgBTAG8AdQByAGMAZQBEAGEAdABhAF8AUgBpAGMAZQBDAHUAbAB0AGkAdgBhAHQAaQBvAG4AXwBPAHIAZwBhAG4AaQBjAEEAbQBlAG4AZABtAGUAbgB0AEMAbwBuAHYAZQByAHMAaQBvAG4ARgBhAGMAdABvAHIAXwBUAGkAdABsAGUAXABuACAAIAA9AEwAQQBNAEIARABBACgAXAAiAEMAbwBuAHYAZQByAHMAaQBvAG4AIABmAGEAYwB0AG8AcgAgAGYAbwByACAAbwByAGcAYQBuAGkAYwAgAGEAbQBlAG4AZABtAGUAbgB0ACAAaQBcACIAKQA7AFwAbgBcAG4AUwBvAHUAcgBjAGUARABhAHQAYQBfAFIAaQBjAGUAQwB1AGwAdABpAHYAYQB0AGkAbwBuAF8ATwByAGcAYQBuAGkAYwBBAG0AZQBuAGQAbQBlAG4AdABDAG8AbgB2AGUAcgBzAGkAbwBuAEYAYQBjAHQAbwByAF8AVgBhAHIAaQBhAGIAbABlAFwAbgAgACAAPQBMAEEATQBCAEQAQQAoAFwAIgBDAEYATwBBAGkAXAAiACkAOwBcAG4AXABuAFMAbwB1AHIAYwBlAEQAYQB0AGEAXwBSAGkAYwBlAEMAdQBsAHQAaQB2AGEAdABpAG8AbgBfAE8AcgBnAGEAbgBpAGMAQQBtAGUAbgBkAG0AZQBuAHQAQwBvAG4AdgBlAHIAcwBpAG8AbgBGAGEAYwB0AG8AcgBfAFUAbgBpAHQAXABuACAAIAA9AEwAQQBNAEIARABBACgAXAAiAGYAcgBhAGMAdABpAG8AbgBcACIAKQA7AFwAbgBcAG4AUwBvAHUAcgBjAGUARABhAHQAYQBfAFIAaQBjAGUAQwB1AGwAdABpAHYAYQB0AGkAbwBuAF8ATwByAGcAYQBuAGkAYwBBAG0AZQBuAGQAbQBlAG4AdABDAG8AbgB2AGUAcgBzAGkAbwBuAEYAYQBjAHQAbwByAF8AUwBvAHUAcgBjAGUAXABuACAAIAA9AEwAQQBNAEIARABBACgAXAAiAFYARQBFAFIARwAgADIAMAAyADYAOgAgAFQAYQBiAGwAZQAgAEEALgAyAC4AMwAuADMAXAAiACkAOwBcAG4AXABuAFMAbwB1AHIAYwBlAEQAYQB0AGEAXwBSAGkAYwBlAEMAdQBsAHQAaQB2AGEAdABpAG8AbgBfAE8AcgBnAGEAbgBpAGMAQQBtAGUAbgBkAG0AZQBuAHQAQwBvAG4AdgBlAHIAcwBpAG8AbgBGAGEAYwB0AG8AcgBfAFYAYQByAGkAYQB0AGkAbwBuAFwAbg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XABuACAAIAAgACAAIAAgACAAIAB9ACwAIAByACwAIABjACkAXABuACAAIAAgACAAIAAgACkAXABuACAAIAAgACAAKQBcAG4AIAAgACkAOwBcAG4AXABuAFMAbwB1AHIAYwBlAEQAYQB0AGEAXwBSAGkAYwBlAEMAdQBsAHQAaQB2AGEAdABpAG8AbgBfAE8AcgBnAGEAbgBpAGMAQQBtAGUAbgBkAG0AZQBuAHQAQwBvAG4AdgBlAHIAcwBpAG8AbgBGAGEAYwB0AG8AcgBfAEQAYQB0AGEAXABuACAAIAA9AEwAQQBNAEIARABBACgAXABuACAAIAAgACAATQBBAEsARQBBAFIAUgBBAFkAKAA3ACwAIAAyACwAIABcAG4AIAAgACAAIAAgACAATABBAE0AQgBEAEEAKAByACwAYwAsACAAXABuACAAIAAgACAAIAAgACAAIABJAE4ARABFAFgAKAB7AFwAbgAgACAAIAAgACAAIAAgACAAIAAgAFwAIgBPAHIAZwBhAG4AaQBjACAAYQBtAGUAbgBkAG0AZQBuAHQAIABpAFwAIgAsACAAXAAiAEMARgBPAEEAaQBcACIAOwBcAG4AIAAgACAAIAAgACAAIAAgACAAIABcACIAUwB0AHIAYQB3ACAAaQBuAGMAbwByAHAAbwByAGEAdABlAGQAIABzAGgAbwByAHQAbAB5ACAAKABcAHUAMAAwADMAYwAzADAAIABkAGEAeQBzACkAIABiAGUAZgBvAHIAZQAgAGMAdQBsAHQAaQB2AGEAdABpAG8AbgBcACIALAAgADEALgAwADAAOwBcAG4AIAAgACAAIAAgACAAIAAgACAAIABcACIAUwB0AHIAYQB3ACAAaQBuAGMAbwByAHAAbwByAGEAdABlAGQAIABsAG8AbgBnACAAKABcAHUAMAAwADMAZQAzADAAIABkAGEAeQBzACkAIABiAGUAZgBvAHIAZQAgAGMAdQBsAHQAaQB2AGEAdABpAG8AbgBcACIALAAgADAALgAxADkAOwBcAG4AIAAgACAAIAAgACAAIAAgACAAIABcACIAQwBvAG0AcABvAHMAdABcACIALAAgADAALgAxADcAOwBcAG4AIAAgACAAIAAgACAAIAAgACAAIABcACIARgBhAHIAbQAgAHkAYQByAGQAIABtAGEAbgB1AHIAZQBcACIALAAgADAALgAyADEAOwBcAG4AIAAgACAAIAAgACAAIAAgACAAIABcACIARwByAGUAZQBuACAAbQBhAG4AdQByAGUAXAAiACwAIAAwAC4ANAA1ADsAXABuACAAIAAgACAAIAAgACAAIAAgACAAXAAiAEkAbgBvAHIAZwBhAG4AaQBjACAAZgBlAHIAdABpAGwAaQBzAGUAcgBcACIALAAgADEAXABuACAAIAAgACAAIAAgACAAIAB9ACwAIAByACwAIABjACkAXABuACAAIAAgACAAIAAgACkAXABuACAAIAAgACAAKQBcAG4AIAAgACkAOwBcAG4AXABuAFwAbgAvACoAIABcAG4ALQAtAC0ALQAtAC0ALQAtAC0ALQAtAC0ALQAtAC0ALQAtAC0ALQAtAC0ALQAtAC0ALQAtAC0ALQAtAC0ALQAtAC0ALQAtAC0ALQAtAFwAbgBTAG8AdQByAGMAZQBEAGEAdABhAF8AUgBpAGMAZQBDAHUAbAB0AGkAdgBhAHQAaQBvAG4AXwBCAGEAcwBlAGwAaQBuAGUARQBGAFwAbgAtAC0ALQAtAC0ALQAtAC0ALQAtAC0ALQAtAC0ALQAtAC0ALQAtAC0ALQAtAC0ALQAtAC0ALQAtAC0ALQAtAC0ALQAtAC0ALQAtAC0AXABuACoALwBcAG4AXABuAFMAbwB1AHIAYwBlAEQAYQB0AGEAXwBSAGkAYwBlAEMAdQBsAHQAaQB2AGEAdABpAG8AbgBfAEIAYQBzAGUAbABpAG4AZQBFAEYAXwBUAGkAdABsAGUAXABuACAAIAA9AEwAQQBNAEIARABBACgAXAAiAEIAYQBzAGUAbABpAG4AZQAgAGUAbQBpAHMAcwBpAG8AbgAgAGYAYQBjAHQAbwByACAAZgBvAHIAIABjAG8AbgB0AGkAbgB1AG8AdQBzAGwAeQAgAGYAbABvAG8AZABlAGQAIABmAGkAZQBsAGQAcwAgAHcAaQB0AGgAbwB1AHQAIABvAHIAZwBhAG4AaQBjACAAYQBtAGUAbgBkAG0AZQBuAHQAcwBcACIAKQA7AFwAbgBcAG4AUwBvAHUAcgBjAGUARABhAHQAYQBfAFIAaQBjAGUAQwB1AGwAdABpAHYAYQB0AGkAbwBuAF8AQgBhAHMAZQBsAGkAbgBlAEUARgBfAFYAYQByAGkAYQBiAGwAZQBcAG4AIAAgAD0ATABBAE0AQgBEAEEAKABcACIARQBGAGMAXAAiACkAOwBcAG4AXABuAFMAbwB1AHIAYwBlAEQAYQB0AGEAXwBSAGkAYwBlAEMAdQBsAHQAaQB2AGEAdABpAG8AbgBfAEIAYQBzAGUAbABpAG4AZQBFAEYAXwBVAG4AaQB0AFwAbgAgACAAPQBMAEEATQBCAEQAQQAoAFwAIgBrAGcAIABDAEgANAAgAC8AIABoAGEAIAAvACAAZABhAHkAXAAiACkAOwBcAG4AXABuAFMAbwB1AHIAYwBlAEQAYQB0AGEAXwBSAGkAYwBlAEMAdQBsAHQAaQB2AGEAdABpAG8AbgBfAEIAYQBzAGUAbABpAG4AZQBFAEYAXwBTAG8AdQByAGMAZQBcAG4AIAAgAD0ATABBAE0AQgBEAEEAKABcACIAVgBFAEUAUgBHACAAMgAwADIANgA6ACAANwAuADIALgAzACAAQwBvAG4AcwB0AGEAbgB0ACAAUABhAHIAYQBtAGUAdABlAHIAcwBcACIAKQA7AFwAbgBcAG4AUwBvAHUAcgBjAGUARABhAHQAYQBfAFIAaQBjAGUAQwB1AGwAdABpAHYAYQB0AGkAbwBuAF8AQgBhAHMAZQBsAGkAbgBlAEUARgBfAFYAYQByAGkAYQB0AGkAbwBuAFwAbgAgACAAPQBMAEEATQBCAEQAQQAoAFwAIgBcACIAKQA7AFwAbgBcAG4AUwBvAHUAcgBjAGUARABhAHQAYQBfAFIAaQBjAGUAQwB1AGwAdABpAHYAYQB0AGkAbwBuAF8AQgBhAHMAZQBsAGkAbgBlAEUARgBfAEQAYQB0AGEAXABuACAAIAA9AEwAQQBNAEIARABBACgAMQAuADEAOQApADsAIgB9ACwAewAiAHAAYQB0AGgAIgA6ACIALwBwAHIAbwBqAGUAYwB0AHMALwBSAGkAYwBlAEMAdQBsAHQAaQB2AGE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3AC4AMQA6ACAAUgBpAGMAZQAgAEMAdQBsAHQAaQB2AGEAdABpAG8AbgBcAG4APQA9AD0APQA9AD0APQA9AD0APQA9AD0APQA9AD0APQA9AD0APQA9AD0APQA9AD0APQA9AD0APQA9AD0APQA9AD0APQA9AD0APQA9AD0APQA9AD0APQA9AD0APQA9AD0APQA9AD0APQA9AD0APQA9AD0APQA9AD0APQA9AD0APQA9AD0APQA9AD0APQA9AD0APQA9AD0APQBcAG4ANwAuADEALgAxAC4AMQAgAE0AZQB0AGgAbwBkACAAMQAgAC0AIABSAGkAYwBlACAAQwB1AGwAdABpAHYAYQB0AGkAbwBuACAAQwBIADQ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cAXwAxAF8AMQBfADEAXwBfADEAXwBNAGUAdABoAGEAbgBlAEUAbQBpAHMAcwBpAG8AbgBzAEYAcgBvAG0AUgBpAGMAZQBDAHUAbAB0AGkAdgBhAHQAaQBvAG4AXABuAE0AZQB0AGgAYQBuAGUAIABlAG0AaQBzAHMAaQBvAG4AcwAgAGYAcgBvAG0AIAByAGkAYwBlACAAYwB1AGwAdABpAHYAYQB0AGkAbwBuAFwAbgBFAF8AcgBpAGMAZQBcAG4AdAAgAEMASAA0AFwAbgBFAF8AewByAGkAYwBlAH0APQBcAFwAcwB1AG0AXwB3AFwAXABzAHUAbQBfAHAAXABcAHMAdQBtAF8AbwAoAEEAXwB7AHIAaQBjAGUALAB3AHAAbwB9AFwAXAB0AGkAbQBlAHMAIABFAEYAXwB7AHIAaQBjAGUALAB3AHAAbwB9AFwAXAB0AGkAbQBlAHMAIAB0AF8AewByAGkAYwBlACwAdwBwAG8AfQApAFwAXAB0AGkAbQBlAHMAIAAxADAAXgB7AC0AMwB9AFwAbgBBAF8AcgBpAGMAZQB3AHAAbwAgAD0AIA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AgACgAaABhACkAXABuAEUARgBfAHIAaQBjAGUAdwBwAG8AIAA9ACAAZQBtAGkAcwBzAGkAbwBuACAAZgBhAGMAdABvAHIAIABmAG8AcgAgAHIAaQBjAGUAIABjAHUAbAB0AGkAdgBhAHQAaQBvAG4AIAB1AG4AZABlAHIAIABjAG8AbgBkAGkAdABpAG8AbgBzACAAdwAsACAAcAAsACAAYQBuAGQAIABvACAAKABrAGcAIABDAEgANAAvAGgAYQAvAGQAYQB5ACkAXABuAHQAXwByAGkAYwBlAHcAcABvACAAPQAgAGMAdQBsAHQAaQB2AGEAdABpAG8AbgAgAHAAZQByAGkAbwBkACAAZgBvAHIAIAByAGkAYwBlACAAdQBuAGQAZQByACAAYwBvAG4AZABpAHQAaQBvAG4AcwAgAHcALAAgAHAALAAgAGEAbgBkACAAbwAgACgAZABhAHkAcwApAFwAbgAtAC0ALQAtAC0ALQAtAC0ALQAtAC0ALQAtAC0ALQAtAC0ALQAtAC0ALQAtAC0ALQAtAC0ALQAtAC0ALQAtAC0ALQAtAC0ALQAtAC0AXABuACoALwBcAG4AXABuAFYARQBFAFIARwBfADcAXwAxAF8AMQBfADEAXwBfADEAXwBNAGUAdABoAGEAbgBlAEUAbQBpAHMAcwBpAG8AbgBzAEYAcgBvAG0AUgBpAGMAZQBDAHUAbAB0AGkAdgBhAHQAaQBvAG4AXABuACAAIAA9AEwAQQBNAEIARABBACgAXABuACAAIAAgACAAQQBfAHIAaQBjAGUAdwBwAG8ALAAgAEUARgBfAHIAaQBjAGUAdwBwAG8ALAAgAHQAXwByAGkAYwBlAHcAcABvACwAXABuACAAIAAgACAAUwBVAE0AKABBAF8AcgBpAGMAZQB3AHAAbwAgACoAIABFAEYAXwByAGkAYwBlAHcAcABvACAAKgAgAHQAXwByAGkAYwBlAHcAcABvACkAIAAqACAAMQAwACAAXgAgAC0AMwBcAG4AIAAgACkAOwBcAG4AXABuAFYARQBFAFIARwBfADcAXwAxAF8AMQBfADEAXwBfADEAXwBNAGUAdABoAGEAbgBlAEUAbQBpAHMAcwBpAG8AbgBzAEYAcgBvAG0AUgBpAGMAZQBDAHUAbAB0AGkAdgBhAHQAaQBvAG4AXwBUAGkAdABsAGUAXABuACAAIAA9AEwAQQBNAEIARABBACgAXAAiAE0AZQB0AGgAYQBuAGUAIABlAG0AaQBzAHMAaQBvAG4AcwAgAGYAcgBvAG0AIAByAGkAYwBlACAAYwB1AGwAdABpAHYAYQB0AGkAbwBuAFwAIgApADsAXABuAFwAbgBWAEUARQBSAEcAXwA3AF8AMQBfADEAXwAxAF8AXwAxAF8ATQBlAHQAaABhAG4AZQBFAG0AaQBzAHMAaQBvAG4AcwBGAHIAbwBtAFIAaQBjAGUAQwB1AGwAdABpAHYAYQB0AGkAbwBuAF8AVgBhAHIAaQBhAGIAbABlAFwAbgAgACAAPQBMAEEATQBCAEQAQQAoAFwAIgBFAF8AcgBpAGMAZQBcACIAKQA7AFwAbgBcAG4AVgBFAEUAUgBHAF8ANwBfADEAXwAxAF8AMQBfAF8AMQBfAE0AZQB0AGgAYQBuAGUARQBtAGkAcwBzAGkAbwBuAHMARgByAG8AbQBSAGkAYwBlAEMAdQBsAHQAaQB2AGEAdABpAG8AbgBfAFUAbgBpAHQAXABuACAAIAA9AEwAQQBNAEIARABBACgAXAAiAHQAIABDAEgANABcACIAKQA7AFwAbgBcAG4AVgBFAEUAUgBHAF8ANwBfADEAXwAxAF8AMQBfAF8AMQBfAE0AZQB0AGgAYQBuAGUARQBtAGkAcwBzAGkAbwBuAHMARgByAG8AbQBSAGkAYwBlAEMAdQBsAHQAaQB2AGEAdABpAG8AbgBfAFMAbwB1AHIAYwBlAFwAbgAgACAAPQBMAEEATQBCAEQAQQAoAFwAIgBWAEUARQBSAEcAIAAyADAAMgA2ADoAIAA3AC4AMQAuADEALgAxACwAIABFAHEAdQBhAHQAaQBvAG4AIAAoADEAKQBcACIAKQA7AFwAbgBcAG4AVgBFAEUAUgBHAF8ANwBfADEAXwAxAF8AMQBfAF8AMQBfAE0AZQB0AGgAYQBuAGUARQBtAGkAcwBzAGkAbwBuAHMARgByAG8AbQBSAGkAYwBlAEMAdQBsAHQAaQB2AGEAdABpAG8AbgBfAE4ASQBSAFIAZQBmAGUAcgBlAG4AYwBlAFwAbgAgACAAPQBMAEEATQBCAEQAQQAoAFwAIgBcACIAKQA7AFwAbgBcAG4AVgBFAEUAUgBHAF8ANwBfADEAXwAxAF8AMQBfAF8AMQBfAE0AZQB0AGgAYQBuAGUARQBtAGkAcwBzAGkAbwBuAHMARgByAG8AbQBSAGkAYwBlAEMAdQBsAHQAaQB2AGEAdABpAG8AbgBfAEwAYQB0AGUAeABFAHEAdQBhAHQAaQBvAG4AXABuACAAIAA9AEwAQQBNAEIARABBACgAXAAiAEUAXwB7AHIAaQBjAGUAfQA9AFwAXABzAHUAbQBfAHcAXABcAHMAdQBtAF8AcABcAFwAcwB1AG0AXwBvACgAQQBfAHsAcgBpAGMAZQAsAHcAcABvAH0AXABcAHQAaQBtAGUAcwAgAEUARgBfAHsAcgBpAGMAZQAsAHcAcABvAH0AXABcAHQAaQBtAGUAcwAgAHQAXwB7AHIAaQBjAGUALAB3AHAAbwB9ACkAXABcAHQAaQBtAGUAcwAgADEAMABeAHsALQAzAH0AXAAiACkAOwBcAG4AXABuAFYARQBFAFIARwBfADcAXwAxAF8AMQBfADEAXwBfADEAXwBNAGUAdABoAGEAbgBlAEUAbQBpAHMAcwBpAG8AbgBzAEYAcgBvAG0AUgBpAGMAZQBDAHUAbAB0AGkAdgBhAHQAaQBvAG4AXwBBAHIAZwB1AG0AZQBuAHQAcwBcAG4AIAAgAD0ATABBAE0AQgBEAEEAKABcAG4AIAAgACAAIABNAEEASwBFAEEAUgBSAEEAWQAoADQALAAgADQALABcAG4AIAAgACAAIAAgACAATABBAE0AQgBEAEEAKAByACwAYwAsAFwAbgAgACAAIAAgACAAIAAgACAASQBOAEQARQBYACgAewBcAG4AIAAgACAAIAAgACAAIAAgACAAIABcACIAQQBfAHIAaQBjAGUAdwBwAG8AXAAiACwAIABcACIAYQBuAG4AdQBhAGwAIABhAHIAZQBhACAAbwBmACAAcgBpAGMAZQAgAGMAdQBsAHQAaQB2AGEAdABpAG8AbgAgAHUAbgBkAGUAcgAgAHcAYQB0AGUAcgAgAHIAZQBnAGkAbQBlACAAdwAsACAAcAByAGUALQBzAGUAYQBzAG8AbgAgAHcAYQB0AGUAcgAgAHIAZQBnAGkAbQBlACAAcAAsACAAYQBuAGQAIABvAHIAZwBhAG4AaQBjACAAYQBtAGUAbgBkAG0AZQBuAHQAIABjAG8AbgBkAGkAdABpAG8AbgAgAG8AXAAiACwAIABcACIAaABhAFwAIgAsACAAXAAiAEkAbgBwAHUAdABcACIAOwBcAG4AIAAgACAAIAAgACAAIAAgACAAIABcACIARQBGAF8AcgBpAGMAZQB3AHAAbwBcACIALAAgAFwAIgBlAG0AaQBzAHMAaQBvAG4AIABmAGEAYwB0AG8AcgAgAGYAbwByACAAcgBpAGMAZQAgAGMAdQBsAHQAaQB2AGEAdABpAG8AbgAgAHUAbgBkAGUAcgAgAGMAbwBuAGQAaQB0AGkAbwBuAHMAIAB3ACwAIABwACwAIABhAG4AZAAgAG8AXAAiACwAIABcACIAawBnACAAQwBIADQALwBoAGEALwBkAGEAeQBcACIALAAgAFwAIgBDAGEAbABjAHUAbABhAHQAZQBkACAAZgByAG8AbQAgADcALgAxAC4AMQAuADEALAAgACgAMgApAFwAIgA7AFwAbgAgACAAIAAgACAAIAAgACAAIAAgAFwAIgB0AF8AcgBpAGMAZQB3AHAAbwBcACIALAAgAFwAIgBjAHUAbAB0AGkAdgBhAHQAaQBvAG4AIABwAGUAcgBpAG8AZAAgAGYAbwByACAAcgBpAGMAZQAgAHUAbgBkAGUAcgAgAGMAbwBuAGQAaQB0AGkAbwBuAHMAIAB3ACwAIABwACwAIABhAG4AZAAgAG8AXAAiACwAIABcACIAZABhAHkAcwBcACIALAAgAFwAIgBJAG4AcAB1AHQAXAAiADsAXABuACAAIAAgACAAIAAgACAAIAAgACAAXAAiAHMAXAAiACwAIABcACIAbgB1AG0AYgBlAHIAIABvAGYAIABjAHIAbwBwAHAAaQBuAGcAIABzAGUAYQBzAG8AbgBzACAAaQBuACAAcgBlAHAAbwByAHQAaQBuAGcAIABwAGUAcgBpAG8AZAAgAG0AYQBuAGEAZwBlAGQAIAB0AGgAaQBzACAAdwBhAHkAXAAiACwAIABcACIAcwBlAGEAcwBvAG4AcwBcACIALAAgAFwAIgBJAG4AcAB1AHQAXAAiAFwAbgAgACAAIAAgACAAIAAgACAAfQAsACAAcgAsACAAYwApAFwAbgAgACAAIAAgACAAIAApAFwAbgAgACAAIAAgACkAXABuACAAIAApADsAXABuAFwAbgBWAEUARQBSAEcAXwA3AF8AMQBfADEAXwAxAF8AXwAxAF8ATQBlAHQAaABhAG4AZQBFAG0AaQBzAHMAaQBvAG4AcwBGAHIAbwBtAFIAaQBjAGUAQwB1AGwAdABpAHYAYQB0AGkAbwBuAF8AVgBhAHIAaQBhAHQAaQBvAG4AXABuACAAIAA9AEwAQQBNAEIARABBACgAXAAiAEEAZABkAGUAZAAgAFwAdQAwADAAMgA3AG4AdQBtAGIAZQByACAAbwBmACAAcwBlAGEAcwBvAG4AcwBcAHUAMAAwADIANwAgAHYAYQByAGkAYQBiAGwAZQAgAGEAcwAgAHAAZQByACAAVgBFAEUAUgBHACAAZABlAHMAYwByAGkAcAB0AGkAbwBuACAAaQBuACAANwAuADIALgAxACAAXAB1ADAAMAAyADcAVwBoAGUAcgBlACAAdABoAGUAcgBlACAAaQBzACAAbQBvAHIAZQAgAHQAaABhAG4AIABvAG4AZQAgAGMAcgBvAHAAcABpAG4AZwAgAHMAZQBhAHMAbwBuACAAcABlAHIAIAB5AGUAYQByACwAIABBAHIAaQBjAGUALAB3AHAAbwAgAHMAaABhAGwAbAAgAGIAZQAgAHMAYwBhAGwAZQBkACAAYQBjAGMAbwByAGQAaQBuAGcAbAB5AFwAdQAwADAAMgA3AFwAIgApADsAXABuAFwAbgAvACoAXABuAC0ALQAtAC0ALQAtAC0ALQAtAC0ALQAtAC0ALQAtAC0ALQAtAC0ALQAtAC0ALQAtAC0ALQAtAC0ALQAtAC0ALQAtAC0ALQAtAC0ALQBcAG4AVgBFAEUAUgBHAF8ANwBfADEAXwAxAF8AMQBfAF8AMgBfAEUAbQBpAHMAcwBpAG8AbgBGAGEAYwB0AG8AcgBGAG8AcgBSAGkAYwBlAEMAdQBsAHQAaQB2AGEAdABpAG8AbgBcAG4ARQBtAGkAcwBzAGkAbwBuACAAZgBhAGMAdABvAHIAIABmAG8AcgAgAHIAaQBjAGUAIABjAHUAbAB0AGkAdgBhAHQAaQBvAG4AXABuAEUARgBfAHIAaQBjAGUAdwBwAG8AXABuAGsAZwAgAEMASAA0AC8AaABhAC8AZABhAHkAXABuAEUARgBfAHsAcgBpAGMAZQAsAHcAcABvAH0APQBFAEYAXwBjAFwAXAB0AGkAbQBlAHMAIABTAEYAXwB3AFwAXAB0AGkAbQBlAHMAIABTAEYAXwBwAFwAXAB0AGkAbQBlAHMAIABTAEYAXwBvAFwAbgBFAEYAXwBjACAAPQAgAGIAYQBzAGUAbABpAG4AZQAgAGUAbQBpAHMAcwBpAG8AbgAgAGYAYQBjAHQAbwByACAAZgBvAHIAIABjAG8AbgB0AGkAbgB1AG8AdQBzAGwAeQAgAGYAbABvAG8AZABlAGQAIABmAGkAZQBsAGQAcwAgAHcAaQB0AGgAbwB1AHQAIABvAHIAZwBhAG4AaQBjACAAYQBtAGUAbgBkAG0AZQBuAHQAcwAgACgAawBnACAAQwBIADQALwBoAGEALwBkAGEAeQApAFwAbgBTAEYAXwB3ACAAPQAgAHMAYwBhAGwAaQBuAGcAIABmAGEAYwB0AG8AcgAgAGYAbwByACAAdwBhAHQAZQByACAAcgBlAGcAaQBtAGUAIABkAHUAcgBpAG4AZwAgAHQAaABlACAAZwByAG8AdwBpAG4AZwAgAHMAZQBhAHMAbwBuAFwAbgBTAEYAXwBwACAAPQAgAHMAYwBhAGwAaQBuAGcAIABmAGEAYwB0AG8AcgAgAGYAbwByACAAdwBhAHQAZQByACAAcgBlAGcAaQBtAGUAIABpAG4AIAB0AGgAZQAgAHAAcgBlAC0AcwBlAGEAcwBvAG4AXABuAFMARgBfAG8AIAA9ACAAcwBjAGEAbABpAG4AZwAgAGYAYQBjAHQAbwByACAAZgBvAHIAIAB0AHkAcABlACAAYQBuAGQAIABhAG0AbwB1AG4AdAAgAG8AZgAgAG8AcgBnAGEAbgBpAGMAIABhAG0AZQBuAGQAbQBlAG4AdABzACAAKABzAGUAdAAgAHQAbwAgADEAIABmAG8AcgAgAGkAbgBvAHIAZwBhAG4AaQBjACAAZgBlAHIAdABpAGwAaQBzAGUAcgAgAHUAcwBlACkAXABuAC0ALQAtAC0ALQAtAC0ALQAtAC0ALQAtAC0ALQAtAC0ALQAtAC0ALQAtAC0ALQAtAC0ALQAtAC0ALQAtAC0ALQAtAC0ALQAtAC0ALQBcAG4AKgAvAFwAbgBcAG4AVgBFAEUAUgBHAF8ANwBfADEAXwAxAF8AMQBfAF8AMgBfAEUAbQBpAHMAcwBpAG8AbgBGAGEAYwB0AG8AcgBGAG8AcgBSAGkAYwBlAEMAdQBsAHQAaQB2AGEAdABpAG8AbgBcAG4AIAAgAD0ATABBAE0AQgBEAEEAKABcAG4AIAAgACAAIABFAEYAXwBjACwAIABTAEYAXwB3ACwAIABTAEYAXwBwACwAIABTAEYAXwBvACwAXABuACAAIAAgACAARQBGAF8AYwAgACoAIABTAEYAXwB3ACAAKgAgAFMARgBfAHAAIAAqACAAUwBGAF8AbwBcAG4AIAAgACkAOwBcAG4AXABuAFYARQBFAFIARwBfADcAXwAxAF8AMQBfADEAXwBfADIAXwBFAG0AaQBzAHMAaQBvAG4ARgBhAGMAdABvAHIARgBvAHIAUgBpAGMAZQBDAHUAbAB0AGkAdgBhAHQAaQBvAG4AXwBUAGkAdABsAGUAXABuACAAIAA9AEwAQQBNAEIARABBACgAXAAiAEUAbQBpAHMAcwBpAG8AbgAgAGYAYQBjAHQAbwByACAAZgBvAHIAIAByAGkAYwBlACAAYwB1AGwAdABpAHYAYQB0AGkAbwBuAFwAIgApADsAXABuAFwAbgBWAEUARQBSAEcAXwA3AF8AMQBfADEAXwAxAF8AXwAyAF8ARQBtAGkAcwBzAGkAbwBuAEYAYQBjAHQAbwByAEYAbwByAFIAaQBjAGUAQwB1AGwAdABpAHYAYQB0AGkAbwBuAF8AVgBhAHIAaQBhAGIAbABlAFwAbgAgACAAPQBMAEEATQBCAEQAQQAoAFwAIgBFAEYAXwByAGkAYwBlAHcAcABvAFwAIgApADsAXABuAFwAbgBWAEUARQBSAEcAXwA3AF8AMQBfADEAXwAxAF8AXwAyAF8ARQBtAGkAcwBzAGkAbwBuAEYAYQBjAHQAbwByAEYAbwByAFIAaQBjAGUAQwB1AGwAdABpAHYAYQB0AGkAbwBuAF8AVQBuAGkAdABcAG4AIAAgAD0ATABBAE0AQgBEAEEAKABcACIAawBnACAAQwBIADQALwBoAGEALwBkAGEAeQBcACIAKQA7AFwAbgBcAG4AVgBFAEUAUgBHAF8ANwBfADEAXwAxAF8AMQBfAF8AMgBfAEUAbQBpAHMAcwBpAG8AbgBGAGEAYwB0AG8AcgBGAG8AcgBSAGkAYwBlAEMAdQBsAHQAaQB2AGEAdABpAG8AbgBfAFMAbwB1AHIAYwBlAFwAbgAgACAAPQBMAEEATQBCAEQAQQAoAFwAIgBWAEUARQBSAEcAIAAyADAAMgA2ADoAIAA3AC4AMQAuADEALgAxACwAIABFAHEAdQBhAHQAaQBvAG4AIAAoADIAKQBcACIAKQA7AFwAbgBcAG4AVgBFAEUAUgBHAF8ANwBfADEAXwAxAF8AMQBfAF8AMgBfAEUAbQBpAHMAcwBpAG8AbgBGAGEAYwB0AG8AcgBGAG8AcgBSAGkAYwBlAEMAdQBsAHQAaQB2AGEAdABpAG8AbgBfAE4ASQBSAFIAZQBmAGUAcgBlAG4AYwBlAFwAbgAgACAAPQBMAEEATQBCAEQAQQAoAFwAIgBcACIAKQA7AFwAbgBcAG4AVgBFAEUAUgBHAF8ANwBfADEAXwAxAF8AMQBfAF8AMgBfAEUAbQBpAHMAcwBpAG8AbgBGAGEAYwB0AG8AcgBGAG8AcgBSAGkAYwBlAEMAdQBsAHQAaQB2AGEAdABpAG8AbgBfAEwAYQB0AGUAeABFAHEAdQBhAHQAaQBvAG4AXABuACAAIAA9AEwAQQBNAEIARABBACgAXAAiAEUARgBfAHsAcgBpAGMAZQAsAHcAcABvAH0APQBFAEYAXwBjAFwAXAB0AGkAbQBlAHMAIABTAEYAXwB3AFwAXAB0AGkAbQBlAHMAIABTAEYAXwBwAFwAXAB0AGkAbQBlAHMAIABTAEYAXwBvAFwAIgApADsAXABuAFwAbgBWAEUARQBSAEcAXwA3AF8AMQBfADEAXwAxAF8AXwAyAF8ARQBtAGkAcwBzAGkAbwBuAEYAYQBjAHQAbwByAEYAbwByAFIAaQBjAGUAQwB1AGwAdABpAHYAYQB0AGkAbwBuAF8AQQByAGcAdQBtAGUAbgB0AHMAXABuACAAIAA9AEwAQQBNAEIARABBACgAXABuACAAIAAgACAATQBBAEsARQBBAFIAUgBBAFkAKAA3ACwAIAA0ACwAXABuACAAIAAgACAAIAAgAEwAQQBNAEIARABBACgAcgAsAGMALABcAG4AIAAgACAAIAAgACAAIAAgAEkATgBEAEUAWAAoAHsAXABuACAAIAAgACAAIAAgACAAIAAgACAAXAAiAEUARgBfAGMAXAAiACwAIABcACIAYgBhAHMAZQBsAGkAbgBlACAAZQBtAGkAcwBzAGkAbwBuACAAZgBhAGMAdABvAHIAIABmAG8AcgAgAGMAbwBuAHQAaQBuAHUAbwB1AHMAbAB5ACAAZgBsAG8AbwBkAGUAZAAgAGYAaQBlAGwAZABzACAAdwBpAHQAaABvAHUAdAAgAG8AcgBnAGEAbgBpAGMAIABhAG0AZQBuAGQAbQBlAG4AdABzAFwAIgAsACAAXAAiAGsAZwAgAEMASAA0AC8AaABhAC8AZABhAHkAXAAiACwAIABcACIAQwBvAG4AcwB0AGEAbgB0AFwAIgA7AFwAbgAgACAAIAAgACAAIAAgACAAIAAgAFwAIgBTAEYAXwB3AFwAIgAsACAAXAAiAHMAYwBhAGwAaQBuAGcAIABmAGEAYwB0AG8AcgAgAGYAbwByACAAdwBhAHQAZQByACAAcgBlAGcAaQBtAGUAIABkAHUAcgBpAG4AZwAgAHQAaABlACAAZwByAG8AdwBpAG4AZwAgAHMAZQBhAHMAbwBuAFwAIgAsACAAXAAiAGYAcgBhAGMAdABpAG8AbgBcACIALAAgAFwAIgBDAG8AbgBzAHQAYQBuAHQAXAAiADsAXABuACAAIAAgACAAIAAgACAAIAAgACAAXAAiAFMARgBfAHAAXAAiACwAIABcACIAcwBjAGEAbABpAG4AZwAgAGYAYQBjAHQAbwByACAAZgBvAHIAIAB3AGEAdABlAHIAIAByAGUAZwBpAG0AZQAgAGkAbgAgAHQAaABlACAAcAByAGUALQBzAGUAYQBzAG8AbgBcACIALAAgAFwAIgBmAHIAYQBjAHQAaQBvAG4AXAAiACwAIABcACIAQwBvAG4AcwB0AGEAbgB0AFwAIgA7AFwAbgAgACAAIAAgACAAIAAgACAAIAAgAFwAIgBTAEYAXwBvAFwAIgAsACAAXAAiAHMAYwBhAGwAaQBuAGcAIABmAGEAYwB0AG8AcgAgAGYAbwByACAAdAB5AHAAZQAgAGEAbgBkACAAYQBtAG8AdQBuAHQAIABvAGYAIABvAHIAZwBhAG4AaQBjACAAYQBtAGUAbgBkAG0AZQBuAHQAcwBcACIALAAgAFwAIgBmAHIAYQBjAHQAaQBvAG4AXAAiACwAIABcACIAQwBhAGwAYwB1AGwAYQB0AGUAZAAgAGYAcgBvAG0AIAA3AC4AMQAuADEALgAxACwAIAAoADMAKQBcACIAOwBcAG4AIAAgACAAIAAgACAAIAAgACAAIABcACIAdwBcACIALAAgAFwAIgB3AGEAdABlAHIAIAByAGUAZwBpAG0AZQAgAGQAdQByAGkAbgBnACAAZwByAG8AdwBpAG4AZwAgAHMAZQBhAHMAbwBuAFwAIgAsACAAXAAiAFwAIgAsACAAXAAiAEkAbgBwAHUAdABcACIAOwBcAG4AIAAgACAAIAAgACAAIAAgACAAIABcACIAcABcACIALAAgAFwAIgBwAHIAZQAtAHMAZQBhAHMAbwBuACAAdwBhAHQAZQByACAAcgBlAGcAaQBtAGUAXAAiACwAIABcACIAXAAiACwAIABcACIASQBuAHAAdQB0AFwAIgA7AFwAbgAgACAAIAAgACAAIAAgACAAIAAgAFwAIgBvAFwAIgAsACAAXAAiAG8AcgBnAGEAbgBpAGMAIABhAG0AZQBuAGQAbQBlAG4AdA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wBfADEAXwAxAF8AMQBfAF8AMwBfAE8AcgBnAGEAbgBpAGMAQQBtAGUAbgBkAG0AZQBuAHQAcwBTAGMAYQBsAGkAbgBnAEYAYQBjAHQAbwByAFwAbgBPAHIAZwBhAG4AaQBjACAAYQBtAGUAbgBkAG0AZQBuAHQAcwAgAHMAYwBhAGwAaQBuAGcAIABmAGEAYwB0AG8AcgBcAG4AUwBGAF8AbwBcAG4AZABpAG0AZQBuAHMAaQBvAG4AbABlAHMAcwBcAG4AUwBGAF8AbwA9ACgAMQArAFwAXABzAHUAbQBfAG8AKABSAE8AQQBfAG8AXABcAHQAaQBtAGUAcwAgAEMARgBPAEEAXwBvACkAKQBeAHsAMAAuADUAOQB9AFwAbgBSAE8AQQBfAG8AIAA9ACAAYQBwAHAAbABpAGMAYQB0AGkAbwBuACAAcgBhAHQAZQAgAG8AZgAgAG8AcgBnAGEAbgBpAGMAIABhAG0AZQBuAGQAbQBlAG4AdAAgAG8AIAAoAHQAbwBuAG4AZQBzAC8AaABhACkAXABuAEMARgBPAEEAXwBvACAAPQAgAGMAbwBuAHYAZQByAHMAaQBvAG4AIABmAGEAYwB0AG8AcgAgAG8AZgAgAG8AcgBnAGEAbgBpAGMAIABhAG0AZQBuAGQAbQBlAG4AdAAgAG8AXABuAC0ALQAtAC0ALQAtAC0ALQAtAC0ALQAtAC0ALQAtAC0ALQAtAC0ALQAtAC0ALQAtAC0ALQAtAC0ALQAtAC0ALQAtAC0ALQAtAC0ALQBcAG4AKgAvAFwAbgBcAG4AVgBFAEUAUgBHAF8ANwBfADEAXwAxAF8AMQBfAF8AMwBfAE8AcgBnAGEAbgBpAGMAQQBtAGUAbgBkAG0AZQBuAHQAcwBTAGMAYQBsAGkAbgBnAEYAYQBjAHQAbwByAFwAbgAgACAAPQBMAEEATQBCAEQAQQAoAFwAbgAgACAAIAAgAFIATwBBAF8AbwAsACAAQwBGAE8AQQBfAG8ALABcAG4AIAAgACAAIAAoADEAIAArACAAUwBVAE0AKABSAE8AQQBfAG8AIAAqACAAQwBGAE8AQQBfAG8AKQApACAAXgAgADAALgA1ADkAXABuACAAIAApADsAXABuAFwAbgBWAEUARQBSAEcAXwA3AF8AMQBfADEAXwAxAF8AXwAzAF8ATwByAGcAYQBuAGkAYwBBAG0AZQBuAGQAbQBlAG4AdABzAFMAYwBhAGwAaQBuAGcARgBhAGMAdABvAHIAVgBhAHIAaQBhAHQAaQBvAG4AXABuACAAIAA9AEwAQQBNAEIARABBACgAXABuACAAIAAgACAAUgBPAEEAXwBvADEALAAgAEMARgBPAEEAXwBvADEALAAgAFIATwBBAF8AbwAyACwAIABDAEYATwBBAF8AbwAyACwAIABSAE8AQQBfAG8AMwAsACAAQwBGAE8AQQBfAG8AMwAsACAAUgBPAEEAXwBvADQALAAgAEMARgBPAEEAXwBvADQALAAgAFIATwBBAF8AbwA1ACwAIABDAEYATwBBAF8AbwA1ACwAIABSAE8AQQBfAG8ANgAsACAAQwBGAE8AQQBfAG8ANgAsAFwAbgAgACAAIAAgACgAMQAgACsAIAAoACgAUgBPAEEAXwBvADEAIAAqACAAQwBGAE8AQQBfAG8AMQApACAAKwAgACgAUgBPAEEAXwBvADIAIAAqACAAQwBGAE8AQQBfAG8AMgApACAAKwAgACgAUgBPAEEAXwBvADMAIAAqACAAQwBGAE8AQQBfAG8AMwApACsAIAAoAFIATwBBAF8AbwA0ACAAKgAgAEMARgBPAEEAXwBvADQAKQAgACsAIAAoAFIATwBBAF8AbwA1ACAAKgAgAEMARgBPAEEAXwBvADUAKQAgACsAIAAoAFIATwBBAF8AbwA2ACAAKgAgAEMARgBPAEEAXwBvADYAKQApACkAIABeACAAMAAuADUAOQBcAG4AIAAgACkAOwBcAG4AXABuAFYARQBFAFIARwBfADcAXwAxAF8AMQBfADEAXwBfADMAXwBPAHIAZwBhAG4AaQBjAEEAbQBlAG4AZABtAGUAbgB0AHMAUwBjAGEAbABpAG4AZwBGAGEAYwB0AG8AcgBfAFQAaQB0AGwAZQBcAG4AIAAgAD0ATABBAE0AQgBEAEEAKABcACIATwByAGcAYQBuAGkAYwAgAGEAbQBlAG4AZABtAGUAbgB0AHMAIABzAGMAYQBsAGkAbgBnACAAZgBhAGMAdABvAHIAXAAiACkAOwBcAG4AXABuAFYARQBFAFIARwBfADcAXwAxAF8AMQBfADEAXwBfADMAXwBPAHIAZwBhAG4AaQBjAEEAbQBlAG4AZABtAGUAbgB0AHMAUwBjAGEAbABpAG4AZwBGAGEAYwB0AG8AcgBfAFYAYQByAGkAYQBiAGwAZQBcAG4AIAAgAD0ATABBAE0AQgBEAEEAKABcACIAUwBGAF8AbwBcACIAKQA7AFwAbgBcAG4AVgBFAEUAUgBHAF8ANwBfADEAXwAxAF8AMQBfAF8AMwBfAE8AcgBnAGEAbgBpAGMAQQBtAGUAbgBkAG0AZQBuAHQAcwBTAGMAYQBsAGkAbgBnAEYAYQBjAHQAbwByAF8AVQBuAGkAdABcAG4AIAAgAD0ATABBAE0AQgBEAEEAKABcACIAZABpAG0AZQBuAHMAaQBvAG4AbABlAHMAcwBcACIAKQA7AFwAbgBcAG4AVgBFAEUAUgBHAF8ANwBfADEAXwAxAF8AMQBfAF8AMwBfAE8AcgBnAGEAbgBpAGMAQQBtAGUAbgBkAG0AZQBuAHQAcwBTAGMAYQBsAGkAbgBnAEYAYQBjAHQAbwByAF8AUwBvAHUAcgBjAGUAXABuACAAIAA9AEwAQQBNAEIARABBACgAXAAiAFYARQBFAFIARwAgADIAMAAyADYAOgAgADcALgAxAC4AMQAuADEALAAgAEUAcQB1AGEAdABpAG8AbgAgACgAMwApAFwAIgApADsAXABuAFwAbgBWAEUARQBSAEcAXwA3AF8AMQBfADEAXwAxAF8AXwAzAF8ATwByAGcAYQBuAGkAYwBBAG0AZQBuAGQAbQBlAG4AdABzAFMAYwBhAGwAaQBuAGcARgBhAGMAdABvAHIAXwBOAEkAUgBSAGUAZgBlAHIAZQBuAGMAZQBcAG4AIAAgAD0ATABBAE0AQgBEAEEAKABcACIAXAAiACkAOwBcAG4AXABuAFYARQBFAFIARwBfADcAXwAxAF8AMQBfADEAXwBfADMAXwBPAHIAZwBhAG4AaQBjAEEAbQBlAG4AZABtAGUAbgB0AHMAUwBjAGEAbABpAG4AZwBGAGEAYwB0AG8AcgBfAEwAYQB0AGUAeABFAHEAdQBhAHQAaQBvAG4AXABuACAAIAA9AEwAQQBNAEIARABBACgAXAAiAFMARgBfAG8APQAoADEAKwBcAFwAcwB1AG0AXwBvAFIATwBBAF8AbwBcAFwAdABpAG0AZQBzACAAQwBGAE8AQQBfAG8AKQBeAHsAMAAuADUAOQB9AFwAIgApADsAXABuAFwAbgBWAEUARQBSAEcAXwA3AF8AMQBfADEAXwAxAF8AXwAzAF8ATwByAGcAYQBuAGkAYwBBAG0AZQBuAGQAbQBlAG4AdABzAFMAYwBhAGwAaQBuAGcARgBhAGMAdABvAHIAXwBMAGEAdABlAHgARQBxAHUAYQB0AGkAbwBuAFYAYQByAGkAYQB0AGkAbwBuAFwAbgAgACAAPQBMAEEATQBCAEQAQQAoAFwAIgBTAEYAXwBvAD0AKAAxACsAIAAoACgAUgBPAEEAXwBvADEAXABcAHQAaQBtAGUAcwAgAEMARgBPAEEAXwBvADEAKQAgACsAIAAoAFIATwBBAF8AbwAyAFwAXAB0AGkAbQBlAHMAIABDAEYATwBBAF8AbwAyACkAIAArACAAKABSAE8AQQBfAG8AMwBcAFwAdABpAG0AZQBzACAAQwBGAE8AQQBfAG8AMwApACAAKwAgACgAUgBPAEEAXwBvADQAXABcAHQAaQBtAGUAcwAgAEMARgBPAEEAXwBvADQAKQAgACsAIAAoAFIATwBBAF8AbwA1AFwAXAB0AGkAbQBlAHMAIABDAEYATwBBAF8AbwA1ACkAIAArACAAKABSAE8AQQBfAG8ANgBcAFwAdABpAG0AZQBzACAAQwBGAE8AQQBfAG8ANgApACkAXgB7ADAALgA1ADkAfQBcACIAKQA7AFwAbgBcAG4AVgBFAEUAUgBHAF8ANwBfADEAXwAxAF8AMQBfAF8AMwBfAE8AcgBnAGEAbgBpAGMAQQBtAGUAbgBkAG0AZQBuAHQAcwBTAGMAYQBsAGkAbgBnAEYAYQBjAHQAbwByAF8AQQByAGcAdQBtAGUAbgB0AHMAXABuACAAIAA9AEwAQQBNAEIARABBACgAXABuACAAIAAgACAATQBBAEsARQBBAFIAUgBBAFkAKAAzACwAIAA0ACwAXABuACAAIAAgACAAIAAgAEwAQQBNAEIARABBACgAcgAsAGMALABcAG4AIAAgACAAIAAgACAAIAAgAEkATgBEAEUAWAAoAHsAXABuACAAIAAgACAAIAAgACAAIAAgACAAXAAiAFIATwBBAF8AbwBcACIALAAgAFwAIgBhAHAAcABsAGkAYwBhAHQAaQBvAG4AIAByAGEAdABlACAAbwBmACAAbwByAGcAYQBuAGkAYwAgAGEAbQBlAG4AZABtAGUAbgB0ACAAbwBcACIALAAgAFwAIgB0AG8AbgBuAGUAcwAvAGgAYQBcACIALAAgAFwAIgBJAG4AcAB1AHQAXAAiADsAXABuACAAIAAgACAAIAAgACAAIAAgACAAXAAiAEMARgBPAEEAXwBvAFwAIgAsACAAXAAiAGMAbwBuAHYAZQByAHMAaQBvAG4AIABmAGEAYwB0AG8AcgAgAG8AZgAgAG8AcgBnAGEAbgBpAGMAIABhAG0AZQBuAGQAbQBlAG4AdAAgAG8AXAAiACwAIABcACIAZgByAGEAYwB0AGkAbwBuAFwAIgAsACAAXAAiAEMAbwBuAHMAdABhAG4AdABcACIAOwBcAG4AIAAgACAAIAAgACAAIAAgACAAIABcACIAbwBcACIALAAgAFwAIgBvAHIAZwBhAG4AaQBjACAAYQBtAGUAbgBkAG0AZQBuAHQAIAB0AHkAcABlAFwAIgAsACAAXAAiAFwAIgAsACAAXAAiAEkAbgBwAHUAdABcACIAXABuACAAIAAgACAAIAAgACAAIAB9ACwAIAByACwAIABjACkAXABuACAAIAAgACAAIAAgACkAXABuACAAIAAgACAAKQBcAG4AIAAgACkAOwBcAG4AXABuAFYARQBFAFIARwBfADcAXwAxAF8AMQBfADEAXwBfADMAXwBPAHIAZwBhAG4AaQBjAEEAbQBlAG4AZABtAGUAbgB0AHMAUwBjAGEAbABpAG4AZwBGAGEAYwB0AG8AcgBfAFYAYQByAGkAYQB0AGkAbwBuAFwAbgAgACAAPQBMAEEATQBCAEQAQQAoAFwAbgAgACAAIAAgAE0AQQBLAEUAQQBSAFIAQQBZACgANA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OwBcAG4AIAAgACAAIAAgACAAIAAgACAAIABcACIARABlAGMAbABhAHIAZQBkACAAZQBhAGMAaAAgAGEAbQBlAG4AZABtAGUAbgB0ACAAcwBlAHAAYQByAGEAdABlAGwAeQAgAHQAbwAgAGEAbABsAG8AdwAgAHMAdQBtAG0AaQBuAGcAIABpAG4AIABFAHgAYwBlAGwAIABpAG4AIABvAG4AZQAgAGUAcQB1AGEAdABpAG8Abg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IAaQBjAGUAQwB1AGwAdABpAHYAYQB0AGkAbwBuAF8AUwBvAHUAcgBjAGUARABhAHQAYQAuAFMAbwB1AHIAYwBlAEQAYQB0AGEAXwBSAGkAYwBlAEMAdQBsAHQAaQB2AGEAdABpAG8AbgBfAFcAYQB0AGUAcgBTAGMAYQBsAGkAbgBnAEYAYQBjAHQAbwByAEcAcgBvAHcAaQBuAGcAUwBlAGEAcwBvAG4AXwBUAGkAdABsAGUAIgAsACIAUgBpAGMAZQBDAHUAbAB0AGkAdgBhAHQAaQBvAG4AXwBTAG8AdQByAGMAZQBEAGEAdABhAC4AUwBvAHUAcgBjAGUARABhAHQAYQBfAFIAaQBjAGUAQwB1AGwAdABpAHYAYQB0AGkAbwBuAF8AVwBhAHQAZQByAFMAYwBhAGwAaQBuAGcARgBhAGMAdABvAHIARwByAG8AdwBpAG4AZwBTAGUAYQBzAG8AbgBfAFYAYQByAGkAYQBiAGwAZQAiACwAIgBSAGkAYwBlAEMAdQBsAHQAaQB2AGEAdABpAG8AbgBfAFMAbwB1AHIAYwBlAEQAYQB0AGEALgBTAG8AdQByAGMAZQBEAGEAdABhAF8AUgBpAGMAZQBDAHUAbAB0AGkAdgBhAHQAaQBvAG4AXwBXAGEAdABlAHIAUwBjAGEAbABpAG4AZwBGAGEAYwB0AG8AcgBHAHIAbwB3AGkAbgBnAFMAZQBhAHMAbwBuAF8AVQBuAGkAdAAiACwAIgBSAGkAYwBlAEMAdQBsAHQAaQB2AGEAdABpAG8AbgBfAFMAbwB1AHIAYwBlAEQAYQB0AGEALgBTAG8AdQByAGMAZQBEAGEAdABhAF8AUgBpAGMAZQBDAHUAbAB0AGkAdgBhAHQAaQBvAG4AXwBXAGEAdABlAHIAUwBjAGEAbABpAG4AZwBGAGEAYwB0AG8AcgBHAHIAbwB3AGkAbgBnAFMAZQBhAHMAbwBuAF8AUwBvAHUAcgBjAGUAIgAsACIAUgBpAGMAZQBDAHUAbAB0AGkAdgBhAHQAaQBvAG4AXwBTAG8AdQByAGMAZQBEAGEAdABhAC4AUwBvAHUAcgBjAGUARABhAHQAYQBfAFIAaQBjAGUAQwB1AGwAdABpAHYAYQB0AGkAbwBuAF8AVwBhAHQAZQByAFMAYwBhAGwAaQBuAGcARgBhAGMAdABvAHIARwByAG8AdwBpAG4AZwBTAGUAYQBzAG8AbgBfAFYAYQByAGkAYQB0AGkAbwBuACIALAAiAFIAaQBjAGUAQwB1AGwAdABpAHYAYQB0AGkAbwBuAF8AUwBvAHUAcgBjAGUARABhAHQAYQAuAFMAbwB1AHIAYwBlAEQAYQB0AGEAXwBSAGkAYwBlAEMAdQBsAHQAaQB2AGEAdABpAG8AbgBfAFcAYQB0AGUAcgBTAGMAYQBsAGkAbgBnAEYAYQBjAHQAbwByAEcAcgBvAHcAaQBuAGcAUwBlAGEAcwBvAG4AXwBEAGEAdABhACIALAAiAFIAaQBjAGUAQwB1AGwAdABpAHYAYQB0AGkAbwBuAF8AUwBvAHUAcgBjAGUARABhAHQAYQAuAFMAbwB1AHIAYwBlAEQAYQB0AGEAXwBSAGkAYwBlAEMAdQBsAHQAaQB2AGEAdABpAG8AbgBfAFcAYQB0AGUAcgBTAGMAYQBsAGkAbgBnAEYAYQBjAHQAbwByAFAAcgBlAFMAZQBhAHMAbwBuAF8AVABpAHQAbABlACIALAAiAFIAaQBjAGUAQwB1AGwAdABpAHYAYQB0AGkAbwBuAF8AUwBvAHUAcgBjAGUARABhAHQAYQAuAFMAbwB1AHIAYwBlAEQAYQB0AGEAXwBSAGkAYwBlAEMAdQBsAHQAaQB2AGEAdABpAG8AbgBfAFcAYQB0AGUAcgBTAGMAYQBsAGkAbgBnAEYAYQBjAHQAbwByAFAAcgBlAFMAZQBhAHMAbwBuAF8AVgBhAHIAaQBhAGIAbABlACIALAAiAFIAaQBjAGUAQwB1AGwAdABpAHYAYQB0AGkAbwBuAF8AUwBvAHUAcgBjAGUARABhAHQAYQAuAFMAbwB1AHIAYwBlAEQAYQB0AGEAXwBSAGkAYwBlAEMAdQBsAHQAaQB2AGEAdABpAG8AbgBfAFcAYQB0AGUAcgBTAGMAYQBsAGkAbgBnAEYAYQBjAHQAbwByAFAAcgBlAFMAZQBhAHMAbwBuAF8AVQBuAGkAdAAiACwAIgBSAGkAYwBlAEMAdQBsAHQAaQB2AGEAdABpAG8AbgBfAFMAbwB1AHIAYwBlAEQAYQB0AGEALgBTAG8AdQByAGMAZQBEAGEAdABhAF8AUgBpAGMAZQBDAHUAbAB0AGkAdgBhAHQAaQBvAG4AXwBXAGEAdABlAHIAUwBjAGEAbABpAG4AZwBGAGEAYwB0AG8AcgBQAHIAZQBTAGUAYQBzAG8AbgBfAFMAbwB1AHIAYwBlACIALAAiAFIAaQBjAGUAQwB1AGwAdABpAHYAYQB0AGkAbwBuAF8AUwBvAHUAcgBjAGUARABhAHQAYQAuAFMAbwB1AHIAYwBlAEQAYQB0AGEAXwBSAGkAYwBlAEMAdQBsAHQAaQB2AGEAdABpAG8AbgBfAFcAYQB0AGUAcgBTAGMAYQBsAGkAbgBnAEYAYQBjAHQAbwByAFAAcgBlAFMAZQBhAHMAbwBuAF8AVgBhAHIAaQBhAHQAaQBvAG4AIgAsACIAUgBpAGMAZQBDAHUAbAB0AGkAdgBhAHQAaQBvAG4AXwBTAG8AdQByAGMAZQBEAGEAdABhAC4AUwBvAHUAcgBjAGUARABhAHQAYQBfAFIAaQBjAGUAQwB1AGwAdABpAHYAYQB0AGkAbwBuAF8AVwBhAHQAZQByAFMAYwBhAGwAaQBuAGcARgBhAGMAdABvAHIAUAByAGUAUwBlAGEAcwBvAG4AXwBEAGEAdABhACIALAAiAFIAaQBjAGUAQwB1AGwAdABpAHYAYQB0AGkAbwBuAF8AUwBvAHUAcgBjAGUARABhAHQAYQAuAFMAbwB1AHIAYwBlAEQAYQB0AGEAXwBSAGkAYwBlAEMAdQBsAHQAaQB2AGEAdABpAG8AbgBfAE8AcgBnAGEAbgBpAGMAQQBtAGUAbgBkAG0AZQBuAHQAQwBvAG4AdgBlAHIAcwBpAG8AbgBGAGEAYwB0AG8AcgBfAFQAaQB0AGwAZQAiACwAIgBSAGkAYwBlAEMAdQBsAHQAaQB2AGEAdABpAG8AbgBfAFMAbwB1AHIAYwBlAEQAYQB0AGEALgBTAG8AdQByAGMAZQBEAGEAdABhAF8AUgBpAGMAZQBDAHUAbAB0AGkAdgBhAHQAaQBvAG4AXwBPAHIAZwBhAG4AaQBjAEEAbQBlAG4AZABtAGUAbgB0AEMAbwBuAHYAZQByAHMAaQBvAG4ARgBhAGMAdABvAHIAXwBWAGEAcgBpAGEAYgBsAGUAIgAsACIAUgBpAGMAZQBDAHUAbAB0AGkAdgBhAHQAaQBvAG4AXwBTAG8AdQByAGMAZQBEAGEAdABhAC4AUwBvAHUAcgBjAGUARABhAHQAYQBfAFIAaQBjAGUAQwB1AGwAdABpAHYAYQB0AGkAbwBuAF8ATwByAGcAYQBuAGkAYwBBAG0AZQBuAGQAbQBlAG4AdABDAG8AbgB2AGUAcgBzAGkAbwBuAEYAYQBjAHQAbwByAF8AVQBuAGkAdAAiACwAIgBSAGkAYwBlAEMAdQBsAHQAaQB2AGEAdABpAG8AbgBfAFMAbwB1AHIAYwBlAEQAYQB0AGEALgBTAG8AdQByAGMAZQBEAGEAdABhAF8AUgBpAGMAZQBDAHUAbAB0AGkAdgBhAHQAaQBvAG4AXwBPAHIAZwBhAG4AaQBjAEEAbQBlAG4AZABtAGUAbgB0AEMAbwBuAHYAZQByAHMAaQBvAG4ARgBhAGMAdABvAHIAXwBTAG8AdQByAGMAZQAiACwAIgBSAGkAYwBlAEMAdQBsAHQAaQB2AGEAdABpAG8AbgBfAFMAbwB1AHIAYwBlAEQAYQB0AGEALgBTAG8AdQByAGMAZQBEAGEAdABhAF8AUgBpAGMAZQBDAHUAbAB0AGkAdgBhAHQAaQBvAG4AXwBPAHIAZwBhAG4AaQBjAEEAbQBlAG4AZABtAGUAbgB0AEMAbwBuAHYAZQByAHMAaQBvAG4ARgBhAGMAdABvAHIAXwBWAGEAcgBpAGEAdABpAG8AbgAiACwAIgBSAGkAYwBlAEMAdQBsAHQAaQB2AGEAdABpAG8AbgBfAFMAbwB1AHIAYwBlAEQAYQB0AGEALgBTAG8AdQByAGMAZQBEAGEAdABhAF8AUgBpAGMAZQBDAHUAbAB0AGkAdgBhAHQAaQBvAG4AXwBPAHIAZwBhAG4AaQBjAEEAbQBlAG4AZABtAGUAbgB0AEMAbwBuAHYAZQByAHMAaQBvAG4ARgBhAGMAdABvAHIAXwBEAGEAdABhACIALAAiAFIAaQBjAGUAQwB1AGwAdABpAHYAYQB0AGkAbwBuAF8AUwBvAHUAcgBjAGUARABhAHQAYQAuAFMAbwB1AHIAYwBlAEQAYQB0AGEAXwBSAGkAYwBlAEMAdQBsAHQAaQB2AGEAdABpAG8AbgBfAEIAYQBzAGUAbABpAG4AZQBFAEYAXwBUAGkAdABsAGUAIgAsACIAUgBpAGMAZQBDAHUAbAB0AGkAdgBhAHQAaQBvAG4AXwBTAG8AdQByAGMAZQBEAGEAdABhAC4AUwBvAHUAcgBjAGUARABhAHQAYQBfAFIAaQBjAGUAQwB1AGwAdABpAHYAYQB0AGkAbwBuAF8AQgBhAHMAZQBsAGkAbgBlAEUARgBfAFYAYQByAGkAYQBiAGwAZQAiACwAIgBSAGkAYwBlAEMAdQBsAHQAaQB2AGEAdABpAG8AbgBfAFMAbwB1AHIAYwBlAEQAYQB0AGEALgBTAG8AdQByAGMAZQBEAGEAdABhAF8AUgBpAGMAZQBDAHUAbAB0AGkAdgBhAHQAaQBvAG4AXwBCAGEAcwBlAGwAaQBuAGUARQBGAF8AVQBuAGkAdAAiACwAIgBSAGkAYwBlAEMAdQBsAHQAaQB2AGEAdABpAG8AbgBfAFMAbwB1AHIAYwBlAEQAYQB0AGEALgBTAG8AdQByAGMAZQBEAGEAdABhAF8AUgBpAGMAZQBDAHUAbAB0AGkAdgBhAHQAaQBvAG4AXwBCAGEAcwBlAGwAaQBuAGUARQBGAF8AUwBvAHUAcgBjAGUAIgAsACIAUgBpAGMAZQBDAHUAbAB0AGkAdgBhAHQAaQBvAG4AXwBTAG8AdQByAGMAZQBEAGEAdABhAC4AUwBvAHUAcgBjAGUARABhAHQAYQBfAFIAaQBjAGUAQwB1AGwAdABpAHYAYQB0AGkAbwBuAF8AQgBhAHMAZQBsAGkAbgBlAEUARgBfAFYAYQByAGkAYQB0AGkAbwBuACIALAAiAFIAaQBjAGUAQwB1AGwAdABpAHYAYQB0AGkAbwBuAF8AUwBvAHUAcgBjAGUARABhAHQAYQAuAFMAbwB1AHIAYwBlAEQAYQB0AGEAXwBSAGkAYwBlAEMAdQBsAHQAaQB2AGEAdABpAG8AbgBfAEIAYQBzAGUAbABpAG4AZQBFAEYAXwBEAGEAdABhACIALAAiAFIAaQBjAGUAQwB1AGwAdABpAHYAYQB0AGkAbwBuAF8ARQBxAHUAYQB0AGkAbwBuAHMALgBWAEUARQBSAEcAXwA3AF8AMQBfADEAXwAxAF8AXwAxAF8ATQBlAHQAaABhAG4AZQBFAG0AaQBzAHMAaQBvAG4AcwBGAHIAbwBtAFIAaQBjAGUAQwB1AGwAdABpAHYAYQB0AGkAbwBuACIALAAiAFIAaQBjAGUAQwB1AGwAdABpAHYAYQB0AGkAbwBuAF8ARQBxAHUAYQB0AGkAbwBuAHMALgBWAEUARQBSAEcAXwA3AF8AMQBfADEAXwAxAF8AXwAxAF8ATQBlAHQAaABhAG4AZQBFAG0AaQBzAHMAaQBvAG4AcwBGAHIAbwBtAFIAaQBjAGUAQwB1AGwAdABpAHYAYQB0AGkAbwBuAF8AVABpAHQAbABlACIALAAiAFIAaQBjAGUAQwB1AGwAdABpAHYAYQB0AGkAbwBuAF8ARQBxAHUAYQB0AGkAbwBuAHMALgBWAEUARQBSAEcAXwA3AF8AMQBfADEAXwAxAF8AXwAxAF8ATQBlAHQAaABhAG4AZQBFAG0AaQBzAHMAaQBvAG4AcwBGAHIAbwBtAFIAaQBjAGUAQwB1AGwAdABpAHYAYQB0AGkAbwBuAF8AVgBhAHIAaQBhAGIAbABlACIALAAiAFIAaQBjAGUAQwB1AGwAdABpAHYAYQB0AGkAbwBuAF8ARQBxAHUAYQB0AGkAbwBuAHMALgBWAEUARQBSAEcAXwA3AF8AMQBfADEAXwAxAF8AXwAxAF8ATQBlAHQAaABhAG4AZQBFAG0AaQBzAHMAaQBvAG4AcwBGAHIAbwBtAFIAaQBjAGUAQwB1AGwAdABpAHYAYQB0AGkAbwBuAF8AVQBuAGkAdAAiACwAIgBSAGkAYwBlAEMAdQBsAHQAaQB2AGEAdABpAG8AbgBfAEUAcQB1AGEAdABpAG8AbgBzAC4AVgBFAEUAUgBHAF8ANwBfADEAXwAxAF8AMQBfAF8AMQBfAE0AZQB0AGgAYQBuAGUARQBtAGkAcwBzAGkAbwBuAHMARgByAG8AbQBSAGkAYwBlAEMAdQBsAHQAaQB2AGEAdABpAG8AbgBfAFMAbwB1AHIAYwBlACIALAAiAFIAaQBjAGUAQwB1AGwAdABpAHYAYQB0AGkAbwBuAF8ARQBxAHUAYQB0AGkAbwBuAHMALgBWAEUARQBSAEcAXwA3AF8AMQBfADEAXwAxAF8AXwAxAF8ATQBlAHQAaABhAG4AZQBFAG0AaQBzAHMAaQBvAG4AcwBGAHIAbwBtAFIAaQBjAGUAQwB1AGwAdABpAHYAYQB0AGkAbwBuAF8ATgBJAFIAUgBlAGYAZQByAGUAbgBjAGUAIgAsACIAUgBpAGMAZQBDAHUAbAB0AGkAdgBhAHQAaQBvAG4AXwBFAHEAdQBhAHQAaQBvAG4AcwAuAFYARQBFAFIARwBfADcAXwAxAF8AMQBfADEAXwBfADEAXwBNAGUAdABoAGEAbgBlAEUAbQBpAHMAcwBpAG8AbgBzAEYAcgBvAG0AUgBpAGMAZQBDAHUAbAB0AGkAdgBhAHQAaQBvAG4AXwBMAGEAdABlAHgARQBxAHUAYQB0AGkAbwBuACIALAAiAFIAaQBjAGUAQwB1AGwAdABpAHYAYQB0AGkAbwBuAF8ARQBxAHUAYQB0AGkAbwBuAHMALgBWAEUARQBSAEcAXwA3AF8AMQBfADEAXwAxAF8AXwAxAF8ATQBlAHQAaABhAG4AZQBFAG0AaQBzAHMAaQBvAG4AcwBGAHIAbwBtAFIAaQBjAGUAQwB1AGwAdABpAHYAYQB0AGkAbwBuAF8AQQByAGcAdQBtAGUAbgB0AHMAIgAsACIAUgBpAGMAZQBDAHUAbAB0AGkAdgBhAHQAaQBvAG4AXwBFAHEAdQBhAHQAaQBvAG4AcwAuAFYARQBFAFIARwBfADcAXwAxAF8AMQBfADEAXwBfADEAXwBNAGUAdABoAGEAbgBlAEUAbQBpAHMAcwBpAG8AbgBzAEYAcgBvAG0AUgBpAGMAZQBDAHUAbAB0AGkAdgBhAHQAaQBvAG4AXwBWAGEAcgBpAGEAdABpAG8AbgAiACwAIgBSAGkAYwBlAEMAdQBsAHQAaQB2AGEAdABpAG8AbgBfAEUAcQB1AGEAdABpAG8AbgBzAC4AVgBFAEUAUgBHAF8ANwBfADEAXwAxAF8AMQBfAF8AMgBfAEUAbQBpAHMAcwBpAG8AbgBGAGEAYwB0AG8AcgBGAG8AcgBSAGkAYwBlAEMAdQBsAHQAaQB2AGEAdABpAG8AbgAiACwAIgBSAGkAYwBlAEMAdQBsAHQAaQB2AGEAdABpAG8AbgBfAEUAcQB1AGEAdABpAG8AbgBzAC4AVgBFAEUAUgBHAF8ANwBfADEAXwAxAF8AMQBfAF8AMgBfAEUAbQBpAHMAcwBpAG8AbgBGAGEAYwB0AG8AcgBGAG8AcgBSAGkAYwBlAEMAdQBsAHQAaQB2AGEAdABpAG8AbgBfAFQAaQB0AGwAZQAiACwAIgBSAGkAYwBlAEMAdQBsAHQAaQB2AGEAdABpAG8AbgBfAEUAcQB1AGEAdABpAG8AbgBzAC4AVgBFAEUAUgBHAF8ANwBfADEAXwAxAF8AMQBfAF8AMgBfAEUAbQBpAHMAcwBpAG8AbgBGAGEAYwB0AG8AcgBGAG8AcgBSAGkAYwBlAEMAdQBsAHQAaQB2AGEAdABpAG8AbgBfAFYAYQByAGkAYQBiAGwAZQAiACwAIgBSAGkAYwBlAEMAdQBsAHQAaQB2AGEAdABpAG8AbgBfAEUAcQB1AGEAdABpAG8AbgBzAC4AVgBFAEUAUgBHAF8ANwBfADEAXwAxAF8AMQBfAF8AMgBfAEUAbQBpAHMAcwBpAG8AbgBGAGEAYwB0AG8AcgBGAG8AcgBSAGkAYwBlAEMAdQBsAHQAaQB2AGEAdABpAG8AbgBfAFUAbgBpAHQAIgAsACIAUgBpAGMAZQBDAHUAbAB0AGkAdgBhAHQAaQBvAG4AXwBFAHEAdQBhAHQAaQBvAG4AcwAuAFYARQBFAFIARwBfADcAXwAxAF8AMQBfADEAXwBfADIAXwBFAG0AaQBzAHMAaQBvAG4ARgBhAGMAdABvAHIARgBvAHIAUgBpAGMAZQBDAHUAbAB0AGkAdgBhAHQAaQBvAG4AXwBTAG8AdQByAGMAZQAiACwAIgBSAGkAYwBlAEMAdQBsAHQAaQB2AGEAdABpAG8AbgBfAEUAcQB1AGEAdABpAG8AbgBzAC4AVgBFAEUAUgBHAF8ANwBfADEAXwAxAF8AMQBfAF8AMgBfAEUAbQBpAHMAcwBpAG8AbgBGAGEAYwB0AG8AcgBGAG8AcgBSAGkAYwBlAEMAdQBsAHQAaQB2AGEAdABpAG8AbgBfAE4ASQBSAFIAZQBmAGUAcgBlAG4AYwBlACIALAAiAFIAaQBjAGUAQwB1AGwAdABpAHYAYQB0AGkAbwBuAF8ARQBxAHUAYQB0AGkAbwBuAHMALgBWAEUARQBSAEcAXwA3AF8AMQBfADEAXwAxAF8AXwAyAF8ARQBtAGkAcwBzAGkAbwBuAEYAYQBjAHQAbwByAEYAbwByAFIAaQBjAGUAQwB1AGwAdABpAHYAYQB0AGkAbwBuAF8ATABhAHQAZQB4AEUAcQB1AGEAdABpAG8AbgAiACwAIgBSAGkAYwBlAEMAdQBsAHQAaQB2AGEAdABpAG8AbgBfAEUAcQB1AGEAdABpAG8AbgBzAC4AVgBFAEUAUgBHAF8ANwBfADEAXwAxAF8AMQBfAF8AMgBfAEUAbQBpAHMAcwBpAG8AbgBGAGEAYwB0AG8AcgBGAG8AcgBSAGkAYwBlAEMAdQBsAHQAaQB2AGEAdABpAG8AbgBfAEEAcgBnAHUAbQBlAG4AdABzACIALAAiAFIAaQBjAGUAQwB1AGwAdABpAHYAYQB0AGkAbwBuAF8ARQBxAHUAYQB0AGkAbwBuAHMALgBWAEUARQBSAEcAXwA3AF8AMQBfADEAXwAxAF8AXwAzAF8ATwByAGcAYQBuAGkAYwBBAG0AZQBuAGQAbQBlAG4AdABzAFMAYwBhAGwAaQBuAGcARgBhAGMAdABvAHIAIgAsACIAUgBpAGMAZQBDAHUAbAB0AGkAdgBhAHQAaQBvAG4AXwBFAHEAdQBhAHQAaQBvAG4AcwAuAFYARQBFAFIARwBfADcAXwAxAF8AMQBfADEAXwBfADMAXwBPAHIAZwBhAG4AaQBjAEEAbQBlAG4AZABtAGUAbgB0AHMAUwBjAGEAbABpAG4AZwBGAGEAYwB0AG8AcgBWAGEAcgBpAGEAdABpAG8AbgAiACwAIgBSAGkAYwBlAEMAdQBsAHQAaQB2AGEAdABpAG8AbgBfAEUAcQB1AGEAdABpAG8AbgBzAC4AVgBFAEUAUgBHAF8ANwBfADEAXwAxAF8AMQBfAF8AMwBfAE8AcgBnAGEAbgBpAGMAQQBtAGUAbgBkAG0AZQBuAHQAcwBTAGMAYQBsAGkAbgBnAEYAYQBjAHQAbwByAF8AVABpAHQAbABlACIALAAiAFIAaQBjAGUAQwB1AGwAdABpAHYAYQB0AGkAbwBuAF8ARQBxAHUAYQB0AGkAbwBuAHMALgBWAEUARQBSAEcAXwA3AF8AMQBfADEAXwAxAF8AXwAzAF8ATwByAGcAYQBuAGkAYwBBAG0AZQBuAGQAbQBlAG4AdABzAFMAYwBhAGwAaQBuAGcARgBhAGMAdABvAHIAXwBWAGEAcgBpAGEAYgBsAGUAIgAsACIAUgBpAGMAZQBDAHUAbAB0AGkAdgBhAHQAaQBvAG4AXwBFAHEAdQBhAHQAaQBvAG4AcwAuAFYARQBFAFIARwBfADcAXwAxAF8AMQBfADEAXwBfADMAXwBPAHIAZwBhAG4AaQBjAEEAbQBlAG4AZABtAGUAbgB0AHMAUwBjAGEAbABpAG4AZwBGAGEAYwB0AG8AcgBfAFUAbgBpAHQAIgAsACIAUgBpAGMAZQBDAHUAbAB0AGkAdgBhAHQAaQBvAG4AXwBFAHEAdQBhAHQAaQBvAG4AcwAuAFYARQBFAFIARwBfADcAXwAxAF8AMQBfADEAXwBfADMAXwBPAHIAZwBhAG4AaQBjAEEAbQBlAG4AZABtAGUAbgB0AHMAUwBjAGEAbABpAG4AZwBGAGEAYwB0AG8AcgBfAFMAbwB1AHIAYwBlACIALAAiAFIAaQBjAGUAQwB1AGwAdABpAHYAYQB0AGkAbwBuAF8ARQBxAHUAYQB0AGkAbwBuAHMALgBWAEUARQBSAEcAXwA3AF8AMQBfADEAXwAxAF8AXwAzAF8ATwByAGcAYQBuAGkAYwBBAG0AZQBuAGQAbQBlAG4AdABzAFMAYwBhAGwAaQBuAGcARgBhAGMAdABvAHIAXwBOAEkAUgBSAGUAZgBlAHIAZQBuAGMAZQAiACwAIgBSAGkAYwBlAEMAdQBsAHQAaQB2AGEAdABpAG8AbgBfAEUAcQB1AGEAdABpAG8AbgBzAC4AVgBFAEUAUgBHAF8ANwBfADEAXwAxAF8AMQBfAF8AMwBfAE8AcgBnAGEAbgBpAGMAQQBtAGUAbgBkAG0AZQBuAHQAcwBTAGMAYQBsAGkAbgBnAEYAYQBjAHQAbwByAF8ATABhAHQAZQB4AEUAcQB1AGEAdABpAG8AbgAiACwAIgBSAGkAYwBlAEMAdQBsAHQAaQB2AGEAdABpAG8AbgBfAEUAcQB1AGEAdABpAG8AbgBzAC4AVgBFAEUAUgBHAF8ANwBfADEAXwAxAF8AMQBfAF8AMwBfAE8AcgBnAGEAbgBpAGMAQQBtAGUAbgBkAG0AZQBuAHQAcwBTAGMAYQBsAGkAbgBnAEYAYQBjAHQAbwByAF8ATABhAHQAZQB4AEUAcQB1AGEAdABpAG8AbgBWAGEAcgBpAGEAdABpAG8AbgAiACwAIgBSAGkAYwBlAEMAdQBsAHQAaQB2AGEAdABpAG8AbgBfAEUAcQB1AGEAdABpAG8AbgBzAC4AVgBFAEUAUgBHAF8ANwBfADEAXwAxAF8AMQBfAF8AMwBfAE8AcgBnAGEAbgBpAGMAQQBtAGUAbgBkAG0AZQBuAHQAcwBTAGMAYQBsAGkAbgBnAEYAYQBjAHQAbwByAF8AQQByAGcAdQBtAGUAbgB0AHMAIgAsACIAUgBpAGMAZQBDAHUAbAB0AGkAdgBhAHQAaQBvAG4AXwBFAHEAdQBhAHQAaQBvAG4AcwAuAFYARQBFAFIARwBfADcAXwAxAF8AMQBfADEAXwBfADMAXwBPAHIAZwBhAG4AaQBjAEEAbQBlAG4AZABtAGUAbgB0AHMAUwBjAGEAbABpAG4AZwBGAGEAYwB0AG8Acg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