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8D50DF0-286E-431E-BA80-63DF81CC8452}" xr6:coauthVersionLast="47" xr6:coauthVersionMax="47" xr10:uidLastSave="{00000000-0000-0000-0000-000000000000}"/>
  <bookViews>
    <workbookView xWindow="3120" yWindow="3120" windowWidth="28800" windowHeight="15345" firstSheet="3" activeTab="7" xr2:uid="{992023F3-CAB7-4E5B-A348-08D563A0EF40}"/>
  </bookViews>
  <sheets>
    <sheet name="Home" sheetId="71" r:id="rId1"/>
    <sheet name="Overview" sheetId="118" r:id="rId2"/>
    <sheet name="Results" sheetId="13" r:id="rId3"/>
    <sheet name="Input - Site" sheetId="15" r:id="rId4"/>
    <sheet name="Input - Rice" sheetId="70" r:id="rId5"/>
    <sheet name="7.1.1-2 Rice cultivation" sheetId="69" r:id="rId6"/>
    <sheet name="Constants - Rice cultivation" sheetId="110" r:id="rId7"/>
    <sheet name="Constants - Common" sheetId="121" r:id="rId8"/>
  </sheets>
  <definedNames>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iceCultivation_Equations.VEERG_7_1_1_1__1_MethaneEmissionsFromRiceCultivation">_xlfn.LAMBDA(_xlpm.A_ricewpo,_xlpm.EF_ricewpo,_xlpm.t_ricewpo, SUM(_xlpm.A_ricewpo * _xlpm.EF_ricewpo * _xlpm.t_ricewpo) * 10 ^ -3)</definedName>
    <definedName name="RiceCultivation_Equations.VEERG_7_1_1_1__1_MethaneEmissionsFromRiceCultivation_Arguments">_xlfn.LAMBDA(_xlfn.MAKEARRAY(4, 4, _xlfn.LAMBDA(_xlpm.r,_xlpm.c, INDEX({"A_ricewpo","annual area of rice cultivation under water regime w, pre-season water regime p, and organic amendment condition o","ha","Input";"EF_ricewpo","emission factor for rice cultivation under conditions w, p, and o","kg CH4/ha/day","Calculated from 7.1.1.1, (2)";"t_ricewpo","cultivation period for rice under conditions w, p, and o","days","Input";"s","number of cropping seasons in reporting period managed this way","seasons","Input"}, _xlpm.r, _xlpm.c))))</definedName>
    <definedName name="RiceCultivation_Equations.VEERG_7_1_1_1__1_MethaneEmissionsFromRiceCultivation_LatexEquation">_xlfn.LAMBDA("E_{rice}=\sum_w\sum_p\sum_o(A_{rice,wpo}\times EF_{rice,wpo}\times t_{rice,wpo})\times 10^{-3}")</definedName>
    <definedName name="RiceCultivation_Equations.VEERG_7_1_1_1__1_MethaneEmissionsFromRiceCultivation_NIRReference">_xlfn.LAMBDA("")</definedName>
    <definedName name="RiceCultivation_Equations.VEERG_7_1_1_1__1_MethaneEmissionsFromRiceCultivation_Source">_xlfn.LAMBDA("VEERG 2026: 7.1.1.1, Equation (1)")</definedName>
    <definedName name="RiceCultivation_Equations.VEERG_7_1_1_1__1_MethaneEmissionsFromRiceCultivation_Title">_xlfn.LAMBDA("Methane emissions from rice cultivation")</definedName>
    <definedName name="RiceCultivation_Equations.VEERG_7_1_1_1__1_MethaneEmissionsFromRiceCultivation_Unit">_xlfn.LAMBDA("t CH4")</definedName>
    <definedName name="RiceCultivation_Equations.VEERG_7_1_1_1__1_MethaneEmissionsFromRiceCultivation_Variable">_xlfn.LAMBDA("E_rice")</definedName>
    <definedName name="RiceCultivation_Equations.VEERG_7_1_1_1__1_MethaneEmissionsFromRiceCultivation_Variation">_xlfn.LAMBDA("Added 'number of seasons' variable as per VEERG description in 7.2.1 'Where there is more than one cropping season per year, Arice,wpo shall be scaled accordingly'")</definedName>
    <definedName name="RiceCultivation_Equations.VEERG_7_1_1_1__2_EmissionFactorForRiceCultivation">_xlfn.LAMBDA(_xlpm.EF_c,_xlpm.SF_w,_xlpm.SF_p,_xlpm.SF_o, _xlpm.EF_c * _xlpm.SF_w * _xlpm.SF_p * _xlpm.SF_o)</definedName>
    <definedName name="RiceCultivation_Equations.VEERG_7_1_1_1__2_EmissionFactorForRiceCultivation_Arguments">_xlfn.LAMBDA(_xlfn.MAKEARRAY(7, 4, _xlfn.LAMBDA(_xlpm.r,_xlpm.c, INDEX({"EF_c","baseline emission factor for continuously flooded fields without organic amendments","kg CH4/ha/day","Constant";"SF_w","scaling factor for water regime during the growing season","fraction","Constant";"SF_p","scaling factor for water regime in the pre-season","fraction","Constant";"SF_o","scaling factor for type and amount of organic amendments","fraction","Calculated from 7.1.1.1, (3)";"w","water regime during growing season","","Input";"p","pre-season water regime","","Input";"o","organic amendment","","Input"}, _xlpm.r, _xlpm.c))))</definedName>
    <definedName name="RiceCultivation_Equations.VEERG_7_1_1_1__2_EmissionFactorForRiceCultivation_LatexEquation">_xlfn.LAMBDA("EF_{rice,wpo}=EF_c\times SF_w\times SF_p\times SF_o")</definedName>
    <definedName name="RiceCultivation_Equations.VEERG_7_1_1_1__2_EmissionFactorForRiceCultivation_NIRReference">_xlfn.LAMBDA("")</definedName>
    <definedName name="RiceCultivation_Equations.VEERG_7_1_1_1__2_EmissionFactorForRiceCultivation_Source">_xlfn.LAMBDA("VEERG 2026: 7.1.1.1, Equation (2)")</definedName>
    <definedName name="RiceCultivation_Equations.VEERG_7_1_1_1__2_EmissionFactorForRiceCultivation_Title">_xlfn.LAMBDA("Emission factor for rice cultivation")</definedName>
    <definedName name="RiceCultivation_Equations.VEERG_7_1_1_1__2_EmissionFactorForRiceCultivation_Unit">_xlfn.LAMBDA("kg CH4/ha/day")</definedName>
    <definedName name="RiceCultivation_Equations.VEERG_7_1_1_1__2_EmissionFactorForRiceCultivation_Variable">_xlfn.LAMBDA("EF_ricewpo")</definedName>
    <definedName name="RiceCultivation_Equations.VEERG_7_1_1_1__3_OrganicAmendmentsScalingFactor">_xlfn.LAMBDA(_xlpm.ROA_o,_xlpm.CFOA_o, (1 + SUM(_xlpm.ROA_o * _xlpm.CFOA_o)) ^ 0.59)</definedName>
    <definedName name="RiceCultivation_Equations.VEERG_7_1_1_1__3_OrganicAmendmentsScalingFactor_Arguments">_xlfn.LAMBDA(_xlfn.MAKEARRAY(3, 4, _xlfn.LAMBDA(_xlpm.r,_xlpm.c, INDEX({"ROA_o","application rate of organic amendment o","tonnes/ha","Input";"CFOA_o","conversion factor of organic amendment o","fraction","Constant";"o","organic amendment type","","Input"}, _xlpm.r, _xlpm.c))))</definedName>
    <definedName name="RiceCultivation_Equations.VEERG_7_1_1_1__3_OrganicAmendmentsScalingFactor_LatexEquation">_xlfn.LAMBDA("SF_o=(1+\sum_oROA_o\times CFOA_o)^{0.59}")</definedName>
    <definedName name="RiceCultivation_Equations.VEERG_7_1_1_1__3_OrganicAmendmentsScalingFactor_LatexEquationVariation">_xlfn.LAMBDA("SF_o=(1+ ((ROA_o1\times CFOA_o1) + (ROA_o2\times CFOA_o2) + (ROA_o3\times CFOA_o3) + (ROA_o4\times CFOA_o4) + (ROA_o5\times CFOA_o5) + (ROA_o6\times CFOA_o6))^{0.59}")</definedName>
    <definedName name="RiceCultivation_Equations.VEERG_7_1_1_1__3_OrganicAmendmentsScalingFactor_NIRReference">_xlfn.LAMBDA("")</definedName>
    <definedName name="RiceCultivation_Equations.VEERG_7_1_1_1__3_OrganicAmendmentsScalingFactor_Source">_xlfn.LAMBDA("VEERG 2026: 7.1.1.1, Equation (3)")</definedName>
    <definedName name="RiceCultivation_Equations.VEERG_7_1_1_1__3_OrganicAmendmentsScalingFactor_Title">_xlfn.LAMBDA("Organic amendments scaling factor")</definedName>
    <definedName name="RiceCultivation_Equations.VEERG_7_1_1_1__3_OrganicAmendmentsScalingFactor_Unit">_xlfn.LAMBDA("dimensionless")</definedName>
    <definedName name="RiceCultivation_Equations.VEERG_7_1_1_1__3_OrganicAmendmentsScalingFactor_Variable">_xlfn.LAMBDA("SF_o")</definedName>
    <definedName name="RiceCultivation_Equations.VEERG_7_1_1_1__3_OrganicAmendmentsScalingFactor_Variation">_xlfn.LAMBDA(_xlfn.MAKEARRAY(4,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definedName>
    <definedName name="RiceCultivation_Equations.VEERG_7_1_1_1__3_OrganicAmendmentsScalingFactorVariation">_xlfn.LAMBDA(_xlpm.ROA_o1,_xlpm.CFOA_o1,_xlpm.ROA_o2,_xlpm.CFOA_o2,_xlpm.ROA_o3,_xlpm.CFOA_o3,_xlpm.ROA_o4,_xlpm.CFOA_o4,_xlpm.ROA_o5,_xlpm.CFOA_o5,_xlpm.ROA_o6,_xlpm.CFOA_o6, (1 + ((_xlpm.ROA_o1 * _xlpm.CFOA_o1) + (_xlpm.ROA_o2 * _xlpm.CFOA_o2) + (_xlpm.ROA_o3 * _xlpm.CFOA_o3) + (_xlpm.ROA_o4 * _xlpm.CFOA_o4) + (_xlpm.ROA_o5 * _xlpm.CFOA_o5) + (_xlpm.ROA_o6 * _xlpm.CFOA_o6))) ^ 0.59)</definedName>
    <definedName name="RiceCultivation_SourceData.SourceData_RiceCultivation_BaselineEF_Data">_xlfn.LAMBDA(1.19)</definedName>
    <definedName name="RiceCultivation_SourceData.SourceData_RiceCultivation_BaselineEF_Source">_xlfn.LAMBDA("VEERG 2026: 7.2.3 Constant Parameters")</definedName>
    <definedName name="RiceCultivation_SourceData.SourceData_RiceCultivation_BaselineEF_Title">_xlfn.LAMBDA("Baseline emission factor for continuously flooded fields without organic amendments")</definedName>
    <definedName name="RiceCultivation_SourceData.SourceData_RiceCultivation_BaselineEF_Unit">_xlfn.LAMBDA("kg CH4 / ha / day")</definedName>
    <definedName name="RiceCultivation_SourceData.SourceData_RiceCultivation_BaselineEF_Variable">_xlfn.LAMBDA("EFc")</definedName>
    <definedName name="RiceCultivation_SourceData.SourceData_RiceCultivation_BaselineEF_Variation">_xlfn.LAMBDA("")</definedName>
    <definedName name="RiceCultivation_SourceData.SourceData_RiceCultivation_OrganicAmendmentConversionFactor_Data">_xlfn.LAMBDA(
    _xlfn.MAKEARRAY(7, 2,
      _xlfn.LAMBDA(_xlpm.r,_xlpm.c,
        INDEX({"Organic amendment i","CFOAi";"Straw incorporated shortly (&lt;30 days) before cultivation",1;"Straw incorporated long (&gt;30 days) before cultivation",0.19;"Compost",0.17;"Farm yard manure",0.21;"Green manure",0.45;"Inorganic fertiliser",1}, _xlpm.r, _xlpm.c)
      )
    )
  )</definedName>
    <definedName name="RiceCultivation_SourceData.SourceData_RiceCultivation_OrganicAmendmentConversionFactor_Source">_xlfn.LAMBDA("VEERG 2026: Table A.2.3.3")</definedName>
    <definedName name="RiceCultivation_SourceData.SourceData_RiceCultivation_OrganicAmendmentConversionFactor_Title">_xlfn.LAMBDA("Conversion factor for organic amendment i")</definedName>
    <definedName name="RiceCultivation_SourceData.SourceData_RiceCultivation_OrganicAmendmentConversionFactor_Unit">_xlfn.LAMBDA("fraction")</definedName>
    <definedName name="RiceCultivation_SourceData.SourceData_RiceCultivation_OrganicAmendmentConversionFactor_Variable">_xlfn.LAMBDA("CFOAi")</definedName>
    <definedName name="RiceCultivation_SourceData.SourceData_RiceCultivation_OrganicAmendmentConversionFactor_Variation">_xlfn.LAMBDA(_xlfn.MAKEARRAY(3, 1, _xlfn.LAMBDA(_xlpm.r,_xlpm.c, INDEX({"VARIATION ON SOURCE:";"Included inorganic fertiliser as amendment as per VEERG equation description:";"Where inorganic fertiliser is applied to the rice fields rather than organic amendments, SF_o is set to 1."}, _xlpm.r, _xlpm.c))))</definedName>
    <definedName name="RiceCultivation_SourceData.SourceData_RiceCultivation_WaterScalingFactorGrowingSeason_Data">_xlfn.LAMBDA(_xlfn.MAKEARRAY(9, 3, _xlfn.LAMBDA(_xlpm.r,_xlpm.c, INDEX({"Water regime type","Water regime sub - type","SFw";"Upland","Paddy rotation",0;"Upland","Fallow without flooding in previous year",0;"Irrigated","Continuously flooded",1;"Irrigated","Single drainage period",0.71;"Irrigated","Multiple drainage periods",0.55;"Rainfed and deep water","Regular rainfed",0.54;"Rainfed and deep water","Drought prone",0.16;"Rainfed and deep water","Deep water",0.06}, _xlpm.r, _xlpm.c))))</definedName>
    <definedName name="RiceCultivation_SourceData.SourceData_RiceCultivation_WaterScalingFactorGrowingSeason_Source">_xlfn.LAMBDA("VEERG 2026: Table A.2.3.1")</definedName>
    <definedName name="RiceCultivation_SourceData.SourceData_RiceCultivation_WaterScalingFactorGrowingSeason_Title">_xlfn.LAMBDA("Scaling factor based on the water regime employed during the growing season cultivation period")</definedName>
    <definedName name="RiceCultivation_SourceData.SourceData_RiceCultivation_WaterScalingFactorGrowingSeason_Unit">_xlfn.LAMBDA("fraction")</definedName>
    <definedName name="RiceCultivation_SourceData.SourceData_RiceCultivation_WaterScalingFactorGrowingSeason_Variable">_xlfn.LAMBDA("SFw")</definedName>
    <definedName name="RiceCultivation_SourceData.SourceData_RiceCultivation_WaterScalingFactorGrowingSeason_Variation">_xlfn.LAMBDA("")</definedName>
    <definedName name="RiceCultivation_SourceData.SourceData_RiceCultivation_WaterScalingFactorPreSeason_Data">_xlfn.LAMBDA(_xlfn.MAKEARRAY(5, 2, _xlfn.LAMBDA(_xlpm.r,_xlpm.c, INDEX({"Water regime prior to cultivation period p","SFp";"Non flooded pre-season &lt;180 days",1;"Non flooded pre-season &gt;180 days",0.89;"Flooded pre-season &gt;30 days",2.41;"Non-flooded pre-season &gt;365 days",0.59}, _xlpm.r, _xlpm.c))))</definedName>
    <definedName name="RiceCultivation_SourceData.SourceData_RiceCultivation_WaterScalingFactorPreSeason_Source">_xlfn.LAMBDA("VEERG 2026: Table A.2.3.2")</definedName>
    <definedName name="RiceCultivation_SourceData.SourceData_RiceCultivation_WaterScalingFactorPreSeason_Title">_xlfn.LAMBDA("Scaling factor based on the water regime employed in the pre - season before the growing period")</definedName>
    <definedName name="RiceCultivation_SourceData.SourceData_RiceCultivation_WaterScalingFactorPreSeason_Unit">_xlfn.LAMBDA("fraction")</definedName>
    <definedName name="RiceCultivation_SourceData.SourceData_RiceCultivation_WaterScalingFactorPreSeason_Variable">_xlfn.LAMBDA("SFp")</definedName>
    <definedName name="RiceCultivation_SourceData.SourceData_RiceCultivation_WaterScalingFactorPreSeason_Variation">_xlfn.LAMBDA("")</definedName>
    <definedName name="SourceData_RiceCultivation_BaselineEF_Data">'Constants - Rice cultivation'!$E$49</definedName>
    <definedName name="Step1">#REF!</definedName>
    <definedName name="Step2">#REF!</definedName>
    <definedName name="Step3">#REF!</definedName>
    <definedName name="Table_CFOA_o">'7.1.1-2 Rice cultivation'!$D$32:$E$38</definedName>
    <definedName name="Table_E_rice">'7.1.1-2 Rice cultivation'!$D$95:$G$97</definedName>
    <definedName name="Table_EF_rice_w_p_o">'7.1.1-2 Rice cultivation'!$D$69:$K$71</definedName>
    <definedName name="Table_ROA_o">'7.1.1-2 Rice cultivation'!$D$23:$J$25</definedName>
    <definedName name="Table_SF_o">'7.1.1-2 Rice cultivation'!$D$42:$E$44</definedName>
    <definedName name="VEERG_7_1_1_1__1_MethaneEmissionsFromRiceCultivation_Result_Method1">'7.1.1-2 Rice cultivation'!$E$102</definedName>
    <definedName name="X_Cell_NumberGorwingSeasons">'Input - Rice'!$E$10</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4" i="69" l="1"/>
  <c r="D10" i="70"/>
  <c r="E13" i="15"/>
  <c r="A19" i="121"/>
  <c r="A18" i="121"/>
  <c r="A14" i="121"/>
  <c r="A10" i="121"/>
  <c r="A9" i="121"/>
  <c r="A5" i="121"/>
  <c r="A4" i="121"/>
  <c r="A3" i="121"/>
  <c r="A19" i="110"/>
  <c r="A18" i="110"/>
  <c r="A14" i="110"/>
  <c r="A10" i="110"/>
  <c r="A9" i="110"/>
  <c r="A5" i="110"/>
  <c r="A4" i="110"/>
  <c r="A3" i="110"/>
  <c r="A19" i="69"/>
  <c r="A18" i="69"/>
  <c r="A14" i="69"/>
  <c r="A10" i="69"/>
  <c r="A9" i="69"/>
  <c r="A5" i="69"/>
  <c r="A4" i="69"/>
  <c r="A3" i="69"/>
  <c r="A19" i="70"/>
  <c r="A18" i="70"/>
  <c r="A14" i="70"/>
  <c r="A10" i="70"/>
  <c r="A9" i="70"/>
  <c r="A5" i="70"/>
  <c r="A4" i="70"/>
  <c r="A3" i="70"/>
  <c r="A19" i="15"/>
  <c r="A18" i="15"/>
  <c r="A14" i="15"/>
  <c r="A10" i="15"/>
  <c r="A9" i="15"/>
  <c r="A5" i="15"/>
  <c r="A4" i="15"/>
  <c r="A3" i="15"/>
  <c r="A19" i="13"/>
  <c r="A18" i="13"/>
  <c r="A14" i="13"/>
  <c r="A10" i="13"/>
  <c r="A9" i="13"/>
  <c r="A5" i="13"/>
  <c r="A4" i="13"/>
  <c r="A3" i="13"/>
  <c r="A19" i="118"/>
  <c r="A18" i="118"/>
  <c r="A14" i="118"/>
  <c r="A10" i="118"/>
  <c r="A9" i="118"/>
  <c r="A5" i="118"/>
  <c r="A4" i="118"/>
  <c r="A3" i="118"/>
  <c r="A19" i="71"/>
  <c r="A18" i="71"/>
  <c r="A14" i="71"/>
  <c r="A10" i="71"/>
  <c r="A9" i="71"/>
  <c r="A5" i="71"/>
  <c r="A4" i="71"/>
  <c r="A3" i="71"/>
  <c r="G105"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c r="D228" i="121" a="1"/>
  <c r="D227" i="121"/>
  <c r="D227" i="121" a="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c r="D211" i="121" a="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c r="D178" i="121" a="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a="1"/>
  <c r="D141" i="121" s="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c r="D116" i="121" a="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a="1"/>
  <c r="D82" i="121" s="1"/>
  <c r="D81" i="121" a="1"/>
  <c r="D81" i="121" s="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a="1"/>
  <c r="D58" i="121" s="1"/>
  <c r="D57" i="121" a="1"/>
  <c r="D57" i="121" s="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c r="D45" i="121" a="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c r="D35" i="121" a="1"/>
  <c r="D34" i="121"/>
  <c r="D34" i="121" a="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J91" i="69"/>
  <c r="E96" i="69" s="1" a="1"/>
  <c r="E96" i="69" s="1"/>
  <c r="G70" i="69" a="1"/>
  <c r="G70" i="69" s="1"/>
  <c r="F70" i="69" a="1"/>
  <c r="F70" i="69" s="1"/>
  <c r="E70" i="69" a="1"/>
  <c r="E70" i="69" s="1"/>
  <c r="D70" i="69" a="1"/>
  <c r="D70" i="69" s="1"/>
  <c r="J24" i="69" a="1"/>
  <c r="J24" i="69" s="1"/>
  <c r="I24" i="69" a="1"/>
  <c r="I24" i="69" s="1"/>
  <c r="H24" i="69" a="1"/>
  <c r="H24" i="69" s="1"/>
  <c r="G24" i="69" a="1"/>
  <c r="G24" i="69" s="1"/>
  <c r="F24" i="69" a="1"/>
  <c r="F24" i="69" s="1"/>
  <c r="E24" i="69" a="1"/>
  <c r="E24" i="69" s="1"/>
  <c r="D24" i="69" a="1"/>
  <c r="D24" i="69" s="1"/>
  <c r="D43" i="69" a="1"/>
  <c r="D43" i="69" s="1"/>
  <c r="F96" i="69" a="1"/>
  <c r="F96" i="69" s="1"/>
  <c r="D96" i="69" a="1"/>
  <c r="D96" i="69" s="1"/>
  <c r="H51" i="121" l="1"/>
  <c r="H53" i="121"/>
  <c r="H52" i="121"/>
  <c r="H48" i="121"/>
  <c r="H50" i="121"/>
  <c r="H54" i="121"/>
  <c r="H49" i="121"/>
  <c r="D80" i="69" a="1"/>
  <c r="D80" i="69" s="1"/>
  <c r="J89" i="69" a="1"/>
  <c r="J89" i="69" s="1"/>
  <c r="J90" i="69" a="1"/>
  <c r="J90" i="69" s="1"/>
  <c r="J88" i="69" a="1"/>
  <c r="J88" i="69" s="1"/>
  <c r="H88" i="69" a="1"/>
  <c r="H88" i="69" s="1"/>
  <c r="D88" i="69" a="1"/>
  <c r="D88" i="69" s="1"/>
  <c r="D104" i="69" a="1"/>
  <c r="D104" i="69" s="1"/>
  <c r="E86" i="69" a="1"/>
  <c r="E86" i="69" s="1"/>
  <c r="E85" i="69" a="1"/>
  <c r="E85" i="69" s="1"/>
  <c r="D79" i="69" a="1"/>
  <c r="D79" i="69" s="1"/>
  <c r="D78" i="69" a="1"/>
  <c r="D78" i="69" s="1"/>
  <c r="J65" i="69" a="1"/>
  <c r="J65" i="69" s="1"/>
  <c r="J64" i="69" a="1"/>
  <c r="J64" i="69" s="1"/>
  <c r="J63" i="69" a="1"/>
  <c r="J63" i="69" s="1"/>
  <c r="J62" i="69" a="1"/>
  <c r="J62" i="69" s="1"/>
  <c r="J61" i="69" a="1"/>
  <c r="J61" i="69" s="1"/>
  <c r="J60" i="69" a="1"/>
  <c r="J60" i="69" s="1"/>
  <c r="E53" i="69" a="1"/>
  <c r="E81" i="69" a="1"/>
  <c r="F102" i="69" l="1"/>
  <c r="H96" i="69"/>
  <c r="E81" i="69"/>
  <c r="E53" i="69"/>
  <c r="I19" i="69" l="1" a="1"/>
  <c r="I19" i="69" s="1"/>
  <c r="I18" i="69" a="1"/>
  <c r="I18" i="69" s="1"/>
  <c r="I17" i="69" a="1"/>
  <c r="I17" i="69" s="1"/>
  <c r="D7" i="69" a="1"/>
  <c r="D7" i="69" s="1"/>
  <c r="D33" i="110" a="1"/>
  <c r="D33" i="110" s="1"/>
  <c r="D44" i="110" a="1"/>
  <c r="D44" i="110" s="1"/>
  <c r="D38" i="69" s="1"/>
  <c r="E44" i="110" a="1"/>
  <c r="E44" i="110" s="1"/>
  <c r="E38" i="69" s="1"/>
  <c r="F49" i="110" a="1"/>
  <c r="F49" i="110" s="1"/>
  <c r="E49" i="110" a="1"/>
  <c r="E49" i="110" s="1"/>
  <c r="J59" i="69" s="1"/>
  <c r="D49" i="110" a="1"/>
  <c r="D49" i="110" s="1"/>
  <c r="D48" i="110" a="1"/>
  <c r="D48" i="110" s="1"/>
  <c r="D47" i="110" a="1"/>
  <c r="D47" i="110" s="1"/>
  <c r="D43" i="110" a="1"/>
  <c r="D43" i="110" s="1"/>
  <c r="I23" i="69" s="1"/>
  <c r="E43" i="110" a="1"/>
  <c r="E43" i="110" s="1"/>
  <c r="E37" i="69" s="1"/>
  <c r="D42" i="110" a="1"/>
  <c r="D42" i="110" s="1"/>
  <c r="H23" i="69" s="1"/>
  <c r="E42" i="110" a="1"/>
  <c r="E42" i="110" s="1"/>
  <c r="E36" i="69" s="1"/>
  <c r="D41" i="110" a="1"/>
  <c r="D41" i="110" s="1"/>
  <c r="G23" i="69" s="1"/>
  <c r="E41" i="110" a="1"/>
  <c r="E41" i="110" s="1"/>
  <c r="E35" i="69" s="1"/>
  <c r="D40" i="110" a="1"/>
  <c r="D40" i="110" s="1"/>
  <c r="F23" i="69" s="1"/>
  <c r="E40" i="110" a="1"/>
  <c r="E40" i="110" s="1"/>
  <c r="E34" i="69" s="1"/>
  <c r="E39" i="110" a="1"/>
  <c r="E39" i="110" s="1"/>
  <c r="E33" i="69" s="1"/>
  <c r="D39" i="110" a="1"/>
  <c r="D39" i="110" s="1"/>
  <c r="E23" i="69" s="1"/>
  <c r="D37" i="110" a="1"/>
  <c r="D37" i="110" s="1"/>
  <c r="D36" i="110" a="1"/>
  <c r="D36" i="110" s="1"/>
  <c r="D32" i="110" a="1"/>
  <c r="D32" i="110" s="1"/>
  <c r="D31" i="110" a="1"/>
  <c r="D31" i="110" s="1"/>
  <c r="D28" i="110" a="1"/>
  <c r="D28" i="110" s="1"/>
  <c r="E28" i="110" a="1"/>
  <c r="E28" i="110" s="1"/>
  <c r="D27" i="110" a="1"/>
  <c r="D27" i="110" s="1"/>
  <c r="E27" i="110" a="1"/>
  <c r="E27" i="110" s="1"/>
  <c r="D26" i="110" a="1"/>
  <c r="D26" i="110" s="1"/>
  <c r="E26" i="110" a="1"/>
  <c r="E26" i="110" s="1"/>
  <c r="E25" i="110" a="1"/>
  <c r="E25" i="110" s="1"/>
  <c r="D25" i="110" a="1"/>
  <c r="D25" i="110" s="1"/>
  <c r="D23" i="110" a="1"/>
  <c r="D23" i="110" s="1"/>
  <c r="D22" i="110" a="1"/>
  <c r="D22" i="110" s="1"/>
  <c r="D21" i="110" a="1"/>
  <c r="D21" i="110" s="1"/>
  <c r="D20" i="110" a="1"/>
  <c r="D20" i="110" s="1"/>
  <c r="D17" i="110" a="1"/>
  <c r="D17" i="110" s="1"/>
  <c r="E17" i="110" a="1"/>
  <c r="E17" i="110" s="1"/>
  <c r="L12" i="110" s="1"/>
  <c r="F17" i="110" a="1"/>
  <c r="F17" i="110" s="1"/>
  <c r="D16" i="110" a="1"/>
  <c r="D16" i="110" s="1"/>
  <c r="E16" i="110" a="1"/>
  <c r="E16" i="110" s="1"/>
  <c r="L11" i="110" s="1"/>
  <c r="F16" i="110" a="1"/>
  <c r="F16" i="110" s="1"/>
  <c r="D15" i="110" a="1"/>
  <c r="D15" i="110" s="1"/>
  <c r="E15" i="110" a="1"/>
  <c r="E15" i="110" s="1"/>
  <c r="L10" i="110" s="1"/>
  <c r="F15" i="110" a="1"/>
  <c r="F15" i="110" s="1"/>
  <c r="D14" i="110" a="1"/>
  <c r="D14" i="110" s="1"/>
  <c r="E14" i="110" a="1"/>
  <c r="E14" i="110" s="1"/>
  <c r="J12" i="110" s="1"/>
  <c r="F14" i="110" a="1"/>
  <c r="F14" i="110" s="1"/>
  <c r="D13" i="110" a="1"/>
  <c r="D13" i="110" s="1"/>
  <c r="E13" i="110" a="1"/>
  <c r="E13" i="110" s="1"/>
  <c r="J11" i="110" s="1"/>
  <c r="F13" i="110" a="1"/>
  <c r="F13" i="110" s="1"/>
  <c r="D12" i="110" a="1"/>
  <c r="D12" i="110" s="1"/>
  <c r="E12" i="110" a="1"/>
  <c r="E12" i="110" s="1"/>
  <c r="J10" i="110" s="1"/>
  <c r="F12" i="110" a="1"/>
  <c r="F12" i="110" s="1"/>
  <c r="D11" i="110" a="1"/>
  <c r="D11" i="110" s="1"/>
  <c r="E11" i="110" a="1"/>
  <c r="E11" i="110" s="1"/>
  <c r="H11" i="110" s="1"/>
  <c r="F11" i="110" a="1"/>
  <c r="F11" i="110" s="1"/>
  <c r="F10" i="110" a="1"/>
  <c r="F10" i="110" s="1"/>
  <c r="E10" i="110" a="1"/>
  <c r="E10" i="110" s="1"/>
  <c r="D10" i="110" a="1"/>
  <c r="D10" i="110" s="1"/>
  <c r="D8" i="110" a="1"/>
  <c r="D8" i="110" s="1"/>
  <c r="D7" i="110" a="1"/>
  <c r="D7" i="110" s="1"/>
  <c r="D6" i="110" a="1"/>
  <c r="D6" i="110" s="1"/>
  <c r="D5" i="110" a="1"/>
  <c r="D5" i="110" s="1"/>
  <c r="E11" i="69" a="1"/>
  <c r="J74" i="69" l="1" a="1"/>
  <c r="J74" i="69" s="1"/>
  <c r="J73" i="69" a="1"/>
  <c r="J73" i="69" s="1"/>
  <c r="J72" i="69" a="1"/>
  <c r="J72" i="69" s="1"/>
  <c r="H10" i="110"/>
  <c r="I73" i="69" a="1"/>
  <c r="I73" i="69" s="1"/>
  <c r="I74" i="69" a="1"/>
  <c r="I74" i="69" s="1"/>
  <c r="I72" i="69" a="1"/>
  <c r="I72" i="69" s="1"/>
  <c r="I70" i="69" a="1"/>
  <c r="I70" i="69" s="1"/>
  <c r="I71" i="69" a="1"/>
  <c r="I71" i="69" s="1"/>
  <c r="J70" i="69" a="1"/>
  <c r="J70" i="69" s="1"/>
  <c r="J71" i="69" a="1"/>
  <c r="J71" i="69" s="1"/>
  <c r="E47" i="69" a="1"/>
  <c r="E47" i="69" s="1"/>
  <c r="E43" i="69" a="1"/>
  <c r="E43" i="69" s="1"/>
  <c r="E45" i="69" a="1"/>
  <c r="E45" i="69" s="1"/>
  <c r="H73" i="69" s="1" a="1"/>
  <c r="H73" i="69" s="1"/>
  <c r="E46" i="69" a="1"/>
  <c r="E46" i="69" s="1"/>
  <c r="E44" i="69" a="1"/>
  <c r="E44" i="69" s="1"/>
  <c r="H71" i="69" s="1" a="1"/>
  <c r="H71" i="69" s="1"/>
  <c r="E11" i="69"/>
  <c r="D33" i="69"/>
  <c r="D34" i="69"/>
  <c r="D35" i="69"/>
  <c r="D36" i="69"/>
  <c r="D37" i="69"/>
  <c r="K73" i="69" l="1" a="1"/>
  <c r="K73" i="69" s="1"/>
  <c r="G99" i="69" s="1" a="1"/>
  <c r="G99" i="69" s="1"/>
  <c r="H74" i="69" a="1"/>
  <c r="H74" i="69" s="1"/>
  <c r="K74" i="69" s="1" a="1"/>
  <c r="K74" i="69" s="1"/>
  <c r="G100" i="69" s="1" a="1"/>
  <c r="G100" i="69" s="1"/>
  <c r="H72" i="69" a="1"/>
  <c r="H72" i="69" s="1"/>
  <c r="K72" i="69" s="1" a="1"/>
  <c r="K72" i="69" s="1"/>
  <c r="G98" i="69" s="1" a="1"/>
  <c r="G98" i="69" s="1"/>
  <c r="H70" i="69" a="1"/>
  <c r="H70" i="69" s="1"/>
  <c r="K70" i="69" s="1" a="1"/>
  <c r="K70" i="69" s="1"/>
  <c r="G96" i="69" s="1" a="1"/>
  <c r="G96" i="69" s="1"/>
  <c r="K71" i="69" a="1"/>
  <c r="K71" i="69" s="1"/>
  <c r="G97" i="69" s="1" a="1"/>
  <c r="G97" i="69" s="1"/>
  <c r="E102" i="69" l="1"/>
  <c r="E9" i="13" l="1"/>
  <c r="F9" i="13" s="1"/>
  <c r="H59" i="69" a="1"/>
  <c r="H59" i="69" s="1"/>
  <c r="D59" i="69" a="1"/>
  <c r="D59" i="69" s="1"/>
  <c r="E57" i="69" a="1"/>
  <c r="E57" i="69" s="1"/>
  <c r="E56" i="69" a="1"/>
  <c r="E56" i="69" s="1"/>
  <c r="D52" i="69" a="1"/>
  <c r="D52" i="69" s="1"/>
  <c r="D51" i="69" a="1"/>
  <c r="D51" i="69" s="1"/>
  <c r="G17" i="69" a="1"/>
  <c r="D17" i="69" a="1"/>
  <c r="D17" i="69" s="1"/>
  <c r="E15" i="69" a="1"/>
  <c r="E15" i="69" s="1"/>
  <c r="E14" i="69" a="1"/>
  <c r="E14" i="69" s="1"/>
  <c r="D6" i="69" a="1"/>
  <c r="D6" i="69" s="1"/>
  <c r="D5" i="69" a="1"/>
  <c r="D5" i="69" s="1"/>
  <c r="G17" i="69" l="1"/>
  <c r="K24" i="69" s="1"/>
  <c r="F33" i="69"/>
  <c r="F107" i="69" a="1"/>
  <c r="F107" i="69" s="1"/>
  <c r="E107" i="69" l="1" a="1"/>
  <c r="E107" i="69" s="1"/>
  <c r="H9" i="13" s="1"/>
  <c r="H10" i="13" l="1"/>
  <c r="I9" i="13"/>
  <c r="I10"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<sst xmlns="http://schemas.openxmlformats.org/spreadsheetml/2006/main" count="216" uniqueCount="170">
  <si>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</si>
  <si>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</si>
  <si>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</si>
  <si>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</si>
  <si>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</si>
  <si>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</si>
  <si>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</si>
  <si>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</si>
  <si>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</si>
  <si>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</si>
  <si>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</si>
  <si>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</si>
  <si>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</si>
  <si>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</si>
  <si>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</si>
  <si>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</si>
  <si>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</si>
  <si>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</si>
  <si>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</si>
  <si>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</si>
  <si>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</si>
  <si>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</si>
  <si>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</si>
  <si>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</si>
  <si>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</si>
  <si>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</si>
  <si>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</si>
  <si>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</si>
  <si>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</si>
  <si>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</si>
  <si>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</si>
  <si>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</si>
  <si>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</si>
  <si>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</si>
  <si>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</si>
  <si>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</si>
  <si>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</si>
  <si>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</si>
  <si>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</si>
  <si>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</si>
  <si>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</si>
  <si>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</si>
  <si>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</si>
  <si>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</si>
  <si>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</si>
  <si>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</si>
  <si>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</si>
  <si>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</si>
  <si>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</si>
  <si>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</si>
  <si>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</si>
  <si>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</si>
  <si>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</si>
  <si>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</si>
  <si>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</si>
  <si>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</si>
  <si>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</si>
  <si>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</si>
  <si>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</si>
  <si>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</si>
  <si>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</si>
  <si>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</si>
  <si>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</si>
  <si>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</si>
  <si>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</si>
  <si>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</si>
  <si>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</si>
  <si>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</si>
  <si>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</si>
  <si>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</si>
  <si>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</si>
  <si>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</si>
  <si>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</si>
  <si>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</si>
  <si>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</si>
  <si>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</si>
  <si>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</si>
  <si>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</si>
  <si>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</si>
  <si>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</si>
  <si>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</si>
  <si>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</si>
  <si>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</si>
  <si>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</si>
  <si>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</si>
  <si>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</si>
  <si>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</si>
  <si>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r>
      <t>E</t>
    </r>
    <r>
      <rPr>
        <b/>
        <vertAlign val="subscript"/>
        <sz val="16"/>
        <color theme="1" tint="0.24994659260841701"/>
        <rFont val="Times New Roman"/>
        <family val="1"/>
      </rPr>
      <t>N2O</t>
    </r>
  </si>
  <si>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</si>
  <si>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</si>
  <si>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</si>
  <si>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</si>
  <si>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</si>
  <si>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</si>
  <si>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</si>
  <si>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</si>
  <si>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</si>
  <si>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</si>
  <si>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</si>
  <si>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</si>
  <si>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</si>
  <si>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</si>
  <si>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</si>
  <si>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Area</t>
  </si>
  <si>
    <t>If multiple paddocks were managed in the same way at the same time, you can enter information for them all together.</t>
  </si>
  <si>
    <t>7.1.1-2 Rice cultivation CH4 emissions</t>
  </si>
  <si>
    <t>Input - Rice</t>
  </si>
  <si>
    <t>Regimes</t>
  </si>
  <si>
    <t>Water regime type</t>
  </si>
  <si>
    <t>Regime name</t>
  </si>
  <si>
    <t>Pre-cultivation water regime</t>
  </si>
  <si>
    <t>Water regime sub-type</t>
  </si>
  <si>
    <t>Application rate of organic amendment</t>
  </si>
  <si>
    <t>Amendments</t>
  </si>
  <si>
    <t>Inorganic fertiliser</t>
  </si>
  <si>
    <t>Compost (t/ha)</t>
  </si>
  <si>
    <t>Farm yard manure (t/ha)</t>
  </si>
  <si>
    <t>Green manure (t/ha)</t>
  </si>
  <si>
    <t>Inorganic fertiliser (t/ha)</t>
  </si>
  <si>
    <t>Amendment blend (select)</t>
  </si>
  <si>
    <t>Water regime sub-type (select)</t>
  </si>
  <si>
    <t>Water regime (select)</t>
  </si>
  <si>
    <t>Pre-cultivation water regime (select)</t>
  </si>
  <si>
    <t>Constants - Rice cultivation</t>
  </si>
  <si>
    <t>SFw</t>
  </si>
  <si>
    <t>Water regime prior to cultivation</t>
  </si>
  <si>
    <t>SFp</t>
  </si>
  <si>
    <t>Organic amendment i</t>
  </si>
  <si>
    <t>CFOAi</t>
  </si>
  <si>
    <t>Table_SF_o</t>
  </si>
  <si>
    <t>Amendment mix</t>
  </si>
  <si>
    <t>Amendment mix name</t>
  </si>
  <si>
    <t>Table_CFOA_o</t>
  </si>
  <si>
    <t>Conversion factor for organic amendment</t>
  </si>
  <si>
    <t>Amendment</t>
  </si>
  <si>
    <t>CFOAo</t>
  </si>
  <si>
    <t>Table_ROA_o</t>
  </si>
  <si>
    <t>Organic amendments scaling factor</t>
  </si>
  <si>
    <t>SFo</t>
  </si>
  <si>
    <t>Regime</t>
  </si>
  <si>
    <t>Regime 1</t>
  </si>
  <si>
    <t>Regime 2</t>
  </si>
  <si>
    <t>Non flooded pre-season &lt;180 days</t>
  </si>
  <si>
    <t>Table_WaterRegimeSubtypes_Upland</t>
  </si>
  <si>
    <t>Table_WaterRegimeSubtypes_Irrigated</t>
  </si>
  <si>
    <t>Table_WaterRegimeSubtypes_Rainfedanddeepwater</t>
  </si>
  <si>
    <t>Sub type</t>
  </si>
  <si>
    <t>Irrigated</t>
  </si>
  <si>
    <t>Single drainage period</t>
  </si>
  <si>
    <t>Rainfed and deep water</t>
  </si>
  <si>
    <t>Flooded pre-season &gt;30 days</t>
  </si>
  <si>
    <t>growing seasons</t>
  </si>
  <si>
    <t>Mix 1</t>
  </si>
  <si>
    <t>Mix 2</t>
  </si>
  <si>
    <t>EFrice,wpo</t>
  </si>
  <si>
    <t>Drought prone</t>
  </si>
  <si>
    <t>Table_EF_rice_w_p_o</t>
  </si>
  <si>
    <t>Emission factor for rice cultivation</t>
  </si>
  <si>
    <t>Cultivation period (days)</t>
  </si>
  <si>
    <r>
      <t>E</t>
    </r>
    <r>
      <rPr>
        <b/>
        <vertAlign val="subscript"/>
        <sz val="11"/>
        <color rgb="FF183C1B"/>
        <rFont val="Times New Roman"/>
        <family val="1"/>
      </rPr>
      <t>rice,wpo</t>
    </r>
  </si>
  <si>
    <t>Area under cultivation (hectares)</t>
  </si>
  <si>
    <r>
      <t>A</t>
    </r>
    <r>
      <rPr>
        <b/>
        <vertAlign val="subscript"/>
        <sz val="11"/>
        <color rgb="FF533001"/>
        <rFont val="Times New Roman"/>
        <family val="1"/>
      </rPr>
      <t>rice,wpo</t>
    </r>
  </si>
  <si>
    <t>Table_E_rice</t>
  </si>
  <si>
    <t>Methane emissions from rice cultivation</t>
  </si>
  <si>
    <t>7.1.1-2 Rice cultivation</t>
  </si>
  <si>
    <t>7: Rice Cultivation: Overview</t>
  </si>
  <si>
    <t>7: Rice Cultivation: Results</t>
  </si>
  <si>
    <r>
      <t>t</t>
    </r>
    <r>
      <rPr>
        <b/>
        <vertAlign val="subscript"/>
        <sz val="11"/>
        <color rgb="FF533001"/>
        <rFont val="Times New Roman"/>
        <family val="1"/>
      </rPr>
      <t>rice,wpo</t>
    </r>
  </si>
  <si>
    <t>Straw added &lt; 30 days precultivation (t/ha)</t>
  </si>
  <si>
    <t>Straw added 30+ days pre cultivation (t/ha)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</si>
</sst>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vertAlign val="subscript"/>
      <sz val="11"/>
      <color rgb="FF183C1B"/>
      <name val="Times New Roman"/>
      <family val="1"/>
    </font>
    <font>
      <b/>
      <vertAlign val="subscript"/>
      <sz val="11"/>
      <color rgb="FF533001"/>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6" fillId="15" borderId="2">
      <alignment horizontal="center" vertical="center"/>
    </xf>
    <xf numFmtId="0" fontId="58" fillId="4" borderId="2">
      <alignment horizontal="left" vertical="center"/>
    </xf>
    <xf numFmtId="0" fontId="35" fillId="4" borderId="2">
      <alignment horizontal="left" vertical="center"/>
    </xf>
    <xf numFmtId="0" fontId="59" fillId="0" borderId="0"/>
  </cellStyleXfs>
  <cellXfs count="119">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7" fillId="4" borderId="0" xfId="61">
      <alignment horizontal="left" vertical="center"/>
    </xf>
    <xf numFmtId="0" fontId="46" fillId="4" borderId="0" xfId="60">
      <alignment horizontal="left"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39" fillId="4" borderId="0" xfId="8" applyAlignment="1">
      <alignment horizontal="center" vertical="center"/>
    </xf>
    <xf numFmtId="0" fontId="43" fillId="13" borderId="9" xfId="41" applyBorder="1">
      <alignment horizontal="left" vertical="center"/>
    </xf>
    <xf numFmtId="0" fontId="55"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13" fillId="6" borderId="0" xfId="30">
      <alignment horizontal="center" vertical="center"/>
      <protection locked="0"/>
    </xf>
    <xf numFmtId="0" fontId="56" fillId="15" borderId="2" xfId="66">
      <alignment horizontal="center" vertical="center"/>
    </xf>
    <xf numFmtId="0" fontId="57" fillId="14" borderId="2" xfId="65">
      <alignment horizontal="center" vertical="center"/>
    </xf>
    <xf numFmtId="0" fontId="39"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58"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170" fontId="8" fillId="4" borderId="0" xfId="10" applyNumberFormat="1">
      <alignment horizontal="center" vertical="center"/>
    </xf>
    <xf numFmtId="0" fontId="60" fillId="9" borderId="0" xfId="33" applyFont="1" applyFill="1"/>
    <xf numFmtId="0" fontId="39" fillId="9" borderId="0" xfId="8" applyFill="1">
      <alignment horizontal="left" vertical="center"/>
    </xf>
    <xf numFmtId="0" fontId="0" fillId="9" borderId="0" xfId="0" applyFill="1"/>
    <xf numFmtId="0" fontId="17" fillId="11" borderId="0" xfId="32" applyFill="1">
      <alignment vertical="center"/>
    </xf>
    <xf numFmtId="0" fontId="44"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63" fillId="9" borderId="5" xfId="36" applyFont="1">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6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Equation table" pivot="0" count="6" xr9:uid="{B247698E-E41D-4CCD-AA0A-C14817E9DE65}">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1.1-2 Rice cultivation'!D5"/><Relationship Id="rId2" Type="http://schemas.openxmlformats.org/officeDocument/2006/relationships/hyperlink" Target="#'7.1.1-2 Rice cultivation'!D78"/><Relationship Id="rId1" Type="http://schemas.openxmlformats.org/officeDocument/2006/relationships/hyperlink" Target="#'7.1.1-2 Rice cultivation'!D5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7.1.1-2 Rice cultivation'!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4871EB4-5DC2-4D10-A8B6-A0CA4AE96D38}" type="TxLink">
            <a:rPr lang="en-US" sz="1400" b="0" i="0" u="none" strike="noStrike">
              <a:solidFill>
                <a:srgbClr val="0C769E"/>
              </a:solidFill>
              <a:latin typeface="Times New Roman"/>
              <a:cs typeface="Times New Roman"/>
            </a:rPr>
            <a:pPr algn="ctr"/>
            <a:t>7.1.1-2 Rice cultivation CH4 emissions</a:t>
          </a:fld>
          <a:endParaRPr lang="en-AU" sz="1400" b="0">
            <a:solidFill>
              <a:srgbClr val="0C769E"/>
            </a:solidFill>
          </a:endParaRPr>
        </a:p>
      </xdr:txBody>
    </xdr:sp>
    <xdr:clientData/>
  </xdr:oneCellAnchor>
  <xdr:twoCellAnchor>
    <xdr:from>
      <xdr:col>3</xdr:col>
      <xdr:colOff>110835</xdr:colOff>
      <xdr:row>14</xdr:row>
      <xdr:rowOff>232930</xdr:rowOff>
    </xdr:from>
    <xdr:to>
      <xdr:col>5</xdr:col>
      <xdr:colOff>403635</xdr:colOff>
      <xdr:row>17</xdr:row>
      <xdr:rowOff>209980</xdr:rowOff>
    </xdr:to>
    <xdr:sp macro="" textlink="'7.1.1-2 Rice cultivation'!D51">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383338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27ECB6-7EB0-4FD1-96B7-4F3159D16F11}" type="TxLink">
            <a:rPr lang="en-US" sz="1000" b="0" i="0" u="none" strike="noStrike">
              <a:solidFill>
                <a:srgbClr val="0C769E"/>
              </a:solidFill>
              <a:latin typeface="Times New Roman"/>
              <a:cs typeface="Times New Roman"/>
            </a:rPr>
            <a:pPr algn="ctr"/>
            <a:t>Emission factor for rice cultivation</a:t>
          </a:fld>
          <a:endParaRPr lang="en-AU" sz="1000">
            <a:solidFill>
              <a:srgbClr val="0C769E"/>
            </a:solidFill>
          </a:endParaRPr>
        </a:p>
      </xdr:txBody>
    </xdr:sp>
    <xdr:clientData/>
  </xdr:twoCellAnchor>
  <xdr:twoCellAnchor>
    <xdr:from>
      <xdr:col>3</xdr:col>
      <xdr:colOff>110835</xdr:colOff>
      <xdr:row>20</xdr:row>
      <xdr:rowOff>45521</xdr:rowOff>
    </xdr:from>
    <xdr:to>
      <xdr:col>5</xdr:col>
      <xdr:colOff>403635</xdr:colOff>
      <xdr:row>23</xdr:row>
      <xdr:rowOff>38100</xdr:rowOff>
    </xdr:to>
    <xdr:sp macro="" textlink="'7.1.1-2 Rice cultivation'!D7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5131871"/>
          <a:ext cx="1512000" cy="735529"/>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0A416-30BE-4EDC-B99C-EA936883A985}" type="TxLink">
            <a:rPr lang="en-US" sz="1000" b="1" i="0" u="none" strike="noStrike">
              <a:solidFill>
                <a:srgbClr val="0C769E"/>
              </a:solidFill>
              <a:latin typeface="Times New Roman"/>
              <a:cs typeface="Times New Roman"/>
            </a:rPr>
            <a:pPr algn="ctr"/>
            <a:t>Methane emissions from rice cultivation</a:t>
          </a:fld>
          <a:endParaRPr lang="en-AU" sz="1000" b="1">
            <a:solidFill>
              <a:srgbClr val="0C769E"/>
            </a:solidFill>
          </a:endParaRPr>
        </a:p>
      </xdr:txBody>
    </xdr:sp>
    <xdr:clientData/>
  </xdr:twoCellAnchor>
  <xdr:twoCellAnchor>
    <xdr:from>
      <xdr:col>4</xdr:col>
      <xdr:colOff>250886</xdr:colOff>
      <xdr:row>17</xdr:row>
      <xdr:rowOff>216329</xdr:rowOff>
    </xdr:from>
    <xdr:to>
      <xdr:col>4</xdr:col>
      <xdr:colOff>263586</xdr:colOff>
      <xdr:row>20</xdr:row>
      <xdr:rowOff>51870</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3254115" y="4842625"/>
          <a:ext cx="578491"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120360</xdr:colOff>
      <xdr:row>10</xdr:row>
      <xdr:rowOff>13855</xdr:rowOff>
    </xdr:from>
    <xdr:to>
      <xdr:col>5</xdr:col>
      <xdr:colOff>413160</xdr:colOff>
      <xdr:row>12</xdr:row>
      <xdr:rowOff>238555</xdr:rowOff>
    </xdr:to>
    <xdr:sp macro="" textlink="'7.1.1-2 Rice cultivation'!D5">
      <xdr:nvSpPr>
        <xdr:cNvPr id="2" name="TextBox 1">
          <a:hlinkClick xmlns:r="http://schemas.openxmlformats.org/officeDocument/2006/relationships" r:id="rId3"/>
          <a:extLst>
            <a:ext uri="{FF2B5EF4-FFF2-40B4-BE49-F238E27FC236}">
              <a16:creationId xmlns:a16="http://schemas.microsoft.com/office/drawing/2014/main" id="{3DBA3A1F-E461-4DCE-97E4-39835C9DA940}"/>
            </a:ext>
          </a:extLst>
        </xdr:cNvPr>
        <xdr:cNvSpPr txBox="1"/>
      </xdr:nvSpPr>
      <xdr:spPr>
        <a:xfrm>
          <a:off x="2796885" y="26237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ABD53-0B14-4646-BF1E-ABDF085372F8}" type="TxLink">
            <a:rPr lang="en-US" sz="1000" b="0" i="0" u="none" strike="noStrike">
              <a:solidFill>
                <a:srgbClr val="0C769E"/>
              </a:solidFill>
              <a:latin typeface="Times New Roman"/>
              <a:cs typeface="Times New Roman"/>
            </a:rPr>
            <a:pPr algn="ctr"/>
            <a:t>Organic amendments scaling factor</a:t>
          </a:fld>
          <a:endParaRPr lang="en-AU" sz="1000">
            <a:solidFill>
              <a:srgbClr val="0C769E"/>
            </a:solidFill>
          </a:endParaRPr>
        </a:p>
      </xdr:txBody>
    </xdr:sp>
    <xdr:clientData/>
  </xdr:twoCellAnchor>
  <xdr:twoCellAnchor>
    <xdr:from>
      <xdr:col>4</xdr:col>
      <xdr:colOff>257236</xdr:colOff>
      <xdr:row>12</xdr:row>
      <xdr:rowOff>238555</xdr:rowOff>
    </xdr:from>
    <xdr:to>
      <xdr:col>4</xdr:col>
      <xdr:colOff>266761</xdr:colOff>
      <xdr:row>14</xdr:row>
      <xdr:rowOff>232930</xdr:rowOff>
    </xdr:to>
    <xdr:cxnSp macro="">
      <xdr:nvCxnSpPr>
        <xdr:cNvPr id="14" name="Connector: Curved 13">
          <a:extLst>
            <a:ext uri="{FF2B5EF4-FFF2-40B4-BE49-F238E27FC236}">
              <a16:creationId xmlns:a16="http://schemas.microsoft.com/office/drawing/2014/main" id="{FC0DCD89-96E0-0D85-232D-32E89CD0B078}"/>
            </a:ext>
          </a:extLst>
        </xdr:cNvPr>
        <xdr:cNvCxnSpPr>
          <a:stCxn id="2" idx="2"/>
          <a:endCxn id="5" idx="0"/>
        </xdr:cNvCxnSpPr>
      </xdr:nvCxnSpPr>
      <xdr:spPr>
        <a:xfrm rot="5400000">
          <a:off x="3303286" y="3583780"/>
          <a:ext cx="489675"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7</xdr:col>
      <xdr:colOff>1657350</xdr:colOff>
      <xdr:row>11</xdr:row>
      <xdr:rowOff>4762</xdr:rowOff>
    </xdr:from>
    <xdr:ext cx="2984215" cy="4858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nary>
                            <m:r>
                              <a:rPr lang="en-AU" sz="1100" i="1">
                                <a:latin typeface="Cambria Math" panose="02040503050406030204" pitchFamily="18" charset="0"/>
                              </a:rPr>
                              <m:t>×</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𝑆𝐹_𝑜=(1+∑8_𝑜▒〖𝑅𝑂𝐴_𝑜 〗×𝐶𝐹𝑂𝐴_𝑜 )^0.59</a:t>
              </a:r>
              <a:endParaRPr lang="en-AU" sz="1100"/>
            </a:p>
          </xdr:txBody>
        </xdr:sp>
      </mc:Fallback>
    </mc:AlternateContent>
    <xdr:clientData/>
  </xdr:oneCellAnchor>
  <xdr:oneCellAnchor>
    <xdr:from>
      <xdr:col>2</xdr:col>
      <xdr:colOff>304800</xdr:colOff>
      <xdr:row>53</xdr:row>
      <xdr:rowOff>142875</xdr:rowOff>
    </xdr:from>
    <xdr:ext cx="2169055" cy="18229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𝐸𝐹_(𝑟𝑖𝑐𝑒,𝑤𝑝𝑜)=𝐸𝐹_𝑐×𝑆𝐹_𝑤×𝑆𝐹_𝑝×𝑆𝐹_𝑜</a:t>
              </a:r>
              <a:endParaRPr lang="en-AU" sz="1100"/>
            </a:p>
          </xdr:txBody>
        </xdr:sp>
      </mc:Fallback>
    </mc:AlternateContent>
    <xdr:clientData/>
  </xdr:oneCellAnchor>
  <xdr:oneCellAnchor>
    <xdr:from>
      <xdr:col>2</xdr:col>
      <xdr:colOff>266700</xdr:colOff>
      <xdr:row>11</xdr:row>
      <xdr:rowOff>109537</xdr:rowOff>
    </xdr:from>
    <xdr:ext cx="9164111" cy="22692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=(1+</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e>
                            </m:d>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𝑆𝐹_𝑜=(1+((𝑅𝑂𝐴_𝑜 1×𝐶𝐹𝑂𝐴_𝑜 1)+(𝑅𝑂𝐴_𝑜 2×𝐶𝐹𝑂𝐴_𝑜 2)+(𝑅𝑂𝐴_𝑜 3×𝐶𝐹𝑂𝐴_𝑜 3)+(𝑅𝑂𝐴_𝑜 4×𝐶𝐹𝑂𝐴_𝑜 4)+(𝑅𝑂𝐴_𝑜 5×𝐶𝐹𝑂𝐴_𝑜 5)+(𝑅𝑂𝐴_𝑜 6×𝐶𝐹𝑂𝐴_𝑜 6))^0.59</a:t>
              </a:r>
              <a:endParaRPr lang="en-AU" sz="1100"/>
            </a:p>
          </xdr:txBody>
        </xdr:sp>
      </mc:Fallback>
    </mc:AlternateContent>
    <xdr:clientData/>
  </xdr:oneCellAnchor>
  <xdr:oneCellAnchor>
    <xdr:from>
      <xdr:col>3</xdr:col>
      <xdr:colOff>4762</xdr:colOff>
      <xdr:row>81</xdr:row>
      <xdr:rowOff>185737</xdr:rowOff>
    </xdr:from>
    <xdr:ext cx="3657411" cy="4293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𝑟𝑖𝑐𝑒</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𝑡</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𝐸_𝑟𝑖𝑐𝑒=∑8_𝑤▒∑8_𝑝▒∑8_𝑜▒(𝐴_(𝑟𝑖𝑐𝑒,𝑤𝑝𝑜)×𝐸𝐹_(𝑟𝑖𝑐𝑒,𝑤𝑝𝑜)×𝑡_(𝑟𝑖𝑐𝑒,𝑤𝑝𝑜)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806D6F-E104-4CB8-B5F5-5EEEA3F43EFC}" name="Table_Input_AmendmentBlends" displayName="Table_Input_AmendmentBlends" ref="D14:J16" totalsRowShown="0" headerRowCellStyle="Input table column header">
  <autoFilter ref="D14:J16" xr:uid="{7E806D6F-E104-4CB8-B5F5-5EEEA3F43E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260FFD-8165-44FA-8171-CF7DA9E6EDC2}" name="Amendment mix name"/>
    <tableColumn id="2" xr3:uid="{1656D970-5568-46C3-8CF9-6544B58E60EE}" name="Straw added &lt; 30 days precultivation (t/ha)"/>
    <tableColumn id="8" xr3:uid="{6AB8226E-B5ED-4236-BF1D-312497BC4C8F}" name="Straw added 30+ days pre cultivation (t/ha)" dataDxfId="17" dataCellStyle="Content normal"/>
    <tableColumn id="3" xr3:uid="{7414D722-C23C-43BF-8BE4-9A787F770773}" name="Compost (t/ha)"/>
    <tableColumn id="4" xr3:uid="{10821F0A-FFAB-47C5-A2D8-0C77A91D1E11}" name="Farm yard manure (t/ha)"/>
    <tableColumn id="5" xr3:uid="{7554AF1F-8437-4EC1-A35B-D5ADAFFC9535}" name="Green manure (t/ha)"/>
    <tableColumn id="6" xr3:uid="{E60C975D-5DD8-4650-852E-B1AD3218E96D}" name="Inorganic fertiliser (t/ha)"/>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ABCF01-31A9-4CAB-B7D7-F8C72457E51D}" name="Table_Input_Regimes" displayName="Table_Input_Regimes" ref="D21:J23" totalsRowShown="0" headerRowCellStyle="Input table column header">
  <autoFilter ref="D21:J23" xr:uid="{5DABCF01-31A9-4CAB-B7D7-F8C72457E5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F21226-E2F8-4356-887C-701D50A69505}" name="Regime name"/>
    <tableColumn id="7" xr3:uid="{03F35653-B2DB-4AB6-99EC-0912FB20CD21}" name="Area under cultivation (hectares)" dataDxfId="16" dataCellStyle="Content normal"/>
    <tableColumn id="2" xr3:uid="{EA5A5A10-60BF-4C8A-8D3B-469871BE7F8E}" name="Pre-cultivation water regime (select)" dataCellStyle="Input select"/>
    <tableColumn id="3" xr3:uid="{85A41168-485F-4954-954D-E24F2E46EB1B}" name="Water regime (select)" dataCellStyle="Input select"/>
    <tableColumn id="4" xr3:uid="{EF7FE10B-862C-4478-9622-5C7E7DA42BCC}" name="Water regime sub-type (select)" dataCellStyle="Input select"/>
    <tableColumn id="5" xr3:uid="{274EF3FE-F32E-4E3B-8AF6-63DC5F6AA273}" name="Amendment blend (select)" dataCellStyle="Input select"/>
    <tableColumn id="6" xr3:uid="{89D8F559-BDF1-41B3-A394-B22145C5F5D8}" name="Cultivation period (days)"/>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C6817-1E48-495D-8941-14BD1D94D951}" name="Table_SourceData_WaterScalingFactorGrowingSeason" displayName="Table_SourceData_WaterScalingFactorGrowingSeason" ref="D9:F17" totalsRowShown="0">
  <autoFilter ref="D9:F17" xr:uid="{71FC6817-1E48-495D-8941-14BD1D94D951}">
    <filterColumn colId="0" hiddenButton="1"/>
    <filterColumn colId="1" hiddenButton="1"/>
    <filterColumn colId="2" hiddenButton="1"/>
  </autoFilter>
  <tableColumns count="3">
    <tableColumn id="1" xr3:uid="{3A2980B6-3A2D-485C-8340-4AB52CBFBB99}" name="Water regime type">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2" xr3:uid="{49BAF191-8DE2-478B-90F3-B9943FCEA9BA}" name="Water regime sub-type" dataDxfId="15"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3" xr3:uid="{5202109C-BFD9-4463-9F2B-0B19C4500C07}" name="SFw" dataDxfId="14"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AC87F4-A026-4E1C-B966-F5A8995E0DB0}" name="Table_SourceData_WaterScalingFactorPreSeason" displayName="Table_SourceData_WaterScalingFactorPreSeason" ref="D24:E28" totalsRowShown="0">
  <autoFilter ref="D24:E28" xr:uid="{E6AC87F4-A026-4E1C-B966-F5A8995E0DB0}">
    <filterColumn colId="0" hiddenButton="1"/>
    <filterColumn colId="1" hiddenButton="1"/>
  </autoFilter>
  <tableColumns count="2">
    <tableColumn id="1" xr3:uid="{FF0717D8-C262-491B-A316-62679EA1B7D7}" name="Water regime prior to cultivation">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 id="2" xr3:uid="{3527B004-E130-4F0F-B6D1-0D475D57A7A4}" name="SFp" dataDxfId="13" dataCellStyle="Content normal">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953C9E-D36F-4A10-AE29-BD9411E126EF}" name="Table15" displayName="Table15" ref="D38:E44" totalsRowShown="0">
  <autoFilter ref="D38:E44" xr:uid="{E3953C9E-D36F-4A10-AE29-BD9411E126EF}">
    <filterColumn colId="0" hiddenButton="1"/>
    <filterColumn colId="1" hiddenButton="1"/>
  </autoFilter>
  <tableColumns count="2">
    <tableColumn id="1" xr3:uid="{4FCCD68A-6FAE-4D17-88E1-28AE833F5E5E}" name="Organic amendment i">
      <calculatedColumnFormula array="1">Common_InputFunctions.Utility_DisplayArrayInTable(RiceCultivation_SourceData.SourceData_RiceCultivation_OrganicAmendmentConversionFactor_Data(),Table15[[#Headers],[Organic amendment i]],0)</calculatedColumnFormula>
    </tableColumn>
    <tableColumn id="2" xr3:uid="{1F56CED6-01B8-4B36-AC56-E8A59F878F68}" name="CFOAi" dataDxfId="12" dataCellStyle="Content normal">
      <calculatedColumnFormula array="1">Common_InputFunctions.Utility_DisplayArrayInTable(RiceCultivation_SourceData.SourceData_RiceCultivation_OrganicAmendmentConversionFactor_Data(),Table15[[#Headers],[Organic amendment i]],0)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C34D22-0A63-44F3-AA0E-B9AD9AB5BF0D}" name="Table_WaterRegimeSubtypes_Upland" displayName="Table_WaterRegimeSubtypes_Upland" ref="H9:H11" totalsRowShown="0">
  <autoFilter ref="H9:H11" xr:uid="{B2C34D22-0A63-44F3-AA0E-B9AD9AB5BF0D}">
    <filterColumn colId="0" hiddenButton="1"/>
  </autoFilter>
  <tableColumns count="1">
    <tableColumn id="1" xr3:uid="{856A0627-2135-42FE-B5CE-B93D28BF0A31}" name="Sub type">
      <calculatedColumnFormula>E10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4488E6-1A9C-478C-9231-681FC385E6E8}" name="Table_WaterRegimeSubtypes_Irrigated" displayName="Table_WaterRegimeSubtypes_Irrigated" ref="J9:J12" totalsRowShown="0">
  <autoFilter ref="J9:J12" xr:uid="{BC4488E6-1A9C-478C-9231-681FC385E6E8}">
    <filterColumn colId="0" hiddenButton="1"/>
  </autoFilter>
  <tableColumns count="1">
    <tableColumn id="1" xr3:uid="{D5119A7A-A2C1-4BBA-AE2B-F7EA88BA8F9C}" name="Sub type">
      <calculatedColumnFormula>E12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567355-74D7-4D18-ADB1-14B3EF8AD956}" name="Table_WaterRegimeSubtypes_Rainfedanddeepwater" displayName="Table_WaterRegimeSubtypes_Rainfedanddeepwater" ref="L9:L12" totalsRowShown="0">
  <autoFilter ref="L9:L12" xr:uid="{A7567355-74D7-4D18-ADB1-14B3EF8AD956}">
    <filterColumn colId="0" hiddenButton="1"/>
  </autoFilter>
  <tableColumns count="1">
    <tableColumn id="1" xr3:uid="{AFFA96F5-D792-48FB-8291-9CBAFFAE199A}" name="Sub type">
      <calculatedColumnFormula>E15</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9F2C71-7949-4319-A761-7B9F152BD80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8E1F5E1-5403-4D40-8BB3-4C830D3E0124}" name="State/Territory">
      <calculatedColumnFormula array="1">Common_InputFunctions.Utility_DisplayArrayInTable(Common_SourceData.Common_SourceData_AustralianStatesTerritories_Data(),Table_AustralianStates[[#Headers],[State/Territory]],0)</calculatedColumnFormula>
    </tableColumn>
    <tableColumn id="2" xr3:uid="{A562DAD1-AFEA-4B64-9212-26C76AD96885}" name="Common Name">
      <calculatedColumnFormula array="1">Common_InputFunctions.Utility_DisplayArrayInTable(Common_SourceData.Common_SourceData_AustralianStatesTerritories_Data(),Table_AustralianStates[[#Headers],[State/Territory]],0)</calculatedColumnFormula>
    </tableColumn>
    <tableColumn id="3" xr3:uid="{990EFBFB-0F60-4A02-BE6E-B5920C5A1ED8}"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57B357-DC08-4E9D-B447-EFDAB703AC98}" name="Table_WASA4Areas" displayName="Table_WASA4Areas" ref="D20:D30" totalsRowShown="0">
  <autoFilter ref="D20:D30" xr:uid="{5FA81339-C6C8-4D36-BEEA-6C4AEDD9E676}">
    <filterColumn colId="0" hiddenButton="1"/>
  </autoFilter>
  <tableColumns count="1">
    <tableColumn id="1" xr3:uid="{0B059BCA-C44D-447F-BDC2-14E641A0192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D6D0F6-61EF-4B3E-B946-4BEFCDD6906C}" name="Table_GWPData" displayName="Table_GWPData" ref="D36:E43" totalsRowShown="0">
  <autoFilter ref="D36:E43" xr:uid="{B8E87A66-3E41-4AD3-925D-01EE21B43D7A}">
    <filterColumn colId="0" hiddenButton="1"/>
    <filterColumn colId="1" hiddenButton="1"/>
  </autoFilter>
  <tableColumns count="2">
    <tableColumn id="1" xr3:uid="{FBEBA280-A8EC-44D0-BE88-CE2C1D3B3DDD}" name="Gas">
      <calculatedColumnFormula array="1">Common_InputFunctions.Utility_DisplayArrayInTable(Common_SourceData.Common_SourceData_GWP_Data(), Table_GWPData[[#Headers],[Gas]], 0)</calculatedColumnFormula>
    </tableColumn>
    <tableColumn id="2" xr3:uid="{171DA041-A357-41AC-A814-8C797D3F750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AF29CC-97F2-488B-9F8A-EE1953F1832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E4DDF8F-C229-4BA5-B737-9F2513BCCB80}" name="Gas">
      <calculatedColumnFormula array="1">Common_InputFunctions.Utility_DisplayArrayInTable(Common_SourceData.Common_SourceData_ConvertGasElementalToMolecular_Data(),Table_GasToMolecularConversionFactor[[#Headers],[Gas]], 0)</calculatedColumnFormula>
    </tableColumn>
    <tableColumn id="5" xr3:uid="{1E77BC4D-AF1C-49A1-B818-655E663524F1}" name="Conversion factor">
      <calculatedColumnFormula array="1">Common_InputFunctions.Utility_DisplayArrayInTable(Common_SourceData.Common_SourceData_ConvertGasElementalToMolecular_Data(),Table_GasToMolecularConversionFactor[[#Headers],[Gas]], 0)</calculatedColumnFormula>
    </tableColumn>
    <tableColumn id="2" xr3:uid="{6D856132-4FAF-467C-BF04-4A1B4E569EA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65DF7A8-FE65-4A5D-A04B-3FA2682FF34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3AE7AC1-A079-4CE1-886E-B0A550DFAE0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66959C-8843-43C3-9FFB-A5D69543C0B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2B28D50-A034-4DB4-A490-A64A9E8A548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2505FF3-32B5-4C99-ABA7-5BA255B37323}" name="MA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3" xr3:uid="{E3B96E6B-F316-4EEC-9D7F-009294682D91}" name="MA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4" xr3:uid="{68BEE58B-963F-47BB-B1B5-A522D3A5C53A}" name="Frost days per year"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5" xr3:uid="{F8A437EF-EB5A-4EC8-B505-D4618F05DEC8}" name="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6" xr3:uid="{45310AA7-5B2C-42B7-9B25-A9FB5D140114}" name="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7" xr3:uid="{A5AACB52-18FB-4666-A3C5-6B1E42CA013B}" name="Min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8" xr3:uid="{578AA7B3-4FC1-4500-8566-45FFD6554344}" name="Max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9" xr3:uid="{71E728CB-79BC-4EBB-B382-57BA8BEBAF42}" name="Min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0" xr3:uid="{3639C603-3EA1-4589-968F-24F11750C017}" name="Max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1" xr3:uid="{B3831A0E-57C9-4EBE-BC45-06FC3AC17059}" name="Min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5" xr3:uid="{DE298B36-E53A-48C8-85EC-797D8AB410D0}" name="Max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2" xr3:uid="{5869E771-1803-4855-88C0-38872F74AB77}" name="Min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6" xr3:uid="{73B45490-B776-47F2-B880-734E845FD77D}" name="Max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3" xr3:uid="{43F6550D-5E97-414A-8F2E-088DAAC56A72}" name="Min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7" xr3:uid="{DF3BC22B-D7AD-4013-87AA-B3C2C846F823}" name="Max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D3DFA8-2A0F-4293-BA50-6A987BF486D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FEC2A23-B63B-498B-A95F-E25594074A8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6E1E0AA-E22E-4A1C-953F-44360B524662}" name="Wet or Dry Zone" totalsRowDxfId="3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A56B25-EFD6-4760-BF63-A8F7647724E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3A3B1A1-71C3-4FCF-95BA-81F6467E852B}" name="Temperature Zone">
      <calculatedColumnFormula array="1">Common_InputFunctions.Utility_DisplayArrayInTable(Common_SourceData.Common_SourceData_TemperatureZones_Data(),Table_SourceData_TemperatureZones[[#Headers],[Temperature Zone]],0)</calculatedColumnFormula>
    </tableColumn>
    <tableColumn id="2" xr3:uid="{1A91D15F-0988-42FF-BE84-EF2E8460E896}" name="MAT">
      <calculatedColumnFormula array="1">Common_InputFunctions.Utility_DisplayArrayInTable(Common_SourceData.Common_SourceData_TemperatureZones_Data(),Table_SourceData_TemperatureZones[[#Headers],[Temperature Zone]],0)</calculatedColumnFormula>
    </tableColumn>
    <tableColumn id="3" xr3:uid="{CAE683C2-8E2C-43C4-B23E-B4C650D9CFC9}" name="Min MAT">
      <calculatedColumnFormula array="1">Common_InputFunctions.Utility_DisplayArrayInTable(Common_SourceData.Common_SourceData_TemperatureZones_Data(),Table_SourceData_TemperatureZones[[#Headers],[Temperature Zone]],0)</calculatedColumnFormula>
    </tableColumn>
    <tableColumn id="4" xr3:uid="{62F6DF8F-E35A-4469-AE17-F85F0E02A73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59F7E3-F5EA-4FEB-917F-3B66BB81CF4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6E2C7E2-A0D0-4F22-87FC-81D8B123DAF1}" name="Rainfall Zone">
      <calculatedColumnFormula array="1">Common_InputFunctions.Utility_DisplayArrayInTable(Common_SourceData.Common_SourceData_RainfallZones_Data(),Table_SourceData_RainfallZones[[#Headers],[Rainfall Zone]],0)</calculatedColumnFormula>
    </tableColumn>
    <tableColumn id="2" xr3:uid="{29F247EC-D1DC-4C40-91DE-FC0D10878593}" name="Annual rainfall">
      <calculatedColumnFormula array="1">Common_InputFunctions.Utility_DisplayArrayInTable(Common_SourceData.Common_SourceData_RainfallZones_Data(),Table_SourceData_RainfallZones[[#Headers],[Rainfall Zone]],0)</calculatedColumnFormula>
    </tableColumn>
    <tableColumn id="3" xr3:uid="{B4E77F9A-F815-4886-AA6C-48BECBB05314}" name="Min rainfall">
      <calculatedColumnFormula array="1">Common_InputFunctions.Utility_DisplayArrayInTable(Common_SourceData.Common_SourceData_RainfallZones_Data(),Table_SourceData_RainfallZones[[#Headers],[Rainfall Zone]],0)</calculatedColumnFormula>
    </tableColumn>
    <tableColumn id="4" xr3:uid="{A788A069-55B8-4418-A9F5-7C05D4FC2A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BADACA7-8B14-4DD0-A496-EAC6B567290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A2C56F0-13CC-42C1-BA02-30776F544A00}" name="Leaching Zone">
      <calculatedColumnFormula array="1">Common_InputFunctions.Utility_DisplayArrayInTable(Common_SourceData.Common_SourceData_LeachingZones_Data(), Table_SourceData_LeachingZones[[#Headers],[Leaching Zone]], 0)</calculatedColumnFormula>
    </tableColumn>
    <tableColumn id="2" xr3:uid="{F0F954C7-9A1E-469C-9772-C1D30F16621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DA27C6-2B10-42E9-B61C-9BBB344FC96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7666537-6ED5-4031-8ECB-23C9AEDC45D3}" name="Data source">
      <calculatedColumnFormula array="1">Common_InputFunctions.Utility_DisplayArrayInTable(Common_SourceData.Common_SourceData_DataScores_Scope3_Data(), Table_SourceData_DataScores_Scope3[[#Headers],[Data source]], 0)</calculatedColumnFormula>
    </tableColumn>
    <tableColumn id="2" xr3:uid="{0BC5AFBF-2F3A-45AC-B785-08479E59FFD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2DEE321-B337-4BC8-9070-167098B674D5}" name="Table_SourceData_FracWET" displayName="Table_SourceData_FracWET" ref="D134:E136" totalsRowShown="0">
  <autoFilter ref="D134:E136" xr:uid="{308E99BE-FE1F-47A4-B2CA-97217277C4E9}">
    <filterColumn colId="0" hiddenButton="1"/>
    <filterColumn colId="1" hiddenButton="1"/>
  </autoFilter>
  <tableColumns count="2">
    <tableColumn id="1" xr3:uid="{DBB178F3-4169-471E-9922-C17C5F637499}" name="Is in leaching zone">
      <calculatedColumnFormula array="1">Common_InputFunctions.Utility_DisplayArrayInTable(Common_SourceData.Common_SourceData_FracWET_Data(),Table_SourceData_FracWET[[#Headers],[Is in leaching zone]],0)</calculatedColumnFormula>
    </tableColumn>
    <tableColumn id="2" xr3:uid="{F3628DE2-FAFC-4288-AFB2-812352B720BC}" name="FracWET" dataDxfId="3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D8156AA-47C5-4304-997D-5EF3F53749E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C4D37B5-F284-4EBD-B8A3-CFDDD667EB11}" name="Production system j">
      <calculatedColumnFormula array="1">Common_InputFunctions.Utility_DisplayArrayInTable(Common_SourceData.Common_SourceData_EFN2O_Data(), Table_SourceData_Common_EFN2O[[#Headers],[Production system j]], 0)</calculatedColumnFormula>
    </tableColumn>
    <tableColumn id="2" xr3:uid="{AFC1262B-E8CB-4898-8D52-FD08482C885C}" name="EFN2O">
      <calculatedColumnFormula array="1">Common_InputFunctions.Utility_DisplayArrayInTable(Common_SourceData.Common_SourceData_EFN2O_Data(), Table_SourceData_Common_EFN2O[[#Headers],[Production system j]], 0)</calculatedColumnFormula>
    </tableColumn>
    <tableColumn id="3" xr3:uid="{5A13419B-46E6-47C3-A0AA-0BEDECD2A1D1}" name="Production system only">
      <calculatedColumnFormula array="1">Common_InputFunctions.Utility_DisplayArrayInTable(Common_SourceData.Common_SourceData_EFN2O_Data(), Table_SourceData_Common_EFN2O[[#Headers],[Production system j]], 0)</calculatedColumnFormula>
    </tableColumn>
    <tableColumn id="4" xr3:uid="{392B1761-2983-4CA2-8BE7-A6C347E20451}" name="Irrigation method">
      <calculatedColumnFormula array="1">Common_InputFunctions.Utility_DisplayArrayInTable(Common_SourceData.Common_SourceData_EFN2O_Data(), Table_SourceData_Common_EFN2O[[#Headers],[Production system j]], 0)</calculatedColumnFormula>
    </tableColumn>
    <tableColumn id="5" xr3:uid="{4FA3A003-D7B5-4095-9AAD-E1B03BAFA23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DEC7E83-8E36-4A31-B7A7-690E1AAC31B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47FC800-7BAF-405D-BF5F-EACA4B25D2AA}" name="Irrigation type i">
      <calculatedColumnFormula array="1">Common_InputFunctions.Utility_DisplayArrayInTable(Common_SourceData.Common_SourceData_FracWETIrrigation_Data(), Table_SourceData_FracWETIrrigation[[#Headers],[Irrigation type i]], 0)</calculatedColumnFormula>
    </tableColumn>
    <tableColumn id="2" xr3:uid="{2228D1E9-229D-42AF-A281-92BBC6ACA73F}" name="FracWET" dataDxfId="3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CFC0C3D-26E8-4D4F-8135-D0D076399CB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49D65E5-262A-40B3-9EED-7662FE93DF76}"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379650A-485C-499D-9EA8-36652F76FEFD}" name="EFPRP" dataDxfId="3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FC41DFD-D6CE-48C9-BF8D-41F8FA4941E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BBCFBB7E-4745-47BC-A9AC-BAEC7FCB8B61}" name="Month">
      <calculatedColumnFormula array="1">Common_InputFunctions.Utility_DisplayArrayInTable(Common_SourceData.Common_SourceData_MonthsToSeasons_Data(), Table_SourceData_Common_MonthToSeason[[#Headers],[Month]], 0)</calculatedColumnFormula>
    </tableColumn>
    <tableColumn id="2" xr3:uid="{7E2715E5-C84F-4923-9C57-3F2D2AC8D78A}" name="Season" dataDxfId="3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77D068E-03B3-4889-90AA-EC8E3C58DAE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E3EA6D4-2D76-480E-8E8C-003972C84F7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12B4895-D189-4E8C-89BF-0C2DFB850C5F}" name="MAT (ºC)"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DD95C64-B5A2-499D-B3A2-D855816ACCE4}" name="Anaerobic lagoon"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36FAF2F-E059-4E41-912C-D2E28CAEBA76}" name="Digester / covered lagoon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8C93FD0-5811-42C4-8436-3F85B4532FE9}" name="Liquid system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AD1E92-3E65-4195-AC92-6AA9177BFE11}" name="Daily spread"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80923AA-2C24-4585-BC82-4B4E72D924C0}" name="Composting (passive windro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D5FF453-7465-43AE-81D9-92E2BBF91C6E}" name="Solid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2279892-4AA1-4EC0-A4DB-F65F4FCDD1FB}" name="Pit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0408C08-C97E-406E-AF16-A019B8F22107}" name="Deep litter"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039FD38-96E0-45DB-A9B6-DC00D4586782}" name="Poultry manure with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32DD85B-8A37-4A39-AB78-490A34D4C1B4}" name="Poultry manure without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8D96EE2-5223-43A8-A850-4FB216FFAA4F}" name="Direct process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4CC81C-5C51-4D0F-ACC8-C879D8F26883}" name="Direct applicati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271E75D-8F59-4BEA-814A-195D1B12B793}" name="Pasture range and paddock"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D14E0E9-D5CF-4426-908A-725521EDF5C0}" name="MAT raw"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2A8EE7E-B31E-45C0-9770-A5D4B123482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0FDE788-39E0-4FF6-AA51-00E4D963E529}"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B859EB7-4280-4FBE-9E09-D7CFB4EA0C0B}" name="EFNi &amp; EFN2Oi" dataDxfId="1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19"/>
  <sheetViews>
    <sheetView zoomScaleNormal="100" workbookViewId="0">
      <selection activeCell="A19" sqref="A19"/>
    </sheetView>
  </sheetViews>
  <sheetFormatPr defaultRowHeight="15" x14ac:dyDescent="0.25"/>
  <sheetData>
    <row r="1" spans="1:1" ht="25.5" x14ac:dyDescent="0.35">
      <c r="A1" s="56" t="e" vm="1">
        <v>#VALUE!</v>
      </c>
    </row>
    <row r="3" spans="1:1" ht="15.75" x14ac:dyDescent="0.25">
      <c r="A3" s="98"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Rice'!A1", "Rice")</f>
        <v>Rice</v>
      </c>
    </row>
    <row r="13" spans="1:1" x14ac:dyDescent="0.25">
      <c r="A13" s="18" t="s">
        <v>51</v>
      </c>
    </row>
    <row r="14" spans="1:1" ht="15.75" x14ac:dyDescent="0.25">
      <c r="A14" s="17" t="str">
        <f>HYPERLINK("#'7.1.1-2 Rice cultivation'!A1", "7.1.1-2 Rice cultivation")</f>
        <v>7.1.1-2 Rice cultivation</v>
      </c>
    </row>
    <row r="17" spans="1:1" x14ac:dyDescent="0.25">
      <c r="A17" s="118" t="s">
        <v>1</v>
      </c>
    </row>
    <row r="18" spans="1:1" ht="15.75" x14ac:dyDescent="0.25">
      <c r="A18" s="17" t="str">
        <f>HYPERLINK("#'Constants - Rice cultivation'!A1", "Constants - Rice cultivation")</f>
        <v>Constants - Rice cultivation</v>
      </c>
    </row>
    <row r="19" spans="1:1" ht="15.75" x14ac:dyDescent="0.25">
      <c r="A19"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6" t="e" vm="1">
        <v>#VALUE!</v>
      </c>
      <c r="C1" s="111" t="s">
        <v>165</v>
      </c>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row>
    <row r="2" spans="1:42" ht="20.100000000000001" customHeight="1" x14ac:dyDescent="0.25">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3"/>
    </row>
    <row r="3" spans="1:42" ht="20.100000000000001" customHeight="1" x14ac:dyDescent="0.25">
      <c r="A3" s="17" t="str">
        <f>HYPERLINK("#'Home'!A1", "Home")</f>
        <v>Home</v>
      </c>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row>
    <row r="4" spans="1:42" ht="20.100000000000001" customHeight="1" x14ac:dyDescent="0.25">
      <c r="A4" s="98" t="str">
        <f>HYPERLINK("#'Overview'!A1", "Overview")</f>
        <v>Overview</v>
      </c>
    </row>
    <row r="5" spans="1:42" ht="20.100000000000001" customHeight="1" x14ac:dyDescent="0.25">
      <c r="A5" s="17" t="str">
        <f>HYPERLINK("#'Results'!A1", "Results")</f>
        <v>Results</v>
      </c>
      <c r="D5" s="95" t="s">
        <v>101</v>
      </c>
      <c r="E5" s="78"/>
      <c r="F5" s="78"/>
      <c r="G5" s="78"/>
      <c r="H5" s="78"/>
      <c r="I5" s="78"/>
      <c r="J5" s="78"/>
      <c r="K5" s="78"/>
      <c r="L5" s="78"/>
      <c r="M5" s="78"/>
      <c r="N5" s="78"/>
      <c r="O5" s="74"/>
    </row>
    <row r="6" spans="1:42" ht="20.100000000000001" customHeight="1" x14ac:dyDescent="0.25">
      <c r="D6" s="115" t="s">
        <v>102</v>
      </c>
      <c r="E6" s="77"/>
      <c r="F6" s="77"/>
      <c r="G6" s="77"/>
      <c r="H6" s="77"/>
      <c r="I6" s="77"/>
      <c r="J6" s="77"/>
      <c r="K6" s="77"/>
      <c r="L6" s="77"/>
      <c r="M6" s="77"/>
      <c r="N6" s="77"/>
      <c r="O6" s="75"/>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Rice'!A1", "Rice")</f>
        <v>Rice</v>
      </c>
    </row>
    <row r="11" spans="1:42" ht="20.100000000000001" customHeight="1" x14ac:dyDescent="0.25"/>
    <row r="12" spans="1:42" ht="20.100000000000001" customHeight="1" x14ac:dyDescent="0.25"/>
    <row r="13" spans="1:42" ht="20.100000000000001" customHeight="1" x14ac:dyDescent="0.25">
      <c r="A13" s="18" t="s">
        <v>51</v>
      </c>
    </row>
    <row r="14" spans="1:42" ht="20.100000000000001" customHeight="1" x14ac:dyDescent="0.25">
      <c r="A14" s="17" t="str">
        <f>HYPERLINK("#'7.1.1-2 Rice cultivation'!A1", "7.1.1-2 Rice cultivation")</f>
        <v>7.1.1-2 Rice cultivation</v>
      </c>
    </row>
    <row r="15" spans="1:42" ht="20.100000000000001" customHeight="1" x14ac:dyDescent="0.25"/>
    <row r="16" spans="1:42" ht="20.100000000000001" customHeight="1" x14ac:dyDescent="0.25"/>
    <row r="17" spans="1:1" ht="20.100000000000001" customHeight="1" x14ac:dyDescent="0.25">
      <c r="A17" s="118" t="s">
        <v>1</v>
      </c>
    </row>
    <row r="18" spans="1:1" ht="20.100000000000001" customHeight="1" x14ac:dyDescent="0.25">
      <c r="A18" s="17" t="str">
        <f>HYPERLINK("#'Constants - Rice cultivation'!A1", "Constants - Rice cultivation")</f>
        <v>Constants - Rice cultivation</v>
      </c>
    </row>
    <row r="19" spans="1:1" ht="20.100000000000001" customHeight="1" x14ac:dyDescent="0.25">
      <c r="A19" s="17" t="str">
        <f>HYPERLINK("#'Constants - Common'!A1", "Constants - Common")</f>
        <v>Constants - Common</v>
      </c>
    </row>
    <row r="20" spans="1:1" ht="20.100000000000001" customHeight="1" x14ac:dyDescent="0.25"/>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99</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9" sqref="A1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56" t="e" vm="1">
        <v>#VALUE!</v>
      </c>
      <c r="C1" s="111" t="s">
        <v>166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98" t="str">
        <f>HYPERLINK("#'Results'!A1", "Results")</f>
        <v>Results</v>
      </c>
      <c r="C5" s="21"/>
      <c r="D5" s="25"/>
      <c r="E5" s="26"/>
      <c r="F5" s="26"/>
      <c r="G5" s="26"/>
      <c r="H5" s="23"/>
      <c r="I5" s="21"/>
      <c r="J5" s="21"/>
      <c r="K5" s="21"/>
    </row>
    <row r="6" spans="1:11" ht="20.100000000000001" customHeight="1" x14ac:dyDescent="0.25">
      <c r="C6" s="21"/>
      <c r="D6" s="80" t="s">
        <v>98</v>
      </c>
      <c r="E6" s="76"/>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93" t="s">
        <v>62</v>
      </c>
      <c r="E8" s="93" t="s">
        <v>74</v>
      </c>
      <c r="F8" s="93" t="s">
        <v>75</v>
      </c>
      <c r="G8" s="93" t="s">
        <v>68</v>
      </c>
      <c r="H8" s="93" t="s">
        <v>76</v>
      </c>
      <c r="I8" s="93" t="s">
        <v>77</v>
      </c>
      <c r="J8" s="93" t="s">
        <v>69</v>
      </c>
      <c r="K8" s="21"/>
    </row>
    <row r="9" spans="1:11" ht="20.100000000000001" customHeight="1" x14ac:dyDescent="0.25">
      <c r="A9" s="17" t="str">
        <f>HYPERLINK("#'Input - Site'!A1", "Site")</f>
        <v>Site</v>
      </c>
      <c r="C9" s="21"/>
      <c r="D9" s="1" t="s">
        <v>164</v>
      </c>
      <c r="E9" s="110">
        <f>VEERG_7_1_1_1__1_MethaneEmissionsFromRiceCultivation_Result_Method1</f>
        <v>98.450769394817939</v>
      </c>
      <c r="F9" s="110">
        <f>E9</f>
        <v>98.450769394817939</v>
      </c>
      <c r="G9" s="48" t="s">
        <v>79</v>
      </c>
      <c r="H9" s="91">
        <f>'7.1.1-2 Rice cultivation'!$E$107</f>
        <v>2756.6215430549023</v>
      </c>
      <c r="I9" s="91">
        <f>H9</f>
        <v>2756.6215430549023</v>
      </c>
      <c r="J9" s="48" t="s">
        <v>72</v>
      </c>
      <c r="K9" s="21"/>
    </row>
    <row r="10" spans="1:11" ht="20.100000000000001" customHeight="1" x14ac:dyDescent="0.3">
      <c r="A10" s="17" t="str">
        <f>HYPERLINK("#'Input - Rice'!A1", "Rice")</f>
        <v>Rice</v>
      </c>
      <c r="C10" s="21"/>
      <c r="D10" s="28" t="s">
        <v>67</v>
      </c>
      <c r="E10" s="22"/>
      <c r="F10" s="22"/>
      <c r="G10" s="28"/>
      <c r="H10" s="92">
        <f>SUM(H9:H9)</f>
        <v>2756.6215430549023</v>
      </c>
      <c r="I10" s="92">
        <f>SUM(I9:I9)</f>
        <v>2756.6215430549023</v>
      </c>
      <c r="J10" s="88" t="s">
        <v>72</v>
      </c>
      <c r="K10" s="21"/>
    </row>
    <row r="11" spans="1:11" ht="20.100000000000001" customHeight="1" x14ac:dyDescent="0.25">
      <c r="C11" s="21"/>
      <c r="D11" s="1"/>
      <c r="E11" s="1"/>
      <c r="F11" s="1"/>
      <c r="G11" s="1"/>
      <c r="H11" s="1"/>
      <c r="I11" s="1"/>
      <c r="J11" s="1"/>
      <c r="K11" s="21"/>
    </row>
    <row r="12" spans="1:11" ht="20.100000000000001" customHeight="1" x14ac:dyDescent="0.25">
      <c r="C12" s="21"/>
      <c r="D12" s="89"/>
      <c r="E12" s="89"/>
      <c r="F12" s="89"/>
      <c r="G12" s="89"/>
      <c r="H12" s="89"/>
      <c r="I12" s="89"/>
      <c r="J12" s="89"/>
      <c r="K12" s="21"/>
    </row>
    <row r="13" spans="1:11" ht="20.100000000000001" customHeight="1" x14ac:dyDescent="0.25">
      <c r="A13" s="18" t="s">
        <v>51</v>
      </c>
      <c r="C13" s="21"/>
      <c r="D13" s="89"/>
      <c r="E13" s="1"/>
      <c r="F13" s="1"/>
      <c r="G13" s="1"/>
      <c r="H13" s="1"/>
      <c r="I13" s="1"/>
      <c r="J13" s="21"/>
      <c r="K13" s="21"/>
    </row>
    <row r="14" spans="1:11" ht="20.100000000000001" customHeight="1" x14ac:dyDescent="0.25">
      <c r="A14" s="17" t="str">
        <f>HYPERLINK("#'7.1.1-2 Rice cultivation'!A1", "7.1.1-2 Rice cultivation")</f>
        <v>7.1.1-2 Rice cultivation</v>
      </c>
      <c r="C14" s="21"/>
      <c r="D14" s="96"/>
      <c r="E14" s="1"/>
      <c r="F14" s="1"/>
      <c r="G14" s="1"/>
      <c r="H14" s="1"/>
      <c r="I14" s="1"/>
      <c r="J14" s="21"/>
      <c r="K14" s="21"/>
    </row>
    <row r="15" spans="1:11" ht="20.100000000000001" customHeight="1" x14ac:dyDescent="0.25">
      <c r="C15" s="21"/>
      <c r="D15" s="1"/>
      <c r="E15" s="1"/>
      <c r="F15" s="1"/>
      <c r="G15" s="1"/>
      <c r="H15" s="1"/>
      <c r="I15" s="1"/>
      <c r="J15" s="21"/>
      <c r="K15" s="21"/>
    </row>
    <row r="16" spans="1:11" ht="20.100000000000001" customHeight="1" x14ac:dyDescent="0.25">
      <c r="C16" s="21"/>
      <c r="D16" s="1"/>
      <c r="E16" s="1"/>
      <c r="F16" s="1"/>
      <c r="G16" s="1"/>
      <c r="H16" s="1"/>
      <c r="I16" s="1"/>
      <c r="J16" s="21"/>
      <c r="K16" s="21"/>
    </row>
    <row r="17" spans="1:11" ht="20.100000000000001" customHeight="1" x14ac:dyDescent="0.25">
      <c r="A17" s="118" t="s">
        <v>1</v>
      </c>
      <c r="C17" s="21"/>
      <c r="D17" s="1"/>
      <c r="E17" s="94"/>
      <c r="F17" s="48"/>
      <c r="G17" s="1"/>
      <c r="H17" s="1"/>
      <c r="I17" s="21"/>
      <c r="J17" s="21"/>
      <c r="K17" s="21"/>
    </row>
    <row r="18" spans="1:11" ht="20.100000000000001" customHeight="1" x14ac:dyDescent="0.25">
      <c r="A18" s="17" t="str">
        <f>HYPERLINK("#'Constants - Rice cultivation'!A1", "Constants - Rice cultivation")</f>
        <v>Constants - Rice cultivation</v>
      </c>
      <c r="C18" s="21"/>
      <c r="D18" s="1"/>
      <c r="E18" s="1"/>
      <c r="F18" s="1"/>
      <c r="G18" s="1"/>
      <c r="H18" s="1"/>
      <c r="I18" s="1"/>
      <c r="J18" s="1"/>
      <c r="K18" s="21"/>
    </row>
    <row r="19" spans="1:11" ht="20.100000000000001" customHeight="1" x14ac:dyDescent="0.25">
      <c r="A19" s="17" t="str">
        <f>HYPERLINK("#'Constants - Common'!A1", "Constants - Common")</f>
        <v>Constants - Common</v>
      </c>
      <c r="C19" s="21"/>
      <c r="D19" s="1"/>
      <c r="E19" s="1"/>
      <c r="F19" s="1"/>
      <c r="G19" s="1"/>
      <c r="H19" s="1"/>
      <c r="I19" s="1"/>
      <c r="J19" s="1"/>
      <c r="K19" s="21"/>
    </row>
    <row r="20" spans="1:11" ht="20.100000000000001" customHeight="1" x14ac:dyDescent="0.25">
      <c r="C20" s="21"/>
      <c r="D20" s="1"/>
      <c r="E20" s="1"/>
      <c r="F20" s="1"/>
      <c r="G20" s="1"/>
      <c r="H20" s="1"/>
      <c r="I20" s="1"/>
      <c r="J20" s="1"/>
      <c r="K20" s="21"/>
    </row>
    <row r="21" spans="1:11" ht="20.100000000000001" customHeight="1" x14ac:dyDescent="0.25">
      <c r="C21" s="21"/>
      <c r="D21" s="1"/>
      <c r="E21" s="1"/>
      <c r="F21" s="1"/>
      <c r="G21" s="1"/>
      <c r="H21" s="1"/>
      <c r="I21" s="1"/>
      <c r="J21" s="1"/>
      <c r="K21" s="21"/>
    </row>
    <row r="22" spans="1:11" ht="20.100000000000001" customHeight="1" x14ac:dyDescent="0.25">
      <c r="C22" s="21"/>
      <c r="D22" s="1"/>
      <c r="E22" s="1"/>
      <c r="F22" s="1"/>
      <c r="G22" s="1"/>
      <c r="H22" s="1"/>
      <c r="I22" s="1"/>
      <c r="J22" s="1"/>
      <c r="K22" s="21"/>
    </row>
    <row r="23" spans="1:11" ht="20.100000000000001" customHeight="1" x14ac:dyDescent="0.25">
      <c r="C23" s="21"/>
      <c r="D23" s="1"/>
      <c r="E23" s="1"/>
      <c r="F23" s="1"/>
      <c r="G23" s="1"/>
      <c r="H23" s="1"/>
      <c r="I23" s="1"/>
      <c r="J23" s="1"/>
      <c r="K23" s="21"/>
    </row>
    <row r="24" spans="1:11" ht="20.100000000000001" customHeight="1" x14ac:dyDescent="0.25">
      <c r="C24" s="21"/>
      <c r="D24" s="1"/>
      <c r="E24" s="1"/>
      <c r="F24" s="1"/>
      <c r="G24" s="1"/>
      <c r="H24" s="1"/>
      <c r="I24" s="1"/>
      <c r="J24" s="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0"/>
      <c r="J38" s="90"/>
      <c r="K38" s="21"/>
    </row>
    <row r="39" spans="3:11" ht="20.100000000000001" customHeight="1" x14ac:dyDescent="0.25">
      <c r="C39" s="21"/>
      <c r="D39" s="1"/>
      <c r="E39" s="1"/>
      <c r="F39" s="1"/>
      <c r="G39" s="1"/>
      <c r="H39" s="1"/>
      <c r="I39" s="90"/>
      <c r="J39" s="90"/>
      <c r="K39" s="21"/>
    </row>
    <row r="40" spans="3:11" ht="20.100000000000001" customHeight="1" x14ac:dyDescent="0.25">
      <c r="C40" s="21"/>
      <c r="D40" s="1"/>
      <c r="E40" s="1"/>
      <c r="F40" s="1"/>
      <c r="G40" s="1"/>
      <c r="H40" s="1"/>
      <c r="I40" s="90"/>
      <c r="J40" s="90"/>
      <c r="K40" s="21"/>
    </row>
    <row r="41" spans="3:11" ht="20.100000000000001" customHeight="1" x14ac:dyDescent="0.25">
      <c r="C41" s="21"/>
      <c r="D41" s="1"/>
      <c r="E41" s="1"/>
      <c r="F41" s="1"/>
      <c r="G41" s="1"/>
      <c r="H41" s="1"/>
      <c r="I41" s="90"/>
      <c r="J41" s="90"/>
      <c r="K41" s="21"/>
    </row>
    <row r="42" spans="3:11" ht="20.100000000000001" customHeight="1" x14ac:dyDescent="0.25">
      <c r="C42" s="21"/>
      <c r="D42" s="1"/>
      <c r="E42" s="1"/>
      <c r="F42" s="1"/>
      <c r="G42" s="1"/>
      <c r="H42" s="1"/>
      <c r="I42" s="90"/>
      <c r="J42" s="90"/>
      <c r="K42" s="21"/>
    </row>
    <row r="43" spans="3:11" ht="20.100000000000001" customHeight="1" x14ac:dyDescent="0.25">
      <c r="C43" s="21"/>
      <c r="D43" s="1"/>
      <c r="E43" s="1"/>
      <c r="F43" s="1"/>
      <c r="G43" s="1"/>
      <c r="H43" s="1"/>
      <c r="I43" s="90"/>
      <c r="J43" s="90"/>
      <c r="K43" s="21"/>
    </row>
    <row r="44" spans="3:11" ht="20.100000000000001" customHeight="1" x14ac:dyDescent="0.25">
      <c r="C44" s="21"/>
      <c r="D44" s="1"/>
      <c r="E44" s="1"/>
      <c r="F44" s="1"/>
      <c r="G44" s="1"/>
      <c r="H44" s="1"/>
      <c r="I44" s="90"/>
      <c r="J44" s="90"/>
      <c r="K44" s="21"/>
    </row>
    <row r="45" spans="3:11" ht="20.100000000000001" customHeight="1" x14ac:dyDescent="0.25">
      <c r="C45" s="21"/>
      <c r="D45" s="1"/>
      <c r="E45" s="1"/>
      <c r="F45" s="1"/>
      <c r="G45" s="1"/>
      <c r="H45" s="1"/>
      <c r="I45" s="90"/>
      <c r="J45" s="90"/>
      <c r="K45" s="21"/>
    </row>
    <row r="46" spans="3:11" ht="20.100000000000001" customHeight="1" x14ac:dyDescent="0.25">
      <c r="C46" s="21"/>
      <c r="D46" s="1"/>
      <c r="E46" s="1"/>
      <c r="F46" s="1"/>
      <c r="G46" s="1"/>
      <c r="H46" s="1"/>
      <c r="I46" s="90"/>
      <c r="J46" s="90"/>
      <c r="K46" s="21"/>
    </row>
    <row r="47" spans="3:11" ht="20.100000000000001" customHeight="1" x14ac:dyDescent="0.25">
      <c r="C47" s="21"/>
      <c r="D47" s="1"/>
      <c r="E47" s="1"/>
      <c r="F47" s="1"/>
      <c r="G47" s="1"/>
      <c r="H47" s="1"/>
      <c r="I47" s="90"/>
      <c r="J47" s="90"/>
      <c r="K47" s="21"/>
    </row>
    <row r="48" spans="3:11" ht="20.100000000000001" customHeight="1" x14ac:dyDescent="0.25">
      <c r="C48" s="21"/>
      <c r="D48" s="1"/>
      <c r="E48" s="1"/>
      <c r="F48" s="1"/>
      <c r="G48" s="1"/>
      <c r="H48" s="1"/>
      <c r="I48" s="90"/>
      <c r="J48" s="90"/>
      <c r="K48" s="21"/>
    </row>
    <row r="49" spans="3:11" ht="20.100000000000001" customHeight="1" x14ac:dyDescent="0.25">
      <c r="C49" s="21"/>
      <c r="D49" s="1"/>
      <c r="E49" s="1"/>
      <c r="F49" s="1"/>
      <c r="G49" s="1"/>
      <c r="H49" s="90"/>
      <c r="I49" s="90"/>
      <c r="J49" s="90"/>
      <c r="K49" s="21"/>
    </row>
    <row r="50" spans="3:11" ht="20.100000000000001" customHeight="1" x14ac:dyDescent="0.25">
      <c r="C50" s="21"/>
      <c r="D50" s="1"/>
      <c r="E50" s="1"/>
      <c r="F50" s="1"/>
      <c r="G50" s="1"/>
      <c r="H50" s="90"/>
      <c r="I50" s="90"/>
      <c r="J50" s="90"/>
      <c r="K50" s="21"/>
    </row>
    <row r="51" spans="3:11" ht="20.100000000000001" customHeight="1" x14ac:dyDescent="0.25">
      <c r="C51" s="21"/>
      <c r="D51" s="1"/>
      <c r="E51" s="1"/>
      <c r="F51" s="1"/>
      <c r="G51" s="1"/>
      <c r="H51" s="90"/>
      <c r="I51" s="90"/>
      <c r="J51" s="90"/>
      <c r="K51" s="21"/>
    </row>
    <row r="52" spans="3:11" ht="20.100000000000001" customHeight="1" x14ac:dyDescent="0.25">
      <c r="C52" s="21"/>
      <c r="D52" s="1"/>
      <c r="E52" s="1"/>
      <c r="F52" s="1"/>
      <c r="G52" s="1"/>
      <c r="H52" s="90"/>
      <c r="I52" s="90"/>
      <c r="J52" s="90"/>
      <c r="K52" s="21"/>
    </row>
    <row r="53" spans="3:11" ht="20.100000000000001" customHeight="1" x14ac:dyDescent="0.25">
      <c r="C53" s="21"/>
      <c r="D53" s="1"/>
      <c r="E53" s="1"/>
      <c r="F53" s="1"/>
      <c r="G53" s="1"/>
      <c r="H53" s="90"/>
      <c r="I53" s="90"/>
      <c r="J53" s="90"/>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19" sqref="A1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6" t="e" vm="1">
        <v>#VALUE!</v>
      </c>
      <c r="C1" s="12" t="s">
        <v>54</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7"/>
      <c r="D4" s="57"/>
      <c r="E4" s="57"/>
      <c r="F4" s="57"/>
      <c r="G4" s="57"/>
      <c r="H4" s="57"/>
      <c r="I4" s="57"/>
      <c r="J4" s="57"/>
      <c r="K4" s="57"/>
    </row>
    <row r="5" spans="1:24" ht="20.100000000000001" customHeight="1" x14ac:dyDescent="0.25">
      <c r="A5" s="17" t="str">
        <f>HYPERLINK("#'Results'!A1", "Results")</f>
        <v>Results</v>
      </c>
      <c r="D5" s="6" t="s">
        <v>6</v>
      </c>
      <c r="N5" s="37"/>
    </row>
    <row r="6" spans="1:24" ht="20.100000000000001" customHeight="1" x14ac:dyDescent="0.25">
      <c r="A6"/>
      <c r="D6" s="14"/>
      <c r="N6" s="38"/>
    </row>
    <row r="7" spans="1:24" ht="20.100000000000001" customHeight="1" x14ac:dyDescent="0.25">
      <c r="A7"/>
      <c r="D7" s="1" t="s">
        <v>4</v>
      </c>
      <c r="E7" s="30" t="s">
        <v>3</v>
      </c>
      <c r="F7" s="2"/>
    </row>
    <row r="8" spans="1:24" ht="20.100000000000001" customHeight="1" x14ac:dyDescent="0.25">
      <c r="A8" s="19" t="s">
        <v>0</v>
      </c>
      <c r="D8" s="10" t="s">
        <v>49</v>
      </c>
      <c r="E8" s="30" t="s">
        <v>50</v>
      </c>
    </row>
    <row r="9" spans="1:24" ht="20.100000000000001" customHeight="1" x14ac:dyDescent="0.25">
      <c r="A9" s="97" t="str">
        <f>HYPERLINK("#'Input - Site'!A1", "Site")</f>
        <v>Site</v>
      </c>
      <c r="N9" s="39"/>
    </row>
    <row r="10" spans="1:24" ht="20.100000000000001" customHeight="1" x14ac:dyDescent="0.25">
      <c r="A10" s="17" t="str">
        <f>HYPERLINK("#'Input - Rice'!A1", "Rice")</f>
        <v>Rice</v>
      </c>
      <c r="D10" s="80" t="s">
        <v>53</v>
      </c>
      <c r="E10" s="79"/>
      <c r="F10" s="81"/>
      <c r="G10" s="76"/>
      <c r="N10" s="39"/>
    </row>
    <row r="11" spans="1:24" ht="20.100000000000001" customHeight="1" x14ac:dyDescent="0.25">
      <c r="A11"/>
      <c r="N11" s="40"/>
    </row>
    <row r="12" spans="1:24" ht="20.100000000000001" customHeight="1" x14ac:dyDescent="0.25">
      <c r="A12"/>
      <c r="D12" s="10" t="s">
        <v>57</v>
      </c>
      <c r="E12" s="55">
        <v>45292</v>
      </c>
      <c r="F12" s="2" t="s">
        <v>48</v>
      </c>
    </row>
    <row r="13" spans="1:24" ht="20.100000000000001" customHeight="1" x14ac:dyDescent="0.25">
      <c r="A13" s="18" t="s">
        <v>51</v>
      </c>
      <c r="D13" s="10" t="s">
        <v>58</v>
      </c>
      <c r="E13" s="58">
        <f>DATE(YEAR(X_Cell_Site_StartDate)+1,MONTH(X_Cell_Site_StartDate),DAY(X_Cell_Site_StartDate))-1</f>
        <v>45657</v>
      </c>
      <c r="F13" s="2" t="s">
        <v>7</v>
      </c>
      <c r="N13" s="35"/>
      <c r="O13" s="35"/>
    </row>
    <row r="14" spans="1:24" ht="20.100000000000001" customHeight="1" x14ac:dyDescent="0.25">
      <c r="A14" s="17" t="str">
        <f>HYPERLINK("#'7.1.1-2 Rice cultivation'!A1", "7.1.1-2 Rice cultivation")</f>
        <v>7.1.1-2 Rice cultivation</v>
      </c>
      <c r="N14" s="35"/>
      <c r="O14" s="35"/>
    </row>
    <row r="15" spans="1:24" ht="20.100000000000001" customHeight="1" x14ac:dyDescent="0.25">
      <c r="A15"/>
      <c r="D15" s="1"/>
      <c r="E15" s="1"/>
      <c r="F15" s="1"/>
      <c r="G15" s="1"/>
      <c r="H15" s="1"/>
      <c r="N15" s="35"/>
      <c r="O15" s="35"/>
    </row>
    <row r="16" spans="1:24" ht="20.100000000000001" customHeight="1" x14ac:dyDescent="0.25">
      <c r="A16"/>
      <c r="D16" s="1"/>
      <c r="E16" s="1"/>
      <c r="F16" s="1"/>
      <c r="G16" s="1"/>
      <c r="H16" s="1"/>
      <c r="N16" s="35"/>
      <c r="O16" s="35"/>
    </row>
    <row r="17" spans="1:25" ht="20.100000000000001" customHeight="1" x14ac:dyDescent="0.25">
      <c r="A17" s="118" t="s">
        <v>1</v>
      </c>
      <c r="D17" s="1"/>
      <c r="E17" s="1"/>
      <c r="F17" s="1"/>
      <c r="G17" s="1"/>
      <c r="H17" s="1"/>
    </row>
    <row r="18" spans="1:25" ht="20.100000000000001" customHeight="1" x14ac:dyDescent="0.25">
      <c r="A18" s="17" t="str">
        <f>HYPERLINK("#'Constants - Rice cultivation'!A1", "Constants - Rice cultivation")</f>
        <v>Constants - Rice cultivation</v>
      </c>
      <c r="D18" s="1"/>
      <c r="E18" s="1"/>
      <c r="F18" s="1"/>
      <c r="G18" s="1"/>
      <c r="H18" s="1"/>
    </row>
    <row r="19" spans="1:25" ht="20.100000000000001" customHeight="1" x14ac:dyDescent="0.25">
      <c r="A19" s="17" t="str">
        <f>HYPERLINK("#'Constants - Common'!A1", "Constants - Common")</f>
        <v>Constants - Common</v>
      </c>
      <c r="D19" s="1"/>
      <c r="E19" s="1"/>
      <c r="F19" s="1"/>
      <c r="G19" s="1"/>
      <c r="H19" s="1"/>
      <c r="N19" s="37"/>
    </row>
    <row r="20" spans="1:25" ht="20.100000000000001" customHeight="1" x14ac:dyDescent="0.25">
      <c r="A20"/>
      <c r="D20" s="1"/>
      <c r="E20" s="1"/>
      <c r="F20" s="1"/>
      <c r="G20" s="1"/>
      <c r="H20" s="1"/>
      <c r="N20" s="38"/>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8"/>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3"/>
      <c r="M30" s="43"/>
      <c r="N30" s="43"/>
      <c r="O30" s="43"/>
      <c r="P30" s="43"/>
      <c r="Q30" s="43"/>
      <c r="R30" s="43"/>
      <c r="S30" s="43"/>
      <c r="T30" s="43"/>
      <c r="U30" s="43"/>
      <c r="V30" s="43"/>
      <c r="W30" s="43"/>
      <c r="X30" s="43"/>
      <c r="Y30" s="43"/>
    </row>
    <row r="31" spans="1:25" ht="20.100000000000001" customHeight="1" x14ac:dyDescent="0.25">
      <c r="A31"/>
      <c r="D31" s="1"/>
      <c r="E31" s="1"/>
      <c r="F31" s="1"/>
      <c r="G31" s="1"/>
      <c r="H31" s="1"/>
      <c r="L31" s="42"/>
      <c r="M31" s="42"/>
      <c r="N31" s="42"/>
      <c r="O31" s="42"/>
      <c r="P31" s="42"/>
      <c r="Q31" s="42"/>
      <c r="R31" s="42"/>
      <c r="S31" s="42"/>
      <c r="T31" s="42"/>
      <c r="U31" s="42"/>
      <c r="V31" s="42"/>
      <c r="W31" s="42"/>
      <c r="X31" s="42"/>
      <c r="Y31" s="42"/>
    </row>
    <row r="32" spans="1:25" ht="20.100000000000001" customHeight="1" x14ac:dyDescent="0.25">
      <c r="A32"/>
      <c r="D32" s="1"/>
      <c r="E32" s="1"/>
      <c r="F32" s="1"/>
      <c r="G32" s="1"/>
      <c r="H32" s="1"/>
      <c r="L32" s="42"/>
      <c r="M32" s="42"/>
      <c r="N32" s="42"/>
      <c r="O32" s="42"/>
      <c r="P32" s="42"/>
      <c r="Q32" s="42"/>
      <c r="R32" s="42"/>
      <c r="S32" s="42"/>
      <c r="T32" s="42"/>
      <c r="U32" s="42"/>
      <c r="V32" s="42"/>
      <c r="W32" s="42"/>
      <c r="X32" s="42"/>
      <c r="Y32" s="42"/>
    </row>
    <row r="33" spans="1:25" ht="20.100000000000001" customHeight="1" x14ac:dyDescent="0.25">
      <c r="A33"/>
      <c r="D33" s="1"/>
      <c r="E33" s="1"/>
      <c r="F33" s="1"/>
      <c r="G33" s="1"/>
      <c r="H33" s="1"/>
      <c r="L33" s="42"/>
      <c r="M33" s="42"/>
      <c r="N33" s="42"/>
      <c r="O33" s="42"/>
      <c r="P33" s="42"/>
      <c r="Q33" s="42"/>
      <c r="R33" s="42"/>
      <c r="S33" s="42"/>
      <c r="T33" s="42"/>
      <c r="U33" s="42"/>
      <c r="V33" s="42"/>
      <c r="W33" s="42"/>
      <c r="X33" s="42"/>
      <c r="Y33" s="42"/>
    </row>
    <row r="34" spans="1:25" ht="20.100000000000001" customHeight="1" x14ac:dyDescent="0.25">
      <c r="A34"/>
      <c r="D34" s="1"/>
      <c r="E34" s="1"/>
      <c r="F34" s="1"/>
      <c r="G34" s="1"/>
      <c r="H34" s="1"/>
      <c r="J34" s="53"/>
      <c r="K34" s="61"/>
      <c r="L34" s="42"/>
      <c r="M34" s="42"/>
      <c r="N34" s="42"/>
      <c r="O34" s="42"/>
      <c r="P34" s="42"/>
      <c r="Q34" s="42"/>
      <c r="R34" s="42"/>
      <c r="S34" s="42"/>
      <c r="T34" s="42"/>
      <c r="U34" s="42"/>
      <c r="V34" s="42"/>
      <c r="W34" s="42"/>
      <c r="X34" s="42"/>
      <c r="Y34" s="42"/>
    </row>
    <row r="35" spans="1:25" ht="20.100000000000001" customHeight="1" x14ac:dyDescent="0.25">
      <c r="A35"/>
      <c r="D35" s="1"/>
      <c r="E35" s="1"/>
      <c r="F35" s="1"/>
      <c r="G35" s="1"/>
      <c r="H35" s="1"/>
      <c r="J35" s="53"/>
      <c r="K35" s="61"/>
      <c r="L35" s="42"/>
      <c r="M35" s="42"/>
      <c r="N35" s="42"/>
      <c r="O35" s="42"/>
      <c r="P35" s="42"/>
      <c r="Q35" s="42"/>
      <c r="R35" s="42"/>
      <c r="S35" s="42"/>
      <c r="T35" s="42"/>
      <c r="U35" s="42"/>
      <c r="V35" s="42"/>
      <c r="W35" s="42"/>
      <c r="X35" s="42"/>
      <c r="Y35" s="42"/>
    </row>
    <row r="36" spans="1:25" ht="20.100000000000001" customHeight="1" x14ac:dyDescent="0.25">
      <c r="A36"/>
      <c r="D36" s="1"/>
      <c r="E36" s="1"/>
      <c r="F36" s="1"/>
      <c r="G36" s="1"/>
      <c r="H36" s="1"/>
      <c r="I36" s="54"/>
      <c r="J36" s="53"/>
      <c r="K36" s="61"/>
      <c r="L36" s="42"/>
      <c r="M36" s="42"/>
      <c r="N36" s="42"/>
      <c r="O36" s="42"/>
      <c r="P36" s="42"/>
      <c r="Q36" s="42"/>
      <c r="R36" s="42"/>
      <c r="S36" s="42"/>
      <c r="T36" s="42"/>
      <c r="U36" s="42"/>
      <c r="V36" s="42"/>
      <c r="W36" s="42"/>
      <c r="X36" s="42"/>
      <c r="Y36" s="42"/>
    </row>
    <row r="37" spans="1:25" ht="20.100000000000001" customHeight="1" x14ac:dyDescent="0.25">
      <c r="A37"/>
      <c r="D37" s="59"/>
      <c r="E37" s="59"/>
      <c r="F37" s="60"/>
      <c r="G37" s="53"/>
      <c r="H37" s="53"/>
      <c r="I37" s="54"/>
      <c r="J37" s="53"/>
      <c r="K37" s="61"/>
      <c r="L37" s="42"/>
      <c r="M37" s="42"/>
      <c r="N37" s="42"/>
      <c r="O37" s="42"/>
      <c r="P37" s="42"/>
      <c r="Q37" s="42"/>
      <c r="R37" s="42"/>
      <c r="S37" s="42"/>
      <c r="T37" s="42"/>
      <c r="U37" s="42"/>
      <c r="V37" s="42"/>
      <c r="W37" s="42"/>
      <c r="X37" s="42"/>
      <c r="Y37" s="42"/>
    </row>
    <row r="38" spans="1:25" ht="20.100000000000001" customHeight="1" x14ac:dyDescent="0.25">
      <c r="A38"/>
      <c r="D38" s="59"/>
      <c r="E38" s="59"/>
      <c r="F38" s="60"/>
      <c r="G38" s="53"/>
      <c r="H38" s="53"/>
      <c r="I38" s="54"/>
      <c r="J38" s="53"/>
      <c r="K38" s="61"/>
      <c r="L38" s="42"/>
      <c r="M38" s="42"/>
      <c r="N38" s="42"/>
      <c r="O38" s="42"/>
      <c r="P38" s="42"/>
      <c r="Q38" s="42"/>
      <c r="R38" s="42"/>
      <c r="S38" s="42"/>
      <c r="T38" s="42"/>
      <c r="U38" s="42"/>
      <c r="V38" s="42"/>
      <c r="W38" s="42"/>
      <c r="X38" s="42"/>
      <c r="Y38" s="42"/>
    </row>
    <row r="39" spans="1:25" ht="20.100000000000001" customHeight="1" x14ac:dyDescent="0.25">
      <c r="A39"/>
      <c r="D39" s="59"/>
      <c r="E39" s="59"/>
      <c r="F39" s="60"/>
      <c r="G39" s="53"/>
      <c r="H39" s="53"/>
      <c r="I39" s="54"/>
      <c r="J39" s="53"/>
      <c r="K39" s="61"/>
      <c r="L39" s="42"/>
      <c r="M39" s="42"/>
      <c r="N39" s="42"/>
      <c r="O39" s="42"/>
      <c r="P39" s="42"/>
      <c r="Q39" s="42"/>
      <c r="R39" s="42"/>
      <c r="S39" s="42"/>
      <c r="T39" s="42"/>
      <c r="U39" s="42"/>
      <c r="V39" s="42"/>
      <c r="W39" s="42"/>
      <c r="X39" s="42"/>
      <c r="Y39" s="42"/>
    </row>
    <row r="40" spans="1:25" ht="20.100000000000001" customHeight="1" x14ac:dyDescent="0.25">
      <c r="A40"/>
      <c r="D40" s="62"/>
      <c r="E40" s="62"/>
      <c r="F40" s="62"/>
      <c r="G40" s="63"/>
      <c r="H40" s="64"/>
      <c r="I40" s="64"/>
      <c r="J40" s="64"/>
      <c r="K40" s="64"/>
      <c r="L40" s="44"/>
      <c r="M40" s="44"/>
      <c r="N40" s="44"/>
      <c r="O40" s="44"/>
      <c r="P40" s="44"/>
      <c r="Q40" s="44"/>
      <c r="R40" s="44"/>
      <c r="S40" s="44"/>
      <c r="T40" s="44"/>
      <c r="U40" s="44"/>
      <c r="V40" s="44"/>
      <c r="W40" s="44"/>
      <c r="X40" s="44"/>
      <c r="Y40" s="44"/>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65"/>
      <c r="E47" s="65"/>
      <c r="F47" s="65"/>
      <c r="G47" s="65"/>
      <c r="H47" s="65"/>
    </row>
    <row r="48" spans="1:25" ht="20.100000000000001" customHeight="1" x14ac:dyDescent="0.25">
      <c r="A48"/>
      <c r="D48" s="31"/>
      <c r="E48" s="31"/>
      <c r="F48" s="32"/>
      <c r="G48" s="32"/>
      <c r="H48" s="31"/>
    </row>
    <row r="49" spans="1:8" ht="20.100000000000001" customHeight="1" x14ac:dyDescent="0.25">
      <c r="A49"/>
      <c r="D49" s="31"/>
      <c r="E49" s="31"/>
      <c r="F49" s="32"/>
      <c r="G49" s="32"/>
      <c r="H49" s="31"/>
    </row>
    <row r="50" spans="1:8" ht="20.100000000000001" customHeight="1" x14ac:dyDescent="0.25">
      <c r="A50"/>
      <c r="D50" s="31"/>
      <c r="E50" s="31"/>
      <c r="F50" s="32"/>
      <c r="G50" s="32"/>
      <c r="H50" s="31"/>
    </row>
    <row r="51" spans="1:8" ht="20.100000000000001" customHeight="1" x14ac:dyDescent="0.25">
      <c r="A51"/>
      <c r="D51" s="66"/>
      <c r="E51" s="67"/>
      <c r="F51" s="67"/>
      <c r="G51" s="67"/>
      <c r="H51" s="68"/>
    </row>
    <row r="52" spans="1:8" ht="20.100000000000001" customHeight="1" x14ac:dyDescent="0.25">
      <c r="A52"/>
    </row>
    <row r="53" spans="1:8" ht="20.100000000000001" customHeight="1" x14ac:dyDescent="0.25">
      <c r="A53"/>
    </row>
    <row r="54" spans="1:8" ht="20.100000000000001" customHeight="1" x14ac:dyDescent="0.25">
      <c r="A54"/>
      <c r="G54" s="69"/>
    </row>
    <row r="55" spans="1:8" ht="20.100000000000001" customHeight="1" x14ac:dyDescent="0.25">
      <c r="A55"/>
      <c r="D55" s="6"/>
    </row>
    <row r="56" spans="1:8" ht="20.100000000000001" customHeight="1" x14ac:dyDescent="0.25">
      <c r="A56"/>
    </row>
    <row r="57" spans="1:8" ht="20.100000000000001" customHeight="1" x14ac:dyDescent="0.25">
      <c r="A57"/>
      <c r="D57" s="20"/>
      <c r="F57" s="70"/>
    </row>
    <row r="58" spans="1:8" ht="20.100000000000001" customHeight="1" x14ac:dyDescent="0.25">
      <c r="A58"/>
      <c r="D58" s="1"/>
      <c r="E58" s="71"/>
    </row>
    <row r="59" spans="1:8" ht="20.100000000000001" customHeight="1" x14ac:dyDescent="0.25">
      <c r="A59"/>
      <c r="D59" s="1"/>
      <c r="E59" s="71"/>
    </row>
    <row r="60" spans="1:8" ht="20.100000000000001" customHeight="1" x14ac:dyDescent="0.25">
      <c r="A60"/>
      <c r="D60" s="1"/>
      <c r="E60" s="72"/>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1"/>
    </row>
    <row r="65" spans="1:9" ht="20.100000000000001" customHeight="1" x14ac:dyDescent="0.25">
      <c r="A65"/>
      <c r="D65" s="1"/>
      <c r="E65" s="71"/>
    </row>
    <row r="66" spans="1:9" ht="20.100000000000001" customHeight="1" x14ac:dyDescent="0.25">
      <c r="A66"/>
      <c r="D66" s="1"/>
      <c r="E66" s="72"/>
    </row>
    <row r="67" spans="1:9" ht="20.100000000000001" customHeight="1" x14ac:dyDescent="0.25">
      <c r="A67"/>
    </row>
    <row r="68" spans="1:9" ht="20.100000000000001" customHeight="1" x14ac:dyDescent="0.25">
      <c r="A68"/>
    </row>
    <row r="69" spans="1:9" ht="20.100000000000001" customHeight="1" x14ac:dyDescent="0.25">
      <c r="A69"/>
      <c r="D69" s="52"/>
      <c r="E69" s="52"/>
      <c r="F69" s="52"/>
      <c r="G69" s="52"/>
      <c r="H69" s="52"/>
      <c r="I69" s="52"/>
    </row>
    <row r="70" spans="1:9" ht="20.100000000000001" customHeight="1" x14ac:dyDescent="0.25">
      <c r="A70"/>
      <c r="D70" s="52"/>
      <c r="E70" s="52"/>
      <c r="F70" s="52"/>
      <c r="G70" s="52"/>
      <c r="H70" s="52"/>
      <c r="I70" s="52"/>
    </row>
    <row r="71" spans="1:9" ht="20.100000000000001" customHeight="1" x14ac:dyDescent="0.25">
      <c r="A71"/>
      <c r="D71" s="52"/>
      <c r="E71" s="52"/>
      <c r="F71" s="52"/>
      <c r="G71" s="52"/>
      <c r="H71" s="52"/>
      <c r="I71" s="52"/>
    </row>
    <row r="72" spans="1:9" ht="20.100000000000001" customHeight="1" x14ac:dyDescent="0.25">
      <c r="A72"/>
      <c r="D72" s="52"/>
      <c r="E72" s="52"/>
      <c r="F72" s="52"/>
      <c r="G72" s="52"/>
      <c r="H72" s="52"/>
      <c r="I72" s="52"/>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3"/>
    </row>
    <row r="79" spans="1:9" ht="20.100000000000001" customHeight="1" x14ac:dyDescent="0.25">
      <c r="A79"/>
      <c r="D79" s="73"/>
    </row>
    <row r="80" spans="1:9" ht="20.100000000000001" customHeight="1" x14ac:dyDescent="0.25">
      <c r="A80"/>
      <c r="D80" s="73"/>
    </row>
    <row r="81" spans="1:4" ht="20.100000000000001" customHeight="1" x14ac:dyDescent="0.25">
      <c r="A81"/>
      <c r="D81" s="73"/>
    </row>
    <row r="82" spans="1:4" ht="20.100000000000001" customHeight="1" x14ac:dyDescent="0.25">
      <c r="A82"/>
      <c r="D82" s="73"/>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63"/>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91.42578125" style="1" customWidth="1"/>
    <col min="5" max="10" width="40.7109375" style="1" customWidth="1"/>
    <col min="11" max="11" width="4.7109375" style="1" customWidth="1"/>
    <col min="12" max="12" width="4.7109375" customWidth="1"/>
  </cols>
  <sheetData>
    <row r="1" spans="1:11" s="56" customFormat="1" ht="30" customHeight="1" x14ac:dyDescent="0.35">
      <c r="A1" s="56" t="e" vm="1">
        <v>#VALUE!</v>
      </c>
      <c r="C1" s="56" t="s">
        <v>106</v>
      </c>
    </row>
    <row r="2" spans="1:11" s="9" customFormat="1" ht="20.100000000000001" customHeight="1" x14ac:dyDescent="0.25">
      <c r="A2"/>
    </row>
    <row r="3" spans="1:11" ht="20.100000000000001" customHeight="1" x14ac:dyDescent="0.25">
      <c r="A3" s="17" t="str">
        <f>HYPERLINK("#'Home'!A1", "Home")</f>
        <v>Home</v>
      </c>
      <c r="C3" s="15"/>
      <c r="D3" s="15"/>
      <c r="E3" s="15"/>
      <c r="F3" s="15"/>
      <c r="G3" s="15"/>
      <c r="H3" s="15"/>
      <c r="I3" s="15"/>
      <c r="J3" s="15"/>
      <c r="K3" s="15"/>
    </row>
    <row r="4" spans="1:11" ht="20.100000000000001" customHeight="1" x14ac:dyDescent="0.25">
      <c r="A4" s="17" t="str">
        <f>HYPERLINK("#'Overview'!A1", "Overview")</f>
        <v>Overview</v>
      </c>
    </row>
    <row r="5" spans="1:11" ht="20.100000000000001" customHeight="1" x14ac:dyDescent="0.25">
      <c r="A5" s="17" t="str">
        <f>HYPERLINK("#'Results'!A1", "Results")</f>
        <v>Results</v>
      </c>
      <c r="D5" s="6" t="s">
        <v>103</v>
      </c>
    </row>
    <row r="6" spans="1:11" ht="20.100000000000001" customHeight="1" x14ac:dyDescent="0.25"/>
    <row r="7" spans="1:11" ht="20.100000000000001" customHeight="1" x14ac:dyDescent="0.25">
      <c r="D7" s="80" t="s">
        <v>104</v>
      </c>
      <c r="E7" s="81"/>
      <c r="F7" s="81"/>
      <c r="G7" s="76"/>
    </row>
    <row r="8" spans="1:11" ht="20.100000000000001" customHeight="1" x14ac:dyDescent="0.25">
      <c r="A8" s="19" t="s">
        <v>0</v>
      </c>
    </row>
    <row r="9" spans="1:11" ht="20.100000000000001" customHeight="1" x14ac:dyDescent="0.25">
      <c r="A9" s="17" t="str">
        <f>HYPERLINK("#'Input - Site'!A1", "Site")</f>
        <v>Site</v>
      </c>
    </row>
    <row r="10" spans="1:11" ht="20.100000000000001" customHeight="1" x14ac:dyDescent="0.25">
      <c r="A10" s="97" t="str">
        <f>HYPERLINK("#'Input - Rice'!A1", "Rice")</f>
        <v>Rice</v>
      </c>
      <c r="D10" s="1" t="str">
        <f>"Number of full growing seasons between "&amp;TEXT(X_Cell_Site_StartDate,"d/m/yy")&amp;" and " &amp; TEXT(X_Cell_Site_EndDate,"d/m/yy") &amp; " that are managed the same way"</f>
        <v>Number of full growing seasons between 1/1/24 and 31/12/24 that are managed the same way</v>
      </c>
      <c r="E10" s="104">
        <v>2</v>
      </c>
      <c r="F10" s="2" t="s">
        <v>151</v>
      </c>
    </row>
    <row r="11" spans="1:11" ht="20.100000000000001" customHeight="1" x14ac:dyDescent="0.25"/>
    <row r="12" spans="1:11" ht="20.100000000000001" customHeight="1" x14ac:dyDescent="0.25">
      <c r="D12" s="6" t="s">
        <v>113</v>
      </c>
    </row>
    <row r="13" spans="1:11" ht="20.100000000000001" customHeight="1" x14ac:dyDescent="0.25">
      <c r="A13" s="18" t="s">
        <v>51</v>
      </c>
    </row>
    <row r="14" spans="1:11" ht="20.100000000000001" customHeight="1" x14ac:dyDescent="0.25">
      <c r="A14" s="17" t="str">
        <f>HYPERLINK("#'7.1.1-2 Rice cultivation'!A1", "7.1.1-2 Rice cultivation")</f>
        <v>7.1.1-2 Rice cultivation</v>
      </c>
      <c r="D14" s="99" t="s">
        <v>131</v>
      </c>
      <c r="E14" s="99" t="s">
        <v>168</v>
      </c>
      <c r="F14" s="99" t="s">
        <v>169</v>
      </c>
      <c r="G14" s="99" t="s">
        <v>115</v>
      </c>
      <c r="H14" s="99" t="s">
        <v>116</v>
      </c>
      <c r="I14" s="99" t="s">
        <v>117</v>
      </c>
      <c r="J14" s="99" t="s">
        <v>118</v>
      </c>
    </row>
    <row r="15" spans="1:11" ht="20.100000000000001" customHeight="1" x14ac:dyDescent="0.25">
      <c r="D15" s="34" t="s">
        <v>152</v>
      </c>
      <c r="E15" s="34">
        <v>2</v>
      </c>
      <c r="F15" s="34">
        <v>0</v>
      </c>
      <c r="G15" s="34">
        <v>2</v>
      </c>
      <c r="H15" s="34">
        <v>0</v>
      </c>
      <c r="I15" s="34">
        <v>2</v>
      </c>
      <c r="J15" s="34">
        <v>0</v>
      </c>
    </row>
    <row r="16" spans="1:11" ht="20.100000000000001" customHeight="1" x14ac:dyDescent="0.25">
      <c r="D16" s="34" t="s">
        <v>153</v>
      </c>
      <c r="E16" s="34">
        <v>0</v>
      </c>
      <c r="F16" s="34">
        <v>2</v>
      </c>
      <c r="G16" s="34">
        <v>0</v>
      </c>
      <c r="H16" s="34">
        <v>2</v>
      </c>
      <c r="I16" s="34">
        <v>0</v>
      </c>
      <c r="J16" s="34">
        <v>2</v>
      </c>
    </row>
    <row r="17" spans="1:10" ht="20.100000000000001" customHeight="1" x14ac:dyDescent="0.25">
      <c r="A17" s="118" t="s">
        <v>1</v>
      </c>
    </row>
    <row r="18" spans="1:10" ht="20.100000000000001" customHeight="1" x14ac:dyDescent="0.25">
      <c r="A18" s="17" t="str">
        <f>HYPERLINK("#'Constants - Rice cultivation'!A1", "Constants - Rice cultivation")</f>
        <v>Constants - Rice cultivation</v>
      </c>
    </row>
    <row r="19" spans="1:10" ht="20.100000000000001" customHeight="1" x14ac:dyDescent="0.25">
      <c r="A19" s="17" t="str">
        <f>HYPERLINK("#'Constants - Common'!A1", "Constants - Common")</f>
        <v>Constants - Common</v>
      </c>
      <c r="D19" s="6" t="s">
        <v>107</v>
      </c>
    </row>
    <row r="20" spans="1:10" ht="20.100000000000001" customHeight="1" x14ac:dyDescent="0.25"/>
    <row r="21" spans="1:10" ht="20.100000000000001" customHeight="1" x14ac:dyDescent="0.25">
      <c r="D21" s="99" t="s">
        <v>109</v>
      </c>
      <c r="E21" s="99" t="s">
        <v>160</v>
      </c>
      <c r="F21" s="99" t="s">
        <v>122</v>
      </c>
      <c r="G21" s="99" t="s">
        <v>121</v>
      </c>
      <c r="H21" s="99" t="s">
        <v>120</v>
      </c>
      <c r="I21" s="99" t="s">
        <v>119</v>
      </c>
      <c r="J21" s="99" t="s">
        <v>158</v>
      </c>
    </row>
    <row r="22" spans="1:10" ht="20.100000000000001" customHeight="1" x14ac:dyDescent="0.25">
      <c r="D22" s="34" t="s">
        <v>140</v>
      </c>
      <c r="E22" s="34">
        <v>100</v>
      </c>
      <c r="F22" s="36" t="s">
        <v>142</v>
      </c>
      <c r="G22" s="36" t="s">
        <v>149</v>
      </c>
      <c r="H22" s="36" t="s">
        <v>155</v>
      </c>
      <c r="I22" s="36" t="s">
        <v>152</v>
      </c>
      <c r="J22" s="34">
        <v>100</v>
      </c>
    </row>
    <row r="23" spans="1:10" ht="20.100000000000001" customHeight="1" x14ac:dyDescent="0.25">
      <c r="D23" s="34" t="s">
        <v>141</v>
      </c>
      <c r="E23" s="34">
        <v>100</v>
      </c>
      <c r="F23" s="36" t="s">
        <v>150</v>
      </c>
      <c r="G23" s="36" t="s">
        <v>147</v>
      </c>
      <c r="H23" s="36" t="s">
        <v>148</v>
      </c>
      <c r="I23" s="36" t="s">
        <v>153</v>
      </c>
      <c r="J23" s="34">
        <v>100</v>
      </c>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row r="30" spans="1:10" ht="20.100000000000001" customHeight="1" x14ac:dyDescent="0.25"/>
    <row r="31" spans="1:10" ht="20.100000000000001" customHeight="1" x14ac:dyDescent="0.25"/>
    <row r="32" spans="1:10" ht="20.100000000000001" customHeight="1" x14ac:dyDescent="0.25"/>
    <row r="33" spans="1:11" ht="20.100000000000001" customHeight="1" x14ac:dyDescent="0.25"/>
    <row r="34" spans="1:11" ht="20.100000000000001" customHeight="1" x14ac:dyDescent="0.25"/>
    <row r="35" spans="1:11" ht="20.100000000000001" customHeight="1" x14ac:dyDescent="0.25"/>
    <row r="36" spans="1:11" ht="20.100000000000001" customHeight="1" x14ac:dyDescent="0.25"/>
    <row r="37" spans="1:11" ht="20.100000000000001" customHeight="1" x14ac:dyDescent="0.25">
      <c r="C37" s="102"/>
    </row>
    <row r="38" spans="1:11" ht="20.100000000000001" customHeight="1" x14ac:dyDescent="0.25">
      <c r="C38" s="102"/>
    </row>
    <row r="39" spans="1:11" ht="20.100000000000001" customHeight="1" x14ac:dyDescent="0.25"/>
    <row r="40" spans="1:11" s="103" customFormat="1" ht="20.100000000000001" customHeight="1" x14ac:dyDescent="0.25">
      <c r="A40"/>
      <c r="C40" s="1"/>
      <c r="D40" s="1"/>
      <c r="E40" s="1"/>
      <c r="F40" s="1"/>
      <c r="G40" s="1"/>
      <c r="H40" s="1"/>
      <c r="I40" s="1"/>
      <c r="J40" s="1"/>
      <c r="K40" s="1"/>
    </row>
    <row r="41" spans="1:11" s="103" customFormat="1" ht="20.100000000000001" customHeight="1" x14ac:dyDescent="0.25">
      <c r="A41"/>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spans="4:4" ht="20.100000000000001" customHeight="1" x14ac:dyDescent="0.25"/>
    <row r="82" spans="4:4" ht="20.100000000000001" customHeight="1" x14ac:dyDescent="0.25"/>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c r="D88" s="6"/>
    </row>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89"/>
    </row>
  </sheetData>
  <conditionalFormatting sqref="F86">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J211 E212:I212">
    <cfRule type="cellIs" dxfId="0" priority="79" operator="lessThan">
      <formula>0</formula>
    </cfRule>
  </conditionalFormatting>
  <dataValidations count="7">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I22:I23" xr:uid="{AC720740-2A9C-4E4D-878A-3A7CD4B2EEAA}">
      <formula1>INDIRECT("Table_Input_AmendmentBlends[Amendment mix name]")</formula1>
    </dataValidation>
    <dataValidation type="list" allowBlank="1" showInputMessage="1" showErrorMessage="1" sqref="F22:F23" xr:uid="{C3A6FB83-0913-4E8C-8135-D4429C93D9E9}">
      <formula1>INDIRECT("Table_SourceData_WaterScalingFactorPreSeason[Water regime prior to cultivation]")</formula1>
    </dataValidation>
    <dataValidation type="list" allowBlank="1" showInputMessage="1" showErrorMessage="1" sqref="G22:G23" xr:uid="{B01AFB5D-37E9-40B5-8F22-A5F286D70DDB}">
      <formula1>INDIRECT("Table_SourceData_WaterScalingFactorGrowingSeason[Water regime type]")</formula1>
    </dataValidation>
    <dataValidation type="list" allowBlank="1" showInputMessage="1" showErrorMessage="1" sqref="H22:H23" xr:uid="{4C831510-5231-467E-A8EA-31B7366B83CB}">
      <formula1>INDIRECT("Table_WaterRegimeSubtypes_" &amp; SUBSTITUTE(G22, " ", "") &amp; "[Sub type]")</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V342"/>
  <sheetViews>
    <sheetView showGridLines="0" topLeftCell="A82"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1" width="30.7109375" style="1" customWidth="1"/>
    <col min="22" max="22" width="4.7109375" style="1" customWidth="1"/>
  </cols>
  <sheetData>
    <row r="1" spans="1:22" s="8" customFormat="1" ht="30" customHeight="1" x14ac:dyDescent="0.35">
      <c r="A1" s="56" t="e" vm="1">
        <v>#VALUE!</v>
      </c>
      <c r="C1" s="8" t="s">
        <v>105</v>
      </c>
      <c r="M1"/>
    </row>
    <row r="2" spans="1:22" s="9" customFormat="1" ht="20.100000000000001" customHeight="1" x14ac:dyDescent="0.25">
      <c r="A2"/>
      <c r="M2"/>
    </row>
    <row r="3" spans="1:22" ht="20.100000000000001" customHeight="1" x14ac:dyDescent="0.25">
      <c r="A3" s="17" t="str">
        <f>HYPERLINK("#'Home'!A1", "Home")</f>
        <v>Home</v>
      </c>
      <c r="C3" s="4"/>
      <c r="D3" s="4" t="s">
        <v>60</v>
      </c>
      <c r="E3" s="4"/>
      <c r="F3" s="4"/>
      <c r="G3" s="4"/>
      <c r="H3" s="4"/>
      <c r="I3" s="4"/>
      <c r="J3" s="4"/>
      <c r="K3" s="4"/>
      <c r="L3" s="4"/>
      <c r="N3" s="4"/>
      <c r="O3" s="4" t="s">
        <v>61</v>
      </c>
      <c r="P3" s="4"/>
      <c r="Q3" s="4"/>
      <c r="R3" s="4"/>
      <c r="S3" s="4"/>
      <c r="T3" s="4"/>
      <c r="U3" s="4"/>
      <c r="V3" s="4"/>
    </row>
    <row r="4" spans="1:22" ht="20.100000000000001" customHeight="1" x14ac:dyDescent="0.25">
      <c r="A4" s="17" t="str">
        <f>HYPERLINK("#'Overview'!A1", "Overview")</f>
        <v>Overview</v>
      </c>
    </row>
    <row r="5" spans="1:22" ht="20.100000000000001" customHeight="1" x14ac:dyDescent="0.25">
      <c r="A5" s="17" t="str">
        <f>HYPERLINK("#'Results'!A1", "Results")</f>
        <v>Results</v>
      </c>
      <c r="D5" s="6" t="str" cm="1">
        <f t="array" ref="D5">RiceCultivation_Equations.VEERG_7_1_1_1__3_OrganicAmendmentsScalingFactor_Title()</f>
        <v>Organic amendments scaling factor</v>
      </c>
      <c r="E5" s="21"/>
      <c r="F5" s="21"/>
      <c r="G5" s="21"/>
      <c r="H5" s="21"/>
    </row>
    <row r="6" spans="1:22" ht="20.100000000000001" customHeight="1" x14ac:dyDescent="0.25">
      <c r="D6" s="5" t="str" cm="1">
        <f t="array" ref="D6">RiceCultivation_Equations.VEERG_7_1_1_1__3_OrganicAmendmentsScalingFactor_Source()</f>
        <v>VEERG 2026: 7.1.1.1, Equation (3)</v>
      </c>
      <c r="E6" s="21"/>
      <c r="F6" s="21"/>
      <c r="G6" s="21"/>
      <c r="H6" s="21"/>
      <c r="L6" s="21"/>
    </row>
    <row r="7" spans="1:22" ht="20.100000000000001" customHeight="1" x14ac:dyDescent="0.25">
      <c r="D7" s="49" t="str" cm="1">
        <f t="array" ref="D7:D10">RiceCultivation_Equations.VEERG_7_1_1_1__3_OrganicAmendmentsScalingFactor_Variation()</f>
        <v>VARIATION ON SOURCE:</v>
      </c>
      <c r="L7" s="21"/>
    </row>
    <row r="8" spans="1:22" ht="20.100000000000001" customHeight="1" x14ac:dyDescent="0.25">
      <c r="A8" s="19" t="s">
        <v>0</v>
      </c>
      <c r="D8" s="49" t="str">
        <v>Included inorganic fertiliser as amendment as per VEERG equation description:</v>
      </c>
      <c r="L8" s="21"/>
    </row>
    <row r="9" spans="1:22" ht="20.100000000000001" customHeight="1" x14ac:dyDescent="0.25">
      <c r="A9" s="17" t="str">
        <f>HYPERLINK("#'Input - Site'!A1", "Site")</f>
        <v>Site</v>
      </c>
      <c r="D9" s="49" t="str">
        <v>Where inorganic fertiliser is applied to the rice fields rather than organic amendments, SF_o is set to 1.</v>
      </c>
      <c r="L9" s="21"/>
    </row>
    <row r="10" spans="1:22" ht="20.100000000000001" customHeight="1" x14ac:dyDescent="0.25">
      <c r="A10" s="17" t="str">
        <f>HYPERLINK("#'Input - Rice'!A1", "Rice")</f>
        <v>Rice</v>
      </c>
      <c r="D10" s="49" t="str">
        <v>Declared each amendment separately to allow summing in Excel in one equation</v>
      </c>
    </row>
    <row r="11" spans="1:22" ht="20.100000000000001" customHeight="1" x14ac:dyDescent="0.25">
      <c r="D11" s="13" t="s">
        <v>13</v>
      </c>
      <c r="E11" s="13" t="str" cm="1">
        <f t="array" aca="1" ref="E11" ca="1">Common_InputFunctions.Utility_DisplayFunctionName(E43)</f>
        <v>=RiceCultivation_Equations.VEERG_7_1_1_1__3_OrganicAmendmentsScalingFactorVariation</v>
      </c>
      <c r="F11" s="21"/>
      <c r="G11" s="21"/>
      <c r="H11" s="21"/>
      <c r="L11" s="21"/>
    </row>
    <row r="12" spans="1:22" ht="20.100000000000001" customHeight="1" x14ac:dyDescent="0.25">
      <c r="F12" s="5"/>
      <c r="G12" s="21"/>
      <c r="H12" s="21"/>
      <c r="L12" s="21"/>
    </row>
    <row r="13" spans="1:22" ht="20.100000000000001" customHeight="1" x14ac:dyDescent="0.25">
      <c r="A13" s="18" t="s">
        <v>51</v>
      </c>
      <c r="D13" s="21"/>
      <c r="E13" s="21"/>
      <c r="F13" s="21"/>
      <c r="G13" s="21"/>
      <c r="H13" s="21"/>
      <c r="L13" s="21"/>
    </row>
    <row r="14" spans="1:22" ht="20.100000000000001" customHeight="1" x14ac:dyDescent="0.25">
      <c r="A14" s="116" t="str">
        <f>HYPERLINK("#'7.1.1-2 Rice cultivation'!A1", "7.1.1-2 Rice cultivation")</f>
        <v>7.1.1-2 Rice cultivation</v>
      </c>
      <c r="D14" s="47" t="s">
        <v>16</v>
      </c>
      <c r="E14" s="1" t="str" cm="1">
        <f t="array" ref="E14">RiceCultivation_Equations.VEERG_7_1_1_1__3_OrganicAmendmentsScalingFactor_Variable()</f>
        <v>SF_o</v>
      </c>
      <c r="F14" s="21"/>
      <c r="G14" s="21"/>
      <c r="H14" s="21"/>
      <c r="L14" s="21"/>
    </row>
    <row r="15" spans="1:22" ht="20.100000000000001" customHeight="1" x14ac:dyDescent="0.25">
      <c r="D15" s="47" t="s">
        <v>8</v>
      </c>
      <c r="E15" s="48" t="str" cm="1">
        <f t="array" ref="E15">RiceCultivation_Equations.VEERG_7_1_1_1__3_OrganicAmendmentsScalingFactor_Unit()</f>
        <v>dimensionless</v>
      </c>
      <c r="F15" s="6"/>
      <c r="G15" s="21"/>
      <c r="H15" s="21"/>
      <c r="L15" s="21"/>
    </row>
    <row r="16" spans="1:22" ht="20.100000000000001" customHeight="1" x14ac:dyDescent="0.25">
      <c r="D16" s="21"/>
      <c r="E16" s="21"/>
      <c r="F16" s="21"/>
      <c r="G16" s="21"/>
    </row>
    <row r="17" spans="1:11" ht="20.100000000000001" customHeight="1" x14ac:dyDescent="0.25">
      <c r="A17" s="118" t="s">
        <v>1</v>
      </c>
      <c r="D17" s="106" t="str" cm="1">
        <f t="array" ref="D17:E19">_xlfn.CHOOSECOLS(RiceCultivation_Equations.VEERG_7_1_1_1__3_OrganicAmendmentsScalingFactor_Arguments(), 1, 2)</f>
        <v>ROA_o</v>
      </c>
      <c r="E17" s="108" t="str">
        <v>application rate of organic amendment o</v>
      </c>
      <c r="F17" s="107"/>
      <c r="G17" s="106" t="str" cm="1">
        <f t="array" ref="G17:H19">_xlfn.CHOOSECOLS(RiceCultivation_Equations.VEERG_7_1_1_1__3_OrganicAmendmentsScalingFactor_Arguments(), 3,4)</f>
        <v>tonnes/ha</v>
      </c>
      <c r="H17" s="101" t="str">
        <v>Input</v>
      </c>
      <c r="I17" s="105" t="str" cm="1">
        <f t="array" aca="1" ref="I17" ca="1">HYPERLINK(Common_InputFunctions.Utility_SourceHyperlink($D$21),$D$21)</f>
        <v>Table_ROA_o</v>
      </c>
    </row>
    <row r="18" spans="1:11" ht="20.100000000000001" customHeight="1" x14ac:dyDescent="0.25">
      <c r="A18" s="17" t="str">
        <f>HYPERLINK("#'Constants - Rice cultivation'!A1", "Constants - Rice cultivation")</f>
        <v>Constants - Rice cultivation</v>
      </c>
      <c r="D18" s="106" t="str">
        <v>CFOA_o</v>
      </c>
      <c r="E18" s="108" t="str">
        <v>conversion factor of organic amendment o</v>
      </c>
      <c r="F18" s="107"/>
      <c r="G18" s="106" t="str">
        <v>fraction</v>
      </c>
      <c r="H18" s="100" t="str">
        <v>Constant</v>
      </c>
      <c r="I18" s="105" t="str" cm="1">
        <f t="array" aca="1" ref="I18" ca="1">HYPERLINK(Common_InputFunctions.Utility_SourceHyperlink($D$30),$D$30)</f>
        <v>Table_CFOA_o</v>
      </c>
    </row>
    <row r="19" spans="1:11" ht="20.100000000000001" customHeight="1" x14ac:dyDescent="0.25">
      <c r="A19" s="17" t="str">
        <f>HYPERLINK("#'Constants - Common'!A1", "Constants - Common")</f>
        <v>Constants - Common</v>
      </c>
      <c r="D19" s="106" t="str">
        <v>o</v>
      </c>
      <c r="E19" s="108" t="str">
        <v>organic amendment type</v>
      </c>
      <c r="F19" s="107"/>
      <c r="G19" s="106" t="str">
        <v/>
      </c>
      <c r="H19" s="101" t="str">
        <v>Input</v>
      </c>
      <c r="I19" s="105" t="str" cm="1">
        <f t="array" aca="1" ref="I19" ca="1">HYPERLINK(Common_InputFunctions.Utility_SourceHyperlink($D$21),$D$21)</f>
        <v>Table_ROA_o</v>
      </c>
    </row>
    <row r="20" spans="1:11" ht="20.100000000000001" customHeight="1" x14ac:dyDescent="0.25">
      <c r="D20" s="21"/>
      <c r="E20" s="21"/>
      <c r="F20" s="21"/>
      <c r="G20" s="21"/>
      <c r="H20" s="21"/>
    </row>
    <row r="21" spans="1:11" ht="20.100000000000001" customHeight="1" x14ac:dyDescent="0.25">
      <c r="D21" s="83" t="s">
        <v>136</v>
      </c>
      <c r="E21" s="21"/>
      <c r="F21" s="6"/>
      <c r="G21" s="21"/>
    </row>
    <row r="22" spans="1:11" ht="20.100000000000001" customHeight="1" x14ac:dyDescent="0.25">
      <c r="D22" s="82" t="s">
        <v>112</v>
      </c>
      <c r="E22" s="21"/>
      <c r="F22" s="21"/>
      <c r="G22" s="21"/>
      <c r="H22" s="21"/>
    </row>
    <row r="23" spans="1:11" ht="20.100000000000001" customHeight="1" x14ac:dyDescent="0.25">
      <c r="D23" s="99" t="s">
        <v>130</v>
      </c>
      <c r="E23" s="99" t="str">
        <f>'Constants - Rice cultivation'!D39</f>
        <v>Straw incorporated shortly (&lt;30 days) before cultivation</v>
      </c>
      <c r="F23" s="99" t="str">
        <f>'Constants - Rice cultivation'!D40</f>
        <v>Straw incorporated long (&gt;30 days) before cultivation</v>
      </c>
      <c r="G23" s="99" t="str">
        <f>'Constants - Rice cultivation'!D41</f>
        <v>Compost</v>
      </c>
      <c r="H23" s="99" t="str">
        <f>'Constants - Rice cultivation'!D42</f>
        <v>Farm yard manure</v>
      </c>
      <c r="I23" s="99" t="str">
        <f>'Constants - Rice cultivation'!D43</f>
        <v>Green manure</v>
      </c>
      <c r="J23" s="99" t="s">
        <v>114</v>
      </c>
    </row>
    <row r="24" spans="1:11" ht="20.100000000000001" customHeight="1" x14ac:dyDescent="0.25">
      <c r="D24" s="46" t="str" cm="1">
        <f t="array" ref="D24:D28">IFERROR(INDEX(Table_Input_AmendmentBlends[Amendment mix name], _xlfn.SEQUENCE(5)), "")</f>
        <v>Mix 1</v>
      </c>
      <c r="E24" s="46" cm="1">
        <f t="array" ref="E24:E28">IFERROR(INDEX(Table_Input_AmendmentBlends[Straw added &lt; 30 days precultivation (t/ha)], _xlfn.SEQUENCE(5)), 0)</f>
        <v>2</v>
      </c>
      <c r="F24" s="46" cm="1">
        <f t="array" ref="F24:F28">IFERROR(INDEX(Table_Input_AmendmentBlends[Straw added 30+ days pre cultivation (t/ha)], _xlfn.SEQUENCE(5)), 0)</f>
        <v>0</v>
      </c>
      <c r="G24" s="46" cm="1">
        <f t="array" ref="G24:G28">IFERROR(INDEX(Table_Input_AmendmentBlends[Compost (t/ha)], _xlfn.SEQUENCE(5)), 0)</f>
        <v>2</v>
      </c>
      <c r="H24" s="46" cm="1">
        <f t="array" ref="H24:H28">IFERROR(INDEX(Table_Input_AmendmentBlends[Farm yard manure (t/ha)], _xlfn.SEQUENCE(5)), 0)</f>
        <v>0</v>
      </c>
      <c r="I24" s="46" cm="1">
        <f t="array" ref="I24:I28">IFERROR(INDEX(Table_Input_AmendmentBlends[Green manure (t/ha)], _xlfn.SEQUENCE(5)), 0)</f>
        <v>2</v>
      </c>
      <c r="J24" s="46" cm="1">
        <f t="array" ref="J24:J28">IFERROR(INDEX(Table_Input_AmendmentBlends[Inorganic fertiliser (t/ha)], _xlfn.SEQUENCE(5)), 0)</f>
        <v>0</v>
      </c>
      <c r="K24" s="2" t="str">
        <f>G17</f>
        <v>tonnes/ha</v>
      </c>
    </row>
    <row r="25" spans="1:11" ht="20.100000000000001" customHeight="1" x14ac:dyDescent="0.25">
      <c r="D25" s="46" t="str">
        <v>Mix 2</v>
      </c>
      <c r="E25" s="46">
        <v>0</v>
      </c>
      <c r="F25" s="46">
        <v>2</v>
      </c>
      <c r="G25" s="46">
        <v>0</v>
      </c>
      <c r="H25" s="46">
        <v>2</v>
      </c>
      <c r="I25" s="46">
        <v>0</v>
      </c>
      <c r="J25" s="46">
        <v>2</v>
      </c>
    </row>
    <row r="26" spans="1:11" ht="20.100000000000001" customHeight="1" x14ac:dyDescent="0.25">
      <c r="D26" s="46" t="str">
        <v/>
      </c>
      <c r="E26" s="46">
        <v>0</v>
      </c>
      <c r="F26" s="46">
        <v>0</v>
      </c>
      <c r="G26" s="46">
        <v>0</v>
      </c>
      <c r="H26" s="46">
        <v>0</v>
      </c>
      <c r="I26" s="46">
        <v>0</v>
      </c>
      <c r="J26" s="46">
        <v>0</v>
      </c>
    </row>
    <row r="27" spans="1:11" ht="20.100000000000001" customHeight="1" x14ac:dyDescent="0.25">
      <c r="D27" s="46" t="str">
        <v/>
      </c>
      <c r="E27" s="46">
        <v>0</v>
      </c>
      <c r="F27" s="46">
        <v>0</v>
      </c>
      <c r="G27" s="46">
        <v>0</v>
      </c>
      <c r="H27" s="46">
        <v>0</v>
      </c>
      <c r="I27" s="46">
        <v>0</v>
      </c>
      <c r="J27" s="46">
        <v>0</v>
      </c>
    </row>
    <row r="28" spans="1:11" ht="20.100000000000001" customHeight="1" x14ac:dyDescent="0.25">
      <c r="D28" s="46" t="str">
        <v/>
      </c>
      <c r="E28" s="46">
        <v>0</v>
      </c>
      <c r="F28" s="46">
        <v>0</v>
      </c>
      <c r="G28" s="46">
        <v>0</v>
      </c>
      <c r="H28" s="46">
        <v>0</v>
      </c>
      <c r="I28" s="46">
        <v>0</v>
      </c>
      <c r="J28" s="46">
        <v>0</v>
      </c>
    </row>
    <row r="29" spans="1:11" ht="20.100000000000001" customHeight="1" x14ac:dyDescent="0.25"/>
    <row r="30" spans="1:11" ht="20.100000000000001" customHeight="1" x14ac:dyDescent="0.25">
      <c r="D30" s="83" t="s">
        <v>132</v>
      </c>
    </row>
    <row r="31" spans="1:11" ht="20.100000000000001" customHeight="1" x14ac:dyDescent="0.25">
      <c r="D31" s="82" t="s">
        <v>133</v>
      </c>
    </row>
    <row r="32" spans="1:11" ht="20.100000000000001" customHeight="1" x14ac:dyDescent="0.25">
      <c r="D32" s="45" t="s">
        <v>134</v>
      </c>
      <c r="E32" s="45" t="s">
        <v>135</v>
      </c>
    </row>
    <row r="33" spans="4:6" ht="20.100000000000001" customHeight="1" x14ac:dyDescent="0.25">
      <c r="D33" s="46" t="str">
        <f>'Constants - Rice cultivation'!D39</f>
        <v>Straw incorporated shortly (&lt;30 days) before cultivation</v>
      </c>
      <c r="E33" s="46">
        <f>'Constants - Rice cultivation'!E39</f>
        <v>1</v>
      </c>
      <c r="F33" s="2" t="str">
        <f>G18</f>
        <v>fraction</v>
      </c>
    </row>
    <row r="34" spans="4:6" ht="20.100000000000001" customHeight="1" x14ac:dyDescent="0.25">
      <c r="D34" s="46" t="str">
        <f>'Constants - Rice cultivation'!D40</f>
        <v>Straw incorporated long (&gt;30 days) before cultivation</v>
      </c>
      <c r="E34" s="46">
        <f>'Constants - Rice cultivation'!E40</f>
        <v>0.19</v>
      </c>
    </row>
    <row r="35" spans="4:6" ht="20.100000000000001" customHeight="1" x14ac:dyDescent="0.25">
      <c r="D35" s="46" t="str">
        <f>'Constants - Rice cultivation'!D41</f>
        <v>Compost</v>
      </c>
      <c r="E35" s="46">
        <f>'Constants - Rice cultivation'!E41</f>
        <v>0.17</v>
      </c>
    </row>
    <row r="36" spans="4:6" ht="20.100000000000001" customHeight="1" x14ac:dyDescent="0.25">
      <c r="D36" s="46" t="str">
        <f>'Constants - Rice cultivation'!D42</f>
        <v>Farm yard manure</v>
      </c>
      <c r="E36" s="46">
        <f>'Constants - Rice cultivation'!E42</f>
        <v>0.21</v>
      </c>
    </row>
    <row r="37" spans="4:6" ht="20.100000000000001" customHeight="1" x14ac:dyDescent="0.25">
      <c r="D37" s="46" t="str">
        <f>'Constants - Rice cultivation'!D43</f>
        <v>Green manure</v>
      </c>
      <c r="E37" s="46">
        <f>'Constants - Rice cultivation'!E43</f>
        <v>0.45</v>
      </c>
    </row>
    <row r="38" spans="4:6" ht="20.100000000000001" customHeight="1" x14ac:dyDescent="0.25">
      <c r="D38" s="46" t="str">
        <f>'Constants - Rice cultivation'!D44</f>
        <v>Inorganic fertiliser</v>
      </c>
      <c r="E38" s="46">
        <f>'Constants - Rice cultivation'!E44</f>
        <v>1</v>
      </c>
    </row>
    <row r="39" spans="4:6" ht="20.100000000000001" customHeight="1" x14ac:dyDescent="0.25"/>
    <row r="40" spans="4:6" ht="20.100000000000001" customHeight="1" x14ac:dyDescent="0.25">
      <c r="D40" s="83" t="s">
        <v>129</v>
      </c>
    </row>
    <row r="41" spans="4:6" ht="20.100000000000001" customHeight="1" x14ac:dyDescent="0.25">
      <c r="D41" s="82" t="s">
        <v>137</v>
      </c>
    </row>
    <row r="42" spans="4:6" ht="20.100000000000001" customHeight="1" x14ac:dyDescent="0.25">
      <c r="D42" s="45" t="s">
        <v>130</v>
      </c>
      <c r="E42" s="45" t="s">
        <v>138</v>
      </c>
    </row>
    <row r="43" spans="4:6" ht="20.100000000000001" customHeight="1" x14ac:dyDescent="0.25">
      <c r="D43" s="46" t="str" cm="1">
        <f t="array" ref="D43:D47">IFERROR(INDEX(Table_Input_AmendmentBlends[Amendment mix name], _xlfn.SEQUENCE(5)), "")</f>
        <v>Mix 1</v>
      </c>
      <c r="E43" s="46" cm="1">
        <f t="array" ref="E43">RiceCultivation_Equations.VEERG_7_1_1_1__3_OrganicAmendmentsScalingFactorVariation(E24, $E$33, F24, $E$34, G24, $E$35,H24,$E$36, I24,$E$37,J24,$E$38)</f>
        <v>2.3450162437672319</v>
      </c>
    </row>
    <row r="44" spans="4:6" ht="20.100000000000001" customHeight="1" x14ac:dyDescent="0.25">
      <c r="D44" s="46" t="str">
        <v>Mix 2</v>
      </c>
      <c r="E44" s="46" cm="1">
        <f t="array" ref="E44">RiceCultivation_Equations.VEERG_7_1_1_1__3_OrganicAmendmentsScalingFactorVariation(E25, $E$33, F25, $E$34, G25, $E$35,H25,$E$36, I25,$E$37,J25,$E$38)</f>
        <v>2.1982259075210928</v>
      </c>
    </row>
    <row r="45" spans="4:6" ht="20.100000000000001" customHeight="1" x14ac:dyDescent="0.25">
      <c r="D45" s="46" t="str">
        <v/>
      </c>
      <c r="E45" s="46" cm="1">
        <f t="array" ref="E45">RiceCultivation_Equations.VEERG_7_1_1_1__3_OrganicAmendmentsScalingFactorVariation(E26, $E$33, F26, $E$34, G26, $E$35,H26,$E$36, I26,$E$37,J26,$E$38)</f>
        <v>1</v>
      </c>
    </row>
    <row r="46" spans="4:6" ht="20.100000000000001" customHeight="1" x14ac:dyDescent="0.25">
      <c r="D46" s="46" t="str">
        <v/>
      </c>
      <c r="E46" s="46" cm="1">
        <f t="array" ref="E46">RiceCultivation_Equations.VEERG_7_1_1_1__3_OrganicAmendmentsScalingFactorVariation(E27, $E$33, F27, $E$34, G27, $E$35,H27,$E$36, I27,$E$37,J27,$E$38)</f>
        <v>1</v>
      </c>
    </row>
    <row r="47" spans="4:6" ht="20.100000000000001" customHeight="1" x14ac:dyDescent="0.25">
      <c r="D47" s="46" t="str">
        <v/>
      </c>
      <c r="E47" s="46" cm="1">
        <f t="array" ref="E47">RiceCultivation_Equations.VEERG_7_1_1_1__3_OrganicAmendmentsScalingFactorVariation(E28, $E$33, F28, $E$34, G28, $E$35,H28,$E$36, I28,$E$37,J28,$E$38)</f>
        <v>1</v>
      </c>
    </row>
    <row r="48" spans="4:6" ht="20.100000000000001" customHeight="1" x14ac:dyDescent="0.25"/>
    <row r="49" spans="3:12" ht="20.100000000000001" customHeight="1" x14ac:dyDescent="0.25"/>
    <row r="50" spans="3:12" ht="20.100000000000001" customHeight="1" x14ac:dyDescent="0.25">
      <c r="C50" s="41"/>
      <c r="D50" s="41"/>
      <c r="E50" s="41"/>
      <c r="F50" s="41"/>
      <c r="G50" s="41"/>
      <c r="H50" s="41"/>
      <c r="I50" s="41"/>
      <c r="J50" s="41"/>
      <c r="K50" s="41"/>
      <c r="L50" s="41"/>
    </row>
    <row r="51" spans="3:12" ht="20.100000000000001" customHeight="1" x14ac:dyDescent="0.25">
      <c r="D51" s="6" t="str" cm="1">
        <f t="array" ref="D51">RiceCultivation_Equations.VEERG_7_1_1_1__2_EmissionFactorForRiceCultivation_Title()</f>
        <v>Emission factor for rice cultivation</v>
      </c>
    </row>
    <row r="52" spans="3:12" ht="20.100000000000001" customHeight="1" x14ac:dyDescent="0.25">
      <c r="D52" s="5" t="str" cm="1">
        <f t="array" ref="D52">RiceCultivation_Equations.VEERG_7_1_1_1__2_EmissionFactorForRiceCultivation_Source()</f>
        <v>VEERG 2026: 7.1.1.1, Equation (2)</v>
      </c>
    </row>
    <row r="53" spans="3:12" ht="20.100000000000001" customHeight="1" x14ac:dyDescent="0.25">
      <c r="D53" s="13" t="s">
        <v>13</v>
      </c>
      <c r="E53" s="13" t="str" cm="1">
        <f t="array" aca="1" ref="E53" ca="1">Common_InputFunctions.Utility_DisplayFunctionName(K70)</f>
        <v>=RiceCultivation_Equations.VEERG_7_1_1_1__2_EmissionFactorForRiceCultivation</v>
      </c>
    </row>
    <row r="54" spans="3:12" ht="20.100000000000001" customHeight="1" x14ac:dyDescent="0.25"/>
    <row r="55" spans="3:12" ht="20.100000000000001" customHeight="1" x14ac:dyDescent="0.25"/>
    <row r="56" spans="3:12" ht="20.100000000000001" customHeight="1" x14ac:dyDescent="0.25">
      <c r="D56" s="47" t="s">
        <v>16</v>
      </c>
      <c r="E56" s="1" t="str" cm="1">
        <f t="array" ref="E56">RiceCultivation_Equations.VEERG_7_1_1_1__2_EmissionFactorForRiceCultivation_Variable()</f>
        <v>EF_ricewpo</v>
      </c>
    </row>
    <row r="57" spans="3:12" ht="20.100000000000001" customHeight="1" x14ac:dyDescent="0.25">
      <c r="D57" s="47" t="s">
        <v>8</v>
      </c>
      <c r="E57" s="48" t="str" cm="1">
        <f t="array" ref="E57">RiceCultivation_Equations.VEERG_7_1_1_1__2_EmissionFactorForRiceCultivation_Unit()</f>
        <v>kg CH4/ha/day</v>
      </c>
    </row>
    <row r="58" spans="3:12" ht="20.100000000000001" customHeight="1" x14ac:dyDescent="0.25"/>
    <row r="59" spans="3:12" ht="20.100000000000001" customHeight="1" x14ac:dyDescent="0.25">
      <c r="D59" s="106" t="str" cm="1">
        <f t="array" ref="D59:E65">_xlfn.CHOOSECOLS(RiceCultivation_Equations.VEERG_7_1_1_1__2_EmissionFactorForRiceCultivation_Arguments(),1,2)</f>
        <v>EF_c</v>
      </c>
      <c r="E59" s="108" t="str">
        <v>baseline emission factor for continuously flooded fields without organic amendments</v>
      </c>
      <c r="F59" s="109"/>
      <c r="G59" s="107"/>
      <c r="H59" s="106" t="str" cm="1">
        <f t="array" ref="H59:I65">_xlfn.CHOOSECOLS(RiceCultivation_Equations.VEERG_7_1_1_1__2_EmissionFactorForRiceCultivation_Arguments(),3,4)</f>
        <v>kg CH4/ha/day</v>
      </c>
      <c r="I59" s="100" t="str">
        <v>Constant</v>
      </c>
      <c r="J59" s="106">
        <f>SourceData_RiceCultivation_BaselineEF_Data</f>
        <v>1.19</v>
      </c>
    </row>
    <row r="60" spans="3:12" ht="20.100000000000001" customHeight="1" x14ac:dyDescent="0.25">
      <c r="D60" s="106" t="str">
        <v>SF_w</v>
      </c>
      <c r="E60" s="108" t="str">
        <v>scaling factor for water regime during the growing season</v>
      </c>
      <c r="F60" s="109"/>
      <c r="G60" s="107"/>
      <c r="H60" s="106" t="str">
        <v>fraction</v>
      </c>
      <c r="I60" s="100" t="str">
        <v>Constant</v>
      </c>
      <c r="J60" s="105" t="str" cm="1">
        <f t="array" aca="1" ref="J60" ca="1">HYPERLINK(Common_InputFunctions.Utility_SourceHyperlink($D$67), $D$67)</f>
        <v>Table_EF_rice_w_p_o</v>
      </c>
    </row>
    <row r="61" spans="3:12" ht="20.100000000000001" customHeight="1" x14ac:dyDescent="0.25">
      <c r="D61" s="106" t="str">
        <v>SF_p</v>
      </c>
      <c r="E61" s="108" t="str">
        <v>scaling factor for water regime in the pre-season</v>
      </c>
      <c r="F61" s="109"/>
      <c r="G61" s="107"/>
      <c r="H61" s="106" t="str">
        <v>fraction</v>
      </c>
      <c r="I61" s="100" t="str">
        <v>Constant</v>
      </c>
      <c r="J61" s="105" t="str" cm="1">
        <f t="array" aca="1" ref="J61" ca="1">HYPERLINK(Common_InputFunctions.Utility_SourceHyperlink($D$67), $D$67)</f>
        <v>Table_EF_rice_w_p_o</v>
      </c>
    </row>
    <row r="62" spans="3:12" ht="20.100000000000001" customHeight="1" x14ac:dyDescent="0.25">
      <c r="D62" s="106" t="str">
        <v>SF_o</v>
      </c>
      <c r="E62" s="108" t="str">
        <v>scaling factor for type and amount of organic amendments</v>
      </c>
      <c r="F62" s="109"/>
      <c r="G62" s="107"/>
      <c r="H62" s="106" t="str">
        <v>fraction</v>
      </c>
      <c r="I62" s="100" t="str">
        <v>Calculated from 7.1.1.1, (3)</v>
      </c>
      <c r="J62" s="105" t="str" cm="1">
        <f t="array" aca="1" ref="J62" ca="1">HYPERLINK(Common_InputFunctions.Utility_SourceHyperlink($D$67), $D$67)</f>
        <v>Table_EF_rice_w_p_o</v>
      </c>
    </row>
    <row r="63" spans="3:12" ht="20.100000000000001" customHeight="1" x14ac:dyDescent="0.25">
      <c r="D63" s="106" t="str">
        <v>w</v>
      </c>
      <c r="E63" s="108" t="str">
        <v>water regime during growing season</v>
      </c>
      <c r="F63" s="109"/>
      <c r="G63" s="107"/>
      <c r="H63" s="106" t="str">
        <v/>
      </c>
      <c r="I63" s="101" t="str">
        <v>Input</v>
      </c>
      <c r="J63" s="105" t="str" cm="1">
        <f t="array" aca="1" ref="J63" ca="1">HYPERLINK(Common_InputFunctions.Utility_SourceHyperlink($D$67), $D$67)</f>
        <v>Table_EF_rice_w_p_o</v>
      </c>
      <c r="L63" s="21"/>
    </row>
    <row r="64" spans="3:12" ht="20.100000000000001" customHeight="1" x14ac:dyDescent="0.25">
      <c r="D64" s="106" t="str">
        <v>p</v>
      </c>
      <c r="E64" s="108" t="str">
        <v>pre-season water regime</v>
      </c>
      <c r="F64" s="109"/>
      <c r="G64" s="107"/>
      <c r="H64" s="106" t="str">
        <v/>
      </c>
      <c r="I64" s="101" t="str">
        <v>Input</v>
      </c>
      <c r="J64" s="105" t="str" cm="1">
        <f t="array" aca="1" ref="J64" ca="1">HYPERLINK(Common_InputFunctions.Utility_SourceHyperlink($D$67), $D$67)</f>
        <v>Table_EF_rice_w_p_o</v>
      </c>
      <c r="L64" s="21"/>
    </row>
    <row r="65" spans="3:12" ht="20.100000000000001" customHeight="1" x14ac:dyDescent="0.25">
      <c r="D65" s="106" t="str">
        <v>o</v>
      </c>
      <c r="E65" s="108" t="str">
        <v>organic amendment</v>
      </c>
      <c r="F65" s="109"/>
      <c r="G65" s="107"/>
      <c r="H65" s="106" t="str">
        <v/>
      </c>
      <c r="I65" s="101" t="str">
        <v>Input</v>
      </c>
      <c r="J65" s="105" t="str" cm="1">
        <f t="array" aca="1" ref="J65" ca="1">HYPERLINK(Common_InputFunctions.Utility_SourceHyperlink($D$67), $D$67)</f>
        <v>Table_EF_rice_w_p_o</v>
      </c>
    </row>
    <row r="66" spans="3:12" ht="20.100000000000001" customHeight="1" x14ac:dyDescent="0.25"/>
    <row r="67" spans="3:12" ht="20.100000000000001" customHeight="1" x14ac:dyDescent="0.25">
      <c r="D67" s="83" t="s">
        <v>156</v>
      </c>
    </row>
    <row r="68" spans="3:12" ht="20.100000000000001" customHeight="1" x14ac:dyDescent="0.25">
      <c r="D68" s="82" t="s">
        <v>157</v>
      </c>
    </row>
    <row r="69" spans="3:12" ht="20.100000000000001" customHeight="1" x14ac:dyDescent="0.25">
      <c r="D69" s="99" t="s">
        <v>139</v>
      </c>
      <c r="E69" s="99" t="s">
        <v>110</v>
      </c>
      <c r="F69" s="99" t="s">
        <v>111</v>
      </c>
      <c r="G69" s="99" t="s">
        <v>130</v>
      </c>
      <c r="H69" s="45" t="s">
        <v>138</v>
      </c>
      <c r="I69" s="45" t="s">
        <v>126</v>
      </c>
      <c r="J69" s="45" t="s">
        <v>124</v>
      </c>
      <c r="K69" s="45" t="s">
        <v>154</v>
      </c>
    </row>
    <row r="70" spans="3:12" ht="20.100000000000001" customHeight="1" x14ac:dyDescent="0.25">
      <c r="D70" s="46" t="str" cm="1">
        <f t="array" ref="D70:D74">IFERROR(INDEX(Table_Input_Regimes[Regime name], _xlfn.SEQUENCE(5)), "")</f>
        <v>Regime 1</v>
      </c>
      <c r="E70" s="46" t="str" cm="1">
        <f t="array" ref="E70:E74">IFERROR(INDEX(Table_Input_Regimes[Pre-cultivation water regime (select)], _xlfn.SEQUENCE(5)), "")</f>
        <v>Non flooded pre-season &lt;180 days</v>
      </c>
      <c r="F70" s="46" t="str" cm="1">
        <f t="array" ref="F70:F74">IFERROR(INDEX(Table_Input_Regimes[Water regime sub-type (select)], _xlfn.SEQUENCE(5)), "")</f>
        <v>Drought prone</v>
      </c>
      <c r="G70" s="46" t="str" cm="1">
        <f t="array" ref="G70:G74">IFERROR(INDEX(Table_Input_Regimes[Amendment blend (select)], _xlfn.SEQUENCE(5)), "")</f>
        <v>Mix 1</v>
      </c>
      <c r="H70" s="46" cm="1">
        <f t="array" ref="H70">Common_InputFunctions.Utility_LookupValueInTableNumber(G70,$D$43:$D$47,$E$43:$E$47)</f>
        <v>2.3450162437672319</v>
      </c>
      <c r="I70" s="46" cm="1">
        <f t="array" ref="I70">Common_InputFunctions.Utility_LookupValueInTableNumber(E70,Table_SourceData_WaterScalingFactorPreSeason[Water regime prior to cultivation],Table_SourceData_WaterScalingFactorPreSeason[SFp])</f>
        <v>1</v>
      </c>
      <c r="J70" s="46" cm="1">
        <f t="array" ref="J70">Common_InputFunctions.Utility_LookupValueInTableNumber(F70,Table_SourceData_WaterScalingFactorGrowingSeason[Water regime sub-type],Table_SourceData_WaterScalingFactorGrowingSeason[SFw])</f>
        <v>0.16</v>
      </c>
      <c r="K70" s="46" cm="1">
        <f t="array" ref="K70">RiceCultivation_Equations.VEERG_7_1_1_1__2_EmissionFactorForRiceCultivation($J$59,J70,I70,H70)</f>
        <v>0.44649109281328092</v>
      </c>
    </row>
    <row r="71" spans="3:12" ht="20.100000000000001" customHeight="1" x14ac:dyDescent="0.25">
      <c r="D71" s="46" t="str">
        <v>Regime 2</v>
      </c>
      <c r="E71" s="46" t="str">
        <v>Flooded pre-season &gt;30 days</v>
      </c>
      <c r="F71" s="46" t="str">
        <v>Single drainage period</v>
      </c>
      <c r="G71" s="46" t="str">
        <v>Mix 2</v>
      </c>
      <c r="H71" s="46" cm="1">
        <f t="array" ref="H71">Common_InputFunctions.Utility_LookupValueInTableNumber(G71,$D$43:$D$47,$E$43:$E$47)</f>
        <v>2.1982259075210928</v>
      </c>
      <c r="I71" s="46" cm="1">
        <f t="array" ref="I71">Common_InputFunctions.Utility_LookupValueInTableNumber(E71,Table_SourceData_WaterScalingFactorPreSeason[Water regime prior to cultivation],Table_SourceData_WaterScalingFactorPreSeason[SFp])</f>
        <v>2.41</v>
      </c>
      <c r="J71" s="46" cm="1">
        <f t="array" ref="J71">Common_InputFunctions.Utility_LookupValueInTableNumber(F71,Table_SourceData_WaterScalingFactorGrowingSeason[Water regime sub-type],Table_SourceData_WaterScalingFactorGrowingSeason[SFw])</f>
        <v>0.71</v>
      </c>
      <c r="K71" s="46" cm="1">
        <f t="array" ref="K71">RiceCultivation_Equations.VEERG_7_1_1_1__2_EmissionFactorForRiceCultivation($J$59,J71,I71,H71)</f>
        <v>4.4760473769276166</v>
      </c>
    </row>
    <row r="72" spans="3:12" ht="20.100000000000001" customHeight="1" x14ac:dyDescent="0.25">
      <c r="D72" s="46" t="str">
        <v/>
      </c>
      <c r="E72" s="46" t="str">
        <v/>
      </c>
      <c r="F72" s="46" t="str">
        <v/>
      </c>
      <c r="G72" s="46" t="str">
        <v/>
      </c>
      <c r="H72" s="46" cm="1">
        <f t="array" ref="H72">Common_InputFunctions.Utility_LookupValueInTableNumber(G72,$D$43:$D$47,$E$43:$E$47)</f>
        <v>1</v>
      </c>
      <c r="I72" s="46" cm="1">
        <f t="array" ref="I72">Common_InputFunctions.Utility_LookupValueInTableNumber(E72,Table_SourceData_WaterScalingFactorPreSeason[Water regime prior to cultivation],Table_SourceData_WaterScalingFactorPreSeason[SFp])</f>
        <v>0</v>
      </c>
      <c r="J72" s="46" cm="1">
        <f t="array" ref="J72">Common_InputFunctions.Utility_LookupValueInTableNumber(F72,Table_SourceData_WaterScalingFactorGrowingSeason[Water regime sub-type],Table_SourceData_WaterScalingFactorGrowingSeason[SFw])</f>
        <v>0</v>
      </c>
      <c r="K72" s="46" cm="1">
        <f t="array" ref="K72">RiceCultivation_Equations.VEERG_7_1_1_1__2_EmissionFactorForRiceCultivation($J$59,J72,I72,H72)</f>
        <v>0</v>
      </c>
    </row>
    <row r="73" spans="3:12" ht="20.100000000000001" customHeight="1" x14ac:dyDescent="0.25">
      <c r="D73" s="46" t="str">
        <v/>
      </c>
      <c r="E73" s="46" t="str">
        <v/>
      </c>
      <c r="F73" s="46" t="str">
        <v/>
      </c>
      <c r="G73" s="46" t="str">
        <v/>
      </c>
      <c r="H73" s="46" cm="1">
        <f t="array" ref="H73">Common_InputFunctions.Utility_LookupValueInTableNumber(G73,$D$43:$D$47,$E$43:$E$47)</f>
        <v>1</v>
      </c>
      <c r="I73" s="46" cm="1">
        <f t="array" ref="I73">Common_InputFunctions.Utility_LookupValueInTableNumber(E73,Table_SourceData_WaterScalingFactorPreSeason[Water regime prior to cultivation],Table_SourceData_WaterScalingFactorPreSeason[SFp])</f>
        <v>0</v>
      </c>
      <c r="J73" s="46" cm="1">
        <f t="array" ref="J73">Common_InputFunctions.Utility_LookupValueInTableNumber(F73,Table_SourceData_WaterScalingFactorGrowingSeason[Water regime sub-type],Table_SourceData_WaterScalingFactorGrowingSeason[SFw])</f>
        <v>0</v>
      </c>
      <c r="K73" s="46" cm="1">
        <f t="array" ref="K73">RiceCultivation_Equations.VEERG_7_1_1_1__2_EmissionFactorForRiceCultivation($J$59,J73,I73,H73)</f>
        <v>0</v>
      </c>
    </row>
    <row r="74" spans="3:12" ht="20.100000000000001" customHeight="1" x14ac:dyDescent="0.25">
      <c r="D74" s="46" t="str">
        <v/>
      </c>
      <c r="E74" s="46" t="str">
        <v/>
      </c>
      <c r="F74" s="46" t="str">
        <v/>
      </c>
      <c r="G74" s="46" t="str">
        <v/>
      </c>
      <c r="H74" s="46" cm="1">
        <f t="array" ref="H74">Common_InputFunctions.Utility_LookupValueInTableNumber(G74,$D$43:$D$47,$E$43:$E$47)</f>
        <v>1</v>
      </c>
      <c r="I74" s="46" cm="1">
        <f t="array" ref="I74">Common_InputFunctions.Utility_LookupValueInTableNumber(E74,Table_SourceData_WaterScalingFactorPreSeason[Water regime prior to cultivation],Table_SourceData_WaterScalingFactorPreSeason[SFp])</f>
        <v>0</v>
      </c>
      <c r="J74" s="46" cm="1">
        <f t="array" ref="J74">Common_InputFunctions.Utility_LookupValueInTableNumber(F74,Table_SourceData_WaterScalingFactorGrowingSeason[Water regime sub-type],Table_SourceData_WaterScalingFactorGrowingSeason[SFw])</f>
        <v>0</v>
      </c>
      <c r="K74" s="46" cm="1">
        <f t="array" ref="K74">RiceCultivation_Equations.VEERG_7_1_1_1__2_EmissionFactorForRiceCultivation($J$59,J74,I74,H74)</f>
        <v>0</v>
      </c>
    </row>
    <row r="75" spans="3:12" ht="20.100000000000001" customHeight="1" x14ac:dyDescent="0.25"/>
    <row r="76" spans="3:12" ht="20.100000000000001" customHeight="1" x14ac:dyDescent="0.25"/>
    <row r="77" spans="3:12" ht="20.100000000000001" customHeight="1" x14ac:dyDescent="0.25">
      <c r="C77" s="41"/>
      <c r="D77" s="41"/>
      <c r="E77" s="41"/>
      <c r="F77" s="41"/>
      <c r="G77" s="41"/>
      <c r="H77" s="41"/>
      <c r="I77" s="41"/>
      <c r="J77" s="41"/>
      <c r="K77" s="41"/>
      <c r="L77" s="41"/>
    </row>
    <row r="78" spans="3:12" ht="20.100000000000001" customHeight="1" x14ac:dyDescent="0.25">
      <c r="D78" s="6" t="str" cm="1">
        <f t="array" ref="D78">RiceCultivation_Equations.VEERG_7_1_1_1__1_MethaneEmissionsFromRiceCultivation_Title()</f>
        <v>Methane emissions from rice cultivation</v>
      </c>
    </row>
    <row r="79" spans="3:12" ht="20.100000000000001" customHeight="1" x14ac:dyDescent="0.25">
      <c r="D79" s="5" t="str" cm="1">
        <f t="array" ref="D79">RiceCultivation_Equations.VEERG_7_1_1_1__1_MethaneEmissionsFromRiceCultivation_Source()</f>
        <v>VEERG 2026: 7.1.1.1, Equation (1)</v>
      </c>
    </row>
    <row r="80" spans="3:12" ht="20.100000000000001" customHeight="1" x14ac:dyDescent="0.25">
      <c r="D80" s="49" t="str" cm="1">
        <f t="array" ref="D80">RiceCultivation_Equations.VEERG_7_1_1_1__1_MethaneEmissionsFromRiceCultivation_Variation()</f>
        <v>Added 'number of seasons' variable as per VEERG description in 7.2.1 'Where there is more than one cropping season per year, Arice,wpo shall be scaled accordingly'</v>
      </c>
    </row>
    <row r="81" spans="4:10" ht="20.100000000000001" customHeight="1" x14ac:dyDescent="0.25">
      <c r="D81" s="13" t="s">
        <v>13</v>
      </c>
      <c r="E81" s="13" t="str" cm="1">
        <f t="array" aca="1" ref="E81" ca="1">Common_InputFunctions.Utility_DisplayFunctionName(G96)</f>
        <v>=RiceCultivation_Equations.VEERG_7_1_1_1__1_MethaneEmissionsFromRiceCultivation</v>
      </c>
    </row>
    <row r="82" spans="4:10" ht="20.100000000000001" customHeight="1" x14ac:dyDescent="0.25"/>
    <row r="83" spans="4:10" ht="20.100000000000001" customHeight="1" x14ac:dyDescent="0.25"/>
    <row r="84" spans="4:10" ht="20.100000000000001" customHeight="1" x14ac:dyDescent="0.25"/>
    <row r="85" spans="4:10" ht="20.100000000000001" customHeight="1" x14ac:dyDescent="0.25">
      <c r="D85" s="47" t="s">
        <v>16</v>
      </c>
      <c r="E85" s="1" t="str" cm="1">
        <f t="array" ref="E85">RiceCultivation_Equations.VEERG_7_1_1_1__1_MethaneEmissionsFromRiceCultivation_Variable()</f>
        <v>E_rice</v>
      </c>
    </row>
    <row r="86" spans="4:10" ht="20.100000000000001" customHeight="1" x14ac:dyDescent="0.25">
      <c r="D86" s="47" t="s">
        <v>8</v>
      </c>
      <c r="E86" s="48" t="str" cm="1">
        <f t="array" ref="E86">RiceCultivation_Equations.VEERG_7_1_1_1__1_MethaneEmissionsFromRiceCultivation_Unit()</f>
        <v>t CH4</v>
      </c>
    </row>
    <row r="87" spans="4:10" ht="20.100000000000001" customHeight="1" x14ac:dyDescent="0.25"/>
    <row r="88" spans="4:10" ht="20.100000000000001" customHeight="1" x14ac:dyDescent="0.25">
      <c r="D88" s="106" t="str" cm="1">
        <f t="array" ref="D88:E91">_xlfn.CHOOSECOLS(RiceCultivation_Equations.VEERG_7_1_1_1__1_MethaneEmissionsFromRiceCultivation_Arguments(),1,2)</f>
        <v>A_ricewpo</v>
      </c>
      <c r="E88" s="108" t="str">
        <v>annual area of rice cultivation under water regime w, pre-season water regime p, and organic amendment condition o</v>
      </c>
      <c r="F88" s="109"/>
      <c r="G88" s="107"/>
      <c r="H88" s="106" t="str" cm="1">
        <f t="array" ref="H88:I91">_xlfn.CHOOSECOLS(RiceCultivation_Equations.VEERG_7_1_1_1__1_MethaneEmissionsFromRiceCultivation_Arguments(),3,4)</f>
        <v>ha</v>
      </c>
      <c r="I88" s="101" t="str">
        <v>Input</v>
      </c>
      <c r="J88" s="105" t="str" cm="1">
        <f t="array" aca="1" ref="J88" ca="1">HYPERLINK(Common_InputFunctions.Utility_SourceHyperlink($D$93), $D$93)</f>
        <v>Table_E_rice</v>
      </c>
    </row>
    <row r="89" spans="4:10" ht="20.100000000000001" customHeight="1" x14ac:dyDescent="0.25">
      <c r="D89" s="106" t="str">
        <v>EF_ricewpo</v>
      </c>
      <c r="E89" s="108" t="str">
        <v>emission factor for rice cultivation under conditions w, p, and o</v>
      </c>
      <c r="F89" s="109"/>
      <c r="G89" s="107"/>
      <c r="H89" s="106" t="str">
        <v>kg CH4/ha/day</v>
      </c>
      <c r="I89" s="100" t="str">
        <v>Calculated from 7.1.1.1, (2)</v>
      </c>
      <c r="J89" s="105" t="str" cm="1">
        <f t="array" aca="1" ref="J89" ca="1">HYPERLINK(Common_InputFunctions.Utility_SourceHyperlink($D$67),$D$67)</f>
        <v>Table_EF_rice_w_p_o</v>
      </c>
    </row>
    <row r="90" spans="4:10" ht="20.100000000000001" customHeight="1" x14ac:dyDescent="0.25">
      <c r="D90" s="106" t="str">
        <v>t_ricewpo</v>
      </c>
      <c r="E90" s="108" t="str">
        <v>cultivation period for rice under conditions w, p, and o</v>
      </c>
      <c r="F90" s="109"/>
      <c r="G90" s="107"/>
      <c r="H90" s="106" t="str">
        <v>days</v>
      </c>
      <c r="I90" s="101" t="str">
        <v>Input</v>
      </c>
      <c r="J90" s="105" t="str" cm="1">
        <f t="array" aca="1" ref="J90" ca="1">HYPERLINK(Common_InputFunctions.Utility_SourceHyperlink($D$93), $D$93)</f>
        <v>Table_E_rice</v>
      </c>
    </row>
    <row r="91" spans="4:10" ht="20.100000000000001" customHeight="1" x14ac:dyDescent="0.25">
      <c r="D91" s="106" t="str">
        <v>s</v>
      </c>
      <c r="E91" s="108" t="str">
        <v>number of cropping seasons in reporting period managed this way</v>
      </c>
      <c r="F91" s="109"/>
      <c r="G91" s="107"/>
      <c r="H91" s="106" t="str">
        <v>seasons</v>
      </c>
      <c r="I91" s="101" t="str">
        <v>Input</v>
      </c>
      <c r="J91" s="106">
        <f>X_Cell_NumberGorwingSeasons</f>
        <v>2</v>
      </c>
    </row>
    <row r="92" spans="4:10" ht="20.100000000000001" customHeight="1" x14ac:dyDescent="0.25"/>
    <row r="93" spans="4:10" ht="20.100000000000001" customHeight="1" x14ac:dyDescent="0.25">
      <c r="D93" s="83" t="s">
        <v>162</v>
      </c>
    </row>
    <row r="94" spans="4:10" ht="20.100000000000001" customHeight="1" x14ac:dyDescent="0.25">
      <c r="D94" s="82" t="s">
        <v>163</v>
      </c>
    </row>
    <row r="95" spans="4:10" ht="20.100000000000001" customHeight="1" x14ac:dyDescent="0.25">
      <c r="D95" s="99" t="s">
        <v>139</v>
      </c>
      <c r="E95" s="99" t="s">
        <v>161</v>
      </c>
      <c r="F95" s="99" t="s">
        <v>167</v>
      </c>
      <c r="G95" s="45" t="s">
        <v>159</v>
      </c>
    </row>
    <row r="96" spans="4:10" ht="20.100000000000001" customHeight="1" x14ac:dyDescent="0.25">
      <c r="D96" s="46" t="str" cm="1">
        <f t="array" ref="D96:D100">IFERROR(INDEX(Table_Input_Regimes[Regime name], _xlfn.SEQUENCE(5)), "")</f>
        <v>Regime 1</v>
      </c>
      <c r="E96" s="46" cm="1">
        <f t="array" ref="E96:E100">IFERROR(INDEX(Table_Input_Regimes[Area under cultivation (hectares)]*J91, _xlfn.SEQUENCE(5)), 0)</f>
        <v>200</v>
      </c>
      <c r="F96" s="46" cm="1">
        <f t="array" ref="F96:F100">IFERROR(INDEX(Table_Input_Regimes[Cultivation period (days)], _xlfn.SEQUENCE(5)), 0)</f>
        <v>100</v>
      </c>
      <c r="G96" s="46" cm="1">
        <f t="array" ref="G96">RiceCultivation_Equations.VEERG_7_1_1_1__1_MethaneEmissionsFromRiceCultivation(E96,K70,F96)</f>
        <v>8.9298218562656189</v>
      </c>
      <c r="H96" s="2" t="str">
        <f>E86</f>
        <v>t CH4</v>
      </c>
    </row>
    <row r="97" spans="4:12" ht="20.100000000000001" customHeight="1" x14ac:dyDescent="0.25">
      <c r="D97" s="46" t="str">
        <v>Regime 2</v>
      </c>
      <c r="E97" s="46">
        <v>200</v>
      </c>
      <c r="F97" s="46">
        <v>100</v>
      </c>
      <c r="G97" s="46" cm="1">
        <f t="array" ref="G97">RiceCultivation_Equations.VEERG_7_1_1_1__1_MethaneEmissionsFromRiceCultivation(E97,K71,F97)</f>
        <v>89.520947538552321</v>
      </c>
    </row>
    <row r="98" spans="4:12" ht="20.100000000000001" customHeight="1" x14ac:dyDescent="0.25">
      <c r="D98" s="46" t="str">
        <v/>
      </c>
      <c r="E98" s="46">
        <v>0</v>
      </c>
      <c r="F98" s="46">
        <v>0</v>
      </c>
      <c r="G98" s="46" cm="1">
        <f t="array" ref="G98">RiceCultivation_Equations.VEERG_7_1_1_1__1_MethaneEmissionsFromRiceCultivation(E98,K72,F98)</f>
        <v>0</v>
      </c>
    </row>
    <row r="99" spans="4:12" ht="20.100000000000001" customHeight="1" x14ac:dyDescent="0.25">
      <c r="D99" s="46" t="str">
        <v/>
      </c>
      <c r="E99" s="46">
        <v>0</v>
      </c>
      <c r="F99" s="46">
        <v>0</v>
      </c>
      <c r="G99" s="46" cm="1">
        <f t="array" ref="G99">RiceCultivation_Equations.VEERG_7_1_1_1__1_MethaneEmissionsFromRiceCultivation(E99,K73,F99)</f>
        <v>0</v>
      </c>
    </row>
    <row r="100" spans="4:12" ht="20.100000000000001" customHeight="1" x14ac:dyDescent="0.25">
      <c r="D100" s="46" t="str">
        <v/>
      </c>
      <c r="E100" s="46">
        <v>0</v>
      </c>
      <c r="F100" s="46">
        <v>0</v>
      </c>
      <c r="G100" s="46" cm="1">
        <f t="array" ref="G100">RiceCultivation_Equations.VEERG_7_1_1_1__1_MethaneEmissionsFromRiceCultivation(E100,K74,F100)</f>
        <v>0</v>
      </c>
    </row>
    <row r="101" spans="4:12" ht="20.100000000000001" customHeight="1" x14ac:dyDescent="0.25"/>
    <row r="102" spans="4:12" ht="20.100000000000001" customHeight="1" x14ac:dyDescent="0.25">
      <c r="D102" s="84" t="s">
        <v>87</v>
      </c>
      <c r="E102" s="85">
        <f>SUM(G96:G100)</f>
        <v>98.450769394817939</v>
      </c>
      <c r="F102" s="86" t="str">
        <f>E86</f>
        <v>t CH4</v>
      </c>
    </row>
    <row r="103" spans="4:12" ht="20.100000000000001" customHeight="1" x14ac:dyDescent="0.25"/>
    <row r="104" spans="4:12" ht="20.100000000000001" customHeight="1" x14ac:dyDescent="0.25">
      <c r="D104" s="50" t="str" cm="1">
        <f t="array" ref="D104:E105">Common_Equations.Common_ConvertCH4ToCO2e_Arguments()</f>
        <v>ECH4</v>
      </c>
      <c r="E104" s="51" t="str">
        <v>Methane emissions (t CH4)</v>
      </c>
      <c r="F104" s="87"/>
      <c r="G104" s="46">
        <f>VEERG_7_1_1_1__1_MethaneEmissionsFromRiceCultivation_Result_Method1</f>
        <v>98.450769394817939</v>
      </c>
    </row>
    <row r="105" spans="4:12" ht="20.100000000000001" customHeight="1" x14ac:dyDescent="0.25">
      <c r="D105" s="50" t="str">
        <v>GWPCH4</v>
      </c>
      <c r="E105" s="51" t="str">
        <v>Global warming potential for methane (t CO2-e / t CH4)</v>
      </c>
      <c r="F105" s="87"/>
      <c r="G105" s="46">
        <f>Common_InputFunctions.Utility_LookupValueInTableNumber("CH4",Table_GWPData[Gas],Table_GWPData[CO2-e factor])</f>
        <v>28</v>
      </c>
    </row>
    <row r="106" spans="4:12" ht="20.100000000000001" customHeight="1" x14ac:dyDescent="0.25"/>
    <row r="107" spans="4:12" ht="20.100000000000001" customHeight="1" x14ac:dyDescent="0.25">
      <c r="D107" s="41" t="s">
        <v>59</v>
      </c>
      <c r="E107" s="41" cm="1">
        <f t="array" ref="E107">Common_Equations.Common_ConvertN2OToCO2e(G104,G105)</f>
        <v>2756.6215430549023</v>
      </c>
      <c r="F107" s="88" t="str" cm="1">
        <f t="array" ref="F107">Common_Equations.Common_ConvertN2OToCO2e_Unit()</f>
        <v>t CO2e</v>
      </c>
    </row>
    <row r="108" spans="4:12" ht="20.100000000000001" customHeight="1" x14ac:dyDescent="0.25"/>
    <row r="109" spans="4:12" ht="20.100000000000001" customHeight="1" x14ac:dyDescent="0.25">
      <c r="D109" s="21"/>
      <c r="E109" s="21"/>
      <c r="F109" s="21"/>
      <c r="G109" s="21"/>
      <c r="H109" s="21"/>
    </row>
    <row r="110" spans="4:12" ht="20.100000000000001" customHeight="1" x14ac:dyDescent="0.25"/>
    <row r="111" spans="4:12" ht="20.100000000000001" customHeight="1" x14ac:dyDescent="0.25"/>
    <row r="112" spans="4:12" ht="20.100000000000001" customHeight="1" x14ac:dyDescent="0.25">
      <c r="H112" s="21"/>
      <c r="L112" s="21"/>
    </row>
    <row r="113" spans="4:12" ht="20.100000000000001" customHeight="1" x14ac:dyDescent="0.25">
      <c r="L113" s="21"/>
    </row>
    <row r="114" spans="4:12" ht="20.100000000000001" customHeight="1" x14ac:dyDescent="0.25">
      <c r="H114" s="21"/>
      <c r="L114" s="21"/>
    </row>
    <row r="115" spans="4:12" ht="20.100000000000001" customHeight="1" x14ac:dyDescent="0.25">
      <c r="H115" s="21"/>
      <c r="L115" s="21"/>
    </row>
    <row r="116" spans="4:12" ht="20.100000000000001" customHeight="1" x14ac:dyDescent="0.25">
      <c r="D116" s="21"/>
      <c r="E116" s="21"/>
      <c r="F116" s="94"/>
      <c r="G116" s="21"/>
      <c r="H116" s="21"/>
      <c r="I116" s="21"/>
      <c r="J116" s="21"/>
      <c r="K116" s="21"/>
      <c r="L116" s="21"/>
    </row>
    <row r="117" spans="4:12" ht="20.100000000000001" customHeight="1" x14ac:dyDescent="0.25">
      <c r="L117" s="21"/>
    </row>
    <row r="118" spans="4:12" ht="20.100000000000001" customHeight="1" x14ac:dyDescent="0.25"/>
    <row r="119" spans="4:12" ht="20.100000000000001" customHeight="1" x14ac:dyDescent="0.25"/>
    <row r="120" spans="4:12" ht="20.100000000000001" customHeight="1" x14ac:dyDescent="0.25"/>
    <row r="121" spans="4:12" ht="20.100000000000001" customHeight="1" x14ac:dyDescent="0.25"/>
    <row r="122" spans="4:12" ht="20.100000000000001" customHeight="1" x14ac:dyDescent="0.25"/>
    <row r="123" spans="4:12" ht="20.100000000000001" customHeight="1" x14ac:dyDescent="0.25"/>
    <row r="124" spans="4:12" ht="20.100000000000001" customHeight="1" x14ac:dyDescent="0.25"/>
    <row r="125" spans="4:12" ht="20.100000000000001" customHeight="1" x14ac:dyDescent="0.25"/>
    <row r="126" spans="4:12" ht="20.100000000000001" customHeight="1" x14ac:dyDescent="0.25"/>
    <row r="127" spans="4:12" ht="20.100000000000001" customHeight="1" x14ac:dyDescent="0.25"/>
    <row r="128" spans="4:12"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P172:U172 Q150:T150 E269 P166:U166 Q143:U144 E228 Q167:U167 G132 I129:K133 F134:K134 F129:F132 H128:H132 G129 F148:K148 I149:K149 F150:K150 T149:U149" xr:uid="{AF7BB680-B75F-4AE8-AA2D-EDF03FCB10D8}"/>
  </dataValidations>
  <pageMargins left="0.7" right="0.7" top="0.75" bottom="0.75" header="0.3" footer="0.3"/>
  <pageSetup paperSize="9" orientation="portrait" r:id="rId1"/>
  <ignoredErrors>
    <ignoredError sqref="I18"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34.28515625" style="1" customWidth="1"/>
    <col min="5" max="5" width="25" style="1" customWidth="1"/>
    <col min="6"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56" t="e" vm="1">
        <v>#VALUE!</v>
      </c>
      <c r="C1" s="8" t="s">
        <v>123</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RiceCultivation_SourceData.SourceData_RiceCultivation_WaterScalingFactorGrowingSeason_Title()</f>
        <v>Scaling factor based on the water regime employed during the growing season cultivation period</v>
      </c>
    </row>
    <row r="6" spans="1:35" ht="20.100000000000001" customHeight="1" x14ac:dyDescent="0.25">
      <c r="D6" s="5" t="str" cm="1">
        <f t="array" ref="D6">RiceCultivation_SourceData.SourceData_RiceCultivation_WaterScalingFactorGrowingSeason_Source()</f>
        <v>VEERG 2026: Table A.2.3.1</v>
      </c>
    </row>
    <row r="7" spans="1:35" ht="20.100000000000001" customHeight="1" x14ac:dyDescent="0.25">
      <c r="D7" s="1" t="str" cm="1">
        <f t="array" ref="D7">RiceCultivation_SourceData.SourceData_RiceCultivation_WaterScalingFactorGrowingSeason_Variable()</f>
        <v>SFw</v>
      </c>
      <c r="AG7" s="1"/>
      <c r="AH7" s="1"/>
      <c r="AI7" s="1"/>
    </row>
    <row r="8" spans="1:35" ht="20.100000000000001" customHeight="1" x14ac:dyDescent="0.25">
      <c r="A8" s="19" t="s">
        <v>0</v>
      </c>
      <c r="D8" s="48" t="str" cm="1">
        <f t="array" ref="D8">RiceCultivation_SourceData.SourceData_RiceCultivation_WaterScalingFactorGrowingSeason_Unit()</f>
        <v>fraction</v>
      </c>
      <c r="H8" s="1" t="s">
        <v>143</v>
      </c>
      <c r="J8" s="1" t="s">
        <v>144</v>
      </c>
      <c r="L8" s="1" t="s">
        <v>145</v>
      </c>
      <c r="AG8" s="1"/>
      <c r="AH8" s="1"/>
      <c r="AI8" s="1"/>
    </row>
    <row r="9" spans="1:35" ht="20.100000000000001" customHeight="1" x14ac:dyDescent="0.25">
      <c r="A9" s="17" t="str">
        <f>HYPERLINK("#'Input - Site'!A1", "Site")</f>
        <v>Site</v>
      </c>
      <c r="D9" s="34" t="s">
        <v>108</v>
      </c>
      <c r="E9" s="34" t="s">
        <v>111</v>
      </c>
      <c r="F9" s="34" t="s">
        <v>124</v>
      </c>
      <c r="H9" s="34" t="s">
        <v>146</v>
      </c>
      <c r="J9" s="34" t="s">
        <v>146</v>
      </c>
      <c r="L9" s="34" t="s">
        <v>146</v>
      </c>
      <c r="AG9" s="1"/>
      <c r="AH9" s="1"/>
      <c r="AI9" s="1"/>
    </row>
    <row r="10" spans="1:35" ht="20.100000000000001" customHeight="1" x14ac:dyDescent="0.25">
      <c r="A10" s="17" t="str">
        <f>HYPERLINK("#'Input - Rice'!A1", "Rice")</f>
        <v>Rice</v>
      </c>
      <c r="D10" s="34" t="str" cm="1">
        <f t="array" ref="D10">Common_InputFunctions.Utility_DisplayArrayInTable(RiceCultivation_SourceData.SourceData_RiceCultivation_WaterScalingFactorGrowingSeason_Data(),Table_SourceData_WaterScalingFactorGrowingSeason[[#Headers],[Water regime type]],0)</f>
        <v>Upland</v>
      </c>
      <c r="E10" s="34" t="str" cm="1">
        <f t="array" ref="E10">Common_InputFunctions.Utility_DisplayArrayInTable(RiceCultivation_SourceData.SourceData_RiceCultivation_WaterScalingFactorGrowingSeason_Data(),Table_SourceData_WaterScalingFactorGrowingSeason[[#Headers],[Water regime type]],0)</f>
        <v>Paddy rotation</v>
      </c>
      <c r="F10" s="34" cm="1">
        <f t="array" ref="F10">Common_InputFunctions.Utility_DisplayArrayInTable(RiceCultivation_SourceData.SourceData_RiceCultivation_WaterScalingFactorGrowingSeason_Data(),Table_SourceData_WaterScalingFactorGrowingSeason[[#Headers],[Water regime type]],0)</f>
        <v>0</v>
      </c>
      <c r="H10" s="34" t="str">
        <f>E10</f>
        <v>Paddy rotation</v>
      </c>
      <c r="J10" s="34" t="str">
        <f>E12</f>
        <v>Continuously flooded</v>
      </c>
      <c r="L10" s="34" t="str">
        <f>E15</f>
        <v>Regular rainfed</v>
      </c>
      <c r="AG10" s="1"/>
      <c r="AH10" s="1"/>
      <c r="AI10" s="1"/>
    </row>
    <row r="11" spans="1:35" ht="20.100000000000001" customHeight="1" x14ac:dyDescent="0.25">
      <c r="D11" s="1" t="str" cm="1">
        <f t="array" ref="D11">Common_InputFunctions.Utility_DisplayArrayInTable(RiceCultivation_SourceData.SourceData_RiceCultivation_WaterScalingFactorGrowingSeason_Data(),Table_SourceData_WaterScalingFactorGrowingSeason[[#Headers],[Water regime type]],0)</f>
        <v>Upland</v>
      </c>
      <c r="E11" s="34" t="str" cm="1">
        <f t="array" ref="E11">Common_InputFunctions.Utility_DisplayArrayInTable(RiceCultivation_SourceData.SourceData_RiceCultivation_WaterScalingFactorGrowingSeason_Data(),Table_SourceData_WaterScalingFactorGrowingSeason[[#Headers],[Water regime type]],0)</f>
        <v>Fallow without flooding in previous year</v>
      </c>
      <c r="F11" s="34" cm="1">
        <f t="array" ref="F11">Common_InputFunctions.Utility_DisplayArrayInTable(RiceCultivation_SourceData.SourceData_RiceCultivation_WaterScalingFactorGrowingSeason_Data(),Table_SourceData_WaterScalingFactorGrowingSeason[[#Headers],[Water regime type]],0)</f>
        <v>0</v>
      </c>
      <c r="H11" s="34" t="str">
        <f>E11</f>
        <v>Fallow without flooding in previous year</v>
      </c>
      <c r="J11" s="34" t="str">
        <f>E13</f>
        <v>Single drainage period</v>
      </c>
      <c r="L11" s="34" t="str">
        <f>E16</f>
        <v>Drought prone</v>
      </c>
    </row>
    <row r="12" spans="1:35" ht="20.100000000000001" customHeight="1" x14ac:dyDescent="0.25">
      <c r="D12" s="1" t="str" cm="1">
        <f t="array" ref="D12">Common_InputFunctions.Utility_DisplayArrayInTable(RiceCultivation_SourceData.SourceData_RiceCultivation_WaterScalingFactorGrowingSeason_Data(),Table_SourceData_WaterScalingFactorGrowingSeason[[#Headers],[Water regime type]],0)</f>
        <v>Irrigated</v>
      </c>
      <c r="E12" s="34" t="str" cm="1">
        <f t="array" ref="E12">Common_InputFunctions.Utility_DisplayArrayInTable(RiceCultivation_SourceData.SourceData_RiceCultivation_WaterScalingFactorGrowingSeason_Data(),Table_SourceData_WaterScalingFactorGrowingSeason[[#Headers],[Water regime type]],0)</f>
        <v>Continuously flooded</v>
      </c>
      <c r="F12" s="34" cm="1">
        <f t="array" ref="F12">Common_InputFunctions.Utility_DisplayArrayInTable(RiceCultivation_SourceData.SourceData_RiceCultivation_WaterScalingFactorGrowingSeason_Data(),Table_SourceData_WaterScalingFactorGrowingSeason[[#Headers],[Water regime type]],0)</f>
        <v>1</v>
      </c>
      <c r="J12" s="34" t="str">
        <f>E14</f>
        <v>Multiple drainage periods</v>
      </c>
      <c r="L12" s="34" t="str">
        <f>E17</f>
        <v>Deep water</v>
      </c>
    </row>
    <row r="13" spans="1:35" ht="20.100000000000001" customHeight="1" x14ac:dyDescent="0.25">
      <c r="A13" s="18" t="s">
        <v>51</v>
      </c>
      <c r="D13" s="1" t="str" cm="1">
        <f t="array" ref="D13">Common_InputFunctions.Utility_DisplayArrayInTable(RiceCultivation_SourceData.SourceData_RiceCultivation_WaterScalingFactorGrowingSeason_Data(),Table_SourceData_WaterScalingFactorGrowingSeason[[#Headers],[Water regime type]],0)</f>
        <v>Irrigated</v>
      </c>
      <c r="E13" s="34" t="str" cm="1">
        <f t="array" ref="E13">Common_InputFunctions.Utility_DisplayArrayInTable(RiceCultivation_SourceData.SourceData_RiceCultivation_WaterScalingFactorGrowingSeason_Data(),Table_SourceData_WaterScalingFactorGrowingSeason[[#Headers],[Water regime type]],0)</f>
        <v>Single drainage period</v>
      </c>
      <c r="F13" s="34" cm="1">
        <f t="array" ref="F13">Common_InputFunctions.Utility_DisplayArrayInTable(RiceCultivation_SourceData.SourceData_RiceCultivation_WaterScalingFactorGrowingSeason_Data(),Table_SourceData_WaterScalingFactorGrowingSeason[[#Headers],[Water regime type]],0)</f>
        <v>0.71</v>
      </c>
    </row>
    <row r="14" spans="1:35" ht="20.100000000000001" customHeight="1" x14ac:dyDescent="0.25">
      <c r="A14" s="17" t="str">
        <f>HYPERLINK("#'7.1.1-2 Rice cultivation'!A1", "7.1.1-2 Rice cultivation")</f>
        <v>7.1.1-2 Rice cultivation</v>
      </c>
      <c r="D14" s="1" t="str" cm="1">
        <f t="array" ref="D14">Common_InputFunctions.Utility_DisplayArrayInTable(RiceCultivation_SourceData.SourceData_RiceCultivation_WaterScalingFactorGrowingSeason_Data(),Table_SourceData_WaterScalingFactorGrowingSeason[[#Headers],[Water regime type]],0)</f>
        <v>Irrigated</v>
      </c>
      <c r="E14" s="34" t="str" cm="1">
        <f t="array" ref="E14">Common_InputFunctions.Utility_DisplayArrayInTable(RiceCultivation_SourceData.SourceData_RiceCultivation_WaterScalingFactorGrowingSeason_Data(),Table_SourceData_WaterScalingFactorGrowingSeason[[#Headers],[Water regime type]],0)</f>
        <v>Multiple drainage periods</v>
      </c>
      <c r="F14" s="34" cm="1">
        <f t="array" ref="F14">Common_InputFunctions.Utility_DisplayArrayInTable(RiceCultivation_SourceData.SourceData_RiceCultivation_WaterScalingFactorGrowingSeason_Data(),Table_SourceData_WaterScalingFactorGrowingSeason[[#Headers],[Water regime type]],0)</f>
        <v>0.55000000000000004</v>
      </c>
    </row>
    <row r="15" spans="1:35" ht="20.100000000000001" customHeight="1" x14ac:dyDescent="0.25">
      <c r="D15" s="1" t="str" cm="1">
        <f t="array" ref="D15">Common_InputFunctions.Utility_DisplayArrayInTable(RiceCultivation_SourceData.SourceData_RiceCultivation_WaterScalingFactorGrowingSeason_Data(),Table_SourceData_WaterScalingFactorGrowingSeason[[#Headers],[Water regime type]],0)</f>
        <v>Rainfed and deep water</v>
      </c>
      <c r="E15" s="34" t="str" cm="1">
        <f t="array" ref="E15">Common_InputFunctions.Utility_DisplayArrayInTable(RiceCultivation_SourceData.SourceData_RiceCultivation_WaterScalingFactorGrowingSeason_Data(),Table_SourceData_WaterScalingFactorGrowingSeason[[#Headers],[Water regime type]],0)</f>
        <v>Regular rainfed</v>
      </c>
      <c r="F15" s="34" cm="1">
        <f t="array" ref="F15">Common_InputFunctions.Utility_DisplayArrayInTable(RiceCultivation_SourceData.SourceData_RiceCultivation_WaterScalingFactorGrowingSeason_Data(),Table_SourceData_WaterScalingFactorGrowingSeason[[#Headers],[Water regime type]],0)</f>
        <v>0.54</v>
      </c>
    </row>
    <row r="16" spans="1:35" ht="20.100000000000001" customHeight="1" x14ac:dyDescent="0.25">
      <c r="D16" s="1" t="str" cm="1">
        <f t="array" ref="D16">Common_InputFunctions.Utility_DisplayArrayInTable(RiceCultivation_SourceData.SourceData_RiceCultivation_WaterScalingFactorGrowingSeason_Data(),Table_SourceData_WaterScalingFactorGrowingSeason[[#Headers],[Water regime type]],0)</f>
        <v>Rainfed and deep water</v>
      </c>
      <c r="E16" s="34" t="str" cm="1">
        <f t="array" ref="E16">Common_InputFunctions.Utility_DisplayArrayInTable(RiceCultivation_SourceData.SourceData_RiceCultivation_WaterScalingFactorGrowingSeason_Data(),Table_SourceData_WaterScalingFactorGrowingSeason[[#Headers],[Water regime type]],0)</f>
        <v>Drought prone</v>
      </c>
      <c r="F16" s="34" cm="1">
        <f t="array" ref="F16">Common_InputFunctions.Utility_DisplayArrayInTable(RiceCultivation_SourceData.SourceData_RiceCultivation_WaterScalingFactorGrowingSeason_Data(),Table_SourceData_WaterScalingFactorGrowingSeason[[#Headers],[Water regime type]],0)</f>
        <v>0.16</v>
      </c>
    </row>
    <row r="17" spans="1:6" ht="20.100000000000001" customHeight="1" x14ac:dyDescent="0.25">
      <c r="A17" s="118" t="s">
        <v>1</v>
      </c>
      <c r="D17" s="1" t="str" cm="1">
        <f t="array" ref="D17">Common_InputFunctions.Utility_DisplayArrayInTable(RiceCultivation_SourceData.SourceData_RiceCultivation_WaterScalingFactorGrowingSeason_Data(),Table_SourceData_WaterScalingFactorGrowingSeason[[#Headers],[Water regime type]],0)</f>
        <v>Rainfed and deep water</v>
      </c>
      <c r="E17" s="34" t="str" cm="1">
        <f t="array" ref="E17">Common_InputFunctions.Utility_DisplayArrayInTable(RiceCultivation_SourceData.SourceData_RiceCultivation_WaterScalingFactorGrowingSeason_Data(),Table_SourceData_WaterScalingFactorGrowingSeason[[#Headers],[Water regime type]],0)</f>
        <v>Deep water</v>
      </c>
      <c r="F17" s="34" cm="1">
        <f t="array" ref="F17">Common_InputFunctions.Utility_DisplayArrayInTable(RiceCultivation_SourceData.SourceData_RiceCultivation_WaterScalingFactorGrowingSeason_Data(),Table_SourceData_WaterScalingFactorGrowingSeason[[#Headers],[Water regime type]],0)</f>
        <v>0.06</v>
      </c>
    </row>
    <row r="18" spans="1:6" ht="20.100000000000001" customHeight="1" x14ac:dyDescent="0.25">
      <c r="A18" s="117" t="str">
        <f>HYPERLINK("#'Constants - Rice cultivation'!A1", "Constants - Rice cultivation")</f>
        <v>Constants - Rice cultivation</v>
      </c>
    </row>
    <row r="19" spans="1:6" ht="20.100000000000001" customHeight="1" x14ac:dyDescent="0.25">
      <c r="A19" s="17" t="str">
        <f>HYPERLINK("#'Constants - Common'!A1", "Constants - Common")</f>
        <v>Constants - Common</v>
      </c>
    </row>
    <row r="20" spans="1:6" ht="20.100000000000001" customHeight="1" x14ac:dyDescent="0.25">
      <c r="D20" s="6" t="str" cm="1">
        <f t="array" ref="D20">RiceCultivation_SourceData.SourceData_RiceCultivation_WaterScalingFactorPreSeason_Title()</f>
        <v>Scaling factor based on the water regime employed in the pre - season before the growing period</v>
      </c>
    </row>
    <row r="21" spans="1:6" ht="20.100000000000001" customHeight="1" x14ac:dyDescent="0.25">
      <c r="D21" s="5" t="str" cm="1">
        <f t="array" ref="D21">RiceCultivation_SourceData.SourceData_RiceCultivation_WaterScalingFactorPreSeason_Source()</f>
        <v>VEERG 2026: Table A.2.3.2</v>
      </c>
    </row>
    <row r="22" spans="1:6" ht="20.100000000000001" customHeight="1" x14ac:dyDescent="0.25">
      <c r="D22" s="1" t="str" cm="1">
        <f t="array" ref="D22">RiceCultivation_SourceData.SourceData_RiceCultivation_WaterScalingFactorPreSeason_Variable()</f>
        <v>SFp</v>
      </c>
    </row>
    <row r="23" spans="1:6" ht="20.100000000000001" customHeight="1" x14ac:dyDescent="0.25">
      <c r="D23" s="48" t="str" cm="1">
        <f t="array" ref="D23">RiceCultivation_SourceData.SourceData_RiceCultivation_WaterScalingFactorPreSeason_Unit()</f>
        <v>fraction</v>
      </c>
    </row>
    <row r="24" spans="1:6" ht="20.100000000000001" customHeight="1" x14ac:dyDescent="0.25">
      <c r="D24" s="34" t="s">
        <v>125</v>
      </c>
      <c r="E24" s="34" t="s">
        <v>126</v>
      </c>
    </row>
    <row r="25" spans="1:6" ht="20.100000000000001" customHeight="1" x14ac:dyDescent="0.25">
      <c r="D25" s="34" t="str" cm="1">
        <f t="array" ref="D25">Common_InputFunctions.Utility_DisplayArrayInTable(RiceCultivation_SourceData.SourceData_RiceCultivation_WaterScalingFactorPreSeason_Data(),Table_SourceData_WaterScalingFactorPreSeason[[#Headers],[Water regime prior to cultivation]], 0)</f>
        <v>Non flooded pre-season &lt;180 days</v>
      </c>
      <c r="E25" s="34" cm="1">
        <f t="array" ref="E25">Common_InputFunctions.Utility_DisplayArrayInTable(RiceCultivation_SourceData.SourceData_RiceCultivation_WaterScalingFactorPreSeason_Data(),Table_SourceData_WaterScalingFactorPreSeason[[#Headers],[Water regime prior to cultivation]], 0)</f>
        <v>1</v>
      </c>
    </row>
    <row r="26" spans="1:6" ht="20.100000000000001" customHeight="1" x14ac:dyDescent="0.25">
      <c r="D26" s="1" t="str" cm="1">
        <f t="array" ref="D26">Common_InputFunctions.Utility_DisplayArrayInTable(RiceCultivation_SourceData.SourceData_RiceCultivation_WaterScalingFactorPreSeason_Data(),Table_SourceData_WaterScalingFactorPreSeason[[#Headers],[Water regime prior to cultivation]], 0)</f>
        <v>Non flooded pre-season &gt;180 days</v>
      </c>
      <c r="E26" s="34" cm="1">
        <f t="array" ref="E26">Common_InputFunctions.Utility_DisplayArrayInTable(RiceCultivation_SourceData.SourceData_RiceCultivation_WaterScalingFactorPreSeason_Data(),Table_SourceData_WaterScalingFactorPreSeason[[#Headers],[Water regime prior to cultivation]], 0)</f>
        <v>0.89</v>
      </c>
    </row>
    <row r="27" spans="1:6" ht="20.100000000000001" customHeight="1" x14ac:dyDescent="0.25">
      <c r="D27" s="1" t="str" cm="1">
        <f t="array" ref="D27">Common_InputFunctions.Utility_DisplayArrayInTable(RiceCultivation_SourceData.SourceData_RiceCultivation_WaterScalingFactorPreSeason_Data(),Table_SourceData_WaterScalingFactorPreSeason[[#Headers],[Water regime prior to cultivation]], 0)</f>
        <v>Flooded pre-season &gt;30 days</v>
      </c>
      <c r="E27" s="34" cm="1">
        <f t="array" ref="E27">Common_InputFunctions.Utility_DisplayArrayInTable(RiceCultivation_SourceData.SourceData_RiceCultivation_WaterScalingFactorPreSeason_Data(),Table_SourceData_WaterScalingFactorPreSeason[[#Headers],[Water regime prior to cultivation]], 0)</f>
        <v>2.41</v>
      </c>
    </row>
    <row r="28" spans="1:6" ht="20.100000000000001" customHeight="1" x14ac:dyDescent="0.25">
      <c r="D28" s="1" t="str" cm="1">
        <f t="array" ref="D28">Common_InputFunctions.Utility_DisplayArrayInTable(RiceCultivation_SourceData.SourceData_RiceCultivation_WaterScalingFactorPreSeason_Data(),Table_SourceData_WaterScalingFactorPreSeason[[#Headers],[Water regime prior to cultivation]], 0)</f>
        <v>Non-flooded pre-season &gt;365 days</v>
      </c>
      <c r="E28" s="34" cm="1">
        <f t="array" ref="E28">Common_InputFunctions.Utility_DisplayArrayInTable(RiceCultivation_SourceData.SourceData_RiceCultivation_WaterScalingFactorPreSeason_Data(),Table_SourceData_WaterScalingFactorPreSeason[[#Headers],[Water regime prior to cultivation]], 0)</f>
        <v>0.59</v>
      </c>
    </row>
    <row r="29" spans="1:6" ht="20.100000000000001" customHeight="1" x14ac:dyDescent="0.25"/>
    <row r="30" spans="1:6" ht="20.100000000000001" customHeight="1" x14ac:dyDescent="0.25"/>
    <row r="31" spans="1:6" ht="20.100000000000001" customHeight="1" x14ac:dyDescent="0.25">
      <c r="D31" s="6" t="str" cm="1">
        <f t="array" ref="D31">RiceCultivation_SourceData.SourceData_RiceCultivation_OrganicAmendmentConversionFactor_Title()</f>
        <v>Conversion factor for organic amendment i</v>
      </c>
    </row>
    <row r="32" spans="1:6" ht="20.100000000000001" customHeight="1" x14ac:dyDescent="0.25">
      <c r="D32" s="5" t="str" cm="1">
        <f t="array" ref="D32">RiceCultivation_SourceData.SourceData_RiceCultivation_OrganicAmendmentConversionFactor_Source()</f>
        <v>VEERG 2026: Table A.2.3.3</v>
      </c>
    </row>
    <row r="33" spans="4:5" ht="20.100000000000001" customHeight="1" x14ac:dyDescent="0.25">
      <c r="D33" s="49" t="str" cm="1">
        <f t="array" ref="D33:D35">RiceCultivation_SourceData.SourceData_RiceCultivation_OrganicAmendmentConversionFactor_Variation()</f>
        <v>VARIATION ON SOURCE:</v>
      </c>
    </row>
    <row r="34" spans="4:5" ht="20.100000000000001" customHeight="1" x14ac:dyDescent="0.25">
      <c r="D34" s="49" t="str">
        <v>Included inorganic fertiliser as amendment as per VEERG equation description:</v>
      </c>
    </row>
    <row r="35" spans="4:5" ht="20.100000000000001" customHeight="1" x14ac:dyDescent="0.25">
      <c r="D35" s="49" t="str">
        <v>Where inorganic fertiliser is applied to the rice fields rather than organic amendments, SF_o is set to 1.</v>
      </c>
    </row>
    <row r="36" spans="4:5" ht="20.100000000000001" customHeight="1" x14ac:dyDescent="0.25">
      <c r="D36" s="1" t="str" cm="1">
        <f t="array" ref="D36">RiceCultivation_SourceData.SourceData_RiceCultivation_OrganicAmendmentConversionFactor_Variable()</f>
        <v>CFOAi</v>
      </c>
    </row>
    <row r="37" spans="4:5" ht="20.100000000000001" customHeight="1" x14ac:dyDescent="0.25">
      <c r="D37" s="48" t="str" cm="1">
        <f t="array" ref="D37">RiceCultivation_SourceData.SourceData_RiceCultivation_OrganicAmendmentConversionFactor_Unit()</f>
        <v>fraction</v>
      </c>
    </row>
    <row r="38" spans="4:5" ht="20.100000000000001" customHeight="1" x14ac:dyDescent="0.25">
      <c r="D38" s="34" t="s">
        <v>127</v>
      </c>
      <c r="E38" s="34" t="s">
        <v>128</v>
      </c>
    </row>
    <row r="39" spans="4:5" ht="20.100000000000001" customHeight="1" x14ac:dyDescent="0.25">
      <c r="D39" s="34" t="str" cm="1">
        <f t="array" ref="D39">Common_InputFunctions.Utility_DisplayArrayInTable(RiceCultivation_SourceData.SourceData_RiceCultivation_OrganicAmendmentConversionFactor_Data(),Table15[[#Headers],[Organic amendment i]],0)</f>
        <v>Straw incorporated shortly (&lt;30 days) before cultivation</v>
      </c>
      <c r="E39" s="34" cm="1">
        <f t="array" ref="E39">Common_InputFunctions.Utility_DisplayArrayInTable(RiceCultivation_SourceData.SourceData_RiceCultivation_OrganicAmendmentConversionFactor_Data(),Table15[[#Headers],[Organic amendment i]],0)</f>
        <v>1</v>
      </c>
    </row>
    <row r="40" spans="4:5" ht="20.100000000000001" customHeight="1" x14ac:dyDescent="0.25">
      <c r="D40" s="1" t="str" cm="1">
        <f t="array" ref="D40">Common_InputFunctions.Utility_DisplayArrayInTable(RiceCultivation_SourceData.SourceData_RiceCultivation_OrganicAmendmentConversionFactor_Data(),Table15[[#Headers],[Organic amendment i]],0)</f>
        <v>Straw incorporated long (&gt;30 days) before cultivation</v>
      </c>
      <c r="E40" s="34" cm="1">
        <f t="array" ref="E40">Common_InputFunctions.Utility_DisplayArrayInTable(RiceCultivation_SourceData.SourceData_RiceCultivation_OrganicAmendmentConversionFactor_Data(),Table15[[#Headers],[Organic amendment i]],0)</f>
        <v>0.19</v>
      </c>
    </row>
    <row r="41" spans="4:5" ht="20.100000000000001" customHeight="1" x14ac:dyDescent="0.25">
      <c r="D41" s="1" t="str" cm="1">
        <f t="array" ref="D41">Common_InputFunctions.Utility_DisplayArrayInTable(RiceCultivation_SourceData.SourceData_RiceCultivation_OrganicAmendmentConversionFactor_Data(),Table15[[#Headers],[Organic amendment i]],0)</f>
        <v>Compost</v>
      </c>
      <c r="E41" s="34" cm="1">
        <f t="array" ref="E41">Common_InputFunctions.Utility_DisplayArrayInTable(RiceCultivation_SourceData.SourceData_RiceCultivation_OrganicAmendmentConversionFactor_Data(),Table15[[#Headers],[Organic amendment i]],0)</f>
        <v>0.17</v>
      </c>
    </row>
    <row r="42" spans="4:5" ht="20.100000000000001" customHeight="1" x14ac:dyDescent="0.25">
      <c r="D42" s="1" t="str" cm="1">
        <f t="array" ref="D42">Common_InputFunctions.Utility_DisplayArrayInTable(RiceCultivation_SourceData.SourceData_RiceCultivation_OrganicAmendmentConversionFactor_Data(),Table15[[#Headers],[Organic amendment i]],0)</f>
        <v>Farm yard manure</v>
      </c>
      <c r="E42" s="34" cm="1">
        <f t="array" ref="E42">Common_InputFunctions.Utility_DisplayArrayInTable(RiceCultivation_SourceData.SourceData_RiceCultivation_OrganicAmendmentConversionFactor_Data(),Table15[[#Headers],[Organic amendment i]],0)</f>
        <v>0.21</v>
      </c>
    </row>
    <row r="43" spans="4:5" ht="20.100000000000001" customHeight="1" x14ac:dyDescent="0.25">
      <c r="D43" s="1" t="str" cm="1">
        <f t="array" ref="D43">Common_InputFunctions.Utility_DisplayArrayInTable(RiceCultivation_SourceData.SourceData_RiceCultivation_OrganicAmendmentConversionFactor_Data(),Table15[[#Headers],[Organic amendment i]],0)</f>
        <v>Green manure</v>
      </c>
      <c r="E43" s="34" cm="1">
        <f t="array" ref="E43">Common_InputFunctions.Utility_DisplayArrayInTable(RiceCultivation_SourceData.SourceData_RiceCultivation_OrganicAmendmentConversionFactor_Data(),Table15[[#Headers],[Organic amendment i]],0)</f>
        <v>0.45</v>
      </c>
    </row>
    <row r="44" spans="4:5" ht="20.100000000000001" customHeight="1" x14ac:dyDescent="0.25">
      <c r="D44" s="1" t="str" cm="1">
        <f t="array" ref="D44">Common_InputFunctions.Utility_DisplayArrayInTable(RiceCultivation_SourceData.SourceData_RiceCultivation_OrganicAmendmentConversionFactor_Data(),Table15[[#Headers],[Organic amendment i]],0)</f>
        <v>Inorganic fertiliser</v>
      </c>
      <c r="E44" s="34" cm="1">
        <f t="array" ref="E44">Common_InputFunctions.Utility_DisplayArrayInTable(RiceCultivation_SourceData.SourceData_RiceCultivation_OrganicAmendmentConversionFactor_Data(),Table15[[#Headers],[Organic amendment i]],0)</f>
        <v>1</v>
      </c>
    </row>
    <row r="45" spans="4:5" ht="20.100000000000001" customHeight="1" x14ac:dyDescent="0.25"/>
    <row r="46" spans="4:5" ht="20.100000000000001" customHeight="1" x14ac:dyDescent="0.25"/>
    <row r="47" spans="4:5" ht="20.100000000000001" customHeight="1" x14ac:dyDescent="0.25">
      <c r="D47" s="6" t="str" cm="1">
        <f t="array" ref="D47">RiceCultivation_SourceData.SourceData_RiceCultivation_BaselineEF_Title()</f>
        <v>Baseline emission factor for continuously flooded fields without organic amendments</v>
      </c>
    </row>
    <row r="48" spans="4:5" ht="20.100000000000001" customHeight="1" x14ac:dyDescent="0.25">
      <c r="D48" s="5" t="str" cm="1">
        <f t="array" ref="D48">RiceCultivation_SourceData.SourceData_RiceCultivation_BaselineEF_Source()</f>
        <v>VEERG 2026: 7.2.3 Constant Parameters</v>
      </c>
    </row>
    <row r="49" spans="4:6" ht="20.100000000000001" customHeight="1" x14ac:dyDescent="0.25">
      <c r="D49" s="47" t="str" cm="1">
        <f t="array" ref="D49">RiceCultivation_SourceData.SourceData_RiceCultivation_BaselineEF_Variable()</f>
        <v>EFc</v>
      </c>
      <c r="E49" s="1" cm="1">
        <f t="array" ref="E49">RiceCultivation_SourceData.SourceData_RiceCultivation_BaselineEF_Data()</f>
        <v>1.19</v>
      </c>
      <c r="F49" s="48" t="str" cm="1">
        <f t="array" ref="F49">RiceCultivation_SourceData.SourceData_RiceCultivation_BaselineEF_Unit()</f>
        <v>kg CH4 / ha / day</v>
      </c>
    </row>
    <row r="50" spans="4:6" ht="20.100000000000001" customHeight="1" x14ac:dyDescent="0.25"/>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06A4-3D1F-4F50-AEE9-CDBCDCC0131B}">
  <dimension ref="A1:BY259"/>
  <sheetViews>
    <sheetView showGridLines="0" tabSelected="1" topLeftCell="A86" zoomScaleNormal="100" workbookViewId="0">
      <selection activeCell="A18" sqref="A1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56" t="e" vm="1">
        <v>#VALUE!</v>
      </c>
      <c r="C1" s="8" t="s">
        <v>52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4" t="s">
        <v>9</v>
      </c>
      <c r="E6" s="34" t="s">
        <v>10</v>
      </c>
      <c r="F6" s="34" t="s">
        <v>11</v>
      </c>
    </row>
    <row r="7" spans="1:65" ht="20.100000000000001" customHeight="1" x14ac:dyDescent="0.25">
      <c r="A7"/>
      <c r="D7" s="34" t="str" cm="1">
        <f t="array" ref="D7">Common_InputFunctions.Utility_DisplayArrayInTable(Common_SourceData.Common_SourceData_AustralianStatesTerritories_Data(),Table_AustralianStates[[#Headers],[State/Territory]],0)</f>
        <v>New South Wales</v>
      </c>
      <c r="E7" s="34" t="str" cm="1">
        <f t="array" ref="E7">Common_InputFunctions.Utility_DisplayArrayInTable(Common_SourceData.Common_SourceData_AustralianStatesTerritories_Data(),Table_AustralianStates[[#Headers],[State/Territory]],0)</f>
        <v>New South Wales</v>
      </c>
      <c r="F7" s="34"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4" t="str" cm="1">
        <f t="array" ref="D8">Common_InputFunctions.Utility_DisplayArrayInTable(Common_SourceData.Common_SourceData_AustralianStatesTerritories_Data(),Table_AustralianStates[[#Headers],[State/Territory]],0)</f>
        <v>Australian Capital Territory</v>
      </c>
      <c r="E8" s="34" t="str" cm="1">
        <f t="array" ref="E8">Common_InputFunctions.Utility_DisplayArrayInTable(Common_SourceData.Common_SourceData_AustralianStatesTerritories_Data(),Table_AustralianStates[[#Headers],[State/Territory]],0)</f>
        <v>ACT</v>
      </c>
      <c r="F8" s="34"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4" t="str" cm="1">
        <f t="array" ref="D9">Common_InputFunctions.Utility_DisplayArrayInTable(Common_SourceData.Common_SourceData_AustralianStatesTerritories_Data(),Table_AustralianStates[[#Headers],[State/Territory]],0)</f>
        <v>Victoria</v>
      </c>
      <c r="E9" s="34" t="str" cm="1">
        <f t="array" ref="E9">Common_InputFunctions.Utility_DisplayArrayInTable(Common_SourceData.Common_SourceData_AustralianStatesTerritories_Data(),Table_AustralianStates[[#Headers],[State/Territory]],0)</f>
        <v>Victoria</v>
      </c>
      <c r="F9" s="34"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Rice'!A1", "Rice")</f>
        <v>Rice</v>
      </c>
      <c r="D10" s="34" t="str" cm="1">
        <f t="array" ref="D10">Common_InputFunctions.Utility_DisplayArrayInTable(Common_SourceData.Common_SourceData_AustralianStatesTerritories_Data(),Table_AustralianStates[[#Headers],[State/Territory]],0)</f>
        <v>Queensland</v>
      </c>
      <c r="E10" s="34" t="str" cm="1">
        <f t="array" ref="E10">Common_InputFunctions.Utility_DisplayArrayInTable(Common_SourceData.Common_SourceData_AustralianStatesTerritories_Data(),Table_AustralianStates[[#Headers],[State/Territory]],0)</f>
        <v>Queensland</v>
      </c>
      <c r="F10" s="3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4" t="str" cm="1">
        <f t="array" ref="D11">Common_InputFunctions.Utility_DisplayArrayInTable(Common_SourceData.Common_SourceData_AustralianStatesTerritories_Data(),Table_AustralianStates[[#Headers],[State/Territory]],0)</f>
        <v>South Australia</v>
      </c>
      <c r="E11" s="34" t="str" cm="1">
        <f t="array" ref="E11">Common_InputFunctions.Utility_DisplayArrayInTable(Common_SourceData.Common_SourceData_AustralianStatesTerritories_Data(),Table_AustralianStates[[#Headers],[State/Territory]],0)</f>
        <v>South Australia</v>
      </c>
      <c r="F11" s="34"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4" t="str" cm="1">
        <f t="array" ref="D12">Common_InputFunctions.Utility_DisplayArrayInTable(Common_SourceData.Common_SourceData_AustralianStatesTerritories_Data(),Table_AustralianStates[[#Headers],[State/Territory]],0)</f>
        <v>Western Australia</v>
      </c>
      <c r="E12" s="34" t="str" cm="1">
        <f t="array" ref="E12">Common_InputFunctions.Utility_DisplayArrayInTable(Common_SourceData.Common_SourceData_AustralianStatesTerritories_Data(),Table_AustralianStates[[#Headers],[State/Territory]],0)</f>
        <v>Western Australia</v>
      </c>
      <c r="F12" s="34"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51</v>
      </c>
      <c r="D13" s="34" t="str" cm="1">
        <f t="array" ref="D13">Common_InputFunctions.Utility_DisplayArrayInTable(Common_SourceData.Common_SourceData_AustralianStatesTerritories_Data(),Table_AustralianStates[[#Headers],[State/Territory]],0)</f>
        <v>Tasmania</v>
      </c>
      <c r="E13" s="34" t="str" cm="1">
        <f t="array" ref="E13">Common_InputFunctions.Utility_DisplayArrayInTable(Common_SourceData.Common_SourceData_AustralianStatesTerritories_Data(),Table_AustralianStates[[#Headers],[State/Territory]],0)</f>
        <v>Tasmania</v>
      </c>
      <c r="F13" s="34"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HYPERLINK("#'7.1.1-2 Rice cultivation'!A1", "7.1.1-2 Rice cultivation")</f>
        <v>7.1.1-2 Rice cultivation</v>
      </c>
      <c r="D14" s="34" t="str" cm="1">
        <f t="array" ref="D14">Common_InputFunctions.Utility_DisplayArrayInTable(Common_SourceData.Common_SourceData_AustralianStatesTerritories_Data(),Table_AustralianStates[[#Headers],[State/Territory]],0)</f>
        <v>Northern Territory</v>
      </c>
      <c r="E14" s="34" t="str" cm="1">
        <f t="array" ref="E14">Common_InputFunctions.Utility_DisplayArrayInTable(Common_SourceData.Common_SourceData_AustralianStatesTerritories_Data(),Table_AustralianStates[[#Headers],[State/Territory]],0)</f>
        <v>Northern Territory</v>
      </c>
      <c r="F14" s="3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18" t="s">
        <v>1</v>
      </c>
    </row>
    <row r="18" spans="1:4" ht="20.100000000000001" customHeight="1" x14ac:dyDescent="0.25">
      <c r="A18" s="17" t="str">
        <f>HYPERLINK("#'Constants - Rice cultivation'!A1", "Constants - Rice cultivation")</f>
        <v>Constants - Rice cultivation</v>
      </c>
      <c r="D18" s="6" t="str" cm="1">
        <f t="array" ref="D18">Common_SourceData.Common_SourceData_WASA4Areas_Title()</f>
        <v>ABS Statistcal Areas Level 4 - Western Australia</v>
      </c>
    </row>
    <row r="19" spans="1:4" ht="20.100000000000001" customHeight="1" x14ac:dyDescent="0.25">
      <c r="A19" s="117"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c r="D20" s="34" t="s">
        <v>12</v>
      </c>
    </row>
    <row r="21" spans="1:4" ht="20.100000000000001" customHeight="1" x14ac:dyDescent="0.25">
      <c r="A21"/>
      <c r="D21" s="34" t="str" cm="1">
        <f t="array" ref="D21">Common_InputFunctions.Utility_DisplayArrayInTable(Common_SourceData.Common_SourceData_WASA4Areas_Data(), Table_WASA4Areas[[#Headers],[SA 4 Name]], 0)</f>
        <v>Bunbury</v>
      </c>
    </row>
    <row r="22" spans="1:4" ht="20.100000000000001" customHeight="1" x14ac:dyDescent="0.25">
      <c r="A22"/>
      <c r="D22" s="34" t="str" cm="1">
        <f t="array" ref="D22">Common_InputFunctions.Utility_DisplayArrayInTable(Common_SourceData.Common_SourceData_WASA4Areas_Data(), Table_WASA4Areas[[#Headers],[SA 4 Name]], 0)</f>
        <v>Mandurah</v>
      </c>
    </row>
    <row r="23" spans="1:4" ht="20.100000000000001" customHeight="1" x14ac:dyDescent="0.25">
      <c r="A23"/>
      <c r="D23" s="34" t="str" cm="1">
        <f t="array" ref="D23">Common_InputFunctions.Utility_DisplayArrayInTable(Common_SourceData.Common_SourceData_WASA4Areas_Data(), Table_WASA4Areas[[#Headers],[SA 4 Name]], 0)</f>
        <v>Perth - Inner</v>
      </c>
    </row>
    <row r="24" spans="1:4" ht="20.100000000000001" customHeight="1" x14ac:dyDescent="0.25">
      <c r="A24"/>
      <c r="D24" s="34" t="str" cm="1">
        <f t="array" ref="D24">Common_InputFunctions.Utility_DisplayArrayInTable(Common_SourceData.Common_SourceData_WASA4Areas_Data(), Table_WASA4Areas[[#Headers],[SA 4 Name]], 0)</f>
        <v>Perth - North East</v>
      </c>
    </row>
    <row r="25" spans="1:4" ht="20.100000000000001" customHeight="1" x14ac:dyDescent="0.25">
      <c r="A25"/>
      <c r="D25" s="34" t="str" cm="1">
        <f t="array" ref="D25">Common_InputFunctions.Utility_DisplayArrayInTable(Common_SourceData.Common_SourceData_WASA4Areas_Data(), Table_WASA4Areas[[#Headers],[SA 4 Name]], 0)</f>
        <v>Perth - North West</v>
      </c>
    </row>
    <row r="26" spans="1:4" ht="20.100000000000001" customHeight="1" x14ac:dyDescent="0.25">
      <c r="A26"/>
      <c r="D26" s="34" t="str" cm="1">
        <f t="array" ref="D26">Common_InputFunctions.Utility_DisplayArrayInTable(Common_SourceData.Common_SourceData_WASA4Areas_Data(), Table_WASA4Areas[[#Headers],[SA 4 Name]], 0)</f>
        <v>Perth - South East</v>
      </c>
    </row>
    <row r="27" spans="1:4" ht="20.100000000000001" customHeight="1" x14ac:dyDescent="0.25">
      <c r="A27"/>
      <c r="D27" s="34" t="str" cm="1">
        <f t="array" ref="D27">Common_InputFunctions.Utility_DisplayArrayInTable(Common_SourceData.Common_SourceData_WASA4Areas_Data(), Table_WASA4Areas[[#Headers],[SA 4 Name]], 0)</f>
        <v>Perth - South West</v>
      </c>
    </row>
    <row r="28" spans="1:4" ht="20.100000000000001" customHeight="1" x14ac:dyDescent="0.25">
      <c r="A28"/>
      <c r="D28" s="3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4" t="s">
        <v>14</v>
      </c>
      <c r="E36" s="34" t="s">
        <v>15</v>
      </c>
    </row>
    <row r="37" spans="1:8" ht="20.100000000000001" customHeight="1" x14ac:dyDescent="0.25">
      <c r="A37"/>
      <c r="D37" s="34" t="str" cm="1">
        <f t="array" ref="D37">Common_InputFunctions.Utility_DisplayArrayInTable(Common_SourceData.Common_SourceData_GWP_Data(), Table_GWPData[[#Headers],[Gas]], 0)</f>
        <v>CO2</v>
      </c>
      <c r="E37" s="34" cm="1">
        <f t="array" ref="E37">Common_InputFunctions.Utility_DisplayArrayInTable(Common_SourceData.Common_SourceData_GWP_Data(), Table_GWPData[[#Headers],[Gas]], 0)</f>
        <v>1</v>
      </c>
    </row>
    <row r="38" spans="1:8" ht="20.100000000000001" customHeight="1" x14ac:dyDescent="0.25">
      <c r="A38"/>
      <c r="D38" s="34" t="str" cm="1">
        <f t="array" ref="D38">Common_InputFunctions.Utility_DisplayArrayInTable(Common_SourceData.Common_SourceData_GWP_Data(), Table_GWPData[[#Headers],[Gas]], 0)</f>
        <v>CH4</v>
      </c>
      <c r="E38" s="34" cm="1">
        <f t="array" ref="E38">Common_InputFunctions.Utility_DisplayArrayInTable(Common_SourceData.Common_SourceData_GWP_Data(), Table_GWPData[[#Headers],[Gas]], 0)</f>
        <v>28</v>
      </c>
    </row>
    <row r="39" spans="1:8" ht="20.100000000000001" customHeight="1" x14ac:dyDescent="0.25">
      <c r="A39"/>
      <c r="D39" s="34" t="str" cm="1">
        <f t="array" ref="D39">Common_InputFunctions.Utility_DisplayArrayInTable(Common_SourceData.Common_SourceData_GWP_Data(), Table_GWPData[[#Headers],[Gas]], 0)</f>
        <v>N2O</v>
      </c>
      <c r="E39" s="34" cm="1">
        <f t="array" ref="E39">Common_InputFunctions.Utility_DisplayArrayInTable(Common_SourceData.Common_SourceData_GWP_Data(), Table_GWPData[[#Headers],[Gas]], 0)</f>
        <v>265</v>
      </c>
    </row>
    <row r="40" spans="1:8" ht="20.100000000000001" customHeight="1" x14ac:dyDescent="0.25">
      <c r="A40"/>
      <c r="D40" s="34" t="str" cm="1">
        <f t="array" ref="D40">Common_InputFunctions.Utility_DisplayArrayInTable(Common_SourceData.Common_SourceData_GWP_Data(), Table_GWPData[[#Headers],[Gas]], 0)</f>
        <v>CF4</v>
      </c>
      <c r="E40" s="34" cm="1">
        <f t="array" ref="E40">Common_InputFunctions.Utility_DisplayArrayInTable(Common_SourceData.Common_SourceData_GWP_Data(), Table_GWPData[[#Headers],[Gas]], 0)</f>
        <v>6630</v>
      </c>
    </row>
    <row r="41" spans="1:8" ht="20.100000000000001" customHeight="1" x14ac:dyDescent="0.25">
      <c r="A41"/>
      <c r="D41" s="34" t="str" cm="1">
        <f t="array" ref="D41">Common_InputFunctions.Utility_DisplayArrayInTable(Common_SourceData.Common_SourceData_GWP_Data(), Table_GWPData[[#Headers],[Gas]], 0)</f>
        <v>C2F6</v>
      </c>
      <c r="E41" s="34" cm="1">
        <f t="array" ref="E41">Common_InputFunctions.Utility_DisplayArrayInTable(Common_SourceData.Common_SourceData_GWP_Data(), Table_GWPData[[#Headers],[Gas]], 0)</f>
        <v>12200</v>
      </c>
    </row>
    <row r="42" spans="1:8" ht="20.100000000000001" customHeight="1" x14ac:dyDescent="0.25">
      <c r="A42"/>
      <c r="D42" s="34" t="str" cm="1">
        <f t="array" ref="D42">Common_InputFunctions.Utility_DisplayArrayInTable(Common_SourceData.Common_SourceData_GWP_Data(), Table_GWPData[[#Headers],[Gas]], 0)</f>
        <v>SF6</v>
      </c>
      <c r="E42" s="34" cm="1">
        <f t="array" ref="E42">Common_InputFunctions.Utility_DisplayArrayInTable(Common_SourceData.Common_SourceData_GWP_Data(), Table_GWPData[[#Headers],[Gas]], 0)</f>
        <v>22800</v>
      </c>
    </row>
    <row r="43" spans="1:8" ht="20.100000000000001" customHeight="1" x14ac:dyDescent="0.25">
      <c r="A43"/>
      <c r="D43" s="34" t="str" cm="1">
        <f t="array" ref="D43">Common_InputFunctions.Utility_DisplayArrayInTable(Common_SourceData.Common_SourceData_GWP_Data(), Table_GWPData[[#Headers],[Gas]], 0)</f>
        <v>NF3</v>
      </c>
      <c r="E43" s="34"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4" t="s">
        <v>14</v>
      </c>
      <c r="E47" s="34" t="s">
        <v>17</v>
      </c>
      <c r="F47" s="34" t="s">
        <v>18</v>
      </c>
      <c r="G47" s="34" t="s">
        <v>19</v>
      </c>
      <c r="H47" s="34" t="s">
        <v>20</v>
      </c>
    </row>
    <row r="48" spans="1:8" ht="20.100000000000001" customHeight="1" x14ac:dyDescent="0.25">
      <c r="A48"/>
      <c r="D48" s="34" t="str" cm="1">
        <f t="array" ref="D48">Common_InputFunctions.Utility_DisplayArrayInTable(Common_SourceData.Common_SourceData_ConvertGasElementalToMolecular_Data(),Table_GasToMolecularConversionFactor[[#Headers],[Gas]], 0)</f>
        <v>CO2</v>
      </c>
      <c r="E48" s="34" t="str" cm="1">
        <f t="array" ref="E48">Common_InputFunctions.Utility_DisplayArrayInTable(Common_SourceData.Common_SourceData_ConvertGasElementalToMolecular_Data(),Table_GasToMolecularConversionFactor[[#Headers],[Gas]], 0)</f>
        <v>44/12</v>
      </c>
      <c r="F48" s="34" cm="1">
        <f t="array" ref="F48">Common_InputFunctions.Utility_DisplayArrayInTable(Common_SourceData.Common_SourceData_ConvertGasElementalToMolecular_Data(),Table_GasToMolecularConversionFactor[[#Headers],[Gas]], 0)</f>
        <v>44</v>
      </c>
      <c r="G48" s="34" cm="1">
        <f t="array" ref="G48">Common_InputFunctions.Utility_DisplayArrayInTable(Common_SourceData.Common_SourceData_ConvertGasElementalToMolecular_Data(),Table_GasToMolecularConversionFactor[[#Headers],[Gas]], 0)</f>
        <v>12</v>
      </c>
      <c r="H48" s="34">
        <f>Table_GasToMolecularConversionFactor[[#This Row],[Conversion factor 1]]/Table_GasToMolecularConversionFactor[[#This Row],[Conversion factor 2]]</f>
        <v>3.6666666666666665</v>
      </c>
    </row>
    <row r="49" spans="1:8" ht="20.100000000000001" customHeight="1" x14ac:dyDescent="0.25">
      <c r="A49"/>
      <c r="D49" s="34" t="str" cm="1">
        <f t="array" ref="D49">Common_InputFunctions.Utility_DisplayArrayInTable(Common_SourceData.Common_SourceData_ConvertGasElementalToMolecular_Data(),Table_GasToMolecularConversionFactor[[#Headers],[Gas]], 0)</f>
        <v>CH4</v>
      </c>
      <c r="E49" s="34" t="str" cm="1">
        <f t="array" ref="E49">Common_InputFunctions.Utility_DisplayArrayInTable(Common_SourceData.Common_SourceData_ConvertGasElementalToMolecular_Data(),Table_GasToMolecularConversionFactor[[#Headers],[Gas]], 0)</f>
        <v>16/12</v>
      </c>
      <c r="F49" s="34" cm="1">
        <f t="array" ref="F49">Common_InputFunctions.Utility_DisplayArrayInTable(Common_SourceData.Common_SourceData_ConvertGasElementalToMolecular_Data(),Table_GasToMolecularConversionFactor[[#Headers],[Gas]], 0)</f>
        <v>16</v>
      </c>
      <c r="G49" s="34" cm="1">
        <f t="array" ref="G49">Common_InputFunctions.Utility_DisplayArrayInTable(Common_SourceData.Common_SourceData_ConvertGasElementalToMolecular_Data(),Table_GasToMolecularConversionFactor[[#Headers],[Gas]], 0)</f>
        <v>12</v>
      </c>
      <c r="H49" s="34">
        <f>Table_GasToMolecularConversionFactor[[#This Row],[Conversion factor 1]]/Table_GasToMolecularConversionFactor[[#This Row],[Conversion factor 2]]</f>
        <v>1.3333333333333333</v>
      </c>
    </row>
    <row r="50" spans="1:8" ht="20.100000000000001" customHeight="1" x14ac:dyDescent="0.25">
      <c r="A50"/>
      <c r="D50" s="34" t="str" cm="1">
        <f t="array" ref="D50">Common_InputFunctions.Utility_DisplayArrayInTable(Common_SourceData.Common_SourceData_ConvertGasElementalToMolecular_Data(),Table_GasToMolecularConversionFactor[[#Headers],[Gas]], 0)</f>
        <v>N2O</v>
      </c>
      <c r="E50" s="34" t="str" cm="1">
        <f t="array" ref="E50">Common_InputFunctions.Utility_DisplayArrayInTable(Common_SourceData.Common_SourceData_ConvertGasElementalToMolecular_Data(),Table_GasToMolecularConversionFactor[[#Headers],[Gas]], 0)</f>
        <v>44/28</v>
      </c>
      <c r="F50" s="34" cm="1">
        <f t="array" ref="F50">Common_InputFunctions.Utility_DisplayArrayInTable(Common_SourceData.Common_SourceData_ConvertGasElementalToMolecular_Data(),Table_GasToMolecularConversionFactor[[#Headers],[Gas]], 0)</f>
        <v>44</v>
      </c>
      <c r="G50" s="34" cm="1">
        <f t="array" ref="G50">Common_InputFunctions.Utility_DisplayArrayInTable(Common_SourceData.Common_SourceData_ConvertGasElementalToMolecular_Data(),Table_GasToMolecularConversionFactor[[#Headers],[Gas]], 0)</f>
        <v>28</v>
      </c>
      <c r="H50" s="34">
        <f>Table_GasToMolecularConversionFactor[[#This Row],[Conversion factor 1]]/Table_GasToMolecularConversionFactor[[#This Row],[Conversion factor 2]]</f>
        <v>1.5714285714285714</v>
      </c>
    </row>
    <row r="51" spans="1:8" ht="20.100000000000001" customHeight="1" x14ac:dyDescent="0.25">
      <c r="A51"/>
      <c r="D51" s="34" t="str" cm="1">
        <f t="array" ref="D51">Common_InputFunctions.Utility_DisplayArrayInTable(Common_SourceData.Common_SourceData_ConvertGasElementalToMolecular_Data(),Table_GasToMolecularConversionFactor[[#Headers],[Gas]], 0)</f>
        <v>Nox</v>
      </c>
      <c r="E51" s="34" t="str" cm="1">
        <f t="array" ref="E51">Common_InputFunctions.Utility_DisplayArrayInTable(Common_SourceData.Common_SourceData_ConvertGasElementalToMolecular_Data(),Table_GasToMolecularConversionFactor[[#Headers],[Gas]], 0)</f>
        <v>46/14</v>
      </c>
      <c r="F51" s="34" cm="1">
        <f t="array" ref="F51">Common_InputFunctions.Utility_DisplayArrayInTable(Common_SourceData.Common_SourceData_ConvertGasElementalToMolecular_Data(),Table_GasToMolecularConversionFactor[[#Headers],[Gas]], 0)</f>
        <v>46</v>
      </c>
      <c r="G51" s="34" cm="1">
        <f t="array" ref="G51">Common_InputFunctions.Utility_DisplayArrayInTable(Common_SourceData.Common_SourceData_ConvertGasElementalToMolecular_Data(),Table_GasToMolecularConversionFactor[[#Headers],[Gas]], 0)</f>
        <v>14</v>
      </c>
      <c r="H51" s="34">
        <f>Table_GasToMolecularConversionFactor[[#This Row],[Conversion factor 1]]/Table_GasToMolecularConversionFactor[[#This Row],[Conversion factor 2]]</f>
        <v>3.2857142857142856</v>
      </c>
    </row>
    <row r="52" spans="1:8" ht="20.100000000000001" customHeight="1" x14ac:dyDescent="0.25">
      <c r="A52"/>
      <c r="D52" s="34" t="str" cm="1">
        <f t="array" ref="D52">Common_InputFunctions.Utility_DisplayArrayInTable(Common_SourceData.Common_SourceData_ConvertGasElementalToMolecular_Data(),Table_GasToMolecularConversionFactor[[#Headers],[Gas]], 0)</f>
        <v>CO</v>
      </c>
      <c r="E52" s="34" t="str" cm="1">
        <f t="array" ref="E52">Common_InputFunctions.Utility_DisplayArrayInTable(Common_SourceData.Common_SourceData_ConvertGasElementalToMolecular_Data(),Table_GasToMolecularConversionFactor[[#Headers],[Gas]], 0)</f>
        <v>28/12</v>
      </c>
      <c r="F52" s="34" cm="1">
        <f t="array" ref="F52">Common_InputFunctions.Utility_DisplayArrayInTable(Common_SourceData.Common_SourceData_ConvertGasElementalToMolecular_Data(),Table_GasToMolecularConversionFactor[[#Headers],[Gas]], 0)</f>
        <v>28</v>
      </c>
      <c r="G52" s="34" cm="1">
        <f t="array" ref="G52">Common_InputFunctions.Utility_DisplayArrayInTable(Common_SourceData.Common_SourceData_ConvertGasElementalToMolecular_Data(),Table_GasToMolecularConversionFactor[[#Headers],[Gas]], 0)</f>
        <v>12</v>
      </c>
      <c r="H52" s="34">
        <f>Table_GasToMolecularConversionFactor[[#This Row],[Conversion factor 1]]/Table_GasToMolecularConversionFactor[[#This Row],[Conversion factor 2]]</f>
        <v>2.3333333333333335</v>
      </c>
    </row>
    <row r="53" spans="1:8" ht="20.100000000000001" customHeight="1" x14ac:dyDescent="0.25">
      <c r="A53"/>
      <c r="D53" s="34" t="str" cm="1">
        <f t="array" ref="D53">Common_InputFunctions.Utility_DisplayArrayInTable(Common_SourceData.Common_SourceData_ConvertGasElementalToMolecular_Data(),Table_GasToMolecularConversionFactor[[#Headers],[Gas]], 0)</f>
        <v>CO2 Lime</v>
      </c>
      <c r="E53" s="34" t="str" cm="1">
        <f t="array" ref="E53">Common_InputFunctions.Utility_DisplayArrayInTable(Common_SourceData.Common_SourceData_ConvertGasElementalToMolecular_Data(),Table_GasToMolecularConversionFactor[[#Headers],[Gas]], 0)</f>
        <v>44/12</v>
      </c>
      <c r="F53" s="34" cm="1">
        <f t="array" ref="F53">Common_InputFunctions.Utility_DisplayArrayInTable(Common_SourceData.Common_SourceData_ConvertGasElementalToMolecular_Data(),Table_GasToMolecularConversionFactor[[#Headers],[Gas]], 0)</f>
        <v>44</v>
      </c>
      <c r="G53" s="34" cm="1">
        <f t="array" ref="G53">Common_InputFunctions.Utility_DisplayArrayInTable(Common_SourceData.Common_SourceData_ConvertGasElementalToMolecular_Data(),Table_GasToMolecularConversionFactor[[#Headers],[Gas]], 0)</f>
        <v>12</v>
      </c>
      <c r="H53" s="34">
        <f>Table_GasToMolecularConversionFactor[[#This Row],[Conversion factor 1]]/Table_GasToMolecularConversionFactor[[#This Row],[Conversion factor 2]]</f>
        <v>3.6666666666666665</v>
      </c>
    </row>
    <row r="54" spans="1:8" ht="20.100000000000001" customHeight="1" x14ac:dyDescent="0.25">
      <c r="A54"/>
      <c r="D54" s="34" t="str" cm="1">
        <f t="array" ref="D54">Common_InputFunctions.Utility_DisplayArrayInTable(Common_SourceData.Common_SourceData_ConvertGasElementalToMolecular_Data(),Table_GasToMolecularConversionFactor[[#Headers],[Gas]], 0)</f>
        <v>NMVOC</v>
      </c>
      <c r="E54" s="34" t="str" cm="1">
        <f t="array" ref="E54">Common_InputFunctions.Utility_DisplayArrayInTable(Common_SourceData.Common_SourceData_ConvertGasElementalToMolecular_Data(),Table_GasToMolecularConversionFactor[[#Headers],[Gas]], 0)</f>
        <v>14/12</v>
      </c>
      <c r="F54" s="34" cm="1">
        <f t="array" ref="F54">Common_InputFunctions.Utility_DisplayArrayInTable(Common_SourceData.Common_SourceData_ConvertGasElementalToMolecular_Data(),Table_GasToMolecularConversionFactor[[#Headers],[Gas]], 0)</f>
        <v>14</v>
      </c>
      <c r="G54" s="34" cm="1">
        <f t="array" ref="G54">Common_InputFunctions.Utility_DisplayArrayInTable(Common_SourceData.Common_SourceData_ConvertGasElementalToMolecular_Data(),Table_GasToMolecularConversionFactor[[#Headers],[Gas]], 0)</f>
        <v>12</v>
      </c>
      <c r="H54" s="34">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49" t="str" cm="1">
        <f t="array" ref="D59:D61">"⚠️" &amp; Common_SourceData.Common_SourceData_WetAndDryZones_Variation()</f>
        <v>⚠️VARIATION OF SOURCE DATA:</v>
      </c>
    </row>
    <row r="60" spans="1:8" ht="20.100000000000001" customHeight="1" x14ac:dyDescent="0.25">
      <c r="A60"/>
      <c r="D60" s="49" t="str">
        <v>⚠️Added warm / cool temperate moist / dry - low frost and high temp classes to accommodate climate scenarios excluded by VEERG criteria.</v>
      </c>
    </row>
    <row r="61" spans="1:8" ht="20.100000000000001" customHeight="1" x14ac:dyDescent="0.25">
      <c r="A61"/>
      <c r="D61" s="49" t="str">
        <v>⚠️Fixed typo - Changed 'Fry' to 'Dry'.</v>
      </c>
    </row>
    <row r="62" spans="1:8" ht="20.100000000000001" customHeight="1" x14ac:dyDescent="0.25">
      <c r="A62"/>
    </row>
    <row r="63" spans="1:8" ht="20.100000000000001" customHeight="1" x14ac:dyDescent="0.25">
      <c r="A63"/>
      <c r="D63" s="34" t="s">
        <v>5</v>
      </c>
      <c r="E63" s="34" t="s">
        <v>34</v>
      </c>
    </row>
    <row r="64" spans="1:8" ht="20.100000000000001" customHeight="1" x14ac:dyDescent="0.25">
      <c r="A64"/>
      <c r="D64" s="34" t="str" cm="1">
        <f t="array" ref="D64">Common_InputFunctions.Utility_DisplayArrayInTable(Common_SourceData.Common_SourceData_WetAndDryZones_Data(), Table_SourceData_WetDryZones[[#Headers],[Climate zone]], 0)</f>
        <v>Tropical montane</v>
      </c>
      <c r="E64" s="34"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4" t="str" cm="1">
        <f t="array" ref="D65">Common_InputFunctions.Utility_DisplayArrayInTable(Common_SourceData.Common_SourceData_WetAndDryZones_Data(), Table_SourceData_WetDryZones[[#Headers],[Climate zone]], 0)</f>
        <v>Tropical wet</v>
      </c>
      <c r="E65" s="34"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4" t="str" cm="1">
        <f t="array" ref="D66">Common_InputFunctions.Utility_DisplayArrayInTable(Common_SourceData.Common_SourceData_WetAndDryZones_Data(), Table_SourceData_WetDryZones[[#Headers],[Climate zone]], 0)</f>
        <v>Tropical moist</v>
      </c>
      <c r="E66" s="34"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4" t="str" cm="1">
        <f t="array" ref="D67">Common_InputFunctions.Utility_DisplayArrayInTable(Common_SourceData.Common_SourceData_WetAndDryZones_Data(), Table_SourceData_WetDryZones[[#Headers],[Climate zone]], 0)</f>
        <v>Tropical dry</v>
      </c>
      <c r="E67" s="34"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4" t="str" cm="1">
        <f t="array" ref="D68">Common_InputFunctions.Utility_DisplayArrayInTable(Common_SourceData.Common_SourceData_WetAndDryZones_Data(), Table_SourceData_WetDryZones[[#Headers],[Climate zone]], 0)</f>
        <v>Warm temperate moist</v>
      </c>
      <c r="E68" s="34"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4" t="str" cm="1">
        <f t="array" ref="D69">Common_InputFunctions.Utility_DisplayArrayInTable(Common_SourceData.Common_SourceData_WetAndDryZones_Data(), Table_SourceData_WetDryZones[[#Headers],[Climate zone]], 0)</f>
        <v>Warm temperate dry</v>
      </c>
      <c r="E69" s="34"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4" t="str" cm="1">
        <f t="array" ref="D70">Common_InputFunctions.Utility_DisplayArrayInTable(Common_SourceData.Common_SourceData_WetAndDryZones_Data(), Table_SourceData_WetDryZones[[#Headers],[Climate zone]], 0)</f>
        <v>Cool temperate moist</v>
      </c>
      <c r="E70" s="34"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4" t="str" cm="1">
        <f t="array" ref="D71">Common_InputFunctions.Utility_DisplayArrayInTable(Common_SourceData.Common_SourceData_WetAndDryZones_Data(), Table_SourceData_WetDryZones[[#Headers],[Climate zone]], 0)</f>
        <v>Cool temperate dry</v>
      </c>
      <c r="E71" s="34"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4" t="str" cm="1">
        <f t="array" ref="D72">Common_InputFunctions.Utility_DisplayArrayInTable(Common_SourceData.Common_SourceData_WetAndDryZones_Data(), Table_SourceData_WetDryZones[[#Headers],[Climate zone]], 0)</f>
        <v>Warm temperate moist - low frost</v>
      </c>
      <c r="E72" s="34"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4" t="str" cm="1">
        <f t="array" ref="D73">Common_InputFunctions.Utility_DisplayArrayInTable(Common_SourceData.Common_SourceData_WetAndDryZones_Data(), Table_SourceData_WetDryZones[[#Headers],[Climate zone]], 0)</f>
        <v>Warm temperate dry - low frost</v>
      </c>
      <c r="E73" s="34"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4" t="str" cm="1">
        <f t="array" ref="D74">Common_InputFunctions.Utility_DisplayArrayInTable(Common_SourceData.Common_SourceData_WetAndDryZones_Data(), Table_SourceData_WetDryZones[[#Headers],[Climate zone]], 0)</f>
        <v>Warm temperate moist - high temp</v>
      </c>
      <c r="E74" s="34"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4" t="str" cm="1">
        <f t="array" ref="D75">Common_InputFunctions.Utility_DisplayArrayInTable(Common_SourceData.Common_SourceData_WetAndDryZones_Data(), Table_SourceData_WetDryZones[[#Headers],[Climate zone]], 0)</f>
        <v>Warm temperate dry - high temp</v>
      </c>
      <c r="E75" s="34"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4" t="str" cm="1">
        <f t="array" ref="D76">Common_InputFunctions.Utility_DisplayArrayInTable(Common_SourceData.Common_SourceData_WetAndDryZones_Data(), Table_SourceData_WetDryZones[[#Headers],[Climate zone]], 0)</f>
        <v>Cool temperate moist - low frost</v>
      </c>
      <c r="E76" s="34"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4" t="str" cm="1">
        <f t="array" ref="D77">Common_InputFunctions.Utility_DisplayArrayInTable(Common_SourceData.Common_SourceData_WetAndDryZones_Data(), Table_SourceData_WetDryZones[[#Headers],[Climate zone]], 0)</f>
        <v>Cool temperate dry - low frost</v>
      </c>
      <c r="E77" s="34"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49" t="str" cm="1">
        <f t="array" ref="D83:D87">"⚠️" &amp; Common_SourceData.Common_SourceData_ClimateZones_Variation()</f>
        <v>⚠️VARIATION OF SOURCE DATA:</v>
      </c>
    </row>
    <row r="84" spans="1:20" ht="20.100000000000001" customHeight="1" x14ac:dyDescent="0.25">
      <c r="A84"/>
      <c r="D84" s="49" t="str">
        <v>⚠️Added warm / cool temperate moist / dry - low frost and high temp classes to accommodate climate scenarios excluded by VEERG criteria.</v>
      </c>
    </row>
    <row r="85" spans="1:20" ht="20.100000000000001" customHeight="1" x14ac:dyDescent="0.25">
      <c r="A85"/>
      <c r="D85" s="49" t="str">
        <v>⚠️Fixed typo in MAT value for warm temperate dry - changed 10 to 11.</v>
      </c>
    </row>
    <row r="86" spans="1:20" ht="20.100000000000001" customHeight="1" x14ac:dyDescent="0.25">
      <c r="A86"/>
      <c r="D86" s="49" t="str">
        <v>⚠️Added min and max columns for MAT, MAP, frost days per year, elevation, MAP:PET to calculate zones from real climate data.</v>
      </c>
    </row>
    <row r="87" spans="1:20" ht="20.100000000000001" customHeight="1" x14ac:dyDescent="0.25">
      <c r="A87"/>
      <c r="D87" s="49" t="str">
        <v>⚠️GAF accepts rainfall as a proxy for precipitation.</v>
      </c>
    </row>
    <row r="88" spans="1:20" ht="20.100000000000001" customHeight="1" x14ac:dyDescent="0.25">
      <c r="A88"/>
    </row>
    <row r="89" spans="1:20" ht="20.100000000000001" customHeight="1" x14ac:dyDescent="0.25">
      <c r="A89"/>
      <c r="D89" s="34" t="s">
        <v>5</v>
      </c>
      <c r="E89" s="34" t="s">
        <v>22</v>
      </c>
      <c r="F89" s="34" t="s">
        <v>23</v>
      </c>
      <c r="G89" s="34" t="s">
        <v>24</v>
      </c>
      <c r="H89" s="34" t="s">
        <v>25</v>
      </c>
      <c r="I89" s="34" t="s">
        <v>26</v>
      </c>
      <c r="J89" s="34" t="s">
        <v>27</v>
      </c>
      <c r="K89" s="34" t="s">
        <v>28</v>
      </c>
      <c r="L89" s="34" t="s">
        <v>29</v>
      </c>
      <c r="M89" s="34" t="s">
        <v>30</v>
      </c>
      <c r="N89" s="34" t="s">
        <v>31</v>
      </c>
      <c r="O89" s="34" t="s">
        <v>35</v>
      </c>
      <c r="P89" s="34" t="s">
        <v>32</v>
      </c>
      <c r="Q89" s="34" t="s">
        <v>36</v>
      </c>
      <c r="R89" s="34" t="s">
        <v>33</v>
      </c>
      <c r="S89" s="34" t="s">
        <v>37</v>
      </c>
      <c r="T89" s="34"/>
    </row>
    <row r="90" spans="1:20" ht="20.100000000000001" customHeight="1" x14ac:dyDescent="0.25">
      <c r="A90"/>
      <c r="D90" s="34" t="str" cm="1">
        <f t="array" ref="D90">Common_InputFunctions.Utility_DisplayArrayInTable(Common_SourceData.Common_SourceData_ClimateZones_Data(), Table_SourceData_ClimateZones[[#Headers],[Climate zone]], 0)</f>
        <v>Tropical montane</v>
      </c>
      <c r="E90" s="34" t="str" cm="1">
        <f t="array" ref="E90">Common_InputFunctions.Utility_DisplayArrayInTable(Common_SourceData.Common_SourceData_ClimateZones_Data(), Table_SourceData_ClimateZones[[#Headers],[Climate zone]], 0)</f>
        <v>&gt; 18 C</v>
      </c>
      <c r="F90" s="34" t="str" cm="1">
        <f t="array" ref="F90">Common_InputFunctions.Utility_DisplayArrayInTable(Common_SourceData.Common_SourceData_ClimateZones_Data(), Table_SourceData_ClimateZones[[#Headers],[Climate zone]], 0)</f>
        <v>Any</v>
      </c>
      <c r="G90" s="34" t="str" cm="1">
        <f t="array" ref="G90">Common_InputFunctions.Utility_DisplayArrayInTable(Common_SourceData.Common_SourceData_ClimateZones_Data(), Table_SourceData_ClimateZones[[#Headers],[Climate zone]], 0)</f>
        <v>≤ 7</v>
      </c>
      <c r="H90" s="34" t="str" cm="1">
        <f t="array" ref="H90">Common_InputFunctions.Utility_DisplayArrayInTable(Common_SourceData.Common_SourceData_ClimateZones_Data(), Table_SourceData_ClimateZones[[#Headers],[Climate zone]], 0)</f>
        <v>&gt; 1000 m</v>
      </c>
      <c r="I90" s="34" t="str" cm="1">
        <f t="array" ref="I90">Common_InputFunctions.Utility_DisplayArrayInTable(Common_SourceData.Common_SourceData_ClimateZones_Data(), Table_SourceData_ClimateZones[[#Headers],[Climate zone]], 0)</f>
        <v>Any</v>
      </c>
      <c r="J90" s="34" cm="1">
        <f t="array" ref="J90">Common_InputFunctions.Utility_DisplayArrayInTable(Common_SourceData.Common_SourceData_ClimateZones_Data(), Table_SourceData_ClimateZones[[#Headers],[Climate zone]], 0)</f>
        <v>18.001000000000001</v>
      </c>
      <c r="K90" s="34" cm="1">
        <f t="array" ref="K90">Common_InputFunctions.Utility_DisplayArrayInTable(Common_SourceData.Common_SourceData_ClimateZones_Data(), Table_SourceData_ClimateZones[[#Headers],[Climate zone]], 0)</f>
        <v>999999</v>
      </c>
      <c r="L90" s="34" cm="1">
        <f t="array" ref="L90">Common_InputFunctions.Utility_DisplayArrayInTable(Common_SourceData.Common_SourceData_ClimateZones_Data(), Table_SourceData_ClimateZones[[#Headers],[Climate zone]], 0)</f>
        <v>-999999</v>
      </c>
      <c r="M90" s="34" cm="1">
        <f t="array" ref="M90">Common_InputFunctions.Utility_DisplayArrayInTable(Common_SourceData.Common_SourceData_ClimateZones_Data(), Table_SourceData_ClimateZones[[#Headers],[Climate zone]], 0)</f>
        <v>999999</v>
      </c>
      <c r="N90" s="34" cm="1">
        <f t="array" ref="N90">Common_InputFunctions.Utility_DisplayArrayInTable(Common_SourceData.Common_SourceData_ClimateZones_Data(), Table_SourceData_ClimateZones[[#Headers],[Climate zone]], 0)</f>
        <v>-999999</v>
      </c>
      <c r="O90" s="34" cm="1">
        <f t="array" ref="O90">Common_InputFunctions.Utility_DisplayArrayInTable(Common_SourceData.Common_SourceData_ClimateZones_Data(), Table_SourceData_ClimateZones[[#Headers],[Climate zone]], 0)</f>
        <v>7</v>
      </c>
      <c r="P90" s="34" cm="1">
        <f t="array" ref="P90">Common_InputFunctions.Utility_DisplayArrayInTable(Common_SourceData.Common_SourceData_ClimateZones_Data(), Table_SourceData_ClimateZones[[#Headers],[Climate zone]], 0)</f>
        <v>1000</v>
      </c>
      <c r="Q90" s="34" cm="1">
        <f t="array" ref="Q90">Common_InputFunctions.Utility_DisplayArrayInTable(Common_SourceData.Common_SourceData_ClimateZones_Data(), Table_SourceData_ClimateZones[[#Headers],[Climate zone]], 0)</f>
        <v>999999</v>
      </c>
      <c r="R90" s="34" cm="1">
        <f t="array" ref="R90">Common_InputFunctions.Utility_DisplayArrayInTable(Common_SourceData.Common_SourceData_ClimateZones_Data(), Table_SourceData_ClimateZones[[#Headers],[Climate zone]], 0)</f>
        <v>-999999</v>
      </c>
      <c r="S90" s="34" cm="1">
        <f t="array" ref="S90">Common_InputFunctions.Utility_DisplayArrayInTable(Common_SourceData.Common_SourceData_ClimateZones_Data(), Table_SourceData_ClimateZones[[#Headers],[Climate zone]], 0)</f>
        <v>999999</v>
      </c>
      <c r="T90" s="34"/>
    </row>
    <row r="91" spans="1:20" ht="20.100000000000001" customHeight="1" x14ac:dyDescent="0.25">
      <c r="A91"/>
      <c r="D91" s="34" t="str" cm="1">
        <f t="array" ref="D91">Common_InputFunctions.Utility_DisplayArrayInTable(Common_SourceData.Common_SourceData_ClimateZones_Data(), Table_SourceData_ClimateZones[[#Headers],[Climate zone]], 0)</f>
        <v>Tropical wet</v>
      </c>
      <c r="E91" s="34" t="str" cm="1">
        <f t="array" ref="E91">Common_InputFunctions.Utility_DisplayArrayInTable(Common_SourceData.Common_SourceData_ClimateZones_Data(), Table_SourceData_ClimateZones[[#Headers],[Climate zone]], 0)</f>
        <v>&gt; 18 C</v>
      </c>
      <c r="F91" s="34" t="str" cm="1">
        <f t="array" ref="F91">Common_InputFunctions.Utility_DisplayArrayInTable(Common_SourceData.Common_SourceData_ClimateZones_Data(), Table_SourceData_ClimateZones[[#Headers],[Climate zone]], 0)</f>
        <v>&gt; 2000 mm</v>
      </c>
      <c r="G91" s="34" t="str" cm="1">
        <f t="array" ref="G91">Common_InputFunctions.Utility_DisplayArrayInTable(Common_SourceData.Common_SourceData_ClimateZones_Data(), Table_SourceData_ClimateZones[[#Headers],[Climate zone]], 0)</f>
        <v>≤ 7</v>
      </c>
      <c r="H91" s="34" t="str" cm="1">
        <f t="array" ref="H91">Common_InputFunctions.Utility_DisplayArrayInTable(Common_SourceData.Common_SourceData_ClimateZones_Data(), Table_SourceData_ClimateZones[[#Headers],[Climate zone]], 0)</f>
        <v>≤ 1000 m</v>
      </c>
      <c r="I91" s="34" t="str" cm="1">
        <f t="array" ref="I91">Common_InputFunctions.Utility_DisplayArrayInTable(Common_SourceData.Common_SourceData_ClimateZones_Data(), Table_SourceData_ClimateZones[[#Headers],[Climate zone]], 0)</f>
        <v>Any</v>
      </c>
      <c r="J91" s="34" cm="1">
        <f t="array" ref="J91">Common_InputFunctions.Utility_DisplayArrayInTable(Common_SourceData.Common_SourceData_ClimateZones_Data(), Table_SourceData_ClimateZones[[#Headers],[Climate zone]], 0)</f>
        <v>18.001000000000001</v>
      </c>
      <c r="K91" s="34" cm="1">
        <f t="array" ref="K91">Common_InputFunctions.Utility_DisplayArrayInTable(Common_SourceData.Common_SourceData_ClimateZones_Data(), Table_SourceData_ClimateZones[[#Headers],[Climate zone]], 0)</f>
        <v>999999</v>
      </c>
      <c r="L91" s="34" cm="1">
        <f t="array" ref="L91">Common_InputFunctions.Utility_DisplayArrayInTable(Common_SourceData.Common_SourceData_ClimateZones_Data(), Table_SourceData_ClimateZones[[#Headers],[Climate zone]], 0)</f>
        <v>2000.001</v>
      </c>
      <c r="M91" s="34" cm="1">
        <f t="array" ref="M91">Common_InputFunctions.Utility_DisplayArrayInTable(Common_SourceData.Common_SourceData_ClimateZones_Data(), Table_SourceData_ClimateZones[[#Headers],[Climate zone]], 0)</f>
        <v>999999</v>
      </c>
      <c r="N91" s="34" cm="1">
        <f t="array" ref="N91">Common_InputFunctions.Utility_DisplayArrayInTable(Common_SourceData.Common_SourceData_ClimateZones_Data(), Table_SourceData_ClimateZones[[#Headers],[Climate zone]], 0)</f>
        <v>-999999</v>
      </c>
      <c r="O91" s="34" cm="1">
        <f t="array" ref="O91">Common_InputFunctions.Utility_DisplayArrayInTable(Common_SourceData.Common_SourceData_ClimateZones_Data(), Table_SourceData_ClimateZones[[#Headers],[Climate zone]], 0)</f>
        <v>7</v>
      </c>
      <c r="P91" s="34" cm="1">
        <f t="array" ref="P91">Common_InputFunctions.Utility_DisplayArrayInTable(Common_SourceData.Common_SourceData_ClimateZones_Data(), Table_SourceData_ClimateZones[[#Headers],[Climate zone]], 0)</f>
        <v>-999999</v>
      </c>
      <c r="Q91" s="34" cm="1">
        <f t="array" ref="Q91">Common_InputFunctions.Utility_DisplayArrayInTable(Common_SourceData.Common_SourceData_ClimateZones_Data(), Table_SourceData_ClimateZones[[#Headers],[Climate zone]], 0)</f>
        <v>999.99900000000002</v>
      </c>
      <c r="R91" s="34" cm="1">
        <f t="array" ref="R91">Common_InputFunctions.Utility_DisplayArrayInTable(Common_SourceData.Common_SourceData_ClimateZones_Data(), Table_SourceData_ClimateZones[[#Headers],[Climate zone]], 0)</f>
        <v>-999999</v>
      </c>
      <c r="S91" s="34" cm="1">
        <f t="array" ref="S91">Common_InputFunctions.Utility_DisplayArrayInTable(Common_SourceData.Common_SourceData_ClimateZones_Data(), Table_SourceData_ClimateZones[[#Headers],[Climate zone]], 0)</f>
        <v>999999</v>
      </c>
      <c r="T91" s="34"/>
    </row>
    <row r="92" spans="1:20" ht="20.100000000000001" customHeight="1" x14ac:dyDescent="0.25">
      <c r="A92"/>
      <c r="D92" s="34" t="str" cm="1">
        <f t="array" ref="D92">Common_InputFunctions.Utility_DisplayArrayInTable(Common_SourceData.Common_SourceData_ClimateZones_Data(), Table_SourceData_ClimateZones[[#Headers],[Climate zone]], 0)</f>
        <v>Tropical moist</v>
      </c>
      <c r="E92" s="34" t="str" cm="1">
        <f t="array" ref="E92">Common_InputFunctions.Utility_DisplayArrayInTable(Common_SourceData.Common_SourceData_ClimateZones_Data(), Table_SourceData_ClimateZones[[#Headers],[Climate zone]], 0)</f>
        <v>&gt; 18 C</v>
      </c>
      <c r="F92" s="34" t="str" cm="1">
        <f t="array" ref="F92">Common_InputFunctions.Utility_DisplayArrayInTable(Common_SourceData.Common_SourceData_ClimateZones_Data(), Table_SourceData_ClimateZones[[#Headers],[Climate zone]], 0)</f>
        <v>&gt; 1000 mm - ≤ 2000 mm</v>
      </c>
      <c r="G92" s="34" t="str" cm="1">
        <f t="array" ref="G92">Common_InputFunctions.Utility_DisplayArrayInTable(Common_SourceData.Common_SourceData_ClimateZones_Data(), Table_SourceData_ClimateZones[[#Headers],[Climate zone]], 0)</f>
        <v>≤ 7</v>
      </c>
      <c r="H92" s="34" t="str" cm="1">
        <f t="array" ref="H92">Common_InputFunctions.Utility_DisplayArrayInTable(Common_SourceData.Common_SourceData_ClimateZones_Data(), Table_SourceData_ClimateZones[[#Headers],[Climate zone]], 0)</f>
        <v>≤ 1000 m</v>
      </c>
      <c r="I92" s="34" t="str" cm="1">
        <f t="array" ref="I92">Common_InputFunctions.Utility_DisplayArrayInTable(Common_SourceData.Common_SourceData_ClimateZones_Data(), Table_SourceData_ClimateZones[[#Headers],[Climate zone]], 0)</f>
        <v>Any</v>
      </c>
      <c r="J92" s="34" cm="1">
        <f t="array" ref="J92">Common_InputFunctions.Utility_DisplayArrayInTable(Common_SourceData.Common_SourceData_ClimateZones_Data(), Table_SourceData_ClimateZones[[#Headers],[Climate zone]], 0)</f>
        <v>18.001000000000001</v>
      </c>
      <c r="K92" s="34" cm="1">
        <f t="array" ref="K92">Common_InputFunctions.Utility_DisplayArrayInTable(Common_SourceData.Common_SourceData_ClimateZones_Data(), Table_SourceData_ClimateZones[[#Headers],[Climate zone]], 0)</f>
        <v>999999</v>
      </c>
      <c r="L92" s="34" cm="1">
        <f t="array" ref="L92">Common_InputFunctions.Utility_DisplayArrayInTable(Common_SourceData.Common_SourceData_ClimateZones_Data(), Table_SourceData_ClimateZones[[#Headers],[Climate zone]], 0)</f>
        <v>1000.001</v>
      </c>
      <c r="M92" s="34" cm="1">
        <f t="array" ref="M92">Common_InputFunctions.Utility_DisplayArrayInTable(Common_SourceData.Common_SourceData_ClimateZones_Data(), Table_SourceData_ClimateZones[[#Headers],[Climate zone]], 0)</f>
        <v>2000</v>
      </c>
      <c r="N92" s="34" cm="1">
        <f t="array" ref="N92">Common_InputFunctions.Utility_DisplayArrayInTable(Common_SourceData.Common_SourceData_ClimateZones_Data(), Table_SourceData_ClimateZones[[#Headers],[Climate zone]], 0)</f>
        <v>-999999</v>
      </c>
      <c r="O92" s="34" cm="1">
        <f t="array" ref="O92">Common_InputFunctions.Utility_DisplayArrayInTable(Common_SourceData.Common_SourceData_ClimateZones_Data(), Table_SourceData_ClimateZones[[#Headers],[Climate zone]], 0)</f>
        <v>7</v>
      </c>
      <c r="P92" s="34" cm="1">
        <f t="array" ref="P92">Common_InputFunctions.Utility_DisplayArrayInTable(Common_SourceData.Common_SourceData_ClimateZones_Data(), Table_SourceData_ClimateZones[[#Headers],[Climate zone]], 0)</f>
        <v>-999999</v>
      </c>
      <c r="Q92" s="34" cm="1">
        <f t="array" ref="Q92">Common_InputFunctions.Utility_DisplayArrayInTable(Common_SourceData.Common_SourceData_ClimateZones_Data(), Table_SourceData_ClimateZones[[#Headers],[Climate zone]], 0)</f>
        <v>999.99900000000002</v>
      </c>
      <c r="R92" s="34" cm="1">
        <f t="array" ref="R92">Common_InputFunctions.Utility_DisplayArrayInTable(Common_SourceData.Common_SourceData_ClimateZones_Data(), Table_SourceData_ClimateZones[[#Headers],[Climate zone]], 0)</f>
        <v>-999999</v>
      </c>
      <c r="S92" s="34" cm="1">
        <f t="array" ref="S92">Common_InputFunctions.Utility_DisplayArrayInTable(Common_SourceData.Common_SourceData_ClimateZones_Data(), Table_SourceData_ClimateZones[[#Headers],[Climate zone]], 0)</f>
        <v>999999</v>
      </c>
      <c r="T92" s="34"/>
    </row>
    <row r="93" spans="1:20" ht="20.100000000000001" customHeight="1" x14ac:dyDescent="0.25">
      <c r="A93"/>
      <c r="D93" s="34" t="str" cm="1">
        <f t="array" ref="D93">Common_InputFunctions.Utility_DisplayArrayInTable(Common_SourceData.Common_SourceData_ClimateZones_Data(), Table_SourceData_ClimateZones[[#Headers],[Climate zone]], 0)</f>
        <v>Tropical dry</v>
      </c>
      <c r="E93" s="34" t="str" cm="1">
        <f t="array" ref="E93">Common_InputFunctions.Utility_DisplayArrayInTable(Common_SourceData.Common_SourceData_ClimateZones_Data(), Table_SourceData_ClimateZones[[#Headers],[Climate zone]], 0)</f>
        <v>&gt; 18 C</v>
      </c>
      <c r="F93" s="34" t="str" cm="1">
        <f t="array" ref="F93">Common_InputFunctions.Utility_DisplayArrayInTable(Common_SourceData.Common_SourceData_ClimateZones_Data(), Table_SourceData_ClimateZones[[#Headers],[Climate zone]], 0)</f>
        <v>≤ 1000 mm</v>
      </c>
      <c r="G93" s="34" t="str" cm="1">
        <f t="array" ref="G93">Common_InputFunctions.Utility_DisplayArrayInTable(Common_SourceData.Common_SourceData_ClimateZones_Data(), Table_SourceData_ClimateZones[[#Headers],[Climate zone]], 0)</f>
        <v>≤ 7</v>
      </c>
      <c r="H93" s="34" t="str" cm="1">
        <f t="array" ref="H93">Common_InputFunctions.Utility_DisplayArrayInTable(Common_SourceData.Common_SourceData_ClimateZones_Data(), Table_SourceData_ClimateZones[[#Headers],[Climate zone]], 0)</f>
        <v>≤ 1000 m</v>
      </c>
      <c r="I93" s="34" t="str" cm="1">
        <f t="array" ref="I93">Common_InputFunctions.Utility_DisplayArrayInTable(Common_SourceData.Common_SourceData_ClimateZones_Data(), Table_SourceData_ClimateZones[[#Headers],[Climate zone]], 0)</f>
        <v>Any</v>
      </c>
      <c r="J93" s="34" cm="1">
        <f t="array" ref="J93">Common_InputFunctions.Utility_DisplayArrayInTable(Common_SourceData.Common_SourceData_ClimateZones_Data(), Table_SourceData_ClimateZones[[#Headers],[Climate zone]], 0)</f>
        <v>18.001000000000001</v>
      </c>
      <c r="K93" s="34" cm="1">
        <f t="array" ref="K93">Common_InputFunctions.Utility_DisplayArrayInTable(Common_SourceData.Common_SourceData_ClimateZones_Data(), Table_SourceData_ClimateZones[[#Headers],[Climate zone]], 0)</f>
        <v>999999</v>
      </c>
      <c r="L93" s="34" cm="1">
        <f t="array" ref="L93">Common_InputFunctions.Utility_DisplayArrayInTable(Common_SourceData.Common_SourceData_ClimateZones_Data(), Table_SourceData_ClimateZones[[#Headers],[Climate zone]], 0)</f>
        <v>-999999</v>
      </c>
      <c r="M93" s="34" cm="1">
        <f t="array" ref="M93">Common_InputFunctions.Utility_DisplayArrayInTable(Common_SourceData.Common_SourceData_ClimateZones_Data(), Table_SourceData_ClimateZones[[#Headers],[Climate zone]], 0)</f>
        <v>1000</v>
      </c>
      <c r="N93" s="34" cm="1">
        <f t="array" ref="N93">Common_InputFunctions.Utility_DisplayArrayInTable(Common_SourceData.Common_SourceData_ClimateZones_Data(), Table_SourceData_ClimateZones[[#Headers],[Climate zone]], 0)</f>
        <v>-999999</v>
      </c>
      <c r="O93" s="34" cm="1">
        <f t="array" ref="O93">Common_InputFunctions.Utility_DisplayArrayInTable(Common_SourceData.Common_SourceData_ClimateZones_Data(), Table_SourceData_ClimateZones[[#Headers],[Climate zone]], 0)</f>
        <v>7</v>
      </c>
      <c r="P93" s="34" cm="1">
        <f t="array" ref="P93">Common_InputFunctions.Utility_DisplayArrayInTable(Common_SourceData.Common_SourceData_ClimateZones_Data(), Table_SourceData_ClimateZones[[#Headers],[Climate zone]], 0)</f>
        <v>-999999</v>
      </c>
      <c r="Q93" s="34" cm="1">
        <f t="array" ref="Q93">Common_InputFunctions.Utility_DisplayArrayInTable(Common_SourceData.Common_SourceData_ClimateZones_Data(), Table_SourceData_ClimateZones[[#Headers],[Climate zone]], 0)</f>
        <v>999.99900000000002</v>
      </c>
      <c r="R93" s="34" cm="1">
        <f t="array" ref="R93">Common_InputFunctions.Utility_DisplayArrayInTable(Common_SourceData.Common_SourceData_ClimateZones_Data(), Table_SourceData_ClimateZones[[#Headers],[Climate zone]], 0)</f>
        <v>-999999</v>
      </c>
      <c r="S93" s="34" cm="1">
        <f t="array" ref="S93">Common_InputFunctions.Utility_DisplayArrayInTable(Common_SourceData.Common_SourceData_ClimateZones_Data(), Table_SourceData_ClimateZones[[#Headers],[Climate zone]], 0)</f>
        <v>999999</v>
      </c>
      <c r="T93" s="34"/>
    </row>
    <row r="94" spans="1:20" ht="20.100000000000001" customHeight="1" x14ac:dyDescent="0.25">
      <c r="A94"/>
      <c r="D94" s="34" t="str" cm="1">
        <f t="array" ref="D94">Common_InputFunctions.Utility_DisplayArrayInTable(Common_SourceData.Common_SourceData_ClimateZones_Data(), Table_SourceData_ClimateZones[[#Headers],[Climate zone]], 0)</f>
        <v>Warm temperate moist</v>
      </c>
      <c r="E94" s="34" t="str" cm="1">
        <f t="array" ref="E94">Common_InputFunctions.Utility_DisplayArrayInTable(Common_SourceData.Common_SourceData_ClimateZones_Data(), Table_SourceData_ClimateZones[[#Headers],[Climate zone]], 0)</f>
        <v>&gt; 10 C</v>
      </c>
      <c r="F94" s="34" t="str" cm="1">
        <f t="array" ref="F94">Common_InputFunctions.Utility_DisplayArrayInTable(Common_SourceData.Common_SourceData_ClimateZones_Data(), Table_SourceData_ClimateZones[[#Headers],[Climate zone]], 0)</f>
        <v>Any</v>
      </c>
      <c r="G94" s="34" t="str" cm="1">
        <f t="array" ref="G94">Common_InputFunctions.Utility_DisplayArrayInTable(Common_SourceData.Common_SourceData_ClimateZones_Data(), Table_SourceData_ClimateZones[[#Headers],[Climate zone]], 0)</f>
        <v>Any</v>
      </c>
      <c r="H94" s="34" t="str" cm="1">
        <f t="array" ref="H94">Common_InputFunctions.Utility_DisplayArrayInTable(Common_SourceData.Common_SourceData_ClimateZones_Data(), Table_SourceData_ClimateZones[[#Headers],[Climate zone]], 0)</f>
        <v>Any</v>
      </c>
      <c r="I94" s="34" t="str" cm="1">
        <f t="array" ref="I94">Common_InputFunctions.Utility_DisplayArrayInTable(Common_SourceData.Common_SourceData_ClimateZones_Data(), Table_SourceData_ClimateZones[[#Headers],[Climate zone]], 0)</f>
        <v>&gt; 1</v>
      </c>
      <c r="J94" s="34" cm="1">
        <f t="array" ref="J94">Common_InputFunctions.Utility_DisplayArrayInTable(Common_SourceData.Common_SourceData_ClimateZones_Data(), Table_SourceData_ClimateZones[[#Headers],[Climate zone]], 0)</f>
        <v>10.000999999999999</v>
      </c>
      <c r="K94" s="34" cm="1">
        <f t="array" ref="K94">Common_InputFunctions.Utility_DisplayArrayInTable(Common_SourceData.Common_SourceData_ClimateZones_Data(), Table_SourceData_ClimateZones[[#Headers],[Climate zone]], 0)</f>
        <v>999999</v>
      </c>
      <c r="L94" s="34" cm="1">
        <f t="array" ref="L94">Common_InputFunctions.Utility_DisplayArrayInTable(Common_SourceData.Common_SourceData_ClimateZones_Data(), Table_SourceData_ClimateZones[[#Headers],[Climate zone]], 0)</f>
        <v>-999999</v>
      </c>
      <c r="M94" s="34" cm="1">
        <f t="array" ref="M94">Common_InputFunctions.Utility_DisplayArrayInTable(Common_SourceData.Common_SourceData_ClimateZones_Data(), Table_SourceData_ClimateZones[[#Headers],[Climate zone]], 0)</f>
        <v>999999</v>
      </c>
      <c r="N94" s="34" cm="1">
        <f t="array" ref="N94">Common_InputFunctions.Utility_DisplayArrayInTable(Common_SourceData.Common_SourceData_ClimateZones_Data(), Table_SourceData_ClimateZones[[#Headers],[Climate zone]], 0)</f>
        <v>-999999</v>
      </c>
      <c r="O94" s="34" cm="1">
        <f t="array" ref="O94">Common_InputFunctions.Utility_DisplayArrayInTable(Common_SourceData.Common_SourceData_ClimateZones_Data(), Table_SourceData_ClimateZones[[#Headers],[Climate zone]], 0)</f>
        <v>999999</v>
      </c>
      <c r="P94" s="34" cm="1">
        <f t="array" ref="P94">Common_InputFunctions.Utility_DisplayArrayInTable(Common_SourceData.Common_SourceData_ClimateZones_Data(), Table_SourceData_ClimateZones[[#Headers],[Climate zone]], 0)</f>
        <v>-999999</v>
      </c>
      <c r="Q94" s="34" cm="1">
        <f t="array" ref="Q94">Common_InputFunctions.Utility_DisplayArrayInTable(Common_SourceData.Common_SourceData_ClimateZones_Data(), Table_SourceData_ClimateZones[[#Headers],[Climate zone]], 0)</f>
        <v>999999</v>
      </c>
      <c r="R94" s="34" cm="1">
        <f t="array" ref="R94">Common_InputFunctions.Utility_DisplayArrayInTable(Common_SourceData.Common_SourceData_ClimateZones_Data(), Table_SourceData_ClimateZones[[#Headers],[Climate zone]], 0)</f>
        <v>1.0009999999999999</v>
      </c>
      <c r="S94" s="34" cm="1">
        <f t="array" ref="S94">Common_InputFunctions.Utility_DisplayArrayInTable(Common_SourceData.Common_SourceData_ClimateZones_Data(), Table_SourceData_ClimateZones[[#Headers],[Climate zone]], 0)</f>
        <v>999999</v>
      </c>
      <c r="T94" s="34"/>
    </row>
    <row r="95" spans="1:20" ht="20.100000000000001" customHeight="1" x14ac:dyDescent="0.25">
      <c r="A95"/>
      <c r="D95" s="34" t="str" cm="1">
        <f t="array" ref="D95">Common_InputFunctions.Utility_DisplayArrayInTable(Common_SourceData.Common_SourceData_ClimateZones_Data(), Table_SourceData_ClimateZones[[#Headers],[Climate zone]], 0)</f>
        <v>Warm temperate dry</v>
      </c>
      <c r="E95" s="34" t="str" cm="1">
        <f t="array" ref="E95">Common_InputFunctions.Utility_DisplayArrayInTable(Common_SourceData.Common_SourceData_ClimateZones_Data(), Table_SourceData_ClimateZones[[#Headers],[Climate zone]], 0)</f>
        <v>&gt; 10 C</v>
      </c>
      <c r="F95" s="34" t="str" cm="1">
        <f t="array" ref="F95">Common_InputFunctions.Utility_DisplayArrayInTable(Common_SourceData.Common_SourceData_ClimateZones_Data(), Table_SourceData_ClimateZones[[#Headers],[Climate zone]], 0)</f>
        <v>Any</v>
      </c>
      <c r="G95" s="34" t="str" cm="1">
        <f t="array" ref="G95">Common_InputFunctions.Utility_DisplayArrayInTable(Common_SourceData.Common_SourceData_ClimateZones_Data(), Table_SourceData_ClimateZones[[#Headers],[Climate zone]], 0)</f>
        <v>Any</v>
      </c>
      <c r="H95" s="34" t="str" cm="1">
        <f t="array" ref="H95">Common_InputFunctions.Utility_DisplayArrayInTable(Common_SourceData.Common_SourceData_ClimateZones_Data(), Table_SourceData_ClimateZones[[#Headers],[Climate zone]], 0)</f>
        <v>Any</v>
      </c>
      <c r="I95" s="34" t="str" cm="1">
        <f t="array" ref="I95">Common_InputFunctions.Utility_DisplayArrayInTable(Common_SourceData.Common_SourceData_ClimateZones_Data(), Table_SourceData_ClimateZones[[#Headers],[Climate zone]], 0)</f>
        <v>≤ 1</v>
      </c>
      <c r="J95" s="34" cm="1">
        <f t="array" ref="J95">Common_InputFunctions.Utility_DisplayArrayInTable(Common_SourceData.Common_SourceData_ClimateZones_Data(), Table_SourceData_ClimateZones[[#Headers],[Climate zone]], 0)</f>
        <v>10.000999999999999</v>
      </c>
      <c r="K95" s="34" cm="1">
        <f t="array" ref="K95">Common_InputFunctions.Utility_DisplayArrayInTable(Common_SourceData.Common_SourceData_ClimateZones_Data(), Table_SourceData_ClimateZones[[#Headers],[Climate zone]], 0)</f>
        <v>999999</v>
      </c>
      <c r="L95" s="34" cm="1">
        <f t="array" ref="L95">Common_InputFunctions.Utility_DisplayArrayInTable(Common_SourceData.Common_SourceData_ClimateZones_Data(), Table_SourceData_ClimateZones[[#Headers],[Climate zone]], 0)</f>
        <v>-999999</v>
      </c>
      <c r="M95" s="34" cm="1">
        <f t="array" ref="M95">Common_InputFunctions.Utility_DisplayArrayInTable(Common_SourceData.Common_SourceData_ClimateZones_Data(), Table_SourceData_ClimateZones[[#Headers],[Climate zone]], 0)</f>
        <v>999999</v>
      </c>
      <c r="N95" s="34" cm="1">
        <f t="array" ref="N95">Common_InputFunctions.Utility_DisplayArrayInTable(Common_SourceData.Common_SourceData_ClimateZones_Data(), Table_SourceData_ClimateZones[[#Headers],[Climate zone]], 0)</f>
        <v>-999999</v>
      </c>
      <c r="O95" s="34" cm="1">
        <f t="array" ref="O95">Common_InputFunctions.Utility_DisplayArrayInTable(Common_SourceData.Common_SourceData_ClimateZones_Data(), Table_SourceData_ClimateZones[[#Headers],[Climate zone]], 0)</f>
        <v>999999</v>
      </c>
      <c r="P95" s="34" cm="1">
        <f t="array" ref="P95">Common_InputFunctions.Utility_DisplayArrayInTable(Common_SourceData.Common_SourceData_ClimateZones_Data(), Table_SourceData_ClimateZones[[#Headers],[Climate zone]], 0)</f>
        <v>-999999</v>
      </c>
      <c r="Q95" s="34" cm="1">
        <f t="array" ref="Q95">Common_InputFunctions.Utility_DisplayArrayInTable(Common_SourceData.Common_SourceData_ClimateZones_Data(), Table_SourceData_ClimateZones[[#Headers],[Climate zone]], 0)</f>
        <v>999999</v>
      </c>
      <c r="R95" s="34" cm="1">
        <f t="array" ref="R95">Common_InputFunctions.Utility_DisplayArrayInTable(Common_SourceData.Common_SourceData_ClimateZones_Data(), Table_SourceData_ClimateZones[[#Headers],[Climate zone]], 0)</f>
        <v>-999999</v>
      </c>
      <c r="S95" s="34" cm="1">
        <f t="array" ref="S95">Common_InputFunctions.Utility_DisplayArrayInTable(Common_SourceData.Common_SourceData_ClimateZones_Data(), Table_SourceData_ClimateZones[[#Headers],[Climate zone]], 0)</f>
        <v>1</v>
      </c>
      <c r="T95" s="34"/>
    </row>
    <row r="96" spans="1:20" ht="20.100000000000001" customHeight="1" x14ac:dyDescent="0.25">
      <c r="A96"/>
      <c r="D96" s="34" t="str" cm="1">
        <f t="array" ref="D96">Common_InputFunctions.Utility_DisplayArrayInTable(Common_SourceData.Common_SourceData_ClimateZones_Data(), Table_SourceData_ClimateZones[[#Headers],[Climate zone]], 0)</f>
        <v>Cool temperate moist</v>
      </c>
      <c r="E96" s="34" t="str" cm="1">
        <f t="array" ref="E96">Common_InputFunctions.Utility_DisplayArrayInTable(Common_SourceData.Common_SourceData_ClimateZones_Data(), Table_SourceData_ClimateZones[[#Headers],[Climate zone]], 0)</f>
        <v>&gt; 0 C - ≤ 10 C</v>
      </c>
      <c r="F96" s="34" t="str" cm="1">
        <f t="array" ref="F96">Common_InputFunctions.Utility_DisplayArrayInTable(Common_SourceData.Common_SourceData_ClimateZones_Data(), Table_SourceData_ClimateZones[[#Headers],[Climate zone]], 0)</f>
        <v>Any</v>
      </c>
      <c r="G96" s="34" t="str" cm="1">
        <f t="array" ref="G96">Common_InputFunctions.Utility_DisplayArrayInTable(Common_SourceData.Common_SourceData_ClimateZones_Data(), Table_SourceData_ClimateZones[[#Headers],[Climate zone]], 0)</f>
        <v>Any</v>
      </c>
      <c r="H96" s="34" t="str" cm="1">
        <f t="array" ref="H96">Common_InputFunctions.Utility_DisplayArrayInTable(Common_SourceData.Common_SourceData_ClimateZones_Data(), Table_SourceData_ClimateZones[[#Headers],[Climate zone]], 0)</f>
        <v>Any</v>
      </c>
      <c r="I96" s="34" t="str" cm="1">
        <f t="array" ref="I96">Common_InputFunctions.Utility_DisplayArrayInTable(Common_SourceData.Common_SourceData_ClimateZones_Data(), Table_SourceData_ClimateZones[[#Headers],[Climate zone]], 0)</f>
        <v>&gt; 1</v>
      </c>
      <c r="J96" s="34" cm="1">
        <f t="array" ref="J96">Common_InputFunctions.Utility_DisplayArrayInTable(Common_SourceData.Common_SourceData_ClimateZones_Data(), Table_SourceData_ClimateZones[[#Headers],[Climate zone]], 0)</f>
        <v>-999999</v>
      </c>
      <c r="K96" s="34" cm="1">
        <f t="array" ref="K96">Common_InputFunctions.Utility_DisplayArrayInTable(Common_SourceData.Common_SourceData_ClimateZones_Data(), Table_SourceData_ClimateZones[[#Headers],[Climate zone]], 0)</f>
        <v>10</v>
      </c>
      <c r="L96" s="34" cm="1">
        <f t="array" ref="L96">Common_InputFunctions.Utility_DisplayArrayInTable(Common_SourceData.Common_SourceData_ClimateZones_Data(), Table_SourceData_ClimateZones[[#Headers],[Climate zone]], 0)</f>
        <v>-999999</v>
      </c>
      <c r="M96" s="34" cm="1">
        <f t="array" ref="M96">Common_InputFunctions.Utility_DisplayArrayInTable(Common_SourceData.Common_SourceData_ClimateZones_Data(), Table_SourceData_ClimateZones[[#Headers],[Climate zone]], 0)</f>
        <v>999999</v>
      </c>
      <c r="N96" s="34" cm="1">
        <f t="array" ref="N96">Common_InputFunctions.Utility_DisplayArrayInTable(Common_SourceData.Common_SourceData_ClimateZones_Data(), Table_SourceData_ClimateZones[[#Headers],[Climate zone]], 0)</f>
        <v>-999999</v>
      </c>
      <c r="O96" s="34" cm="1">
        <f t="array" ref="O96">Common_InputFunctions.Utility_DisplayArrayInTable(Common_SourceData.Common_SourceData_ClimateZones_Data(), Table_SourceData_ClimateZones[[#Headers],[Climate zone]], 0)</f>
        <v>999999</v>
      </c>
      <c r="P96" s="34" cm="1">
        <f t="array" ref="P96">Common_InputFunctions.Utility_DisplayArrayInTable(Common_SourceData.Common_SourceData_ClimateZones_Data(), Table_SourceData_ClimateZones[[#Headers],[Climate zone]], 0)</f>
        <v>-999999</v>
      </c>
      <c r="Q96" s="34" cm="1">
        <f t="array" ref="Q96">Common_InputFunctions.Utility_DisplayArrayInTable(Common_SourceData.Common_SourceData_ClimateZones_Data(), Table_SourceData_ClimateZones[[#Headers],[Climate zone]], 0)</f>
        <v>999999</v>
      </c>
      <c r="R96" s="34" cm="1">
        <f t="array" ref="R96">Common_InputFunctions.Utility_DisplayArrayInTable(Common_SourceData.Common_SourceData_ClimateZones_Data(), Table_SourceData_ClimateZones[[#Headers],[Climate zone]], 0)</f>
        <v>1.0009999999999999</v>
      </c>
      <c r="S96" s="34" cm="1">
        <f t="array" ref="S96">Common_InputFunctions.Utility_DisplayArrayInTable(Common_SourceData.Common_SourceData_ClimateZones_Data(), Table_SourceData_ClimateZones[[#Headers],[Climate zone]], 0)</f>
        <v>999999</v>
      </c>
      <c r="T96" s="34"/>
    </row>
    <row r="97" spans="1:20" ht="20.100000000000001" customHeight="1" x14ac:dyDescent="0.25">
      <c r="A97"/>
      <c r="D97" s="34" t="str" cm="1">
        <f t="array" ref="D97">Common_InputFunctions.Utility_DisplayArrayInTable(Common_SourceData.Common_SourceData_ClimateZones_Data(), Table_SourceData_ClimateZones[[#Headers],[Climate zone]], 0)</f>
        <v>Cool temperate dry</v>
      </c>
      <c r="E97" s="34" t="str" cm="1">
        <f t="array" ref="E97">Common_InputFunctions.Utility_DisplayArrayInTable(Common_SourceData.Common_SourceData_ClimateZones_Data(), Table_SourceData_ClimateZones[[#Headers],[Climate zone]], 0)</f>
        <v>&gt; 0 C - ≤ 10 C</v>
      </c>
      <c r="F97" s="34" t="str" cm="1">
        <f t="array" ref="F97">Common_InputFunctions.Utility_DisplayArrayInTable(Common_SourceData.Common_SourceData_ClimateZones_Data(), Table_SourceData_ClimateZones[[#Headers],[Climate zone]], 0)</f>
        <v>Any</v>
      </c>
      <c r="G97" s="34" t="str" cm="1">
        <f t="array" ref="G97">Common_InputFunctions.Utility_DisplayArrayInTable(Common_SourceData.Common_SourceData_ClimateZones_Data(), Table_SourceData_ClimateZones[[#Headers],[Climate zone]], 0)</f>
        <v>Any</v>
      </c>
      <c r="H97" s="34" t="str" cm="1">
        <f t="array" ref="H97">Common_InputFunctions.Utility_DisplayArrayInTable(Common_SourceData.Common_SourceData_ClimateZones_Data(), Table_SourceData_ClimateZones[[#Headers],[Climate zone]], 0)</f>
        <v>Any</v>
      </c>
      <c r="I97" s="34" t="str" cm="1">
        <f t="array" ref="I97">Common_InputFunctions.Utility_DisplayArrayInTable(Common_SourceData.Common_SourceData_ClimateZones_Data(), Table_SourceData_ClimateZones[[#Headers],[Climate zone]], 0)</f>
        <v>≤ 1</v>
      </c>
      <c r="J97" s="34" cm="1">
        <f t="array" ref="J97">Common_InputFunctions.Utility_DisplayArrayInTable(Common_SourceData.Common_SourceData_ClimateZones_Data(), Table_SourceData_ClimateZones[[#Headers],[Climate zone]], 0)</f>
        <v>-999999</v>
      </c>
      <c r="K97" s="34" cm="1">
        <f t="array" ref="K97">Common_InputFunctions.Utility_DisplayArrayInTable(Common_SourceData.Common_SourceData_ClimateZones_Data(), Table_SourceData_ClimateZones[[#Headers],[Climate zone]], 0)</f>
        <v>10</v>
      </c>
      <c r="L97" s="34" cm="1">
        <f t="array" ref="L97">Common_InputFunctions.Utility_DisplayArrayInTable(Common_SourceData.Common_SourceData_ClimateZones_Data(), Table_SourceData_ClimateZones[[#Headers],[Climate zone]], 0)</f>
        <v>-999999</v>
      </c>
      <c r="M97" s="34" cm="1">
        <f t="array" ref="M97">Common_InputFunctions.Utility_DisplayArrayInTable(Common_SourceData.Common_SourceData_ClimateZones_Data(), Table_SourceData_ClimateZones[[#Headers],[Climate zone]], 0)</f>
        <v>999999</v>
      </c>
      <c r="N97" s="34" cm="1">
        <f t="array" ref="N97">Common_InputFunctions.Utility_DisplayArrayInTable(Common_SourceData.Common_SourceData_ClimateZones_Data(), Table_SourceData_ClimateZones[[#Headers],[Climate zone]], 0)</f>
        <v>-999999</v>
      </c>
      <c r="O97" s="34" cm="1">
        <f t="array" ref="O97">Common_InputFunctions.Utility_DisplayArrayInTable(Common_SourceData.Common_SourceData_ClimateZones_Data(), Table_SourceData_ClimateZones[[#Headers],[Climate zone]], 0)</f>
        <v>999999</v>
      </c>
      <c r="P97" s="34" cm="1">
        <f t="array" ref="P97">Common_InputFunctions.Utility_DisplayArrayInTable(Common_SourceData.Common_SourceData_ClimateZones_Data(), Table_SourceData_ClimateZones[[#Headers],[Climate zone]], 0)</f>
        <v>-999999</v>
      </c>
      <c r="Q97" s="34" cm="1">
        <f t="array" ref="Q97">Common_InputFunctions.Utility_DisplayArrayInTable(Common_SourceData.Common_SourceData_ClimateZones_Data(), Table_SourceData_ClimateZones[[#Headers],[Climate zone]], 0)</f>
        <v>999999</v>
      </c>
      <c r="R97" s="34" cm="1">
        <f t="array" ref="R97">Common_InputFunctions.Utility_DisplayArrayInTable(Common_SourceData.Common_SourceData_ClimateZones_Data(), Table_SourceData_ClimateZones[[#Headers],[Climate zone]], 0)</f>
        <v>-999999</v>
      </c>
      <c r="S97" s="34" cm="1">
        <f t="array" ref="S97">Common_InputFunctions.Utility_DisplayArrayInTable(Common_SourceData.Common_SourceData_ClimateZones_Data(), Table_SourceData_ClimateZones[[#Headers],[Climate zone]], 0)</f>
        <v>1</v>
      </c>
      <c r="T97" s="34"/>
    </row>
    <row r="98" spans="1:20" ht="20.100000000000001" customHeight="1" x14ac:dyDescent="0.25">
      <c r="A98"/>
    </row>
    <row r="99" spans="1:20" ht="20.100000000000001" customHeight="1" x14ac:dyDescent="0.25">
      <c r="A99"/>
      <c r="D99" s="48" t="str" cm="1">
        <f t="array" ref="D99:D102">Common_SourceData.Common_SourceData_ClimateZones_Appendices()</f>
        <v>Note:</v>
      </c>
    </row>
    <row r="100" spans="1:20" ht="20.100000000000001" customHeight="1" x14ac:dyDescent="0.25">
      <c r="A100"/>
      <c r="D100" s="48" t="str">
        <v>MAT = mean annual temperature</v>
      </c>
    </row>
    <row r="101" spans="1:20" ht="20.100000000000001" customHeight="1" x14ac:dyDescent="0.25">
      <c r="A101"/>
      <c r="D101" s="48" t="str">
        <v>MAP = mean annual precipitation</v>
      </c>
    </row>
    <row r="102" spans="1:20" ht="20.100000000000001" customHeight="1" x14ac:dyDescent="0.25">
      <c r="A102"/>
      <c r="D102" s="48" t="str">
        <v>PET = potential evapotranspiration</v>
      </c>
    </row>
    <row r="103" spans="1:20" ht="20.100000000000001" customHeight="1" x14ac:dyDescent="0.25">
      <c r="A103"/>
      <c r="D103" s="48"/>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4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4" t="s">
        <v>39</v>
      </c>
      <c r="E109" s="34" t="s">
        <v>22</v>
      </c>
      <c r="F109" s="34" t="s">
        <v>40</v>
      </c>
      <c r="G109" s="34" t="s">
        <v>41</v>
      </c>
    </row>
    <row r="110" spans="1:20" ht="20.100000000000001" customHeight="1" x14ac:dyDescent="0.25">
      <c r="A110"/>
      <c r="D110" s="34" t="str" cm="1">
        <f t="array" ref="D110">Common_InputFunctions.Utility_DisplayArrayInTable(Common_SourceData.Common_SourceData_TemperatureZones_Data(),Table_SourceData_TemperatureZones[[#Headers],[Temperature Zone]],0)</f>
        <v>Warm</v>
      </c>
      <c r="E110" s="34" t="str" cm="1">
        <f t="array" ref="E110">Common_InputFunctions.Utility_DisplayArrayInTable(Common_SourceData.Common_SourceData_TemperatureZones_Data(),Table_SourceData_TemperatureZones[[#Headers],[Temperature Zone]],0)</f>
        <v>≥ 26 C</v>
      </c>
      <c r="F110" s="34" cm="1">
        <f t="array" ref="F110">Common_InputFunctions.Utility_DisplayArrayInTable(Common_SourceData.Common_SourceData_TemperatureZones_Data(),Table_SourceData_TemperatureZones[[#Headers],[Temperature Zone]],0)</f>
        <v>26</v>
      </c>
      <c r="G110" s="34"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4" t="str" cm="1">
        <f t="array" ref="D111">Common_InputFunctions.Utility_DisplayArrayInTable(Common_SourceData.Common_SourceData_TemperatureZones_Data(),Table_SourceData_TemperatureZones[[#Headers],[Temperature Zone]],0)</f>
        <v>Temperate</v>
      </c>
      <c r="E111" s="34" t="str" cm="1">
        <f t="array" ref="E111">Common_InputFunctions.Utility_DisplayArrayInTable(Common_SourceData.Common_SourceData_TemperatureZones_Data(),Table_SourceData_TemperatureZones[[#Headers],[Temperature Zone]],0)</f>
        <v>15 - 25 C</v>
      </c>
      <c r="F111" s="34" cm="1">
        <f t="array" ref="F111">Common_InputFunctions.Utility_DisplayArrayInTable(Common_SourceData.Common_SourceData_TemperatureZones_Data(),Table_SourceData_TemperatureZones[[#Headers],[Temperature Zone]],0)</f>
        <v>15</v>
      </c>
      <c r="G111" s="34"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4" t="str" cm="1">
        <f t="array" ref="D112">Common_InputFunctions.Utility_DisplayArrayInTable(Common_SourceData.Common_SourceData_TemperatureZones_Data(),Table_SourceData_TemperatureZones[[#Headers],[Temperature Zone]],0)</f>
        <v>Cool</v>
      </c>
      <c r="E112" s="34" t="str" cm="1">
        <f t="array" ref="E112">Common_InputFunctions.Utility_DisplayArrayInTable(Common_SourceData.Common_SourceData_TemperatureZones_Data(),Table_SourceData_TemperatureZones[[#Headers],[Temperature Zone]],0)</f>
        <v>≤ 14 C</v>
      </c>
      <c r="F112" s="34" cm="1">
        <f t="array" ref="F112">Common_InputFunctions.Utility_DisplayArrayInTable(Common_SourceData.Common_SourceData_TemperatureZones_Data(),Table_SourceData_TemperatureZones[[#Headers],[Temperature Zone]],0)</f>
        <v>-999999</v>
      </c>
      <c r="G112" s="34"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49"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4" t="s">
        <v>42</v>
      </c>
      <c r="E119" s="34" t="s">
        <v>43</v>
      </c>
      <c r="F119" s="34" t="s">
        <v>29</v>
      </c>
      <c r="G119" s="34" t="s">
        <v>30</v>
      </c>
      <c r="BN119" s="7"/>
    </row>
    <row r="120" spans="1:66" ht="20.100000000000001" customHeight="1" x14ac:dyDescent="0.25">
      <c r="A120"/>
      <c r="D120" s="34" t="str" cm="1">
        <f t="array" ref="D120">Common_InputFunctions.Utility_DisplayArrayInTable(Common_SourceData.Common_SourceData_RainfallZones_Data(),Table_SourceData_RainfallZones[[#Headers],[Rainfall Zone]],0)</f>
        <v>High rainfall</v>
      </c>
      <c r="E120" s="34" t="str" cm="1">
        <f t="array" ref="E120">Common_InputFunctions.Utility_DisplayArrayInTable(Common_SourceData.Common_SourceData_RainfallZones_Data(),Table_SourceData_RainfallZones[[#Headers],[Rainfall Zone]],0)</f>
        <v>Annual rainfall &gt; 600mm</v>
      </c>
      <c r="F120" s="34" cm="1">
        <f t="array" ref="F120">Common_InputFunctions.Utility_DisplayArrayInTable(Common_SourceData.Common_SourceData_RainfallZones_Data(),Table_SourceData_RainfallZones[[#Headers],[Rainfall Zone]],0)</f>
        <v>600.00099999999998</v>
      </c>
      <c r="G120" s="34"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4" t="str" cm="1">
        <f t="array" ref="D121">Common_InputFunctions.Utility_DisplayArrayInTable(Common_SourceData.Common_SourceData_RainfallZones_Data(),Table_SourceData_RainfallZones[[#Headers],[Rainfall Zone]],0)</f>
        <v>Low rainfall</v>
      </c>
      <c r="E121" s="34" t="str" cm="1">
        <f t="array" ref="E121">Common_InputFunctions.Utility_DisplayArrayInTable(Common_SourceData.Common_SourceData_RainfallZones_Data(),Table_SourceData_RainfallZones[[#Headers],[Rainfall Zone]],0)</f>
        <v>Annual rainfall ≤ 600mm</v>
      </c>
      <c r="F121" s="34" cm="1">
        <f t="array" ref="F121">Common_InputFunctions.Utility_DisplayArrayInTable(Common_SourceData.Common_SourceData_RainfallZones_Data(),Table_SourceData_RainfallZones[[#Headers],[Rainfall Zone]],0)</f>
        <v>-999999</v>
      </c>
      <c r="G121" s="34"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4" t="s">
        <v>44</v>
      </c>
      <c r="E127" s="34" t="s">
        <v>45</v>
      </c>
    </row>
    <row r="128" spans="1:66" ht="20.100000000000001" customHeight="1" x14ac:dyDescent="0.25">
      <c r="A128"/>
      <c r="D128" s="34" t="str" cm="1">
        <f t="array" ref="D128">Common_InputFunctions.Utility_DisplayArrayInTable(Common_SourceData.Common_SourceData_LeachingZones_Data(), Table_SourceData_LeachingZones[[#Headers],[Leaching Zone]], 0)</f>
        <v>Leaching occurs</v>
      </c>
      <c r="E128" s="3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4" t="str" cm="1">
        <f t="array" ref="D129">Common_InputFunctions.Utility_DisplayArrayInTable(Common_SourceData.Common_SourceData_LeachingZones_Data(), Table_SourceData_LeachingZones[[#Headers],[Leaching Zone]], 0)</f>
        <v>Leaching does not occur</v>
      </c>
      <c r="E129" s="3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55</v>
      </c>
      <c r="E134" t="s">
        <v>56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4"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49"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4" t="s">
        <v>71</v>
      </c>
      <c r="E142" s="34" t="s">
        <v>56</v>
      </c>
      <c r="BN142" s="7"/>
    </row>
    <row r="143" spans="1:77" ht="20.100000000000001" customHeight="1" x14ac:dyDescent="0.25">
      <c r="A143"/>
      <c r="D143" s="34" t="str" cm="1">
        <f t="array" ref="D143">Common_InputFunctions.Utility_DisplayArrayInTable(Common_SourceData.Common_SourceData_FracWETIrrigation_Data(), Table_SourceData_FracWETIrrigation[[#Headers],[Irrigation type i]], 0)</f>
        <v>Not irrigated</v>
      </c>
      <c r="E143" s="34"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4"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4"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4"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4"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4" t="s">
        <v>46</v>
      </c>
      <c r="E153" s="34" t="s">
        <v>47</v>
      </c>
      <c r="BC153" s="3"/>
      <c r="BD153" s="3"/>
      <c r="BE153" s="3"/>
      <c r="BF153" s="3"/>
      <c r="BG153" s="3"/>
      <c r="BH153" s="3"/>
      <c r="BI153" s="3"/>
      <c r="BJ153" s="3"/>
      <c r="BK153" s="3"/>
      <c r="BL153" s="3"/>
      <c r="BM153" s="3"/>
    </row>
    <row r="154" spans="1:66" ht="20.100000000000001" customHeight="1" x14ac:dyDescent="0.25">
      <c r="A154"/>
      <c r="D154" s="34" t="str" cm="1">
        <f t="array" ref="D154">Common_InputFunctions.Utility_DisplayArrayInTable(Common_SourceData.Common_SourceData_DataScores_Scope3_Data(), Table_SourceData_DataScores_Scope3[[#Headers],[Data source]], 0)</f>
        <v>International scope 3 database</v>
      </c>
      <c r="E154" s="34"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4" t="str" cm="1">
        <f t="array" ref="D155">Common_InputFunctions.Utility_DisplayArrayInTable(Common_SourceData.Common_SourceData_DataScores_Scope3_Data(), Table_SourceData_DataScores_Scope3[[#Headers],[Data source]], 0)</f>
        <v>Australian scope 3 database</v>
      </c>
      <c r="E155" s="34"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4" t="str" cm="1">
        <f t="array" ref="D156">Common_InputFunctions.Utility_DisplayArrayInTable(Common_SourceData.Common_SourceData_DataScores_Scope3_Data(), Table_SourceData_DataScores_Scope3[[#Headers],[Data source]], 0)</f>
        <v>State or regional scope 3 database</v>
      </c>
      <c r="E156" s="34"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4" t="str" cm="1">
        <f t="array" ref="D157">Common_InputFunctions.Utility_DisplayArrayInTable(Common_SourceData.Common_SourceData_DataScores_Scope3_Data(), Table_SourceData_DataScores_Scope3[[#Headers],[Data source]], 0)</f>
        <v>Emissions intensity calculated from approved method</v>
      </c>
      <c r="E157" s="34"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4" t="str" cm="1">
        <f t="array" ref="D158">Common_InputFunctions.Utility_DisplayArrayInTable(Common_SourceData.Common_SourceData_DataScores_Scope3_Data(), Table_SourceData_DataScores_Scope3[[#Headers],[Data source]], 0)</f>
        <v>Verified credential matching ISO14067</v>
      </c>
      <c r="E158" s="34"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8"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8" t="str" cm="1">
        <f t="array" ref="D180">Common_SourceData.Common_SourceData_EFN2O_Unit()</f>
        <v>(kg N2O-N / kg N</v>
      </c>
    </row>
    <row r="181" spans="4:68" ht="20.100000000000001" customHeight="1" x14ac:dyDescent="0.25">
      <c r="D181" s="49" t="str" cm="1">
        <f t="array" ref="D181:D185">Common_SourceData.Common_SourceData_EFN2O_Variation()</f>
        <v>VARIATION OF SOURCE DATA:</v>
      </c>
    </row>
    <row r="182" spans="4:68" ht="20.100000000000001" customHeight="1" x14ac:dyDescent="0.25">
      <c r="D182" s="49" t="str">
        <v>Removed duplicate 'Aquaculture' row.</v>
      </c>
    </row>
    <row r="183" spans="4:68" ht="20.100000000000001" customHeight="1" x14ac:dyDescent="0.25">
      <c r="D183" s="49" t="str">
        <v>Removed asterisks to aid lookup.</v>
      </c>
    </row>
    <row r="184" spans="4:68" ht="20.100000000000001" customHeight="1" x14ac:dyDescent="0.25">
      <c r="D184" s="49" t="str">
        <v>Added 'production system only', 'rainfall zone' and 'irrigation method' columns to aid lookup.</v>
      </c>
    </row>
    <row r="185" spans="4:68" ht="20.100000000000001" customHeight="1" x14ac:dyDescent="0.25">
      <c r="D185" s="49" t="str">
        <v>Duplicated 'non-irrigated pasture' row with same EF for low and high rainfall zones to aid lookup.</v>
      </c>
    </row>
    <row r="186" spans="4:68" ht="20.100000000000001" customHeight="1" x14ac:dyDescent="0.25">
      <c r="D186" s="34" t="s">
        <v>63</v>
      </c>
      <c r="E186" s="34" t="s">
        <v>64</v>
      </c>
      <c r="F186" s="34" t="s">
        <v>65</v>
      </c>
      <c r="G186" s="34" t="s">
        <v>66</v>
      </c>
      <c r="H186" s="34" t="s">
        <v>21</v>
      </c>
    </row>
    <row r="187" spans="4:68" ht="20.100000000000001" customHeight="1" x14ac:dyDescent="0.25">
      <c r="D187" s="34" t="str" cm="1">
        <f t="array" ref="D187">Common_InputFunctions.Utility_DisplayArrayInTable(Common_SourceData.Common_SourceData_EFN2O_Data(), Table_SourceData_Common_EFN2O[[#Headers],[Production system j]], 0)</f>
        <v>Irrigated pasture</v>
      </c>
      <c r="E187" s="34" cm="1">
        <f t="array" ref="E187">Common_InputFunctions.Utility_DisplayArrayInTable(Common_SourceData.Common_SourceData_EFN2O_Data(), Table_SourceData_Common_EFN2O[[#Headers],[Production system j]], 0)</f>
        <v>5.8999999999999999E-3</v>
      </c>
      <c r="F187" s="34" t="str" cm="1">
        <f t="array" ref="F187">Common_InputFunctions.Utility_DisplayArrayInTable(Common_SourceData.Common_SourceData_EFN2O_Data(), Table_SourceData_Common_EFN2O[[#Headers],[Production system j]], 0)</f>
        <v>Pasture</v>
      </c>
      <c r="G187" s="34" t="str" cm="1">
        <f t="array" ref="G187">Common_InputFunctions.Utility_DisplayArrayInTable(Common_SourceData.Common_SourceData_EFN2O_Data(), Table_SourceData_Common_EFN2O[[#Headers],[Production system j]], 0)</f>
        <v>Any</v>
      </c>
      <c r="H187" s="34" t="str" cm="1">
        <f t="array" ref="H187">Common_InputFunctions.Utility_DisplayArrayInTable(Common_SourceData.Common_SourceData_EFN2O_Data(), Table_SourceData_Common_EFN2O[[#Headers],[Production system j]], 0)</f>
        <v>Any</v>
      </c>
    </row>
    <row r="188" spans="4:68" ht="20.100000000000001" customHeight="1" x14ac:dyDescent="0.25">
      <c r="D188" s="34" t="str" cm="1">
        <f t="array" ref="D188">Common_InputFunctions.Utility_DisplayArrayInTable(Common_SourceData.Common_SourceData_EFN2O_Data(), Table_SourceData_Common_EFN2O[[#Headers],[Production system j]], 0)</f>
        <v>Irrigated crop</v>
      </c>
      <c r="E188" s="34" cm="1">
        <f t="array" ref="E188">Common_InputFunctions.Utility_DisplayArrayInTable(Common_SourceData.Common_SourceData_EFN2O_Data(), Table_SourceData_Common_EFN2O[[#Headers],[Production system j]], 0)</f>
        <v>7.0000000000000001E-3</v>
      </c>
      <c r="F188" s="34" t="str" cm="1">
        <f t="array" ref="F188">Common_InputFunctions.Utility_DisplayArrayInTable(Common_SourceData.Common_SourceData_EFN2O_Data(), Table_SourceData_Common_EFN2O[[#Headers],[Production system j]], 0)</f>
        <v>Crop</v>
      </c>
      <c r="G188" s="34" t="str" cm="1">
        <f t="array" ref="G188">Common_InputFunctions.Utility_DisplayArrayInTable(Common_SourceData.Common_SourceData_EFN2O_Data(), Table_SourceData_Common_EFN2O[[#Headers],[Production system j]], 0)</f>
        <v>Any</v>
      </c>
      <c r="H188" s="34" t="str" cm="1">
        <f t="array" ref="H188">Common_InputFunctions.Utility_DisplayArrayInTable(Common_SourceData.Common_SourceData_EFN2O_Data(), Table_SourceData_Common_EFN2O[[#Headers],[Production system j]], 0)</f>
        <v>Any</v>
      </c>
    </row>
    <row r="189" spans="4:68" ht="20.100000000000001" customHeight="1" x14ac:dyDescent="0.25">
      <c r="D189" s="34" t="str" cm="1">
        <f t="array" ref="D189">Common_InputFunctions.Utility_DisplayArrayInTable(Common_SourceData.Common_SourceData_EFN2O_Data(), Table_SourceData_Common_EFN2O[[#Headers],[Production system j]], 0)</f>
        <v>Non-irrigated pasture</v>
      </c>
      <c r="E189" s="34" cm="1">
        <f t="array" ref="E189">Common_InputFunctions.Utility_DisplayArrayInTable(Common_SourceData.Common_SourceData_EFN2O_Data(), Table_SourceData_Common_EFN2O[[#Headers],[Production system j]], 0)</f>
        <v>1.8E-3</v>
      </c>
      <c r="F189" s="34" t="str" cm="1">
        <f t="array" ref="F189">Common_InputFunctions.Utility_DisplayArrayInTable(Common_SourceData.Common_SourceData_EFN2O_Data(), Table_SourceData_Common_EFN2O[[#Headers],[Production system j]], 0)</f>
        <v>Pasture</v>
      </c>
      <c r="G189" s="34" t="str" cm="1">
        <f t="array" ref="G189">Common_InputFunctions.Utility_DisplayArrayInTable(Common_SourceData.Common_SourceData_EFN2O_Data(), Table_SourceData_Common_EFN2O[[#Headers],[Production system j]], 0)</f>
        <v>Not irrigated</v>
      </c>
      <c r="H189" s="3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4" t="str" cm="1">
        <f t="array" ref="D190">Common_InputFunctions.Utility_DisplayArrayInTable(Common_SourceData.Common_SourceData_EFN2O_Data(), Table_SourceData_Common_EFN2O[[#Headers],[Production system j]], 0)</f>
        <v>Non-irrigated pasture</v>
      </c>
      <c r="E190" s="34" cm="1">
        <f t="array" ref="E190">Common_InputFunctions.Utility_DisplayArrayInTable(Common_SourceData.Common_SourceData_EFN2O_Data(), Table_SourceData_Common_EFN2O[[#Headers],[Production system j]], 0)</f>
        <v>1.8E-3</v>
      </c>
      <c r="F190" s="34" t="str" cm="1">
        <f t="array" ref="F190">Common_InputFunctions.Utility_DisplayArrayInTable(Common_SourceData.Common_SourceData_EFN2O_Data(), Table_SourceData_Common_EFN2O[[#Headers],[Production system j]], 0)</f>
        <v>Pasture</v>
      </c>
      <c r="G190" s="34" t="str" cm="1">
        <f t="array" ref="G190">Common_InputFunctions.Utility_DisplayArrayInTable(Common_SourceData.Common_SourceData_EFN2O_Data(), Table_SourceData_Common_EFN2O[[#Headers],[Production system j]], 0)</f>
        <v>Not irrigated</v>
      </c>
      <c r="H190" s="3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4" t="str" cm="1">
        <f t="array" ref="D191">Common_InputFunctions.Utility_DisplayArrayInTable(Common_SourceData.Common_SourceData_EFN2O_Data(), Table_SourceData_Common_EFN2O[[#Headers],[Production system j]], 0)</f>
        <v>Non-irrigated crop (low rainfall)</v>
      </c>
      <c r="E191" s="34" cm="1">
        <f t="array" ref="E191">Common_InputFunctions.Utility_DisplayArrayInTable(Common_SourceData.Common_SourceData_EFN2O_Data(), Table_SourceData_Common_EFN2O[[#Headers],[Production system j]], 0)</f>
        <v>2.8999999999999998E-3</v>
      </c>
      <c r="F191" s="34" t="str" cm="1">
        <f t="array" ref="F191">Common_InputFunctions.Utility_DisplayArrayInTable(Common_SourceData.Common_SourceData_EFN2O_Data(), Table_SourceData_Common_EFN2O[[#Headers],[Production system j]], 0)</f>
        <v>Crop</v>
      </c>
      <c r="G191" s="34" t="str" cm="1">
        <f t="array" ref="G191">Common_InputFunctions.Utility_DisplayArrayInTable(Common_SourceData.Common_SourceData_EFN2O_Data(), Table_SourceData_Common_EFN2O[[#Headers],[Production system j]], 0)</f>
        <v>Not irrigated</v>
      </c>
      <c r="H191" s="3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4" t="str" cm="1">
        <f t="array" ref="D192">Common_InputFunctions.Utility_DisplayArrayInTable(Common_SourceData.Common_SourceData_EFN2O_Data(), Table_SourceData_Common_EFN2O[[#Headers],[Production system j]], 0)</f>
        <v>Non-irrigated crop (high rainfall)</v>
      </c>
      <c r="E192" s="34" cm="1">
        <f t="array" ref="E192">Common_InputFunctions.Utility_DisplayArrayInTable(Common_SourceData.Common_SourceData_EFN2O_Data(), Table_SourceData_Common_EFN2O[[#Headers],[Production system j]], 0)</f>
        <v>8.0000000000000002E-3</v>
      </c>
      <c r="F192" s="34" t="str" cm="1">
        <f t="array" ref="F192">Common_InputFunctions.Utility_DisplayArrayInTable(Common_SourceData.Common_SourceData_EFN2O_Data(), Table_SourceData_Common_EFN2O[[#Headers],[Production system j]], 0)</f>
        <v>Crop</v>
      </c>
      <c r="G192" s="34" t="str" cm="1">
        <f t="array" ref="G192">Common_InputFunctions.Utility_DisplayArrayInTable(Common_SourceData.Common_SourceData_EFN2O_Data(), Table_SourceData_Common_EFN2O[[#Headers],[Production system j]], 0)</f>
        <v>Not irrigated</v>
      </c>
      <c r="H192" s="3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4" t="str" cm="1">
        <f t="array" ref="D193">Common_InputFunctions.Utility_DisplayArrayInTable(Common_SourceData.Common_SourceData_EFN2O_Data(), Table_SourceData_Common_EFN2O[[#Headers],[Production system j]], 0)</f>
        <v>Sugar</v>
      </c>
      <c r="E193" s="34" cm="1">
        <f t="array" ref="E193">Common_InputFunctions.Utility_DisplayArrayInTable(Common_SourceData.Common_SourceData_EFN2O_Data(), Table_SourceData_Common_EFN2O[[#Headers],[Production system j]], 0)</f>
        <v>1.9900000000000001E-2</v>
      </c>
      <c r="F193" s="34" t="str" cm="1">
        <f t="array" ref="F193">Common_InputFunctions.Utility_DisplayArrayInTable(Common_SourceData.Common_SourceData_EFN2O_Data(), Table_SourceData_Common_EFN2O[[#Headers],[Production system j]], 0)</f>
        <v>Sugar</v>
      </c>
      <c r="G193" s="34" t="str" cm="1">
        <f t="array" ref="G193">Common_InputFunctions.Utility_DisplayArrayInTable(Common_SourceData.Common_SourceData_EFN2O_Data(), Table_SourceData_Common_EFN2O[[#Headers],[Production system j]], 0)</f>
        <v>Any</v>
      </c>
      <c r="H193" s="34" t="str" cm="1">
        <f t="array" ref="H193">Common_InputFunctions.Utility_DisplayArrayInTable(Common_SourceData.Common_SourceData_EFN2O_Data(), Table_SourceData_Common_EFN2O[[#Headers],[Production system j]], 0)</f>
        <v>Any</v>
      </c>
    </row>
    <row r="194" spans="4:8" ht="20.100000000000001" customHeight="1" x14ac:dyDescent="0.25">
      <c r="D194" s="34" t="str" cm="1">
        <f t="array" ref="D194">Common_InputFunctions.Utility_DisplayArrayInTable(Common_SourceData.Common_SourceData_EFN2O_Data(), Table_SourceData_Common_EFN2O[[#Headers],[Production system j]], 0)</f>
        <v>Cotton</v>
      </c>
      <c r="E194" s="34" cm="1">
        <f t="array" ref="E194">Common_InputFunctions.Utility_DisplayArrayInTable(Common_SourceData.Common_SourceData_EFN2O_Data(), Table_SourceData_Common_EFN2O[[#Headers],[Production system j]], 0)</f>
        <v>5.3E-3</v>
      </c>
      <c r="F194" s="34" t="str" cm="1">
        <f t="array" ref="F194">Common_InputFunctions.Utility_DisplayArrayInTable(Common_SourceData.Common_SourceData_EFN2O_Data(), Table_SourceData_Common_EFN2O[[#Headers],[Production system j]], 0)</f>
        <v>Cotton</v>
      </c>
      <c r="G194" s="34" t="str" cm="1">
        <f t="array" ref="G194">Common_InputFunctions.Utility_DisplayArrayInTable(Common_SourceData.Common_SourceData_EFN2O_Data(), Table_SourceData_Common_EFN2O[[#Headers],[Production system j]], 0)</f>
        <v>Any</v>
      </c>
      <c r="H194" s="34" t="str" cm="1">
        <f t="array" ref="H194">Common_InputFunctions.Utility_DisplayArrayInTable(Common_SourceData.Common_SourceData_EFN2O_Data(), Table_SourceData_Common_EFN2O[[#Headers],[Production system j]], 0)</f>
        <v>Any</v>
      </c>
    </row>
    <row r="195" spans="4:8" ht="20.100000000000001" customHeight="1" x14ac:dyDescent="0.25">
      <c r="D195" s="34" t="str" cm="1">
        <f t="array" ref="D195">Common_InputFunctions.Utility_DisplayArrayInTable(Common_SourceData.Common_SourceData_EFN2O_Data(), Table_SourceData_Common_EFN2O[[#Headers],[Production system j]], 0)</f>
        <v>Horticultural crops</v>
      </c>
      <c r="E195" s="34" cm="1">
        <f t="array" ref="E195">Common_InputFunctions.Utility_DisplayArrayInTable(Common_SourceData.Common_SourceData_EFN2O_Data(), Table_SourceData_Common_EFN2O[[#Headers],[Production system j]], 0)</f>
        <v>6.4000000000000003E-3</v>
      </c>
      <c r="F195" s="34" t="str" cm="1">
        <f t="array" ref="F195">Common_InputFunctions.Utility_DisplayArrayInTable(Common_SourceData.Common_SourceData_EFN2O_Data(), Table_SourceData_Common_EFN2O[[#Headers],[Production system j]], 0)</f>
        <v>Horticultural crops</v>
      </c>
      <c r="G195" s="34" t="str" cm="1">
        <f t="array" ref="G195">Common_InputFunctions.Utility_DisplayArrayInTable(Common_SourceData.Common_SourceData_EFN2O_Data(), Table_SourceData_Common_EFN2O[[#Headers],[Production system j]], 0)</f>
        <v>Any</v>
      </c>
      <c r="H195" s="34" t="str" cm="1">
        <f t="array" ref="H195">Common_InputFunctions.Utility_DisplayArrayInTable(Common_SourceData.Common_SourceData_EFN2O_Data(), Table_SourceData_Common_EFN2O[[#Headers],[Production system j]], 0)</f>
        <v>Any</v>
      </c>
    </row>
    <row r="196" spans="4:8" ht="20.100000000000001" customHeight="1" x14ac:dyDescent="0.25">
      <c r="D196" s="34" t="str" cm="1">
        <f t="array" ref="D196">Common_InputFunctions.Utility_DisplayArrayInTable(Common_SourceData.Common_SourceData_EFN2O_Data(), Table_SourceData_Common_EFN2O[[#Headers],[Production system j]], 0)</f>
        <v>Rice (continuous flooding)</v>
      </c>
      <c r="E196" s="34" cm="1">
        <f t="array" ref="E196">Common_InputFunctions.Utility_DisplayArrayInTable(Common_SourceData.Common_SourceData_EFN2O_Data(), Table_SourceData_Common_EFN2O[[#Headers],[Production system j]], 0)</f>
        <v>3.0000000000000001E-3</v>
      </c>
      <c r="F196" s="34" t="str" cm="1">
        <f t="array" ref="F196">Common_InputFunctions.Utility_DisplayArrayInTable(Common_SourceData.Common_SourceData_EFN2O_Data(), Table_SourceData_Common_EFN2O[[#Headers],[Production system j]], 0)</f>
        <v>Rice</v>
      </c>
      <c r="G196" s="34" t="str" cm="1">
        <f t="array" ref="G196">Common_InputFunctions.Utility_DisplayArrayInTable(Common_SourceData.Common_SourceData_EFN2O_Data(), Table_SourceData_Common_EFN2O[[#Headers],[Production system j]], 0)</f>
        <v>Continuous flooding</v>
      </c>
      <c r="H196" s="34" t="str" cm="1">
        <f t="array" ref="H196">Common_InputFunctions.Utility_DisplayArrayInTable(Common_SourceData.Common_SourceData_EFN2O_Data(), Table_SourceData_Common_EFN2O[[#Headers],[Production system j]], 0)</f>
        <v>Any</v>
      </c>
    </row>
    <row r="197" spans="4:8" x14ac:dyDescent="0.25">
      <c r="D197" s="34" t="str" cm="1">
        <f t="array" ref="D197">Common_InputFunctions.Utility_DisplayArrayInTable(Common_SourceData.Common_SourceData_EFN2O_Data(), Table_SourceData_Common_EFN2O[[#Headers],[Production system j]], 0)</f>
        <v>Rice (single and multiple drainage, or alternate wetting and drying)</v>
      </c>
      <c r="E197" s="34" cm="1">
        <f t="array" ref="E197">Common_InputFunctions.Utility_DisplayArrayInTable(Common_SourceData.Common_SourceData_EFN2O_Data(), Table_SourceData_Common_EFN2O[[#Headers],[Production system j]], 0)</f>
        <v>5.0000000000000001E-3</v>
      </c>
      <c r="F197" s="34" t="str" cm="1">
        <f t="array" ref="F197">Common_InputFunctions.Utility_DisplayArrayInTable(Common_SourceData.Common_SourceData_EFN2O_Data(), Table_SourceData_Common_EFN2O[[#Headers],[Production system j]], 0)</f>
        <v>Rice</v>
      </c>
      <c r="G197" s="34" t="str" cm="1">
        <f t="array" ref="G197">Common_InputFunctions.Utility_DisplayArrayInTable(Common_SourceData.Common_SourceData_EFN2O_Data(), Table_SourceData_Common_EFN2O[[#Headers],[Production system j]], 0)</f>
        <v>Single and multiple drainage, or alternate wetting and drying</v>
      </c>
      <c r="H197" s="34" t="str" cm="1">
        <f t="array" ref="H197">Common_InputFunctions.Utility_DisplayArrayInTable(Common_SourceData.Common_SourceData_EFN2O_Data(), Table_SourceData_Common_EFN2O[[#Headers],[Production system j]], 0)</f>
        <v>Any</v>
      </c>
    </row>
    <row r="198" spans="4:8" x14ac:dyDescent="0.25">
      <c r="D198" s="34" t="str" cm="1">
        <f t="array" ref="D198">Common_InputFunctions.Utility_DisplayArrayInTable(Common_SourceData.Common_SourceData_EFN2O_Data(), Table_SourceData_Common_EFN2O[[#Headers],[Production system j]], 0)</f>
        <v>Aquaculture</v>
      </c>
      <c r="E198" s="34" cm="1">
        <f t="array" ref="E198">Common_InputFunctions.Utility_DisplayArrayInTable(Common_SourceData.Common_SourceData_EFN2O_Data(), Table_SourceData_Common_EFN2O[[#Headers],[Production system j]], 0)</f>
        <v>2.5999999999999999E-3</v>
      </c>
      <c r="F198" s="34" t="str" cm="1">
        <f t="array" ref="F198">Common_InputFunctions.Utility_DisplayArrayInTable(Common_SourceData.Common_SourceData_EFN2O_Data(), Table_SourceData_Common_EFN2O[[#Headers],[Production system j]], 0)</f>
        <v>Aquaculture</v>
      </c>
      <c r="G198" s="34" t="str" cm="1">
        <f t="array" ref="G198">Common_InputFunctions.Utility_DisplayArrayInTable(Common_SourceData.Common_SourceData_EFN2O_Data(), Table_SourceData_Common_EFN2O[[#Headers],[Production system j]], 0)</f>
        <v>Any</v>
      </c>
      <c r="H198" s="34" t="str" cm="1">
        <f t="array" ref="H198">Common_InputFunctions.Utility_DisplayArrayInTable(Common_SourceData.Common_SourceData_EFN2O_Data(), Table_SourceData_Common_EFN2O[[#Headers],[Production system j]], 0)</f>
        <v>Any</v>
      </c>
    </row>
    <row r="199" spans="4:8" x14ac:dyDescent="0.25">
      <c r="D199" s="34" t="str" cm="1">
        <f t="array" ref="D199">Common_InputFunctions.Utility_DisplayArrayInTable(Common_SourceData.Common_SourceData_EFN2O_Data(), Table_SourceData_Common_EFN2O[[#Headers],[Production system j]], 0)</f>
        <v>Forestry</v>
      </c>
      <c r="E199" s="34" cm="1">
        <f t="array" ref="E199">Common_InputFunctions.Utility_DisplayArrayInTable(Common_SourceData.Common_SourceData_EFN2O_Data(), Table_SourceData_Common_EFN2O[[#Headers],[Production system j]], 0)</f>
        <v>1.8E-3</v>
      </c>
      <c r="F199" s="34" t="str" cm="1">
        <f t="array" ref="F199">Common_InputFunctions.Utility_DisplayArrayInTable(Common_SourceData.Common_SourceData_EFN2O_Data(), Table_SourceData_Common_EFN2O[[#Headers],[Production system j]], 0)</f>
        <v>Forestry</v>
      </c>
      <c r="G199" s="34" t="str" cm="1">
        <f t="array" ref="G199">Common_InputFunctions.Utility_DisplayArrayInTable(Common_SourceData.Common_SourceData_EFN2O_Data(), Table_SourceData_Common_EFN2O[[#Headers],[Production system j]], 0)</f>
        <v>Any</v>
      </c>
      <c r="H199" s="34"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49" t="str" cm="1">
        <f t="array" ref="D204">Common_SourceData.Common_SourceData_EFPastureRangeAndPaddock_Variation()</f>
        <v>VARIATION FROM SOURCE DATA: Changed 'Dry climate zones' to singular 'Dry climate zone' to aid lookup.</v>
      </c>
    </row>
    <row r="205" spans="4:8" x14ac:dyDescent="0.25">
      <c r="D205" s="48" t="str" cm="1">
        <f t="array" ref="D205">Common_SourceData.Common_SourceData_EFPastureRangeAndPaddock_Unit()</f>
        <v>kg N2O - N / kg N</v>
      </c>
    </row>
    <row r="206" spans="4:8" x14ac:dyDescent="0.25">
      <c r="D206" s="34" t="s">
        <v>5</v>
      </c>
      <c r="E206" s="34" t="s">
        <v>73</v>
      </c>
    </row>
    <row r="207" spans="4:8" x14ac:dyDescent="0.25">
      <c r="D207" s="34" t="str" cm="1">
        <f t="array" ref="D207">Common_InputFunctions.Utility_DisplayArrayInTable(Common_SourceData.Common_SourceData_EFPastureRangeAndPaddock_Data(), Table_SourceData_EFPastureRangeAndPaddock[[#Headers],[Climate zone]], 0)</f>
        <v>Wet climate zone</v>
      </c>
      <c r="E207" s="3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4" t="s">
        <v>70</v>
      </c>
      <c r="E212" s="34" t="s">
        <v>78</v>
      </c>
    </row>
    <row r="213" spans="4:5" x14ac:dyDescent="0.25">
      <c r="D213" s="34" t="str" cm="1">
        <f t="array" ref="D213">Common_InputFunctions.Utility_DisplayArrayInTable(Common_SourceData.Common_SourceData_MonthsToSeasons_Data(), Table_SourceData_Common_MonthToSeason[[#Headers],[Month]], 0)</f>
        <v>January</v>
      </c>
      <c r="E213" s="3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4"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4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4" t="s">
        <v>38</v>
      </c>
      <c r="E231" s="34" t="s">
        <v>88</v>
      </c>
      <c r="F231" s="33" t="s">
        <v>89</v>
      </c>
      <c r="G231" s="34" t="s">
        <v>83</v>
      </c>
      <c r="H231" s="34" t="s">
        <v>90</v>
      </c>
      <c r="I231" s="34" t="s">
        <v>91</v>
      </c>
      <c r="J231" s="34" t="s">
        <v>82</v>
      </c>
      <c r="K231" s="34" t="s">
        <v>81</v>
      </c>
      <c r="L231" s="34" t="s">
        <v>92</v>
      </c>
      <c r="M231" s="34" t="s">
        <v>93</v>
      </c>
      <c r="N231" s="34" t="s">
        <v>80</v>
      </c>
      <c r="O231" s="34" t="s">
        <v>94</v>
      </c>
      <c r="P231" s="34" t="s">
        <v>85</v>
      </c>
      <c r="Q231" s="34" t="s">
        <v>86</v>
      </c>
      <c r="R231" s="34" t="s">
        <v>84</v>
      </c>
      <c r="S231" s="34" t="s">
        <v>95</v>
      </c>
    </row>
    <row r="232" spans="4:19" x14ac:dyDescent="0.25">
      <c r="D232" s="34" t="str" cm="1">
        <f t="array" ref="D232">Common_InputFunctions.Utility_DisplayArrayInTable(Common_SourceData.Common_SourceData_MCFTemperatureZone_Data(),Table_SourceData_Common_MCFTemperatureZone[[#Headers],[Temperature zone]],0)</f>
        <v>Cool</v>
      </c>
      <c r="E232" s="34" t="str" cm="1">
        <f t="array" ref="E232">Common_InputFunctions.Utility_DisplayArrayInTable(Common_SourceData.Common_SourceData_MCFTemperatureZone_Data(),Table_SourceData_Common_MCFTemperatureZone[[#Headers],[Temperature zone]],0)</f>
        <v>≤10</v>
      </c>
      <c r="F232" s="34" cm="1">
        <f t="array" ref="F232">Common_InputFunctions.Utility_DisplayArrayInTable(Common_SourceData.Common_SourceData_MCFTemperatureZone_Data(),Table_SourceData_Common_MCFTemperatureZone[[#Headers],[Temperature zone]],0)</f>
        <v>0.66</v>
      </c>
      <c r="G232" s="34" cm="1">
        <f t="array" ref="G232">Common_InputFunctions.Utility_DisplayArrayInTable(Common_SourceData.Common_SourceData_MCFTemperatureZone_Data(),Table_SourceData_Common_MCFTemperatureZone[[#Headers],[Temperature zone]],0)</f>
        <v>0.1</v>
      </c>
      <c r="H232" s="34" cm="1">
        <f t="array" ref="H232">Common_InputFunctions.Utility_DisplayArrayInTable(Common_SourceData.Common_SourceData_MCFTemperatureZone_Data(),Table_SourceData_Common_MCFTemperatureZone[[#Headers],[Temperature zone]],0)</f>
        <v>0.1</v>
      </c>
      <c r="I232" s="34" cm="1">
        <f t="array" ref="I232">Common_InputFunctions.Utility_DisplayArrayInTable(Common_SourceData.Common_SourceData_MCFTemperatureZone_Data(),Table_SourceData_Common_MCFTemperatureZone[[#Headers],[Temperature zone]],0)</f>
        <v>1E-3</v>
      </c>
      <c r="J232" s="34" cm="1">
        <f t="array" ref="J232">Common_InputFunctions.Utility_DisplayArrayInTable(Common_SourceData.Common_SourceData_MCFTemperatureZone_Data(),Table_SourceData_Common_MCFTemperatureZone[[#Headers],[Temperature zone]],0)</f>
        <v>5.0000000000000001E-3</v>
      </c>
      <c r="K232" s="34" cm="1">
        <f t="array" ref="K232">Common_InputFunctions.Utility_DisplayArrayInTable(Common_SourceData.Common_SourceData_MCFTemperatureZone_Data(),Table_SourceData_Common_MCFTemperatureZone[[#Headers],[Temperature zone]],0)</f>
        <v>0.02</v>
      </c>
      <c r="L232" s="34" cm="1">
        <f t="array" ref="L232">Common_InputFunctions.Utility_DisplayArrayInTable(Common_SourceData.Common_SourceData_MCFTemperatureZone_Data(),Table_SourceData_Common_MCFTemperatureZone[[#Headers],[Temperature zone]],0)</f>
        <v>0.03</v>
      </c>
      <c r="M232" s="34" cm="1">
        <f t="array" ref="M232">Common_InputFunctions.Utility_DisplayArrayInTable(Common_SourceData.Common_SourceData_MCFTemperatureZone_Data(),Table_SourceData_Common_MCFTemperatureZone[[#Headers],[Temperature zone]],0)</f>
        <v>0.04</v>
      </c>
      <c r="N232" s="34" cm="1">
        <f t="array" ref="N232">Common_InputFunctions.Utility_DisplayArrayInTable(Common_SourceData.Common_SourceData_MCFTemperatureZone_Data(),Table_SourceData_Common_MCFTemperatureZone[[#Headers],[Temperature zone]],0)</f>
        <v>1.4999999999999999E-2</v>
      </c>
      <c r="O232" s="34" cm="1">
        <f t="array" ref="O232">Common_InputFunctions.Utility_DisplayArrayInTable(Common_SourceData.Common_SourceData_MCFTemperatureZone_Data(),Table_SourceData_Common_MCFTemperatureZone[[#Headers],[Temperature zone]],0)</f>
        <v>1.4999999999999999E-2</v>
      </c>
      <c r="P232" s="34" cm="1">
        <f t="array" ref="P232">Common_InputFunctions.Utility_DisplayArrayInTable(Common_SourceData.Common_SourceData_MCFTemperatureZone_Data(),Table_SourceData_Common_MCFTemperatureZone[[#Headers],[Temperature zone]],0)</f>
        <v>0</v>
      </c>
      <c r="Q232" s="34" cm="1">
        <f t="array" ref="Q232">Common_InputFunctions.Utility_DisplayArrayInTable(Common_SourceData.Common_SourceData_MCFTemperatureZone_Data(),Table_SourceData_Common_MCFTemperatureZone[[#Headers],[Temperature zone]],0)</f>
        <v>0</v>
      </c>
      <c r="R232" s="34" cm="1">
        <f t="array" ref="R232">Common_InputFunctions.Utility_DisplayArrayInTable(Common_SourceData.Common_SourceData_MCFTemperatureZone_Data(),Table_SourceData_Common_MCFTemperatureZone[[#Headers],[Temperature zone]],0)</f>
        <v>4.7000000000000002E-3</v>
      </c>
      <c r="S232" s="3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4" cm="1">
        <f t="array" ref="E233">Common_InputFunctions.Utility_DisplayArrayInTable(Common_SourceData.Common_SourceData_MCFTemperatureZone_Data(),Table_SourceData_Common_MCFTemperatureZone[[#Headers],[Temperature zone]],0)</f>
        <v>11</v>
      </c>
      <c r="F233" s="34" cm="1">
        <f t="array" ref="F233">Common_InputFunctions.Utility_DisplayArrayInTable(Common_SourceData.Common_SourceData_MCFTemperatureZone_Data(),Table_SourceData_Common_MCFTemperatureZone[[#Headers],[Temperature zone]],0)</f>
        <v>0.68</v>
      </c>
      <c r="G233" s="34" cm="1">
        <f t="array" ref="G233">Common_InputFunctions.Utility_DisplayArrayInTable(Common_SourceData.Common_SourceData_MCFTemperatureZone_Data(),Table_SourceData_Common_MCFTemperatureZone[[#Headers],[Temperature zone]],0)</f>
        <v>0.1</v>
      </c>
      <c r="H233" s="34" cm="1">
        <f t="array" ref="H233">Common_InputFunctions.Utility_DisplayArrayInTable(Common_SourceData.Common_SourceData_MCFTemperatureZone_Data(),Table_SourceData_Common_MCFTemperatureZone[[#Headers],[Temperature zone]],0)</f>
        <v>0.11</v>
      </c>
      <c r="I233" s="34" cm="1">
        <f t="array" ref="I233">Common_InputFunctions.Utility_DisplayArrayInTable(Common_SourceData.Common_SourceData_MCFTemperatureZone_Data(),Table_SourceData_Common_MCFTemperatureZone[[#Headers],[Temperature zone]],0)</f>
        <v>1E-3</v>
      </c>
      <c r="J233" s="34" cm="1">
        <f t="array" ref="J233">Common_InputFunctions.Utility_DisplayArrayInTable(Common_SourceData.Common_SourceData_MCFTemperatureZone_Data(),Table_SourceData_Common_MCFTemperatureZone[[#Headers],[Temperature zone]],0)</f>
        <v>5.0000000000000001E-3</v>
      </c>
      <c r="K233" s="34" cm="1">
        <f t="array" ref="K233">Common_InputFunctions.Utility_DisplayArrayInTable(Common_SourceData.Common_SourceData_MCFTemperatureZone_Data(),Table_SourceData_Common_MCFTemperatureZone[[#Headers],[Temperature zone]],0)</f>
        <v>0.02</v>
      </c>
      <c r="L233" s="34" cm="1">
        <f t="array" ref="L233">Common_InputFunctions.Utility_DisplayArrayInTable(Common_SourceData.Common_SourceData_MCFTemperatureZone_Data(),Table_SourceData_Common_MCFTemperatureZone[[#Headers],[Temperature zone]],0)</f>
        <v>0.03</v>
      </c>
      <c r="M233" s="34" cm="1">
        <f t="array" ref="M233">Common_InputFunctions.Utility_DisplayArrayInTable(Common_SourceData.Common_SourceData_MCFTemperatureZone_Data(),Table_SourceData_Common_MCFTemperatureZone[[#Headers],[Temperature zone]],0)</f>
        <v>0.04</v>
      </c>
      <c r="N233" s="34" cm="1">
        <f t="array" ref="N233">Common_InputFunctions.Utility_DisplayArrayInTable(Common_SourceData.Common_SourceData_MCFTemperatureZone_Data(),Table_SourceData_Common_MCFTemperatureZone[[#Headers],[Temperature zone]],0)</f>
        <v>1.4999999999999999E-2</v>
      </c>
      <c r="O233" s="34" cm="1">
        <f t="array" ref="O233">Common_InputFunctions.Utility_DisplayArrayInTable(Common_SourceData.Common_SourceData_MCFTemperatureZone_Data(),Table_SourceData_Common_MCFTemperatureZone[[#Headers],[Temperature zone]],0)</f>
        <v>1.4999999999999999E-2</v>
      </c>
      <c r="P233" s="34" cm="1">
        <f t="array" ref="P233">Common_InputFunctions.Utility_DisplayArrayInTable(Common_SourceData.Common_SourceData_MCFTemperatureZone_Data(),Table_SourceData_Common_MCFTemperatureZone[[#Headers],[Temperature zone]],0)</f>
        <v>0</v>
      </c>
      <c r="Q233" s="34" cm="1">
        <f t="array" ref="Q233">Common_InputFunctions.Utility_DisplayArrayInTable(Common_SourceData.Common_SourceData_MCFTemperatureZone_Data(),Table_SourceData_Common_MCFTemperatureZone[[#Headers],[Temperature zone]],0)</f>
        <v>0</v>
      </c>
      <c r="R233" s="34" cm="1">
        <f t="array" ref="R233">Common_InputFunctions.Utility_DisplayArrayInTable(Common_SourceData.Common_SourceData_MCFTemperatureZone_Data(),Table_SourceData_Common_MCFTemperatureZone[[#Headers],[Temperature zone]],0)</f>
        <v>4.7000000000000002E-3</v>
      </c>
      <c r="S233" s="3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4" cm="1">
        <f t="array" ref="E234">Common_InputFunctions.Utility_DisplayArrayInTable(Common_SourceData.Common_SourceData_MCFTemperatureZone_Data(),Table_SourceData_Common_MCFTemperatureZone[[#Headers],[Temperature zone]],0)</f>
        <v>12</v>
      </c>
      <c r="F234" s="34" cm="1">
        <f t="array" ref="F234">Common_InputFunctions.Utility_DisplayArrayInTable(Common_SourceData.Common_SourceData_MCFTemperatureZone_Data(),Table_SourceData_Common_MCFTemperatureZone[[#Headers],[Temperature zone]],0)</f>
        <v>0.7</v>
      </c>
      <c r="G234" s="34" cm="1">
        <f t="array" ref="G234">Common_InputFunctions.Utility_DisplayArrayInTable(Common_SourceData.Common_SourceData_MCFTemperatureZone_Data(),Table_SourceData_Common_MCFTemperatureZone[[#Headers],[Temperature zone]],0)</f>
        <v>0.1</v>
      </c>
      <c r="H234" s="34" cm="1">
        <f t="array" ref="H234">Common_InputFunctions.Utility_DisplayArrayInTable(Common_SourceData.Common_SourceData_MCFTemperatureZone_Data(),Table_SourceData_Common_MCFTemperatureZone[[#Headers],[Temperature zone]],0)</f>
        <v>0.13</v>
      </c>
      <c r="I234" s="34" cm="1">
        <f t="array" ref="I234">Common_InputFunctions.Utility_DisplayArrayInTable(Common_SourceData.Common_SourceData_MCFTemperatureZone_Data(),Table_SourceData_Common_MCFTemperatureZone[[#Headers],[Temperature zone]],0)</f>
        <v>1E-3</v>
      </c>
      <c r="J234" s="34" cm="1">
        <f t="array" ref="J234">Common_InputFunctions.Utility_DisplayArrayInTable(Common_SourceData.Common_SourceData_MCFTemperatureZone_Data(),Table_SourceData_Common_MCFTemperatureZone[[#Headers],[Temperature zone]],0)</f>
        <v>5.0000000000000001E-3</v>
      </c>
      <c r="K234" s="34" cm="1">
        <f t="array" ref="K234">Common_InputFunctions.Utility_DisplayArrayInTable(Common_SourceData.Common_SourceData_MCFTemperatureZone_Data(),Table_SourceData_Common_MCFTemperatureZone[[#Headers],[Temperature zone]],0)</f>
        <v>0.02</v>
      </c>
      <c r="L234" s="34" cm="1">
        <f t="array" ref="L234">Common_InputFunctions.Utility_DisplayArrayInTable(Common_SourceData.Common_SourceData_MCFTemperatureZone_Data(),Table_SourceData_Common_MCFTemperatureZone[[#Headers],[Temperature zone]],0)</f>
        <v>0.03</v>
      </c>
      <c r="M234" s="34" cm="1">
        <f t="array" ref="M234">Common_InputFunctions.Utility_DisplayArrayInTable(Common_SourceData.Common_SourceData_MCFTemperatureZone_Data(),Table_SourceData_Common_MCFTemperatureZone[[#Headers],[Temperature zone]],0)</f>
        <v>0.04</v>
      </c>
      <c r="N234" s="34" cm="1">
        <f t="array" ref="N234">Common_InputFunctions.Utility_DisplayArrayInTable(Common_SourceData.Common_SourceData_MCFTemperatureZone_Data(),Table_SourceData_Common_MCFTemperatureZone[[#Headers],[Temperature zone]],0)</f>
        <v>1.4999999999999999E-2</v>
      </c>
      <c r="O234" s="34" cm="1">
        <f t="array" ref="O234">Common_InputFunctions.Utility_DisplayArrayInTable(Common_SourceData.Common_SourceData_MCFTemperatureZone_Data(),Table_SourceData_Common_MCFTemperatureZone[[#Headers],[Temperature zone]],0)</f>
        <v>1.4999999999999999E-2</v>
      </c>
      <c r="P234" s="34" cm="1">
        <f t="array" ref="P234">Common_InputFunctions.Utility_DisplayArrayInTable(Common_SourceData.Common_SourceData_MCFTemperatureZone_Data(),Table_SourceData_Common_MCFTemperatureZone[[#Headers],[Temperature zone]],0)</f>
        <v>0</v>
      </c>
      <c r="Q234" s="34" cm="1">
        <f t="array" ref="Q234">Common_InputFunctions.Utility_DisplayArrayInTable(Common_SourceData.Common_SourceData_MCFTemperatureZone_Data(),Table_SourceData_Common_MCFTemperatureZone[[#Headers],[Temperature zone]],0)</f>
        <v>0</v>
      </c>
      <c r="R234" s="34" cm="1">
        <f t="array" ref="R234">Common_InputFunctions.Utility_DisplayArrayInTable(Common_SourceData.Common_SourceData_MCFTemperatureZone_Data(),Table_SourceData_Common_MCFTemperatureZone[[#Headers],[Temperature zone]],0)</f>
        <v>4.7000000000000002E-3</v>
      </c>
      <c r="S234" s="3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4" cm="1">
        <f t="array" ref="E235">Common_InputFunctions.Utility_DisplayArrayInTable(Common_SourceData.Common_SourceData_MCFTemperatureZone_Data(),Table_SourceData_Common_MCFTemperatureZone[[#Headers],[Temperature zone]],0)</f>
        <v>13</v>
      </c>
      <c r="F235" s="34" cm="1">
        <f t="array" ref="F235">Common_InputFunctions.Utility_DisplayArrayInTable(Common_SourceData.Common_SourceData_MCFTemperatureZone_Data(),Table_SourceData_Common_MCFTemperatureZone[[#Headers],[Temperature zone]],0)</f>
        <v>0.71</v>
      </c>
      <c r="G235" s="34" cm="1">
        <f t="array" ref="G235">Common_InputFunctions.Utility_DisplayArrayInTable(Common_SourceData.Common_SourceData_MCFTemperatureZone_Data(),Table_SourceData_Common_MCFTemperatureZone[[#Headers],[Temperature zone]],0)</f>
        <v>0.1</v>
      </c>
      <c r="H235" s="34" cm="1">
        <f t="array" ref="H235">Common_InputFunctions.Utility_DisplayArrayInTable(Common_SourceData.Common_SourceData_MCFTemperatureZone_Data(),Table_SourceData_Common_MCFTemperatureZone[[#Headers],[Temperature zone]],0)</f>
        <v>0.14000000000000001</v>
      </c>
      <c r="I235" s="34" cm="1">
        <f t="array" ref="I235">Common_InputFunctions.Utility_DisplayArrayInTable(Common_SourceData.Common_SourceData_MCFTemperatureZone_Data(),Table_SourceData_Common_MCFTemperatureZone[[#Headers],[Temperature zone]],0)</f>
        <v>1E-3</v>
      </c>
      <c r="J235" s="34" cm="1">
        <f t="array" ref="J235">Common_InputFunctions.Utility_DisplayArrayInTable(Common_SourceData.Common_SourceData_MCFTemperatureZone_Data(),Table_SourceData_Common_MCFTemperatureZone[[#Headers],[Temperature zone]],0)</f>
        <v>5.0000000000000001E-3</v>
      </c>
      <c r="K235" s="34" cm="1">
        <f t="array" ref="K235">Common_InputFunctions.Utility_DisplayArrayInTable(Common_SourceData.Common_SourceData_MCFTemperatureZone_Data(),Table_SourceData_Common_MCFTemperatureZone[[#Headers],[Temperature zone]],0)</f>
        <v>0.02</v>
      </c>
      <c r="L235" s="34" cm="1">
        <f t="array" ref="L235">Common_InputFunctions.Utility_DisplayArrayInTable(Common_SourceData.Common_SourceData_MCFTemperatureZone_Data(),Table_SourceData_Common_MCFTemperatureZone[[#Headers],[Temperature zone]],0)</f>
        <v>0.03</v>
      </c>
      <c r="M235" s="34" cm="1">
        <f t="array" ref="M235">Common_InputFunctions.Utility_DisplayArrayInTable(Common_SourceData.Common_SourceData_MCFTemperatureZone_Data(),Table_SourceData_Common_MCFTemperatureZone[[#Headers],[Temperature zone]],0)</f>
        <v>0.04</v>
      </c>
      <c r="N235" s="34" cm="1">
        <f t="array" ref="N235">Common_InputFunctions.Utility_DisplayArrayInTable(Common_SourceData.Common_SourceData_MCFTemperatureZone_Data(),Table_SourceData_Common_MCFTemperatureZone[[#Headers],[Temperature zone]],0)</f>
        <v>1.4999999999999999E-2</v>
      </c>
      <c r="O235" s="34" cm="1">
        <f t="array" ref="O235">Common_InputFunctions.Utility_DisplayArrayInTable(Common_SourceData.Common_SourceData_MCFTemperatureZone_Data(),Table_SourceData_Common_MCFTemperatureZone[[#Headers],[Temperature zone]],0)</f>
        <v>1.4999999999999999E-2</v>
      </c>
      <c r="P235" s="34" cm="1">
        <f t="array" ref="P235">Common_InputFunctions.Utility_DisplayArrayInTable(Common_SourceData.Common_SourceData_MCFTemperatureZone_Data(),Table_SourceData_Common_MCFTemperatureZone[[#Headers],[Temperature zone]],0)</f>
        <v>0</v>
      </c>
      <c r="Q235" s="34" cm="1">
        <f t="array" ref="Q235">Common_InputFunctions.Utility_DisplayArrayInTable(Common_SourceData.Common_SourceData_MCFTemperatureZone_Data(),Table_SourceData_Common_MCFTemperatureZone[[#Headers],[Temperature zone]],0)</f>
        <v>0</v>
      </c>
      <c r="R235" s="34" cm="1">
        <f t="array" ref="R235">Common_InputFunctions.Utility_DisplayArrayInTable(Common_SourceData.Common_SourceData_MCFTemperatureZone_Data(),Table_SourceData_Common_MCFTemperatureZone[[#Headers],[Temperature zone]],0)</f>
        <v>4.7000000000000002E-3</v>
      </c>
      <c r="S235" s="3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4" cm="1">
        <f t="array" ref="E236">Common_InputFunctions.Utility_DisplayArrayInTable(Common_SourceData.Common_SourceData_MCFTemperatureZone_Data(),Table_SourceData_Common_MCFTemperatureZone[[#Headers],[Temperature zone]],0)</f>
        <v>14</v>
      </c>
      <c r="F236" s="34" cm="1">
        <f t="array" ref="F236">Common_InputFunctions.Utility_DisplayArrayInTable(Common_SourceData.Common_SourceData_MCFTemperatureZone_Data(),Table_SourceData_Common_MCFTemperatureZone[[#Headers],[Temperature zone]],0)</f>
        <v>0.73</v>
      </c>
      <c r="G236" s="34" cm="1">
        <f t="array" ref="G236">Common_InputFunctions.Utility_DisplayArrayInTable(Common_SourceData.Common_SourceData_MCFTemperatureZone_Data(),Table_SourceData_Common_MCFTemperatureZone[[#Headers],[Temperature zone]],0)</f>
        <v>0.1</v>
      </c>
      <c r="H236" s="34" cm="1">
        <f t="array" ref="H236">Common_InputFunctions.Utility_DisplayArrayInTable(Common_SourceData.Common_SourceData_MCFTemperatureZone_Data(),Table_SourceData_Common_MCFTemperatureZone[[#Headers],[Temperature zone]],0)</f>
        <v>0.15</v>
      </c>
      <c r="I236" s="34" cm="1">
        <f t="array" ref="I236">Common_InputFunctions.Utility_DisplayArrayInTable(Common_SourceData.Common_SourceData_MCFTemperatureZone_Data(),Table_SourceData_Common_MCFTemperatureZone[[#Headers],[Temperature zone]],0)</f>
        <v>1E-3</v>
      </c>
      <c r="J236" s="34" cm="1">
        <f t="array" ref="J236">Common_InputFunctions.Utility_DisplayArrayInTable(Common_SourceData.Common_SourceData_MCFTemperatureZone_Data(),Table_SourceData_Common_MCFTemperatureZone[[#Headers],[Temperature zone]],0)</f>
        <v>5.0000000000000001E-3</v>
      </c>
      <c r="K236" s="34" cm="1">
        <f t="array" ref="K236">Common_InputFunctions.Utility_DisplayArrayInTable(Common_SourceData.Common_SourceData_MCFTemperatureZone_Data(),Table_SourceData_Common_MCFTemperatureZone[[#Headers],[Temperature zone]],0)</f>
        <v>0.02</v>
      </c>
      <c r="L236" s="34" cm="1">
        <f t="array" ref="L236">Common_InputFunctions.Utility_DisplayArrayInTable(Common_SourceData.Common_SourceData_MCFTemperatureZone_Data(),Table_SourceData_Common_MCFTemperatureZone[[#Headers],[Temperature zone]],0)</f>
        <v>0.03</v>
      </c>
      <c r="M236" s="34" cm="1">
        <f t="array" ref="M236">Common_InputFunctions.Utility_DisplayArrayInTable(Common_SourceData.Common_SourceData_MCFTemperatureZone_Data(),Table_SourceData_Common_MCFTemperatureZone[[#Headers],[Temperature zone]],0)</f>
        <v>0.04</v>
      </c>
      <c r="N236" s="34" cm="1">
        <f t="array" ref="N236">Common_InputFunctions.Utility_DisplayArrayInTable(Common_SourceData.Common_SourceData_MCFTemperatureZone_Data(),Table_SourceData_Common_MCFTemperatureZone[[#Headers],[Temperature zone]],0)</f>
        <v>1.4999999999999999E-2</v>
      </c>
      <c r="O236" s="34" cm="1">
        <f t="array" ref="O236">Common_InputFunctions.Utility_DisplayArrayInTable(Common_SourceData.Common_SourceData_MCFTemperatureZone_Data(),Table_SourceData_Common_MCFTemperatureZone[[#Headers],[Temperature zone]],0)</f>
        <v>1.4999999999999999E-2</v>
      </c>
      <c r="P236" s="34" cm="1">
        <f t="array" ref="P236">Common_InputFunctions.Utility_DisplayArrayInTable(Common_SourceData.Common_SourceData_MCFTemperatureZone_Data(),Table_SourceData_Common_MCFTemperatureZone[[#Headers],[Temperature zone]],0)</f>
        <v>0</v>
      </c>
      <c r="Q236" s="34" cm="1">
        <f t="array" ref="Q236">Common_InputFunctions.Utility_DisplayArrayInTable(Common_SourceData.Common_SourceData_MCFTemperatureZone_Data(),Table_SourceData_Common_MCFTemperatureZone[[#Headers],[Temperature zone]],0)</f>
        <v>0</v>
      </c>
      <c r="R236" s="34" cm="1">
        <f t="array" ref="R236">Common_InputFunctions.Utility_DisplayArrayInTable(Common_SourceData.Common_SourceData_MCFTemperatureZone_Data(),Table_SourceData_Common_MCFTemperatureZone[[#Headers],[Temperature zone]],0)</f>
        <v>4.7000000000000002E-3</v>
      </c>
      <c r="S236" s="3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4" cm="1">
        <f t="array" ref="E237">Common_InputFunctions.Utility_DisplayArrayInTable(Common_SourceData.Common_SourceData_MCFTemperatureZone_Data(),Table_SourceData_Common_MCFTemperatureZone[[#Headers],[Temperature zone]],0)</f>
        <v>15</v>
      </c>
      <c r="F237" s="34" cm="1">
        <f t="array" ref="F237">Common_InputFunctions.Utility_DisplayArrayInTable(Common_SourceData.Common_SourceData_MCFTemperatureZone_Data(),Table_SourceData_Common_MCFTemperatureZone[[#Headers],[Temperature zone]],0)</f>
        <v>0.74</v>
      </c>
      <c r="G237" s="34" cm="1">
        <f t="array" ref="G237">Common_InputFunctions.Utility_DisplayArrayInTable(Common_SourceData.Common_SourceData_MCFTemperatureZone_Data(),Table_SourceData_Common_MCFTemperatureZone[[#Headers],[Temperature zone]],0)</f>
        <v>0.1</v>
      </c>
      <c r="H237" s="34" cm="1">
        <f t="array" ref="H237">Common_InputFunctions.Utility_DisplayArrayInTable(Common_SourceData.Common_SourceData_MCFTemperatureZone_Data(),Table_SourceData_Common_MCFTemperatureZone[[#Headers],[Temperature zone]],0)</f>
        <v>0.17</v>
      </c>
      <c r="I237" s="34" cm="1">
        <f t="array" ref="I237">Common_InputFunctions.Utility_DisplayArrayInTable(Common_SourceData.Common_SourceData_MCFTemperatureZone_Data(),Table_SourceData_Common_MCFTemperatureZone[[#Headers],[Temperature zone]],0)</f>
        <v>5.0000000000000001E-3</v>
      </c>
      <c r="J237" s="34" cm="1">
        <f t="array" ref="J237">Common_InputFunctions.Utility_DisplayArrayInTable(Common_SourceData.Common_SourceData_MCFTemperatureZone_Data(),Table_SourceData_Common_MCFTemperatureZone[[#Headers],[Temperature zone]],0)</f>
        <v>0.01</v>
      </c>
      <c r="K237" s="34" cm="1">
        <f t="array" ref="K237">Common_InputFunctions.Utility_DisplayArrayInTable(Common_SourceData.Common_SourceData_MCFTemperatureZone_Data(),Table_SourceData_Common_MCFTemperatureZone[[#Headers],[Temperature zone]],0)</f>
        <v>0.02</v>
      </c>
      <c r="L237" s="34" cm="1">
        <f t="array" ref="L237">Common_InputFunctions.Utility_DisplayArrayInTable(Common_SourceData.Common_SourceData_MCFTemperatureZone_Data(),Table_SourceData_Common_MCFTemperatureZone[[#Headers],[Temperature zone]],0)</f>
        <v>0.03</v>
      </c>
      <c r="M237" s="34" cm="1">
        <f t="array" ref="M237">Common_InputFunctions.Utility_DisplayArrayInTable(Common_SourceData.Common_SourceData_MCFTemperatureZone_Data(),Table_SourceData_Common_MCFTemperatureZone[[#Headers],[Temperature zone]],0)</f>
        <v>0.04</v>
      </c>
      <c r="N237" s="34" cm="1">
        <f t="array" ref="N237">Common_InputFunctions.Utility_DisplayArrayInTable(Common_SourceData.Common_SourceData_MCFTemperatureZone_Data(),Table_SourceData_Common_MCFTemperatureZone[[#Headers],[Temperature zone]],0)</f>
        <v>1.4999999999999999E-2</v>
      </c>
      <c r="O237" s="34" cm="1">
        <f t="array" ref="O237">Common_InputFunctions.Utility_DisplayArrayInTable(Common_SourceData.Common_SourceData_MCFTemperatureZone_Data(),Table_SourceData_Common_MCFTemperatureZone[[#Headers],[Temperature zone]],0)</f>
        <v>1.4999999999999999E-2</v>
      </c>
      <c r="P237" s="34" cm="1">
        <f t="array" ref="P237">Common_InputFunctions.Utility_DisplayArrayInTable(Common_SourceData.Common_SourceData_MCFTemperatureZone_Data(),Table_SourceData_Common_MCFTemperatureZone[[#Headers],[Temperature zone]],0)</f>
        <v>0</v>
      </c>
      <c r="Q237" s="34" cm="1">
        <f t="array" ref="Q237">Common_InputFunctions.Utility_DisplayArrayInTable(Common_SourceData.Common_SourceData_MCFTemperatureZone_Data(),Table_SourceData_Common_MCFTemperatureZone[[#Headers],[Temperature zone]],0)</f>
        <v>0</v>
      </c>
      <c r="R237" s="34" cm="1">
        <f t="array" ref="R237">Common_InputFunctions.Utility_DisplayArrayInTable(Common_SourceData.Common_SourceData_MCFTemperatureZone_Data(),Table_SourceData_Common_MCFTemperatureZone[[#Headers],[Temperature zone]],0)</f>
        <v>4.7000000000000002E-3</v>
      </c>
      <c r="S237" s="3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4" cm="1">
        <f t="array" ref="E238">Common_InputFunctions.Utility_DisplayArrayInTable(Common_SourceData.Common_SourceData_MCFTemperatureZone_Data(),Table_SourceData_Common_MCFTemperatureZone[[#Headers],[Temperature zone]],0)</f>
        <v>16</v>
      </c>
      <c r="F238" s="34" cm="1">
        <f t="array" ref="F238">Common_InputFunctions.Utility_DisplayArrayInTable(Common_SourceData.Common_SourceData_MCFTemperatureZone_Data(),Table_SourceData_Common_MCFTemperatureZone[[#Headers],[Temperature zone]],0)</f>
        <v>0.75</v>
      </c>
      <c r="G238" s="34" cm="1">
        <f t="array" ref="G238">Common_InputFunctions.Utility_DisplayArrayInTable(Common_SourceData.Common_SourceData_MCFTemperatureZone_Data(),Table_SourceData_Common_MCFTemperatureZone[[#Headers],[Temperature zone]],0)</f>
        <v>0.1</v>
      </c>
      <c r="H238" s="34" cm="1">
        <f t="array" ref="H238">Common_InputFunctions.Utility_DisplayArrayInTable(Common_SourceData.Common_SourceData_MCFTemperatureZone_Data(),Table_SourceData_Common_MCFTemperatureZone[[#Headers],[Temperature zone]],0)</f>
        <v>0.18</v>
      </c>
      <c r="I238" s="34" cm="1">
        <f t="array" ref="I238">Common_InputFunctions.Utility_DisplayArrayInTable(Common_SourceData.Common_SourceData_MCFTemperatureZone_Data(),Table_SourceData_Common_MCFTemperatureZone[[#Headers],[Temperature zone]],0)</f>
        <v>5.0000000000000001E-3</v>
      </c>
      <c r="J238" s="34" cm="1">
        <f t="array" ref="J238">Common_InputFunctions.Utility_DisplayArrayInTable(Common_SourceData.Common_SourceData_MCFTemperatureZone_Data(),Table_SourceData_Common_MCFTemperatureZone[[#Headers],[Temperature zone]],0)</f>
        <v>0.01</v>
      </c>
      <c r="K238" s="34" cm="1">
        <f t="array" ref="K238">Common_InputFunctions.Utility_DisplayArrayInTable(Common_SourceData.Common_SourceData_MCFTemperatureZone_Data(),Table_SourceData_Common_MCFTemperatureZone[[#Headers],[Temperature zone]],0)</f>
        <v>0.02</v>
      </c>
      <c r="L238" s="34" cm="1">
        <f t="array" ref="L238">Common_InputFunctions.Utility_DisplayArrayInTable(Common_SourceData.Common_SourceData_MCFTemperatureZone_Data(),Table_SourceData_Common_MCFTemperatureZone[[#Headers],[Temperature zone]],0)</f>
        <v>0.03</v>
      </c>
      <c r="M238" s="34" cm="1">
        <f t="array" ref="M238">Common_InputFunctions.Utility_DisplayArrayInTable(Common_SourceData.Common_SourceData_MCFTemperatureZone_Data(),Table_SourceData_Common_MCFTemperatureZone[[#Headers],[Temperature zone]],0)</f>
        <v>0.04</v>
      </c>
      <c r="N238" s="34" cm="1">
        <f t="array" ref="N238">Common_InputFunctions.Utility_DisplayArrayInTable(Common_SourceData.Common_SourceData_MCFTemperatureZone_Data(),Table_SourceData_Common_MCFTemperatureZone[[#Headers],[Temperature zone]],0)</f>
        <v>1.4999999999999999E-2</v>
      </c>
      <c r="O238" s="34" cm="1">
        <f t="array" ref="O238">Common_InputFunctions.Utility_DisplayArrayInTable(Common_SourceData.Common_SourceData_MCFTemperatureZone_Data(),Table_SourceData_Common_MCFTemperatureZone[[#Headers],[Temperature zone]],0)</f>
        <v>1.4999999999999999E-2</v>
      </c>
      <c r="P238" s="34" cm="1">
        <f t="array" ref="P238">Common_InputFunctions.Utility_DisplayArrayInTable(Common_SourceData.Common_SourceData_MCFTemperatureZone_Data(),Table_SourceData_Common_MCFTemperatureZone[[#Headers],[Temperature zone]],0)</f>
        <v>0</v>
      </c>
      <c r="Q238" s="34" cm="1">
        <f t="array" ref="Q238">Common_InputFunctions.Utility_DisplayArrayInTable(Common_SourceData.Common_SourceData_MCFTemperatureZone_Data(),Table_SourceData_Common_MCFTemperatureZone[[#Headers],[Temperature zone]],0)</f>
        <v>0</v>
      </c>
      <c r="R238" s="34" cm="1">
        <f t="array" ref="R238">Common_InputFunctions.Utility_DisplayArrayInTable(Common_SourceData.Common_SourceData_MCFTemperatureZone_Data(),Table_SourceData_Common_MCFTemperatureZone[[#Headers],[Temperature zone]],0)</f>
        <v>4.7000000000000002E-3</v>
      </c>
      <c r="S238" s="3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4" cm="1">
        <f t="array" ref="E239">Common_InputFunctions.Utility_DisplayArrayInTable(Common_SourceData.Common_SourceData_MCFTemperatureZone_Data(),Table_SourceData_Common_MCFTemperatureZone[[#Headers],[Temperature zone]],0)</f>
        <v>17</v>
      </c>
      <c r="F239" s="34" cm="1">
        <f t="array" ref="F239">Common_InputFunctions.Utility_DisplayArrayInTable(Common_SourceData.Common_SourceData_MCFTemperatureZone_Data(),Table_SourceData_Common_MCFTemperatureZone[[#Headers],[Temperature zone]],0)</f>
        <v>0.76</v>
      </c>
      <c r="G239" s="34" cm="1">
        <f t="array" ref="G239">Common_InputFunctions.Utility_DisplayArrayInTable(Common_SourceData.Common_SourceData_MCFTemperatureZone_Data(),Table_SourceData_Common_MCFTemperatureZone[[#Headers],[Temperature zone]],0)</f>
        <v>0.1</v>
      </c>
      <c r="H239" s="34" cm="1">
        <f t="array" ref="H239">Common_InputFunctions.Utility_DisplayArrayInTable(Common_SourceData.Common_SourceData_MCFTemperatureZone_Data(),Table_SourceData_Common_MCFTemperatureZone[[#Headers],[Temperature zone]],0)</f>
        <v>0.2</v>
      </c>
      <c r="I239" s="34" cm="1">
        <f t="array" ref="I239">Common_InputFunctions.Utility_DisplayArrayInTable(Common_SourceData.Common_SourceData_MCFTemperatureZone_Data(),Table_SourceData_Common_MCFTemperatureZone[[#Headers],[Temperature zone]],0)</f>
        <v>5.0000000000000001E-3</v>
      </c>
      <c r="J239" s="34" cm="1">
        <f t="array" ref="J239">Common_InputFunctions.Utility_DisplayArrayInTable(Common_SourceData.Common_SourceData_MCFTemperatureZone_Data(),Table_SourceData_Common_MCFTemperatureZone[[#Headers],[Temperature zone]],0)</f>
        <v>0.01</v>
      </c>
      <c r="K239" s="34" cm="1">
        <f t="array" ref="K239">Common_InputFunctions.Utility_DisplayArrayInTable(Common_SourceData.Common_SourceData_MCFTemperatureZone_Data(),Table_SourceData_Common_MCFTemperatureZone[[#Headers],[Temperature zone]],0)</f>
        <v>0.02</v>
      </c>
      <c r="L239" s="34" cm="1">
        <f t="array" ref="L239">Common_InputFunctions.Utility_DisplayArrayInTable(Common_SourceData.Common_SourceData_MCFTemperatureZone_Data(),Table_SourceData_Common_MCFTemperatureZone[[#Headers],[Temperature zone]],0)</f>
        <v>0.03</v>
      </c>
      <c r="M239" s="34" cm="1">
        <f t="array" ref="M239">Common_InputFunctions.Utility_DisplayArrayInTable(Common_SourceData.Common_SourceData_MCFTemperatureZone_Data(),Table_SourceData_Common_MCFTemperatureZone[[#Headers],[Temperature zone]],0)</f>
        <v>0.04</v>
      </c>
      <c r="N239" s="34" cm="1">
        <f t="array" ref="N239">Common_InputFunctions.Utility_DisplayArrayInTable(Common_SourceData.Common_SourceData_MCFTemperatureZone_Data(),Table_SourceData_Common_MCFTemperatureZone[[#Headers],[Temperature zone]],0)</f>
        <v>1.4999999999999999E-2</v>
      </c>
      <c r="O239" s="34" cm="1">
        <f t="array" ref="O239">Common_InputFunctions.Utility_DisplayArrayInTable(Common_SourceData.Common_SourceData_MCFTemperatureZone_Data(),Table_SourceData_Common_MCFTemperatureZone[[#Headers],[Temperature zone]],0)</f>
        <v>1.4999999999999999E-2</v>
      </c>
      <c r="P239" s="34" cm="1">
        <f t="array" ref="P239">Common_InputFunctions.Utility_DisplayArrayInTable(Common_SourceData.Common_SourceData_MCFTemperatureZone_Data(),Table_SourceData_Common_MCFTemperatureZone[[#Headers],[Temperature zone]],0)</f>
        <v>0</v>
      </c>
      <c r="Q239" s="34" cm="1">
        <f t="array" ref="Q239">Common_InputFunctions.Utility_DisplayArrayInTable(Common_SourceData.Common_SourceData_MCFTemperatureZone_Data(),Table_SourceData_Common_MCFTemperatureZone[[#Headers],[Temperature zone]],0)</f>
        <v>0</v>
      </c>
      <c r="R239" s="34" cm="1">
        <f t="array" ref="R239">Common_InputFunctions.Utility_DisplayArrayInTable(Common_SourceData.Common_SourceData_MCFTemperatureZone_Data(),Table_SourceData_Common_MCFTemperatureZone[[#Headers],[Temperature zone]],0)</f>
        <v>4.7000000000000002E-3</v>
      </c>
      <c r="S239" s="3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4" cm="1">
        <f t="array" ref="E240">Common_InputFunctions.Utility_DisplayArrayInTable(Common_SourceData.Common_SourceData_MCFTemperatureZone_Data(),Table_SourceData_Common_MCFTemperatureZone[[#Headers],[Temperature zone]],0)</f>
        <v>18</v>
      </c>
      <c r="F240" s="34" cm="1">
        <f t="array" ref="F240">Common_InputFunctions.Utility_DisplayArrayInTable(Common_SourceData.Common_SourceData_MCFTemperatureZone_Data(),Table_SourceData_Common_MCFTemperatureZone[[#Headers],[Temperature zone]],0)</f>
        <v>0.77</v>
      </c>
      <c r="G240" s="34" cm="1">
        <f t="array" ref="G240">Common_InputFunctions.Utility_DisplayArrayInTable(Common_SourceData.Common_SourceData_MCFTemperatureZone_Data(),Table_SourceData_Common_MCFTemperatureZone[[#Headers],[Temperature zone]],0)</f>
        <v>0.1</v>
      </c>
      <c r="H240" s="34" cm="1">
        <f t="array" ref="H240">Common_InputFunctions.Utility_DisplayArrayInTable(Common_SourceData.Common_SourceData_MCFTemperatureZone_Data(),Table_SourceData_Common_MCFTemperatureZone[[#Headers],[Temperature zone]],0)</f>
        <v>0.22</v>
      </c>
      <c r="I240" s="34" cm="1">
        <f t="array" ref="I240">Common_InputFunctions.Utility_DisplayArrayInTable(Common_SourceData.Common_SourceData_MCFTemperatureZone_Data(),Table_SourceData_Common_MCFTemperatureZone[[#Headers],[Temperature zone]],0)</f>
        <v>5.0000000000000001E-3</v>
      </c>
      <c r="J240" s="34" cm="1">
        <f t="array" ref="J240">Common_InputFunctions.Utility_DisplayArrayInTable(Common_SourceData.Common_SourceData_MCFTemperatureZone_Data(),Table_SourceData_Common_MCFTemperatureZone[[#Headers],[Temperature zone]],0)</f>
        <v>0.01</v>
      </c>
      <c r="K240" s="34" cm="1">
        <f t="array" ref="K240">Common_InputFunctions.Utility_DisplayArrayInTable(Common_SourceData.Common_SourceData_MCFTemperatureZone_Data(),Table_SourceData_Common_MCFTemperatureZone[[#Headers],[Temperature zone]],0)</f>
        <v>0.02</v>
      </c>
      <c r="L240" s="34" cm="1">
        <f t="array" ref="L240">Common_InputFunctions.Utility_DisplayArrayInTable(Common_SourceData.Common_SourceData_MCFTemperatureZone_Data(),Table_SourceData_Common_MCFTemperatureZone[[#Headers],[Temperature zone]],0)</f>
        <v>0.03</v>
      </c>
      <c r="M240" s="34" cm="1">
        <f t="array" ref="M240">Common_InputFunctions.Utility_DisplayArrayInTable(Common_SourceData.Common_SourceData_MCFTemperatureZone_Data(),Table_SourceData_Common_MCFTemperatureZone[[#Headers],[Temperature zone]],0)</f>
        <v>0.04</v>
      </c>
      <c r="N240" s="34" cm="1">
        <f t="array" ref="N240">Common_InputFunctions.Utility_DisplayArrayInTable(Common_SourceData.Common_SourceData_MCFTemperatureZone_Data(),Table_SourceData_Common_MCFTemperatureZone[[#Headers],[Temperature zone]],0)</f>
        <v>1.4999999999999999E-2</v>
      </c>
      <c r="O240" s="34" cm="1">
        <f t="array" ref="O240">Common_InputFunctions.Utility_DisplayArrayInTable(Common_SourceData.Common_SourceData_MCFTemperatureZone_Data(),Table_SourceData_Common_MCFTemperatureZone[[#Headers],[Temperature zone]],0)</f>
        <v>1.4999999999999999E-2</v>
      </c>
      <c r="P240" s="34" cm="1">
        <f t="array" ref="P240">Common_InputFunctions.Utility_DisplayArrayInTable(Common_SourceData.Common_SourceData_MCFTemperatureZone_Data(),Table_SourceData_Common_MCFTemperatureZone[[#Headers],[Temperature zone]],0)</f>
        <v>0</v>
      </c>
      <c r="Q240" s="34" cm="1">
        <f t="array" ref="Q240">Common_InputFunctions.Utility_DisplayArrayInTable(Common_SourceData.Common_SourceData_MCFTemperatureZone_Data(),Table_SourceData_Common_MCFTemperatureZone[[#Headers],[Temperature zone]],0)</f>
        <v>0</v>
      </c>
      <c r="R240" s="34" cm="1">
        <f t="array" ref="R240">Common_InputFunctions.Utility_DisplayArrayInTable(Common_SourceData.Common_SourceData_MCFTemperatureZone_Data(),Table_SourceData_Common_MCFTemperatureZone[[#Headers],[Temperature zone]],0)</f>
        <v>4.7000000000000002E-3</v>
      </c>
      <c r="S240" s="3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4" cm="1">
        <f t="array" ref="E241">Common_InputFunctions.Utility_DisplayArrayInTable(Common_SourceData.Common_SourceData_MCFTemperatureZone_Data(),Table_SourceData_Common_MCFTemperatureZone[[#Headers],[Temperature zone]],0)</f>
        <v>19</v>
      </c>
      <c r="F241" s="34" cm="1">
        <f t="array" ref="F241">Common_InputFunctions.Utility_DisplayArrayInTable(Common_SourceData.Common_SourceData_MCFTemperatureZone_Data(),Table_SourceData_Common_MCFTemperatureZone[[#Headers],[Temperature zone]],0)</f>
        <v>0.77</v>
      </c>
      <c r="G241" s="34" cm="1">
        <f t="array" ref="G241">Common_InputFunctions.Utility_DisplayArrayInTable(Common_SourceData.Common_SourceData_MCFTemperatureZone_Data(),Table_SourceData_Common_MCFTemperatureZone[[#Headers],[Temperature zone]],0)</f>
        <v>0.1</v>
      </c>
      <c r="H241" s="34" cm="1">
        <f t="array" ref="H241">Common_InputFunctions.Utility_DisplayArrayInTable(Common_SourceData.Common_SourceData_MCFTemperatureZone_Data(),Table_SourceData_Common_MCFTemperatureZone[[#Headers],[Temperature zone]],0)</f>
        <v>0.24</v>
      </c>
      <c r="I241" s="34" cm="1">
        <f t="array" ref="I241">Common_InputFunctions.Utility_DisplayArrayInTable(Common_SourceData.Common_SourceData_MCFTemperatureZone_Data(),Table_SourceData_Common_MCFTemperatureZone[[#Headers],[Temperature zone]],0)</f>
        <v>5.0000000000000001E-3</v>
      </c>
      <c r="J241" s="34" cm="1">
        <f t="array" ref="J241">Common_InputFunctions.Utility_DisplayArrayInTable(Common_SourceData.Common_SourceData_MCFTemperatureZone_Data(),Table_SourceData_Common_MCFTemperatureZone[[#Headers],[Temperature zone]],0)</f>
        <v>0.01</v>
      </c>
      <c r="K241" s="34" cm="1">
        <f t="array" ref="K241">Common_InputFunctions.Utility_DisplayArrayInTable(Common_SourceData.Common_SourceData_MCFTemperatureZone_Data(),Table_SourceData_Common_MCFTemperatureZone[[#Headers],[Temperature zone]],0)</f>
        <v>0.02</v>
      </c>
      <c r="L241" s="34" cm="1">
        <f t="array" ref="L241">Common_InputFunctions.Utility_DisplayArrayInTable(Common_SourceData.Common_SourceData_MCFTemperatureZone_Data(),Table_SourceData_Common_MCFTemperatureZone[[#Headers],[Temperature zone]],0)</f>
        <v>0.03</v>
      </c>
      <c r="M241" s="34" cm="1">
        <f t="array" ref="M241">Common_InputFunctions.Utility_DisplayArrayInTable(Common_SourceData.Common_SourceData_MCFTemperatureZone_Data(),Table_SourceData_Common_MCFTemperatureZone[[#Headers],[Temperature zone]],0)</f>
        <v>0.04</v>
      </c>
      <c r="N241" s="34" cm="1">
        <f t="array" ref="N241">Common_InputFunctions.Utility_DisplayArrayInTable(Common_SourceData.Common_SourceData_MCFTemperatureZone_Data(),Table_SourceData_Common_MCFTemperatureZone[[#Headers],[Temperature zone]],0)</f>
        <v>1.4999999999999999E-2</v>
      </c>
      <c r="O241" s="34" cm="1">
        <f t="array" ref="O241">Common_InputFunctions.Utility_DisplayArrayInTable(Common_SourceData.Common_SourceData_MCFTemperatureZone_Data(),Table_SourceData_Common_MCFTemperatureZone[[#Headers],[Temperature zone]],0)</f>
        <v>1.4999999999999999E-2</v>
      </c>
      <c r="P241" s="34" cm="1">
        <f t="array" ref="P241">Common_InputFunctions.Utility_DisplayArrayInTable(Common_SourceData.Common_SourceData_MCFTemperatureZone_Data(),Table_SourceData_Common_MCFTemperatureZone[[#Headers],[Temperature zone]],0)</f>
        <v>0</v>
      </c>
      <c r="Q241" s="34" cm="1">
        <f t="array" ref="Q241">Common_InputFunctions.Utility_DisplayArrayInTable(Common_SourceData.Common_SourceData_MCFTemperatureZone_Data(),Table_SourceData_Common_MCFTemperatureZone[[#Headers],[Temperature zone]],0)</f>
        <v>0</v>
      </c>
      <c r="R241" s="34" cm="1">
        <f t="array" ref="R241">Common_InputFunctions.Utility_DisplayArrayInTable(Common_SourceData.Common_SourceData_MCFTemperatureZone_Data(),Table_SourceData_Common_MCFTemperatureZone[[#Headers],[Temperature zone]],0)</f>
        <v>4.7000000000000002E-3</v>
      </c>
      <c r="S241" s="3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4" cm="1">
        <f t="array" ref="E242">Common_InputFunctions.Utility_DisplayArrayInTable(Common_SourceData.Common_SourceData_MCFTemperatureZone_Data(),Table_SourceData_Common_MCFTemperatureZone[[#Headers],[Temperature zone]],0)</f>
        <v>20</v>
      </c>
      <c r="F242" s="34" cm="1">
        <f t="array" ref="F242">Common_InputFunctions.Utility_DisplayArrayInTable(Common_SourceData.Common_SourceData_MCFTemperatureZone_Data(),Table_SourceData_Common_MCFTemperatureZone[[#Headers],[Temperature zone]],0)</f>
        <v>0.78</v>
      </c>
      <c r="G242" s="34" cm="1">
        <f t="array" ref="G242">Common_InputFunctions.Utility_DisplayArrayInTable(Common_SourceData.Common_SourceData_MCFTemperatureZone_Data(),Table_SourceData_Common_MCFTemperatureZone[[#Headers],[Temperature zone]],0)</f>
        <v>0.1</v>
      </c>
      <c r="H242" s="34" cm="1">
        <f t="array" ref="H242">Common_InputFunctions.Utility_DisplayArrayInTable(Common_SourceData.Common_SourceData_MCFTemperatureZone_Data(),Table_SourceData_Common_MCFTemperatureZone[[#Headers],[Temperature zone]],0)</f>
        <v>0.26</v>
      </c>
      <c r="I242" s="34" cm="1">
        <f t="array" ref="I242">Common_InputFunctions.Utility_DisplayArrayInTable(Common_SourceData.Common_SourceData_MCFTemperatureZone_Data(),Table_SourceData_Common_MCFTemperatureZone[[#Headers],[Temperature zone]],0)</f>
        <v>5.0000000000000001E-3</v>
      </c>
      <c r="J242" s="34" cm="1">
        <f t="array" ref="J242">Common_InputFunctions.Utility_DisplayArrayInTable(Common_SourceData.Common_SourceData_MCFTemperatureZone_Data(),Table_SourceData_Common_MCFTemperatureZone[[#Headers],[Temperature zone]],0)</f>
        <v>0.01</v>
      </c>
      <c r="K242" s="34" cm="1">
        <f t="array" ref="K242">Common_InputFunctions.Utility_DisplayArrayInTable(Common_SourceData.Common_SourceData_MCFTemperatureZone_Data(),Table_SourceData_Common_MCFTemperatureZone[[#Headers],[Temperature zone]],0)</f>
        <v>0.02</v>
      </c>
      <c r="L242" s="34" cm="1">
        <f t="array" ref="L242">Common_InputFunctions.Utility_DisplayArrayInTable(Common_SourceData.Common_SourceData_MCFTemperatureZone_Data(),Table_SourceData_Common_MCFTemperatureZone[[#Headers],[Temperature zone]],0)</f>
        <v>0.03</v>
      </c>
      <c r="M242" s="34" cm="1">
        <f t="array" ref="M242">Common_InputFunctions.Utility_DisplayArrayInTable(Common_SourceData.Common_SourceData_MCFTemperatureZone_Data(),Table_SourceData_Common_MCFTemperatureZone[[#Headers],[Temperature zone]],0)</f>
        <v>0.04</v>
      </c>
      <c r="N242" s="34" cm="1">
        <f t="array" ref="N242">Common_InputFunctions.Utility_DisplayArrayInTable(Common_SourceData.Common_SourceData_MCFTemperatureZone_Data(),Table_SourceData_Common_MCFTemperatureZone[[#Headers],[Temperature zone]],0)</f>
        <v>1.4999999999999999E-2</v>
      </c>
      <c r="O242" s="34" cm="1">
        <f t="array" ref="O242">Common_InputFunctions.Utility_DisplayArrayInTable(Common_SourceData.Common_SourceData_MCFTemperatureZone_Data(),Table_SourceData_Common_MCFTemperatureZone[[#Headers],[Temperature zone]],0)</f>
        <v>1.4999999999999999E-2</v>
      </c>
      <c r="P242" s="34" cm="1">
        <f t="array" ref="P242">Common_InputFunctions.Utility_DisplayArrayInTable(Common_SourceData.Common_SourceData_MCFTemperatureZone_Data(),Table_SourceData_Common_MCFTemperatureZone[[#Headers],[Temperature zone]],0)</f>
        <v>0</v>
      </c>
      <c r="Q242" s="34" cm="1">
        <f t="array" ref="Q242">Common_InputFunctions.Utility_DisplayArrayInTable(Common_SourceData.Common_SourceData_MCFTemperatureZone_Data(),Table_SourceData_Common_MCFTemperatureZone[[#Headers],[Temperature zone]],0)</f>
        <v>0</v>
      </c>
      <c r="R242" s="34" cm="1">
        <f t="array" ref="R242">Common_InputFunctions.Utility_DisplayArrayInTable(Common_SourceData.Common_SourceData_MCFTemperatureZone_Data(),Table_SourceData_Common_MCFTemperatureZone[[#Headers],[Temperature zone]],0)</f>
        <v>4.7000000000000002E-3</v>
      </c>
      <c r="S242" s="3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4" cm="1">
        <f t="array" ref="E243">Common_InputFunctions.Utility_DisplayArrayInTable(Common_SourceData.Common_SourceData_MCFTemperatureZone_Data(),Table_SourceData_Common_MCFTemperatureZone[[#Headers],[Temperature zone]],0)</f>
        <v>21</v>
      </c>
      <c r="F243" s="34" cm="1">
        <f t="array" ref="F243">Common_InputFunctions.Utility_DisplayArrayInTable(Common_SourceData.Common_SourceData_MCFTemperatureZone_Data(),Table_SourceData_Common_MCFTemperatureZone[[#Headers],[Temperature zone]],0)</f>
        <v>0.78</v>
      </c>
      <c r="G243" s="34" cm="1">
        <f t="array" ref="G243">Common_InputFunctions.Utility_DisplayArrayInTable(Common_SourceData.Common_SourceData_MCFTemperatureZone_Data(),Table_SourceData_Common_MCFTemperatureZone[[#Headers],[Temperature zone]],0)</f>
        <v>0.1</v>
      </c>
      <c r="H243" s="34" cm="1">
        <f t="array" ref="H243">Common_InputFunctions.Utility_DisplayArrayInTable(Common_SourceData.Common_SourceData_MCFTemperatureZone_Data(),Table_SourceData_Common_MCFTemperatureZone[[#Headers],[Temperature zone]],0)</f>
        <v>0.28999999999999998</v>
      </c>
      <c r="I243" s="34" cm="1">
        <f t="array" ref="I243">Common_InputFunctions.Utility_DisplayArrayInTable(Common_SourceData.Common_SourceData_MCFTemperatureZone_Data(),Table_SourceData_Common_MCFTemperatureZone[[#Headers],[Temperature zone]],0)</f>
        <v>5.0000000000000001E-3</v>
      </c>
      <c r="J243" s="34" cm="1">
        <f t="array" ref="J243">Common_InputFunctions.Utility_DisplayArrayInTable(Common_SourceData.Common_SourceData_MCFTemperatureZone_Data(),Table_SourceData_Common_MCFTemperatureZone[[#Headers],[Temperature zone]],0)</f>
        <v>0.01</v>
      </c>
      <c r="K243" s="34" cm="1">
        <f t="array" ref="K243">Common_InputFunctions.Utility_DisplayArrayInTable(Common_SourceData.Common_SourceData_MCFTemperatureZone_Data(),Table_SourceData_Common_MCFTemperatureZone[[#Headers],[Temperature zone]],0)</f>
        <v>0.02</v>
      </c>
      <c r="L243" s="34" cm="1">
        <f t="array" ref="L243">Common_InputFunctions.Utility_DisplayArrayInTable(Common_SourceData.Common_SourceData_MCFTemperatureZone_Data(),Table_SourceData_Common_MCFTemperatureZone[[#Headers],[Temperature zone]],0)</f>
        <v>0.03</v>
      </c>
      <c r="M243" s="34" cm="1">
        <f t="array" ref="M243">Common_InputFunctions.Utility_DisplayArrayInTable(Common_SourceData.Common_SourceData_MCFTemperatureZone_Data(),Table_SourceData_Common_MCFTemperatureZone[[#Headers],[Temperature zone]],0)</f>
        <v>0.04</v>
      </c>
      <c r="N243" s="34" cm="1">
        <f t="array" ref="N243">Common_InputFunctions.Utility_DisplayArrayInTable(Common_SourceData.Common_SourceData_MCFTemperatureZone_Data(),Table_SourceData_Common_MCFTemperatureZone[[#Headers],[Temperature zone]],0)</f>
        <v>1.4999999999999999E-2</v>
      </c>
      <c r="O243" s="34" cm="1">
        <f t="array" ref="O243">Common_InputFunctions.Utility_DisplayArrayInTable(Common_SourceData.Common_SourceData_MCFTemperatureZone_Data(),Table_SourceData_Common_MCFTemperatureZone[[#Headers],[Temperature zone]],0)</f>
        <v>1.4999999999999999E-2</v>
      </c>
      <c r="P243" s="34" cm="1">
        <f t="array" ref="P243">Common_InputFunctions.Utility_DisplayArrayInTable(Common_SourceData.Common_SourceData_MCFTemperatureZone_Data(),Table_SourceData_Common_MCFTemperatureZone[[#Headers],[Temperature zone]],0)</f>
        <v>0</v>
      </c>
      <c r="Q243" s="34" cm="1">
        <f t="array" ref="Q243">Common_InputFunctions.Utility_DisplayArrayInTable(Common_SourceData.Common_SourceData_MCFTemperatureZone_Data(),Table_SourceData_Common_MCFTemperatureZone[[#Headers],[Temperature zone]],0)</f>
        <v>0</v>
      </c>
      <c r="R243" s="34" cm="1">
        <f t="array" ref="R243">Common_InputFunctions.Utility_DisplayArrayInTable(Common_SourceData.Common_SourceData_MCFTemperatureZone_Data(),Table_SourceData_Common_MCFTemperatureZone[[#Headers],[Temperature zone]],0)</f>
        <v>4.7000000000000002E-3</v>
      </c>
      <c r="S243" s="3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4" cm="1">
        <f t="array" ref="E244">Common_InputFunctions.Utility_DisplayArrayInTable(Common_SourceData.Common_SourceData_MCFTemperatureZone_Data(),Table_SourceData_Common_MCFTemperatureZone[[#Headers],[Temperature zone]],0)</f>
        <v>22</v>
      </c>
      <c r="F244" s="34" cm="1">
        <f t="array" ref="F244">Common_InputFunctions.Utility_DisplayArrayInTable(Common_SourceData.Common_SourceData_MCFTemperatureZone_Data(),Table_SourceData_Common_MCFTemperatureZone[[#Headers],[Temperature zone]],0)</f>
        <v>0.78</v>
      </c>
      <c r="G244" s="34" cm="1">
        <f t="array" ref="G244">Common_InputFunctions.Utility_DisplayArrayInTable(Common_SourceData.Common_SourceData_MCFTemperatureZone_Data(),Table_SourceData_Common_MCFTemperatureZone[[#Headers],[Temperature zone]],0)</f>
        <v>0.1</v>
      </c>
      <c r="H244" s="34" cm="1">
        <f t="array" ref="H244">Common_InputFunctions.Utility_DisplayArrayInTable(Common_SourceData.Common_SourceData_MCFTemperatureZone_Data(),Table_SourceData_Common_MCFTemperatureZone[[#Headers],[Temperature zone]],0)</f>
        <v>0.31</v>
      </c>
      <c r="I244" s="34" cm="1">
        <f t="array" ref="I244">Common_InputFunctions.Utility_DisplayArrayInTable(Common_SourceData.Common_SourceData_MCFTemperatureZone_Data(),Table_SourceData_Common_MCFTemperatureZone[[#Headers],[Temperature zone]],0)</f>
        <v>5.0000000000000001E-3</v>
      </c>
      <c r="J244" s="34" cm="1">
        <f t="array" ref="J244">Common_InputFunctions.Utility_DisplayArrayInTable(Common_SourceData.Common_SourceData_MCFTemperatureZone_Data(),Table_SourceData_Common_MCFTemperatureZone[[#Headers],[Temperature zone]],0)</f>
        <v>0.01</v>
      </c>
      <c r="K244" s="34" cm="1">
        <f t="array" ref="K244">Common_InputFunctions.Utility_DisplayArrayInTable(Common_SourceData.Common_SourceData_MCFTemperatureZone_Data(),Table_SourceData_Common_MCFTemperatureZone[[#Headers],[Temperature zone]],0)</f>
        <v>0.02</v>
      </c>
      <c r="L244" s="34" cm="1">
        <f t="array" ref="L244">Common_InputFunctions.Utility_DisplayArrayInTable(Common_SourceData.Common_SourceData_MCFTemperatureZone_Data(),Table_SourceData_Common_MCFTemperatureZone[[#Headers],[Temperature zone]],0)</f>
        <v>0.03</v>
      </c>
      <c r="M244" s="34" cm="1">
        <f t="array" ref="M244">Common_InputFunctions.Utility_DisplayArrayInTable(Common_SourceData.Common_SourceData_MCFTemperatureZone_Data(),Table_SourceData_Common_MCFTemperatureZone[[#Headers],[Temperature zone]],0)</f>
        <v>0.04</v>
      </c>
      <c r="N244" s="34" cm="1">
        <f t="array" ref="N244">Common_InputFunctions.Utility_DisplayArrayInTable(Common_SourceData.Common_SourceData_MCFTemperatureZone_Data(),Table_SourceData_Common_MCFTemperatureZone[[#Headers],[Temperature zone]],0)</f>
        <v>1.4999999999999999E-2</v>
      </c>
      <c r="O244" s="34" cm="1">
        <f t="array" ref="O244">Common_InputFunctions.Utility_DisplayArrayInTable(Common_SourceData.Common_SourceData_MCFTemperatureZone_Data(),Table_SourceData_Common_MCFTemperatureZone[[#Headers],[Temperature zone]],0)</f>
        <v>1.4999999999999999E-2</v>
      </c>
      <c r="P244" s="34" cm="1">
        <f t="array" ref="P244">Common_InputFunctions.Utility_DisplayArrayInTable(Common_SourceData.Common_SourceData_MCFTemperatureZone_Data(),Table_SourceData_Common_MCFTemperatureZone[[#Headers],[Temperature zone]],0)</f>
        <v>0</v>
      </c>
      <c r="Q244" s="34" cm="1">
        <f t="array" ref="Q244">Common_InputFunctions.Utility_DisplayArrayInTable(Common_SourceData.Common_SourceData_MCFTemperatureZone_Data(),Table_SourceData_Common_MCFTemperatureZone[[#Headers],[Temperature zone]],0)</f>
        <v>0</v>
      </c>
      <c r="R244" s="34" cm="1">
        <f t="array" ref="R244">Common_InputFunctions.Utility_DisplayArrayInTable(Common_SourceData.Common_SourceData_MCFTemperatureZone_Data(),Table_SourceData_Common_MCFTemperatureZone[[#Headers],[Temperature zone]],0)</f>
        <v>4.7000000000000002E-3</v>
      </c>
      <c r="S244" s="3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4" cm="1">
        <f t="array" ref="E245">Common_InputFunctions.Utility_DisplayArrayInTable(Common_SourceData.Common_SourceData_MCFTemperatureZone_Data(),Table_SourceData_Common_MCFTemperatureZone[[#Headers],[Temperature zone]],0)</f>
        <v>23</v>
      </c>
      <c r="F245" s="34" cm="1">
        <f t="array" ref="F245">Common_InputFunctions.Utility_DisplayArrayInTable(Common_SourceData.Common_SourceData_MCFTemperatureZone_Data(),Table_SourceData_Common_MCFTemperatureZone[[#Headers],[Temperature zone]],0)</f>
        <v>0.79</v>
      </c>
      <c r="G245" s="34" cm="1">
        <f t="array" ref="G245">Common_InputFunctions.Utility_DisplayArrayInTable(Common_SourceData.Common_SourceData_MCFTemperatureZone_Data(),Table_SourceData_Common_MCFTemperatureZone[[#Headers],[Temperature zone]],0)</f>
        <v>0.1</v>
      </c>
      <c r="H245" s="34" cm="1">
        <f t="array" ref="H245">Common_InputFunctions.Utility_DisplayArrayInTable(Common_SourceData.Common_SourceData_MCFTemperatureZone_Data(),Table_SourceData_Common_MCFTemperatureZone[[#Headers],[Temperature zone]],0)</f>
        <v>0.34</v>
      </c>
      <c r="I245" s="34" cm="1">
        <f t="array" ref="I245">Common_InputFunctions.Utility_DisplayArrayInTable(Common_SourceData.Common_SourceData_MCFTemperatureZone_Data(),Table_SourceData_Common_MCFTemperatureZone[[#Headers],[Temperature zone]],0)</f>
        <v>5.0000000000000001E-3</v>
      </c>
      <c r="J245" s="34" cm="1">
        <f t="array" ref="J245">Common_InputFunctions.Utility_DisplayArrayInTable(Common_SourceData.Common_SourceData_MCFTemperatureZone_Data(),Table_SourceData_Common_MCFTemperatureZone[[#Headers],[Temperature zone]],0)</f>
        <v>0.01</v>
      </c>
      <c r="K245" s="34" cm="1">
        <f t="array" ref="K245">Common_InputFunctions.Utility_DisplayArrayInTable(Common_SourceData.Common_SourceData_MCFTemperatureZone_Data(),Table_SourceData_Common_MCFTemperatureZone[[#Headers],[Temperature zone]],0)</f>
        <v>0.02</v>
      </c>
      <c r="L245" s="34" cm="1">
        <f t="array" ref="L245">Common_InputFunctions.Utility_DisplayArrayInTable(Common_SourceData.Common_SourceData_MCFTemperatureZone_Data(),Table_SourceData_Common_MCFTemperatureZone[[#Headers],[Temperature zone]],0)</f>
        <v>0.03</v>
      </c>
      <c r="M245" s="34" cm="1">
        <f t="array" ref="M245">Common_InputFunctions.Utility_DisplayArrayInTable(Common_SourceData.Common_SourceData_MCFTemperatureZone_Data(),Table_SourceData_Common_MCFTemperatureZone[[#Headers],[Temperature zone]],0)</f>
        <v>0.04</v>
      </c>
      <c r="N245" s="34" cm="1">
        <f t="array" ref="N245">Common_InputFunctions.Utility_DisplayArrayInTable(Common_SourceData.Common_SourceData_MCFTemperatureZone_Data(),Table_SourceData_Common_MCFTemperatureZone[[#Headers],[Temperature zone]],0)</f>
        <v>1.4999999999999999E-2</v>
      </c>
      <c r="O245" s="34" cm="1">
        <f t="array" ref="O245">Common_InputFunctions.Utility_DisplayArrayInTable(Common_SourceData.Common_SourceData_MCFTemperatureZone_Data(),Table_SourceData_Common_MCFTemperatureZone[[#Headers],[Temperature zone]],0)</f>
        <v>1.4999999999999999E-2</v>
      </c>
      <c r="P245" s="34" cm="1">
        <f t="array" ref="P245">Common_InputFunctions.Utility_DisplayArrayInTable(Common_SourceData.Common_SourceData_MCFTemperatureZone_Data(),Table_SourceData_Common_MCFTemperatureZone[[#Headers],[Temperature zone]],0)</f>
        <v>0</v>
      </c>
      <c r="Q245" s="34" cm="1">
        <f t="array" ref="Q245">Common_InputFunctions.Utility_DisplayArrayInTable(Common_SourceData.Common_SourceData_MCFTemperatureZone_Data(),Table_SourceData_Common_MCFTemperatureZone[[#Headers],[Temperature zone]],0)</f>
        <v>0</v>
      </c>
      <c r="R245" s="34" cm="1">
        <f t="array" ref="R245">Common_InputFunctions.Utility_DisplayArrayInTable(Common_SourceData.Common_SourceData_MCFTemperatureZone_Data(),Table_SourceData_Common_MCFTemperatureZone[[#Headers],[Temperature zone]],0)</f>
        <v>4.7000000000000002E-3</v>
      </c>
      <c r="S245" s="3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4" cm="1">
        <f t="array" ref="E246">Common_InputFunctions.Utility_DisplayArrayInTable(Common_SourceData.Common_SourceData_MCFTemperatureZone_Data(),Table_SourceData_Common_MCFTemperatureZone[[#Headers],[Temperature zone]],0)</f>
        <v>24</v>
      </c>
      <c r="F246" s="34" cm="1">
        <f t="array" ref="F246">Common_InputFunctions.Utility_DisplayArrayInTable(Common_SourceData.Common_SourceData_MCFTemperatureZone_Data(),Table_SourceData_Common_MCFTemperatureZone[[#Headers],[Temperature zone]],0)</f>
        <v>0.79</v>
      </c>
      <c r="G246" s="34" cm="1">
        <f t="array" ref="G246">Common_InputFunctions.Utility_DisplayArrayInTable(Common_SourceData.Common_SourceData_MCFTemperatureZone_Data(),Table_SourceData_Common_MCFTemperatureZone[[#Headers],[Temperature zone]],0)</f>
        <v>0.1</v>
      </c>
      <c r="H246" s="34" cm="1">
        <f t="array" ref="H246">Common_InputFunctions.Utility_DisplayArrayInTable(Common_SourceData.Common_SourceData_MCFTemperatureZone_Data(),Table_SourceData_Common_MCFTemperatureZone[[#Headers],[Temperature zone]],0)</f>
        <v>0.37</v>
      </c>
      <c r="I246" s="34" cm="1">
        <f t="array" ref="I246">Common_InputFunctions.Utility_DisplayArrayInTable(Common_SourceData.Common_SourceData_MCFTemperatureZone_Data(),Table_SourceData_Common_MCFTemperatureZone[[#Headers],[Temperature zone]],0)</f>
        <v>5.0000000000000001E-3</v>
      </c>
      <c r="J246" s="34" cm="1">
        <f t="array" ref="J246">Common_InputFunctions.Utility_DisplayArrayInTable(Common_SourceData.Common_SourceData_MCFTemperatureZone_Data(),Table_SourceData_Common_MCFTemperatureZone[[#Headers],[Temperature zone]],0)</f>
        <v>0.01</v>
      </c>
      <c r="K246" s="34" cm="1">
        <f t="array" ref="K246">Common_InputFunctions.Utility_DisplayArrayInTable(Common_SourceData.Common_SourceData_MCFTemperatureZone_Data(),Table_SourceData_Common_MCFTemperatureZone[[#Headers],[Temperature zone]],0)</f>
        <v>0.02</v>
      </c>
      <c r="L246" s="34" cm="1">
        <f t="array" ref="L246">Common_InputFunctions.Utility_DisplayArrayInTable(Common_SourceData.Common_SourceData_MCFTemperatureZone_Data(),Table_SourceData_Common_MCFTemperatureZone[[#Headers],[Temperature zone]],0)</f>
        <v>0.03</v>
      </c>
      <c r="M246" s="34" cm="1">
        <f t="array" ref="M246">Common_InputFunctions.Utility_DisplayArrayInTable(Common_SourceData.Common_SourceData_MCFTemperatureZone_Data(),Table_SourceData_Common_MCFTemperatureZone[[#Headers],[Temperature zone]],0)</f>
        <v>0.04</v>
      </c>
      <c r="N246" s="34" cm="1">
        <f t="array" ref="N246">Common_InputFunctions.Utility_DisplayArrayInTable(Common_SourceData.Common_SourceData_MCFTemperatureZone_Data(),Table_SourceData_Common_MCFTemperatureZone[[#Headers],[Temperature zone]],0)</f>
        <v>1.4999999999999999E-2</v>
      </c>
      <c r="O246" s="34" cm="1">
        <f t="array" ref="O246">Common_InputFunctions.Utility_DisplayArrayInTable(Common_SourceData.Common_SourceData_MCFTemperatureZone_Data(),Table_SourceData_Common_MCFTemperatureZone[[#Headers],[Temperature zone]],0)</f>
        <v>1.4999999999999999E-2</v>
      </c>
      <c r="P246" s="34" cm="1">
        <f t="array" ref="P246">Common_InputFunctions.Utility_DisplayArrayInTable(Common_SourceData.Common_SourceData_MCFTemperatureZone_Data(),Table_SourceData_Common_MCFTemperatureZone[[#Headers],[Temperature zone]],0)</f>
        <v>0</v>
      </c>
      <c r="Q246" s="34" cm="1">
        <f t="array" ref="Q246">Common_InputFunctions.Utility_DisplayArrayInTable(Common_SourceData.Common_SourceData_MCFTemperatureZone_Data(),Table_SourceData_Common_MCFTemperatureZone[[#Headers],[Temperature zone]],0)</f>
        <v>0</v>
      </c>
      <c r="R246" s="34" cm="1">
        <f t="array" ref="R246">Common_InputFunctions.Utility_DisplayArrayInTable(Common_SourceData.Common_SourceData_MCFTemperatureZone_Data(),Table_SourceData_Common_MCFTemperatureZone[[#Headers],[Temperature zone]],0)</f>
        <v>4.7000000000000002E-3</v>
      </c>
      <c r="S246" s="3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4" cm="1">
        <f t="array" ref="E247">Common_InputFunctions.Utility_DisplayArrayInTable(Common_SourceData.Common_SourceData_MCFTemperatureZone_Data(),Table_SourceData_Common_MCFTemperatureZone[[#Headers],[Temperature zone]],0)</f>
        <v>25</v>
      </c>
      <c r="F247" s="34" cm="1">
        <f t="array" ref="F247">Common_InputFunctions.Utility_DisplayArrayInTable(Common_SourceData.Common_SourceData_MCFTemperatureZone_Data(),Table_SourceData_Common_MCFTemperatureZone[[#Headers],[Temperature zone]],0)</f>
        <v>0.79</v>
      </c>
      <c r="G247" s="34" cm="1">
        <f t="array" ref="G247">Common_InputFunctions.Utility_DisplayArrayInTable(Common_SourceData.Common_SourceData_MCFTemperatureZone_Data(),Table_SourceData_Common_MCFTemperatureZone[[#Headers],[Temperature zone]],0)</f>
        <v>0.1</v>
      </c>
      <c r="H247" s="34" cm="1">
        <f t="array" ref="H247">Common_InputFunctions.Utility_DisplayArrayInTable(Common_SourceData.Common_SourceData_MCFTemperatureZone_Data(),Table_SourceData_Common_MCFTemperatureZone[[#Headers],[Temperature zone]],0)</f>
        <v>0.41</v>
      </c>
      <c r="I247" s="34" cm="1">
        <f t="array" ref="I247">Common_InputFunctions.Utility_DisplayArrayInTable(Common_SourceData.Common_SourceData_MCFTemperatureZone_Data(),Table_SourceData_Common_MCFTemperatureZone[[#Headers],[Temperature zone]],0)</f>
        <v>5.0000000000000001E-3</v>
      </c>
      <c r="J247" s="34" cm="1">
        <f t="array" ref="J247">Common_InputFunctions.Utility_DisplayArrayInTable(Common_SourceData.Common_SourceData_MCFTemperatureZone_Data(),Table_SourceData_Common_MCFTemperatureZone[[#Headers],[Temperature zone]],0)</f>
        <v>0.01</v>
      </c>
      <c r="K247" s="34" cm="1">
        <f t="array" ref="K247">Common_InputFunctions.Utility_DisplayArrayInTable(Common_SourceData.Common_SourceData_MCFTemperatureZone_Data(),Table_SourceData_Common_MCFTemperatureZone[[#Headers],[Temperature zone]],0)</f>
        <v>0.02</v>
      </c>
      <c r="L247" s="34" cm="1">
        <f t="array" ref="L247">Common_InputFunctions.Utility_DisplayArrayInTable(Common_SourceData.Common_SourceData_MCFTemperatureZone_Data(),Table_SourceData_Common_MCFTemperatureZone[[#Headers],[Temperature zone]],0)</f>
        <v>0.03</v>
      </c>
      <c r="M247" s="34" cm="1">
        <f t="array" ref="M247">Common_InputFunctions.Utility_DisplayArrayInTable(Common_SourceData.Common_SourceData_MCFTemperatureZone_Data(),Table_SourceData_Common_MCFTemperatureZone[[#Headers],[Temperature zone]],0)</f>
        <v>0.04</v>
      </c>
      <c r="N247" s="34" cm="1">
        <f t="array" ref="N247">Common_InputFunctions.Utility_DisplayArrayInTable(Common_SourceData.Common_SourceData_MCFTemperatureZone_Data(),Table_SourceData_Common_MCFTemperatureZone[[#Headers],[Temperature zone]],0)</f>
        <v>1.4999999999999999E-2</v>
      </c>
      <c r="O247" s="34" cm="1">
        <f t="array" ref="O247">Common_InputFunctions.Utility_DisplayArrayInTable(Common_SourceData.Common_SourceData_MCFTemperatureZone_Data(),Table_SourceData_Common_MCFTemperatureZone[[#Headers],[Temperature zone]],0)</f>
        <v>1.4999999999999999E-2</v>
      </c>
      <c r="P247" s="34" cm="1">
        <f t="array" ref="P247">Common_InputFunctions.Utility_DisplayArrayInTable(Common_SourceData.Common_SourceData_MCFTemperatureZone_Data(),Table_SourceData_Common_MCFTemperatureZone[[#Headers],[Temperature zone]],0)</f>
        <v>0</v>
      </c>
      <c r="Q247" s="34" cm="1">
        <f t="array" ref="Q247">Common_InputFunctions.Utility_DisplayArrayInTable(Common_SourceData.Common_SourceData_MCFTemperatureZone_Data(),Table_SourceData_Common_MCFTemperatureZone[[#Headers],[Temperature zone]],0)</f>
        <v>0</v>
      </c>
      <c r="R247" s="34" cm="1">
        <f t="array" ref="R247">Common_InputFunctions.Utility_DisplayArrayInTable(Common_SourceData.Common_SourceData_MCFTemperatureZone_Data(),Table_SourceData_Common_MCFTemperatureZone[[#Headers],[Temperature zone]],0)</f>
        <v>4.7000000000000002E-3</v>
      </c>
      <c r="S247" s="3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4" cm="1">
        <f t="array" ref="E248">Common_InputFunctions.Utility_DisplayArrayInTable(Common_SourceData.Common_SourceData_MCFTemperatureZone_Data(),Table_SourceData_Common_MCFTemperatureZone[[#Headers],[Temperature zone]],0)</f>
        <v>26</v>
      </c>
      <c r="F248" s="34" cm="1">
        <f t="array" ref="F248">Common_InputFunctions.Utility_DisplayArrayInTable(Common_SourceData.Common_SourceData_MCFTemperatureZone_Data(),Table_SourceData_Common_MCFTemperatureZone[[#Headers],[Temperature zone]],0)</f>
        <v>0.79</v>
      </c>
      <c r="G248" s="34" cm="1">
        <f t="array" ref="G248">Common_InputFunctions.Utility_DisplayArrayInTable(Common_SourceData.Common_SourceData_MCFTemperatureZone_Data(),Table_SourceData_Common_MCFTemperatureZone[[#Headers],[Temperature zone]],0)</f>
        <v>0.1</v>
      </c>
      <c r="H248" s="34" cm="1">
        <f t="array" ref="H248">Common_InputFunctions.Utility_DisplayArrayInTable(Common_SourceData.Common_SourceData_MCFTemperatureZone_Data(),Table_SourceData_Common_MCFTemperatureZone[[#Headers],[Temperature zone]],0)</f>
        <v>0.44</v>
      </c>
      <c r="I248" s="34" cm="1">
        <f t="array" ref="I248">Common_InputFunctions.Utility_DisplayArrayInTable(Common_SourceData.Common_SourceData_MCFTemperatureZone_Data(),Table_SourceData_Common_MCFTemperatureZone[[#Headers],[Temperature zone]],0)</f>
        <v>0.01</v>
      </c>
      <c r="J248" s="34" cm="1">
        <f t="array" ref="J248">Common_InputFunctions.Utility_DisplayArrayInTable(Common_SourceData.Common_SourceData_MCFTemperatureZone_Data(),Table_SourceData_Common_MCFTemperatureZone[[#Headers],[Temperature zone]],0)</f>
        <v>1.4999999999999999E-2</v>
      </c>
      <c r="K248" s="34" cm="1">
        <f t="array" ref="K248">Common_InputFunctions.Utility_DisplayArrayInTable(Common_SourceData.Common_SourceData_MCFTemperatureZone_Data(),Table_SourceData_Common_MCFTemperatureZone[[#Headers],[Temperature zone]],0)</f>
        <v>0.02</v>
      </c>
      <c r="L248" s="34" cm="1">
        <f t="array" ref="L248">Common_InputFunctions.Utility_DisplayArrayInTable(Common_SourceData.Common_SourceData_MCFTemperatureZone_Data(),Table_SourceData_Common_MCFTemperatureZone[[#Headers],[Temperature zone]],0)</f>
        <v>0.03</v>
      </c>
      <c r="M248" s="34" cm="1">
        <f t="array" ref="M248">Common_InputFunctions.Utility_DisplayArrayInTable(Common_SourceData.Common_SourceData_MCFTemperatureZone_Data(),Table_SourceData_Common_MCFTemperatureZone[[#Headers],[Temperature zone]],0)</f>
        <v>0.04</v>
      </c>
      <c r="N248" s="34" cm="1">
        <f t="array" ref="N248">Common_InputFunctions.Utility_DisplayArrayInTable(Common_SourceData.Common_SourceData_MCFTemperatureZone_Data(),Table_SourceData_Common_MCFTemperatureZone[[#Headers],[Temperature zone]],0)</f>
        <v>1.4999999999999999E-2</v>
      </c>
      <c r="O248" s="34" cm="1">
        <f t="array" ref="O248">Common_InputFunctions.Utility_DisplayArrayInTable(Common_SourceData.Common_SourceData_MCFTemperatureZone_Data(),Table_SourceData_Common_MCFTemperatureZone[[#Headers],[Temperature zone]],0)</f>
        <v>1.4999999999999999E-2</v>
      </c>
      <c r="P248" s="34" cm="1">
        <f t="array" ref="P248">Common_InputFunctions.Utility_DisplayArrayInTable(Common_SourceData.Common_SourceData_MCFTemperatureZone_Data(),Table_SourceData_Common_MCFTemperatureZone[[#Headers],[Temperature zone]],0)</f>
        <v>0</v>
      </c>
      <c r="Q248" s="34" cm="1">
        <f t="array" ref="Q248">Common_InputFunctions.Utility_DisplayArrayInTable(Common_SourceData.Common_SourceData_MCFTemperatureZone_Data(),Table_SourceData_Common_MCFTemperatureZone[[#Headers],[Temperature zone]],0)</f>
        <v>0</v>
      </c>
      <c r="R248" s="34" cm="1">
        <f t="array" ref="R248">Common_InputFunctions.Utility_DisplayArrayInTable(Common_SourceData.Common_SourceData_MCFTemperatureZone_Data(),Table_SourceData_Common_MCFTemperatureZone[[#Headers],[Temperature zone]],0)</f>
        <v>4.7000000000000002E-3</v>
      </c>
      <c r="S248" s="3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4" cm="1">
        <f t="array" ref="E249">Common_InputFunctions.Utility_DisplayArrayInTable(Common_SourceData.Common_SourceData_MCFTemperatureZone_Data(),Table_SourceData_Common_MCFTemperatureZone[[#Headers],[Temperature zone]],0)</f>
        <v>27</v>
      </c>
      <c r="F249" s="34" cm="1">
        <f t="array" ref="F249">Common_InputFunctions.Utility_DisplayArrayInTable(Common_SourceData.Common_SourceData_MCFTemperatureZone_Data(),Table_SourceData_Common_MCFTemperatureZone[[#Headers],[Temperature zone]],0)</f>
        <v>0.8</v>
      </c>
      <c r="G249" s="34" cm="1">
        <f t="array" ref="G249">Common_InputFunctions.Utility_DisplayArrayInTable(Common_SourceData.Common_SourceData_MCFTemperatureZone_Data(),Table_SourceData_Common_MCFTemperatureZone[[#Headers],[Temperature zone]],0)</f>
        <v>0.1</v>
      </c>
      <c r="H249" s="34" cm="1">
        <f t="array" ref="H249">Common_InputFunctions.Utility_DisplayArrayInTable(Common_SourceData.Common_SourceData_MCFTemperatureZone_Data(),Table_SourceData_Common_MCFTemperatureZone[[#Headers],[Temperature zone]],0)</f>
        <v>0.48</v>
      </c>
      <c r="I249" s="34" cm="1">
        <f t="array" ref="I249">Common_InputFunctions.Utility_DisplayArrayInTable(Common_SourceData.Common_SourceData_MCFTemperatureZone_Data(),Table_SourceData_Common_MCFTemperatureZone[[#Headers],[Temperature zone]],0)</f>
        <v>0.01</v>
      </c>
      <c r="J249" s="34" cm="1">
        <f t="array" ref="J249">Common_InputFunctions.Utility_DisplayArrayInTable(Common_SourceData.Common_SourceData_MCFTemperatureZone_Data(),Table_SourceData_Common_MCFTemperatureZone[[#Headers],[Temperature zone]],0)</f>
        <v>1.4999999999999999E-2</v>
      </c>
      <c r="K249" s="34" cm="1">
        <f t="array" ref="K249">Common_InputFunctions.Utility_DisplayArrayInTable(Common_SourceData.Common_SourceData_MCFTemperatureZone_Data(),Table_SourceData_Common_MCFTemperatureZone[[#Headers],[Temperature zone]],0)</f>
        <v>0.02</v>
      </c>
      <c r="L249" s="34" cm="1">
        <f t="array" ref="L249">Common_InputFunctions.Utility_DisplayArrayInTable(Common_SourceData.Common_SourceData_MCFTemperatureZone_Data(),Table_SourceData_Common_MCFTemperatureZone[[#Headers],[Temperature zone]],0)</f>
        <v>0.03</v>
      </c>
      <c r="M249" s="34" cm="1">
        <f t="array" ref="M249">Common_InputFunctions.Utility_DisplayArrayInTable(Common_SourceData.Common_SourceData_MCFTemperatureZone_Data(),Table_SourceData_Common_MCFTemperatureZone[[#Headers],[Temperature zone]],0)</f>
        <v>0.04</v>
      </c>
      <c r="N249" s="34" cm="1">
        <f t="array" ref="N249">Common_InputFunctions.Utility_DisplayArrayInTable(Common_SourceData.Common_SourceData_MCFTemperatureZone_Data(),Table_SourceData_Common_MCFTemperatureZone[[#Headers],[Temperature zone]],0)</f>
        <v>1.4999999999999999E-2</v>
      </c>
      <c r="O249" s="34" cm="1">
        <f t="array" ref="O249">Common_InputFunctions.Utility_DisplayArrayInTable(Common_SourceData.Common_SourceData_MCFTemperatureZone_Data(),Table_SourceData_Common_MCFTemperatureZone[[#Headers],[Temperature zone]],0)</f>
        <v>1.4999999999999999E-2</v>
      </c>
      <c r="P249" s="34" cm="1">
        <f t="array" ref="P249">Common_InputFunctions.Utility_DisplayArrayInTable(Common_SourceData.Common_SourceData_MCFTemperatureZone_Data(),Table_SourceData_Common_MCFTemperatureZone[[#Headers],[Temperature zone]],0)</f>
        <v>0</v>
      </c>
      <c r="Q249" s="34" cm="1">
        <f t="array" ref="Q249">Common_InputFunctions.Utility_DisplayArrayInTable(Common_SourceData.Common_SourceData_MCFTemperatureZone_Data(),Table_SourceData_Common_MCFTemperatureZone[[#Headers],[Temperature zone]],0)</f>
        <v>0</v>
      </c>
      <c r="R249" s="34" cm="1">
        <f t="array" ref="R249">Common_InputFunctions.Utility_DisplayArrayInTable(Common_SourceData.Common_SourceData_MCFTemperatureZone_Data(),Table_SourceData_Common_MCFTemperatureZone[[#Headers],[Temperature zone]],0)</f>
        <v>4.7000000000000002E-3</v>
      </c>
      <c r="S249" s="3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4" t="str" cm="1">
        <f t="array" ref="E250">Common_InputFunctions.Utility_DisplayArrayInTable(Common_SourceData.Common_SourceData_MCFTemperatureZone_Data(),Table_SourceData_Common_MCFTemperatureZone[[#Headers],[Temperature zone]],0)</f>
        <v>≥28</v>
      </c>
      <c r="F250" s="34" cm="1">
        <f t="array" ref="F250">Common_InputFunctions.Utility_DisplayArrayInTable(Common_SourceData.Common_SourceData_MCFTemperatureZone_Data(),Table_SourceData_Common_MCFTemperatureZone[[#Headers],[Temperature zone]],0)</f>
        <v>0.8</v>
      </c>
      <c r="G250" s="34" cm="1">
        <f t="array" ref="G250">Common_InputFunctions.Utility_DisplayArrayInTable(Common_SourceData.Common_SourceData_MCFTemperatureZone_Data(),Table_SourceData_Common_MCFTemperatureZone[[#Headers],[Temperature zone]],0)</f>
        <v>0.1</v>
      </c>
      <c r="H250" s="34" cm="1">
        <f t="array" ref="H250">Common_InputFunctions.Utility_DisplayArrayInTable(Common_SourceData.Common_SourceData_MCFTemperatureZone_Data(),Table_SourceData_Common_MCFTemperatureZone[[#Headers],[Temperature zone]],0)</f>
        <v>0.5</v>
      </c>
      <c r="I250" s="34" cm="1">
        <f t="array" ref="I250">Common_InputFunctions.Utility_DisplayArrayInTable(Common_SourceData.Common_SourceData_MCFTemperatureZone_Data(),Table_SourceData_Common_MCFTemperatureZone[[#Headers],[Temperature zone]],0)</f>
        <v>0.01</v>
      </c>
      <c r="J250" s="34" cm="1">
        <f t="array" ref="J250">Common_InputFunctions.Utility_DisplayArrayInTable(Common_SourceData.Common_SourceData_MCFTemperatureZone_Data(),Table_SourceData_Common_MCFTemperatureZone[[#Headers],[Temperature zone]],0)</f>
        <v>1.4999999999999999E-2</v>
      </c>
      <c r="K250" s="34" cm="1">
        <f t="array" ref="K250">Common_InputFunctions.Utility_DisplayArrayInTable(Common_SourceData.Common_SourceData_MCFTemperatureZone_Data(),Table_SourceData_Common_MCFTemperatureZone[[#Headers],[Temperature zone]],0)</f>
        <v>0.02</v>
      </c>
      <c r="L250" s="34" cm="1">
        <f t="array" ref="L250">Common_InputFunctions.Utility_DisplayArrayInTable(Common_SourceData.Common_SourceData_MCFTemperatureZone_Data(),Table_SourceData_Common_MCFTemperatureZone[[#Headers],[Temperature zone]],0)</f>
        <v>0.03</v>
      </c>
      <c r="M250" s="34" cm="1">
        <f t="array" ref="M250">Common_InputFunctions.Utility_DisplayArrayInTable(Common_SourceData.Common_SourceData_MCFTemperatureZone_Data(),Table_SourceData_Common_MCFTemperatureZone[[#Headers],[Temperature zone]],0)</f>
        <v>0.04</v>
      </c>
      <c r="N250" s="34" cm="1">
        <f t="array" ref="N250">Common_InputFunctions.Utility_DisplayArrayInTable(Common_SourceData.Common_SourceData_MCFTemperatureZone_Data(),Table_SourceData_Common_MCFTemperatureZone[[#Headers],[Temperature zone]],0)</f>
        <v>1.4999999999999999E-2</v>
      </c>
      <c r="O250" s="34" cm="1">
        <f t="array" ref="O250">Common_InputFunctions.Utility_DisplayArrayInTable(Common_SourceData.Common_SourceData_MCFTemperatureZone_Data(),Table_SourceData_Common_MCFTemperatureZone[[#Headers],[Temperature zone]],0)</f>
        <v>1.4999999999999999E-2</v>
      </c>
      <c r="P250" s="34" cm="1">
        <f t="array" ref="P250">Common_InputFunctions.Utility_DisplayArrayInTable(Common_SourceData.Common_SourceData_MCFTemperatureZone_Data(),Table_SourceData_Common_MCFTemperatureZone[[#Headers],[Temperature zone]],0)</f>
        <v>0</v>
      </c>
      <c r="Q250" s="34" cm="1">
        <f t="array" ref="Q250">Common_InputFunctions.Utility_DisplayArrayInTable(Common_SourceData.Common_SourceData_MCFTemperatureZone_Data(),Table_SourceData_Common_MCFTemperatureZone[[#Headers],[Temperature zone]],0)</f>
        <v>0</v>
      </c>
      <c r="R250" s="34" cm="1">
        <f t="array" ref="R250">Common_InputFunctions.Utility_DisplayArrayInTable(Common_SourceData.Common_SourceData_MCFTemperatureZone_Data(),Table_SourceData_Common_MCFTemperatureZone[[#Headers],[Temperature zone]],0)</f>
        <v>4.7000000000000002E-3</v>
      </c>
      <c r="S250" s="34"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8" t="str" cm="1">
        <f t="array" ref="D256">Common_SourceData.Common_SourceData_EFOrganicFertiliserAndCropResidues_Unit()</f>
        <v>kg N2O - N / kg N</v>
      </c>
    </row>
    <row r="257" spans="4:5" x14ac:dyDescent="0.25">
      <c r="D257" s="34" t="s">
        <v>96</v>
      </c>
      <c r="E257" s="34" t="s">
        <v>97</v>
      </c>
    </row>
    <row r="258" spans="4:5" x14ac:dyDescent="0.25">
      <c r="D258" s="34" t="str" cm="1">
        <f t="array" ref="D258">Common_InputFunctions.Utility_DisplayArrayInTable(Common_SourceData.Common_SourceData_EFOrganicFertiliserAndCropResidues_Data(), Table_SourceData_Common_EFOrganicFertCropResidues[[#Headers],[Climate Zone]], 0)</f>
        <v>Wet climate zone</v>
      </c>
      <c r="E258" s="34"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4"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SAGkAYwBlAEMAdQBsAHQAaQB2AGEAdABpAG8AbgBfAFMAbwB1AHIAYwBlAEQAYQB0AGEAIgAsACIAdABlAHgAdAAiADoAIgBcAG4ALwAqACAAXABuAC0ALQAtAC0ALQAtAC0ALQAtAC0ALQAtAC0ALQAtAC0ALQAtAC0ALQAtAC0ALQAtAC0ALQAtAC0ALQAtAC0ALQAtAC0ALQAtAC0ALQBcAG4AUwBvAHUAcgBjAGUARABhAHQAYQBfAFIAaQBjAGUAQwB1AGwAdABpAHYAYQB0AGkAbwBuAF8AVwBhAHQAZQByAFMAYwBhAGwAaQBuAGcARgBhAGMAdABvAHIARwByAG8AdwBpAG4AZwBTAGUAYQBzAG8AbgBcAG4ALQAtAC0ALQAtAC0ALQAtAC0ALQAtAC0ALQAtAC0ALQAtAC0ALQAtAC0ALQAtAC0ALQAtAC0ALQAtAC0ALQAtAC0ALQAtAC0ALQAtAFwAbgAqAC8AXABuAFwAbgBTAG8AdQByAGMAZQBEAGEAdABhAF8AUgBpAGMAZQBDAHUAbAB0AGkAdgBhAHQAaQBvAG4AXwBXAGEAdABlAHIAUwBjAGEAbABpAG4AZwBGAGEAYwB0AG8AcgBHAHIAbwB3AGkAbgBnAFMAZQBhAHMAbwBuAF8AVABpAHQAbABlAFwAbgAgACAAPQBMAEEATQBCAEQAQQAoAFwAIgBTAGMAYQBsAGkAbgBnACAAZgBhAGMAdABvAHIAIABiAGEAcwBlAGQAIABvAG4AIAB0AGgAZQAgAHcAYQB0AGUAcgAgAHIAZQBnAGkAbQBlACAAZQBtAHAAbABvAHkAZQBkACAAZAB1AHIAaQBuAGcAIAB0AGgAZQAgAGcAcgBvAHcAaQBuAGcAIABzAGUAYQBzAG8AbgAgAGMAdQBsAHQAaQB2AGEAdABpAG8AbgAgAHAAZQByAGkAbwBkAFwAIgApADsAXABuAFwAbgBTAG8AdQByAGMAZQBEAGEAdABhAF8AUgBpAGMAZQBDAHUAbAB0AGkAdgBhAHQAaQBvAG4AXwBXAGEAdABlAHIAUwBjAGEAbABpAG4AZwBGAGEAYwB0AG8AcgBHAHIAbwB3AGkAbgBnAFMAZQBhAHMAbwBuAF8AVgBhAHIAaQBhAGIAbABlAFwAbgAgACAAPQBMAEEATQBCAEQAQQAoAFwAIgBTAEYAdwBcACIAKQA7AFwAbgBcAG4AUwBvAHUAcgBjAGUARABhAHQAYQBfAFIAaQBjAGUAQwB1AGwAdABpAHYAYQB0AGkAbwBuAF8AVwBhAHQAZQByAFMAYwBhAGwAaQBuAGcARgBhAGMAdABvAHIARwByAG8AdwBpAG4AZwBTAGUAYQBzAG8AbgBfAFUAbgBpAHQAXABuACAAIAA9AEwAQQBNAEIARABBACgAXAAiAGYAcgBhAGMAdABpAG8AbgBcACIAKQA7AFwAbgBcAG4AUwBvAHUAcgBjAGUARABhAHQAYQBfAFIAaQBjAGUAQwB1AGwAdABpAHYAYQB0AGkAbwBuAF8AVwBhAHQAZQByAFMAYwBhAGwAaQBuAGcARgBhAGMAdABvAHIARwByAG8AdwBpAG4AZwBTAGUAYQBzAG8AbgBfAFMAbwB1AHIAYwBlAFwAbgAgACAAPQBMAEEATQBCAEQAQQAoAFwAIgBWAEUARQBSAEcAIAAyADAAMgA2ADoAIABUAGEAYgBsAGUAIABBAC4AMgAuADMALgAxAFwAIgApADsAXABuAFwAbgBTAG8AdQByAGMAZQBEAGEAdABhAF8AUgBpAGMAZQBDAHUAbAB0AGkAdgBhAHQAaQBvAG4AXwBXAGEAdABlAHIAUwBjAGEAbABpAG4AZwBGAGEAYwB0AG8AcgBHAHIAbwB3AGkAbgBnAFMAZQBhAHMAbwBuAF8AVgBhAHIAaQBhAHQAaQBvAG4AXABuACAAIAA9AEwAQQBNAEIARABBACgAXAAiAFwAIgApADsAXABuAFwAbgBTAG8AdQByAGMAZQBEAGEAdABhAF8AUgBpAGMAZQBDAHUAbAB0AGkAdgBhAHQAaQBvAG4AXwBXAGEAdABlAHIAUwBjAGEAbABpAG4AZwBGAGEAYwB0AG8AcgBHAHIAbwB3AGkAbgBnAFMAZQBhAHMAbwBuAF8ARABhAHQAYQBcAG4AIAAgAD0ATABBAE0AQgBEAEEAKABcAG4AIAAgACAAIABNAEEASwBFAEEAUgBSAEEAWQAoADkALAAgADMALAAgAFwAbgAgACAAIAAgACAAIABMAEEATQBCAEQAQQAoAHIALABjACwAIABcAG4AIAAgACAAIAAgACAAIAAgAEkATgBEAEUAWAAoAHsAXABuACAAIAAgACAAIAAgACAAIAAgACAAXAAiAFcAYQB0AGUAcgAgAHIAZQBnAGkAbQBlACAAdAB5AHAAZQBcACIALAAgAFwAIgBXAGEAdABlAHIAIAByAGUAZwBpAG0AZQAgAHMAdQBiACAALQAgAHQAeQBwAGUAXAAiACwAIABcACIAUwBGAHcAXAAiADsAXABuACAAIAAgACAAIAAgACAAIAAgACAAXAAiAFUAcABsAGEAbgBkAFwAIgAsACAAXAAiAFAAYQBkAGQAeQAgAHIAbwB0AGEAdABpAG8AbgBcACIALAAgADAAOwBcAG4AIAAgACAAIAAgACAAIAAgACAAIABcACIAVQBwAGwAYQBuAGQAXAAiACwAIABcACIARgBhAGwAbABvAHcAIAB3AGkAdABoAG8AdQB0ACAAZgBsAG8AbwBkAGkAbgBnACAAaQBuACAAcAByAGUAdgBpAG8AdQBzACAAeQBlAGEAcgBcACIALAAgADAAOwBcAG4AIAAgACAAIAAgACAAIAAgACAAIABcACIASQByAHIAaQBnAGEAdABlAGQAXAAiACwAIABcACIAQwBvAG4AdABpAG4AdQBvAHUAcwBsAHkAIABmAGwAbwBvAGQAZQBkAFwAIgAsACAAMQA7AFwAbgAgACAAIAAgACAAIAAgACAAIAAgAFwAIgBJAHIAcgBpAGcAYQB0AGUAZABcACIALAAgAFwAIgBTAGkAbgBnAGwAZQAgAGQAcgBhAGkAbgBhAGcAZQAgAHAAZQByAGkAbwBkAFwAIgAsACAAMAAuADcAMQA7AFwAbgAgACAAIAAgACAAIAAgACAAIAAgAFwAIgBJAHIAcgBpAGcAYQB0AGUAZABcACIALAAgAFwAIgBNAHUAbAB0AGkAcABsAGUAIABkAHIAYQBpAG4AYQBnAGUAIABwAGUAcgBpAG8AZABzAFwAIgAsACAAMAAuADUANQA7AFwAbgAgACAAIAAgACAAIAAgACAAIAAgAFwAIgBSAGEAaQBuAGYAZQBkACAAYQBuAGQAIABkAGUAZQBwACAAdwBhAHQAZQByAFwAIgAsACAAXAAiAFIAZQBnAHUAbABhAHIAIAByAGEAaQBuAGYAZQBkAFwAIgAsACAAMAAuADUANAA7AFwAbgAgACAAIAAgACAAIAAgACAAIAAgAFwAIgBSAGEAaQBuAGYAZQBkACAAYQBuAGQAIABkAGUAZQBwACAAdwBhAHQAZQByAFwAIgAsACAAXAAiAEQAcgBvAHUAZwBoAHQAIABwAHIAbwBuAGUAXAAiACwAIAAwAC4AMQA2ADsAXABuACAAIAAgACAAIAAgACAAIAAgACAAXAAiAFIAYQBpAG4AZgBlAGQAIABhAG4AZAAgAGQAZQBlAHAAIAB3AGEAdABlAHIAXAAiACwAIABcACIARABlAGUAcAAgAHcAYQB0AGUAcgBcACIALAAgADAALgAwADYAXABuACAAIAAgACAAIAAgACAAIAB9ACwAIAByACwAIABjACkAXABuACAAIAAgACAAIAAgACkAXABuACAAIAAgACAAKQBcAG4AIAAgACkAOwBcAG4AXABuAFwAbgBcAG4ALwAqACAAXABuAC0ALQAtAC0ALQAtAC0ALQAtAC0ALQAtAC0ALQAtAC0ALQAtAC0ALQAtAC0ALQAtAC0ALQAtAC0ALQAtAC0ALQAtAC0ALQAtAC0ALQBcAG4AUwBvAHUAcgBjAGUARABhAHQAYQBfAFIAaQBjAGUAQwB1AGwAdABpAHYAYQB0AGkAbwBuAF8AVwBhAHQAZQByAFMAYwBhAGwAaQBuAGcARgBhAGMAdABvAHIAUAByAGUAUwBlAGEAcwBvAG4AXABuAC0ALQAtAC0ALQAtAC0ALQAtAC0ALQAtAC0ALQAtAC0ALQAtAC0ALQAtAC0ALQAtAC0ALQAtAC0ALQAtAC0ALQAtAC0ALQAtAC0ALQBcAG4AKgAvAFwAbgBcAG4AUwBvAHUAcgBjAGUARABhAHQAYQBfAFIAaQBjAGUAQwB1AGwAdABpAHYAYQB0AGkAbwBuAF8AVwBhAHQAZQByAFMAYwBhAGwAaQBuAGcARgBhAGMAdABvAHIAUAByAGUAUwBlAGEAcwBvAG4AXwBUAGkAdABsAGUAXABuACAAIAA9AEwAQQBNAEIARABBACgAXAAiAFMAYwBhAGwAaQBuAGcAIABmAGEAYwB0AG8AcgAgAGIAYQBzAGUAZAAgAG8AbgAgAHQAaABlACAAdwBhAHQAZQByACAAcgBlAGcAaQBtAGUAIABlAG0AcABsAG8AeQBlAGQAIABpAG4AIAB0AGgAZQAgAHAAcgBlACAALQAgAHMAZQBhAHMAbwBuACAAYgBlAGYAbwByAGUAIAB0AGgAZQAgAGcAcgBvAHcAaQBuAGcAIABwAGUAcgBpAG8AZABcACIAKQA7AFwAbgBcAG4AUwBvAHUAcgBjAGUARABhAHQAYQBfAFIAaQBjAGUAQwB1AGwAdABpAHYAYQB0AGkAbwBuAF8AVwBhAHQAZQByAFMAYwBhAGwAaQBuAGcARgBhAGMAdABvAHIAUAByAGUAUwBlAGEAcwBvAG4AXwBWAGEAcgBpAGEAYgBsAGUAXABuACAAIAA9AEwAQQBNAEIARABBACgAXAAiAFMARgBwAFwAIgApADsAXABuAFwAbgBTAG8AdQByAGMAZQBEAGEAdABhAF8AUgBpAGMAZQBDAHUAbAB0AGkAdgBhAHQAaQBvAG4AXwBXAGEAdABlAHIAUwBjAGEAbABpAG4AZwBGAGEAYwB0AG8AcgBQAHIAZQBTAGUAYQBzAG8AbgBfAFUAbgBpAHQAXABuACAAIAA9AEwAQQBNAEIARABBACgAXAAiAGYAcgBhAGMAdABpAG8AbgBcACIAKQA7AFwAbgBcAG4AUwBvAHUAcgBjAGUARABhAHQAYQBfAFIAaQBjAGUAQwB1AGwAdABpAHYAYQB0AGkAbwBuAF8AVwBhAHQAZQByAFMAYwBhAGwAaQBuAGcARgBhAGMAdABvAHIAUAByAGUAUwBlAGEAcwBvAG4AXwBTAG8AdQByAGMAZQBcAG4AIAAgAD0ATABBAE0AQgBEAEEAKABcACIAVgBFAEUAUgBHACAAMgAwADIANgA6ACAAVABhAGIAbABlACAAQQAuADIALgAzAC4AMgBcACIAKQA7AFwAbgBcAG4AUwBvAHUAcgBjAGUARABhAHQAYQBfAFIAaQBjAGUAQwB1AGwAdABpAHYAYQB0AGkAbwBuAF8AVwBhAHQAZQByAFMAYwBhAGwAaQBuAGcARgBhAGMAdABvAHIAUAByAGUAUwBlAGEAcwBvAG4AXwBWAGEAcgBpAGEAdABpAG8AbgBcAG4AIAAgAD0ATABBAE0AQgBEAEEAKABcACIAXAAiACkAOwBcAG4AXABuAFMAbwB1AHIAYwBlAEQAYQB0AGEAXwBSAGkAYwBlAEMAdQBsAHQAaQB2AGEAdABpAG8AbgBfAFcAYQB0AGUAcgBTAGMAYQBsAGkAbgBnAEYAYQBjAHQAbwByAFAAcgBlAFMAZQBhAHMAbwBuAF8ARABhAHQAYQBcAG4AIAAgAD0ATABBAE0AQgBEAEEAKABcAG4AIAAgACAAIABNAEEASwBFAEEAUgBSAEEAWQAoADUALAAgADIALAAgAFwAbgAgACAAIAAgACAAIABMAEEATQBCAEQAQQAoAHIALABjACwAIABcAG4AIAAgACAAIAAgACAAIAAgAEkATgBEAEUAWAAoAHsAXABuACAAIAAgACAAIAAgACAAIAAgACAAXAAiAFcAYQB0AGUAcgAgAHIAZQBnAGkAbQBlACAAcAByAGkAbwByACAAdABvACAAYwB1AGwAdABpAHYAYQB0AGkAbwBuACAAcABlAHIAaQBvAGQAIABwAFwAIgAsACAAXAAiAFMARgBwAFwAIgA7AFwAbgAgACAAIAAgACAAIAAgACAAIAAgAFwAIgBOAG8AbgAgAGYAbABvAG8AZABlAGQAIABwAHIAZQAtAHMAZQBhAHMAbwBuACAAXAB1ADAAMAAzAGMAMQA4ADAAIABkAGEAeQBzAFwAIgAsACAAMQA7AFwAbgAgACAAIAAgACAAIAAgACAAIAAgAFwAIgBOAG8AbgAgAGYAbABvAG8AZABlAGQAIABwAHIAZQAtAHMAZQBhAHMAbwBuACAAXAB1ADAAMAAzAGUAMQA4ADAAIABkAGEAeQBzAFwAIgAsACAAMAAuADgAOQA7AFwAbgAgACAAIAAgACAAIAAgACAAIAAgAFwAIgBGAGwAbwBvAGQAZQBkACAAcAByAGUALQBzAGUAYQBzAG8AbgAgAFwAdQAwADAAMwBlADMAMAAgAGQAYQB5AHMAXAAiACwAIAAyAC4ANAAxADsAXABuACAAIAAgACAAIAAgACAAIAAgACAAXAAiAE4AbwBuAC0AZgBsAG8AbwBkAGUAZAAgAHAAcgBlAC0AcwBlAGEAcwBvAG4AIABcAHUAMAAwADMAZQAzADYANQAgAGQAYQB5AHMAXAAiACwAIAAwAC4ANQA5AFwAbgAgACAAIAAgACAAIAAgACAAfQAsACAAcgAsACAAYwApAFwAbgAgACAAIAAgACAAIAApAFwAbgAgACAAIAAgACkAXABuACAAIAApADsAXABuAFwAbgBcAG4ALwAqACAAXABuAC0ALQAtAC0ALQAtAC0ALQAtAC0ALQAtAC0ALQAtAC0ALQAtAC0ALQAtAC0ALQAtAC0ALQAtAC0ALQAtAC0ALQAtAC0ALQAtAC0ALQBcAG4AUwBvAHUAcgBjAGUARABhAHQAYQBfAFIAaQBjAGUAQwB1AGwAdABpAHYAYQB0AGkAbwBuAF8ATwByAGcAYQBuAGkAYwBBAG0AZQBuAGQAbQBlAG4AdABDAG8AbgB2AGUAcgBzAGkAbwBuAEYAYQBjAHQAbwByAFwAbgAtAC0ALQAtAC0ALQAtAC0ALQAtAC0ALQAtAC0ALQAtAC0ALQAtAC0ALQAtAC0ALQAtAC0ALQAtAC0ALQAtAC0ALQAtAC0ALQAtAC0AXABuACoALwBcAG4AXABuAFMAbwB1AHIAYwBlAEQAYQB0AGEAXwBSAGkAYwBlAEMAdQBsAHQAaQB2AGEAdABpAG8AbgBfAE8AcgBnAGEAbgBpAGMAQQBtAGUAbgBkAG0AZQBuAHQAQwBvAG4AdgBlAHIAcwBpAG8AbgBGAGEAYwB0AG8AcgBfAFQAaQB0AGwAZQBcAG4AIAAgAD0ATABBAE0AQgBEAEEAKABcACIAQwBvAG4AdgBlAHIAcwBpAG8AbgAgAGYAYQBjAHQAbwByACAAZgBvAHIAIABvAHIAZwBhAG4AaQBjACAAYQBtAGUAbgBkAG0AZQBuAHQAIABpAFwAIgApADsAXABuAFwAbgBTAG8AdQByAGMAZQBEAGEAdABhAF8AUgBpAGMAZQBDAHUAbAB0AGkAdgBhAHQAaQBvAG4AXwBPAHIAZwBhAG4AaQBjAEEAbQBlAG4AZABtAGUAbgB0AEMAbwBuAHYAZQByAHMAaQBvAG4ARgBhAGMAdABvAHIAXwBWAGEAcgBpAGEAYgBsAGUAXABuACAAIAA9AEwAQQBNAEIARABBACgAXAAiAEMARgBPAEEAaQBcACIAKQA7AFwAbgBcAG4AUwBvAHUAcgBjAGUARABhAHQAYQBfAFIAaQBjAGUAQwB1AGwAdABpAHYAYQB0AGkAbwBuAF8ATwByAGcAYQBuAGkAYwBBAG0AZQBuAGQAbQBlAG4AdABDAG8AbgB2AGUAcgBzAGkAbwBuAEYAYQBjAHQAbwByAF8AVQBuAGkAdABcAG4AIAAgAD0ATABBAE0AQgBEAEEAKABcACIAZgByAGEAYwB0AGkAbwBuAFwAIgApADsAXABuAFwAbgBTAG8AdQByAGMAZQBEAGEAdABhAF8AUgBpAGMAZQBDAHUAbAB0AGkAdgBhAHQAaQBvAG4AXwBPAHIAZwBhAG4AaQBjAEEAbQBlAG4AZABtAGUAbgB0AEMAbwBuAHYAZQByAHMAaQBvAG4ARgBhAGMAdABvAHIAXwBTAG8AdQByAGMAZQBcAG4AIAAgAD0ATABBAE0AQgBEAEEAKABcACIAVgBFAEUAUgBHACAAMgAwADIANgA6ACAAVABhAGIAbABlACAAQQAuADIALgAzAC4AMwBcACIAKQA7AFwAbgBcAG4AUwBvAHUAcgBjAGUARABhAHQAYQBfAFIAaQBjAGUAQwB1AGwAdABpAHYAYQB0AGkAbwBuAF8ATwByAGcAYQBuAGkAYwBBAG0AZQBuAGQAbQBlAG4AdABDAG8AbgB2AGUAcgBzAGkAbwBuAEYAYQBjAHQAbwByAF8AVgBhAHIAaQBhAHQAaQBvAG4AXABu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BcAG4AIAAgACAAIAAgACAAIAAgAH0ALAAgAHIALAAgAGMAKQBcAG4AIAAgACAAIAAgACAAKQBcAG4AIAAgACAAIAApAFwAbgAgACAAKQA7AFwAbgBcAG4AUwBvAHUAcgBjAGUARABhAHQAYQBfAFIAaQBjAGUAQwB1AGwAdABpAHYAYQB0AGkAbwBuAF8ATwByAGcAYQBuAGkAYwBBAG0AZQBuAGQAbQBlAG4AdABDAG8AbgB2AGUAcgBzAGkAbwBuAEYAYQBjAHQAbwByAF8ARABhAHQAYQBcAG4AIAAgAD0ATABBAE0AQgBEAEEAKABcAG4AIAAgACAAIABNAEEASwBFAEEAUgBSAEEAWQAoADcALAAgADIALAAgAFwAbgAgACAAIAAgACAAIABMAEEATQBCAEQAQQAoAHIALABjACwAIABcAG4AIAAgACAAIAAgACAAIAAgAEkATgBEAEUAWAAoAHsAXABuACAAIAAgACAAIAAgACAAIAAgACAAXAAiAE8AcgBnAGEAbgBpAGMAIABhAG0AZQBuAGQAbQBlAG4AdAAgAGkAXAAiACwAIABcACIAQwBGAE8AQQBpAFwAIgA7AFwAbgAgACAAIAAgACAAIAAgACAAIAAgAFwAIgBTAHQAcgBhAHcAIABpAG4AYwBvAHIAcABvAHIAYQB0AGUAZAAgAHMAaABvAHIAdABsAHkAIAAoAFwAdQAwADAAMwBjADMAMAAgAGQAYQB5AHMAKQAgAGIAZQBmAG8AcgBlACAAYwB1AGwAdABpAHYAYQB0AGkAbwBuAFwAIgAsACAAMQAuADAAMAA7AFwAbgAgACAAIAAgACAAIAAgACAAIAAgAFwAIgBTAHQAcgBhAHcAIABpAG4AYwBvAHIAcABvAHIAYQB0AGUAZAAgAGwAbwBuAGcAIAAoAFwAdQAwADAAMwBlADMAMAAgAGQAYQB5AHMAKQAgAGIAZQBmAG8AcgBlACAAYwB1AGwAdABpAHYAYQB0AGkAbwBuAFwAIgAsACAAMAAuADEAOQA7AFwAbgAgACAAIAAgACAAIAAgACAAIAAgAFwAIgBDAG8AbQBwAG8AcwB0AFwAIgAsACAAMAAuADEANwA7AFwAbgAgACAAIAAgACAAIAAgACAAIAAgAFwAIgBGAGEAcgBtACAAeQBhAHIAZAAgAG0AYQBuAHUAcgBlAFwAIgAsACAAMAAuADIAMQA7AFwAbgAgACAAIAAgACAAIAAgACAAIAAgAFwAIgBHAHIAZQBlAG4AIABtAGEAbgB1AHIAZQBcACIALAAgADAALgA0ADUAOwBcAG4AIAAgACAAIAAgACAAIAAgACAAIABcACIASQBuAG8AcgBnAGEAbgBpAGMAIABmAGUAcgB0AGkAbABpAHMAZQByAFwAIgAsACAAMQBcAG4AIAAgACAAIAAgACAAIAAgAH0ALAAgAHIALAAgAGMAKQBcAG4AIAAgACAAIAAgACAAKQBcAG4AIAAgACAAIAApAFwAbgAgACAAKQA7AFwAbgBcAG4AXABuAC8AKgAgAFwAbgAtAC0ALQAtAC0ALQAtAC0ALQAtAC0ALQAtAC0ALQAtAC0ALQAtAC0ALQAtAC0ALQAtAC0ALQAtAC0ALQAtAC0ALQAtAC0ALQAtAC0AXABuAFMAbwB1AHIAYwBlAEQAYQB0AGEAXwBSAGkAYwBlAEMAdQBsAHQAaQB2AGEAdABpAG8AbgBfAEIAYQBzAGUAbABpAG4AZQBFAEYAXABuAC0ALQAtAC0ALQAtAC0ALQAtAC0ALQAtAC0ALQAtAC0ALQAtAC0ALQAtAC0ALQAtAC0ALQAtAC0ALQAtAC0ALQAtAC0ALQAtAC0ALQBcAG4AKgAvAFwAbgBcAG4AUwBvAHUAcgBjAGUARABhAHQAYQBfAFIAaQBjAGUAQwB1AGwAdABpAHYAYQB0AGkAbwBuAF8AQgBhAHMAZQBsAGkAbgBlAEUARgBfAFQAaQB0AGwAZQBcAG4AIAAgAD0ATABBAE0AQgBEAEEAKABcACIAQgBhAHMAZQBsAGkAbgBlACAAZQBtAGkAcwBzAGkAbwBuACAAZgBhAGMAdABvAHIAIABmAG8AcgAgAGMAbwBuAHQAaQBuAHUAbwB1AHMAbAB5ACAAZgBsAG8AbwBkAGUAZAAgAGYAaQBlAGwAZABzACAAdwBpAHQAaABvAHUAdAAgAG8AcgBnAGEAbgBpAGMAIABhAG0AZQBuAGQAbQBlAG4AdABzAFwAIgApADsAXABuAFwAbgBTAG8AdQByAGMAZQBEAGEAdABhAF8AUgBpAGMAZQBDAHUAbAB0AGkAdgBhAHQAaQBvAG4AXwBCAGEAcwBlAGwAaQBuAGUARQBGAF8AVgBhAHIAaQBhAGIAbABlAFwAbgAgACAAPQBMAEEATQBCAEQAQQAoAFwAIgBFAEYAYwBcACIAKQA7AFwAbgBcAG4AUwBvAHUAcgBjAGUARABhAHQAYQBfAFIAaQBjAGUAQwB1AGwAdABpAHYAYQB0AGkAbwBuAF8AQgBhAHMAZQBsAGkAbgBlAEUARgBfAFUAbgBpAHQAXABuACAAIAA9AEwAQQBNAEIARABBACgAXAAiAGsAZwAgAEMASAA0ACAALwAgAGgAYQAgAC8AIABkAGEAeQBcACIAKQA7AFwAbgBcAG4AUwBvAHUAcgBjAGUARABhAHQAYQBfAFIAaQBjAGUAQwB1AGwAdABpAHYAYQB0AGkAbwBuAF8AQgBhAHMAZQBsAGkAbgBlAEUARgBfAFMAbwB1AHIAYwBlAFwAbgAgACAAPQBMAEEATQBCAEQAQQAoAFwAIgBWAEUARQBSAEcAIAAyADAAMgA2ADoAIAA3AC4AMgAuADMAIABDAG8AbgBzAHQAYQBuAHQAIABQAGEAcgBhAG0AZQB0AGUAcgBzAFwAIgApADsAXABuAFwAbgBTAG8AdQByAGMAZQBEAGEAdABhAF8AUgBpAGMAZQBDAHUAbAB0AGkAdgBhAHQAaQBvAG4AXwBCAGEAcwBlAGwAaQBuAGUARQBGAF8AVgBhAHIAaQBhAHQAaQBvAG4AXABuACAAIAA9AEwAQQBNAEIARABBACgAXAAiAFwAIgApADsAXABuAFwAbgBTAG8AdQByAGMAZQBEAGEAdABhAF8AUgBpAGMAZQBDAHUAbAB0AGkAdgBhAHQAaQBvAG4AXwBCAGEAcwBlAGwAaQBuAGUARQBGAF8ARABhAHQAYQBcAG4AIAAgAD0ATABBAE0AQgBEAEEAKAAxAC4AMQA5ACkAOwAiAH0ALAB7ACIAcABhAHQAaAAiADoAIgAvAHAAcgBvAGoAZQBjAHQAcwAvAFIAaQBjAGUAQwB1AGwAdABpAHYAY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cALgAxADoAIABSAGkAYwBlACAAQwB1AGwAdABpAHYAYQB0AGkAbwBuAFwAbgA9AD0APQA9AD0APQA9AD0APQA9AD0APQA9AD0APQA9AD0APQA9AD0APQA9AD0APQA9AD0APQA9AD0APQA9AD0APQA9AD0APQA9AD0APQA9AD0APQA9AD0APQA9AD0APQA9AD0APQA9AD0APQA9AD0APQA9AD0APQA9AD0APQA9AD0APQA9AD0APQA9AD0APQA9AD0APQA9AFwAbgA3AC4AMQAuADEALgAxACAATQBlAHQAaABvAGQAIAAxACAALQAgAFIAaQBjAGUAIABDAHUAbAB0AGkAdgBhAHQAaQBvAG4AIABDAEgANA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wBfADEAXwAxAF8AMQBfAF8AMQBfAE0AZQB0AGgAYQBuAGUARQBtAGkAcwBzAGkAbwBuAHMARgByAG8AbQBSAGkAYwBlAEMAdQBsAHQAaQB2AGEAdABpAG8AbgBcAG4ATQBlAHQAaABhAG4AZQAgAGUAbQBpAHMAcwBpAG8AbgBzACAAZgByAG8AbQAgAHIAaQBjAGUAIABjAHUAbAB0AGkAdgBhAHQAaQBvAG4AXABuAEUAXwByAGkAYwBlAFwAbgB0ACAAQwBIADQAXABuAEUAXwB7AHIAaQBjAGUAfQA9AFwAXABzAHUAbQBfAHcAXABcAHMAdQBtAF8AcABcAFwAcwB1AG0AXwBvACgAQQBfAHsAcgBpAGMAZQAsAHcAcABvAH0AXABcAHQAaQBtAGUAcwAgAEUARgBfAHsAcgBpAGMAZQAsAHcAcABvAH0AXABcAHQAaQBtAGUAcwAgAHQAXwB7AHIAaQBjAGUALAB3AHAAbwB9ACkAXABcAHQAaQBtAGUAcwAgADEAMABeAHsALQAzAH0AXABuAEEAXwByAGkAYwBlAHcAcABvACAAPQAgAGEAbgBuAHUAYQBsACAAYQByAGUAYQAgAG8AZgAgAHIAaQBjAGUAIABjAHUAbAB0AGkAdgBhAHQAaQBvAG4AIAB1AG4AZABlAHIAIAB3AGEAdABlAHIAIAByAGUAZwBpAG0AZQAgAHcALAAgAHAAcgBlAC0AcwBlAGEAcwBvAG4AIAB3AGEAdABlAHIAIAByAGUAZwBpAG0AZQAgAHAALAAgAGEAbgBkACAAbwByAGcAYQBuAGkAYwAgAGEAbQBlAG4AZABtAGUAbgB0ACAAYwBvAG4AZABpAHQAaQBvAG4AIABvACAAKABoAGEAKQBcAG4ARQBGAF8AcgBpAGMAZQB3AHAAbwAgAD0AIABlAG0AaQBzAHMAaQBvAG4AIABmAGEAYwB0AG8AcgAgAGYAbwByACAAcgBpAGMAZQAgAGMAdQBsAHQAaQB2AGEAdABpAG8AbgAgAHUAbgBkAGUAcgAgAGMAbwBuAGQAaQB0AGkAbwBuAHMAIAB3ACwAIABwACwAIABhAG4AZAAgAG8AIAAoAGsAZwAgAEMASAA0AC8AaABhAC8AZABhAHkAKQBcAG4AdABfAHIAaQBjAGUAdwBwAG8AIAA9ACAAYwB1AGwAdABpAHYAYQB0AGkAbwBuACAAcABlAHIAaQBvAGQAIABmAG8AcgAgAHIAaQBjAGUAIAB1AG4AZABlAHIAIABjAG8AbgBkAGkAdABpAG8AbgBzACAAdwAsACAAcAAsACAAYQBuAGQAIABvACAAKABkAGEAeQBzACkAXABuAC0ALQAtAC0ALQAtAC0ALQAtAC0ALQAtAC0ALQAtAC0ALQAtAC0ALQAtAC0ALQAtAC0ALQAtAC0ALQAtAC0ALQAtAC0ALQAtAC0ALQBcAG4AKgAvAFwAbgBcAG4AVgBFAEUAUgBHAF8ANwBfADEAXwAxAF8AMQBfAF8AMQBfAE0AZQB0AGgAYQBuAGUARQBtAGkAcwBzAGkAbwBuAHMARgByAG8AbQBSAGkAYwBlAEMAdQBsAHQAaQB2AGEAdABpAG8AbgBcAG4AIAAgAD0ATABBAE0AQgBEAEEAKABcAG4AIAAgACAAIABBAF8AcgBpAGMAZQB3AHAAbwAsACAARQBGAF8AcgBpAGMAZQB3AHAAbwAsACAAdABfAHIAaQBjAGUAdwBwAG8ALABcAG4AIAAgACAAIABTAFUATQAoAEEAXwByAGkAYwBlAHcAcABvACAAKgAgAEUARgBfAHIAaQBjAGUAdwBwAG8AIAAqACAAdABfAHIAaQBjAGUAdwBwAG8AKQAgACoAIAAxADAAIABeACAALQAzAFwAbgAgACAAKQA7AFwAbgBcAG4AVgBFAEUAUgBHAF8ANwBfADEAXwAxAF8AMQBfAF8AMQBfAE0AZQB0AGgAYQBuAGUARQBtAGkAcwBzAGkAbwBuAHMARgByAG8AbQBSAGkAYwBlAEMAdQBsAHQAaQB2AGEAdABpAG8AbgBfAFQAaQB0AGwAZQBcAG4AIAAgAD0ATABBAE0AQgBEAEEAKABcACIATQBlAHQAaABhAG4AZQAgAGUAbQBpAHMAcwBpAG8AbgBzACAAZgByAG8AbQAgAHIAaQBjAGUAIABjAHUAbAB0AGkAdgBhAHQAaQBvAG4AXAAiACkAOwBcAG4AXABuAFYARQBFAFIARwBfADcAXwAxAF8AMQBfADEAXwBfADEAXwBNAGUAdABoAGEAbgBlAEUAbQBpAHMAcwBpAG8AbgBzAEYAcgBvAG0AUgBpAGMAZQBDAHUAbAB0AGkAdgBhAHQAaQBvAG4AXwBWAGEAcgBpAGEAYgBsAGUAXABuACAAIAA9AEwAQQBNAEIARABBACgAXAAiAEUAXwByAGkAYwBlAFwAIgApADsAXABuAFwAbgBWAEUARQBSAEcAXwA3AF8AMQBfADEAXwAxAF8AXwAxAF8ATQBlAHQAaABhAG4AZQBFAG0AaQBzAHMAaQBvAG4AcwBGAHIAbwBtAFIAaQBjAGUAQwB1AGwAdABpAHYAYQB0AGkAbwBuAF8AVQBuAGkAdABcAG4AIAAgAD0ATABBAE0AQgBEAEEAKABcACIAdAAgAEMASAA0AFwAIgApADsAXABuAFwAbgBWAEUARQBSAEcAXwA3AF8AMQBfADEAXwAxAF8AXwAxAF8ATQBlAHQAaABhAG4AZQBFAG0AaQBzAHMAaQBvAG4AcwBGAHIAbwBtAFIAaQBjAGUAQwB1AGwAdABpAHYAYQB0AGkAbwBuAF8AUwBvAHUAcgBjAGUAXABuACAAIAA9AEwAQQBNAEIARABBACgAXAAiAFYARQBFAFIARwAgADIAMAAyADYAOgAgADcALgAxAC4AMQAuADEALAAgAEUAcQB1AGEAdABpAG8AbgAgACgAMQApAFwAIgApADsAXABuAFwAbgBWAEUARQBSAEcAXwA3AF8AMQBfADEAXwAxAF8AXwAxAF8ATQBlAHQAaABhAG4AZQBFAG0AaQBzAHMAaQBvAG4AcwBGAHIAbwBtAFIAaQBjAGUAQwB1AGwAdABpAHYAYQB0AGkAbwBuAF8ATgBJAFIAUgBlAGYAZQByAGUAbgBjAGUAXABuACAAIAA9AEwAQQBNAEIARABBACgAXAAiAFwAIgApADsAXABuAFwAbgBWAEUARQBSAEcAXwA3AF8AMQBfADEAXwAxAF8AXwAxAF8ATQBlAHQAaABhAG4AZQBFAG0AaQBzAHMAaQBvAG4AcwBGAHIAbwBtAFIAaQBjAGUAQwB1AGwAdABpAHYAYQB0AGkAbwBuAF8ATABhAHQAZQB4AEUAcQB1AGEAdABpAG8AbgBcAG4AIAAgAD0ATABBAE0AQgBEAEEAKABcACIARQBfAHsAcgBpAGMAZQB9AD0AXABcAHMAdQBtAF8AdwBcAFwAcwB1AG0AXwBwAFwAXABzAHUAbQBfAG8AKABBAF8AewByAGkAYwBlACwAdwBwAG8AfQBcAFwAdABpAG0AZQBzACAARQBGAF8AewByAGkAYwBlACwAdwBwAG8AfQBcAFwAdABpAG0AZQBzACAAdABfAHsAcgBpAGMAZQAsAHcAcABvAH0AKQBcAFwAdABpAG0AZQBzACAAMQAwAF4AewAtADMAfQBcACIAKQA7AFwAbgBcAG4AVgBFAEUAUgBHAF8ANwBfADEAXwAxAF8AMQBfAF8AMQBfAE0AZQB0AGgAYQBuAGUARQBtAGkAcwBzAGkAbwBuAHMARgByAG8AbQBSAGkAYwBlAEMAdQBsAHQAaQB2AGEAdABpAG8AbgBfAEEAcgBnAHUAbQBlAG4AdABzAFwAbgAgACAAPQBMAEEATQBCAEQAQQAoAFwAbgAgACAAIAAgAE0AQQBLAEUAQQBSAFIAQQBZACgANAAsACAANAAsAFwAbgAgACAAIAAgACAAIABMAEEATQBCAEQAQQAoAHIALABjACwAXABuACAAIAAgACAAIAAgACAAIABJAE4ARABFAFgAKAB7AFwAbgAgACAAIAAgACAAIAAgACAAIAAgAFwAIgBBAF8AcgBpAGMAZQB3AHAAbwBcACIALAAgAFwAIgBhAG4AbgB1AGEAbAAgAGEAcgBlAGEAIABvAGYAIAByAGkAYwBlACAAYwB1AGwAdABpAHYAYQB0AGkAbwBuACAAdQBuAGQAZQByACAAdwBhAHQAZQByACAAcgBlAGcAaQBtAGUAIAB3ACwAIABwAHIAZQAtAHMAZQBhAHMAbwBuACAAdwBhAHQAZQByACAAcgBlAGcAaQBtAGUAIABwACwAIABhAG4AZAAgAG8AcgBnAGEAbgBpAGMAIABhAG0AZQBuAGQAbQBlAG4AdAAgAGMAbwBuAGQAaQB0AGkAbwBuACAAbwBcACIALAAgAFwAIgBoAGEAXAAiACwAIABcACIASQBuAHAAdQB0AFwAIgA7AFwAbgAgACAAIAAgACAAIAAgACAAIAAgAFwAIgBFAEYAXwByAGkAYwBlAHcAcABvAFwAIgAsACAAXAAiAGUAbQBpAHMAcwBpAG8AbgAgAGYAYQBjAHQAbwByACAAZgBvAHIAIAByAGkAYwBlACAAYwB1AGwAdABpAHYAYQB0AGkAbwBuACAAdQBuAGQAZQByACAAYwBvAG4AZABpAHQAaQBvAG4AcwAgAHcALAAgAHAALAAgAGEAbgBkACAAbwBcACIALAAgAFwAIgBrAGcAIABDAEgANAAvAGgAYQAvAGQAYQB5AFwAIgAsACAAXAAiAEMAYQBsAGMAdQBsAGEAdABlAGQAIABmAHIAbwBtACAANwAuADEALgAxAC4AMQAsACAAKAAyACkAXAAiADsAXABuACAAIAAgACAAIAAgACAAIAAgACAAXAAiAHQAXwByAGkAYwBlAHcAcABvAFwAIgAsACAAXAAiAGMAdQBsAHQAaQB2AGEAdABpAG8AbgAgAHAAZQByAGkAbwBkACAAZgBvAHIAIAByAGkAYwBlACAAdQBuAGQAZQByACAAYwBvAG4AZABpAHQAaQBvAG4AcwAgAHcALAAgAHAALAAgAGEAbgBkACAAbwBcACIALAAgAFwAIgBkAGEAeQBzAFwAIgAsACAAXAAiAEkAbgBwAHUAdABcACIAOwBcAG4AIAAgACAAIAAgACAAIAAgACAAIABcACIAcwBcACIALAAgAFwAIgBuAHUAbQBiAGUAcgAgAG8AZgAgAGMAcgBvAHAAcABpAG4AZwAgAHMAZQBhAHMAbwBuAHMAIABpAG4AIAByAGUAcABvAHIAdABpAG4AZwAgAHAAZQByAGkAbwBkACAAbQBhAG4AYQBnAGUAZAAgAHQAaABpAHMAIAB3AGEAeQBcACIALAAgAFwAIgBzAGUAYQBzAG8AbgBzAFwAIgAsACAAXAAiAEkAbgBwAHUAdABcACIAXABuACAAIAAgACAAIAAgACAAIAB9ACwAIAByACwAIABjACkAXABuACAAIAAgACAAIAAgACkAXABuACAAIAAgACAAKQBcAG4AIAAgACkAOwBcAG4AXABuAFYARQBFAFIARwBfADcAXwAxAF8AMQBfADEAXwBfADEAXwBNAGUAdABoAGEAbgBlAEUAbQBpAHMAcwBpAG8AbgBzAEYAcgBvAG0AUgBpAGMAZQBDAHUAbAB0AGkAdgBhAHQAaQBvAG4AXwBWAGEAcgBpAGEAdABpAG8AbgBcAG4AIAAgAD0ATABBAE0AQgBEAEEAKABcACIAQQBkAGQAZQBkACAAXAB1ADAAMAAyADcAbgB1AG0AYgBlAHIAIABvAGYAIABzAGUAYQBzAG8AbgBzAFwAdQAwADAAMgA3ACAAdgBhAHIAaQBhAGIAbABlACAAYQBzACAAcABlAHIAIABWAEUARQBSAEcAIABkAGUAcwBjAHIAaQBwAHQAaQBvAG4AIABpAG4AIAA3AC4AMgAuADEAIABcAHUAMAAwADIANwBXAGgAZQByAGUAIAB0AGgAZQByAGUAIABpAHMAIABtAG8AcgBlACAAdABoAGEAbgAgAG8AbgBlACAAYwByAG8AcABwAGkAbgBnACAAcwBlAGEAcwBvAG4AIABwAGUAcgAgAHkAZQBhAHIALAAgAEEAcgBpAGMAZQAsAHcAcABvACAAcwBoAGEAbABsACAAYgBlACAAcwBjAGEAbABlAGQAIABhAGMAYwBvAHIAZABpAG4AZwBsAHkAXAB1ADAAMAAyADcAXAAiACkAOwBcAG4AXABuAC8AKgBcAG4ALQAtAC0ALQAtAC0ALQAtAC0ALQAtAC0ALQAtAC0ALQAtAC0ALQAtAC0ALQAtAC0ALQAtAC0ALQAtAC0ALQAtAC0ALQAtAC0ALQAtAFwAbgBWAEUARQBSAEcAXwA3AF8AMQBfADEAXwAxAF8AXwAyAF8ARQBtAGkAcwBzAGkAbwBuAEYAYQBjAHQAbwByAEYAbwByAFIAaQBjAGUAQwB1AGwAdABpAHYAYQB0AGkAbwBuAFwAbgBFAG0AaQBzAHMAaQBvAG4AIABmAGEAYwB0AG8AcgAgAGYAbwByACAAcgBpAGMAZQAgAGMAdQBsAHQAaQB2AGEAdABpAG8AbgBcAG4ARQBGAF8AcgBpAGMAZQB3AHAAbwBcAG4AawBnACAAQwBIADQALwBoAGEALwBkAGEAeQBcAG4ARQBGAF8AewByAGkAYwBlACwAdwBwAG8AfQA9AEUARgBfAGMAXABcAHQAaQBtAGUAcwAgAFMARgBfAHcAXABcAHQAaQBtAGUAcwAgAFMARgBfAHAAXABcAHQAaQBtAGUAcwAgAFMARgBfAG8AXABuAEUARgBfAGMAIAA9ACAAYgBhAHMAZQBsAGkAbgBlACAAZQBtAGkAcwBzAGkAbwBuACAAZgBhAGMAdABvAHIAIABmAG8AcgAgAGMAbwBuAHQAaQBuAHUAbwB1AHMAbAB5ACAAZgBsAG8AbwBkAGUAZAAgAGYAaQBlAGwAZABzACAAdwBpAHQAaABvAHUAdAAgAG8AcgBnAGEAbgBpAGMAIABhAG0AZQBuAGQAbQBlAG4AdABzACAAKABrAGcAIABDAEgANAAvAGgAYQAvAGQAYQB5ACkAXABuAFMARgBfAHcAIAA9ACAAcwBjAGEAbABpAG4AZwAgAGYAYQBjAHQAbwByACAAZgBvAHIAIAB3AGEAdABlAHIAIAByAGUAZwBpAG0AZQAgAGQAdQByAGkAbgBnACAAdABoAGUAIABnAHIAbwB3AGkAbgBnACAAcwBlAGEAcwBvAG4AXABuAFMARgBfAHAAIAA9ACAAcwBjAGEAbABpAG4AZwAgAGYAYQBjAHQAbwByACAAZgBvAHIAIAB3AGEAdABlAHIAIAByAGUAZwBpAG0AZQAgAGkAbgAgAHQAaABlACAAcAByAGUALQBzAGUAYQBzAG8AbgBcAG4AUwBGAF8AbwAgAD0AIABzAGMAYQBsAGkAbgBnACAAZgBhAGMAdABvAHIAIABmAG8AcgAgAHQAeQBwAGUAIABhAG4AZAAgAGEAbQBvAHUAbgB0ACAAbwBmACAAbwByAGcAYQBuAGkAYwAgAGEAbQBlAG4AZABtAGUAbgB0AHMAIAAoAHMAZQB0ACAAdABvACAAMQAgAGYAbwByACAAaQBuAG8AcgBnAGEAbgBpAGMAIABmAGUAcgB0AGkAbABpAHMAZQByACAAdQBzAGUAKQBcAG4ALQAtAC0ALQAtAC0ALQAtAC0ALQAtAC0ALQAtAC0ALQAtAC0ALQAtAC0ALQAtAC0ALQAtAC0ALQAtAC0ALQAtAC0ALQAtAC0ALQAtAFwAbgAqAC8AXABuAFwAbgBWAEUARQBSAEcAXwA3AF8AMQBfADEAXwAxAF8AXwAyAF8ARQBtAGkAcwBzAGkAbwBuAEYAYQBjAHQAbwByAEYAbwByAFIAaQBjAGUAQwB1AGwAdABpAHYAYQB0AGkAbwBuAFwAbgAgACAAPQBMAEEATQBCAEQAQQAoAFwAbgAgACAAIAAgAEUARgBfAGMALAAgAFMARgBfAHcALAAgAFMARgBfAHAALAAgAFMARgBfAG8ALABcAG4AIAAgACAAIABFAEYAXwBjACAAKgAgAFMARgBfAHcAIAAqACAAUwBGAF8AcAAgACoAIABTAEYAXwBvAFwAbgAgACAAKQA7AFwAbgBcAG4AVgBFAEUAUgBHAF8ANwBfADEAXwAxAF8AMQBfAF8AMgBfAEUAbQBpAHMAcwBpAG8AbgBGAGEAYwB0AG8AcgBGAG8AcgBSAGkAYwBlAEMAdQBsAHQAaQB2AGEAdABpAG8AbgBfAFQAaQB0AGwAZQBcAG4AIAAgAD0ATABBAE0AQgBEAEEAKABcACIARQBtAGkAcwBzAGkAbwBuACAAZgBhAGMAdABvAHIAIABmAG8AcgAgAHIAaQBjAGUAIABjAHUAbAB0AGkAdgBhAHQAaQBvAG4AXAAiACkAOwBcAG4AXABuAFYARQBFAFIARwBfADcAXwAxAF8AMQBfADEAXwBfADIAXwBFAG0AaQBzAHMAaQBvAG4ARgBhAGMAdABvAHIARgBvAHIAUgBpAGMAZQBDAHUAbAB0AGkAdgBhAHQAaQBvAG4AXwBWAGEAcgBpAGEAYgBsAGUAXABuACAAIAA9AEwAQQBNAEIARABBACgAXAAiAEUARgBfAHIAaQBjAGUAdwBwAG8AXAAiACkAOwBcAG4AXABuAFYARQBFAFIARwBfADcAXwAxAF8AMQBfADEAXwBfADIAXwBFAG0AaQBzAHMAaQBvAG4ARgBhAGMAdABvAHIARgBvAHIAUgBpAGMAZQBDAHUAbAB0AGkAdgBhAHQAaQBvAG4AXwBVAG4AaQB0AFwAbgAgACAAPQBMAEEATQBCAEQAQQAoAFwAIgBrAGcAIABDAEgANAAvAGgAYQAvAGQAYQB5AFwAIgApADsAXABuAFwAbgBWAEUARQBSAEcAXwA3AF8AMQBfADEAXwAxAF8AXwAyAF8ARQBtAGkAcwBzAGkAbwBuAEYAYQBjAHQAbwByAEYAbwByAFIAaQBjAGUAQwB1AGwAdABpAHYAYQB0AGkAbwBuAF8AUwBvAHUAcgBjAGUAXABuACAAIAA9AEwAQQBNAEIARABBACgAXAAiAFYARQBFAFIARwAgADIAMAAyADYAOgAgADcALgAxAC4AMQAuADEALAAgAEUAcQB1AGEAdABpAG8AbgAgACgAMgApAFwAIgApADsAXABuAFwAbgBWAEUARQBSAEcAXwA3AF8AMQBfADEAXwAxAF8AXwAyAF8ARQBtAGkAcwBzAGkAbwBuAEYAYQBjAHQAbwByAEYAbwByAFIAaQBjAGUAQwB1AGwAdABpAHYAYQB0AGkAbwBuAF8ATgBJAFIAUgBlAGYAZQByAGUAbgBjAGUAXABuACAAIAA9AEwAQQBNAEIARABBACgAXAAiAFwAIgApADsAXABuAFwAbgBWAEUARQBSAEcAXwA3AF8AMQBfADEAXwAxAF8AXwAyAF8ARQBtAGkAcwBzAGkAbwBuAEYAYQBjAHQAbwByAEYAbwByAFIAaQBjAGUAQwB1AGwAdABpAHYAYQB0AGkAbwBuAF8ATABhAHQAZQB4AEUAcQB1AGEAdABpAG8AbgBcAG4AIAAgAD0ATABBAE0AQgBEAEEAKABcACIARQBGAF8AewByAGkAYwBlACwAdwBwAG8AfQA9AEUARgBfAGMAXABcAHQAaQBtAGUAcwAgAFMARgBfAHcAXABcAHQAaQBtAGUAcwAgAFMARgBfAHAAXABcAHQAaQBtAGUAcwAgAFMARgBfAG8AXAAiACkAOwBcAG4AXABuAFYARQBFAFIARwBfADcAXwAxAF8AMQBfADEAXwBfADIAXwBFAG0AaQBzAHMAaQBvAG4ARgBhAGMAdABvAHIARgBvAHIAUgBpAGMAZQBDAHUAbAB0AGkAdgBhAHQAaQBvAG4AXwBBAHIAZwB1AG0AZQBuAHQAcwBcAG4AIAAgAD0ATABBAE0AQgBEAEEAKABcAG4AIAAgACAAIABNAEEASwBFAEEAUgBSAEEAWQAoADcALAAgADQALABcAG4AIAAgACAAIAAgACAATABBAE0AQgBEAEEAKAByACwAYwAsAFwAbgAgACAAIAAgACAAIAAgACAASQBOAEQARQBYACgAewBcAG4AIAAgACAAIAAgACAAIAAgACAAIABcACIARQBGAF8AYwBcACIALAAgAFwAIgBiAGEAcwBlAGwAaQBuAGUAIABlAG0AaQBzAHMAaQBvAG4AIABmAGEAYwB0AG8AcgAgAGYAbwByACAAYwBvAG4AdABpAG4AdQBvAHUAcwBsAHkAIABmAGwAbwBvAGQAZQBkACAAZgBpAGUAbABkAHMAIAB3AGkAdABoAG8AdQB0ACAAbwByAGcAYQBuAGkAYwAgAGEAbQBlAG4AZABtAGUAbgB0AHMAXAAiACwAIABcACIAawBnACAAQwBIADQALwBoAGEALwBkAGEAeQBcACIALAAgAFwAIgBDAG8AbgBzAHQAYQBuAHQAXAAiADsAXABuACAAIAAgACAAIAAgACAAIAAgACAAXAAiAFMARgBfAHcAXAAiACwAIABcACIAcwBjAGEAbABpAG4AZwAgAGYAYQBjAHQAbwByACAAZgBvAHIAIAB3AGEAdABlAHIAIAByAGUAZwBpAG0AZQAgAGQAdQByAGkAbgBnACAAdABoAGUAIABnAHIAbwB3AGkAbgBnACAAcwBlAGEAcwBvAG4AXAAiACwAIABcACIAZgByAGEAYwB0AGkAbwBuAFwAIgAsACAAXAAiAEMAbwBuAHMAdABhAG4AdABcACIAOwBcAG4AIAAgACAAIAAgACAAIAAgACAAIABcACIAUwBGAF8AcABcACIALAAgAFwAIgBzAGMAYQBsAGkAbgBnACAAZgBhAGMAdABvAHIAIABmAG8AcgAgAHcAYQB0AGUAcgAgAHIAZQBnAGkAbQBlACAAaQBuACAAdABoAGUAIABwAHIAZQAtAHMAZQBhAHMAbwBuAFwAIgAsACAAXAAiAGYAcgBhAGMAdABpAG8AbgBcACIALAAgAFwAIgBDAG8AbgBzAHQAYQBuAHQAXAAiADsAXABuACAAIAAgACAAIAAgACAAIAAgACAAXAAiAFMARgBfAG8AXAAiACwAIABcACIAcwBjAGEAbABpAG4AZwAgAGYAYQBjAHQAbwByACAAZgBvAHIAIAB0AHkAcABlACAAYQBuAGQAIABhAG0AbwB1AG4AdAAgAG8AZgAgAG8AcgBnAGEAbgBpAGMAIABhAG0AZQBuAGQAbQBlAG4AdABzAFwAIgAsACAAXAAiAGYAcgBhAGMAdABpAG8AbgBcACIALAAgAFwAIgBDAGEAbABjAHUAbABhAHQAZQBkACAAZgByAG8AbQAgADcALgAxAC4AMQAuADEALAAgACgAMwApAFwAIgA7AFwAbgAgACAAIAAgACAAIAAgACAAIAAgAFwAIgB3AFwAIgAsACAAXAAiAHcAYQB0AGUAcgAgAHIAZQBnAGkAbQBlACAAZAB1AHIAaQBuAGcAIABnAHIAbwB3AGkAbgBnACAAcwBlAGEAcwBvAG4AXAAiACwAIABcACIAXAAiACwAIABcACIASQBuAHAAdQB0AFwAIgA7AFwAbgAgACAAIAAgACAAIAAgACAAIAAgAFwAIgBwAFwAIgAsACAAXAAiAHAAcgBlAC0AcwBlAGEAcwBvAG4AIAB3AGEAdABlAHIAIAByAGUAZwBpAG0AZQBcACIALAAgAFwAIgBcACIALAAgAFwAIgBJAG4AcAB1AHQAXAAiADsAXABuACAAIAAgACAAIAAgACAAIAAgACAAXAAiAG8AXAAiACwAIABcACIAbwByAGcAYQBuAGkAYwAgAGEAbQBlAG4AZABtAGUAbgB0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3AF8AMQBfADEAXwAxAF8AXwAzAF8ATwByAGcAYQBuAGkAYwBBAG0AZQBuAGQAbQBlAG4AdABzAFMAYwBhAGwAaQBuAGcARgBhAGMAdABvAHIAXABuAE8AcgBnAGEAbgBpAGMAIABhAG0AZQBuAGQAbQBlAG4AdABzACAAcwBjAGEAbABpAG4AZwAgAGYAYQBjAHQAbwByAFwAbgBTAEYAXwBvAFwAbgBkAGkAbQBlAG4AcwBpAG8AbgBsAGUAcwBzAFwAbgBTAEYAXwBvAD0AKAAxACsAXABcAHMAdQBtAF8AbwAoAFIATwBBAF8AbwBcAFwAdABpAG0AZQBzACAAQwBGAE8AQQBfAG8AKQApAF4AewAwAC4ANQA5AH0AXABuAFIATwBBAF8AbwAgAD0AIABhAHAAcABsAGkAYwBhAHQAaQBvAG4AIAByAGEAdABlACAAbwBmACAAbwByAGcAYQBuAGkAYwAgAGEAbQBlAG4AZABtAGUAbgB0ACAAbwAgACgAdABvAG4AbgBlAHMALwBoAGEAKQBcAG4AQwBGAE8AQQBfAG8AIAA9ACAAYwBvAG4AdgBlAHIAcwBpAG8AbgAgAGYAYQBjAHQAbwByACAAbwBmACAAbwByAGcAYQBuAGkAYwAgAGEAbQBlAG4AZABtAGUAbgB0ACAAbwBcAG4ALQAtAC0ALQAtAC0ALQAtAC0ALQAtAC0ALQAtAC0ALQAtAC0ALQAtAC0ALQAtAC0ALQAtAC0ALQAtAC0ALQAtAC0ALQAtAC0ALQAtAFwAbgAqAC8AXABuAFwAbgBWAEUARQBSAEcAXwA3AF8AMQBfADEAXwAxAF8AXwAzAF8ATwByAGcAYQBuAGkAYwBBAG0AZQBuAGQAbQBlAG4AdABzAFMAYwBhAGwAaQBuAGcARgBhAGMAdABvAHIAXABuACAAIAA9AEwAQQBNAEIARABBACgAXABuACAAIAAgACAAUgBPAEEAXwBvACwAIABDAEYATwBBAF8AbwAsAFwAbgAgACAAIAAgACgAMQAgACsAIABTAFUATQAoAFIATwBBAF8AbwAgACoAIABDAEYATwBBAF8AbwApACkAIABeACAAMAAuADUAOQBcAG4AIAAgACkAOwBcAG4AXABuAFYARQBFAFIARwBfADcAXwAxAF8AMQBfADEAXwBfADMAXwBPAHIAZwBhAG4AaQBjAEEAbQBlAG4AZABtAGUAbgB0AHMAUwBjAGEAbABpAG4AZwBGAGEAYwB0AG8AcgBWAGEAcgBpAGEAdABpAG8AbgBcAG4AIAAgAD0ATABBAE0AQgBEAEEAKABcAG4AIAAgACAAIABSAE8AQQBfAG8AMQAsACAAQwBGAE8AQQBfAG8AMQAsACAAUgBPAEEAXwBvADIALAAgAEMARgBPAEEAXwBvADIALAAgAFIATwBBAF8AbwAzACwAIABDAEYATwBBAF8AbwAzACwAIABSAE8AQQBfAG8ANAAsACAAQwBGAE8AQQBfAG8ANAAsACAAUgBPAEEAXwBvADUALAAgAEMARgBPAEEAXwBvADUALAAgAFIATwBBAF8AbwA2ACwAIABDAEYATwBBAF8AbwA2ACwAXABuACAAIAAgACAAKAAxACAAKwAgACgAKABSAE8AQQBfAG8AMQAgACoAIABDAEYATwBBAF8AbwAxACkAIAArACAAKABSAE8AQQBfAG8AMgAgACoAIABDAEYATwBBAF8AbwAyACkAIAArACAAKABSAE8AQQBfAG8AMwAgACoAIABDAEYATwBBAF8AbwAzACkAKwAgACgAUgBPAEEAXwBvADQAIAAqACAAQwBGAE8AQQBfAG8ANAApACAAKwAgACgAUgBPAEEAXwBvADUAIAAqACAAQwBGAE8AQQBfAG8ANQApACAAKwAgACgAUgBPAEEAXwBvADYAIAAqACAAQwBGAE8AQQBfAG8ANgApACkAKQAgAF4AIAAwAC4ANQA5AFwAbgAgACAAKQA7AFwAbgBcAG4AVgBFAEUAUgBHAF8ANwBfADEAXwAxAF8AMQBfAF8AMwBfAE8AcgBnAGEAbgBpAGMAQQBtAGUAbgBkAG0AZQBuAHQAcwBTAGMAYQBsAGkAbgBnAEYAYQBjAHQAbwByAF8AVABpAHQAbABlAFwAbgAgACAAPQBMAEEATQBCAEQAQQAoAFwAIgBPAHIAZwBhAG4AaQBjACAAYQBtAGUAbgBkAG0AZQBuAHQAcwAgAHMAYwBhAGwAaQBuAGcAIABmAGEAYwB0AG8AcgBcACIAKQA7AFwAbgBcAG4AVgBFAEUAUgBHAF8ANwBfADEAXwAxAF8AMQBfAF8AMwBfAE8AcgBnAGEAbgBpAGMAQQBtAGUAbgBkAG0AZQBuAHQAcwBTAGMAYQBsAGkAbgBnAEYAYQBjAHQAbwByAF8AVgBhAHIAaQBhAGIAbABlAFwAbgAgACAAPQBMAEEATQBCAEQAQQAoAFwAIgBTAEYAXwBvAFwAIgApADsAXABuAFwAbgBWAEUARQBSAEcAXwA3AF8AMQBfADEAXwAxAF8AXwAzAF8ATwByAGcAYQBuAGkAYwBBAG0AZQBuAGQAbQBlAG4AdABzAFMAYwBhAGwAaQBuAGcARgBhAGMAdABvAHIAXwBVAG4AaQB0AFwAbgAgACAAPQBMAEEATQBCAEQAQQAoAFwAIgBkAGkAbQBlAG4AcwBpAG8AbgBsAGUAcwBzAFwAIgApADsAXABuAFwAbgBWAEUARQBSAEcAXwA3AF8AMQBfADEAXwAxAF8AXwAzAF8ATwByAGcAYQBuAGkAYwBBAG0AZQBuAGQAbQBlAG4AdABzAFMAYwBhAGwAaQBuAGcARgBhAGMAdABvAHIAXwBTAG8AdQByAGMAZQBcAG4AIAAgAD0ATABBAE0AQgBEAEEAKABcACIAVgBFAEUAUgBHACAAMgAwADIANgA6ACAANwAuADEALgAxAC4AMQAsACAARQBxAHUAYQB0AGkAbwBuACAAKAAzACkAXAAiACkAOwBcAG4AXABuAFYARQBFAFIARwBfADcAXwAxAF8AMQBfADEAXwBfADMAXwBPAHIAZwBhAG4AaQBjAEEAbQBlAG4AZABtAGUAbgB0AHMAUwBjAGEAbABpAG4AZwBGAGEAYwB0AG8AcgBfAE4ASQBSAFIAZQBmAGUAcgBlAG4AYwBlAFwAbgAgACAAPQBMAEEATQBCAEQAQQAoAFwAIgBcACIAKQA7AFwAbgBcAG4AVgBFAEUAUgBHAF8ANwBfADEAXwAxAF8AMQBfAF8AMwBfAE8AcgBnAGEAbgBpAGMAQQBtAGUAbgBkAG0AZQBuAHQAcwBTAGMAYQBsAGkAbgBnAEYAYQBjAHQAbwByAF8ATABhAHQAZQB4AEUAcQB1AGEAdABpAG8AbgBcAG4AIAAgAD0ATABBAE0AQgBEAEEAKABcACIAUwBGAF8AbwA9ACgAMQArAFwAXABzAHUAbQBfAG8AUgBPAEEAXwBvAFwAXAB0AGkAbQBlAHMAIABDAEYATwBBAF8AbwApAF4AewAwAC4ANQA5AH0AXAAiACkAOwBcAG4AXABuAFYARQBFAFIARwBfADcAXwAxAF8AMQBfADEAXwBfADMAXwBPAHIAZwBhAG4AaQBjAEEAbQBlAG4AZABtAGUAbgB0AHMAUwBjAGEAbABpAG4AZwBGAGEAYwB0AG8AcgBfAEwAYQB0AGUAeABFAHEAdQBhAHQAaQBvAG4AVgBhAHIAaQBhAHQAaQBvAG4AXABuACAAIAA9AEwAQQBNAEIARABBACgAXAAiAFMARgBfAG8APQAoADEAKwAgACgAKABSAE8AQQBfAG8AMQBcAFwAdABpAG0AZQBzACAAQwBGAE8AQQBfAG8AMQApACAAKwAgACgAUgBPAEEAXwBvADIAXABcAHQAaQBtAGUAcwAgAEMARgBPAEEAXwBvADIAKQAgACsAIAAoAFIATwBBAF8AbwAzAFwAXAB0AGkAbQBlAHMAIABDAEYATwBBAF8AbwAzACkAIAArACAAKABSAE8AQQBfAG8ANABcAFwAdABpAG0AZQBzACAAQwBGAE8AQQBfAG8ANAApACAAKwAgACgAUgBPAEEAXwBvADUAXABcAHQAaQBtAGUAcwAgAEMARgBPAEEAXwBvADUAKQAgACsAIAAoAFIATwBBAF8AbwA2AFwAXAB0AGkAbQBlAHMAIABDAEYATwBBAF8AbwA2ACkAKQBeAHsAMAAuADUAOQB9AFwAIgApADsAXABuAFwAbgBWAEUARQBSAEcAXwA3AF8AMQBfADEAXwAxAF8AXwAzAF8ATwByAGcAYQBuAGkAYwBBAG0AZQBuAGQAbQBlAG4AdABzAFMAYwBhAGwAaQBuAGcARgBhAGMAdABvAHIAXwBBAHIAZwB1AG0AZQBuAHQAcwBcAG4AIAAgAD0ATABBAE0AQgBEAEEAKABcAG4AIAAgACAAIABNAEEASwBFAEEAUgBSAEEAWQAoADMALAAgADQALABcAG4AIAAgACAAIAAgACAATABBAE0AQgBEAEEAKAByACwAYwAsAFwAbgAgACAAIAAgACAAIAAgACAASQBOAEQARQBYACgAewBcAG4AIAAgACAAIAAgACAAIAAgACAAIABcACIAUgBPAEEAXwBvAFwAIgAsACAAXAAiAGEAcABwAGwAaQBjAGEAdABpAG8AbgAgAHIAYQB0AGUAIABvAGYAIABvAHIAZwBhAG4AaQBjACAAYQBtAGUAbgBkAG0AZQBuAHQAIABvAFwAIgAsACAAXAAiAHQAbwBuAG4AZQBzAC8AaABhAFwAIgAsACAAXAAiAEkAbgBwAHUAdABcACIAOwBcAG4AIAAgACAAIAAgACAAIAAgACAAIABcACIAQwBGAE8AQQBfAG8AXAAiACwAIABcACIAYwBvAG4AdgBlAHIAcwBpAG8AbgAgAGYAYQBjAHQAbwByACAAbwBmACAAbwByAGcAYQBuAGkAYwAgAGEAbQBlAG4AZABtAGUAbgB0ACAAbwBcACIALAAgAFwAIgBmAHIAYQBjAHQAaQBvAG4AXAAiACwAIABcACIAQwBvAG4AcwB0AGEAbgB0AFwAIgA7AFwAbgAgACAAIAAgACAAIAAgACAAIAAgAFwAIgBvAFwAIgAsACAAXAAiAG8AcgBnAGEAbgBpAGMAIABhAG0AZQBuAGQAbQBlAG4AdAAgAHQAeQBwAGUAXAAiACwAIABcACIAXAAiACwAIABcACIASQBuAHAAdQB0AFwAIgBcAG4AIAAgACAAIAAgACAAIAAgAH0ALAAgAHIALAAgAGMAKQBcAG4AIAAgACAAIAAgACAAKQBcAG4AIAAgACAAIAApAFwAbgAgACAAKQA7AFwAbgBcAG4AVgBFAEUAUgBHAF8ANwBfADEAXwAxAF8AMQBfAF8AMwBfAE8AcgBnAGEAbgBpAGMAQQBtAGUAbgBkAG0AZQBuAHQAcwBTAGMAYQBsAGkAbgBnAEYAYQBjAHQAbwByAF8AVgBhAHIAaQBhAHQAaQBvAG4AXABuACAAIAA9AEwAQQBNAEIARABBACgAXABuACAAIAAgACAATQBBAEsARQBBAFIAUgBBAFkAKAA0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A7AFwAbgAgACAAIAAgACAAIAAgACAAIAAgAFwAIgBEAGUAYwBsAGEAcgBlAGQAIABlAGEAYwBoACAAYQBtAGUAbgBkAG0AZQBuAHQAIABzAGUAcABhAHIAYQB0AGUAbAB5ACAAdABvACAAYQBsAGwAbwB3ACAAcwB1AG0AbQBpAG4AZwAgAGkAbgAgAEUAeABjAGUAbAAgAGkAbgAgAG8AbgBlACAAZQBxAHUAYQB0AGkAbwBu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UgBpAGMAZQBDAHUAbAB0AGkAdgBhAHQAaQBvAG4AXwBTAG8AdQByAGMAZQBEAGEAdABhAC4AUwBvAHUAcgBjAGUARABhAHQAYQBfAFIAaQBjAGUAQwB1AGwAdABpAHYAYQB0AGkAbwBuAF8AVwBhAHQAZQByAFMAYwBhAGwAaQBuAGcARgBhAGMAdABvAHIARwByAG8AdwBpAG4AZwBTAGUAYQBzAG8AbgBfAFQAaQB0AGwAZQAiACwAIgBSAGkAYwBlAEMAdQBsAHQAaQB2AGEAdABpAG8AbgBfAFMAbwB1AHIAYwBlAEQAYQB0AGEALgBTAG8AdQByAGMAZQBEAGEAdABhAF8AUgBpAGMAZQBDAHUAbAB0AGkAdgBhAHQAaQBvAG4AXwBXAGEAdABlAHIAUwBjAGEAbABpAG4AZwBGAGEAYwB0AG8AcgBHAHIAbwB3AGkAbgBnAFMAZQBhAHMAbwBuAF8AVgBhAHIAaQBhAGIAbABlACIALAAiAFIAaQBjAGUAQwB1AGwAdABpAHYAYQB0AGkAbwBuAF8AUwBvAHUAcgBjAGUARABhAHQAYQAuAFMAbwB1AHIAYwBlAEQAYQB0AGEAXwBSAGkAYwBlAEMAdQBsAHQAaQB2AGEAdABpAG8AbgBfAFcAYQB0AGUAcgBTAGMAYQBsAGkAbgBnAEYAYQBjAHQAbwByAEcAcgBvAHcAaQBuAGcAUwBlAGEAcwBvAG4AXwBVAG4AaQB0ACIALAAiAFIAaQBjAGUAQwB1AGwAdABpAHYAYQB0AGkAbwBuAF8AUwBvAHUAcgBjAGUARABhAHQAYQAuAFMAbwB1AHIAYwBlAEQAYQB0AGEAXwBSAGkAYwBlAEMAdQBsAHQAaQB2AGEAdABpAG8AbgBfAFcAYQB0AGUAcgBTAGMAYQBsAGkAbgBnAEYAYQBjAHQAbwByAEcAcgBvAHcAaQBuAGcAUwBlAGEAcwBvAG4AXwBTAG8AdQByAGMAZQAiACwAIgBSAGkAYwBlAEMAdQBsAHQAaQB2AGEAdABpAG8AbgBfAFMAbwB1AHIAYwBlAEQAYQB0AGEALgBTAG8AdQByAGMAZQBEAGEAdABhAF8AUgBpAGMAZQBDAHUAbAB0AGkAdgBhAHQAaQBvAG4AXwBXAGEAdABlAHIAUwBjAGEAbABpAG4AZwBGAGEAYwB0AG8AcgBHAHIAbwB3AGkAbgBnAFMAZQBhAHMAbwBuAF8AVgBhAHIAaQBhAHQAaQBvAG4AIgAsACIAUgBpAGMAZQBDAHUAbAB0AGkAdgBhAHQAaQBvAG4AXwBTAG8AdQByAGMAZQBEAGEAdABhAC4AUwBvAHUAcgBjAGUARABhAHQAYQBfAFIAaQBjAGUAQwB1AGwAdABpAHYAYQB0AGkAbwBuAF8AVwBhAHQAZQByAFMAYwBhAGwAaQBuAGcARgBhAGMAdABvAHIARwByAG8AdwBpAG4AZwBTAGUAYQBzAG8AbgBfAEQAYQB0AGEAIgAsACIAUgBpAGMAZQBDAHUAbAB0AGkAdgBhAHQAaQBvAG4AXwBTAG8AdQByAGMAZQBEAGEAdABhAC4AUwBvAHUAcgBjAGUARABhAHQAYQBfAFIAaQBjAGUAQwB1AGwAdABpAHYAYQB0AGkAbwBuAF8AVwBhAHQAZQByAFMAYwBhAGwAaQBuAGcARgBhAGMAdABvAHIAUAByAGUAUwBlAGEAcwBvAG4AXwBUAGkAdABsAGUAIgAsACIAUgBpAGMAZQBDAHUAbAB0AGkAdgBhAHQAaQBvAG4AXwBTAG8AdQByAGMAZQBEAGEAdABhAC4AUwBvAHUAcgBjAGUARABhAHQAYQBfAFIAaQBjAGUAQwB1AGwAdABpAHYAYQB0AGkAbwBuAF8AVwBhAHQAZQByAFMAYwBhAGwAaQBuAGcARgBhAGMAdABvAHIAUAByAGUAUwBlAGEAcwBvAG4AXwBWAGEAcgBpAGEAYgBsAGUAIgAsACIAUgBpAGMAZQBDAHUAbAB0AGkAdgBhAHQAaQBvAG4AXwBTAG8AdQByAGMAZQBEAGEAdABhAC4AUwBvAHUAcgBjAGUARABhAHQAYQBfAFIAaQBjAGUAQwB1AGwAdABpAHYAYQB0AGkAbwBuAF8AVwBhAHQAZQByAFMAYwBhAGwAaQBuAGcARgBhAGMAdABvAHIAUAByAGUAUwBlAGEAcwBvAG4AXwBVAG4AaQB0ACIALAAiAFIAaQBjAGUAQwB1AGwAdABpAHYAYQB0AGkAbwBuAF8AUwBvAHUAcgBjAGUARABhAHQAYQAuAFMAbwB1AHIAYwBlAEQAYQB0AGEAXwBSAGkAYwBlAEMAdQBsAHQAaQB2AGEAdABpAG8AbgBfAFcAYQB0AGUAcgBTAGMAYQBsAGkAbgBnAEYAYQBjAHQAbwByAFAAcgBlAFMAZQBhAHMAbwBuAF8AUwBvAHUAcgBjAGUAIgAsACIAUgBpAGMAZQBDAHUAbAB0AGkAdgBhAHQAaQBvAG4AXwBTAG8AdQByAGMAZQBEAGEAdABhAC4AUwBvAHUAcgBjAGUARABhAHQAYQBfAFIAaQBjAGUAQwB1AGwAdABpAHYAYQB0AGkAbwBuAF8AVwBhAHQAZQByAFMAYwBhAGwAaQBuAGcARgBhAGMAdABvAHIAUAByAGUAUwBlAGEAcwBvAG4AXwBWAGEAcgBpAGEAdABpAG8AbgAiACwAIgBSAGkAYwBlAEMAdQBsAHQAaQB2AGEAdABpAG8AbgBfAFMAbwB1AHIAYwBlAEQAYQB0AGEALgBTAG8AdQByAGMAZQBEAGEAdABhAF8AUgBpAGMAZQBDAHUAbAB0AGkAdgBhAHQAaQBvAG4AXwBXAGEAdABlAHIAUwBjAGEAbABpAG4AZwBGAGEAYwB0AG8AcgBQAHIAZQBTAGUAYQBzAG8AbgBfAEQAYQB0AGEAIgAsACIAUgBpAGMAZQBDAHUAbAB0AGkAdgBhAHQAaQBvAG4AXwBTAG8AdQByAGMAZQBEAGEAdABhAC4AUwBvAHUAcgBjAGUARABhAHQAYQBfAFIAaQBjAGUAQwB1AGwAdABpAHYAYQB0AGkAbwBuAF8ATwByAGcAYQBuAGkAYwBBAG0AZQBuAGQAbQBlAG4AdABDAG8AbgB2AGUAcgBzAGkAbwBuAEYAYQBjAHQAbwByAF8AVABpAHQAbABlACIALAAiAFIAaQBjAGUAQwB1AGwAdABpAHYAYQB0AGkAbwBuAF8AUwBvAHUAcgBjAGUARABhAHQAYQAuAFMAbwB1AHIAYwBlAEQAYQB0AGEAXwBSAGkAYwBlAEMAdQBsAHQAaQB2AGEAdABpAG8AbgBfAE8AcgBnAGEAbgBpAGMAQQBtAGUAbgBkAG0AZQBuAHQAQwBvAG4AdgBlAHIAcwBpAG8AbgBGAGEAYwB0AG8AcgBfAFYAYQByAGkAYQBiAGwAZQAiACwAIgBSAGkAYwBlAEMAdQBsAHQAaQB2AGEAdABpAG8AbgBfAFMAbwB1AHIAYwBlAEQAYQB0AGEALgBTAG8AdQByAGMAZQBEAGEAdABhAF8AUgBpAGMAZQBDAHUAbAB0AGkAdgBhAHQAaQBvAG4AXwBPAHIAZwBhAG4AaQBjAEEAbQBlAG4AZABtAGUAbgB0AEMAbwBuAHYAZQByAHMAaQBvAG4ARgBhAGMAdABvAHIAXwBVAG4AaQB0ACIALAAiAFIAaQBjAGUAQwB1AGwAdABpAHYAYQB0AGkAbwBuAF8AUwBvAHUAcgBjAGUARABhAHQAYQAuAFMAbwB1AHIAYwBlAEQAYQB0AGEAXwBSAGkAYwBlAEMAdQBsAHQAaQB2AGEAdABpAG8AbgBfAE8AcgBnAGEAbgBpAGMAQQBtAGUAbgBkAG0AZQBuAHQAQwBvAG4AdgBlAHIAcwBpAG8AbgBGAGEAYwB0AG8AcgBfAFMAbwB1AHIAYwBlACIALAAiAFIAaQBjAGUAQwB1AGwAdABpAHYAYQB0AGkAbwBuAF8AUwBvAHUAcgBjAGUARABhAHQAYQAuAFMAbwB1AHIAYwBlAEQAYQB0AGEAXwBSAGkAYwBlAEMAdQBsAHQAaQB2AGEAdABpAG8AbgBfAE8AcgBnAGEAbgBpAGMAQQBtAGUAbgBkAG0AZQBuAHQAQwBvAG4AdgBlAHIAcwBpAG8AbgBGAGEAYwB0AG8AcgBfAFYAYQByAGkAYQB0AGkAbwBuACIALAAiAFIAaQBjAGUAQwB1AGwAdABpAHYAYQB0AGkAbwBuAF8AUwBvAHUAcgBjAGUARABhAHQAYQAuAFMAbwB1AHIAYwBlAEQAYQB0AGEAXwBSAGkAYwBlAEMAdQBsAHQAaQB2AGEAdABpAG8AbgBfAE8AcgBnAGEAbgBpAGMAQQBtAGUAbgBkAG0AZQBuAHQAQwBvAG4AdgBlAHIAcwBpAG8AbgBGAGEAYwB0AG8AcgBfAEQAYQB0AGEAIgAsACIAUgBpAGMAZQBDAHUAbAB0AGkAdgBhAHQAaQBvAG4AXwBTAG8AdQByAGMAZQBEAGEAdABhAC4AUwBvAHUAcgBjAGUARABhAHQAYQBfAFIAaQBjAGUAQwB1AGwAdABpAHYAYQB0AGkAbwBuAF8AQgBhAHMAZQBsAGkAbgBlAEUARgBfAFQAaQB0AGwAZQAiACwAIgBSAGkAYwBlAEMAdQBsAHQAaQB2AGEAdABpAG8AbgBfAFMAbwB1AHIAYwBlAEQAYQB0AGEALgBTAG8AdQByAGMAZQBEAGEAdABhAF8AUgBpAGMAZQBDAHUAbAB0AGkAdgBhAHQAaQBvAG4AXwBCAGEAcwBlAGwAaQBuAGUARQBGAF8AVgBhAHIAaQBhAGIAbABlACIALAAiAFIAaQBjAGUAQwB1AGwAdABpAHYAYQB0AGkAbwBuAF8AUwBvAHUAcgBjAGUARABhAHQAYQAuAFMAbwB1AHIAYwBlAEQAYQB0AGEAXwBSAGkAYwBlAEMAdQBsAHQAaQB2AGEAdABpAG8AbgBfAEIAYQBzAGUAbABpAG4AZQBFAEYAXwBVAG4AaQB0ACIALAAiAFIAaQBjAGUAQwB1AGwAdABpAHYAYQB0AGkAbwBuAF8AUwBvAHUAcgBjAGUARABhAHQAYQAuAFMAbwB1AHIAYwBlAEQAYQB0AGEAXwBSAGkAYwBlAEMAdQBsAHQAaQB2AGEAdABpAG8AbgBfAEIAYQBzAGUAbABpAG4AZQBFAEYAXwBTAG8AdQByAGMAZQAiACwAIgBSAGkAYwBlAEMAdQBsAHQAaQB2AGEAdABpAG8AbgBfAFMAbwB1AHIAYwBlAEQAYQB0AGEALgBTAG8AdQByAGMAZQBEAGEAdABhAF8AUgBpAGMAZQBDAHUAbAB0AGkAdgBhAHQAaQBvAG4AXwBCAGEAcwBlAGwAaQBuAGUARQBGAF8AVgBhAHIAaQBhAHQAaQBvAG4AIgAsACIAUgBpAGMAZQBDAHUAbAB0AGkAdgBhAHQAaQBvAG4AXwBTAG8AdQByAGMAZQBEAGEAdABhAC4AUwBvAHUAcgBjAGUARABhAHQAYQBfAFIAaQBjAGUAQwB1AGwAdABpAHYAYQB0AGkAbwBuAF8AQgBhAHMAZQBsAGkAbgBlAEUARgBfAEQAYQB0AGEAIgAsACIAUgBpAGMAZQBDAHUAbAB0AGkAdgBhAHQAaQBvAG4AXwBFAHEAdQBhAHQAaQBvAG4AcwAuAFYARQBFAFIARwBfADcAXwAxAF8AMQBfADEAXwBfADEAXwBNAGUAdABoAGEAbgBlAEUAbQBpAHMAcwBpAG8AbgBzAEYAcgBvAG0AUgBpAGMAZQBDAHUAbAB0AGkAdgBhAHQAaQBvAG4AIgAsACIAUgBpAGMAZQBDAHUAbAB0AGkAdgBhAHQAaQBvAG4AXwBFAHEAdQBhAHQAaQBvAG4AcwAuAFYARQBFAFIARwBfADcAXwAxAF8AMQBfADEAXwBfADEAXwBNAGUAdABoAGEAbgBlAEUAbQBpAHMAcwBpAG8AbgBzAEYAcgBvAG0AUgBpAGMAZQBDAHUAbAB0AGkAdgBhAHQAaQBvAG4AXwBUAGkAdABsAGUAIgAsACIAUgBpAGMAZQBDAHUAbAB0AGkAdgBhAHQAaQBvAG4AXwBFAHEAdQBhAHQAaQBvAG4AcwAuAFYARQBFAFIARwBfADcAXwAxAF8AMQBfADEAXwBfADEAXwBNAGUAdABoAGEAbgBlAEUAbQBpAHMAcwBpAG8AbgBzAEYAcgBvAG0AUgBpAGMAZQBDAHUAbAB0AGkAdgBhAHQAaQBvAG4AXwBWAGEAcgBpAGEAYgBsAGUAIgAsACIAUgBpAGMAZQBDAHUAbAB0AGkAdgBhAHQAaQBvAG4AXwBFAHEAdQBhAHQAaQBvAG4AcwAuAFYARQBFAFIARwBfADcAXwAxAF8AMQBfADEAXwBfADEAXwBNAGUAdABoAGEAbgBlAEUAbQBpAHMAcwBpAG8AbgBzAEYAcgBvAG0AUgBpAGMAZQBDAHUAbAB0AGkAdgBhAHQAaQBvAG4AXwBVAG4AaQB0ACIALAAiAFIAaQBjAGUAQwB1AGwAdABpAHYAYQB0AGkAbwBuAF8ARQBxAHUAYQB0AGkAbwBuAHMALgBWAEUARQBSAEcAXwA3AF8AMQBfADEAXwAxAF8AXwAxAF8ATQBlAHQAaABhAG4AZQBFAG0AaQBzAHMAaQBvAG4AcwBGAHIAbwBtAFIAaQBjAGUAQwB1AGwAdABpAHYAYQB0AGkAbwBuAF8AUwBvAHUAcgBjAGUAIgAsACIAUgBpAGMAZQBDAHUAbAB0AGkAdgBhAHQAaQBvAG4AXwBFAHEAdQBhAHQAaQBvAG4AcwAuAFYARQBFAFIARwBfADcAXwAxAF8AMQBfADEAXwBfADEAXwBNAGUAdABoAGEAbgBlAEUAbQBpAHMAcwBpAG8AbgBzAEYAcgBvAG0AUgBpAGMAZQBDAHUAbAB0AGkAdgBhAHQAaQBvAG4AXwBOAEkAUgBSAGUAZgBlAHIAZQBuAGMAZQAiACwAIgBSAGkAYwBlAEMAdQBsAHQAaQB2AGEAdABpAG8AbgBfAEUAcQB1AGEAdABpAG8AbgBzAC4AVgBFAEUAUgBHAF8ANwBfADEAXwAxAF8AMQBfAF8AMQBfAE0AZQB0AGgAYQBuAGUARQBtAGkAcwBzAGkAbwBuAHMARgByAG8AbQBSAGkAYwBlAEMAdQBsAHQAaQB2AGEAdABpAG8AbgBfAEwAYQB0AGUAeABFAHEAdQBhAHQAaQBvAG4AIgAsACIAUgBpAGMAZQBDAHUAbAB0AGkAdgBhAHQAaQBvAG4AXwBFAHEAdQBhAHQAaQBvAG4AcwAuAFYARQBFAFIARwBfADcAXwAxAF8AMQBfADEAXwBfADEAXwBNAGUAdABoAGEAbgBlAEUAbQBpAHMAcwBpAG8AbgBzAEYAcgBvAG0AUgBpAGMAZQBDAHUAbAB0AGkAdgBhAHQAaQBvAG4AXwBBAHIAZwB1AG0AZQBuAHQAcwAiACwAIgBSAGkAYwBlAEMAdQBsAHQAaQB2AGEAdABpAG8AbgBfAEUAcQB1AGEAdABpAG8AbgBzAC4AVgBFAEUAUgBHAF8ANwBfADEAXwAxAF8AMQBfAF8AMQBfAE0AZQB0AGgAYQBuAGUARQBtAGkAcwBzAGkAbwBuAHMARgByAG8AbQBSAGkAYwBlAEMAdQBsAHQAaQB2AGEAdABpAG8AbgBfAFYAYQByAGkAYQB0AGkAbwBuACIALAAiAFIAaQBjAGUAQwB1AGwAdABpAHYAYQB0AGkAbwBuAF8ARQBxAHUAYQB0AGkAbwBuAHMALgBWAEUARQBSAEcAXwA3AF8AMQBfADEAXwAxAF8AXwAyAF8ARQBtAGkAcwBzAGkAbwBuAEYAYQBjAHQAbwByAEYAbwByAFIAaQBjAGUAQwB1AGwAdABpAHYAYQB0AGkAbwBuACIALAAiAFIAaQBjAGUAQwB1AGwAdABpAHYAYQB0AGkAbwBuAF8ARQBxAHUAYQB0AGkAbwBuAHMALgBWAEUARQBSAEcAXwA3AF8AMQBfADEAXwAxAF8AXwAyAF8ARQBtAGkAcwBzAGkAbwBuAEYAYQBjAHQAbwByAEYAbwByAFIAaQBjAGUAQwB1AGwAdABpAHYAYQB0AGkAbwBuAF8AVABpAHQAbABlACIALAAiAFIAaQBjAGUAQwB1AGwAdABpAHYAYQB0AGkAbwBuAF8ARQBxAHUAYQB0AGkAbwBuAHMALgBWAEUARQBSAEcAXwA3AF8AMQBfADEAXwAxAF8AXwAyAF8ARQBtAGkAcwBzAGkAbwBuAEYAYQBjAHQAbwByAEYAbwByAFIAaQBjAGUAQwB1AGwAdABpAHYAYQB0AGkAbwBuAF8AVgBhAHIAaQBhAGIAbABlACIALAAiAFIAaQBjAGUAQwB1AGwAdABpAHYAYQB0AGkAbwBuAF8ARQBxAHUAYQB0AGkAbwBuAHMALgBWAEUARQBSAEcAXwA3AF8AMQBfADEAXwAxAF8AXwAyAF8ARQBtAGkAcwBzAGkAbwBuAEYAYQBjAHQAbwByAEYAbwByAFIAaQBjAGUAQwB1AGwAdABpAHYAYQB0AGkAbwBuAF8AVQBuAGkAdAAiACwAIgBSAGkAYwBlAEMAdQBsAHQAaQB2AGEAdABpAG8AbgBfAEUAcQB1AGEAdABpAG8AbgBzAC4AVgBFAEUAUgBHAF8ANwBfADEAXwAxAF8AMQBfAF8AMgBfAEUAbQBpAHMAcwBpAG8AbgBGAGEAYwB0AG8AcgBGAG8AcgBSAGkAYwBlAEMAdQBsAHQAaQB2AGEAdABpAG8AbgBfAFMAbwB1AHIAYwBlACIALAAiAFIAaQBjAGUAQwB1AGwAdABpAHYAYQB0AGkAbwBuAF8ARQBxAHUAYQB0AGkAbwBuAHMALgBWAEUARQBSAEcAXwA3AF8AMQBfADEAXwAxAF8AXwAyAF8ARQBtAGkAcwBzAGkAbwBuAEYAYQBjAHQAbwByAEYAbwByAFIAaQBjAGUAQwB1AGwAdABpAHYAYQB0AGkAbwBuAF8ATgBJAFIAUgBlAGYAZQByAGUAbgBjAGUAIgAsACIAUgBpAGMAZQBDAHUAbAB0AGkAdgBhAHQAaQBvAG4AXwBFAHEAdQBhAHQAaQBvAG4AcwAuAFYARQBFAFIARwBfADcAXwAxAF8AMQBfADEAXwBfADIAXwBFAG0AaQBzAHMAaQBvAG4ARgBhAGMAdABvAHIARgBvAHIAUgBpAGMAZQBDAHUAbAB0AGkAdgBhAHQAaQBvAG4AXwBMAGEAdABlAHgARQBxAHUAYQB0AGkAbwBuACIALAAiAFIAaQBjAGUAQwB1AGwAdABpAHYAYQB0AGkAbwBuAF8ARQBxAHUAYQB0AGkAbwBuAHMALgBWAEUARQBSAEcAXwA3AF8AMQBfADEAXwAxAF8AXwAyAF8ARQBtAGkAcwBzAGkAbwBuAEYAYQBjAHQAbwByAEYAbwByAFIAaQBjAGUAQwB1AGwAdABpAHYAYQB0AGkAbwBuAF8AQQByAGcAdQBtAGUAbgB0AHMAIgAsACIAUgBpAGMAZQBDAHUAbAB0AGkAdgBhAHQAaQBvAG4AXwBFAHEAdQBhAHQAaQBvAG4AcwAuAFYARQBFAFIARwBfADcAXwAxAF8AMQBfADEAXwBfADMAXwBPAHIAZwBhAG4AaQBjAEEAbQBlAG4AZABtAGUAbgB0AHMAUwBjAGEAbABpAG4AZwBGAGEAYwB0AG8AcgAiACwAIgBSAGkAYwBlAEMAdQBsAHQAaQB2AGEAdABpAG8AbgBfAEUAcQB1AGEAdABpAG8AbgBzAC4AVgBFAEUAUgBHAF8ANwBfADEAXwAxAF8AMQBfAF8AMwBfAE8AcgBnAGEAbgBpAGMAQQBtAGUAbgBkAG0AZQBuAHQAcwBTAGMAYQBsAGkAbgBnAEYAYQBjAHQAbwByAFYAYQByAGkAYQB0AGkAbwBuACIALAAiAFIAaQBjAGUAQwB1AGwAdABpAHYAYQB0AGkAbwBuAF8ARQBxAHUAYQB0AGkAbwBuAHMALgBWAEUARQBSAEcAXwA3AF8AMQBfADEAXwAxAF8AXwAzAF8ATwByAGcAYQBuAGkAYwBBAG0AZQBuAGQAbQBlAG4AdABzAFMAYwBhAGwAaQBuAGcARgBhAGMAdABvAHIAXwBUAGkAdABsAGUAIgAsACIAUgBpAGMAZQBDAHUAbAB0AGkAdgBhAHQAaQBvAG4AXwBFAHEAdQBhAHQAaQBvAG4AcwAuAFYARQBFAFIARwBfADcAXwAxAF8AMQBfADEAXwBfADMAXwBPAHIAZwBhAG4AaQBjAEEAbQBlAG4AZABtAGUAbgB0AHMAUwBjAGEAbABpAG4AZwBGAGEAYwB0AG8AcgBfAFYAYQByAGkAYQBiAGwAZQAiACwAIgBSAGkAYwBlAEMAdQBsAHQAaQB2AGEAdABpAG8AbgBfAEUAcQB1AGEAdABpAG8AbgBzAC4AVgBFAEUAUgBHAF8ANwBfADEAXwAxAF8AMQBfAF8AMwBfAE8AcgBnAGEAbgBpAGMAQQBtAGUAbgBkAG0AZQBuAHQAcwBTAGMAYQBsAGkAbgBnAEYAYQBjAHQAbwByAF8AVQBuAGkAdAAiACwAIgBSAGkAYwBlAEMAdQBsAHQAaQB2AGEAdABpAG8AbgBfAEUAcQB1AGEAdABpAG8AbgBzAC4AVgBFAEUAUgBHAF8ANwBfADEAXwAxAF8AMQBfAF8AMwBfAE8AcgBnAGEAbgBpAGMAQQBtAGUAbgBkAG0AZQBuAHQAcwBTAGMAYQBsAGkAbgBnAEYAYQBjAHQAbwByAF8AUwBvAHUAcgBjAGUAIgAsACIAUgBpAGMAZQBDAHUAbAB0AGkAdgBhAHQAaQBvAG4AXwBFAHEAdQBhAHQAaQBvAG4AcwAuAFYARQBFAFIARwBfADcAXwAxAF8AMQBfADEAXwBfADMAXwBPAHIAZwBhAG4AaQBjAEEAbQBlAG4AZABtAGUAbgB0AHMAUwBjAGEAbABpAG4AZwBGAGEAYwB0AG8AcgBfAE4ASQBSAFIAZQBmAGUAcgBlAG4AYwBlACIALAAiAFIAaQBjAGUAQwB1AGwAdABpAHYAYQB0AGkAbwBuAF8ARQBxAHUAYQB0AGkAbwBuAHMALgBWAEUARQBSAEcAXwA3AF8AMQBfADEAXwAxAF8AXwAzAF8ATwByAGcAYQBuAGkAYwBBAG0AZQBuAGQAbQBlAG4AdABzAFMAYwBhAGwAaQBuAGcARgBhAGMAdABvAHIAXwBMAGEAdABlAHgARQBxAHUAYQB0AGkAbwBuACIALAAiAFIAaQBjAGUAQwB1AGwAdABpAHYAYQB0AGkAbwBuAF8ARQBxAHUAYQB0AGkAbwBuAHMALgBWAEUARQBSAEcAXwA3AF8AMQBfADEAXwAxAF8AXwAzAF8ATwByAGcAYQBuAGkAYwBBAG0AZQBuAGQAbQBlAG4AdABzAFMAYwBhAGwAaQBuAGcARgBhAGMAdABvAHIAXwBMAGEAdABlAHgARQBxAHUAYQB0AGkAbwBuAFYAYQByAGkAYQB0AGkAbwBuACIALAAiAFIAaQBjAGUAQwB1AGwAdABpAHYAYQB0AGkAbwBuAF8ARQBxAHUAYQB0AGkAbwBuAHMALgBWAEUARQBSAEcAXwA3AF8AMQBfADEAXwAxAF8AXwAzAF8ATwByAGcAYQBuAGkAYwBBAG0AZQBuAGQAbQBlAG4AdABzAFMAYwBhAGwAaQBuAGcARgBhAGMAdABvAHIAXwBBAHIAZwB1AG0AZQBuAHQAcwAiACwAIgBSAGkAYwBlAEMAdQBsAHQAaQB2AGEAdABpAG8AbgBfAEUAcQB1AGEAdABpAG8AbgBzAC4AVgBFAEUAUgBHAF8ANwBfADEAXwAxAF8AMQBfAF8AMwBfAE8AcgBnAGEAbgBpAGMAQQBtAGUAbgBkAG0AZQBuAHQAcwBTAGMAYQBsAGkAbgBnAEYAYQBjAHQAbwBy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Home</vt:lpstr>
      <vt:lpstr>Overview</vt:lpstr>
      <vt:lpstr>Results</vt:lpstr>
      <vt:lpstr>Input - Site</vt:lpstr>
      <vt:lpstr>Input - Rice</vt:lpstr>
      <vt:lpstr>7.1.1-2 Rice cultivation</vt:lpstr>
      <vt:lpstr>Constants - Rice cultivation</vt:lpstr>
      <vt:lpstr>Constants - Common</vt:lpstr>
      <vt:lpstr>Common_SourceData_DensityOfMethane_Data</vt:lpstr>
      <vt:lpstr>SourceData_RiceCultivation_BaselineEF_Data</vt:lpstr>
      <vt:lpstr>Table_CFOA_o</vt:lpstr>
      <vt:lpstr>Table_E_rice</vt:lpstr>
      <vt:lpstr>Table_EF_rice_w_p_o</vt:lpstr>
      <vt:lpstr>Table_ROA_o</vt:lpstr>
      <vt:lpstr>Table_SF_o</vt:lpstr>
      <vt:lpstr>VEERG_7_1_1_1__1_MethaneEmissionsFromRiceCultivation_Result_Method1</vt:lpstr>
      <vt:lpstr>X_Cell_NumberGorwingSeasons</vt:lpstr>
      <vt:lpstr>X_Cell_Site_EndDate</vt:lpstr>
      <vt:lpstr>X_Cell_Site_FarmName</vt:lpstr>
      <vt:lpstr>X_Cell_Site_ReportingEntityName</vt:lpstr>
      <vt:lpstr>X_Cell_Site_StartDate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2026-07-31T06:34:02Z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