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drawings/drawing1.xml" ContentType="application/vnd.openxmlformats-officedocument.drawing+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B4B865AA-5C66-4590-9D92-CFDC5EE4D3DF}" xr6:coauthVersionLast="47" xr6:coauthVersionMax="47" xr10:uidLastSave="{00000000-0000-0000-0000-000000000000}"/>
  <bookViews>
    <workbookView xWindow="60" yWindow="135" windowWidth="28545" windowHeight="16965" firstSheet="2" activeTab="7" xr2:uid="{D37248E2-1193-4B5E-BE4F-D7532AB14CA0}"/>
  </bookViews>
  <sheets>
    <sheet name="Constants - Poultry" sheetId="26" r:id="rId1"/>
    <sheet name="Constants - Swine" sheetId="25" r:id="rId2"/>
    <sheet name="Constants - Dairy" sheetId="23" r:id="rId3"/>
    <sheet name="Constants - Pasture Beef" sheetId="22" r:id="rId4"/>
    <sheet name="Input - Site" sheetId="10" r:id="rId5"/>
    <sheet name="Input - Fertiliser" sheetId="7" r:id="rId6"/>
    <sheet name="Input - Feed" sheetId="15" r:id="rId7"/>
    <sheet name="Input - Farm Inputs" sheetId="13" r:id="rId8"/>
    <sheet name="Input - Fuel" sheetId="5" r:id="rId9"/>
    <sheet name="Input - Electricity" sheetId="9" r:id="rId10"/>
    <sheet name="Calcs scope 3" sheetId="19" r:id="rId11"/>
    <sheet name="Constants - Scope 3" sheetId="20" r:id="rId12"/>
    <sheet name="Constants - Common Livestock" sheetId="18" r:id="rId13"/>
    <sheet name="Sheet1" sheetId="1" r:id="rId14"/>
    <sheet name="Constants - Fertiliser" sheetId="6" r:id="rId15"/>
    <sheet name="Constants - Fuel" sheetId="4" r:id="rId16"/>
    <sheet name="Constants - Electricity" sheetId="8" r:id="rId17"/>
    <sheet name="Constants - Common" sheetId="3" r:id="rId18"/>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AtmosphericDepositionInorganicFertiliser">_xlfn.LAMBDA(_xlpm.Mvolinorganicjf,_xlpm.EFadj,_xlpm.CgN2O, CommonAgSoils_Equations.AgSoils_AtmosphericDeposition(_xlpm.Mvolinorganicjf, _xlpm.EFadj, _xlpm.CgN2O))</definedName>
    <definedName name="Fertiliser_Equations_AtmosphericDeposition.VEERG_5_4_1_1__1_AtmosphericDepositionInorganicFertiliser_Arguments">_xlfn.LAMBDA(_xlfn.MAKEARRAY(6, 2, _xlfn.LAMBDA(_xlpm.r,_xlpm.c, INDEX({"Mvolinorganicjf","Mass of nitrogen volatised from inorganic fertiliser applied to soils: kg N";"EFadj","Emission factor for atmospheric deposition : kg N2O-N/kg N";"CgN2O","Factor to convert elemental mass of nitrous oxide to molecular mass : dimensionless";"j","Production system";"f","Inorganic fertiliser type";"GWPN2O","Global warming potential for nitrous oxide : t CO2-e / t N2O"}, _xlpm.r, _xlpm.c))))</definedName>
    <definedName name="Fertiliser_Equations_AtmosphericDeposition.VEERG_5_4_1_1__1_AtmosphericDepositionInorganicFertiliser_GWP">_xlfn.LAMBDA(_xlpm.EN2Oad,_xlpm.GWPN2O, CommonAgSoils_Equations.AgSoils_AtmosphericDeposition_GWP(_xlpm.EN2Oad, _xlpm.GWPN2O))</definedName>
    <definedName name="Fertiliser_Equations_AtmosphericDeposition.VEERG_5_4_1_1__1_AtmosphericDepositionInorganicFertiliser_NIRReference">_xlfn.LAMBDA(CommonAgSoils_Equations.AgSoils_AtmosphericDeposition_NIRReference())</definedName>
    <definedName name="Fertiliser_Equations_AtmosphericDeposition.VEERG_5_4_1_1__1_AtmosphericDepositionInorganicFertiliser_ReadableEquation">_xlfn.LAMBDA("Eadinorganic = Mvolinorganicjf * EFadj * CgN2O * 10 ^ - 3")</definedName>
    <definedName name="Fertiliser_Equations_AtmosphericDeposition.VEERG_5_4_1_1__1_AtmosphericDepositionInorganicFertiliser_Source">_xlfn.LAMBDA("VEERG 2026: 5.4.1.1, Equation (1)")</definedName>
    <definedName name="Fertiliser_Equations_AtmosphericDeposition.VEERG_5_4_1_1__1_AtmosphericDepositionInorganicFertiliser_Title">_xlfn.LAMBDA("Nitrous oxide emissions from atmospheric deposition from all inorganic fertiliser types f and all production systems j")</definedName>
    <definedName name="Fertiliser_Equations_AtmosphericDeposition.VEERG_5_4_1_1__1_AtmosphericDepositionInorganicFertiliser_Unit">_xlfn.LAMBDA("t N2O")</definedName>
    <definedName name="Fertiliser_Equations_AtmosphericDeposition.VEERG_5_4_1_1__1_AtmosphericDepositionInorganicFertiliser_Variable">_xlfn.LAMBDA("Eadinorganic")</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1__2_MassVolatilisedInorganicFertiliser">_xlfn.LAMBDA(_xlpm.MNjf,_xlpm.FracGASFf, CommonAgSoils_Equations.Agsoils_MassVolatilisedInorganicFertiliser(_xlpm.MNjf, _xlpm.FracGASFf))</definedName>
    <definedName name="Fertiliser_Equations_AtmosphericDeposition.VEERG_5_4_1_1__2_MassVolatilisedInorganicFertiliser_Arguments">_xlfn.LAMBDA(_xlfn.MAKEARRAY(2, 2, _xlfn.LAMBDA(_xlpm.r,_xlpm.c, INDEX({"MNjf","Mass of nitrogen in inorganic fertiliser applied : kg N";"FracGASFf","Fraction of inorganic fertiliser that volatilises : (kg NH3-N + NOx-N)/kg N"}, _xlpm.r, _xlpm.c))))</definedName>
    <definedName name="Fertiliser_Equations_AtmosphericDeposition.VEERG_5_4_1_1__2_MassVolatilisedInorganicFertiliser_NIRReference">_xlfn.LAMBDA(CommonAgSoils_Equations.Agsoils_MassVolatilisedInorganicFertiliser_NIRReference())</definedName>
    <definedName name="Fertiliser_Equations_AtmosphericDeposition.VEERG_5_4_1_1__2_MassVolatilisedInorganicFertiliser_ReadableEquation">_xlfn.LAMBDA("Mvolinorganicjf = MNjf * FracGASFf")</definedName>
    <definedName name="Fertiliser_Equations_AtmosphericDeposition.VEERG_5_4_1_1__2_MassVolatilisedInorganicFertiliser_Source">_xlfn.LAMBDA("VEERG 2026: 5.4.1.1, Equation (2)")</definedName>
    <definedName name="Fertiliser_Equations_AtmosphericDeposition.VEERG_5_4_1_1__2_MassVolatilisedInorganicFertiliser_Title">_xlfn.LAMBDA("Mass of nitrogen volatilised from inorganic fertiliser")</definedName>
    <definedName name="Fertiliser_Equations_AtmosphericDeposition.VEERG_5_4_1_1__2_MassVolatilisedInorganicFertiliser_Unit">_xlfn.LAMBDA("kg N")</definedName>
    <definedName name="Fertiliser_Equations_AtmosphericDeposition.VEERG_5_4_1_1__2_MassVolatilisedInorganicFertiliser_Variable">_xlfn.LAMBDA("Mvolinorganicjf")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VEERG_5_1_1_1__1_InorganicFertiliserApplication">_xlfn.LAMBDA(_xlpm.MNjf,_xlpm.EFjN2O,_xlpm.CgN2O, _xlpm.MNjf * _xlpm.EFjN2O * _xlpm.CgN2O * 10 ^ -3)</definedName>
    <definedName name="Fertiliser_Equations_Inorganic.VEERG_5_1_1_1__1_InorganicFertiliserApplication_Arguments">_xlfn.LAMBDA(_xlfn.MAKEARRAY(6, 2, _xlfn.LAMBDA(_xlpm.r,_xlpm.c, INDEX({"MNjf","Mass of nitrogen in inorganic fertiliser type f applied to soils in production system j : kg N";"EFjN2O","Emission factor for nitrous oxide for inorganic fertilisers : kg N2O-N/kg N applied";"CgN2O","Factor to convert elemental mass of nitrous oxide to molecular mass : dimensionless";"j","Production system";"f","Inorganic fertiliser type";"GWPN2O","Global warming potential for nitrous oxide : t CO2-e / t N2O"}, _xlpm.r, _xlpm.c))))</definedName>
    <definedName name="Fertiliser_Equations_Inorganic.VEERG_5_1_1_1__1_InorganicFertiliserApplication_GWP">_xlfn.LAMBDA(_xlpm.EN2O,_xlpm.GWPN2O, (_xlpm.EN2O * _xlpm.GWPN2O))</definedName>
    <definedName name="Fertiliser_Equations_Inorganic.VEERG_5_1_1_1__1_InorganicFertiliserApplication_NIRReference">_xlfn.LAMBDA("National Inventory Report Volume 1, 2023: Equation 3.D.A_2")</definedName>
    <definedName name="Fertiliser_Equations_Inorganic.VEERG_5_1_1_1__1_InorganicFertiliserApplication_ReadableEquation">_xlfn.LAMBDA("EN2O = MNjf * EFjN2O * CgN2O * 10 ^ - 3")</definedName>
    <definedName name="Fertiliser_Equations_Inorganic.VEERG_5_1_1_1__1_InorganicFertiliserApplication_Source">_xlfn.LAMBDA("VEERG 2026: 5.1.1.1, Equation (1)")</definedName>
    <definedName name="Fertiliser_Equations_Inorganic.VEERG_5_1_1_1__1_InorganicFertiliserApplication_Title">_xlfn.LAMBDA("Nitrous oxide emissions from the application of all inorganic fertiliser types f to all production systems")</definedName>
    <definedName name="Fertiliser_Equations_Inorganic.VEERG_5_1_1_1__1_InorganicFertiliserApplication_Unit">_xlfn.LAMBDA("t CO2-e")</definedName>
    <definedName name="Fertiliser_Equations_Inorganic.VEERG_5_1_1_1__1_InorganicFertiliserApplication_Variable">_xlfn.LAMBDA("EN2O")</definedName>
    <definedName name="Fertiliser_Equations_Inorganic.VEERG_5_1_1_1__2_MassOfNitrogenInInorganicFertiliser">_xlfn.LAMBDA(_xlpm.TMjf,_xlpm.FNinorganicf, _xlpm.TMjf * _xlpm.FNinorganicf)</definedName>
    <definedName name="Fertiliser_Equations_Inorganic.VEERG_5_1_1_1__2_MassOfNitrogenInInorganicFertiliser_Arguments">_xlfn.LAMBDA(_xlfn.MAKEARRAY(5, 2, _xlfn.LAMBDA(_xlpm.r,_xlpm.c, INDEX({"TMjf","Total mass of inorganic fertiliser type f applied to production system j : kg";"FNinorganicf","Fraction of nitrogen in inorganic fertiliser type f : kg N/kg";"j","Production system";"inorganic","Inorganic fertiliser";"f","Fertiliser type"}, _xlpm.r, _xlpm.c))))</definedName>
    <definedName name="Fertiliser_Equations_Inorganic.VEERG_5_1_1_1__2_MassOfNitrogenInInorganicFertiliser_NIRReference">_xlfn.LAMBDA("National Inventory Report Volume 1, 2023: Equation 3.D.A_1")</definedName>
    <definedName name="Fertiliser_Equations_Inorganic.VEERG_5_1_1_1__2_MassOfNitrogenInInorganicFertiliser_ReadableEquation">_xlfn.LAMBDA("MNjf = TMjf * FNinorganicf")</definedName>
    <definedName name="Fertiliser_Equations_Inorganic.VEERG_5_1_1_1__2_MassOfNitrogenInInorganicFertiliser_Source">_xlfn.LAMBDA("VEERG 2026: 5.1.1.1, Equation (2)")</definedName>
    <definedName name="Fertiliser_Equations_Inorganic.VEERG_5_1_1_1__2_MassOfNitrogenInInorganicFertiliser_Title">_xlfn.LAMBDA("Mass of nitrogen in inorganic fertiliser applied to soil")</definedName>
    <definedName name="Fertiliser_Equations_Inorganic.VEERG_5_1_1_1__2_MassOfNitrogenInInorganicFertiliser_Unit">_xlfn.LAMBDA("kg N")</definedName>
    <definedName name="Fertiliser_Equations_Inorganic.VEERG_5_1_1_1__2_MassOfNitrogenInInorganicFertiliser_Variable">_xlfn.LAMBDA("MNjf")</definedName>
    <definedName name="Fertiliser_Equations_Inorganic.VEERG_5_1_1_3__1_UreaFertiliserApplication">_xlfn.LAMBDA(_xlpm.MUjf,_xlpm.EFureaCO2,_xlpm.CgCO2, _xlpm.MUjf * _xlpm.EFureaCO2 * _xlpm.CgCO2 * 10 ^ -3)</definedName>
    <definedName name="Fertiliser_Equations_Inorganic.VEERG_5_1_1_3__1_UreaFertiliserApplication_Arguments">_xlfn.LAMBDA(_xlfn.MAKEARRAY(5, 2, _xlfn.LAMBDA(_xlpm.r,_xlpm.c, INDEX({"MUjf","Mass of urea of inorganic fertiliser type f applied to production system j : kg urea";"EFureaCO2","Emission factor for carbon emissions from urea-based fertilisers : kg C/kg urea";"CgCO2","Factor to convert elemental mass of carbon dioxide to molecular mass : dimensionless";"j","Production system";"f","Fertiliser type"}, _xlpm.r, _xlpm.c))))</definedName>
    <definedName name="Fertiliser_Equations_Inorganic.VEERG_5_1_1_3__1_UreaFertiliserApplication_LatexEquation">_xlfn.LAMBDA("E_{jf,CO2}={MU}_{jf}\times EF_{urea,CO2}\ \times\ C_{g,CO2}\times{10}^{-3}")</definedName>
    <definedName name="Fertiliser_Equations_Inorganic.VEERG_5_1_1_3__1_UreaFertiliserApplication_NIRReference">_xlfn.LAMBDA("National Inventory Report Volume 1, 2023: Equation 3.H_1")</definedName>
    <definedName name="Fertiliser_Equations_Inorganic.VEERG_5_1_1_3__1_UreaFertiliserApplication_ReadableEquation">_xlfn.LAMBDA("EjfCO2 = MUjf x EFureaCO2 x CgCO2 x 10^-3")</definedName>
    <definedName name="Fertiliser_Equations_Inorganic.VEERG_5_1_1_3__1_UreaFertiliserApplication_Source">_xlfn.LAMBDA("VEERG 2026: 5.1.1.3, Equation (1)")</definedName>
    <definedName name="Fertiliser_Equations_Inorganic.VEERG_5_1_1_3__1_UreaFertiliserApplication_Title">_xlfn.LAMBDA("Carbon dioxide emissions resulting from the use of inorganic, urea-based fertilisers")</definedName>
    <definedName name="Fertiliser_Equations_Inorganic.VEERG_5_1_1_3__1_UreaFertiliserApplication_Unit">_xlfn.LAMBDA("t CO2")</definedName>
    <definedName name="Fertiliser_Equations_Inorganic.VEERG_5_1_1_3__1_UreaFertiliserApplication_Variable">_xlfn.LAMBDA("EjfCO2")</definedName>
    <definedName name="Fertiliser_Equations_Inorganic.VEERG_5_1_1_3__2_MassOfUreaAppliedToSoils">_xlfn.LAMBDA(_xlpm.TMjf,_xlpm.FUf, _xlpm.TMjf * _xlpm.FUf)</definedName>
    <definedName name="Fertiliser_Equations_Inorganic.VEERG_5_1_1_3__2_MassOfUreaAppliedToSoils_Arguments">_xlfn.LAMBDA(_xlfn.MAKEARRAY(4, 2, _xlfn.LAMBDA(_xlpm.r,_xlpm.c, INDEX({"TMjf","the total mass of inorganic fertiliser type f applied to production system j : kg";"FUf","the fraction of urea in fertiliser type f : kg urea/kg";"j","Production system";"f","Fertiliser type"}, _xlpm.r, _xlpm.c))))</definedName>
    <definedName name="Fertiliser_Equations_Inorganic.VEERG_5_1_1_3__2_MassOfUreaAppliedToSoils_NIRReference">_xlfn.LAMBDA("")</definedName>
    <definedName name="Fertiliser_Equations_Inorganic.VEERG_5_1_1_3__2_MassOfUreaAppliedToSoils_ReadableEquation">_xlfn.LAMBDA("MUjf = TMjf × FUf")</definedName>
    <definedName name="Fertiliser_Equations_Inorganic.VEERG_5_1_1_3__2_MassOfUreaAppliedToSoils_Source">_xlfn.LAMBDA("VEERG 2026: 5.1.1.3, Equation (2)")</definedName>
    <definedName name="Fertiliser_Equations_Inorganic.VEERG_5_1_1_3__2_MassOfUreaAppliedToSoils_Title">_xlfn.LAMBDA("Mass of urea applied to soils")</definedName>
    <definedName name="Fertiliser_Equations_Inorganic.VEERG_5_1_1_3__2_MassOfUreaAppliedToSoils_Unit">_xlfn.LAMBDA("kg urea")</definedName>
    <definedName name="Fertiliser_Equations_Inorganic.VEERG_5_1_1_3__2_MassOfUreaAppliedToSoils_Variable">_xlfn.LAMBDA("MUjf")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_Arguments">_xlfn.LAMBDA(_xlfn.MAKEARRAY(8, 2, _xlfn.LAMBDA(_xlpm.r,_xlpm.c, INDEX({"Mlime","The total mass of lime applied to soils : kg";"FracLime","The fraction of lime as limestone (CaCO3) : dimensionless";"Plime","Fractional purity of limestone : dimensionless";"EFlime","Emission factor for limestone fraction of lime : kg C/kg";"FracDol","The fraction of lime as dolomite : dimensionless";"PPdol","Fractional purity of dolomite : dimensionless";"EFdol","Emission factor for dolomite fraction of lime : kg C/kg";"CgCO2","Factor to convert elemental mass of carbon dioxide to molecular mass : dimensionless"}, _xlpm.r, _xlpm.c))))</definedName>
    <definedName name="Fertiliser_Equations_Lime.VEERG_5_3_1_1__1_LimeApplication_NIRReference">_xlfn.LAMBDA("National Inventory Report Volume 1, 2023: Equation 3G_1")</definedName>
    <definedName name="Fertiliser_Equations_Lime.VEERG_5_3_1_1__1_LimeApplication_ReadableEquation">_xlfn.LAMBDA("Elime = ((Mlime *  FracLime * Plime * EFlime) + (Mlime * FracDol * Pdol * EFdol)) * CgCO2 * 10^-3")</definedName>
    <definedName name="Fertiliser_Equations_Lime.VEERG_5_3_1_1__1_LimeApplication_Source">_xlfn.LAMBDA("VEERG 2026: 5.3.1.1, Equation (1)")</definedName>
    <definedName name="Fertiliser_Equations_Lime.VEERG_5_3_1_1__1_LimeApplication_Title">_xlfn.LAMBDA("The emissions from the application of lime and dolomite to soils")</definedName>
    <definedName name="Fertiliser_Equations_Lime.VEERG_5_3_1_1__1_LimeApplication_Unit">_xlfn.LAMBDA("t CO2")</definedName>
    <definedName name="Fertiliser_Equations_Lime.VEERG_5_3_1_1__1_LimeApplication_Variable">_xlfn.LAMBDA("Elime")</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1_OrganicFertiliserApplication">_xlfn.LAMBDA(_xlpm.MNSoiljf,_xlpm.EFiN2O,_xlpm.CgN2O, _xlpm.MNSoiljf * _xlpm.EFiN2O * _xlpm.CgN2O * 10 ^ -3)</definedName>
    <definedName name="Fertiliser_Equations_Organic.VEERG_5_2_1_1__1_OrganicFertiliserApplication_Arguments">_xlfn.LAMBDA(_xlfn.MAKEARRAY(7, 2, _xlfn.LAMBDA(_xlpm.r,_xlpm.c, INDEX({"MNSoiljf","mass of nitrogen in organic fertiliser type f applied to soils in production system j : kg N";"EFiN2O","emission factor for direct nitrous oxide emissions from organic fertiliser applied to soils : kg N2O-N/kg N";"CgN2O","Factor to convert elemental mass of nitrous oxide to molecular mass : dimensionless";"j","Production system";"f","Organic fertiliser type";"i","Climate zone";"GWPN2O","Global warming potential for nitrous oxide : t CO2-e / t N2O"}, _xlpm.r, _xlpm.c))))</definedName>
    <definedName name="Fertiliser_Equations_Organic.VEERG_5_2_1_1__1_OrganicFertiliserApplication_GWP">_xlfn.LAMBDA(_xlpm.EN2O,_xlpm.GWPN2O, (_xlpm.EN2O * _xlpm.GWPN2O))</definedName>
    <definedName name="Fertiliser_Equations_Organic.VEERG_5_2_1_1__1_OrganicFertiliserApplication_NIRReference">_xlfn.LAMBDA("National Inventory Report Volume 1, 2023: Equation 3.D.A_4")</definedName>
    <definedName name="Fertiliser_Equations_Organic.VEERG_5_2_1_1__1_OrganicFertiliserApplication_ReadableEquation">_xlfn.LAMBDA("EN2O = MNSoiljf * EFiN2O * CgN2O * 10 ^ - 3")</definedName>
    <definedName name="Fertiliser_Equations_Organic.VEERG_5_2_1_1__1_OrganicFertiliserApplication_Source">_xlfn.LAMBDA("VEERG 2026: 5.2.1.1, Equation (1)")</definedName>
    <definedName name="Fertiliser_Equations_Organic.VEERG_5_2_1_1__1_OrganicFertiliserApplication_Title">_xlfn.LAMBDA("Nitrous oxide emissions from organic fertilisers applied to soils for all organic fertiliser types f and all production systems j")</definedName>
    <definedName name="Fertiliser_Equations_Organic.VEERG_5_2_1_1__1_OrganicFertiliserApplication_Unit">_xlfn.LAMBDA("t CO2-e")</definedName>
    <definedName name="Fertiliser_Equations_Organic.VEERG_5_2_1_1__1_OrganicFertiliserApplication_Variable">_xlfn.LAMBDA("EN2O")</definedName>
    <definedName name="Fertiliser_Equations_Organic.VEERG_5_2_1_1__2_MassOfNitrogenInOrganicFertiliser">_xlfn.LAMBDA(_xlpm.Morganicjf,_xlpm.FNorganicf, _xlpm.Morganicjf * _xlpm.FNorganicf)</definedName>
    <definedName name="Fertiliser_Equations_Organic.VEERG_5_2_1_1__2_MassOfNitrogenInOrganicFertiliser_Arguments">_xlfn.LAMBDA(_xlfn.MAKEARRAY(2, 2, _xlfn.LAMBDA(_xlpm.r,_xlpm.c, INDEX({"Morganicjf","mass of organic fertiliser type f applied to soils in production system j : kg";"FNorganicf","nitrogen fraction of organic fertiliser type f : kg N/kg"}, _xlpm.r, _xlpm.c))))</definedName>
    <definedName name="Fertiliser_Equations_Organic.VEERG_5_2_1_1__2_MassOfNitrogenInOrganicFertiliser_NIRReference">_xlfn.LAMBDA("")</definedName>
    <definedName name="Fertiliser_Equations_Organic.VEERG_5_2_1_1__2_MassOfNitrogenInOrganicFertiliser_ReadableEquation">_xlfn.LAMBDA("MNSoiljf = Morganicjf * FNorganicf")</definedName>
    <definedName name="Fertiliser_Equations_Organic.VEERG_5_2_1_1__2_MassOfNitrogenInOrganicFertiliser_Source">_xlfn.LAMBDA("VEERG 2026: 5.2.1.1, Equation (2)")</definedName>
    <definedName name="Fertiliser_Equations_Organic.VEERG_5_2_1_1__2_MassOfNitrogenInOrganicFertiliser_Title">_xlfn.LAMBDA("Mass of nitrogen in purchased organic fertilisers applied to soils")</definedName>
    <definedName name="Fertiliser_Equations_Organic.VEERG_5_2_1_1__2_MassOfNitrogenInOrganicFertiliser_Unit">_xlfn.LAMBDA("kg")</definedName>
    <definedName name="Fertiliser_Equations_Organic.VEERG_5_2_1_1__2_MassOfNitrogenInOrganicFertiliser_Variable">_xlfn.LAMBDA("MNSoiljf")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ReadableEquation">_xlfn.LAMBDA("E = Q * EC * EF * 10 ^ - 3")</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ReadableEquation">_xlfn.LAMBDA("E = Q * EC * EF * 10 ^ - 3")</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ReadableEquation">_xlfn.LAMBDA("E = Q * EC * EF * 10 ^ - 3")</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_xlfn.XLOOKUP(1, (_xlpm.SourceRegionLeftArray = _xlpm.SourceRegionLeft) * (_xlpm.SourceRegionRightArray = _xlpm.SourceRegionRight) * (_xlpm.SeasonArray = _xlpm.Season), _xlfn.XLOOKUP(_xlpm.LivestockClass, _xlpm.LivestockClassArray, _xlpm.LiveweightArray))))</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ValidLivestockClass">_xlfn.UNIQUE(_xlfn._xlws.FILTER(#REF!,#REF! =#REF!))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I64" i="13" l="1"/>
  <c r="G64" i="13"/>
  <c r="D102" i="19" a="1"/>
  <c r="D102" i="19" s="1"/>
  <c r="G51" i="13" a="1"/>
  <c r="G51" i="13" s="1"/>
  <c r="H51" i="13" s="1"/>
  <c r="J51" i="13"/>
  <c r="J50" i="13"/>
  <c r="G102" i="19" s="1" a="1"/>
  <c r="G102" i="19" s="1"/>
  <c r="G50" i="13" a="1"/>
  <c r="G50" i="13" s="1"/>
  <c r="H50" i="13" s="1"/>
  <c r="E102" i="19" s="1" a="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A24" i="26"/>
  <c r="A23" i="26"/>
  <c r="A22" i="26"/>
  <c r="E21" i="26"/>
  <c r="E21" i="26" a="1"/>
  <c r="D21" i="26" a="1"/>
  <c r="D21" i="26" s="1"/>
  <c r="E20" i="26"/>
  <c r="E20" i="26" a="1"/>
  <c r="D20" i="26" a="1"/>
  <c r="D20" i="26" s="1"/>
  <c r="A19" i="26"/>
  <c r="D18" i="26" a="1"/>
  <c r="D18" i="26" s="1"/>
  <c r="A18" i="26"/>
  <c r="D17" i="26"/>
  <c r="D17" i="26" a="1"/>
  <c r="A17" i="26"/>
  <c r="A16" i="26"/>
  <c r="A15" i="26"/>
  <c r="A14" i="26"/>
  <c r="H13" i="26" a="1"/>
  <c r="H13" i="26" s="1"/>
  <c r="G13" i="26" a="1"/>
  <c r="G13" i="26" s="1"/>
  <c r="F13" i="26"/>
  <c r="F13" i="26" a="1"/>
  <c r="E13" i="26" a="1"/>
  <c r="E13" i="26" s="1"/>
  <c r="D13" i="26" a="1"/>
  <c r="D13" i="26" s="1"/>
  <c r="A13" i="26"/>
  <c r="H12" i="26" a="1"/>
  <c r="H12" i="26" s="1"/>
  <c r="G12" i="26" a="1"/>
  <c r="G12" i="26" s="1"/>
  <c r="F12" i="26" a="1"/>
  <c r="F12" i="26" s="1"/>
  <c r="E12" i="26" a="1"/>
  <c r="E12" i="26" s="1"/>
  <c r="D12" i="26" a="1"/>
  <c r="D12" i="26" s="1"/>
  <c r="A12" i="26"/>
  <c r="H11" i="26" a="1"/>
  <c r="H11" i="26" s="1"/>
  <c r="G11" i="26" a="1"/>
  <c r="G11" i="26" s="1"/>
  <c r="F11" i="26"/>
  <c r="F11" i="26" a="1"/>
  <c r="E11" i="26" a="1"/>
  <c r="E11" i="26" s="1"/>
  <c r="D11" i="26" a="1"/>
  <c r="D11" i="26" s="1"/>
  <c r="H10" i="26" a="1"/>
  <c r="H10" i="26" s="1"/>
  <c r="G10" i="26" a="1"/>
  <c r="G10" i="26" s="1"/>
  <c r="F10" i="26" a="1"/>
  <c r="F10" i="26" s="1"/>
  <c r="E10" i="26" a="1"/>
  <c r="E10" i="26" s="1"/>
  <c r="D10" i="26"/>
  <c r="D10" i="26" a="1"/>
  <c r="H9" i="26" a="1"/>
  <c r="H9" i="26" s="1"/>
  <c r="G9" i="26"/>
  <c r="G9" i="26" a="1"/>
  <c r="F9" i="26"/>
  <c r="F9" i="26" a="1"/>
  <c r="E9" i="26" a="1"/>
  <c r="E9" i="26" s="1"/>
  <c r="D9" i="26" a="1"/>
  <c r="D9" i="26" s="1"/>
  <c r="A9" i="26"/>
  <c r="A8" i="26"/>
  <c r="D6" i="26"/>
  <c r="D6" i="26" a="1"/>
  <c r="D5" i="26" a="1"/>
  <c r="D5" i="26" s="1"/>
  <c r="A5" i="26"/>
  <c r="A4" i="26"/>
  <c r="A3" i="26"/>
  <c r="E102" i="19" l="1"/>
  <c r="F102" i="19" s="1"/>
  <c r="F109" i="19"/>
  <c r="F106" i="19"/>
  <c r="F103" i="19"/>
  <c r="F104" i="19"/>
  <c r="F105" i="19"/>
  <c r="F107" i="19"/>
  <c r="F108" i="19"/>
  <c r="F110" i="19"/>
  <c r="F111" i="19"/>
  <c r="D88" i="19" a="1"/>
  <c r="D88"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A117" i="25"/>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A63" i="25"/>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A18" i="25"/>
  <c r="F17" i="25" a="1"/>
  <c r="F17" i="25" s="1"/>
  <c r="E17" i="25" a="1"/>
  <c r="E17" i="25" s="1"/>
  <c r="D17" i="25" a="1"/>
  <c r="D17" i="25" s="1"/>
  <c r="A17" i="25"/>
  <c r="D16" i="25" a="1"/>
  <c r="D16" i="25" s="1"/>
  <c r="A16" i="25"/>
  <c r="D15" i="25" a="1"/>
  <c r="D15" i="25" s="1"/>
  <c r="A15" i="25"/>
  <c r="D14" i="25" a="1"/>
  <c r="D14" i="25" s="1"/>
  <c r="A12" i="25"/>
  <c r="A9" i="25"/>
  <c r="A8" i="25"/>
  <c r="A5" i="25"/>
  <c r="A4" i="25"/>
  <c r="A3" i="25"/>
  <c r="G46" i="13" l="1" a="1"/>
  <c r="G46" i="13" s="1"/>
  <c r="G45" i="13" a="1"/>
  <c r="G45" i="13" s="1"/>
  <c r="J46" i="13"/>
  <c r="J45" i="13"/>
  <c r="K41" i="13"/>
  <c r="D74" i="19" a="1"/>
  <c r="D74"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A137" i="23"/>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A104" i="23"/>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c r="D82" i="23" a="1"/>
  <c r="D81" i="23" a="1"/>
  <c r="D81" i="23" s="1"/>
  <c r="A79" i="23"/>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A55" i="23"/>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G88" i="19" l="1" a="1"/>
  <c r="G88" i="19" s="1"/>
  <c r="H41" i="13" a="1"/>
  <c r="H41" i="13" s="1"/>
  <c r="I41" i="13" s="1"/>
  <c r="H45" i="13"/>
  <c r="H46" i="13"/>
  <c r="H40" i="13" a="1"/>
  <c r="H40" i="13" s="1"/>
  <c r="M36" i="13"/>
  <c r="M35" i="13"/>
  <c r="K62" i="20"/>
  <c r="K61" i="20"/>
  <c r="K60" i="20"/>
  <c r="K59" i="20"/>
  <c r="K58" i="20"/>
  <c r="K57" i="20"/>
  <c r="K56" i="20"/>
  <c r="K55" i="20"/>
  <c r="K54" i="20"/>
  <c r="K53" i="20"/>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c r="E292" i="22" a="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A17" i="22"/>
  <c r="D16" i="22" a="1"/>
  <c r="D16" i="22" s="1"/>
  <c r="A16" i="22"/>
  <c r="D15" i="22" a="1"/>
  <c r="D15" i="22" s="1"/>
  <c r="A15" i="22"/>
  <c r="D14" i="22" a="1"/>
  <c r="D14" i="22" s="1"/>
  <c r="A14" i="22"/>
  <c r="A11" i="22"/>
  <c r="A8" i="22"/>
  <c r="A7" i="22"/>
  <c r="A4" i="22"/>
  <c r="A3" i="22"/>
  <c r="I102" i="19" l="1"/>
  <c r="I103" i="19"/>
  <c r="E88" i="19" a="1"/>
  <c r="E88" i="19" s="1"/>
  <c r="J35" i="13" a="1"/>
  <c r="J35" i="13" s="1"/>
  <c r="K35" i="13" s="1"/>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I149" i="22" s="1"/>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J148" i="22" s="1"/>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J36" i="13" s="1" a="1"/>
  <c r="J36" i="13" s="1"/>
  <c r="K36" i="13" s="1"/>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K40" i="13"/>
  <c r="I40" i="13"/>
  <c r="F60" i="19" a="1"/>
  <c r="F60" i="19" s="1"/>
  <c r="E60" i="19" a="1"/>
  <c r="E60" i="19" s="1"/>
  <c r="D60" i="19" a="1"/>
  <c r="D60" i="19" s="1"/>
  <c r="J60" i="19" a="1"/>
  <c r="M149" i="22" l="1"/>
  <c r="J60" i="19"/>
  <c r="L60" i="19" s="1"/>
  <c r="L61" i="19"/>
  <c r="I89" i="19"/>
  <c r="G74" i="19" a="1"/>
  <c r="E74" i="19" a="1"/>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G60" i="19" a="1"/>
  <c r="G60" i="19" s="1"/>
  <c r="I88" i="19" l="1"/>
  <c r="G74" i="19"/>
  <c r="I74" i="19" s="1"/>
  <c r="E74" i="19"/>
  <c r="Q24" i="13" l="1" a="1"/>
  <c r="Q24" i="13" s="1"/>
  <c r="K24" i="13" a="1"/>
  <c r="K24" i="13" s="1"/>
  <c r="N24" i="13" a="1"/>
  <c r="N24" i="13" s="1"/>
  <c r="H28" i="13" l="1"/>
  <c r="L28" i="13" s="1"/>
  <c r="H27" i="13"/>
  <c r="L27" i="13" s="1"/>
  <c r="H26" i="13"/>
  <c r="R26" i="13" s="1"/>
  <c r="P215" i="19" a="1"/>
  <c r="P215" i="19" s="1"/>
  <c r="M215" i="19" a="1"/>
  <c r="M215" i="19" s="1"/>
  <c r="J215" i="19" a="1"/>
  <c r="J215" i="19" s="1"/>
  <c r="D215" i="19" a="1"/>
  <c r="D215" i="19" s="1"/>
  <c r="H200" i="19" a="1"/>
  <c r="H200" i="19" s="1"/>
  <c r="G200" i="19" a="1"/>
  <c r="G200" i="19" s="1"/>
  <c r="F200" i="19" a="1"/>
  <c r="F200" i="19" s="1"/>
  <c r="E200" i="19" a="1"/>
  <c r="E200" i="19" s="1"/>
  <c r="D200" i="19" a="1"/>
  <c r="D200" i="19" s="1"/>
  <c r="F35" i="7"/>
  <c r="G35" i="7"/>
  <c r="K35" i="7"/>
  <c r="K34" i="7"/>
  <c r="G34" i="7"/>
  <c r="F34" i="7"/>
  <c r="E181" i="19" a="1"/>
  <c r="E181" i="19" s="1"/>
  <c r="D181" i="19" a="1"/>
  <c r="D181" i="19" s="1"/>
  <c r="E175" i="19"/>
  <c r="I175" i="19" s="1"/>
  <c r="E174" i="19"/>
  <c r="I174" i="19" s="1"/>
  <c r="E173" i="19"/>
  <c r="I173" i="19" s="1"/>
  <c r="E172" i="19"/>
  <c r="I172" i="19" s="1"/>
  <c r="E167" i="19"/>
  <c r="I167" i="19" s="1"/>
  <c r="E166" i="19"/>
  <c r="I166" i="19" s="1"/>
  <c r="E165" i="19"/>
  <c r="X151" i="19" a="1"/>
  <c r="X151" i="19" s="1"/>
  <c r="W151" i="19" a="1"/>
  <c r="W151" i="19" s="1"/>
  <c r="V151" i="19" a="1"/>
  <c r="V151" i="19" s="1"/>
  <c r="T151" i="19" a="1"/>
  <c r="T151" i="19" s="1"/>
  <c r="S151" i="19" a="1"/>
  <c r="S151" i="19" s="1"/>
  <c r="R151" i="19" a="1"/>
  <c r="R151" i="19" s="1"/>
  <c r="P151" i="19" a="1"/>
  <c r="P151" i="19" s="1"/>
  <c r="O151" i="19" a="1"/>
  <c r="O151" i="19" s="1"/>
  <c r="N151" i="19" a="1"/>
  <c r="N151" i="19" s="1"/>
  <c r="L151" i="19" a="1"/>
  <c r="L151" i="19" s="1"/>
  <c r="K151" i="19" a="1"/>
  <c r="K151" i="19" s="1"/>
  <c r="J151" i="19" a="1"/>
  <c r="J151" i="19" s="1"/>
  <c r="E151" i="19" a="1"/>
  <c r="E151" i="19" s="1"/>
  <c r="D151" i="19" a="1"/>
  <c r="D151"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J200" i="19" l="1"/>
  <c r="D8" i="15" a="1"/>
  <c r="D8" i="15" s="1"/>
  <c r="D165" i="19" s="1"/>
  <c r="F165" i="19" s="1" a="1"/>
  <c r="F165" i="19" s="1"/>
  <c r="G165" i="19" s="1"/>
  <c r="J204" i="19"/>
  <c r="J205" i="19"/>
  <c r="J206" i="19"/>
  <c r="J207" i="19"/>
  <c r="J208" i="19"/>
  <c r="J209" i="19"/>
  <c r="J201" i="19"/>
  <c r="J202" i="19"/>
  <c r="J203" i="19"/>
  <c r="D24" i="15" a="1"/>
  <c r="R28" i="13"/>
  <c r="O28" i="13"/>
  <c r="R27" i="13"/>
  <c r="L26" i="13"/>
  <c r="O26" i="13"/>
  <c r="O27" i="13"/>
  <c r="F181" i="19" a="1"/>
  <c r="F181" i="19" s="1"/>
  <c r="J181" i="19" s="1"/>
  <c r="I165" i="19"/>
  <c r="I151" i="19"/>
  <c r="I152" i="19"/>
  <c r="I153" i="19"/>
  <c r="D166" i="19" l="1"/>
  <c r="F166" i="19" s="1" a="1"/>
  <c r="F166" i="19" s="1"/>
  <c r="G166" i="19" s="1"/>
  <c r="D167" i="19"/>
  <c r="F167" i="19" s="1" a="1"/>
  <c r="F167" i="19" s="1"/>
  <c r="G167" i="19" s="1"/>
  <c r="D24" i="15"/>
  <c r="D172" i="19" s="1"/>
  <c r="F172" i="19" s="1" a="1"/>
  <c r="F172" i="19" s="1"/>
  <c r="G172" i="19" s="1"/>
  <c r="D175" i="19"/>
  <c r="F175" i="19" s="1" a="1"/>
  <c r="F175" i="19" s="1"/>
  <c r="G175" i="19" s="1"/>
  <c r="D174" i="19"/>
  <c r="F174" i="19" s="1" a="1"/>
  <c r="F174" i="19" s="1"/>
  <c r="G174" i="19" s="1"/>
  <c r="D173" i="19"/>
  <c r="F173" i="19" s="1" a="1"/>
  <c r="F173" i="19" s="1"/>
  <c r="G173" i="19" s="1"/>
  <c r="E136" i="19" l="1" a="1"/>
  <c r="E136" i="19" s="1"/>
  <c r="D136" i="19" a="1"/>
  <c r="D136" i="19" s="1"/>
  <c r="F136" i="19" a="1"/>
  <c r="J139" i="19" s="1"/>
  <c r="F121" i="19" a="1"/>
  <c r="F121" i="19" s="1"/>
  <c r="E121" i="19" a="1"/>
  <c r="E121" i="19" s="1"/>
  <c r="D121" i="19" a="1"/>
  <c r="D121" i="19" s="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6" i="13" s="1"/>
  <c r="F202" i="20" a="1"/>
  <c r="F202" i="20" s="1"/>
  <c r="G202" i="20" a="1"/>
  <c r="G202" i="20" s="1"/>
  <c r="H202" i="20" a="1"/>
  <c r="H202" i="20" s="1"/>
  <c r="I202" i="20" a="1"/>
  <c r="I202" i="20" s="1"/>
  <c r="D203" i="20" a="1"/>
  <c r="D203" i="20" s="1"/>
  <c r="E203" i="20" a="1"/>
  <c r="E203" i="20" s="1"/>
  <c r="D7" i="13" s="1"/>
  <c r="F203" i="20" a="1"/>
  <c r="F203" i="20" s="1"/>
  <c r="G203" i="20" a="1"/>
  <c r="G203" i="20" s="1"/>
  <c r="H203" i="20" a="1"/>
  <c r="H203" i="20" s="1"/>
  <c r="I203" i="20" a="1"/>
  <c r="I203" i="20" s="1"/>
  <c r="D204" i="20" a="1"/>
  <c r="D204" i="20" s="1"/>
  <c r="E204" i="20" a="1"/>
  <c r="E204" i="20" s="1"/>
  <c r="D12" i="13" s="1"/>
  <c r="F204" i="20" a="1"/>
  <c r="F204" i="20" s="1"/>
  <c r="G204" i="20" a="1"/>
  <c r="G204" i="20" s="1"/>
  <c r="H204" i="20" a="1"/>
  <c r="H204" i="20" s="1"/>
  <c r="I204" i="20" a="1"/>
  <c r="I204" i="20" s="1"/>
  <c r="D205" i="20" a="1"/>
  <c r="D205" i="20" s="1"/>
  <c r="E205" i="20" a="1"/>
  <c r="E205" i="20" s="1"/>
  <c r="D13" i="13" s="1"/>
  <c r="F205" i="20" a="1"/>
  <c r="F205" i="20" s="1"/>
  <c r="G205" i="20" a="1"/>
  <c r="G205" i="20" s="1"/>
  <c r="H205" i="20" a="1"/>
  <c r="H205" i="20" s="1"/>
  <c r="I205" i="20" a="1"/>
  <c r="I205" i="20" s="1"/>
  <c r="D206" i="20" a="1"/>
  <c r="D206" i="20" s="1"/>
  <c r="E206" i="20" a="1"/>
  <c r="E206" i="20" s="1"/>
  <c r="D8" i="13" s="1"/>
  <c r="F206" i="20" a="1"/>
  <c r="F206" i="20" s="1"/>
  <c r="G206" i="20" a="1"/>
  <c r="G206" i="20" s="1"/>
  <c r="H206" i="20" a="1"/>
  <c r="H206" i="20" s="1"/>
  <c r="I206" i="20" a="1"/>
  <c r="I206" i="20" s="1"/>
  <c r="D207" i="20" a="1"/>
  <c r="D207" i="20" s="1"/>
  <c r="E207" i="20" a="1"/>
  <c r="E207" i="20" s="1"/>
  <c r="D14" i="13" s="1"/>
  <c r="F207" i="20" a="1"/>
  <c r="F207" i="20" s="1"/>
  <c r="G207" i="20" a="1"/>
  <c r="G207" i="20" s="1"/>
  <c r="H207" i="20" a="1"/>
  <c r="H207" i="20" s="1"/>
  <c r="I207" i="20" a="1"/>
  <c r="I207" i="20" s="1"/>
  <c r="D208" i="20" a="1"/>
  <c r="D208" i="20" s="1"/>
  <c r="E208" i="20" a="1"/>
  <c r="E208" i="20" s="1"/>
  <c r="D15" i="13" s="1"/>
  <c r="F208" i="20" a="1"/>
  <c r="F208" i="20" s="1"/>
  <c r="G208" i="20" a="1"/>
  <c r="G208" i="20" s="1"/>
  <c r="H208" i="20" a="1"/>
  <c r="H208" i="20" s="1"/>
  <c r="I208" i="20" a="1"/>
  <c r="I208" i="20" s="1"/>
  <c r="D209" i="20" a="1"/>
  <c r="D209" i="20" s="1"/>
  <c r="E209" i="20" a="1"/>
  <c r="E209" i="20" s="1"/>
  <c r="D16" i="13"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H19" i="7"/>
  <c r="H20" i="7"/>
  <c r="D6" i="19" a="1"/>
  <c r="D6" i="19" s="1"/>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G42" i="25" l="1"/>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100" i="19" a="1"/>
  <c r="E100" i="19" s="1"/>
  <c r="D8" i="23"/>
  <c r="G41" i="25"/>
  <c r="D41" i="25"/>
  <c r="K41" i="25"/>
  <c r="D54" i="25"/>
  <c r="D47" i="25"/>
  <c r="D60" i="25"/>
  <c r="G43" i="25"/>
  <c r="D44" i="25"/>
  <c r="K44" i="25"/>
  <c r="D57" i="25"/>
  <c r="H44" i="25"/>
  <c r="L45" i="25"/>
  <c r="E45" i="25"/>
  <c r="E72" i="19" a="1"/>
  <c r="E72" i="19" s="1"/>
  <c r="E86" i="19" a="1"/>
  <c r="E86" i="19" s="1"/>
  <c r="E197" i="19" a="1"/>
  <c r="E197" i="19" s="1"/>
  <c r="E196" i="19" a="1"/>
  <c r="E196" i="19" s="1"/>
  <c r="E195" i="19" a="1"/>
  <c r="E195" i="19" s="1"/>
  <c r="L215" i="19" a="1"/>
  <c r="L215" i="19" s="1"/>
  <c r="R220" i="19" a="1"/>
  <c r="R220" i="19" s="1"/>
  <c r="R223" i="19" a="1"/>
  <c r="R223" i="19" s="1"/>
  <c r="O215" i="19" a="1"/>
  <c r="O215" i="19" s="1"/>
  <c r="R217" i="19" a="1"/>
  <c r="R217" i="19" s="1"/>
  <c r="O220" i="19" a="1"/>
  <c r="O220" i="19" s="1"/>
  <c r="O222" i="19" a="1"/>
  <c r="O222" i="19" s="1"/>
  <c r="R224" i="19" a="1"/>
  <c r="R224" i="19" s="1"/>
  <c r="O218" i="19" a="1"/>
  <c r="O218" i="19" s="1"/>
  <c r="R215" i="19" a="1"/>
  <c r="R215" i="19" s="1"/>
  <c r="O223" i="19" a="1"/>
  <c r="O223" i="19" s="1"/>
  <c r="L223" i="19" a="1"/>
  <c r="L223" i="19" s="1"/>
  <c r="O221" i="19" a="1"/>
  <c r="O221" i="19" s="1"/>
  <c r="L224" i="19" a="1"/>
  <c r="L224" i="19" s="1"/>
  <c r="O224" i="19" a="1"/>
  <c r="O224" i="19" s="1"/>
  <c r="L216" i="19" a="1"/>
  <c r="L216" i="19" s="1"/>
  <c r="R218" i="19" a="1"/>
  <c r="R218" i="19" s="1"/>
  <c r="L218" i="19" a="1"/>
  <c r="L218" i="19" s="1"/>
  <c r="R221" i="19" a="1"/>
  <c r="R221" i="19" s="1"/>
  <c r="R219" i="19" a="1"/>
  <c r="R219" i="19" s="1"/>
  <c r="L222" i="19" a="1"/>
  <c r="L222" i="19" s="1"/>
  <c r="L220" i="19" a="1"/>
  <c r="L220" i="19" s="1"/>
  <c r="O217" i="19" a="1"/>
  <c r="O217" i="19" s="1"/>
  <c r="L219" i="19" a="1"/>
  <c r="L219" i="19" s="1"/>
  <c r="L217" i="19" a="1"/>
  <c r="L217" i="19" s="1"/>
  <c r="R222" i="19" a="1"/>
  <c r="R222" i="19" s="1"/>
  <c r="L221" i="19" a="1"/>
  <c r="L221" i="19" s="1"/>
  <c r="O216" i="19" a="1"/>
  <c r="O216" i="19" s="1"/>
  <c r="R216" i="19" a="1"/>
  <c r="R216" i="19" s="1"/>
  <c r="O219" i="19" a="1"/>
  <c r="O219" i="19" s="1"/>
  <c r="K90" i="20"/>
  <c r="M89" i="20" s="1"/>
  <c r="M160" i="19" a="1"/>
  <c r="M160" i="19" s="1"/>
  <c r="M156" i="19" a="1"/>
  <c r="M156" i="19" s="1"/>
  <c r="M157" i="19" a="1"/>
  <c r="M157" i="19" s="1"/>
  <c r="M153" i="19" a="1"/>
  <c r="M153" i="19" s="1"/>
  <c r="M155" i="19" a="1"/>
  <c r="M155" i="19" s="1"/>
  <c r="M158" i="19" a="1"/>
  <c r="M158" i="19" s="1"/>
  <c r="M152" i="19" a="1"/>
  <c r="M152" i="19" s="1"/>
  <c r="M159" i="19" a="1"/>
  <c r="M159" i="19" s="1"/>
  <c r="M151" i="19" a="1"/>
  <c r="M151" i="19" s="1"/>
  <c r="M154" i="19" a="1"/>
  <c r="M154" i="19" s="1"/>
  <c r="G189" i="19" a="1"/>
  <c r="G189" i="19" s="1"/>
  <c r="G190" i="19" a="1"/>
  <c r="G190" i="19" s="1"/>
  <c r="G182" i="19" a="1"/>
  <c r="G182" i="19" s="1"/>
  <c r="G188" i="19" a="1"/>
  <c r="G188" i="19" s="1"/>
  <c r="G184" i="19" a="1"/>
  <c r="G184" i="19" s="1"/>
  <c r="G183" i="19" a="1"/>
  <c r="G183" i="19" s="1"/>
  <c r="G185" i="19" a="1"/>
  <c r="G185" i="19" s="1"/>
  <c r="G181" i="19" a="1"/>
  <c r="G181" i="19" s="1"/>
  <c r="H181" i="19" s="1"/>
  <c r="G186" i="19" a="1"/>
  <c r="G186" i="19" s="1"/>
  <c r="G187" i="19" a="1"/>
  <c r="G187" i="19" s="1"/>
  <c r="J123" i="19"/>
  <c r="J125" i="19"/>
  <c r="G137" i="19" a="1"/>
  <c r="G137" i="19" s="1"/>
  <c r="H137" i="19" s="1"/>
  <c r="G124" i="19" a="1"/>
  <c r="G124" i="19" s="1"/>
  <c r="H124" i="19" s="1"/>
  <c r="G125" i="19" a="1"/>
  <c r="G125" i="19" s="1"/>
  <c r="H125" i="19" s="1"/>
  <c r="G138" i="19" a="1"/>
  <c r="G138" i="19" s="1"/>
  <c r="H138" i="19" s="1"/>
  <c r="G126" i="19" a="1"/>
  <c r="G126" i="19" s="1"/>
  <c r="H126" i="19" s="1"/>
  <c r="G139" i="19" a="1"/>
  <c r="G139" i="19" s="1"/>
  <c r="H139" i="19" s="1"/>
  <c r="G127" i="19" a="1"/>
  <c r="G127" i="19" s="1"/>
  <c r="H127" i="19" s="1"/>
  <c r="G140" i="19" a="1"/>
  <c r="G140" i="19" s="1"/>
  <c r="H140" i="19" s="1"/>
  <c r="G128" i="19" a="1"/>
  <c r="G128" i="19" s="1"/>
  <c r="H128" i="19" s="1"/>
  <c r="G141" i="19" a="1"/>
  <c r="G141" i="19" s="1"/>
  <c r="H141" i="19" s="1"/>
  <c r="G142" i="19" a="1"/>
  <c r="G142" i="19" s="1"/>
  <c r="H142" i="19" s="1"/>
  <c r="G129" i="19" a="1"/>
  <c r="G129" i="19" s="1"/>
  <c r="H129" i="19" s="1"/>
  <c r="G143" i="19" a="1"/>
  <c r="G143" i="19" s="1"/>
  <c r="H143" i="19" s="1"/>
  <c r="G144" i="19" a="1"/>
  <c r="G144" i="19" s="1"/>
  <c r="H144" i="19" s="1"/>
  <c r="G130" i="19" a="1"/>
  <c r="G130" i="19" s="1"/>
  <c r="G145" i="19" a="1"/>
  <c r="G145" i="19" s="1"/>
  <c r="H145" i="19" s="1"/>
  <c r="G121" i="19" a="1"/>
  <c r="G121" i="19" s="1"/>
  <c r="G122" i="19" a="1"/>
  <c r="G122" i="19" s="1"/>
  <c r="H122" i="19" s="1"/>
  <c r="G123" i="19" a="1"/>
  <c r="G123" i="19" s="1"/>
  <c r="H123" i="19" s="1"/>
  <c r="G136" i="19" a="1"/>
  <c r="G136" i="19" s="1"/>
  <c r="F136" i="19"/>
  <c r="J136" i="19" s="1"/>
  <c r="J140" i="19"/>
  <c r="J141" i="19"/>
  <c r="J137" i="19"/>
  <c r="J138" i="19"/>
  <c r="J121" i="19"/>
  <c r="J124" i="19"/>
  <c r="J122" i="19"/>
  <c r="J126" i="19"/>
  <c r="H67" i="19" a="1"/>
  <c r="H67" i="19" s="1"/>
  <c r="H68" i="19" a="1"/>
  <c r="H68" i="19" s="1"/>
  <c r="L68" i="19" s="1"/>
  <c r="H69" i="19" a="1"/>
  <c r="H69" i="19" s="1"/>
  <c r="L69" i="19" s="1"/>
  <c r="H60" i="19" a="1"/>
  <c r="H60" i="19" s="1"/>
  <c r="I60" i="19" s="1"/>
  <c r="H61" i="19" a="1"/>
  <c r="H61" i="19" s="1"/>
  <c r="I61" i="19" s="1"/>
  <c r="H62" i="19" a="1"/>
  <c r="H62" i="19" s="1"/>
  <c r="H63" i="19" a="1"/>
  <c r="H63" i="19" s="1"/>
  <c r="H64" i="19" a="1"/>
  <c r="H64" i="19" s="1"/>
  <c r="H65" i="19" a="1"/>
  <c r="H65" i="19" s="1"/>
  <c r="H66" i="19" a="1"/>
  <c r="H66" i="19" s="1"/>
  <c r="L66" i="19" s="1"/>
  <c r="H184" i="19" l="1"/>
  <c r="J184" i="19"/>
  <c r="H182" i="19"/>
  <c r="J182" i="19"/>
  <c r="H183" i="19"/>
  <c r="J183" i="19"/>
  <c r="I105" i="19"/>
  <c r="I109" i="19"/>
  <c r="I106" i="19"/>
  <c r="I107" i="19"/>
  <c r="I110" i="19"/>
  <c r="I104" i="19"/>
  <c r="I108" i="19"/>
  <c r="I111" i="19"/>
  <c r="F96" i="19"/>
  <c r="F95" i="19"/>
  <c r="F94" i="19"/>
  <c r="I97" i="19"/>
  <c r="F93" i="19"/>
  <c r="I96" i="19"/>
  <c r="F92" i="19"/>
  <c r="I95" i="19"/>
  <c r="F91" i="19"/>
  <c r="I94" i="19"/>
  <c r="F90" i="19"/>
  <c r="F88" i="19"/>
  <c r="I92" i="19"/>
  <c r="I91" i="19"/>
  <c r="I93" i="19"/>
  <c r="F89" i="19"/>
  <c r="I90" i="19"/>
  <c r="F97" i="19"/>
  <c r="F78" i="19"/>
  <c r="F80" i="19"/>
  <c r="I83" i="19"/>
  <c r="F77" i="19"/>
  <c r="I81" i="19"/>
  <c r="F82" i="19"/>
  <c r="I82" i="19"/>
  <c r="F76" i="19"/>
  <c r="I80" i="19"/>
  <c r="F75" i="19"/>
  <c r="F83" i="19"/>
  <c r="I78" i="19"/>
  <c r="F81" i="19"/>
  <c r="I76" i="19"/>
  <c r="I75" i="19"/>
  <c r="I77" i="19"/>
  <c r="F79" i="19"/>
  <c r="I79" i="19"/>
  <c r="F74" i="19"/>
  <c r="I64" i="19"/>
  <c r="L64" i="19"/>
  <c r="I63" i="19"/>
  <c r="L63" i="19"/>
  <c r="I62" i="19"/>
  <c r="L62" i="19"/>
  <c r="I65" i="19"/>
  <c r="L65" i="19"/>
  <c r="I67" i="19"/>
  <c r="L67" i="19"/>
  <c r="J187" i="19"/>
  <c r="H187" i="19"/>
  <c r="H185" i="19"/>
  <c r="J185" i="19"/>
  <c r="J188" i="19"/>
  <c r="H188" i="19"/>
  <c r="H190" i="19"/>
  <c r="J190" i="19"/>
  <c r="J186" i="19"/>
  <c r="H186" i="19"/>
  <c r="I209" i="19"/>
  <c r="I208" i="19"/>
  <c r="I207" i="19"/>
  <c r="I206" i="19"/>
  <c r="I205" i="19"/>
  <c r="I204" i="19"/>
  <c r="I203" i="19"/>
  <c r="I202" i="19"/>
  <c r="I201" i="19"/>
  <c r="I200" i="19"/>
  <c r="H189" i="19"/>
  <c r="J189" i="19"/>
  <c r="H136" i="19"/>
  <c r="J144" i="19"/>
  <c r="J143" i="19"/>
  <c r="J142" i="19"/>
  <c r="J145" i="19"/>
  <c r="J128" i="19"/>
  <c r="J129" i="19"/>
  <c r="J127" i="19"/>
  <c r="H130" i="19"/>
  <c r="J130" i="19"/>
  <c r="H121" i="19"/>
  <c r="I66" i="19"/>
  <c r="I69" i="19"/>
  <c r="I68" i="19"/>
  <c r="D38" i="6" l="1" a="1"/>
  <c r="D38" i="6" s="1"/>
  <c r="E38" i="6" a="1"/>
  <c r="E38" i="6" s="1"/>
  <c r="F38" i="6" a="1"/>
  <c r="F38" i="6" s="1"/>
  <c r="G38" i="6" a="1"/>
  <c r="G38" i="6" s="1"/>
  <c r="H38" i="6" a="1"/>
  <c r="H38" i="6" s="1"/>
  <c r="I38" i="6" a="1"/>
  <c r="I38" i="6" s="1"/>
  <c r="F25" i="7"/>
  <c r="G25" i="7" s="1"/>
  <c r="G180" i="20" l="1"/>
  <c r="D36" i="19"/>
  <c r="V23" i="6" l="1" a="1"/>
  <c r="V23" i="6" s="1"/>
  <c r="V22" i="6" a="1"/>
  <c r="V22" i="6" s="1"/>
  <c r="V21" i="6" a="1"/>
  <c r="V21" i="6" s="1"/>
  <c r="V20" i="6" a="1"/>
  <c r="V20" i="6" s="1"/>
  <c r="V18" i="6" a="1"/>
  <c r="V18" i="6" s="1"/>
  <c r="V17" i="6" a="1"/>
  <c r="V17" i="6" s="1"/>
  <c r="H18" i="7"/>
  <c r="H194" i="20" l="1"/>
  <c r="E50" i="19"/>
  <c r="F30" i="19"/>
  <c r="I174" i="20"/>
  <c r="E51" i="19"/>
  <c r="I175" i="20"/>
  <c r="H195" i="20"/>
  <c r="F31" i="19"/>
  <c r="H196" i="20"/>
  <c r="F32" i="19"/>
  <c r="E52" i="19"/>
  <c r="I176" i="20"/>
  <c r="F33" i="19"/>
  <c r="I177" i="20"/>
  <c r="E53" i="19"/>
  <c r="H197" i="20"/>
  <c r="E215" i="19" a="1"/>
  <c r="K215" i="19" a="1"/>
  <c r="N215" i="19" a="1"/>
  <c r="N215" i="19" s="1"/>
  <c r="Q215" i="19" a="1"/>
  <c r="Q215" i="19" s="1"/>
  <c r="K215" i="19" l="1"/>
  <c r="F221" i="19"/>
  <c r="G221" i="19" s="1"/>
  <c r="F220" i="19"/>
  <c r="G220" i="19" s="1"/>
  <c r="F219" i="19"/>
  <c r="G219" i="19" s="1"/>
  <c r="F218" i="19"/>
  <c r="G218" i="19" s="1"/>
  <c r="F217" i="19"/>
  <c r="G217" i="19" s="1"/>
  <c r="F216" i="19"/>
  <c r="G216" i="19" s="1"/>
  <c r="F224" i="19"/>
  <c r="G224" i="19" s="1"/>
  <c r="F222" i="19"/>
  <c r="G222" i="19" s="1"/>
  <c r="F223" i="19"/>
  <c r="G223" i="19" s="1"/>
  <c r="E215" i="19"/>
  <c r="I224" i="19"/>
  <c r="I223" i="19"/>
  <c r="I217" i="19"/>
  <c r="I222" i="19"/>
  <c r="I221" i="19"/>
  <c r="I220" i="19"/>
  <c r="I219" i="19"/>
  <c r="I218" i="19"/>
  <c r="I216" i="19"/>
  <c r="I215" i="19" l="1"/>
  <c r="F215" i="19"/>
  <c r="G215" i="19" s="1"/>
  <c r="A39" i="15"/>
  <c r="A38" i="15"/>
  <c r="A37" i="15"/>
  <c r="A36" i="15"/>
  <c r="A33" i="15"/>
  <c r="A30" i="15"/>
  <c r="A29" i="15"/>
  <c r="A28" i="15"/>
  <c r="A27" i="15"/>
  <c r="A26" i="15"/>
  <c r="A25" i="15"/>
  <c r="A24" i="15"/>
  <c r="A19" i="15"/>
  <c r="A18" i="15"/>
  <c r="A15" i="15"/>
  <c r="A14" i="15"/>
  <c r="A13" i="15"/>
  <c r="A12" i="15"/>
  <c r="A11" i="15"/>
  <c r="A10" i="15"/>
  <c r="A9" i="15"/>
  <c r="A8" i="15"/>
  <c r="A7" i="15"/>
  <c r="A4" i="15"/>
  <c r="E46" i="1" l="1"/>
  <c r="E45" i="1"/>
  <c r="E26" i="9"/>
  <c r="I33" i="9" s="1"/>
  <c r="E25" i="9"/>
  <c r="I44" i="9" s="1"/>
  <c r="E12" i="9"/>
  <c r="E18" i="9" s="1"/>
  <c r="A15" i="10"/>
  <c r="A14" i="10"/>
  <c r="E13" i="10"/>
  <c r="A11" i="10"/>
  <c r="A8" i="10"/>
  <c r="A5" i="10"/>
  <c r="A4" i="10"/>
  <c r="A3" i="10"/>
  <c r="H44" i="9"/>
  <c r="E44" i="9"/>
  <c r="H43" i="9"/>
  <c r="E43" i="9"/>
  <c r="H42" i="9"/>
  <c r="E42" i="9"/>
  <c r="H35" i="9"/>
  <c r="H34" i="9"/>
  <c r="H33" i="9"/>
  <c r="A15" i="9"/>
  <c r="A14" i="9"/>
  <c r="A11" i="9"/>
  <c r="A8" i="9"/>
  <c r="A5" i="9"/>
  <c r="A4" i="9"/>
  <c r="A3" i="9"/>
  <c r="H25" i="8" a="1"/>
  <c r="H25" i="8" s="1"/>
  <c r="G25" i="8" a="1"/>
  <c r="G25" i="8"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A15" i="8"/>
  <c r="F14" i="8" a="1"/>
  <c r="F14" i="8" s="1"/>
  <c r="E14" i="8" a="1"/>
  <c r="E14" i="8" s="1"/>
  <c r="D14" i="8" a="1"/>
  <c r="D14" i="8" s="1"/>
  <c r="A14" i="8"/>
  <c r="F13" i="8" a="1"/>
  <c r="F13" i="8" s="1"/>
  <c r="E13" i="8" a="1"/>
  <c r="E13" i="8" s="1"/>
  <c r="D13" i="8" a="1"/>
  <c r="D13" i="8" s="1"/>
  <c r="F12" i="8" a="1"/>
  <c r="F12" i="8" s="1"/>
  <c r="E12" i="8" a="1"/>
  <c r="E12" i="8" s="1"/>
  <c r="D12" i="8" a="1"/>
  <c r="D12" i="8" s="1"/>
  <c r="F11" i="8" a="1"/>
  <c r="F11" i="8" s="1"/>
  <c r="E11" i="8" a="1"/>
  <c r="E11" i="8" s="1"/>
  <c r="D11" i="8" a="1"/>
  <c r="D11" i="8" s="1"/>
  <c r="A11" i="8"/>
  <c r="F10" i="8" a="1"/>
  <c r="F10" i="8" s="1"/>
  <c r="E10" i="8" a="1"/>
  <c r="E10" i="8" s="1"/>
  <c r="D10" i="8" a="1"/>
  <c r="D10" i="8" s="1"/>
  <c r="A8" i="8"/>
  <c r="D7" i="8" a="1"/>
  <c r="D7" i="8" s="1"/>
  <c r="D6" i="8" a="1"/>
  <c r="D6" i="8" s="1"/>
  <c r="D5" i="8" a="1"/>
  <c r="D5" i="8" s="1"/>
  <c r="A5" i="8"/>
  <c r="A4" i="8"/>
  <c r="A3" i="8"/>
  <c r="I42" i="9" l="1"/>
  <c r="E46" i="9" s="1"/>
  <c r="I34" i="9"/>
  <c r="E37" i="9" s="1"/>
  <c r="I35" i="9"/>
  <c r="I43" i="9"/>
  <c r="H45" i="7" l="1"/>
  <c r="I45" i="7" s="1"/>
  <c r="G45" i="7"/>
  <c r="H44" i="7"/>
  <c r="I44" i="7" s="1"/>
  <c r="G44" i="7"/>
  <c r="A44" i="7"/>
  <c r="F24" i="7"/>
  <c r="G24" i="7" s="1"/>
  <c r="A21" i="7"/>
  <c r="A20" i="7"/>
  <c r="A17" i="7"/>
  <c r="A16" i="7"/>
  <c r="A15" i="7"/>
  <c r="A14" i="7"/>
  <c r="A13" i="7"/>
  <c r="A12" i="7"/>
  <c r="A9" i="7"/>
  <c r="A8" i="7"/>
  <c r="A5" i="7"/>
  <c r="A4" i="7"/>
  <c r="A3" i="7"/>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D83" i="6" a="1"/>
  <c r="D83" i="6" s="1"/>
  <c r="D82" i="6" a="1"/>
  <c r="D82" i="6" s="1"/>
  <c r="D81" i="6" a="1"/>
  <c r="D81" i="6" s="1"/>
  <c r="F78" i="6" a="1"/>
  <c r="F78" i="6" s="1"/>
  <c r="E78" i="6" a="1"/>
  <c r="E78" i="6" s="1"/>
  <c r="D78" i="6" a="1"/>
  <c r="D78" i="6" s="1"/>
  <c r="D77" i="6" a="1"/>
  <c r="D77" i="6" s="1"/>
  <c r="D76" i="6" a="1"/>
  <c r="D76" i="6" s="1"/>
  <c r="F73" i="6" a="1"/>
  <c r="F73" i="6" s="1"/>
  <c r="E73" i="6" a="1"/>
  <c r="E73" i="6"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A21" i="6"/>
  <c r="R20" i="6" a="1"/>
  <c r="R20" i="6" s="1"/>
  <c r="Q20" i="6" a="1"/>
  <c r="Q20" i="6" s="1"/>
  <c r="L20" i="6" a="1"/>
  <c r="L20" i="6" s="1"/>
  <c r="K20" i="6" a="1"/>
  <c r="K20" i="6" s="1"/>
  <c r="I20" i="6" a="1"/>
  <c r="I20" i="6" s="1"/>
  <c r="H20" i="6" a="1"/>
  <c r="H20" i="6" s="1"/>
  <c r="G20" i="6" a="1"/>
  <c r="G20" i="6" s="1"/>
  <c r="F20" i="6" a="1"/>
  <c r="F20" i="6" s="1"/>
  <c r="E20" i="6" a="1"/>
  <c r="E20" i="6" s="1"/>
  <c r="D20" i="6" a="1"/>
  <c r="D20" i="6" s="1"/>
  <c r="A20" i="6"/>
  <c r="Q18" i="6" a="1"/>
  <c r="Q18" i="6" s="1"/>
  <c r="K18" i="6" a="1"/>
  <c r="K18" i="6" s="1"/>
  <c r="Q17" i="6" a="1"/>
  <c r="Q17" i="6" s="1"/>
  <c r="K17" i="6" a="1"/>
  <c r="K17" i="6" s="1"/>
  <c r="A17" i="6"/>
  <c r="A16" i="6"/>
  <c r="A15" i="6"/>
  <c r="A14" i="6"/>
  <c r="A13" i="6"/>
  <c r="A12" i="6"/>
  <c r="A9" i="6"/>
  <c r="A8" i="6"/>
  <c r="D7" i="6" a="1"/>
  <c r="D7" i="6" s="1"/>
  <c r="D6" i="6" a="1"/>
  <c r="D6" i="6" s="1"/>
  <c r="D5" i="6" a="1"/>
  <c r="D5" i="6" s="1"/>
  <c r="A5" i="6"/>
  <c r="A4" i="6"/>
  <c r="A3" i="6"/>
  <c r="F20" i="7" l="1"/>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D34" i="19"/>
  <c r="D39" i="19"/>
  <c r="G183" i="20"/>
  <c r="G185" i="20"/>
  <c r="D41" i="19"/>
  <c r="G41" i="19" s="1" a="1"/>
  <c r="G41" i="19" s="1"/>
  <c r="G182" i="20"/>
  <c r="D38" i="19"/>
  <c r="G38" i="19" s="1" a="1"/>
  <c r="G38" i="19" s="1"/>
  <c r="G184" i="20"/>
  <c r="D40" i="19"/>
  <c r="G40" i="19" s="1" a="1"/>
  <c r="G40" i="19" s="1"/>
  <c r="D47" i="19"/>
  <c r="G47" i="19" s="1" a="1"/>
  <c r="G47" i="19" s="1"/>
  <c r="G191" i="20"/>
  <c r="G187" i="20"/>
  <c r="D43" i="19"/>
  <c r="G192" i="20"/>
  <c r="D48" i="19"/>
  <c r="G48" i="19" s="1" a="1"/>
  <c r="G48" i="19" s="1"/>
  <c r="G198" i="20"/>
  <c r="D54" i="19"/>
  <c r="D37" i="19"/>
  <c r="G181" i="20"/>
  <c r="G175" i="20"/>
  <c r="G177" i="20"/>
  <c r="D33" i="19"/>
  <c r="G33" i="19" s="1" a="1"/>
  <c r="G33" i="19" s="1"/>
  <c r="D31" i="19"/>
  <c r="G31" i="19" s="1" a="1"/>
  <c r="G31" i="19" s="1"/>
  <c r="D32" i="19"/>
  <c r="G32" i="19" s="1" a="1"/>
  <c r="G32" i="19" s="1"/>
  <c r="D30" i="19"/>
  <c r="G30" i="19" s="1" a="1"/>
  <c r="G30" i="19" s="1"/>
  <c r="G174" i="20"/>
  <c r="G176" i="20"/>
  <c r="D35" i="19"/>
  <c r="G35" i="19" s="1" a="1"/>
  <c r="G35" i="19" s="1"/>
  <c r="G179" i="20"/>
  <c r="G189" i="20"/>
  <c r="D45" i="19"/>
  <c r="G188" i="20"/>
  <c r="D44" i="19"/>
  <c r="G44" i="19" s="1" a="1"/>
  <c r="G44" i="19" s="1"/>
  <c r="D49" i="19"/>
  <c r="G193" i="20"/>
  <c r="G194" i="20"/>
  <c r="D52" i="19"/>
  <c r="G52" i="19" s="1" a="1"/>
  <c r="G52" i="19" s="1"/>
  <c r="G196" i="20"/>
  <c r="D51" i="19"/>
  <c r="G51" i="19" s="1" a="1"/>
  <c r="G51" i="19" s="1"/>
  <c r="D50" i="19"/>
  <c r="G50" i="19" s="1" a="1"/>
  <c r="G50" i="19" s="1"/>
  <c r="G195" i="20"/>
  <c r="D53" i="19"/>
  <c r="G53" i="19" s="1" a="1"/>
  <c r="G53" i="19" s="1"/>
  <c r="G197" i="20"/>
  <c r="G186" i="20"/>
  <c r="D42" i="19"/>
  <c r="G190" i="20"/>
  <c r="D46" i="19"/>
  <c r="G46" i="19" s="1" a="1"/>
  <c r="G46" i="19" s="1"/>
  <c r="G36" i="19" a="1"/>
  <c r="G36" i="19" s="1"/>
  <c r="G34" i="19" a="1"/>
  <c r="G34" i="19" s="1"/>
  <c r="G42" i="19" a="1"/>
  <c r="G42" i="19" s="1"/>
  <c r="G39" i="19" a="1"/>
  <c r="G39" i="19" s="1"/>
  <c r="G45" i="19" a="1"/>
  <c r="G45" i="19" s="1"/>
  <c r="G43" i="19" a="1"/>
  <c r="G43" i="19" s="1"/>
  <c r="P25" i="7"/>
  <c r="S18" i="7" a="1"/>
  <c r="S18" i="7" s="1"/>
  <c r="F18" i="7"/>
  <c r="J18" i="7" a="1"/>
  <c r="J18" i="7" s="1"/>
  <c r="T18" i="7" a="1"/>
  <c r="T18" i="7" s="1"/>
  <c r="R18" i="7" a="1"/>
  <c r="R18" i="7" s="1"/>
  <c r="K18" i="7" a="1"/>
  <c r="K18" i="7" s="1"/>
  <c r="G18" i="7"/>
  <c r="M18" i="7" a="1"/>
  <c r="M18" i="7" s="1"/>
  <c r="Q18" i="7" a="1"/>
  <c r="Q18" i="7" s="1"/>
  <c r="P18" i="7" a="1"/>
  <c r="P18" i="7" s="1"/>
  <c r="O18" i="7" a="1"/>
  <c r="O18" i="7" s="1"/>
  <c r="S6" i="19" s="1" a="1"/>
  <c r="S6" i="19" s="1"/>
  <c r="N18" i="7" a="1"/>
  <c r="N18" i="7" s="1"/>
  <c r="L18" i="7" a="1"/>
  <c r="L18" i="7" s="1"/>
  <c r="X18" i="7"/>
  <c r="W18" i="7"/>
  <c r="U18" i="7" a="1"/>
  <c r="U18" i="7" s="1"/>
  <c r="J45" i="7"/>
  <c r="D32" i="7"/>
  <c r="J44" i="7"/>
  <c r="D25" i="1" a="1"/>
  <c r="D25" i="1" s="1"/>
  <c r="P24" i="7"/>
  <c r="P6" i="19" l="1" a="1"/>
  <c r="P6" i="19" s="1"/>
  <c r="AB6" i="19" a="1"/>
  <c r="AB6" i="19" s="1"/>
  <c r="J6" i="19" a="1"/>
  <c r="J6" i="19" s="1"/>
  <c r="Y6" i="19" a="1"/>
  <c r="Y6" i="19" s="1"/>
  <c r="H49" i="19" a="1"/>
  <c r="H49" i="19" s="1"/>
  <c r="V6" i="19" a="1"/>
  <c r="V6" i="19" s="1"/>
  <c r="M6" i="19" a="1"/>
  <c r="M6" i="19" s="1"/>
  <c r="X6" i="19" a="1"/>
  <c r="X6" i="19" s="1"/>
  <c r="K6" i="19" a="1"/>
  <c r="K6" i="19" s="1"/>
  <c r="H40" i="19" a="1"/>
  <c r="H40" i="19" s="1"/>
  <c r="K40" i="19" s="1"/>
  <c r="H38" i="19" a="1"/>
  <c r="H38" i="19" s="1"/>
  <c r="I38" i="19" s="1"/>
  <c r="H46" i="19" a="1"/>
  <c r="H46" i="19" s="1"/>
  <c r="I46" i="19" s="1"/>
  <c r="H44" i="19" a="1"/>
  <c r="H44" i="19" s="1"/>
  <c r="K44" i="19" s="1"/>
  <c r="H41" i="19" a="1"/>
  <c r="H41" i="19" s="1"/>
  <c r="I41" i="19" s="1"/>
  <c r="H37" i="19" a="1"/>
  <c r="H37" i="19" s="1"/>
  <c r="H45" i="19" a="1"/>
  <c r="H45" i="19" s="1"/>
  <c r="I45" i="19" s="1"/>
  <c r="O6" i="19" a="1"/>
  <c r="G37" i="19" a="1"/>
  <c r="G37" i="19" s="1"/>
  <c r="G49" i="19" a="1"/>
  <c r="G49" i="19" s="1"/>
  <c r="I49" i="19" s="1"/>
  <c r="H39" i="19" a="1"/>
  <c r="H39" i="19" s="1"/>
  <c r="I39" i="19" s="1"/>
  <c r="H42" i="19" a="1"/>
  <c r="H42" i="19" s="1"/>
  <c r="I42" i="19" s="1"/>
  <c r="H54" i="19" a="1"/>
  <c r="H54" i="19" s="1"/>
  <c r="I19" i="7"/>
  <c r="V19" i="7"/>
  <c r="R6" i="19" a="1"/>
  <c r="H48" i="19" a="1"/>
  <c r="H48" i="19" s="1"/>
  <c r="I48" i="19" s="1"/>
  <c r="H34" i="19" a="1"/>
  <c r="H34" i="19" s="1"/>
  <c r="I34" i="19" s="1"/>
  <c r="G54" i="19" a="1"/>
  <c r="G54" i="19" s="1"/>
  <c r="H35" i="19" a="1"/>
  <c r="H35" i="19" s="1"/>
  <c r="K35" i="19" s="1"/>
  <c r="H43" i="19" a="1"/>
  <c r="H43" i="19" s="1"/>
  <c r="I43" i="19" s="1"/>
  <c r="U152" i="19" a="1"/>
  <c r="U152" i="19" s="1"/>
  <c r="Q154" i="19" a="1"/>
  <c r="Q154" i="19" s="1"/>
  <c r="Y155" i="19" a="1"/>
  <c r="Y155" i="19" s="1"/>
  <c r="Y160" i="19" a="1"/>
  <c r="Y160" i="19" s="1"/>
  <c r="U153" i="19" a="1"/>
  <c r="U153" i="19" s="1"/>
  <c r="U157" i="19" a="1"/>
  <c r="U157" i="19" s="1"/>
  <c r="Q155" i="19" a="1"/>
  <c r="Q155" i="19" s="1"/>
  <c r="Q159" i="19" a="1"/>
  <c r="Q159" i="19" s="1"/>
  <c r="Y152" i="19" a="1"/>
  <c r="Y152" i="19" s="1"/>
  <c r="Q151" i="19" a="1"/>
  <c r="Q151" i="19" s="1"/>
  <c r="U154" i="19" a="1"/>
  <c r="U154" i="19" s="1"/>
  <c r="Y156" i="19" a="1"/>
  <c r="Y156" i="19" s="1"/>
  <c r="Q156" i="19" a="1"/>
  <c r="Q156" i="19" s="1"/>
  <c r="U158" i="19" a="1"/>
  <c r="U158" i="19" s="1"/>
  <c r="Y153" i="19" a="1"/>
  <c r="Y153" i="19" s="1"/>
  <c r="Q160" i="19" a="1"/>
  <c r="Q160" i="19" s="1"/>
  <c r="Y158" i="19" a="1"/>
  <c r="Y158" i="19" s="1"/>
  <c r="Q157" i="19" a="1"/>
  <c r="Q157" i="19" s="1"/>
  <c r="Y157" i="19" a="1"/>
  <c r="Y157" i="19" s="1"/>
  <c r="Y151" i="19" a="1"/>
  <c r="Y151" i="19" s="1"/>
  <c r="U159" i="19" a="1"/>
  <c r="U159" i="19" s="1"/>
  <c r="Y159" i="19" a="1"/>
  <c r="Y159" i="19" s="1"/>
  <c r="Q158" i="19" a="1"/>
  <c r="Q158" i="19" s="1"/>
  <c r="U155" i="19" a="1"/>
  <c r="U155" i="19" s="1"/>
  <c r="Q153" i="19" a="1"/>
  <c r="Q153" i="19" s="1"/>
  <c r="U151" i="19" a="1"/>
  <c r="U151" i="19" s="1"/>
  <c r="Y154" i="19" a="1"/>
  <c r="Y154" i="19" s="1"/>
  <c r="U160" i="19" a="1"/>
  <c r="U160" i="19" s="1"/>
  <c r="Q152" i="19" a="1"/>
  <c r="Q152" i="19" s="1"/>
  <c r="U156" i="19" a="1"/>
  <c r="U156" i="19" s="1"/>
  <c r="H33" i="19" a="1"/>
  <c r="H33" i="19" s="1"/>
  <c r="K33" i="19" s="1"/>
  <c r="H51" i="19" a="1"/>
  <c r="H51" i="19" s="1"/>
  <c r="K51" i="19" s="1"/>
  <c r="H52" i="19" a="1"/>
  <c r="H52" i="19" s="1"/>
  <c r="I52" i="19" s="1"/>
  <c r="H50" i="19" a="1"/>
  <c r="H50" i="19" s="1"/>
  <c r="K50" i="19" s="1"/>
  <c r="H53" i="19" a="1"/>
  <c r="H53" i="19" s="1"/>
  <c r="K53" i="19" s="1"/>
  <c r="H31" i="19" a="1"/>
  <c r="H31" i="19" s="1"/>
  <c r="I31" i="19" s="1"/>
  <c r="H32" i="19" a="1"/>
  <c r="H32" i="19" s="1"/>
  <c r="K32" i="19" s="1"/>
  <c r="H30" i="19" a="1"/>
  <c r="H30" i="19" s="1"/>
  <c r="I30" i="19" s="1"/>
  <c r="H36" i="19" a="1"/>
  <c r="H36" i="19" s="1"/>
  <c r="I36" i="19" s="1"/>
  <c r="I20" i="7"/>
  <c r="V20" i="7"/>
  <c r="H47" i="19" a="1"/>
  <c r="H47" i="19" s="1"/>
  <c r="K47" i="19" s="1"/>
  <c r="K36" i="19"/>
  <c r="K30" i="19"/>
  <c r="U6" i="19" a="1"/>
  <c r="AA6" i="19" a="1"/>
  <c r="L6" i="19" a="1"/>
  <c r="I18" i="7"/>
  <c r="V18" i="7"/>
  <c r="G12" i="5" a="1"/>
  <c r="G12" i="5" s="1"/>
  <c r="H12" i="5"/>
  <c r="I12" i="5"/>
  <c r="H20" i="1" a="1"/>
  <c r="H20" i="1" s="1"/>
  <c r="H19" i="1" a="1"/>
  <c r="H19" i="1" s="1"/>
  <c r="H18" i="1" a="1"/>
  <c r="H18" i="1" s="1"/>
  <c r="H17" i="1" a="1"/>
  <c r="H17" i="1" s="1"/>
  <c r="H16" i="1" a="1"/>
  <c r="H16" i="1" s="1"/>
  <c r="H15" i="1" a="1"/>
  <c r="H15" i="1" s="1"/>
  <c r="H14" i="1" a="1"/>
  <c r="H14" i="1" s="1"/>
  <c r="H13" i="1" a="1"/>
  <c r="H13" i="1" s="1"/>
  <c r="H12" i="1" a="1"/>
  <c r="H12" i="1" s="1"/>
  <c r="H11" i="1" a="1"/>
  <c r="H11" i="1" s="1"/>
  <c r="H10" i="1" a="1"/>
  <c r="H10" i="1" s="1"/>
  <c r="H9" i="1" a="1"/>
  <c r="H9" i="1" s="1"/>
  <c r="H8" i="1" a="1"/>
  <c r="H8" i="1" s="1"/>
  <c r="H7" i="1" a="1"/>
  <c r="H7" i="1" s="1"/>
  <c r="F14" i="1"/>
  <c r="F13" i="1"/>
  <c r="F12" i="1"/>
  <c r="F11" i="1"/>
  <c r="F10" i="1"/>
  <c r="F9" i="1"/>
  <c r="F8" i="1"/>
  <c r="F7" i="1"/>
  <c r="F6" i="1"/>
  <c r="K42" i="19" l="1"/>
  <c r="I54" i="19"/>
  <c r="Z18" i="19" a="1"/>
  <c r="Z18" i="19" s="1"/>
  <c r="Z17" i="19" a="1"/>
  <c r="Z17" i="19" s="1"/>
  <c r="Z12" i="19" a="1"/>
  <c r="Z12" i="19" s="1"/>
  <c r="Z20" i="19" a="1"/>
  <c r="Z20" i="19" s="1"/>
  <c r="Z13" i="19" a="1"/>
  <c r="Z13" i="19" s="1"/>
  <c r="Z25" i="19" a="1"/>
  <c r="Z25" i="19" s="1"/>
  <c r="Z23" i="19" a="1"/>
  <c r="Z23" i="19" s="1"/>
  <c r="T23" i="19" a="1"/>
  <c r="T23" i="19" s="1"/>
  <c r="Z11" i="19" a="1"/>
  <c r="Z11" i="19" s="1"/>
  <c r="Z7" i="19" a="1"/>
  <c r="Z7" i="19" s="1"/>
  <c r="T25" i="19" a="1"/>
  <c r="T25" i="19" s="1"/>
  <c r="Z24" i="19" a="1"/>
  <c r="Z24" i="19" s="1"/>
  <c r="Z14" i="19" a="1"/>
  <c r="Z14" i="19" s="1"/>
  <c r="Z19" i="19" a="1"/>
  <c r="Z19" i="19" s="1"/>
  <c r="Z15" i="19" a="1"/>
  <c r="Z15" i="19" s="1"/>
  <c r="Z16" i="19" a="1"/>
  <c r="Z16" i="19" s="1"/>
  <c r="Z21" i="19" a="1"/>
  <c r="Z21" i="19" s="1"/>
  <c r="Z6" i="19" a="1"/>
  <c r="Z6" i="19" s="1"/>
  <c r="Z8" i="19" a="1"/>
  <c r="Z8" i="19" s="1"/>
  <c r="Z22" i="19" a="1"/>
  <c r="Z22" i="19" s="1"/>
  <c r="Z9" i="19" a="1"/>
  <c r="Z9" i="19" s="1"/>
  <c r="Q24" i="19" a="1"/>
  <c r="Q24" i="19" s="1"/>
  <c r="Z10" i="19" a="1"/>
  <c r="Z10" i="19" s="1"/>
  <c r="T11" i="19" a="1"/>
  <c r="T11" i="19" s="1"/>
  <c r="R6" i="19"/>
  <c r="T6" i="19" s="1" a="1"/>
  <c r="T6" i="19" s="1"/>
  <c r="I53" i="19"/>
  <c r="T18" i="19" a="1"/>
  <c r="T18" i="19" s="1"/>
  <c r="T20" i="19" a="1"/>
  <c r="T20" i="19" s="1"/>
  <c r="K38" i="19"/>
  <c r="T15" i="19" a="1"/>
  <c r="T15" i="19" s="1"/>
  <c r="T8" i="19" a="1"/>
  <c r="T8" i="19" s="1"/>
  <c r="T21" i="19" a="1"/>
  <c r="T21" i="19" s="1"/>
  <c r="T22" i="19" a="1"/>
  <c r="T22" i="19" s="1"/>
  <c r="T19" i="19" a="1"/>
  <c r="T19" i="19" s="1"/>
  <c r="T10" i="19" a="1"/>
  <c r="T10" i="19" s="1"/>
  <c r="T24" i="19" a="1"/>
  <c r="T24" i="19" s="1"/>
  <c r="T12" i="19" a="1"/>
  <c r="T12" i="19" s="1"/>
  <c r="T16" i="19" a="1"/>
  <c r="T16" i="19" s="1"/>
  <c r="T13" i="19" a="1"/>
  <c r="T13" i="19" s="1"/>
  <c r="K48" i="19"/>
  <c r="T17" i="19" a="1"/>
  <c r="T17" i="19" s="1"/>
  <c r="T14" i="19" a="1"/>
  <c r="T14" i="19" s="1"/>
  <c r="K34" i="19"/>
  <c r="K52" i="19"/>
  <c r="K46" i="19"/>
  <c r="F157" i="19"/>
  <c r="G157" i="19" s="1"/>
  <c r="I40" i="19"/>
  <c r="Q13" i="19" a="1"/>
  <c r="Q13" i="19" s="1"/>
  <c r="Q15" i="19" a="1"/>
  <c r="Q15" i="19" s="1"/>
  <c r="Q10" i="19" a="1"/>
  <c r="Q10" i="19" s="1"/>
  <c r="Q18" i="19" a="1"/>
  <c r="Q18" i="19" s="1"/>
  <c r="Q16" i="19" a="1"/>
  <c r="Q16" i="19" s="1"/>
  <c r="Q8" i="19" a="1"/>
  <c r="Q8" i="19" s="1"/>
  <c r="Q17" i="19" a="1"/>
  <c r="Q17" i="19" s="1"/>
  <c r="Q11" i="19" a="1"/>
  <c r="Q11" i="19" s="1"/>
  <c r="Q9" i="19" a="1"/>
  <c r="Q9" i="19" s="1"/>
  <c r="Q19" i="19" a="1"/>
  <c r="Q19" i="19" s="1"/>
  <c r="Q12" i="19" a="1"/>
  <c r="Q12" i="19" s="1"/>
  <c r="Q22" i="19" a="1"/>
  <c r="Q22" i="19" s="1"/>
  <c r="Q21" i="19" a="1"/>
  <c r="Q21" i="19" s="1"/>
  <c r="Q20" i="19" a="1"/>
  <c r="Q20" i="19" s="1"/>
  <c r="Q14" i="19" a="1"/>
  <c r="Q14" i="19" s="1"/>
  <c r="Q25" i="19" a="1"/>
  <c r="Q25" i="19" s="1"/>
  <c r="I47" i="19"/>
  <c r="F154" i="19"/>
  <c r="I154" i="19" s="1"/>
  <c r="I37" i="19"/>
  <c r="I35" i="19"/>
  <c r="I44" i="19"/>
  <c r="K45" i="19"/>
  <c r="K43" i="19"/>
  <c r="K39" i="19"/>
  <c r="I51" i="19"/>
  <c r="I50" i="19"/>
  <c r="E28" i="1" a="1"/>
  <c r="E28" i="1" s="1"/>
  <c r="I32" i="19"/>
  <c r="T7" i="19" a="1"/>
  <c r="T7" i="19" s="1"/>
  <c r="T9" i="19" a="1"/>
  <c r="T9" i="19" s="1"/>
  <c r="Q23" i="19" a="1"/>
  <c r="Q23" i="19" s="1"/>
  <c r="O6" i="19"/>
  <c r="Q6" i="19" s="1" a="1"/>
  <c r="Q6" i="19" s="1"/>
  <c r="Q7" i="19" a="1"/>
  <c r="Q7" i="19" s="1"/>
  <c r="K41" i="19"/>
  <c r="F153" i="19"/>
  <c r="G153" i="19" s="1"/>
  <c r="F155" i="19"/>
  <c r="K54" i="19"/>
  <c r="F160" i="19"/>
  <c r="F152" i="19"/>
  <c r="G152" i="19" s="1"/>
  <c r="I33" i="19"/>
  <c r="F156" i="19"/>
  <c r="K49" i="19"/>
  <c r="K31" i="19"/>
  <c r="K37" i="19"/>
  <c r="F151" i="19"/>
  <c r="G151" i="19" s="1"/>
  <c r="F158" i="19"/>
  <c r="F159" i="19"/>
  <c r="E25" i="1" a="1"/>
  <c r="E25" i="1" s="1"/>
  <c r="E41" i="1" a="1"/>
  <c r="E41" i="1" s="1"/>
  <c r="E40" i="1" a="1"/>
  <c r="E40" i="1" s="1"/>
  <c r="E36" i="1" a="1"/>
  <c r="E36" i="1" s="1"/>
  <c r="E38" i="1" a="1"/>
  <c r="E38" i="1" s="1"/>
  <c r="E29" i="1" a="1"/>
  <c r="E29" i="1" s="1"/>
  <c r="E34" i="1" a="1"/>
  <c r="E34" i="1" s="1"/>
  <c r="E39" i="1" a="1"/>
  <c r="E39" i="1" s="1"/>
  <c r="AA6" i="19"/>
  <c r="AC6" i="19" s="1" a="1"/>
  <c r="AC6" i="19" s="1"/>
  <c r="AC22" i="19" a="1"/>
  <c r="AC22" i="19" s="1"/>
  <c r="AC10" i="19" a="1"/>
  <c r="AC10" i="19" s="1"/>
  <c r="AC23" i="19" a="1"/>
  <c r="AC23" i="19" s="1"/>
  <c r="AC21" i="19" a="1"/>
  <c r="AC21" i="19" s="1"/>
  <c r="AC9" i="19" a="1"/>
  <c r="AC9" i="19" s="1"/>
  <c r="AC14" i="19" a="1"/>
  <c r="AC14" i="19" s="1"/>
  <c r="AC11" i="19" a="1"/>
  <c r="AC11" i="19" s="1"/>
  <c r="AC8" i="19" a="1"/>
  <c r="AC8" i="19" s="1"/>
  <c r="AC20" i="19" a="1"/>
  <c r="AC20" i="19" s="1"/>
  <c r="AC19" i="19" a="1"/>
  <c r="AC19" i="19" s="1"/>
  <c r="AC18" i="19" a="1"/>
  <c r="AC18" i="19" s="1"/>
  <c r="AC17" i="19" a="1"/>
  <c r="AC17" i="19" s="1"/>
  <c r="AC16" i="19" a="1"/>
  <c r="AC16" i="19" s="1"/>
  <c r="AC15" i="19" a="1"/>
  <c r="AC15" i="19" s="1"/>
  <c r="AC12" i="19" a="1"/>
  <c r="AC12" i="19" s="1"/>
  <c r="AC25" i="19" a="1"/>
  <c r="AC25" i="19" s="1"/>
  <c r="AC13" i="19" a="1"/>
  <c r="AC13" i="19" s="1"/>
  <c r="AC24" i="19" a="1"/>
  <c r="AC24" i="19" s="1"/>
  <c r="L6" i="19"/>
  <c r="N6" i="19" s="1" a="1"/>
  <c r="N6" i="19" s="1"/>
  <c r="N13" i="19" a="1"/>
  <c r="N13" i="19" s="1"/>
  <c r="N12" i="19" a="1"/>
  <c r="N12" i="19" s="1"/>
  <c r="N25" i="19" a="1"/>
  <c r="N25" i="19" s="1"/>
  <c r="N11" i="19" a="1"/>
  <c r="N11" i="19" s="1"/>
  <c r="N24" i="19" a="1"/>
  <c r="N24" i="19" s="1"/>
  <c r="N10" i="19" a="1"/>
  <c r="N10" i="19" s="1"/>
  <c r="N23" i="19" a="1"/>
  <c r="N23" i="19" s="1"/>
  <c r="N9" i="19" a="1"/>
  <c r="N9" i="19" s="1"/>
  <c r="N22" i="19" a="1"/>
  <c r="N22" i="19" s="1"/>
  <c r="N8" i="19" a="1"/>
  <c r="N8" i="19" s="1"/>
  <c r="N18" i="19" a="1"/>
  <c r="N18" i="19" s="1"/>
  <c r="N21" i="19" a="1"/>
  <c r="N21" i="19" s="1"/>
  <c r="N20" i="19" a="1"/>
  <c r="N20" i="19" s="1"/>
  <c r="N19" i="19" a="1"/>
  <c r="N19" i="19" s="1"/>
  <c r="N14" i="19" a="1"/>
  <c r="N14" i="19" s="1"/>
  <c r="N17" i="19" a="1"/>
  <c r="N17" i="19" s="1"/>
  <c r="N15" i="19" a="1"/>
  <c r="N15" i="19" s="1"/>
  <c r="N16" i="19" a="1"/>
  <c r="N16" i="19" s="1"/>
  <c r="U6" i="19"/>
  <c r="W6" i="19" s="1" a="1"/>
  <c r="W6" i="19" s="1"/>
  <c r="W24" i="19" a="1"/>
  <c r="W24" i="19" s="1"/>
  <c r="W20" i="19" a="1"/>
  <c r="W20" i="19" s="1"/>
  <c r="W9" i="19" a="1"/>
  <c r="W9" i="19" s="1"/>
  <c r="W19" i="19" a="1"/>
  <c r="W19" i="19" s="1"/>
  <c r="W8" i="19" a="1"/>
  <c r="W8" i="19" s="1"/>
  <c r="W18" i="19" a="1"/>
  <c r="W18" i="19" s="1"/>
  <c r="W17" i="19" a="1"/>
  <c r="W17" i="19" s="1"/>
  <c r="W11" i="19" a="1"/>
  <c r="W11" i="19" s="1"/>
  <c r="W16" i="19" a="1"/>
  <c r="W16" i="19" s="1"/>
  <c r="W10" i="19" a="1"/>
  <c r="W10" i="19" s="1"/>
  <c r="W15" i="19" a="1"/>
  <c r="W15" i="19" s="1"/>
  <c r="W25" i="19" a="1"/>
  <c r="W25" i="19" s="1"/>
  <c r="W14" i="19" a="1"/>
  <c r="W14" i="19" s="1"/>
  <c r="W21" i="19" a="1"/>
  <c r="W21" i="19" s="1"/>
  <c r="W13" i="19" a="1"/>
  <c r="W13" i="19" s="1"/>
  <c r="W22" i="19" a="1"/>
  <c r="W22" i="19" s="1"/>
  <c r="W23" i="19" a="1"/>
  <c r="W23" i="19" s="1"/>
  <c r="W12" i="19" a="1"/>
  <c r="W12" i="19" s="1"/>
  <c r="N7" i="19" a="1"/>
  <c r="N7" i="19" s="1"/>
  <c r="E6" i="19" a="1"/>
  <c r="AC7" i="19" a="1"/>
  <c r="AC7" i="19" s="1"/>
  <c r="W7" i="19" a="1"/>
  <c r="W7" i="19" s="1"/>
  <c r="E26" i="1" a="1"/>
  <c r="E26" i="1" s="1"/>
  <c r="E33" i="1" a="1"/>
  <c r="E33" i="1" s="1"/>
  <c r="E30" i="1" a="1"/>
  <c r="E30" i="1" s="1"/>
  <c r="E31" i="1" a="1"/>
  <c r="E31" i="1" s="1"/>
  <c r="E32" i="1" a="1"/>
  <c r="E32" i="1" s="1"/>
  <c r="E35" i="1" a="1"/>
  <c r="E35" i="1" s="1"/>
  <c r="E37" i="1" a="1"/>
  <c r="E37" i="1" s="1"/>
  <c r="E27" i="1" a="1"/>
  <c r="E27" i="1" s="1"/>
  <c r="E42" i="1" a="1"/>
  <c r="E42" i="1" s="1"/>
  <c r="F20" i="1"/>
  <c r="F19" i="1"/>
  <c r="F18" i="1"/>
  <c r="F17" i="1"/>
  <c r="F16" i="1"/>
  <c r="F15" i="1"/>
  <c r="D20" i="1"/>
  <c r="D19" i="1"/>
  <c r="D18" i="1"/>
  <c r="D17" i="1"/>
  <c r="D16" i="1"/>
  <c r="D15" i="1"/>
  <c r="D14" i="1"/>
  <c r="D13" i="1"/>
  <c r="D12" i="1"/>
  <c r="D11" i="1"/>
  <c r="D10" i="1"/>
  <c r="D9" i="1"/>
  <c r="D8" i="1"/>
  <c r="D7" i="1"/>
  <c r="D6" i="1"/>
  <c r="G154" i="19" l="1"/>
  <c r="I157" i="19"/>
  <c r="G160" i="19"/>
  <c r="I160" i="19"/>
  <c r="G156" i="19"/>
  <c r="I156" i="19"/>
  <c r="G159" i="19"/>
  <c r="I159" i="19"/>
  <c r="G158" i="19"/>
  <c r="I158" i="19"/>
  <c r="G155" i="19"/>
  <c r="I155" i="19"/>
  <c r="F6" i="19"/>
  <c r="F9" i="19"/>
  <c r="I9" i="19" s="1"/>
  <c r="F10" i="19"/>
  <c r="I10" i="19" s="1"/>
  <c r="F19" i="19"/>
  <c r="I19" i="19" s="1"/>
  <c r="F7" i="19"/>
  <c r="G7" i="19" s="1"/>
  <c r="F24" i="19"/>
  <c r="F16" i="19"/>
  <c r="F11" i="19"/>
  <c r="I11" i="19" s="1"/>
  <c r="F15" i="19"/>
  <c r="F25" i="19"/>
  <c r="F17" i="19"/>
  <c r="F12" i="19"/>
  <c r="F14" i="19"/>
  <c r="F13" i="19"/>
  <c r="F20" i="19"/>
  <c r="F21" i="19"/>
  <c r="F18" i="19"/>
  <c r="F8" i="19"/>
  <c r="G8" i="19" s="1"/>
  <c r="F23" i="19"/>
  <c r="F22" i="19"/>
  <c r="E6" i="19"/>
  <c r="I7" i="19"/>
  <c r="I11" i="5"/>
  <c r="H6" i="1" s="1" a="1"/>
  <c r="H6" i="1" s="1"/>
  <c r="H11" i="5"/>
  <c r="G11" i="5" a="1"/>
  <c r="G11" i="5" s="1"/>
  <c r="A17" i="5"/>
  <c r="A16" i="5"/>
  <c r="A13" i="5"/>
  <c r="A12" i="5"/>
  <c r="A11" i="5"/>
  <c r="A8" i="5"/>
  <c r="A5" i="5"/>
  <c r="A4" i="5"/>
  <c r="A3" i="5"/>
  <c r="J139" i="4"/>
  <c r="E139" i="4"/>
  <c r="J138" i="4"/>
  <c r="G138" i="4"/>
  <c r="E138" i="4"/>
  <c r="J137" i="4"/>
  <c r="G137" i="4"/>
  <c r="E137" i="4"/>
  <c r="D137" i="4"/>
  <c r="J136" i="4"/>
  <c r="G136" i="4"/>
  <c r="E136" i="4"/>
  <c r="D136" i="4"/>
  <c r="J135" i="4"/>
  <c r="G135" i="4"/>
  <c r="E135" i="4"/>
  <c r="D135" i="4"/>
  <c r="J134" i="4"/>
  <c r="G134" i="4"/>
  <c r="E134" i="4"/>
  <c r="D134" i="4"/>
  <c r="J133" i="4"/>
  <c r="G133" i="4"/>
  <c r="F133" i="4"/>
  <c r="E133" i="4"/>
  <c r="D133" i="4"/>
  <c r="J132" i="4"/>
  <c r="I132" i="4"/>
  <c r="G132" i="4"/>
  <c r="F132" i="4"/>
  <c r="E132" i="4"/>
  <c r="D132" i="4"/>
  <c r="J131" i="4"/>
  <c r="I131" i="4"/>
  <c r="H131" i="4"/>
  <c r="G131" i="4"/>
  <c r="F131" i="4"/>
  <c r="E131" i="4"/>
  <c r="D131" i="4"/>
  <c r="F120" i="4" a="1"/>
  <c r="F120" i="4" s="1"/>
  <c r="E120" i="4" a="1"/>
  <c r="E120" i="4" s="1"/>
  <c r="D120" i="4" a="1"/>
  <c r="D120" i="4" s="1"/>
  <c r="F119" i="4" a="1"/>
  <c r="F119" i="4" s="1"/>
  <c r="E119" i="4" a="1"/>
  <c r="E119" i="4" s="1"/>
  <c r="D119" i="4" a="1"/>
  <c r="D119" i="4" s="1"/>
  <c r="F118" i="4" a="1"/>
  <c r="F118" i="4" s="1"/>
  <c r="E118" i="4" a="1"/>
  <c r="E118" i="4" s="1"/>
  <c r="D118" i="4" a="1"/>
  <c r="D118" i="4" s="1"/>
  <c r="F117" i="4" a="1"/>
  <c r="F117" i="4" s="1"/>
  <c r="E117" i="4" a="1"/>
  <c r="E117" i="4" s="1"/>
  <c r="D117" i="4" a="1"/>
  <c r="D117" i="4" s="1"/>
  <c r="F116" i="4" a="1"/>
  <c r="F116" i="4" s="1"/>
  <c r="E116" i="4" a="1"/>
  <c r="E116" i="4" s="1"/>
  <c r="D116" i="4" a="1"/>
  <c r="D116" i="4" s="1"/>
  <c r="F115" i="4" a="1"/>
  <c r="F115" i="4" s="1"/>
  <c r="E115" i="4" a="1"/>
  <c r="E115" i="4" s="1"/>
  <c r="D115" i="4" a="1"/>
  <c r="D115" i="4" s="1"/>
  <c r="F114" i="4" a="1"/>
  <c r="F114" i="4" s="1"/>
  <c r="E114" i="4" a="1"/>
  <c r="E114" i="4" s="1"/>
  <c r="D114" i="4" a="1"/>
  <c r="D114" i="4" s="1"/>
  <c r="G113" i="4" a="1"/>
  <c r="G113" i="4" s="1"/>
  <c r="F113" i="4" a="1"/>
  <c r="F113" i="4" s="1"/>
  <c r="E113" i="4" a="1"/>
  <c r="E113" i="4" s="1"/>
  <c r="D113" i="4" a="1"/>
  <c r="D113" i="4" s="1"/>
  <c r="D110" i="4" a="1"/>
  <c r="D110" i="4" s="1"/>
  <c r="D109" i="4" a="1"/>
  <c r="D109" i="4" s="1"/>
  <c r="D108" i="4" a="1"/>
  <c r="D108" i="4" s="1"/>
  <c r="D107" i="4" a="1"/>
  <c r="D107" i="4" s="1"/>
  <c r="J104" i="4" a="1"/>
  <c r="J104" i="4" s="1"/>
  <c r="I104" i="4" a="1"/>
  <c r="I104" i="4" s="1"/>
  <c r="H104" i="4" a="1"/>
  <c r="H104" i="4" s="1"/>
  <c r="G104" i="4" a="1"/>
  <c r="G104" i="4" s="1"/>
  <c r="F104" i="4" a="1"/>
  <c r="F104" i="4" s="1"/>
  <c r="E104" i="4" a="1"/>
  <c r="E104" i="4" s="1"/>
  <c r="D104" i="4" a="1"/>
  <c r="D104" i="4" s="1"/>
  <c r="J103" i="4" a="1"/>
  <c r="J103" i="4" s="1"/>
  <c r="I103" i="4" a="1"/>
  <c r="I103" i="4" s="1"/>
  <c r="H103" i="4" a="1"/>
  <c r="H103" i="4" s="1"/>
  <c r="G103" i="4" a="1"/>
  <c r="G103" i="4" s="1"/>
  <c r="F103" i="4" a="1"/>
  <c r="F103" i="4" s="1"/>
  <c r="E103" i="4" a="1"/>
  <c r="E103" i="4" s="1"/>
  <c r="D103" i="4" a="1"/>
  <c r="D103" i="4" s="1"/>
  <c r="J102" i="4" a="1"/>
  <c r="J102" i="4" s="1"/>
  <c r="I102" i="4" a="1"/>
  <c r="I102" i="4" s="1"/>
  <c r="H102" i="4" a="1"/>
  <c r="H102" i="4" s="1"/>
  <c r="G102" i="4" a="1"/>
  <c r="G102" i="4" s="1"/>
  <c r="F102" i="4" a="1"/>
  <c r="F102" i="4" s="1"/>
  <c r="E102" i="4" a="1"/>
  <c r="E102" i="4" s="1"/>
  <c r="D102" i="4" a="1"/>
  <c r="D102" i="4" s="1"/>
  <c r="J101" i="4" a="1"/>
  <c r="J101" i="4" s="1"/>
  <c r="I101" i="4" a="1"/>
  <c r="I101" i="4" s="1"/>
  <c r="H101" i="4" a="1"/>
  <c r="H101" i="4" s="1"/>
  <c r="G101" i="4" a="1"/>
  <c r="G101" i="4" s="1"/>
  <c r="F101" i="4" a="1"/>
  <c r="F101" i="4" s="1"/>
  <c r="E101" i="4" a="1"/>
  <c r="E101" i="4" s="1"/>
  <c r="D101" i="4" a="1"/>
  <c r="D101" i="4" s="1"/>
  <c r="J100" i="4" a="1"/>
  <c r="J100" i="4" s="1"/>
  <c r="I100" i="4" a="1"/>
  <c r="I100" i="4" s="1"/>
  <c r="H100" i="4" a="1"/>
  <c r="H100" i="4" s="1"/>
  <c r="G100" i="4" a="1"/>
  <c r="G100" i="4" s="1"/>
  <c r="F100" i="4" a="1"/>
  <c r="F100" i="4" s="1"/>
  <c r="E100" i="4" a="1"/>
  <c r="E100" i="4" s="1"/>
  <c r="D100" i="4" a="1"/>
  <c r="D100" i="4" s="1"/>
  <c r="J99" i="4" a="1"/>
  <c r="J99" i="4" s="1"/>
  <c r="I99" i="4" a="1"/>
  <c r="I99" i="4" s="1"/>
  <c r="H99" i="4" a="1"/>
  <c r="H99" i="4" s="1"/>
  <c r="G99" i="4" a="1"/>
  <c r="G99" i="4" s="1"/>
  <c r="F99" i="4" a="1"/>
  <c r="F99" i="4" s="1"/>
  <c r="E99" i="4" a="1"/>
  <c r="E99" i="4" s="1"/>
  <c r="D99" i="4" a="1"/>
  <c r="D99" i="4" s="1"/>
  <c r="J98" i="4" a="1"/>
  <c r="J98" i="4" s="1"/>
  <c r="I98" i="4" a="1"/>
  <c r="I98" i="4" s="1"/>
  <c r="H98" i="4" a="1"/>
  <c r="H98" i="4" s="1"/>
  <c r="G98" i="4" a="1"/>
  <c r="G98" i="4" s="1"/>
  <c r="F98" i="4" a="1"/>
  <c r="F98" i="4" s="1"/>
  <c r="E98" i="4" a="1"/>
  <c r="E98" i="4" s="1"/>
  <c r="D98" i="4" a="1"/>
  <c r="D98" i="4" s="1"/>
  <c r="J97" i="4" a="1"/>
  <c r="J97" i="4" s="1"/>
  <c r="I97" i="4" a="1"/>
  <c r="I97" i="4" s="1"/>
  <c r="H97" i="4" a="1"/>
  <c r="H97" i="4" s="1"/>
  <c r="G97" i="4" a="1"/>
  <c r="G97" i="4" s="1"/>
  <c r="F97" i="4" a="1"/>
  <c r="F97" i="4" s="1"/>
  <c r="E97" i="4" a="1"/>
  <c r="E97" i="4" s="1"/>
  <c r="D97" i="4" a="1"/>
  <c r="D97" i="4" s="1"/>
  <c r="J96" i="4" a="1"/>
  <c r="J96" i="4" s="1"/>
  <c r="I96" i="4" a="1"/>
  <c r="I96" i="4" s="1"/>
  <c r="H96" i="4" a="1"/>
  <c r="H96" i="4" s="1"/>
  <c r="G96" i="4" a="1"/>
  <c r="G96" i="4" s="1"/>
  <c r="F96" i="4" a="1"/>
  <c r="F96" i="4" s="1"/>
  <c r="E96" i="4" a="1"/>
  <c r="E96" i="4" s="1"/>
  <c r="D96" i="4" a="1"/>
  <c r="D96" i="4" s="1"/>
  <c r="J95" i="4" a="1"/>
  <c r="J95" i="4" s="1"/>
  <c r="I95" i="4" a="1"/>
  <c r="I95" i="4" s="1"/>
  <c r="H95" i="4" a="1"/>
  <c r="H95" i="4" s="1"/>
  <c r="G95" i="4" a="1"/>
  <c r="G95" i="4" s="1"/>
  <c r="F95" i="4" a="1"/>
  <c r="F95" i="4" s="1"/>
  <c r="E95" i="4" a="1"/>
  <c r="E95" i="4" s="1"/>
  <c r="D95" i="4" a="1"/>
  <c r="D95" i="4" s="1"/>
  <c r="J94" i="4" a="1"/>
  <c r="J94" i="4" s="1"/>
  <c r="I94" i="4" a="1"/>
  <c r="I94" i="4" s="1"/>
  <c r="H94" i="4" a="1"/>
  <c r="H94" i="4" s="1"/>
  <c r="G94" i="4" a="1"/>
  <c r="G94" i="4" s="1"/>
  <c r="F94" i="4" a="1"/>
  <c r="F94" i="4" s="1"/>
  <c r="E94" i="4" a="1"/>
  <c r="E94" i="4" s="1"/>
  <c r="D94" i="4" a="1"/>
  <c r="D94" i="4" s="1"/>
  <c r="J93" i="4" a="1"/>
  <c r="J93" i="4" s="1"/>
  <c r="I93" i="4" a="1"/>
  <c r="I93" i="4" s="1"/>
  <c r="H93" i="4" a="1"/>
  <c r="H93" i="4" s="1"/>
  <c r="G93" i="4" a="1"/>
  <c r="G93" i="4" s="1"/>
  <c r="F93" i="4" a="1"/>
  <c r="F93" i="4" s="1"/>
  <c r="E93" i="4" a="1"/>
  <c r="E93" i="4" s="1"/>
  <c r="D93" i="4" a="1"/>
  <c r="D93" i="4" s="1"/>
  <c r="J92" i="4" a="1"/>
  <c r="J92" i="4" s="1"/>
  <c r="I92" i="4" a="1"/>
  <c r="I92" i="4" s="1"/>
  <c r="H92" i="4" a="1"/>
  <c r="H92" i="4" s="1"/>
  <c r="G92" i="4" a="1"/>
  <c r="G92" i="4" s="1"/>
  <c r="F92" i="4" a="1"/>
  <c r="F92" i="4" s="1"/>
  <c r="E92" i="4" a="1"/>
  <c r="E92" i="4" s="1"/>
  <c r="D92" i="4" a="1"/>
  <c r="D92" i="4" s="1"/>
  <c r="J91" i="4" a="1"/>
  <c r="J91" i="4" s="1"/>
  <c r="I91" i="4" a="1"/>
  <c r="I91" i="4" s="1"/>
  <c r="H91" i="4" a="1"/>
  <c r="H91" i="4" s="1"/>
  <c r="G91" i="4" a="1"/>
  <c r="G91" i="4" s="1"/>
  <c r="F91" i="4" a="1"/>
  <c r="F91" i="4" s="1"/>
  <c r="E91" i="4" a="1"/>
  <c r="E91" i="4" s="1"/>
  <c r="D91" i="4" a="1"/>
  <c r="D91" i="4" s="1"/>
  <c r="J90" i="4" a="1"/>
  <c r="J90" i="4" s="1"/>
  <c r="I90" i="4" a="1"/>
  <c r="I90" i="4" s="1"/>
  <c r="H90" i="4" a="1"/>
  <c r="H90" i="4" s="1"/>
  <c r="G90" i="4" a="1"/>
  <c r="G90" i="4" s="1"/>
  <c r="F90" i="4" a="1"/>
  <c r="F90" i="4" s="1"/>
  <c r="E90" i="4" a="1"/>
  <c r="E90" i="4" s="1"/>
  <c r="D90" i="4" a="1"/>
  <c r="D90" i="4" s="1"/>
  <c r="J89" i="4" a="1"/>
  <c r="J89" i="4" s="1"/>
  <c r="I89" i="4" a="1"/>
  <c r="I89" i="4" s="1"/>
  <c r="H89" i="4" a="1"/>
  <c r="H89" i="4" s="1"/>
  <c r="G89" i="4" a="1"/>
  <c r="G89" i="4" s="1"/>
  <c r="F89" i="4" a="1"/>
  <c r="F89" i="4" s="1"/>
  <c r="E89" i="4" a="1"/>
  <c r="E89" i="4" s="1"/>
  <c r="D89" i="4" a="1"/>
  <c r="D89" i="4" s="1"/>
  <c r="J88" i="4" a="1"/>
  <c r="J88" i="4" s="1"/>
  <c r="I88" i="4" a="1"/>
  <c r="I88" i="4" s="1"/>
  <c r="H88" i="4" a="1"/>
  <c r="H88" i="4" s="1"/>
  <c r="G88" i="4" a="1"/>
  <c r="G88" i="4" s="1"/>
  <c r="F88" i="4" a="1"/>
  <c r="F88" i="4" s="1"/>
  <c r="E88" i="4" a="1"/>
  <c r="E88" i="4" s="1"/>
  <c r="D88" i="4" a="1"/>
  <c r="D88" i="4" s="1"/>
  <c r="J87" i="4" a="1"/>
  <c r="J87" i="4" s="1"/>
  <c r="I87" i="4" a="1"/>
  <c r="I87" i="4" s="1"/>
  <c r="H87" i="4" a="1"/>
  <c r="H87" i="4" s="1"/>
  <c r="G87" i="4" a="1"/>
  <c r="G87" i="4" s="1"/>
  <c r="F87" i="4" a="1"/>
  <c r="F87" i="4" s="1"/>
  <c r="E87" i="4" a="1"/>
  <c r="E87" i="4" s="1"/>
  <c r="D87" i="4" a="1"/>
  <c r="D87" i="4" s="1"/>
  <c r="D84" i="4" a="1"/>
  <c r="D84" i="4" s="1"/>
  <c r="D83" i="4" a="1"/>
  <c r="D83" i="4" s="1"/>
  <c r="D82" i="4" a="1"/>
  <c r="D82" i="4" s="1"/>
  <c r="D81" i="4" a="1"/>
  <c r="D81" i="4" s="1"/>
  <c r="K77" i="4" a="1"/>
  <c r="K77" i="4" s="1"/>
  <c r="J77" i="4" a="1"/>
  <c r="J77" i="4" s="1"/>
  <c r="I77" i="4" a="1"/>
  <c r="I77" i="4" s="1"/>
  <c r="H77" i="4" a="1"/>
  <c r="H77" i="4" s="1"/>
  <c r="G77" i="4" a="1"/>
  <c r="G77" i="4" s="1"/>
  <c r="F77" i="4" a="1"/>
  <c r="F77" i="4" s="1"/>
  <c r="E77" i="4" a="1"/>
  <c r="E77" i="4" s="1"/>
  <c r="D77" i="4" a="1"/>
  <c r="D77" i="4" s="1"/>
  <c r="K76" i="4" a="1"/>
  <c r="K76" i="4" s="1"/>
  <c r="J76" i="4" a="1"/>
  <c r="J76" i="4" s="1"/>
  <c r="I76" i="4" a="1"/>
  <c r="I76" i="4" s="1"/>
  <c r="H76" i="4" a="1"/>
  <c r="H76" i="4" s="1"/>
  <c r="G76" i="4" a="1"/>
  <c r="G76" i="4" s="1"/>
  <c r="F76" i="4" a="1"/>
  <c r="F76" i="4" s="1"/>
  <c r="E76" i="4" a="1"/>
  <c r="E76" i="4" s="1"/>
  <c r="D76" i="4" a="1"/>
  <c r="D76" i="4" s="1"/>
  <c r="K75" i="4" a="1"/>
  <c r="K75" i="4" s="1"/>
  <c r="J75" i="4" a="1"/>
  <c r="J75" i="4" s="1"/>
  <c r="I75" i="4" a="1"/>
  <c r="I75" i="4" s="1"/>
  <c r="H75" i="4" a="1"/>
  <c r="H75" i="4" s="1"/>
  <c r="G75" i="4" a="1"/>
  <c r="G75" i="4" s="1"/>
  <c r="F75" i="4" a="1"/>
  <c r="F75" i="4" s="1"/>
  <c r="E75" i="4" a="1"/>
  <c r="E75" i="4" s="1"/>
  <c r="D75" i="4" a="1"/>
  <c r="D75" i="4" s="1"/>
  <c r="K74" i="4" a="1"/>
  <c r="K74" i="4" s="1"/>
  <c r="J74" i="4" a="1"/>
  <c r="J74" i="4" s="1"/>
  <c r="I74" i="4" a="1"/>
  <c r="I74" i="4" s="1"/>
  <c r="H74" i="4" a="1"/>
  <c r="H74" i="4" s="1"/>
  <c r="G74" i="4" a="1"/>
  <c r="G74" i="4" s="1"/>
  <c r="F74" i="4" a="1"/>
  <c r="F74" i="4" s="1"/>
  <c r="E74" i="4" a="1"/>
  <c r="E74" i="4" s="1"/>
  <c r="D74" i="4" a="1"/>
  <c r="D74" i="4" s="1"/>
  <c r="K73" i="4" a="1"/>
  <c r="K73" i="4" s="1"/>
  <c r="J73" i="4" a="1"/>
  <c r="J73" i="4" s="1"/>
  <c r="I73" i="4" a="1"/>
  <c r="I73" i="4" s="1"/>
  <c r="H73" i="4" a="1"/>
  <c r="H73" i="4" s="1"/>
  <c r="G73" i="4" a="1"/>
  <c r="G73" i="4" s="1"/>
  <c r="F73" i="4" a="1"/>
  <c r="F73" i="4" s="1"/>
  <c r="E73" i="4" a="1"/>
  <c r="E73" i="4" s="1"/>
  <c r="D73" i="4" a="1"/>
  <c r="D73" i="4" s="1"/>
  <c r="K72" i="4" a="1"/>
  <c r="K72" i="4" s="1"/>
  <c r="J72" i="4" a="1"/>
  <c r="J72" i="4" s="1"/>
  <c r="I72" i="4" a="1"/>
  <c r="I72" i="4" s="1"/>
  <c r="H72" i="4" a="1"/>
  <c r="H72" i="4" s="1"/>
  <c r="G72" i="4" a="1"/>
  <c r="G72" i="4" s="1"/>
  <c r="F72" i="4" a="1"/>
  <c r="F72" i="4" s="1"/>
  <c r="E72" i="4" a="1"/>
  <c r="E72" i="4" s="1"/>
  <c r="D72" i="4" a="1"/>
  <c r="D72" i="4" s="1"/>
  <c r="K71" i="4" a="1"/>
  <c r="K71" i="4" s="1"/>
  <c r="J71" i="4" a="1"/>
  <c r="J71" i="4" s="1"/>
  <c r="I71" i="4" a="1"/>
  <c r="I71" i="4" s="1"/>
  <c r="H71" i="4" a="1"/>
  <c r="H71" i="4" s="1"/>
  <c r="G71" i="4" a="1"/>
  <c r="G71" i="4" s="1"/>
  <c r="F71" i="4" a="1"/>
  <c r="F71" i="4" s="1"/>
  <c r="E71" i="4" a="1"/>
  <c r="E71" i="4" s="1"/>
  <c r="D71" i="4" a="1"/>
  <c r="D71" i="4" s="1"/>
  <c r="K70" i="4" a="1"/>
  <c r="K70" i="4" s="1"/>
  <c r="J70" i="4" a="1"/>
  <c r="J70" i="4" s="1"/>
  <c r="I70" i="4" a="1"/>
  <c r="I70" i="4" s="1"/>
  <c r="H70" i="4" a="1"/>
  <c r="H70" i="4" s="1"/>
  <c r="G70" i="4" a="1"/>
  <c r="G70" i="4" s="1"/>
  <c r="F70" i="4" a="1"/>
  <c r="F70" i="4" s="1"/>
  <c r="E70" i="4" a="1"/>
  <c r="E70" i="4" s="1"/>
  <c r="D70" i="4" a="1"/>
  <c r="D70" i="4" s="1"/>
  <c r="K69" i="4" a="1"/>
  <c r="K69" i="4" s="1"/>
  <c r="J69" i="4" a="1"/>
  <c r="J69" i="4" s="1"/>
  <c r="I69" i="4" a="1"/>
  <c r="I69" i="4" s="1"/>
  <c r="H69" i="4" a="1"/>
  <c r="H69" i="4" s="1"/>
  <c r="G69" i="4" a="1"/>
  <c r="G69" i="4" s="1"/>
  <c r="F69" i="4" a="1"/>
  <c r="F69" i="4" s="1"/>
  <c r="E69" i="4" a="1"/>
  <c r="E69" i="4" s="1"/>
  <c r="D69" i="4" a="1"/>
  <c r="D69" i="4" s="1"/>
  <c r="K68" i="4" a="1"/>
  <c r="K68" i="4" s="1"/>
  <c r="J68" i="4" a="1"/>
  <c r="J68" i="4" s="1"/>
  <c r="I68" i="4" a="1"/>
  <c r="I68" i="4" s="1"/>
  <c r="H68" i="4" a="1"/>
  <c r="H68" i="4" s="1"/>
  <c r="G68" i="4" a="1"/>
  <c r="G68" i="4" s="1"/>
  <c r="F68" i="4" a="1"/>
  <c r="F68" i="4" s="1"/>
  <c r="E68" i="4" a="1"/>
  <c r="E68" i="4" s="1"/>
  <c r="D68" i="4" a="1"/>
  <c r="D68" i="4" s="1"/>
  <c r="K67" i="4" a="1"/>
  <c r="K67" i="4" s="1"/>
  <c r="J67" i="4" a="1"/>
  <c r="J67" i="4" s="1"/>
  <c r="I67" i="4" a="1"/>
  <c r="I67" i="4" s="1"/>
  <c r="H67" i="4" a="1"/>
  <c r="H67" i="4" s="1"/>
  <c r="G67" i="4" a="1"/>
  <c r="G67" i="4" s="1"/>
  <c r="F67" i="4" a="1"/>
  <c r="F67" i="4" s="1"/>
  <c r="E67" i="4" a="1"/>
  <c r="E67" i="4" s="1"/>
  <c r="D67" i="4" a="1"/>
  <c r="D67" i="4" s="1"/>
  <c r="K66" i="4" a="1"/>
  <c r="K66" i="4" s="1"/>
  <c r="J66" i="4" a="1"/>
  <c r="J66" i="4" s="1"/>
  <c r="I66" i="4" a="1"/>
  <c r="I66" i="4" s="1"/>
  <c r="H66" i="4" a="1"/>
  <c r="H66" i="4" s="1"/>
  <c r="G66" i="4" a="1"/>
  <c r="G66" i="4" s="1"/>
  <c r="F66" i="4" a="1"/>
  <c r="F66" i="4" s="1"/>
  <c r="E66" i="4" a="1"/>
  <c r="E66" i="4" s="1"/>
  <c r="D66" i="4" a="1"/>
  <c r="D66" i="4" s="1"/>
  <c r="K65" i="4" a="1"/>
  <c r="K65" i="4" s="1"/>
  <c r="J65" i="4" a="1"/>
  <c r="J65" i="4" s="1"/>
  <c r="I65" i="4" a="1"/>
  <c r="I65" i="4" s="1"/>
  <c r="H65" i="4" a="1"/>
  <c r="H65" i="4" s="1"/>
  <c r="G65" i="4" a="1"/>
  <c r="G65" i="4" s="1"/>
  <c r="F65" i="4" a="1"/>
  <c r="F65" i="4" s="1"/>
  <c r="E65" i="4" a="1"/>
  <c r="E65" i="4" s="1"/>
  <c r="D65" i="4" a="1"/>
  <c r="D65" i="4" s="1"/>
  <c r="K64" i="4" a="1"/>
  <c r="K64" i="4" s="1"/>
  <c r="J64" i="4" a="1"/>
  <c r="J64" i="4" s="1"/>
  <c r="I64" i="4" a="1"/>
  <c r="I64" i="4" s="1"/>
  <c r="H64" i="4" a="1"/>
  <c r="H64" i="4" s="1"/>
  <c r="G64" i="4" a="1"/>
  <c r="G64" i="4" s="1"/>
  <c r="F64" i="4" a="1"/>
  <c r="F64" i="4" s="1"/>
  <c r="E64" i="4" a="1"/>
  <c r="E64" i="4" s="1"/>
  <c r="D64" i="4" a="1"/>
  <c r="D64" i="4" s="1"/>
  <c r="K63" i="4" a="1"/>
  <c r="K63" i="4" s="1"/>
  <c r="J63" i="4" a="1"/>
  <c r="J63" i="4" s="1"/>
  <c r="I63" i="4" a="1"/>
  <c r="I63" i="4" s="1"/>
  <c r="H63" i="4" a="1"/>
  <c r="H63" i="4" s="1"/>
  <c r="G63" i="4" a="1"/>
  <c r="G63" i="4" s="1"/>
  <c r="F63" i="4" a="1"/>
  <c r="F63" i="4" s="1"/>
  <c r="E63" i="4" a="1"/>
  <c r="E63" i="4" s="1"/>
  <c r="D63" i="4" a="1"/>
  <c r="D63" i="4" s="1"/>
  <c r="K62" i="4" a="1"/>
  <c r="K62" i="4" s="1"/>
  <c r="J62" i="4" a="1"/>
  <c r="J62" i="4" s="1"/>
  <c r="I62" i="4" a="1"/>
  <c r="I62" i="4" s="1"/>
  <c r="H62" i="4" a="1"/>
  <c r="H62" i="4" s="1"/>
  <c r="G62" i="4" a="1"/>
  <c r="G62" i="4" s="1"/>
  <c r="F62" i="4" a="1"/>
  <c r="F62" i="4" s="1"/>
  <c r="E62" i="4" a="1"/>
  <c r="E62" i="4" s="1"/>
  <c r="D62" i="4" a="1"/>
  <c r="D62" i="4" s="1"/>
  <c r="K61" i="4" a="1"/>
  <c r="K61" i="4" s="1"/>
  <c r="J61" i="4" a="1"/>
  <c r="J61" i="4" s="1"/>
  <c r="I61" i="4" a="1"/>
  <c r="I61" i="4" s="1"/>
  <c r="H61" i="4" a="1"/>
  <c r="H61" i="4" s="1"/>
  <c r="G61" i="4" a="1"/>
  <c r="G61" i="4" s="1"/>
  <c r="F61" i="4" a="1"/>
  <c r="F61" i="4" s="1"/>
  <c r="E61" i="4" a="1"/>
  <c r="E61" i="4" s="1"/>
  <c r="D61" i="4" a="1"/>
  <c r="D61" i="4" s="1"/>
  <c r="K60" i="4" a="1"/>
  <c r="K60" i="4" s="1"/>
  <c r="J60" i="4" a="1"/>
  <c r="J60" i="4" s="1"/>
  <c r="I60" i="4" a="1"/>
  <c r="I60" i="4" s="1"/>
  <c r="H60" i="4" a="1"/>
  <c r="H60" i="4" s="1"/>
  <c r="G60" i="4" a="1"/>
  <c r="G60" i="4" s="1"/>
  <c r="F60" i="4" a="1"/>
  <c r="F60" i="4" s="1"/>
  <c r="E60" i="4" a="1"/>
  <c r="E60" i="4" s="1"/>
  <c r="D60" i="4" a="1"/>
  <c r="D60" i="4" s="1"/>
  <c r="K59" i="4" a="1"/>
  <c r="K59" i="4" s="1"/>
  <c r="J59" i="4" a="1"/>
  <c r="J59" i="4" s="1"/>
  <c r="I59" i="4" a="1"/>
  <c r="I59" i="4" s="1"/>
  <c r="H59" i="4" a="1"/>
  <c r="H59" i="4" s="1"/>
  <c r="G59" i="4" a="1"/>
  <c r="G59" i="4" s="1"/>
  <c r="F59" i="4" a="1"/>
  <c r="F59" i="4" s="1"/>
  <c r="E59" i="4" a="1"/>
  <c r="E59" i="4" s="1"/>
  <c r="D59" i="4" a="1"/>
  <c r="D59" i="4" s="1"/>
  <c r="K58" i="4" a="1"/>
  <c r="K58" i="4" s="1"/>
  <c r="J58" i="4" a="1"/>
  <c r="J58" i="4" s="1"/>
  <c r="I58" i="4" a="1"/>
  <c r="I58" i="4" s="1"/>
  <c r="H58" i="4" a="1"/>
  <c r="H58" i="4" s="1"/>
  <c r="G58" i="4" a="1"/>
  <c r="G58" i="4" s="1"/>
  <c r="F58" i="4" a="1"/>
  <c r="F58" i="4" s="1"/>
  <c r="E58" i="4" a="1"/>
  <c r="E58" i="4" s="1"/>
  <c r="D58" i="4" a="1"/>
  <c r="D58" i="4" s="1"/>
  <c r="K57" i="4" a="1"/>
  <c r="K57" i="4" s="1"/>
  <c r="J57" i="4" a="1"/>
  <c r="J57" i="4" s="1"/>
  <c r="I57" i="4" a="1"/>
  <c r="I57" i="4" s="1"/>
  <c r="H57" i="4" a="1"/>
  <c r="H57" i="4" s="1"/>
  <c r="G57" i="4" a="1"/>
  <c r="G57" i="4" s="1"/>
  <c r="F57" i="4" a="1"/>
  <c r="F57" i="4" s="1"/>
  <c r="E57" i="4" a="1"/>
  <c r="E57" i="4" s="1"/>
  <c r="D57" i="4" a="1"/>
  <c r="D57" i="4" s="1"/>
  <c r="K56" i="4" a="1"/>
  <c r="K56" i="4" s="1"/>
  <c r="J56" i="4" a="1"/>
  <c r="J56" i="4" s="1"/>
  <c r="I56" i="4" a="1"/>
  <c r="I56" i="4" s="1"/>
  <c r="H56" i="4" a="1"/>
  <c r="H56" i="4" s="1"/>
  <c r="G56" i="4" a="1"/>
  <c r="G56" i="4" s="1"/>
  <c r="F56" i="4" a="1"/>
  <c r="F56" i="4" s="1"/>
  <c r="E56" i="4" a="1"/>
  <c r="E56" i="4" s="1"/>
  <c r="D56" i="4" a="1"/>
  <c r="D56" i="4" s="1"/>
  <c r="K55" i="4" a="1"/>
  <c r="K55" i="4" s="1"/>
  <c r="J55" i="4" a="1"/>
  <c r="J55" i="4" s="1"/>
  <c r="I55" i="4" a="1"/>
  <c r="I55" i="4" s="1"/>
  <c r="H55" i="4" a="1"/>
  <c r="H55" i="4" s="1"/>
  <c r="G55" i="4" a="1"/>
  <c r="G55" i="4" s="1"/>
  <c r="F55" i="4" a="1"/>
  <c r="F55" i="4" s="1"/>
  <c r="E55" i="4" a="1"/>
  <c r="E55" i="4" s="1"/>
  <c r="D55" i="4" a="1"/>
  <c r="D55" i="4" s="1"/>
  <c r="K54" i="4" a="1"/>
  <c r="K54" i="4" s="1"/>
  <c r="J54" i="4" a="1"/>
  <c r="J54" i="4" s="1"/>
  <c r="I54" i="4" a="1"/>
  <c r="I54" i="4" s="1"/>
  <c r="H54" i="4" a="1"/>
  <c r="H54" i="4" s="1"/>
  <c r="G54" i="4" a="1"/>
  <c r="G54" i="4" s="1"/>
  <c r="F54" i="4" a="1"/>
  <c r="F54" i="4" s="1"/>
  <c r="E54" i="4" a="1"/>
  <c r="E54" i="4" s="1"/>
  <c r="D54" i="4" a="1"/>
  <c r="D54" i="4" s="1"/>
  <c r="D52" i="4" a="1"/>
  <c r="D52" i="4" s="1"/>
  <c r="D51" i="4" a="1"/>
  <c r="D51" i="4" s="1"/>
  <c r="D50" i="4" a="1"/>
  <c r="D50" i="4" s="1"/>
  <c r="D49" i="4" a="1"/>
  <c r="D49" i="4" s="1"/>
  <c r="J43" i="4" a="1"/>
  <c r="J43" i="4" s="1"/>
  <c r="I43" i="4" a="1"/>
  <c r="I43" i="4" s="1"/>
  <c r="H43" i="4" a="1"/>
  <c r="H43" i="4" s="1"/>
  <c r="G43" i="4" a="1"/>
  <c r="G43" i="4" s="1"/>
  <c r="F43" i="4" a="1"/>
  <c r="F43" i="4" s="1"/>
  <c r="E43" i="4" a="1"/>
  <c r="E43" i="4" s="1"/>
  <c r="D43" i="4" a="1"/>
  <c r="D43" i="4" s="1"/>
  <c r="J42" i="4" a="1"/>
  <c r="J42" i="4" s="1"/>
  <c r="I42" i="4" a="1"/>
  <c r="I42" i="4" s="1"/>
  <c r="H42" i="4" a="1"/>
  <c r="H42" i="4" s="1"/>
  <c r="G42" i="4" a="1"/>
  <c r="G42" i="4" s="1"/>
  <c r="F42" i="4" a="1"/>
  <c r="F42" i="4" s="1"/>
  <c r="E42" i="4" a="1"/>
  <c r="E42" i="4" s="1"/>
  <c r="D42" i="4" a="1"/>
  <c r="D42" i="4" s="1"/>
  <c r="J41" i="4" a="1"/>
  <c r="J41" i="4" s="1"/>
  <c r="I41" i="4" a="1"/>
  <c r="I41" i="4" s="1"/>
  <c r="H41" i="4" a="1"/>
  <c r="H41" i="4" s="1"/>
  <c r="G41" i="4" a="1"/>
  <c r="G41" i="4" s="1"/>
  <c r="F41" i="4" a="1"/>
  <c r="F41" i="4" s="1"/>
  <c r="E41" i="4" a="1"/>
  <c r="E41" i="4" s="1"/>
  <c r="D41" i="4" a="1"/>
  <c r="D41" i="4" s="1"/>
  <c r="J40" i="4" a="1"/>
  <c r="J40" i="4" s="1"/>
  <c r="I40" i="4" a="1"/>
  <c r="I40" i="4" s="1"/>
  <c r="H40" i="4" a="1"/>
  <c r="H40" i="4" s="1"/>
  <c r="G40" i="4" a="1"/>
  <c r="G40" i="4" s="1"/>
  <c r="F40" i="4" a="1"/>
  <c r="F40" i="4" s="1"/>
  <c r="E40" i="4" a="1"/>
  <c r="E40" i="4" s="1"/>
  <c r="D40" i="4" a="1"/>
  <c r="D40" i="4" s="1"/>
  <c r="D38" i="4" a="1"/>
  <c r="D38" i="4" s="1"/>
  <c r="D37" i="4" a="1"/>
  <c r="D37" i="4" s="1"/>
  <c r="L34" i="4" a="1"/>
  <c r="L34" i="4" s="1"/>
  <c r="K34" i="4" a="1"/>
  <c r="K34" i="4" s="1"/>
  <c r="J34" i="4" a="1"/>
  <c r="J34" i="4" s="1"/>
  <c r="I34" i="4" a="1"/>
  <c r="I34" i="4" s="1"/>
  <c r="H34" i="4" a="1"/>
  <c r="H34" i="4" s="1"/>
  <c r="G34" i="4" a="1"/>
  <c r="G34" i="4" s="1"/>
  <c r="F34" i="4" a="1"/>
  <c r="F34" i="4" s="1"/>
  <c r="E34" i="4" a="1"/>
  <c r="E34" i="4" s="1"/>
  <c r="D34" i="4" a="1"/>
  <c r="D34" i="4" s="1"/>
  <c r="L33" i="4" a="1"/>
  <c r="L33" i="4" s="1"/>
  <c r="K33" i="4" a="1"/>
  <c r="K33" i="4" s="1"/>
  <c r="J33" i="4" a="1"/>
  <c r="J33" i="4" s="1"/>
  <c r="I33" i="4" a="1"/>
  <c r="I33" i="4" s="1"/>
  <c r="H33" i="4" a="1"/>
  <c r="H33" i="4" s="1"/>
  <c r="G33" i="4" a="1"/>
  <c r="G33" i="4" s="1"/>
  <c r="F33" i="4" a="1"/>
  <c r="F33" i="4" s="1"/>
  <c r="E33" i="4" a="1"/>
  <c r="E33" i="4" s="1"/>
  <c r="E20" i="1" s="1"/>
  <c r="D33" i="4" a="1"/>
  <c r="D33" i="4" s="1"/>
  <c r="L32" i="4" a="1"/>
  <c r="L32" i="4" s="1"/>
  <c r="K32" i="4" a="1"/>
  <c r="K32" i="4" s="1"/>
  <c r="J32" i="4" a="1"/>
  <c r="J32" i="4" s="1"/>
  <c r="I32" i="4" a="1"/>
  <c r="I32" i="4" s="1"/>
  <c r="H32" i="4" a="1"/>
  <c r="H32" i="4" s="1"/>
  <c r="G32" i="4" a="1"/>
  <c r="G32" i="4" s="1"/>
  <c r="F32" i="4" a="1"/>
  <c r="F32" i="4" s="1"/>
  <c r="E32" i="4" a="1"/>
  <c r="E32" i="4" s="1"/>
  <c r="D32" i="4" a="1"/>
  <c r="D32" i="4" s="1"/>
  <c r="L31" i="4" a="1"/>
  <c r="L31" i="4" s="1"/>
  <c r="K31" i="4" a="1"/>
  <c r="K31" i="4" s="1"/>
  <c r="J31" i="4" a="1"/>
  <c r="J31" i="4" s="1"/>
  <c r="I31" i="4" a="1"/>
  <c r="I31" i="4" s="1"/>
  <c r="H31" i="4" a="1"/>
  <c r="H31" i="4" s="1"/>
  <c r="G31" i="4" a="1"/>
  <c r="G31" i="4" s="1"/>
  <c r="F31" i="4" a="1"/>
  <c r="F31" i="4" s="1"/>
  <c r="E31" i="4" a="1"/>
  <c r="E31" i="4" s="1"/>
  <c r="D31" i="4" a="1"/>
  <c r="D31" i="4" s="1"/>
  <c r="L30" i="4" a="1"/>
  <c r="L30" i="4" s="1"/>
  <c r="K30" i="4" a="1"/>
  <c r="K30" i="4" s="1"/>
  <c r="J30" i="4" a="1"/>
  <c r="J30" i="4" s="1"/>
  <c r="I30" i="4" a="1"/>
  <c r="I30" i="4" s="1"/>
  <c r="H30" i="4" a="1"/>
  <c r="H30" i="4" s="1"/>
  <c r="G30" i="4" a="1"/>
  <c r="G30" i="4" s="1"/>
  <c r="F30" i="4" a="1"/>
  <c r="F30" i="4" s="1"/>
  <c r="E30" i="4" a="1"/>
  <c r="E30" i="4" s="1"/>
  <c r="E17" i="1" s="1"/>
  <c r="D30" i="4" a="1"/>
  <c r="D30" i="4" s="1"/>
  <c r="L29" i="4" a="1"/>
  <c r="L29" i="4" s="1"/>
  <c r="K29" i="4" a="1"/>
  <c r="K29" i="4" s="1"/>
  <c r="J29" i="4" a="1"/>
  <c r="J29" i="4" s="1"/>
  <c r="I29" i="4" a="1"/>
  <c r="I29" i="4" s="1"/>
  <c r="H29" i="4" a="1"/>
  <c r="H29" i="4" s="1"/>
  <c r="G29" i="4" a="1"/>
  <c r="G29" i="4" s="1"/>
  <c r="F29" i="4" a="1"/>
  <c r="F29" i="4" s="1"/>
  <c r="E29" i="4" a="1"/>
  <c r="E29" i="4" s="1"/>
  <c r="E16" i="1" s="1"/>
  <c r="D29" i="4" a="1"/>
  <c r="D29" i="4" s="1"/>
  <c r="L28" i="4" a="1"/>
  <c r="L28" i="4" s="1"/>
  <c r="K28" i="4" a="1"/>
  <c r="K28" i="4" s="1"/>
  <c r="J28" i="4" a="1"/>
  <c r="J28" i="4" s="1"/>
  <c r="I28" i="4" a="1"/>
  <c r="I28" i="4" s="1"/>
  <c r="H28" i="4" a="1"/>
  <c r="H28" i="4" s="1"/>
  <c r="G28" i="4" a="1"/>
  <c r="G28" i="4" s="1"/>
  <c r="F28" i="4" a="1"/>
  <c r="F28" i="4" s="1"/>
  <c r="E28" i="4" a="1"/>
  <c r="E28" i="4" s="1"/>
  <c r="E15" i="1" s="1"/>
  <c r="D28" i="4" a="1"/>
  <c r="D28" i="4" s="1"/>
  <c r="L27" i="4" a="1"/>
  <c r="L27" i="4" s="1"/>
  <c r="K27" i="4" a="1"/>
  <c r="K27" i="4" s="1"/>
  <c r="J27" i="4" a="1"/>
  <c r="J27" i="4" s="1"/>
  <c r="I27" i="4" a="1"/>
  <c r="I27" i="4" s="1"/>
  <c r="H27" i="4" a="1"/>
  <c r="H27" i="4" s="1"/>
  <c r="G27" i="4" a="1"/>
  <c r="G27" i="4" s="1"/>
  <c r="F27" i="4" a="1"/>
  <c r="F27" i="4" s="1"/>
  <c r="E27" i="4" a="1"/>
  <c r="E27" i="4" s="1"/>
  <c r="D27" i="4" a="1"/>
  <c r="D27" i="4" s="1"/>
  <c r="L26" i="4" a="1"/>
  <c r="L26" i="4" s="1"/>
  <c r="K26" i="4" a="1"/>
  <c r="K26" i="4" s="1"/>
  <c r="J26" i="4" a="1"/>
  <c r="J26" i="4" s="1"/>
  <c r="I26" i="4" a="1"/>
  <c r="I26" i="4" s="1"/>
  <c r="H26" i="4" a="1"/>
  <c r="H26" i="4" s="1"/>
  <c r="G26" i="4" a="1"/>
  <c r="G26" i="4" s="1"/>
  <c r="F26" i="4" a="1"/>
  <c r="F26" i="4" s="1"/>
  <c r="E26" i="4" a="1"/>
  <c r="E26" i="4" s="1"/>
  <c r="D26" i="4" a="1"/>
  <c r="D26" i="4" s="1"/>
  <c r="L25" i="4" a="1"/>
  <c r="L25" i="4" s="1"/>
  <c r="K25" i="4" a="1"/>
  <c r="K25" i="4" s="1"/>
  <c r="J25" i="4" a="1"/>
  <c r="J25" i="4" s="1"/>
  <c r="I25" i="4" a="1"/>
  <c r="I25" i="4" s="1"/>
  <c r="H25" i="4" a="1"/>
  <c r="H25" i="4" s="1"/>
  <c r="G25" i="4" a="1"/>
  <c r="G25" i="4" s="1"/>
  <c r="F25" i="4" a="1"/>
  <c r="F25" i="4" s="1"/>
  <c r="E25" i="4" a="1"/>
  <c r="E25" i="4" s="1"/>
  <c r="D25" i="4" a="1"/>
  <c r="D25" i="4" s="1"/>
  <c r="L24" i="4" a="1"/>
  <c r="L24" i="4" s="1"/>
  <c r="K24" i="4" a="1"/>
  <c r="K24" i="4" s="1"/>
  <c r="J24" i="4" a="1"/>
  <c r="J24" i="4" s="1"/>
  <c r="I24" i="4" a="1"/>
  <c r="I24" i="4" s="1"/>
  <c r="H24" i="4" a="1"/>
  <c r="H24" i="4" s="1"/>
  <c r="G24" i="4" a="1"/>
  <c r="G24" i="4" s="1"/>
  <c r="F24" i="4" a="1"/>
  <c r="F24" i="4" s="1"/>
  <c r="E24" i="4" a="1"/>
  <c r="E24" i="4" s="1"/>
  <c r="D24" i="4" a="1"/>
  <c r="D24" i="4" s="1"/>
  <c r="L23" i="4" a="1"/>
  <c r="L23" i="4" s="1"/>
  <c r="K23" i="4" a="1"/>
  <c r="K23" i="4" s="1"/>
  <c r="J23" i="4" a="1"/>
  <c r="J23" i="4" s="1"/>
  <c r="I23" i="4" a="1"/>
  <c r="I23" i="4" s="1"/>
  <c r="H23" i="4" a="1"/>
  <c r="H23" i="4" s="1"/>
  <c r="G23" i="4" a="1"/>
  <c r="G23" i="4" s="1"/>
  <c r="F23" i="4" a="1"/>
  <c r="F23" i="4" s="1"/>
  <c r="E23" i="4" a="1"/>
  <c r="E23" i="4" s="1"/>
  <c r="D23" i="4" a="1"/>
  <c r="D23" i="4" s="1"/>
  <c r="L22" i="4" a="1"/>
  <c r="L22" i="4" s="1"/>
  <c r="K22" i="4" a="1"/>
  <c r="K22" i="4" s="1"/>
  <c r="J22" i="4" a="1"/>
  <c r="J22" i="4" s="1"/>
  <c r="I22" i="4" a="1"/>
  <c r="I22" i="4" s="1"/>
  <c r="H22" i="4" a="1"/>
  <c r="H22" i="4" s="1"/>
  <c r="G22" i="4" a="1"/>
  <c r="G22" i="4" s="1"/>
  <c r="F22" i="4" a="1"/>
  <c r="F22" i="4" s="1"/>
  <c r="E22" i="4" a="1"/>
  <c r="E22" i="4" s="1"/>
  <c r="D22" i="4" a="1"/>
  <c r="D22" i="4" s="1"/>
  <c r="L21" i="4" a="1"/>
  <c r="L21" i="4" s="1"/>
  <c r="K21" i="4" a="1"/>
  <c r="K21" i="4" s="1"/>
  <c r="J21" i="4" a="1"/>
  <c r="J21" i="4" s="1"/>
  <c r="I21" i="4" a="1"/>
  <c r="I21" i="4" s="1"/>
  <c r="H21" i="4" a="1"/>
  <c r="H21" i="4" s="1"/>
  <c r="G21" i="4" a="1"/>
  <c r="G21" i="4" s="1"/>
  <c r="F21" i="4" a="1"/>
  <c r="F21" i="4" s="1"/>
  <c r="E21" i="4" a="1"/>
  <c r="E21" i="4" s="1"/>
  <c r="D21" i="4" a="1"/>
  <c r="D21" i="4" s="1"/>
  <c r="L20" i="4" a="1"/>
  <c r="L20" i="4" s="1"/>
  <c r="K20" i="4" a="1"/>
  <c r="K20" i="4" s="1"/>
  <c r="J20" i="4" a="1"/>
  <c r="J20" i="4" s="1"/>
  <c r="I20" i="4" a="1"/>
  <c r="I20" i="4" s="1"/>
  <c r="H20" i="4" a="1"/>
  <c r="H20" i="4" s="1"/>
  <c r="G20" i="4" a="1"/>
  <c r="G20" i="4" s="1"/>
  <c r="F20" i="4" a="1"/>
  <c r="F20" i="4" s="1"/>
  <c r="E20" i="4" a="1"/>
  <c r="E20" i="4" s="1"/>
  <c r="D20" i="4" a="1"/>
  <c r="D20" i="4" s="1"/>
  <c r="L19" i="4" a="1"/>
  <c r="L19" i="4" s="1"/>
  <c r="K19" i="4" a="1"/>
  <c r="K19" i="4" s="1"/>
  <c r="J19" i="4" a="1"/>
  <c r="J19" i="4" s="1"/>
  <c r="I19" i="4" a="1"/>
  <c r="I19" i="4" s="1"/>
  <c r="H19" i="4" a="1"/>
  <c r="H19" i="4" s="1"/>
  <c r="G19" i="4" a="1"/>
  <c r="G19" i="4" s="1"/>
  <c r="F19" i="4" a="1"/>
  <c r="F19" i="4" s="1"/>
  <c r="E19" i="4" a="1"/>
  <c r="E19" i="4" s="1"/>
  <c r="D19" i="4" a="1"/>
  <c r="D19" i="4" s="1"/>
  <c r="L18" i="4" a="1"/>
  <c r="L18" i="4" s="1"/>
  <c r="K18" i="4" a="1"/>
  <c r="K18" i="4" s="1"/>
  <c r="J18" i="4" a="1"/>
  <c r="J18" i="4" s="1"/>
  <c r="I18" i="4" a="1"/>
  <c r="I18" i="4" s="1"/>
  <c r="H18" i="4" a="1"/>
  <c r="H18" i="4" s="1"/>
  <c r="G18" i="4" a="1"/>
  <c r="G18" i="4" s="1"/>
  <c r="F18" i="4" a="1"/>
  <c r="F18" i="4" s="1"/>
  <c r="E18" i="4" a="1"/>
  <c r="E18" i="4" s="1"/>
  <c r="D18" i="4" a="1"/>
  <c r="D18" i="4" s="1"/>
  <c r="L17" i="4" a="1"/>
  <c r="L17" i="4" s="1"/>
  <c r="K17" i="4" a="1"/>
  <c r="K17" i="4" s="1"/>
  <c r="J17" i="4" a="1"/>
  <c r="J17" i="4" s="1"/>
  <c r="I17" i="4" a="1"/>
  <c r="I17" i="4" s="1"/>
  <c r="H17" i="4" a="1"/>
  <c r="H17" i="4" s="1"/>
  <c r="G17" i="4" a="1"/>
  <c r="G17" i="4" s="1"/>
  <c r="F17" i="4" a="1"/>
  <c r="F17" i="4" s="1"/>
  <c r="E17" i="4" a="1"/>
  <c r="E17" i="4" s="1"/>
  <c r="E13" i="1" s="1"/>
  <c r="D17" i="4" a="1"/>
  <c r="D17" i="4" s="1"/>
  <c r="A17" i="4"/>
  <c r="L16" i="4" a="1"/>
  <c r="L16" i="4" s="1"/>
  <c r="K16" i="4" a="1"/>
  <c r="K16" i="4" s="1"/>
  <c r="J16" i="4" a="1"/>
  <c r="J16" i="4" s="1"/>
  <c r="I16" i="4" a="1"/>
  <c r="I16" i="4" s="1"/>
  <c r="H16" i="4" a="1"/>
  <c r="H16" i="4" s="1"/>
  <c r="G16" i="4" a="1"/>
  <c r="G16" i="4" s="1"/>
  <c r="F16" i="4" a="1"/>
  <c r="F16" i="4" s="1"/>
  <c r="E16" i="4" a="1"/>
  <c r="E16" i="4" s="1"/>
  <c r="E12" i="1" s="1"/>
  <c r="D16" i="4" a="1"/>
  <c r="D16" i="4" s="1"/>
  <c r="A16" i="4"/>
  <c r="L15" i="4" a="1"/>
  <c r="L15" i="4" s="1"/>
  <c r="K15" i="4" a="1"/>
  <c r="K15" i="4" s="1"/>
  <c r="J15" i="4" a="1"/>
  <c r="J15" i="4" s="1"/>
  <c r="I15" i="4" a="1"/>
  <c r="I15" i="4" s="1"/>
  <c r="H15" i="4" a="1"/>
  <c r="H15" i="4" s="1"/>
  <c r="G15" i="4" a="1"/>
  <c r="G15" i="4" s="1"/>
  <c r="F15" i="4" a="1"/>
  <c r="F15" i="4" s="1"/>
  <c r="E15" i="4" a="1"/>
  <c r="E15" i="4" s="1"/>
  <c r="E11" i="1" s="1"/>
  <c r="D15" i="4" a="1"/>
  <c r="D15" i="4" s="1"/>
  <c r="L14" i="4" a="1"/>
  <c r="L14" i="4" s="1"/>
  <c r="K14" i="4" a="1"/>
  <c r="K14" i="4" s="1"/>
  <c r="J14" i="4" a="1"/>
  <c r="J14" i="4" s="1"/>
  <c r="I14" i="4" a="1"/>
  <c r="I14" i="4" s="1"/>
  <c r="H14" i="4" a="1"/>
  <c r="H14" i="4" s="1"/>
  <c r="G14" i="4" a="1"/>
  <c r="G14" i="4" s="1"/>
  <c r="F14" i="4" a="1"/>
  <c r="F14" i="4" s="1"/>
  <c r="E14" i="4" a="1"/>
  <c r="E14" i="4" s="1"/>
  <c r="E10" i="1" s="1"/>
  <c r="D14" i="4" a="1"/>
  <c r="D14" i="4" s="1"/>
  <c r="L13" i="4" a="1"/>
  <c r="L13" i="4" s="1"/>
  <c r="K13" i="4" a="1"/>
  <c r="K13" i="4" s="1"/>
  <c r="J13" i="4" a="1"/>
  <c r="J13" i="4" s="1"/>
  <c r="I13" i="4" a="1"/>
  <c r="I13" i="4" s="1"/>
  <c r="H13" i="4" a="1"/>
  <c r="H13" i="4" s="1"/>
  <c r="G13" i="4" a="1"/>
  <c r="G13" i="4" s="1"/>
  <c r="F13" i="4" a="1"/>
  <c r="F13" i="4" s="1"/>
  <c r="E13" i="4" a="1"/>
  <c r="E13" i="4" s="1"/>
  <c r="E9" i="1" s="1"/>
  <c r="D13" i="4" a="1"/>
  <c r="D13" i="4" s="1"/>
  <c r="A13" i="4"/>
  <c r="L12" i="4" a="1"/>
  <c r="L12" i="4" s="1"/>
  <c r="K12" i="4" a="1"/>
  <c r="K12" i="4" s="1"/>
  <c r="J12" i="4" a="1"/>
  <c r="J12" i="4" s="1"/>
  <c r="I12" i="4" a="1"/>
  <c r="I12" i="4" s="1"/>
  <c r="H12" i="4" a="1"/>
  <c r="H12" i="4" s="1"/>
  <c r="G12" i="4" a="1"/>
  <c r="G12" i="4" s="1"/>
  <c r="F12" i="4" a="1"/>
  <c r="F12" i="4" s="1"/>
  <c r="E12" i="4" a="1"/>
  <c r="E12" i="4" s="1"/>
  <c r="E8" i="1" s="1"/>
  <c r="D12" i="4" a="1"/>
  <c r="D12" i="4" s="1"/>
  <c r="A12" i="4"/>
  <c r="L11" i="4" a="1"/>
  <c r="L11" i="4" s="1"/>
  <c r="K11" i="4" a="1"/>
  <c r="K11" i="4" s="1"/>
  <c r="J11" i="4" a="1"/>
  <c r="J11" i="4" s="1"/>
  <c r="I11" i="4" a="1"/>
  <c r="I11" i="4" s="1"/>
  <c r="H11" i="4" a="1"/>
  <c r="H11" i="4" s="1"/>
  <c r="G11" i="4" a="1"/>
  <c r="G11" i="4" s="1"/>
  <c r="F11" i="4" a="1"/>
  <c r="F11" i="4" s="1"/>
  <c r="E11" i="4" a="1"/>
  <c r="E11" i="4" s="1"/>
  <c r="D11" i="4" a="1"/>
  <c r="D11" i="4" s="1"/>
  <c r="A11" i="4"/>
  <c r="L10" i="4" a="1"/>
  <c r="L10" i="4" s="1"/>
  <c r="K10" i="4" a="1"/>
  <c r="K10" i="4" s="1"/>
  <c r="J10" i="4" a="1"/>
  <c r="J10" i="4" s="1"/>
  <c r="I10" i="4" a="1"/>
  <c r="I10" i="4" s="1"/>
  <c r="H10" i="4" a="1"/>
  <c r="H10" i="4" s="1"/>
  <c r="G10" i="4" a="1"/>
  <c r="G10" i="4" s="1"/>
  <c r="F10" i="4" a="1"/>
  <c r="F10" i="4" s="1"/>
  <c r="E10" i="4" a="1"/>
  <c r="E10" i="4" s="1"/>
  <c r="D10" i="4" a="1"/>
  <c r="D10" i="4" s="1"/>
  <c r="D8" i="4" a="1"/>
  <c r="D8" i="4" s="1"/>
  <c r="A8" i="4"/>
  <c r="D7" i="4" a="1"/>
  <c r="D7" i="4" s="1"/>
  <c r="D6" i="4" a="1"/>
  <c r="D6" i="4" s="1"/>
  <c r="D5" i="4" a="1"/>
  <c r="D5" i="4" s="1"/>
  <c r="A5" i="4"/>
  <c r="A4" i="4"/>
  <c r="A3" i="4"/>
  <c r="E259" i="3" a="1"/>
  <c r="E259" i="3" s="1"/>
  <c r="D259" i="3" a="1"/>
  <c r="D259" i="3" s="1"/>
  <c r="E258" i="3" a="1"/>
  <c r="E258" i="3" s="1"/>
  <c r="D258" i="3" a="1"/>
  <c r="D258" i="3" s="1"/>
  <c r="D256" i="3" a="1"/>
  <c r="D256" i="3" s="1"/>
  <c r="D255" i="3" a="1"/>
  <c r="D255" i="3" s="1"/>
  <c r="D254" i="3" a="1"/>
  <c r="D254" i="3" s="1"/>
  <c r="D253" i="3" a="1"/>
  <c r="D253" i="3" s="1"/>
  <c r="S250" i="3" a="1"/>
  <c r="S250" i="3" s="1"/>
  <c r="R250" i="3" a="1"/>
  <c r="R250" i="3" s="1"/>
  <c r="Q250" i="3" a="1"/>
  <c r="Q250" i="3" s="1"/>
  <c r="P250" i="3" a="1"/>
  <c r="P250" i="3" s="1"/>
  <c r="O250" i="3" a="1"/>
  <c r="O250" i="3" s="1"/>
  <c r="N250" i="3" a="1"/>
  <c r="N250" i="3" s="1"/>
  <c r="M250" i="3" a="1"/>
  <c r="M250" i="3" s="1"/>
  <c r="L250" i="3" a="1"/>
  <c r="L250" i="3" s="1"/>
  <c r="K250" i="3" a="1"/>
  <c r="K250" i="3" s="1"/>
  <c r="J250" i="3" a="1"/>
  <c r="J250" i="3" s="1"/>
  <c r="I250" i="3" a="1"/>
  <c r="I250" i="3" s="1"/>
  <c r="H250" i="3" a="1"/>
  <c r="H250" i="3" s="1"/>
  <c r="G250" i="3" a="1"/>
  <c r="G250" i="3" s="1"/>
  <c r="F250" i="3" a="1"/>
  <c r="F250" i="3" s="1"/>
  <c r="E250" i="3" a="1"/>
  <c r="E250" i="3" s="1"/>
  <c r="D250" i="3" a="1"/>
  <c r="D250" i="3" s="1"/>
  <c r="S249" i="3" a="1"/>
  <c r="S249" i="3" s="1"/>
  <c r="R249" i="3" a="1"/>
  <c r="R249" i="3" s="1"/>
  <c r="Q249" i="3" a="1"/>
  <c r="Q249" i="3" s="1"/>
  <c r="P249" i="3" a="1"/>
  <c r="P249" i="3" s="1"/>
  <c r="O249" i="3" a="1"/>
  <c r="O249" i="3" s="1"/>
  <c r="N249" i="3" a="1"/>
  <c r="N249" i="3" s="1"/>
  <c r="M249" i="3" a="1"/>
  <c r="M249" i="3" s="1"/>
  <c r="L249" i="3" a="1"/>
  <c r="L249" i="3" s="1"/>
  <c r="K249" i="3" a="1"/>
  <c r="K249" i="3" s="1"/>
  <c r="J249" i="3" a="1"/>
  <c r="J249" i="3" s="1"/>
  <c r="I249" i="3" a="1"/>
  <c r="I249" i="3" s="1"/>
  <c r="H249" i="3" a="1"/>
  <c r="H249" i="3" s="1"/>
  <c r="G249" i="3" a="1"/>
  <c r="G249" i="3" s="1"/>
  <c r="F249" i="3" a="1"/>
  <c r="F249" i="3" s="1"/>
  <c r="E249" i="3" a="1"/>
  <c r="E249" i="3" s="1"/>
  <c r="D249" i="3" a="1"/>
  <c r="D249" i="3" s="1"/>
  <c r="S248" i="3" a="1"/>
  <c r="S248" i="3" s="1"/>
  <c r="R248" i="3" a="1"/>
  <c r="R248" i="3" s="1"/>
  <c r="Q248" i="3" a="1"/>
  <c r="Q248" i="3" s="1"/>
  <c r="P248" i="3" a="1"/>
  <c r="P248" i="3" s="1"/>
  <c r="O248" i="3" a="1"/>
  <c r="O248" i="3" s="1"/>
  <c r="N248" i="3" a="1"/>
  <c r="N248" i="3" s="1"/>
  <c r="M248" i="3" a="1"/>
  <c r="M248" i="3" s="1"/>
  <c r="L248" i="3" a="1"/>
  <c r="L248" i="3" s="1"/>
  <c r="K248" i="3" a="1"/>
  <c r="K248" i="3" s="1"/>
  <c r="J248" i="3" a="1"/>
  <c r="J248" i="3" s="1"/>
  <c r="I248" i="3" a="1"/>
  <c r="I248" i="3" s="1"/>
  <c r="H248" i="3" a="1"/>
  <c r="H248" i="3" s="1"/>
  <c r="G248" i="3" a="1"/>
  <c r="G248" i="3" s="1"/>
  <c r="F248" i="3" a="1"/>
  <c r="F248" i="3" s="1"/>
  <c r="E248" i="3" a="1"/>
  <c r="E248" i="3" s="1"/>
  <c r="D248" i="3" a="1"/>
  <c r="D248" i="3" s="1"/>
  <c r="S247" i="3" a="1"/>
  <c r="S247" i="3" s="1"/>
  <c r="R247" i="3" a="1"/>
  <c r="R247" i="3" s="1"/>
  <c r="Q247" i="3" a="1"/>
  <c r="Q247" i="3" s="1"/>
  <c r="P247" i="3" a="1"/>
  <c r="P247" i="3" s="1"/>
  <c r="O247" i="3" a="1"/>
  <c r="O247" i="3" s="1"/>
  <c r="N247" i="3" a="1"/>
  <c r="N247" i="3" s="1"/>
  <c r="M247" i="3" a="1"/>
  <c r="M247" i="3" s="1"/>
  <c r="L247" i="3" a="1"/>
  <c r="L247" i="3" s="1"/>
  <c r="K247" i="3" a="1"/>
  <c r="K247" i="3" s="1"/>
  <c r="J247" i="3" a="1"/>
  <c r="J247" i="3" s="1"/>
  <c r="I247" i="3" a="1"/>
  <c r="I247" i="3" s="1"/>
  <c r="H247" i="3" a="1"/>
  <c r="H247" i="3" s="1"/>
  <c r="G247" i="3" a="1"/>
  <c r="G247" i="3" s="1"/>
  <c r="F247" i="3" a="1"/>
  <c r="F247" i="3" s="1"/>
  <c r="E247" i="3" a="1"/>
  <c r="E247" i="3" s="1"/>
  <c r="D247" i="3" a="1"/>
  <c r="D247" i="3" s="1"/>
  <c r="S246" i="3" a="1"/>
  <c r="S246" i="3" s="1"/>
  <c r="R246" i="3" a="1"/>
  <c r="R246" i="3" s="1"/>
  <c r="Q246" i="3" a="1"/>
  <c r="Q246" i="3" s="1"/>
  <c r="P246" i="3" a="1"/>
  <c r="P246" i="3" s="1"/>
  <c r="O246" i="3" a="1"/>
  <c r="O246" i="3" s="1"/>
  <c r="N246" i="3" a="1"/>
  <c r="N246" i="3" s="1"/>
  <c r="M246" i="3" a="1"/>
  <c r="M246" i="3" s="1"/>
  <c r="L246" i="3" a="1"/>
  <c r="L246" i="3" s="1"/>
  <c r="K246" i="3" a="1"/>
  <c r="K246" i="3" s="1"/>
  <c r="J246" i="3" a="1"/>
  <c r="J246" i="3" s="1"/>
  <c r="I246" i="3" a="1"/>
  <c r="I246" i="3" s="1"/>
  <c r="H246" i="3" a="1"/>
  <c r="H246" i="3" s="1"/>
  <c r="G246" i="3" a="1"/>
  <c r="G246" i="3" s="1"/>
  <c r="F246" i="3" a="1"/>
  <c r="F246" i="3" s="1"/>
  <c r="E246" i="3" a="1"/>
  <c r="E246" i="3" s="1"/>
  <c r="D246" i="3" a="1"/>
  <c r="D246" i="3" s="1"/>
  <c r="S245" i="3" a="1"/>
  <c r="S245" i="3" s="1"/>
  <c r="R245" i="3" a="1"/>
  <c r="R245" i="3" s="1"/>
  <c r="Q245" i="3" a="1"/>
  <c r="Q245" i="3" s="1"/>
  <c r="P245" i="3" a="1"/>
  <c r="P245" i="3" s="1"/>
  <c r="O245" i="3" a="1"/>
  <c r="O245" i="3" s="1"/>
  <c r="N245" i="3" a="1"/>
  <c r="N245" i="3" s="1"/>
  <c r="M245" i="3" a="1"/>
  <c r="M245" i="3" s="1"/>
  <c r="L245" i="3" a="1"/>
  <c r="L245" i="3" s="1"/>
  <c r="K245" i="3" a="1"/>
  <c r="K245" i="3" s="1"/>
  <c r="J245" i="3" a="1"/>
  <c r="J245" i="3" s="1"/>
  <c r="I245" i="3" a="1"/>
  <c r="I245" i="3" s="1"/>
  <c r="H245" i="3" a="1"/>
  <c r="H245" i="3" s="1"/>
  <c r="G245" i="3" a="1"/>
  <c r="G245" i="3" s="1"/>
  <c r="F245" i="3" a="1"/>
  <c r="F245" i="3" s="1"/>
  <c r="E245" i="3" a="1"/>
  <c r="E245" i="3" s="1"/>
  <c r="D245" i="3" a="1"/>
  <c r="D245" i="3" s="1"/>
  <c r="S244" i="3" a="1"/>
  <c r="S244" i="3" s="1"/>
  <c r="R244" i="3" a="1"/>
  <c r="R244" i="3" s="1"/>
  <c r="Q244" i="3" a="1"/>
  <c r="Q244" i="3" s="1"/>
  <c r="P244" i="3" a="1"/>
  <c r="P244" i="3" s="1"/>
  <c r="O244" i="3" a="1"/>
  <c r="O244" i="3" s="1"/>
  <c r="N244" i="3" a="1"/>
  <c r="N244" i="3" s="1"/>
  <c r="M244" i="3" a="1"/>
  <c r="M244" i="3" s="1"/>
  <c r="L244" i="3" a="1"/>
  <c r="L244" i="3" s="1"/>
  <c r="K244" i="3" a="1"/>
  <c r="K244" i="3" s="1"/>
  <c r="J244" i="3" a="1"/>
  <c r="J244" i="3" s="1"/>
  <c r="I244" i="3" a="1"/>
  <c r="I244" i="3" s="1"/>
  <c r="H244" i="3" a="1"/>
  <c r="H244" i="3" s="1"/>
  <c r="G244" i="3" a="1"/>
  <c r="G244" i="3" s="1"/>
  <c r="F244" i="3" a="1"/>
  <c r="F244" i="3" s="1"/>
  <c r="E244" i="3" a="1"/>
  <c r="E244" i="3" s="1"/>
  <c r="D244" i="3" a="1"/>
  <c r="D244" i="3" s="1"/>
  <c r="S243" i="3" a="1"/>
  <c r="S243" i="3" s="1"/>
  <c r="R243" i="3" a="1"/>
  <c r="R243" i="3" s="1"/>
  <c r="Q243" i="3" a="1"/>
  <c r="Q243" i="3" s="1"/>
  <c r="P243" i="3" a="1"/>
  <c r="P243" i="3" s="1"/>
  <c r="O243" i="3" a="1"/>
  <c r="O243" i="3" s="1"/>
  <c r="N243" i="3" a="1"/>
  <c r="N243" i="3" s="1"/>
  <c r="M243" i="3" a="1"/>
  <c r="M243" i="3" s="1"/>
  <c r="L243" i="3" a="1"/>
  <c r="L243" i="3" s="1"/>
  <c r="K243" i="3" a="1"/>
  <c r="K243" i="3" s="1"/>
  <c r="J243" i="3" a="1"/>
  <c r="J243" i="3" s="1"/>
  <c r="I243" i="3" a="1"/>
  <c r="I243" i="3" s="1"/>
  <c r="H243" i="3" a="1"/>
  <c r="H243" i="3" s="1"/>
  <c r="G243" i="3" a="1"/>
  <c r="G243" i="3" s="1"/>
  <c r="F243" i="3" a="1"/>
  <c r="F243" i="3" s="1"/>
  <c r="E243" i="3" a="1"/>
  <c r="E243" i="3" s="1"/>
  <c r="D243" i="3" a="1"/>
  <c r="D243" i="3" s="1"/>
  <c r="S242" i="3" a="1"/>
  <c r="S242" i="3" s="1"/>
  <c r="R242" i="3" a="1"/>
  <c r="R242" i="3" s="1"/>
  <c r="Q242" i="3" a="1"/>
  <c r="Q242" i="3" s="1"/>
  <c r="P242" i="3" a="1"/>
  <c r="P242" i="3" s="1"/>
  <c r="O242" i="3" a="1"/>
  <c r="O242" i="3" s="1"/>
  <c r="N242" i="3" a="1"/>
  <c r="N242" i="3" s="1"/>
  <c r="M242" i="3" a="1"/>
  <c r="M242" i="3" s="1"/>
  <c r="L242" i="3" a="1"/>
  <c r="L242" i="3" s="1"/>
  <c r="K242" i="3" a="1"/>
  <c r="K242" i="3" s="1"/>
  <c r="J242" i="3" a="1"/>
  <c r="J242" i="3" s="1"/>
  <c r="I242" i="3" a="1"/>
  <c r="I242" i="3" s="1"/>
  <c r="H242" i="3" a="1"/>
  <c r="H242" i="3" s="1"/>
  <c r="G242" i="3" a="1"/>
  <c r="G242" i="3" s="1"/>
  <c r="F242" i="3" a="1"/>
  <c r="F242" i="3" s="1"/>
  <c r="E242" i="3" a="1"/>
  <c r="E242" i="3" s="1"/>
  <c r="D242" i="3" a="1"/>
  <c r="D242" i="3" s="1"/>
  <c r="S241" i="3" a="1"/>
  <c r="S241" i="3" s="1"/>
  <c r="R241" i="3" a="1"/>
  <c r="R241" i="3" s="1"/>
  <c r="Q241" i="3" a="1"/>
  <c r="Q241" i="3" s="1"/>
  <c r="P241" i="3" a="1"/>
  <c r="P241" i="3" s="1"/>
  <c r="O241" i="3" a="1"/>
  <c r="O241" i="3" s="1"/>
  <c r="N241" i="3" a="1"/>
  <c r="N241" i="3" s="1"/>
  <c r="M241" i="3" a="1"/>
  <c r="M241" i="3" s="1"/>
  <c r="L241" i="3" a="1"/>
  <c r="L241" i="3" s="1"/>
  <c r="K241" i="3" a="1"/>
  <c r="K241" i="3" s="1"/>
  <c r="J241" i="3" a="1"/>
  <c r="J241" i="3" s="1"/>
  <c r="I241" i="3" a="1"/>
  <c r="I241" i="3" s="1"/>
  <c r="H241" i="3" a="1"/>
  <c r="H241" i="3" s="1"/>
  <c r="G241" i="3" a="1"/>
  <c r="G241" i="3" s="1"/>
  <c r="F241" i="3" a="1"/>
  <c r="F241" i="3" s="1"/>
  <c r="E241" i="3" a="1"/>
  <c r="E241" i="3" s="1"/>
  <c r="D241" i="3" a="1"/>
  <c r="D241" i="3" s="1"/>
  <c r="S240" i="3" a="1"/>
  <c r="S240" i="3" s="1"/>
  <c r="R240" i="3" a="1"/>
  <c r="R240" i="3" s="1"/>
  <c r="Q240" i="3" a="1"/>
  <c r="Q240" i="3" s="1"/>
  <c r="P240" i="3" a="1"/>
  <c r="P240" i="3" s="1"/>
  <c r="O240" i="3" a="1"/>
  <c r="O240" i="3" s="1"/>
  <c r="N240" i="3" a="1"/>
  <c r="N240" i="3" s="1"/>
  <c r="M240" i="3" a="1"/>
  <c r="M240" i="3" s="1"/>
  <c r="L240" i="3" a="1"/>
  <c r="L240" i="3" s="1"/>
  <c r="K240" i="3" a="1"/>
  <c r="K240" i="3" s="1"/>
  <c r="J240" i="3" a="1"/>
  <c r="J240" i="3" s="1"/>
  <c r="I240" i="3" a="1"/>
  <c r="I240" i="3" s="1"/>
  <c r="H240" i="3" a="1"/>
  <c r="H240" i="3" s="1"/>
  <c r="G240" i="3" a="1"/>
  <c r="G240" i="3" s="1"/>
  <c r="F240" i="3" a="1"/>
  <c r="F240" i="3" s="1"/>
  <c r="E240" i="3" a="1"/>
  <c r="E240" i="3" s="1"/>
  <c r="D240" i="3" a="1"/>
  <c r="D240" i="3" s="1"/>
  <c r="S239" i="3" a="1"/>
  <c r="S239" i="3" s="1"/>
  <c r="R239" i="3" a="1"/>
  <c r="R239" i="3" s="1"/>
  <c r="Q239" i="3" a="1"/>
  <c r="Q239" i="3" s="1"/>
  <c r="P239" i="3" a="1"/>
  <c r="P239" i="3" s="1"/>
  <c r="O239" i="3" a="1"/>
  <c r="O239" i="3" s="1"/>
  <c r="N239" i="3" a="1"/>
  <c r="N239" i="3" s="1"/>
  <c r="M239" i="3" a="1"/>
  <c r="M239" i="3" s="1"/>
  <c r="L239" i="3" a="1"/>
  <c r="L239" i="3" s="1"/>
  <c r="K239" i="3" a="1"/>
  <c r="K239" i="3" s="1"/>
  <c r="J239" i="3" a="1"/>
  <c r="J239" i="3" s="1"/>
  <c r="I239" i="3" a="1"/>
  <c r="I239" i="3" s="1"/>
  <c r="H239" i="3" a="1"/>
  <c r="H239" i="3" s="1"/>
  <c r="G239" i="3" a="1"/>
  <c r="G239" i="3" s="1"/>
  <c r="F239" i="3" a="1"/>
  <c r="F239" i="3" s="1"/>
  <c r="E239" i="3" a="1"/>
  <c r="E239" i="3" s="1"/>
  <c r="D239" i="3" a="1"/>
  <c r="D239" i="3" s="1"/>
  <c r="S238" i="3" a="1"/>
  <c r="S238" i="3" s="1"/>
  <c r="R238" i="3" a="1"/>
  <c r="R238" i="3" s="1"/>
  <c r="Q238" i="3" a="1"/>
  <c r="Q238" i="3" s="1"/>
  <c r="P238" i="3" a="1"/>
  <c r="P238" i="3" s="1"/>
  <c r="O238" i="3" a="1"/>
  <c r="O238" i="3" s="1"/>
  <c r="N238" i="3" a="1"/>
  <c r="N238" i="3" s="1"/>
  <c r="M238" i="3" a="1"/>
  <c r="M238" i="3" s="1"/>
  <c r="L238" i="3" a="1"/>
  <c r="L238" i="3" s="1"/>
  <c r="K238" i="3" a="1"/>
  <c r="K238" i="3" s="1"/>
  <c r="J238" i="3" a="1"/>
  <c r="J238" i="3" s="1"/>
  <c r="I238" i="3" a="1"/>
  <c r="I238" i="3" s="1"/>
  <c r="H238" i="3" a="1"/>
  <c r="H238" i="3" s="1"/>
  <c r="G238" i="3" a="1"/>
  <c r="G238" i="3" s="1"/>
  <c r="F238" i="3" a="1"/>
  <c r="F238" i="3" s="1"/>
  <c r="E238" i="3" a="1"/>
  <c r="E238" i="3" s="1"/>
  <c r="D238" i="3" a="1"/>
  <c r="D238" i="3" s="1"/>
  <c r="S237" i="3" a="1"/>
  <c r="S237" i="3" s="1"/>
  <c r="R237" i="3" a="1"/>
  <c r="R237" i="3" s="1"/>
  <c r="Q237" i="3" a="1"/>
  <c r="Q237" i="3" s="1"/>
  <c r="P237" i="3" a="1"/>
  <c r="P237" i="3" s="1"/>
  <c r="O237" i="3" a="1"/>
  <c r="O237" i="3" s="1"/>
  <c r="N237" i="3" a="1"/>
  <c r="N237" i="3" s="1"/>
  <c r="M237" i="3" a="1"/>
  <c r="M237" i="3" s="1"/>
  <c r="L237" i="3" a="1"/>
  <c r="L237" i="3" s="1"/>
  <c r="K237" i="3" a="1"/>
  <c r="K237" i="3" s="1"/>
  <c r="J237" i="3" a="1"/>
  <c r="J237" i="3" s="1"/>
  <c r="I237" i="3" a="1"/>
  <c r="I237" i="3" s="1"/>
  <c r="H237" i="3" a="1"/>
  <c r="H237" i="3" s="1"/>
  <c r="G237" i="3" a="1"/>
  <c r="G237" i="3" s="1"/>
  <c r="F237" i="3" a="1"/>
  <c r="F237" i="3" s="1"/>
  <c r="E237" i="3" a="1"/>
  <c r="E237" i="3" s="1"/>
  <c r="D237" i="3" a="1"/>
  <c r="D237" i="3" s="1"/>
  <c r="S236" i="3" a="1"/>
  <c r="S236" i="3" s="1"/>
  <c r="R236" i="3" a="1"/>
  <c r="R236" i="3" s="1"/>
  <c r="Q236" i="3" a="1"/>
  <c r="Q236" i="3" s="1"/>
  <c r="P236" i="3" a="1"/>
  <c r="P236" i="3" s="1"/>
  <c r="O236" i="3" a="1"/>
  <c r="O236" i="3" s="1"/>
  <c r="N236" i="3" a="1"/>
  <c r="N236" i="3" s="1"/>
  <c r="M236" i="3" a="1"/>
  <c r="M236" i="3" s="1"/>
  <c r="L236" i="3" a="1"/>
  <c r="L236" i="3" s="1"/>
  <c r="K236" i="3" a="1"/>
  <c r="K236" i="3" s="1"/>
  <c r="J236" i="3" a="1"/>
  <c r="J236" i="3" s="1"/>
  <c r="I236" i="3" a="1"/>
  <c r="I236" i="3" s="1"/>
  <c r="H236" i="3" a="1"/>
  <c r="H236" i="3" s="1"/>
  <c r="G236" i="3" a="1"/>
  <c r="G236" i="3" s="1"/>
  <c r="F236" i="3" a="1"/>
  <c r="F236" i="3" s="1"/>
  <c r="E236" i="3" a="1"/>
  <c r="E236" i="3" s="1"/>
  <c r="D236" i="3" a="1"/>
  <c r="D236" i="3" s="1"/>
  <c r="S235" i="3" a="1"/>
  <c r="S235" i="3" s="1"/>
  <c r="R235" i="3" a="1"/>
  <c r="R235" i="3" s="1"/>
  <c r="Q235" i="3" a="1"/>
  <c r="Q235" i="3" s="1"/>
  <c r="P235" i="3" a="1"/>
  <c r="P235" i="3" s="1"/>
  <c r="O235" i="3" a="1"/>
  <c r="O235" i="3" s="1"/>
  <c r="N235" i="3" a="1"/>
  <c r="N235" i="3" s="1"/>
  <c r="M235" i="3" a="1"/>
  <c r="M235" i="3" s="1"/>
  <c r="L235" i="3" a="1"/>
  <c r="L235" i="3" s="1"/>
  <c r="K235" i="3" a="1"/>
  <c r="K235" i="3" s="1"/>
  <c r="J235" i="3" a="1"/>
  <c r="J235" i="3" s="1"/>
  <c r="I235" i="3" a="1"/>
  <c r="I235" i="3" s="1"/>
  <c r="H235" i="3" a="1"/>
  <c r="H235" i="3" s="1"/>
  <c r="G235" i="3" a="1"/>
  <c r="G235" i="3" s="1"/>
  <c r="F235" i="3" a="1"/>
  <c r="F235" i="3" s="1"/>
  <c r="E235" i="3" a="1"/>
  <c r="E235" i="3" s="1"/>
  <c r="D235" i="3" a="1"/>
  <c r="D235" i="3" s="1"/>
  <c r="S234" i="3" a="1"/>
  <c r="S234" i="3" s="1"/>
  <c r="R234" i="3" a="1"/>
  <c r="R234" i="3" s="1"/>
  <c r="Q234" i="3" a="1"/>
  <c r="Q234" i="3" s="1"/>
  <c r="P234" i="3" a="1"/>
  <c r="P234" i="3" s="1"/>
  <c r="O234" i="3" a="1"/>
  <c r="O234" i="3" s="1"/>
  <c r="N234" i="3" a="1"/>
  <c r="N234" i="3" s="1"/>
  <c r="M234" i="3" a="1"/>
  <c r="M234" i="3" s="1"/>
  <c r="L234" i="3" a="1"/>
  <c r="L234" i="3" s="1"/>
  <c r="K234" i="3" a="1"/>
  <c r="K234" i="3" s="1"/>
  <c r="J234" i="3" a="1"/>
  <c r="J234" i="3" s="1"/>
  <c r="I234" i="3" a="1"/>
  <c r="I234" i="3" s="1"/>
  <c r="H234" i="3" a="1"/>
  <c r="H234" i="3" s="1"/>
  <c r="G234" i="3" a="1"/>
  <c r="G234" i="3" s="1"/>
  <c r="F234" i="3" a="1"/>
  <c r="F234" i="3" s="1"/>
  <c r="E234" i="3" a="1"/>
  <c r="E234" i="3" s="1"/>
  <c r="D234" i="3" a="1"/>
  <c r="D234" i="3" s="1"/>
  <c r="S233" i="3" a="1"/>
  <c r="S233" i="3" s="1"/>
  <c r="R233" i="3" a="1"/>
  <c r="R233" i="3" s="1"/>
  <c r="Q233" i="3" a="1"/>
  <c r="Q233" i="3" s="1"/>
  <c r="P233" i="3" a="1"/>
  <c r="P233" i="3" s="1"/>
  <c r="O233" i="3" a="1"/>
  <c r="O233" i="3" s="1"/>
  <c r="N233" i="3" a="1"/>
  <c r="N233" i="3" s="1"/>
  <c r="M233" i="3" a="1"/>
  <c r="M233" i="3" s="1"/>
  <c r="L233" i="3" a="1"/>
  <c r="L233" i="3" s="1"/>
  <c r="K233" i="3" a="1"/>
  <c r="K233" i="3" s="1"/>
  <c r="J233" i="3" a="1"/>
  <c r="J233" i="3" s="1"/>
  <c r="I233" i="3" a="1"/>
  <c r="I233" i="3" s="1"/>
  <c r="H233" i="3" a="1"/>
  <c r="H233" i="3" s="1"/>
  <c r="G233" i="3" a="1"/>
  <c r="G233" i="3" s="1"/>
  <c r="F233" i="3" a="1"/>
  <c r="F233" i="3" s="1"/>
  <c r="E233" i="3" a="1"/>
  <c r="E233" i="3" s="1"/>
  <c r="D233" i="3" a="1"/>
  <c r="D233" i="3" s="1"/>
  <c r="S232" i="3" a="1"/>
  <c r="S232" i="3" s="1"/>
  <c r="R232" i="3" a="1"/>
  <c r="R232" i="3" s="1"/>
  <c r="Q232" i="3" a="1"/>
  <c r="Q232" i="3" s="1"/>
  <c r="P232" i="3" a="1"/>
  <c r="P232" i="3" s="1"/>
  <c r="O232" i="3" a="1"/>
  <c r="O232" i="3" s="1"/>
  <c r="N232" i="3" a="1"/>
  <c r="N232" i="3" s="1"/>
  <c r="M232" i="3" a="1"/>
  <c r="M232" i="3" s="1"/>
  <c r="L232" i="3" a="1"/>
  <c r="L232" i="3" s="1"/>
  <c r="K232" i="3" a="1"/>
  <c r="K232" i="3" s="1"/>
  <c r="J232" i="3" a="1"/>
  <c r="J232" i="3" s="1"/>
  <c r="I232" i="3" a="1"/>
  <c r="I232" i="3" s="1"/>
  <c r="H232" i="3" a="1"/>
  <c r="H232" i="3" s="1"/>
  <c r="G232" i="3" a="1"/>
  <c r="G232" i="3" s="1"/>
  <c r="F232" i="3" a="1"/>
  <c r="F232" i="3" s="1"/>
  <c r="E232" i="3" a="1"/>
  <c r="E232" i="3" s="1"/>
  <c r="D232" i="3" a="1"/>
  <c r="D232" i="3" s="1"/>
  <c r="D229" i="3" a="1"/>
  <c r="D229" i="3" s="1"/>
  <c r="D228" i="3" a="1"/>
  <c r="D228" i="3" s="1"/>
  <c r="D227" i="3" a="1"/>
  <c r="D227" i="3" s="1"/>
  <c r="E224" i="3" a="1"/>
  <c r="E224" i="3" s="1"/>
  <c r="D224" i="3" a="1"/>
  <c r="D224" i="3" s="1"/>
  <c r="E223" i="3" a="1"/>
  <c r="E223" i="3" s="1"/>
  <c r="D223" i="3" a="1"/>
  <c r="D223" i="3" s="1"/>
  <c r="E222" i="3" a="1"/>
  <c r="E222" i="3" s="1"/>
  <c r="D222" i="3" a="1"/>
  <c r="D222" i="3" s="1"/>
  <c r="E221" i="3" a="1"/>
  <c r="E221" i="3" s="1"/>
  <c r="D221" i="3" a="1"/>
  <c r="D221" i="3" s="1"/>
  <c r="E220" i="3" a="1"/>
  <c r="E220" i="3" s="1"/>
  <c r="D220" i="3" a="1"/>
  <c r="D220" i="3" s="1"/>
  <c r="E219" i="3" a="1"/>
  <c r="E219" i="3" s="1"/>
  <c r="D219" i="3" a="1"/>
  <c r="D219" i="3" s="1"/>
  <c r="E218" i="3" a="1"/>
  <c r="E218" i="3" s="1"/>
  <c r="D218" i="3" a="1"/>
  <c r="D218" i="3" s="1"/>
  <c r="E217" i="3" a="1"/>
  <c r="E217" i="3" s="1"/>
  <c r="D217" i="3" a="1"/>
  <c r="D217" i="3" s="1"/>
  <c r="E216" i="3" a="1"/>
  <c r="E216" i="3" s="1"/>
  <c r="D216" i="3" a="1"/>
  <c r="D216" i="3" s="1"/>
  <c r="E215" i="3" a="1"/>
  <c r="E215" i="3" s="1"/>
  <c r="D215" i="3" a="1"/>
  <c r="D215" i="3" s="1"/>
  <c r="E214" i="3" a="1"/>
  <c r="E214" i="3" s="1"/>
  <c r="D214" i="3" a="1"/>
  <c r="D214" i="3" s="1"/>
  <c r="E213" i="3" a="1"/>
  <c r="E213" i="3" s="1"/>
  <c r="D213" i="3" a="1"/>
  <c r="D213" i="3" s="1"/>
  <c r="D211" i="3" a="1"/>
  <c r="D211" i="3" s="1"/>
  <c r="E208" i="3" a="1"/>
  <c r="E208" i="3" s="1"/>
  <c r="D208" i="3" a="1"/>
  <c r="D208" i="3" s="1"/>
  <c r="E207" i="3" a="1"/>
  <c r="E207" i="3" s="1"/>
  <c r="D207" i="3" a="1"/>
  <c r="D207" i="3" s="1"/>
  <c r="D205" i="3" a="1"/>
  <c r="D205" i="3" s="1"/>
  <c r="D204" i="3" a="1"/>
  <c r="D204" i="3" s="1"/>
  <c r="D203" i="3" a="1"/>
  <c r="D203" i="3" s="1"/>
  <c r="D202" i="3" a="1"/>
  <c r="D202" i="3" s="1"/>
  <c r="H199" i="3" a="1"/>
  <c r="H199" i="3" s="1"/>
  <c r="G199" i="3" a="1"/>
  <c r="G199" i="3" s="1"/>
  <c r="F199" i="3" a="1"/>
  <c r="F199" i="3" s="1"/>
  <c r="E199" i="3" a="1"/>
  <c r="E199" i="3" s="1"/>
  <c r="D199" i="3" a="1"/>
  <c r="D199" i="3" s="1"/>
  <c r="H198" i="3" a="1"/>
  <c r="H198" i="3" s="1"/>
  <c r="G198" i="3" a="1"/>
  <c r="G198" i="3" s="1"/>
  <c r="F198" i="3" a="1"/>
  <c r="F198" i="3" s="1"/>
  <c r="E198" i="3" a="1"/>
  <c r="E198" i="3" s="1"/>
  <c r="D198" i="3" a="1"/>
  <c r="D198" i="3" s="1"/>
  <c r="H197" i="3" a="1"/>
  <c r="H197" i="3" s="1"/>
  <c r="G197" i="3" a="1"/>
  <c r="G197" i="3" s="1"/>
  <c r="F197" i="3" a="1"/>
  <c r="F197" i="3" s="1"/>
  <c r="E197" i="3" a="1"/>
  <c r="E197" i="3" s="1"/>
  <c r="D197" i="3" a="1"/>
  <c r="D197" i="3" s="1"/>
  <c r="H196" i="3" a="1"/>
  <c r="H196" i="3" s="1"/>
  <c r="G196" i="3" a="1"/>
  <c r="G196" i="3" s="1"/>
  <c r="F196" i="3" a="1"/>
  <c r="F196" i="3" s="1"/>
  <c r="E196" i="3" a="1"/>
  <c r="E196" i="3" s="1"/>
  <c r="D196" i="3" a="1"/>
  <c r="D196" i="3" s="1"/>
  <c r="H195" i="3" a="1"/>
  <c r="H195" i="3" s="1"/>
  <c r="G195" i="3" a="1"/>
  <c r="G195" i="3" s="1"/>
  <c r="F195" i="3" a="1"/>
  <c r="F195" i="3" s="1"/>
  <c r="E195" i="3" a="1"/>
  <c r="E195" i="3" s="1"/>
  <c r="D195" i="3" a="1"/>
  <c r="D195" i="3" s="1"/>
  <c r="H194" i="3" a="1"/>
  <c r="H194" i="3" s="1"/>
  <c r="G194" i="3" a="1"/>
  <c r="G194" i="3" s="1"/>
  <c r="F194" i="3" a="1"/>
  <c r="F194" i="3" s="1"/>
  <c r="E194" i="3" a="1"/>
  <c r="E194" i="3" s="1"/>
  <c r="D194" i="3" a="1"/>
  <c r="D194" i="3" s="1"/>
  <c r="H193" i="3" a="1"/>
  <c r="H193" i="3" s="1"/>
  <c r="G193" i="3" a="1"/>
  <c r="G193" i="3" s="1"/>
  <c r="F193" i="3" a="1"/>
  <c r="F193" i="3" s="1"/>
  <c r="E193" i="3" a="1"/>
  <c r="E193" i="3" s="1"/>
  <c r="D193" i="3" a="1"/>
  <c r="D193" i="3" s="1"/>
  <c r="H192" i="3" a="1"/>
  <c r="H192" i="3" s="1"/>
  <c r="G192" i="3" a="1"/>
  <c r="G192" i="3" s="1"/>
  <c r="F192" i="3" a="1"/>
  <c r="F192" i="3" s="1"/>
  <c r="E192" i="3" a="1"/>
  <c r="E192" i="3" s="1"/>
  <c r="D192" i="3" a="1"/>
  <c r="D192" i="3" s="1"/>
  <c r="H191" i="3" a="1"/>
  <c r="H191" i="3" s="1"/>
  <c r="G191" i="3" a="1"/>
  <c r="G191" i="3" s="1"/>
  <c r="F191" i="3" a="1"/>
  <c r="F191" i="3" s="1"/>
  <c r="E191" i="3" a="1"/>
  <c r="E191" i="3" s="1"/>
  <c r="D191" i="3" a="1"/>
  <c r="D191" i="3" s="1"/>
  <c r="H190" i="3" a="1"/>
  <c r="H190" i="3" s="1"/>
  <c r="G190" i="3" a="1"/>
  <c r="G190" i="3" s="1"/>
  <c r="F190" i="3" a="1"/>
  <c r="F190" i="3" s="1"/>
  <c r="E190" i="3" a="1"/>
  <c r="E190" i="3" s="1"/>
  <c r="D190" i="3" a="1"/>
  <c r="D190" i="3" s="1"/>
  <c r="H189" i="3" a="1"/>
  <c r="H189" i="3" s="1"/>
  <c r="G189" i="3" a="1"/>
  <c r="G189" i="3" s="1"/>
  <c r="F189" i="3" a="1"/>
  <c r="F189" i="3" s="1"/>
  <c r="E189" i="3" a="1"/>
  <c r="E189" i="3" s="1"/>
  <c r="D189" i="3" a="1"/>
  <c r="D189" i="3" s="1"/>
  <c r="H188" i="3" a="1"/>
  <c r="H188" i="3" s="1"/>
  <c r="G188" i="3" a="1"/>
  <c r="G188" i="3" s="1"/>
  <c r="F188" i="3" a="1"/>
  <c r="F188" i="3" s="1"/>
  <c r="E188" i="3" a="1"/>
  <c r="E188" i="3" s="1"/>
  <c r="D188" i="3" a="1"/>
  <c r="D188" i="3" s="1"/>
  <c r="H187" i="3" a="1"/>
  <c r="H187" i="3" s="1"/>
  <c r="G187" i="3" a="1"/>
  <c r="G187" i="3" s="1"/>
  <c r="F187" i="3" a="1"/>
  <c r="F187" i="3" s="1"/>
  <c r="E187" i="3" a="1"/>
  <c r="E187" i="3" s="1"/>
  <c r="D187" i="3" a="1"/>
  <c r="D187" i="3" s="1"/>
  <c r="D181" i="3" a="1"/>
  <c r="D181" i="3" s="1"/>
  <c r="D180" i="3" a="1"/>
  <c r="D180" i="3" s="1"/>
  <c r="D179" i="3" a="1"/>
  <c r="D179" i="3" s="1"/>
  <c r="D178" i="3" a="1"/>
  <c r="D178" i="3" s="1"/>
  <c r="E175" i="3" a="1"/>
  <c r="E175" i="3" s="1"/>
  <c r="D175" i="3" a="1"/>
  <c r="D175" i="3" s="1"/>
  <c r="D174" i="3" a="1"/>
  <c r="D174" i="3" s="1"/>
  <c r="D173" i="3" a="1"/>
  <c r="D173" i="3" s="1"/>
  <c r="D170" i="3" a="1"/>
  <c r="D170" i="3" s="1"/>
  <c r="D169" i="3" a="1"/>
  <c r="D169" i="3" s="1"/>
  <c r="D168" i="3" a="1"/>
  <c r="D168" i="3" s="1"/>
  <c r="D167" i="3" a="1"/>
  <c r="D167" i="3" s="1"/>
  <c r="D164" i="3" a="1"/>
  <c r="D164" i="3" s="1"/>
  <c r="D163" i="3" a="1"/>
  <c r="D163" i="3" s="1"/>
  <c r="D162" i="3" a="1"/>
  <c r="D162" i="3" s="1"/>
  <c r="D161" i="3" a="1"/>
  <c r="D161" i="3" s="1"/>
  <c r="E158" i="3" a="1"/>
  <c r="E158" i="3" s="1"/>
  <c r="D158" i="3" a="1"/>
  <c r="D158" i="3" s="1"/>
  <c r="E157" i="3" a="1"/>
  <c r="E157" i="3" s="1"/>
  <c r="D157" i="3" a="1"/>
  <c r="D157" i="3" s="1"/>
  <c r="E156" i="3" a="1"/>
  <c r="E156" i="3" s="1"/>
  <c r="D156" i="3" a="1"/>
  <c r="D156" i="3" s="1"/>
  <c r="E155" i="3" a="1"/>
  <c r="E155" i="3" s="1"/>
  <c r="D155" i="3" a="1"/>
  <c r="D155" i="3" s="1"/>
  <c r="E154" i="3" a="1"/>
  <c r="E154" i="3" s="1"/>
  <c r="D154" i="3" a="1"/>
  <c r="D154" i="3" s="1"/>
  <c r="D151" i="3" a="1"/>
  <c r="D151" i="3" s="1"/>
  <c r="D150" i="3" a="1"/>
  <c r="D150" i="3" s="1"/>
  <c r="E147" i="3" a="1"/>
  <c r="E147" i="3" s="1"/>
  <c r="D147" i="3" a="1"/>
  <c r="D147" i="3" s="1"/>
  <c r="E146" i="3" a="1"/>
  <c r="E146" i="3" s="1"/>
  <c r="D146" i="3" a="1"/>
  <c r="D146" i="3" s="1"/>
  <c r="E145" i="3" a="1"/>
  <c r="E145" i="3" s="1"/>
  <c r="D145" i="3" a="1"/>
  <c r="D145" i="3" s="1"/>
  <c r="E144" i="3" a="1"/>
  <c r="E144" i="3" s="1"/>
  <c r="D144" i="3" a="1"/>
  <c r="D144" i="3" s="1"/>
  <c r="E143" i="3" a="1"/>
  <c r="E143" i="3" s="1"/>
  <c r="D143" i="3" a="1"/>
  <c r="D143" i="3" s="1"/>
  <c r="D141" i="3" a="1"/>
  <c r="D141" i="3" s="1"/>
  <c r="D140" i="3" a="1"/>
  <c r="D140" i="3" s="1"/>
  <c r="D139" i="3" a="1"/>
  <c r="D139" i="3" s="1"/>
  <c r="E136" i="3" a="1"/>
  <c r="E136" i="3" s="1"/>
  <c r="D136" i="3" a="1"/>
  <c r="D136" i="3" s="1"/>
  <c r="E135" i="3" a="1"/>
  <c r="E135" i="3" s="1"/>
  <c r="D135" i="3" a="1"/>
  <c r="D135" i="3" s="1"/>
  <c r="D133" i="3" a="1"/>
  <c r="D133" i="3" s="1"/>
  <c r="D132" i="3" a="1"/>
  <c r="D132" i="3" s="1"/>
  <c r="E129" i="3" a="1"/>
  <c r="E129" i="3" s="1"/>
  <c r="D129" i="3" a="1"/>
  <c r="D129" i="3" s="1"/>
  <c r="E128" i="3" a="1"/>
  <c r="E128" i="3" s="1"/>
  <c r="D128" i="3" a="1"/>
  <c r="D128" i="3" s="1"/>
  <c r="D125" i="3" a="1"/>
  <c r="D125" i="3" s="1"/>
  <c r="D124" i="3" a="1"/>
  <c r="D124" i="3" s="1"/>
  <c r="G121" i="3" a="1"/>
  <c r="G121" i="3" s="1"/>
  <c r="F121" i="3" a="1"/>
  <c r="F121" i="3" s="1"/>
  <c r="E121" i="3" a="1"/>
  <c r="E121" i="3" s="1"/>
  <c r="D121" i="3" a="1"/>
  <c r="D121" i="3" s="1"/>
  <c r="G120" i="3" a="1"/>
  <c r="G120" i="3" s="1"/>
  <c r="F120" i="3" a="1"/>
  <c r="F120" i="3" s="1"/>
  <c r="E120" i="3" a="1"/>
  <c r="E120" i="3" s="1"/>
  <c r="D120" i="3" a="1"/>
  <c r="D120" i="3" s="1"/>
  <c r="D117" i="3" a="1"/>
  <c r="D117" i="3" s="1"/>
  <c r="D116" i="3" a="1"/>
  <c r="D116" i="3" s="1"/>
  <c r="D115" i="3" a="1"/>
  <c r="D115" i="3" s="1"/>
  <c r="G112" i="3" a="1"/>
  <c r="G112" i="3" s="1"/>
  <c r="F112" i="3" a="1"/>
  <c r="F112" i="3" s="1"/>
  <c r="E112" i="3" a="1"/>
  <c r="E112" i="3" s="1"/>
  <c r="D112" i="3" a="1"/>
  <c r="D112" i="3" s="1"/>
  <c r="G111" i="3" a="1"/>
  <c r="G111" i="3" s="1"/>
  <c r="F111" i="3" a="1"/>
  <c r="F111" i="3" s="1"/>
  <c r="E111" i="3" a="1"/>
  <c r="E111" i="3" s="1"/>
  <c r="D111" i="3" a="1"/>
  <c r="D111" i="3" s="1"/>
  <c r="G110" i="3" a="1"/>
  <c r="G110" i="3" s="1"/>
  <c r="F110" i="3" a="1"/>
  <c r="F110" i="3" s="1"/>
  <c r="E110" i="3" a="1"/>
  <c r="E110" i="3" s="1"/>
  <c r="D110" i="3" a="1"/>
  <c r="D110" i="3" s="1"/>
  <c r="D107" i="3" a="1"/>
  <c r="D107" i="3" s="1"/>
  <c r="D106" i="3" a="1"/>
  <c r="D106" i="3" s="1"/>
  <c r="D105" i="3" a="1"/>
  <c r="D105" i="3" s="1"/>
  <c r="D98" i="3" a="1"/>
  <c r="D98" i="3" s="1"/>
  <c r="S97" i="3" a="1"/>
  <c r="S97" i="3" s="1"/>
  <c r="R97" i="3" a="1"/>
  <c r="R97" i="3" s="1"/>
  <c r="Q97" i="3" a="1"/>
  <c r="Q97" i="3" s="1"/>
  <c r="P97" i="3" a="1"/>
  <c r="P97" i="3" s="1"/>
  <c r="O97" i="3" a="1"/>
  <c r="O97" i="3" s="1"/>
  <c r="N97" i="3" a="1"/>
  <c r="N97" i="3" s="1"/>
  <c r="M97" i="3" a="1"/>
  <c r="M97" i="3" s="1"/>
  <c r="L97" i="3" a="1"/>
  <c r="L97" i="3" s="1"/>
  <c r="K97" i="3" a="1"/>
  <c r="K97" i="3" s="1"/>
  <c r="J97" i="3" a="1"/>
  <c r="J97" i="3" s="1"/>
  <c r="I97" i="3" a="1"/>
  <c r="I97" i="3" s="1"/>
  <c r="H97" i="3" a="1"/>
  <c r="H97" i="3" s="1"/>
  <c r="G97" i="3" a="1"/>
  <c r="G97" i="3" s="1"/>
  <c r="F97" i="3" a="1"/>
  <c r="F97" i="3" s="1"/>
  <c r="E97" i="3" a="1"/>
  <c r="E97" i="3" s="1"/>
  <c r="D97" i="3" a="1"/>
  <c r="D97" i="3" s="1"/>
  <c r="S96" i="3" a="1"/>
  <c r="S96" i="3" s="1"/>
  <c r="R96" i="3" a="1"/>
  <c r="R96" i="3" s="1"/>
  <c r="Q96" i="3" a="1"/>
  <c r="Q96" i="3" s="1"/>
  <c r="P96" i="3" a="1"/>
  <c r="P96" i="3" s="1"/>
  <c r="O96" i="3" a="1"/>
  <c r="O96" i="3" s="1"/>
  <c r="N96" i="3" a="1"/>
  <c r="N96" i="3" s="1"/>
  <c r="M96" i="3" a="1"/>
  <c r="M96" i="3" s="1"/>
  <c r="L96" i="3" a="1"/>
  <c r="L96" i="3" s="1"/>
  <c r="K96" i="3" a="1"/>
  <c r="K96" i="3" s="1"/>
  <c r="J96" i="3" a="1"/>
  <c r="J96" i="3" s="1"/>
  <c r="I96" i="3" a="1"/>
  <c r="I96" i="3" s="1"/>
  <c r="H96" i="3" a="1"/>
  <c r="H96" i="3" s="1"/>
  <c r="G96" i="3" a="1"/>
  <c r="G96" i="3" s="1"/>
  <c r="F96" i="3" a="1"/>
  <c r="F96" i="3" s="1"/>
  <c r="E96" i="3" a="1"/>
  <c r="E96" i="3" s="1"/>
  <c r="D96" i="3" a="1"/>
  <c r="D96" i="3" s="1"/>
  <c r="S95" i="3" a="1"/>
  <c r="S95" i="3" s="1"/>
  <c r="R95" i="3" a="1"/>
  <c r="R95" i="3" s="1"/>
  <c r="Q95" i="3" a="1"/>
  <c r="Q95" i="3" s="1"/>
  <c r="P95" i="3" a="1"/>
  <c r="P95" i="3" s="1"/>
  <c r="O95" i="3" a="1"/>
  <c r="O95" i="3" s="1"/>
  <c r="N95" i="3" a="1"/>
  <c r="N95" i="3" s="1"/>
  <c r="M95" i="3" a="1"/>
  <c r="M95" i="3" s="1"/>
  <c r="L95" i="3" a="1"/>
  <c r="L95" i="3" s="1"/>
  <c r="K95" i="3" a="1"/>
  <c r="K95" i="3" s="1"/>
  <c r="J95" i="3" a="1"/>
  <c r="J95" i="3" s="1"/>
  <c r="I95" i="3" a="1"/>
  <c r="I95" i="3" s="1"/>
  <c r="H95" i="3" a="1"/>
  <c r="H95" i="3" s="1"/>
  <c r="G95" i="3" a="1"/>
  <c r="G95" i="3" s="1"/>
  <c r="F95" i="3" a="1"/>
  <c r="F95" i="3" s="1"/>
  <c r="E95" i="3" a="1"/>
  <c r="E95" i="3" s="1"/>
  <c r="D95" i="3" a="1"/>
  <c r="D95" i="3" s="1"/>
  <c r="S94" i="3" a="1"/>
  <c r="S94" i="3" s="1"/>
  <c r="R94" i="3" a="1"/>
  <c r="R94" i="3" s="1"/>
  <c r="Q94" i="3" a="1"/>
  <c r="Q94" i="3" s="1"/>
  <c r="P94" i="3" a="1"/>
  <c r="P94" i="3" s="1"/>
  <c r="O94" i="3" a="1"/>
  <c r="O94" i="3" s="1"/>
  <c r="N94" i="3" a="1"/>
  <c r="N94" i="3" s="1"/>
  <c r="M94" i="3" a="1"/>
  <c r="M94" i="3" s="1"/>
  <c r="L94" i="3" a="1"/>
  <c r="L94" i="3" s="1"/>
  <c r="K94" i="3" a="1"/>
  <c r="K94" i="3" s="1"/>
  <c r="J94" i="3" a="1"/>
  <c r="J94" i="3" s="1"/>
  <c r="I94" i="3" a="1"/>
  <c r="I94" i="3" s="1"/>
  <c r="H94" i="3" a="1"/>
  <c r="H94" i="3" s="1"/>
  <c r="G94" i="3" a="1"/>
  <c r="G94" i="3" s="1"/>
  <c r="F94" i="3" a="1"/>
  <c r="F94" i="3" s="1"/>
  <c r="E94" i="3" a="1"/>
  <c r="E94" i="3" s="1"/>
  <c r="D94" i="3" a="1"/>
  <c r="D94" i="3" s="1"/>
  <c r="S93" i="3" a="1"/>
  <c r="S93" i="3" s="1"/>
  <c r="R93" i="3" a="1"/>
  <c r="R93" i="3" s="1"/>
  <c r="Q93" i="3" a="1"/>
  <c r="Q93" i="3" s="1"/>
  <c r="P93" i="3" a="1"/>
  <c r="P93" i="3" s="1"/>
  <c r="O93" i="3" a="1"/>
  <c r="O93" i="3" s="1"/>
  <c r="N93" i="3" a="1"/>
  <c r="N93" i="3" s="1"/>
  <c r="M93" i="3" a="1"/>
  <c r="M93" i="3" s="1"/>
  <c r="L93" i="3" a="1"/>
  <c r="L93" i="3" s="1"/>
  <c r="K93" i="3" a="1"/>
  <c r="K93" i="3" s="1"/>
  <c r="J93" i="3" a="1"/>
  <c r="J93" i="3" s="1"/>
  <c r="I93" i="3" a="1"/>
  <c r="I93" i="3" s="1"/>
  <c r="H93" i="3" a="1"/>
  <c r="H93" i="3" s="1"/>
  <c r="G93" i="3" a="1"/>
  <c r="G93" i="3" s="1"/>
  <c r="F93" i="3" a="1"/>
  <c r="F93" i="3" s="1"/>
  <c r="E93" i="3" a="1"/>
  <c r="E93" i="3" s="1"/>
  <c r="D93" i="3" a="1"/>
  <c r="D93" i="3" s="1"/>
  <c r="S92" i="3" a="1"/>
  <c r="S92" i="3" s="1"/>
  <c r="R92" i="3" a="1"/>
  <c r="R92" i="3" s="1"/>
  <c r="Q92" i="3" a="1"/>
  <c r="Q92" i="3" s="1"/>
  <c r="P92" i="3" a="1"/>
  <c r="P92" i="3" s="1"/>
  <c r="O92" i="3" a="1"/>
  <c r="O92" i="3" s="1"/>
  <c r="N92" i="3" a="1"/>
  <c r="N92" i="3" s="1"/>
  <c r="M92" i="3" a="1"/>
  <c r="M92" i="3" s="1"/>
  <c r="L92" i="3" a="1"/>
  <c r="L92" i="3" s="1"/>
  <c r="K92" i="3" a="1"/>
  <c r="K92" i="3" s="1"/>
  <c r="J92" i="3" a="1"/>
  <c r="J92" i="3" s="1"/>
  <c r="I92" i="3" a="1"/>
  <c r="I92" i="3" s="1"/>
  <c r="H92" i="3" a="1"/>
  <c r="H92" i="3" s="1"/>
  <c r="G92" i="3" a="1"/>
  <c r="G92" i="3" s="1"/>
  <c r="F92" i="3" a="1"/>
  <c r="F92" i="3" s="1"/>
  <c r="E92" i="3" a="1"/>
  <c r="E92" i="3" s="1"/>
  <c r="D92" i="3" a="1"/>
  <c r="D92" i="3" s="1"/>
  <c r="S91" i="3" a="1"/>
  <c r="S91" i="3" s="1"/>
  <c r="R91" i="3" a="1"/>
  <c r="R91" i="3" s="1"/>
  <c r="Q91" i="3" a="1"/>
  <c r="Q91" i="3" s="1"/>
  <c r="P91" i="3" a="1"/>
  <c r="P91" i="3" s="1"/>
  <c r="O91" i="3" a="1"/>
  <c r="O91" i="3" s="1"/>
  <c r="N91" i="3" a="1"/>
  <c r="N91" i="3" s="1"/>
  <c r="M91" i="3" a="1"/>
  <c r="M91" i="3" s="1"/>
  <c r="L91" i="3" a="1"/>
  <c r="L91" i="3" s="1"/>
  <c r="K91" i="3" a="1"/>
  <c r="K91" i="3" s="1"/>
  <c r="J91" i="3" a="1"/>
  <c r="J91" i="3" s="1"/>
  <c r="I91" i="3" a="1"/>
  <c r="I91" i="3" s="1"/>
  <c r="H91" i="3" a="1"/>
  <c r="H91" i="3" s="1"/>
  <c r="G91" i="3" a="1"/>
  <c r="G91" i="3" s="1"/>
  <c r="F91" i="3" a="1"/>
  <c r="F91" i="3" s="1"/>
  <c r="E91" i="3" a="1"/>
  <c r="E91" i="3" s="1"/>
  <c r="D91" i="3" a="1"/>
  <c r="D91" i="3" s="1"/>
  <c r="S90" i="3" a="1"/>
  <c r="S90" i="3" s="1"/>
  <c r="R90" i="3" a="1"/>
  <c r="R90" i="3" s="1"/>
  <c r="Q90" i="3" a="1"/>
  <c r="Q90" i="3" s="1"/>
  <c r="P90" i="3" a="1"/>
  <c r="P90" i="3" s="1"/>
  <c r="O90" i="3" a="1"/>
  <c r="O90" i="3" s="1"/>
  <c r="N90" i="3" a="1"/>
  <c r="N90" i="3" s="1"/>
  <c r="M90" i="3" a="1"/>
  <c r="M90" i="3" s="1"/>
  <c r="L90" i="3" a="1"/>
  <c r="L90" i="3" s="1"/>
  <c r="K90" i="3" a="1"/>
  <c r="K90" i="3" s="1"/>
  <c r="J90" i="3" a="1"/>
  <c r="J90" i="3" s="1"/>
  <c r="I90" i="3" a="1"/>
  <c r="I90" i="3" s="1"/>
  <c r="H90" i="3" a="1"/>
  <c r="H90" i="3" s="1"/>
  <c r="G90" i="3" a="1"/>
  <c r="G90" i="3" s="1"/>
  <c r="F90" i="3" a="1"/>
  <c r="F90" i="3" s="1"/>
  <c r="E90" i="3" a="1"/>
  <c r="E90" i="3" s="1"/>
  <c r="D90" i="3" a="1"/>
  <c r="D90" i="3" s="1"/>
  <c r="D83" i="3" a="1"/>
  <c r="D83" i="3" s="1"/>
  <c r="D82" i="3" a="1"/>
  <c r="D82" i="3" s="1"/>
  <c r="D81" i="3" a="1"/>
  <c r="D81" i="3" s="1"/>
  <c r="E77" i="3" a="1"/>
  <c r="E77" i="3" s="1"/>
  <c r="D77" i="3" a="1"/>
  <c r="D77" i="3" s="1"/>
  <c r="E76" i="3" a="1"/>
  <c r="E76" i="3" s="1"/>
  <c r="D76" i="3" a="1"/>
  <c r="D76" i="3" s="1"/>
  <c r="E75" i="3" a="1"/>
  <c r="E75" i="3" s="1"/>
  <c r="D75" i="3" a="1"/>
  <c r="D75" i="3" s="1"/>
  <c r="E74" i="3" a="1"/>
  <c r="E74" i="3" s="1"/>
  <c r="D74" i="3" a="1"/>
  <c r="D74" i="3" s="1"/>
  <c r="E73" i="3" a="1"/>
  <c r="E73" i="3" s="1"/>
  <c r="D73" i="3" a="1"/>
  <c r="D73" i="3" s="1"/>
  <c r="E72" i="3" a="1"/>
  <c r="E72" i="3" s="1"/>
  <c r="D72" i="3" a="1"/>
  <c r="D72" i="3" s="1"/>
  <c r="E71" i="3" a="1"/>
  <c r="E71" i="3" s="1"/>
  <c r="D71" i="3" a="1"/>
  <c r="D71" i="3" s="1"/>
  <c r="E70" i="3" a="1"/>
  <c r="E70" i="3" s="1"/>
  <c r="D70" i="3" a="1"/>
  <c r="D70" i="3" s="1"/>
  <c r="E69" i="3" a="1"/>
  <c r="E69" i="3" s="1"/>
  <c r="D69" i="3" a="1"/>
  <c r="D69" i="3" s="1"/>
  <c r="E68" i="3" a="1"/>
  <c r="E68" i="3" s="1"/>
  <c r="D68" i="3" a="1"/>
  <c r="D68" i="3" s="1"/>
  <c r="E67" i="3" a="1"/>
  <c r="E67" i="3" s="1"/>
  <c r="D67" i="3" a="1"/>
  <c r="D67" i="3" s="1"/>
  <c r="E66" i="3" a="1"/>
  <c r="E66" i="3" s="1"/>
  <c r="D66" i="3" a="1"/>
  <c r="D66" i="3" s="1"/>
  <c r="E65" i="3" a="1"/>
  <c r="E65" i="3" s="1"/>
  <c r="D65" i="3" a="1"/>
  <c r="D65" i="3" s="1"/>
  <c r="E64" i="3" a="1"/>
  <c r="E64" i="3" s="1"/>
  <c r="D64" i="3" a="1"/>
  <c r="D64" i="3" s="1"/>
  <c r="D59" i="3" a="1"/>
  <c r="D59" i="3" s="1"/>
  <c r="D58" i="3" a="1"/>
  <c r="D58" i="3" s="1"/>
  <c r="D57" i="3" a="1"/>
  <c r="D57" i="3" s="1"/>
  <c r="G54" i="3" a="1"/>
  <c r="G54" i="3" s="1"/>
  <c r="F54" i="3" a="1"/>
  <c r="F54" i="3" s="1"/>
  <c r="E54" i="3" a="1"/>
  <c r="E54" i="3" s="1"/>
  <c r="D54" i="3" a="1"/>
  <c r="D54" i="3" s="1"/>
  <c r="G53" i="3" a="1"/>
  <c r="G53" i="3" s="1"/>
  <c r="F53" i="3" a="1"/>
  <c r="F53" i="3" s="1"/>
  <c r="E53" i="3" a="1"/>
  <c r="E53" i="3" s="1"/>
  <c r="D53" i="3" a="1"/>
  <c r="D53" i="3" s="1"/>
  <c r="G52" i="3" a="1"/>
  <c r="G52" i="3" s="1"/>
  <c r="F52" i="3" a="1"/>
  <c r="F52" i="3" s="1"/>
  <c r="E52" i="3" a="1"/>
  <c r="E52" i="3" s="1"/>
  <c r="D52" i="3" a="1"/>
  <c r="D52" i="3" s="1"/>
  <c r="G51" i="3" a="1"/>
  <c r="G51" i="3" s="1"/>
  <c r="F51" i="3" a="1"/>
  <c r="F51" i="3" s="1"/>
  <c r="E51" i="3" a="1"/>
  <c r="E51" i="3" s="1"/>
  <c r="D51" i="3" a="1"/>
  <c r="D51" i="3" s="1"/>
  <c r="G50" i="3" a="1"/>
  <c r="G50" i="3" s="1"/>
  <c r="F50" i="3" a="1"/>
  <c r="F50" i="3" s="1"/>
  <c r="E50" i="3" a="1"/>
  <c r="E50" i="3" s="1"/>
  <c r="D50" i="3" a="1"/>
  <c r="D50" i="3" s="1"/>
  <c r="G49" i="3" a="1"/>
  <c r="G49" i="3" s="1"/>
  <c r="F49" i="3" a="1"/>
  <c r="F49" i="3" s="1"/>
  <c r="E49" i="3" a="1"/>
  <c r="E49" i="3" s="1"/>
  <c r="D49" i="3" a="1"/>
  <c r="D49" i="3" s="1"/>
  <c r="G48" i="3" a="1"/>
  <c r="G48" i="3" s="1"/>
  <c r="F48" i="3" a="1"/>
  <c r="F48" i="3" s="1"/>
  <c r="E48" i="3" a="1"/>
  <c r="E48" i="3" s="1"/>
  <c r="D48" i="3" a="1"/>
  <c r="D48" i="3" s="1"/>
  <c r="D46" i="3" a="1"/>
  <c r="D46" i="3" s="1"/>
  <c r="D45" i="3" a="1"/>
  <c r="D45" i="3" s="1"/>
  <c r="E43" i="3" a="1"/>
  <c r="E43" i="3" s="1"/>
  <c r="D43" i="3" a="1"/>
  <c r="D43" i="3" s="1"/>
  <c r="E42" i="3" a="1"/>
  <c r="E42" i="3" s="1"/>
  <c r="D42" i="3" a="1"/>
  <c r="D42" i="3" s="1"/>
  <c r="E41" i="3" a="1"/>
  <c r="E41" i="3" s="1"/>
  <c r="D41" i="3" a="1"/>
  <c r="D41" i="3" s="1"/>
  <c r="E40" i="3" a="1"/>
  <c r="E40" i="3" s="1"/>
  <c r="D40" i="3" a="1"/>
  <c r="D40" i="3" s="1"/>
  <c r="E39" i="3" a="1"/>
  <c r="E39" i="3" s="1"/>
  <c r="D39" i="3" a="1"/>
  <c r="D39" i="3" s="1"/>
  <c r="E38" i="3" a="1"/>
  <c r="E38" i="3" s="1"/>
  <c r="D38" i="3" a="1"/>
  <c r="D38" i="3" s="1"/>
  <c r="E37" i="3" a="1"/>
  <c r="E37" i="3" s="1"/>
  <c r="D37" i="3" a="1"/>
  <c r="D37" i="3" s="1"/>
  <c r="D35" i="3" a="1"/>
  <c r="D35" i="3" s="1"/>
  <c r="D34" i="3" a="1"/>
  <c r="D34" i="3" s="1"/>
  <c r="D30" i="3" a="1"/>
  <c r="D30" i="3" s="1"/>
  <c r="D29" i="3" a="1"/>
  <c r="D29" i="3" s="1"/>
  <c r="D28" i="3" a="1"/>
  <c r="D28" i="3" s="1"/>
  <c r="D27" i="3" a="1"/>
  <c r="D27" i="3" s="1"/>
  <c r="D26" i="3" a="1"/>
  <c r="D26" i="3" s="1"/>
  <c r="D25" i="3" a="1"/>
  <c r="D25" i="3" s="1"/>
  <c r="D24" i="3" a="1"/>
  <c r="D24" i="3" s="1"/>
  <c r="D23" i="3" a="1"/>
  <c r="D23" i="3" s="1"/>
  <c r="D22" i="3" a="1"/>
  <c r="D22" i="3" s="1"/>
  <c r="D21" i="3" a="1"/>
  <c r="D21" i="3" s="1"/>
  <c r="D19" i="3" a="1"/>
  <c r="D19" i="3" s="1"/>
  <c r="D18" i="3" a="1"/>
  <c r="D18" i="3" s="1"/>
  <c r="F14" i="3" a="1"/>
  <c r="F14" i="3" s="1"/>
  <c r="E14" i="3" a="1"/>
  <c r="E14" i="3" s="1"/>
  <c r="D14" i="3" a="1"/>
  <c r="D14" i="3" s="1"/>
  <c r="F13" i="3" a="1"/>
  <c r="F13" i="3" s="1"/>
  <c r="E13" i="3" a="1"/>
  <c r="E13" i="3" s="1"/>
  <c r="D13" i="3" a="1"/>
  <c r="D13" i="3" s="1"/>
  <c r="F12" i="3" a="1"/>
  <c r="F12" i="3" s="1"/>
  <c r="E12" i="3" a="1"/>
  <c r="E12" i="3" s="1"/>
  <c r="D12" i="3" a="1"/>
  <c r="D12" i="3" s="1"/>
  <c r="F11" i="3" a="1"/>
  <c r="F11" i="3" s="1"/>
  <c r="E11" i="3" a="1"/>
  <c r="E11" i="3" s="1"/>
  <c r="D11" i="3" a="1"/>
  <c r="D11" i="3" s="1"/>
  <c r="F10" i="3" a="1"/>
  <c r="F10" i="3" s="1"/>
  <c r="E10" i="3" a="1"/>
  <c r="E10" i="3" s="1"/>
  <c r="D10" i="3" a="1"/>
  <c r="D10" i="3" s="1"/>
  <c r="F9" i="3" a="1"/>
  <c r="F9" i="3" s="1"/>
  <c r="E9" i="3" a="1"/>
  <c r="E9" i="3" s="1"/>
  <c r="D9" i="3" a="1"/>
  <c r="D9" i="3" s="1"/>
  <c r="F8" i="3" a="1"/>
  <c r="F8" i="3" s="1"/>
  <c r="E8" i="3" a="1"/>
  <c r="E8" i="3" s="1"/>
  <c r="D8" i="3" a="1"/>
  <c r="D8" i="3" s="1"/>
  <c r="F7" i="3" a="1"/>
  <c r="F7" i="3" s="1"/>
  <c r="E7" i="3" a="1"/>
  <c r="E7" i="3" s="1"/>
  <c r="D7" i="3" a="1"/>
  <c r="D7" i="3" s="1"/>
  <c r="D5" i="3" a="1"/>
  <c r="D5" i="3" s="1"/>
  <c r="S28" i="19" l="1"/>
  <c r="S27" i="19"/>
  <c r="V28" i="19"/>
  <c r="V27" i="19"/>
  <c r="M27" i="19"/>
  <c r="M28" i="19"/>
  <c r="Y27" i="19"/>
  <c r="Y28" i="19"/>
  <c r="AB28" i="19"/>
  <c r="P28" i="19"/>
  <c r="AB27" i="19"/>
  <c r="P27" i="19"/>
  <c r="D8" i="22"/>
  <c r="G8" i="23"/>
  <c r="D9" i="22"/>
  <c r="G9" i="23"/>
  <c r="G10" i="19"/>
  <c r="G19" i="19"/>
  <c r="G9" i="19"/>
  <c r="G11" i="19"/>
  <c r="G13" i="19"/>
  <c r="I13" i="19"/>
  <c r="G14" i="19"/>
  <c r="I14" i="19"/>
  <c r="G12" i="19"/>
  <c r="I12" i="19"/>
  <c r="G25" i="19"/>
  <c r="I25" i="19"/>
  <c r="G15" i="19"/>
  <c r="I15" i="19"/>
  <c r="G17" i="19"/>
  <c r="I17" i="19"/>
  <c r="G16" i="19"/>
  <c r="I16" i="19"/>
  <c r="G22" i="19"/>
  <c r="I22" i="19"/>
  <c r="G24" i="19"/>
  <c r="I24" i="19"/>
  <c r="G23" i="19"/>
  <c r="I23" i="19"/>
  <c r="G18" i="19"/>
  <c r="I18" i="19"/>
  <c r="G21" i="19"/>
  <c r="I21" i="19"/>
  <c r="G20" i="19"/>
  <c r="I20" i="19"/>
  <c r="I8" i="19"/>
  <c r="I6" i="19"/>
  <c r="G6" i="19"/>
  <c r="E19" i="1"/>
  <c r="E14" i="1"/>
  <c r="E7" i="1"/>
  <c r="E18" i="1"/>
  <c r="E6" i="1"/>
  <c r="H54" i="3"/>
  <c r="H52" i="3"/>
  <c r="H48" i="3"/>
  <c r="H50" i="3"/>
  <c r="H53" i="3"/>
  <c r="H51" i="3"/>
  <c r="H49"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<sst xmlns="http://schemas.openxmlformats.org/spreadsheetml/2006/main" count="1558" uniqueCount="677">
  <si>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</si>
  <si>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</si>
  <si>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</si>
  <si>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</si>
  <si>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</si>
  <si>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</si>
  <si>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</si>
  <si>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</si>
  <si>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</si>
  <si>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</si>
  <si>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</si>
  <si>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</si>
  <si>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</si>
  <si>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</si>
  <si>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</si>
  <si>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</si>
  <si>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</si>
  <si>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</si>
  <si>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</si>
  <si>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</si>
  <si>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</si>
  <si>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</si>
  <si>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</si>
  <si>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</si>
  <si>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</si>
  <si>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</si>
  <si>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</si>
  <si>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</si>
  <si>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</si>
  <si>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</si>
  <si>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</si>
  <si>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</si>
  <si>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</si>
  <si>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</si>
  <si>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</si>
  <si>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</si>
  <si>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</si>
  <si>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</si>
  <si>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</si>
  <si>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</si>
  <si>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</si>
  <si>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</si>
  <si>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</si>
  <si>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</si>
  <si>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</si>
  <si>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</si>
  <si>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</si>
  <si>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</si>
  <si>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</si>
  <si>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</si>
  <si>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</si>
  <si>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</si>
  <si>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</si>
  <si>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</si>
  <si>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</si>
  <si>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</si>
  <si>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</si>
  <si>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</si>
  <si>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</si>
  <si>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</si>
  <si>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</si>
  <si>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</si>
  <si>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</si>
  <si>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</si>
  <si>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</si>
  <si>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</si>
  <si>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</si>
  <si>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</si>
  <si>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</si>
  <si>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</si>
  <si>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</si>
  <si>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</si>
  <si>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</si>
  <si>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</si>
  <si>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</si>
  <si>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</si>
  <si>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</si>
  <si>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</si>
  <si>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</si>
  <si>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</si>
  <si>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</si>
  <si>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</si>
  <si>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</si>
  <si>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</si>
  <si>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</si>
  <si>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</si>
  <si>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</si>
  <si>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Scope 3 Emission Factors for Natural Gas (kg CO2 - e / GJ) Metro</t>
  </si>
  <si>
    <t>Scope 3 Emission Factors for Natural Gas (kg CO2 - e / GJ) Non - Metro</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</si>
  <si>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</si>
  <si>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</si>
  <si>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</si>
  <si>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</si>
  <si>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</si>
  <si>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</si>
  <si>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</si>
  <si>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</si>
  <si>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</si>
  <si>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</si>
  <si>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</si>
  <si>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</si>
  <si>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</si>
  <si>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</si>
  <si>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</si>
  <si>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</si>
  <si>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</si>
  <si>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</si>
  <si>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</si>
  <si>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</si>
  <si>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</si>
  <si>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</si>
  <si>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</si>
  <si>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</si>
  <si>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</si>
  <si>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</si>
  <si>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</si>
  <si>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</si>
  <si>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</si>
  <si>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</si>
  <si>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</si>
  <si>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</si>
  <si>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</si>
  <si>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</si>
  <si>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</si>
  <si>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</si>
  <si>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</si>
  <si>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</si>
  <si>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</si>
  <si>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</si>
  <si>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</si>
  <si>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</si>
  <si>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</si>
  <si>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</si>
  <si>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</si>
  <si>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</si>
  <si>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</si>
  <si>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</si>
  <si>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</si>
  <si>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</si>
  <si>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</si>
  <si>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</si>
  <si>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</si>
  <si>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</si>
  <si>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</si>
  <si>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</si>
  <si>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</si>
  <si>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</si>
  <si>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</si>
  <si>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</si>
  <si>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</si>
  <si>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</si>
  <si>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</si>
  <si>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</si>
  <si>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</si>
  <si>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</si>
  <si>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</si>
  <si>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</si>
  <si>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</si>
  <si>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</si>
  <si>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</si>
  <si>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</si>
  <si>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</si>
  <si>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</si>
  <si>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</si>
  <si>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</si>
  <si>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</si>
  <si>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</si>
  <si>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</si>
  <si>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</si>
  <si>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</si>
  <si>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</si>
  <si>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</si>
  <si>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</si>
  <si>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</si>
  <si>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</si>
  <si>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</si>
  <si>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</si>
  <si>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</si>
  <si>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</si>
  <si>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</si>
  <si>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</si>
  <si>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</si>
  <si>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</si>
  <si>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</si>
  <si>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</si>
  <si>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</si>
  <si>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</si>
  <si>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</si>
  <si>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</si>
  <si>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</si>
  <si>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</si>
  <si>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</si>
  <si>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</si>
  <si>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</si>
  <si>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</si>
  <si>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</si>
  <si>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</si>
  <si>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</si>
  <si>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</si>
  <si>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</si>
  <si>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</si>
  <si>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</si>
  <si>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</si>
  <si>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</si>
  <si>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</si>
  <si>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</si>
  <si>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</si>
  <si>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(kg / ha)</t>
    </r>
  </si>
  <si>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</si>
  <si>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</si>
  <si>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</si>
  <si>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</si>
  <si>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</si>
  <si>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</si>
  <si>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</si>
  <si>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</si>
  <si>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</si>
  <si>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</si>
  <si>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</si>
  <si>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</si>
  <si>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</si>
  <si>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</si>
  <si>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</si>
  <si>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</si>
  <si>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</si>
  <si>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</si>
  <si>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</si>
  <si>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</si>
  <si>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</si>
  <si>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</si>
  <si>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Organic fertiliser applied</t>
  </si>
  <si>
    <t>Organic fertiliser type (select)</t>
  </si>
  <si>
    <t>Percentage of N in fertiliser</t>
  </si>
  <si>
    <t>Amount applied (kg/hectare)</t>
  </si>
  <si>
    <t>Amount N applied (kg/hectare)</t>
  </si>
  <si>
    <t>Total organic fertliser applied</t>
  </si>
  <si>
    <t>Total nitrogen applied (kg)</t>
  </si>
  <si>
    <r>
      <t>TM</t>
    </r>
    <r>
      <rPr>
        <b/>
        <vertAlign val="subscript"/>
        <sz val="11"/>
        <color rgb="FF533001"/>
        <rFont val="Times New Roman"/>
        <family val="1"/>
      </rPr>
      <t>jf</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</si>
  <si>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</si>
  <si>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</si>
  <si>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</si>
  <si>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</si>
  <si>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</si>
  <si>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</si>
  <si>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</si>
  <si>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</si>
  <si>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</si>
  <si>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</si>
  <si>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</si>
  <si>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</si>
  <si>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</si>
  <si>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</si>
  <si>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</si>
  <si>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</si>
  <si>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</si>
  <si>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</si>
  <si>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</si>
  <si>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</si>
  <si>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</si>
  <si>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</si>
  <si>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</si>
  <si>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</si>
  <si>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</si>
  <si>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</si>
  <si>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</si>
  <si>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</si>
  <si>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</si>
  <si>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</si>
  <si>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</si>
  <si>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</si>
  <si>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</si>
  <si>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</si>
  <si>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</si>
  <si>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</si>
  <si>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</si>
  <si>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</si>
  <si>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</si>
  <si>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</si>
  <si>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</si>
  <si>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</si>
  <si>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</si>
  <si>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</si>
  <si>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</si>
  <si>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</si>
  <si>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</si>
  <si>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</si>
  <si>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</si>
  <si>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</si>
  <si>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</si>
  <si>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</si>
  <si>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</si>
  <si>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</si>
  <si>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</si>
  <si>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</si>
  <si>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Fuel</t>
  </si>
  <si>
    <t>Fertiliser</t>
  </si>
  <si>
    <t>Electricity</t>
  </si>
  <si>
    <t>Amount purchased from grid</t>
  </si>
  <si>
    <t>Grid</t>
  </si>
  <si>
    <t>Home</t>
  </si>
  <si>
    <t>Chemical compound</t>
  </si>
  <si>
    <t>Quantity</t>
  </si>
  <si>
    <t>Quantity Unit</t>
  </si>
  <si>
    <t>AusLCI Emissions intensity</t>
  </si>
  <si>
    <t>Waste</t>
  </si>
  <si>
    <t>Freight and transport</t>
  </si>
  <si>
    <t>N2O MMS</t>
  </si>
  <si>
    <t>Enteric methane</t>
  </si>
  <si>
    <t>Sources &amp; acknowledgements</t>
  </si>
  <si>
    <t>Livestock class</t>
  </si>
  <si>
    <t>Type</t>
  </si>
  <si>
    <t>Input - Other farm inputs</t>
  </si>
  <si>
    <t>Tip: You can add more rows to the table by right-clicking on the table and selecting "Insert &gt; Table rows above/below".</t>
  </si>
  <si>
    <t>Packaging name</t>
  </si>
  <si>
    <t>Quantity purchased</t>
  </si>
  <si>
    <t>Cleaning chemicals</t>
  </si>
  <si>
    <t>White king</t>
  </si>
  <si>
    <t>Bleach</t>
  </si>
  <si>
    <t>Input - Purchased feed - Livestock</t>
  </si>
  <si>
    <t>Supplemental feed</t>
  </si>
  <si>
    <t>Lick blocks</t>
  </si>
  <si>
    <t>Feed blends</t>
  </si>
  <si>
    <t>Feed blend name</t>
  </si>
  <si>
    <t>Amount fed (kg)</t>
  </si>
  <si>
    <t>Ingredient 2 (select)</t>
  </si>
  <si>
    <t>Ingredient 3 (select)</t>
  </si>
  <si>
    <t>Ingredient 4 (select)</t>
  </si>
  <si>
    <t>Canola oil</t>
  </si>
  <si>
    <t>Hay bales in paddock</t>
  </si>
  <si>
    <t>💡You can add more rows to the table by right-clicking on the table and selecting "Insert &gt; Table rows above/below".</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</si>
  <si>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</si>
  <si>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</si>
  <si>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</si>
  <si>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</si>
  <si>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</si>
  <si>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</si>
  <si>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</si>
  <si>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</si>
  <si>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</si>
  <si>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</si>
  <si>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</si>
  <si>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</si>
  <si>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</si>
  <si>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</si>
  <si>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</si>
  <si>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</si>
  <si>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</si>
  <si>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</si>
  <si>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</si>
  <si>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</si>
  <si>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</si>
  <si>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</si>
  <si>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</si>
  <si>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</si>
  <si>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</si>
  <si>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</si>
  <si>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</si>
  <si>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</si>
  <si>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</si>
  <si>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</si>
  <si>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</si>
  <si>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</si>
  <si>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</si>
  <si>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</si>
  <si>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</si>
  <si>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</si>
  <si>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</si>
  <si>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</si>
  <si>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</si>
  <si>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</si>
  <si>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</si>
  <si>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</si>
  <si>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</si>
  <si>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</si>
  <si>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</si>
  <si>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</si>
  <si>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</si>
  <si>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</si>
  <si>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</si>
  <si>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</si>
  <si>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</si>
  <si>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</si>
  <si>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</si>
  <si>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</si>
  <si>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</si>
  <si>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Ingredient 5 EF</t>
  </si>
  <si>
    <t>Ingredient 6 EF</t>
  </si>
  <si>
    <t>Scope 3 (Method 1)</t>
  </si>
  <si>
    <t>Scope 3 (Method 2)</t>
  </si>
  <si>
    <t>Boost-It</t>
  </si>
  <si>
    <t>Emissions intensity (Method 1)</t>
  </si>
  <si>
    <t>Total amount (kg)</t>
  </si>
  <si>
    <t>Transaction name</t>
  </si>
  <si>
    <t>Emissions intensity (Method 2)</t>
  </si>
  <si>
    <t>Fertiliser custom blends - chemical compounds</t>
  </si>
  <si>
    <t>Method 2 EF</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</si>
  <si>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</si>
  <si>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</si>
  <si>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</si>
  <si>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</si>
  <si>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</si>
  <si>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</si>
  <si>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</si>
  <si>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</si>
  <si>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</si>
  <si>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</si>
  <si>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</si>
  <si>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Animal purchases</t>
  </si>
  <si>
    <t>Scope 3 emissions are calculated on a maximum of 10 chemical purchases</t>
  </si>
  <si>
    <t>Pharmacy chemicals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</si>
  <si>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</si>
  <si>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</si>
  <si>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</si>
  <si>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</si>
  <si>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</si>
  <si>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</si>
  <si>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</si>
  <si>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</si>
  <si>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</si>
  <si>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</si>
  <si>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</si>
  <si>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</si>
  <si>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</si>
  <si>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</si>
  <si>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</si>
  <si>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</si>
  <si>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</si>
  <si>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</si>
  <si>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Maize grain</t>
  </si>
  <si>
    <t>TAS</t>
  </si>
  <si>
    <t>Oaten hay</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</si>
  <si>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</si>
  <si>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</si>
  <si>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</si>
  <si>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</si>
  <si>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</si>
  <si>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</si>
  <si>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</si>
  <si>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</si>
  <si>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</si>
  <si>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</si>
  <si>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</si>
  <si>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</si>
  <si>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</si>
  <si>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</si>
  <si>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</si>
  <si>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</si>
  <si>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</si>
  <si>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</si>
  <si>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Total weight purchased</t>
  </si>
  <si>
    <t>Weight per unit (kg)</t>
  </si>
  <si>
    <t>250g punnet</t>
  </si>
  <si>
    <t>Plastic sheet HDPE</t>
  </si>
  <si>
    <t>Packaging materials</t>
  </si>
  <si>
    <t>Scope 3 emissions are calculated on a maximum of 10 packaging purchases</t>
  </si>
  <si>
    <t>Scope 3 emissions are calculated on a maximum of 10 soil ameliorant purchases</t>
  </si>
  <si>
    <t>Percent lime</t>
  </si>
  <si>
    <t>Percent dolomite</t>
  </si>
  <si>
    <t>Percent gypsum</t>
  </si>
  <si>
    <t>Gypsum emissions intensity</t>
  </si>
  <si>
    <t>Dolomite emissions intensity</t>
  </si>
  <si>
    <t>Lime emissions intensity</t>
  </si>
  <si>
    <t>Method 1</t>
  </si>
  <si>
    <t>Method 2</t>
  </si>
  <si>
    <t>Seed</t>
  </si>
  <si>
    <t>Pesticides (generic)</t>
  </si>
  <si>
    <t>grams/litre or grams/kg</t>
  </si>
  <si>
    <t>kg / hectare</t>
  </si>
  <si>
    <t>Ingredient 1 EF (Method 1)</t>
  </si>
  <si>
    <t>Product EF (Method 1)</t>
  </si>
  <si>
    <t>Product EF (Method 2)</t>
  </si>
  <si>
    <t>Ingredient 1 amount (kg)</t>
  </si>
  <si>
    <t>The method 1 product EF is calculated by multiplying the EF of each ingredient by the fraction of that ingredient in the product, then adding them all together. This is to allow for comparison with a method 2 product EF that might be provided by the supplier.</t>
  </si>
  <si>
    <t>Ingredient 2 EF (Method 1)</t>
  </si>
  <si>
    <t>Ingredient 3 EF (Method 1)</t>
  </si>
  <si>
    <t>Scope 3 emissions are calculated on a maximum of 10 pesticide purchases</t>
  </si>
  <si>
    <t>Ingredient 2 amount (kg)</t>
  </si>
  <si>
    <t>Ingredient 3 amount (kg)</t>
  </si>
  <si>
    <t>The method 1 product EF is calculated by multiplying the EF of each ingredient by the amount of  ingredient applied, adding all ingredients together then dividing the result by the total amount of product applied. This is to allow for comparison with a method 2 product EF that might be provided by the supplier.</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</si>
  <si>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</si>
  <si>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</si>
  <si>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</si>
  <si>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</si>
  <si>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</si>
  <si>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</si>
  <si>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</si>
  <si>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</si>
  <si>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</si>
  <si>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</si>
  <si>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Total liveweight - Method 1 (kg)</t>
  </si>
  <si>
    <t>Total liveweight - Method 2 (kg)</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</si>
  <si>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</si>
  <si>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</si>
  <si>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</si>
  <si>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</si>
  <si>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</si>
  <si>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</si>
  <si>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</si>
  <si>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</si>
  <si>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</si>
  <si>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</si>
  <si>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</si>
  <si>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</si>
  <si>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</si>
  <si>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</si>
  <si>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</si>
  <si>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</si>
  <si>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</si>
  <si>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</si>
  <si>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</si>
  <si>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</si>
  <si>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</si>
  <si>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</si>
  <si>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</si>
  <si>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</si>
  <si>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</si>
  <si>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</si>
  <si>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</si>
  <si>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</si>
  <si>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</si>
  <si>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</si>
  <si>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</si>
  <si>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</si>
  <si>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</si>
  <si>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</si>
  <si>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</si>
  <si>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</si>
  <si>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</si>
  <si>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</si>
  <si>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</si>
  <si>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</si>
  <si>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</si>
  <si>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</si>
  <si>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</si>
  <si>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</si>
  <si>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</si>
  <si>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</si>
  <si>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</si>
  <si>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</si>
  <si>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</si>
  <si>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</si>
  <si>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</si>
  <si>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</si>
  <si>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</si>
  <si>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</si>
  <si>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</si>
  <si>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</si>
  <si>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</si>
  <si>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</si>
  <si>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</si>
  <si>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</si>
  <si>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</si>
  <si>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</si>
  <si>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</si>
  <si>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</si>
  <si>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</si>
  <si>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</si>
  <si>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</si>
  <si>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</si>
  <si>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</si>
  <si>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</si>
  <si>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</si>
  <si>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</si>
  <si>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</si>
  <si>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</si>
  <si>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</si>
  <si>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</si>
  <si>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</si>
  <si>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</si>
  <si>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</si>
  <si>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</si>
  <si>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</si>
  <si>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</si>
  <si>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</si>
  <si>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</si>
  <si>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</si>
  <si>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</si>
  <si>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</si>
  <si>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Friesian crossbred</t>
  </si>
  <si>
    <t>Milking cows</t>
  </si>
  <si>
    <t>Heifers &lt; 1 (weaned)</t>
  </si>
  <si>
    <t>Cows from Barry</t>
  </si>
  <si>
    <t>Total liveweight (kg) Method 1</t>
  </si>
  <si>
    <t>Total liveweight (kg) Method 2</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</si>
  <si>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</si>
  <si>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</si>
  <si>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</si>
  <si>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</si>
  <si>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</si>
  <si>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</si>
  <si>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</si>
  <si>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</si>
  <si>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</si>
  <si>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</si>
  <si>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</si>
  <si>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</si>
  <si>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</si>
  <si>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</si>
  <si>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</si>
  <si>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</si>
  <si>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</si>
  <si>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</si>
  <si>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</si>
  <si>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</si>
  <si>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</si>
  <si>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</si>
  <si>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</si>
  <si>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</si>
  <si>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</si>
  <si>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</si>
  <si>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Holstein-Friesian</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</si>
  <si>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</si>
  <si>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</si>
  <si>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</si>
  <si>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</si>
  <si>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</si>
  <si>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</si>
  <si>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</si>
  <si>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</si>
  <si>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</si>
  <si>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</si>
  <si>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</si>
  <si>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</si>
  <si>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</si>
  <si>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</si>
  <si>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</si>
  <si>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</si>
  <si>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</si>
  <si>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</si>
  <si>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</si>
  <si>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</si>
  <si>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</si>
  <si>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</si>
  <si>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</si>
  <si>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Slaughter pigs</t>
  </si>
  <si>
    <t>Swine from Samantha</t>
  </si>
  <si>
    <r>
      <t xml:space="preserve">If using an EI value from the manufacturer, make sure theirs is derived from the active ingredients </t>
    </r>
    <r>
      <rPr>
        <b/>
        <sz val="12"/>
        <color theme="1" tint="0.24994659260841701"/>
        <rFont val="Times New Roman"/>
        <family val="1"/>
      </rPr>
      <t>only</t>
    </r>
    <r>
      <rPr>
        <sz val="12"/>
        <color theme="1" tint="0.24994659260841701"/>
        <rFont val="Times New Roman"/>
        <family val="1"/>
      </rPr>
      <t xml:space="preserve"> to ensure a valid comparison with method 1 EI</t>
    </r>
  </si>
  <si>
    <t>The method 1 product EF is calculated by multiplying the EI of each ingredient by the fraction of that ingredient in the product, then adding them all together. This is to allow for comparison with a method 2 product EI that might be provided by the supplier.</t>
  </si>
  <si>
    <t>Scope 3 emissions are calculated on a maximum of 10 livestock purchases for each category</t>
  </si>
  <si>
    <r>
      <t xml:space="preserve">If using an EI value from the manufacturer, make sure theirs is derived from the ingredients </t>
    </r>
    <r>
      <rPr>
        <b/>
        <sz val="12"/>
        <color theme="1" tint="0.24994659260841701"/>
        <rFont val="Times New Roman"/>
        <family val="1"/>
      </rPr>
      <t>only</t>
    </r>
    <r>
      <rPr>
        <sz val="12"/>
        <color theme="1" tint="0.24994659260841701"/>
        <rFont val="Times New Roman"/>
        <family val="1"/>
      </rPr>
      <t xml:space="preserve"> to ensure a valid comparison with method 1 EI</t>
    </r>
  </si>
  <si>
    <t>EF_f = \sum\nolimits_{cf}F_{cf} \times EF_c</t>
  </si>
  <si>
    <t>E=\sum\nolimits_f TM_f \times EF_f</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</si>
  <si>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</si>
  <si>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</si>
  <si>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</si>
  <si>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</si>
  <si>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</si>
  <si>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</si>
  <si>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</si>
  <si>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</si>
  <si>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</si>
  <si>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</si>
  <si>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</si>
  <si>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</si>
  <si>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</si>
  <si>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</si>
  <si>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</si>
  <si>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</si>
  <si>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</si>
  <si>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</si>
  <si>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</si>
  <si>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</si>
  <si>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</si>
  <si>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</si>
  <si>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</si>
  <si>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</si>
  <si>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</si>
  <si>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</si>
  <si>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</si>
  <si>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</si>
  <si>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</si>
  <si>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</si>
  <si>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</si>
  <si>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Percent of packaging that is primary material</t>
  </si>
  <si>
    <t>Amount</t>
  </si>
  <si>
    <t>Uncategorised products and services</t>
  </si>
  <si>
    <t>Product / service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</si>
</sst>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d/mm/yyyy;@"/>
    <numFmt numFmtId="165" formatCode="[$-C09]d\ mmmm\ yyyy;@"/>
    <numFmt numFmtId="166" formatCode="[$-C09]dd\-mmmm\-yyyy;@"/>
    <numFmt numFmtId="167" formatCode="0.000"/>
    <numFmt numFmtId="168" formatCode="_-* #,##0_-;\-* #,##0_-;_-* &quot;-&quot;??_-;_-@_-"/>
  </numFmts>
  <fonts count="58"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b/>
      <sz val="11"/>
      <color rgb="FF183C1B"/>
      <name val="Aptos Narrow"/>
      <family val="1"/>
      <scheme val="minor"/>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s>
  <borders count="2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s>
  <cellStyleXfs count="4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3" fillId="2" borderId="0">
      <alignment horizontal="left" vertical="center"/>
    </xf>
    <xf numFmtId="0" fontId="23" fillId="10" borderId="0">
      <alignment horizontal="left" vertical="center" indent="1"/>
    </xf>
  </cellStyleXfs>
  <cellXfs count="181">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3" fillId="0" borderId="0" xfId="3" applyAlignment="1" applyProtection="1">
      <alignment horizontal="center" vertical="center" wrapText="1"/>
      <protection locked="0"/>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0" fillId="0" borderId="0" xfId="21"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0" fontId="31" fillId="2" borderId="0" xfId="27">
      <alignment horizontal="center"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4" fontId="0" fillId="0" borderId="0" xfId="0" applyNumberFormat="1"/>
    <xf numFmtId="0" fontId="11" fillId="0" borderId="0" xfId="4" applyFont="1" applyFill="1" applyAlignment="1">
      <alignment horizontal="left" vertical="center" indent="1"/>
    </xf>
    <xf numFmtId="0" fontId="12" fillId="0" borderId="0" xfId="3" applyFont="1"/>
    <xf numFmtId="0" fontId="0" fillId="0" borderId="0" xfId="35" applyFont="1" applyBorder="1">
      <alignment horizontal="center" vertical="center"/>
    </xf>
    <xf numFmtId="0" fontId="0" fillId="0" borderId="0" xfId="19" applyFont="1" applyFill="1" applyBorder="1">
      <alignment horizontal="center" vertical="center"/>
    </xf>
    <xf numFmtId="0" fontId="5" fillId="0" borderId="0" xfId="15" applyFill="1">
      <alignment vertical="center"/>
    </xf>
    <xf numFmtId="0" fontId="53" fillId="2" borderId="0" xfId="46">
      <alignment horizontal="left" vertical="center"/>
    </xf>
    <xf numFmtId="0" fontId="34" fillId="2" borderId="0" xfId="3" applyFont="1" applyFill="1" applyAlignment="1" applyProtection="1">
      <alignment horizontal="center"/>
      <protection locked="0"/>
    </xf>
    <xf numFmtId="0" fontId="5" fillId="2" borderId="0" xfId="15" applyFill="1">
      <alignment vertical="center"/>
    </xf>
    <xf numFmtId="0" fontId="0" fillId="0" borderId="0" xfId="32" applyNumberFormat="1" applyFont="1" applyBorder="1">
      <alignment horizontal="center" vertical="center"/>
    </xf>
    <xf numFmtId="0" fontId="47" fillId="2" borderId="0" xfId="4" applyFont="1">
      <alignment horizontal="left" vertical="center"/>
    </xf>
    <xf numFmtId="0" fontId="0" fillId="2" borderId="0" xfId="0" applyFill="1"/>
    <xf numFmtId="0" fontId="34" fillId="2" borderId="0" xfId="0" applyFont="1" applyFill="1" applyAlignment="1">
      <alignment horizontal="center" vertical="center"/>
    </xf>
    <xf numFmtId="0" fontId="34" fillId="2" borderId="0" xfId="0" applyFont="1" applyFill="1"/>
    <xf numFmtId="4" fontId="39" fillId="0" borderId="1" xfId="32" applyFont="1" applyAlignment="1">
      <alignment horizontal="center" vertical="center" wrapText="1"/>
    </xf>
    <xf numFmtId="0" fontId="52" fillId="4" borderId="0" xfId="44" applyFont="1" applyProtection="1">
      <alignment horizontal="left" vertical="center" indent="1"/>
    </xf>
    <xf numFmtId="0" fontId="4" fillId="11" borderId="21" xfId="19" applyBorder="1">
      <alignment horizontal="center" vertical="center"/>
    </xf>
    <xf numFmtId="0" fontId="11" fillId="0" borderId="21" xfId="30" applyBorder="1">
      <alignment horizontal="center" vertical="center"/>
    </xf>
    <xf numFmtId="0" fontId="3" fillId="0" borderId="21" xfId="19" applyFont="1" applyFill="1" applyBorder="1">
      <alignment horizontal="center" vertical="center"/>
    </xf>
    <xf numFmtId="0" fontId="56" fillId="2" borderId="1" xfId="20" applyFont="1">
      <alignment horizontal="center" vertical="center"/>
    </xf>
    <xf numFmtId="0" fontId="54" fillId="10" borderId="0" xfId="6" applyFont="1" applyFill="1">
      <alignment horizontal="left" vertical="center"/>
    </xf>
    <xf numFmtId="0" fontId="54"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7" fillId="4" borderId="0" xfId="6" applyFont="1" applyFill="1">
      <alignment horizontal="left" vertical="center"/>
    </xf>
    <xf numFmtId="0" fontId="11" fillId="0" borderId="1" xfId="35" applyFill="1">
      <alignment horizontal="center" vertical="center"/>
    </xf>
    <xf numFmtId="0" fontId="11" fillId="0" borderId="1" xfId="30" applyFill="1">
      <alignment horizontal="center" vertical="center"/>
    </xf>
    <xf numFmtId="0" fontId="23" fillId="10" borderId="0" xfId="18" applyNumberFormat="1" applyFont="1" applyFill="1" applyBorder="1" applyAlignment="1" applyProtection="1">
      <alignment horizontal="center" vertical="center"/>
    </xf>
  </cellXfs>
  <cellStyles count="48">
    <cellStyle name="Alert" xfId="23" xr:uid="{3F39CD44-D56D-45C9-A246-A65A1A3ADBF4}"/>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s>
  <dxfs count="53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dxf>
    <dxf>
      <border diagonalUp="0" diagonalDown="0">
        <left style="thin">
          <color theme="0" tint="-0.34998626667073579"/>
        </left>
        <right style="thin">
          <color theme="0" tint="-0.34998626667073579"/>
        </right>
        <top style="thin">
          <color theme="0" tint="-0.34998626667073579"/>
        </top>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border diagonalUp="0" diagonalDown="0">
        <left style="thin">
          <color theme="0" tint="-0.34998626667073579"/>
        </left>
        <right style="thin">
          <color theme="0" tint="-0.34998626667073579"/>
        </right>
        <top style="thin">
          <color theme="0" tint="-0.34998626667073579"/>
        </top>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33"/>
      <tableStyleElement type="headerRow" dxfId="532"/>
      <tableStyleElement type="totalRow" dxfId="531"/>
      <tableStyleElement type="firstColumn" dxfId="530"/>
      <tableStyleElement type="firstRowStripe" dxfId="529"/>
      <tableStyleElement type="secondRowStripe" dxfId="528"/>
    </tableStyle>
    <tableStyle name="Equation table" pivot="0" count="6" xr9:uid="{0B4491E8-4F2C-4EE8-9336-DC99561B4B77}">
      <tableStyleElement type="wholeTable" dxfId="527"/>
      <tableStyleElement type="headerRow" dxfId="526"/>
      <tableStyleElement type="totalRow" dxfId="525"/>
      <tableStyleElement type="firstColumn" dxfId="524"/>
      <tableStyleElement type="firstRowStripe" dxfId="523"/>
      <tableStyleElement type="secondRowStripe" dxfId="5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0</xdr:col>
      <xdr:colOff>628650</xdr:colOff>
      <xdr:row>14</xdr:row>
      <xdr:rowOff>142875</xdr:rowOff>
    </xdr:from>
    <xdr:ext cx="2247900" cy="339132"/>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8CE56A45-53A0-717B-826B-6E808FE822A5}"/>
                </a:ext>
              </a:extLst>
            </xdr:cNvPr>
            <xdr:cNvSpPr txBox="1"/>
          </xdr:nvSpPr>
          <xdr:spPr>
            <a:xfrm>
              <a:off x="628650" y="3743325"/>
              <a:ext cx="2247900" cy="339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𝑓</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𝑐𝑓</m:t>
                        </m:r>
                      </m:sub>
                      <m:sup/>
                      <m:e>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𝑐𝑓</m:t>
                            </m:r>
                          </m:sub>
                        </m:sSub>
                      </m:e>
                    </m:nary>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𝑐</m:t>
                        </m:r>
                      </m:sub>
                    </m:sSub>
                  </m:oMath>
                </m:oMathPara>
              </a14:m>
              <a:endParaRPr lang="en-AU" sz="1100"/>
            </a:p>
          </xdr:txBody>
        </xdr:sp>
      </mc:Choice>
      <mc:Fallback>
        <xdr:sp macro="" textlink="">
          <xdr:nvSpPr>
            <xdr:cNvPr id="2" name="TextBox 1">
              <a:extLst>
                <a:ext uri="{FF2B5EF4-FFF2-40B4-BE49-F238E27FC236}">
                  <a16:creationId xmlns:a16="http://schemas.microsoft.com/office/drawing/2014/main" id="{8CE56A45-53A0-717B-826B-6E808FE822A5}"/>
                </a:ext>
              </a:extLst>
            </xdr:cNvPr>
            <xdr:cNvSpPr txBox="1"/>
          </xdr:nvSpPr>
          <xdr:spPr>
            <a:xfrm>
              <a:off x="628650" y="3743325"/>
              <a:ext cx="2247900" cy="339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AU" sz="1100" b="0" i="0">
                  <a:latin typeface="Cambria Math" panose="02040503050406030204" pitchFamily="18" charset="0"/>
                </a:rPr>
                <a:t>𝐸𝐹_𝑓=∑10_𝑐𝑓▒𝐹_𝑐𝑓 ×𝐸𝐹_𝑐</a:t>
              </a:r>
              <a:endParaRPr lang="en-AU" sz="1100"/>
            </a:p>
          </xdr:txBody>
        </xdr:sp>
      </mc:Fallback>
    </mc:AlternateContent>
    <xdr:clientData/>
  </xdr:oneCellAnchor>
  <xdr:oneCellAnchor>
    <xdr:from>
      <xdr:col>0</xdr:col>
      <xdr:colOff>1038225</xdr:colOff>
      <xdr:row>10</xdr:row>
      <xdr:rowOff>38100</xdr:rowOff>
    </xdr:from>
    <xdr:ext cx="1229247" cy="332014"/>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CA5100EA-56ED-C2A9-0FEF-BDD84AD62038}"/>
                </a:ext>
              </a:extLst>
            </xdr:cNvPr>
            <xdr:cNvSpPr txBox="1"/>
          </xdr:nvSpPr>
          <xdr:spPr>
            <a:xfrm>
              <a:off x="1038225" y="2647950"/>
              <a:ext cx="122924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𝑓</m:t>
                            </m:r>
                          </m:sub>
                        </m:sSub>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dr:sp macro="" textlink="">
          <xdr:nvSpPr>
            <xdr:cNvPr id="3" name="TextBox 2">
              <a:extLst>
                <a:ext uri="{FF2B5EF4-FFF2-40B4-BE49-F238E27FC236}">
                  <a16:creationId xmlns:a16="http://schemas.microsoft.com/office/drawing/2014/main" id="{CA5100EA-56ED-C2A9-0FEF-BDD84AD62038}"/>
                </a:ext>
              </a:extLst>
            </xdr:cNvPr>
            <xdr:cNvSpPr txBox="1"/>
          </xdr:nvSpPr>
          <xdr:spPr>
            <a:xfrm>
              <a:off x="1038225" y="2647950"/>
              <a:ext cx="122924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𝐸=∑10_𝑓▒〖𝑇𝑀_𝑓 〗×𝐸𝐹_𝑓</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88"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87"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8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85"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84"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83"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82"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81"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80"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79"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78"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77"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76"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75"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74"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73"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72"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71"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70"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69"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68"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67"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66"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65"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64"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113"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112"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111"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110"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109"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108"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107"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106"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105"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104"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90" dataCellStyle="Content normal"/>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89" dataCellStyle="Content normal"/>
    <tableColumn id="2" xr3:uid="{3C9E3AB6-C1FA-4D37-B176-5BB0B449AAD7}" name="VSL"/>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103"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102"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101"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100"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99"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98" dataCellStyle="Content normal">
  <autoFilter ref="D78:E82" xr:uid="{E34928EB-73E5-43B2-830B-089F30DA4EF0}">
    <filterColumn colId="0" hiddenButton="1"/>
    <filterColumn colId="1" hiddenButton="1"/>
  </autoFilter>
  <tableColumns count="2">
    <tableColumn id="1" xr3:uid="{CAD0F086-96AD-478F-9F97-BB910BCF2E2C}" name="Class" dataDxfId="97"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96"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95"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94"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93"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92"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91"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519" dataCellStyle="Content normal"/>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518"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517"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516"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515"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514"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513"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512"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511"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510"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509"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508"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507"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506"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505"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504"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503"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502"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501"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500"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499"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498"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497"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496"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495"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494"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493"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492"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491"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490"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48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48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48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486"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485"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484"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483"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482"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481"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480"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479"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478"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477"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476"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475"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474"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47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47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47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47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46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46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46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46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46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46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46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462"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O22</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461"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460"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459"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458"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457"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456"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455"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454"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453"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45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45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45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44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44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44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44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44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44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44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44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44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44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43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43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43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43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435"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43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43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43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43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43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42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42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427"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426"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42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42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42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42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42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42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41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41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417" dataCellStyle="Content normal">
      <calculatedColumnFormula>D351</calculatedColumnFormula>
    </tableColumn>
    <tableColumn id="2" xr3:uid="{3A500914-DEBE-4A5B-9EFF-C566204ADAFE}" name="Bulls &lt; 1 year" dataDxfId="416" dataCellStyle="Content normal">
      <calculatedColumnFormula>E351</calculatedColumnFormula>
    </tableColumn>
    <tableColumn id="3" xr3:uid="{B874FEE3-562E-454F-BDBC-45043393C99C}" name="Bulls &gt; 1 year" dataDxfId="415" dataCellStyle="Content normal">
      <calculatedColumnFormula>F351</calculatedColumnFormula>
    </tableColumn>
    <tableColumn id="4" xr3:uid="{B5355347-A1F0-4973-A512-0D2CAACA96EE}" name="Cows &lt; 1 year" dataDxfId="414" dataCellStyle="Content normal">
      <calculatedColumnFormula>G351</calculatedColumnFormula>
    </tableColumn>
    <tableColumn id="5" xr3:uid="{77A191F8-38C3-4F24-9EFF-980D069BC04A}" name="Cows 1-2 years" dataDxfId="413" dataCellStyle="Content normal">
      <calculatedColumnFormula>H351</calculatedColumnFormula>
    </tableColumn>
    <tableColumn id="6" xr3:uid="{C27A0FE8-EB36-45AD-85CC-54422EECF9D4}" name="Cows 2-3 years" dataDxfId="412" dataCellStyle="Content normal">
      <calculatedColumnFormula>I351</calculatedColumnFormula>
    </tableColumn>
    <tableColumn id="7" xr3:uid="{E45A02BC-2BD9-40C3-AA1C-086EE1B3CF4E}" name="Cows &gt; 3 years" dataDxfId="411" dataCellStyle="Content normal">
      <calculatedColumnFormula>I351</calculatedColumnFormula>
    </tableColumn>
    <tableColumn id="8" xr3:uid="{64BCADE5-A30C-422D-95A6-F7AB897FB775}" name="Steers &lt; 1 year" dataDxfId="410" dataCellStyle="Content normal">
      <calculatedColumnFormula>J351</calculatedColumnFormula>
    </tableColumn>
    <tableColumn id="9" xr3:uid="{A3AA722E-C9A8-476C-9FE8-DC46C3A6D9FA}" name="Steers 1-2 years" dataDxfId="409" dataCellStyle="Content normal">
      <calculatedColumnFormula>K351</calculatedColumnFormula>
    </tableColumn>
    <tableColumn id="10" xr3:uid="{CC7AE6BD-32DE-43F2-B3D8-F334FC0BA640}" name="Steers 2-3 years" dataDxfId="408" dataCellStyle="Content normal">
      <calculatedColumnFormula>K351</calculatedColumnFormula>
    </tableColumn>
    <tableColumn id="11" xr3:uid="{B364C281-70AB-4253-BEE3-56EAB88390C8}" name="Steers &gt;3 years" dataDxfId="407" dataCellStyle="Content normal">
      <calculatedColumnFormula>K351</calculatedColumnFormula>
    </tableColumn>
    <tableColumn id="12" xr3:uid="{1B567087-DFFB-45A9-97B9-5D55DA59D657}" name="State abbreviation" dataDxfId="406" dataCellStyle="Content normal">
      <calculatedColumnFormula>L351</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40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404"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403"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402"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40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40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399"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39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39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396"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395"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394" dataDxfId="393" totalsRowDxfId="392">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391" totalsRowDxfId="390" dataCellStyle="Input select"/>
    <tableColumn id="23" xr3:uid="{F727E370-72E8-46CC-9F10-18494CAC017E}" name="Amount applied per hectare" totalsRowFunction="custom" dataDxfId="389" totalsRowDxfId="388">
      <totalsRowFormula>SUM(Table_Input_InorganicFertiliser_Brands[[#Headers],[#Data],[Amount applied per hectare]])</totalsRowFormula>
    </tableColumn>
    <tableColumn id="18" xr3:uid="{2253738D-C34B-45FC-A347-3594DD12A0FD}" name="Application unit" totalsRowDxfId="387"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386"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385" totalsRowDxfId="384">
      <calculatedColumnFormula>$E$9</calculatedColumnFormula>
    </tableColumn>
    <tableColumn id="1" xr3:uid="{DE25213C-DDD2-412A-85A4-29987D633B72}" name="Total applied (kg)" dataDxfId="383" totalsRowDxfId="382"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381" totalsRowDxfId="380"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379" totalsRowDxfId="378"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377"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376" totalsRowDxfId="375"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374" totalsRowDxfId="373"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372" totalsRowDxfId="371"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370" totalsRowDxfId="369"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368"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367"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366"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365"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364"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363" totalsRowDxfId="362"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361" totalsRowDxfId="360"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359" totalsRowDxfId="358"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357" dataDxfId="356">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355"/>
    <tableColumn id="3" xr3:uid="{9EAF254B-17DE-4675-8AF9-F68B80BF582C}" name="Application area (ha)" dataDxfId="354" dataCellStyle="Input number 2 decimal places">
      <calculatedColumnFormula>$E$9</calculatedColumnFormula>
    </tableColumn>
    <tableColumn id="4" xr3:uid="{CFA5CCED-3BC5-4DD2-AC3F-E4DC58D9B605}" name="Total applied (kg)" dataDxfId="353"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352" dataCellStyle="Input select"/>
    <tableColumn id="6" xr3:uid="{3F30B499-2152-42DE-8F13-8F97800C0F82}" name="Ingredient 1 percent" dataDxfId="351"/>
    <tableColumn id="8" xr3:uid="{81DBD2AF-CE79-4DFA-ABE1-18247069D1B2}" name="Ingredient 2" dataDxfId="350" dataCellStyle="Input select"/>
    <tableColumn id="9" xr3:uid="{1CF7EE6F-57DF-414D-AEE5-FBCA6348094D}" name="Ingredient 2 percent" dataDxfId="349"/>
    <tableColumn id="11" xr3:uid="{A18D28AA-C181-4552-8786-2ECF509C16C8}" name="Ingredient 3" dataDxfId="348" dataCellStyle="Input select"/>
    <tableColumn id="12" xr3:uid="{B6A6831A-C9EE-4F80-B87F-A0C4C20DFCFD}" name="Ingredient 3 percent" dataDxfId="347"/>
    <tableColumn id="14" xr3:uid="{4467B432-BBEC-488F-912D-5D7123AE260A}" name="Ingredient 4" dataDxfId="346" dataCellStyle="Input select"/>
    <tableColumn id="15" xr3:uid="{0FA01265-32D2-4FC6-BCD7-17164873ADC9}" name="Ingredient 4 percent" dataCellStyle="Input percent"/>
    <tableColumn id="7" xr3:uid="{BF8B607F-8C2E-4E2B-B89D-E699723F771C}" name="N application rate (kg/ha)" dataDxfId="345"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344"/>
    <tableColumn id="13" xr3:uid="{CA785B69-1D00-4D4E-954C-77FAF8F67EDB}" name="Ammonia source" dataDxfId="343"/>
  </tableColumns>
  <tableStyleInfo name="Editable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SoilAmeliorants" displayName="Table_Input_SoilAmeliorants" ref="D33:K35" totalsRowShown="0" headerRowDxfId="342" dataDxfId="341"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340"/>
    <tableColumn id="2" xr3:uid="{BBD9A28E-9144-4A75-B4E2-101A86320BD7}" name="Amount applied (t/hectare)" dataDxfId="339"/>
    <tableColumn id="4" xr3:uid="{28D6DB55-F183-4018-A8CF-F5EECD3B6F14}" name="Application area (ha)" dataDxfId="338">
      <calculatedColumnFormula>$E$9</calculatedColumnFormula>
    </tableColumn>
    <tableColumn id="3" xr3:uid="{A873C277-F431-4770-984D-50E37F5B322A}" name="Total amount applied (t)" dataDxfId="337" dataCellStyle="Input number general calculated">
      <calculatedColumnFormula>IFERROR(Table_Input_SoilAmeliorants[[#This Row],[Amount applied (t/hectare)]]*Table_Input_SoilAmeliorants[[#This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336">
      <calculatedColumnFormula>SUM(Table_Input_SoilAmeliorants[[#This Row],[Percent Lime CaCO3]:[Percent Gypsum]])</calculatedColumnFormula>
    </tableColumn>
  </tableColumns>
  <tableStyleInfo name="Editable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805B9B9-D4A7-40D9-97DF-7EB3223F48A7}" name="Table_Input_OrganicFertiliser" displayName="Table_Input_OrganicFertiliser" ref="D43:J45" totalsRowShown="0" headerRowDxfId="335" dataDxfId="334" headerRowCellStyle="Input table column header">
  <autoFilter ref="D43:J45"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CD2D85D-8F13-4E36-95FC-BDFFE879E75E}" name="Organic fertiliser type (select)" dataDxfId="333" dataCellStyle="Input select"/>
    <tableColumn id="5" xr3:uid="{90211506-45BB-448E-9141-3C3CE3626033}" name="Percentage of N in fertiliser" dataDxfId="332"/>
    <tableColumn id="2" xr3:uid="{FBF064EA-8FB5-43A6-A6A6-369C36395228}" name="Amount applied (kg/hectare)" dataDxfId="331"/>
    <tableColumn id="11" xr3:uid="{C66580F9-10D5-43D2-89CD-7DC865B9F8D9}" name="Amount N applied (kg/hectare)" dataDxfId="330" dataCellStyle="Input number general calculated">
      <calculatedColumnFormula>Table_Input_OrganicFertiliser[[#This Row],[Amount applied (kg/hectare)]]*Table_Input_OrganicFertiliser[[#This Row],[Percentage of N in fertiliser]]</calculatedColumnFormula>
    </tableColumn>
    <tableColumn id="4" xr3:uid="{446ACDC4-9A1A-43A3-A3FF-9116ED45FD6D}" name="Application area (ha)" dataDxfId="329">
      <calculatedColumnFormula>$E$9</calculatedColumnFormula>
    </tableColumn>
    <tableColumn id="7" xr3:uid="{C9641984-3538-4424-A9FC-1F56669263A3}" name="Total organic fertliser applied" dataDxfId="328" dataCellStyle="Input number general calculated">
      <calculatedColumnFormula>Table_Input_OrganicFertiliser[[#This Row],[Amount applied (kg/hectare)]]*Table_Input_OrganicFertiliser[[#This Row],[Application area (ha)]]</calculatedColumnFormula>
    </tableColumn>
    <tableColumn id="3" xr3:uid="{485BE4F1-40BB-41CE-94E7-8D4A9E8D5E85}" name="Total nitrogen applied (kg)" dataDxfId="327"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16:Q20" totalsRowShown="0">
  <autoFilter ref="D16:Q20"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71:F77" totalsRowShown="0" headerRowCellStyle="Input table column header">
  <autoFilter ref="D71:F77"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63:I64" totalsRowShown="0" headerRowCellStyle="Input table column header">
  <autoFilter ref="D63:I64" xr:uid="{3E433F59-4BF1-4341-8498-3E5DACCDF2D3}">
    <filterColumn colId="0" hiddenButton="1"/>
    <filterColumn colId="1" hiddenButton="1"/>
    <filterColumn colId="2" hiddenButton="1"/>
    <filterColumn colId="3" hiddenButton="1"/>
    <filterColumn colId="4" hiddenButton="1"/>
    <filterColumn colId="5" hiddenButton="1"/>
  </autoFilter>
  <tableColumns count="6">
    <tableColumn id="1" xr3:uid="{8E849261-8F35-48DE-BE22-FE2C6971C01F}" name="Packaging name"/>
    <tableColumn id="3" xr3:uid="{14ED4487-F547-485F-9AFB-212F5584207F}" name="Quantity purchased" dataDxfId="62" dataCellStyle="Input number general"/>
    <tableColumn id="2" xr3:uid="{360D1B02-386E-49B9-8B92-E9676AD4A378}" name="Primary material" dataCellStyle="Input select"/>
    <tableColumn id="5" xr3:uid="{AC8AF35D-3FA8-45F5-B073-74FC83F56B91}" name="Percent of packaging that is primary material" dataCellStyle="Input percent">
      <calculatedColumnFormula>100%</calculatedColumnFormula>
    </tableColumn>
    <tableColumn id="4" xr3:uid="{BBF04413-741D-4D84-88D9-1F89896D7D6F}" name="Weight per unit (kg)" dataCellStyle="Input number general"/>
    <tableColumn id="6" xr3:uid="{AC9E24A5-6B19-4DB6-9EB4-4D59E5AF1CC1}" name="Total weight purchased"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25:R28" totalsRowShown="0">
  <autoFilter ref="D25:R28"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83:F89" totalsRowShown="0" headerRowCellStyle="Input table column header">
  <autoFilter ref="D83:F89" xr:uid="{F7DA8543-C7DE-49A8-A739-D82C85B7B828}">
    <filterColumn colId="0" hiddenButton="1"/>
    <filterColumn colId="1" hiddenButton="1"/>
    <filterColumn colId="2" hiddenButton="1"/>
  </autoFilter>
  <tableColumns count="3">
    <tableColumn id="3" xr3:uid="{69ECF868-4B84-4E9A-96F5-1BDF565F3FD3}" name="Product name" dataDxfId="521" dataCellStyle="Input select"/>
    <tableColumn id="1" xr3:uid="{34C48247-DCDF-4B93-B49D-A318288E0686}" name="Type (select)" dataCellStyle="Input select"/>
    <tableColumn id="2" xr3:uid="{5B0AEBA4-AB33-4382-8634-3F4C8D3B2A9B}" name="Number of head treated" dataCellStyle="Input number general"/>
  </tableColumns>
  <tableStyleInfo name="Editable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34:M36" totalsRowShown="0">
  <autoFilter ref="D34:M3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520" dataCellStyle="Input select"/>
    <tableColumn id="2" xr3:uid="{FA43F52A-7609-4014-A6D3-CAC2C970F57C}" name="Purchase class (select)" dataCellStyle="Input select"/>
    <tableColumn id="6" xr3:uid="{41EDEC1E-1793-4BBD-B0C8-66DE9A0925D5}" name="Source region (Select)"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5" xr3:uid="{0AF052DA-C2BE-4680-AC4D-78306992A2EF}" name="Total liveweight (kg) Method 1" dataCellStyle="Input number general calculated">
      <calculatedColumnFormula>Table_Input_LivestockPurchases_Beefcattle[[#This Row],[Quantity (head)]]*Table_Input_LivestockPurchases_Beefcattle[[#This Row],[Liveweight (kg/head) Method 1]]</calculatedColumnFormula>
    </tableColumn>
    <tableColumn id="4" xr3:uid="{FCB04E36-ABA4-4D11-99EF-B10E5BE997E4}" name="Liveweight (kg/head) Method 2" dataCellStyle="Input number general"/>
    <tableColumn id="14" xr3:uid="{C86DD11E-ABE3-4C6A-B909-DF19FFBDFB14}" name="Total liveweight (kg) Method 2">
      <calculatedColumnFormula>Table_Input_LivestockPurchases_Beefcattle[[#This Row],[Quantity (head)]]*Table_Input_LivestockPurchases_Beefcattle[[#This Row],[Liveweight (kg/head) Method 2]]</calculatedColumnFormula>
    </tableColumn>
  </tableColumns>
  <tableStyleInfo name="Editable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39:K41" totalsRowShown="0">
  <autoFilter ref="D39:K41" xr:uid="{E938BFB3-949A-45DE-8033-0682BC494B8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9915AEA9-40DA-4CFD-B08A-11FBE10BE9CF}" name="Transaction name" dataCellStyle="Input text"/>
    <tableColumn id="11" xr3:uid="{7A96FDED-4DC0-48EE-B346-DC4E5D93138D}" name="Class (select)" dataDxfId="115"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calculatedColumnFormula>
    </tableColumn>
    <tableColumn id="5" xr3:uid="{55FA5B51-6F7A-4B59-BA27-5688D58D5AF6}" name="Total liveweight (kg) Method 1" dataCellStyle="Input number general calculated">
      <calculatedColumnFormula>Table_Input_LivestockPurchases_Dairy[[#This Row],[Quantity (head)]]*Table_Input_LivestockPurchases_Dairy[[#This Row],[Liveweight (kg/head) Method 1]]</calculatedColumnFormula>
    </tableColumn>
    <tableColumn id="4" xr3:uid="{3EB8F618-6435-4043-9718-F3A1ED5E7927}" name="Liveweight (kg/head) Method 2" dataCellStyle="Input number general"/>
    <tableColumn id="14" xr3:uid="{16D6D770-E832-4F88-BD70-D0B2EB396EAD}" name="Total liveweight (kg) Method 2">
      <calculatedColumnFormula>Table_Input_LivestockPurchases_Dairy[[#This Row],[Quantity (head)]]*Table_Input_LivestockPurchases_Dairy[[#This Row],[Liveweight (kg/head) Method 2]]</calculatedColumnFormula>
    </tableColumn>
  </tableColumns>
  <tableStyleInfo name="Editable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44:J46" totalsRowShown="0">
  <autoFilter ref="D44:J46" xr:uid="{14ED7533-62DD-410F-8832-CD98B0CD652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9" xr3:uid="{FC1CEF00-A0CC-4545-ADAB-9F52D190F90C}" name="Transaction name" dataCellStyle="Input text"/>
    <tableColumn id="11" xr3:uid="{45625588-179B-4EE3-98B4-2E94FA489CC5}" name="Class (select)" dataDxfId="114"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Common_InputFunctions.Utility_LookupValueInTableOneColumnAndHeader(#REF!,Table_Input_LivestockPurchases_Pigs[[#This Row],[Class (select)]],Table_SourceData_Dairy_WjCowsHeifers[Breed],Table_SourceData_Dairy_WjCowsHeifers[#Headers],Table_SourceData_Dairy_WjCowsHeifers[])</calculatedColumnFormula>
    </tableColumn>
    <tableColumn id="5" xr3:uid="{E131C9E2-0DB3-4CAB-9432-FEC7D78DCC00}" name="Total liveweight (kg) Method 1" dataCellStyle="Input number general calculated">
      <calculatedColumnFormula>Table_Input_LivestockPurchases_Pigs[[#This Row],[Quantity (head)]]*Table_Input_LivestockPurchases_Pigs[[#This Row],[Liveweight (kg/head) Method 1]]</calculatedColumnFormula>
    </tableColumn>
    <tableColumn id="4" xr3:uid="{BD9ED95C-0B9E-40FD-A95D-F779A9238D47}" name="Liveweight (kg/head) Method 2" dataCellStyle="Input number general"/>
    <tableColumn id="14" xr3:uid="{DF76E449-0B35-4834-9E32-D5E521D88726}" name="Total liveweight (kg) Method 2">
      <calculatedColumnFormula>Table_Input_LivestockPurchases_Pigs[[#This Row],[Quantity (head)]]*Table_Input_LivestockPurchases_Pigs[[#This Row],[Liveweight (kg/head) Method 2]]</calculatedColumnFormula>
    </tableColumn>
  </tableColumns>
  <tableStyleInfo name="Editable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49:J51" totalsRowShown="0">
  <autoFilter ref="D49:J51" xr:uid="{7DCBF554-869B-4226-8D02-B0F5F866C92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9" xr3:uid="{D6ADF99B-6024-404D-ADE3-4453D96F9A44}" name="Transaction name" dataCellStyle="Input text"/>
    <tableColumn id="11" xr3:uid="{4ED1C819-CD4A-4EB7-A045-069B468B975F}" name="Class (select)" dataDxfId="63"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Common_InputFunctions.Utility_LookupValueInTable(Table_Input_LivestockPurchases_Poultry[[#This Row],[Class (select)]], Table_SourceData_Poultry_Liveweights[Livestock class j],Table_SourceData_Poultry_Liveweights[Average liveweight (kg)])</calculatedColumnFormula>
    </tableColumn>
    <tableColumn id="5" xr3:uid="{32C0C282-92E8-4D60-BE6B-19254218BDBC}" name="Total liveweight (kg) Method 1" dataCellStyle="Input number general calculated">
      <calculatedColumnFormula>Table_Input_LivestockPurchases_Poultry[[#This Row],[Quantity (head)]]*Table_Input_LivestockPurchases_Poultry[[#This Row],[Liveweight (kg/head) Method 1]]</calculatedColumnFormula>
    </tableColumn>
    <tableColumn id="4" xr3:uid="{8DF858F5-F15E-47CF-BDC4-8F046EADF36F}" name="Liveweight (kg/head) Method 2" dataCellStyle="Input number general"/>
    <tableColumn id="14" xr3:uid="{B57D2FD4-63F1-4A29-A0F9-8ACCB1E0E32D}" name="Total liveweight (kg) Method 2">
      <calculatedColumnFormula>Table_Input_LivestockPurchases_Poultry[[#This Row],[Quantity (head)]]*Table_Input_LivestockPurchases_Poultry[[#This Row],[Liveweight (kg/head) Method 2]]</calculatedColumnFormula>
    </tableColumn>
  </tableColumns>
  <tableStyleInfo name="Editable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267A0FD-D6FB-4207-BD45-9DE0BB33BDE3}" name="Table_Input_Fuel" displayName="Table_Input_Fuel" ref="D10:I12" totalsRowDxfId="326" headerRowCellStyle="Input table column header">
  <autoFilter ref="D10:I12"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781CF403-6676-4EC1-8C44-392D67F614F9}" name="Fuel use (select)" totalsRowFunction="average" totalsRowDxfId="325" dataCellStyle="Input select" totalsRowCellStyle="Input select"/>
    <tableColumn id="3" xr3:uid="{2F4926CE-6EFC-4996-91EA-985E04C68CA4}" name="Fuel type (select)" totalsRowDxfId="324" dataCellStyle="Input select" totalsRowCellStyle="Input select"/>
    <tableColumn id="4" xr3:uid="{1FFC5489-922D-4440-BFF8-1C82F89D7C13}" name="Amount purchased" totalsRowDxfId="323" totalsRowCellStyle="Content bold"/>
    <tableColumn id="6" xr3:uid="{8FECDE7F-72E1-4F9F-9717-51DFCFC8B7FA}" name="Amount unit" totalsRowDxfId="322" dataCellStyle="Input number general calculated">
      <calculatedColumnFormula array="1">Common_InputFunctions.Utility_LookupValueInTable(Table_Input_Fuel[[#This Row],[Fuel type (select)]],Table_FuelTypes_Units[Fuel type], Table_FuelTypes_Units[Unit])</calculatedColumnFormula>
    </tableColumn>
    <tableColumn id="5" xr3:uid="{133387A9-248F-45F1-96F1-4D2728C0EBB8}" name="Percent consumed" totalsRowDxfId="321" totalsRowCellStyle="Input percent">
      <calculatedColumnFormula>1</calculatedColumnFormula>
    </tableColumn>
    <tableColumn id="1" xr3:uid="{0B1E778F-5088-434C-9ED2-6721724D18B8}" name="Amount consumed" totalsRowFunction="custom" totalsRowDxfId="320"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319"/>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text calculated">
      <calculatedColumnFormula>"Issued for generated electricity"</calculatedColumnFormula>
    </tableColumn>
    <tableColumn id="2" xr3:uid="{89A8CE48-DCCB-4E01-8021-9F8D64DA67F4}" name="Generation date" dataDxfId="318"/>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317"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316"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315"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314"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313"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312"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311"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310"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309"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308"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307"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306"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305"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304"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303"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302"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301"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300"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299"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298"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297"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296"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295"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294"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293"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292"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291"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290"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289"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288"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287"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286"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285"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284"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283"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282"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281"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280"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279"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278"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277"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276"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275"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274"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273"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272"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271"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270"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269"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268"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267"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266"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265"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264"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263"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262"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261"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260"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259"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258"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257"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256"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255"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254"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253"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252"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251"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250"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249"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248"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247"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246"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245"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K52:K62" totalsRowShown="0">
  <autoFilter ref="K52:K62"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244"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243" dataCellStyle="Content normal">
  <autoFilter ref="D40:E47" xr:uid="{879A0650-599F-46E3-BDCA-CF804D191F3B}">
    <filterColumn colId="0" hiddenButton="1"/>
    <filterColumn colId="1" hiddenButton="1"/>
  </autoFilter>
  <tableColumns count="2">
    <tableColumn id="1" xr3:uid="{F237F8B2-5CE9-4094-A201-E708B82BA8BF}" name="Product" dataDxfId="242"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241"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240" dataCellStyle="Content normal">
  <autoFilter ref="D51:E52" xr:uid="{5D161BB1-95E1-405D-861A-B4883D49A51C}">
    <filterColumn colId="0" hiddenButton="1"/>
    <filterColumn colId="1" hiddenButton="1"/>
  </autoFilter>
  <tableColumns count="2">
    <tableColumn id="1" xr3:uid="{44557688-3D5A-45A6-818D-F1328BB9ECC9}" name="Product" dataDxfId="239"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238"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237" dataCellStyle="Content normal">
  <autoFilter ref="D56:E57" xr:uid="{91542D18-4304-4E66-85EA-4F5A2B9391FE}">
    <filterColumn colId="0" hiddenButton="1"/>
    <filterColumn colId="1" hiddenButton="1"/>
  </autoFilter>
  <tableColumns count="2">
    <tableColumn id="1" xr3:uid="{B414FDE1-8B5E-4532-8C69-A9C006972E91}" name="Product" dataDxfId="23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23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234" dataCellStyle="Content normal">
  <autoFilter ref="D61:E62" xr:uid="{4B96D517-47DA-49C8-8030-0D501D458198}">
    <filterColumn colId="0" hiddenButton="1"/>
    <filterColumn colId="1" hiddenButton="1"/>
  </autoFilter>
  <tableColumns count="2">
    <tableColumn id="1" xr3:uid="{20B25AB9-804F-4D21-9C93-F44C0DAF008F}" name="Product" dataDxfId="233"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232"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231"/>
    <tableColumn id="2" xr3:uid="{B4717C55-1B95-4E74-B4A0-5CE7A609A36B}" name="Notes" totalsRowDxfId="230"/>
    <tableColumn id="3" xr3:uid="{D976AB1A-52FF-4FBD-9860-B9717ABA5514}" name="Company" totalsRowDxfId="229"/>
    <tableColumn id="4" xr3:uid="{D8F5EA32-4865-44AD-B9C7-F91CA2638E8B}" name="Product name" totalsRowDxfId="228"/>
    <tableColumn id="5" xr3:uid="{D241BEEC-C636-4A92-9BDB-FA8FAA1CAFB2}" name="Unit" totalsRowDxfId="227"/>
    <tableColumn id="6" xr3:uid="{78DBDBE9-27C7-4A0D-B9DA-9F57440C9DE9}" name="Density / gravity" totalsRowDxfId="226"/>
    <tableColumn id="7" xr3:uid="{A50CBE27-EC38-4A34-A2CE-1002E6BA3DD3}" name="Urea source" totalsRowDxfId="225"/>
    <tableColumn id="8" xr3:uid="{16B5D74A-9810-4E92-A540-3E051DC2151D}" name="Ammonia source" totalsRowDxfId="224"/>
    <tableColumn id="9" xr3:uid="{DA7A3BF5-8B40-4495-AD97-6B95B429B465}" name="Ingredient 1" totalsRowDxfId="223"/>
    <tableColumn id="10" xr3:uid="{2A0B8472-D8FF-4086-BE70-2E8BCA80080B}" name="Ingredient 1 percent" totalsRowDxfId="222"/>
    <tableColumn id="11" xr3:uid="{F12415FE-ED65-47A4-AFBE-CEA738CED011}" name="Ingredient 2" totalsRowDxfId="221"/>
    <tableColumn id="12" xr3:uid="{26500CB3-2A36-4020-8DCD-96905995028A}" name="Ingredient 2 percent" totalsRowDxfId="220"/>
    <tableColumn id="13" xr3:uid="{8F8E6FFC-24C1-4EC1-A491-92E852D1C21B}" name="Ingredient 3" totalsRowDxfId="219"/>
    <tableColumn id="14" xr3:uid="{0D08C50E-A1D4-4D59-8D20-E9C72FE59C88}" name="Ingredient 3 percent" totalsRowDxfId="218"/>
    <tableColumn id="15" xr3:uid="{E71FD370-71A1-4861-8573-8E095564A6C6}" name="Ingredient 4" totalsRowDxfId="217"/>
    <tableColumn id="16" xr3:uid="{05524065-59E0-4732-9D5C-80182402ACED}" name="Ingredient 4 percent" totalsRowDxfId="216"/>
    <tableColumn id="17" xr3:uid="{E73E9DAE-88FE-451C-83BB-46CE2CD11EAC}" name="Ingredient 5" totalsRowDxfId="215"/>
    <tableColumn id="18" xr3:uid="{E43B92CC-872A-4D81-AE03-F2A3A1AA9B65}" name="Ingredient 5 percent" totalsRowDxfId="214"/>
    <tableColumn id="19" xr3:uid="{877362A6-7696-4C2B-9AC9-A50CEF0951B6}" name="Ingredient 6" totalsRowDxfId="213"/>
    <tableColumn id="37" xr3:uid="{22756E59-4033-405C-B6C2-0A2E122D072F}" name="Ingredient 6 percent" totalsRowDxfId="212"/>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211"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21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209"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208" dataCellStyle="Content normal">
  <autoFilter ref="K19:L28" xr:uid="{27B93029-EB1F-4C4A-A946-CD673A8A6C46}">
    <filterColumn colId="0" hiddenButton="1"/>
    <filterColumn colId="1" hiddenButton="1"/>
  </autoFilter>
  <tableColumns count="2">
    <tableColumn id="1" xr3:uid="{D0F0FE53-48EF-4C1D-923D-46B182A1D219}" name="Fertiliser type f" dataDxfId="207"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206"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205" dataCellStyle="Content normal">
  <autoFilter ref="Q19:R28" xr:uid="{791CEA59-796C-47AB-86BC-41E8F699030C}">
    <filterColumn colId="0" hiddenButton="1"/>
    <filterColumn colId="1" hiddenButton="1"/>
  </autoFilter>
  <tableColumns count="2">
    <tableColumn id="1" xr3:uid="{8D461AD8-9C85-4218-9322-36C1AD6A4022}" name="Fertiliser type f" dataDxfId="204"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203"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CFAD1F9-357B-4E9A-9BF7-568A5FEE58F8}" name="Table_Fuel_EFs_StationaryLiquid" displayName="Table_Fuel_EFs_StationaryLiquid" ref="D53:K77" totalsRowShown="0" headerRowDxfId="202" dataDxfId="201">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1EAD390-A165-4CF5-811D-02DF3CC6122A}" name="Fuel combusted" dataDxfId="200">
      <calculatedColumnFormula array="1">Common_InputFunctions.Utility_DisplayArrayInTable(Fuel_SourceData.Fuel_Scope1Scope3EmissionFactorsStationaryLiquid_Data(), Table_Fuel_EFs_StationaryLiquid[[#Headers],[Fuel combusted]],0)</calculatedColumnFormula>
    </tableColumn>
    <tableColumn id="2" xr3:uid="{827023F7-3028-4D85-9495-5B748B5EE973}" name="Energy Content Factor (GJ per unit of fuel)" dataDxfId="199">
      <calculatedColumnFormula array="1">Common_InputFunctions.Utility_DisplayArrayInTable(Fuel_SourceData.Fuel_Scope1Scope3EmissionFactorsStationaryLiquid_Data(), Table_Fuel_EFs_StationaryLiquid[[#Headers],[Fuel combusted]],0)</calculatedColumnFormula>
    </tableColumn>
    <tableColumn id="3" xr3:uid="{95CD1A90-FB03-4C44-B88E-42062FBE8150}" name="Fuel unit" dataDxfId="198">
      <calculatedColumnFormula array="1">Common_InputFunctions.Utility_DisplayArrayInTable(Fuel_SourceData.Fuel_Scope1Scope3EmissionFactorsStationaryLiquid_Data(), Table_Fuel_EFs_StationaryLiquid[[#Headers],[Fuel combusted]],0)</calculatedColumnFormula>
    </tableColumn>
    <tableColumn id="4" xr3:uid="{70FA4D07-8C73-4D10-8D26-15EFA5949D79}" name="Scope 1 Emission Factor (kg CO2 - e / GJ) CO2" dataDxfId="197">
      <calculatedColumnFormula array="1">Common_InputFunctions.Utility_DisplayArrayInTable(Fuel_SourceData.Fuel_Scope1Scope3EmissionFactorsStationaryLiquid_Data(), Table_Fuel_EFs_StationaryLiquid[[#Headers],[Fuel combusted]],0)</calculatedColumnFormula>
    </tableColumn>
    <tableColumn id="5" xr3:uid="{68FF4932-1A0B-4AAE-B0F7-032438A6B3EF}" name="Scope 1 Emission Factor (kg CO2 - e / GJ) CH4" dataDxfId="196">
      <calculatedColumnFormula array="1">Common_InputFunctions.Utility_DisplayArrayInTable(Fuel_SourceData.Fuel_Scope1Scope3EmissionFactorsStationaryLiquid_Data(), Table_Fuel_EFs_StationaryLiquid[[#Headers],[Fuel combusted]],0)</calculatedColumnFormula>
    </tableColumn>
    <tableColumn id="6" xr3:uid="{74AB285E-9F41-42F4-9480-8B6E20F00170}" name="Scope 1 Emission Factor (kg CO2 - e / GJ) N2O" dataDxfId="195">
      <calculatedColumnFormula array="1">Common_InputFunctions.Utility_DisplayArrayInTable(Fuel_SourceData.Fuel_Scope1Scope3EmissionFactorsStationaryLiquid_Data(), Table_Fuel_EFs_StationaryLiquid[[#Headers],[Fuel combusted]],0)</calculatedColumnFormula>
    </tableColumn>
    <tableColumn id="7" xr3:uid="{919F6E26-F47B-44D4-8F8A-F77852562840}" name="Scope 1 Emission Factor (kg CO2 - e / GJ) Combined gases" dataDxfId="194">
      <calculatedColumnFormula array="1">Common_InputFunctions.Utility_DisplayArrayInTable(Fuel_SourceData.Fuel_Scope1Scope3EmissionFactorsStationaryLiquid_Data(), Table_Fuel_EFs_StationaryLiquid[[#Headers],[Fuel combusted]],0)</calculatedColumnFormula>
    </tableColumn>
    <tableColumn id="8" xr3:uid="{8E75003A-B04A-4F86-ABC3-FA8871623358}" name="Scope 3 Emission Factor (kg CO2 - e / GJ)" dataDxfId="193">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AA5F61A-4262-4F3A-95EB-A93E25339244}" name="Table_Fuel_EFs_Transport" displayName="Table_Fuel_EFs_Transport" ref="D9:L34" totalsRowShown="0" headerRowDxfId="192" dataDxfId="191">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A45EFC1-BBA2-4419-A8C5-29C74BC547EA}" name="Transport type" dataDxfId="190">
      <calculatedColumnFormula array="1">Common_InputFunctions.Utility_DisplayArrayInTable(Fuel_SourceData.Fuel_Scope1Scope3EmissionFactorsTransport_Data(), Table_Fuel_EFs_Transport[[#Headers],[Transport type]], 0)</calculatedColumnFormula>
    </tableColumn>
    <tableColumn id="2" xr3:uid="{224A088D-05DA-40A3-A15F-06398D522FEE}" name="Fuel combusted" dataDxfId="189">
      <calculatedColumnFormula array="1">Common_InputFunctions.Utility_DisplayArrayInTable(Fuel_SourceData.Fuel_Scope1Scope3EmissionFactorsTransport_Data(), Table_Fuel_EFs_Transport[[#Headers],[Transport type]], 0)</calculatedColumnFormula>
    </tableColumn>
    <tableColumn id="3" xr3:uid="{75DE7DF1-2BB5-4CDD-B9D7-7F717AC0CD85}" name="Energy Content Factor (GJ per unit of fuel)" dataDxfId="188">
      <calculatedColumnFormula array="1">Common_InputFunctions.Utility_DisplayArrayInTable(Fuel_SourceData.Fuel_Scope1Scope3EmissionFactorsTransport_Data(), Table_Fuel_EFs_Transport[[#Headers],[Transport type]], 0)</calculatedColumnFormula>
    </tableColumn>
    <tableColumn id="4" xr3:uid="{E500D0BD-60DD-4567-8451-39BE27936894}" name="Fuel unit" dataDxfId="187">
      <calculatedColumnFormula array="1">Common_InputFunctions.Utility_DisplayArrayInTable(Fuel_SourceData.Fuel_Scope1Scope3EmissionFactorsTransport_Data(), Table_Fuel_EFs_Transport[[#Headers],[Transport type]], 0)</calculatedColumnFormula>
    </tableColumn>
    <tableColumn id="8" xr3:uid="{FC2F71DF-38A6-4790-A301-A7332A75253D}" name="Scope 1 Emission Factor (kg CO2 - e / GJ) CO2" dataDxfId="186">
      <calculatedColumnFormula array="1">Common_InputFunctions.Utility_DisplayArrayInTable(Fuel_SourceData.Fuel_Scope1Scope3EmissionFactorsTransport_Data(), Table_Fuel_EFs_Transport[[#Headers],[Transport type]], 0)</calculatedColumnFormula>
    </tableColumn>
    <tableColumn id="9" xr3:uid="{D4543D4D-0092-4EC5-AA44-71A479222245}" name="Scope 1 Emission Factor (kg CO2 - e / GJ) CH4" dataDxfId="185">
      <calculatedColumnFormula array="1">Common_InputFunctions.Utility_DisplayArrayInTable(Fuel_SourceData.Fuel_Scope1Scope3EmissionFactorsTransport_Data(), Table_Fuel_EFs_Transport[[#Headers],[Transport type]], 0)</calculatedColumnFormula>
    </tableColumn>
    <tableColumn id="10" xr3:uid="{B5607479-2150-4D0C-B63E-40339A07E18B}" name="Scope 1 Emission Factor (kg CO2 - e / GJ) N2O" dataDxfId="184">
      <calculatedColumnFormula array="1">Common_InputFunctions.Utility_DisplayArrayInTable(Fuel_SourceData.Fuel_Scope1Scope3EmissionFactorsTransport_Data(), Table_Fuel_EFs_Transport[[#Headers],[Transport type]], 0)</calculatedColumnFormula>
    </tableColumn>
    <tableColumn id="11" xr3:uid="{43747F08-7A31-41DE-ACFD-063A0F79AB6E}" name="Scope 1 Emission Factor (kg CO2 - e / GJ) Combined gases" dataDxfId="183">
      <calculatedColumnFormula array="1">Common_InputFunctions.Utility_DisplayArrayInTable(Fuel_SourceData.Fuel_Scope1Scope3EmissionFactorsTransport_Data(), Table_Fuel_EFs_Transport[[#Headers],[Transport type]], 0)</calculatedColumnFormula>
    </tableColumn>
    <tableColumn id="12" xr3:uid="{F6090CD5-BDCC-4411-986A-078847F6B0C6}" name="Scope 3 Emission Factor (kg CO2 - e / GJ)" dataDxfId="182">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7AFDC5D-06D3-447D-8A41-03EFC9A42CCC}" name="Table_FuelTypesPerUse" displayName="Table_FuelTypesPerUse" ref="D130:J139" totalsRowShown="0" headerRowDxfId="181" dataDxfId="180">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2C84CAF-1D4E-4BFD-B6D4-BC01CDEA185B}" name="Generators" dataDxfId="179"/>
    <tableColumn id="2" xr3:uid="{13C467F2-26C0-4F6F-B92F-24A4B990E442}" name="Power standalone machinery or heating" dataDxfId="178"/>
    <tableColumn id="3" xr3:uid="{15E7EDC3-8A83-409D-86B7-926996BE8FBC}" name="Aviation" dataDxfId="177"/>
    <tableColumn id="5" xr3:uid="{F31E6FAB-A518-436D-BFB8-D7426676641C}" name="Cars and light commercial vehicles" dataDxfId="176"/>
    <tableColumn id="7" xr3:uid="{6CC11CFE-89B6-44EE-8AED-42AC5C27DB07}" name="Off-road Agriculture and forestry equipment" dataDxfId="175" dataCellStyle="Content bold"/>
    <tableColumn id="8" xr3:uid="{30476670-3728-4B3D-9436-B58D01B767DE}" name="Vessels" dataDxfId="174" dataCellStyle="Content bold"/>
    <tableColumn id="6" xr3:uid="{701F62A8-8600-449C-8513-D7CA0BE9C5D9}" name="General use" dataDxfId="173"/>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7DAB406-894F-41F4-906E-113BFCEE85CC}" name="Table_Fuel_EFs_StationaryGaseous" displayName="Table_Fuel_EFs_StationaryGaseous" ref="D86:J104" totalsRowShown="0" headerRowDxfId="172" dataDxfId="171">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BDA893E-1333-4322-A590-891306E9E387}" name="Fuel combusted" dataDxfId="170">
      <calculatedColumnFormula array="1">Common_InputFunctions.Utility_DisplayArrayInTable(Fuel_SourceData.Fuel_Scope1EmissionFactorsStationaryGaseous_Data(), Table_Fuel_EFs_StationaryGaseous[[#Headers],[Fuel combusted]],0)</calculatedColumnFormula>
    </tableColumn>
    <tableColumn id="2" xr3:uid="{38367592-76AE-45D2-B6D4-5929A49972EE}" name="Energy Content Factor (GJ per unit of fuel)" dataDxfId="169">
      <calculatedColumnFormula array="1">Common_InputFunctions.Utility_DisplayArrayInTable(Fuel_SourceData.Fuel_Scope1EmissionFactorsStationaryGaseous_Data(), Table_Fuel_EFs_StationaryGaseous[[#Headers],[Fuel combusted]],0)</calculatedColumnFormula>
    </tableColumn>
    <tableColumn id="3" xr3:uid="{00870644-2E36-4B78-9D02-8F6CF2F72A99}" name="Fuel unit" dataDxfId="168">
      <calculatedColumnFormula array="1">Common_InputFunctions.Utility_DisplayArrayInTable(Fuel_SourceData.Fuel_Scope1EmissionFactorsStationaryGaseous_Data(), Table_Fuel_EFs_StationaryGaseous[[#Headers],[Fuel combusted]],0)</calculatedColumnFormula>
    </tableColumn>
    <tableColumn id="4" xr3:uid="{A6B1DC50-B678-4D8C-84F6-2D23F3C1CAE0}" name="Scope 1 Emission Factor (kg CO2 - e / GJ) CO2" dataDxfId="167">
      <calculatedColumnFormula array="1">Common_InputFunctions.Utility_DisplayArrayInTable(Fuel_SourceData.Fuel_Scope1EmissionFactorsStationaryGaseous_Data(), Table_Fuel_EFs_StationaryGaseous[[#Headers],[Fuel combusted]],0)</calculatedColumnFormula>
    </tableColumn>
    <tableColumn id="5" xr3:uid="{E52DF7F4-7719-4DF3-9AFB-399F8B29E674}" name="Scope 1 Emission Factor (kg CO2 - e / GJ) CH4" dataDxfId="166">
      <calculatedColumnFormula array="1">Common_InputFunctions.Utility_DisplayArrayInTable(Fuel_SourceData.Fuel_Scope1EmissionFactorsStationaryGaseous_Data(), Table_Fuel_EFs_StationaryGaseous[[#Headers],[Fuel combusted]],0)</calculatedColumnFormula>
    </tableColumn>
    <tableColumn id="6" xr3:uid="{FDBC52B6-A9F5-4E7B-89F3-3D0A826BE58B}" name="Scope 1 Emission Factor (kg CO2 - e / GJ) N2O" dataDxfId="165">
      <calculatedColumnFormula array="1">Common_InputFunctions.Utility_DisplayArrayInTable(Fuel_SourceData.Fuel_Scope1EmissionFactorsStationaryGaseous_Data(), Table_Fuel_EFs_StationaryGaseous[[#Headers],[Fuel combusted]],0)</calculatedColumnFormula>
    </tableColumn>
    <tableColumn id="7" xr3:uid="{8A5F1E8A-C5A0-47A2-9D51-73E35B1CA896}" name="Scope 1 Emission Factor (kg CO2 - e / GJ) Combined gases" dataDxfId="164">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FCE6CEF-80AF-40E1-8702-6CD9388D18D3}" name="Table_Fuel_EFs_StationaryGaseous34" displayName="Table_Fuel_EFs_StationaryGaseous34" ref="D112:F120" headerRowDxfId="163" totalsRowDxfId="162">
  <autoFilter ref="D112:F120" xr:uid="{7D6CE29D-2354-4FAC-9965-9A66FFA42416}">
    <filterColumn colId="0" hiddenButton="1"/>
    <filterColumn colId="1" hiddenButton="1"/>
    <filterColumn colId="2" hiddenButton="1"/>
  </autoFilter>
  <tableColumns count="3">
    <tableColumn id="1" xr3:uid="{8D6A4518-28FB-4E57-835D-24D2CCAEED45}" name="State or territory" totalsRowDxfId="161">
      <calculatedColumnFormula array="1">Common_InputFunctions.Utility_DisplayArrayInTable(Fuel_SourceData.Fuel_Scope3EmissionFactorsStationaryGaseous_Data(), Table_Fuel_EFs_StationaryGaseous34[[#Headers],[State or territory]],0)</calculatedColumnFormula>
    </tableColumn>
    <tableColumn id="2" xr3:uid="{9DBF4953-2B5B-42B3-B3FC-2DF4BB8C15C2}" name="Scope 3 Emission Factors for Natural Gas (kg CO2 - e / GJ) Metro" totalsRowDxfId="160">
      <calculatedColumnFormula array="1">Common_InputFunctions.Utility_DisplayArrayInTable(Fuel_SourceData.Fuel_Scope3EmissionFactorsStationaryGaseous_Data(), Table_Fuel_EFs_StationaryGaseous34[[#Headers],[State or territory]],0)</calculatedColumnFormula>
    </tableColumn>
    <tableColumn id="3" xr3:uid="{5695C453-A4EF-4D74-BA70-DA5E5353CD05}" name="Scope 3 Emission Factors for Natural Gas (kg CO2 - e / GJ) Non - Metro" totalsRowDxfId="159">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9BDC4CA-6D46-463E-BADD-D4EA8B2F0EBF}" name="Table_FuelTypes_Units" displayName="Table_FuelTypes_Units" ref="D142:E162" totalsRowShown="0">
  <autoFilter ref="D142:E162" xr:uid="{74386805-E5CF-44F9-982C-CBCADB323E30}">
    <filterColumn colId="0" hiddenButton="1"/>
    <filterColumn colId="1" hiddenButton="1"/>
  </autoFilter>
  <tableColumns count="2">
    <tableColumn id="1" xr3:uid="{6CBC9B5C-6726-4DC1-9600-721A28731D64}" name="Fuel type"/>
    <tableColumn id="2" xr3:uid="{6FFA818F-5BB0-4361-8331-ED9FA25606D7}" name="Unit"/>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A8EA256-ED3E-4D0F-8436-37C5D8985B9C}"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1DB722-5AF6-4454-AEBA-D35FA4DAF799}"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E6AC57B1-5510-4EBC-B43D-B0DDCC08CB21}" name="Fuel type q" dataDxfId="15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88DBA76E-76AC-4486-B247-982B05E10400}" name="ECTrans,q (GJ/kL)" dataDxfId="15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1959CC89-F95D-48FE-87A3-0627BE1BE6F9}" name="Scope 1 CO2 EFTran,1,tqg (kg CO2-e/GJ)" dataDxfId="15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CB254646-856A-4B00-8EBE-A4A31332D43C}" name="Scope 1 CH4 EFTran,1,tgg (kg CO2-e/GJ)" dataDxfId="1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56297AA0-E4D0-4108-8B54-13BF95E1F926}" name="Scope 1 N2O EFTran,1,tgg (kg CO2-e/GJ)" dataDxfId="15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DA06FFF1-B19C-4E1F-AB30-860AD3C9F309}" name="Scope 3 EFTrans,3,q (kg CO2-e/GJ)" dataDxfId="1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152">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7A892-76D9-4FF5-8ABA-2F6CD6D9A8B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9EC0254-AE44-46EF-AB62-962F2DA92CF8}" name="State/Territory">
      <calculatedColumnFormula array="1">Common_InputFunctions.Utility_DisplayArrayInTable(Common_SourceData.Common_SourceData_AustralianStatesTerritories_Data(),Table_AustralianStates[[#Headers],[State/Territory]],0)</calculatedColumnFormula>
    </tableColumn>
    <tableColumn id="2" xr3:uid="{9F39799F-8CAB-4E46-B72A-746CF765B678}" name="Common Name">
      <calculatedColumnFormula array="1">Common_InputFunctions.Utility_DisplayArrayInTable(Common_SourceData.Common_SourceData_AustralianStatesTerritories_Data(),Table_AustralianStates[[#Headers],[State/Territory]],0)</calculatedColumnFormula>
    </tableColumn>
    <tableColumn id="3" xr3:uid="{7E1866D1-FF5F-4918-A832-3B78B5B2AE8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38D8B0-3EE0-47C8-86DC-72F6646656FA}" name="Table_WASA4Areas" displayName="Table_WASA4Areas" ref="D20:D30" totalsRowShown="0">
  <autoFilter ref="D20:D30" xr:uid="{5FA81339-C6C8-4D36-BEEA-6C4AEDD9E676}">
    <filterColumn colId="0" hiddenButton="1"/>
  </autoFilter>
  <tableColumns count="1">
    <tableColumn id="1" xr3:uid="{3BA89BE8-8E41-4B7C-A584-33B71707722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08DFD7-4C9F-4BCE-B0C2-D2FC84F2F043}" name="Table_GWPData" displayName="Table_GWPData" ref="D36:E43" totalsRowShown="0">
  <autoFilter ref="D36:E43" xr:uid="{B8E87A66-3E41-4AD3-925D-01EE21B43D7A}">
    <filterColumn colId="0" hiddenButton="1"/>
    <filterColumn colId="1" hiddenButton="1"/>
  </autoFilter>
  <tableColumns count="2">
    <tableColumn id="1" xr3:uid="{888A1533-119E-4C94-9619-3D55E4703AF1}" name="Gas">
      <calculatedColumnFormula array="1">Common_InputFunctions.Utility_DisplayArrayInTable(Common_SourceData.Common_SourceData_GWP_Data(), Table_GWPData[[#Headers],[Gas]], 0)</calculatedColumnFormula>
    </tableColumn>
    <tableColumn id="2" xr3:uid="{ED3B0B3E-2E14-438F-987C-B348589529F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8E4C51-2085-43DA-8EFE-E5E01394321E}"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3B3F5C-1235-4393-B133-4240B1C3B384}" name="Gas">
      <calculatedColumnFormula array="1">Common_InputFunctions.Utility_DisplayArrayInTable(Common_SourceData.Common_SourceData_ConvertGasElementalToMolecular_Data(),Table_GasToMolecularConversionFactor[[#Headers],[Gas]], 0)</calculatedColumnFormula>
    </tableColumn>
    <tableColumn id="5" xr3:uid="{E4D22D23-03D4-4BF3-9B9D-A9BEFBA8B012}" name="Conversion factor">
      <calculatedColumnFormula array="1">Common_InputFunctions.Utility_DisplayArrayInTable(Common_SourceData.Common_SourceData_ConvertGasElementalToMolecular_Data(),Table_GasToMolecularConversionFactor[[#Headers],[Gas]], 0)</calculatedColumnFormula>
    </tableColumn>
    <tableColumn id="2" xr3:uid="{6C0239C4-69EA-4440-B62B-A8C51324283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066FE24-EADB-493E-8743-0C8131F7D4D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3D0EE8E-5934-4338-B910-D2F33A230FF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A26F12-6AF9-4548-B1EE-21B1534565D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C6B3486-49D7-4538-ACF2-DEE719FEE0C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430E360-7307-4C08-9F92-83E29583AB90}" name="MAT"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3" xr3:uid="{F4467F45-5530-4233-942C-4ACB969564E5}" name="MAP" totalsRowDxfId="150" totalsRowCellStyle="Content bold">
      <calculatedColumnFormula array="1">Common_InputFunctions.Utility_DisplayArrayInTable(Common_SourceData.Common_SourceData_ClimateZones_Data(), Table_SourceData_ClimateZones[[#Headers],[Climate zone]], 0)</calculatedColumnFormula>
    </tableColumn>
    <tableColumn id="4" xr3:uid="{9EEF2903-2BF6-4F6B-B136-3FEDE2DB9CEB}" name="Frost days per year" totalsRowDxfId="149" totalsRowCellStyle="Content bold">
      <calculatedColumnFormula array="1">Common_InputFunctions.Utility_DisplayArrayInTable(Common_SourceData.Common_SourceData_ClimateZones_Data(), Table_SourceData_ClimateZones[[#Headers],[Climate zone]], 0)</calculatedColumnFormula>
    </tableColumn>
    <tableColumn id="5" xr3:uid="{B6FD8938-ECDC-4294-AB6B-E04EEB72C5A2}" name="Elevation"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6" xr3:uid="{3F552D4D-BF16-40BD-AA41-C77F74C670B2}" name="MAP:PET"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7" xr3:uid="{E5C65E8B-AADF-40BE-9BD2-C1476F37E957}" name="Min temp"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8" xr3:uid="{08E958E2-4C27-404B-A875-F3C770581676}" name="Max temp" totalsRowDxfId="145" totalsRowCellStyle="Content bold">
      <calculatedColumnFormula array="1">Common_InputFunctions.Utility_DisplayArrayInTable(Common_SourceData.Common_SourceData_ClimateZones_Data(), Table_SourceData_ClimateZones[[#Headers],[Climate zone]], 0)</calculatedColumnFormula>
    </tableColumn>
    <tableColumn id="9" xr3:uid="{7D7A970E-B351-4D71-A612-842802BB985D}" name="Min rainfall" totalsRowDxfId="144" totalsRowCellStyle="Content bold">
      <calculatedColumnFormula array="1">Common_InputFunctions.Utility_DisplayArrayInTable(Common_SourceData.Common_SourceData_ClimateZones_Data(), Table_SourceData_ClimateZones[[#Headers],[Climate zone]], 0)</calculatedColumnFormula>
    </tableColumn>
    <tableColumn id="10" xr3:uid="{49C809EA-E0A9-41C4-868D-793286E36F2B}" name="Max rainfall" totalsRowDxfId="143" totalsRowCellStyle="Content bold">
      <calculatedColumnFormula array="1">Common_InputFunctions.Utility_DisplayArrayInTable(Common_SourceData.Common_SourceData_ClimateZones_Data(), Table_SourceData_ClimateZones[[#Headers],[Climate zone]], 0)</calculatedColumnFormula>
    </tableColumn>
    <tableColumn id="11" xr3:uid="{B1FF0B1F-5E45-4110-9A72-2A319490A453}" name="Min frost days" totalsRowDxfId="142" totalsRowCellStyle="Content bold">
      <calculatedColumnFormula array="1">Common_InputFunctions.Utility_DisplayArrayInTable(Common_SourceData.Common_SourceData_ClimateZones_Data(), Table_SourceData_ClimateZones[[#Headers],[Climate zone]], 0)</calculatedColumnFormula>
    </tableColumn>
    <tableColumn id="15" xr3:uid="{6AB643FE-61A3-423D-BB53-5DE0D20514B5}" name="Max frost days" totalsRowDxfId="141" totalsRowCellStyle="Content bold">
      <calculatedColumnFormula array="1">Common_InputFunctions.Utility_DisplayArrayInTable(Common_SourceData.Common_SourceData_ClimateZones_Data(), Table_SourceData_ClimateZones[[#Headers],[Climate zone]], 0)</calculatedColumnFormula>
    </tableColumn>
    <tableColumn id="12" xr3:uid="{6144588B-386A-4107-96C6-5F981B7BA217}" name="Min elevation" totalsRowDxfId="140" totalsRowCellStyle="Content bold">
      <calculatedColumnFormula array="1">Common_InputFunctions.Utility_DisplayArrayInTable(Common_SourceData.Common_SourceData_ClimateZones_Data(), Table_SourceData_ClimateZones[[#Headers],[Climate zone]], 0)</calculatedColumnFormula>
    </tableColumn>
    <tableColumn id="16" xr3:uid="{614B562B-0105-47AA-9220-C9EA1B579AED}" name="Max elevation" totalsRowDxfId="139" totalsRowCellStyle="Content bold">
      <calculatedColumnFormula array="1">Common_InputFunctions.Utility_DisplayArrayInTable(Common_SourceData.Common_SourceData_ClimateZones_Data(), Table_SourceData_ClimateZones[[#Headers],[Climate zone]], 0)</calculatedColumnFormula>
    </tableColumn>
    <tableColumn id="13" xr3:uid="{239FA065-F63F-4C9F-AD9B-CFE1272003C9}" name="Min MAP:PET" totalsRowDxfId="138" totalsRowCellStyle="Content bold">
      <calculatedColumnFormula array="1">Common_InputFunctions.Utility_DisplayArrayInTable(Common_SourceData.Common_SourceData_ClimateZones_Data(), Table_SourceData_ClimateZones[[#Headers],[Climate zone]], 0)</calculatedColumnFormula>
    </tableColumn>
    <tableColumn id="17" xr3:uid="{FD12F5C9-165F-40ED-A122-378232714430}" name="Max MAP:PET" totalsRowDxfId="13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5AD2D5-D5D7-4345-BA34-DF9B62800DA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DD06219-259D-4CFE-B6D5-0EC6DE16CEE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26BA3E3-F7E9-48B8-A53D-2530CE7C233B}" name="Wet or Dry Zone" totalsRowDxfId="13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1EC85A-B24D-4F82-BB56-1C8B863429D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3149608-0FA0-44DE-B096-C85ED4EB84FB}" name="Temperature Zone">
      <calculatedColumnFormula array="1">Common_InputFunctions.Utility_DisplayArrayInTable(Common_SourceData.Common_SourceData_TemperatureZones_Data(),Table_SourceData_TemperatureZones[[#Headers],[Temperature Zone]],0)</calculatedColumnFormula>
    </tableColumn>
    <tableColumn id="2" xr3:uid="{4D7CB2C6-C4FE-4A22-9AA6-F3B0C577CFED}" name="MAT">
      <calculatedColumnFormula array="1">Common_InputFunctions.Utility_DisplayArrayInTable(Common_SourceData.Common_SourceData_TemperatureZones_Data(),Table_SourceData_TemperatureZones[[#Headers],[Temperature Zone]],0)</calculatedColumnFormula>
    </tableColumn>
    <tableColumn id="3" xr3:uid="{1B7D0921-C182-431E-B7DA-E23F39A86F35}" name="Min MAT">
      <calculatedColumnFormula array="1">Common_InputFunctions.Utility_DisplayArrayInTable(Common_SourceData.Common_SourceData_TemperatureZones_Data(),Table_SourceData_TemperatureZones[[#Headers],[Temperature Zone]],0)</calculatedColumnFormula>
    </tableColumn>
    <tableColumn id="4" xr3:uid="{6DD72040-0F6C-40C7-BDEC-426AE52FA8E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E351D7-1C00-4896-BD43-F225E5B19B4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79589F9-D9B1-4633-8382-9C1EA29CD847}" name="Rainfall Zone">
      <calculatedColumnFormula array="1">Common_InputFunctions.Utility_DisplayArrayInTable(Common_SourceData.Common_SourceData_RainfallZones_Data(),Table_SourceData_RainfallZones[[#Headers],[Rainfall Zone]],0)</calculatedColumnFormula>
    </tableColumn>
    <tableColumn id="2" xr3:uid="{2D65A4B6-3313-47B3-BFDD-4CC3D626CE11}" name="Annual rainfall">
      <calculatedColumnFormula array="1">Common_InputFunctions.Utility_DisplayArrayInTable(Common_SourceData.Common_SourceData_RainfallZones_Data(),Table_SourceData_RainfallZones[[#Headers],[Rainfall Zone]],0)</calculatedColumnFormula>
    </tableColumn>
    <tableColumn id="3" xr3:uid="{9257B0DC-3602-4FF0-AA83-2B48CA1B7007}" name="Min rainfall">
      <calculatedColumnFormula array="1">Common_InputFunctions.Utility_DisplayArrayInTable(Common_SourceData.Common_SourceData_RainfallZones_Data(),Table_SourceData_RainfallZones[[#Headers],[Rainfall Zone]],0)</calculatedColumnFormula>
    </tableColumn>
    <tableColumn id="4" xr3:uid="{D0D6BC98-36F4-42A0-BE05-35ECBE3D542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012760-1630-497E-A797-08D1E1F6B69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B14FE04-CFAD-4DBB-86A2-F792A6517A93}" name="Leaching Zone">
      <calculatedColumnFormula array="1">Common_InputFunctions.Utility_DisplayArrayInTable(Common_SourceData.Common_SourceData_LeachingZones_Data(), Table_SourceData_LeachingZones[[#Headers],[Leaching Zone]], 0)</calculatedColumnFormula>
    </tableColumn>
    <tableColumn id="2" xr3:uid="{0B59772A-D315-4592-AD70-575906A2AD5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731BC8A-327D-4507-BA96-62EB47E5FFC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1CD2D-6040-447E-9FC3-3ED89467ED97}" name="Data source">
      <calculatedColumnFormula array="1">Common_InputFunctions.Utility_DisplayArrayInTable(Common_SourceData.Common_SourceData_DataScores_Scope3_Data(), Table_SourceData_DataScores_Scope3[[#Headers],[Data source]], 0)</calculatedColumnFormula>
    </tableColumn>
    <tableColumn id="2" xr3:uid="{8D0BAF55-142E-4DA3-8079-A94EBBC5F1D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90D7458-5A20-4A54-AFF2-AAF23DDF0485}" name="Table_SourceData_FracWET" displayName="Table_SourceData_FracWET" ref="D134:E136" totalsRowShown="0">
  <autoFilter ref="D134:E136" xr:uid="{308E99BE-FE1F-47A4-B2CA-97217277C4E9}">
    <filterColumn colId="0" hiddenButton="1"/>
    <filterColumn colId="1" hiddenButton="1"/>
  </autoFilter>
  <tableColumns count="2">
    <tableColumn id="1" xr3:uid="{9830E341-7ABB-42DB-9F7D-01E9767F30DE}" name="Is in leaching zone">
      <calculatedColumnFormula array="1">Common_InputFunctions.Utility_DisplayArrayInTable(Common_SourceData.Common_SourceData_FracWET_Data(),Table_SourceData_FracWET[[#Headers],[Is in leaching zone]],0)</calculatedColumnFormula>
    </tableColumn>
    <tableColumn id="2" xr3:uid="{AEA5E891-232A-4D87-AF46-421D254B183B}" name="FracWET" dataDxfId="13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78AB1AD-887A-4C39-B46C-CE2FA11EAAE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71CE791-A500-468F-A2B7-A51CB7B2EC57}" name="Production system j">
      <calculatedColumnFormula array="1">Common_InputFunctions.Utility_DisplayArrayInTable(Common_SourceData.Common_SourceData_EFN2O_Data(), Table_SourceData_Common_EFN2O[[#Headers],[Production system j]], 0)</calculatedColumnFormula>
    </tableColumn>
    <tableColumn id="2" xr3:uid="{C1449596-5881-40B4-8E7D-3782FE658918}" name="EFN2O">
      <calculatedColumnFormula array="1">Common_InputFunctions.Utility_DisplayArrayInTable(Common_SourceData.Common_SourceData_EFN2O_Data(), Table_SourceData_Common_EFN2O[[#Headers],[Production system j]], 0)</calculatedColumnFormula>
    </tableColumn>
    <tableColumn id="3" xr3:uid="{09CF8BE8-441C-47CB-958F-EB4D559E0582}" name="Production system only">
      <calculatedColumnFormula array="1">Common_InputFunctions.Utility_DisplayArrayInTable(Common_SourceData.Common_SourceData_EFN2O_Data(), Table_SourceData_Common_EFN2O[[#Headers],[Production system j]], 0)</calculatedColumnFormula>
    </tableColumn>
    <tableColumn id="4" xr3:uid="{F610A84C-EEAD-4EF9-BEC4-73562831B4C9}" name="Irrigation method">
      <calculatedColumnFormula array="1">Common_InputFunctions.Utility_DisplayArrayInTable(Common_SourceData.Common_SourceData_EFN2O_Data(), Table_SourceData_Common_EFN2O[[#Headers],[Production system j]], 0)</calculatedColumnFormula>
    </tableColumn>
    <tableColumn id="5" xr3:uid="{8C99980D-FA84-4B4B-A21E-AE78441F894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F546B94-3041-42AC-A3DE-C153DA5CD7C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CD226A8-B698-4C42-A7CD-F757B6B0E0BF}" name="Irrigation type i">
      <calculatedColumnFormula array="1">Common_InputFunctions.Utility_DisplayArrayInTable(Common_SourceData.Common_SourceData_FracWETIrrigation_Data(), Table_SourceData_FracWETIrrigation[[#Headers],[Irrigation type i]], 0)</calculatedColumnFormula>
    </tableColumn>
    <tableColumn id="2" xr3:uid="{5F4A00C4-55F4-4C5F-B02B-FF66E4DBD293}" name="FracWET" dataDxfId="13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693DCC4-E8A3-4F07-B5B7-2DD7C349035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23F9FDA-B45A-45B3-9189-BD16F6263B7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595344E-F94E-49F3-9A3E-AEC8D9B69BBC}" name="EFPRP" dataDxfId="13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54E974-0497-4DEB-8210-2BD81D9DDED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5335444-978F-4AF5-90F5-809006CA1C0F}" name="Month">
      <calculatedColumnFormula array="1">Common_InputFunctions.Utility_DisplayArrayInTable(Common_SourceData.Common_SourceData_MonthsToSeasons_Data(), Table_SourceData_Common_MonthToSeason[[#Headers],[Month]], 0)</calculatedColumnFormula>
    </tableColumn>
    <tableColumn id="2" xr3:uid="{A3F83C56-2F86-483B-AA53-4498BC39FEB6}" name="Season" dataDxfId="13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ACC7827-32FF-4EF5-8948-52682677756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AB0CD4B-8596-4060-9017-D90C5AB650C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F6AF057-9971-47B8-A7DE-220CE18D2C82}" name="MAT (ºC)"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100968B-8D63-415B-A1D7-ABEB4B69C2EC}" name="Anaerobic lagoon"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F7A15BE-1B99-480F-8128-9C1781BDBA44}" name="Digester / covered lagoons" dataDxfId="1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3DB7FFD-0A74-4173-B1C9-F9A5F0A00E99}" name="Liquid systems"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8B15994-F771-4BD1-A5B6-EC2A99CA716E}" name="Daily spread"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1395400-9E2B-47C1-B03C-AB48B132CE24}" name="Composting (passive windrow)"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CA23A57-45DA-4637-AA51-FD38549A8045}" name="Solid storage"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C1F003E-8B57-42D6-A03B-5FABF38E036A}" name="Pit storage" dataDxfId="1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B0B1BFE-5361-470C-9A54-913C4C49730C}" name="Deep litter" dataDxfId="1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960A0BAE-A75A-4614-93FB-DC2C6CEBC07B}" name="Poultry manure with bedding" dataDxfId="1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7784A77C-30EB-4DC3-A1AA-14AE8F29F0A2}" name="Poultry manure without bedding" dataDxfId="1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5F91501-7BCD-4C00-9060-2366A71A9B79}" name="Direct processing" dataDxfId="1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5A9481E-1366-496D-B4BA-CBA4DC5F7CEE}" name="Direct application" dataDxfId="1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121A7C7-42E7-48EF-A228-1A9FD9AA9DEC}" name="Pasture range and paddock" dataDxfId="1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5F3FAD9-C84F-4B42-92BB-CC29687449D4}" name="MAT raw" dataDxfId="1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1020675-BC7E-4541-A79A-24F9FD14E51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306B2CF-F8C8-4A9C-B07B-06E54C6CB61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A954597-C859-4826-8A9C-3E05A2870F80}" name="EFNi &amp; EFN2Oi" dataDxfId="11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4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9.xml"/><Relationship Id="rId13" Type="http://schemas.openxmlformats.org/officeDocument/2006/relationships/table" Target="../tables/table24.xml"/><Relationship Id="rId3" Type="http://schemas.openxmlformats.org/officeDocument/2006/relationships/table" Target="../tables/table14.xml"/><Relationship Id="rId7" Type="http://schemas.openxmlformats.org/officeDocument/2006/relationships/table" Target="../tables/table18.xml"/><Relationship Id="rId12" Type="http://schemas.openxmlformats.org/officeDocument/2006/relationships/table" Target="../tables/table23.xml"/><Relationship Id="rId2" Type="http://schemas.openxmlformats.org/officeDocument/2006/relationships/table" Target="../tables/table13.xml"/><Relationship Id="rId1" Type="http://schemas.openxmlformats.org/officeDocument/2006/relationships/table" Target="../tables/table12.xml"/><Relationship Id="rId6" Type="http://schemas.openxmlformats.org/officeDocument/2006/relationships/table" Target="../tables/table17.xml"/><Relationship Id="rId11" Type="http://schemas.openxmlformats.org/officeDocument/2006/relationships/table" Target="../tables/table22.xml"/><Relationship Id="rId5" Type="http://schemas.openxmlformats.org/officeDocument/2006/relationships/table" Target="../tables/table16.xml"/><Relationship Id="rId10" Type="http://schemas.openxmlformats.org/officeDocument/2006/relationships/table" Target="../tables/table21.xml"/><Relationship Id="rId4" Type="http://schemas.openxmlformats.org/officeDocument/2006/relationships/table" Target="../tables/table15.xml"/><Relationship Id="rId9" Type="http://schemas.openxmlformats.org/officeDocument/2006/relationships/table" Target="../tables/table20.xml"/><Relationship Id="rId14" Type="http://schemas.openxmlformats.org/officeDocument/2006/relationships/table" Target="../tables/table25.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3.xml"/><Relationship Id="rId13" Type="http://schemas.openxmlformats.org/officeDocument/2006/relationships/table" Target="../tables/table38.xml"/><Relationship Id="rId3" Type="http://schemas.openxmlformats.org/officeDocument/2006/relationships/table" Target="../tables/table28.xml"/><Relationship Id="rId7" Type="http://schemas.openxmlformats.org/officeDocument/2006/relationships/table" Target="../tables/table32.xml"/><Relationship Id="rId12" Type="http://schemas.openxmlformats.org/officeDocument/2006/relationships/table" Target="../tables/table37.xml"/><Relationship Id="rId2" Type="http://schemas.openxmlformats.org/officeDocument/2006/relationships/table" Target="../tables/table27.xml"/><Relationship Id="rId1" Type="http://schemas.openxmlformats.org/officeDocument/2006/relationships/table" Target="../tables/table26.xml"/><Relationship Id="rId6" Type="http://schemas.openxmlformats.org/officeDocument/2006/relationships/table" Target="../tables/table31.xml"/><Relationship Id="rId11" Type="http://schemas.openxmlformats.org/officeDocument/2006/relationships/table" Target="../tables/table36.xml"/><Relationship Id="rId5" Type="http://schemas.openxmlformats.org/officeDocument/2006/relationships/table" Target="../tables/table30.xml"/><Relationship Id="rId15" Type="http://schemas.openxmlformats.org/officeDocument/2006/relationships/table" Target="../tables/table40.xml"/><Relationship Id="rId10" Type="http://schemas.openxmlformats.org/officeDocument/2006/relationships/table" Target="../tables/table35.xml"/><Relationship Id="rId4" Type="http://schemas.openxmlformats.org/officeDocument/2006/relationships/table" Target="../tables/table29.xml"/><Relationship Id="rId9" Type="http://schemas.openxmlformats.org/officeDocument/2006/relationships/table" Target="../tables/table34.xml"/><Relationship Id="rId14" Type="http://schemas.openxmlformats.org/officeDocument/2006/relationships/table" Target="../tables/table39.xml"/></Relationships>
</file>

<file path=xl/worksheets/_rels/sheet4.xml.rels><?xml version="1.0" encoding="UTF-8" standalone="yes"?>
<Relationships xmlns="http://schemas.openxmlformats.org/package/2006/relationships"><Relationship Id="rId8" Type="http://schemas.openxmlformats.org/officeDocument/2006/relationships/table" Target="../tables/table48.xml"/><Relationship Id="rId13" Type="http://schemas.openxmlformats.org/officeDocument/2006/relationships/table" Target="../tables/table53.xml"/><Relationship Id="rId18" Type="http://schemas.openxmlformats.org/officeDocument/2006/relationships/table" Target="../tables/table58.xml"/><Relationship Id="rId3" Type="http://schemas.openxmlformats.org/officeDocument/2006/relationships/table" Target="../tables/table43.xml"/><Relationship Id="rId21" Type="http://schemas.openxmlformats.org/officeDocument/2006/relationships/table" Target="../tables/table61.xml"/><Relationship Id="rId7" Type="http://schemas.openxmlformats.org/officeDocument/2006/relationships/table" Target="../tables/table47.xml"/><Relationship Id="rId12" Type="http://schemas.openxmlformats.org/officeDocument/2006/relationships/table" Target="../tables/table52.xml"/><Relationship Id="rId17" Type="http://schemas.openxmlformats.org/officeDocument/2006/relationships/table" Target="../tables/table57.xml"/><Relationship Id="rId2" Type="http://schemas.openxmlformats.org/officeDocument/2006/relationships/table" Target="../tables/table42.xml"/><Relationship Id="rId16" Type="http://schemas.openxmlformats.org/officeDocument/2006/relationships/table" Target="../tables/table56.xml"/><Relationship Id="rId20" Type="http://schemas.openxmlformats.org/officeDocument/2006/relationships/table" Target="../tables/table60.xml"/><Relationship Id="rId1" Type="http://schemas.openxmlformats.org/officeDocument/2006/relationships/table" Target="../tables/table41.xml"/><Relationship Id="rId6" Type="http://schemas.openxmlformats.org/officeDocument/2006/relationships/table" Target="../tables/table46.xml"/><Relationship Id="rId11" Type="http://schemas.openxmlformats.org/officeDocument/2006/relationships/table" Target="../tables/table51.xml"/><Relationship Id="rId24" Type="http://schemas.openxmlformats.org/officeDocument/2006/relationships/table" Target="../tables/table64.xml"/><Relationship Id="rId5" Type="http://schemas.openxmlformats.org/officeDocument/2006/relationships/table" Target="../tables/table45.xml"/><Relationship Id="rId15" Type="http://schemas.openxmlformats.org/officeDocument/2006/relationships/table" Target="../tables/table55.xml"/><Relationship Id="rId23" Type="http://schemas.openxmlformats.org/officeDocument/2006/relationships/table" Target="../tables/table63.xml"/><Relationship Id="rId10" Type="http://schemas.openxmlformats.org/officeDocument/2006/relationships/table" Target="../tables/table50.xml"/><Relationship Id="rId19" Type="http://schemas.openxmlformats.org/officeDocument/2006/relationships/table" Target="../tables/table59.xml"/><Relationship Id="rId4" Type="http://schemas.openxmlformats.org/officeDocument/2006/relationships/table" Target="../tables/table44.xml"/><Relationship Id="rId9" Type="http://schemas.openxmlformats.org/officeDocument/2006/relationships/table" Target="../tables/table49.xml"/><Relationship Id="rId14" Type="http://schemas.openxmlformats.org/officeDocument/2006/relationships/table" Target="../tables/table54.xml"/><Relationship Id="rId22" Type="http://schemas.openxmlformats.org/officeDocument/2006/relationships/table" Target="../tables/table6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6.xml"/><Relationship Id="rId2" Type="http://schemas.openxmlformats.org/officeDocument/2006/relationships/table" Target="../tables/table65.xml"/><Relationship Id="rId1" Type="http://schemas.openxmlformats.org/officeDocument/2006/relationships/printerSettings" Target="../printerSettings/printerSettings2.bin"/><Relationship Id="rId5" Type="http://schemas.openxmlformats.org/officeDocument/2006/relationships/table" Target="../tables/table68.xml"/><Relationship Id="rId4" Type="http://schemas.openxmlformats.org/officeDocument/2006/relationships/table" Target="../tables/table6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76.xml"/><Relationship Id="rId3" Type="http://schemas.openxmlformats.org/officeDocument/2006/relationships/table" Target="../tables/table71.xml"/><Relationship Id="rId7" Type="http://schemas.openxmlformats.org/officeDocument/2006/relationships/table" Target="../tables/table75.xml"/><Relationship Id="rId2" Type="http://schemas.openxmlformats.org/officeDocument/2006/relationships/table" Target="../tables/table70.xml"/><Relationship Id="rId1" Type="http://schemas.openxmlformats.org/officeDocument/2006/relationships/printerSettings" Target="../printerSettings/printerSettings3.bin"/><Relationship Id="rId6" Type="http://schemas.openxmlformats.org/officeDocument/2006/relationships/table" Target="../tables/table74.xml"/><Relationship Id="rId5" Type="http://schemas.openxmlformats.org/officeDocument/2006/relationships/table" Target="../tables/table73.xml"/><Relationship Id="rId4" Type="http://schemas.openxmlformats.org/officeDocument/2006/relationships/table" Target="../tables/table72.xml"/><Relationship Id="rId9" Type="http://schemas.openxmlformats.org/officeDocument/2006/relationships/table" Target="../tables/table7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8.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0.xml"/><Relationship Id="rId2" Type="http://schemas.openxmlformats.org/officeDocument/2006/relationships/table" Target="../tables/table7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88.xml"/><Relationship Id="rId13" Type="http://schemas.openxmlformats.org/officeDocument/2006/relationships/table" Target="../tables/table93.xml"/><Relationship Id="rId18" Type="http://schemas.openxmlformats.org/officeDocument/2006/relationships/table" Target="../tables/table98.xml"/><Relationship Id="rId26" Type="http://schemas.openxmlformats.org/officeDocument/2006/relationships/table" Target="../tables/table106.xml"/><Relationship Id="rId3" Type="http://schemas.openxmlformats.org/officeDocument/2006/relationships/table" Target="../tables/table83.xml"/><Relationship Id="rId21" Type="http://schemas.openxmlformats.org/officeDocument/2006/relationships/table" Target="../tables/table101.xml"/><Relationship Id="rId7" Type="http://schemas.openxmlformats.org/officeDocument/2006/relationships/table" Target="../tables/table87.xml"/><Relationship Id="rId12" Type="http://schemas.openxmlformats.org/officeDocument/2006/relationships/table" Target="../tables/table92.xml"/><Relationship Id="rId17" Type="http://schemas.openxmlformats.org/officeDocument/2006/relationships/table" Target="../tables/table97.xml"/><Relationship Id="rId25" Type="http://schemas.openxmlformats.org/officeDocument/2006/relationships/table" Target="../tables/table105.xml"/><Relationship Id="rId2" Type="http://schemas.openxmlformats.org/officeDocument/2006/relationships/table" Target="../tables/table82.xml"/><Relationship Id="rId16" Type="http://schemas.openxmlformats.org/officeDocument/2006/relationships/table" Target="../tables/table96.xml"/><Relationship Id="rId20" Type="http://schemas.openxmlformats.org/officeDocument/2006/relationships/table" Target="../tables/table100.xml"/><Relationship Id="rId29" Type="http://schemas.openxmlformats.org/officeDocument/2006/relationships/table" Target="../tables/table109.xml"/><Relationship Id="rId1" Type="http://schemas.openxmlformats.org/officeDocument/2006/relationships/table" Target="../tables/table81.xml"/><Relationship Id="rId6" Type="http://schemas.openxmlformats.org/officeDocument/2006/relationships/table" Target="../tables/table86.xml"/><Relationship Id="rId11" Type="http://schemas.openxmlformats.org/officeDocument/2006/relationships/table" Target="../tables/table91.xml"/><Relationship Id="rId24" Type="http://schemas.openxmlformats.org/officeDocument/2006/relationships/table" Target="../tables/table104.xml"/><Relationship Id="rId5" Type="http://schemas.openxmlformats.org/officeDocument/2006/relationships/table" Target="../tables/table85.xml"/><Relationship Id="rId15" Type="http://schemas.openxmlformats.org/officeDocument/2006/relationships/table" Target="../tables/table95.xml"/><Relationship Id="rId23" Type="http://schemas.openxmlformats.org/officeDocument/2006/relationships/table" Target="../tables/table103.xml"/><Relationship Id="rId28" Type="http://schemas.openxmlformats.org/officeDocument/2006/relationships/table" Target="../tables/table108.xml"/><Relationship Id="rId10" Type="http://schemas.openxmlformats.org/officeDocument/2006/relationships/table" Target="../tables/table90.xml"/><Relationship Id="rId19" Type="http://schemas.openxmlformats.org/officeDocument/2006/relationships/table" Target="../tables/table99.xml"/><Relationship Id="rId31" Type="http://schemas.openxmlformats.org/officeDocument/2006/relationships/table" Target="../tables/table111.xml"/><Relationship Id="rId4" Type="http://schemas.openxmlformats.org/officeDocument/2006/relationships/table" Target="../tables/table84.xml"/><Relationship Id="rId9" Type="http://schemas.openxmlformats.org/officeDocument/2006/relationships/table" Target="../tables/table89.xml"/><Relationship Id="rId14" Type="http://schemas.openxmlformats.org/officeDocument/2006/relationships/table" Target="../tables/table94.xml"/><Relationship Id="rId22" Type="http://schemas.openxmlformats.org/officeDocument/2006/relationships/table" Target="../tables/table102.xml"/><Relationship Id="rId27" Type="http://schemas.openxmlformats.org/officeDocument/2006/relationships/table" Target="../tables/table107.xml"/><Relationship Id="rId30" Type="http://schemas.openxmlformats.org/officeDocument/2006/relationships/table" Target="../tables/table110.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4.xml"/><Relationship Id="rId2" Type="http://schemas.openxmlformats.org/officeDocument/2006/relationships/table" Target="../tables/table113.xml"/><Relationship Id="rId1" Type="http://schemas.openxmlformats.org/officeDocument/2006/relationships/table" Target="../tables/table112.xml"/><Relationship Id="rId6" Type="http://schemas.openxmlformats.org/officeDocument/2006/relationships/table" Target="../tables/table117.xml"/><Relationship Id="rId5" Type="http://schemas.openxmlformats.org/officeDocument/2006/relationships/table" Target="../tables/table116.xml"/><Relationship Id="rId4" Type="http://schemas.openxmlformats.org/officeDocument/2006/relationships/table" Target="../tables/table115.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25.xml"/><Relationship Id="rId3" Type="http://schemas.openxmlformats.org/officeDocument/2006/relationships/table" Target="../tables/table120.xml"/><Relationship Id="rId7" Type="http://schemas.openxmlformats.org/officeDocument/2006/relationships/table" Target="../tables/table124.xml"/><Relationship Id="rId2" Type="http://schemas.openxmlformats.org/officeDocument/2006/relationships/table" Target="../tables/table119.xml"/><Relationship Id="rId1" Type="http://schemas.openxmlformats.org/officeDocument/2006/relationships/table" Target="../tables/table118.xml"/><Relationship Id="rId6" Type="http://schemas.openxmlformats.org/officeDocument/2006/relationships/table" Target="../tables/table123.xml"/><Relationship Id="rId11" Type="http://schemas.openxmlformats.org/officeDocument/2006/relationships/table" Target="../tables/table128.xml"/><Relationship Id="rId5" Type="http://schemas.openxmlformats.org/officeDocument/2006/relationships/table" Target="../tables/table122.xml"/><Relationship Id="rId10" Type="http://schemas.openxmlformats.org/officeDocument/2006/relationships/table" Target="../tables/table127.xml"/><Relationship Id="rId4" Type="http://schemas.openxmlformats.org/officeDocument/2006/relationships/table" Target="../tables/table121.xml"/><Relationship Id="rId9" Type="http://schemas.openxmlformats.org/officeDocument/2006/relationships/table" Target="../tables/table126.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1.xml"/><Relationship Id="rId7" Type="http://schemas.openxmlformats.org/officeDocument/2006/relationships/table" Target="../tables/table135.xml"/><Relationship Id="rId2" Type="http://schemas.openxmlformats.org/officeDocument/2006/relationships/table" Target="../tables/table130.xml"/><Relationship Id="rId1" Type="http://schemas.openxmlformats.org/officeDocument/2006/relationships/table" Target="../tables/table129.xml"/><Relationship Id="rId6" Type="http://schemas.openxmlformats.org/officeDocument/2006/relationships/table" Target="../tables/table134.xml"/><Relationship Id="rId5" Type="http://schemas.openxmlformats.org/officeDocument/2006/relationships/table" Target="../tables/table133.xml"/><Relationship Id="rId4" Type="http://schemas.openxmlformats.org/officeDocument/2006/relationships/table" Target="../tables/table132.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37.xml"/><Relationship Id="rId1" Type="http://schemas.openxmlformats.org/officeDocument/2006/relationships/table" Target="../tables/table136.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144.xml"/><Relationship Id="rId13" Type="http://schemas.openxmlformats.org/officeDocument/2006/relationships/table" Target="../tables/table149.xml"/><Relationship Id="rId18" Type="http://schemas.openxmlformats.org/officeDocument/2006/relationships/table" Target="../tables/table154.xml"/><Relationship Id="rId3" Type="http://schemas.openxmlformats.org/officeDocument/2006/relationships/table" Target="../tables/table139.xml"/><Relationship Id="rId7" Type="http://schemas.openxmlformats.org/officeDocument/2006/relationships/table" Target="../tables/table143.xml"/><Relationship Id="rId12" Type="http://schemas.openxmlformats.org/officeDocument/2006/relationships/table" Target="../tables/table148.xml"/><Relationship Id="rId17" Type="http://schemas.openxmlformats.org/officeDocument/2006/relationships/table" Target="../tables/table153.xml"/><Relationship Id="rId2" Type="http://schemas.openxmlformats.org/officeDocument/2006/relationships/table" Target="../tables/table138.xml"/><Relationship Id="rId16" Type="http://schemas.openxmlformats.org/officeDocument/2006/relationships/table" Target="../tables/table152.xml"/><Relationship Id="rId1" Type="http://schemas.openxmlformats.org/officeDocument/2006/relationships/printerSettings" Target="../printerSettings/printerSettings6.bin"/><Relationship Id="rId6" Type="http://schemas.openxmlformats.org/officeDocument/2006/relationships/table" Target="../tables/table142.xml"/><Relationship Id="rId11" Type="http://schemas.openxmlformats.org/officeDocument/2006/relationships/table" Target="../tables/table147.xml"/><Relationship Id="rId5" Type="http://schemas.openxmlformats.org/officeDocument/2006/relationships/table" Target="../tables/table141.xml"/><Relationship Id="rId15" Type="http://schemas.openxmlformats.org/officeDocument/2006/relationships/table" Target="../tables/table151.xml"/><Relationship Id="rId10" Type="http://schemas.openxmlformats.org/officeDocument/2006/relationships/table" Target="../tables/table146.xml"/><Relationship Id="rId4" Type="http://schemas.openxmlformats.org/officeDocument/2006/relationships/table" Target="../tables/table140.xml"/><Relationship Id="rId9" Type="http://schemas.openxmlformats.org/officeDocument/2006/relationships/table" Target="../tables/table145.xml"/><Relationship Id="rId14" Type="http://schemas.openxmlformats.org/officeDocument/2006/relationships/table" Target="../tables/table15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dimension ref="A1:W452"/>
  <sheetViews>
    <sheetView showGridLines="0" topLeftCell="A102" zoomScaleNormal="100" workbookViewId="0">
      <selection activeCell="D121" sqref="D12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645</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tr" cm="1">
        <f t="array" ref="D5">SourceData_Poultry.SourceData_Poultry_DietProperties_Title()</f>
        <v>Poultry - Diet properties</v>
      </c>
      <c r="M5" s="8"/>
    </row>
    <row r="6" spans="1:21" ht="20.100000000000001" customHeight="1" x14ac:dyDescent="0.25">
      <c r="A6" s="18"/>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646</v>
      </c>
      <c r="E8" s="10" t="s">
        <v>647</v>
      </c>
      <c r="F8" s="10" t="s">
        <v>648</v>
      </c>
      <c r="G8" s="10" t="s">
        <v>649</v>
      </c>
      <c r="H8" s="10" t="s">
        <v>650</v>
      </c>
      <c r="M8" s="8"/>
    </row>
    <row r="9" spans="1:21" ht="20.100000000000001" customHeight="1" x14ac:dyDescent="0.25">
      <c r="A9" s="16" t="str">
        <f>HYPERLINK("#'Input - Poultry'!A1", "Poultry")</f>
        <v>Poultry</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21" t="s">
        <v>77</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HYPERLINK("#'4.6.1.1-2 Methane'!A1", "4.6.1.1-2 Methane")</f>
        <v>4.6.1.1-2 Methane</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HYPERLINK("#'4.6.1.3-4 Direct N20'!A1", "4.6.1.3-4 Direct N2O")</f>
        <v>4.6.1.3-4 Direct N2O</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HYPERLINK("#'4.6.1.5-6 Atmos Dep'!A1", "4.6.1.5-6 Atmospheric deposition")</f>
        <v>4.6.1.5-6 Atmospheric deposition</v>
      </c>
      <c r="M14" s="8"/>
    </row>
    <row r="15" spans="1:21" ht="20.100000000000001" customHeight="1" x14ac:dyDescent="0.25">
      <c r="A15" s="16" t="str">
        <f>HYPERLINK("#'4.6.1.7-8 Leaching and runoff'!A1", "4.6.1.7-8 Leaching &amp; runoff")</f>
        <v>4.6.1.7-8 Leaching &amp; runoff</v>
      </c>
      <c r="M15" s="8"/>
    </row>
    <row r="16" spans="1:21" ht="20.100000000000001" customHeight="1" x14ac:dyDescent="0.25">
      <c r="A16" s="16" t="str">
        <f>HYPERLINK("#'4.6.1.9 Manure applied to soils'!A1", "4.6.1.9 Manure applied to soils")</f>
        <v>4.6.1.9 Manure applied to soils</v>
      </c>
      <c r="M16" s="8"/>
    </row>
    <row r="17" spans="1:13" ht="20.100000000000001" customHeight="1" x14ac:dyDescent="0.25">
      <c r="A17" s="16" t="str">
        <f>HYPERLINK("#'4.6.1.10-11 Soil direct N2O'!A1", "4.6.1.10-11 Soil direct N2O")</f>
        <v>4.6.1.10-11 Soil direct N2O</v>
      </c>
      <c r="D17" s="9" t="str" cm="1">
        <f t="array" ref="D17">SourceData_Poultry.SourceData_Poultry_MethaneEmissionsPotential_Title()</f>
        <v>Poultry - Methane emissions potential per class</v>
      </c>
      <c r="M17" s="8"/>
    </row>
    <row r="18" spans="1:13" ht="20.100000000000001" customHeight="1" x14ac:dyDescent="0.25">
      <c r="A18" s="16" t="str">
        <f>HYPERLINK("#'4.6.1.12-13 Soil atmos dep'!A1", "4.6.1.12-13 Soil Atm. deposition")</f>
        <v>4.6.1.12-13 Soil Atm. deposition</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HYPERLINK("#'4.6.1.14-15 Soil leach runoff'!A1", "4.6.1.14-15 Soil leach &amp; runoff")</f>
        <v>4.6.1.14-15 Soil leach &amp; runoff</v>
      </c>
      <c r="D19" s="10" t="s">
        <v>651</v>
      </c>
      <c r="E19" s="10" t="s">
        <v>652</v>
      </c>
      <c r="M19" s="8"/>
    </row>
    <row r="20" spans="1:13" ht="20.100000000000001" customHeight="1" x14ac:dyDescent="0.25">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23" t="s">
        <v>78</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4" t="str">
        <f>HYPERLINK("#'Constants - Poultry'!A1", "Constants - Poultry")</f>
        <v>Constants - Poultry</v>
      </c>
      <c r="M22" s="8"/>
    </row>
    <row r="23" spans="1:13" ht="20.100000000000001" customHeight="1" x14ac:dyDescent="0.25">
      <c r="A23" s="16" t="str">
        <f>HYPERLINK("#'Constants - Livestock'!A1", "Constants - Livestock")</f>
        <v>Constants - Livestock</v>
      </c>
      <c r="M23" s="8"/>
    </row>
    <row r="24" spans="1:13" ht="20.100000000000001" customHeight="1" x14ac:dyDescent="0.25">
      <c r="A24" s="16" t="str">
        <f>HYPERLINK("#'Constants - Common'!A1", "Constants - Common")</f>
        <v>Constants - Common</v>
      </c>
      <c r="M24" s="8"/>
    </row>
    <row r="25" spans="1:13" ht="20.100000000000001" customHeight="1" x14ac:dyDescent="0.25">
      <c r="A25" s="16"/>
      <c r="M25" s="8"/>
    </row>
    <row r="26" spans="1:13" ht="20.100000000000001" customHeight="1" x14ac:dyDescent="0.25">
      <c r="D26" s="9" t="s">
        <v>653</v>
      </c>
      <c r="G26" s="9" t="s">
        <v>654</v>
      </c>
      <c r="J26" s="9" t="s">
        <v>655</v>
      </c>
      <c r="M26" s="8"/>
    </row>
    <row r="27" spans="1:13" ht="20.100000000000001" customHeight="1" x14ac:dyDescent="0.25">
      <c r="M27" s="8"/>
    </row>
    <row r="28" spans="1:13" ht="20.100000000000001" customHeight="1" x14ac:dyDescent="0.25">
      <c r="D28" s="176" t="s">
        <v>589</v>
      </c>
      <c r="E28" s="10" t="s">
        <v>359</v>
      </c>
      <c r="G28" s="176" t="s">
        <v>589</v>
      </c>
      <c r="H28" s="10" t="s">
        <v>359</v>
      </c>
      <c r="J28" s="176" t="s">
        <v>589</v>
      </c>
      <c r="K28" s="10" t="s">
        <v>359</v>
      </c>
      <c r="M28" s="8"/>
    </row>
    <row r="29" spans="1:13" ht="20.100000000000001" customHeight="1" x14ac:dyDescent="0.25">
      <c r="D29" s="10" t="s">
        <v>58</v>
      </c>
      <c r="E29" s="10" t="s">
        <v>656</v>
      </c>
      <c r="G29" s="10" t="s">
        <v>58</v>
      </c>
      <c r="H29" s="10" t="s">
        <v>656</v>
      </c>
      <c r="J29" s="10" t="s">
        <v>55</v>
      </c>
      <c r="K29" s="10" t="s">
        <v>657</v>
      </c>
      <c r="M29" s="8"/>
    </row>
    <row r="30" spans="1:13" ht="20.100000000000001" customHeight="1" x14ac:dyDescent="0.25">
      <c r="D30" s="10" t="s">
        <v>658</v>
      </c>
      <c r="E30" s="10" t="s">
        <v>659</v>
      </c>
      <c r="G30" s="10" t="s">
        <v>658</v>
      </c>
      <c r="H30" s="10" t="s">
        <v>659</v>
      </c>
      <c r="J30" s="10" t="s">
        <v>54</v>
      </c>
      <c r="K30" s="10" t="s">
        <v>660</v>
      </c>
      <c r="M30" s="8"/>
    </row>
    <row r="31" spans="1:13" ht="20.100000000000001" customHeight="1" x14ac:dyDescent="0.25">
      <c r="D31" s="10" t="s">
        <v>661</v>
      </c>
      <c r="E31" s="10" t="s">
        <v>662</v>
      </c>
      <c r="G31" s="10" t="s">
        <v>661</v>
      </c>
      <c r="H31" s="10" t="s">
        <v>662</v>
      </c>
      <c r="J31" s="8" t="s">
        <v>51</v>
      </c>
      <c r="K31" s="8" t="s">
        <v>663</v>
      </c>
      <c r="M31" s="8"/>
    </row>
    <row r="32" spans="1:13" ht="20.100000000000001" customHeight="1" x14ac:dyDescent="0.25">
      <c r="D32" s="10" t="s">
        <v>62</v>
      </c>
      <c r="E32" s="10" t="s">
        <v>664</v>
      </c>
      <c r="G32" s="10" t="s">
        <v>62</v>
      </c>
      <c r="H32" s="10" t="s">
        <v>664</v>
      </c>
      <c r="J32" s="10" t="s">
        <v>60</v>
      </c>
      <c r="K32" s="10" t="s">
        <v>665</v>
      </c>
      <c r="M32" s="8"/>
    </row>
    <row r="33" spans="4:13" ht="20.100000000000001" customHeight="1" x14ac:dyDescent="0.25">
      <c r="D33" s="10" t="s">
        <v>55</v>
      </c>
      <c r="E33" s="10" t="s">
        <v>657</v>
      </c>
      <c r="G33" s="8" t="s">
        <v>666</v>
      </c>
      <c r="H33" s="10" t="s">
        <v>666</v>
      </c>
      <c r="J33" s="10" t="s">
        <v>61</v>
      </c>
      <c r="K33" s="10" t="s">
        <v>667</v>
      </c>
      <c r="M33" s="8"/>
    </row>
    <row r="34" spans="4:13" ht="20.100000000000001" customHeight="1" x14ac:dyDescent="0.25">
      <c r="D34" s="10" t="s">
        <v>54</v>
      </c>
      <c r="E34" s="10" t="s">
        <v>660</v>
      </c>
      <c r="J34" s="8" t="s">
        <v>666</v>
      </c>
      <c r="K34" s="10" t="s">
        <v>666</v>
      </c>
      <c r="M34" s="8"/>
    </row>
    <row r="35" spans="4:13" ht="20.100000000000001" customHeight="1" x14ac:dyDescent="0.25">
      <c r="D35" s="8" t="s">
        <v>51</v>
      </c>
      <c r="E35" s="8" t="s">
        <v>663</v>
      </c>
      <c r="M35" s="8"/>
    </row>
    <row r="36" spans="4:13" ht="20.100000000000001" customHeight="1" x14ac:dyDescent="0.25">
      <c r="D36" s="10" t="s">
        <v>60</v>
      </c>
      <c r="E36" s="10" t="s">
        <v>665</v>
      </c>
      <c r="M36" s="8"/>
    </row>
    <row r="37" spans="4:13" ht="20.100000000000001" customHeight="1" x14ac:dyDescent="0.25">
      <c r="D37" s="10" t="s">
        <v>61</v>
      </c>
      <c r="E37" s="10" t="s">
        <v>667</v>
      </c>
      <c r="M37" s="8"/>
    </row>
    <row r="38" spans="4:13" ht="20.100000000000001" customHeight="1" x14ac:dyDescent="0.25">
      <c r="D38" s="8" t="s">
        <v>666</v>
      </c>
      <c r="E38" s="10" t="s">
        <v>666</v>
      </c>
      <c r="M38" s="8"/>
    </row>
    <row r="39" spans="4:13" ht="20.100000000000001" customHeight="1" x14ac:dyDescent="0.25">
      <c r="M39" s="8"/>
    </row>
    <row r="40" spans="4:13" ht="20.100000000000001" customHeight="1" x14ac:dyDescent="0.25">
      <c r="M40" s="8"/>
    </row>
    <row r="41" spans="4:13" ht="20.100000000000001" customHeight="1" x14ac:dyDescent="0.25">
      <c r="M41" s="8"/>
    </row>
    <row r="42" spans="4:13" ht="20.100000000000001" customHeight="1" x14ac:dyDescent="0.25">
      <c r="D42" s="9" t="s">
        <v>668</v>
      </c>
      <c r="M42" s="8"/>
    </row>
    <row r="43" spans="4:13" ht="20.100000000000001" customHeight="1" x14ac:dyDescent="0.25">
      <c r="M43" s="8"/>
    </row>
    <row r="44" spans="4:13" ht="20.100000000000001" customHeight="1" x14ac:dyDescent="0.25">
      <c r="D44" s="10" t="s">
        <v>148</v>
      </c>
      <c r="M44" s="8"/>
    </row>
    <row r="45" spans="4:13" ht="20.100000000000001" customHeight="1" x14ac:dyDescent="0.25">
      <c r="D45" s="10" t="str" cm="1">
        <f t="array" ref="D45">Common_InputFunctions.Utility_DisplayArrayInTable(SourceData_Poultry.SourceData_Poultry_ProductionSystems_Data(), Table_SourceData_Poultry_ProductionSystems[[#Headers],[Production system]], 0)</f>
        <v>Free range</v>
      </c>
      <c r="M45" s="8"/>
    </row>
    <row r="46" spans="4:13" ht="20.100000000000001" customHeight="1" x14ac:dyDescent="0.25">
      <c r="D46" s="8" t="str" cm="1">
        <f t="array" ref="D46">Common_InputFunctions.Utility_DisplayArrayInTable(SourceData_Poultry.SourceData_Poultry_ProductionSystems_Data(), Table_SourceData_Poultry_ProductionSystems[[#Headers],[Production system]], 0)</f>
        <v>Barn</v>
      </c>
      <c r="M46" s="8"/>
    </row>
    <row r="47" spans="4:13" ht="20.100000000000001" customHeight="1" x14ac:dyDescent="0.25">
      <c r="D47" s="8" t="str" cm="1">
        <f t="array" ref="D47">Common_InputFunctions.Utility_DisplayArrayInTable(SourceData_Poultry.SourceData_Poultry_ProductionSystems_Data(), Table_SourceData_Poultry_ProductionSystems[[#Headers],[Production system]], 0)</f>
        <v>Cage</v>
      </c>
      <c r="M47" s="8"/>
    </row>
    <row r="48" spans="4:13" ht="20.100000000000001" customHeight="1" x14ac:dyDescent="0.25">
      <c r="M48" s="8"/>
    </row>
    <row r="49" spans="4:14" ht="20.100000000000001" customHeight="1" x14ac:dyDescent="0.25">
      <c r="M49" s="8"/>
    </row>
    <row r="50" spans="4:14" ht="20.100000000000001" customHeight="1" x14ac:dyDescent="0.25">
      <c r="M50" s="8"/>
    </row>
    <row r="51" spans="4:14" ht="20.100000000000001" customHeight="1" x14ac:dyDescent="0.25">
      <c r="D51" s="9" t="str" cm="1">
        <f t="array" ref="D51">SourceData_Poultry.SourceData_Poultry_MCF_Title()</f>
        <v>Poultry - MCFs</v>
      </c>
      <c r="M51" s="8"/>
    </row>
    <row r="52" spans="4:14" ht="20.100000000000001" customHeight="1" x14ac:dyDescent="0.25">
      <c r="D52" s="11" t="str" cm="1">
        <f t="array" ref="D52">SourceData_Poultry.SourceData_Poultry_MCF_Source()</f>
        <v>VEERG 2026: Table A.1.7.4: Poultry - MCFs</v>
      </c>
      <c r="M52" s="8"/>
    </row>
    <row r="53" spans="4:14" ht="20.100000000000001" customHeight="1" x14ac:dyDescent="0.25">
      <c r="D53" s="12" t="str" cm="1">
        <f t="array" ref="D53:D57">SourceData_Poultry.SourceData_Poultry_MCF_Variation()</f>
        <v>VARIATION ON SOURCE:</v>
      </c>
      <c r="M53" s="8"/>
    </row>
    <row r="54" spans="4:14" ht="20.100000000000001" customHeight="1" x14ac:dyDescent="0.25">
      <c r="D54" s="12" t="str">
        <v>Split NSW and ACT into separate states. Split QLD and NT into separate states.</v>
      </c>
      <c r="M54" s="8"/>
    </row>
    <row r="55" spans="4:14" ht="20.100000000000001" customHeight="1" x14ac:dyDescent="0.25">
      <c r="D55" s="12" t="str">
        <v>Included values for each state when 'All states' value is given.</v>
      </c>
      <c r="M55" s="8"/>
    </row>
    <row r="56" spans="4:14" ht="20.100000000000001" customHeight="1" x14ac:dyDescent="0.25">
      <c r="D56" s="12" t="str">
        <v>Added 'NIR definition' column with MMS names that match NIR definitions.</v>
      </c>
      <c r="M56" s="8"/>
    </row>
    <row r="57" spans="4:14" ht="20.100000000000001" customHeight="1" x14ac:dyDescent="0.25">
      <c r="D57" s="12" t="str">
        <v>Duplicated 'Poultry manure without litter' row for NIR MMS 'Belt manure removal' and 'Manure stored in house'</v>
      </c>
      <c r="M57" s="8"/>
    </row>
    <row r="58" spans="4:14" ht="20.100000000000001" customHeight="1" x14ac:dyDescent="0.25">
      <c r="M58" s="8"/>
    </row>
    <row r="59" spans="4:14" ht="20.100000000000001" customHeight="1" x14ac:dyDescent="0.25">
      <c r="D59" s="10" t="s">
        <v>597</v>
      </c>
      <c r="E59" s="10" t="s">
        <v>669</v>
      </c>
      <c r="F59" s="10" t="s">
        <v>366</v>
      </c>
      <c r="G59" s="10" t="s">
        <v>342</v>
      </c>
      <c r="H59" s="10" t="s">
        <v>367</v>
      </c>
      <c r="I59" s="10" t="s">
        <v>496</v>
      </c>
      <c r="J59" s="10" t="s">
        <v>372</v>
      </c>
      <c r="K59" s="10" t="s">
        <v>433</v>
      </c>
      <c r="L59" s="10" t="s">
        <v>373</v>
      </c>
      <c r="M59" s="10" t="s">
        <v>429</v>
      </c>
      <c r="N59" s="10" t="s">
        <v>615</v>
      </c>
    </row>
    <row r="60" spans="4:14" ht="20.100000000000001" customHeight="1" x14ac:dyDescent="0.25">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4:14" ht="20.100000000000001" customHeight="1" x14ac:dyDescent="0.25">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4:14" ht="20.100000000000001" customHeight="1" x14ac:dyDescent="0.25">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4:14" ht="20.100000000000001" customHeight="1" x14ac:dyDescent="0.25">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4:14" ht="20.100000000000001" customHeight="1" x14ac:dyDescent="0.25">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4:22" ht="20.100000000000001" customHeight="1" x14ac:dyDescent="0.2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4:22" ht="20.100000000000001" customHeight="1" x14ac:dyDescent="0.25">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4:22" ht="20.100000000000001" customHeight="1" x14ac:dyDescent="0.25">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4:22" ht="20.100000000000001" customHeight="1" x14ac:dyDescent="0.25">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4:22" ht="20.100000000000001" customHeight="1" x14ac:dyDescent="0.25">
      <c r="M69" s="8"/>
    </row>
    <row r="70" spans="4:22" ht="20.100000000000001" customHeight="1" x14ac:dyDescent="0.25">
      <c r="M70" s="8"/>
    </row>
    <row r="71" spans="4:22" ht="20.100000000000001" customHeight="1" x14ac:dyDescent="0.25">
      <c r="M71" s="8"/>
      <c r="V71" s="8"/>
    </row>
    <row r="72" spans="4:22" ht="20.100000000000001" customHeight="1" x14ac:dyDescent="0.25">
      <c r="D72" s="9" t="str" cm="1">
        <f t="array" ref="D72">SourceData_Poultry.SourceData_Poultry_VSL_Title()</f>
        <v>Poultry - Fraction of volatile solids lost in the primary MMS</v>
      </c>
      <c r="M72" s="8"/>
      <c r="V72" s="8"/>
    </row>
    <row r="73" spans="4:22" ht="20.100000000000001" customHeight="1" x14ac:dyDescent="0.25">
      <c r="D73" s="11" t="str" cm="1">
        <f t="array" ref="D73">SourceData_Poultry.SourceData_Poultry_VSL_Source()</f>
        <v>VEERG 2026: 4.6.2.3 CONSTANT</v>
      </c>
      <c r="M73" s="8"/>
      <c r="V73" s="8"/>
    </row>
    <row r="74" spans="4:22" ht="20.100000000000001" customHeight="1" x14ac:dyDescent="0.25">
      <c r="D74" s="12" t="str" cm="1">
        <f t="array" ref="D74">SourceData_Poultry.SourceData_Poultry_VSL_Variation()</f>
        <v>VARIATION ON SOURCE: Table generated from line items. Added 'NIR definition column'.</v>
      </c>
      <c r="M74" s="8"/>
      <c r="V74" s="8"/>
    </row>
    <row r="75" spans="4:22" ht="20.100000000000001" customHeight="1" x14ac:dyDescent="0.25">
      <c r="D75" s="10" t="s">
        <v>589</v>
      </c>
      <c r="E75" s="10" t="s">
        <v>621</v>
      </c>
      <c r="F75" s="10" t="s">
        <v>615</v>
      </c>
      <c r="M75" s="8"/>
      <c r="V75" s="8"/>
    </row>
    <row r="76" spans="4:22" ht="20.100000000000001" customHeight="1" x14ac:dyDescent="0.25">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4:22" ht="20.100000000000001" customHeight="1" x14ac:dyDescent="0.25">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4:22" ht="20.100000000000001" customHeight="1" x14ac:dyDescent="0.25">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4:22" ht="20.100000000000001" customHeight="1" x14ac:dyDescent="0.25">
      <c r="M79" s="8"/>
      <c r="V79" s="8"/>
    </row>
    <row r="80" spans="4:22" ht="20.100000000000001" customHeight="1" x14ac:dyDescent="0.25">
      <c r="M80" s="8"/>
      <c r="V80" s="8"/>
    </row>
    <row r="81" spans="4:23" ht="20.100000000000001" customHeight="1" x14ac:dyDescent="0.25">
      <c r="D81" s="9" t="str" cm="1">
        <f t="array" ref="D81">SourceData_Poultry.SourceData_Poultry_FracGASMmT_Title()</f>
        <v>Poultry - Fraction of N volatilised by MMS ((kg NH3-N + NOx-N)/kgN) (FracGASMmT)</v>
      </c>
      <c r="M81" s="8"/>
      <c r="V81" s="8"/>
    </row>
    <row r="82" spans="4:23" ht="20.100000000000001" customHeight="1" x14ac:dyDescent="0.25">
      <c r="D82" s="11" t="str" cm="1">
        <f t="array" ref="D82">SourceData_Poultry.SourceData_Poultry_FracGASMmT_Source()</f>
        <v>VEERG 2026: Table A.1.7.2</v>
      </c>
      <c r="M82" s="8"/>
      <c r="V82" s="8"/>
    </row>
    <row r="83" spans="4:23" ht="20.100000000000001" customHeight="1" x14ac:dyDescent="0.25">
      <c r="D83" s="12" t="str" cm="1">
        <f t="array" ref="D83">SourceData_Poultry.SourceData_Poultry_FracGASMmT_Variation()</f>
        <v>VARIATION ON SOURCE: Added 'NIR definition column'.</v>
      </c>
      <c r="M83" s="8"/>
    </row>
    <row r="84" spans="4:23" ht="20.100000000000001" customHeight="1" x14ac:dyDescent="0.25">
      <c r="D84" s="10" t="s">
        <v>627</v>
      </c>
      <c r="E84" s="10" t="s">
        <v>628</v>
      </c>
      <c r="F84" s="10" t="s">
        <v>598</v>
      </c>
      <c r="M84" s="8"/>
    </row>
    <row r="85" spans="4:23" ht="20.100000000000001" customHeight="1" x14ac:dyDescent="0.2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4:23" ht="20.100000000000001" customHeight="1" x14ac:dyDescent="0.25">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4:23" ht="20.100000000000001" customHeight="1" x14ac:dyDescent="0.25">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4:23" ht="20.100000000000001" customHeight="1" x14ac:dyDescent="0.25">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4:23" ht="20.100000000000001" customHeight="1" x14ac:dyDescent="0.25">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4:23" ht="20.100000000000001" customHeight="1" x14ac:dyDescent="0.25">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4:23" ht="20.100000000000001" customHeight="1" x14ac:dyDescent="0.25">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4:23" ht="20.100000000000001" customHeight="1" x14ac:dyDescent="0.25">
      <c r="M92" s="8"/>
      <c r="V92" s="8"/>
    </row>
    <row r="93" spans="4:23" ht="20.100000000000001" customHeight="1" x14ac:dyDescent="0.25">
      <c r="M93" s="8"/>
      <c r="V93" s="8"/>
    </row>
    <row r="94" spans="4:23" ht="20.100000000000001" customHeight="1" x14ac:dyDescent="0.25">
      <c r="D94" s="9" t="str" cm="1">
        <f t="array" ref="D94">SourceData_Poultry.SourceData_Poultry_EFmT_Title()</f>
        <v>Poultry - Nitrous oxide EFs by MMS (kgN2O-N/kgN) (EFmT)</v>
      </c>
      <c r="M94" s="8"/>
    </row>
    <row r="95" spans="4:23" ht="20.100000000000001" customHeight="1" x14ac:dyDescent="0.25">
      <c r="D95" s="11" t="str" cm="1">
        <f t="array" ref="D95">SourceData_Poultry.SourceData_Poultry_EFmT_Source()</f>
        <v>VEERG 2026: Table A.1.7.3</v>
      </c>
      <c r="M95" s="8"/>
    </row>
    <row r="96" spans="4:23" ht="20.100000000000001" customHeight="1" x14ac:dyDescent="0.25">
      <c r="D96" s="12" t="str" cm="1">
        <f t="array" ref="D96">SourceData_Poultry.SourceData_Poultry_EFmT_Variation()</f>
        <v>VARIATION ON SOURCE: Added 'NIR definition column'. Duplicated 'Poultry manure without litter' row for NIR MMS 'Belt manure removal' and 'Manure stored in house'.</v>
      </c>
      <c r="M96" s="8"/>
    </row>
    <row r="97" spans="4:13" ht="20.100000000000001" customHeight="1" x14ac:dyDescent="0.25">
      <c r="D97" s="10" t="s">
        <v>627</v>
      </c>
      <c r="E97" s="10" t="s">
        <v>629</v>
      </c>
      <c r="F97" s="10" t="s">
        <v>598</v>
      </c>
      <c r="M97" s="8"/>
    </row>
    <row r="98" spans="4:13" ht="20.100000000000001" customHeight="1" x14ac:dyDescent="0.25">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4:13" ht="20.100000000000001" customHeight="1" x14ac:dyDescent="0.25">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4:13" ht="20.100000000000001" customHeight="1" x14ac:dyDescent="0.25">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4:13" ht="20.100000000000001" customHeight="1" x14ac:dyDescent="0.25">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4:13" ht="20.100000000000001" customHeight="1" x14ac:dyDescent="0.25">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4:13" ht="20.100000000000001" customHeight="1" x14ac:dyDescent="0.25">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4:13" ht="20.100000000000001" customHeight="1" x14ac:dyDescent="0.25">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4:13" ht="20.100000000000001" customHeight="1" x14ac:dyDescent="0.2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SourceData_Poultry.SourceData_Poultry_FractionOfNitrogenLostThroughLeachingAndRunoff_Title()</f>
        <v>Fraction of N that is lost through leaching and runoff</v>
      </c>
      <c r="M108" s="8"/>
    </row>
    <row r="109" spans="4:13" ht="20.100000000000001" customHeight="1" x14ac:dyDescent="0.25">
      <c r="D109" s="11" t="str" cm="1">
        <f t="array" ref="D109">SourceData_Poultry.SourceData_Poultry_FractionOfNitrogenLostThroughLeachingAndRunoff_Source()</f>
        <v>VEERG 2026: 4.6.2.3 CONSTANTS</v>
      </c>
      <c r="M109" s="8"/>
    </row>
    <row r="110" spans="4:13" ht="20.100000000000001" customHeight="1" x14ac:dyDescent="0.25">
      <c r="D110" s="28"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4:13" ht="20.100000000000001" customHeight="1" x14ac:dyDescent="0.25">
      <c r="M111" s="8"/>
    </row>
    <row r="112" spans="4:13" ht="20.100000000000001" customHeight="1" x14ac:dyDescent="0.25">
      <c r="D112" s="9" t="str" cm="1">
        <f t="array" ref="D112">SourceData_Poultry.SourceData_Poultry_FracGAMSSoil_Title()</f>
        <v>Fraction of nitrogen volatilised from urine and faeces deposited on pasture</v>
      </c>
      <c r="M112" s="8"/>
    </row>
    <row r="113" spans="4:22" ht="20.100000000000001" customHeight="1" x14ac:dyDescent="0.25">
      <c r="D113" s="11" t="str" cm="1">
        <f t="array" ref="D113">SourceData_Poultry.SourceData_Poultry_FracGAMSSoil_Source()</f>
        <v>VEERG 2026: 4.6.2.3 CONSTANTS</v>
      </c>
      <c r="M113" s="8"/>
    </row>
    <row r="114" spans="4:22" ht="20.100000000000001" customHeight="1" x14ac:dyDescent="0.25">
      <c r="D114" s="12" t="str" cm="1">
        <f t="array" ref="D114">SourceData_Poultry.SourceData_Poultry_FracGAMSSoil_Variation()</f>
        <v>VARIATION ON SOURCE: This constant is not documented in the draft, used the same value of 0.21 as all other livestock.</v>
      </c>
      <c r="M114" s="8"/>
    </row>
    <row r="115" spans="4:22" ht="20.100000000000001" customHeight="1" x14ac:dyDescent="0.25">
      <c r="D115" s="28"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4:22" ht="20.100000000000001" customHeight="1" x14ac:dyDescent="0.25">
      <c r="M116" s="8"/>
      <c r="V116" s="8"/>
    </row>
    <row r="117" spans="4:22" ht="20.100000000000001" customHeight="1" x14ac:dyDescent="0.25">
      <c r="D117" s="9" t="str" cm="1">
        <f t="array" ref="D117">SourceData_Poultry.SourceData_Poultry_Liveweights_Title()</f>
        <v>Poultry - Liveweights (Wco) (kg)</v>
      </c>
      <c r="M117" s="8"/>
      <c r="V117" s="8"/>
    </row>
    <row r="118" spans="4:22" ht="20.100000000000001" customHeight="1" x14ac:dyDescent="0.25">
      <c r="D118" s="11" t="str" cm="1">
        <f t="array" ref="D118">SourceData_Poultry.SourceData_Poultry_Liveweights_Source()</f>
        <v>VEERG 2026: Table A.1.7.5</v>
      </c>
      <c r="M118" s="8"/>
    </row>
    <row r="119" spans="4:22" ht="20.100000000000001" customHeight="1" x14ac:dyDescent="0.25">
      <c r="D119" s="10" t="s">
        <v>670</v>
      </c>
      <c r="E119" s="10" t="s">
        <v>631</v>
      </c>
      <c r="M119" s="8"/>
    </row>
    <row r="120" spans="4:22" ht="20.100000000000001" customHeight="1" x14ac:dyDescent="0.25">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4:22" ht="20.100000000000001" customHeight="1" x14ac:dyDescent="0.25">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4:22" ht="20.100000000000001" customHeight="1" x14ac:dyDescent="0.25">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4:22" ht="20.100000000000001" customHeight="1" x14ac:dyDescent="0.25">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4:22" ht="20.100000000000001" customHeight="1" x14ac:dyDescent="0.25">
      <c r="M124" s="8"/>
    </row>
    <row r="125" spans="4:22" ht="20.100000000000001" customHeight="1" x14ac:dyDescent="0.25">
      <c r="M125" s="8"/>
      <c r="V125" s="8"/>
    </row>
    <row r="126" spans="4:22" ht="20.100000000000001" customHeight="1" x14ac:dyDescent="0.25">
      <c r="M126" s="8"/>
      <c r="V126" s="8"/>
    </row>
    <row r="127" spans="4:22" ht="20.100000000000001" customHeight="1" x14ac:dyDescent="0.25">
      <c r="M127" s="8"/>
      <c r="V127" s="8"/>
    </row>
    <row r="128" spans="4: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dimension ref="A1:W452"/>
  <sheetViews>
    <sheetView showGridLines="0" topLeftCell="A116"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611</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M5" s="8"/>
    </row>
    <row r="6" spans="1:21" ht="20.100000000000001" customHeight="1" x14ac:dyDescent="0.25">
      <c r="A6" s="18"/>
      <c r="D6" s="9" t="s">
        <v>612</v>
      </c>
      <c r="G6" s="9" t="s">
        <v>146</v>
      </c>
      <c r="M6" s="8"/>
    </row>
    <row r="7" spans="1:21" ht="20.100000000000001" customHeight="1" x14ac:dyDescent="0.25">
      <c r="A7" s="19" t="s">
        <v>67</v>
      </c>
      <c r="M7" s="8"/>
    </row>
    <row r="8" spans="1:21" ht="20.100000000000001" customHeight="1" x14ac:dyDescent="0.25">
      <c r="A8" s="16" t="str">
        <f>HYPERLINK("#'Input - Site'!A1", "Site")</f>
        <v>Site</v>
      </c>
      <c r="D8" s="10" t="s">
        <v>148</v>
      </c>
      <c r="G8" s="10" t="s">
        <v>43</v>
      </c>
      <c r="M8" s="8"/>
    </row>
    <row r="9" spans="1:21" ht="20.100000000000001" customHeight="1" x14ac:dyDescent="0.25">
      <c r="A9" s="16" t="str">
        <f>HYPERLINK("#'Input - Swine'!A1", "Swine")</f>
        <v>Swine</v>
      </c>
      <c r="D9" s="10" t="s">
        <v>150</v>
      </c>
      <c r="G9" s="10" t="s">
        <v>151</v>
      </c>
      <c r="M9" s="8"/>
    </row>
    <row r="10" spans="1:21" ht="20.100000000000001" customHeight="1" x14ac:dyDescent="0.25">
      <c r="A10" s="16"/>
      <c r="D10" s="8" t="s">
        <v>153</v>
      </c>
      <c r="G10" s="10" t="s">
        <v>155</v>
      </c>
      <c r="M10" s="8"/>
    </row>
    <row r="11" spans="1:21" ht="20.100000000000001" customHeight="1" x14ac:dyDescent="0.25">
      <c r="A11" s="21" t="s">
        <v>77</v>
      </c>
      <c r="G11" s="8" t="s">
        <v>158</v>
      </c>
      <c r="M11" s="8"/>
    </row>
    <row r="12" spans="1:21" ht="20.100000000000001" customHeight="1" x14ac:dyDescent="0.25">
      <c r="A12" s="16" t="str">
        <f>HYPERLINK("#'3.5.1.1-2 Enteric Methane'!A1", "3.5.1.1-2 Enteric Methane")</f>
        <v>3.5.1.1-2 Enteric Methane</v>
      </c>
      <c r="G12" s="8" t="s">
        <v>161</v>
      </c>
      <c r="M12" s="8"/>
    </row>
    <row r="13" spans="1:21" ht="20.100000000000001" customHeight="1" x14ac:dyDescent="0.25">
      <c r="G13" s="8" t="s">
        <v>163</v>
      </c>
      <c r="M13" s="8"/>
    </row>
    <row r="14" spans="1:21" ht="20.100000000000001" customHeight="1" x14ac:dyDescent="0.25">
      <c r="A14" s="23" t="s">
        <v>78</v>
      </c>
      <c r="D14" s="9" t="str" cm="1">
        <f t="array" ref="D14">SourceData_Swine.SourceData_Swine_FracLEACH_DrylotMMS_Title()</f>
        <v>Fraction of nitrogen lost through leaching and runoff for drylot MMS</v>
      </c>
      <c r="M14" s="8"/>
    </row>
    <row r="15" spans="1:21" ht="20.100000000000001" customHeight="1" x14ac:dyDescent="0.25">
      <c r="A15" s="24" t="str">
        <f>HYPERLINK("#'Constants - Swine'!A1", "Constants - Swine")</f>
        <v>Constants - Swine</v>
      </c>
      <c r="D15" s="11" t="str" cm="1">
        <f t="array" ref="D15">SourceData_Swine.SourceData_Swine_FracLEACH_DrylotMMS_Source()</f>
        <v>VEERG 2026: 4.5.2.3 CONSTANT</v>
      </c>
      <c r="M15" s="8"/>
    </row>
    <row r="16" spans="1:21" ht="20.100000000000001" customHeight="1" x14ac:dyDescent="0.25">
      <c r="A16" s="16" t="str">
        <f>HYPERLINK("#'Constants - Livestock'!A1", "Constants - Livestock")</f>
        <v>Constants - Livestock</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s="16" t="str">
        <f>HYPERLINK("#'Constants - Common'!A1", "Constants - Common")</f>
        <v>Constants - Common</v>
      </c>
      <c r="D17" s="28"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16" t="str">
        <f>HYPERLINK("#'Acknowledgements'!A1", "Acknowledgements")</f>
        <v>Acknowledgements</v>
      </c>
      <c r="M18" s="8"/>
    </row>
    <row r="19" spans="1:13" ht="20.100000000000001" customHeight="1" x14ac:dyDescent="0.25">
      <c r="D19" s="9" t="str" cm="1">
        <f t="array" ref="D19">SourceData_Swine.SourceData_Swine_MethaneVolatileSolidsEmissionsPotential_Title()</f>
        <v>Emissions potential of methane per kilogram of volatile solids</v>
      </c>
      <c r="M19" s="8"/>
    </row>
    <row r="20" spans="1:13" ht="20.100000000000001" customHeight="1" x14ac:dyDescent="0.25">
      <c r="A20" s="16"/>
      <c r="D20" s="11" t="str" cm="1">
        <f t="array" ref="D20">SourceData_Swine.SourceData_Swine_MethaneVolatileSolidsEmissionsPotential_Source()</f>
        <v>IPCC (2019), Chapter 10 [4]</v>
      </c>
      <c r="M20" s="8"/>
    </row>
    <row r="21" spans="1:13" ht="20.100000000000001" customHeight="1" x14ac:dyDescent="0.25">
      <c r="D21" s="28"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M22" s="8"/>
    </row>
    <row r="23" spans="1:13" ht="20.100000000000001" customHeight="1" x14ac:dyDescent="0.25">
      <c r="M23" s="8"/>
    </row>
    <row r="24" spans="1:13" ht="20.100000000000001" customHeight="1" x14ac:dyDescent="0.25">
      <c r="D24" s="9" t="str" cm="1">
        <f t="array" ref="D24">SourceData_Swine.SourceData_Swine_MMS_MCFs_Title()</f>
        <v>Methane conversion factor for temperature zone and manure management system.</v>
      </c>
      <c r="H24" s="174" t="s">
        <v>613</v>
      </c>
      <c r="M24" s="8"/>
    </row>
    <row r="25" spans="1:13" ht="20.100000000000001" customHeight="1" x14ac:dyDescent="0.25">
      <c r="D25" s="11" t="str" cm="1">
        <f t="array" ref="D25">SourceData_Swine.SourceData_Swine_MMS_MCFs_Source()</f>
        <v>VEERG 2026: Table A.1.6.4: Swine - MCFs (MCFim)</v>
      </c>
      <c r="H25" s="174" t="s">
        <v>614</v>
      </c>
      <c r="M25" s="8"/>
    </row>
    <row r="26" spans="1:13" ht="20.100000000000001" customHeight="1" x14ac:dyDescent="0.25">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M27" s="8"/>
    </row>
    <row r="28" spans="1:13" ht="20.100000000000001" customHeight="1" x14ac:dyDescent="0.25">
      <c r="D28" s="10" t="s">
        <v>589</v>
      </c>
      <c r="E28" s="10" t="s">
        <v>366</v>
      </c>
      <c r="F28" s="10" t="s">
        <v>342</v>
      </c>
      <c r="G28" s="10" t="s">
        <v>367</v>
      </c>
      <c r="H28" s="10" t="s">
        <v>496</v>
      </c>
      <c r="I28" s="10" t="s">
        <v>433</v>
      </c>
      <c r="J28" s="10" t="s">
        <v>429</v>
      </c>
      <c r="K28" s="10" t="s">
        <v>372</v>
      </c>
      <c r="L28" s="10" t="s">
        <v>373</v>
      </c>
      <c r="M28" s="10" t="s">
        <v>615</v>
      </c>
    </row>
    <row r="29" spans="1:13" ht="20.100000000000001" customHeight="1" x14ac:dyDescent="0.25">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4:13" ht="20.100000000000001" customHeight="1" x14ac:dyDescent="0.25">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4:13" ht="20.100000000000001" customHeight="1" x14ac:dyDescent="0.25">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4:13" ht="20.100000000000001" customHeight="1" x14ac:dyDescent="0.2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4:13" ht="20.100000000000001" customHeight="1" x14ac:dyDescent="0.25">
      <c r="M36" s="8"/>
    </row>
    <row r="37" spans="4:13" ht="20.100000000000001" customHeight="1" x14ac:dyDescent="0.25">
      <c r="M37" s="8"/>
    </row>
    <row r="38" spans="4:13" ht="20.100000000000001" customHeight="1" x14ac:dyDescent="0.25">
      <c r="D38" s="9" t="s">
        <v>616</v>
      </c>
      <c r="G38" s="9" t="s">
        <v>617</v>
      </c>
      <c r="K38" s="9" t="s">
        <v>618</v>
      </c>
      <c r="M38" s="8"/>
    </row>
    <row r="39" spans="4:13" ht="20.100000000000001" customHeight="1" x14ac:dyDescent="0.25">
      <c r="M39" s="8"/>
    </row>
    <row r="40" spans="4:13" ht="20.100000000000001" customHeight="1" x14ac:dyDescent="0.25">
      <c r="D40" s="176" t="s">
        <v>589</v>
      </c>
      <c r="E40" s="10" t="s">
        <v>359</v>
      </c>
      <c r="G40" s="176" t="s">
        <v>589</v>
      </c>
      <c r="H40" s="10" t="s">
        <v>359</v>
      </c>
      <c r="K40" s="176" t="s">
        <v>589</v>
      </c>
      <c r="L40" s="10" t="s">
        <v>359</v>
      </c>
      <c r="M40" s="8"/>
    </row>
    <row r="41" spans="4:13" ht="20.100000000000001" customHeight="1" x14ac:dyDescent="0.25">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4:13" ht="20.100000000000001" customHeight="1" x14ac:dyDescent="0.25">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4:13" ht="20.100000000000001" customHeight="1" x14ac:dyDescent="0.25">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4:13" ht="20.100000000000001" customHeight="1" x14ac:dyDescent="0.25">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4:13" ht="20.100000000000001" customHeight="1" x14ac:dyDescent="0.2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4:13" ht="20.100000000000001" customHeight="1" x14ac:dyDescent="0.25">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4:13" ht="20.100000000000001" customHeight="1" x14ac:dyDescent="0.25">
      <c r="D47" s="10" t="str">
        <f>'Constants - Common Livestock'!$E$23</f>
        <v>Direct application</v>
      </c>
      <c r="E47" s="10" t="str">
        <f>'Constants - Common Livestock'!$F$23</f>
        <v>Direct application (m=13)</v>
      </c>
      <c r="M47" s="8"/>
    </row>
    <row r="48" spans="4:13" ht="20.100000000000001" customHeight="1" x14ac:dyDescent="0.25">
      <c r="M48" s="8"/>
    </row>
    <row r="49" spans="1:13" ht="20.100000000000001" customHeight="1" x14ac:dyDescent="0.25">
      <c r="M49" s="8"/>
    </row>
    <row r="50" spans="1:13" ht="20.100000000000001" customHeight="1" x14ac:dyDescent="0.25">
      <c r="M50" s="8"/>
    </row>
    <row r="51" spans="1:13" ht="20.100000000000001" customHeight="1" x14ac:dyDescent="0.25">
      <c r="D51" s="9" t="s">
        <v>619</v>
      </c>
      <c r="G51" s="9" t="s">
        <v>620</v>
      </c>
      <c r="M51" s="8"/>
    </row>
    <row r="52" spans="1:13" ht="20.100000000000001" customHeight="1" x14ac:dyDescent="0.25">
      <c r="M52" s="8"/>
    </row>
    <row r="53" spans="1:13" ht="20.100000000000001" customHeight="1" x14ac:dyDescent="0.25">
      <c r="D53" s="176" t="s">
        <v>589</v>
      </c>
      <c r="E53" s="10" t="s">
        <v>621</v>
      </c>
      <c r="G53" s="10" t="s">
        <v>148</v>
      </c>
      <c r="M53" s="8"/>
    </row>
    <row r="54" spans="1:13" ht="20.100000000000001" customHeight="1" x14ac:dyDescent="0.25">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D57" s="10" t="str">
        <f>'Constants - Common Livestock'!$E$15</f>
        <v>Digester / covered lagoons</v>
      </c>
      <c r="E57" s="10">
        <v>0.75</v>
      </c>
      <c r="M57" s="8"/>
    </row>
    <row r="58" spans="1:13" ht="20.100000000000001" customHeight="1" x14ac:dyDescent="0.25">
      <c r="D58" s="10" t="str">
        <f>'Constants - Common Livestock'!$E$16</f>
        <v>Deep litter</v>
      </c>
      <c r="E58" s="10">
        <v>0.05</v>
      </c>
      <c r="M58" s="8"/>
    </row>
    <row r="59" spans="1:13" ht="20.100000000000001" customHeight="1" x14ac:dyDescent="0.25">
      <c r="D59" s="10" t="str">
        <f>'Constants - Common Livestock'!$E$17</f>
        <v>Pit storage</v>
      </c>
      <c r="E59" s="10">
        <v>0</v>
      </c>
      <c r="M59" s="8"/>
    </row>
    <row r="60" spans="1:13" ht="20.100000000000001" customHeight="1" x14ac:dyDescent="0.25">
      <c r="D60" s="10" t="str">
        <f>'Constants - Common Livestock'!$E$23</f>
        <v>Direct application</v>
      </c>
      <c r="E60" s="10">
        <v>0</v>
      </c>
      <c r="M60" s="8"/>
    </row>
    <row r="61" spans="1:13" ht="20.100000000000001" customHeight="1" x14ac:dyDescent="0.25">
      <c r="M61" s="8"/>
    </row>
    <row r="62" spans="1:13" ht="20.100000000000001" customHeight="1" x14ac:dyDescent="0.25">
      <c r="M62" s="8"/>
    </row>
    <row r="63" spans="1:13" ht="20.100000000000001" customHeight="1" x14ac:dyDescent="0.25">
      <c r="A63" s="56" t="str">
        <f>HYPERLINK("#A1", "▲ Back to top")</f>
        <v>▲ Back to top</v>
      </c>
      <c r="D63" s="9" t="str" cm="1">
        <f t="array" ref="D63">SourceData_Swine.SourceData_Swine_VolatileSolids_Title()</f>
        <v>Swine - Volatile solids (VSj) - 2020 to 2024</v>
      </c>
      <c r="M63" s="8"/>
    </row>
    <row r="64" spans="1:13" ht="20.100000000000001" customHeight="1" x14ac:dyDescent="0.25">
      <c r="D64" s="11" t="str" cm="1">
        <f t="array" ref="D64">SourceData_Swine.SourceData_Swine_VolatileSolids_Source()</f>
        <v>VEERG 2026: Table A.1.6.1: Swine - Intake and manure characteristics derived from PigBal</v>
      </c>
      <c r="M64" s="8"/>
    </row>
    <row r="65" spans="4:22" ht="20.100000000000001" customHeight="1" x14ac:dyDescent="0.25">
      <c r="D65" s="12" t="str" cm="1">
        <f t="array" ref="D65">SourceData_Swine.SourceData_Swine_VolatileSolids_Variation()</f>
        <v>VARIATION ON SOURCE DATA: Only uses data for 2020-2024. Use 'Slaughter pigs' data for 'Other j=4' class.</v>
      </c>
      <c r="M65" s="8"/>
    </row>
    <row r="66" spans="4:22" ht="20.100000000000001" customHeight="1" x14ac:dyDescent="0.25">
      <c r="M66" s="8"/>
    </row>
    <row r="67" spans="4:22" ht="20.100000000000001" customHeight="1" x14ac:dyDescent="0.25">
      <c r="D67" s="10" t="s">
        <v>352</v>
      </c>
      <c r="E67" s="10" t="s">
        <v>622</v>
      </c>
      <c r="M67" s="8"/>
    </row>
    <row r="68" spans="4:22" ht="20.100000000000001" customHeight="1" x14ac:dyDescent="0.25">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4:22" ht="20.100000000000001" customHeight="1" x14ac:dyDescent="0.25">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4:22" ht="20.100000000000001" customHeight="1" x14ac:dyDescent="0.25">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4:22" ht="20.100000000000001" customHeight="1" x14ac:dyDescent="0.25">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4:22" ht="20.100000000000001" customHeight="1" x14ac:dyDescent="0.25">
      <c r="M72" s="8"/>
      <c r="V72" s="8"/>
    </row>
    <row r="73" spans="4:22" ht="20.100000000000001" customHeight="1" x14ac:dyDescent="0.25">
      <c r="M73" s="8"/>
      <c r="V73" s="8"/>
    </row>
    <row r="74" spans="4:22" ht="20.100000000000001" customHeight="1" x14ac:dyDescent="0.25">
      <c r="D74" s="9" t="str" cm="1">
        <f t="array" ref="D74">SourceData_Swine.SourceData_Swine_FeedIntake_Title()</f>
        <v>Swine - Feed intake - ingested as fed  (Ij) - 2020 to 2024</v>
      </c>
      <c r="M74" s="8"/>
      <c r="V74" s="8"/>
    </row>
    <row r="75" spans="4:22" ht="20.100000000000001" customHeight="1" x14ac:dyDescent="0.25">
      <c r="D75" s="11" t="str" cm="1">
        <f t="array" ref="D75">SourceData_Swine.SourceData_Swine_FeedIntake_Source()</f>
        <v>VEERG 2026: Table A.1.6.1: Swine - Intake and manure characteristics derived from PigBal</v>
      </c>
      <c r="M75" s="8"/>
      <c r="V75" s="8"/>
    </row>
    <row r="76" spans="4:22" ht="20.100000000000001" customHeight="1" x14ac:dyDescent="0.25">
      <c r="D76" s="12" t="str" cm="1">
        <f t="array" ref="D76">SourceData_Swine.SourceData_Swine_FeedIntake_Variation()</f>
        <v>VARIATION ON SOURCE DATA: Only uses data for 2020-2024. Use 'Slaughter pigs' data for 'Other j=4' class.</v>
      </c>
      <c r="M76" s="8"/>
      <c r="V76" s="8"/>
    </row>
    <row r="77" spans="4:22" ht="20.100000000000001" customHeight="1" x14ac:dyDescent="0.25">
      <c r="M77" s="8"/>
      <c r="V77" s="8"/>
    </row>
    <row r="78" spans="4:22" ht="20.100000000000001" customHeight="1" x14ac:dyDescent="0.25">
      <c r="D78" s="10" t="s">
        <v>352</v>
      </c>
      <c r="E78" s="10" t="s">
        <v>623</v>
      </c>
      <c r="M78" s="8"/>
      <c r="V78" s="8"/>
    </row>
    <row r="79" spans="4:22" ht="20.100000000000001" customHeight="1" x14ac:dyDescent="0.25">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4:22" ht="20.100000000000001" customHeight="1" x14ac:dyDescent="0.25">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4:23" ht="20.100000000000001" customHeight="1" x14ac:dyDescent="0.25">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4:23" ht="20.100000000000001" customHeight="1" x14ac:dyDescent="0.25">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4:23" ht="20.100000000000001" customHeight="1" x14ac:dyDescent="0.25">
      <c r="M83" s="8"/>
    </row>
    <row r="84" spans="4:23" ht="20.100000000000001" customHeight="1" x14ac:dyDescent="0.25">
      <c r="M84" s="8"/>
    </row>
    <row r="85" spans="4:23" ht="20.100000000000001" customHeight="1" x14ac:dyDescent="0.25">
      <c r="D85" s="9" t="str" cm="1">
        <f t="array" ref="D85">SourceData_Swine.SourceData_Swine_NitrogenInWaste_Title()</f>
        <v>Swine - Nitrogen in waste (NWj) - 2020 to 2024</v>
      </c>
      <c r="M85" s="8"/>
      <c r="V85" s="8"/>
    </row>
    <row r="86" spans="4:23" ht="20.100000000000001" customHeight="1" x14ac:dyDescent="0.25">
      <c r="D86" s="11" t="str" cm="1">
        <f t="array" ref="D86">SourceData_Swine.SourceData_Swine_NitrogenInWaste_Source()</f>
        <v>VEERG 2026: Table A.1.6.1: Swine - Intake and manure characteristics derived from PigBal</v>
      </c>
      <c r="M86" s="8"/>
      <c r="V86" s="8"/>
    </row>
    <row r="87" spans="4:23" ht="20.100000000000001" customHeight="1" x14ac:dyDescent="0.25">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4:23" ht="20.100000000000001" customHeight="1" x14ac:dyDescent="0.25">
      <c r="M88" s="8"/>
      <c r="V88" s="8"/>
    </row>
    <row r="89" spans="4:23" ht="20.100000000000001" customHeight="1" x14ac:dyDescent="0.25">
      <c r="D89" s="10" t="s">
        <v>352</v>
      </c>
      <c r="E89" s="10" t="s">
        <v>624</v>
      </c>
      <c r="F89" s="10" t="s">
        <v>625</v>
      </c>
      <c r="G89" s="10" t="s">
        <v>626</v>
      </c>
      <c r="M89" s="8"/>
      <c r="V89" s="8"/>
      <c r="W89" s="8"/>
    </row>
    <row r="90" spans="4:23" ht="20.100000000000001" customHeight="1" x14ac:dyDescent="0.25">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4:23" ht="20.100000000000001" customHeight="1" x14ac:dyDescent="0.25">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4:23" ht="20.100000000000001" customHeight="1" x14ac:dyDescent="0.25">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4:23" ht="20.100000000000001" customHeight="1" x14ac:dyDescent="0.25">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4:23" ht="20.100000000000001" customHeight="1" x14ac:dyDescent="0.25">
      <c r="M94" s="8"/>
    </row>
    <row r="95" spans="4:23" ht="20.100000000000001" customHeight="1" x14ac:dyDescent="0.25">
      <c r="M95" s="8"/>
    </row>
    <row r="96" spans="4:23" ht="20.100000000000001" customHeight="1" x14ac:dyDescent="0.25">
      <c r="D96" s="9" t="str" cm="1">
        <f t="array" ref="D96">SourceData_Swine.SourceData_Swine_FractionNVolatilised_Title()</f>
        <v>Swine - Fraction of nitrogen volatilised (FracGASMmT)</v>
      </c>
      <c r="M96" s="8"/>
    </row>
    <row r="97" spans="4:13" ht="20.100000000000001" customHeight="1" x14ac:dyDescent="0.25">
      <c r="D97" s="11" t="str" cm="1">
        <f t="array" ref="D97">SourceData_Swine.SourceData_Swine_FractionNVolatilised_Source()</f>
        <v>VEERG 2026: Table A.1.6.2: Swine - Fraction of N volatilised by MMS ((kg NH3-N + NOx-N)/kgN) (FracGASMmT)</v>
      </c>
      <c r="M97" s="8"/>
    </row>
    <row r="98" spans="4:13" ht="20.100000000000001" customHeight="1" x14ac:dyDescent="0.25">
      <c r="D98" s="12" t="str" cm="1">
        <f t="array" ref="D98">SourceData_Swine.SourceData_Swine_FractionNVolatilised_Variation()</f>
        <v>VARIATION ON SOURCE DATA: Added 'NIR reference column to aid lookup.</v>
      </c>
      <c r="M98" s="8"/>
    </row>
    <row r="99" spans="4:13" ht="20.100000000000001" customHeight="1" x14ac:dyDescent="0.25">
      <c r="D99" s="10" t="s">
        <v>627</v>
      </c>
      <c r="E99" s="10" t="s">
        <v>628</v>
      </c>
      <c r="F99" s="10" t="s">
        <v>598</v>
      </c>
      <c r="M99" s="8"/>
    </row>
    <row r="100" spans="4:13" ht="20.100000000000001" customHeight="1" x14ac:dyDescent="0.25">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4:13" ht="20.100000000000001" customHeight="1" x14ac:dyDescent="0.25">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4:13" ht="20.100000000000001" customHeight="1" x14ac:dyDescent="0.25">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4:13" ht="20.100000000000001" customHeight="1" x14ac:dyDescent="0.25">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4:13" ht="20.100000000000001" customHeight="1" x14ac:dyDescent="0.25">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4:13" ht="20.100000000000001" customHeight="1" x14ac:dyDescent="0.2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SourceData_Swine.SourceData_Swine_NitrousOxideEFs_Title()</f>
        <v>Swine - Nitrous oxide EFs by MMS (EFmT)</v>
      </c>
      <c r="M108" s="8"/>
    </row>
    <row r="109" spans="4:13" ht="20.100000000000001" customHeight="1" x14ac:dyDescent="0.25">
      <c r="D109" s="11" t="str" cm="1">
        <f t="array" ref="D109">SourceData_Swine.SourceData_Swine_NitrousOxideEFs_Source()</f>
        <v>VEERG 2026: Table A.1.6.3: Swine - Nitrous oxide EFs by MMS (kgN2O-N/kgN) (EFmT)</v>
      </c>
      <c r="M109" s="8"/>
    </row>
    <row r="110" spans="4:13" ht="20.100000000000001" customHeight="1" x14ac:dyDescent="0.25">
      <c r="D110" s="12" t="str" cm="1">
        <f t="array" ref="D110">SourceData_Swine.SourceData_Swine_NitrousOxideEFs_Variation()</f>
        <v>VARIATION ON SOURCE DATA: Added 'NIR reference column to aid lookup.</v>
      </c>
      <c r="M110" s="8"/>
    </row>
    <row r="111" spans="4:13" ht="20.100000000000001" customHeight="1" x14ac:dyDescent="0.25">
      <c r="D111" s="10" t="s">
        <v>627</v>
      </c>
      <c r="E111" s="10" t="s">
        <v>629</v>
      </c>
      <c r="F111" s="10" t="s">
        <v>598</v>
      </c>
      <c r="M111" s="8"/>
    </row>
    <row r="112" spans="4:13" ht="20.100000000000001" customHeight="1" x14ac:dyDescent="0.25">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s="56" t="str">
        <f>HYPERLINK("#A1", "▲ Back to top")</f>
        <v>▲ Back to top</v>
      </c>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M118" s="8"/>
    </row>
    <row r="119" spans="1:22" ht="20.100000000000001" customHeight="1" x14ac:dyDescent="0.25">
      <c r="M119" s="8"/>
    </row>
    <row r="120" spans="1:22" ht="20.100000000000001" customHeight="1" x14ac:dyDescent="0.25">
      <c r="D120" s="9" t="str" cm="1">
        <f t="array" ref="D120">SourceData_Swine.SourceData_Swine_MegajoulesPerKilogramMethane_Title()</f>
        <v>Megajoules per kilogram of methane</v>
      </c>
      <c r="M120" s="8"/>
    </row>
    <row r="121" spans="1:22" ht="20.100000000000001" customHeight="1" x14ac:dyDescent="0.25">
      <c r="D121" s="11" t="str" cm="1">
        <f t="array" ref="D121">SourceData_Swine.SourceData_Swine_MegajoulesPerKilogramMethane_Source()</f>
        <v>VEERG 2026: 3.5.2.3 CONSTANT</v>
      </c>
      <c r="M121" s="8"/>
    </row>
    <row r="122" spans="1:22" ht="20.100000000000001" customHeight="1" x14ac:dyDescent="0.25">
      <c r="D122" s="28"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M123" s="8"/>
    </row>
    <row r="124" spans="1:22" ht="20.100000000000001" customHeight="1" x14ac:dyDescent="0.25">
      <c r="M124" s="8"/>
    </row>
    <row r="125" spans="1:22" ht="20.100000000000001" customHeight="1" x14ac:dyDescent="0.25">
      <c r="D125" s="9" t="str" cm="1">
        <f t="array" ref="D125">SourceData_Swine.SourceData_Swine_AverageLiveweight_Title()</f>
        <v>Swine - Average liveweight (inventory defaults) (kg) (Wco)</v>
      </c>
      <c r="M125" s="8"/>
      <c r="V125" s="8"/>
    </row>
    <row r="126" spans="1:22" ht="20.100000000000001" customHeight="1" x14ac:dyDescent="0.25">
      <c r="D126" s="11" t="str" cm="1">
        <f t="array" ref="D126">SourceData_Swine.SourceData_Swine_AverageLiveweight_Source()</f>
        <v>VEERG 2026: Table A.1.6.5: Swine - Average liveweight (inventory defaults) (kg) (Wco)</v>
      </c>
      <c r="M126" s="8"/>
      <c r="V126" s="8"/>
    </row>
    <row r="127" spans="1:22" ht="20.100000000000001" customHeight="1" x14ac:dyDescent="0.25">
      <c r="D127" s="10" t="s">
        <v>630</v>
      </c>
      <c r="E127" s="10" t="s">
        <v>631</v>
      </c>
      <c r="M127" s="8"/>
      <c r="V127" s="8"/>
    </row>
    <row r="128" spans="1:22" ht="20.100000000000001" customHeight="1" x14ac:dyDescent="0.25">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4:22" ht="20.100000000000001" customHeight="1" x14ac:dyDescent="0.25">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4:22" ht="20.100000000000001" customHeight="1" x14ac:dyDescent="0.25">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4:22" ht="20.100000000000001" customHeight="1" x14ac:dyDescent="0.25">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4:22" ht="20.100000000000001" customHeight="1" x14ac:dyDescent="0.25">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4:22" ht="20.100000000000001" customHeight="1" x14ac:dyDescent="0.25">
      <c r="M133" s="8"/>
    </row>
    <row r="134" spans="4:22" ht="20.100000000000001" customHeight="1" x14ac:dyDescent="0.25">
      <c r="M134" s="8"/>
    </row>
    <row r="135" spans="4:22" ht="20.100000000000001" customHeight="1" x14ac:dyDescent="0.25">
      <c r="M135" s="8"/>
    </row>
    <row r="136" spans="4:22" ht="20.100000000000001" customHeight="1" x14ac:dyDescent="0.25">
      <c r="M136" s="8"/>
    </row>
    <row r="137" spans="4:22" ht="20.100000000000001" customHeight="1" x14ac:dyDescent="0.25">
      <c r="M137" s="8"/>
    </row>
    <row r="138" spans="4:22" ht="20.100000000000001" customHeight="1" x14ac:dyDescent="0.25">
      <c r="M138" s="8"/>
    </row>
    <row r="139" spans="4:22" ht="20.100000000000001" customHeight="1" x14ac:dyDescent="0.25">
      <c r="M139" s="8"/>
    </row>
    <row r="140" spans="4:22" ht="20.100000000000001" customHeight="1" x14ac:dyDescent="0.25">
      <c r="M140" s="8"/>
    </row>
    <row r="141" spans="4:22" ht="20.100000000000001" customHeight="1" x14ac:dyDescent="0.25">
      <c r="M141" s="8"/>
    </row>
    <row r="142" spans="4:22" ht="20.100000000000001" customHeight="1" x14ac:dyDescent="0.25">
      <c r="M142" s="8"/>
    </row>
    <row r="143" spans="4:22" ht="20.100000000000001" customHeight="1" x14ac:dyDescent="0.25">
      <c r="M143" s="8"/>
    </row>
    <row r="144" spans="4: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dimension ref="A1:V288"/>
  <sheetViews>
    <sheetView showGridLines="0" topLeftCell="A13" zoomScale="85" zoomScaleNormal="85" workbookViewId="0">
      <selection activeCell="H31" sqref="H31"/>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586</v>
      </c>
    </row>
    <row r="2" spans="1:21" s="2" customFormat="1" ht="20.100000000000001" customHeight="1" x14ac:dyDescent="0.25">
      <c r="A2" s="3"/>
    </row>
    <row r="3" spans="1:21" ht="20.100000000000001" customHeight="1" x14ac:dyDescent="0.25">
      <c r="A3" s="16"/>
      <c r="C3" s="5"/>
      <c r="D3" s="5"/>
      <c r="E3" s="5"/>
      <c r="F3" s="5"/>
      <c r="G3" s="5"/>
      <c r="H3" s="5"/>
      <c r="I3" s="5"/>
      <c r="J3" s="5"/>
      <c r="K3" s="5"/>
      <c r="L3" s="5"/>
      <c r="M3" s="5"/>
      <c r="N3" s="5"/>
      <c r="O3" s="5"/>
      <c r="P3" s="5"/>
      <c r="Q3" s="5"/>
      <c r="R3" s="5"/>
      <c r="S3" s="5"/>
      <c r="T3" s="5"/>
      <c r="U3" s="5"/>
    </row>
    <row r="4" spans="1:21" ht="20.100000000000001" customHeight="1" x14ac:dyDescent="0.25">
      <c r="A4" s="16"/>
      <c r="M4" s="14"/>
    </row>
    <row r="5" spans="1:21" ht="20.100000000000001" customHeight="1" x14ac:dyDescent="0.25">
      <c r="A5" s="16"/>
      <c r="D5" s="9" t="s">
        <v>587</v>
      </c>
      <c r="G5" s="9" t="s">
        <v>588</v>
      </c>
      <c r="J5" s="9" t="s">
        <v>146</v>
      </c>
      <c r="M5" s="8"/>
    </row>
    <row r="6" spans="1:21" ht="20.100000000000001" customHeight="1" x14ac:dyDescent="0.25">
      <c r="A6" s="18"/>
      <c r="M6" s="8"/>
    </row>
    <row r="7" spans="1:21" ht="20.100000000000001" customHeight="1" x14ac:dyDescent="0.25">
      <c r="A7" s="19"/>
      <c r="D7" s="176" t="s">
        <v>589</v>
      </c>
      <c r="E7" s="10" t="s">
        <v>359</v>
      </c>
      <c r="G7" s="10" t="s">
        <v>148</v>
      </c>
      <c r="J7" s="10" t="s">
        <v>43</v>
      </c>
      <c r="M7" s="8"/>
    </row>
    <row r="8" spans="1:21" ht="20.100000000000001" customHeight="1" x14ac:dyDescent="0.25">
      <c r="A8" s="16"/>
      <c r="D8" s="10" t="str">
        <f>'Constants - Common Livestock'!E7</f>
        <v>Anaerobic lagoon</v>
      </c>
      <c r="E8" s="10" t="str">
        <f>'Constants - Common Livestock'!F7</f>
        <v>Anaerobic lagoon (m=1)</v>
      </c>
      <c r="G8" s="10" t="str">
        <f>'Constants - Common'!$F$187</f>
        <v>Pasture</v>
      </c>
      <c r="J8" s="10" t="s">
        <v>151</v>
      </c>
      <c r="M8" s="8"/>
    </row>
    <row r="9" spans="1:21" ht="20.100000000000001" customHeight="1" x14ac:dyDescent="0.25">
      <c r="A9" s="16"/>
      <c r="D9" s="10" t="str">
        <f>'Constants - Common Livestock'!E10</f>
        <v>Sump and dispersal system</v>
      </c>
      <c r="E9" s="10" t="str">
        <f>'Constants - Common Livestock'!F10</f>
        <v>Sump and dispersal system (m=3a)</v>
      </c>
      <c r="G9" s="8" t="str">
        <f>'Constants - Common'!$F$188</f>
        <v>Crop</v>
      </c>
      <c r="J9" s="10" t="s">
        <v>155</v>
      </c>
      <c r="M9" s="8"/>
    </row>
    <row r="10" spans="1:21" ht="20.100000000000001" customHeight="1" x14ac:dyDescent="0.25">
      <c r="A10" s="16"/>
      <c r="D10" s="10" t="str">
        <f>'Constants - Common Livestock'!E11</f>
        <v>Drains to paddock</v>
      </c>
      <c r="E10" s="10" t="str">
        <f>'Constants - Common Livestock'!F11</f>
        <v>Drains to paddock (m=3b)</v>
      </c>
      <c r="J10" s="8" t="s">
        <v>158</v>
      </c>
      <c r="M10" s="8"/>
    </row>
    <row r="11" spans="1:21" ht="20.100000000000001" customHeight="1" x14ac:dyDescent="0.25">
      <c r="A11" s="21"/>
      <c r="D11" s="10" t="str">
        <f>'Constants - Common Livestock'!E12</f>
        <v>Solid storage</v>
      </c>
      <c r="E11" s="10" t="str">
        <f>'Constants - Common Livestock'!F12</f>
        <v>Solid storage (m=4)</v>
      </c>
      <c r="J11" s="8" t="s">
        <v>161</v>
      </c>
      <c r="M11" s="8"/>
    </row>
    <row r="12" spans="1:21" ht="20.100000000000001" customHeight="1" x14ac:dyDescent="0.25">
      <c r="A12" s="16"/>
      <c r="J12" s="8" t="s">
        <v>163</v>
      </c>
      <c r="M12" s="8"/>
    </row>
    <row r="13" spans="1:21" ht="20.100000000000001" customHeight="1" x14ac:dyDescent="0.25">
      <c r="A13" s="16"/>
      <c r="M13" s="8"/>
    </row>
    <row r="14" spans="1:21" ht="20.100000000000001" customHeight="1" x14ac:dyDescent="0.25">
      <c r="A14" s="23"/>
      <c r="M14" s="8"/>
    </row>
    <row r="15" spans="1:21" ht="20.100000000000001" customHeight="1" x14ac:dyDescent="0.25">
      <c r="A15" s="24"/>
      <c r="M15" s="8"/>
    </row>
    <row r="16" spans="1:21" ht="20.100000000000001" customHeight="1" x14ac:dyDescent="0.25">
      <c r="A16" s="16"/>
      <c r="D16" s="9" t="str" cm="1">
        <f t="array" ref="D16">SourceData_Dairy.SourceData_Dairy_LiveweightCowsAndHeifers_Title()</f>
        <v>Table A.1.3.1: Dairy cattle - Liveweight (kg) - Cows and Heifers (Wj)</v>
      </c>
      <c r="M16" s="8"/>
    </row>
    <row r="17" spans="1:13" ht="20.100000000000001" customHeight="1" x14ac:dyDescent="0.25">
      <c r="A17" s="16"/>
      <c r="D17" s="11" t="str" cm="1">
        <f t="array" ref="D17">SourceData_Dairy.SourceData_Dairy_LiveweightCowsAndHeifers_Source()</f>
        <v>VEERG 2026: Table A.1.3.1</v>
      </c>
      <c r="M17" s="8"/>
    </row>
    <row r="18" spans="1:13" ht="20.100000000000001" customHeight="1" x14ac:dyDescent="0.25">
      <c r="A18" s="16"/>
      <c r="D18" s="8" t="str" cm="1">
        <f t="array" ref="D18">SourceData_Dairy.SourceData_Dairy_LiveweightCowsAndHeifers_Variable()</f>
        <v>Wj</v>
      </c>
      <c r="M18" s="8"/>
    </row>
    <row r="19" spans="1:13" ht="20.100000000000001" customHeight="1" x14ac:dyDescent="0.25">
      <c r="D19" s="13" t="str" cm="1">
        <f t="array" ref="D19">SourceData_Dairy.SourceData_Dairy_LiveweightCowsAndHeifers_Unit()</f>
        <v>kg</v>
      </c>
      <c r="M19" s="8"/>
    </row>
    <row r="20" spans="1:13" ht="20.100000000000001" customHeight="1" x14ac:dyDescent="0.25">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D21" s="10" t="s">
        <v>565</v>
      </c>
      <c r="E21" s="10" t="s">
        <v>579</v>
      </c>
      <c r="F21" s="10" t="s">
        <v>590</v>
      </c>
      <c r="G21" s="10" t="s">
        <v>580</v>
      </c>
      <c r="M21" s="8"/>
    </row>
    <row r="22" spans="1:13" ht="20.100000000000001" customHeight="1" x14ac:dyDescent="0.25">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M32" s="8"/>
    </row>
    <row r="33" spans="4:13" ht="20.100000000000001" customHeight="1" x14ac:dyDescent="0.25">
      <c r="M33" s="8"/>
    </row>
    <row r="34" spans="4:13" ht="20.100000000000001" customHeight="1" x14ac:dyDescent="0.25">
      <c r="D34" s="9" t="str" cm="1">
        <f t="array" ref="D34">SourceData_Dairy.SourceData_Dairy_LiveweightBulls_Title()</f>
        <v>Table A.1.3.2: Dairy cattle - Liveweight (kg) - Bulls (Wj)</v>
      </c>
      <c r="M34" s="8"/>
    </row>
    <row r="35" spans="4:13" ht="20.100000000000001" customHeight="1" x14ac:dyDescent="0.25">
      <c r="D35" s="11" t="str" cm="1">
        <f t="array" ref="D35">SourceData_Dairy.SourceData_Dairy_LiveweightBulls_Source()</f>
        <v>VEERG 2026: Table A.1.3.2</v>
      </c>
      <c r="M35" s="8"/>
    </row>
    <row r="36" spans="4:13" ht="20.100000000000001" customHeight="1" x14ac:dyDescent="0.25">
      <c r="D36" s="8" t="str" cm="1">
        <f t="array" ref="D36">SourceData_Dairy.SourceData_Dairy_LiveweightBulls_Variable()</f>
        <v>Wj</v>
      </c>
      <c r="M36" s="8"/>
    </row>
    <row r="37" spans="4:13" ht="20.100000000000001" customHeight="1" x14ac:dyDescent="0.25">
      <c r="D37" s="13" t="str" cm="1">
        <f t="array" ref="D37">SourceData_Dairy.SourceData_Dairy_LiveweightBulls_Unit()</f>
        <v>kg</v>
      </c>
      <c r="M37" s="8"/>
    </row>
    <row r="38" spans="4:13" ht="20.100000000000001" customHeight="1" x14ac:dyDescent="0.25">
      <c r="D38" s="10" t="s">
        <v>565</v>
      </c>
      <c r="E38" s="10" t="s">
        <v>591</v>
      </c>
      <c r="F38" s="10" t="s">
        <v>592</v>
      </c>
      <c r="M38" s="8"/>
    </row>
    <row r="39" spans="4:13" ht="20.100000000000001" customHeight="1" x14ac:dyDescent="0.25">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4:13" ht="20.100000000000001" customHeight="1" x14ac:dyDescent="0.25">
      <c r="M40" s="8"/>
    </row>
    <row r="41" spans="4:13" ht="20.100000000000001" customHeight="1" x14ac:dyDescent="0.25">
      <c r="M41" s="8"/>
    </row>
    <row r="42" spans="4:13" ht="20.100000000000001" customHeight="1" x14ac:dyDescent="0.25">
      <c r="D42" s="9" t="str" cm="1">
        <f t="array" ref="D42">SourceData_Dairy.SourceData_Dairy_LiveweightGain_Title()</f>
        <v>Table A.1.3.3: Dairy cattle - Liveweight gain (kg) (LWGj)</v>
      </c>
      <c r="M42" s="8"/>
    </row>
    <row r="43" spans="4:13" ht="20.100000000000001" customHeight="1" x14ac:dyDescent="0.25">
      <c r="D43" s="11" t="str" cm="1">
        <f t="array" ref="D43">SourceData_Dairy.SourceData_Dairy_LiveweightGain_Source()</f>
        <v>VEERG 2026: Table A.1.3.3</v>
      </c>
      <c r="M43" s="8"/>
    </row>
    <row r="44" spans="4:13" ht="20.100000000000001" customHeight="1" x14ac:dyDescent="0.25">
      <c r="D44" s="8" t="str" cm="1">
        <f t="array" ref="D44">SourceData_Dairy.SourceData_Dairy_LiveweightGain_Variable()</f>
        <v>LWGj</v>
      </c>
      <c r="M44" s="8"/>
    </row>
    <row r="45" spans="4:13" ht="20.100000000000001" customHeight="1" x14ac:dyDescent="0.25">
      <c r="D45" s="13" t="str" cm="1">
        <f t="array" ref="D45">SourceData_Dairy.SourceData_Dairy_LiveweightGain_Unit()</f>
        <v>kg</v>
      </c>
      <c r="M45" s="8"/>
    </row>
    <row r="46" spans="4:13" ht="20.100000000000001" customHeight="1" x14ac:dyDescent="0.25">
      <c r="D46" s="10" t="s">
        <v>579</v>
      </c>
      <c r="E46" s="10" t="s">
        <v>590</v>
      </c>
      <c r="F46" s="10" t="s">
        <v>580</v>
      </c>
      <c r="G46" s="10" t="s">
        <v>591</v>
      </c>
      <c r="H46" s="10" t="s">
        <v>592</v>
      </c>
      <c r="M46" s="8"/>
    </row>
    <row r="47" spans="4:13" ht="20.100000000000001" customHeight="1" x14ac:dyDescent="0.25">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4:13" ht="20.100000000000001" customHeight="1" x14ac:dyDescent="0.25">
      <c r="M48" s="8"/>
    </row>
    <row r="49" spans="1:13" ht="20.100000000000001" customHeight="1" x14ac:dyDescent="0.25">
      <c r="M49" s="8"/>
    </row>
    <row r="50" spans="1:13" ht="20.100000000000001" customHeight="1" x14ac:dyDescent="0.25">
      <c r="D50" s="9" t="str" cm="1">
        <f t="array" ref="D50">SourceData_Dairy.SourceData_Dairy_ReferenceWeights_Title()</f>
        <v>Table A.1.3.4: Dairy cattle - Reference weights (kg) (WRj)</v>
      </c>
      <c r="M50" s="8"/>
    </row>
    <row r="51" spans="1:13" ht="20.100000000000001" customHeight="1" x14ac:dyDescent="0.25">
      <c r="D51" s="11" t="str" cm="1">
        <f t="array" ref="D51">SourceData_Dairy.SourceData_Dairy_ReferenceWeights_Source()</f>
        <v>VEERG 2026: Table A.1.3.4</v>
      </c>
      <c r="M51" s="8"/>
    </row>
    <row r="52" spans="1:13" ht="20.100000000000001" customHeight="1" x14ac:dyDescent="0.25">
      <c r="D52" s="8" t="str" cm="1">
        <f t="array" ref="D52">SourceData_Dairy.SourceData_Dairy_ReferenceWeights_Variable()</f>
        <v>WRj</v>
      </c>
      <c r="M52" s="8"/>
    </row>
    <row r="53" spans="1:13" ht="20.100000000000001" customHeight="1" x14ac:dyDescent="0.25">
      <c r="D53" s="13" t="str" cm="1">
        <f t="array" ref="D53">SourceData_Dairy.SourceData_Dairy_ReferenceWeights_Unit()</f>
        <v>kg</v>
      </c>
      <c r="M53" s="8"/>
    </row>
    <row r="54" spans="1:13" ht="20.100000000000001" customHeight="1" x14ac:dyDescent="0.25">
      <c r="D54" s="177" t="s">
        <v>579</v>
      </c>
      <c r="E54" s="177" t="s">
        <v>590</v>
      </c>
      <c r="F54" s="177" t="s">
        <v>580</v>
      </c>
      <c r="G54" s="177" t="s">
        <v>591</v>
      </c>
      <c r="H54" s="177" t="s">
        <v>592</v>
      </c>
      <c r="M54" s="8"/>
    </row>
    <row r="55" spans="1:13" ht="20.100000000000001" customHeight="1" x14ac:dyDescent="0.25">
      <c r="A55" s="56" t="str">
        <f>HYPERLINK("#A1", "▲ Back to top")</f>
        <v>▲ Back to top</v>
      </c>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M56" s="8"/>
    </row>
    <row r="57" spans="1:13" ht="20.100000000000001" customHeight="1" x14ac:dyDescent="0.25">
      <c r="M57" s="8"/>
    </row>
    <row r="58" spans="1:13" ht="20.100000000000001" customHeight="1" x14ac:dyDescent="0.25">
      <c r="D58" s="9" t="str" cm="1">
        <f t="array" ref="D58">SourceData_Dairy.SourceData_Dairy_PreWeanedCalves_Title()</f>
        <v>Table A.1.3.5: Dairy cattle - Data for pre - weaned calves</v>
      </c>
      <c r="M58" s="8"/>
    </row>
    <row r="59" spans="1:13" ht="20.100000000000001" customHeight="1" x14ac:dyDescent="0.25">
      <c r="D59" s="11" t="str" cm="1">
        <f t="array" ref="D59">SourceData_Dairy.SourceData_Dairy_PreWeanedCalves_Source()</f>
        <v>VEERG 2026: Table A.1.3.5</v>
      </c>
      <c r="M59" s="8"/>
    </row>
    <row r="60" spans="1:13" ht="20.100000000000001" customHeight="1" x14ac:dyDescent="0.25">
      <c r="D60" s="8" t="str" cm="1">
        <f t="array" ref="D60">SourceData_Dairy.SourceData_Dairy_PreWeanedCalves_Variable()</f>
        <v>VSj=3,5; NPWj=3,5</v>
      </c>
      <c r="M60" s="8"/>
    </row>
    <row r="61" spans="1:13" ht="20.100000000000001" customHeight="1" x14ac:dyDescent="0.25">
      <c r="D61" s="13" t="str" cm="1">
        <f t="array" ref="D61">SourceData_Dairy.SourceData_Dairy_PreWeanedCalves_Unit()</f>
        <v>kg/day</v>
      </c>
      <c r="M61" s="8"/>
    </row>
    <row r="62" spans="1:13" ht="20.100000000000001" customHeight="1" x14ac:dyDescent="0.25">
      <c r="D62" s="10" t="s">
        <v>593</v>
      </c>
      <c r="E62" s="10" t="s">
        <v>594</v>
      </c>
      <c r="F62" s="10" t="s">
        <v>595</v>
      </c>
      <c r="G62" s="10" t="s">
        <v>596</v>
      </c>
      <c r="M62" s="8"/>
    </row>
    <row r="63" spans="1:13" ht="20.100000000000001" customHeight="1" x14ac:dyDescent="0.25">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tr" cm="1">
        <f t="array" ref="D67">SourceData_Dairy.SourceData_Dairy_MCF_Title()</f>
        <v>Table A.1.3.6: Dairy cattle - Dairy cattle - MCFs (fraction) (MCFjm)</v>
      </c>
      <c r="M67" s="8"/>
    </row>
    <row r="68" spans="1:22" ht="20.100000000000001" customHeight="1" x14ac:dyDescent="0.25">
      <c r="D68" s="11" t="str" cm="1">
        <f t="array" ref="D68">SourceData_Dairy.SourceData_Dairy_MCF_Source()</f>
        <v>VEERG 2026: Table A.1.3.6</v>
      </c>
      <c r="M68" s="8"/>
    </row>
    <row r="69" spans="1:22" ht="20.100000000000001" customHeight="1" x14ac:dyDescent="0.25">
      <c r="D69" s="8" t="str" cm="1">
        <f t="array" ref="D69">SourceData_Dairy.SourceData_Dairy_MCF_Variable()</f>
        <v>MCFjm</v>
      </c>
      <c r="M69" s="8"/>
    </row>
    <row r="70" spans="1:22" ht="20.100000000000001" customHeight="1" x14ac:dyDescent="0.25">
      <c r="D70" s="13" t="str" cm="1">
        <f t="array" ref="D70">SourceData_Dairy.SourceData_Dairy_MCF_Unit()</f>
        <v>fraction</v>
      </c>
      <c r="M70" s="8"/>
    </row>
    <row r="71" spans="1:22" ht="20.100000000000001" customHeight="1" x14ac:dyDescent="0.25">
      <c r="D71" s="12" t="str" cm="1">
        <f t="array" ref="D71">SourceData_Dairy.SourceData_Dairy_MCF_Variation()</f>
        <v>VARIATION OF SOURCE: Added 'NIR reference' column to aid lookup</v>
      </c>
      <c r="M71" s="8"/>
      <c r="V71" s="8"/>
    </row>
    <row r="72" spans="1:22" ht="20.100000000000001" customHeight="1" x14ac:dyDescent="0.25">
      <c r="D72" s="10" t="s">
        <v>597</v>
      </c>
      <c r="E72" s="10" t="s">
        <v>342</v>
      </c>
      <c r="F72" s="10" t="s">
        <v>366</v>
      </c>
      <c r="G72" s="10" t="s">
        <v>496</v>
      </c>
      <c r="H72" s="10" t="s">
        <v>367</v>
      </c>
      <c r="I72" s="10" t="s">
        <v>433</v>
      </c>
      <c r="J72" s="10" t="s">
        <v>429</v>
      </c>
      <c r="K72" s="10" t="s">
        <v>372</v>
      </c>
      <c r="L72" s="10" t="s">
        <v>373</v>
      </c>
      <c r="M72" s="10" t="s">
        <v>598</v>
      </c>
      <c r="V72" s="8"/>
    </row>
    <row r="73" spans="1:22" ht="20.100000000000001" customHeight="1" x14ac:dyDescent="0.25">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s="56" t="str">
        <f>HYPERLINK("#A1", "▲ Back to top")</f>
        <v>▲ Back to top</v>
      </c>
      <c r="M79" s="8"/>
    </row>
    <row r="80" spans="1:22" ht="20.100000000000001" customHeight="1" x14ac:dyDescent="0.25">
      <c r="M80" s="8"/>
    </row>
    <row r="81" spans="4:22" ht="20.100000000000001" customHeight="1" x14ac:dyDescent="0.25">
      <c r="D81" s="9" t="str" cm="1">
        <f t="array" ref="D81">SourceData_Dairy.SourceData_Dairy_NitrousOxideEFsAndFracGASM_Title()</f>
        <v>Table A.1.3.7: Dairy cattle - Nitrous oxide EFs and fraction of N volatilised by MMS</v>
      </c>
      <c r="M81" s="8"/>
    </row>
    <row r="82" spans="4:22" ht="20.100000000000001" customHeight="1" x14ac:dyDescent="0.25">
      <c r="D82" s="11" t="str" cm="1">
        <f t="array" ref="D82">SourceData_Dairy.SourceData_Dairy_NitrousOxideEFsAndFracGASM_Source()</f>
        <v>VEERG 2026: Table A.1.3.7</v>
      </c>
      <c r="M82" s="8"/>
    </row>
    <row r="83" spans="4:22" ht="20.100000000000001" customHeight="1" x14ac:dyDescent="0.25">
      <c r="D83" s="8" t="str" cm="1">
        <f t="array" ref="D83">SourceData_Dairy.SourceData_Dairy_NitrousOxideEFsAndFracGASM_Variable()</f>
        <v>EFm; FracGASMm</v>
      </c>
      <c r="M83" s="8"/>
    </row>
    <row r="84" spans="4:22" ht="20.100000000000001" customHeight="1" x14ac:dyDescent="0.25">
      <c r="D84" s="13" t="str" cm="1">
        <f t="array" ref="D84">SourceData_Dairy.SourceData_Dairy_NitrousOxideEFsAndFracGASM_Unit()</f>
        <v>kg N2O-N/kg N excreted</v>
      </c>
      <c r="M84" s="8"/>
    </row>
    <row r="85" spans="4:22" ht="20.100000000000001" customHeight="1" x14ac:dyDescent="0.25">
      <c r="D85" s="12" t="str" cm="1">
        <f t="array" ref="D85">SourceData_Dairy.SourceData_Dairy_NitrousOxideEFsAndFracGASM_Variation()</f>
        <v>VARIATION OF SOURCE: Added 'NIR reference' column to aid lookup</v>
      </c>
      <c r="M85" s="8"/>
      <c r="V85" s="8"/>
    </row>
    <row r="86" spans="4:22" ht="20.100000000000001" customHeight="1" x14ac:dyDescent="0.25">
      <c r="D86" s="10" t="s">
        <v>597</v>
      </c>
      <c r="E86" s="10" t="s">
        <v>599</v>
      </c>
      <c r="F86" s="10" t="s">
        <v>600</v>
      </c>
      <c r="G86" s="10" t="s">
        <v>598</v>
      </c>
      <c r="M86" s="8"/>
      <c r="V86" s="8"/>
    </row>
    <row r="87" spans="4:22" ht="20.100000000000001" customHeight="1" x14ac:dyDescent="0.25">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4:22" ht="20.100000000000001" customHeight="1" x14ac:dyDescent="0.25">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4:22" ht="20.100000000000001" customHeight="1" x14ac:dyDescent="0.25">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4:22" ht="20.100000000000001" customHeight="1" x14ac:dyDescent="0.25">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4:22" ht="20.100000000000001" customHeight="1" x14ac:dyDescent="0.25">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4:22" ht="20.100000000000001" customHeight="1" x14ac:dyDescent="0.25">
      <c r="M92" s="8"/>
    </row>
    <row r="93" spans="4:22" ht="20.100000000000001" customHeight="1" x14ac:dyDescent="0.25">
      <c r="M93" s="8"/>
    </row>
    <row r="94" spans="4:22" ht="20.100000000000001" customHeight="1" x14ac:dyDescent="0.25">
      <c r="D94" s="9" t="str" cm="1">
        <f t="array" ref="D94">SourceData_Dairy.SourceData_Dairy_MethaneProductionPreWeanedCalves_Title()</f>
        <v>Table A.1.3.8: Dairy cattle - Methane production for pre-weaned heifer and bull calves (kg CH4/head/day) (MPWENTERIC,j=3,5)</v>
      </c>
      <c r="M94" s="8"/>
    </row>
    <row r="95" spans="4:22" ht="20.100000000000001" customHeight="1" x14ac:dyDescent="0.25">
      <c r="D95" s="11" t="str" cm="1">
        <f t="array" ref="D95">SourceData_Dairy.SourceData_Dairy_MethaneProductionPreWeanedCalves_Source()</f>
        <v>VEERG 2026: Table A.1.3.8</v>
      </c>
      <c r="M95" s="8"/>
    </row>
    <row r="96" spans="4:22" ht="20.100000000000001" customHeight="1" x14ac:dyDescent="0.25">
      <c r="D96" s="8" t="str" cm="1">
        <f t="array" ref="D96">SourceData_Dairy.SourceData_Dairy_MethaneProductionPreWeanedCalves_Variable()</f>
        <v>MPWENTERIC,j=3,5</v>
      </c>
      <c r="M96" s="8"/>
    </row>
    <row r="97" spans="1:13" ht="20.100000000000001" customHeight="1" x14ac:dyDescent="0.25">
      <c r="D97" s="13" t="str" cm="1">
        <f t="array" ref="D97">SourceData_Dairy.SourceData_Dairy_MethaneProductionPreWeanedCalves_Unit()</f>
        <v>kg CH4/head/day</v>
      </c>
      <c r="M97" s="8"/>
    </row>
    <row r="98" spans="1:13" ht="20.100000000000001" customHeight="1" x14ac:dyDescent="0.25">
      <c r="D98" s="10" t="s">
        <v>593</v>
      </c>
      <c r="E98" s="10" t="s">
        <v>601</v>
      </c>
      <c r="M98" s="8"/>
    </row>
    <row r="99" spans="1:13" ht="20.100000000000001" customHeight="1" x14ac:dyDescent="0.25">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tr" cm="1">
        <f t="array" ref="D103">SourceData_Dairy.SourceData_Dairy_IncreasedMetabolicRateMilk_Title()</f>
        <v>Table A.1.3.9: Dairy cattle - Increased metabolic rate when producing milk (MRj)</v>
      </c>
      <c r="M103" s="8"/>
    </row>
    <row r="104" spans="1:13" ht="20.100000000000001" customHeight="1" x14ac:dyDescent="0.25">
      <c r="A104" s="56" t="str">
        <f>HYPERLINK("#A1", "▲ Back to top")</f>
        <v>▲ Back to top</v>
      </c>
      <c r="D104" s="11" t="str" cm="1">
        <f t="array" ref="D104">SourceData_Dairy.SourceData_Dairy_IncreasedMetabolicRateMilk_Source()</f>
        <v>VEERG 2026: Table A.1.3.9</v>
      </c>
      <c r="M104" s="8"/>
    </row>
    <row r="105" spans="1:13" ht="20.100000000000001" customHeight="1" x14ac:dyDescent="0.25">
      <c r="D105" s="8" t="str" cm="1">
        <f t="array" ref="D105">SourceData_Dairy.SourceData_Dairy_IncreasedMetabolicRateMilk_Variable()</f>
        <v>MRj</v>
      </c>
      <c r="M105" s="8"/>
    </row>
    <row r="106" spans="1:13" ht="20.100000000000001" customHeight="1" x14ac:dyDescent="0.25">
      <c r="D106" s="13" t="str" cm="1">
        <f t="array" ref="D106">SourceData_Dairy.SourceData_Dairy_IncreasedMetabolicRateMilk_Unit()</f>
        <v/>
      </c>
      <c r="M106" s="8"/>
    </row>
    <row r="107" spans="1:13" ht="20.100000000000001" customHeight="1" x14ac:dyDescent="0.25">
      <c r="D107" s="10" t="s">
        <v>593</v>
      </c>
      <c r="E107" s="10" t="s">
        <v>602</v>
      </c>
      <c r="M107" s="8"/>
    </row>
    <row r="108" spans="1:13" ht="20.100000000000001" customHeight="1" x14ac:dyDescent="0.25">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M110" s="8"/>
    </row>
    <row r="111" spans="1:13" ht="20.100000000000001" customHeight="1" x14ac:dyDescent="0.25">
      <c r="M111" s="8"/>
    </row>
    <row r="112" spans="1:13" ht="20.100000000000001" customHeight="1" x14ac:dyDescent="0.25">
      <c r="D112" s="9" t="str" cm="1">
        <f t="array" ref="D112">SourceData_Dairy.SourceData_Dairy_FractionVolatileSolidsVoidedMMS_Title()</f>
        <v>Table A.1.3.10: Dairy cattle - Fraction of volatile solids voided to each manure management system (fraction) (MMSjm)</v>
      </c>
      <c r="M112" s="8"/>
    </row>
    <row r="113" spans="4:22" ht="20.100000000000001" customHeight="1" x14ac:dyDescent="0.25">
      <c r="D113" s="11" t="str" cm="1">
        <f t="array" ref="D113">SourceData_Dairy.SourceData_Dairy_FractionVolatileSolidsVoidedMMS_Source()</f>
        <v>VEERG 2026: Table A.1.3.10</v>
      </c>
      <c r="M113" s="8"/>
    </row>
    <row r="114" spans="4:22" ht="20.100000000000001" customHeight="1" x14ac:dyDescent="0.25">
      <c r="D114" s="8" t="str" cm="1">
        <f t="array" ref="D114">SourceData_Dairy.SourceData_Dairy_FractionVolatileSolidsVoidedMMS_Variable()</f>
        <v>MMSjm</v>
      </c>
      <c r="M114" s="8"/>
    </row>
    <row r="115" spans="4:22" ht="20.100000000000001" customHeight="1" x14ac:dyDescent="0.25">
      <c r="D115" s="13" t="str" cm="1">
        <f t="array" ref="D115">SourceData_Dairy.SourceData_Dairy_FractionVolatileSolidsVoidedMMS_Unit()</f>
        <v>fraction</v>
      </c>
      <c r="M115" s="8"/>
      <c r="V115" s="8"/>
    </row>
    <row r="116" spans="4:22" ht="20.100000000000001" customHeight="1" x14ac:dyDescent="0.25">
      <c r="D116" s="10" t="s">
        <v>603</v>
      </c>
      <c r="E116" s="10" t="s">
        <v>150</v>
      </c>
      <c r="F116" s="10" t="s">
        <v>604</v>
      </c>
      <c r="G116" s="10" t="s">
        <v>605</v>
      </c>
      <c r="M116" s="8"/>
      <c r="V116" s="8"/>
    </row>
    <row r="117" spans="4:22" ht="20.100000000000001" customHeight="1" x14ac:dyDescent="0.25">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4:22" ht="20.100000000000001" customHeight="1" x14ac:dyDescent="0.25">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4:22" ht="20.100000000000001" customHeight="1" x14ac:dyDescent="0.25">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4:22" ht="20.100000000000001" customHeight="1" x14ac:dyDescent="0.25">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4:22" ht="20.100000000000001" customHeight="1" x14ac:dyDescent="0.25">
      <c r="M121" s="8"/>
    </row>
    <row r="122" spans="4:22" ht="20.100000000000001" customHeight="1" x14ac:dyDescent="0.25">
      <c r="M122" s="8"/>
    </row>
    <row r="123" spans="4:22" ht="20.100000000000001" customHeight="1" x14ac:dyDescent="0.25">
      <c r="D123" s="9" t="str" cm="1">
        <f t="array" ref="D123">SourceData_Dairy.SourceData_Dairy_EFNitrousOxidePerMMS_Title()</f>
        <v>Table A.1.3.11: Dairy cattle - EF for nitrous oxide per MMS (kg N2O-N/kg N) (EFm)</v>
      </c>
      <c r="M123" s="8"/>
    </row>
    <row r="124" spans="4:22" ht="20.100000000000001" customHeight="1" x14ac:dyDescent="0.25">
      <c r="D124" s="11" t="str" cm="1">
        <f t="array" ref="D124">SourceData_Dairy.SourceData_Dairy_EFNitrousOxidePerMMS_Source()</f>
        <v>VEERG 2026: Table A.1.3.11</v>
      </c>
      <c r="M124" s="8"/>
    </row>
    <row r="125" spans="4:22" ht="20.100000000000001" customHeight="1" x14ac:dyDescent="0.25">
      <c r="D125" s="8" t="str" cm="1">
        <f t="array" ref="D125">SourceData_Dairy.SourceData_Dairy_EFNitrousOxidePerMMS_Variable()</f>
        <v>EFm</v>
      </c>
      <c r="M125" s="8"/>
      <c r="V125" s="8"/>
    </row>
    <row r="126" spans="4:22" ht="20.100000000000001" customHeight="1" x14ac:dyDescent="0.25">
      <c r="D126" s="13" t="str" cm="1">
        <f t="array" ref="D126">SourceData_Dairy.SourceData_Dairy_EFNitrousOxidePerMMS_Unit()</f>
        <v>kg N2O-N/kg N</v>
      </c>
      <c r="M126" s="8"/>
      <c r="V126" s="8"/>
    </row>
    <row r="127" spans="4:22" ht="20.100000000000001" customHeight="1" x14ac:dyDescent="0.25">
      <c r="D127" s="12" t="str" cm="1">
        <f t="array" ref="D127">SourceData_Dairy.SourceData_Dairy_EFNitrousOxidePerMMS_Variation()</f>
        <v>VARIATION OF SOURCE: Added 'NIR reference' column to aid lookup</v>
      </c>
      <c r="M127" s="8"/>
      <c r="V127" s="8"/>
    </row>
    <row r="128" spans="4:22" ht="20.100000000000001" customHeight="1" x14ac:dyDescent="0.25">
      <c r="D128" s="10" t="s">
        <v>597</v>
      </c>
      <c r="E128" s="10" t="s">
        <v>599</v>
      </c>
      <c r="F128" s="10" t="s">
        <v>598</v>
      </c>
      <c r="G128" s="174" t="s">
        <v>606</v>
      </c>
      <c r="M128" s="8"/>
      <c r="N128" s="14"/>
      <c r="V128" s="8"/>
    </row>
    <row r="129" spans="1:22" ht="20.100000000000001" customHeight="1" x14ac:dyDescent="0.25">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M134" s="14"/>
    </row>
    <row r="135" spans="1:22" ht="20.100000000000001" customHeight="1" x14ac:dyDescent="0.25">
      <c r="M135" s="14"/>
    </row>
    <row r="136" spans="1:22" ht="20.100000000000001" customHeight="1" x14ac:dyDescent="0.25">
      <c r="D136" s="9" t="str" cm="1">
        <f t="array" ref="D136">SourceData_Dairy.SourceData_Dairy_DurationOfStay_Title()</f>
        <v>Duration of stay for each dairy cattle input class</v>
      </c>
      <c r="M136" s="14"/>
    </row>
    <row r="137" spans="1:22" ht="20.100000000000001" customHeight="1" x14ac:dyDescent="0.25">
      <c r="A137" s="56" t="str">
        <f>HYPERLINK("#A1", "▲ Back to top")</f>
        <v>▲ Back to top</v>
      </c>
      <c r="D137" s="11" t="str" cm="1">
        <f t="array" ref="D137">SourceData_Dairy.SourceData_Dairy_DurationOfStay_Source()</f>
        <v>VEERG 2026: 4.3.2.2	DATA (METHOD 1 AND 2 OPTIONS)</v>
      </c>
      <c r="M137" s="14"/>
    </row>
    <row r="138" spans="1:22" ht="20.100000000000001" customHeight="1" x14ac:dyDescent="0.25">
      <c r="D138" s="8" t="str" cm="1">
        <f t="array" ref="D138">SourceData_Dairy.SourceData_Dairy_DurationOfStay_Variable()</f>
        <v>D</v>
      </c>
      <c r="M138" s="14"/>
    </row>
    <row r="139" spans="1:22" ht="20.100000000000001" customHeight="1" x14ac:dyDescent="0.25">
      <c r="D139" s="13" t="str" cm="1">
        <f t="array" ref="D139">SourceData_Dairy.SourceData_Dairy_DurationOfStay_Unit()</f>
        <v>days</v>
      </c>
      <c r="M139" s="14"/>
    </row>
    <row r="140" spans="1:22" ht="20.100000000000001" customHeight="1" x14ac:dyDescent="0.25">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D141" s="10" t="s">
        <v>593</v>
      </c>
      <c r="E141" s="10" t="s">
        <v>607</v>
      </c>
      <c r="F141" s="10" t="s">
        <v>608</v>
      </c>
      <c r="M141" s="14"/>
    </row>
    <row r="142" spans="1:22" ht="20.100000000000001" customHeight="1" x14ac:dyDescent="0.25">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4:13" ht="20.100000000000001" customHeight="1" x14ac:dyDescent="0.2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4:13" ht="20.100000000000001" customHeight="1" x14ac:dyDescent="0.25">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4:13" ht="20.100000000000001" customHeight="1" x14ac:dyDescent="0.25">
      <c r="M147" s="14"/>
    </row>
    <row r="148" spans="4:13" ht="20.100000000000001" customHeight="1" x14ac:dyDescent="0.25">
      <c r="M148" s="14"/>
    </row>
    <row r="149" spans="4:13" ht="20.100000000000001" customHeight="1" x14ac:dyDescent="0.25">
      <c r="D149" s="9" t="str" cm="1">
        <f t="array" ref="D149">SourceData_Dairy.SourceData_Dairy_CrudeProtein_Title()</f>
        <v>Crude protein content of feed intake</v>
      </c>
      <c r="M149" s="14"/>
    </row>
    <row r="150" spans="4:13" ht="20.100000000000001" customHeight="1" x14ac:dyDescent="0.25">
      <c r="D150" s="11" t="str" cm="1">
        <f t="array" ref="D150">SourceData_Dairy.SourceData_Dairy_CrudeProtein_Source()</f>
        <v>VEERG 2026: 4.3.2.2	DATA (METHOD 1 AND 2 OPTIONS)</v>
      </c>
      <c r="M150" s="14"/>
    </row>
    <row r="151" spans="4:13" ht="20.100000000000001" customHeight="1" x14ac:dyDescent="0.25">
      <c r="D151" s="8" t="str" cm="1">
        <f t="array" ref="D151">SourceData_Dairy.SourceData_Dairy_CrudeProtein_Variable()</f>
        <v>CP</v>
      </c>
      <c r="M151" s="14"/>
    </row>
    <row r="152" spans="4:13" ht="20.100000000000001" customHeight="1" x14ac:dyDescent="0.25">
      <c r="D152" s="13" t="str" cm="1">
        <f t="array" ref="D152">SourceData_Dairy.SourceData_Dairy_CrudeProtein_Unit()</f>
        <v>fraction</v>
      </c>
      <c r="M152" s="14"/>
    </row>
    <row r="153" spans="4:13" ht="20.100000000000001" customHeight="1" x14ac:dyDescent="0.25">
      <c r="D153" s="28" cm="1">
        <f t="array" ref="D153">SourceData_Dairy.SourceData_Dairy_CrudeProtein_Data()</f>
        <v>0.2</v>
      </c>
      <c r="M153" s="14"/>
    </row>
    <row r="154" spans="4:13" ht="20.100000000000001" customHeight="1" x14ac:dyDescent="0.25">
      <c r="M154" s="14"/>
    </row>
    <row r="155" spans="4:13" ht="20.100000000000001" customHeight="1" x14ac:dyDescent="0.25">
      <c r="M155" s="14"/>
    </row>
    <row r="156" spans="4:13" ht="20.100000000000001" customHeight="1" x14ac:dyDescent="0.25">
      <c r="D156" s="9" t="str" cm="1">
        <f t="array" ref="D156">SourceData_Dairy.SourceData_Dairy_DryMatterDigestibility_Title()</f>
        <v>Dry matter digestibility</v>
      </c>
      <c r="M156" s="14"/>
    </row>
    <row r="157" spans="4:13" ht="20.100000000000001" customHeight="1" x14ac:dyDescent="0.25">
      <c r="D157" s="11" t="str" cm="1">
        <f t="array" ref="D157">SourceData_Dairy.SourceData_Dairy_DryMatterDigestibility_Source()</f>
        <v>VEERG 2026: 3.3.2.2	DATA (METHOD 1 AND 2 OPTIONS)</v>
      </c>
      <c r="M157" s="14"/>
    </row>
    <row r="158" spans="4:13" ht="20.100000000000001" customHeight="1" x14ac:dyDescent="0.25">
      <c r="D158" s="8" t="str" cm="1">
        <f t="array" ref="D158">SourceData_Dairy.SourceData_Dairy_DryMatterDigestibility_Variable()</f>
        <v>DMD</v>
      </c>
      <c r="M158" s="14"/>
    </row>
    <row r="159" spans="4:13" ht="20.100000000000001" customHeight="1" x14ac:dyDescent="0.25">
      <c r="D159" s="13" t="str" cm="1">
        <f t="array" ref="D159">SourceData_Dairy.SourceData_Dairy_DryMatterDigestibility_Unit()</f>
        <v>fraction</v>
      </c>
      <c r="M159" s="14"/>
    </row>
    <row r="160" spans="4:13" ht="20.100000000000001" customHeight="1" x14ac:dyDescent="0.25">
      <c r="D160" s="28"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8"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6" t="str">
        <f>HYPERLINK("#A1", "▲ Back to top")</f>
        <v>▲ Back to top</v>
      </c>
      <c r="D174" s="28"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8"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8"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8"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8"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Fraction of N that is lost through leaching and runoff</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Dimensionless</v>
      </c>
      <c r="M208" s="14"/>
    </row>
    <row r="209" spans="1:13" x14ac:dyDescent="0.25">
      <c r="D209" s="28" cm="1">
        <f t="array" ref="D209">SourceData_Dairy.SourceData_Dairy_FractionOfNitrogenLostThroughLeachingAndRunoff_Data()</f>
        <v>0.02</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56" t="str">
        <f>HYPERLINK("#A1", "▲ Back to top")</f>
        <v>▲ Back to top</v>
      </c>
      <c r="D215" s="28"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8"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8"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dimension ref="A1:V454"/>
  <sheetViews>
    <sheetView showGridLines="0" topLeftCell="A71" zoomScale="85" zoomScaleNormal="85" workbookViewId="0">
      <selection activeCell="N158" sqref="N15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507</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508</v>
      </c>
      <c r="G5" s="9" t="s">
        <v>146</v>
      </c>
      <c r="M5" s="8" t="s">
        <v>509</v>
      </c>
      <c r="O5" s="8" t="s">
        <v>510</v>
      </c>
      <c r="Q5" s="8" t="s">
        <v>511</v>
      </c>
      <c r="S5" s="8" t="s">
        <v>512</v>
      </c>
    </row>
    <row r="6" spans="1:21" ht="20.100000000000001" customHeight="1" x14ac:dyDescent="0.25">
      <c r="A6" s="19" t="s">
        <v>67</v>
      </c>
      <c r="M6" s="8"/>
    </row>
    <row r="7" spans="1:21" ht="20.100000000000001" customHeight="1" x14ac:dyDescent="0.25">
      <c r="A7" s="16" t="str">
        <f>HYPERLINK("#'Input - Site'!A1", "Site")</f>
        <v>Site</v>
      </c>
      <c r="D7" s="10" t="s">
        <v>148</v>
      </c>
      <c r="G7" s="10" t="s">
        <v>43</v>
      </c>
      <c r="M7" s="3" t="s">
        <v>424</v>
      </c>
      <c r="O7" s="10" t="s">
        <v>424</v>
      </c>
      <c r="Q7" s="10" t="s">
        <v>424</v>
      </c>
      <c r="S7" s="10" t="s">
        <v>424</v>
      </c>
    </row>
    <row r="8" spans="1:21" ht="20.100000000000001" customHeight="1" x14ac:dyDescent="0.25">
      <c r="A8" s="16" t="str">
        <f>HYPERLINK("#'Input - Pasture Beef'!A1", "Pasture Beef")</f>
        <v>Pasture Beef</v>
      </c>
      <c r="D8" s="10" t="str">
        <f>'Constants - Common'!$F$187</f>
        <v>Pasture</v>
      </c>
      <c r="G8" s="10" t="s">
        <v>151</v>
      </c>
      <c r="M8" s="10" t="s">
        <v>513</v>
      </c>
      <c r="O8" s="10" t="s">
        <v>514</v>
      </c>
      <c r="Q8" s="10" t="s">
        <v>515</v>
      </c>
      <c r="S8" s="10" t="s">
        <v>495</v>
      </c>
    </row>
    <row r="9" spans="1:21" ht="20.100000000000001" customHeight="1" x14ac:dyDescent="0.25">
      <c r="A9" s="16"/>
      <c r="D9" s="8" t="str">
        <f>'Constants - Common'!$F$188</f>
        <v>Crop</v>
      </c>
      <c r="G9" s="10" t="s">
        <v>155</v>
      </c>
      <c r="M9" s="10" t="s">
        <v>516</v>
      </c>
      <c r="O9" s="10" t="s">
        <v>517</v>
      </c>
      <c r="Q9" s="10" t="s">
        <v>518</v>
      </c>
    </row>
    <row r="10" spans="1:21" ht="20.100000000000001" customHeight="1" x14ac:dyDescent="0.25">
      <c r="A10" s="21" t="s">
        <v>77</v>
      </c>
      <c r="G10" s="8" t="s">
        <v>158</v>
      </c>
      <c r="M10" s="10" t="s">
        <v>519</v>
      </c>
      <c r="O10" s="10" t="s">
        <v>520</v>
      </c>
      <c r="Q10" s="10" t="s">
        <v>521</v>
      </c>
      <c r="S10" s="8" t="s">
        <v>522</v>
      </c>
    </row>
    <row r="11" spans="1:21" ht="20.100000000000001" customHeight="1" x14ac:dyDescent="0.25">
      <c r="A11" s="16" t="str">
        <f>HYPERLINK("#'3.2.1.1-2 Enteric Methane'!A1", "3.2.1.1-2 Enteric Methane")</f>
        <v>3.2.1.1-2 Enteric Methane</v>
      </c>
      <c r="G11" s="8" t="s">
        <v>161</v>
      </c>
      <c r="M11" s="8"/>
      <c r="Q11" s="10" t="s">
        <v>523</v>
      </c>
    </row>
    <row r="12" spans="1:21" ht="20.100000000000001" customHeight="1" x14ac:dyDescent="0.25">
      <c r="A12" s="16"/>
      <c r="G12" s="8" t="s">
        <v>163</v>
      </c>
      <c r="M12" s="8"/>
      <c r="S12" s="10" t="s">
        <v>424</v>
      </c>
    </row>
    <row r="13" spans="1:21" ht="20.100000000000001" customHeight="1" x14ac:dyDescent="0.25">
      <c r="A13" s="23" t="s">
        <v>78</v>
      </c>
      <c r="M13" s="8"/>
      <c r="S13" s="10" t="s">
        <v>495</v>
      </c>
    </row>
    <row r="14" spans="1:21" ht="20.100000000000001" customHeight="1" x14ac:dyDescent="0.25">
      <c r="A14" s="24" t="str">
        <f>HYPERLINK("#'Constants - Pasture Beef'!A1", "Constants - Pasture Beef")</f>
        <v>Constants - Pasture Beef</v>
      </c>
      <c r="D14" s="9" t="str" cm="1">
        <f t="array" ref="D14">SourceData_PastureBeef.SourceData_PastureBeef_Liveweight_Title()</f>
        <v>Beef pasture cattle - Liveweight (kg) (Wjkl)</v>
      </c>
      <c r="M14" s="8"/>
    </row>
    <row r="15" spans="1:21" ht="20.100000000000001" customHeight="1" x14ac:dyDescent="0.25">
      <c r="A15" s="16" t="str">
        <f>HYPERLINK("#'Constants - Livestock'!A1", "Constants - Livestock")</f>
        <v>Constants - Livestock</v>
      </c>
      <c r="D15" s="11" t="str" cm="1">
        <f t="array" ref="D15">SourceData_PastureBeef.SourceData_PastureBeef_Liveweight_Source()</f>
        <v>VEERG 2026: Table A.1.2.1</v>
      </c>
      <c r="M15" s="8"/>
      <c r="S15" s="8" t="s">
        <v>524</v>
      </c>
    </row>
    <row r="16" spans="1:21" ht="20.100000000000001" customHeight="1" x14ac:dyDescent="0.25">
      <c r="A16" s="16" t="str">
        <f>HYPERLINK("#'Constants - Common'!A1", "Constants - Common")</f>
        <v>Constants - Common</v>
      </c>
      <c r="D16" s="8" t="str" cm="1">
        <f t="array" ref="D16">SourceData_PastureBeef.SourceData_PastureBeef_Liveweight_Variable()</f>
        <v>Wjkl</v>
      </c>
      <c r="M16" s="8"/>
    </row>
    <row r="17" spans="1:19" ht="20.100000000000001" customHeight="1" x14ac:dyDescent="0.25">
      <c r="A17" s="16" t="str">
        <f>HYPERLINK("#'Acknowledgements'!A1", "Acknowledgements")</f>
        <v>Acknowledgements</v>
      </c>
      <c r="D17" s="13" t="str" cm="1">
        <f t="array" ref="D17">SourceData_PastureBeef.SourceData_PastureBeef_Liveweight_Unit()</f>
        <v>kg</v>
      </c>
      <c r="M17" s="8"/>
      <c r="S17" s="10" t="s">
        <v>424</v>
      </c>
    </row>
    <row r="18" spans="1:19" ht="20.100000000000001" customHeight="1" x14ac:dyDescent="0.25">
      <c r="D18" s="10" t="s">
        <v>291</v>
      </c>
      <c r="E18" s="10" t="s">
        <v>424</v>
      </c>
      <c r="F18" s="10" t="s">
        <v>47</v>
      </c>
      <c r="G18" s="10" t="s">
        <v>525</v>
      </c>
      <c r="H18" s="10" t="s">
        <v>526</v>
      </c>
      <c r="I18" s="10" t="s">
        <v>527</v>
      </c>
      <c r="J18" s="10" t="s">
        <v>528</v>
      </c>
      <c r="K18" s="10" t="s">
        <v>529</v>
      </c>
      <c r="L18" s="10" t="s">
        <v>530</v>
      </c>
      <c r="M18" s="10" t="s">
        <v>531</v>
      </c>
      <c r="S18" s="10" t="s">
        <v>495</v>
      </c>
    </row>
    <row r="19" spans="1:19" ht="20.100000000000001" customHeight="1" x14ac:dyDescent="0.25">
      <c r="A19" s="16"/>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row>
    <row r="20" spans="1:19" ht="20.100000000000001" customHeight="1" x14ac:dyDescent="0.25">
      <c r="A20" s="16"/>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S20" s="8" t="s">
        <v>532</v>
      </c>
    </row>
    <row r="21" spans="1:19" ht="20.100000000000001" customHeight="1" x14ac:dyDescent="0.25">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row>
    <row r="22" spans="1:19" ht="20.100000000000001" customHeight="1" x14ac:dyDescent="0.25">
      <c r="A22" s="16"/>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S22" s="10" t="s">
        <v>424</v>
      </c>
    </row>
    <row r="23" spans="1:19" ht="20.100000000000001" customHeight="1" x14ac:dyDescent="0.25">
      <c r="A23" s="16"/>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S23" s="10" t="s">
        <v>495</v>
      </c>
    </row>
    <row r="24" spans="1:19" ht="20.100000000000001" customHeight="1" x14ac:dyDescent="0.25">
      <c r="A24" s="16"/>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row>
    <row r="25" spans="1:19" ht="20.100000000000001" customHeight="1" x14ac:dyDescent="0.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S25" s="8" t="s">
        <v>533</v>
      </c>
    </row>
    <row r="26" spans="1:19" ht="20.100000000000001" customHeight="1" x14ac:dyDescent="0.25">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row>
    <row r="27" spans="1:19" ht="20.100000000000001" customHeight="1" x14ac:dyDescent="0.25">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S27" s="10" t="s">
        <v>424</v>
      </c>
    </row>
    <row r="28" spans="1:19" ht="20.100000000000001" customHeight="1" x14ac:dyDescent="0.25">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S28" s="10" t="s">
        <v>495</v>
      </c>
    </row>
    <row r="29" spans="1:19" ht="20.100000000000001" customHeight="1" x14ac:dyDescent="0.25">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4:13" ht="20.100000000000001" customHeight="1" x14ac:dyDescent="0.25">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4:13" ht="20.100000000000001" customHeight="1" x14ac:dyDescent="0.25">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4:13" ht="20.100000000000001" customHeight="1" x14ac:dyDescent="0.2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4:13" ht="20.100000000000001" customHeight="1" x14ac:dyDescent="0.25">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4:13" ht="20.100000000000001" customHeight="1" x14ac:dyDescent="0.25">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4:13" ht="20.100000000000001" customHeight="1" x14ac:dyDescent="0.25">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4:13" ht="20.100000000000001" customHeight="1" x14ac:dyDescent="0.25">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4:13" ht="20.100000000000001" customHeight="1" x14ac:dyDescent="0.25">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4:13" ht="20.100000000000001" customHeight="1" x14ac:dyDescent="0.25">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4:13" ht="20.100000000000001" customHeight="1" x14ac:dyDescent="0.25">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4:13" ht="20.100000000000001" customHeight="1" x14ac:dyDescent="0.25">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4:13" ht="20.100000000000001" customHeight="1" x14ac:dyDescent="0.25">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4:13" ht="20.100000000000001" customHeight="1" x14ac:dyDescent="0.2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4:13" ht="20.100000000000001" customHeight="1" x14ac:dyDescent="0.25">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4:13" ht="20.100000000000001" customHeight="1" x14ac:dyDescent="0.25">
      <c r="M47" s="8"/>
    </row>
    <row r="48" spans="4:13" ht="20.100000000000001" customHeight="1" x14ac:dyDescent="0.25">
      <c r="M48" s="8"/>
    </row>
    <row r="49" spans="4:16" ht="20.100000000000001" customHeight="1" x14ac:dyDescent="0.25">
      <c r="D49" s="9" t="str" cm="1">
        <f t="array" ref="D49">SourceData_PastureBeef.SourceData_PastureBeef_LiveweightNTQLD_Title()</f>
        <v>Beef pasture cattle - Liveweight (kg) (Wjkl) for NT and QLD</v>
      </c>
      <c r="M49" s="8"/>
    </row>
    <row r="50" spans="4:16" ht="20.100000000000001" customHeight="1" x14ac:dyDescent="0.25">
      <c r="D50" s="11" t="str" cm="1">
        <f t="array" ref="D50">SourceData_PastureBeef.SourceData_PastureBeef_LiveweightNTQLD_Source()</f>
        <v>VEERG 2026: Table A.1.2.2</v>
      </c>
      <c r="M50" s="8"/>
    </row>
    <row r="51" spans="4:16" ht="20.100000000000001" customHeight="1" x14ac:dyDescent="0.25">
      <c r="D51" s="8" t="str" cm="1">
        <f t="array" ref="D51">SourceData_PastureBeef.SourceData_PastureBeef_LiveweightNTQLD_Variable()</f>
        <v>Wjkl</v>
      </c>
      <c r="M51" s="8"/>
    </row>
    <row r="52" spans="4:16" ht="20.100000000000001" customHeight="1" x14ac:dyDescent="0.25">
      <c r="D52" s="13" t="str" cm="1">
        <f t="array" ref="D52">SourceData_PastureBeef.SourceData_PastureBeef_LiveweightNTQLD_Unit()</f>
        <v>kg</v>
      </c>
      <c r="M52" s="8"/>
    </row>
    <row r="53" spans="4:16" ht="20.100000000000001" customHeight="1" x14ac:dyDescent="0.25">
      <c r="D53" s="10" t="s">
        <v>291</v>
      </c>
      <c r="E53" s="10" t="s">
        <v>424</v>
      </c>
      <c r="F53" s="10" t="s">
        <v>47</v>
      </c>
      <c r="G53" s="10" t="s">
        <v>534</v>
      </c>
      <c r="H53" s="10" t="s">
        <v>535</v>
      </c>
      <c r="I53" s="10" t="s">
        <v>536</v>
      </c>
      <c r="J53" s="10" t="s">
        <v>537</v>
      </c>
      <c r="K53" s="10" t="s">
        <v>538</v>
      </c>
      <c r="L53" s="10" t="s">
        <v>539</v>
      </c>
      <c r="M53" s="10" t="s">
        <v>540</v>
      </c>
      <c r="N53" s="10" t="s">
        <v>541</v>
      </c>
      <c r="O53" s="10" t="s">
        <v>542</v>
      </c>
      <c r="P53" s="10" t="s">
        <v>543</v>
      </c>
    </row>
    <row r="54" spans="4:16" ht="20.100000000000001" customHeight="1" x14ac:dyDescent="0.25">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4:22" ht="20.100000000000001" customHeight="1" x14ac:dyDescent="0.25">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4:22" ht="20.100000000000001" customHeight="1" x14ac:dyDescent="0.25">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4:22" ht="20.100000000000001" customHeight="1" x14ac:dyDescent="0.25">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4:22" ht="20.100000000000001" customHeight="1" x14ac:dyDescent="0.2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4:22" ht="20.100000000000001" customHeight="1" x14ac:dyDescent="0.25">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4:22" ht="20.100000000000001" customHeight="1" x14ac:dyDescent="0.25">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4:22" ht="20.100000000000001" customHeight="1" x14ac:dyDescent="0.25">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8"/>
    </row>
    <row r="83" spans="4:22" ht="20.100000000000001" customHeight="1" x14ac:dyDescent="0.25">
      <c r="M83" s="8"/>
    </row>
    <row r="84" spans="4:22" ht="20.100000000000001" customHeight="1" x14ac:dyDescent="0.25">
      <c r="D84" s="9" t="s">
        <v>544</v>
      </c>
      <c r="M84" s="8"/>
    </row>
    <row r="85" spans="4:22" ht="20.100000000000001" customHeight="1" x14ac:dyDescent="0.25">
      <c r="D85" s="10" t="s">
        <v>291</v>
      </c>
      <c r="E85" s="10" t="s">
        <v>424</v>
      </c>
      <c r="F85" s="10" t="s">
        <v>47</v>
      </c>
      <c r="G85" s="173" t="s">
        <v>545</v>
      </c>
      <c r="H85" s="173" t="s">
        <v>546</v>
      </c>
      <c r="I85" s="173" t="s">
        <v>547</v>
      </c>
      <c r="J85" s="173" t="s">
        <v>548</v>
      </c>
      <c r="K85" s="173" t="s">
        <v>549</v>
      </c>
      <c r="L85" s="173" t="s">
        <v>550</v>
      </c>
      <c r="M85" s="173" t="s">
        <v>551</v>
      </c>
      <c r="N85" s="173" t="s">
        <v>552</v>
      </c>
      <c r="O85" s="173" t="s">
        <v>553</v>
      </c>
      <c r="P85" s="173" t="s">
        <v>554</v>
      </c>
      <c r="V85" s="8"/>
    </row>
    <row r="86" spans="4:22" ht="20.100000000000001" customHeight="1" x14ac:dyDescent="0.25">
      <c r="D86" s="10" t="s">
        <v>342</v>
      </c>
      <c r="E86" s="10" t="s">
        <v>495</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342</v>
      </c>
      <c r="E87" s="10" t="s">
        <v>495</v>
      </c>
      <c r="F87" s="10" t="s">
        <v>555</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342</v>
      </c>
      <c r="E88" s="10" t="s">
        <v>495</v>
      </c>
      <c r="F88" s="10" t="s">
        <v>556</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342</v>
      </c>
      <c r="E89" s="10" t="s">
        <v>495</v>
      </c>
      <c r="F89" s="10" t="s">
        <v>557</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366</v>
      </c>
      <c r="E90" s="10" t="s">
        <v>495</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366</v>
      </c>
      <c r="E91" s="10" t="s">
        <v>495</v>
      </c>
      <c r="F91" s="10" t="s">
        <v>555</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366</v>
      </c>
      <c r="E92" s="10" t="s">
        <v>495</v>
      </c>
      <c r="F92" s="10" t="s">
        <v>556</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366</v>
      </c>
      <c r="E93" s="10" t="s">
        <v>495</v>
      </c>
      <c r="F93" s="10" t="s">
        <v>557</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433</v>
      </c>
      <c r="E94" s="10" t="s">
        <v>495</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433</v>
      </c>
      <c r="E95" s="10" t="s">
        <v>495</v>
      </c>
      <c r="F95" s="10" t="s">
        <v>555</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433</v>
      </c>
      <c r="E96" s="10" t="s">
        <v>495</v>
      </c>
      <c r="F96" s="10" t="s">
        <v>556</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433</v>
      </c>
      <c r="E97" s="10" t="s">
        <v>495</v>
      </c>
      <c r="F97" s="10" t="s">
        <v>557</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429</v>
      </c>
      <c r="E98" s="10" t="s">
        <v>495</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429</v>
      </c>
      <c r="E99" s="10" t="s">
        <v>495</v>
      </c>
      <c r="F99" s="10" t="s">
        <v>555</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429</v>
      </c>
      <c r="E100" s="10" t="s">
        <v>495</v>
      </c>
      <c r="F100" s="10" t="s">
        <v>556</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429</v>
      </c>
      <c r="E101" s="10" t="s">
        <v>495</v>
      </c>
      <c r="F101" s="10" t="s">
        <v>557</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372</v>
      </c>
      <c r="E102" s="10" t="s">
        <v>495</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372</v>
      </c>
      <c r="E103" s="10" t="s">
        <v>495</v>
      </c>
      <c r="F103" s="10" t="s">
        <v>555</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372</v>
      </c>
      <c r="E104" s="10" t="s">
        <v>495</v>
      </c>
      <c r="F104" s="10" t="s">
        <v>556</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372</v>
      </c>
      <c r="E105" s="10" t="s">
        <v>495</v>
      </c>
      <c r="F105" s="10" t="s">
        <v>557</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373</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373</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373</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373</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373</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373</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373</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373</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373</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373</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373</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373</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496</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496</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496</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496</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496</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496</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496</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496</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496</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496</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496</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496</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367</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367</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367</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367</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367</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367</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367</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367</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367</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367</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367</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367</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367</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367</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367</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367</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365</v>
      </c>
      <c r="E146" s="8" t="s">
        <v>495</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365</v>
      </c>
      <c r="E147" s="8" t="s">
        <v>495</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4:16" ht="20.100000000000001" customHeight="1" x14ac:dyDescent="0.25">
      <c r="D148" s="8" t="s">
        <v>365</v>
      </c>
      <c r="E148" s="8" t="s">
        <v>495</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4:16" ht="20.100000000000001" customHeight="1" x14ac:dyDescent="0.25">
      <c r="D149" s="8" t="s">
        <v>365</v>
      </c>
      <c r="E149" s="8" t="s">
        <v>495</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4:16" ht="20.100000000000001" customHeight="1" x14ac:dyDescent="0.25">
      <c r="D150" s="9" t="str" cm="1">
        <f t="array" ref="D150">SourceData_PastureBeef.SourceData_PastureBeef_LiveweightGain_Title()</f>
        <v>Beef pasture cattle - Liveweight gain (kg) (LWGjkl)</v>
      </c>
      <c r="M150" s="8"/>
    </row>
    <row r="151" spans="4:16" ht="20.100000000000001" customHeight="1" x14ac:dyDescent="0.25">
      <c r="D151" s="11" t="str" cm="1">
        <f t="array" ref="D151">SourceData_PastureBeef.SourceData_PastureBeef_LiveweightGain_Source()</f>
        <v>VEERG 2026: Table A.1.2.3</v>
      </c>
      <c r="M151" s="8"/>
    </row>
    <row r="152" spans="4:16" ht="20.100000000000001" customHeight="1" x14ac:dyDescent="0.25">
      <c r="D152" s="8" t="str" cm="1">
        <f t="array" ref="D152">SourceData_PastureBeef.SourceData_PastureBeef_LiveweightGain_Variable()</f>
        <v>LWGjkl</v>
      </c>
      <c r="M152" s="8"/>
    </row>
    <row r="153" spans="4:16" ht="20.100000000000001" customHeight="1" x14ac:dyDescent="0.25">
      <c r="D153" s="13" t="str" cm="1">
        <f t="array" ref="D153">SourceData_PastureBeef.SourceData_PastureBeef_LiveweightGain_Unit()</f>
        <v>kg</v>
      </c>
      <c r="M153" s="8"/>
    </row>
    <row r="154" spans="4:16" ht="20.100000000000001" customHeight="1" x14ac:dyDescent="0.25">
      <c r="D154" s="10" t="s">
        <v>291</v>
      </c>
      <c r="E154" s="10" t="s">
        <v>424</v>
      </c>
      <c r="F154" s="10" t="s">
        <v>47</v>
      </c>
      <c r="G154" s="10" t="s">
        <v>534</v>
      </c>
      <c r="H154" s="10" t="s">
        <v>535</v>
      </c>
      <c r="I154" s="10" t="s">
        <v>558</v>
      </c>
      <c r="J154" s="10" t="s">
        <v>528</v>
      </c>
      <c r="K154" s="10" t="s">
        <v>559</v>
      </c>
      <c r="L154" s="10" t="s">
        <v>540</v>
      </c>
      <c r="M154" s="10" t="s">
        <v>560</v>
      </c>
    </row>
    <row r="155" spans="4:16" ht="20.100000000000001" customHeight="1" x14ac:dyDescent="0.2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291</v>
      </c>
      <c r="E189" s="10" t="s">
        <v>424</v>
      </c>
      <c r="F189" s="10" t="s">
        <v>47</v>
      </c>
      <c r="G189" s="10" t="s">
        <v>534</v>
      </c>
      <c r="H189" s="10" t="s">
        <v>535</v>
      </c>
      <c r="I189" s="10" t="s">
        <v>558</v>
      </c>
      <c r="J189" s="10" t="s">
        <v>528</v>
      </c>
      <c r="K189" s="10" t="s">
        <v>561</v>
      </c>
      <c r="L189" s="10" t="s">
        <v>562</v>
      </c>
      <c r="M189" s="10" t="s">
        <v>540</v>
      </c>
      <c r="N189" s="10" t="s">
        <v>541</v>
      </c>
      <c r="O189" s="10" t="s">
        <v>542</v>
      </c>
      <c r="P189" s="10" t="s">
        <v>543</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544</v>
      </c>
      <c r="M220" s="8"/>
    </row>
    <row r="221" spans="4:16" x14ac:dyDescent="0.25">
      <c r="M221" s="8"/>
    </row>
    <row r="222" spans="4:16" x14ac:dyDescent="0.25">
      <c r="D222" s="10" t="s">
        <v>291</v>
      </c>
      <c r="E222" s="10" t="s">
        <v>424</v>
      </c>
      <c r="F222" s="10" t="s">
        <v>47</v>
      </c>
      <c r="G222" s="173" t="s">
        <v>545</v>
      </c>
      <c r="H222" s="173" t="s">
        <v>546</v>
      </c>
      <c r="I222" s="173" t="s">
        <v>547</v>
      </c>
      <c r="J222" s="173" t="s">
        <v>548</v>
      </c>
      <c r="K222" s="173" t="s">
        <v>549</v>
      </c>
      <c r="L222" s="173" t="s">
        <v>550</v>
      </c>
      <c r="M222" s="173" t="s">
        <v>551</v>
      </c>
      <c r="N222" s="173" t="s">
        <v>552</v>
      </c>
      <c r="O222" s="173" t="s">
        <v>553</v>
      </c>
      <c r="P222" s="173" t="s">
        <v>554</v>
      </c>
    </row>
    <row r="223" spans="4:16" x14ac:dyDescent="0.25">
      <c r="D223" s="10" t="s">
        <v>342</v>
      </c>
      <c r="E223" s="10" t="s">
        <v>495</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342</v>
      </c>
      <c r="E224" s="10" t="s">
        <v>495</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342</v>
      </c>
      <c r="E225" s="10" t="s">
        <v>495</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342</v>
      </c>
      <c r="E226" s="10" t="s">
        <v>495</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366</v>
      </c>
      <c r="E227" s="10" t="s">
        <v>495</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366</v>
      </c>
      <c r="E228" s="10" t="s">
        <v>495</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366</v>
      </c>
      <c r="E229" s="10" t="s">
        <v>495</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366</v>
      </c>
      <c r="E230" s="10" t="s">
        <v>495</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433</v>
      </c>
      <c r="E231" s="10" t="s">
        <v>495</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433</v>
      </c>
      <c r="E232" s="10" t="s">
        <v>495</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433</v>
      </c>
      <c r="E233" s="10" t="s">
        <v>495</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433</v>
      </c>
      <c r="E234" s="10" t="s">
        <v>495</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429</v>
      </c>
      <c r="E235" s="10" t="s">
        <v>495</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429</v>
      </c>
      <c r="E236" s="10" t="s">
        <v>495</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429</v>
      </c>
      <c r="E237" s="10" t="s">
        <v>495</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429</v>
      </c>
      <c r="E238" s="10" t="s">
        <v>495</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372</v>
      </c>
      <c r="E239" s="10" t="s">
        <v>495</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372</v>
      </c>
      <c r="E240" s="10" t="s">
        <v>495</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372</v>
      </c>
      <c r="E241" s="10" t="s">
        <v>495</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372</v>
      </c>
      <c r="E242" s="10" t="s">
        <v>495</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373</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373</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373</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373</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373</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373</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373</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373</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373</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373</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373</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373</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496</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496</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496</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496</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496</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496</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496</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496</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496</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496</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496</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496</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367</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367</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367</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367</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367</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367</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367</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367</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367</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367</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367</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367</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367</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367</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367</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367</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291</v>
      </c>
      <c r="E290" s="10" t="s">
        <v>424</v>
      </c>
      <c r="F290" s="10" t="s">
        <v>563</v>
      </c>
      <c r="G290" s="10" t="s">
        <v>555</v>
      </c>
      <c r="H290" s="10" t="s">
        <v>556</v>
      </c>
      <c r="I290" s="10" t="s">
        <v>557</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291</v>
      </c>
      <c r="E313" s="10" t="s">
        <v>424</v>
      </c>
      <c r="F313" s="10" t="s">
        <v>563</v>
      </c>
      <c r="G313" s="10" t="s">
        <v>555</v>
      </c>
      <c r="H313" s="10" t="s">
        <v>556</v>
      </c>
      <c r="I313" s="10" t="s">
        <v>557</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564</v>
      </c>
      <c r="M333" s="8"/>
    </row>
    <row r="334" spans="4:13" x14ac:dyDescent="0.25">
      <c r="D334" s="10" t="s">
        <v>565</v>
      </c>
      <c r="E334" s="10" t="s">
        <v>47</v>
      </c>
      <c r="F334" s="10" t="s">
        <v>566</v>
      </c>
      <c r="G334" s="10" t="s">
        <v>567</v>
      </c>
      <c r="I334" s="10" t="s">
        <v>565</v>
      </c>
      <c r="J334" s="10" t="s">
        <v>47</v>
      </c>
      <c r="K334" s="10" t="s">
        <v>566</v>
      </c>
      <c r="L334" s="10" t="s">
        <v>567</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568</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569</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568</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569</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291</v>
      </c>
      <c r="E350" s="10" t="s">
        <v>570</v>
      </c>
      <c r="F350" s="10" t="s">
        <v>571</v>
      </c>
      <c r="G350" s="10" t="s">
        <v>536</v>
      </c>
      <c r="H350" s="10" t="s">
        <v>537</v>
      </c>
      <c r="I350" s="10" t="s">
        <v>572</v>
      </c>
      <c r="J350" s="10" t="s">
        <v>540</v>
      </c>
      <c r="K350" s="10" t="s">
        <v>560</v>
      </c>
      <c r="L350" s="10" t="s">
        <v>573</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291</v>
      </c>
      <c r="E361" s="173" t="s">
        <v>545</v>
      </c>
      <c r="F361" s="173" t="s">
        <v>546</v>
      </c>
      <c r="G361" s="173" t="s">
        <v>547</v>
      </c>
      <c r="H361" s="173" t="s">
        <v>548</v>
      </c>
      <c r="I361" s="173" t="s">
        <v>549</v>
      </c>
      <c r="J361" s="173" t="s">
        <v>550</v>
      </c>
      <c r="K361" s="173" t="s">
        <v>551</v>
      </c>
      <c r="L361" s="173" t="s">
        <v>552</v>
      </c>
      <c r="M361" s="173" t="s">
        <v>553</v>
      </c>
      <c r="N361" s="173" t="s">
        <v>554</v>
      </c>
      <c r="O361" s="10" t="s">
        <v>573</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74" t="s">
        <v>574</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291</v>
      </c>
      <c r="E377" s="10" t="s">
        <v>424</v>
      </c>
      <c r="F377" s="10" t="s">
        <v>62</v>
      </c>
      <c r="G377" s="10" t="s">
        <v>575</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291</v>
      </c>
      <c r="E400" s="10" t="s">
        <v>424</v>
      </c>
      <c r="F400" s="10" t="s">
        <v>62</v>
      </c>
      <c r="G400" s="10" t="s">
        <v>575</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8"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8"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8"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8"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dimension ref="A1:AA115"/>
  <sheetViews>
    <sheetView showGridLines="0" workbookViewId="0">
      <selection activeCell="E21" sqref="E21"/>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8" t="s">
        <v>277</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9"/>
      <c r="D4" s="109"/>
      <c r="E4" s="109"/>
      <c r="F4" s="109"/>
      <c r="G4" s="109"/>
      <c r="H4" s="109"/>
      <c r="I4" s="109"/>
      <c r="J4" s="109"/>
      <c r="K4" s="109"/>
    </row>
    <row r="5" spans="1:24" ht="20.100000000000001" customHeight="1" x14ac:dyDescent="0.25">
      <c r="A5" s="16" t="str">
        <f>HYPERLINK("#'Results'!A1", "Results")</f>
        <v>Results</v>
      </c>
      <c r="D5" s="9" t="s">
        <v>278</v>
      </c>
      <c r="N5" s="110"/>
    </row>
    <row r="6" spans="1:24" ht="20.100000000000001" customHeight="1" x14ac:dyDescent="0.25">
      <c r="D6" s="111"/>
      <c r="N6" s="112"/>
    </row>
    <row r="7" spans="1:24" ht="20.100000000000001" customHeight="1" x14ac:dyDescent="0.25">
      <c r="A7" s="19" t="s">
        <v>67</v>
      </c>
      <c r="D7" s="8" t="s">
        <v>279</v>
      </c>
      <c r="E7" s="86" t="s">
        <v>280</v>
      </c>
      <c r="F7" s="68"/>
    </row>
    <row r="8" spans="1:24" ht="20.100000000000001" customHeight="1" x14ac:dyDescent="0.25">
      <c r="A8" s="16" t="str">
        <f>HYPERLINK("#'Input - Electricity'!A1", "Electricity")</f>
        <v>Electricity</v>
      </c>
      <c r="D8" s="113" t="s">
        <v>281</v>
      </c>
      <c r="E8" s="86" t="s">
        <v>282</v>
      </c>
    </row>
    <row r="9" spans="1:24" ht="20.100000000000001" customHeight="1" x14ac:dyDescent="0.25">
      <c r="A9" s="16"/>
      <c r="N9" s="114"/>
    </row>
    <row r="10" spans="1:24" ht="20.100000000000001" customHeight="1" x14ac:dyDescent="0.25">
      <c r="A10" s="21" t="s">
        <v>77</v>
      </c>
      <c r="D10" s="100" t="s">
        <v>283</v>
      </c>
      <c r="E10" s="115"/>
      <c r="F10" s="116"/>
      <c r="G10" s="101"/>
      <c r="N10" s="114"/>
    </row>
    <row r="11" spans="1:24" ht="20.100000000000001" customHeight="1" x14ac:dyDescent="0.25">
      <c r="A11" s="16" t="str">
        <f>HYPERLINK("#'14.1.1-2 Purchased electricity'!A1", "14.1.1-2 Purchased electricity")</f>
        <v>14.1.1-2 Purchased electricity</v>
      </c>
      <c r="N11" s="117"/>
    </row>
    <row r="12" spans="1:24" ht="20.100000000000001" customHeight="1" x14ac:dyDescent="0.25">
      <c r="A12" s="16"/>
      <c r="D12" s="113" t="s">
        <v>284</v>
      </c>
      <c r="E12" s="118">
        <v>45292</v>
      </c>
      <c r="F12" s="68" t="s">
        <v>285</v>
      </c>
    </row>
    <row r="13" spans="1:24" ht="20.100000000000001" customHeight="1" x14ac:dyDescent="0.25">
      <c r="A13" s="23" t="s">
        <v>78</v>
      </c>
      <c r="D13" s="113" t="s">
        <v>286</v>
      </c>
      <c r="E13" s="119">
        <f>DATE(YEAR(E12)+1,MONTH(E12),DAY(E12))-1</f>
        <v>45657</v>
      </c>
      <c r="F13" s="68" t="s">
        <v>287</v>
      </c>
      <c r="N13" s="120"/>
      <c r="O13" s="120"/>
    </row>
    <row r="14" spans="1:24" ht="20.100000000000001" customHeight="1" x14ac:dyDescent="0.25">
      <c r="A14" s="16" t="str">
        <f>HYPERLINK("#'Constants - Electricity'!A1", "Constants - Electricity")</f>
        <v>Constants - Electricity</v>
      </c>
      <c r="N14" s="120"/>
      <c r="O14" s="120"/>
    </row>
    <row r="15" spans="1:24" ht="20.100000000000001" customHeight="1" x14ac:dyDescent="0.25">
      <c r="A15" s="16" t="str">
        <f>HYPERLINK("#'Constants - Common'!A1", "Constants - Common")</f>
        <v>Constants - Common</v>
      </c>
      <c r="N15" s="120"/>
      <c r="O15" s="120"/>
    </row>
    <row r="16" spans="1:24" ht="20.100000000000001" customHeight="1" x14ac:dyDescent="0.25">
      <c r="A16" s="3"/>
      <c r="D16" s="9" t="s">
        <v>288</v>
      </c>
      <c r="N16" s="120"/>
      <c r="O16" s="120"/>
    </row>
    <row r="17" spans="1:25" ht="20.100000000000001" customHeight="1" x14ac:dyDescent="0.25">
      <c r="A17" s="3"/>
    </row>
    <row r="18" spans="1:25" ht="20.100000000000001" customHeight="1" x14ac:dyDescent="0.25">
      <c r="A18" s="3"/>
      <c r="D18" s="121" t="s">
        <v>289</v>
      </c>
      <c r="E18" s="41"/>
      <c r="F18" s="41"/>
      <c r="G18" s="42"/>
    </row>
    <row r="19" spans="1:25" ht="20.100000000000001" customHeight="1" x14ac:dyDescent="0.25">
      <c r="A19" s="3"/>
      <c r="D19" s="44" t="s">
        <v>290</v>
      </c>
      <c r="E19" s="45"/>
      <c r="F19" s="45"/>
      <c r="G19" s="46"/>
      <c r="N19" s="110"/>
    </row>
    <row r="20" spans="1:25" ht="20.100000000000001" customHeight="1" x14ac:dyDescent="0.25">
      <c r="A20" s="3"/>
      <c r="D20" s="8"/>
      <c r="E20" s="122"/>
      <c r="F20" s="68"/>
      <c r="N20" s="112"/>
    </row>
    <row r="21" spans="1:25" ht="20.100000000000001" customHeight="1" x14ac:dyDescent="0.25">
      <c r="A21" s="3"/>
      <c r="D21" s="8" t="s">
        <v>291</v>
      </c>
      <c r="E21" s="48" t="s">
        <v>342</v>
      </c>
      <c r="F21" s="68" t="s">
        <v>198</v>
      </c>
    </row>
    <row r="22" spans="1:25" ht="20.100000000000001" customHeight="1" x14ac:dyDescent="0.25">
      <c r="A22" s="3"/>
      <c r="D22" s="8" t="s">
        <v>292</v>
      </c>
      <c r="E22" s="48" t="s">
        <v>293</v>
      </c>
      <c r="F22" s="68" t="s">
        <v>198</v>
      </c>
      <c r="G22" s="8"/>
    </row>
    <row r="23" spans="1:25" ht="20.100000000000001" customHeight="1" x14ac:dyDescent="0.25">
      <c r="A23" s="3"/>
    </row>
    <row r="24" spans="1:25" ht="20.100000000000001" customHeight="1" x14ac:dyDescent="0.25">
      <c r="A24" s="3"/>
    </row>
    <row r="25" spans="1:25" ht="20.100000000000001" customHeight="1" x14ac:dyDescent="0.25">
      <c r="A25" s="3"/>
      <c r="N25" s="112"/>
    </row>
    <row r="26" spans="1:25" ht="20.100000000000001" customHeight="1" x14ac:dyDescent="0.25">
      <c r="A26" s="3"/>
    </row>
    <row r="27" spans="1:25" ht="20.100000000000001" customHeight="1" x14ac:dyDescent="0.25">
      <c r="A27" s="3"/>
    </row>
    <row r="28" spans="1:25" ht="20.100000000000001" customHeight="1" x14ac:dyDescent="0.25">
      <c r="A28" s="3"/>
    </row>
    <row r="29" spans="1:25" ht="20.100000000000001" customHeight="1" x14ac:dyDescent="0.25">
      <c r="A29" s="3"/>
    </row>
    <row r="30" spans="1:25" ht="20.100000000000001" customHeight="1" x14ac:dyDescent="0.25">
      <c r="A30" s="3"/>
      <c r="G30" s="123"/>
      <c r="L30" s="124"/>
      <c r="M30" s="124"/>
      <c r="N30" s="124"/>
      <c r="O30" s="124"/>
      <c r="P30" s="124"/>
      <c r="Q30" s="124"/>
      <c r="R30" s="124"/>
      <c r="S30" s="124"/>
      <c r="T30" s="124"/>
      <c r="U30" s="124"/>
      <c r="V30" s="124"/>
      <c r="W30" s="124"/>
      <c r="X30" s="124"/>
      <c r="Y30" s="124"/>
    </row>
    <row r="31" spans="1:25" ht="20.100000000000001" customHeight="1" x14ac:dyDescent="0.25">
      <c r="A31" s="3"/>
      <c r="G31" s="122"/>
      <c r="L31" s="125"/>
      <c r="M31" s="125"/>
      <c r="N31" s="125"/>
      <c r="O31" s="125"/>
      <c r="P31" s="125"/>
      <c r="Q31" s="125"/>
      <c r="R31" s="125"/>
      <c r="S31" s="125"/>
      <c r="T31" s="125"/>
      <c r="U31" s="125"/>
      <c r="V31" s="125"/>
      <c r="W31" s="125"/>
      <c r="X31" s="125"/>
      <c r="Y31" s="125"/>
    </row>
    <row r="32" spans="1:25" ht="20.100000000000001" customHeight="1" x14ac:dyDescent="0.25">
      <c r="A32" s="3"/>
      <c r="G32" s="122"/>
      <c r="L32" s="125"/>
      <c r="M32" s="125"/>
      <c r="N32" s="125"/>
      <c r="O32" s="125"/>
      <c r="P32" s="125"/>
      <c r="Q32" s="125"/>
      <c r="R32" s="125"/>
      <c r="S32" s="125"/>
      <c r="T32" s="125"/>
      <c r="U32" s="125"/>
      <c r="V32" s="125"/>
      <c r="W32" s="125"/>
      <c r="X32" s="125"/>
      <c r="Y32" s="125"/>
    </row>
    <row r="33" spans="1:25" ht="20.100000000000001" customHeight="1" x14ac:dyDescent="0.25">
      <c r="A33" s="3"/>
      <c r="G33" s="126"/>
      <c r="L33" s="125"/>
      <c r="M33" s="125"/>
      <c r="N33" s="125"/>
      <c r="O33" s="125"/>
      <c r="P33" s="125"/>
      <c r="Q33" s="125"/>
      <c r="R33" s="125"/>
      <c r="S33" s="125"/>
      <c r="T33" s="125"/>
      <c r="U33" s="125"/>
      <c r="V33" s="125"/>
      <c r="W33" s="125"/>
      <c r="X33" s="125"/>
      <c r="Y33" s="125"/>
    </row>
    <row r="34" spans="1:25" ht="20.100000000000001" customHeight="1" x14ac:dyDescent="0.25">
      <c r="A34" s="3"/>
      <c r="J34" s="127"/>
      <c r="K34" s="128"/>
      <c r="L34" s="125"/>
      <c r="M34" s="125"/>
      <c r="N34" s="125"/>
      <c r="O34" s="125"/>
      <c r="P34" s="125"/>
      <c r="Q34" s="125"/>
      <c r="R34" s="125"/>
      <c r="S34" s="125"/>
      <c r="T34" s="125"/>
      <c r="U34" s="125"/>
      <c r="V34" s="125"/>
      <c r="W34" s="125"/>
      <c r="X34" s="125"/>
      <c r="Y34" s="125"/>
    </row>
    <row r="35" spans="1:25" ht="20.100000000000001" customHeight="1" x14ac:dyDescent="0.25">
      <c r="A35" s="3"/>
      <c r="J35" s="127"/>
      <c r="K35" s="128"/>
      <c r="L35" s="125"/>
      <c r="M35" s="125"/>
      <c r="N35" s="125"/>
      <c r="O35" s="125"/>
      <c r="P35" s="125"/>
      <c r="Q35" s="125"/>
      <c r="R35" s="125"/>
      <c r="S35" s="125"/>
      <c r="T35" s="125"/>
      <c r="U35" s="125"/>
      <c r="V35" s="125"/>
      <c r="W35" s="125"/>
      <c r="X35" s="125"/>
      <c r="Y35" s="125"/>
    </row>
    <row r="36" spans="1:25" ht="20.100000000000001" customHeight="1" x14ac:dyDescent="0.25">
      <c r="A36" s="3"/>
      <c r="D36" s="129"/>
      <c r="E36" s="129"/>
      <c r="F36" s="130"/>
      <c r="G36" s="127"/>
      <c r="H36" s="127"/>
      <c r="I36" s="131"/>
      <c r="J36" s="127"/>
      <c r="K36" s="128"/>
      <c r="L36" s="125"/>
      <c r="M36" s="125"/>
      <c r="N36" s="125"/>
      <c r="O36" s="125"/>
      <c r="P36" s="125"/>
      <c r="Q36" s="125"/>
      <c r="R36" s="125"/>
      <c r="S36" s="125"/>
      <c r="T36" s="125"/>
      <c r="U36" s="125"/>
      <c r="V36" s="125"/>
      <c r="W36" s="125"/>
      <c r="X36" s="125"/>
      <c r="Y36" s="125"/>
    </row>
    <row r="37" spans="1:25" ht="20.100000000000001" customHeight="1" x14ac:dyDescent="0.25">
      <c r="A37" s="3"/>
      <c r="D37" s="129"/>
      <c r="E37" s="129"/>
      <c r="F37" s="130"/>
      <c r="G37" s="127"/>
      <c r="H37" s="127"/>
      <c r="I37" s="131"/>
      <c r="J37" s="127"/>
      <c r="K37" s="128"/>
      <c r="L37" s="125"/>
      <c r="M37" s="125"/>
      <c r="N37" s="125"/>
      <c r="O37" s="125"/>
      <c r="P37" s="125"/>
      <c r="Q37" s="125"/>
      <c r="R37" s="125"/>
      <c r="S37" s="125"/>
      <c r="T37" s="125"/>
      <c r="U37" s="125"/>
      <c r="V37" s="125"/>
      <c r="W37" s="125"/>
      <c r="X37" s="125"/>
      <c r="Y37" s="125"/>
    </row>
    <row r="38" spans="1:25" ht="20.100000000000001" customHeight="1" x14ac:dyDescent="0.25">
      <c r="A38" s="3"/>
      <c r="D38" s="129"/>
      <c r="E38" s="129"/>
      <c r="F38" s="130"/>
      <c r="G38" s="127"/>
      <c r="H38" s="127"/>
      <c r="I38" s="131"/>
      <c r="J38" s="127"/>
      <c r="K38" s="128"/>
      <c r="L38" s="125"/>
      <c r="M38" s="125"/>
      <c r="N38" s="125"/>
      <c r="O38" s="125"/>
      <c r="P38" s="125"/>
      <c r="Q38" s="125"/>
      <c r="R38" s="125"/>
      <c r="S38" s="125"/>
      <c r="T38" s="125"/>
      <c r="U38" s="125"/>
      <c r="V38" s="125"/>
      <c r="W38" s="125"/>
      <c r="X38" s="125"/>
      <c r="Y38" s="125"/>
    </row>
    <row r="39" spans="1:25" ht="20.100000000000001" customHeight="1" x14ac:dyDescent="0.25">
      <c r="A39" s="3"/>
      <c r="D39" s="129"/>
      <c r="E39" s="129"/>
      <c r="F39" s="130"/>
      <c r="G39" s="127"/>
      <c r="H39" s="127"/>
      <c r="I39" s="131"/>
      <c r="J39" s="127"/>
      <c r="K39" s="128"/>
      <c r="L39" s="125"/>
      <c r="M39" s="125"/>
      <c r="N39" s="125"/>
      <c r="O39" s="125"/>
      <c r="P39" s="125"/>
      <c r="Q39" s="125"/>
      <c r="R39" s="125"/>
      <c r="S39" s="125"/>
      <c r="T39" s="125"/>
      <c r="U39" s="125"/>
      <c r="V39" s="125"/>
      <c r="W39" s="125"/>
      <c r="X39" s="125"/>
      <c r="Y39" s="125"/>
    </row>
    <row r="40" spans="1:25" ht="20.100000000000001" customHeight="1" x14ac:dyDescent="0.25">
      <c r="A40" s="3"/>
      <c r="D40" s="132"/>
      <c r="E40" s="132"/>
      <c r="F40" s="132"/>
      <c r="G40" s="133"/>
      <c r="H40" s="134"/>
      <c r="I40" s="134"/>
      <c r="J40" s="134"/>
      <c r="K40" s="134"/>
      <c r="L40" s="135"/>
      <c r="M40" s="135"/>
      <c r="N40" s="135"/>
      <c r="O40" s="135"/>
      <c r="P40" s="135"/>
      <c r="Q40" s="135"/>
      <c r="R40" s="135"/>
      <c r="S40" s="135"/>
      <c r="T40" s="135"/>
      <c r="U40" s="135"/>
      <c r="V40" s="135"/>
      <c r="W40" s="135"/>
      <c r="X40" s="135"/>
      <c r="Y40" s="135"/>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6"/>
      <c r="E47" s="136"/>
      <c r="F47" s="136"/>
      <c r="G47" s="136"/>
      <c r="H47" s="136"/>
    </row>
    <row r="48" spans="1:25" ht="20.100000000000001" customHeight="1" x14ac:dyDescent="0.25">
      <c r="D48" s="137"/>
      <c r="E48" s="137"/>
      <c r="F48" s="138"/>
      <c r="G48" s="138"/>
      <c r="H48" s="137"/>
    </row>
    <row r="49" spans="4:8" ht="20.100000000000001" customHeight="1" x14ac:dyDescent="0.25">
      <c r="D49" s="137"/>
      <c r="E49" s="137"/>
      <c r="F49" s="138"/>
      <c r="G49" s="138"/>
      <c r="H49" s="137"/>
    </row>
    <row r="50" spans="4:8" ht="20.100000000000001" customHeight="1" x14ac:dyDescent="0.25">
      <c r="D50" s="137"/>
      <c r="E50" s="137"/>
      <c r="F50" s="138"/>
      <c r="G50" s="138"/>
      <c r="H50" s="137"/>
    </row>
    <row r="51" spans="4:8" ht="20.100000000000001" customHeight="1" x14ac:dyDescent="0.25">
      <c r="D51" s="139"/>
      <c r="E51" s="140"/>
      <c r="F51" s="140"/>
      <c r="G51" s="140"/>
      <c r="H51" s="141"/>
    </row>
    <row r="52" spans="4:8" ht="20.100000000000001" customHeight="1" x14ac:dyDescent="0.25"/>
    <row r="53" spans="4:8" ht="20.100000000000001" customHeight="1" x14ac:dyDescent="0.25"/>
    <row r="54" spans="4:8" ht="20.100000000000001" customHeight="1" x14ac:dyDescent="0.25">
      <c r="G54" s="142"/>
    </row>
    <row r="55" spans="4:8" ht="20.100000000000001" customHeight="1" x14ac:dyDescent="0.25">
      <c r="D55" s="9"/>
    </row>
    <row r="56" spans="4:8" ht="20.100000000000001" customHeight="1" x14ac:dyDescent="0.25"/>
    <row r="57" spans="4:8" ht="20.100000000000001" customHeight="1" x14ac:dyDescent="0.25">
      <c r="D57" s="143"/>
      <c r="F57" s="144"/>
    </row>
    <row r="58" spans="4:8" ht="20.100000000000001" customHeight="1" x14ac:dyDescent="0.25">
      <c r="D58" s="8"/>
      <c r="E58" s="145"/>
    </row>
    <row r="59" spans="4:8" ht="20.100000000000001" customHeight="1" x14ac:dyDescent="0.25">
      <c r="D59" s="8"/>
      <c r="E59" s="145"/>
    </row>
    <row r="60" spans="4:8" ht="20.100000000000001" customHeight="1" x14ac:dyDescent="0.25">
      <c r="D60" s="8"/>
      <c r="E60" s="146"/>
    </row>
    <row r="61" spans="4:8" ht="20.100000000000001" customHeight="1" x14ac:dyDescent="0.25">
      <c r="D61" s="8"/>
    </row>
    <row r="62" spans="4:8" ht="20.100000000000001" customHeight="1" x14ac:dyDescent="0.25"/>
    <row r="63" spans="4:8" ht="20.100000000000001" customHeight="1" x14ac:dyDescent="0.25">
      <c r="D63" s="143"/>
    </row>
    <row r="64" spans="4:8" ht="20.100000000000001" customHeight="1" x14ac:dyDescent="0.25">
      <c r="D64" s="8"/>
      <c r="E64" s="145"/>
    </row>
    <row r="65" spans="4:9" ht="20.100000000000001" customHeight="1" x14ac:dyDescent="0.25">
      <c r="D65" s="8"/>
      <c r="E65" s="145"/>
    </row>
    <row r="66" spans="4:9" ht="20.100000000000001" customHeight="1" x14ac:dyDescent="0.25">
      <c r="D66" s="8"/>
      <c r="E66" s="146"/>
    </row>
    <row r="67" spans="4:9" ht="20.100000000000001" customHeight="1" x14ac:dyDescent="0.25"/>
    <row r="68" spans="4:9" ht="20.100000000000001" customHeight="1" x14ac:dyDescent="0.25"/>
    <row r="69" spans="4:9" ht="20.100000000000001" customHeight="1" x14ac:dyDescent="0.25">
      <c r="D69" s="147"/>
      <c r="E69" s="147"/>
      <c r="F69" s="147"/>
      <c r="G69" s="147"/>
      <c r="H69" s="147"/>
      <c r="I69" s="147"/>
    </row>
    <row r="70" spans="4:9" ht="20.100000000000001" customHeight="1" x14ac:dyDescent="0.25">
      <c r="D70" s="147"/>
      <c r="E70" s="147"/>
      <c r="F70" s="147"/>
      <c r="G70" s="147"/>
      <c r="H70" s="147"/>
      <c r="I70" s="147"/>
    </row>
    <row r="71" spans="4:9" ht="20.100000000000001" customHeight="1" x14ac:dyDescent="0.25">
      <c r="D71" s="147"/>
      <c r="E71" s="147"/>
      <c r="F71" s="147"/>
      <c r="G71" s="147"/>
      <c r="H71" s="147"/>
      <c r="I71" s="147"/>
    </row>
    <row r="72" spans="4:9" ht="20.100000000000001" customHeight="1" x14ac:dyDescent="0.25">
      <c r="D72" s="147"/>
      <c r="E72" s="147"/>
      <c r="F72" s="147"/>
      <c r="G72" s="147"/>
      <c r="H72" s="147"/>
      <c r="I72" s="14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8"/>
    </row>
    <row r="79" spans="4:9" ht="20.100000000000001" customHeight="1" x14ac:dyDescent="0.25">
      <c r="D79" s="148"/>
    </row>
    <row r="80" spans="4:9" ht="20.100000000000001" customHeight="1" x14ac:dyDescent="0.25">
      <c r="D80" s="148"/>
    </row>
    <row r="81" spans="4:4" ht="20.100000000000001" customHeight="1" x14ac:dyDescent="0.25">
      <c r="D81" s="148"/>
    </row>
    <row r="82" spans="4:4" ht="20.100000000000001" customHeight="1" x14ac:dyDescent="0.25">
      <c r="D82" s="14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dimension ref="A1:Y361"/>
  <sheetViews>
    <sheetView showGridLines="0" topLeftCell="C14" zoomScale="85" zoomScaleNormal="85" workbookViewId="0">
      <selection activeCell="K21" sqref="K21"/>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197</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148</v>
      </c>
      <c r="E6" s="48" t="s">
        <v>153</v>
      </c>
      <c r="F6" s="68" t="s">
        <v>198</v>
      </c>
    </row>
    <row r="7" spans="1:25" ht="20.100000000000001" customHeight="1" x14ac:dyDescent="0.25">
      <c r="A7" s="19" t="s">
        <v>67</v>
      </c>
      <c r="D7" s="8" t="s">
        <v>199</v>
      </c>
      <c r="E7" s="48" t="s">
        <v>154</v>
      </c>
      <c r="F7" s="68" t="s">
        <v>198</v>
      </c>
    </row>
    <row r="8" spans="1:25" ht="20.100000000000001" customHeight="1" x14ac:dyDescent="0.25">
      <c r="A8" s="16" t="str">
        <f>HYPERLINK("#'Input - Site'!A1", "Site")</f>
        <v>Site</v>
      </c>
      <c r="D8" s="8" t="s">
        <v>43</v>
      </c>
      <c r="E8" s="48" t="s">
        <v>155</v>
      </c>
      <c r="F8" s="68" t="s">
        <v>198</v>
      </c>
    </row>
    <row r="9" spans="1:25" ht="20.100000000000001" customHeight="1" x14ac:dyDescent="0.25">
      <c r="A9" s="43" t="str">
        <f>HYPERLINK("#'Input - Fertiliser'!A1", "Fertiliser")</f>
        <v>Fertiliser</v>
      </c>
      <c r="D9" s="8" t="s">
        <v>200</v>
      </c>
      <c r="E9" s="69">
        <v>100</v>
      </c>
      <c r="F9" s="68" t="s">
        <v>201</v>
      </c>
    </row>
    <row r="10" spans="1:25" ht="20.100000000000001" customHeight="1" x14ac:dyDescent="0.25">
      <c r="A10" s="16"/>
    </row>
    <row r="11" spans="1:25" ht="20.100000000000001" customHeight="1" x14ac:dyDescent="0.25">
      <c r="A11" s="21" t="s">
        <v>77</v>
      </c>
      <c r="D11" s="9" t="s">
        <v>202</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203</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204</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205</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75" t="s">
        <v>206</v>
      </c>
      <c r="E17" s="67" t="s">
        <v>351</v>
      </c>
      <c r="F17" s="67" t="s">
        <v>344</v>
      </c>
      <c r="G17" s="67" t="s">
        <v>345</v>
      </c>
      <c r="H17" s="67" t="s">
        <v>208</v>
      </c>
      <c r="I17" s="67" t="s">
        <v>209</v>
      </c>
      <c r="J17" s="75" t="s">
        <v>177</v>
      </c>
      <c r="K17" s="75" t="s">
        <v>178</v>
      </c>
      <c r="L17" s="75" t="s">
        <v>179</v>
      </c>
      <c r="M17" s="75" t="s">
        <v>180</v>
      </c>
      <c r="N17" s="75" t="s">
        <v>181</v>
      </c>
      <c r="O17" s="75" t="s">
        <v>182</v>
      </c>
      <c r="P17" s="75" t="s">
        <v>183</v>
      </c>
      <c r="Q17" s="75" t="s">
        <v>184</v>
      </c>
      <c r="R17" s="75" t="s">
        <v>185</v>
      </c>
      <c r="S17" s="75" t="s">
        <v>186</v>
      </c>
      <c r="T17" s="75" t="s">
        <v>187</v>
      </c>
      <c r="U17" s="75" t="s">
        <v>188</v>
      </c>
      <c r="V17" s="75" t="s">
        <v>210</v>
      </c>
      <c r="W17" s="75" t="s">
        <v>175</v>
      </c>
      <c r="X17" s="75" t="s">
        <v>176</v>
      </c>
    </row>
    <row r="18" spans="1:24" ht="36" customHeight="1" x14ac:dyDescent="0.25">
      <c r="D18" s="76" t="s">
        <v>211</v>
      </c>
      <c r="E18" s="77">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1.2150000000000001</v>
      </c>
      <c r="H18" s="77">
        <f>$E$9</f>
        <v>100</v>
      </c>
      <c r="I18" s="78">
        <f>(Table_Input_InorganicFertiliser_Brands[[#This Row],[Amount applied per hectare]]*Table_Input_InorganicFertiliser_Brands[[#This Row],[Density]])*Table_Input_InorganicFertiliser_Brands[[#This Row],[Application area (ha)]]</f>
        <v>12150.000000000002</v>
      </c>
      <c r="J18" s="78"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Urea</v>
      </c>
      <c r="K18" s="78"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8" s="78"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8" s="78"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0.1</v>
      </c>
      <c r="N18" s="78"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8"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8" s="78"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Boron</v>
      </c>
      <c r="Q18" s="78"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8" s="78"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8"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8"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8"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18" s="78" t="str">
        <f>_xlfn.XLOOKUP(Table_Input_InorganicFertiliser_Brands[[#This Row],[Product (select)]],FertiliserProducts[Product name],FertiliserProducts[Urea source])</f>
        <v/>
      </c>
      <c r="X18" s="78" t="str">
        <f>_xlfn.XLOOKUP(Table_Input_InorganicFertiliser_Brands[[#This Row],[Product (select)]],FertiliserProducts[Product name],FertiliserProducts[Ammonia source])</f>
        <v/>
      </c>
    </row>
    <row r="19" spans="1:24" ht="36" customHeight="1" x14ac:dyDescent="0.25">
      <c r="A19" s="23" t="s">
        <v>78</v>
      </c>
      <c r="D19" s="76" t="s">
        <v>389</v>
      </c>
      <c r="E19" s="77">
        <v>200</v>
      </c>
      <c r="F19" s="50" t="str">
        <f>_xlfn.XLOOKUP(Table_Input_InorganicFertiliser_Brands[[#This Row],[Product (select)]],FertiliserProducts[Product name],FertiliserProducts[Unit])</f>
        <v>kg</v>
      </c>
      <c r="G19" s="50">
        <f>_xlfn.XLOOKUP(Table_Input_InorganicFertiliser_Brands[[#This Row],[Product (select)]],FertiliserProducts[Product name],FertiliserProducts[Density / gravity])</f>
        <v>1</v>
      </c>
      <c r="H19" s="77">
        <f>$E$9</f>
        <v>100</v>
      </c>
      <c r="I19" s="78">
        <f>(Table_Input_InorganicFertiliser_Brands[[#This Row],[Amount applied per hectare]]*Table_Input_InorganicFertiliser_Brands[[#This Row],[Density]])*Table_Input_InorganicFertiliser_Brands[[#This Row],[Application area (ha)]]</f>
        <v>20000</v>
      </c>
      <c r="J19" s="78"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78"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L19" s="78"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78"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N19" s="78"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O19" s="78"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P19" s="78"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Q19" s="78"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R19" s="78"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Magnesium</v>
      </c>
      <c r="S19" s="78"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T19" s="78"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Zinc</v>
      </c>
      <c r="U19" s="78"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V19"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47.999999960000004</v>
      </c>
      <c r="W19" s="78" t="str">
        <f>_xlfn.XLOOKUP(Table_Input_InorganicFertiliser_Brands[[#This Row],[Product (select)]],FertiliserProducts[Product name],FertiliserProducts[Urea source])</f>
        <v/>
      </c>
      <c r="X19" s="78"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76" t="s">
        <v>211</v>
      </c>
      <c r="E20" s="77">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1.2150000000000001</v>
      </c>
      <c r="H20" s="77">
        <f>$E$9</f>
        <v>100</v>
      </c>
      <c r="I20" s="78">
        <f>(Table_Input_InorganicFertiliser_Brands[[#This Row],[Amount applied per hectare]]*Table_Input_InorganicFertiliser_Brands[[#This Row],[Density]])*Table_Input_InorganicFertiliser_Brands[[#This Row],[Application area (ha)]]</f>
        <v>12150.000000000002</v>
      </c>
      <c r="J20" s="78"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Urea</v>
      </c>
      <c r="K20" s="78"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20" s="78"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20" s="78"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0.1</v>
      </c>
      <c r="N20" s="78"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20" s="78"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P20" s="78"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Boron</v>
      </c>
      <c r="Q20" s="78"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20" s="78"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8"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8"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8"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20" s="78" t="str">
        <f>_xlfn.XLOOKUP(Table_Input_InorganicFertiliser_Brands[[#This Row],[Product (select)]],FertiliserProducts[Product name],FertiliserProducts[Urea source])</f>
        <v/>
      </c>
      <c r="X20" s="78" t="str">
        <f>_xlfn.XLOOKUP(Table_Input_InorganicFertiliser_Brands[[#This Row],[Product (select)]],FertiliserProducts[Product name],FertiliserProducts[Ammonia source])</f>
        <v/>
      </c>
    </row>
    <row r="21" spans="1:24" ht="36" customHeight="1" x14ac:dyDescent="0.25">
      <c r="A21" s="16" t="str">
        <f>HYPERLINK("#'Constants - Common'!A1", "Constants - Common")</f>
        <v>Constants - Common</v>
      </c>
      <c r="D21" s="79"/>
      <c r="E21" s="80"/>
      <c r="F21" s="81"/>
      <c r="G21" s="81"/>
      <c r="H21" s="81"/>
      <c r="I21" s="81"/>
      <c r="J21" s="82"/>
      <c r="K21" s="82"/>
      <c r="L21" s="83"/>
      <c r="M21" s="83"/>
      <c r="N21" s="53"/>
      <c r="O21" s="53"/>
      <c r="P21" s="53"/>
      <c r="Q21" s="53"/>
      <c r="R21" s="53"/>
      <c r="S21" s="53"/>
      <c r="T21" s="53"/>
      <c r="U21" s="53"/>
      <c r="V21" s="53"/>
      <c r="W21" s="53"/>
      <c r="X21" s="53"/>
    </row>
    <row r="22" spans="1:24" ht="36" customHeight="1" x14ac:dyDescent="0.25">
      <c r="D22" s="84" t="s">
        <v>212</v>
      </c>
      <c r="E22" s="85"/>
      <c r="F22" s="85"/>
      <c r="G22" s="85"/>
      <c r="H22" s="85"/>
      <c r="I22" s="85"/>
      <c r="J22" s="85"/>
      <c r="K22" s="85"/>
      <c r="L22" s="85"/>
      <c r="M22" s="85"/>
      <c r="N22" s="53"/>
      <c r="O22" s="53"/>
      <c r="P22" s="53"/>
      <c r="Q22" s="53"/>
      <c r="R22" s="53"/>
      <c r="S22" s="53"/>
      <c r="T22" s="53"/>
      <c r="U22" s="53"/>
      <c r="V22" s="53"/>
      <c r="W22" s="53"/>
      <c r="X22" s="53"/>
    </row>
    <row r="23" spans="1:24" ht="36" customHeight="1" x14ac:dyDescent="0.25">
      <c r="A23" s="16"/>
      <c r="D23" s="67" t="s">
        <v>213</v>
      </c>
      <c r="E23" s="67" t="s">
        <v>207</v>
      </c>
      <c r="F23" s="67" t="s">
        <v>208</v>
      </c>
      <c r="G23" s="67" t="s">
        <v>209</v>
      </c>
      <c r="H23" s="67" t="s">
        <v>214</v>
      </c>
      <c r="I23" s="67" t="s">
        <v>178</v>
      </c>
      <c r="J23" s="67" t="s">
        <v>179</v>
      </c>
      <c r="K23" s="67" t="s">
        <v>180</v>
      </c>
      <c r="L23" s="67" t="s">
        <v>181</v>
      </c>
      <c r="M23" s="67" t="s">
        <v>182</v>
      </c>
      <c r="N23" s="67" t="s">
        <v>183</v>
      </c>
      <c r="O23" s="67" t="s">
        <v>184</v>
      </c>
      <c r="P23" s="67" t="s">
        <v>210</v>
      </c>
      <c r="Q23" s="75" t="s">
        <v>175</v>
      </c>
      <c r="R23" s="75" t="s">
        <v>176</v>
      </c>
      <c r="S23" s="53"/>
      <c r="T23" s="53"/>
      <c r="U23" s="53"/>
      <c r="V23" s="53"/>
      <c r="W23" s="53"/>
      <c r="X23" s="53"/>
    </row>
    <row r="24" spans="1:24" ht="36" customHeight="1" x14ac:dyDescent="0.25">
      <c r="D24" s="86" t="s">
        <v>215</v>
      </c>
      <c r="E24" s="67">
        <v>100</v>
      </c>
      <c r="F24" s="77">
        <f>$E$9</f>
        <v>100</v>
      </c>
      <c r="G24" s="78">
        <f>Table_Input_InorganicFertiliser_Custom[[#This Row],[Amount applied (kg / ha)]]*Table_Input_InorganicFertiliser_Custom[[#This Row],[Application area (ha)]]</f>
        <v>10000</v>
      </c>
      <c r="H24" s="87" t="s">
        <v>350</v>
      </c>
      <c r="I24" s="88">
        <v>0.45</v>
      </c>
      <c r="J24" s="87" t="s">
        <v>349</v>
      </c>
      <c r="K24" s="88">
        <v>0.3</v>
      </c>
      <c r="L24" s="87" t="s">
        <v>217</v>
      </c>
      <c r="M24" s="88">
        <v>0.1</v>
      </c>
      <c r="N24" s="89" t="s">
        <v>218</v>
      </c>
      <c r="O24" s="90">
        <v>0.1</v>
      </c>
      <c r="P24"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8" t="s">
        <v>346</v>
      </c>
      <c r="R24" s="48" t="s">
        <v>380</v>
      </c>
    </row>
    <row r="25" spans="1:24" ht="36" customHeight="1" x14ac:dyDescent="0.25">
      <c r="D25" s="86"/>
      <c r="E25" s="67">
        <v>100</v>
      </c>
      <c r="F25" s="163">
        <f>$E$9</f>
        <v>100</v>
      </c>
      <c r="G25" s="78">
        <f>Table_Input_InorganicFertiliser_Custom[[#This Row],[Amount applied (kg / ha)]]*Table_Input_InorganicFertiliser_Custom[[#This Row],[Application area (ha)]]</f>
        <v>10000</v>
      </c>
      <c r="H25" s="87" t="s">
        <v>216</v>
      </c>
      <c r="I25" s="91">
        <v>0.9</v>
      </c>
      <c r="J25" s="87" t="s">
        <v>350</v>
      </c>
      <c r="K25" s="91">
        <v>0.1</v>
      </c>
      <c r="L25" s="87"/>
      <c r="M25" s="91"/>
      <c r="N25" s="89"/>
      <c r="O25" s="90"/>
      <c r="P25"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6" t="s">
        <v>346</v>
      </c>
      <c r="R25" s="76" t="s">
        <v>346</v>
      </c>
    </row>
    <row r="26" spans="1:24" ht="36" customHeight="1" x14ac:dyDescent="0.25"/>
    <row r="27" spans="1:24" ht="20.100000000000001" customHeight="1" x14ac:dyDescent="0.25">
      <c r="D27" s="9" t="s">
        <v>404</v>
      </c>
      <c r="E27" s="7"/>
      <c r="F27" s="7"/>
      <c r="G27" s="7"/>
      <c r="H27" s="7"/>
      <c r="I27" s="7"/>
      <c r="J27" s="7"/>
      <c r="K27" s="14"/>
      <c r="L27" s="14"/>
      <c r="M27" s="14"/>
    </row>
    <row r="28" spans="1:24" ht="20.100000000000001" customHeight="1" x14ac:dyDescent="0.25">
      <c r="D28" s="14"/>
      <c r="E28" s="14"/>
      <c r="F28" s="14"/>
      <c r="G28" s="14"/>
      <c r="H28" s="14"/>
      <c r="I28" s="14"/>
      <c r="J28" s="14"/>
      <c r="K28" s="14"/>
      <c r="L28" s="14"/>
      <c r="M28" s="7"/>
    </row>
    <row r="29" spans="1:24" ht="20.100000000000001" customHeight="1" x14ac:dyDescent="0.25">
      <c r="A29" s="16"/>
      <c r="D29" s="40" t="s">
        <v>219</v>
      </c>
      <c r="E29" s="41"/>
      <c r="F29" s="42"/>
      <c r="G29" s="40"/>
      <c r="H29" s="42"/>
      <c r="I29" s="7"/>
      <c r="J29" s="7"/>
      <c r="K29" s="14"/>
      <c r="L29" s="14"/>
      <c r="M29" s="14"/>
    </row>
    <row r="30" spans="1:24" ht="20.100000000000001" customHeight="1" x14ac:dyDescent="0.25">
      <c r="A30" s="16"/>
      <c r="D30" s="92" t="s">
        <v>220</v>
      </c>
      <c r="E30" s="93"/>
      <c r="F30" s="94"/>
      <c r="G30" s="92"/>
      <c r="H30" s="94"/>
      <c r="I30" s="14"/>
      <c r="J30" s="14"/>
      <c r="K30" s="14"/>
      <c r="L30" s="14"/>
      <c r="M30" s="7"/>
    </row>
    <row r="31" spans="1:24" ht="20.100000000000001" customHeight="1" x14ac:dyDescent="0.25">
      <c r="A31" s="52"/>
      <c r="D31" s="44" t="s">
        <v>204</v>
      </c>
      <c r="E31" s="45"/>
      <c r="F31" s="45"/>
      <c r="G31" s="45"/>
      <c r="H31" s="46"/>
      <c r="I31" s="14"/>
      <c r="J31" s="14"/>
      <c r="K31" s="14"/>
      <c r="L31" s="14"/>
      <c r="M31" s="7"/>
    </row>
    <row r="32" spans="1:24" ht="20.100000000000001" customHeight="1" x14ac:dyDescent="0.25">
      <c r="A32" s="52"/>
      <c r="D32" s="57" t="str">
        <f>IF(MAX(Table_Input_SoilAmeliorants[Total]) &gt; 1, "There can not be more than 100% ingredients in a product. Check the table below.", "")</f>
        <v/>
      </c>
    </row>
    <row r="33" spans="1:25" ht="36" customHeight="1" x14ac:dyDescent="0.25">
      <c r="A33" s="16"/>
      <c r="D33" s="95" t="s">
        <v>221</v>
      </c>
      <c r="E33" s="95" t="s">
        <v>222</v>
      </c>
      <c r="F33" s="95" t="s">
        <v>208</v>
      </c>
      <c r="G33" s="95" t="s">
        <v>223</v>
      </c>
      <c r="H33" s="95" t="s">
        <v>224</v>
      </c>
      <c r="I33" s="95" t="s">
        <v>225</v>
      </c>
      <c r="J33" s="95" t="s">
        <v>226</v>
      </c>
      <c r="K33" s="95" t="s">
        <v>227</v>
      </c>
      <c r="Y33" s="3"/>
    </row>
    <row r="34" spans="1:25" ht="36" customHeight="1" x14ac:dyDescent="0.25">
      <c r="D34" s="96" t="s">
        <v>228</v>
      </c>
      <c r="E34" s="77">
        <v>100</v>
      </c>
      <c r="F34" s="77">
        <f>$E$9</f>
        <v>100</v>
      </c>
      <c r="G34" s="78">
        <f>IFERROR(Table_Input_SoilAmeliorants[[#This Row],[Amount applied (t/hectare)]]*Table_Input_SoilAmeliorants[[#This Row],[Application area (ha)]], 0)</f>
        <v>10000</v>
      </c>
      <c r="H34" s="90">
        <v>0.4</v>
      </c>
      <c r="I34" s="90">
        <v>0.3</v>
      </c>
      <c r="J34" s="90">
        <v>0.25</v>
      </c>
      <c r="K34" s="98">
        <f>SUM(Table_Input_SoilAmeliorants[[#This Row],[Percent Lime CaCO3]:[Percent Gypsum]])</f>
        <v>0.95</v>
      </c>
      <c r="Y34" s="3"/>
    </row>
    <row r="35" spans="1:25" ht="36" customHeight="1" x14ac:dyDescent="0.25">
      <c r="D35" s="96" t="s">
        <v>229</v>
      </c>
      <c r="E35" s="77">
        <v>100</v>
      </c>
      <c r="F35" s="77">
        <f>$E$9</f>
        <v>100</v>
      </c>
      <c r="G35" s="78">
        <f>IFERROR(Table_Input_SoilAmeliorants[[#This Row],[Amount applied (t/hectare)]]*Table_Input_SoilAmeliorants[[#This Row],[Application area (ha)]], 0)</f>
        <v>10000</v>
      </c>
      <c r="H35" s="90">
        <v>1</v>
      </c>
      <c r="I35" s="90"/>
      <c r="J35" s="90"/>
      <c r="K35" s="98">
        <f>SUM(Table_Input_SoilAmeliorants[[#This Row],[Percent Lime CaCO3]:[Percent Gypsum]])</f>
        <v>1</v>
      </c>
      <c r="Y35" s="3"/>
    </row>
    <row r="36" spans="1:25" ht="36" customHeight="1" x14ac:dyDescent="0.25">
      <c r="D36" s="14"/>
      <c r="E36" s="14"/>
      <c r="F36" s="14"/>
      <c r="G36" s="14"/>
      <c r="H36" s="14"/>
      <c r="I36" s="14"/>
      <c r="J36" s="14"/>
      <c r="L36" s="7"/>
      <c r="M36" s="7"/>
    </row>
    <row r="37" spans="1:25" ht="20.100000000000001" customHeight="1" x14ac:dyDescent="0.25">
      <c r="D37" s="14"/>
      <c r="E37" s="14"/>
      <c r="F37" s="14"/>
      <c r="G37" s="14"/>
      <c r="H37" s="14"/>
      <c r="I37" s="14"/>
      <c r="J37" s="99"/>
      <c r="K37" s="7"/>
      <c r="L37" s="7"/>
      <c r="M37" s="7"/>
    </row>
    <row r="38" spans="1:25" ht="20.100000000000001" customHeight="1" x14ac:dyDescent="0.25">
      <c r="C38" s="53"/>
      <c r="D38" s="9" t="s">
        <v>230</v>
      </c>
      <c r="E38" s="7"/>
      <c r="F38" s="7"/>
      <c r="G38" s="7"/>
      <c r="H38" s="14"/>
      <c r="I38" s="14"/>
      <c r="J38" s="14"/>
      <c r="K38" s="14"/>
      <c r="L38" s="14"/>
      <c r="M38" s="14"/>
    </row>
    <row r="39" spans="1:25" ht="20.100000000000001" customHeight="1" x14ac:dyDescent="0.25">
      <c r="A39" s="16"/>
      <c r="C39" s="53"/>
      <c r="D39" s="14"/>
      <c r="E39" s="14"/>
      <c r="F39" s="14"/>
      <c r="G39" s="14"/>
      <c r="H39" s="14"/>
      <c r="I39" s="14"/>
      <c r="J39" s="14"/>
      <c r="K39" s="14"/>
      <c r="L39" s="14"/>
      <c r="M39" s="14"/>
    </row>
    <row r="40" spans="1:25" s="54" customFormat="1" ht="20.100000000000001" customHeight="1" x14ac:dyDescent="0.25">
      <c r="C40" s="8"/>
      <c r="D40" s="40" t="s">
        <v>219</v>
      </c>
      <c r="E40" s="41"/>
      <c r="F40" s="41"/>
      <c r="G40" s="41"/>
      <c r="H40" s="42"/>
      <c r="I40" s="14"/>
      <c r="J40" s="14"/>
      <c r="K40" s="14"/>
      <c r="L40" s="14"/>
      <c r="M40" s="14"/>
      <c r="N40" s="8"/>
      <c r="O40" s="8"/>
      <c r="P40" s="8"/>
      <c r="Q40" s="53"/>
      <c r="R40" s="53"/>
      <c r="S40" s="53"/>
      <c r="T40" s="8"/>
      <c r="U40" s="8"/>
      <c r="V40" s="8"/>
      <c r="W40" s="8"/>
      <c r="X40" s="8"/>
      <c r="Y40" s="8"/>
    </row>
    <row r="41" spans="1:25" s="54" customFormat="1" ht="20.100000000000001" customHeight="1" x14ac:dyDescent="0.25">
      <c r="A41" s="55"/>
      <c r="C41" s="8"/>
      <c r="D41" s="44" t="s">
        <v>204</v>
      </c>
      <c r="E41" s="45"/>
      <c r="F41" s="45"/>
      <c r="G41" s="45"/>
      <c r="H41" s="46"/>
      <c r="I41" s="14"/>
      <c r="J41" s="14"/>
      <c r="K41" s="14"/>
      <c r="L41" s="14"/>
      <c r="M41" s="14"/>
      <c r="N41" s="8"/>
      <c r="O41" s="53"/>
      <c r="P41" s="53"/>
      <c r="Q41" s="53"/>
      <c r="R41" s="53"/>
      <c r="S41" s="53"/>
      <c r="T41" s="8"/>
      <c r="U41" s="8"/>
      <c r="V41" s="8"/>
      <c r="W41" s="8"/>
      <c r="X41" s="8"/>
      <c r="Y41" s="8"/>
    </row>
    <row r="42" spans="1:25" ht="20.100000000000001" customHeight="1" x14ac:dyDescent="0.25">
      <c r="D42" s="14"/>
      <c r="E42" s="14"/>
      <c r="F42" s="14"/>
      <c r="G42" s="14"/>
      <c r="H42" s="14"/>
      <c r="I42" s="14"/>
      <c r="J42" s="14"/>
      <c r="K42" s="14"/>
      <c r="L42" s="14"/>
      <c r="M42" s="53"/>
      <c r="N42" s="53"/>
      <c r="O42" s="53"/>
      <c r="P42" s="53"/>
    </row>
    <row r="43" spans="1:25" ht="36" customHeight="1" x14ac:dyDescent="0.25">
      <c r="D43" s="95" t="s">
        <v>231</v>
      </c>
      <c r="E43" s="95" t="s">
        <v>232</v>
      </c>
      <c r="F43" s="95" t="s">
        <v>233</v>
      </c>
      <c r="G43" s="95" t="s">
        <v>234</v>
      </c>
      <c r="H43" s="95" t="s">
        <v>208</v>
      </c>
      <c r="I43" s="95" t="s">
        <v>235</v>
      </c>
      <c r="J43" s="95" t="s">
        <v>236</v>
      </c>
      <c r="K43" s="85"/>
      <c r="L43" s="85"/>
      <c r="M43" s="53"/>
      <c r="N43" s="53"/>
    </row>
    <row r="44" spans="1:25" ht="36" customHeight="1" x14ac:dyDescent="0.25">
      <c r="A44" s="56" t="str">
        <f>HYPERLINK("#A1", "▲ Back to top")</f>
        <v>▲ Back to top</v>
      </c>
      <c r="D44" s="76" t="s">
        <v>162</v>
      </c>
      <c r="E44" s="97">
        <v>0.3</v>
      </c>
      <c r="F44" s="77">
        <v>10</v>
      </c>
      <c r="G44" s="78">
        <f>Table_Input_OrganicFertiliser[[#This Row],[Amount applied (kg/hectare)]]*Table_Input_OrganicFertiliser[[#This Row],[Percentage of N in fertiliser]]</f>
        <v>3</v>
      </c>
      <c r="H44" s="77">
        <f>$E$9</f>
        <v>100</v>
      </c>
      <c r="I44" s="78">
        <f>Table_Input_OrganicFertiliser[[#This Row],[Amount applied (kg/hectare)]]*Table_Input_OrganicFertiliser[[#This Row],[Application area (ha)]]</f>
        <v>1000</v>
      </c>
      <c r="J44" s="78">
        <f>IFERROR(Table_Input_OrganicFertiliser[[#This Row],[Amount N applied (kg/hectare)]]*Table_Input_OrganicFertiliser[[#This Row],[Application area (ha)]], 0)</f>
        <v>300</v>
      </c>
      <c r="K44" s="85"/>
      <c r="L44" s="85"/>
    </row>
    <row r="45" spans="1:25" ht="36" customHeight="1" x14ac:dyDescent="0.25">
      <c r="D45" s="76" t="s">
        <v>156</v>
      </c>
      <c r="E45" s="97">
        <v>0.25</v>
      </c>
      <c r="F45" s="77">
        <v>10</v>
      </c>
      <c r="G45" s="78">
        <f>Table_Input_OrganicFertiliser[[#This Row],[Amount applied (kg/hectare)]]*Table_Input_OrganicFertiliser[[#This Row],[Percentage of N in fertiliser]]</f>
        <v>2.5</v>
      </c>
      <c r="H45" s="77">
        <f>$E$9</f>
        <v>100</v>
      </c>
      <c r="I45" s="78">
        <f>Table_Input_OrganicFertiliser[[#This Row],[Amount applied (kg/hectare)]]*Table_Input_OrganicFertiliser[[#This Row],[Application area (ha)]]</f>
        <v>1000</v>
      </c>
      <c r="J45" s="78">
        <f>IFERROR(Table_Input_OrganicFertiliser[[#This Row],[Amount N applied (kg/hectare)]]*Table_Input_OrganicFertiliser[[#This Row],[Application area (ha)]], 0)</f>
        <v>250</v>
      </c>
    </row>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7"/>
    </row>
    <row r="112" spans="13:13" ht="20.100000000000001" customHeight="1" x14ac:dyDescent="0.25">
      <c r="M112" s="7"/>
    </row>
    <row r="113" spans="13:13" ht="20.100000000000001" customHeight="1" x14ac:dyDescent="0.25">
      <c r="M113" s="7"/>
    </row>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8"/>
    </row>
    <row r="211" spans="12:12" x14ac:dyDescent="0.25">
      <c r="L211" s="68"/>
    </row>
    <row r="212" spans="12:12" x14ac:dyDescent="0.25">
      <c r="L212" s="68"/>
    </row>
    <row r="213" spans="12:12" x14ac:dyDescent="0.25">
      <c r="L213" s="68"/>
    </row>
    <row r="214" spans="12:12" x14ac:dyDescent="0.25">
      <c r="L214" s="68"/>
    </row>
    <row r="216" spans="12:12" x14ac:dyDescent="0.25">
      <c r="L216" s="68"/>
    </row>
    <row r="218" spans="12:12" x14ac:dyDescent="0.25">
      <c r="L218" s="68"/>
    </row>
    <row r="219" spans="12:12" x14ac:dyDescent="0.25">
      <c r="L219" s="68"/>
    </row>
    <row r="220" spans="12:12" x14ac:dyDescent="0.25">
      <c r="L220" s="68"/>
    </row>
    <row r="221" spans="12:12" x14ac:dyDescent="0.25">
      <c r="L221" s="68"/>
    </row>
    <row r="223" spans="12:12" x14ac:dyDescent="0.25">
      <c r="L223" s="68"/>
    </row>
    <row r="231" spans="12:12" x14ac:dyDescent="0.25">
      <c r="L231" s="68"/>
    </row>
    <row r="232" spans="12:12" x14ac:dyDescent="0.25">
      <c r="L232" s="68"/>
    </row>
    <row r="233" spans="12:12" x14ac:dyDescent="0.25">
      <c r="L233" s="68"/>
    </row>
    <row r="236" spans="12:12" x14ac:dyDescent="0.25">
      <c r="L236" s="68"/>
    </row>
    <row r="237" spans="12:12" x14ac:dyDescent="0.25">
      <c r="L237" s="68"/>
    </row>
    <row r="238" spans="12:12" x14ac:dyDescent="0.25">
      <c r="L238" s="68"/>
    </row>
    <row r="241" spans="11:12" x14ac:dyDescent="0.25">
      <c r="L241" s="68"/>
    </row>
    <row r="242" spans="11:12" x14ac:dyDescent="0.25">
      <c r="L242" s="68"/>
    </row>
    <row r="243" spans="11:12" x14ac:dyDescent="0.25">
      <c r="L243" s="68"/>
    </row>
    <row r="246" spans="11:12" x14ac:dyDescent="0.25">
      <c r="L246" s="68"/>
    </row>
    <row r="247" spans="11:12" x14ac:dyDescent="0.25">
      <c r="K247" s="68"/>
      <c r="L247" s="68"/>
    </row>
    <row r="248" spans="11:12" x14ac:dyDescent="0.25">
      <c r="L248" s="68"/>
    </row>
    <row r="252" spans="11:12" x14ac:dyDescent="0.25">
      <c r="K252" s="68"/>
    </row>
    <row r="255" spans="11:12" x14ac:dyDescent="0.25">
      <c r="L255" s="68"/>
    </row>
    <row r="256" spans="11:12" x14ac:dyDescent="0.25">
      <c r="L256" s="68"/>
    </row>
    <row r="257" spans="11:12" x14ac:dyDescent="0.25">
      <c r="K257" s="68"/>
      <c r="L257" s="68"/>
    </row>
    <row r="260" spans="11:12" x14ac:dyDescent="0.25">
      <c r="L260" s="68"/>
    </row>
    <row r="261" spans="11:12" x14ac:dyDescent="0.25">
      <c r="L261" s="68"/>
    </row>
    <row r="262" spans="11:12" x14ac:dyDescent="0.25">
      <c r="K262" s="68"/>
      <c r="L262" s="68"/>
    </row>
    <row r="263" spans="11:12" x14ac:dyDescent="0.25">
      <c r="K263" s="68"/>
    </row>
    <row r="264" spans="11:12" x14ac:dyDescent="0.25">
      <c r="K264" s="68"/>
    </row>
    <row r="265" spans="11:12" x14ac:dyDescent="0.25">
      <c r="K265" s="68"/>
      <c r="L265" s="68"/>
    </row>
    <row r="266" spans="11:12" x14ac:dyDescent="0.25">
      <c r="K266" s="68"/>
      <c r="L266" s="68"/>
    </row>
    <row r="267" spans="11:12" x14ac:dyDescent="0.25">
      <c r="L267" s="68"/>
    </row>
    <row r="268" spans="11:12" x14ac:dyDescent="0.25">
      <c r="K268" s="68"/>
    </row>
    <row r="270" spans="11:12" x14ac:dyDescent="0.25">
      <c r="K270" s="68"/>
      <c r="L270" s="68"/>
    </row>
    <row r="271" spans="11:12" x14ac:dyDescent="0.25">
      <c r="K271" s="68"/>
      <c r="L271" s="68"/>
    </row>
    <row r="272" spans="11:12" x14ac:dyDescent="0.25">
      <c r="K272" s="68"/>
      <c r="L272" s="68"/>
    </row>
    <row r="273" spans="11:11" x14ac:dyDescent="0.25">
      <c r="K273" s="68"/>
    </row>
    <row r="275" spans="11:11" x14ac:dyDescent="0.25">
      <c r="K275" s="68"/>
    </row>
    <row r="281" spans="11:11" x14ac:dyDescent="0.25">
      <c r="K281" s="68"/>
    </row>
    <row r="286" spans="11:11" x14ac:dyDescent="0.25">
      <c r="K286" s="68"/>
    </row>
    <row r="291" spans="11:11" x14ac:dyDescent="0.25">
      <c r="K291" s="68"/>
    </row>
    <row r="296" spans="11:11" x14ac:dyDescent="0.25">
      <c r="K296" s="68"/>
    </row>
    <row r="297" spans="11:11" x14ac:dyDescent="0.25">
      <c r="K297" s="68"/>
    </row>
    <row r="298" spans="11:11" x14ac:dyDescent="0.25">
      <c r="K298" s="68"/>
    </row>
    <row r="299" spans="11:11" x14ac:dyDescent="0.25">
      <c r="K299" s="68"/>
    </row>
    <row r="300" spans="11:11" x14ac:dyDescent="0.25">
      <c r="K300" s="68"/>
    </row>
    <row r="302" spans="11:11" x14ac:dyDescent="0.25">
      <c r="K302" s="68"/>
    </row>
    <row r="304" spans="11:11" x14ac:dyDescent="0.25">
      <c r="K304" s="68"/>
    </row>
    <row r="305" spans="11:11" x14ac:dyDescent="0.25">
      <c r="K305" s="68"/>
    </row>
    <row r="306" spans="11:11" x14ac:dyDescent="0.25">
      <c r="K306" s="68"/>
    </row>
    <row r="307" spans="11:11" x14ac:dyDescent="0.25">
      <c r="K307" s="68"/>
    </row>
    <row r="309" spans="11:11" x14ac:dyDescent="0.25">
      <c r="K309" s="68"/>
    </row>
    <row r="317" spans="11:11" x14ac:dyDescent="0.25">
      <c r="K317" s="68"/>
    </row>
    <row r="318" spans="11:11" x14ac:dyDescent="0.25">
      <c r="K318" s="68"/>
    </row>
    <row r="319" spans="11:11" x14ac:dyDescent="0.25">
      <c r="K319" s="68"/>
    </row>
    <row r="322" spans="11:11" x14ac:dyDescent="0.25">
      <c r="K322" s="68"/>
    </row>
    <row r="323" spans="11:11" x14ac:dyDescent="0.25">
      <c r="K323" s="68"/>
    </row>
    <row r="324" spans="11:11" x14ac:dyDescent="0.25">
      <c r="K324" s="68"/>
    </row>
    <row r="327" spans="11:11" x14ac:dyDescent="0.25">
      <c r="K327" s="68"/>
    </row>
    <row r="328" spans="11:11" x14ac:dyDescent="0.25">
      <c r="K328" s="68"/>
    </row>
    <row r="329" spans="11:11" x14ac:dyDescent="0.25">
      <c r="K329" s="68"/>
    </row>
    <row r="332" spans="11:11" x14ac:dyDescent="0.25">
      <c r="K332" s="68"/>
    </row>
    <row r="333" spans="11:11" x14ac:dyDescent="0.25">
      <c r="K333" s="68"/>
    </row>
    <row r="334" spans="11:11" x14ac:dyDescent="0.25">
      <c r="K334" s="68"/>
    </row>
    <row r="341" spans="11:11" x14ac:dyDescent="0.25">
      <c r="K341" s="68"/>
    </row>
    <row r="342" spans="11:11" x14ac:dyDescent="0.25">
      <c r="K342" s="68"/>
    </row>
    <row r="343" spans="11:11" x14ac:dyDescent="0.25">
      <c r="K343" s="68"/>
    </row>
    <row r="346" spans="11:11" x14ac:dyDescent="0.25">
      <c r="K346" s="68"/>
    </row>
    <row r="347" spans="11:11" x14ac:dyDescent="0.25">
      <c r="K347" s="68"/>
    </row>
    <row r="348" spans="11:11" x14ac:dyDescent="0.25">
      <c r="K348" s="68"/>
    </row>
    <row r="351" spans="11:11" x14ac:dyDescent="0.25">
      <c r="K351" s="68"/>
    </row>
    <row r="352" spans="11:11" x14ac:dyDescent="0.25">
      <c r="K352" s="68"/>
    </row>
    <row r="353" spans="4:11" x14ac:dyDescent="0.25">
      <c r="K353" s="68"/>
    </row>
    <row r="356" spans="4:11" x14ac:dyDescent="0.25">
      <c r="K356" s="68"/>
    </row>
    <row r="357" spans="4:11" x14ac:dyDescent="0.25">
      <c r="K357" s="68"/>
    </row>
    <row r="358" spans="4:11" x14ac:dyDescent="0.25">
      <c r="K358" s="68"/>
    </row>
    <row r="361" spans="4:11" x14ac:dyDescent="0.25">
      <c r="D361" s="57"/>
    </row>
  </sheetData>
  <phoneticPr fontId="55" type="noConversion"/>
  <conditionalFormatting sqref="F126:F127">
    <cfRule type="cellIs" dxfId="61" priority="17" operator="lessThan">
      <formula>0</formula>
    </cfRule>
  </conditionalFormatting>
  <conditionalFormatting sqref="F138:F139">
    <cfRule type="cellIs" dxfId="60" priority="16" operator="lessThan">
      <formula>0</formula>
    </cfRule>
  </conditionalFormatting>
  <conditionalFormatting sqref="F150:F151">
    <cfRule type="cellIs" dxfId="59" priority="15" operator="lessThan">
      <formula>0</formula>
    </cfRule>
  </conditionalFormatting>
  <conditionalFormatting sqref="F162:F163">
    <cfRule type="cellIs" dxfId="58" priority="14" operator="lessThan">
      <formula>0</formula>
    </cfRule>
  </conditionalFormatting>
  <conditionalFormatting sqref="F250:F251">
    <cfRule type="cellIs" dxfId="57" priority="27" operator="lessThan">
      <formula>0</formula>
    </cfRule>
  </conditionalFormatting>
  <conditionalFormatting sqref="F255:F256">
    <cfRule type="cellIs" dxfId="56" priority="26" operator="lessThan">
      <formula>0</formula>
    </cfRule>
  </conditionalFormatting>
  <conditionalFormatting sqref="F260:F261">
    <cfRule type="cellIs" dxfId="55" priority="25" operator="lessThan">
      <formula>0</formula>
    </cfRule>
  </conditionalFormatting>
  <conditionalFormatting sqref="F284:F285">
    <cfRule type="cellIs" dxfId="54" priority="24" operator="lessThan">
      <formula>0</formula>
    </cfRule>
  </conditionalFormatting>
  <conditionalFormatting sqref="F289:F290">
    <cfRule type="cellIs" dxfId="53" priority="23" operator="lessThan">
      <formula>0</formula>
    </cfRule>
  </conditionalFormatting>
  <conditionalFormatting sqref="F294:F295">
    <cfRule type="cellIs" dxfId="52"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51" priority="21" operator="lessThan">
      <formula>0</formula>
    </cfRule>
  </conditionalFormatting>
  <conditionalFormatting sqref="I33:I37 F47 K184:L184 K188:L189 K192:L193 K198:L199 K202:L203 K209:L209">
    <cfRule type="cellIs" dxfId="50" priority="19" operator="lessThan">
      <formula>0</formula>
    </cfRule>
  </conditionalFormatting>
  <conditionalFormatting sqref="I57:I61">
    <cfRule type="cellIs" dxfId="49" priority="4" operator="lessThan">
      <formula>0</formula>
    </cfRule>
  </conditionalFormatting>
  <conditionalFormatting sqref="I65 M104 I124:J124">
    <cfRule type="cellIs" dxfId="48" priority="20" operator="lessThan">
      <formula>0</formula>
    </cfRule>
  </conditionalFormatting>
  <conditionalFormatting sqref="I76:I78">
    <cfRule type="cellIs" dxfId="47" priority="3" operator="lessThan">
      <formula>0</formula>
    </cfRule>
  </conditionalFormatting>
  <conditionalFormatting sqref="I82:I85">
    <cfRule type="cellIs" dxfId="46" priority="2" operator="lessThan">
      <formula>0</formula>
    </cfRule>
  </conditionalFormatting>
  <conditionalFormatting sqref="I89:I93">
    <cfRule type="cellIs" dxfId="45" priority="1" operator="lessThan">
      <formula>0</formula>
    </cfRule>
  </conditionalFormatting>
  <conditionalFormatting sqref="J152">
    <cfRule type="cellIs" dxfId="44" priority="18" operator="lessThan">
      <formula>0</formula>
    </cfRule>
  </conditionalFormatting>
  <conditionalFormatting sqref="L117:L120">
    <cfRule type="cellIs" dxfId="43" priority="8" operator="lessThan">
      <formula>0</formula>
    </cfRule>
  </conditionalFormatting>
  <conditionalFormatting sqref="L123">
    <cfRule type="cellIs" dxfId="42" priority="13" operator="lessThan">
      <formula>0</formula>
    </cfRule>
  </conditionalFormatting>
  <conditionalFormatting sqref="L129:L132">
    <cfRule type="cellIs" dxfId="41" priority="7" operator="lessThan">
      <formula>0</formula>
    </cfRule>
  </conditionalFormatting>
  <conditionalFormatting sqref="L135">
    <cfRule type="cellIs" dxfId="40" priority="12" operator="lessThan">
      <formula>0</formula>
    </cfRule>
  </conditionalFormatting>
  <conditionalFormatting sqref="L141:L144">
    <cfRule type="cellIs" dxfId="39" priority="6" operator="lessThan">
      <formula>0</formula>
    </cfRule>
  </conditionalFormatting>
  <conditionalFormatting sqref="L147">
    <cfRule type="cellIs" dxfId="38" priority="11" operator="lessThan">
      <formula>0</formula>
    </cfRule>
  </conditionalFormatting>
  <conditionalFormatting sqref="L153:L156">
    <cfRule type="cellIs" dxfId="37" priority="5" operator="lessThan">
      <formula>0</formula>
    </cfRule>
  </conditionalFormatting>
  <conditionalFormatting sqref="L159">
    <cfRule type="cellIs" dxfId="36" priority="10" operator="lessThan">
      <formula>0</formula>
    </cfRule>
  </conditionalFormatting>
  <conditionalFormatting sqref="L163:L164">
    <cfRule type="cellIs" dxfId="35" priority="9" operator="lessThan">
      <formula>0</formula>
    </cfRule>
  </conditionalFormatting>
  <conditionalFormatting sqref="L210:L214 L216 L218:L221 L223 J228:J230 J233:J235">
    <cfRule type="cellIs" dxfId="34"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CD486-B501-4B7E-8D74-9BADE1C3766D}">
  <dimension ref="A1:FC133"/>
  <sheetViews>
    <sheetView showGridLines="0" topLeftCell="A2" zoomScaleNormal="100" workbookViewId="0">
      <selection activeCell="E28" sqref="E28"/>
    </sheetView>
  </sheetViews>
  <sheetFormatPr defaultColWidth="8" defaultRowHeight="15.75" x14ac:dyDescent="0.25"/>
  <cols>
    <col min="1" max="1" width="26.875" style="18" customWidth="1"/>
    <col min="2" max="2" width="4.125" style="4" customWidth="1"/>
    <col min="3" max="3" width="4.125" style="7" customWidth="1"/>
    <col min="4" max="4" width="44.375" style="7" customWidth="1"/>
    <col min="5" max="15" width="26.875" style="7" customWidth="1"/>
    <col min="16" max="16" width="30.625" style="7" customWidth="1"/>
    <col min="17" max="24" width="26.875" style="4" customWidth="1"/>
    <col min="25" max="25" width="25.125" style="4" customWidth="1"/>
    <col min="26" max="27" width="8" style="4"/>
    <col min="28" max="16384" width="8" style="7"/>
  </cols>
  <sheetData>
    <row r="1" spans="1:151" s="4" customFormat="1" ht="30" customHeight="1" x14ac:dyDescent="0.35">
      <c r="A1" s="150" t="e" vm="1">
        <v>#VALUE!</v>
      </c>
      <c r="C1" s="108" t="s">
        <v>318</v>
      </c>
    </row>
    <row r="2" spans="1:151" s="4" customFormat="1" ht="20.100000000000001" customHeight="1" x14ac:dyDescent="0.25">
      <c r="C2" s="2"/>
      <c r="D2" s="2"/>
      <c r="E2" s="2"/>
      <c r="F2" s="2"/>
      <c r="G2" s="2"/>
      <c r="H2" s="2"/>
      <c r="I2" s="2"/>
      <c r="J2" s="2"/>
    </row>
    <row r="3" spans="1:151" ht="20.100000000000001" customHeight="1" x14ac:dyDescent="0.25">
      <c r="A3" s="16" t="s">
        <v>299</v>
      </c>
      <c r="C3" s="39"/>
      <c r="D3" s="39"/>
      <c r="E3" s="39"/>
      <c r="F3" s="39"/>
      <c r="G3" s="39"/>
      <c r="H3" s="39"/>
      <c r="I3" s="39"/>
      <c r="J3" s="39"/>
      <c r="K3" s="39"/>
      <c r="L3" s="39"/>
      <c r="M3" s="39"/>
      <c r="N3" s="39"/>
      <c r="O3" s="39"/>
      <c r="P3" s="39"/>
      <c r="Q3" s="39"/>
      <c r="R3" s="39"/>
      <c r="S3" s="154"/>
      <c r="T3" s="154"/>
      <c r="U3" s="154"/>
      <c r="V3" s="154"/>
      <c r="W3" s="154"/>
      <c r="X3" s="154"/>
      <c r="Y3" s="154"/>
      <c r="Z3" s="15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row>
    <row r="4" spans="1:151" ht="20.100000000000001" customHeight="1" x14ac:dyDescent="0.25">
      <c r="A4" s="16" t="str">
        <f>HYPERLINK("#'Results'!A1", "Results")</f>
        <v>Results</v>
      </c>
      <c r="Q4" s="7"/>
      <c r="R4" s="7"/>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row>
    <row r="5" spans="1:151" ht="20.100000000000001" customHeight="1" x14ac:dyDescent="0.25">
      <c r="D5" s="9" t="s">
        <v>319</v>
      </c>
      <c r="Q5" s="7"/>
      <c r="R5" s="7"/>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row>
    <row r="6" spans="1:151" ht="20.100000000000001" customHeight="1" x14ac:dyDescent="0.25">
      <c r="A6" s="19" t="s">
        <v>67</v>
      </c>
      <c r="Q6" s="7"/>
      <c r="R6" s="7"/>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row>
    <row r="7" spans="1:151" ht="20.100000000000001" customHeight="1" x14ac:dyDescent="0.25">
      <c r="A7" s="16" t="str">
        <f>HYPERLINK("#'Input - Site'!A1", "Site")</f>
        <v>Site</v>
      </c>
      <c r="D7" s="155" t="s">
        <v>320</v>
      </c>
      <c r="E7" s="156"/>
      <c r="F7" s="70"/>
      <c r="G7" s="70"/>
      <c r="H7" s="70"/>
      <c r="Q7" s="7"/>
      <c r="R7" s="7"/>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row>
    <row r="8" spans="1:151" ht="20.100000000000001" customHeight="1" x14ac:dyDescent="0.25">
      <c r="A8" s="16" t="str">
        <f>HYPERLINK("#'Input - Production'!A1", "Production and outputs")</f>
        <v>Production and outputs</v>
      </c>
      <c r="D8" s="8" t="str" cm="1">
        <f t="array" ref="D8:D10">Table_SourceData_Scope3_LickBlocks[Product]</f>
        <v>Lick block, dry season mix</v>
      </c>
      <c r="E8" s="69">
        <v>100</v>
      </c>
      <c r="F8" s="68" t="s">
        <v>381</v>
      </c>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row>
    <row r="9" spans="1:151" ht="20.100000000000001" customHeight="1" x14ac:dyDescent="0.25">
      <c r="A9" s="16" t="str">
        <f>HYPERLINK("#'Input - Herd - Dairy'!A1", "Herd - Dairy")</f>
        <v>Herd - Dairy</v>
      </c>
      <c r="D9" s="8" t="str">
        <v>Lick block, mineral</v>
      </c>
      <c r="E9" s="69">
        <v>100</v>
      </c>
      <c r="F9" s="68" t="s">
        <v>381</v>
      </c>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row>
    <row r="10" spans="1:151" ht="20.100000000000001" customHeight="1" x14ac:dyDescent="0.25">
      <c r="A10" s="43" t="str">
        <f>HYPERLINK("#'Input - Feed - Dairy'!A1", "Purchased feed - Livestock")</f>
        <v>Purchased feed - Livestock</v>
      </c>
      <c r="D10" s="8" t="str">
        <v>Lick block, weaner</v>
      </c>
      <c r="E10" s="69">
        <v>100</v>
      </c>
      <c r="F10" s="68" t="s">
        <v>381</v>
      </c>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row>
    <row r="11" spans="1:151" ht="20.100000000000001" customHeight="1" x14ac:dyDescent="0.25">
      <c r="A11" s="16" t="str">
        <f>HYPERLINK("#'Input - Herd - Feedlot'!A1", "Herd - Feedlot")</f>
        <v>Herd - Feedlot</v>
      </c>
      <c r="C11" s="157"/>
      <c r="D11" s="8"/>
      <c r="E11" s="8"/>
      <c r="F11" s="8"/>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row>
    <row r="12" spans="1:151" ht="20.100000000000001" customHeight="1" x14ac:dyDescent="0.25">
      <c r="A12" s="16" t="str">
        <f>HYPERLINK("#'Input - Pasture'!A1", "Pasture")</f>
        <v>Pasture</v>
      </c>
      <c r="Q12" s="7"/>
      <c r="R12" s="7"/>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row>
    <row r="13" spans="1:151" ht="20.100000000000001" customHeight="1" x14ac:dyDescent="0.25">
      <c r="A13" s="16" t="str">
        <f>HYPERLINK("#'Input - Grains'!A1", "Crop - Grains")</f>
        <v>Crop - Grains</v>
      </c>
      <c r="D13" s="155" t="s">
        <v>321</v>
      </c>
      <c r="Q13" s="7"/>
      <c r="R13" s="7"/>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row>
    <row r="14" spans="1:151" ht="20.100000000000001" customHeight="1" x14ac:dyDescent="0.25">
      <c r="A14" s="16" t="str">
        <f>HYPERLINK("#'Input - Fert Lime Chem'!A1", "Fertiliser, Lime &amp; Chemicals")</f>
        <v>Fertiliser, Lime &amp; Chemicals</v>
      </c>
      <c r="D14" s="100" t="s">
        <v>312</v>
      </c>
      <c r="E14" s="116"/>
      <c r="F14" s="116"/>
      <c r="G14" s="101"/>
      <c r="Q14" s="7"/>
      <c r="R14" s="7"/>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row>
    <row r="15" spans="1:151" ht="20.100000000000001" customHeight="1" x14ac:dyDescent="0.25">
      <c r="A15" s="16" t="str">
        <f>HYPERLINK("#'Input - Fuel &amp; Energy'!A1", "Electricity and fuel")</f>
        <v>Electricity and fuel</v>
      </c>
      <c r="Q15" s="7"/>
      <c r="R15" s="7"/>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row>
    <row r="16" spans="1:151" ht="20.100000000000001" customHeight="1" x14ac:dyDescent="0.25">
      <c r="A16" s="52" t="s">
        <v>304</v>
      </c>
      <c r="D16" s="49" t="s">
        <v>322</v>
      </c>
      <c r="E16" s="49" t="s">
        <v>323</v>
      </c>
      <c r="F16" s="49" t="s">
        <v>214</v>
      </c>
      <c r="G16" s="49" t="s">
        <v>431</v>
      </c>
      <c r="H16" s="49" t="s">
        <v>178</v>
      </c>
      <c r="I16" s="49" t="s">
        <v>324</v>
      </c>
      <c r="J16" s="49" t="s">
        <v>436</v>
      </c>
      <c r="K16" s="49" t="s">
        <v>180</v>
      </c>
      <c r="L16" s="49" t="s">
        <v>325</v>
      </c>
      <c r="M16" s="49" t="s">
        <v>437</v>
      </c>
      <c r="N16" s="49" t="s">
        <v>182</v>
      </c>
      <c r="O16" s="49" t="s">
        <v>326</v>
      </c>
      <c r="P16" s="49" t="s">
        <v>438</v>
      </c>
      <c r="Q16" s="49" t="s">
        <v>184</v>
      </c>
      <c r="R16" s="7"/>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row>
    <row r="17" spans="1:152" ht="20.100000000000001" customHeight="1" x14ac:dyDescent="0.25">
      <c r="A17" s="52" t="s">
        <v>305</v>
      </c>
      <c r="D17" s="15"/>
      <c r="E17" s="158">
        <v>1200</v>
      </c>
      <c r="F17" s="48" t="s">
        <v>430</v>
      </c>
      <c r="G17" s="48" t="s">
        <v>373</v>
      </c>
      <c r="H17" s="51">
        <v>0.35</v>
      </c>
      <c r="I17" s="48" t="s">
        <v>432</v>
      </c>
      <c r="J17" s="48" t="s">
        <v>433</v>
      </c>
      <c r="K17" s="51">
        <v>0.22</v>
      </c>
      <c r="L17" s="48" t="s">
        <v>327</v>
      </c>
      <c r="M17" s="48" t="s">
        <v>365</v>
      </c>
      <c r="N17" s="51">
        <v>0.12</v>
      </c>
      <c r="O17" s="48" t="s">
        <v>439</v>
      </c>
      <c r="P17" s="48" t="s">
        <v>367</v>
      </c>
      <c r="Q17" s="51">
        <v>0.05</v>
      </c>
      <c r="R17" s="7"/>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row>
    <row r="18" spans="1:152" ht="20.100000000000001" customHeight="1" x14ac:dyDescent="0.25">
      <c r="A18" s="16" t="str">
        <f>HYPERLINK("#'Input - Other Farm Inputs'!A1", "Other farm inputs")</f>
        <v>Other farm inputs</v>
      </c>
      <c r="D18" s="15"/>
      <c r="E18" s="158">
        <v>3456</v>
      </c>
      <c r="F18" s="48" t="s">
        <v>426</v>
      </c>
      <c r="G18" s="48" t="s">
        <v>429</v>
      </c>
      <c r="H18" s="51">
        <v>0.2</v>
      </c>
      <c r="I18" s="48" t="s">
        <v>434</v>
      </c>
      <c r="J18" s="48" t="s">
        <v>366</v>
      </c>
      <c r="K18" s="51">
        <v>0.2</v>
      </c>
      <c r="L18" s="48"/>
      <c r="M18" s="48"/>
      <c r="N18" s="51"/>
      <c r="O18" s="48"/>
      <c r="P18" s="48"/>
      <c r="Q18" s="51"/>
      <c r="R18" s="7"/>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row>
    <row r="19" spans="1:152" ht="20.100000000000001" customHeight="1" x14ac:dyDescent="0.25">
      <c r="A19" s="16" t="str">
        <f>HYPERLINK("#'Input - Data quality'!A1", "Data quality")</f>
        <v>Data quality</v>
      </c>
      <c r="D19" s="15" t="s">
        <v>328</v>
      </c>
      <c r="E19" s="158">
        <v>300</v>
      </c>
      <c r="F19" s="48" t="s">
        <v>428</v>
      </c>
      <c r="G19" s="48" t="s">
        <v>367</v>
      </c>
      <c r="H19" s="51">
        <v>0.8</v>
      </c>
      <c r="I19" s="48" t="s">
        <v>427</v>
      </c>
      <c r="J19" s="48" t="s">
        <v>435</v>
      </c>
      <c r="K19" s="51">
        <v>0.2</v>
      </c>
      <c r="L19" s="48"/>
      <c r="M19" s="48"/>
      <c r="N19" s="51"/>
      <c r="O19" s="48"/>
      <c r="P19" s="48"/>
      <c r="Q19" s="51"/>
      <c r="R19" s="7"/>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row>
    <row r="20" spans="1:152" ht="20.100000000000001" customHeight="1" x14ac:dyDescent="0.25">
      <c r="A20" s="3"/>
      <c r="D20" s="15"/>
      <c r="E20" s="158">
        <v>500</v>
      </c>
      <c r="F20" s="48" t="s">
        <v>441</v>
      </c>
      <c r="G20" s="48" t="s">
        <v>366</v>
      </c>
      <c r="H20" s="51">
        <v>1</v>
      </c>
      <c r="I20" s="48"/>
      <c r="J20" s="48"/>
      <c r="K20" s="51"/>
      <c r="L20" s="48"/>
      <c r="M20" s="48"/>
      <c r="N20" s="51"/>
      <c r="O20" s="48"/>
      <c r="P20" s="48"/>
      <c r="Q20" s="51"/>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row>
    <row r="21" spans="1:152" ht="20.100000000000001" customHeight="1" x14ac:dyDescent="0.25">
      <c r="A21" s="21" t="s">
        <v>77</v>
      </c>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row>
    <row r="22" spans="1:152" ht="20.100000000000001" customHeight="1" x14ac:dyDescent="0.25">
      <c r="A22" s="52" t="s">
        <v>306</v>
      </c>
      <c r="P22" s="157"/>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row>
    <row r="23" spans="1:152" ht="20.100000000000001" customHeight="1" x14ac:dyDescent="0.25">
      <c r="A23" s="52" t="s">
        <v>307</v>
      </c>
      <c r="D23" s="155" t="s">
        <v>440</v>
      </c>
      <c r="J23" s="9"/>
      <c r="K23" s="9"/>
      <c r="L23" s="9"/>
      <c r="M23" s="9"/>
      <c r="N23" s="9"/>
      <c r="O23" s="9"/>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row>
    <row r="24" spans="1:152" ht="20.100000000000001" customHeight="1" x14ac:dyDescent="0.25">
      <c r="A24" s="16" t="str">
        <f>HYPERLINK("#'Calcs - Fert Lime'!A1", "Fertiliser &amp; soil amendments")</f>
        <v>Fertiliser &amp; soil amendments</v>
      </c>
      <c r="D24" s="8" t="str" cm="1">
        <f t="array" ref="D24:D27">Table_SourceData_Scope3_MixedRations[Product]</f>
        <v>Feed for chickens</v>
      </c>
      <c r="E24" s="69">
        <v>100</v>
      </c>
      <c r="F24" s="68" t="s">
        <v>381</v>
      </c>
      <c r="G24" s="8"/>
      <c r="H24" s="8"/>
      <c r="I24" s="8"/>
      <c r="J24" s="8"/>
      <c r="K24" s="8"/>
      <c r="L24" s="8"/>
      <c r="M24" s="8"/>
      <c r="N24" s="8"/>
      <c r="O24" s="8"/>
      <c r="P24" s="160"/>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row>
    <row r="25" spans="1:152" ht="20.100000000000001" customHeight="1" x14ac:dyDescent="0.25">
      <c r="A25" s="16" t="str">
        <f>HYPERLINK("#'Calcs - Residue mgmt - Crop'!A1", "Residue management - Crop")</f>
        <v>Residue management - Crop</v>
      </c>
      <c r="D25" s="8" t="str">
        <v>Feed for dairy calves</v>
      </c>
      <c r="E25" s="69">
        <v>100</v>
      </c>
      <c r="F25" s="68" t="s">
        <v>381</v>
      </c>
      <c r="G25" s="8"/>
      <c r="H25" s="8"/>
      <c r="I25" s="8"/>
      <c r="J25" s="8"/>
      <c r="K25" s="8"/>
      <c r="L25" s="8"/>
      <c r="M25" s="8"/>
      <c r="N25" s="8"/>
      <c r="O25" s="8"/>
      <c r="P25" s="160"/>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row>
    <row r="26" spans="1:152" ht="20.100000000000001" customHeight="1" x14ac:dyDescent="0.25">
      <c r="A26" s="16" t="str">
        <f>HYPERLINK("#'Calcs - Residue mgmt - Pasture'!A1", "Residue management - Pasture")</f>
        <v>Residue management - Pasture</v>
      </c>
      <c r="D26" s="8" t="str">
        <v>Feed for dairy cows</v>
      </c>
      <c r="E26" s="69">
        <v>100</v>
      </c>
      <c r="F26" s="68" t="s">
        <v>381</v>
      </c>
      <c r="G26" s="8"/>
      <c r="H26" s="8"/>
      <c r="I26" s="8"/>
      <c r="J26" s="8"/>
      <c r="K26" s="8"/>
      <c r="L26" s="8"/>
      <c r="M26" s="8"/>
      <c r="N26" s="8"/>
      <c r="O26" s="8"/>
      <c r="P26" s="160"/>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row>
    <row r="27" spans="1:152" ht="20.100000000000001" customHeight="1" x14ac:dyDescent="0.25">
      <c r="A27" s="16" t="str">
        <f>HYPERLINK("#'Calcs - Field burning'!A1", "Field burning - Crop")</f>
        <v>Field burning - Crop</v>
      </c>
      <c r="D27" s="8" t="str">
        <v>Feed for pigs</v>
      </c>
      <c r="E27" s="69">
        <v>100</v>
      </c>
      <c r="F27" s="68" t="s">
        <v>381</v>
      </c>
      <c r="G27" s="8"/>
      <c r="H27" s="8"/>
      <c r="I27" s="8"/>
      <c r="J27" s="8"/>
      <c r="K27" s="8"/>
      <c r="L27" s="8"/>
      <c r="M27" s="8"/>
      <c r="N27" s="8"/>
      <c r="O27" s="8"/>
      <c r="P27" s="160"/>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row>
    <row r="28" spans="1:152" ht="20.100000000000001" customHeight="1" x14ac:dyDescent="0.25">
      <c r="A28" s="16" t="str">
        <f>HYPERLINK("#'Calcs - Fuel'!A1", "Fuel")</f>
        <v>Fuel</v>
      </c>
      <c r="G28" s="8"/>
      <c r="H28" s="8"/>
      <c r="I28" s="8"/>
      <c r="J28" s="8"/>
      <c r="K28" s="8"/>
      <c r="L28" s="8"/>
      <c r="M28" s="8"/>
      <c r="N28" s="8"/>
      <c r="O28" s="8"/>
      <c r="P28" s="160"/>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row>
    <row r="29" spans="1:152" ht="20.100000000000001" customHeight="1" x14ac:dyDescent="0.25">
      <c r="A29" s="16" t="str">
        <f>HYPERLINK("#'Calcs - Electricity'!A1", "Electricity")</f>
        <v>Electricity</v>
      </c>
      <c r="D29" s="8"/>
      <c r="E29" s="8"/>
      <c r="F29" s="8"/>
      <c r="G29" s="8"/>
      <c r="H29" s="8"/>
      <c r="I29" s="8"/>
      <c r="J29" s="8"/>
      <c r="K29" s="8"/>
      <c r="L29" s="8"/>
      <c r="M29" s="8"/>
      <c r="N29" s="8"/>
      <c r="O29" s="8"/>
      <c r="P29" s="160"/>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row>
    <row r="30" spans="1:152" ht="20.100000000000001" customHeight="1" x14ac:dyDescent="0.25">
      <c r="A30" s="16" t="str">
        <f>HYPERLINK("#'Calcs - Refrigerants'!A1", "Refrigerants")</f>
        <v>Refrigerants</v>
      </c>
      <c r="D30" s="8"/>
      <c r="E30" s="8"/>
      <c r="F30" s="8"/>
      <c r="G30" s="8"/>
      <c r="H30" s="8"/>
      <c r="I30" s="8"/>
      <c r="J30" s="8"/>
      <c r="K30" s="8"/>
      <c r="L30" s="8"/>
      <c r="M30" s="8"/>
      <c r="N30" s="8"/>
      <c r="O30" s="8"/>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row>
    <row r="31" spans="1:152" ht="20.100000000000001" customHeight="1" x14ac:dyDescent="0.25">
      <c r="A31" s="52" t="s">
        <v>304</v>
      </c>
      <c r="D31" s="8"/>
      <c r="E31" s="8"/>
      <c r="F31" s="8"/>
      <c r="G31" s="8"/>
      <c r="H31" s="8"/>
      <c r="I31" s="8"/>
      <c r="J31" s="8"/>
      <c r="K31" s="8"/>
      <c r="L31" s="8"/>
      <c r="M31" s="8"/>
      <c r="N31" s="8"/>
      <c r="O31" s="8"/>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row>
    <row r="32" spans="1:152" ht="20.100000000000001" customHeight="1" x14ac:dyDescent="0.25">
      <c r="A32" s="52" t="s">
        <v>305</v>
      </c>
      <c r="D32" s="8"/>
      <c r="E32" s="8"/>
      <c r="F32" s="8"/>
      <c r="G32" s="8"/>
      <c r="H32" s="8"/>
      <c r="I32" s="8"/>
      <c r="J32" s="8"/>
      <c r="K32" s="8"/>
      <c r="L32" s="8"/>
      <c r="M32" s="8"/>
      <c r="N32" s="8"/>
      <c r="O32" s="8"/>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row>
    <row r="33" spans="1:150" ht="20.100000000000001" customHeight="1" x14ac:dyDescent="0.25">
      <c r="A33" s="16" t="str">
        <f>HYPERLINK("#'Calcs - Scope 3'!A1", "Purchased goods scope 3")</f>
        <v>Purchased goods scope 3</v>
      </c>
      <c r="C33" s="157"/>
      <c r="D33" s="8"/>
      <c r="E33" s="8"/>
      <c r="F33" s="8"/>
      <c r="G33" s="8"/>
      <c r="H33" s="8"/>
      <c r="I33" s="8"/>
      <c r="J33" s="8"/>
      <c r="K33" s="8"/>
      <c r="L33" s="8"/>
      <c r="M33" s="8"/>
      <c r="N33" s="8"/>
      <c r="O33" s="8"/>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row>
    <row r="34" spans="1:150" ht="20.100000000000001" customHeight="1" x14ac:dyDescent="0.25">
      <c r="A34" s="3"/>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row>
    <row r="35" spans="1:150" ht="20.100000000000001" customHeight="1" x14ac:dyDescent="0.25">
      <c r="A35" s="23" t="s">
        <v>78</v>
      </c>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row>
    <row r="36" spans="1:150" ht="20.100000000000001" customHeight="1" x14ac:dyDescent="0.25">
      <c r="A36" s="16" t="str">
        <f>HYPERLINK("#'Constants - Common'!A1", "Constants - Common")</f>
        <v>Constants - Common</v>
      </c>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row>
    <row r="37" spans="1:150" ht="20.100000000000001" customHeight="1" x14ac:dyDescent="0.25">
      <c r="A37" s="16" t="str">
        <f>HYPERLINK("#'Constants - Cropping'!A1", "Constants - Cropping")</f>
        <v>Constants - Cropping</v>
      </c>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row>
    <row r="38" spans="1:150" ht="20.100000000000001" customHeight="1" x14ac:dyDescent="0.25">
      <c r="A38" s="16" t="str">
        <f>HYPERLINK("#'Constants - Livestock'!A1", "Constants - Livestock")</f>
        <v>Constants - Livestock</v>
      </c>
      <c r="R38" s="154"/>
      <c r="S38" s="154"/>
      <c r="T38" s="154"/>
      <c r="U38" s="154"/>
      <c r="V38" s="154"/>
      <c r="W38" s="154"/>
      <c r="X38" s="154"/>
      <c r="Y38" s="154"/>
      <c r="Z38" s="15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row>
    <row r="39" spans="1:150" ht="20.100000000000001" customHeight="1" x14ac:dyDescent="0.25">
      <c r="A39" s="16" t="str">
        <f>HYPERLINK("#'Constants - Dairy'!A1", "Constants - Dairy")</f>
        <v>Constants - Dairy</v>
      </c>
      <c r="Q39" s="15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row>
    <row r="40" spans="1:150" ht="20.100000000000001" customHeight="1" x14ac:dyDescent="0.25">
      <c r="A40" s="52" t="s">
        <v>308</v>
      </c>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row>
    <row r="41" spans="1:150" ht="20.100000000000001" customHeight="1" x14ac:dyDescent="0.2">
      <c r="A41" s="151"/>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row>
    <row r="42" spans="1:150" ht="20.100000000000001" customHeight="1" x14ac:dyDescent="0.25">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row>
    <row r="43" spans="1:150" ht="20.100000000000001" customHeight="1" x14ac:dyDescent="0.25">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row>
    <row r="44" spans="1:150" ht="20.100000000000001" customHeight="1" x14ac:dyDescent="0.25">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row>
    <row r="45" spans="1:150" ht="20.100000000000001" customHeight="1" x14ac:dyDescent="0.25">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row>
    <row r="46" spans="1:150" ht="20.100000000000001" customHeight="1" x14ac:dyDescent="0.25">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row>
    <row r="47" spans="1:150" ht="20.100000000000001" customHeight="1" x14ac:dyDescent="0.25">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row>
    <row r="48" spans="1:150" ht="20.100000000000001" customHeight="1" x14ac:dyDescent="0.25">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row>
    <row r="49" spans="13:150" ht="20.100000000000001" customHeight="1" x14ac:dyDescent="0.25">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row>
    <row r="50" spans="13:150" ht="20.100000000000001" customHeight="1" x14ac:dyDescent="0.25">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row>
    <row r="51" spans="13:150" ht="20.100000000000001" customHeight="1" x14ac:dyDescent="0.25">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row>
    <row r="52" spans="13:150" ht="20.100000000000001" customHeight="1" x14ac:dyDescent="0.25">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row>
    <row r="53" spans="13:150" ht="20.100000000000001" customHeight="1" x14ac:dyDescent="0.25">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row>
    <row r="54" spans="13:150" ht="20.100000000000001" customHeight="1" x14ac:dyDescent="0.25">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row>
    <row r="55" spans="13:150" ht="20.100000000000001" customHeight="1" x14ac:dyDescent="0.25">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56" spans="13:150" ht="20.100000000000001" customHeight="1" x14ac:dyDescent="0.25">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row>
    <row r="57" spans="13:150" ht="20.100000000000001" customHeight="1" x14ac:dyDescent="0.25">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row>
    <row r="58" spans="13:150" ht="20.100000000000001" customHeight="1" x14ac:dyDescent="0.25">
      <c r="M58" s="159"/>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row>
    <row r="59" spans="13:150" ht="20.100000000000001" customHeight="1" x14ac:dyDescent="0.25">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row>
    <row r="60" spans="13:150" ht="20.100000000000001" customHeight="1" x14ac:dyDescent="0.25">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row>
    <row r="61" spans="13:150" ht="20.100000000000001" customHeight="1" x14ac:dyDescent="0.25">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row>
    <row r="62" spans="13:150" ht="20.100000000000001" customHeight="1" x14ac:dyDescent="0.25">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row>
    <row r="63" spans="13:150" ht="20.100000000000001" customHeight="1" x14ac:dyDescent="0.25">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row>
    <row r="64" spans="13:150" ht="20.100000000000001" customHeight="1" x14ac:dyDescent="0.25">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row>
    <row r="65" spans="18:159" ht="20.100000000000001" customHeight="1" x14ac:dyDescent="0.25">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row>
    <row r="66" spans="18:159" ht="20.100000000000001" customHeight="1" x14ac:dyDescent="0.25">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row>
    <row r="67" spans="18:159" ht="20.100000000000001" customHeight="1" x14ac:dyDescent="0.25">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row>
    <row r="68" spans="18:159" ht="20.100000000000001" customHeight="1" x14ac:dyDescent="0.25">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row>
    <row r="69" spans="18:159" ht="20.100000000000001" customHeight="1" x14ac:dyDescent="0.25">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row>
    <row r="70" spans="18:159" ht="20.100000000000001" customHeight="1" x14ac:dyDescent="0.25">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row>
    <row r="71" spans="18:159" ht="20.100000000000001" customHeight="1" x14ac:dyDescent="0.25">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row>
    <row r="72" spans="18:159" ht="20.100000000000001" customHeight="1" x14ac:dyDescent="0.25">
      <c r="AA72" s="15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row>
    <row r="73" spans="18:159" ht="20.100000000000001" customHeight="1" x14ac:dyDescent="0.25">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row>
    <row r="74" spans="18:159" ht="20.100000000000001" customHeight="1" x14ac:dyDescent="0.25">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row>
    <row r="75" spans="18:159" ht="20.100000000000001" customHeight="1" x14ac:dyDescent="0.25">
      <c r="R75" s="154"/>
      <c r="S75" s="154"/>
      <c r="T75" s="154"/>
      <c r="U75" s="154"/>
      <c r="V75" s="154"/>
      <c r="W75" s="154"/>
      <c r="X75" s="154"/>
      <c r="Y75" s="15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row>
    <row r="76" spans="18:159" ht="20.100000000000001" customHeight="1" x14ac:dyDescent="0.25">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row>
    <row r="77" spans="18:159" ht="20.100000000000001" customHeight="1" x14ac:dyDescent="0.25">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row>
    <row r="78" spans="18:159" ht="20.100000000000001" customHeight="1" x14ac:dyDescent="0.25">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row>
    <row r="79" spans="18:159" ht="20.100000000000001" customHeight="1" x14ac:dyDescent="0.25">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row>
    <row r="80" spans="18:159" ht="20.100000000000001" customHeight="1" x14ac:dyDescent="0.25">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row>
    <row r="81" spans="28:149" ht="20.100000000000001" customHeight="1" x14ac:dyDescent="0.25">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row>
    <row r="82" spans="28:149" ht="20.100000000000001" customHeight="1" x14ac:dyDescent="0.25">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row>
    <row r="83" spans="28:149" ht="20.100000000000001" customHeight="1" x14ac:dyDescent="0.25">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row>
    <row r="84" spans="28:149" ht="20.100000000000001" customHeight="1" x14ac:dyDescent="0.25">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row>
    <row r="85" spans="28:149" ht="20.100000000000001" customHeight="1" x14ac:dyDescent="0.25">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row>
    <row r="86" spans="28:149" ht="20.100000000000001" customHeight="1" x14ac:dyDescent="0.25">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row>
    <row r="87" spans="28:149" ht="20.100000000000001" customHeight="1" x14ac:dyDescent="0.25">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row>
    <row r="88" spans="28:149" ht="20.100000000000001" customHeight="1" x14ac:dyDescent="0.25">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row>
    <row r="89" spans="28:149" ht="20.100000000000001" customHeight="1" x14ac:dyDescent="0.25">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row>
    <row r="90" spans="28:149" ht="20.100000000000001" customHeight="1" x14ac:dyDescent="0.25">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row>
    <row r="91" spans="28:149" ht="20.100000000000001" customHeight="1" x14ac:dyDescent="0.25">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row>
    <row r="92" spans="28:149" ht="20.100000000000001" customHeight="1" x14ac:dyDescent="0.25">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row>
    <row r="93" spans="28:149" ht="20.100000000000001" customHeight="1" x14ac:dyDescent="0.25">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row>
    <row r="94" spans="28:149" ht="20.100000000000001" customHeight="1" x14ac:dyDescent="0.25">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row>
    <row r="95" spans="28:149" ht="20.100000000000001" customHeight="1" x14ac:dyDescent="0.25">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row>
    <row r="96" spans="28:149" ht="20.100000000000001" customHeight="1" x14ac:dyDescent="0.25">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row>
    <row r="97" spans="28:149" ht="20.100000000000001" customHeight="1" x14ac:dyDescent="0.25">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row>
    <row r="98" spans="28:149" ht="20.100000000000001" customHeight="1" x14ac:dyDescent="0.25">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row>
    <row r="99" spans="28:149" ht="20.100000000000001" customHeight="1" x14ac:dyDescent="0.25">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row>
    <row r="100" spans="28:149" ht="20.100000000000001" customHeight="1" x14ac:dyDescent="0.25">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row>
    <row r="101" spans="28:149" ht="20.100000000000001" customHeight="1" x14ac:dyDescent="0.25">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row>
    <row r="102" spans="28:149" ht="20.100000000000001" customHeight="1" x14ac:dyDescent="0.25">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row>
    <row r="103" spans="28:149" ht="20.100000000000001" customHeight="1" x14ac:dyDescent="0.25">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row>
    <row r="104" spans="28:149" ht="20.100000000000001" customHeight="1" x14ac:dyDescent="0.25">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row>
    <row r="105" spans="28:149" ht="20.100000000000001" customHeight="1" x14ac:dyDescent="0.25">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row>
    <row r="106" spans="28:149" ht="20.100000000000001" customHeight="1" x14ac:dyDescent="0.25">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row>
    <row r="107" spans="28:149" ht="20.100000000000001" customHeight="1" x14ac:dyDescent="0.25">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row>
    <row r="108" spans="28:149" ht="20.100000000000001" customHeight="1" x14ac:dyDescent="0.25">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row>
    <row r="109" spans="28:149" ht="20.100000000000001" customHeight="1" x14ac:dyDescent="0.25">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row>
    <row r="110" spans="28:149" ht="20.100000000000001" customHeight="1" x14ac:dyDescent="0.25">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row>
    <row r="111" spans="28:149" ht="20.100000000000001" customHeight="1" x14ac:dyDescent="0.25">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row>
    <row r="112" spans="28:149" ht="20.100000000000001" customHeight="1" x14ac:dyDescent="0.25">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row>
    <row r="113" spans="28:149" ht="20.100000000000001" customHeight="1" x14ac:dyDescent="0.25">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row>
    <row r="114" spans="28:149" ht="20.100000000000001" customHeight="1" x14ac:dyDescent="0.25">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row>
    <row r="115" spans="28:149" ht="20.100000000000001" customHeight="1" x14ac:dyDescent="0.25">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row>
    <row r="116" spans="28:149" ht="20.100000000000001" customHeight="1" x14ac:dyDescent="0.25">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row>
    <row r="117" spans="28:149" x14ac:dyDescent="0.25">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row>
    <row r="118" spans="28:149" x14ac:dyDescent="0.25">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row>
    <row r="119" spans="28:149" x14ac:dyDescent="0.25">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row>
    <row r="120" spans="28:149" x14ac:dyDescent="0.25">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row>
    <row r="121" spans="28:149" x14ac:dyDescent="0.25">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row>
    <row r="122" spans="28:149" x14ac:dyDescent="0.25">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row>
    <row r="123" spans="28:149" x14ac:dyDescent="0.25">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row>
    <row r="124" spans="28:149" x14ac:dyDescent="0.25">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row>
    <row r="125" spans="28:149" x14ac:dyDescent="0.25">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row>
    <row r="126" spans="28:149" x14ac:dyDescent="0.25">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row>
    <row r="127" spans="28:149" x14ac:dyDescent="0.25">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row>
    <row r="128" spans="28:149" x14ac:dyDescent="0.25">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row>
    <row r="129" spans="28:149" x14ac:dyDescent="0.25">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row>
    <row r="130" spans="28:149" x14ac:dyDescent="0.25">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row>
    <row r="131" spans="28:149" x14ac:dyDescent="0.25">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row>
    <row r="132" spans="28:149" x14ac:dyDescent="0.25">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row>
    <row r="133" spans="28:149" x14ac:dyDescent="0.25">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row>
  </sheetData>
  <dataValidations count="3">
    <dataValidation type="list" allowBlank="1" showInputMessage="1" showErrorMessage="1" sqref="N27:N28 H27:H28 J27:J28 L27:L28" xr:uid="{0AD8851A-09E8-483B-9827-926349C05F01}">
      <formula1>INDIRECT("Table_Scope3_AquacultureFeedBait[Feed / Bait ingredient]")</formula1>
    </dataValidation>
    <dataValidation type="list" allowBlank="1" showInputMessage="1" showErrorMessage="1" sqref="F17:F20 I17:I20 L17:L20 O17:O20" xr:uid="{1054A587-AE3C-4093-8FA5-82F7F165672F}">
      <formula1>INDIRECT(_xlfn.UNIQUE("Table_SourceData_Scope3_Feed[Product]"))</formula1>
    </dataValidation>
    <dataValidation type="list" allowBlank="1" showInputMessage="1" showErrorMessage="1" sqref="G17:G20 J17:J20 M17:M20 P17:P20" xr:uid="{299DE751-C45B-453E-A22E-D9874EC037B6}">
      <formula1>INDIRECT("Table_ProductRegions_" &amp; SUBSTITUTE(SUBSTITUTE(SUBSTITUTE(SUBSTITUTE(F17, " ", ""), ",", ""), "(", ""), ")", "") &amp; "[Region]")</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dimension ref="A1:T123"/>
  <sheetViews>
    <sheetView showGridLines="0" tabSelected="1" topLeftCell="A52" zoomScale="85" zoomScaleNormal="85" workbookViewId="0">
      <selection activeCell="D94" sqref="D94:F94"/>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50" t="e" vm="1">
        <v>#VALUE!</v>
      </c>
      <c r="C1" s="108" t="s">
        <v>311</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20.100000000000001" customHeight="1" x14ac:dyDescent="0.25">
      <c r="C3" s="39"/>
      <c r="D3" s="39"/>
      <c r="E3" s="39"/>
      <c r="F3" s="39"/>
      <c r="G3" s="39"/>
      <c r="H3" s="39"/>
      <c r="I3" s="39"/>
      <c r="J3" s="39"/>
      <c r="K3" s="39"/>
      <c r="L3" s="39"/>
      <c r="M3" s="39"/>
      <c r="N3" s="39"/>
      <c r="O3" s="39"/>
      <c r="P3" s="39"/>
      <c r="Q3" s="39"/>
      <c r="R3" s="39"/>
      <c r="S3" s="39"/>
    </row>
    <row r="4" spans="1:19" ht="20.100000000000001" customHeight="1" x14ac:dyDescent="0.25">
      <c r="C4" s="7"/>
      <c r="D4" s="7"/>
      <c r="E4" s="7"/>
      <c r="F4" s="7"/>
      <c r="G4" s="7"/>
      <c r="H4" s="7"/>
      <c r="I4" s="7"/>
      <c r="J4" s="7"/>
    </row>
    <row r="5" spans="1:19" ht="20.100000000000001" customHeight="1" x14ac:dyDescent="0.25">
      <c r="C5" s="8"/>
      <c r="D5" s="9" t="s">
        <v>479</v>
      </c>
      <c r="G5" s="8"/>
      <c r="H5" s="8"/>
      <c r="I5" s="8"/>
      <c r="J5" s="8"/>
    </row>
    <row r="6" spans="1:19" ht="20.100000000000001" customHeight="1" x14ac:dyDescent="0.25">
      <c r="C6" s="8"/>
      <c r="D6" s="8" t="str">
        <f>'Constants - Scope 3'!E202</f>
        <v>Animal ear tags (large)</v>
      </c>
      <c r="E6" s="69">
        <v>100</v>
      </c>
      <c r="F6" s="68" t="s">
        <v>447</v>
      </c>
      <c r="G6" s="8"/>
      <c r="H6" s="8"/>
      <c r="I6" s="8"/>
      <c r="J6" s="8"/>
    </row>
    <row r="7" spans="1:19" ht="20.100000000000001" customHeight="1" x14ac:dyDescent="0.25">
      <c r="C7" s="8"/>
      <c r="D7" s="8" t="str">
        <f>'Constants - Scope 3'!E203</f>
        <v>Animal ear tags (small)</v>
      </c>
      <c r="E7" s="69">
        <v>200</v>
      </c>
      <c r="F7" s="68" t="s">
        <v>447</v>
      </c>
      <c r="G7" s="8"/>
      <c r="H7" s="8"/>
      <c r="I7" s="8"/>
      <c r="J7" s="8"/>
    </row>
    <row r="8" spans="1:19" ht="20.100000000000001" customHeight="1" x14ac:dyDescent="0.25">
      <c r="C8" s="8"/>
      <c r="D8" s="8" t="str">
        <f>'Constants - Scope 3'!E206</f>
        <v>Nylon netting</v>
      </c>
      <c r="E8" s="69">
        <v>300</v>
      </c>
      <c r="F8" s="68" t="s">
        <v>381</v>
      </c>
      <c r="G8" s="8"/>
      <c r="H8" s="8"/>
      <c r="I8" s="8"/>
      <c r="J8" s="8"/>
    </row>
    <row r="9" spans="1:19" ht="20.100000000000001" customHeight="1" x14ac:dyDescent="0.25">
      <c r="C9" s="8"/>
      <c r="D9" s="8"/>
      <c r="E9" s="8"/>
      <c r="F9" s="68"/>
      <c r="G9" s="8"/>
      <c r="H9" s="8"/>
      <c r="I9" s="8"/>
      <c r="J9" s="8"/>
    </row>
    <row r="10" spans="1:19" ht="20.100000000000001" customHeight="1" x14ac:dyDescent="0.25"/>
    <row r="11" spans="1:19" ht="20.100000000000001" customHeight="1" x14ac:dyDescent="0.25">
      <c r="D11" s="9" t="s">
        <v>464</v>
      </c>
    </row>
    <row r="12" spans="1:19" ht="20.100000000000001" customHeight="1" x14ac:dyDescent="0.25">
      <c r="C12" s="8"/>
      <c r="D12" s="8" t="str">
        <f>'Constants - Scope 3'!E204</f>
        <v>Barley grain (for seed)</v>
      </c>
      <c r="E12" s="69">
        <v>500</v>
      </c>
      <c r="F12" s="68" t="s">
        <v>381</v>
      </c>
      <c r="G12" s="8"/>
      <c r="H12" s="8"/>
      <c r="I12" s="8"/>
      <c r="J12" s="8"/>
    </row>
    <row r="13" spans="1:19" ht="20.100000000000001" customHeight="1" x14ac:dyDescent="0.25">
      <c r="C13" s="8"/>
      <c r="D13" s="8" t="str">
        <f>'Constants - Scope 3'!E205</f>
        <v>Maize grain (for seed)</v>
      </c>
      <c r="E13" s="69">
        <v>600</v>
      </c>
      <c r="F13" s="68" t="s">
        <v>381</v>
      </c>
      <c r="G13" s="8"/>
      <c r="H13" s="8"/>
      <c r="I13" s="8"/>
      <c r="J13" s="8"/>
    </row>
    <row r="14" spans="1:19" ht="20.100000000000001" customHeight="1" x14ac:dyDescent="0.25">
      <c r="D14" s="8" t="str">
        <f>'Constants - Scope 3'!E207</f>
        <v>Oat grain (for seed)</v>
      </c>
      <c r="E14" s="69">
        <v>700</v>
      </c>
      <c r="F14" s="68" t="s">
        <v>381</v>
      </c>
    </row>
    <row r="15" spans="1:19" ht="20.100000000000001" customHeight="1" x14ac:dyDescent="0.25">
      <c r="D15" s="8" t="str">
        <f>'Constants - Scope 3'!E208</f>
        <v>Sorghum grain (for seed)</v>
      </c>
      <c r="E15" s="69">
        <v>800</v>
      </c>
      <c r="F15" s="68" t="s">
        <v>381</v>
      </c>
      <c r="G15" s="8"/>
      <c r="H15" s="8"/>
      <c r="I15" s="8"/>
    </row>
    <row r="16" spans="1:19" ht="20.100000000000001" customHeight="1" x14ac:dyDescent="0.25">
      <c r="D16" s="8" t="str">
        <f>'Constants - Scope 3'!E209</f>
        <v>Wheat grain (for seed)</v>
      </c>
      <c r="E16" s="69">
        <v>900</v>
      </c>
      <c r="F16" s="68" t="s">
        <v>381</v>
      </c>
      <c r="G16" s="8"/>
      <c r="H16" s="8"/>
      <c r="I16" s="8"/>
    </row>
    <row r="17" spans="3:18" ht="20.100000000000001" customHeight="1" x14ac:dyDescent="0.25">
      <c r="C17" s="8"/>
      <c r="D17" s="8"/>
      <c r="E17" s="8"/>
      <c r="F17" s="8"/>
      <c r="G17" s="8"/>
      <c r="H17" s="8"/>
      <c r="I17" s="8"/>
      <c r="J17" s="8"/>
    </row>
    <row r="18" spans="3:18" ht="20.100000000000001" customHeight="1" x14ac:dyDescent="0.25">
      <c r="C18" s="8"/>
      <c r="D18" s="8"/>
      <c r="E18" s="8"/>
      <c r="F18" s="8"/>
      <c r="G18" s="8"/>
      <c r="H18" s="8"/>
      <c r="I18" s="8"/>
      <c r="J18" s="8"/>
    </row>
    <row r="19" spans="3:18" ht="20.100000000000001" customHeight="1" x14ac:dyDescent="0.25">
      <c r="D19" s="9" t="s">
        <v>403</v>
      </c>
      <c r="E19" s="7"/>
      <c r="F19" s="7"/>
      <c r="G19" s="7"/>
      <c r="H19" s="7"/>
      <c r="I19" s="7"/>
      <c r="J19" s="7"/>
    </row>
    <row r="20" spans="3:18" ht="20.100000000000001" customHeight="1" x14ac:dyDescent="0.25">
      <c r="D20" s="160"/>
      <c r="E20" s="160"/>
      <c r="F20" s="160"/>
      <c r="G20" s="160"/>
      <c r="H20" s="160"/>
      <c r="I20" s="160"/>
      <c r="J20" s="160"/>
    </row>
    <row r="21" spans="3:18" ht="20.100000000000001" customHeight="1" x14ac:dyDescent="0.25">
      <c r="D21" s="40" t="s">
        <v>329</v>
      </c>
      <c r="E21" s="41"/>
      <c r="F21" s="41"/>
      <c r="G21" s="42"/>
      <c r="H21" s="161"/>
      <c r="I21" s="161"/>
      <c r="J21" s="162"/>
    </row>
    <row r="22" spans="3:18" ht="20.100000000000001" customHeight="1" x14ac:dyDescent="0.25">
      <c r="D22" s="92" t="s">
        <v>330</v>
      </c>
      <c r="E22" s="93"/>
      <c r="F22" s="93"/>
      <c r="G22" s="94"/>
      <c r="H22" s="7"/>
      <c r="I22" s="7"/>
      <c r="J22" s="7"/>
    </row>
    <row r="23" spans="3:18" ht="20.100000000000001" customHeight="1" x14ac:dyDescent="0.25">
      <c r="D23" s="44" t="s">
        <v>331</v>
      </c>
      <c r="E23" s="45"/>
      <c r="F23" s="45"/>
      <c r="G23" s="46"/>
      <c r="H23" s="7"/>
      <c r="I23" s="7"/>
      <c r="J23" s="7"/>
    </row>
    <row r="24" spans="3:18" ht="20.100000000000001" customHeight="1" x14ac:dyDescent="0.25">
      <c r="D24" s="160"/>
      <c r="E24" s="160"/>
      <c r="F24" s="160"/>
      <c r="G24" s="160"/>
      <c r="H24" s="160"/>
      <c r="I24" s="160"/>
      <c r="J24" s="160"/>
      <c r="K24" s="57" t="str" cm="1">
        <f t="array" ref="K24">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24" s="57" t="str" cm="1">
        <f t="array" ref="N24">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24" s="57" t="str" cm="1">
        <f t="array" ref="Q24">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25" spans="3:18" ht="20.100000000000001" customHeight="1" x14ac:dyDescent="0.25">
      <c r="C25" s="8"/>
      <c r="D25" s="171" t="s">
        <v>173</v>
      </c>
      <c r="E25" s="171" t="s">
        <v>332</v>
      </c>
      <c r="F25" s="171" t="s">
        <v>333</v>
      </c>
      <c r="G25" s="171" t="s">
        <v>208</v>
      </c>
      <c r="H25" s="171" t="s">
        <v>334</v>
      </c>
      <c r="I25" s="171" t="s">
        <v>484</v>
      </c>
      <c r="J25" s="171" t="s">
        <v>335</v>
      </c>
      <c r="K25" s="10" t="s">
        <v>336</v>
      </c>
      <c r="L25" s="10" t="s">
        <v>480</v>
      </c>
      <c r="M25" s="10" t="s">
        <v>337</v>
      </c>
      <c r="N25" s="10" t="s">
        <v>338</v>
      </c>
      <c r="O25" s="10" t="s">
        <v>481</v>
      </c>
      <c r="P25" s="10" t="s">
        <v>339</v>
      </c>
      <c r="Q25" s="10" t="s">
        <v>340</v>
      </c>
      <c r="R25" s="10" t="s">
        <v>482</v>
      </c>
    </row>
    <row r="26" spans="3:18" ht="20.100000000000001" customHeight="1" x14ac:dyDescent="0.25">
      <c r="C26" s="8"/>
      <c r="D26" s="152" t="s">
        <v>486</v>
      </c>
      <c r="E26" s="172">
        <v>10</v>
      </c>
      <c r="F26" s="48" t="s">
        <v>467</v>
      </c>
      <c r="G26" s="69">
        <v>100</v>
      </c>
      <c r="H26" s="50">
        <f>Table_Input_Pesticides[[#This Row],[Amount applied per ha]]*Table_Input_Pesticides[[#This Row],[Application area (ha)]]</f>
        <v>1000</v>
      </c>
      <c r="I26" s="48" t="s">
        <v>466</v>
      </c>
      <c r="J26" s="48" t="s">
        <v>465</v>
      </c>
      <c r="K26" s="69">
        <v>26</v>
      </c>
      <c r="L26" s="50">
        <f>Table_Input_Pesticides[[#This Row],[Total applied]]*Table_Input_Pesticides[[#This Row],[Active ingredient 1 amount]]*IF(Table_Input_Pesticides[[#This Row],[Constituent unit (select)]]="fraction of product", 1, 10^-3)</f>
        <v>26</v>
      </c>
      <c r="M26" s="48" t="s">
        <v>465</v>
      </c>
      <c r="N26" s="69">
        <v>420</v>
      </c>
      <c r="O26" s="50">
        <f>Table_Input_Pesticides[[#This Row],[Total applied]]*Table_Input_Pesticides[[#This Row],[Active ingredient 2 amount]]*IF(Table_Input_Pesticides[[#This Row],[Constituent unit (select)]]="fraction of product", 1, 10^-3)</f>
        <v>420</v>
      </c>
      <c r="P26" s="48"/>
      <c r="Q26" s="69"/>
      <c r="R26" s="50">
        <f>Table_Input_Pesticides[[#This Row],[Total applied]]*Table_Input_Pesticides[[#This Row],[Active ingredient 3 amount]]*IF(Table_Input_Pesticides[[#This Row],[Constituent unit (select)]]="fraction of product", 1, 10^-3)</f>
        <v>0</v>
      </c>
    </row>
    <row r="27" spans="3:18" ht="20.100000000000001" customHeight="1" x14ac:dyDescent="0.25">
      <c r="C27" s="8"/>
      <c r="D27" s="152" t="s">
        <v>485</v>
      </c>
      <c r="E27" s="172">
        <v>10</v>
      </c>
      <c r="F27" s="48" t="s">
        <v>341</v>
      </c>
      <c r="G27" s="69">
        <v>100</v>
      </c>
      <c r="H27" s="50">
        <f>Table_Input_Pesticides[[#This Row],[Amount applied per ha]]*Table_Input_Pesticides[[#This Row],[Application area (ha)]]</f>
        <v>1000</v>
      </c>
      <c r="I27" s="48" t="s">
        <v>466</v>
      </c>
      <c r="J27" s="48" t="s">
        <v>465</v>
      </c>
      <c r="K27" s="69">
        <v>550</v>
      </c>
      <c r="L27" s="50">
        <f>Table_Input_Pesticides[[#This Row],[Total applied]]*Table_Input_Pesticides[[#This Row],[Active ingredient 1 amount]]*IF(Table_Input_Pesticides[[#This Row],[Constituent unit (select)]]="fraction of product", 1, 10^-3)</f>
        <v>550</v>
      </c>
      <c r="M27" s="48"/>
      <c r="N27" s="69"/>
      <c r="O27" s="50">
        <f>Table_Input_Pesticides[[#This Row],[Total applied]]*Table_Input_Pesticides[[#This Row],[Active ingredient 2 amount]]*IF(Table_Input_Pesticides[[#This Row],[Constituent unit (select)]]="fraction of product", 1, 10^-3)</f>
        <v>0</v>
      </c>
      <c r="P27" s="48"/>
      <c r="Q27" s="69"/>
      <c r="R27" s="50">
        <f>Table_Input_Pesticides[[#This Row],[Total applied]]*Table_Input_Pesticides[[#This Row],[Active ingredient 3 amount]]*IF(Table_Input_Pesticides[[#This Row],[Constituent unit (select)]]="fraction of product", 1, 10^-3)</f>
        <v>0</v>
      </c>
    </row>
    <row r="28" spans="3:18" ht="20.100000000000001" customHeight="1" x14ac:dyDescent="0.25">
      <c r="D28" s="152" t="s">
        <v>483</v>
      </c>
      <c r="E28" s="172">
        <v>10</v>
      </c>
      <c r="F28" s="48" t="s">
        <v>467</v>
      </c>
      <c r="G28" s="69">
        <v>100</v>
      </c>
      <c r="H28" s="50">
        <f>Table_Input_Pesticides[[#This Row],[Amount applied per ha]]*Table_Input_Pesticides[[#This Row],[Application area (ha)]]</f>
        <v>1000</v>
      </c>
      <c r="I28" s="48" t="s">
        <v>466</v>
      </c>
      <c r="J28" s="48" t="s">
        <v>465</v>
      </c>
      <c r="K28" s="69">
        <v>500</v>
      </c>
      <c r="L28" s="50">
        <f>Table_Input_Pesticides[[#This Row],[Total applied]]*Table_Input_Pesticides[[#This Row],[Active ingredient 1 amount]]*IF(Table_Input_Pesticides[[#This Row],[Constituent unit (select)]]="fraction of product", 1, 10^-3)</f>
        <v>500</v>
      </c>
      <c r="M28" s="48"/>
      <c r="N28" s="69"/>
      <c r="O28" s="50">
        <f>Table_Input_Pesticides[[#This Row],[Total applied]]*Table_Input_Pesticides[[#This Row],[Active ingredient 2 amount]]*IF(Table_Input_Pesticides[[#This Row],[Constituent unit (select)]]="fraction of product", 1, 10^-3)</f>
        <v>0</v>
      </c>
      <c r="P28" s="48"/>
      <c r="Q28" s="69"/>
      <c r="R28" s="50">
        <f>Table_Input_Pesticides[[#This Row],[Total applied]]*Table_Input_Pesticides[[#This Row],[Active ingredient 3 amount]]*IF(Table_Input_Pesticides[[#This Row],[Constituent unit (select)]]="fraction of product", 1, 10^-3)</f>
        <v>0</v>
      </c>
    </row>
    <row r="29" spans="3:18" ht="20.100000000000001" customHeight="1" x14ac:dyDescent="0.25">
      <c r="D29" s="7"/>
      <c r="E29" s="7"/>
      <c r="F29" s="7"/>
      <c r="G29" s="7"/>
      <c r="H29" s="7"/>
      <c r="I29" s="7"/>
      <c r="J29" s="7"/>
    </row>
    <row r="30" spans="3:18" ht="20.100000000000001" customHeight="1" x14ac:dyDescent="0.25"/>
    <row r="31" spans="3:18" ht="20.100000000000001" customHeight="1" x14ac:dyDescent="0.25">
      <c r="D31" s="9" t="s">
        <v>487</v>
      </c>
    </row>
    <row r="32" spans="3:18" ht="20.100000000000001" customHeight="1" x14ac:dyDescent="0.25"/>
    <row r="33" spans="3:13" ht="20.100000000000001" customHeight="1" x14ac:dyDescent="0.25">
      <c r="D33" s="155" t="s">
        <v>355</v>
      </c>
    </row>
    <row r="34" spans="3:13" ht="20.100000000000001" customHeight="1" x14ac:dyDescent="0.25">
      <c r="D34" s="10" t="s">
        <v>392</v>
      </c>
      <c r="E34" s="10" t="s">
        <v>493</v>
      </c>
      <c r="F34" s="10" t="s">
        <v>353</v>
      </c>
      <c r="G34" s="10" t="s">
        <v>488</v>
      </c>
      <c r="H34" s="10" t="s">
        <v>356</v>
      </c>
      <c r="I34" s="10" t="s">
        <v>354</v>
      </c>
      <c r="J34" s="10" t="s">
        <v>491</v>
      </c>
      <c r="K34" s="10" t="s">
        <v>582</v>
      </c>
      <c r="L34" s="10" t="s">
        <v>492</v>
      </c>
      <c r="M34" s="10" t="s">
        <v>583</v>
      </c>
    </row>
    <row r="35" spans="3:13" ht="20.100000000000001" customHeight="1" x14ac:dyDescent="0.25">
      <c r="D35" s="86" t="s">
        <v>581</v>
      </c>
      <c r="E35" s="175">
        <v>45547</v>
      </c>
      <c r="F35" s="48" t="s">
        <v>551</v>
      </c>
      <c r="G35" s="48" t="s">
        <v>364</v>
      </c>
      <c r="H35" s="48" t="s">
        <v>499</v>
      </c>
      <c r="I35" s="69">
        <v>100</v>
      </c>
      <c r="J35" s="50" cm="1">
        <f t="array" ref="J3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35" s="50">
        <f>Table_Input_LivestockPurchases_Beefcattle[[#This Row],[Quantity (head)]]*Table_Input_LivestockPurchases_Beefcattle[[#This Row],[Liveweight (kg/head) Method 1]]</f>
        <v>21000</v>
      </c>
      <c r="L35" s="69">
        <v>205</v>
      </c>
      <c r="M35" s="50">
        <f>Table_Input_LivestockPurchases_Beefcattle[[#This Row],[Quantity (head)]]*Table_Input_LivestockPurchases_Beefcattle[[#This Row],[Liveweight (kg/head) Method 2]]</f>
        <v>20500</v>
      </c>
    </row>
    <row r="36" spans="3:13" ht="20.100000000000001" customHeight="1" x14ac:dyDescent="0.25">
      <c r="D36" s="86"/>
      <c r="E36" s="175">
        <v>45292</v>
      </c>
      <c r="F36" s="165" t="s">
        <v>552</v>
      </c>
      <c r="G36" s="48" t="s">
        <v>363</v>
      </c>
      <c r="H36" s="48" t="s">
        <v>498</v>
      </c>
      <c r="I36" s="69">
        <v>100</v>
      </c>
      <c r="J36" s="50" cm="1">
        <f t="array" ref="J3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36" s="50">
        <f>Table_Input_LivestockPurchases_Beefcattle[[#This Row],[Quantity (head)]]*Table_Input_LivestockPurchases_Beefcattle[[#This Row],[Liveweight (kg/head) Method 1]]</f>
        <v>47000</v>
      </c>
      <c r="L36" s="69">
        <v>465</v>
      </c>
      <c r="M36" s="50">
        <f>Table_Input_LivestockPurchases_Beefcattle[[#This Row],[Quantity (head)]]*Table_Input_LivestockPurchases_Beefcattle[[#This Row],[Liveweight (kg/head) Method 2]]</f>
        <v>46500</v>
      </c>
    </row>
    <row r="37" spans="3:13" ht="20.100000000000001" customHeight="1" x14ac:dyDescent="0.25"/>
    <row r="38" spans="3:13" ht="20.100000000000001" customHeight="1" x14ac:dyDescent="0.25">
      <c r="D38" s="155" t="s">
        <v>371</v>
      </c>
    </row>
    <row r="39" spans="3:13" ht="20.100000000000001" customHeight="1" x14ac:dyDescent="0.25">
      <c r="D39" s="10" t="s">
        <v>392</v>
      </c>
      <c r="E39" s="10" t="s">
        <v>353</v>
      </c>
      <c r="F39" s="10" t="s">
        <v>585</v>
      </c>
      <c r="G39" s="10" t="s">
        <v>354</v>
      </c>
      <c r="H39" s="10" t="s">
        <v>491</v>
      </c>
      <c r="I39" s="10" t="s">
        <v>582</v>
      </c>
      <c r="J39" s="10" t="s">
        <v>492</v>
      </c>
      <c r="K39" s="10" t="s">
        <v>583</v>
      </c>
    </row>
    <row r="40" spans="3:13" ht="20.100000000000001" customHeight="1" x14ac:dyDescent="0.25">
      <c r="D40" s="86" t="s">
        <v>584</v>
      </c>
      <c r="E40" s="48" t="s">
        <v>590</v>
      </c>
      <c r="F40" s="48" t="s">
        <v>578</v>
      </c>
      <c r="G40" s="69">
        <v>100</v>
      </c>
      <c r="H40" s="50" cm="1">
        <f t="array" ref="H4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f>
        <v>350</v>
      </c>
      <c r="I40" s="50">
        <f>Table_Input_LivestockPurchases_Dairy[[#This Row],[Quantity (head)]]*Table_Input_LivestockPurchases_Dairy[[#This Row],[Liveweight (kg/head) Method 1]]</f>
        <v>35000</v>
      </c>
      <c r="J40" s="69">
        <v>500</v>
      </c>
      <c r="K40" s="50">
        <f>Table_Input_LivestockPurchases_Dairy[[#This Row],[Quantity (head)]]*Table_Input_LivestockPurchases_Dairy[[#This Row],[Liveweight (kg/head) Method 2]]</f>
        <v>50000</v>
      </c>
    </row>
    <row r="41" spans="3:13" ht="20.100000000000001" customHeight="1" x14ac:dyDescent="0.25">
      <c r="D41" s="178"/>
      <c r="E41" s="165" t="s">
        <v>579</v>
      </c>
      <c r="F41" s="48" t="s">
        <v>610</v>
      </c>
      <c r="G41" s="179">
        <v>100</v>
      </c>
      <c r="H41" s="50" cm="1">
        <f t="array" ref="H4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f>
        <v>650</v>
      </c>
      <c r="I41" s="50">
        <f>Table_Input_LivestockPurchases_Dairy[[#This Row],[Quantity (head)]]*Table_Input_LivestockPurchases_Dairy[[#This Row],[Liveweight (kg/head) Method 1]]</f>
        <v>65000</v>
      </c>
      <c r="J41" s="179">
        <v>625</v>
      </c>
      <c r="K41" s="50">
        <f>Table_Input_LivestockPurchases_Dairy[[#This Row],[Quantity (head)]]*Table_Input_LivestockPurchases_Dairy[[#This Row],[Liveweight (kg/head) Method 2]]</f>
        <v>62500</v>
      </c>
    </row>
    <row r="42" spans="3:13" ht="20.100000000000001" customHeight="1" x14ac:dyDescent="0.25"/>
    <row r="43" spans="3:13" ht="20.100000000000001" customHeight="1" x14ac:dyDescent="0.25">
      <c r="D43" s="155" t="s">
        <v>609</v>
      </c>
    </row>
    <row r="44" spans="3:13" ht="20.100000000000001" customHeight="1" x14ac:dyDescent="0.25">
      <c r="C44" s="8"/>
      <c r="D44" s="10" t="s">
        <v>392</v>
      </c>
      <c r="E44" s="10" t="s">
        <v>353</v>
      </c>
      <c r="F44" s="10" t="s">
        <v>354</v>
      </c>
      <c r="G44" s="10" t="s">
        <v>491</v>
      </c>
      <c r="H44" s="10" t="s">
        <v>582</v>
      </c>
      <c r="I44" s="10" t="s">
        <v>492</v>
      </c>
      <c r="J44" s="10" t="s">
        <v>583</v>
      </c>
    </row>
    <row r="45" spans="3:13" ht="20.100000000000001" customHeight="1" x14ac:dyDescent="0.25">
      <c r="C45" s="8"/>
      <c r="D45" s="86" t="s">
        <v>632</v>
      </c>
      <c r="E45" s="48" t="s">
        <v>633</v>
      </c>
      <c r="F45" s="69">
        <v>100</v>
      </c>
      <c r="G45" s="50" cm="1">
        <f t="array" ref="G45">Common_InputFunctions.Utility_LookupValueInTable(Table_Input_LivestockPurchases_Pigs[[#This Row],[Class (select)]], Table_SourceData_Swine_Liveweight[Livestock type j],Table_SourceData_Swine_Liveweight[Average liveweight (kg)])</f>
        <v>188</v>
      </c>
      <c r="H45" s="50">
        <f>Table_Input_LivestockPurchases_Pigs[[#This Row],[Quantity (head)]]*Table_Input_LivestockPurchases_Pigs[[#This Row],[Liveweight (kg/head) Method 1]]</f>
        <v>18800</v>
      </c>
      <c r="I45" s="69">
        <v>180</v>
      </c>
      <c r="J45" s="50">
        <f>Table_Input_LivestockPurchases_Pigs[[#This Row],[Quantity (head)]]*Table_Input_LivestockPurchases_Pigs[[#This Row],[Liveweight (kg/head) Method 2]]</f>
        <v>18000</v>
      </c>
    </row>
    <row r="46" spans="3:13" ht="20.100000000000001" customHeight="1" x14ac:dyDescent="0.25">
      <c r="C46" s="8"/>
      <c r="D46" s="178" t="s">
        <v>635</v>
      </c>
      <c r="E46" s="165" t="s">
        <v>634</v>
      </c>
      <c r="F46" s="179">
        <v>100</v>
      </c>
      <c r="G46" s="50" cm="1">
        <f t="array" ref="G46">Common_InputFunctions.Utility_LookupValueInTable(Table_Input_LivestockPurchases_Pigs[[#This Row],[Class (select)]], Table_SourceData_Swine_Liveweight[Livestock type j],Table_SourceData_Swine_Liveweight[Average liveweight (kg)])</f>
        <v>39</v>
      </c>
      <c r="H46" s="50">
        <f>Table_Input_LivestockPurchases_Pigs[[#This Row],[Quantity (head)]]*Table_Input_LivestockPurchases_Pigs[[#This Row],[Liveweight (kg/head) Method 1]]</f>
        <v>3900</v>
      </c>
      <c r="I46" s="179">
        <v>38</v>
      </c>
      <c r="J46" s="50">
        <f>Table_Input_LivestockPurchases_Pigs[[#This Row],[Quantity (head)]]*Table_Input_LivestockPurchases_Pigs[[#This Row],[Liveweight (kg/head) Method 2]]</f>
        <v>3800</v>
      </c>
    </row>
    <row r="47" spans="3:13" ht="20.100000000000001" customHeight="1" x14ac:dyDescent="0.25">
      <c r="C47" s="8"/>
    </row>
    <row r="48" spans="3:13" ht="20.100000000000001" customHeight="1" x14ac:dyDescent="0.25">
      <c r="C48" s="8"/>
      <c r="D48" s="155" t="s">
        <v>642</v>
      </c>
    </row>
    <row r="49" spans="3:20" ht="20.100000000000001" customHeight="1" x14ac:dyDescent="0.25">
      <c r="C49" s="8"/>
      <c r="D49" s="10" t="s">
        <v>392</v>
      </c>
      <c r="E49" s="10" t="s">
        <v>353</v>
      </c>
      <c r="F49" s="10" t="s">
        <v>354</v>
      </c>
      <c r="G49" s="10" t="s">
        <v>491</v>
      </c>
      <c r="H49" s="10" t="s">
        <v>582</v>
      </c>
      <c r="I49" s="10" t="s">
        <v>492</v>
      </c>
      <c r="J49" s="10" t="s">
        <v>583</v>
      </c>
    </row>
    <row r="50" spans="3:20" ht="20.100000000000001" customHeight="1" x14ac:dyDescent="0.25">
      <c r="D50" s="86" t="s">
        <v>643</v>
      </c>
      <c r="E50" s="48" t="s">
        <v>671</v>
      </c>
      <c r="F50" s="69">
        <v>100</v>
      </c>
      <c r="G50" s="50" cm="1">
        <f t="array" ref="G50">Common_InputFunctions.Utility_LookupValueInTable(Table_Input_LivestockPurchases_Poultry[[#This Row],[Class (select)]], Table_SourceData_Poultry_Liveweights[Livestock class j],Table_SourceData_Poultry_Liveweights[Average liveweight (kg)])</f>
        <v>1.3</v>
      </c>
      <c r="H50" s="50">
        <f>Table_Input_LivestockPurchases_Poultry[[#This Row],[Quantity (head)]]*Table_Input_LivestockPurchases_Poultry[[#This Row],[Liveweight (kg/head) Method 1]]</f>
        <v>130</v>
      </c>
      <c r="I50" s="69">
        <v>1.3</v>
      </c>
      <c r="J50" s="50">
        <f>Table_Input_LivestockPurchases_Poultry[[#This Row],[Quantity (head)]]*Table_Input_LivestockPurchases_Poultry[[#This Row],[Liveweight (kg/head) Method 2]]</f>
        <v>130</v>
      </c>
    </row>
    <row r="51" spans="3:20" ht="20.100000000000001" customHeight="1" x14ac:dyDescent="0.25">
      <c r="D51" s="178" t="s">
        <v>644</v>
      </c>
      <c r="E51" s="165" t="s">
        <v>672</v>
      </c>
      <c r="F51" s="179">
        <v>100</v>
      </c>
      <c r="G51" s="50" cm="1">
        <f t="array" ref="G51">Common_InputFunctions.Utility_LookupValueInTable(Table_Input_LivestockPurchases_Poultry[[#This Row],[Class (select)]], Table_SourceData_Poultry_Liveweights[Livestock class j],Table_SourceData_Poultry_Liveweights[Average liveweight (kg)])</f>
        <v>1.4</v>
      </c>
      <c r="H51" s="50">
        <f>Table_Input_LivestockPurchases_Poultry[[#This Row],[Quantity (head)]]*Table_Input_LivestockPurchases_Poultry[[#This Row],[Liveweight (kg/head) Method 1]]</f>
        <v>140</v>
      </c>
      <c r="I51" s="179">
        <v>1.4</v>
      </c>
      <c r="J51" s="50">
        <f>Table_Input_LivestockPurchases_Poultry[[#This Row],[Quantity (head)]]*Table_Input_LivestockPurchases_Poultry[[#This Row],[Liveweight (kg/head) Method 2]]</f>
        <v>140</v>
      </c>
    </row>
    <row r="52" spans="3:20" ht="20.100000000000001" customHeight="1" x14ac:dyDescent="0.25"/>
    <row r="53" spans="3:20" ht="20.100000000000001" customHeight="1" x14ac:dyDescent="0.25"/>
    <row r="54" spans="3:20" ht="20.100000000000001" customHeight="1" x14ac:dyDescent="0.25"/>
    <row r="55" spans="3:20" ht="20.100000000000001" customHeight="1" x14ac:dyDescent="0.25"/>
    <row r="56" spans="3:20" ht="20.100000000000001" customHeight="1" x14ac:dyDescent="0.25"/>
    <row r="57" spans="3:20" ht="20.100000000000001" customHeight="1" x14ac:dyDescent="0.25"/>
    <row r="58" spans="3:20" ht="20.100000000000001" customHeight="1" x14ac:dyDescent="0.25"/>
    <row r="59" spans="3:20" ht="20.100000000000001" customHeight="1" x14ac:dyDescent="0.25">
      <c r="D59" s="9" t="s">
        <v>402</v>
      </c>
    </row>
    <row r="60" spans="3:20" ht="20.100000000000001" customHeight="1" x14ac:dyDescent="0.25"/>
    <row r="61" spans="3:20" ht="20.100000000000001" customHeight="1" x14ac:dyDescent="0.25">
      <c r="D61" s="100" t="s">
        <v>312</v>
      </c>
      <c r="E61" s="116"/>
      <c r="F61" s="116"/>
      <c r="G61" s="101"/>
      <c r="H61" s="8"/>
      <c r="I61" s="8"/>
      <c r="J61" s="8"/>
    </row>
    <row r="62" spans="3:20" ht="20.100000000000001" customHeight="1" x14ac:dyDescent="0.25">
      <c r="H62" s="8"/>
      <c r="I62" s="8"/>
      <c r="J62" s="8"/>
    </row>
    <row r="63" spans="3:20" ht="20.100000000000001" customHeight="1" x14ac:dyDescent="0.25">
      <c r="D63" s="47" t="s">
        <v>313</v>
      </c>
      <c r="E63" s="47" t="s">
        <v>314</v>
      </c>
      <c r="F63" s="47" t="s">
        <v>448</v>
      </c>
      <c r="G63" s="47" t="s">
        <v>673</v>
      </c>
      <c r="H63" s="47" t="s">
        <v>450</v>
      </c>
      <c r="I63" s="47" t="s">
        <v>449</v>
      </c>
      <c r="J63" s="8"/>
      <c r="K63" s="14"/>
      <c r="T63" s="8"/>
    </row>
    <row r="64" spans="3:20" ht="20.100000000000001" customHeight="1" x14ac:dyDescent="0.25">
      <c r="D64" s="152" t="s">
        <v>451</v>
      </c>
      <c r="E64" s="69">
        <v>100</v>
      </c>
      <c r="F64" s="48" t="s">
        <v>452</v>
      </c>
      <c r="G64" s="90">
        <f>100%</f>
        <v>1</v>
      </c>
      <c r="H64" s="69">
        <v>0.02</v>
      </c>
      <c r="I64" s="50">
        <f>Table_Input_Packaging[[#This Row],[Quantity purchased]]*Table_Input_Packaging[[#This Row],[Weight per unit (kg)]]</f>
        <v>2</v>
      </c>
      <c r="J64" s="8"/>
      <c r="K64" s="14"/>
      <c r="T64" s="8"/>
    </row>
    <row r="65" spans="4:20" ht="20.100000000000001" customHeight="1" x14ac:dyDescent="0.25">
      <c r="D65" s="8"/>
      <c r="E65" s="8"/>
      <c r="F65" s="8"/>
      <c r="G65" s="8"/>
      <c r="J65" s="8"/>
      <c r="K65" s="14"/>
      <c r="L65" s="57"/>
      <c r="T65" s="8"/>
    </row>
    <row r="66" spans="4:20" ht="20.100000000000001" customHeight="1" x14ac:dyDescent="0.25">
      <c r="D66" s="8"/>
      <c r="E66" s="8"/>
      <c r="F66" s="8"/>
      <c r="G66" s="8"/>
      <c r="J66" s="8"/>
      <c r="K66" s="14"/>
      <c r="T66" s="8"/>
    </row>
    <row r="67" spans="4:20" ht="20.100000000000001" customHeight="1" x14ac:dyDescent="0.25">
      <c r="D67" s="9" t="s">
        <v>315</v>
      </c>
      <c r="E67" s="8"/>
      <c r="F67" s="8"/>
      <c r="G67" s="8"/>
      <c r="H67" s="8"/>
      <c r="K67" s="14"/>
      <c r="T67" s="8"/>
    </row>
    <row r="68" spans="4:20" ht="20.100000000000001" customHeight="1" x14ac:dyDescent="0.25">
      <c r="H68" s="8"/>
    </row>
    <row r="69" spans="4:20" ht="20.100000000000001" customHeight="1" x14ac:dyDescent="0.25">
      <c r="D69" s="100" t="s">
        <v>312</v>
      </c>
      <c r="E69" s="116"/>
      <c r="F69" s="116"/>
      <c r="G69" s="101"/>
    </row>
    <row r="70" spans="4:20" ht="20.100000000000001" customHeight="1" x14ac:dyDescent="0.25">
      <c r="G70" s="8"/>
    </row>
    <row r="71" spans="4:20" ht="20.100000000000001" customHeight="1" x14ac:dyDescent="0.25">
      <c r="D71" s="47" t="s">
        <v>173</v>
      </c>
      <c r="E71" s="47" t="s">
        <v>374</v>
      </c>
      <c r="F71" s="47" t="s">
        <v>377</v>
      </c>
    </row>
    <row r="72" spans="4:20" ht="20.100000000000001" customHeight="1" x14ac:dyDescent="0.25">
      <c r="D72" s="86" t="s">
        <v>423</v>
      </c>
      <c r="E72" s="48" t="s">
        <v>376</v>
      </c>
      <c r="F72" s="69">
        <v>100</v>
      </c>
    </row>
    <row r="73" spans="4:20" ht="20.100000000000001" customHeight="1" x14ac:dyDescent="0.25">
      <c r="D73" s="86" t="s">
        <v>422</v>
      </c>
      <c r="E73" s="165" t="s">
        <v>375</v>
      </c>
      <c r="F73" s="166">
        <v>100</v>
      </c>
    </row>
    <row r="74" spans="4:20" ht="20.100000000000001" customHeight="1" x14ac:dyDescent="0.25">
      <c r="D74" s="86" t="s">
        <v>316</v>
      </c>
      <c r="E74" s="165" t="s">
        <v>317</v>
      </c>
      <c r="F74" s="166">
        <v>100</v>
      </c>
    </row>
    <row r="75" spans="4:20" ht="20.100000000000001" customHeight="1" x14ac:dyDescent="0.25">
      <c r="D75" s="86" t="s">
        <v>316</v>
      </c>
      <c r="E75" s="165" t="s">
        <v>317</v>
      </c>
      <c r="F75" s="166">
        <v>100</v>
      </c>
    </row>
    <row r="76" spans="4:20" ht="20.100000000000001" customHeight="1" x14ac:dyDescent="0.25">
      <c r="D76" s="86" t="s">
        <v>423</v>
      </c>
      <c r="E76" s="165" t="s">
        <v>376</v>
      </c>
      <c r="F76" s="166">
        <v>100</v>
      </c>
    </row>
    <row r="77" spans="4:20" ht="20.100000000000001" customHeight="1" x14ac:dyDescent="0.25">
      <c r="D77" s="86" t="s">
        <v>423</v>
      </c>
      <c r="E77" s="165" t="s">
        <v>376</v>
      </c>
      <c r="F77" s="166">
        <v>100</v>
      </c>
    </row>
    <row r="78" spans="4:20" ht="20.100000000000001" customHeight="1" x14ac:dyDescent="0.25"/>
    <row r="79" spans="4:20" ht="20.100000000000001" customHeight="1" x14ac:dyDescent="0.25">
      <c r="D79" s="9" t="s">
        <v>409</v>
      </c>
      <c r="E79" s="8"/>
      <c r="F79" s="8"/>
      <c r="G79" s="8"/>
    </row>
    <row r="80" spans="4:20" ht="20.100000000000001" customHeight="1" x14ac:dyDescent="0.25"/>
    <row r="81" spans="4:7" ht="20.100000000000001" customHeight="1" x14ac:dyDescent="0.25">
      <c r="D81" s="100" t="s">
        <v>312</v>
      </c>
      <c r="E81" s="116"/>
      <c r="F81" s="116"/>
      <c r="G81" s="101"/>
    </row>
    <row r="82" spans="4:7" ht="20.100000000000001" customHeight="1" x14ac:dyDescent="0.25">
      <c r="G82" s="8"/>
    </row>
    <row r="83" spans="4:7" ht="20.100000000000001" customHeight="1" x14ac:dyDescent="0.25">
      <c r="D83" s="47" t="s">
        <v>173</v>
      </c>
      <c r="E83" s="47" t="s">
        <v>374</v>
      </c>
      <c r="F83" s="47" t="s">
        <v>414</v>
      </c>
    </row>
    <row r="84" spans="4:7" ht="20.100000000000001" customHeight="1" x14ac:dyDescent="0.25">
      <c r="D84" s="153" t="s">
        <v>418</v>
      </c>
      <c r="E84" s="48" t="s">
        <v>410</v>
      </c>
      <c r="F84" s="69">
        <v>100</v>
      </c>
    </row>
    <row r="85" spans="4:7" ht="20.100000000000001" customHeight="1" x14ac:dyDescent="0.25">
      <c r="D85" s="167" t="s">
        <v>419</v>
      </c>
      <c r="E85" s="165" t="s">
        <v>411</v>
      </c>
      <c r="F85" s="166">
        <v>100</v>
      </c>
    </row>
    <row r="86" spans="4:7" ht="20.100000000000001" customHeight="1" x14ac:dyDescent="0.25">
      <c r="D86" s="167" t="s">
        <v>420</v>
      </c>
      <c r="E86" s="165" t="s">
        <v>412</v>
      </c>
      <c r="F86" s="166">
        <v>100</v>
      </c>
    </row>
    <row r="87" spans="4:7" ht="20.100000000000001" customHeight="1" x14ac:dyDescent="0.25">
      <c r="D87" s="167" t="s">
        <v>421</v>
      </c>
      <c r="E87" s="165" t="s">
        <v>413</v>
      </c>
      <c r="F87" s="166">
        <v>100</v>
      </c>
    </row>
    <row r="88" spans="4:7" ht="20.100000000000001" customHeight="1" x14ac:dyDescent="0.25">
      <c r="D88" s="153" t="s">
        <v>418</v>
      </c>
      <c r="E88" s="165" t="s">
        <v>410</v>
      </c>
      <c r="F88" s="166">
        <v>100</v>
      </c>
    </row>
    <row r="89" spans="4:7" ht="20.100000000000001" customHeight="1" x14ac:dyDescent="0.25">
      <c r="D89" s="167" t="s">
        <v>419</v>
      </c>
      <c r="E89" s="165" t="s">
        <v>411</v>
      </c>
      <c r="F89" s="166">
        <v>100</v>
      </c>
    </row>
    <row r="90" spans="4:7" ht="20.100000000000001" customHeight="1" x14ac:dyDescent="0.25"/>
    <row r="91" spans="4:7" ht="20.100000000000001" customHeight="1" x14ac:dyDescent="0.25"/>
    <row r="92" spans="4:7" ht="20.100000000000001" customHeight="1" x14ac:dyDescent="0.25">
      <c r="D92" s="9" t="s">
        <v>675</v>
      </c>
    </row>
    <row r="93" spans="4:7" ht="20.100000000000001" customHeight="1" x14ac:dyDescent="0.25"/>
    <row r="94" spans="4:7" ht="20.100000000000001" customHeight="1" x14ac:dyDescent="0.25">
      <c r="D94" s="180" t="s">
        <v>676</v>
      </c>
      <c r="E94" s="180" t="s">
        <v>674</v>
      </c>
      <c r="F94" s="180" t="s">
        <v>99</v>
      </c>
    </row>
    <row r="95" spans="4:7" ht="20.100000000000001" customHeight="1" x14ac:dyDescent="0.25"/>
    <row r="96" spans="4:7"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sheetData>
  <dataValidations count="13">
    <dataValidation type="list" allowBlank="1" showInputMessage="1" showErrorMessage="1" sqref="E72:E77" xr:uid="{C432D3D7-90B5-49EB-9686-44E33AA46DF7}">
      <formula1>INDIRECT("Table_SourceData_Scope3_ChemicalsCleaning[Product]")</formula1>
    </dataValidation>
    <dataValidation type="list" allowBlank="1" showInputMessage="1" showErrorMessage="1" sqref="F64" xr:uid="{C1194F4C-B4BA-4C6C-9335-96226E3C874D}">
      <formula1>INDIRECT("Table_SourceData_Scope3_Packaging[Product]")</formula1>
    </dataValidation>
    <dataValidation type="list" allowBlank="1" showInputMessage="1" showErrorMessage="1" sqref="J26:J28 M26:M28 P26:P28" xr:uid="{4EB7609B-9081-416E-B296-83CB5579804F}">
      <formula1>INDIRECT("Table_SourceData_Scope3_Pesticides[Product]")</formula1>
    </dataValidation>
    <dataValidation type="list" allowBlank="1" showInputMessage="1" showErrorMessage="1" sqref="I26:I28" xr:uid="{8108ECDB-1F4C-43F2-85A5-19117852A987}">
      <formula1>"grams/litre or grams/kg, fraction of product"</formula1>
    </dataValidation>
    <dataValidation type="list" allowBlank="1" showInputMessage="1" showErrorMessage="1" sqref="F26:F28" xr:uid="{3E384BB8-0CCC-45EA-83A2-5F436B025D10}">
      <formula1>"kg / hectare, litre / hectare"</formula1>
    </dataValidation>
    <dataValidation type="list" allowBlank="1" showInputMessage="1" showErrorMessage="1" sqref="E84:E89" xr:uid="{F14848CE-F457-49B7-A95E-514E2B530B92}">
      <formula1>INDIRECT("Table_SourceData_Scope3_ChemicalsPharmacy[Product]")</formula1>
    </dataValidation>
    <dataValidation type="list" allowBlank="1" showInputMessage="1" showErrorMessage="1" sqref="H35:H36" xr:uid="{579B6E80-B21D-49A6-A5CC-E0740A79C06C}">
      <formula1>INDIRECT("Table_ProductRegions_Beefcattle[Region]")</formula1>
    </dataValidation>
    <dataValidation type="list" allowBlank="1" showInputMessage="1" showErrorMessage="1" sqref="G35:G36" xr:uid="{D038D161-4CB4-4F66-9EA9-1B3DFD795E64}">
      <formula1>INDIRECT(TRIM("Table_SourceData_LivestockProduct_Beefcattle[Product]"))</formula1>
    </dataValidation>
    <dataValidation type="list" allowBlank="1" showInputMessage="1" showErrorMessage="1" sqref="F35:F36" xr:uid="{E820CFC8-651A-4AAE-8CFC-0434A22A2CFE}">
      <formula1>INDIRECT("Table_LivestockClasses_Beefcattle[Livestock class]")</formula1>
    </dataValidation>
    <dataValidation type="list" allowBlank="1" showInputMessage="1" showErrorMessage="1" sqref="F40:F41" xr:uid="{6C01C856-27C6-4CD3-9F44-CB174DFAC047}">
      <formula1>INDIRECT("Table_SourceData_Dairy_WjCowsHeifers[Breed]")</formula1>
    </dataValidation>
    <dataValidation type="list" allowBlank="1" showInputMessage="1" showErrorMessage="1" sqref="E40:E41" xr:uid="{5781C060-ED70-4962-97D0-9C205A1D4D9A}">
      <formula1>INDIRECT("Table_SourceData_Dairy_WjCowsHeifers[[#Headers],[Milking cows]:[Heifers &lt; 1 (weaned)]]")</formula1>
    </dataValidation>
    <dataValidation type="list" allowBlank="1" showInputMessage="1" showErrorMessage="1" sqref="E45:E46" xr:uid="{4ACF2D94-C615-4145-8F1B-25113D24F04E}">
      <formula1>INDIRECT("Table_SourceData_Swine_Liveweight[Livestock type j]")</formula1>
    </dataValidation>
    <dataValidation type="list" allowBlank="1" showInputMessage="1" showErrorMessage="1" sqref="E50:E51" xr:uid="{EF3323C3-C624-43FE-8DC3-2DC12C1B5DDD}">
      <formula1>INDIRECT("Table_SourceData_Poultry_Liveweights[Livestock class j]")</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BCF7-DDD5-4171-BB69-0003446FB5EC}">
  <dimension ref="A1:J350"/>
  <sheetViews>
    <sheetView showGridLines="0" zoomScale="85" zoomScaleNormal="85" workbookViewId="0">
      <selection activeCell="G12" sqref="G12"/>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8" customFormat="1" ht="30" customHeight="1" x14ac:dyDescent="0.35">
      <c r="A1" s="38" t="e" vm="1">
        <v>#VALUE!</v>
      </c>
      <c r="C1" s="38" t="s">
        <v>121</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122</v>
      </c>
      <c r="E5" s="7"/>
      <c r="F5" s="7"/>
      <c r="G5" s="7"/>
      <c r="H5" s="7"/>
    </row>
    <row r="6" spans="1:10" ht="20.100000000000001" customHeight="1" x14ac:dyDescent="0.25">
      <c r="A6" s="18"/>
      <c r="D6" s="14"/>
      <c r="E6" s="14"/>
      <c r="F6" s="14"/>
      <c r="G6" s="14"/>
      <c r="H6" s="14"/>
      <c r="I6" s="14"/>
    </row>
    <row r="7" spans="1:10" ht="20.100000000000001" customHeight="1" x14ac:dyDescent="0.25">
      <c r="A7" s="19" t="s">
        <v>67</v>
      </c>
      <c r="D7" s="40" t="s">
        <v>123</v>
      </c>
      <c r="E7" s="41"/>
      <c r="F7" s="41"/>
      <c r="G7" s="41"/>
      <c r="H7" s="42"/>
    </row>
    <row r="8" spans="1:10" ht="20.100000000000001" customHeight="1" x14ac:dyDescent="0.25">
      <c r="A8" s="43" t="str">
        <f>HYPERLINK("#'Input - Fuel'!A1", "Fuel")</f>
        <v>Fuel</v>
      </c>
      <c r="D8" s="44" t="s">
        <v>124</v>
      </c>
      <c r="E8" s="45"/>
      <c r="F8" s="45"/>
      <c r="G8" s="45"/>
      <c r="H8" s="46"/>
    </row>
    <row r="9" spans="1:10" ht="20.100000000000001" customHeight="1" x14ac:dyDescent="0.25">
      <c r="A9" s="16"/>
      <c r="D9" s="14"/>
      <c r="E9" s="14"/>
      <c r="F9" s="14"/>
      <c r="G9" s="14"/>
      <c r="H9" s="14"/>
      <c r="I9" s="14"/>
    </row>
    <row r="10" spans="1:10" ht="20.100000000000001" customHeight="1" x14ac:dyDescent="0.25">
      <c r="A10" s="21" t="s">
        <v>77</v>
      </c>
      <c r="D10" s="47" t="s">
        <v>125</v>
      </c>
      <c r="E10" s="47" t="s">
        <v>126</v>
      </c>
      <c r="F10" s="47" t="s">
        <v>127</v>
      </c>
      <c r="G10" s="47" t="s">
        <v>128</v>
      </c>
      <c r="H10" s="47" t="s">
        <v>129</v>
      </c>
      <c r="I10" s="47" t="s">
        <v>130</v>
      </c>
    </row>
    <row r="11" spans="1:10" ht="20.100000000000001" customHeight="1" x14ac:dyDescent="0.25">
      <c r="A11" s="16" t="str">
        <f>HYPERLINK("#'8.1.1.1-2 Transport fuel'!A1", "8.1.1.1-2 Transport fuel")</f>
        <v>8.1.1.1-2 Transport fuel</v>
      </c>
      <c r="D11" s="48" t="s">
        <v>93</v>
      </c>
      <c r="E11" s="48" t="s">
        <v>100</v>
      </c>
      <c r="F11" s="49">
        <v>1000</v>
      </c>
      <c r="G11" s="50" t="str" cm="1">
        <f t="array" ref="G11">Common_InputFunctions.Utility_LookupValueInTable(Table_Input_Fuel[[#This Row],[Fuel type (select)]],Table_FuelTypes_Units[Fuel type], Table_FuelTypes_Units[Unit])</f>
        <v>kL</v>
      </c>
      <c r="H11" s="51">
        <f>1</f>
        <v>1</v>
      </c>
      <c r="I11" s="50">
        <f>Table_Input_Fuel[[#This Row],[Amount purchased]]*Table_Input_Fuel[[#This Row],[Percent consumed]]*10^-3</f>
        <v>1</v>
      </c>
    </row>
    <row r="12" spans="1:10" ht="20.100000000000001" customHeight="1" x14ac:dyDescent="0.25">
      <c r="A12" s="16" t="str">
        <f>HYPERLINK("#'8.2.1.1-2 Stationary fuel'!A1", "8.2.1.1-2 Stationary fuel")</f>
        <v>8.2.1.1-2 Stationary fuel</v>
      </c>
      <c r="D12" s="48" t="s">
        <v>93</v>
      </c>
      <c r="E12" s="48" t="s">
        <v>100</v>
      </c>
      <c r="F12" s="49">
        <v>1000</v>
      </c>
      <c r="G12" s="50" t="str" cm="1">
        <f t="array" ref="G12">Common_InputFunctions.Utility_LookupValueInTable(Table_Input_Fuel[[#This Row],[Fuel type (select)]],Table_FuelTypes_Units[Fuel type], Table_FuelTypes_Units[Unit])</f>
        <v>kL</v>
      </c>
      <c r="H12" s="51">
        <f>1</f>
        <v>1</v>
      </c>
      <c r="I12" s="50">
        <f>Table_Input_Fuel[[#This Row],[Amount purchased]]*Table_Input_Fuel[[#This Row],[Percent consumed]]*10^-3</f>
        <v>1</v>
      </c>
    </row>
    <row r="13" spans="1:10" ht="20.100000000000001" customHeight="1" x14ac:dyDescent="0.25">
      <c r="A13" s="16" t="str">
        <f>HYPERLINK("#'8.X.1.1-2 General use fuel'!A1", "8.X.1.1-2 General use fuel")</f>
        <v>8.X.1.1-2 General use fuel</v>
      </c>
    </row>
    <row r="14" spans="1:10" ht="20.100000000000001" customHeight="1" x14ac:dyDescent="0.25">
      <c r="A14" s="16"/>
    </row>
    <row r="15" spans="1:10" ht="20.100000000000001" customHeight="1" x14ac:dyDescent="0.25">
      <c r="A15" s="23" t="s">
        <v>78</v>
      </c>
    </row>
    <row r="16" spans="1:10" ht="20.100000000000001" customHeight="1" x14ac:dyDescent="0.25">
      <c r="A16" s="16" t="str">
        <f>HYPERLINK("#'Constants - Fuel'!A1", "Constants - Fuel")</f>
        <v>Constants - Fuel</v>
      </c>
    </row>
    <row r="17" spans="1:1" ht="20.100000000000001" customHeight="1" x14ac:dyDescent="0.25">
      <c r="A17" s="16"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c r="A20" s="16"/>
    </row>
    <row r="21" spans="1:1" ht="20.100000000000001" customHeight="1" x14ac:dyDescent="0.25">
      <c r="A21" s="16"/>
    </row>
    <row r="22" spans="1:1" ht="20.100000000000001" customHeight="1" x14ac:dyDescent="0.25"/>
    <row r="23" spans="1:1" ht="20.100000000000001" customHeight="1" x14ac:dyDescent="0.25">
      <c r="A23" s="16"/>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6"/>
    </row>
    <row r="30" spans="1:1" ht="20.100000000000001" customHeight="1" x14ac:dyDescent="0.25">
      <c r="A30" s="16"/>
    </row>
    <row r="31" spans="1:1" ht="20.100000000000001" customHeight="1" x14ac:dyDescent="0.25">
      <c r="A31" s="52"/>
    </row>
    <row r="32" spans="1:1" ht="20.100000000000001" customHeight="1" x14ac:dyDescent="0.25">
      <c r="A32" s="52"/>
    </row>
    <row r="33" spans="1:10" ht="20.100000000000001" customHeight="1" x14ac:dyDescent="0.25">
      <c r="A33" s="16"/>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3"/>
      <c r="J38" s="53"/>
    </row>
    <row r="39" spans="1:10" ht="20.100000000000001" customHeight="1" x14ac:dyDescent="0.25">
      <c r="A39" s="16"/>
      <c r="C39" s="53"/>
      <c r="J39" s="53"/>
    </row>
    <row r="40" spans="1:10" s="54" customFormat="1" ht="20.100000000000001" customHeight="1" x14ac:dyDescent="0.25">
      <c r="C40" s="8"/>
      <c r="D40" s="8"/>
      <c r="E40" s="8"/>
      <c r="F40" s="8"/>
      <c r="G40" s="8"/>
      <c r="H40" s="8"/>
      <c r="I40" s="8"/>
      <c r="J40" s="8"/>
    </row>
    <row r="41" spans="1:10" s="54" customFormat="1" ht="20.100000000000001" customHeight="1" x14ac:dyDescent="0.25">
      <c r="A41" s="55"/>
      <c r="C41" s="8"/>
      <c r="D41" s="8"/>
      <c r="E41" s="8"/>
      <c r="F41" s="8"/>
      <c r="G41" s="8"/>
      <c r="H41" s="8"/>
      <c r="I41" s="8"/>
      <c r="J41" s="8"/>
    </row>
    <row r="42" spans="1:10" ht="20.100000000000001" customHeight="1" x14ac:dyDescent="0.25"/>
    <row r="43" spans="1:10" ht="20.100000000000001" customHeight="1" x14ac:dyDescent="0.25"/>
    <row r="44" spans="1:10" ht="20.100000000000001" customHeight="1" x14ac:dyDescent="0.25">
      <c r="A44" s="56"/>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0" spans="4:4" x14ac:dyDescent="0.25">
      <c r="D350" s="57"/>
    </row>
  </sheetData>
  <conditionalFormatting sqref="F36">
    <cfRule type="cellIs" dxfId="33" priority="9" operator="lessThan">
      <formula>0</formula>
    </cfRule>
  </conditionalFormatting>
  <conditionalFormatting sqref="F115:F116">
    <cfRule type="cellIs" dxfId="32" priority="8" operator="lessThan">
      <formula>0</formula>
    </cfRule>
  </conditionalFormatting>
  <conditionalFormatting sqref="F127:F128">
    <cfRule type="cellIs" dxfId="31" priority="7" operator="lessThan">
      <formula>0</formula>
    </cfRule>
  </conditionalFormatting>
  <conditionalFormatting sqref="F139:F140">
    <cfRule type="cellIs" dxfId="30" priority="6" operator="lessThan">
      <formula>0</formula>
    </cfRule>
  </conditionalFormatting>
  <conditionalFormatting sqref="F151:F152">
    <cfRule type="cellIs" dxfId="29" priority="5" operator="lessThan">
      <formula>0</formula>
    </cfRule>
  </conditionalFormatting>
  <conditionalFormatting sqref="F239:F240">
    <cfRule type="cellIs" dxfId="28" priority="17" operator="lessThan">
      <formula>0</formula>
    </cfRule>
  </conditionalFormatting>
  <conditionalFormatting sqref="F244:F245">
    <cfRule type="cellIs" dxfId="27" priority="16" operator="lessThan">
      <formula>0</formula>
    </cfRule>
  </conditionalFormatting>
  <conditionalFormatting sqref="F249:F250">
    <cfRule type="cellIs" dxfId="26" priority="15" operator="lessThan">
      <formula>0</formula>
    </cfRule>
  </conditionalFormatting>
  <conditionalFormatting sqref="F273:F274">
    <cfRule type="cellIs" dxfId="25" priority="14" operator="lessThan">
      <formula>0</formula>
    </cfRule>
  </conditionalFormatting>
  <conditionalFormatting sqref="F278:F279">
    <cfRule type="cellIs" dxfId="24" priority="13" operator="lessThan">
      <formula>0</formula>
    </cfRule>
  </conditionalFormatting>
  <conditionalFormatting sqref="F283:F284">
    <cfRule type="cellIs" dxfId="23" priority="12" operator="lessThan">
      <formula>0</formula>
    </cfRule>
  </conditionalFormatting>
  <conditionalFormatting sqref="I20 I22:I26 I30:I31 H32:H34 I35 I37:I39 I41:I42 I193 E199:G199 I199">
    <cfRule type="cellIs" dxfId="22" priority="11" operator="lessThan">
      <formula>0</formula>
    </cfRule>
  </conditionalFormatting>
  <conditionalFormatting sqref="I46:I50">
    <cfRule type="cellIs" dxfId="21" priority="4" operator="lessThan">
      <formula>0</formula>
    </cfRule>
  </conditionalFormatting>
  <conditionalFormatting sqref="I54 I113">
    <cfRule type="cellIs" dxfId="20" priority="10" operator="lessThan">
      <formula>0</formula>
    </cfRule>
  </conditionalFormatting>
  <conditionalFormatting sqref="I65:I67">
    <cfRule type="cellIs" dxfId="19" priority="3" operator="lessThan">
      <formula>0</formula>
    </cfRule>
  </conditionalFormatting>
  <conditionalFormatting sqref="I71:I74">
    <cfRule type="cellIs" dxfId="18" priority="2" operator="lessThan">
      <formula>0</formula>
    </cfRule>
  </conditionalFormatting>
  <conditionalFormatting sqref="I78:I82">
    <cfRule type="cellIs" dxfId="17" priority="1" operator="lessThan">
      <formula>0</formula>
    </cfRule>
  </conditionalFormatting>
  <dataValidations count="9">
    <dataValidation type="list" allowBlank="1" showInputMessage="1" showErrorMessage="1" sqref="D11:D12" xr:uid="{AB05C837-AE8B-4535-9828-0C4A841DBABE}">
      <formula1>INDIRECT("Table_FuelTypesPerUse[#Headers]")</formula1>
    </dataValidation>
    <dataValidation type="list" allowBlank="1" showInputMessage="1" showErrorMessage="1" sqref="D33:D34" xr:uid="{E61046C4-2597-462B-8601-A71BA10ADC4B}">
      <formula1>INDIRECT("Table_SourceData_OrganicFertiliserTypes[Organic fertiliser type]")</formula1>
    </dataValidation>
    <dataValidation type="list" allowBlank="1" showInputMessage="1" showErrorMessage="1" sqref="H13:H14" xr:uid="{CB064B41-B1CB-47F8-811A-5923DE4D14B4}">
      <formula1>INDIRECT("Table_Fertiliser_ChemicalCompounds[Fertiliser type f]")</formula1>
    </dataValidation>
    <dataValidation type="list" allowBlank="1" showInputMessage="1" showErrorMessage="1" sqref="E53" xr:uid="{0EF9A726-27B5-435D-9717-19BF8055C1BD}">
      <formula1>INDIRECT("Table_SourceData_Swine_CropProdSystems[Production system]")</formula1>
    </dataValidation>
    <dataValidation type="list" allowBlank="1" showInputMessage="1" showErrorMessage="1" sqref="E54" xr:uid="{98AF71EF-A6CF-4E35-BE64-B07AAB53937E}">
      <formula1>INDIRECT("Table_SourceData_Swine_IrrigationMethods[Irrigation method]")</formula1>
    </dataValidation>
    <dataValidation type="list" allowBlank="1" showInputMessage="1" showErrorMessage="1" sqref="E238 E243 E248 E282 E277 E272 E150 E138 E114 E126" xr:uid="{300F7878-07F3-4F04-BED9-4696EEC1A88D}">
      <formula1>"Yes, No"</formula1>
    </dataValidation>
    <dataValidation type="list" allowBlank="1" showInputMessage="1" showErrorMessage="1" sqref="E214" xr:uid="{B6A52EB3-2524-4DF6-B092-A157B0196195}">
      <formula1>INDIRECT("Table_SourceData_Dairy_ProductionSystemTemplates[Area]")</formula1>
    </dataValidation>
    <dataValidation type="list" allowBlank="1" showInputMessage="1" showErrorMessage="1" sqref="D266" xr:uid="{7B99DD2A-31EE-40A0-B38A-69AC69E22FD9}">
      <formula1>INDIRECT("Table_SourceData_PoultryMMSStage1[MMS]")</formula1>
    </dataValidation>
    <dataValidation type="list" allowBlank="1" showInputMessage="1" showErrorMessage="1" sqref="E11:E12" xr:uid="{0445C2B7-1C90-4304-96FE-3C15DC2D16F4}">
      <formula1>_xlfn.TRIMRANGE(INDIRECT("Table_FuelTypesPerUse["&amp;D11&amp;"]"))</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dimension ref="A1:L365"/>
  <sheetViews>
    <sheetView showGridLines="0" topLeftCell="A19" zoomScaleNormal="100" workbookViewId="0">
      <selection activeCell="G27" sqref="G27"/>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246</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247</v>
      </c>
    </row>
    <row r="6" spans="1:10" ht="20.100000000000001" customHeight="1" x14ac:dyDescent="0.25">
      <c r="A6" s="18"/>
    </row>
    <row r="7" spans="1:10" ht="20.100000000000001" customHeight="1" x14ac:dyDescent="0.25">
      <c r="A7" s="19" t="s">
        <v>67</v>
      </c>
      <c r="D7" s="74" t="s">
        <v>248</v>
      </c>
    </row>
    <row r="8" spans="1:10" ht="20.100000000000001" customHeight="1" x14ac:dyDescent="0.25">
      <c r="A8" s="43" t="str">
        <f>HYPERLINK("#'Input - Electricity'!A1", "Electricity")</f>
        <v>Electricity</v>
      </c>
    </row>
    <row r="9" spans="1:10" ht="20.100000000000001" customHeight="1" x14ac:dyDescent="0.25">
      <c r="A9" s="16"/>
      <c r="D9" s="100" t="s">
        <v>249</v>
      </c>
      <c r="E9" s="101"/>
      <c r="F9" s="14"/>
    </row>
    <row r="10" spans="1:10" ht="20.100000000000001" customHeight="1" x14ac:dyDescent="0.25">
      <c r="A10" s="21" t="s">
        <v>77</v>
      </c>
      <c r="D10" s="14"/>
      <c r="E10" s="14"/>
      <c r="F10" s="14"/>
    </row>
    <row r="11" spans="1:10" ht="20.100000000000001" customHeight="1" x14ac:dyDescent="0.25">
      <c r="A11" s="16" t="str">
        <f>HYPERLINK("#'14.1.1-2 Purchased electricity'!A1", "14.1.1-2 Purchased electricity")</f>
        <v>14.1.1-2 Purchased electricity</v>
      </c>
      <c r="D11" s="8" t="s">
        <v>250</v>
      </c>
      <c r="E11" s="102">
        <v>500</v>
      </c>
      <c r="F11" s="68" t="s">
        <v>251</v>
      </c>
    </row>
    <row r="12" spans="1:10" ht="20.100000000000001" customHeight="1" x14ac:dyDescent="0.25">
      <c r="A12" s="16"/>
      <c r="D12" s="8" t="s">
        <v>252</v>
      </c>
      <c r="E12" s="50" t="str">
        <f>IF('Input - Site'!E21="Western Australia", 'Input - Site'!E22, 'Input - Site'!E21)</f>
        <v>ACT</v>
      </c>
      <c r="F12" s="14"/>
    </row>
    <row r="13" spans="1:10" ht="20.100000000000001" customHeight="1" x14ac:dyDescent="0.25">
      <c r="A13" s="23" t="s">
        <v>78</v>
      </c>
      <c r="D13" s="8" t="s">
        <v>253</v>
      </c>
      <c r="E13" s="48" t="s">
        <v>343</v>
      </c>
      <c r="F13" s="68" t="s">
        <v>198</v>
      </c>
    </row>
    <row r="14" spans="1:10" ht="20.100000000000001" customHeight="1" x14ac:dyDescent="0.25">
      <c r="A14" s="16" t="str">
        <f>HYPERLINK("#'Constants - Electricity'!A1", "Constants - Electricity")</f>
        <v>Constants - Electricity</v>
      </c>
    </row>
    <row r="15" spans="1:10" ht="20.100000000000001" customHeight="1" x14ac:dyDescent="0.25">
      <c r="A15" s="16" t="str">
        <f>HYPERLINK("#'Constants - Common'!A1", "Constants - Common")</f>
        <v>Constants - Common</v>
      </c>
    </row>
    <row r="16" spans="1:10" ht="20.100000000000001" customHeight="1" x14ac:dyDescent="0.25">
      <c r="C16" s="103"/>
      <c r="D16" s="103"/>
      <c r="E16" s="103"/>
      <c r="F16" s="103"/>
      <c r="G16" s="103"/>
      <c r="H16" s="103"/>
      <c r="I16" s="103"/>
      <c r="J16" s="103"/>
    </row>
    <row r="17" spans="1:11" ht="20.100000000000001" customHeight="1" x14ac:dyDescent="0.25">
      <c r="D17" s="9" t="s">
        <v>254</v>
      </c>
    </row>
    <row r="18" spans="1:11" ht="20.100000000000001" customHeight="1" x14ac:dyDescent="0.25">
      <c r="E18" s="57" t="str">
        <f>IF(E12="ACT", "", "ALERT: Your farm is not in the ACT, so the JRPP is not applicable")</f>
        <v/>
      </c>
    </row>
    <row r="19" spans="1:11" ht="20.100000000000001" customHeight="1" x14ac:dyDescent="0.25">
      <c r="D19" s="8" t="s">
        <v>255</v>
      </c>
      <c r="E19" s="102">
        <v>30000</v>
      </c>
      <c r="F19" s="68" t="s">
        <v>251</v>
      </c>
    </row>
    <row r="20" spans="1:11" ht="20.100000000000001" customHeight="1" x14ac:dyDescent="0.25">
      <c r="A20" s="16"/>
      <c r="D20" s="8" t="s">
        <v>256</v>
      </c>
      <c r="E20" s="90">
        <v>0.1</v>
      </c>
      <c r="F20" s="68" t="s">
        <v>257</v>
      </c>
    </row>
    <row r="21" spans="1:11" ht="20.100000000000001" customHeight="1" x14ac:dyDescent="0.25">
      <c r="A21" s="16"/>
      <c r="D21" s="8" t="s">
        <v>258</v>
      </c>
      <c r="E21" s="90">
        <v>0.1</v>
      </c>
      <c r="F21" s="68" t="s">
        <v>257</v>
      </c>
    </row>
    <row r="22" spans="1:11" ht="20.100000000000001" customHeight="1" x14ac:dyDescent="0.25"/>
    <row r="23" spans="1:11" ht="20.100000000000001" customHeight="1" x14ac:dyDescent="0.25">
      <c r="A23" s="16"/>
      <c r="D23" s="8" t="s">
        <v>259</v>
      </c>
      <c r="E23" s="102">
        <v>10000</v>
      </c>
      <c r="F23" s="68" t="s">
        <v>251</v>
      </c>
    </row>
    <row r="24" spans="1:11" ht="20.100000000000001" customHeight="1" x14ac:dyDescent="0.25"/>
    <row r="25" spans="1:11" ht="20.100000000000001" customHeight="1" x14ac:dyDescent="0.25">
      <c r="D25" s="8" t="s">
        <v>260</v>
      </c>
      <c r="E25" s="104" t="str">
        <f>TEXT('Input - Site'!$E$12, "dd mmm yyyy")</f>
        <v>01 Jan 2024</v>
      </c>
    </row>
    <row r="26" spans="1:11" ht="20.100000000000001" customHeight="1" x14ac:dyDescent="0.25">
      <c r="D26" s="8" t="s">
        <v>261</v>
      </c>
      <c r="E26" s="104" t="str">
        <f>TEXT('Input - Site'!$E$13, "dd mmm yyyy")</f>
        <v>31 Dec 2024</v>
      </c>
    </row>
    <row r="27" spans="1:11" ht="20.100000000000001" customHeight="1" x14ac:dyDescent="0.25"/>
    <row r="28" spans="1:11" ht="20.100000000000001" customHeight="1" x14ac:dyDescent="0.25">
      <c r="D28" s="74" t="s">
        <v>262</v>
      </c>
    </row>
    <row r="29" spans="1:11" ht="20.100000000000001" customHeight="1" x14ac:dyDescent="0.25">
      <c r="A29" s="16"/>
      <c r="K29" s="54"/>
    </row>
    <row r="30" spans="1:11" ht="20.100000000000001" customHeight="1" x14ac:dyDescent="0.25">
      <c r="A30" s="16"/>
      <c r="D30" s="100" t="s">
        <v>123</v>
      </c>
      <c r="E30" s="101"/>
      <c r="K30" s="54"/>
    </row>
    <row r="31" spans="1:11" ht="20.100000000000001" customHeight="1" x14ac:dyDescent="0.25">
      <c r="A31" s="52"/>
      <c r="K31" s="54"/>
    </row>
    <row r="32" spans="1:11" ht="20.100000000000001" customHeight="1" x14ac:dyDescent="0.25">
      <c r="A32" s="52"/>
      <c r="D32" s="47" t="s">
        <v>263</v>
      </c>
      <c r="E32" s="47" t="s">
        <v>264</v>
      </c>
      <c r="F32" s="47" t="s">
        <v>265</v>
      </c>
      <c r="G32" s="47" t="s">
        <v>266</v>
      </c>
      <c r="H32" s="47" t="s">
        <v>267</v>
      </c>
      <c r="I32" s="47" t="s">
        <v>268</v>
      </c>
      <c r="K32" s="54"/>
    </row>
    <row r="33" spans="1:12" ht="20.100000000000001" customHeight="1" x14ac:dyDescent="0.25">
      <c r="A33" s="16"/>
      <c r="D33" s="10" t="s">
        <v>269</v>
      </c>
      <c r="E33" s="48" t="s">
        <v>270</v>
      </c>
      <c r="F33" s="105">
        <v>44185</v>
      </c>
      <c r="G33" s="10">
        <v>12</v>
      </c>
      <c r="H33" s="50">
        <f>Table_Input_RECSurrendered[[#This Row],[Number of certificates]]</f>
        <v>12</v>
      </c>
      <c r="I33" s="50" t="str">
        <f>IF(DATEDIF(Table_Input_RECSurrendered[[#This Row],[Generation date]],DATEVALUE($E$26),"M")&gt;36,"Ineligible - older than 36 months","Elegible")</f>
        <v>Ineligible - older than 36 months</v>
      </c>
      <c r="K33" s="54"/>
    </row>
    <row r="34" spans="1:12" ht="20.100000000000001" customHeight="1" x14ac:dyDescent="0.25">
      <c r="D34" s="10"/>
      <c r="E34" s="48" t="s">
        <v>271</v>
      </c>
      <c r="F34" s="105">
        <v>44575</v>
      </c>
      <c r="G34" s="10">
        <v>5</v>
      </c>
      <c r="H34" s="50">
        <f>Table_Input_RECSurrendered[[#This Row],[Number of certificates]]</f>
        <v>5</v>
      </c>
      <c r="I34" s="50" t="str">
        <f>IF(DATEDIF(Table_Input_RECSurrendered[[#This Row],[Generation date]],DATEVALUE($E$26),"M")&gt;36,"Ineligible - older than 36 months","Elegible")</f>
        <v>Elegible</v>
      </c>
      <c r="K34" s="54"/>
    </row>
    <row r="35" spans="1:12" ht="20.100000000000001" customHeight="1" x14ac:dyDescent="0.25">
      <c r="D35" s="10"/>
      <c r="E35" s="48" t="s">
        <v>270</v>
      </c>
      <c r="F35" s="105">
        <v>45438</v>
      </c>
      <c r="G35" s="10">
        <v>5</v>
      </c>
      <c r="H35" s="50">
        <f>Table_Input_RECSurrendered[[#This Row],[Number of certificates]]</f>
        <v>5</v>
      </c>
      <c r="I35" s="50" t="str">
        <f>IF(DATEDIF(Table_Input_RECSurrendered[[#This Row],[Generation date]],DATEVALUE($E$26),"M")&gt;36,"Ineligible - older than 36 months","Elegible")</f>
        <v>Elegible</v>
      </c>
    </row>
    <row r="36" spans="1:12" ht="20.100000000000001" customHeight="1" x14ac:dyDescent="0.25">
      <c r="L36" s="54"/>
    </row>
    <row r="37" spans="1:12" ht="20.100000000000001" customHeight="1" x14ac:dyDescent="0.25">
      <c r="D37" s="8" t="s">
        <v>272</v>
      </c>
      <c r="E37" s="50">
        <f>SUMIF(Table_Input_RECSurrendered[Elegibility], "Elegible", Table_Input_RECSurrendered[MWh])</f>
        <v>10</v>
      </c>
      <c r="F37" s="68" t="s">
        <v>267</v>
      </c>
      <c r="L37" s="54"/>
    </row>
    <row r="38" spans="1:12" ht="20.100000000000001" customHeight="1" x14ac:dyDescent="0.25">
      <c r="C38" s="53"/>
    </row>
    <row r="39" spans="1:12" ht="20.100000000000001" customHeight="1" x14ac:dyDescent="0.25">
      <c r="A39" s="16"/>
      <c r="C39" s="53"/>
      <c r="D39" s="74" t="s">
        <v>273</v>
      </c>
      <c r="J39" s="53"/>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47" t="s">
        <v>263</v>
      </c>
      <c r="E41" s="47" t="s">
        <v>143</v>
      </c>
      <c r="F41" s="47" t="s">
        <v>265</v>
      </c>
      <c r="G41" s="47" t="s">
        <v>266</v>
      </c>
      <c r="H41" s="47" t="s">
        <v>267</v>
      </c>
      <c r="I41" s="47" t="s">
        <v>268</v>
      </c>
      <c r="J41" s="8"/>
      <c r="L41" s="54" t="s">
        <v>274</v>
      </c>
    </row>
    <row r="42" spans="1:12" ht="20.100000000000001" customHeight="1" x14ac:dyDescent="0.25">
      <c r="D42" s="10" t="s">
        <v>275</v>
      </c>
      <c r="E42" s="106" t="str">
        <f>"Issued for generated electricity"</f>
        <v>Issued for generated electricity</v>
      </c>
      <c r="F42" s="105">
        <v>44697</v>
      </c>
      <c r="G42" s="10">
        <v>10</v>
      </c>
      <c r="H42" s="50">
        <f>Table_Input_RECConsumedByEntity[[#This Row],[Number of certificates]]</f>
        <v>10</v>
      </c>
      <c r="I42" s="50"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10"/>
      <c r="E43" s="106" t="str">
        <f>"Issued for generated electricity"</f>
        <v>Issued for generated electricity</v>
      </c>
      <c r="F43" s="105">
        <v>45483</v>
      </c>
      <c r="G43" s="10">
        <v>4</v>
      </c>
      <c r="H43" s="50">
        <f>Table_Input_RECConsumedByEntity[[#This Row],[Number of certificates]]</f>
        <v>4</v>
      </c>
      <c r="I43" s="50" t="str">
        <f>IF(AND(Table_Input_RECConsumedByEntity[[#This Row],[Generation date]]&gt;=DATEVALUE($E$25), Table_Input_RECConsumedByEntity[[#This Row],[Generation date]]&lt;= DATEVALUE($E$26)), "Elegible", "Ineligible - outside reporting year")</f>
        <v>Elegible</v>
      </c>
    </row>
    <row r="44" spans="1:12" ht="20.100000000000001" customHeight="1" x14ac:dyDescent="0.25">
      <c r="A44" s="56"/>
      <c r="D44" s="10"/>
      <c r="E44" s="106" t="str">
        <f>"Issued for generated electricity"</f>
        <v>Issued for generated electricity</v>
      </c>
      <c r="F44" s="105">
        <v>45607</v>
      </c>
      <c r="G44" s="10">
        <v>7</v>
      </c>
      <c r="H44" s="50">
        <f>Table_Input_RECConsumedByEntity[[#This Row],[Number of certificates]]</f>
        <v>7</v>
      </c>
      <c r="I44" s="50" t="str">
        <f>IF(AND(Table_Input_RECConsumedByEntity[[#This Row],[Generation date]]&gt;=DATEVALUE($E$25), Table_Input_RECConsumedByEntity[[#This Row],[Generation date]]&lt;= DATEVALUE($E$26)), "Elegible", "Ineligible - outside reporting year")</f>
        <v>Elegible</v>
      </c>
    </row>
    <row r="45" spans="1:12" ht="20.100000000000001" customHeight="1" x14ac:dyDescent="0.25"/>
    <row r="46" spans="1:12" ht="20.100000000000001" customHeight="1" x14ac:dyDescent="0.25">
      <c r="D46" s="8" t="s">
        <v>276</v>
      </c>
      <c r="E46" s="50">
        <f>SUMIF(Table_Input_RECConsumedByEntity[Elegibility], "Elegible", Table_Input_RECConsumedByEntity[Number of certificates])</f>
        <v>11</v>
      </c>
      <c r="F46" s="68" t="s">
        <v>267</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107"/>
    </row>
    <row r="54" spans="4:4" ht="20.100000000000001" customHeight="1" x14ac:dyDescent="0.25"/>
    <row r="55" spans="4:4" ht="20.100000000000001" customHeight="1" x14ac:dyDescent="0.25">
      <c r="D55" s="107"/>
    </row>
    <row r="56" spans="4:4" ht="20.100000000000001" customHeight="1" x14ac:dyDescent="0.25">
      <c r="D56" s="107"/>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1 I45:I46 H47:H49 I48 I50:I52 I54:I55 I206 I212 E214:G214">
    <cfRule type="cellIs" dxfId="1" priority="11" operator="lessThan">
      <formula>0</formula>
    </cfRule>
  </conditionalFormatting>
  <conditionalFormatting sqref="J35 I36 J37 I39 F51">
    <cfRule type="cellIs" dxfId="0" priority="9" operator="lessThan">
      <formula>0</formula>
    </cfRule>
  </conditionalFormatting>
  <dataValidations count="6">
    <dataValidation type="list" allowBlank="1" showInputMessage="1" showErrorMessage="1" sqref="E33:E35" xr:uid="{FBACCABC-AF99-44FB-9146-6F32E67A5303}">
      <formula1>"Purchased certificate, Issued for generated electricity"</formula1>
    </dataValidation>
    <dataValidation type="list" allowBlank="1" showInputMessage="1" showErrorMessage="1" sqref="E13"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dimension ref="A1:AJ231"/>
  <sheetViews>
    <sheetView showGridLines="0" topLeftCell="A78" zoomScaleNormal="100" workbookViewId="0">
      <selection activeCell="A21" sqref="A21"/>
    </sheetView>
  </sheetViews>
  <sheetFormatPr defaultRowHeight="15.75" x14ac:dyDescent="0.25"/>
  <cols>
    <col min="1" max="1" width="30.625" customWidth="1"/>
    <col min="2" max="2" width="4.625" customWidth="1"/>
    <col min="3" max="3" width="4.625" style="8" customWidth="1"/>
    <col min="4" max="35" width="30.625" style="8" customWidth="1"/>
    <col min="36" max="36" width="9" style="8"/>
  </cols>
  <sheetData>
    <row r="1" spans="4:29" ht="30" customHeight="1" x14ac:dyDescent="0.25">
      <c r="F1" s="8" t="s">
        <v>637</v>
      </c>
    </row>
    <row r="2" spans="4:29" ht="20.100000000000001" customHeight="1" x14ac:dyDescent="0.25">
      <c r="F2" s="8" t="s">
        <v>636</v>
      </c>
    </row>
    <row r="3" spans="4:29" ht="20.100000000000001" customHeight="1" x14ac:dyDescent="0.25">
      <c r="D3" s="9" t="s">
        <v>406</v>
      </c>
      <c r="F3" s="100" t="s">
        <v>405</v>
      </c>
      <c r="G3" s="116"/>
      <c r="H3" s="101"/>
    </row>
    <row r="4" spans="4:29" ht="20.100000000000001" customHeight="1" x14ac:dyDescent="0.25"/>
    <row r="5" spans="4:29" ht="20.100000000000001" customHeight="1" x14ac:dyDescent="0.25">
      <c r="D5" s="47" t="s">
        <v>221</v>
      </c>
      <c r="E5" s="47" t="s">
        <v>391</v>
      </c>
      <c r="F5" s="60" t="s">
        <v>390</v>
      </c>
      <c r="G5" s="60" t="s">
        <v>387</v>
      </c>
      <c r="H5" s="47" t="s">
        <v>393</v>
      </c>
      <c r="I5" s="60" t="s">
        <v>388</v>
      </c>
      <c r="J5" s="60" t="s">
        <v>175</v>
      </c>
      <c r="K5" s="60" t="s">
        <v>176</v>
      </c>
      <c r="L5" s="60" t="s">
        <v>177</v>
      </c>
      <c r="M5" s="60" t="s">
        <v>178</v>
      </c>
      <c r="N5" s="60" t="s">
        <v>378</v>
      </c>
      <c r="O5" s="60" t="s">
        <v>179</v>
      </c>
      <c r="P5" s="60" t="s">
        <v>180</v>
      </c>
      <c r="Q5" s="60" t="s">
        <v>382</v>
      </c>
      <c r="R5" s="60" t="s">
        <v>181</v>
      </c>
      <c r="S5" s="60" t="s">
        <v>182</v>
      </c>
      <c r="T5" s="60" t="s">
        <v>383</v>
      </c>
      <c r="U5" s="60" t="s">
        <v>183</v>
      </c>
      <c r="V5" s="60" t="s">
        <v>184</v>
      </c>
      <c r="W5" s="60" t="s">
        <v>384</v>
      </c>
      <c r="X5" s="60" t="s">
        <v>185</v>
      </c>
      <c r="Y5" s="60" t="s">
        <v>186</v>
      </c>
      <c r="Z5" s="60" t="s">
        <v>385</v>
      </c>
      <c r="AA5" s="60" t="s">
        <v>187</v>
      </c>
      <c r="AB5" s="60" t="s">
        <v>188</v>
      </c>
      <c r="AC5" s="60" t="s">
        <v>386</v>
      </c>
    </row>
    <row r="6" spans="4:29" ht="20.100000000000001" customHeight="1" x14ac:dyDescent="0.25">
      <c r="D6" s="50" t="str" cm="1">
        <f t="array" ref="D6:D25">IFERROR(INDEX(Table_Input_InorganicFertiliser_Brands[Product (select)], _xlfn.SEQUENCE(20)), "")</f>
        <v>CoRoN 12-0-10</v>
      </c>
      <c r="E6" s="50" cm="1">
        <f t="array" ref="E6:E25">IFERROR(INDEX(Table_Input_InorganicFertiliser_Brands[Total applied (kg)], _xlfn.SEQUENCE(20)), "")</f>
        <v>12150.000000000002</v>
      </c>
      <c r="F6" s="50">
        <f>IFERROR((M6*N6)+(P6*Q6)+(S6*T6)+(V6*W6)+(Y6*Z6)+(AB6*AC6), 0)</f>
        <v>0.40629130443200001</v>
      </c>
      <c r="G6" s="168">
        <f>IFERROR(F6*E6, 0)</f>
        <v>4936.4393488488013</v>
      </c>
      <c r="H6" s="69">
        <v>0.4</v>
      </c>
      <c r="I6" s="168">
        <f>IFERROR(IF(H6, E6*H6, E6*F6),0)</f>
        <v>4860.0000000000009</v>
      </c>
      <c r="J6" s="50" t="str" cm="1">
        <f t="array" ref="J6:J25">IFERROR(INDEX(Table_Input_InorganicFertiliser_Brands[Urea source], _xlfn.SEQUENCE(20)), "")</f>
        <v/>
      </c>
      <c r="K6" s="50" t="str" cm="1">
        <f t="array" ref="K6:K25">IFERROR(INDEX(Table_Input_InorganicFertiliser_Brands[Ammonia source], _xlfn.SEQUENCE(20)), "")</f>
        <v/>
      </c>
      <c r="L6" s="50" t="str" cm="1">
        <f t="array" ref="L6:L25">IFERROR(INDEX(Table_Input_InorganicFertiliser_Brands[Ingredient 1], _xlfn.SEQUENCE(20)), "")</f>
        <v>Urea</v>
      </c>
      <c r="M6" s="50" cm="1">
        <f t="array" ref="M6:M25">IFERROR(INDEX(_xlfn.LET(_xlpm.result, Table_Input_InorganicFertiliser_Brands[Ingredient 1 percent], IF(_xlpm.result="", 0, _xlpm.result)), _xlfn.SEQUENCE(20)), "")</f>
        <v>0.19565217400000001</v>
      </c>
      <c r="N6" s="50" cm="1">
        <f t="array" ref="N6">_xlfn.LET(_xlpm.result, Common_InputFunctions.Utility_LookupValueInTableTwoColumns(L6, _xlfn.IFS(L6="Urea",IF($J6="", "Global", $J6), L6="Ammonia", IF($K6="", "Global", $K6), TRUE, "Global"), Table_SourceData_Scope3_InorganicFertiliser[Chemical compound],Table_SourceData_Scope3_InorganicFertiliser[Region of origin],Table_SourceData_Scope3_InorganicFertiliser[AusLCI Emissions intensity]), IF(_xlpm.result="", 0, _xlpm.result))</f>
        <v>0.96799999999999997</v>
      </c>
      <c r="O6" s="50" t="str" cm="1">
        <f t="array" ref="O6:O25">IFERROR(INDEX(Table_Input_InorganicFertiliser_Brands[Ingredient 2], _xlfn.SEQUENCE(20)), "")</f>
        <v>Potassium - Generic</v>
      </c>
      <c r="P6" s="50" cm="1">
        <f t="array" ref="P6:P25">IFERROR(INDEX(_xlfn.LET(_xlpm.result, Table_Input_InorganicFertiliser_Brands[Ingredient 2 percent], IF(_xlpm.result="", 0, _xlpm.result)), _xlfn.SEQUENCE(20)), "")</f>
        <v>0.1</v>
      </c>
      <c r="Q6" s="50" cm="1">
        <f t="array" ref="Q6">_xlfn.LET(_xlpm.result, Common_InputFunctions.Utility_LookupValueInTableTwoColumns(O6, _xlfn.IFS(O6="Urea",IF($J6="", "Global", $J6), O6="Ammonia", IF($K6="", "Global", $K6), TRUE, "Global"), Table_SourceData_Scope3_InorganicFertiliser[Chemical compound],Table_SourceData_Scope3_InorganicFertiliser[Region of origin],Table_SourceData_Scope3_InorganicFertiliser[AusLCI Emissions intensity]), IF(_xlpm.result="", 0, _xlpm.result))</f>
        <v>0.90900000000000003</v>
      </c>
      <c r="R6" s="50" t="str" cm="1">
        <f t="array" ref="R6:R25">IFERROR(INDEX(Table_Input_InorganicFertiliser_Brands[Ingredient 3], _xlfn.SEQUENCE(20)), "")</f>
        <v>Nitrogen - Generic</v>
      </c>
      <c r="S6" s="50" cm="1">
        <f t="array" ref="S6:S25">IFERROR(INDEX(_xlfn.LET(_xlpm.result, Table_Input_InorganicFertiliser_Brands[Ingredient 3 percent], IF(_xlpm.result="", 0, _xlpm.result)), _xlfn.SEQUENCE(20)), "")</f>
        <v>0.03</v>
      </c>
      <c r="T6" s="50" cm="1">
        <f t="array" ref="T6">_xlfn.LET(_xlpm.result, Common_InputFunctions.Utility_LookupValueInTableTwoColumns(R6, _xlfn.IFS(R6="Urea",IF($J6="", "Global", $J6), R6="Ammonia", IF($K6="", "Global", $K6), TRUE, "Global"), Table_SourceData_Scope3_InorganicFertiliser[Chemical compound],Table_SourceData_Scope3_InorganicFertiliser[Region of origin],Table_SourceData_Scope3_InorganicFertiliser[AusLCI Emissions intensity]), IF(_xlpm.result="", 0, _xlpm.result))</f>
        <v>4.2</v>
      </c>
      <c r="U6" s="50" t="str" cm="1">
        <f t="array" ref="U6:U25">IFERROR(INDEX(Table_Input_InorganicFertiliser_Brands[Ingredient 4], _xlfn.SEQUENCE(20)), "")</f>
        <v>Boron</v>
      </c>
      <c r="V6" s="50" cm="1">
        <f t="array" ref="V6:V25">IFERROR(INDEX(_xlfn.LET(_xlpm.result, Table_Input_InorganicFertiliser_Brands[Ingredient 4 percent], IF(_xlpm.result="", 0, _xlpm.result)), _xlfn.SEQUENCE(20)), "")</f>
        <v>5.0000000000000001E-3</v>
      </c>
      <c r="W6" s="50" cm="1">
        <f t="array" ref="W6">_xlfn.LET(_xlpm.result, Common_InputFunctions.Utility_LookupValueInTableTwoColumns(U6, _xlfn.IFS(U6="Urea",IF($J6="", "Global", $J6), U6="Ammonia", IF($K6="", "Global", $K6), TRUE, "Global"), Table_SourceData_Scope3_InorganicFertiliser[Chemical compound],Table_SourceData_Scope3_InorganicFertiliser[Region of origin],Table_SourceData_Scope3_InorganicFertiliser[AusLCI Emissions intensity]), IF(_xlpm.result="", 0, _xlpm.result))</f>
        <v>0</v>
      </c>
      <c r="X6" s="50" t="str" cm="1">
        <f t="array" ref="X6:X25">IFERROR(INDEX(Table_Input_InorganicFertiliser_Brands[Ingredient 5], _xlfn.SEQUENCE(20)), "")</f>
        <v/>
      </c>
      <c r="Y6" s="50" cm="1">
        <f t="array" ref="Y6:Y25">IFERROR(INDEX(_xlfn.LET(_xlpm.result, Table_Input_InorganicFertiliser_Brands[Ingredient 5 percent], IF(_xlpm.result="", 0, _xlpm.result)), _xlfn.SEQUENCE(20)), "")</f>
        <v>0</v>
      </c>
      <c r="Z6" s="50" cm="1">
        <f t="array" ref="Z6">_xlfn.LET(_xlpm.result, Common_InputFunctions.Utility_LookupValueInTableTwoColumns(X6, _xlfn.IFS(X6="Urea",IF($J6="", "Global", $J6), X6="Ammonia", IF($K6="", "Global", $K6), TRUE, "Global"), Table_SourceData_Scope3_InorganicFertiliser[Chemical compound],Table_SourceData_Scope3_InorganicFertiliser[Region of origin],Table_SourceData_Scope3_InorganicFertiliser[AusLCI Emissions intensity]), IF(_xlpm.result="", 0, _xlpm.result))</f>
        <v>0</v>
      </c>
      <c r="AA6" s="50" t="str" cm="1">
        <f t="array" ref="AA6:AA25">IFERROR(INDEX(Table_Input_InorganicFertiliser_Brands[Ingredient 6], _xlfn.SEQUENCE(20)), "")</f>
        <v/>
      </c>
      <c r="AB6" s="50" cm="1">
        <f t="array" ref="AB6:AB25">IFERROR(INDEX(_xlfn.LET(_xlpm.result, Table_Input_InorganicFertiliser_Brands[Ingredient 6 percent], IF(_xlpm.result="", 0, _xlpm.result)), _xlfn.SEQUENCE(20)), "")</f>
        <v>0</v>
      </c>
      <c r="AC6" s="50" cm="1">
        <f t="array" ref="AC6">_xlfn.LET(_xlpm.result, Common_InputFunctions.Utility_LookupValueInTableTwoColumns(AA6, _xlfn.IFS(AA6="Urea",IF($J6="", "Global", $J6), AA6="Ammonia", IF($K6="", "Global", $K6), TRUE, "Global"), Table_SourceData_Scope3_InorganicFertiliser[Chemical compound],Table_SourceData_Scope3_InorganicFertiliser[Region of origin],Table_SourceData_Scope3_InorganicFertiliser[AusLCI Emissions intensity]), IF(_xlpm.result="", 0, _xlpm.result))</f>
        <v>0</v>
      </c>
    </row>
    <row r="7" spans="4:29" ht="20.100000000000001" customHeight="1" x14ac:dyDescent="0.25">
      <c r="D7" s="50" t="str">
        <v>Boost-It</v>
      </c>
      <c r="E7" s="50">
        <v>20000</v>
      </c>
      <c r="F7" s="50">
        <f t="shared" ref="F7:F25" si="0">IFERROR((M7*N7)+(P7*Q7)+(S7*T7)+(V7*W7)+(Y7*Z7)+(AB7*AC7), 0)</f>
        <v>0.91618347784000009</v>
      </c>
      <c r="G7" s="168">
        <f t="shared" ref="G7:G25" si="1">IFERROR(F7*E7, 0)</f>
        <v>18323.669556800003</v>
      </c>
      <c r="H7" s="69">
        <v>0.9</v>
      </c>
      <c r="I7" s="168">
        <f t="shared" ref="I7:I25" si="2">IFERROR(IF(H7, E7*H7, E7*F7),0)</f>
        <v>18000</v>
      </c>
      <c r="J7" s="50" t="str">
        <v/>
      </c>
      <c r="K7" s="50" t="str">
        <v/>
      </c>
      <c r="L7" s="50" t="str">
        <v>Urea</v>
      </c>
      <c r="M7" s="50">
        <v>0.52173913000000005</v>
      </c>
      <c r="N7" s="50" cm="1">
        <f t="array" ref="N7">_xlfn.LET(_xlpm.result, Common_InputFunctions.Utility_LookupValueInTableTwoColumns(L7, _xlfn.IFS(L7="Urea",IF($J7="", "Global", $J7), L7="Ammonia", IF($K7="", "Global", $K7), TRUE, "Global"), Table_SourceData_Scope3_InorganicFertiliser[Chemical compound],Table_SourceData_Scope3_InorganicFertiliser[Region of origin],Table_SourceData_Scope3_InorganicFertiliser[AusLCI Emissions intensity]), IF(_xlpm.result="", 0, _xlpm.result))</f>
        <v>0.96799999999999997</v>
      </c>
      <c r="O7" s="50" t="str">
        <v>Potassium - Generic</v>
      </c>
      <c r="P7" s="50">
        <v>0.08</v>
      </c>
      <c r="Q7" s="50" cm="1">
        <f t="array" ref="Q7">_xlfn.LET(_xlpm.result, Common_InputFunctions.Utility_LookupValueInTableTwoColumns(O7, _xlfn.IFS(O7="Urea",IF($J7="", "Global", $J7), O7="Ammonia", IF($K7="", "Global", $K7), TRUE, "Global"), Table_SourceData_Scope3_InorganicFertiliser[Chemical compound],Table_SourceData_Scope3_InorganicFertiliser[Region of origin],Table_SourceData_Scope3_InorganicFertiliser[AusLCI Emissions intensity]), IF(_xlpm.result="", 0, _xlpm.result))</f>
        <v>0.90900000000000003</v>
      </c>
      <c r="R7" s="50" t="str">
        <v>Sulfur - Generic</v>
      </c>
      <c r="S7" s="50">
        <v>5.2999999999999999E-2</v>
      </c>
      <c r="T7" s="50" cm="1">
        <f t="array" ref="T7">_xlfn.LET(_xlpm.result, Common_InputFunctions.Utility_LookupValueInTableTwoColumns(R7, _xlfn.IFS(R7="Urea",IF($J7="", "Global", $J7), R7="Ammonia", IF($K7="", "Global", $K7), TRUE, "Global"), Table_SourceData_Scope3_InorganicFertiliser[Chemical compound],Table_SourceData_Scope3_InorganicFertiliser[Region of origin],Table_SourceData_Scope3_InorganicFertiliser[AusLCI Emissions intensity]), IF(_xlpm.result="", 0, _xlpm.result))</f>
        <v>2.5</v>
      </c>
      <c r="U7" s="50" t="str">
        <v>Phosphorus - Generic</v>
      </c>
      <c r="V7" s="50">
        <v>5.1999999999999998E-2</v>
      </c>
      <c r="W7" s="50" cm="1">
        <f t="array" ref="W7">_xlfn.LET(_xlpm.result, Common_InputFunctions.Utility_LookupValueInTableTwoColumns(U7, _xlfn.IFS(U7="Urea",IF($J7="", "Global", $J7), U7="Ammonia", IF($K7="", "Global", $K7), TRUE, "Global"), Table_SourceData_Scope3_InorganicFertiliser[Chemical compound],Table_SourceData_Scope3_InorganicFertiliser[Region of origin],Table_SourceData_Scope3_InorganicFertiliser[AusLCI Emissions intensity]), IF(_xlpm.result="", 0, _xlpm.result))</f>
        <v>3.96</v>
      </c>
      <c r="X7" s="50" t="str">
        <v>Magnesium</v>
      </c>
      <c r="Y7" s="50">
        <v>1.2999999999999999E-2</v>
      </c>
      <c r="Z7" s="50" cm="1">
        <f t="array" ref="Z7">_xlfn.LET(_xlpm.result, Common_InputFunctions.Utility_LookupValueInTableTwoColumns(X7, _xlfn.IFS(X7="Urea",IF($J7="", "Global", $J7), X7="Ammonia", IF($K7="", "Global", $K7), TRUE, "Global"), Table_SourceData_Scope3_InorganicFertiliser[Chemical compound],Table_SourceData_Scope3_InorganicFertiliser[Region of origin],Table_SourceData_Scope3_InorganicFertiliser[AusLCI Emissions intensity]), IF(_xlpm.result="", 0, _xlpm.result))</f>
        <v>0</v>
      </c>
      <c r="AA7" s="50" t="str">
        <v>Zinc</v>
      </c>
      <c r="AB7" s="50">
        <v>2E-3</v>
      </c>
      <c r="AC7" s="50" cm="1">
        <f t="array" ref="AC7">_xlfn.LET(_xlpm.result, Common_InputFunctions.Utility_LookupValueInTableTwoColumns(AA7, _xlfn.IFS(AA7="Urea",IF($J7="", "Global", $J7), AA7="Ammonia", IF($K7="", "Global", $K7), TRUE, "Global"), Table_SourceData_Scope3_InorganicFertiliser[Chemical compound],Table_SourceData_Scope3_InorganicFertiliser[Region of origin],Table_SourceData_Scope3_InorganicFertiliser[AusLCI Emissions intensity]), IF(_xlpm.result="", 0, _xlpm.result))</f>
        <v>0</v>
      </c>
    </row>
    <row r="8" spans="4:29" ht="20.100000000000001" customHeight="1" x14ac:dyDescent="0.25">
      <c r="D8" s="50" t="str">
        <v>CoRoN 12-0-10</v>
      </c>
      <c r="E8" s="50">
        <v>12150.000000000002</v>
      </c>
      <c r="F8" s="50">
        <f t="shared" si="0"/>
        <v>0.40629130443200001</v>
      </c>
      <c r="G8" s="168">
        <f t="shared" si="1"/>
        <v>4936.4393488488013</v>
      </c>
      <c r="H8" s="69">
        <v>0.4</v>
      </c>
      <c r="I8" s="168">
        <f t="shared" si="2"/>
        <v>4860.0000000000009</v>
      </c>
      <c r="J8" s="50" t="str">
        <v/>
      </c>
      <c r="K8" s="50" t="str">
        <v/>
      </c>
      <c r="L8" s="50" t="str">
        <v>Urea</v>
      </c>
      <c r="M8" s="50">
        <v>0.19565217400000001</v>
      </c>
      <c r="N8" s="50" cm="1">
        <f t="array" ref="N8">_xlfn.LET(_xlpm.result, Common_InputFunctions.Utility_LookupValueInTableTwoColumns(L8, _xlfn.IFS(L8="Urea",IF($J8="", "Global", $J8), L8="Ammonia", IF($K8="", "Global", $K8), TRUE, "Global"), Table_SourceData_Scope3_InorganicFertiliser[Chemical compound],Table_SourceData_Scope3_InorganicFertiliser[Region of origin],Table_SourceData_Scope3_InorganicFertiliser[AusLCI Emissions intensity]), IF(_xlpm.result="", 0, _xlpm.result))</f>
        <v>0.96799999999999997</v>
      </c>
      <c r="O8" s="50" t="str">
        <v>Potassium - Generic</v>
      </c>
      <c r="P8" s="50">
        <v>0.1</v>
      </c>
      <c r="Q8" s="50" cm="1">
        <f t="array" ref="Q8">_xlfn.LET(_xlpm.result, Common_InputFunctions.Utility_LookupValueInTableTwoColumns(O8, _xlfn.IFS(O8="Urea",IF($J8="", "Global", $J8), O8="Ammonia", IF($K8="", "Global", $K8), TRUE, "Global"), Table_SourceData_Scope3_InorganicFertiliser[Chemical compound],Table_SourceData_Scope3_InorganicFertiliser[Region of origin],Table_SourceData_Scope3_InorganicFertiliser[AusLCI Emissions intensity]), IF(_xlpm.result="", 0, _xlpm.result))</f>
        <v>0.90900000000000003</v>
      </c>
      <c r="R8" s="50" t="str">
        <v>Nitrogen - Generic</v>
      </c>
      <c r="S8" s="50">
        <v>0.03</v>
      </c>
      <c r="T8" s="50" cm="1">
        <f t="array" ref="T8">_xlfn.LET(_xlpm.result, Common_InputFunctions.Utility_LookupValueInTableTwoColumns(R8, _xlfn.IFS(R8="Urea",IF($J8="", "Global", $J8), R8="Ammonia", IF($K8="", "Global", $K8), TRUE, "Global"), Table_SourceData_Scope3_InorganicFertiliser[Chemical compound],Table_SourceData_Scope3_InorganicFertiliser[Region of origin],Table_SourceData_Scope3_InorganicFertiliser[AusLCI Emissions intensity]), IF(_xlpm.result="", 0, _xlpm.result))</f>
        <v>4.2</v>
      </c>
      <c r="U8" s="50" t="str">
        <v>Boron</v>
      </c>
      <c r="V8" s="50">
        <v>5.0000000000000001E-3</v>
      </c>
      <c r="W8" s="50" cm="1">
        <f t="array" ref="W8">_xlfn.LET(_xlpm.result, Common_InputFunctions.Utility_LookupValueInTableTwoColumns(U8, _xlfn.IFS(U8="Urea",IF($J8="", "Global", $J8), U8="Ammonia", IF($K8="", "Global", $K8), TRUE, "Global"), Table_SourceData_Scope3_InorganicFertiliser[Chemical compound],Table_SourceData_Scope3_InorganicFertiliser[Region of origin],Table_SourceData_Scope3_InorganicFertiliser[AusLCI Emissions intensity]), IF(_xlpm.result="", 0, _xlpm.result))</f>
        <v>0</v>
      </c>
      <c r="X8" s="50" t="str">
        <v/>
      </c>
      <c r="Y8" s="50">
        <v>0</v>
      </c>
      <c r="Z8" s="50" cm="1">
        <f t="array" ref="Z8">_xlfn.LET(_xlpm.result, Common_InputFunctions.Utility_LookupValueInTableTwoColumns(X8, _xlfn.IFS(X8="Urea",IF($J8="", "Global", $J8), X8="Ammonia", IF($K8="", "Global", $K8), TRUE, "Global"), Table_SourceData_Scope3_InorganicFertiliser[Chemical compound],Table_SourceData_Scope3_InorganicFertiliser[Region of origin],Table_SourceData_Scope3_InorganicFertiliser[AusLCI Emissions intensity]), IF(_xlpm.result="", 0, _xlpm.result))</f>
        <v>0</v>
      </c>
      <c r="AA8" s="50" t="str">
        <v/>
      </c>
      <c r="AB8" s="50">
        <v>0</v>
      </c>
      <c r="AC8" s="50" cm="1">
        <f t="array" ref="AC8">_xlfn.LET(_xlpm.result, Common_InputFunctions.Utility_LookupValueInTableTwoColumns(AA8, _xlfn.IFS(AA8="Urea",IF($J8="", "Global", $J8), AA8="Ammonia", IF($K8="", "Global", $K8), TRUE, "Global"), Table_SourceData_Scope3_InorganicFertiliser[Chemical compound],Table_SourceData_Scope3_InorganicFertiliser[Region of origin],Table_SourceData_Scope3_InorganicFertiliser[AusLCI Emissions intensity]), IF(_xlpm.result="", 0, _xlpm.result))</f>
        <v>0</v>
      </c>
    </row>
    <row r="9" spans="4:29" ht="20.100000000000001" customHeight="1" x14ac:dyDescent="0.25">
      <c r="D9" s="50" t="str">
        <v/>
      </c>
      <c r="E9" s="50" t="str">
        <v/>
      </c>
      <c r="F9" s="50">
        <f t="shared" si="0"/>
        <v>0</v>
      </c>
      <c r="G9" s="168">
        <f t="shared" si="1"/>
        <v>0</v>
      </c>
      <c r="H9" s="69"/>
      <c r="I9" s="168">
        <f t="shared" si="2"/>
        <v>0</v>
      </c>
      <c r="J9" s="50" t="str">
        <v/>
      </c>
      <c r="K9" s="50" t="str">
        <v/>
      </c>
      <c r="L9" s="50" t="str">
        <v/>
      </c>
      <c r="M9" s="50" t="str">
        <v/>
      </c>
      <c r="N9" s="50" cm="1">
        <f t="array" ref="N9">_xlfn.LET(_xlpm.result, Common_InputFunctions.Utility_LookupValueInTableTwoColumns(L9, _xlfn.IFS(L9="Urea",IF($J9="", "Global", $J9), L9="Ammonia", IF($K9="", "Global", $K9), TRUE, "Global"), Table_SourceData_Scope3_InorganicFertiliser[Chemical compound],Table_SourceData_Scope3_InorganicFertiliser[Region of origin],Table_SourceData_Scope3_InorganicFertiliser[AusLCI Emissions intensity]), IF(_xlpm.result="", 0, _xlpm.result))</f>
        <v>0</v>
      </c>
      <c r="O9" s="50" t="str">
        <v/>
      </c>
      <c r="P9" s="50" t="str">
        <v/>
      </c>
      <c r="Q9" s="50" cm="1">
        <f t="array" ref="Q9">_xlfn.LET(_xlpm.result, Common_InputFunctions.Utility_LookupValueInTableTwoColumns(O9, _xlfn.IFS(O9="Urea",IF($J9="", "Global", $J9), O9="Ammonia", IF($K9="", "Global", $K9), TRUE, "Global"), Table_SourceData_Scope3_InorganicFertiliser[Chemical compound],Table_SourceData_Scope3_InorganicFertiliser[Region of origin],Table_SourceData_Scope3_InorganicFertiliser[AusLCI Emissions intensity]), IF(_xlpm.result="", 0, _xlpm.result))</f>
        <v>0</v>
      </c>
      <c r="R9" s="50" t="str">
        <v/>
      </c>
      <c r="S9" s="50" t="str">
        <v/>
      </c>
      <c r="T9" s="50" cm="1">
        <f t="array" ref="T9">_xlfn.LET(_xlpm.result, Common_InputFunctions.Utility_LookupValueInTableTwoColumns(R9, _xlfn.IFS(R9="Urea",IF($J9="", "Global", $J9), R9="Ammonia", IF($K9="", "Global", $K9), TRUE, "Global"), Table_SourceData_Scope3_InorganicFertiliser[Chemical compound],Table_SourceData_Scope3_InorganicFertiliser[Region of origin],Table_SourceData_Scope3_InorganicFertiliser[AusLCI Emissions intensity]), IF(_xlpm.result="", 0, _xlpm.result))</f>
        <v>0</v>
      </c>
      <c r="U9" s="50" t="str">
        <v/>
      </c>
      <c r="V9" s="50" t="str">
        <v/>
      </c>
      <c r="W9" s="50" cm="1">
        <f t="array" ref="W9">_xlfn.LET(_xlpm.result, Common_InputFunctions.Utility_LookupValueInTableTwoColumns(U9, _xlfn.IFS(U9="Urea",IF($J9="", "Global", $J9), U9="Ammonia", IF($K9="", "Global", $K9), TRUE, "Global"), Table_SourceData_Scope3_InorganicFertiliser[Chemical compound],Table_SourceData_Scope3_InorganicFertiliser[Region of origin],Table_SourceData_Scope3_InorganicFertiliser[AusLCI Emissions intensity]), IF(_xlpm.result="", 0, _xlpm.result))</f>
        <v>0</v>
      </c>
      <c r="X9" s="50" t="str">
        <v/>
      </c>
      <c r="Y9" s="50" t="str">
        <v/>
      </c>
      <c r="Z9" s="50" cm="1">
        <f t="array" ref="Z9">_xlfn.LET(_xlpm.result, Common_InputFunctions.Utility_LookupValueInTableTwoColumns(X9, _xlfn.IFS(X9="Urea",IF($J9="", "Global", $J9), X9="Ammonia", IF($K9="", "Global", $K9), TRUE, "Global"), Table_SourceData_Scope3_InorganicFertiliser[Chemical compound],Table_SourceData_Scope3_InorganicFertiliser[Region of origin],Table_SourceData_Scope3_InorganicFertiliser[AusLCI Emissions intensity]), IF(_xlpm.result="", 0, _xlpm.result))</f>
        <v>0</v>
      </c>
      <c r="AA9" s="50" t="str">
        <v/>
      </c>
      <c r="AB9" s="50" t="str">
        <v/>
      </c>
      <c r="AC9" s="50" cm="1">
        <f t="array" ref="AC9">_xlfn.LET(_xlpm.result, Common_InputFunctions.Utility_LookupValueInTableTwoColumns(AA9, _xlfn.IFS(AA9="Urea",IF($J9="", "Global", $J9), AA9="Ammonia", IF($K9="", "Global", $K9), TRUE, "Global"), Table_SourceData_Scope3_InorganicFertiliser[Chemical compound],Table_SourceData_Scope3_InorganicFertiliser[Region of origin],Table_SourceData_Scope3_InorganicFertiliser[AusLCI Emissions intensity]), IF(_xlpm.result="", 0, _xlpm.result))</f>
        <v>0</v>
      </c>
    </row>
    <row r="10" spans="4:29" ht="20.100000000000001" customHeight="1" x14ac:dyDescent="0.25">
      <c r="D10" s="50" t="str">
        <v/>
      </c>
      <c r="E10" s="50" t="str">
        <v/>
      </c>
      <c r="F10" s="50">
        <f t="shared" si="0"/>
        <v>0</v>
      </c>
      <c r="G10" s="168">
        <f t="shared" si="1"/>
        <v>0</v>
      </c>
      <c r="H10" s="69"/>
      <c r="I10" s="168">
        <f t="shared" si="2"/>
        <v>0</v>
      </c>
      <c r="J10" s="50" t="str">
        <v/>
      </c>
      <c r="K10" s="50" t="str">
        <v/>
      </c>
      <c r="L10" s="50" t="str">
        <v/>
      </c>
      <c r="M10" s="50" t="str">
        <v/>
      </c>
      <c r="N10" s="50" cm="1">
        <f t="array" ref="N10">_xlfn.LET(_xlpm.result, Common_InputFunctions.Utility_LookupValueInTableTwoColumns(L10, _xlfn.IFS(L10="Urea",IF($J10="", "Global", $J10), L10="Ammonia", IF($K10="", "Global", $K10), TRUE, "Global"), Table_SourceData_Scope3_InorganicFertiliser[Chemical compound],Table_SourceData_Scope3_InorganicFertiliser[Region of origin],Table_SourceData_Scope3_InorganicFertiliser[AusLCI Emissions intensity]), IF(_xlpm.result="", 0, _xlpm.result))</f>
        <v>0</v>
      </c>
      <c r="O10" s="50" t="str">
        <v/>
      </c>
      <c r="P10" s="50" t="str">
        <v/>
      </c>
      <c r="Q10" s="50" cm="1">
        <f t="array" ref="Q10">_xlfn.LET(_xlpm.result, Common_InputFunctions.Utility_LookupValueInTableTwoColumns(O10, _xlfn.IFS(O10="Urea",IF($J10="", "Global", $J10), O10="Ammonia", IF($K10="", "Global", $K10), TRUE, "Global"), Table_SourceData_Scope3_InorganicFertiliser[Chemical compound],Table_SourceData_Scope3_InorganicFertiliser[Region of origin],Table_SourceData_Scope3_InorganicFertiliser[AusLCI Emissions intensity]), IF(_xlpm.result="", 0, _xlpm.result))</f>
        <v>0</v>
      </c>
      <c r="R10" s="50" t="str">
        <v/>
      </c>
      <c r="S10" s="50" t="str">
        <v/>
      </c>
      <c r="T10" s="50" cm="1">
        <f t="array" ref="T10">_xlfn.LET(_xlpm.result, Common_InputFunctions.Utility_LookupValueInTableTwoColumns(R10, _xlfn.IFS(R10="Urea",IF($J10="", "Global", $J10), R10="Ammonia", IF($K10="", "Global", $K10), TRUE, "Global"), Table_SourceData_Scope3_InorganicFertiliser[Chemical compound],Table_SourceData_Scope3_InorganicFertiliser[Region of origin],Table_SourceData_Scope3_InorganicFertiliser[AusLCI Emissions intensity]), IF(_xlpm.result="", 0, _xlpm.result))</f>
        <v>0</v>
      </c>
      <c r="U10" s="50" t="str">
        <v/>
      </c>
      <c r="V10" s="50" t="str">
        <v/>
      </c>
      <c r="W10" s="50" cm="1">
        <f t="array" ref="W10">_xlfn.LET(_xlpm.result, Common_InputFunctions.Utility_LookupValueInTableTwoColumns(U10, _xlfn.IFS(U10="Urea",IF($J10="", "Global", $J10), U10="Ammonia", IF($K10="", "Global", $K10), TRUE, "Global"), Table_SourceData_Scope3_InorganicFertiliser[Chemical compound],Table_SourceData_Scope3_InorganicFertiliser[Region of origin],Table_SourceData_Scope3_InorganicFertiliser[AusLCI Emissions intensity]), IF(_xlpm.result="", 0, _xlpm.result))</f>
        <v>0</v>
      </c>
      <c r="X10" s="50" t="str">
        <v/>
      </c>
      <c r="Y10" s="50" t="str">
        <v/>
      </c>
      <c r="Z10" s="50" cm="1">
        <f t="array" ref="Z10">_xlfn.LET(_xlpm.result, Common_InputFunctions.Utility_LookupValueInTableTwoColumns(X10, _xlfn.IFS(X10="Urea",IF($J10="", "Global", $J10), X10="Ammonia", IF($K10="", "Global", $K10), TRUE, "Global"), Table_SourceData_Scope3_InorganicFertiliser[Chemical compound],Table_SourceData_Scope3_InorganicFertiliser[Region of origin],Table_SourceData_Scope3_InorganicFertiliser[AusLCI Emissions intensity]), IF(_xlpm.result="", 0, _xlpm.result))</f>
        <v>0</v>
      </c>
      <c r="AA10" s="50" t="str">
        <v/>
      </c>
      <c r="AB10" s="50" t="str">
        <v/>
      </c>
      <c r="AC10" s="50" cm="1">
        <f t="array" ref="AC10">_xlfn.LET(_xlpm.result, Common_InputFunctions.Utility_LookupValueInTableTwoColumns(AA10, _xlfn.IFS(AA10="Urea",IF($J10="", "Global", $J10), AA10="Ammonia", IF($K10="", "Global", $K10), TRUE, "Global"), Table_SourceData_Scope3_InorganicFertiliser[Chemical compound],Table_SourceData_Scope3_InorganicFertiliser[Region of origin],Table_SourceData_Scope3_InorganicFertiliser[AusLCI Emissions intensity]), IF(_xlpm.result="", 0, _xlpm.result))</f>
        <v>0</v>
      </c>
    </row>
    <row r="11" spans="4:29" ht="20.100000000000001" customHeight="1" x14ac:dyDescent="0.25">
      <c r="D11" s="50" t="str">
        <v/>
      </c>
      <c r="E11" s="50" t="str">
        <v/>
      </c>
      <c r="F11" s="50">
        <f t="shared" si="0"/>
        <v>0</v>
      </c>
      <c r="G11" s="168">
        <f t="shared" si="1"/>
        <v>0</v>
      </c>
      <c r="H11" s="69"/>
      <c r="I11" s="168">
        <f t="shared" si="2"/>
        <v>0</v>
      </c>
      <c r="J11" s="50" t="str">
        <v/>
      </c>
      <c r="K11" s="50" t="str">
        <v/>
      </c>
      <c r="L11" s="50" t="str">
        <v/>
      </c>
      <c r="M11" s="50" t="str">
        <v/>
      </c>
      <c r="N11" s="50" cm="1">
        <f t="array" ref="N11">_xlfn.LET(_xlpm.result, Common_InputFunctions.Utility_LookupValueInTableTwoColumns(L11, _xlfn.IFS(L11="Urea",IF($J11="", "Global", $J11), L11="Ammonia", IF($K11="", "Global", $K11), TRUE, "Global"), Table_SourceData_Scope3_InorganicFertiliser[Chemical compound],Table_SourceData_Scope3_InorganicFertiliser[Region of origin],Table_SourceData_Scope3_InorganicFertiliser[AusLCI Emissions intensity]), IF(_xlpm.result="", 0, _xlpm.result))</f>
        <v>0</v>
      </c>
      <c r="O11" s="50" t="str">
        <v/>
      </c>
      <c r="P11" s="50" t="str">
        <v/>
      </c>
      <c r="Q11" s="50" cm="1">
        <f t="array" ref="Q11">_xlfn.LET(_xlpm.result, Common_InputFunctions.Utility_LookupValueInTableTwoColumns(O11, _xlfn.IFS(O11="Urea",IF($J11="", "Global", $J11), O11="Ammonia", IF($K11="", "Global", $K11), TRUE, "Global"), Table_SourceData_Scope3_InorganicFertiliser[Chemical compound],Table_SourceData_Scope3_InorganicFertiliser[Region of origin],Table_SourceData_Scope3_InorganicFertiliser[AusLCI Emissions intensity]), IF(_xlpm.result="", 0, _xlpm.result))</f>
        <v>0</v>
      </c>
      <c r="R11" s="50" t="str">
        <v/>
      </c>
      <c r="S11" s="50" t="str">
        <v/>
      </c>
      <c r="T11" s="50" cm="1">
        <f t="array" ref="T11">_xlfn.LET(_xlpm.result, Common_InputFunctions.Utility_LookupValueInTableTwoColumns(R11, _xlfn.IFS(R11="Urea",IF($J11="", "Global", $J11), R11="Ammonia", IF($K11="", "Global", $K11), TRUE, "Global"), Table_SourceData_Scope3_InorganicFertiliser[Chemical compound],Table_SourceData_Scope3_InorganicFertiliser[Region of origin],Table_SourceData_Scope3_InorganicFertiliser[AusLCI Emissions intensity]), IF(_xlpm.result="", 0, _xlpm.result))</f>
        <v>0</v>
      </c>
      <c r="U11" s="50" t="str">
        <v/>
      </c>
      <c r="V11" s="50" t="str">
        <v/>
      </c>
      <c r="W11" s="50" cm="1">
        <f t="array" ref="W11">_xlfn.LET(_xlpm.result, Common_InputFunctions.Utility_LookupValueInTableTwoColumns(U11, _xlfn.IFS(U11="Urea",IF($J11="", "Global", $J11), U11="Ammonia", IF($K11="", "Global", $K11), TRUE, "Global"), Table_SourceData_Scope3_InorganicFertiliser[Chemical compound],Table_SourceData_Scope3_InorganicFertiliser[Region of origin],Table_SourceData_Scope3_InorganicFertiliser[AusLCI Emissions intensity]), IF(_xlpm.result="", 0, _xlpm.result))</f>
        <v>0</v>
      </c>
      <c r="X11" s="50" t="str">
        <v/>
      </c>
      <c r="Y11" s="50" t="str">
        <v/>
      </c>
      <c r="Z11" s="50" cm="1">
        <f t="array" ref="Z11">_xlfn.LET(_xlpm.result, Common_InputFunctions.Utility_LookupValueInTableTwoColumns(X11, _xlfn.IFS(X11="Urea",IF($J11="", "Global", $J11), X11="Ammonia", IF($K11="", "Global", $K11), TRUE, "Global"), Table_SourceData_Scope3_InorganicFertiliser[Chemical compound],Table_SourceData_Scope3_InorganicFertiliser[Region of origin],Table_SourceData_Scope3_InorganicFertiliser[AusLCI Emissions intensity]), IF(_xlpm.result="", 0, _xlpm.result))</f>
        <v>0</v>
      </c>
      <c r="AA11" s="50" t="str">
        <v/>
      </c>
      <c r="AB11" s="50" t="str">
        <v/>
      </c>
      <c r="AC11" s="50" cm="1">
        <f t="array" ref="AC11">_xlfn.LET(_xlpm.result, Common_InputFunctions.Utility_LookupValueInTableTwoColumns(AA11, _xlfn.IFS(AA11="Urea",IF($J11="", "Global", $J11), AA11="Ammonia", IF($K11="", "Global", $K11), TRUE, "Global"), Table_SourceData_Scope3_InorganicFertiliser[Chemical compound],Table_SourceData_Scope3_InorganicFertiliser[Region of origin],Table_SourceData_Scope3_InorganicFertiliser[AusLCI Emissions intensity]), IF(_xlpm.result="", 0, _xlpm.result))</f>
        <v>0</v>
      </c>
    </row>
    <row r="12" spans="4:29" ht="20.100000000000001" customHeight="1" x14ac:dyDescent="0.25">
      <c r="D12" s="50" t="str">
        <v/>
      </c>
      <c r="E12" s="50" t="str">
        <v/>
      </c>
      <c r="F12" s="50">
        <f t="shared" si="0"/>
        <v>0</v>
      </c>
      <c r="G12" s="168">
        <f t="shared" si="1"/>
        <v>0</v>
      </c>
      <c r="H12" s="69"/>
      <c r="I12" s="168">
        <f t="shared" si="2"/>
        <v>0</v>
      </c>
      <c r="J12" s="50" t="str">
        <v/>
      </c>
      <c r="K12" s="50" t="str">
        <v/>
      </c>
      <c r="L12" s="50" t="str">
        <v/>
      </c>
      <c r="M12" s="50" t="str">
        <v/>
      </c>
      <c r="N12" s="50" cm="1">
        <f t="array" ref="N12">_xlfn.LET(_xlpm.result, Common_InputFunctions.Utility_LookupValueInTableTwoColumns(L12, _xlfn.IFS(L12="Urea",IF($J12="", "Global", $J12), L12="Ammonia", IF($K12="", "Global", $K12), TRUE, "Global"), Table_SourceData_Scope3_InorganicFertiliser[Chemical compound],Table_SourceData_Scope3_InorganicFertiliser[Region of origin],Table_SourceData_Scope3_InorganicFertiliser[AusLCI Emissions intensity]), IF(_xlpm.result="", 0, _xlpm.result))</f>
        <v>0</v>
      </c>
      <c r="O12" s="50" t="str">
        <v/>
      </c>
      <c r="P12" s="50" t="str">
        <v/>
      </c>
      <c r="Q12" s="50" cm="1">
        <f t="array" ref="Q12">_xlfn.LET(_xlpm.result, Common_InputFunctions.Utility_LookupValueInTableTwoColumns(O12, _xlfn.IFS(O12="Urea",IF($J12="", "Global", $J12), O12="Ammonia", IF($K12="", "Global", $K12), TRUE, "Global"), Table_SourceData_Scope3_InorganicFertiliser[Chemical compound],Table_SourceData_Scope3_InorganicFertiliser[Region of origin],Table_SourceData_Scope3_InorganicFertiliser[AusLCI Emissions intensity]), IF(_xlpm.result="", 0, _xlpm.result))</f>
        <v>0</v>
      </c>
      <c r="R12" s="50" t="str">
        <v/>
      </c>
      <c r="S12" s="50" t="str">
        <v/>
      </c>
      <c r="T12" s="50" cm="1">
        <f t="array" ref="T12">_xlfn.LET(_xlpm.result, Common_InputFunctions.Utility_LookupValueInTableTwoColumns(R12, _xlfn.IFS(R12="Urea",IF($J12="", "Global", $J12), R12="Ammonia", IF($K12="", "Global", $K12), TRUE, "Global"), Table_SourceData_Scope3_InorganicFertiliser[Chemical compound],Table_SourceData_Scope3_InorganicFertiliser[Region of origin],Table_SourceData_Scope3_InorganicFertiliser[AusLCI Emissions intensity]), IF(_xlpm.result="", 0, _xlpm.result))</f>
        <v>0</v>
      </c>
      <c r="U12" s="50" t="str">
        <v/>
      </c>
      <c r="V12" s="50" t="str">
        <v/>
      </c>
      <c r="W12" s="50" cm="1">
        <f t="array" ref="W12">_xlfn.LET(_xlpm.result, Common_InputFunctions.Utility_LookupValueInTableTwoColumns(U12, _xlfn.IFS(U12="Urea",IF($J12="", "Global", $J12), U12="Ammonia", IF($K12="", "Global", $K12), TRUE, "Global"), Table_SourceData_Scope3_InorganicFertiliser[Chemical compound],Table_SourceData_Scope3_InorganicFertiliser[Region of origin],Table_SourceData_Scope3_InorganicFertiliser[AusLCI Emissions intensity]), IF(_xlpm.result="", 0, _xlpm.result))</f>
        <v>0</v>
      </c>
      <c r="X12" s="50" t="str">
        <v/>
      </c>
      <c r="Y12" s="50" t="str">
        <v/>
      </c>
      <c r="Z12" s="50" cm="1">
        <f t="array" ref="Z12">_xlfn.LET(_xlpm.result, Common_InputFunctions.Utility_LookupValueInTableTwoColumns(X12, _xlfn.IFS(X12="Urea",IF($J12="", "Global", $J12), X12="Ammonia", IF($K12="", "Global", $K12), TRUE, "Global"), Table_SourceData_Scope3_InorganicFertiliser[Chemical compound],Table_SourceData_Scope3_InorganicFertiliser[Region of origin],Table_SourceData_Scope3_InorganicFertiliser[AusLCI Emissions intensity]), IF(_xlpm.result="", 0, _xlpm.result))</f>
        <v>0</v>
      </c>
      <c r="AA12" s="50" t="str">
        <v/>
      </c>
      <c r="AB12" s="50" t="str">
        <v/>
      </c>
      <c r="AC12" s="50" cm="1">
        <f t="array" ref="AC12">_xlfn.LET(_xlpm.result, Common_InputFunctions.Utility_LookupValueInTableTwoColumns(AA12, _xlfn.IFS(AA12="Urea",IF($J12="", "Global", $J12), AA12="Ammonia", IF($K12="", "Global", $K12), TRUE, "Global"), Table_SourceData_Scope3_InorganicFertiliser[Chemical compound],Table_SourceData_Scope3_InorganicFertiliser[Region of origin],Table_SourceData_Scope3_InorganicFertiliser[AusLCI Emissions intensity]), IF(_xlpm.result="", 0, _xlpm.result))</f>
        <v>0</v>
      </c>
    </row>
    <row r="13" spans="4:29" ht="20.100000000000001" customHeight="1" x14ac:dyDescent="0.25">
      <c r="D13" s="50" t="str">
        <v/>
      </c>
      <c r="E13" s="50" t="str">
        <v/>
      </c>
      <c r="F13" s="50">
        <f t="shared" si="0"/>
        <v>0</v>
      </c>
      <c r="G13" s="168">
        <f t="shared" si="1"/>
        <v>0</v>
      </c>
      <c r="H13" s="69"/>
      <c r="I13" s="168">
        <f t="shared" si="2"/>
        <v>0</v>
      </c>
      <c r="J13" s="50" t="str">
        <v/>
      </c>
      <c r="K13" s="50" t="str">
        <v/>
      </c>
      <c r="L13" s="50" t="str">
        <v/>
      </c>
      <c r="M13" s="50" t="str">
        <v/>
      </c>
      <c r="N13" s="50" cm="1">
        <f t="array" ref="N13">_xlfn.LET(_xlpm.result, Common_InputFunctions.Utility_LookupValueInTableTwoColumns(L13, _xlfn.IFS(L13="Urea",IF($J13="", "Global", $J13), L13="Ammonia", IF($K13="", "Global", $K13), TRUE, "Global"), Table_SourceData_Scope3_InorganicFertiliser[Chemical compound],Table_SourceData_Scope3_InorganicFertiliser[Region of origin],Table_SourceData_Scope3_InorganicFertiliser[AusLCI Emissions intensity]), IF(_xlpm.result="", 0, _xlpm.result))</f>
        <v>0</v>
      </c>
      <c r="O13" s="50" t="str">
        <v/>
      </c>
      <c r="P13" s="50" t="str">
        <v/>
      </c>
      <c r="Q13" s="50" cm="1">
        <f t="array" ref="Q13">_xlfn.LET(_xlpm.result, Common_InputFunctions.Utility_LookupValueInTableTwoColumns(O13, _xlfn.IFS(O13="Urea",IF($J13="", "Global", $J13), O13="Ammonia", IF($K13="", "Global", $K13), TRUE, "Global"), Table_SourceData_Scope3_InorganicFertiliser[Chemical compound],Table_SourceData_Scope3_InorganicFertiliser[Region of origin],Table_SourceData_Scope3_InorganicFertiliser[AusLCI Emissions intensity]), IF(_xlpm.result="", 0, _xlpm.result))</f>
        <v>0</v>
      </c>
      <c r="R13" s="50" t="str">
        <v/>
      </c>
      <c r="S13" s="50" t="str">
        <v/>
      </c>
      <c r="T13" s="50" cm="1">
        <f t="array" ref="T13">_xlfn.LET(_xlpm.result, Common_InputFunctions.Utility_LookupValueInTableTwoColumns(R13, _xlfn.IFS(R13="Urea",IF($J13="", "Global", $J13), R13="Ammonia", IF($K13="", "Global", $K13), TRUE, "Global"), Table_SourceData_Scope3_InorganicFertiliser[Chemical compound],Table_SourceData_Scope3_InorganicFertiliser[Region of origin],Table_SourceData_Scope3_InorganicFertiliser[AusLCI Emissions intensity]), IF(_xlpm.result="", 0, _xlpm.result))</f>
        <v>0</v>
      </c>
      <c r="U13" s="50" t="str">
        <v/>
      </c>
      <c r="V13" s="50" t="str">
        <v/>
      </c>
      <c r="W13" s="50" cm="1">
        <f t="array" ref="W13">_xlfn.LET(_xlpm.result, Common_InputFunctions.Utility_LookupValueInTableTwoColumns(U13, _xlfn.IFS(U13="Urea",IF($J13="", "Global", $J13), U13="Ammonia", IF($K13="", "Global", $K13), TRUE, "Global"), Table_SourceData_Scope3_InorganicFertiliser[Chemical compound],Table_SourceData_Scope3_InorganicFertiliser[Region of origin],Table_SourceData_Scope3_InorganicFertiliser[AusLCI Emissions intensity]), IF(_xlpm.result="", 0, _xlpm.result))</f>
        <v>0</v>
      </c>
      <c r="X13" s="50" t="str">
        <v/>
      </c>
      <c r="Y13" s="50" t="str">
        <v/>
      </c>
      <c r="Z13" s="50" cm="1">
        <f t="array" ref="Z13">_xlfn.LET(_xlpm.result, Common_InputFunctions.Utility_LookupValueInTableTwoColumns(X13, _xlfn.IFS(X13="Urea",IF($J13="", "Global", $J13), X13="Ammonia", IF($K13="", "Global", $K13), TRUE, "Global"), Table_SourceData_Scope3_InorganicFertiliser[Chemical compound],Table_SourceData_Scope3_InorganicFertiliser[Region of origin],Table_SourceData_Scope3_InorganicFertiliser[AusLCI Emissions intensity]), IF(_xlpm.result="", 0, _xlpm.result))</f>
        <v>0</v>
      </c>
      <c r="AA13" s="50" t="str">
        <v/>
      </c>
      <c r="AB13" s="50" t="str">
        <v/>
      </c>
      <c r="AC13" s="50" cm="1">
        <f t="array" ref="AC13">_xlfn.LET(_xlpm.result, Common_InputFunctions.Utility_LookupValueInTableTwoColumns(AA13, _xlfn.IFS(AA13="Urea",IF($J13="", "Global", $J13), AA13="Ammonia", IF($K13="", "Global", $K13), TRUE, "Global"), Table_SourceData_Scope3_InorganicFertiliser[Chemical compound],Table_SourceData_Scope3_InorganicFertiliser[Region of origin],Table_SourceData_Scope3_InorganicFertiliser[AusLCI Emissions intensity]), IF(_xlpm.result="", 0, _xlpm.result))</f>
        <v>0</v>
      </c>
    </row>
    <row r="14" spans="4:29" ht="20.100000000000001" customHeight="1" x14ac:dyDescent="0.25">
      <c r="D14" s="50" t="str">
        <v/>
      </c>
      <c r="E14" s="50" t="str">
        <v/>
      </c>
      <c r="F14" s="50">
        <f t="shared" si="0"/>
        <v>0</v>
      </c>
      <c r="G14" s="168">
        <f t="shared" si="1"/>
        <v>0</v>
      </c>
      <c r="H14" s="69"/>
      <c r="I14" s="168">
        <f t="shared" si="2"/>
        <v>0</v>
      </c>
      <c r="J14" s="50" t="str">
        <v/>
      </c>
      <c r="K14" s="50" t="str">
        <v/>
      </c>
      <c r="L14" s="50" t="str">
        <v/>
      </c>
      <c r="M14" s="50" t="str">
        <v/>
      </c>
      <c r="N14" s="50" cm="1">
        <f t="array" ref="N14">_xlfn.LET(_xlpm.result, Common_InputFunctions.Utility_LookupValueInTableTwoColumns(L14, _xlfn.IFS(L14="Urea",IF($J14="", "Global", $J14), L14="Ammonia", IF($K14="", "Global", $K14), TRUE, "Global"), Table_SourceData_Scope3_InorganicFertiliser[Chemical compound],Table_SourceData_Scope3_InorganicFertiliser[Region of origin],Table_SourceData_Scope3_InorganicFertiliser[AusLCI Emissions intensity]), IF(_xlpm.result="", 0, _xlpm.result))</f>
        <v>0</v>
      </c>
      <c r="O14" s="50" t="str">
        <v/>
      </c>
      <c r="P14" s="50" t="str">
        <v/>
      </c>
      <c r="Q14" s="50" cm="1">
        <f t="array" ref="Q14">_xlfn.LET(_xlpm.result, Common_InputFunctions.Utility_LookupValueInTableTwoColumns(O14, _xlfn.IFS(O14="Urea",IF($J14="", "Global", $J14), O14="Ammonia", IF($K14="", "Global", $K14), TRUE, "Global"), Table_SourceData_Scope3_InorganicFertiliser[Chemical compound],Table_SourceData_Scope3_InorganicFertiliser[Region of origin],Table_SourceData_Scope3_InorganicFertiliser[AusLCI Emissions intensity]), IF(_xlpm.result="", 0, _xlpm.result))</f>
        <v>0</v>
      </c>
      <c r="R14" s="50" t="str">
        <v/>
      </c>
      <c r="S14" s="50" t="str">
        <v/>
      </c>
      <c r="T14" s="50" cm="1">
        <f t="array" ref="T14">_xlfn.LET(_xlpm.result, Common_InputFunctions.Utility_LookupValueInTableTwoColumns(R14, _xlfn.IFS(R14="Urea",IF($J14="", "Global", $J14), R14="Ammonia", IF($K14="", "Global", $K14), TRUE, "Global"), Table_SourceData_Scope3_InorganicFertiliser[Chemical compound],Table_SourceData_Scope3_InorganicFertiliser[Region of origin],Table_SourceData_Scope3_InorganicFertiliser[AusLCI Emissions intensity]), IF(_xlpm.result="", 0, _xlpm.result))</f>
        <v>0</v>
      </c>
      <c r="U14" s="50" t="str">
        <v/>
      </c>
      <c r="V14" s="50" t="str">
        <v/>
      </c>
      <c r="W14" s="50" cm="1">
        <f t="array" ref="W14">_xlfn.LET(_xlpm.result, Common_InputFunctions.Utility_LookupValueInTableTwoColumns(U14, _xlfn.IFS(U14="Urea",IF($J14="", "Global", $J14), U14="Ammonia", IF($K14="", "Global", $K14), TRUE, "Global"), Table_SourceData_Scope3_InorganicFertiliser[Chemical compound],Table_SourceData_Scope3_InorganicFertiliser[Region of origin],Table_SourceData_Scope3_InorganicFertiliser[AusLCI Emissions intensity]), IF(_xlpm.result="", 0, _xlpm.result))</f>
        <v>0</v>
      </c>
      <c r="X14" s="50" t="str">
        <v/>
      </c>
      <c r="Y14" s="50" t="str">
        <v/>
      </c>
      <c r="Z14" s="50" cm="1">
        <f t="array" ref="Z14">_xlfn.LET(_xlpm.result, Common_InputFunctions.Utility_LookupValueInTableTwoColumns(X14, _xlfn.IFS(X14="Urea",IF($J14="", "Global", $J14), X14="Ammonia", IF($K14="", "Global", $K14), TRUE, "Global"), Table_SourceData_Scope3_InorganicFertiliser[Chemical compound],Table_SourceData_Scope3_InorganicFertiliser[Region of origin],Table_SourceData_Scope3_InorganicFertiliser[AusLCI Emissions intensity]), IF(_xlpm.result="", 0, _xlpm.result))</f>
        <v>0</v>
      </c>
      <c r="AA14" s="50" t="str">
        <v/>
      </c>
      <c r="AB14" s="50" t="str">
        <v/>
      </c>
      <c r="AC14" s="50" cm="1">
        <f t="array" ref="AC14">_xlfn.LET(_xlpm.result, Common_InputFunctions.Utility_LookupValueInTableTwoColumns(AA14, _xlfn.IFS(AA14="Urea",IF($J14="", "Global", $J14), AA14="Ammonia", IF($K14="", "Global", $K14), TRUE, "Global"), Table_SourceData_Scope3_InorganicFertiliser[Chemical compound],Table_SourceData_Scope3_InorganicFertiliser[Region of origin],Table_SourceData_Scope3_InorganicFertiliser[AusLCI Emissions intensity]), IF(_xlpm.result="", 0, _xlpm.result))</f>
        <v>0</v>
      </c>
    </row>
    <row r="15" spans="4:29" ht="20.100000000000001" customHeight="1" x14ac:dyDescent="0.25">
      <c r="D15" s="50" t="str">
        <v/>
      </c>
      <c r="E15" s="50" t="str">
        <v/>
      </c>
      <c r="F15" s="50">
        <f t="shared" si="0"/>
        <v>0</v>
      </c>
      <c r="G15" s="168">
        <f t="shared" si="1"/>
        <v>0</v>
      </c>
      <c r="H15" s="69"/>
      <c r="I15" s="168">
        <f t="shared" si="2"/>
        <v>0</v>
      </c>
      <c r="J15" s="50" t="str">
        <v/>
      </c>
      <c r="K15" s="50" t="str">
        <v/>
      </c>
      <c r="L15" s="50" t="str">
        <v/>
      </c>
      <c r="M15" s="50" t="str">
        <v/>
      </c>
      <c r="N15" s="50" cm="1">
        <f t="array" ref="N15">_xlfn.LET(_xlpm.result, Common_InputFunctions.Utility_LookupValueInTableTwoColumns(L15, _xlfn.IFS(L15="Urea",IF($J15="", "Global", $J15), L15="Ammonia", IF($K15="", "Global", $K15), TRUE, "Global"), Table_SourceData_Scope3_InorganicFertiliser[Chemical compound],Table_SourceData_Scope3_InorganicFertiliser[Region of origin],Table_SourceData_Scope3_InorganicFertiliser[AusLCI Emissions intensity]), IF(_xlpm.result="", 0, _xlpm.result))</f>
        <v>0</v>
      </c>
      <c r="O15" s="50" t="str">
        <v/>
      </c>
      <c r="P15" s="50" t="str">
        <v/>
      </c>
      <c r="Q15" s="50" cm="1">
        <f t="array" ref="Q15">_xlfn.LET(_xlpm.result, Common_InputFunctions.Utility_LookupValueInTableTwoColumns(O15, _xlfn.IFS(O15="Urea",IF($J15="", "Global", $J15), O15="Ammonia", IF($K15="", "Global", $K15), TRUE, "Global"), Table_SourceData_Scope3_InorganicFertiliser[Chemical compound],Table_SourceData_Scope3_InorganicFertiliser[Region of origin],Table_SourceData_Scope3_InorganicFertiliser[AusLCI Emissions intensity]), IF(_xlpm.result="", 0, _xlpm.result))</f>
        <v>0</v>
      </c>
      <c r="R15" s="50" t="str">
        <v/>
      </c>
      <c r="S15" s="50" t="str">
        <v/>
      </c>
      <c r="T15" s="50" cm="1">
        <f t="array" ref="T15">_xlfn.LET(_xlpm.result, Common_InputFunctions.Utility_LookupValueInTableTwoColumns(R15, _xlfn.IFS(R15="Urea",IF($J15="", "Global", $J15), R15="Ammonia", IF($K15="", "Global", $K15), TRUE, "Global"), Table_SourceData_Scope3_InorganicFertiliser[Chemical compound],Table_SourceData_Scope3_InorganicFertiliser[Region of origin],Table_SourceData_Scope3_InorganicFertiliser[AusLCI Emissions intensity]), IF(_xlpm.result="", 0, _xlpm.result))</f>
        <v>0</v>
      </c>
      <c r="U15" s="50" t="str">
        <v/>
      </c>
      <c r="V15" s="50" t="str">
        <v/>
      </c>
      <c r="W15" s="50" cm="1">
        <f t="array" ref="W15">_xlfn.LET(_xlpm.result, Common_InputFunctions.Utility_LookupValueInTableTwoColumns(U15, _xlfn.IFS(U15="Urea",IF($J15="", "Global", $J15), U15="Ammonia", IF($K15="", "Global", $K15), TRUE, "Global"), Table_SourceData_Scope3_InorganicFertiliser[Chemical compound],Table_SourceData_Scope3_InorganicFertiliser[Region of origin],Table_SourceData_Scope3_InorganicFertiliser[AusLCI Emissions intensity]), IF(_xlpm.result="", 0, _xlpm.result))</f>
        <v>0</v>
      </c>
      <c r="X15" s="50" t="str">
        <v/>
      </c>
      <c r="Y15" s="50" t="str">
        <v/>
      </c>
      <c r="Z15" s="50" cm="1">
        <f t="array" ref="Z15">_xlfn.LET(_xlpm.result, Common_InputFunctions.Utility_LookupValueInTableTwoColumns(X15, _xlfn.IFS(X15="Urea",IF($J15="", "Global", $J15), X15="Ammonia", IF($K15="", "Global", $K15), TRUE, "Global"), Table_SourceData_Scope3_InorganicFertiliser[Chemical compound],Table_SourceData_Scope3_InorganicFertiliser[Region of origin],Table_SourceData_Scope3_InorganicFertiliser[AusLCI Emissions intensity]), IF(_xlpm.result="", 0, _xlpm.result))</f>
        <v>0</v>
      </c>
      <c r="AA15" s="50" t="str">
        <v/>
      </c>
      <c r="AB15" s="50" t="str">
        <v/>
      </c>
      <c r="AC15" s="50" cm="1">
        <f t="array" ref="AC15">_xlfn.LET(_xlpm.result, Common_InputFunctions.Utility_LookupValueInTableTwoColumns(AA15, _xlfn.IFS(AA15="Urea",IF($J15="", "Global", $J15), AA15="Ammonia", IF($K15="", "Global", $K15), TRUE, "Global"), Table_SourceData_Scope3_InorganicFertiliser[Chemical compound],Table_SourceData_Scope3_InorganicFertiliser[Region of origin],Table_SourceData_Scope3_InorganicFertiliser[AusLCI Emissions intensity]), IF(_xlpm.result="", 0, _xlpm.result))</f>
        <v>0</v>
      </c>
    </row>
    <row r="16" spans="4:29" ht="20.100000000000001" customHeight="1" x14ac:dyDescent="0.25">
      <c r="D16" s="50" t="str">
        <v/>
      </c>
      <c r="E16" s="50" t="str">
        <v/>
      </c>
      <c r="F16" s="50">
        <f t="shared" si="0"/>
        <v>0</v>
      </c>
      <c r="G16" s="168">
        <f t="shared" si="1"/>
        <v>0</v>
      </c>
      <c r="H16" s="69"/>
      <c r="I16" s="168">
        <f t="shared" si="2"/>
        <v>0</v>
      </c>
      <c r="J16" s="50" t="str">
        <v/>
      </c>
      <c r="K16" s="50" t="str">
        <v/>
      </c>
      <c r="L16" s="50" t="str">
        <v/>
      </c>
      <c r="M16" s="50" t="str">
        <v/>
      </c>
      <c r="N16" s="50" cm="1">
        <f t="array" ref="N16">_xlfn.LET(_xlpm.result, Common_InputFunctions.Utility_LookupValueInTableTwoColumns(L16, _xlfn.IFS(L16="Urea",IF($J16="", "Global", $J16), L16="Ammonia", IF($K16="", "Global", $K16), TRUE, "Global"), Table_SourceData_Scope3_InorganicFertiliser[Chemical compound],Table_SourceData_Scope3_InorganicFertiliser[Region of origin],Table_SourceData_Scope3_InorganicFertiliser[AusLCI Emissions intensity]), IF(_xlpm.result="", 0, _xlpm.result))</f>
        <v>0</v>
      </c>
      <c r="O16" s="50" t="str">
        <v/>
      </c>
      <c r="P16" s="50" t="str">
        <v/>
      </c>
      <c r="Q16" s="50" cm="1">
        <f t="array" ref="Q16">_xlfn.LET(_xlpm.result, Common_InputFunctions.Utility_LookupValueInTableTwoColumns(O16, _xlfn.IFS(O16="Urea",IF($J16="", "Global", $J16), O16="Ammonia", IF($K16="", "Global", $K16), TRUE, "Global"), Table_SourceData_Scope3_InorganicFertiliser[Chemical compound],Table_SourceData_Scope3_InorganicFertiliser[Region of origin],Table_SourceData_Scope3_InorganicFertiliser[AusLCI Emissions intensity]), IF(_xlpm.result="", 0, _xlpm.result))</f>
        <v>0</v>
      </c>
      <c r="R16" s="50" t="str">
        <v/>
      </c>
      <c r="S16" s="50" t="str">
        <v/>
      </c>
      <c r="T16" s="50" cm="1">
        <f t="array" ref="T16">_xlfn.LET(_xlpm.result, Common_InputFunctions.Utility_LookupValueInTableTwoColumns(R16, _xlfn.IFS(R16="Urea",IF($J16="", "Global", $J16), R16="Ammonia", IF($K16="", "Global", $K16), TRUE, "Global"), Table_SourceData_Scope3_InorganicFertiliser[Chemical compound],Table_SourceData_Scope3_InorganicFertiliser[Region of origin],Table_SourceData_Scope3_InorganicFertiliser[AusLCI Emissions intensity]), IF(_xlpm.result="", 0, _xlpm.result))</f>
        <v>0</v>
      </c>
      <c r="U16" s="50" t="str">
        <v/>
      </c>
      <c r="V16" s="50" t="str">
        <v/>
      </c>
      <c r="W16" s="50" cm="1">
        <f t="array" ref="W16">_xlfn.LET(_xlpm.result, Common_InputFunctions.Utility_LookupValueInTableTwoColumns(U16, _xlfn.IFS(U16="Urea",IF($J16="", "Global", $J16), U16="Ammonia", IF($K16="", "Global", $K16), TRUE, "Global"), Table_SourceData_Scope3_InorganicFertiliser[Chemical compound],Table_SourceData_Scope3_InorganicFertiliser[Region of origin],Table_SourceData_Scope3_InorganicFertiliser[AusLCI Emissions intensity]), IF(_xlpm.result="", 0, _xlpm.result))</f>
        <v>0</v>
      </c>
      <c r="X16" s="50" t="str">
        <v/>
      </c>
      <c r="Y16" s="50" t="str">
        <v/>
      </c>
      <c r="Z16" s="50" cm="1">
        <f t="array" ref="Z16">_xlfn.LET(_xlpm.result, Common_InputFunctions.Utility_LookupValueInTableTwoColumns(X16, _xlfn.IFS(X16="Urea",IF($J16="", "Global", $J16), X16="Ammonia", IF($K16="", "Global", $K16), TRUE, "Global"), Table_SourceData_Scope3_InorganicFertiliser[Chemical compound],Table_SourceData_Scope3_InorganicFertiliser[Region of origin],Table_SourceData_Scope3_InorganicFertiliser[AusLCI Emissions intensity]), IF(_xlpm.result="", 0, _xlpm.result))</f>
        <v>0</v>
      </c>
      <c r="AA16" s="50" t="str">
        <v/>
      </c>
      <c r="AB16" s="50" t="str">
        <v/>
      </c>
      <c r="AC16" s="50" cm="1">
        <f t="array" ref="AC16">_xlfn.LET(_xlpm.result, Common_InputFunctions.Utility_LookupValueInTableTwoColumns(AA16, _xlfn.IFS(AA16="Urea",IF($J16="", "Global", $J16), AA16="Ammonia", IF($K16="", "Global", $K16), TRUE, "Global"), Table_SourceData_Scope3_InorganicFertiliser[Chemical compound],Table_SourceData_Scope3_InorganicFertiliser[Region of origin],Table_SourceData_Scope3_InorganicFertiliser[AusLCI Emissions intensity]), IF(_xlpm.result="", 0, _xlpm.result))</f>
        <v>0</v>
      </c>
    </row>
    <row r="17" spans="1:29" ht="20.100000000000001" customHeight="1" x14ac:dyDescent="0.25">
      <c r="D17" s="50" t="str">
        <v/>
      </c>
      <c r="E17" s="50" t="str">
        <v/>
      </c>
      <c r="F17" s="50">
        <f t="shared" si="0"/>
        <v>0</v>
      </c>
      <c r="G17" s="168">
        <f t="shared" si="1"/>
        <v>0</v>
      </c>
      <c r="H17" s="69"/>
      <c r="I17" s="168">
        <f t="shared" si="2"/>
        <v>0</v>
      </c>
      <c r="J17" s="50" t="str">
        <v/>
      </c>
      <c r="K17" s="50" t="str">
        <v/>
      </c>
      <c r="L17" s="50" t="str">
        <v/>
      </c>
      <c r="M17" s="50" t="str">
        <v/>
      </c>
      <c r="N17" s="50" cm="1">
        <f t="array" ref="N17">_xlfn.LET(_xlpm.result, Common_InputFunctions.Utility_LookupValueInTableTwoColumns(L17, _xlfn.IFS(L17="Urea",IF($J17="", "Global", $J17), L17="Ammonia", IF($K17="", "Global", $K17), TRUE, "Global"), Table_SourceData_Scope3_InorganicFertiliser[Chemical compound],Table_SourceData_Scope3_InorganicFertiliser[Region of origin],Table_SourceData_Scope3_InorganicFertiliser[AusLCI Emissions intensity]), IF(_xlpm.result="", 0, _xlpm.result))</f>
        <v>0</v>
      </c>
      <c r="O17" s="50" t="str">
        <v/>
      </c>
      <c r="P17" s="50" t="str">
        <v/>
      </c>
      <c r="Q17" s="50" cm="1">
        <f t="array" ref="Q17">_xlfn.LET(_xlpm.result, Common_InputFunctions.Utility_LookupValueInTableTwoColumns(O17, _xlfn.IFS(O17="Urea",IF($J17="", "Global", $J17), O17="Ammonia", IF($K17="", "Global", $K17), TRUE, "Global"), Table_SourceData_Scope3_InorganicFertiliser[Chemical compound],Table_SourceData_Scope3_InorganicFertiliser[Region of origin],Table_SourceData_Scope3_InorganicFertiliser[AusLCI Emissions intensity]), IF(_xlpm.result="", 0, _xlpm.result))</f>
        <v>0</v>
      </c>
      <c r="R17" s="50" t="str">
        <v/>
      </c>
      <c r="S17" s="50" t="str">
        <v/>
      </c>
      <c r="T17" s="50" cm="1">
        <f t="array" ref="T17">_xlfn.LET(_xlpm.result, Common_InputFunctions.Utility_LookupValueInTableTwoColumns(R17, _xlfn.IFS(R17="Urea",IF($J17="", "Global", $J17), R17="Ammonia", IF($K17="", "Global", $K17), TRUE, "Global"), Table_SourceData_Scope3_InorganicFertiliser[Chemical compound],Table_SourceData_Scope3_InorganicFertiliser[Region of origin],Table_SourceData_Scope3_InorganicFertiliser[AusLCI Emissions intensity]), IF(_xlpm.result="", 0, _xlpm.result))</f>
        <v>0</v>
      </c>
      <c r="U17" s="50" t="str">
        <v/>
      </c>
      <c r="V17" s="50" t="str">
        <v/>
      </c>
      <c r="W17" s="50" cm="1">
        <f t="array" ref="W17">_xlfn.LET(_xlpm.result, Common_InputFunctions.Utility_LookupValueInTableTwoColumns(U17, _xlfn.IFS(U17="Urea",IF($J17="", "Global", $J17), U17="Ammonia", IF($K17="", "Global", $K17), TRUE, "Global"), Table_SourceData_Scope3_InorganicFertiliser[Chemical compound],Table_SourceData_Scope3_InorganicFertiliser[Region of origin],Table_SourceData_Scope3_InorganicFertiliser[AusLCI Emissions intensity]), IF(_xlpm.result="", 0, _xlpm.result))</f>
        <v>0</v>
      </c>
      <c r="X17" s="50" t="str">
        <v/>
      </c>
      <c r="Y17" s="50" t="str">
        <v/>
      </c>
      <c r="Z17" s="50" cm="1">
        <f t="array" ref="Z17">_xlfn.LET(_xlpm.result, Common_InputFunctions.Utility_LookupValueInTableTwoColumns(X17, _xlfn.IFS(X17="Urea",IF($J17="", "Global", $J17), X17="Ammonia", IF($K17="", "Global", $K17), TRUE, "Global"), Table_SourceData_Scope3_InorganicFertiliser[Chemical compound],Table_SourceData_Scope3_InorganicFertiliser[Region of origin],Table_SourceData_Scope3_InorganicFertiliser[AusLCI Emissions intensity]), IF(_xlpm.result="", 0, _xlpm.result))</f>
        <v>0</v>
      </c>
      <c r="AA17" s="50" t="str">
        <v/>
      </c>
      <c r="AB17" s="50" t="str">
        <v/>
      </c>
      <c r="AC17" s="50" cm="1">
        <f t="array" ref="AC17">_xlfn.LET(_xlpm.result, Common_InputFunctions.Utility_LookupValueInTableTwoColumns(AA17, _xlfn.IFS(AA17="Urea",IF($J17="", "Global", $J17), AA17="Ammonia", IF($K17="", "Global", $K17), TRUE, "Global"), Table_SourceData_Scope3_InorganicFertiliser[Chemical compound],Table_SourceData_Scope3_InorganicFertiliser[Region of origin],Table_SourceData_Scope3_InorganicFertiliser[AusLCI Emissions intensity]), IF(_xlpm.result="", 0, _xlpm.result))</f>
        <v>0</v>
      </c>
    </row>
    <row r="18" spans="1:29" ht="20.100000000000001" customHeight="1" x14ac:dyDescent="0.25">
      <c r="D18" s="50" t="str">
        <v/>
      </c>
      <c r="E18" s="50" t="str">
        <v/>
      </c>
      <c r="F18" s="50">
        <f t="shared" si="0"/>
        <v>0</v>
      </c>
      <c r="G18" s="168">
        <f t="shared" si="1"/>
        <v>0</v>
      </c>
      <c r="H18" s="69"/>
      <c r="I18" s="168">
        <f t="shared" si="2"/>
        <v>0</v>
      </c>
      <c r="J18" s="50" t="str">
        <v/>
      </c>
      <c r="K18" s="50" t="str">
        <v/>
      </c>
      <c r="L18" s="50" t="str">
        <v/>
      </c>
      <c r="M18" s="50" t="str">
        <v/>
      </c>
      <c r="N18" s="50" cm="1">
        <f t="array" ref="N18">_xlfn.LET(_xlpm.result, Common_InputFunctions.Utility_LookupValueInTableTwoColumns(L18, _xlfn.IFS(L18="Urea",IF($J18="", "Global", $J18), L18="Ammonia", IF($K18="", "Global", $K18), TRUE, "Global"), Table_SourceData_Scope3_InorganicFertiliser[Chemical compound],Table_SourceData_Scope3_InorganicFertiliser[Region of origin],Table_SourceData_Scope3_InorganicFertiliser[AusLCI Emissions intensity]), IF(_xlpm.result="", 0, _xlpm.result))</f>
        <v>0</v>
      </c>
      <c r="O18" s="50" t="str">
        <v/>
      </c>
      <c r="P18" s="50" t="str">
        <v/>
      </c>
      <c r="Q18" s="50" cm="1">
        <f t="array" ref="Q18">_xlfn.LET(_xlpm.result, Common_InputFunctions.Utility_LookupValueInTableTwoColumns(O18, _xlfn.IFS(O18="Urea",IF($J18="", "Global", $J18), O18="Ammonia", IF($K18="", "Global", $K18), TRUE, "Global"), Table_SourceData_Scope3_InorganicFertiliser[Chemical compound],Table_SourceData_Scope3_InorganicFertiliser[Region of origin],Table_SourceData_Scope3_InorganicFertiliser[AusLCI Emissions intensity]), IF(_xlpm.result="", 0, _xlpm.result))</f>
        <v>0</v>
      </c>
      <c r="R18" s="50" t="str">
        <v/>
      </c>
      <c r="S18" s="50" t="str">
        <v/>
      </c>
      <c r="T18" s="50" cm="1">
        <f t="array" ref="T18">_xlfn.LET(_xlpm.result, Common_InputFunctions.Utility_LookupValueInTableTwoColumns(R18, _xlfn.IFS(R18="Urea",IF($J18="", "Global", $J18), R18="Ammonia", IF($K18="", "Global", $K18), TRUE, "Global"), Table_SourceData_Scope3_InorganicFertiliser[Chemical compound],Table_SourceData_Scope3_InorganicFertiliser[Region of origin],Table_SourceData_Scope3_InorganicFertiliser[AusLCI Emissions intensity]), IF(_xlpm.result="", 0, _xlpm.result))</f>
        <v>0</v>
      </c>
      <c r="U18" s="50" t="str">
        <v/>
      </c>
      <c r="V18" s="50" t="str">
        <v/>
      </c>
      <c r="W18" s="50" cm="1">
        <f t="array" ref="W18">_xlfn.LET(_xlpm.result, Common_InputFunctions.Utility_LookupValueInTableTwoColumns(U18, _xlfn.IFS(U18="Urea",IF($J18="", "Global", $J18), U18="Ammonia", IF($K18="", "Global", $K18), TRUE, "Global"), Table_SourceData_Scope3_InorganicFertiliser[Chemical compound],Table_SourceData_Scope3_InorganicFertiliser[Region of origin],Table_SourceData_Scope3_InorganicFertiliser[AusLCI Emissions intensity]), IF(_xlpm.result="", 0, _xlpm.result))</f>
        <v>0</v>
      </c>
      <c r="X18" s="50" t="str">
        <v/>
      </c>
      <c r="Y18" s="50" t="str">
        <v/>
      </c>
      <c r="Z18" s="50" cm="1">
        <f t="array" ref="Z18">_xlfn.LET(_xlpm.result, Common_InputFunctions.Utility_LookupValueInTableTwoColumns(X18, _xlfn.IFS(X18="Urea",IF($J18="", "Global", $J18), X18="Ammonia", IF($K18="", "Global", $K18), TRUE, "Global"), Table_SourceData_Scope3_InorganicFertiliser[Chemical compound],Table_SourceData_Scope3_InorganicFertiliser[Region of origin],Table_SourceData_Scope3_InorganicFertiliser[AusLCI Emissions intensity]), IF(_xlpm.result="", 0, _xlpm.result))</f>
        <v>0</v>
      </c>
      <c r="AA18" s="50" t="str">
        <v/>
      </c>
      <c r="AB18" s="50" t="str">
        <v/>
      </c>
      <c r="AC18" s="50" cm="1">
        <f t="array" ref="AC18">_xlfn.LET(_xlpm.result, Common_InputFunctions.Utility_LookupValueInTableTwoColumns(AA18, _xlfn.IFS(AA18="Urea",IF($J18="", "Global", $J18), AA18="Ammonia", IF($K18="", "Global", $K18), TRUE, "Global"), Table_SourceData_Scope3_InorganicFertiliser[Chemical compound],Table_SourceData_Scope3_InorganicFertiliser[Region of origin],Table_SourceData_Scope3_InorganicFertiliser[AusLCI Emissions intensity]), IF(_xlpm.result="", 0, _xlpm.result))</f>
        <v>0</v>
      </c>
    </row>
    <row r="19" spans="1:29" ht="20.100000000000001" customHeight="1" x14ac:dyDescent="0.25">
      <c r="A19" t="s">
        <v>641</v>
      </c>
      <c r="D19" s="50" t="str">
        <v/>
      </c>
      <c r="E19" s="50" t="str">
        <v/>
      </c>
      <c r="F19" s="50">
        <f t="shared" si="0"/>
        <v>0</v>
      </c>
      <c r="G19" s="168">
        <f t="shared" si="1"/>
        <v>0</v>
      </c>
      <c r="H19" s="69"/>
      <c r="I19" s="168">
        <f t="shared" si="2"/>
        <v>0</v>
      </c>
      <c r="J19" s="50" t="str">
        <v/>
      </c>
      <c r="K19" s="50" t="str">
        <v/>
      </c>
      <c r="L19" s="50" t="str">
        <v/>
      </c>
      <c r="M19" s="50" t="str">
        <v/>
      </c>
      <c r="N19" s="50" cm="1">
        <f t="array" ref="N19">_xlfn.LET(_xlpm.result, Common_InputFunctions.Utility_LookupValueInTableTwoColumns(L19, _xlfn.IFS(L19="Urea",IF($J19="", "Global", $J19), L19="Ammonia", IF($K19="", "Global", $K19), TRUE, "Global"), Table_SourceData_Scope3_InorganicFertiliser[Chemical compound],Table_SourceData_Scope3_InorganicFertiliser[Region of origin],Table_SourceData_Scope3_InorganicFertiliser[AusLCI Emissions intensity]), IF(_xlpm.result="", 0, _xlpm.result))</f>
        <v>0</v>
      </c>
      <c r="O19" s="50" t="str">
        <v/>
      </c>
      <c r="P19" s="50" t="str">
        <v/>
      </c>
      <c r="Q19" s="50" cm="1">
        <f t="array" ref="Q19">_xlfn.LET(_xlpm.result, Common_InputFunctions.Utility_LookupValueInTableTwoColumns(O19, _xlfn.IFS(O19="Urea",IF($J19="", "Global", $J19), O19="Ammonia", IF($K19="", "Global", $K19), TRUE, "Global"), Table_SourceData_Scope3_InorganicFertiliser[Chemical compound],Table_SourceData_Scope3_InorganicFertiliser[Region of origin],Table_SourceData_Scope3_InorganicFertiliser[AusLCI Emissions intensity]), IF(_xlpm.result="", 0, _xlpm.result))</f>
        <v>0</v>
      </c>
      <c r="R19" s="50" t="str">
        <v/>
      </c>
      <c r="S19" s="50" t="str">
        <v/>
      </c>
      <c r="T19" s="50" cm="1">
        <f t="array" ref="T19">_xlfn.LET(_xlpm.result, Common_InputFunctions.Utility_LookupValueInTableTwoColumns(R19, _xlfn.IFS(R19="Urea",IF($J19="", "Global", $J19), R19="Ammonia", IF($K19="", "Global", $K19), TRUE, "Global"), Table_SourceData_Scope3_InorganicFertiliser[Chemical compound],Table_SourceData_Scope3_InorganicFertiliser[Region of origin],Table_SourceData_Scope3_InorganicFertiliser[AusLCI Emissions intensity]), IF(_xlpm.result="", 0, _xlpm.result))</f>
        <v>0</v>
      </c>
      <c r="U19" s="50" t="str">
        <v/>
      </c>
      <c r="V19" s="50" t="str">
        <v/>
      </c>
      <c r="W19" s="50" cm="1">
        <f t="array" ref="W19">_xlfn.LET(_xlpm.result, Common_InputFunctions.Utility_LookupValueInTableTwoColumns(U19, _xlfn.IFS(U19="Urea",IF($J19="", "Global", $J19), U19="Ammonia", IF($K19="", "Global", $K19), TRUE, "Global"), Table_SourceData_Scope3_InorganicFertiliser[Chemical compound],Table_SourceData_Scope3_InorganicFertiliser[Region of origin],Table_SourceData_Scope3_InorganicFertiliser[AusLCI Emissions intensity]), IF(_xlpm.result="", 0, _xlpm.result))</f>
        <v>0</v>
      </c>
      <c r="X19" s="50" t="str">
        <v/>
      </c>
      <c r="Y19" s="50" t="str">
        <v/>
      </c>
      <c r="Z19" s="50" cm="1">
        <f t="array" ref="Z19">_xlfn.LET(_xlpm.result, Common_InputFunctions.Utility_LookupValueInTableTwoColumns(X19, _xlfn.IFS(X19="Urea",IF($J19="", "Global", $J19), X19="Ammonia", IF($K19="", "Global", $K19), TRUE, "Global"), Table_SourceData_Scope3_InorganicFertiliser[Chemical compound],Table_SourceData_Scope3_InorganicFertiliser[Region of origin],Table_SourceData_Scope3_InorganicFertiliser[AusLCI Emissions intensity]), IF(_xlpm.result="", 0, _xlpm.result))</f>
        <v>0</v>
      </c>
      <c r="AA19" s="50" t="str">
        <v/>
      </c>
      <c r="AB19" s="50" t="str">
        <v/>
      </c>
      <c r="AC19" s="50" cm="1">
        <f t="array" ref="AC19">_xlfn.LET(_xlpm.result, Common_InputFunctions.Utility_LookupValueInTableTwoColumns(AA19, _xlfn.IFS(AA19="Urea",IF($J19="", "Global", $J19), AA19="Ammonia", IF($K19="", "Global", $K19), TRUE, "Global"), Table_SourceData_Scope3_InorganicFertiliser[Chemical compound],Table_SourceData_Scope3_InorganicFertiliser[Region of origin],Table_SourceData_Scope3_InorganicFertiliser[AusLCI Emissions intensity]), IF(_xlpm.result="", 0, _xlpm.result))</f>
        <v>0</v>
      </c>
    </row>
    <row r="20" spans="1:29" ht="20.100000000000001" customHeight="1" x14ac:dyDescent="0.25">
      <c r="D20" s="50" t="str">
        <v/>
      </c>
      <c r="E20" s="50" t="str">
        <v/>
      </c>
      <c r="F20" s="50">
        <f t="shared" si="0"/>
        <v>0</v>
      </c>
      <c r="G20" s="168">
        <f t="shared" si="1"/>
        <v>0</v>
      </c>
      <c r="H20" s="69"/>
      <c r="I20" s="168">
        <f t="shared" si="2"/>
        <v>0</v>
      </c>
      <c r="J20" s="50" t="str">
        <v/>
      </c>
      <c r="K20" s="50" t="str">
        <v/>
      </c>
      <c r="L20" s="50" t="str">
        <v/>
      </c>
      <c r="M20" s="50" t="str">
        <v/>
      </c>
      <c r="N20" s="50" cm="1">
        <f t="array" ref="N20">_xlfn.LET(_xlpm.result, Common_InputFunctions.Utility_LookupValueInTableTwoColumns(L20, _xlfn.IFS(L20="Urea",IF($J20="", "Global", $J20), L20="Ammonia", IF($K20="", "Global", $K20), TRUE, "Global"), Table_SourceData_Scope3_InorganicFertiliser[Chemical compound],Table_SourceData_Scope3_InorganicFertiliser[Region of origin],Table_SourceData_Scope3_InorganicFertiliser[AusLCI Emissions intensity]), IF(_xlpm.result="", 0, _xlpm.result))</f>
        <v>0</v>
      </c>
      <c r="O20" s="50" t="str">
        <v/>
      </c>
      <c r="P20" s="50" t="str">
        <v/>
      </c>
      <c r="Q20" s="50" cm="1">
        <f t="array" ref="Q20">_xlfn.LET(_xlpm.result, Common_InputFunctions.Utility_LookupValueInTableTwoColumns(O20, _xlfn.IFS(O20="Urea",IF($J20="", "Global", $J20), O20="Ammonia", IF($K20="", "Global", $K20), TRUE, "Global"), Table_SourceData_Scope3_InorganicFertiliser[Chemical compound],Table_SourceData_Scope3_InorganicFertiliser[Region of origin],Table_SourceData_Scope3_InorganicFertiliser[AusLCI Emissions intensity]), IF(_xlpm.result="", 0, _xlpm.result))</f>
        <v>0</v>
      </c>
      <c r="R20" s="50" t="str">
        <v/>
      </c>
      <c r="S20" s="50" t="str">
        <v/>
      </c>
      <c r="T20" s="50" cm="1">
        <f t="array" ref="T20">_xlfn.LET(_xlpm.result, Common_InputFunctions.Utility_LookupValueInTableTwoColumns(R20, _xlfn.IFS(R20="Urea",IF($J20="", "Global", $J20), R20="Ammonia", IF($K20="", "Global", $K20), TRUE, "Global"), Table_SourceData_Scope3_InorganicFertiliser[Chemical compound],Table_SourceData_Scope3_InorganicFertiliser[Region of origin],Table_SourceData_Scope3_InorganicFertiliser[AusLCI Emissions intensity]), IF(_xlpm.result="", 0, _xlpm.result))</f>
        <v>0</v>
      </c>
      <c r="U20" s="50" t="str">
        <v/>
      </c>
      <c r="V20" s="50" t="str">
        <v/>
      </c>
      <c r="W20" s="50" cm="1">
        <f t="array" ref="W20">_xlfn.LET(_xlpm.result, Common_InputFunctions.Utility_LookupValueInTableTwoColumns(U20, _xlfn.IFS(U20="Urea",IF($J20="", "Global", $J20), U20="Ammonia", IF($K20="", "Global", $K20), TRUE, "Global"), Table_SourceData_Scope3_InorganicFertiliser[Chemical compound],Table_SourceData_Scope3_InorganicFertiliser[Region of origin],Table_SourceData_Scope3_InorganicFertiliser[AusLCI Emissions intensity]), IF(_xlpm.result="", 0, _xlpm.result))</f>
        <v>0</v>
      </c>
      <c r="X20" s="50" t="str">
        <v/>
      </c>
      <c r="Y20" s="50" t="str">
        <v/>
      </c>
      <c r="Z20" s="50" cm="1">
        <f t="array" ref="Z20">_xlfn.LET(_xlpm.result, Common_InputFunctions.Utility_LookupValueInTableTwoColumns(X20, _xlfn.IFS(X20="Urea",IF($J20="", "Global", $J20), X20="Ammonia", IF($K20="", "Global", $K20), TRUE, "Global"), Table_SourceData_Scope3_InorganicFertiliser[Chemical compound],Table_SourceData_Scope3_InorganicFertiliser[Region of origin],Table_SourceData_Scope3_InorganicFertiliser[AusLCI Emissions intensity]), IF(_xlpm.result="", 0, _xlpm.result))</f>
        <v>0</v>
      </c>
      <c r="AA20" s="50" t="str">
        <v/>
      </c>
      <c r="AB20" s="50" t="str">
        <v/>
      </c>
      <c r="AC20" s="50" cm="1">
        <f t="array" ref="AC20">_xlfn.LET(_xlpm.result, Common_InputFunctions.Utility_LookupValueInTableTwoColumns(AA20, _xlfn.IFS(AA20="Urea",IF($J20="", "Global", $J20), AA20="Ammonia", IF($K20="", "Global", $K20), TRUE, "Global"), Table_SourceData_Scope3_InorganicFertiliser[Chemical compound],Table_SourceData_Scope3_InorganicFertiliser[Region of origin],Table_SourceData_Scope3_InorganicFertiliser[AusLCI Emissions intensity]), IF(_xlpm.result="", 0, _xlpm.result))</f>
        <v>0</v>
      </c>
    </row>
    <row r="21" spans="1:29" ht="20.100000000000001" customHeight="1" x14ac:dyDescent="0.25">
      <c r="A21" t="s">
        <v>640</v>
      </c>
      <c r="D21" s="50" t="str">
        <v/>
      </c>
      <c r="E21" s="50" t="str">
        <v/>
      </c>
      <c r="F21" s="50">
        <f t="shared" si="0"/>
        <v>0</v>
      </c>
      <c r="G21" s="168">
        <f t="shared" si="1"/>
        <v>0</v>
      </c>
      <c r="H21" s="69"/>
      <c r="I21" s="168">
        <f t="shared" si="2"/>
        <v>0</v>
      </c>
      <c r="J21" s="50" t="str">
        <v/>
      </c>
      <c r="K21" s="50" t="str">
        <v/>
      </c>
      <c r="L21" s="50" t="str">
        <v/>
      </c>
      <c r="M21" s="50" t="str">
        <v/>
      </c>
      <c r="N21" s="50" cm="1">
        <f t="array" ref="N21">_xlfn.LET(_xlpm.result, Common_InputFunctions.Utility_LookupValueInTableTwoColumns(L21, _xlfn.IFS(L21="Urea",IF($J21="", "Global", $J21), L21="Ammonia", IF($K21="", "Global", $K21), TRUE, "Global"), Table_SourceData_Scope3_InorganicFertiliser[Chemical compound],Table_SourceData_Scope3_InorganicFertiliser[Region of origin],Table_SourceData_Scope3_InorganicFertiliser[AusLCI Emissions intensity]), IF(_xlpm.result="", 0, _xlpm.result))</f>
        <v>0</v>
      </c>
      <c r="O21" s="50" t="str">
        <v/>
      </c>
      <c r="P21" s="50" t="str">
        <v/>
      </c>
      <c r="Q21" s="50" cm="1">
        <f t="array" ref="Q21">_xlfn.LET(_xlpm.result, Common_InputFunctions.Utility_LookupValueInTableTwoColumns(O21, _xlfn.IFS(O21="Urea",IF($J21="", "Global", $J21), O21="Ammonia", IF($K21="", "Global", $K21), TRUE, "Global"), Table_SourceData_Scope3_InorganicFertiliser[Chemical compound],Table_SourceData_Scope3_InorganicFertiliser[Region of origin],Table_SourceData_Scope3_InorganicFertiliser[AusLCI Emissions intensity]), IF(_xlpm.result="", 0, _xlpm.result))</f>
        <v>0</v>
      </c>
      <c r="R21" s="50" t="str">
        <v/>
      </c>
      <c r="S21" s="50" t="str">
        <v/>
      </c>
      <c r="T21" s="50" cm="1">
        <f t="array" ref="T21">_xlfn.LET(_xlpm.result, Common_InputFunctions.Utility_LookupValueInTableTwoColumns(R21, _xlfn.IFS(R21="Urea",IF($J21="", "Global", $J21), R21="Ammonia", IF($K21="", "Global", $K21), TRUE, "Global"), Table_SourceData_Scope3_InorganicFertiliser[Chemical compound],Table_SourceData_Scope3_InorganicFertiliser[Region of origin],Table_SourceData_Scope3_InorganicFertiliser[AusLCI Emissions intensity]), IF(_xlpm.result="", 0, _xlpm.result))</f>
        <v>0</v>
      </c>
      <c r="U21" s="50" t="str">
        <v/>
      </c>
      <c r="V21" s="50" t="str">
        <v/>
      </c>
      <c r="W21" s="50" cm="1">
        <f t="array" ref="W21">_xlfn.LET(_xlpm.result, Common_InputFunctions.Utility_LookupValueInTableTwoColumns(U21, _xlfn.IFS(U21="Urea",IF($J21="", "Global", $J21), U21="Ammonia", IF($K21="", "Global", $K21), TRUE, "Global"), Table_SourceData_Scope3_InorganicFertiliser[Chemical compound],Table_SourceData_Scope3_InorganicFertiliser[Region of origin],Table_SourceData_Scope3_InorganicFertiliser[AusLCI Emissions intensity]), IF(_xlpm.result="", 0, _xlpm.result))</f>
        <v>0</v>
      </c>
      <c r="X21" s="50" t="str">
        <v/>
      </c>
      <c r="Y21" s="50" t="str">
        <v/>
      </c>
      <c r="Z21" s="50" cm="1">
        <f t="array" ref="Z21">_xlfn.LET(_xlpm.result, Common_InputFunctions.Utility_LookupValueInTableTwoColumns(X21, _xlfn.IFS(X21="Urea",IF($J21="", "Global", $J21), X21="Ammonia", IF($K21="", "Global", $K21), TRUE, "Global"), Table_SourceData_Scope3_InorganicFertiliser[Chemical compound],Table_SourceData_Scope3_InorganicFertiliser[Region of origin],Table_SourceData_Scope3_InorganicFertiliser[AusLCI Emissions intensity]), IF(_xlpm.result="", 0, _xlpm.result))</f>
        <v>0</v>
      </c>
      <c r="AA21" s="50" t="str">
        <v/>
      </c>
      <c r="AB21" s="50" t="str">
        <v/>
      </c>
      <c r="AC21" s="50" cm="1">
        <f t="array" ref="AC21">_xlfn.LET(_xlpm.result, Common_InputFunctions.Utility_LookupValueInTableTwoColumns(AA21, _xlfn.IFS(AA21="Urea",IF($J21="", "Global", $J21), AA21="Ammonia", IF($K21="", "Global", $K21), TRUE, "Global"), Table_SourceData_Scope3_InorganicFertiliser[Chemical compound],Table_SourceData_Scope3_InorganicFertiliser[Region of origin],Table_SourceData_Scope3_InorganicFertiliser[AusLCI Emissions intensity]), IF(_xlpm.result="", 0, _xlpm.result))</f>
        <v>0</v>
      </c>
    </row>
    <row r="22" spans="1:29" ht="20.100000000000001" customHeight="1" x14ac:dyDescent="0.25">
      <c r="D22" s="50" t="str">
        <v/>
      </c>
      <c r="E22" s="50" t="str">
        <v/>
      </c>
      <c r="F22" s="50">
        <f t="shared" si="0"/>
        <v>0</v>
      </c>
      <c r="G22" s="168">
        <f t="shared" si="1"/>
        <v>0</v>
      </c>
      <c r="H22" s="69"/>
      <c r="I22" s="168">
        <f t="shared" si="2"/>
        <v>0</v>
      </c>
      <c r="J22" s="50" t="str">
        <v/>
      </c>
      <c r="K22" s="50" t="str">
        <v/>
      </c>
      <c r="L22" s="50" t="str">
        <v/>
      </c>
      <c r="M22" s="50" t="str">
        <v/>
      </c>
      <c r="N22" s="50" cm="1">
        <f t="array" ref="N22">_xlfn.LET(_xlpm.result, Common_InputFunctions.Utility_LookupValueInTableTwoColumns(L22, _xlfn.IFS(L22="Urea",IF($J22="", "Global", $J22), L22="Ammonia", IF($K22="", "Global", $K22), TRUE, "Global"), Table_SourceData_Scope3_InorganicFertiliser[Chemical compound],Table_SourceData_Scope3_InorganicFertiliser[Region of origin],Table_SourceData_Scope3_InorganicFertiliser[AusLCI Emissions intensity]), IF(_xlpm.result="", 0, _xlpm.result))</f>
        <v>0</v>
      </c>
      <c r="O22" s="50" t="str">
        <v/>
      </c>
      <c r="P22" s="50" t="str">
        <v/>
      </c>
      <c r="Q22" s="50" cm="1">
        <f t="array" ref="Q22">_xlfn.LET(_xlpm.result, Common_InputFunctions.Utility_LookupValueInTableTwoColumns(O22, _xlfn.IFS(O22="Urea",IF($J22="", "Global", $J22), O22="Ammonia", IF($K22="", "Global", $K22), TRUE, "Global"), Table_SourceData_Scope3_InorganicFertiliser[Chemical compound],Table_SourceData_Scope3_InorganicFertiliser[Region of origin],Table_SourceData_Scope3_InorganicFertiliser[AusLCI Emissions intensity]), IF(_xlpm.result="", 0, _xlpm.result))</f>
        <v>0</v>
      </c>
      <c r="R22" s="50" t="str">
        <v/>
      </c>
      <c r="S22" s="50" t="str">
        <v/>
      </c>
      <c r="T22" s="50" cm="1">
        <f t="array" ref="T22">_xlfn.LET(_xlpm.result, Common_InputFunctions.Utility_LookupValueInTableTwoColumns(R22, _xlfn.IFS(R22="Urea",IF($J22="", "Global", $J22), R22="Ammonia", IF($K22="", "Global", $K22), TRUE, "Global"), Table_SourceData_Scope3_InorganicFertiliser[Chemical compound],Table_SourceData_Scope3_InorganicFertiliser[Region of origin],Table_SourceData_Scope3_InorganicFertiliser[AusLCI Emissions intensity]), IF(_xlpm.result="", 0, _xlpm.result))</f>
        <v>0</v>
      </c>
      <c r="U22" s="50" t="str">
        <v/>
      </c>
      <c r="V22" s="50" t="str">
        <v/>
      </c>
      <c r="W22" s="50" cm="1">
        <f t="array" ref="W22">_xlfn.LET(_xlpm.result, Common_InputFunctions.Utility_LookupValueInTableTwoColumns(U22, _xlfn.IFS(U22="Urea",IF($J22="", "Global", $J22), U22="Ammonia", IF($K22="", "Global", $K22), TRUE, "Global"), Table_SourceData_Scope3_InorganicFertiliser[Chemical compound],Table_SourceData_Scope3_InorganicFertiliser[Region of origin],Table_SourceData_Scope3_InorganicFertiliser[AusLCI Emissions intensity]), IF(_xlpm.result="", 0, _xlpm.result))</f>
        <v>0</v>
      </c>
      <c r="X22" s="50" t="str">
        <v/>
      </c>
      <c r="Y22" s="50" t="str">
        <v/>
      </c>
      <c r="Z22" s="50" cm="1">
        <f t="array" ref="Z22">_xlfn.LET(_xlpm.result, Common_InputFunctions.Utility_LookupValueInTableTwoColumns(X22, _xlfn.IFS(X22="Urea",IF($J22="", "Global", $J22), X22="Ammonia", IF($K22="", "Global", $K22), TRUE, "Global"), Table_SourceData_Scope3_InorganicFertiliser[Chemical compound],Table_SourceData_Scope3_InorganicFertiliser[Region of origin],Table_SourceData_Scope3_InorganicFertiliser[AusLCI Emissions intensity]), IF(_xlpm.result="", 0, _xlpm.result))</f>
        <v>0</v>
      </c>
      <c r="AA22" s="50" t="str">
        <v/>
      </c>
      <c r="AB22" s="50" t="str">
        <v/>
      </c>
      <c r="AC22" s="50" cm="1">
        <f t="array" ref="AC22">_xlfn.LET(_xlpm.result, Common_InputFunctions.Utility_LookupValueInTableTwoColumns(AA22, _xlfn.IFS(AA22="Urea",IF($J22="", "Global", $J22), AA22="Ammonia", IF($K22="", "Global", $K22), TRUE, "Global"), Table_SourceData_Scope3_InorganicFertiliser[Chemical compound],Table_SourceData_Scope3_InorganicFertiliser[Region of origin],Table_SourceData_Scope3_InorganicFertiliser[AusLCI Emissions intensity]), IF(_xlpm.result="", 0, _xlpm.result))</f>
        <v>0</v>
      </c>
    </row>
    <row r="23" spans="1:29" ht="20.100000000000001" customHeight="1" x14ac:dyDescent="0.25">
      <c r="D23" s="50" t="str">
        <v/>
      </c>
      <c r="E23" s="50" t="str">
        <v/>
      </c>
      <c r="F23" s="50">
        <f t="shared" si="0"/>
        <v>0</v>
      </c>
      <c r="G23" s="168">
        <f t="shared" si="1"/>
        <v>0</v>
      </c>
      <c r="H23" s="69"/>
      <c r="I23" s="168">
        <f t="shared" si="2"/>
        <v>0</v>
      </c>
      <c r="J23" s="50" t="str">
        <v/>
      </c>
      <c r="K23" s="50" t="str">
        <v/>
      </c>
      <c r="L23" s="50" t="str">
        <v/>
      </c>
      <c r="M23" s="50" t="str">
        <v/>
      </c>
      <c r="N23" s="50" cm="1">
        <f t="array" ref="N23">_xlfn.LET(_xlpm.result, Common_InputFunctions.Utility_LookupValueInTableTwoColumns(L23, _xlfn.IFS(L23="Urea",IF($J23="", "Global", $J23), L23="Ammonia", IF($K23="", "Global", $K23), TRUE, "Global"), Table_SourceData_Scope3_InorganicFertiliser[Chemical compound],Table_SourceData_Scope3_InorganicFertiliser[Region of origin],Table_SourceData_Scope3_InorganicFertiliser[AusLCI Emissions intensity]), IF(_xlpm.result="", 0, _xlpm.result))</f>
        <v>0</v>
      </c>
      <c r="O23" s="50" t="str">
        <v/>
      </c>
      <c r="P23" s="50" t="str">
        <v/>
      </c>
      <c r="Q23" s="50" cm="1">
        <f t="array" ref="Q23">_xlfn.LET(_xlpm.result, Common_InputFunctions.Utility_LookupValueInTableTwoColumns(O23, _xlfn.IFS(O23="Urea",IF($J23="", "Global", $J23), O23="Ammonia", IF($K23="", "Global", $K23), TRUE, "Global"), Table_SourceData_Scope3_InorganicFertiliser[Chemical compound],Table_SourceData_Scope3_InorganicFertiliser[Region of origin],Table_SourceData_Scope3_InorganicFertiliser[AusLCI Emissions intensity]), IF(_xlpm.result="", 0, _xlpm.result))</f>
        <v>0</v>
      </c>
      <c r="R23" s="50" t="str">
        <v/>
      </c>
      <c r="S23" s="50" t="str">
        <v/>
      </c>
      <c r="T23" s="50" cm="1">
        <f t="array" ref="T23">_xlfn.LET(_xlpm.result, Common_InputFunctions.Utility_LookupValueInTableTwoColumns(R23, _xlfn.IFS(R23="Urea",IF($J23="", "Global", $J23), R23="Ammonia", IF($K23="", "Global", $K23), TRUE, "Global"), Table_SourceData_Scope3_InorganicFertiliser[Chemical compound],Table_SourceData_Scope3_InorganicFertiliser[Region of origin],Table_SourceData_Scope3_InorganicFertiliser[AusLCI Emissions intensity]), IF(_xlpm.result="", 0, _xlpm.result))</f>
        <v>0</v>
      </c>
      <c r="U23" s="50" t="str">
        <v/>
      </c>
      <c r="V23" s="50" t="str">
        <v/>
      </c>
      <c r="W23" s="50" cm="1">
        <f t="array" ref="W23">_xlfn.LET(_xlpm.result, Common_InputFunctions.Utility_LookupValueInTableTwoColumns(U23, _xlfn.IFS(U23="Urea",IF($J23="", "Global", $J23), U23="Ammonia", IF($K23="", "Global", $K23), TRUE, "Global"), Table_SourceData_Scope3_InorganicFertiliser[Chemical compound],Table_SourceData_Scope3_InorganicFertiliser[Region of origin],Table_SourceData_Scope3_InorganicFertiliser[AusLCI Emissions intensity]), IF(_xlpm.result="", 0, _xlpm.result))</f>
        <v>0</v>
      </c>
      <c r="X23" s="50" t="str">
        <v/>
      </c>
      <c r="Y23" s="50" t="str">
        <v/>
      </c>
      <c r="Z23" s="50" cm="1">
        <f t="array" ref="Z23">_xlfn.LET(_xlpm.result, Common_InputFunctions.Utility_LookupValueInTableTwoColumns(X23, _xlfn.IFS(X23="Urea",IF($J23="", "Global", $J23), X23="Ammonia", IF($K23="", "Global", $K23), TRUE, "Global"), Table_SourceData_Scope3_InorganicFertiliser[Chemical compound],Table_SourceData_Scope3_InorganicFertiliser[Region of origin],Table_SourceData_Scope3_InorganicFertiliser[AusLCI Emissions intensity]), IF(_xlpm.result="", 0, _xlpm.result))</f>
        <v>0</v>
      </c>
      <c r="AA23" s="50" t="str">
        <v/>
      </c>
      <c r="AB23" s="50" t="str">
        <v/>
      </c>
      <c r="AC23" s="50" cm="1">
        <f t="array" ref="AC23">_xlfn.LET(_xlpm.result, Common_InputFunctions.Utility_LookupValueInTableTwoColumns(AA23, _xlfn.IFS(AA23="Urea",IF($J23="", "Global", $J23), AA23="Ammonia", IF($K23="", "Global", $K23), TRUE, "Global"), Table_SourceData_Scope3_InorganicFertiliser[Chemical compound],Table_SourceData_Scope3_InorganicFertiliser[Region of origin],Table_SourceData_Scope3_InorganicFertiliser[AusLCI Emissions intensity]), IF(_xlpm.result="", 0, _xlpm.result))</f>
        <v>0</v>
      </c>
    </row>
    <row r="24" spans="1:29" ht="20.100000000000001" customHeight="1" x14ac:dyDescent="0.25">
      <c r="D24" s="50" t="str">
        <v/>
      </c>
      <c r="E24" s="50" t="str">
        <v/>
      </c>
      <c r="F24" s="50">
        <f t="shared" si="0"/>
        <v>0</v>
      </c>
      <c r="G24" s="168">
        <f t="shared" si="1"/>
        <v>0</v>
      </c>
      <c r="H24" s="69"/>
      <c r="I24" s="168">
        <f t="shared" si="2"/>
        <v>0</v>
      </c>
      <c r="J24" s="50" t="str">
        <v/>
      </c>
      <c r="K24" s="50" t="str">
        <v/>
      </c>
      <c r="L24" s="50" t="str">
        <v/>
      </c>
      <c r="M24" s="50" t="str">
        <v/>
      </c>
      <c r="N24" s="50" cm="1">
        <f t="array" ref="N24">_xlfn.LET(_xlpm.result, Common_InputFunctions.Utility_LookupValueInTableTwoColumns(L24, _xlfn.IFS(L24="Urea",IF($J24="", "Global", $J24), L24="Ammonia", IF($K24="", "Global", $K24), TRUE, "Global"), Table_SourceData_Scope3_InorganicFertiliser[Chemical compound],Table_SourceData_Scope3_InorganicFertiliser[Region of origin],Table_SourceData_Scope3_InorganicFertiliser[AusLCI Emissions intensity]), IF(_xlpm.result="", 0, _xlpm.result))</f>
        <v>0</v>
      </c>
      <c r="O24" s="50" t="str">
        <v/>
      </c>
      <c r="P24" s="50" t="str">
        <v/>
      </c>
      <c r="Q24" s="50" cm="1">
        <f t="array" ref="Q24">_xlfn.LET(_xlpm.result, Common_InputFunctions.Utility_LookupValueInTableTwoColumns(O24, _xlfn.IFS(O24="Urea",IF($J24="", "Global", $J24), O24="Ammonia", IF($K24="", "Global", $K24), TRUE, "Global"), Table_SourceData_Scope3_InorganicFertiliser[Chemical compound],Table_SourceData_Scope3_InorganicFertiliser[Region of origin],Table_SourceData_Scope3_InorganicFertiliser[AusLCI Emissions intensity]), IF(_xlpm.result="", 0, _xlpm.result))</f>
        <v>0</v>
      </c>
      <c r="R24" s="50" t="str">
        <v/>
      </c>
      <c r="S24" s="50" t="str">
        <v/>
      </c>
      <c r="T24" s="50" cm="1">
        <f t="array" ref="T24">_xlfn.LET(_xlpm.result, Common_InputFunctions.Utility_LookupValueInTableTwoColumns(R24, _xlfn.IFS(R24="Urea",IF($J24="", "Global", $J24), R24="Ammonia", IF($K24="", "Global", $K24), TRUE, "Global"), Table_SourceData_Scope3_InorganicFertiliser[Chemical compound],Table_SourceData_Scope3_InorganicFertiliser[Region of origin],Table_SourceData_Scope3_InorganicFertiliser[AusLCI Emissions intensity]), IF(_xlpm.result="", 0, _xlpm.result))</f>
        <v>0</v>
      </c>
      <c r="U24" s="50" t="str">
        <v/>
      </c>
      <c r="V24" s="50" t="str">
        <v/>
      </c>
      <c r="W24" s="50" cm="1">
        <f t="array" ref="W24">_xlfn.LET(_xlpm.result, Common_InputFunctions.Utility_LookupValueInTableTwoColumns(U24, _xlfn.IFS(U24="Urea",IF($J24="", "Global", $J24), U24="Ammonia", IF($K24="", "Global", $K24), TRUE, "Global"), Table_SourceData_Scope3_InorganicFertiliser[Chemical compound],Table_SourceData_Scope3_InorganicFertiliser[Region of origin],Table_SourceData_Scope3_InorganicFertiliser[AusLCI Emissions intensity]), IF(_xlpm.result="", 0, _xlpm.result))</f>
        <v>0</v>
      </c>
      <c r="X24" s="50" t="str">
        <v/>
      </c>
      <c r="Y24" s="50" t="str">
        <v/>
      </c>
      <c r="Z24" s="50" cm="1">
        <f t="array" ref="Z24">_xlfn.LET(_xlpm.result, Common_InputFunctions.Utility_LookupValueInTableTwoColumns(X24, _xlfn.IFS(X24="Urea",IF($J24="", "Global", $J24), X24="Ammonia", IF($K24="", "Global", $K24), TRUE, "Global"), Table_SourceData_Scope3_InorganicFertiliser[Chemical compound],Table_SourceData_Scope3_InorganicFertiliser[Region of origin],Table_SourceData_Scope3_InorganicFertiliser[AusLCI Emissions intensity]), IF(_xlpm.result="", 0, _xlpm.result))</f>
        <v>0</v>
      </c>
      <c r="AA24" s="50" t="str">
        <v/>
      </c>
      <c r="AB24" s="50" t="str">
        <v/>
      </c>
      <c r="AC24" s="50" cm="1">
        <f t="array" ref="AC24">_xlfn.LET(_xlpm.result, Common_InputFunctions.Utility_LookupValueInTableTwoColumns(AA24, _xlfn.IFS(AA24="Urea",IF($J24="", "Global", $J24), AA24="Ammonia", IF($K24="", "Global", $K24), TRUE, "Global"), Table_SourceData_Scope3_InorganicFertiliser[Chemical compound],Table_SourceData_Scope3_InorganicFertiliser[Region of origin],Table_SourceData_Scope3_InorganicFertiliser[AusLCI Emissions intensity]), IF(_xlpm.result="", 0, _xlpm.result))</f>
        <v>0</v>
      </c>
    </row>
    <row r="25" spans="1:29" ht="20.100000000000001" customHeight="1" x14ac:dyDescent="0.25">
      <c r="D25" s="50" t="str">
        <v/>
      </c>
      <c r="E25" s="50" t="str">
        <v/>
      </c>
      <c r="F25" s="50">
        <f t="shared" si="0"/>
        <v>0</v>
      </c>
      <c r="G25" s="168">
        <f t="shared" si="1"/>
        <v>0</v>
      </c>
      <c r="H25" s="69"/>
      <c r="I25" s="168">
        <f t="shared" si="2"/>
        <v>0</v>
      </c>
      <c r="J25" s="50" t="str">
        <v/>
      </c>
      <c r="K25" s="50" t="str">
        <v/>
      </c>
      <c r="L25" s="50" t="str">
        <v/>
      </c>
      <c r="M25" s="50" t="str">
        <v/>
      </c>
      <c r="N25" s="50" cm="1">
        <f t="array" ref="N25">_xlfn.LET(_xlpm.result, Common_InputFunctions.Utility_LookupValueInTableTwoColumns(L25, _xlfn.IFS(L25="Urea",IF($J25="", "Global", $J25), L25="Ammonia", IF($K25="", "Global", $K25), TRUE, "Global"), Table_SourceData_Scope3_InorganicFertiliser[Chemical compound],Table_SourceData_Scope3_InorganicFertiliser[Region of origin],Table_SourceData_Scope3_InorganicFertiliser[AusLCI Emissions intensity]), IF(_xlpm.result="", 0, _xlpm.result))</f>
        <v>0</v>
      </c>
      <c r="O25" s="50" t="str">
        <v/>
      </c>
      <c r="P25" s="50" t="str">
        <v/>
      </c>
      <c r="Q25" s="50" cm="1">
        <f t="array" ref="Q25">_xlfn.LET(_xlpm.result, Common_InputFunctions.Utility_LookupValueInTableTwoColumns(O25, _xlfn.IFS(O25="Urea",IF($J25="", "Global", $J25), O25="Ammonia", IF($K25="", "Global", $K25), TRUE, "Global"), Table_SourceData_Scope3_InorganicFertiliser[Chemical compound],Table_SourceData_Scope3_InorganicFertiliser[Region of origin],Table_SourceData_Scope3_InorganicFertiliser[AusLCI Emissions intensity]), IF(_xlpm.result="", 0, _xlpm.result))</f>
        <v>0</v>
      </c>
      <c r="R25" s="50" t="str">
        <v/>
      </c>
      <c r="S25" s="50" t="str">
        <v/>
      </c>
      <c r="T25" s="50" cm="1">
        <f t="array" ref="T25">_xlfn.LET(_xlpm.result, Common_InputFunctions.Utility_LookupValueInTableTwoColumns(R25, _xlfn.IFS(R25="Urea",IF($J25="", "Global", $J25), R25="Ammonia", IF($K25="", "Global", $K25), TRUE, "Global"), Table_SourceData_Scope3_InorganicFertiliser[Chemical compound],Table_SourceData_Scope3_InorganicFertiliser[Region of origin],Table_SourceData_Scope3_InorganicFertiliser[AusLCI Emissions intensity]), IF(_xlpm.result="", 0, _xlpm.result))</f>
        <v>0</v>
      </c>
      <c r="U25" s="50" t="str">
        <v/>
      </c>
      <c r="V25" s="50" t="str">
        <v/>
      </c>
      <c r="W25" s="50" cm="1">
        <f t="array" ref="W25">_xlfn.LET(_xlpm.result, Common_InputFunctions.Utility_LookupValueInTableTwoColumns(U25, _xlfn.IFS(U25="Urea",IF($J25="", "Global", $J25), U25="Ammonia", IF($K25="", "Global", $K25), TRUE, "Global"), Table_SourceData_Scope3_InorganicFertiliser[Chemical compound],Table_SourceData_Scope3_InorganicFertiliser[Region of origin],Table_SourceData_Scope3_InorganicFertiliser[AusLCI Emissions intensity]), IF(_xlpm.result="", 0, _xlpm.result))</f>
        <v>0</v>
      </c>
      <c r="X25" s="50" t="str">
        <v/>
      </c>
      <c r="Y25" s="50" t="str">
        <v/>
      </c>
      <c r="Z25" s="50" cm="1">
        <f t="array" ref="Z25">_xlfn.LET(_xlpm.result, Common_InputFunctions.Utility_LookupValueInTableTwoColumns(X25, _xlfn.IFS(X25="Urea",IF($J25="", "Global", $J25), X25="Ammonia", IF($K25="", "Global", $K25), TRUE, "Global"), Table_SourceData_Scope3_InorganicFertiliser[Chemical compound],Table_SourceData_Scope3_InorganicFertiliser[Region of origin],Table_SourceData_Scope3_InorganicFertiliser[AusLCI Emissions intensity]), IF(_xlpm.result="", 0, _xlpm.result))</f>
        <v>0</v>
      </c>
      <c r="AA25" s="50" t="str">
        <v/>
      </c>
      <c r="AB25" s="50" t="str">
        <v/>
      </c>
      <c r="AC25" s="50" cm="1">
        <f t="array" ref="AC25">_xlfn.LET(_xlpm.result, Common_InputFunctions.Utility_LookupValueInTableTwoColumns(AA25, _xlfn.IFS(AA25="Urea",IF($J25="", "Global", $J25), AA25="Ammonia", IF($K25="", "Global", $K25), TRUE, "Global"), Table_SourceData_Scope3_InorganicFertiliser[Chemical compound],Table_SourceData_Scope3_InorganicFertiliser[Region of origin],Table_SourceData_Scope3_InorganicFertiliser[AusLCI Emissions intensity]), IF(_xlpm.result="", 0, _xlpm.result))</f>
        <v>0</v>
      </c>
    </row>
    <row r="26" spans="1:29" ht="20.100000000000001" customHeight="1" x14ac:dyDescent="0.25"/>
    <row r="27" spans="1:29" ht="20.100000000000001" customHeight="1" x14ac:dyDescent="0.25">
      <c r="M27" s="8">
        <f>((M6*$E$6)/100)*N6</f>
        <v>23.011043488488006</v>
      </c>
      <c r="P27" s="8">
        <f>((P6*$E$6)/100)*Q6</f>
        <v>11.044350000000001</v>
      </c>
      <c r="S27" s="8">
        <f>((S6*$E$6)/100)*T6</f>
        <v>15.309000000000003</v>
      </c>
      <c r="V27" s="8">
        <f>((V6*$E$6)/100)*W6</f>
        <v>0</v>
      </c>
      <c r="Y27" s="8">
        <f>((Y6*$E$6)/100)*Z6</f>
        <v>0</v>
      </c>
      <c r="AB27" s="8">
        <f>((AB6*$E$6)/100)*AC6</f>
        <v>0</v>
      </c>
    </row>
    <row r="28" spans="1:29" ht="20.100000000000001" customHeight="1" x14ac:dyDescent="0.25">
      <c r="D28" s="9" t="s">
        <v>394</v>
      </c>
      <c r="M28" s="8">
        <f>((M6*$E$6))*N6</f>
        <v>2301.1043488488008</v>
      </c>
      <c r="P28" s="8">
        <f>((P6*$E$6))*Q6</f>
        <v>1104.4350000000002</v>
      </c>
      <c r="S28" s="8">
        <f>((S6*$E$6))*T6</f>
        <v>1530.9000000000003</v>
      </c>
      <c r="V28" s="8">
        <f>((V6*$E$6))*W6</f>
        <v>0</v>
      </c>
      <c r="Y28" s="8">
        <f>((Y6*$E$6))*Z6</f>
        <v>0</v>
      </c>
      <c r="AB28" s="8">
        <f>((AB6*$E$6))*AC6</f>
        <v>0</v>
      </c>
    </row>
    <row r="29" spans="1:29" ht="20.100000000000001" customHeight="1" x14ac:dyDescent="0.25">
      <c r="D29" s="164" t="s">
        <v>300</v>
      </c>
      <c r="E29" s="164" t="s">
        <v>175</v>
      </c>
      <c r="F29" s="164" t="s">
        <v>176</v>
      </c>
      <c r="G29" s="164" t="s">
        <v>301</v>
      </c>
      <c r="H29" s="60" t="s">
        <v>390</v>
      </c>
      <c r="I29" s="60" t="s">
        <v>387</v>
      </c>
      <c r="J29" s="47" t="s">
        <v>395</v>
      </c>
      <c r="K29" s="60" t="s">
        <v>388</v>
      </c>
    </row>
    <row r="30" spans="1:29" ht="20.100000000000001" customHeight="1" x14ac:dyDescent="0.25">
      <c r="D30" s="50" t="str">
        <f>'Constants - Fertiliser'!$D$37</f>
        <v>Ammonia</v>
      </c>
      <c r="E30" s="50"/>
      <c r="F30" s="50" t="str">
        <f>'Constants - Fertiliser'!$V$20</f>
        <v>Global</v>
      </c>
      <c r="G30" s="50" cm="1">
        <f t="array" ref="G30">Fertiliser_InputFunctions.Fertiliser_TotalChemicalCompoundtAppliedBySourceAllIngredients(D30,F30,Table_Input_InorganicFertiliser_Custom[Total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4500</v>
      </c>
      <c r="H30" s="50" cm="1">
        <f t="array" ref="H30">Common_InputFunctions.Utility_LookupValueInTableTwoColumns(D30,F30,Table_SourceData_Scope3_InorganicFertiliser[Chemical compound],Table_SourceData_Scope3_InorganicFertiliser[Ammonia source],Table_SourceData_Scope3_InorganicFertiliser[AusLCI Emissions intensity])</f>
        <v>2.3199999999999998</v>
      </c>
      <c r="I30" s="50">
        <f>G30*H30</f>
        <v>10440</v>
      </c>
      <c r="J30" s="69">
        <v>2</v>
      </c>
      <c r="K30" s="168">
        <f>IFERROR(IF(J30, G30*J30, G30*H30),0)</f>
        <v>9000</v>
      </c>
    </row>
    <row r="31" spans="1:29" ht="20.100000000000001" customHeight="1" x14ac:dyDescent="0.25">
      <c r="D31" s="50" t="str">
        <f>'Constants - Fertiliser'!$D$37</f>
        <v>Ammonia</v>
      </c>
      <c r="E31" s="50"/>
      <c r="F31" s="50" t="str">
        <f>'Constants - Fertiliser'!$V$21</f>
        <v>Canada</v>
      </c>
      <c r="G31" s="50" cm="1">
        <f t="array" ref="G31">Fertiliser_InputFunctions.Fertiliser_TotalChemicalCompoundtAppliedBySourceAllIngredients(D31,F31,Table_Input_InorganicFertiliser_Custom[Total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H31" s="50" cm="1">
        <f t="array" ref="H31">Common_InputFunctions.Utility_LookupValueInTableTwoColumns(D31,F31,Table_SourceData_Scope3_InorganicFertiliser[Chemical compound],Table_SourceData_Scope3_InorganicFertiliser[Ammonia source],Table_SourceData_Scope3_InorganicFertiliser[AusLCI Emissions intensity])</f>
        <v>2.12</v>
      </c>
      <c r="I31" s="50">
        <f t="shared" ref="I31:I54" si="3">G31*H31</f>
        <v>2120</v>
      </c>
      <c r="J31" s="69"/>
      <c r="K31" s="168">
        <f t="shared" ref="K31:K54" si="4">IFERROR(IF(J31, G31*J31, G31*H31),0)</f>
        <v>2120</v>
      </c>
    </row>
    <row r="32" spans="1:29" ht="20.100000000000001" customHeight="1" x14ac:dyDescent="0.25">
      <c r="D32" s="50" t="str">
        <f>'Constants - Fertiliser'!$D$37</f>
        <v>Ammonia</v>
      </c>
      <c r="E32" s="50"/>
      <c r="F32" s="50" t="str">
        <f>'Constants - Fertiliser'!$V$22</f>
        <v>China</v>
      </c>
      <c r="G32" s="50" cm="1">
        <f t="array" ref="G32">Fertiliser_InputFunctions.Fertiliser_TotalChemicalCompoundtAppliedBySourceAllIngredients(D32,F32,Table_Input_InorganicFertiliser_Custom[Total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2" s="50" cm="1">
        <f t="array" ref="H32">Common_InputFunctions.Utility_LookupValueInTableTwoColumns(D32,F32,Table_SourceData_Scope3_InorganicFertiliser[Chemical compound],Table_SourceData_Scope3_InorganicFertiliser[Ammonia source],Table_SourceData_Scope3_InorganicFertiliser[AusLCI Emissions intensity])</f>
        <v>4.17</v>
      </c>
      <c r="I32" s="50">
        <f t="shared" si="3"/>
        <v>0</v>
      </c>
      <c r="J32" s="69"/>
      <c r="K32" s="168">
        <f t="shared" si="4"/>
        <v>0</v>
      </c>
    </row>
    <row r="33" spans="4:11" ht="20.100000000000001" customHeight="1" x14ac:dyDescent="0.25">
      <c r="D33" s="50" t="str">
        <f>'Constants - Fertiliser'!$D$37</f>
        <v>Ammonia</v>
      </c>
      <c r="E33" s="50"/>
      <c r="F33" s="50" t="str">
        <f>'Constants - Fertiliser'!$V$23</f>
        <v>Yemen</v>
      </c>
      <c r="G33" s="50" cm="1">
        <f t="array" ref="G33">Fertiliser_InputFunctions.Fertiliser_TotalChemicalCompoundtAppliedBySourceAllIngredients(D33,F33,Table_Input_InorganicFertiliser_Custom[Total applied (kg)],Table_Input_InorganicFertiliser_Custom[Ingredient 1 (select)],Table_Input_InorganicFertiliser_Custom[Ingredient 1 percent],Table_Input_InorganicFertiliser_Custom[Ammonia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3" s="50" cm="1">
        <f t="array" ref="H33">Common_InputFunctions.Utility_LookupValueInTableTwoColumns(D33,F33,Table_SourceData_Scope3_InorganicFertiliser[Chemical compound],Table_SourceData_Scope3_InorganicFertiliser[Ammonia source],Table_SourceData_Scope3_InorganicFertiliser[AusLCI Emissions intensity])</f>
        <v>2.2599999999999998</v>
      </c>
      <c r="I33" s="50">
        <f t="shared" si="3"/>
        <v>0</v>
      </c>
      <c r="J33" s="69"/>
      <c r="K33" s="168">
        <f t="shared" si="4"/>
        <v>0</v>
      </c>
    </row>
    <row r="34" spans="4:11" ht="20.100000000000001" customHeight="1" x14ac:dyDescent="0.25">
      <c r="D34" s="50" t="str">
        <f>'Constants - Fertiliser'!$D$25</f>
        <v>Ammonium nitrate (AN)</v>
      </c>
      <c r="E34" s="50"/>
      <c r="F34" s="50"/>
      <c r="G34" s="50" cm="1">
        <f t="array" ref="G34">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4" s="50" cm="1">
        <f t="array" ref="H34">Common_InputFunctions.Utility_LookupValueInTableNumber(D34,Table_SourceData_Scope3_InorganicFertiliser[Chemical compound],Table_SourceData_Scope3_InorganicFertiliser[AusLCI Emissions intensity])</f>
        <v>2.21</v>
      </c>
      <c r="I34" s="50">
        <f t="shared" si="3"/>
        <v>0</v>
      </c>
      <c r="J34" s="69"/>
      <c r="K34" s="168">
        <f t="shared" si="4"/>
        <v>0</v>
      </c>
    </row>
    <row r="35" spans="4:11" ht="20.100000000000001" customHeight="1" x14ac:dyDescent="0.25">
      <c r="D35" s="50" t="str">
        <f>'Constants - Fertiliser'!$D$26</f>
        <v>Calcium ammonium nitrate (CAN)</v>
      </c>
      <c r="E35" s="50"/>
      <c r="F35" s="50"/>
      <c r="G35" s="50" cm="1">
        <f t="array" ref="G35">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5" s="50" cm="1">
        <f t="array" ref="H35">Common_InputFunctions.Utility_LookupValueInTableNumber(D35,Table_SourceData_Scope3_InorganicFertiliser[Chemical compound],Table_SourceData_Scope3_InorganicFertiliser[AusLCI Emissions intensity])</f>
        <v>1.1499999999999999</v>
      </c>
      <c r="I35" s="50">
        <f t="shared" si="3"/>
        <v>0</v>
      </c>
      <c r="J35" s="69"/>
      <c r="K35" s="168">
        <f t="shared" si="4"/>
        <v>0</v>
      </c>
    </row>
    <row r="36" spans="4:11" ht="20.100000000000001" customHeight="1" x14ac:dyDescent="0.25">
      <c r="D36" s="50" t="str">
        <f>'Constants - Fertiliser'!$D$38</f>
        <v>Calcium nitrate</v>
      </c>
      <c r="E36" s="50"/>
      <c r="F36" s="50"/>
      <c r="G36" s="50" cm="1">
        <f t="array" ref="G36">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3000</v>
      </c>
      <c r="H36" s="50" cm="1">
        <f t="array" ref="H36">Common_InputFunctions.Utility_LookupValueInTableNumber(D36,Table_SourceData_Scope3_InorganicFertiliser[Chemical compound],Table_SourceData_Scope3_InorganicFertiliser[AusLCI Emissions intensity])</f>
        <v>0.75</v>
      </c>
      <c r="I36" s="50">
        <f t="shared" si="3"/>
        <v>2250</v>
      </c>
      <c r="J36" s="69">
        <v>0.7</v>
      </c>
      <c r="K36" s="168">
        <f t="shared" si="4"/>
        <v>2100</v>
      </c>
    </row>
    <row r="37" spans="4:11" ht="20.100000000000001" customHeight="1" x14ac:dyDescent="0.25">
      <c r="D37" s="50" t="str">
        <f>'Constants - Fertiliser'!$D$21</f>
        <v>Diammonium phosphate (DAP)</v>
      </c>
      <c r="E37" s="50"/>
      <c r="F37" s="50"/>
      <c r="G37" s="50" cm="1">
        <f t="array" ref="G37">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7" s="50" cm="1">
        <f t="array" ref="H37">Common_InputFunctions.Utility_LookupValueInTableNumber(D37,Table_SourceData_Scope3_InorganicFertiliser[Chemical compound],Table_SourceData_Scope3_InorganicFertiliser[AusLCI Emissions intensity])</f>
        <v>1.34</v>
      </c>
      <c r="I37" s="50">
        <f t="shared" si="3"/>
        <v>0</v>
      </c>
      <c r="J37" s="69"/>
      <c r="K37" s="168">
        <f t="shared" si="4"/>
        <v>0</v>
      </c>
    </row>
    <row r="38" spans="4:11" ht="20.100000000000001" customHeight="1" x14ac:dyDescent="0.25">
      <c r="D38" s="50" t="str">
        <f>'Constants - Fertiliser'!$D$35</f>
        <v>Double superphosphate</v>
      </c>
      <c r="E38" s="50"/>
      <c r="F38" s="50"/>
      <c r="G38" s="50" cm="1">
        <f t="array" ref="G38">Fertiliser_InputFunctions.Fertiliser_TotalChemicalCompoundAppliedAllIngredients(D38,Table_Input_InorganicFertiliser_Custom[Total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8" s="50" cm="1">
        <f t="array" ref="H38">Common_InputFunctions.Utility_LookupValueInTableNumber(D38,Table_SourceData_Scope3_InorganicFertiliser[Chemical compound],Table_SourceData_Scope3_InorganicFertiliser[AusLCI Emissions intensity])</f>
        <v>0.39200000000000002</v>
      </c>
      <c r="I38" s="50">
        <f t="shared" si="3"/>
        <v>0</v>
      </c>
      <c r="J38" s="69"/>
      <c r="K38" s="168">
        <f t="shared" si="4"/>
        <v>0</v>
      </c>
    </row>
    <row r="39" spans="4:11" ht="20.100000000000001" customHeight="1" x14ac:dyDescent="0.25">
      <c r="D39" s="50" t="str">
        <f>'Constants - Fertiliser'!$D$20</f>
        <v>Monoammonium phosphate (MAP)</v>
      </c>
      <c r="E39" s="50"/>
      <c r="F39" s="50"/>
      <c r="G39" s="50" cm="1">
        <f t="array" ref="G39">Fertiliser_InputFunctions.Fertiliser_TotalChemicalCompoundAppliedAllIngredients(D39,Table_Input_InorganicFertiliser_Custom[Total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39" s="50" cm="1">
        <f t="array" ref="H39">Common_InputFunctions.Utility_LookupValueInTableNumber(D39,Table_SourceData_Scope3_InorganicFertiliser[Chemical compound],Table_SourceData_Scope3_InorganicFertiliser[AusLCI Emissions intensity])</f>
        <v>0.82699999999999996</v>
      </c>
      <c r="I39" s="50">
        <f t="shared" si="3"/>
        <v>0</v>
      </c>
      <c r="J39" s="69"/>
      <c r="K39" s="168">
        <f t="shared" si="4"/>
        <v>0</v>
      </c>
    </row>
    <row r="40" spans="4:11" ht="20.100000000000001" customHeight="1" x14ac:dyDescent="0.25">
      <c r="D40" s="50" t="str">
        <f>'Constants - Fertiliser'!$D$34</f>
        <v>Muriate of potash (MOP)</v>
      </c>
      <c r="E40" s="50"/>
      <c r="F40" s="50"/>
      <c r="G40" s="50" cm="1">
        <f t="array" ref="G40">Fertiliser_InputFunctions.Fertiliser_TotalChemicalCompoundAppliedAllIngredients(D40,Table_Input_InorganicFertiliser_Custom[Total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0" s="50" cm="1">
        <f t="array" ref="H40">Common_InputFunctions.Utility_LookupValueInTableNumber(D40,Table_SourceData_Scope3_InorganicFertiliser[Chemical compound],Table_SourceData_Scope3_InorganicFertiliser[AusLCI Emissions intensity])</f>
        <v>0.54900000000000004</v>
      </c>
      <c r="I40" s="50">
        <f t="shared" si="3"/>
        <v>0</v>
      </c>
      <c r="J40" s="69"/>
      <c r="K40" s="168">
        <f t="shared" si="4"/>
        <v>0</v>
      </c>
    </row>
    <row r="41" spans="4:11" ht="20.100000000000001" customHeight="1" x14ac:dyDescent="0.25">
      <c r="D41" s="50" t="str">
        <f>'Constants - Fertiliser'!$D$27</f>
        <v>Nitrogen - Ammoniacal</v>
      </c>
      <c r="E41" s="50"/>
      <c r="F41" s="50"/>
      <c r="G41" s="50" cm="1">
        <f t="array" ref="G41">Fertiliser_InputFunctions.Fertiliser_TotalChemicalCompoundAppliedAllIngredients(D41,Table_Input_InorganicFertiliser_Custom[Total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1" s="50" cm="1">
        <f t="array" ref="H41">Common_InputFunctions.Utility_LookupValueInTableNumber(D41,Table_SourceData_Scope3_InorganicFertiliser[Chemical compound],Table_SourceData_Scope3_InorganicFertiliser[AusLCI Emissions intensity])</f>
        <v>2.83</v>
      </c>
      <c r="I41" s="50">
        <f t="shared" si="3"/>
        <v>0</v>
      </c>
      <c r="J41" s="69"/>
      <c r="K41" s="168">
        <f t="shared" si="4"/>
        <v>0</v>
      </c>
    </row>
    <row r="42" spans="4:11" ht="20.100000000000001" customHeight="1" x14ac:dyDescent="0.25">
      <c r="D42" s="50" t="str">
        <f>'Constants - Fertiliser'!$D$29</f>
        <v>Nitrogen - Generic</v>
      </c>
      <c r="E42" s="50"/>
      <c r="F42" s="50"/>
      <c r="G42" s="50" cm="1">
        <f t="array" ref="G42">Fertiliser_InputFunctions.Fertiliser_TotalChemicalCompoundAppliedAllIngredients(D42,Table_Input_InorganicFertiliser_Custom[Total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2" s="50" cm="1">
        <f t="array" ref="H42">Common_InputFunctions.Utility_LookupValueInTableNumber(D42,Table_SourceData_Scope3_InorganicFertiliser[Chemical compound],Table_SourceData_Scope3_InorganicFertiliser[AusLCI Emissions intensity])</f>
        <v>4.2</v>
      </c>
      <c r="I42" s="50">
        <f t="shared" si="3"/>
        <v>0</v>
      </c>
      <c r="J42" s="69"/>
      <c r="K42" s="168">
        <f t="shared" si="4"/>
        <v>0</v>
      </c>
    </row>
    <row r="43" spans="4:11" ht="20.100000000000001" customHeight="1" x14ac:dyDescent="0.25">
      <c r="D43" s="50" t="str">
        <f>'Constants - Fertiliser'!$D$28</f>
        <v>Nitrogen - Nitrate</v>
      </c>
      <c r="E43" s="50"/>
      <c r="F43" s="50"/>
      <c r="G43" s="50" cm="1">
        <f t="array" ref="G43">Fertiliser_InputFunctions.Fertiliser_TotalChemicalCompoundAppliedAllIngredients(D43,Table_Input_InorganicFertiliser_Custom[Total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3" s="50" cm="1">
        <f t="array" ref="H43">Common_InputFunctions.Utility_LookupValueInTableNumber(D43,Table_SourceData_Scope3_InorganicFertiliser[Chemical compound],Table_SourceData_Scope3_InorganicFertiliser[AusLCI Emissions intensity])</f>
        <v>5.47</v>
      </c>
      <c r="I43" s="50">
        <f t="shared" si="3"/>
        <v>0</v>
      </c>
      <c r="J43" s="69"/>
      <c r="K43" s="168">
        <f t="shared" si="4"/>
        <v>0</v>
      </c>
    </row>
    <row r="44" spans="4:11" ht="20.100000000000001" customHeight="1" x14ac:dyDescent="0.25">
      <c r="D44" s="50" t="str">
        <f>'Constants - Fertiliser'!$D$30</f>
        <v>Phosphorus - Generic</v>
      </c>
      <c r="E44" s="50"/>
      <c r="F44" s="50"/>
      <c r="G44" s="50" cm="1">
        <f t="array" ref="G44">Fertiliser_InputFunctions.Fertiliser_TotalChemicalCompoundAppliedAllIngredients(D44,Table_Input_InorganicFertiliser_Custom[Total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4" s="50" cm="1">
        <f t="array" ref="H44">Common_InputFunctions.Utility_LookupValueInTableNumber(D44,Table_SourceData_Scope3_InorganicFertiliser[Chemical compound],Table_SourceData_Scope3_InorganicFertiliser[AusLCI Emissions intensity])</f>
        <v>3.96</v>
      </c>
      <c r="I44" s="50">
        <f t="shared" si="3"/>
        <v>0</v>
      </c>
      <c r="J44" s="69"/>
      <c r="K44" s="168">
        <f t="shared" si="4"/>
        <v>0</v>
      </c>
    </row>
    <row r="45" spans="4:11" ht="20.100000000000001" customHeight="1" x14ac:dyDescent="0.25">
      <c r="D45" s="50" t="str">
        <f>'Constants - Fertiliser'!$D$31</f>
        <v>Potassium - Generic</v>
      </c>
      <c r="E45" s="50"/>
      <c r="F45" s="50"/>
      <c r="G45" s="50" cm="1">
        <f t="array" ref="G45">Fertiliser_InputFunctions.Fertiliser_TotalChemicalCompoundAppliedAllIngredients(D45,Table_Input_InorganicFertiliser_Custom[Total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H45" s="50" cm="1">
        <f t="array" ref="H45">Common_InputFunctions.Utility_LookupValueInTableNumber(D45,Table_SourceData_Scope3_InorganicFertiliser[Chemical compound],Table_SourceData_Scope3_InorganicFertiliser[AusLCI Emissions intensity])</f>
        <v>0.90900000000000003</v>
      </c>
      <c r="I45" s="50">
        <f t="shared" si="3"/>
        <v>909</v>
      </c>
      <c r="J45" s="69"/>
      <c r="K45" s="168">
        <f t="shared" si="4"/>
        <v>909</v>
      </c>
    </row>
    <row r="46" spans="4:11" ht="20.100000000000001" customHeight="1" x14ac:dyDescent="0.25">
      <c r="D46" s="50" t="str">
        <f>'Constants - Fertiliser'!$D$36</f>
        <v>Single superphosphate (SSP)</v>
      </c>
      <c r="E46" s="50"/>
      <c r="F46" s="50"/>
      <c r="G46" s="50" cm="1">
        <f t="array" ref="G46">Fertiliser_InputFunctions.Fertiliser_TotalChemicalCompoundAppliedAllIngredients(D46,Table_Input_InorganicFertiliser_Custom[Total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6" s="50" cm="1">
        <f t="array" ref="H46">Common_InputFunctions.Utility_LookupValueInTableNumber(D46,Table_SourceData_Scope3_InorganicFertiliser[Chemical compound],Table_SourceData_Scope3_InorganicFertiliser[AusLCI Emissions intensity])</f>
        <v>0.22700000000000001</v>
      </c>
      <c r="I46" s="50">
        <f t="shared" si="3"/>
        <v>0</v>
      </c>
      <c r="J46" s="69"/>
      <c r="K46" s="168">
        <f t="shared" si="4"/>
        <v>0</v>
      </c>
    </row>
    <row r="47" spans="4:11" ht="20.100000000000001" customHeight="1" x14ac:dyDescent="0.25">
      <c r="D47" s="50" t="str">
        <f>'Constants - Fertiliser'!$D$32</f>
        <v>Sulfur - Generic</v>
      </c>
      <c r="E47" s="50"/>
      <c r="F47" s="50"/>
      <c r="G47" s="50" cm="1">
        <f t="array" ref="G47">Fertiliser_InputFunctions.Fertiliser_TotalChemicalCompoundAppliedAllIngredients(D47,Table_Input_InorganicFertiliser_Custom[Total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H47" s="50" cm="1">
        <f t="array" ref="H47">Common_InputFunctions.Utility_LookupValueInTableNumber(D47,Table_SourceData_Scope3_InorganicFertiliser[Chemical compound],Table_SourceData_Scope3_InorganicFertiliser[AusLCI Emissions intensity])</f>
        <v>2.5</v>
      </c>
      <c r="I47" s="50">
        <f t="shared" si="3"/>
        <v>2500</v>
      </c>
      <c r="J47" s="69"/>
      <c r="K47" s="168">
        <f t="shared" si="4"/>
        <v>2500</v>
      </c>
    </row>
    <row r="48" spans="4:11" ht="20.100000000000001" customHeight="1" x14ac:dyDescent="0.25">
      <c r="D48" s="50" t="str">
        <f>'Constants - Fertiliser'!$D$23</f>
        <v>Sulphate of ammonia (SOA)</v>
      </c>
      <c r="E48" s="50"/>
      <c r="F48" s="50"/>
      <c r="G48" s="50" cm="1">
        <f t="array" ref="G48">Fertiliser_InputFunctions.Fertiliser_TotalChemicalCompoundAppliedAllIngredients(D48,Table_Input_InorganicFertiliser_Custom[Total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8" s="50" cm="1">
        <f t="array" ref="H48">Common_InputFunctions.Utility_LookupValueInTableNumber(D48,Table_SourceData_Scope3_InorganicFertiliser[Chemical compound],Table_SourceData_Scope3_InorganicFertiliser[AusLCI Emissions intensity])</f>
        <v>0.86499999999999999</v>
      </c>
      <c r="I48" s="50">
        <f t="shared" si="3"/>
        <v>0</v>
      </c>
      <c r="J48" s="69"/>
      <c r="K48" s="168">
        <f t="shared" si="4"/>
        <v>0</v>
      </c>
    </row>
    <row r="49" spans="4:12" ht="20.100000000000001" customHeight="1" x14ac:dyDescent="0.25">
      <c r="D49" s="50" t="str">
        <f>'Constants - Fertiliser'!$D$24</f>
        <v>Urea-ammonium nitrate (UAN)</v>
      </c>
      <c r="E49" s="50"/>
      <c r="F49" s="50"/>
      <c r="G49" s="50" cm="1">
        <f t="array" ref="G49">Fertiliser_InputFunctions.Fertiliser_TotalChemicalCompoundAppliedAllIngredients(D49,Table_Input_InorganicFertiliser_Custom[Total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49" s="50" cm="1">
        <f t="array" ref="H49">Common_InputFunctions.Utility_LookupValueInTableNumber(D49,Table_SourceData_Scope3_InorganicFertiliser[Chemical compound],Table_SourceData_Scope3_InorganicFertiliser[AusLCI Emissions intensity])</f>
        <v>1.75</v>
      </c>
      <c r="I49" s="50">
        <f t="shared" si="3"/>
        <v>0</v>
      </c>
      <c r="J49" s="69"/>
      <c r="K49" s="168">
        <f t="shared" si="4"/>
        <v>0</v>
      </c>
    </row>
    <row r="50" spans="4:12" ht="20.100000000000001" customHeight="1" x14ac:dyDescent="0.25">
      <c r="D50" s="50" t="str">
        <f>'Constants - Fertiliser'!$D$22</f>
        <v>Urea</v>
      </c>
      <c r="E50" s="50" t="str">
        <f>'Constants - Fertiliser'!$V$20</f>
        <v>Global</v>
      </c>
      <c r="F50" s="50"/>
      <c r="G50" s="50" cm="1">
        <f t="array" ref="G50">Fertiliser_InputFunctions.Fertiliser_TotalChemicalCompoundtAppliedBySourceAllIngredients(D50,E50,Table_Input_InorganicFertiliser_Custom[Total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50" s="50" cm="1">
        <f t="array" ref="H50">Common_InputFunctions.Utility_LookupValueInTableTwoColumns(D50,E50,Table_SourceData_Scope3_InorganicFertiliser[Chemical compound],Table_SourceData_Scope3_InorganicFertiliser[Urea source],Table_SourceData_Scope3_InorganicFertiliser[AusLCI Emissions intensity])</f>
        <v>0.96799999999999997</v>
      </c>
      <c r="I50" s="50">
        <f t="shared" si="3"/>
        <v>0</v>
      </c>
      <c r="J50" s="69"/>
      <c r="K50" s="168">
        <f t="shared" si="4"/>
        <v>0</v>
      </c>
    </row>
    <row r="51" spans="4:12" ht="20.100000000000001" customHeight="1" x14ac:dyDescent="0.25">
      <c r="D51" s="50" t="str">
        <f>'Constants - Fertiliser'!$D$22</f>
        <v>Urea</v>
      </c>
      <c r="E51" s="50" t="str">
        <f>'Constants - Fertiliser'!$V$21</f>
        <v>Canada</v>
      </c>
      <c r="F51" s="50"/>
      <c r="G51" s="50" cm="1">
        <f t="array" ref="G51">Fertiliser_InputFunctions.Fertiliser_TotalChemicalCompoundtAppliedBySourceAllIngredients(D51,E51,Table_Input_InorganicFertiliser_Custom[Total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9000</v>
      </c>
      <c r="H51" s="50" cm="1">
        <f t="array" ref="H51">Common_InputFunctions.Utility_LookupValueInTableTwoColumns(D51,E51,Table_SourceData_Scope3_InorganicFertiliser[Chemical compound],Table_SourceData_Scope3_InorganicFertiliser[Urea source],Table_SourceData_Scope3_InorganicFertiliser[AusLCI Emissions intensity])</f>
        <v>0.82299999999999995</v>
      </c>
      <c r="I51" s="50">
        <f t="shared" si="3"/>
        <v>7407</v>
      </c>
      <c r="J51" s="69"/>
      <c r="K51" s="168">
        <f t="shared" si="4"/>
        <v>7407</v>
      </c>
    </row>
    <row r="52" spans="4:12" ht="20.100000000000001" customHeight="1" x14ac:dyDescent="0.25">
      <c r="D52" s="50" t="str">
        <f>'Constants - Fertiliser'!$D$22</f>
        <v>Urea</v>
      </c>
      <c r="E52" s="50" t="str">
        <f>'Constants - Fertiliser'!$V$22</f>
        <v>China</v>
      </c>
      <c r="F52" s="50"/>
      <c r="G52" s="50" cm="1">
        <f t="array" ref="G52">Fertiliser_InputFunctions.Fertiliser_TotalChemicalCompoundtAppliedBySourceAllIngredients(D52,E52,Table_Input_InorganicFertiliser_Custom[Total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52" s="50" cm="1">
        <f t="array" ref="H52">Common_InputFunctions.Utility_LookupValueInTableTwoColumns(D52,E52,Table_SourceData_Scope3_InorganicFertiliser[Chemical compound],Table_SourceData_Scope3_InorganicFertiliser[Urea source],Table_SourceData_Scope3_InorganicFertiliser[AusLCI Emissions intensity])</f>
        <v>2.09</v>
      </c>
      <c r="I52" s="50">
        <f t="shared" si="3"/>
        <v>0</v>
      </c>
      <c r="J52" s="69"/>
      <c r="K52" s="168">
        <f t="shared" si="4"/>
        <v>0</v>
      </c>
    </row>
    <row r="53" spans="4:12" ht="20.100000000000001" customHeight="1" x14ac:dyDescent="0.25">
      <c r="D53" s="50" t="str">
        <f>'Constants - Fertiliser'!$D$22</f>
        <v>Urea</v>
      </c>
      <c r="E53" s="50" t="str">
        <f>'Constants - Fertiliser'!$V$23</f>
        <v>Yemen</v>
      </c>
      <c r="F53" s="50"/>
      <c r="G53" s="50" cm="1">
        <f t="array" ref="G53">Fertiliser_InputFunctions.Fertiliser_TotalChemicalCompoundtAppliedBySourceAllIngredients(D53,E53,Table_Input_InorganicFertiliser_Custom[Total applied (kg)],Table_Input_InorganicFertiliser_Custom[Ingredient 1 (select)],Table_Input_InorganicFertiliser_Custom[Ingredient 1 percent],Table_Input_InorganicFertiliser_Custom[Urea source],Table_Input_InorganicFertiliser_Custom[Ingredient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53" s="50" cm="1">
        <f t="array" ref="H53">Common_InputFunctions.Utility_LookupValueInTableTwoColumns(D53,E53,Table_SourceData_Scope3_InorganicFertiliser[Chemical compound],Table_SourceData_Scope3_InorganicFertiliser[Urea source],Table_SourceData_Scope3_InorganicFertiliser[AusLCI Emissions intensity])</f>
        <v>0.96299999999999997</v>
      </c>
      <c r="I53" s="50">
        <f t="shared" si="3"/>
        <v>0</v>
      </c>
      <c r="J53" s="69"/>
      <c r="K53" s="168">
        <f t="shared" si="4"/>
        <v>0</v>
      </c>
    </row>
    <row r="54" spans="4:12" ht="20.100000000000001" customHeight="1" x14ac:dyDescent="0.25">
      <c r="D54" s="50" t="str">
        <f>'Constants - Fertiliser'!$D$33</f>
        <v>Zinc - Generic</v>
      </c>
      <c r="E54" s="50"/>
      <c r="F54" s="50"/>
      <c r="G54" s="50" cm="1">
        <f t="array" ref="G54">Fertiliser_InputFunctions.Fertiliser_TotalChemicalCompoundAppliedAllIngredients(D54,Table_Input_InorganicFertiliser_Custom[Total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H54" s="50" cm="1">
        <f t="array" ref="H54">Common_InputFunctions.Utility_LookupValueInTableNumber(D54,Table_SourceData_Scope3_InorganicFertiliser[Chemical compound],Table_SourceData_Scope3_InorganicFertiliser[AusLCI Emissions intensity])</f>
        <v>4.82</v>
      </c>
      <c r="I54" s="50">
        <f t="shared" si="3"/>
        <v>0</v>
      </c>
      <c r="J54" s="69"/>
      <c r="K54" s="168">
        <f t="shared" si="4"/>
        <v>0</v>
      </c>
    </row>
    <row r="55" spans="4:12" ht="20.100000000000001" customHeight="1" x14ac:dyDescent="0.25"/>
    <row r="56" spans="4:12" ht="20.100000000000001" customHeight="1" x14ac:dyDescent="0.25"/>
    <row r="57" spans="4:12" ht="20.100000000000001" customHeight="1" x14ac:dyDescent="0.25">
      <c r="D57" s="9" t="s">
        <v>407</v>
      </c>
      <c r="F57" s="100" t="s">
        <v>638</v>
      </c>
      <c r="G57" s="116"/>
      <c r="H57" s="101"/>
    </row>
    <row r="58" spans="4:12" ht="20.100000000000001" customHeight="1" x14ac:dyDescent="0.25">
      <c r="D58" s="155" t="s">
        <v>355</v>
      </c>
    </row>
    <row r="59" spans="4:12" ht="20.100000000000001" customHeight="1" x14ac:dyDescent="0.25">
      <c r="D59" s="47" t="s">
        <v>398</v>
      </c>
      <c r="E59" s="169" t="s">
        <v>352</v>
      </c>
      <c r="F59" s="169" t="s">
        <v>360</v>
      </c>
      <c r="G59" s="169" t="s">
        <v>489</v>
      </c>
      <c r="H59" s="60" t="s">
        <v>390</v>
      </c>
      <c r="I59" s="60" t="s">
        <v>387</v>
      </c>
      <c r="J59" s="169" t="s">
        <v>490</v>
      </c>
      <c r="K59" s="47" t="s">
        <v>393</v>
      </c>
      <c r="L59" s="60" t="s">
        <v>388</v>
      </c>
    </row>
    <row r="60" spans="4:12" ht="20.100000000000001" customHeight="1" x14ac:dyDescent="0.25">
      <c r="D60" s="50" t="str" cm="1">
        <f t="array" ref="D60:D69">IFERROR(INDEX(Table_Input_LivestockPurchases_Beefcattle[Transaction name], _xlfn.SEQUENCE(10)), "")</f>
        <v>Cows from Barry</v>
      </c>
      <c r="E60" s="50" t="str" cm="1">
        <f t="array" ref="E60:E69">IFERROR(INDEX(Table_Input_LivestockPurchases_Beefcattle[Purchase class (select)], _xlfn.SEQUENCE(10)), "")</f>
        <v>Cattle, for prime beef</v>
      </c>
      <c r="F60" s="50" t="str" cm="1">
        <f t="array" ref="F60:F69">IFERROR(_xlfn.XLOOKUP(INDEX(Table_Input_LivestockPurchases_Beefcattle[Source region (Select)], _xlfn.SEQUENCE(10)), Table_ProductRegions_Beefcattle[Region],Table_ProductRegions_Beefcattle[Scope3 region]), "")</f>
        <v>WA</v>
      </c>
      <c r="G60" s="50" cm="1">
        <f t="array" ref="G60:G69">IFERROR(INDEX(Table_Input_LivestockPurchases_Beefcattle[Total liveweight (kg) Method 1], _xlfn.SEQUENCE(10)), "")</f>
        <v>21000</v>
      </c>
      <c r="H60" s="50" cm="1">
        <f t="array" ref="H60">Common_InputFunctions.Utility_LookupValueInTableTwoColumns(E60,F60,Table_SourceData_Scope3_Animals[Product],Table_SourceData_Scope3_Animals[Region of origin],Table_SourceData_Scope3_Animals[AusLCI Emissions intensity])</f>
        <v>20.8</v>
      </c>
      <c r="I60" s="168">
        <f t="shared" ref="I60:I69" si="5">IFERROR(H60*G60, 0)</f>
        <v>436800</v>
      </c>
      <c r="J60" s="50" cm="1">
        <f t="array" ref="J60:J69">IFERROR(INDEX(Table_Input_LivestockPurchases_Beefcattle[Total liveweight (kg) Method 2], _xlfn.SEQUENCE(10)), "")</f>
        <v>20500</v>
      </c>
      <c r="K60" s="69">
        <v>20</v>
      </c>
      <c r="L60" s="168">
        <f>IFERROR(IF(K60, J60*K60, J60*H60),0)</f>
        <v>410000</v>
      </c>
    </row>
    <row r="61" spans="4:12" ht="20.100000000000001" customHeight="1" x14ac:dyDescent="0.25">
      <c r="D61" s="50">
        <v>0</v>
      </c>
      <c r="E61" s="50" t="str">
        <v>Cattle, for manufacturing beef</v>
      </c>
      <c r="F61" s="50" t="str">
        <v>WA</v>
      </c>
      <c r="G61" s="50">
        <v>47000</v>
      </c>
      <c r="H61" s="50" cm="1">
        <f t="array" ref="H61">Common_InputFunctions.Utility_LookupValueInTableTwoColumns(E61,F61,Table_SourceData_Scope3_Animals[Product],Table_SourceData_Scope3_Animals[Region of origin],Table_SourceData_Scope3_Animals[AusLCI Emissions intensity])</f>
        <v>13.1</v>
      </c>
      <c r="I61" s="168">
        <f t="shared" si="5"/>
        <v>615700</v>
      </c>
      <c r="J61" s="50">
        <v>46500</v>
      </c>
      <c r="K61" s="69">
        <v>13</v>
      </c>
      <c r="L61" s="168">
        <f t="shared" ref="L61:L69" si="6">IFERROR(IF(K61, J61*K61, J61*H61),0)</f>
        <v>604500</v>
      </c>
    </row>
    <row r="62" spans="4:12" ht="20.100000000000001" customHeight="1" x14ac:dyDescent="0.25">
      <c r="D62" s="50" t="str">
        <v/>
      </c>
      <c r="E62" s="50" t="str">
        <v/>
      </c>
      <c r="F62" s="50" t="str">
        <v/>
      </c>
      <c r="G62" s="50" t="str">
        <v/>
      </c>
      <c r="H62" s="50" t="str" cm="1">
        <f t="array" ref="H62">Common_InputFunctions.Utility_LookupValueInTableTwoColumns(E62,F62,Table_SourceData_Scope3_Animals[Product],Table_SourceData_Scope3_Animals[Region of origin],Table_SourceData_Scope3_Animals[AusLCI Emissions intensity])</f>
        <v/>
      </c>
      <c r="I62" s="168">
        <f t="shared" si="5"/>
        <v>0</v>
      </c>
      <c r="J62" s="50" t="str">
        <v/>
      </c>
      <c r="K62" s="69"/>
      <c r="L62" s="168">
        <f t="shared" si="6"/>
        <v>0</v>
      </c>
    </row>
    <row r="63" spans="4:12" ht="20.100000000000001" customHeight="1" x14ac:dyDescent="0.25">
      <c r="D63" s="50" t="str">
        <v/>
      </c>
      <c r="E63" s="50" t="str">
        <v/>
      </c>
      <c r="F63" s="50" t="str">
        <v/>
      </c>
      <c r="G63" s="50" t="str">
        <v/>
      </c>
      <c r="H63" s="50" t="str" cm="1">
        <f t="array" ref="H63">Common_InputFunctions.Utility_LookupValueInTableTwoColumns(E63,F63,Table_SourceData_Scope3_Animals[Product],Table_SourceData_Scope3_Animals[Region of origin],Table_SourceData_Scope3_Animals[AusLCI Emissions intensity])</f>
        <v/>
      </c>
      <c r="I63" s="168">
        <f t="shared" si="5"/>
        <v>0</v>
      </c>
      <c r="J63" s="50" t="str">
        <v/>
      </c>
      <c r="K63" s="69"/>
      <c r="L63" s="168">
        <f t="shared" si="6"/>
        <v>0</v>
      </c>
    </row>
    <row r="64" spans="4:12" ht="20.100000000000001" customHeight="1" x14ac:dyDescent="0.25">
      <c r="D64" s="50" t="str">
        <v/>
      </c>
      <c r="E64" s="50" t="str">
        <v/>
      </c>
      <c r="F64" s="50" t="str">
        <v/>
      </c>
      <c r="G64" s="50" t="str">
        <v/>
      </c>
      <c r="H64" s="50" t="str" cm="1">
        <f t="array" ref="H64">Common_InputFunctions.Utility_LookupValueInTableTwoColumns(E64,F64,Table_SourceData_Scope3_Animals[Product],Table_SourceData_Scope3_Animals[Region of origin],Table_SourceData_Scope3_Animals[AusLCI Emissions intensity])</f>
        <v/>
      </c>
      <c r="I64" s="168">
        <f t="shared" si="5"/>
        <v>0</v>
      </c>
      <c r="J64" s="50" t="str">
        <v/>
      </c>
      <c r="K64" s="69"/>
      <c r="L64" s="168">
        <f t="shared" si="6"/>
        <v>0</v>
      </c>
    </row>
    <row r="65" spans="4:12" ht="20.100000000000001" customHeight="1" x14ac:dyDescent="0.25">
      <c r="D65" s="50" t="str">
        <v/>
      </c>
      <c r="E65" s="50" t="str">
        <v/>
      </c>
      <c r="F65" s="50" t="str">
        <v/>
      </c>
      <c r="G65" s="50" t="str">
        <v/>
      </c>
      <c r="H65" s="50" t="str" cm="1">
        <f t="array" ref="H65">Common_InputFunctions.Utility_LookupValueInTableTwoColumns(E65,F65,Table_SourceData_Scope3_Animals[Product],Table_SourceData_Scope3_Animals[Region of origin],Table_SourceData_Scope3_Animals[AusLCI Emissions intensity])</f>
        <v/>
      </c>
      <c r="I65" s="168">
        <f t="shared" si="5"/>
        <v>0</v>
      </c>
      <c r="J65" s="50" t="str">
        <v/>
      </c>
      <c r="K65" s="69"/>
      <c r="L65" s="168">
        <f t="shared" si="6"/>
        <v>0</v>
      </c>
    </row>
    <row r="66" spans="4:12" ht="20.100000000000001" customHeight="1" x14ac:dyDescent="0.25">
      <c r="D66" s="50" t="str">
        <v/>
      </c>
      <c r="E66" s="50" t="str">
        <v/>
      </c>
      <c r="F66" s="50" t="str">
        <v/>
      </c>
      <c r="G66" s="50" t="str">
        <v/>
      </c>
      <c r="H66" s="50" t="str" cm="1">
        <f t="array" ref="H66">Common_InputFunctions.Utility_LookupValueInTableTwoColumns(E66,F66,Table_SourceData_Scope3_Animals[Product],Table_SourceData_Scope3_Animals[Region of origin],Table_SourceData_Scope3_Animals[AusLCI Emissions intensity])</f>
        <v/>
      </c>
      <c r="I66" s="168">
        <f t="shared" si="5"/>
        <v>0</v>
      </c>
      <c r="J66" s="50" t="str">
        <v/>
      </c>
      <c r="K66" s="69"/>
      <c r="L66" s="168">
        <f t="shared" si="6"/>
        <v>0</v>
      </c>
    </row>
    <row r="67" spans="4:12" ht="20.100000000000001" customHeight="1" x14ac:dyDescent="0.25">
      <c r="D67" s="50" t="str">
        <v/>
      </c>
      <c r="E67" s="50" t="str">
        <v/>
      </c>
      <c r="F67" s="50" t="str">
        <v/>
      </c>
      <c r="G67" s="50" t="str">
        <v/>
      </c>
      <c r="H67" s="50" t="str" cm="1">
        <f t="array" ref="H67">Common_InputFunctions.Utility_LookupValueInTableTwoColumns(E67,F67,Table_SourceData_Scope3_Animals[Product],Table_SourceData_Scope3_Animals[Region of origin],Table_SourceData_Scope3_Animals[AusLCI Emissions intensity])</f>
        <v/>
      </c>
      <c r="I67" s="168">
        <f t="shared" si="5"/>
        <v>0</v>
      </c>
      <c r="J67" s="50" t="str">
        <v/>
      </c>
      <c r="K67" s="69"/>
      <c r="L67" s="168">
        <f t="shared" si="6"/>
        <v>0</v>
      </c>
    </row>
    <row r="68" spans="4:12" ht="20.100000000000001" customHeight="1" x14ac:dyDescent="0.25">
      <c r="D68" s="50" t="str">
        <v/>
      </c>
      <c r="E68" s="50" t="str">
        <v/>
      </c>
      <c r="F68" s="50" t="str">
        <v/>
      </c>
      <c r="G68" s="50" t="str">
        <v/>
      </c>
      <c r="H68" s="50" t="str" cm="1">
        <f t="array" ref="H68">Common_InputFunctions.Utility_LookupValueInTableTwoColumns(E68,F68,Table_SourceData_Scope3_Animals[Product],Table_SourceData_Scope3_Animals[Region of origin],Table_SourceData_Scope3_Animals[AusLCI Emissions intensity])</f>
        <v/>
      </c>
      <c r="I68" s="168">
        <f t="shared" si="5"/>
        <v>0</v>
      </c>
      <c r="J68" s="50" t="str">
        <v/>
      </c>
      <c r="K68" s="69"/>
      <c r="L68" s="168">
        <f t="shared" si="6"/>
        <v>0</v>
      </c>
    </row>
    <row r="69" spans="4:12" ht="20.100000000000001" customHeight="1" x14ac:dyDescent="0.25">
      <c r="D69" s="50" t="str">
        <v/>
      </c>
      <c r="E69" s="50" t="str">
        <v/>
      </c>
      <c r="F69" s="50" t="str">
        <v/>
      </c>
      <c r="G69" s="50" t="str">
        <v/>
      </c>
      <c r="H69" s="50" t="str" cm="1">
        <f t="array" ref="H69">Common_InputFunctions.Utility_LookupValueInTableTwoColumns(E69,F69,Table_SourceData_Scope3_Animals[Product],Table_SourceData_Scope3_Animals[Region of origin],Table_SourceData_Scope3_Animals[AusLCI Emissions intensity])</f>
        <v/>
      </c>
      <c r="I69" s="168">
        <f t="shared" si="5"/>
        <v>0</v>
      </c>
      <c r="J69" s="50" t="str">
        <v/>
      </c>
      <c r="K69" s="69"/>
      <c r="L69" s="168">
        <f t="shared" si="6"/>
        <v>0</v>
      </c>
    </row>
    <row r="70" spans="4:12" ht="20.100000000000001" customHeight="1" x14ac:dyDescent="0.25"/>
    <row r="71" spans="4:12" ht="20.100000000000001" customHeight="1" x14ac:dyDescent="0.25">
      <c r="D71" s="155" t="s">
        <v>371</v>
      </c>
    </row>
    <row r="72" spans="4:12" ht="20.100000000000001" customHeight="1" x14ac:dyDescent="0.25">
      <c r="D72" s="8" t="s">
        <v>390</v>
      </c>
      <c r="E72" s="50" cm="1">
        <f t="array" ref="E72">Common_InputFunctions.Utility_LookupValueInTableNumber("Dairy cows", Table_SourceData_Scope3_Animals[Product],Table_SourceData_Scope3_Animals[AusLCI Emissions intensity])</f>
        <v>4.41</v>
      </c>
    </row>
    <row r="73" spans="4:12" ht="20.100000000000001" customHeight="1" x14ac:dyDescent="0.25">
      <c r="D73" s="47" t="s">
        <v>398</v>
      </c>
      <c r="E73" s="169" t="s">
        <v>489</v>
      </c>
      <c r="F73" s="60" t="s">
        <v>387</v>
      </c>
      <c r="G73" s="169" t="s">
        <v>490</v>
      </c>
      <c r="H73" s="47" t="s">
        <v>393</v>
      </c>
      <c r="I73" s="60" t="s">
        <v>388</v>
      </c>
    </row>
    <row r="74" spans="4:12" ht="20.100000000000001" customHeight="1" x14ac:dyDescent="0.25">
      <c r="D74" s="50" t="str" cm="1">
        <f t="array" ref="D74:D83">IFERROR(INDEX(Table_Input_LivestockPurchases_Dairy[Transaction name], _xlfn.SEQUENCE(10)), "")</f>
        <v>Dairy cows from Denise</v>
      </c>
      <c r="E74" s="50" cm="1">
        <f t="array" ref="E74:E83">IFERROR(INDEX(Table_Input_LivestockPurchases_Dairy[Total liveweight (kg) Method 1], _xlfn.SEQUENCE(10)), "")</f>
        <v>35000</v>
      </c>
      <c r="F74" s="168">
        <f>IFERROR($E$72*E74, 0)</f>
        <v>154350</v>
      </c>
      <c r="G74" s="50" cm="1">
        <f t="array" ref="G74:G83">IFERROR(INDEX(Table_Input_LivestockPurchases_Dairy[Total liveweight (kg) Method 2], _xlfn.SEQUENCE(10)), "")</f>
        <v>50000</v>
      </c>
      <c r="H74" s="69">
        <v>4</v>
      </c>
      <c r="I74" s="168">
        <f>IFERROR(IF(H74, G74*H74, G74*$E$72),0)</f>
        <v>200000</v>
      </c>
    </row>
    <row r="75" spans="4:12" ht="20.100000000000001" customHeight="1" x14ac:dyDescent="0.25">
      <c r="D75" s="50">
        <v>0</v>
      </c>
      <c r="E75" s="50">
        <v>65000</v>
      </c>
      <c r="F75" s="168">
        <f>IFERROR($E$72*E75, 0)</f>
        <v>286650</v>
      </c>
      <c r="G75" s="50">
        <v>62500</v>
      </c>
      <c r="H75" s="69"/>
      <c r="I75" s="168">
        <f t="shared" ref="I75:I83" si="7">IFERROR(IF(H75, G75*H75, G75*$E$72),0)</f>
        <v>275625</v>
      </c>
    </row>
    <row r="76" spans="4:12" ht="20.100000000000001" customHeight="1" x14ac:dyDescent="0.25">
      <c r="D76" s="50" t="str">
        <v/>
      </c>
      <c r="E76" s="50" t="str">
        <v/>
      </c>
      <c r="F76" s="168">
        <f>IFERROR($E$72*E76, 0)</f>
        <v>0</v>
      </c>
      <c r="G76" s="50" t="str">
        <v/>
      </c>
      <c r="H76" s="69"/>
      <c r="I76" s="168">
        <f t="shared" si="7"/>
        <v>0</v>
      </c>
    </row>
    <row r="77" spans="4:12" ht="20.100000000000001" customHeight="1" x14ac:dyDescent="0.25">
      <c r="D77" s="50" t="str">
        <v/>
      </c>
      <c r="E77" s="50" t="str">
        <v/>
      </c>
      <c r="F77" s="168">
        <f>IFERROR($E$72*E77, 0)</f>
        <v>0</v>
      </c>
      <c r="G77" s="50" t="str">
        <v/>
      </c>
      <c r="H77" s="69"/>
      <c r="I77" s="168">
        <f t="shared" si="7"/>
        <v>0</v>
      </c>
    </row>
    <row r="78" spans="4:12" ht="20.100000000000001" customHeight="1" x14ac:dyDescent="0.25">
      <c r="D78" s="50" t="str">
        <v/>
      </c>
      <c r="E78" s="50" t="str">
        <v/>
      </c>
      <c r="F78" s="168">
        <f>IFERROR($E$72*E78, 0)</f>
        <v>0</v>
      </c>
      <c r="G78" s="50" t="str">
        <v/>
      </c>
      <c r="H78" s="69"/>
      <c r="I78" s="168">
        <f t="shared" si="7"/>
        <v>0</v>
      </c>
    </row>
    <row r="79" spans="4:12" ht="20.100000000000001" customHeight="1" x14ac:dyDescent="0.25">
      <c r="D79" s="50" t="str">
        <v/>
      </c>
      <c r="E79" s="50" t="str">
        <v/>
      </c>
      <c r="F79" s="168">
        <f>IFERROR($E$72*E79, 0)</f>
        <v>0</v>
      </c>
      <c r="G79" s="50" t="str">
        <v/>
      </c>
      <c r="H79" s="69"/>
      <c r="I79" s="168">
        <f t="shared" si="7"/>
        <v>0</v>
      </c>
    </row>
    <row r="80" spans="4:12" ht="20.100000000000001" customHeight="1" x14ac:dyDescent="0.25">
      <c r="D80" s="50" t="str">
        <v/>
      </c>
      <c r="E80" s="50" t="str">
        <v/>
      </c>
      <c r="F80" s="168">
        <f>IFERROR($E$72*E80, 0)</f>
        <v>0</v>
      </c>
      <c r="G80" s="50" t="str">
        <v/>
      </c>
      <c r="H80" s="69"/>
      <c r="I80" s="168">
        <f t="shared" si="7"/>
        <v>0</v>
      </c>
    </row>
    <row r="81" spans="4:9" ht="20.100000000000001" customHeight="1" x14ac:dyDescent="0.25">
      <c r="D81" s="50" t="str">
        <v/>
      </c>
      <c r="E81" s="50" t="str">
        <v/>
      </c>
      <c r="F81" s="168">
        <f>IFERROR($E$72*E81, 0)</f>
        <v>0</v>
      </c>
      <c r="G81" s="50" t="str">
        <v/>
      </c>
      <c r="H81" s="69"/>
      <c r="I81" s="168">
        <f t="shared" si="7"/>
        <v>0</v>
      </c>
    </row>
    <row r="82" spans="4:9" ht="20.100000000000001" customHeight="1" x14ac:dyDescent="0.25">
      <c r="D82" s="50" t="str">
        <v/>
      </c>
      <c r="E82" s="50" t="str">
        <v/>
      </c>
      <c r="F82" s="168">
        <f>IFERROR($E$72*E82, 0)</f>
        <v>0</v>
      </c>
      <c r="G82" s="50" t="str">
        <v/>
      </c>
      <c r="H82" s="69"/>
      <c r="I82" s="168">
        <f t="shared" si="7"/>
        <v>0</v>
      </c>
    </row>
    <row r="83" spans="4:9" ht="20.100000000000001" customHeight="1" x14ac:dyDescent="0.25">
      <c r="D83" s="50" t="str">
        <v/>
      </c>
      <c r="E83" s="50" t="str">
        <v/>
      </c>
      <c r="F83" s="168">
        <f>IFERROR($E$72*E83, 0)</f>
        <v>0</v>
      </c>
      <c r="G83" s="50" t="str">
        <v/>
      </c>
      <c r="H83" s="69"/>
      <c r="I83" s="168">
        <f t="shared" si="7"/>
        <v>0</v>
      </c>
    </row>
    <row r="84" spans="4:9" ht="20.100000000000001" customHeight="1" x14ac:dyDescent="0.25"/>
    <row r="85" spans="4:9" ht="20.100000000000001" customHeight="1" x14ac:dyDescent="0.25">
      <c r="D85" s="155" t="s">
        <v>609</v>
      </c>
    </row>
    <row r="86" spans="4:9" ht="20.100000000000001" customHeight="1" x14ac:dyDescent="0.25">
      <c r="D86" s="8" t="s">
        <v>390</v>
      </c>
      <c r="E86" s="50" cm="1">
        <f t="array" ref="E86">Common_InputFunctions.Utility_LookupValueInTableNumber("Pigs", Table_SourceData_Scope3_Animals[Product],Table_SourceData_Scope3_Animals[AusLCI Emissions intensity])</f>
        <v>3.38</v>
      </c>
    </row>
    <row r="87" spans="4:9" ht="20.100000000000001" customHeight="1" x14ac:dyDescent="0.25">
      <c r="D87" s="47" t="s">
        <v>398</v>
      </c>
      <c r="E87" s="169" t="s">
        <v>489</v>
      </c>
      <c r="F87" s="60" t="s">
        <v>387</v>
      </c>
      <c r="G87" s="169" t="s">
        <v>490</v>
      </c>
      <c r="H87" s="47" t="s">
        <v>393</v>
      </c>
      <c r="I87" s="60" t="s">
        <v>388</v>
      </c>
    </row>
    <row r="88" spans="4:9" ht="20.100000000000001" customHeight="1" x14ac:dyDescent="0.25">
      <c r="D88" s="50" t="str" cm="1">
        <f t="array" ref="D88:D97">IFERROR(INDEX(Table_Input_LivestockPurchases_Pigs[Transaction name], _xlfn.SEQUENCE(10)), "")</f>
        <v>Pigs from Pam</v>
      </c>
      <c r="E88" s="50" cm="1">
        <f t="array" ref="E88:E97">IFERROR(INDEX(Table_Input_LivestockPurchases_Pigs[Total liveweight (kg) Method 1], _xlfn.SEQUENCE(10)), "")</f>
        <v>18800</v>
      </c>
      <c r="F88" s="168">
        <f>IFERROR($E$86*E88, 0)</f>
        <v>63544</v>
      </c>
      <c r="G88" s="50" cm="1">
        <f t="array" ref="G88:G97">IFERROR(INDEX(Table_Input_LivestockPurchases_Pigs[Total liveweight (kg) Method 2], _xlfn.SEQUENCE(10)), "")</f>
        <v>18000</v>
      </c>
      <c r="H88" s="69">
        <v>4</v>
      </c>
      <c r="I88" s="168">
        <f>IFERROR(IF(H88, G88*H88, G88*$E$86),0)</f>
        <v>72000</v>
      </c>
    </row>
    <row r="89" spans="4:9" ht="20.100000000000001" customHeight="1" x14ac:dyDescent="0.25">
      <c r="D89" s="50" t="str">
        <v>Swine from Samantha</v>
      </c>
      <c r="E89" s="50">
        <v>3900</v>
      </c>
      <c r="F89" s="168">
        <f t="shared" ref="F89:F97" si="8">IFERROR($E$86*E89, 0)</f>
        <v>13182</v>
      </c>
      <c r="G89" s="50">
        <v>3800</v>
      </c>
      <c r="H89" s="69">
        <v>13</v>
      </c>
      <c r="I89" s="168">
        <f t="shared" ref="I89:I97" si="9">IFERROR(IF(H89, G89*H89, G89*$E$86),0)</f>
        <v>49400</v>
      </c>
    </row>
    <row r="90" spans="4:9" ht="20.100000000000001" customHeight="1" x14ac:dyDescent="0.25">
      <c r="D90" s="50" t="str">
        <v/>
      </c>
      <c r="E90" s="50" t="str">
        <v/>
      </c>
      <c r="F90" s="168">
        <f t="shared" si="8"/>
        <v>0</v>
      </c>
      <c r="G90" s="50" t="str">
        <v/>
      </c>
      <c r="H90" s="69"/>
      <c r="I90" s="168">
        <f t="shared" si="9"/>
        <v>0</v>
      </c>
    </row>
    <row r="91" spans="4:9" ht="20.100000000000001" customHeight="1" x14ac:dyDescent="0.25">
      <c r="D91" s="50" t="str">
        <v/>
      </c>
      <c r="E91" s="50" t="str">
        <v/>
      </c>
      <c r="F91" s="168">
        <f t="shared" si="8"/>
        <v>0</v>
      </c>
      <c r="G91" s="50" t="str">
        <v/>
      </c>
      <c r="H91" s="69"/>
      <c r="I91" s="168">
        <f t="shared" si="9"/>
        <v>0</v>
      </c>
    </row>
    <row r="92" spans="4:9" ht="20.100000000000001" customHeight="1" x14ac:dyDescent="0.25">
      <c r="D92" s="50" t="str">
        <v/>
      </c>
      <c r="E92" s="50" t="str">
        <v/>
      </c>
      <c r="F92" s="168">
        <f t="shared" si="8"/>
        <v>0</v>
      </c>
      <c r="G92" s="50" t="str">
        <v/>
      </c>
      <c r="H92" s="69"/>
      <c r="I92" s="168">
        <f t="shared" si="9"/>
        <v>0</v>
      </c>
    </row>
    <row r="93" spans="4:9" ht="20.100000000000001" customHeight="1" x14ac:dyDescent="0.25">
      <c r="D93" s="50" t="str">
        <v/>
      </c>
      <c r="E93" s="50" t="str">
        <v/>
      </c>
      <c r="F93" s="168">
        <f t="shared" si="8"/>
        <v>0</v>
      </c>
      <c r="G93" s="50" t="str">
        <v/>
      </c>
      <c r="H93" s="69"/>
      <c r="I93" s="168">
        <f t="shared" si="9"/>
        <v>0</v>
      </c>
    </row>
    <row r="94" spans="4:9" ht="20.100000000000001" customHeight="1" x14ac:dyDescent="0.25">
      <c r="D94" s="50" t="str">
        <v/>
      </c>
      <c r="E94" s="50" t="str">
        <v/>
      </c>
      <c r="F94" s="168">
        <f t="shared" si="8"/>
        <v>0</v>
      </c>
      <c r="G94" s="50" t="str">
        <v/>
      </c>
      <c r="H94" s="69"/>
      <c r="I94" s="168">
        <f t="shared" si="9"/>
        <v>0</v>
      </c>
    </row>
    <row r="95" spans="4:9" ht="20.100000000000001" customHeight="1" x14ac:dyDescent="0.25">
      <c r="D95" s="50" t="str">
        <v/>
      </c>
      <c r="E95" s="50" t="str">
        <v/>
      </c>
      <c r="F95" s="168">
        <f t="shared" si="8"/>
        <v>0</v>
      </c>
      <c r="G95" s="50" t="str">
        <v/>
      </c>
      <c r="H95" s="69"/>
      <c r="I95" s="168">
        <f t="shared" si="9"/>
        <v>0</v>
      </c>
    </row>
    <row r="96" spans="4:9" ht="20.100000000000001" customHeight="1" x14ac:dyDescent="0.25">
      <c r="D96" s="50" t="str">
        <v/>
      </c>
      <c r="E96" s="50" t="str">
        <v/>
      </c>
      <c r="F96" s="168">
        <f t="shared" si="8"/>
        <v>0</v>
      </c>
      <c r="G96" s="50" t="str">
        <v/>
      </c>
      <c r="H96" s="69"/>
      <c r="I96" s="168">
        <f t="shared" si="9"/>
        <v>0</v>
      </c>
    </row>
    <row r="97" spans="4:9" ht="20.100000000000001" customHeight="1" x14ac:dyDescent="0.25">
      <c r="D97" s="50" t="str">
        <v/>
      </c>
      <c r="E97" s="50" t="str">
        <v/>
      </c>
      <c r="F97" s="168">
        <f t="shared" si="8"/>
        <v>0</v>
      </c>
      <c r="G97" s="50" t="str">
        <v/>
      </c>
      <c r="H97" s="69"/>
      <c r="I97" s="168">
        <f t="shared" si="9"/>
        <v>0</v>
      </c>
    </row>
    <row r="98" spans="4:9" ht="20.100000000000001" customHeight="1" x14ac:dyDescent="0.25"/>
    <row r="99" spans="4:9" ht="20.100000000000001" customHeight="1" x14ac:dyDescent="0.25">
      <c r="D99" s="155" t="s">
        <v>642</v>
      </c>
    </row>
    <row r="100" spans="4:9" ht="20.100000000000001" customHeight="1" x14ac:dyDescent="0.25">
      <c r="D100" s="8" t="s">
        <v>390</v>
      </c>
      <c r="E100" s="50" cm="1">
        <f t="array" ref="E100">Common_InputFunctions.Utility_LookupValueInTableNumber("Chickens", Table_SourceData_Scope3_Animals[Product],Table_SourceData_Scope3_Animals[AusLCI Emissions intensity])</f>
        <v>1.36</v>
      </c>
    </row>
    <row r="101" spans="4:9" ht="20.100000000000001" customHeight="1" x14ac:dyDescent="0.25">
      <c r="D101" s="47" t="s">
        <v>398</v>
      </c>
      <c r="E101" s="169" t="s">
        <v>489</v>
      </c>
      <c r="F101" s="60" t="s">
        <v>387</v>
      </c>
      <c r="G101" s="169" t="s">
        <v>490</v>
      </c>
      <c r="H101" s="47" t="s">
        <v>393</v>
      </c>
      <c r="I101" s="60" t="s">
        <v>388</v>
      </c>
    </row>
    <row r="102" spans="4:9" ht="20.100000000000001" customHeight="1" x14ac:dyDescent="0.25">
      <c r="D102" s="50" t="str" cm="1">
        <f t="array" ref="D102:D111">IFERROR(INDEX(Table_Input_LivestockPurchases_Poultry[Transaction name], _xlfn.SEQUENCE(10)), "")</f>
        <v>Chooks from Carolyn</v>
      </c>
      <c r="E102" s="50" cm="1">
        <f t="array" ref="E102:E111">IFERROR(INDEX(Table_Input_LivestockPurchases_Poultry[Total liveweight (kg) Method 1], _xlfn.SEQUENCE(10)), "")</f>
        <v>130</v>
      </c>
      <c r="F102" s="168">
        <f>IFERROR($E$100*E102, 0)</f>
        <v>176.8</v>
      </c>
      <c r="G102" s="50" cm="1">
        <f t="array" ref="G102:G111">IFERROR(INDEX(Table_Input_LivestockPurchases_Poultry[Total liveweight (kg) Method 2], _xlfn.SEQUENCE(10)), "")</f>
        <v>130</v>
      </c>
      <c r="H102" s="69">
        <v>1.3</v>
      </c>
      <c r="I102" s="168">
        <f>IFERROR(IF(H102, G102*H102, G102*$E$86),0)</f>
        <v>169</v>
      </c>
    </row>
    <row r="103" spans="4:9" ht="20.100000000000001" customHeight="1" x14ac:dyDescent="0.25">
      <c r="D103" s="50" t="str">
        <v>Roosters from Raj</v>
      </c>
      <c r="E103" s="50">
        <v>140</v>
      </c>
      <c r="F103" s="168">
        <f t="shared" ref="F103:F111" si="10">IFERROR($E$100*E103, 0)</f>
        <v>190.4</v>
      </c>
      <c r="G103" s="50">
        <v>140</v>
      </c>
      <c r="H103" s="69">
        <v>1.3</v>
      </c>
      <c r="I103" s="168">
        <f t="shared" ref="I103:I111" si="11">IFERROR(IF(H103, G103*H103, G103*$E$86),0)</f>
        <v>182</v>
      </c>
    </row>
    <row r="104" spans="4:9" ht="20.100000000000001" customHeight="1" x14ac:dyDescent="0.25">
      <c r="D104" s="50" t="str">
        <v/>
      </c>
      <c r="E104" s="50" t="str">
        <v/>
      </c>
      <c r="F104" s="168">
        <f t="shared" si="10"/>
        <v>0</v>
      </c>
      <c r="G104" s="50" t="str">
        <v/>
      </c>
      <c r="H104" s="69"/>
      <c r="I104" s="168">
        <f t="shared" si="11"/>
        <v>0</v>
      </c>
    </row>
    <row r="105" spans="4:9" ht="20.100000000000001" customHeight="1" x14ac:dyDescent="0.25">
      <c r="D105" s="50" t="str">
        <v/>
      </c>
      <c r="E105" s="50" t="str">
        <v/>
      </c>
      <c r="F105" s="168">
        <f t="shared" si="10"/>
        <v>0</v>
      </c>
      <c r="G105" s="50" t="str">
        <v/>
      </c>
      <c r="H105" s="69"/>
      <c r="I105" s="168">
        <f t="shared" si="11"/>
        <v>0</v>
      </c>
    </row>
    <row r="106" spans="4:9" ht="20.100000000000001" customHeight="1" x14ac:dyDescent="0.25">
      <c r="D106" s="50" t="str">
        <v/>
      </c>
      <c r="E106" s="50" t="str">
        <v/>
      </c>
      <c r="F106" s="168">
        <f t="shared" si="10"/>
        <v>0</v>
      </c>
      <c r="G106" s="50" t="str">
        <v/>
      </c>
      <c r="H106" s="69"/>
      <c r="I106" s="168">
        <f t="shared" si="11"/>
        <v>0</v>
      </c>
    </row>
    <row r="107" spans="4:9" ht="20.100000000000001" customHeight="1" x14ac:dyDescent="0.25">
      <c r="D107" s="50" t="str">
        <v/>
      </c>
      <c r="E107" s="50" t="str">
        <v/>
      </c>
      <c r="F107" s="168">
        <f t="shared" si="10"/>
        <v>0</v>
      </c>
      <c r="G107" s="50" t="str">
        <v/>
      </c>
      <c r="H107" s="69"/>
      <c r="I107" s="168">
        <f t="shared" si="11"/>
        <v>0</v>
      </c>
    </row>
    <row r="108" spans="4:9" ht="20.100000000000001" customHeight="1" x14ac:dyDescent="0.25">
      <c r="D108" s="50" t="str">
        <v/>
      </c>
      <c r="E108" s="50" t="str">
        <v/>
      </c>
      <c r="F108" s="168">
        <f t="shared" si="10"/>
        <v>0</v>
      </c>
      <c r="G108" s="50" t="str">
        <v/>
      </c>
      <c r="H108" s="69"/>
      <c r="I108" s="168">
        <f t="shared" si="11"/>
        <v>0</v>
      </c>
    </row>
    <row r="109" spans="4:9" ht="20.100000000000001" customHeight="1" x14ac:dyDescent="0.25">
      <c r="D109" s="50" t="str">
        <v/>
      </c>
      <c r="E109" s="50" t="str">
        <v/>
      </c>
      <c r="F109" s="168">
        <f t="shared" si="10"/>
        <v>0</v>
      </c>
      <c r="G109" s="50" t="str">
        <v/>
      </c>
      <c r="H109" s="69"/>
      <c r="I109" s="168">
        <f t="shared" si="11"/>
        <v>0</v>
      </c>
    </row>
    <row r="110" spans="4:9" ht="20.100000000000001" customHeight="1" x14ac:dyDescent="0.25">
      <c r="D110" s="50" t="str">
        <v/>
      </c>
      <c r="E110" s="50" t="str">
        <v/>
      </c>
      <c r="F110" s="168">
        <f t="shared" si="10"/>
        <v>0</v>
      </c>
      <c r="G110" s="50" t="str">
        <v/>
      </c>
      <c r="H110" s="69"/>
      <c r="I110" s="168">
        <f t="shared" si="11"/>
        <v>0</v>
      </c>
    </row>
    <row r="111" spans="4:9" ht="20.100000000000001" customHeight="1" x14ac:dyDescent="0.25">
      <c r="D111" s="50" t="str">
        <v/>
      </c>
      <c r="E111" s="50" t="str">
        <v/>
      </c>
      <c r="F111" s="168">
        <f t="shared" si="10"/>
        <v>0</v>
      </c>
      <c r="G111" s="50" t="str">
        <v/>
      </c>
      <c r="H111" s="69"/>
      <c r="I111" s="168">
        <f t="shared" si="11"/>
        <v>0</v>
      </c>
    </row>
    <row r="112" spans="4:9" ht="20.100000000000001" customHeight="1" x14ac:dyDescent="0.25"/>
    <row r="113" spans="4:10" ht="20.100000000000001" customHeight="1" x14ac:dyDescent="0.25"/>
    <row r="114" spans="4:10" ht="20.100000000000001" customHeight="1" x14ac:dyDescent="0.25"/>
    <row r="115" spans="4:10" ht="20.100000000000001" customHeight="1" x14ac:dyDescent="0.25"/>
    <row r="116" spans="4:10" ht="20.100000000000001" customHeight="1" x14ac:dyDescent="0.25"/>
    <row r="117" spans="4:10" ht="20.100000000000001" customHeight="1" x14ac:dyDescent="0.25"/>
    <row r="118" spans="4:10" ht="20.100000000000001" customHeight="1" x14ac:dyDescent="0.25">
      <c r="D118" s="9" t="s">
        <v>415</v>
      </c>
      <c r="F118" s="100" t="s">
        <v>408</v>
      </c>
      <c r="G118" s="116"/>
      <c r="H118" s="101"/>
    </row>
    <row r="119" spans="4:10" ht="20.100000000000001" customHeight="1" x14ac:dyDescent="0.25"/>
    <row r="120" spans="4:10" ht="20.100000000000001" customHeight="1" x14ac:dyDescent="0.25">
      <c r="D120" s="47" t="s">
        <v>398</v>
      </c>
      <c r="E120" s="169" t="s">
        <v>310</v>
      </c>
      <c r="F120" s="169" t="s">
        <v>417</v>
      </c>
      <c r="G120" s="60" t="s">
        <v>390</v>
      </c>
      <c r="H120" s="60" t="s">
        <v>387</v>
      </c>
      <c r="I120" s="47" t="s">
        <v>393</v>
      </c>
      <c r="J120" s="60" t="s">
        <v>388</v>
      </c>
    </row>
    <row r="121" spans="4:10" ht="20.100000000000001" customHeight="1" x14ac:dyDescent="0.25">
      <c r="D121" s="50" t="str" cm="1">
        <f t="array" ref="D121:D130">IFERROR(INDEX(Table_Input_ChemicalsCleaning[Product name], _xlfn.SEQUENCE(10)), "")</f>
        <v>Acid kleen</v>
      </c>
      <c r="E121" s="50" t="str" cm="1">
        <f t="array" ref="E121:E130">IFERROR(INDEX(Table_Input_ChemicalsCleaning[Type (select)], _xlfn.SEQUENCE(10)), "")</f>
        <v>Phosphoric acid</v>
      </c>
      <c r="F121" s="50" cm="1">
        <f t="array" ref="F121:F130">IFERROR(INDEX(Table_Input_ChemicalsCleaning[Quantity purchased (kg)], _xlfn.SEQUENCE(10)), "")</f>
        <v>100</v>
      </c>
      <c r="G121" s="50" cm="1">
        <f t="array" ref="G121">Common_InputFunctions.Utility_LookupValueInTableNumber(E121,Table_SourceData_Scope3_ChemicalsCleaning[Product],Table_SourceData_Scope3_ChemicalsCleaning[AusLCI Emissions intensity])</f>
        <v>0.90700000000000003</v>
      </c>
      <c r="H121" s="168">
        <f t="shared" ref="H121:H130" si="12">IFERROR(G121*F121, 0)</f>
        <v>90.7</v>
      </c>
      <c r="I121" s="69">
        <v>1.3</v>
      </c>
      <c r="J121" s="168">
        <f t="shared" ref="J121:J130" si="13">IFERROR(IF(I121, F121*I121, F121*G121),0)</f>
        <v>130</v>
      </c>
    </row>
    <row r="122" spans="4:10" ht="20.100000000000001" customHeight="1" x14ac:dyDescent="0.25">
      <c r="D122" s="50" t="str">
        <v>Kleen alk</v>
      </c>
      <c r="E122" s="50" t="str">
        <v>Alkaline cleaner</v>
      </c>
      <c r="F122" s="50">
        <v>100</v>
      </c>
      <c r="G122" s="50" cm="1">
        <f t="array" ref="G122">Common_InputFunctions.Utility_LookupValueInTableNumber(E122,Table_SourceData_Scope3_ChemicalsCleaning[Product],Table_SourceData_Scope3_ChemicalsCleaning[AusLCI Emissions intensity])</f>
        <v>0.72199999999999998</v>
      </c>
      <c r="H122" s="168">
        <f t="shared" si="12"/>
        <v>72.2</v>
      </c>
      <c r="I122" s="69">
        <v>8</v>
      </c>
      <c r="J122" s="168">
        <f t="shared" si="13"/>
        <v>800</v>
      </c>
    </row>
    <row r="123" spans="4:10" ht="20.100000000000001" customHeight="1" x14ac:dyDescent="0.25">
      <c r="D123" s="50" t="str">
        <v>White king</v>
      </c>
      <c r="E123" s="50" t="str">
        <v>Bleach</v>
      </c>
      <c r="F123" s="50">
        <v>100</v>
      </c>
      <c r="G123" s="50" cm="1">
        <f t="array" ref="G123">Common_InputFunctions.Utility_LookupValueInTableNumber(E123,Table_SourceData_Scope3_ChemicalsCleaning[Product],Table_SourceData_Scope3_ChemicalsCleaning[AusLCI Emissions intensity])</f>
        <v>0.80400000000000005</v>
      </c>
      <c r="H123" s="168">
        <f t="shared" si="12"/>
        <v>80.400000000000006</v>
      </c>
      <c r="I123" s="69">
        <v>4</v>
      </c>
      <c r="J123" s="168">
        <f t="shared" si="13"/>
        <v>400</v>
      </c>
    </row>
    <row r="124" spans="4:10" ht="20.100000000000001" customHeight="1" x14ac:dyDescent="0.25">
      <c r="D124" s="50" t="str">
        <v>White king</v>
      </c>
      <c r="E124" s="50" t="str">
        <v>Bleach</v>
      </c>
      <c r="F124" s="50">
        <v>100</v>
      </c>
      <c r="G124" s="50" cm="1">
        <f t="array" ref="G124">Common_InputFunctions.Utility_LookupValueInTableNumber(E124,Table_SourceData_Scope3_ChemicalsCleaning[Product],Table_SourceData_Scope3_ChemicalsCleaning[AusLCI Emissions intensity])</f>
        <v>0.80400000000000005</v>
      </c>
      <c r="H124" s="168">
        <f t="shared" si="12"/>
        <v>80.400000000000006</v>
      </c>
      <c r="I124" s="69">
        <v>3</v>
      </c>
      <c r="J124" s="168">
        <f t="shared" si="13"/>
        <v>300</v>
      </c>
    </row>
    <row r="125" spans="4:10" ht="20.100000000000001" customHeight="1" x14ac:dyDescent="0.25">
      <c r="D125" s="50" t="str">
        <v>Acid kleen</v>
      </c>
      <c r="E125" s="50" t="str">
        <v>Phosphoric acid</v>
      </c>
      <c r="F125" s="50">
        <v>100</v>
      </c>
      <c r="G125" s="50" cm="1">
        <f t="array" ref="G125">Common_InputFunctions.Utility_LookupValueInTableNumber(E125,Table_SourceData_Scope3_ChemicalsCleaning[Product],Table_SourceData_Scope3_ChemicalsCleaning[AusLCI Emissions intensity])</f>
        <v>0.90700000000000003</v>
      </c>
      <c r="H125" s="168">
        <f t="shared" si="12"/>
        <v>90.7</v>
      </c>
      <c r="I125" s="69">
        <v>6</v>
      </c>
      <c r="J125" s="168">
        <f t="shared" si="13"/>
        <v>600</v>
      </c>
    </row>
    <row r="126" spans="4:10" ht="20.100000000000001" customHeight="1" x14ac:dyDescent="0.25">
      <c r="D126" s="50" t="str">
        <v>Acid kleen</v>
      </c>
      <c r="E126" s="50" t="str">
        <v>Phosphoric acid</v>
      </c>
      <c r="F126" s="50">
        <v>100</v>
      </c>
      <c r="G126" s="50" cm="1">
        <f t="array" ref="G126">Common_InputFunctions.Utility_LookupValueInTableNumber(E126,Table_SourceData_Scope3_ChemicalsCleaning[Product],Table_SourceData_Scope3_ChemicalsCleaning[AusLCI Emissions intensity])</f>
        <v>0.90700000000000003</v>
      </c>
      <c r="H126" s="168">
        <f t="shared" si="12"/>
        <v>90.7</v>
      </c>
      <c r="I126" s="69">
        <v>5</v>
      </c>
      <c r="J126" s="168">
        <f t="shared" si="13"/>
        <v>500</v>
      </c>
    </row>
    <row r="127" spans="4:10" ht="20.100000000000001" customHeight="1" x14ac:dyDescent="0.25">
      <c r="D127" s="50" t="str">
        <v/>
      </c>
      <c r="E127" s="50" t="str">
        <v/>
      </c>
      <c r="F127" s="50" t="str">
        <v/>
      </c>
      <c r="G127" s="50" cm="1">
        <f t="array" ref="G127">Common_InputFunctions.Utility_LookupValueInTableNumber(E127,Table_SourceData_Scope3_ChemicalsCleaning[Product],Table_SourceData_Scope3_ChemicalsCleaning[AusLCI Emissions intensity])</f>
        <v>0</v>
      </c>
      <c r="H127" s="168">
        <f t="shared" si="12"/>
        <v>0</v>
      </c>
      <c r="I127" s="69"/>
      <c r="J127" s="168">
        <f t="shared" si="13"/>
        <v>0</v>
      </c>
    </row>
    <row r="128" spans="4:10" ht="20.100000000000001" customHeight="1" x14ac:dyDescent="0.25">
      <c r="D128" s="50" t="str">
        <v/>
      </c>
      <c r="E128" s="50" t="str">
        <v/>
      </c>
      <c r="F128" s="50" t="str">
        <v/>
      </c>
      <c r="G128" s="50" cm="1">
        <f t="array" ref="G128">Common_InputFunctions.Utility_LookupValueInTableNumber(E128,Table_SourceData_Scope3_ChemicalsCleaning[Product],Table_SourceData_Scope3_ChemicalsCleaning[AusLCI Emissions intensity])</f>
        <v>0</v>
      </c>
      <c r="H128" s="168">
        <f t="shared" si="12"/>
        <v>0</v>
      </c>
      <c r="I128" s="69"/>
      <c r="J128" s="168">
        <f t="shared" si="13"/>
        <v>0</v>
      </c>
    </row>
    <row r="129" spans="4:10" ht="20.100000000000001" customHeight="1" x14ac:dyDescent="0.25">
      <c r="D129" s="50" t="str">
        <v/>
      </c>
      <c r="E129" s="50" t="str">
        <v/>
      </c>
      <c r="F129" s="50" t="str">
        <v/>
      </c>
      <c r="G129" s="50" cm="1">
        <f t="array" ref="G129">Common_InputFunctions.Utility_LookupValueInTableNumber(E129,Table_SourceData_Scope3_ChemicalsCleaning[Product],Table_SourceData_Scope3_ChemicalsCleaning[AusLCI Emissions intensity])</f>
        <v>0</v>
      </c>
      <c r="H129" s="168">
        <f t="shared" si="12"/>
        <v>0</v>
      </c>
      <c r="I129" s="69"/>
      <c r="J129" s="168">
        <f t="shared" si="13"/>
        <v>0</v>
      </c>
    </row>
    <row r="130" spans="4:10" ht="20.100000000000001" customHeight="1" x14ac:dyDescent="0.25">
      <c r="D130" s="50" t="str">
        <v/>
      </c>
      <c r="E130" s="50" t="str">
        <v/>
      </c>
      <c r="F130" s="50" t="str">
        <v/>
      </c>
      <c r="G130" s="50" cm="1">
        <f t="array" ref="G130">Common_InputFunctions.Utility_LookupValueInTableNumber(E130,Table_SourceData_Scope3_ChemicalsCleaning[Product],Table_SourceData_Scope3_ChemicalsCleaning[AusLCI Emissions intensity])</f>
        <v>0</v>
      </c>
      <c r="H130" s="168">
        <f t="shared" si="12"/>
        <v>0</v>
      </c>
      <c r="I130" s="69"/>
      <c r="J130" s="168">
        <f t="shared" si="13"/>
        <v>0</v>
      </c>
    </row>
    <row r="131" spans="4:10" ht="20.100000000000001" customHeight="1" x14ac:dyDescent="0.25"/>
    <row r="132" spans="4:10" ht="20.100000000000001" customHeight="1" x14ac:dyDescent="0.25"/>
    <row r="133" spans="4:10" ht="20.100000000000001" customHeight="1" x14ac:dyDescent="0.25">
      <c r="D133" s="9" t="s">
        <v>416</v>
      </c>
      <c r="F133" s="100" t="s">
        <v>408</v>
      </c>
      <c r="G133" s="116"/>
      <c r="H133" s="101"/>
    </row>
    <row r="134" spans="4:10" ht="20.100000000000001" customHeight="1" x14ac:dyDescent="0.25"/>
    <row r="135" spans="4:10" ht="20.100000000000001" customHeight="1" x14ac:dyDescent="0.25">
      <c r="D135" s="47" t="s">
        <v>398</v>
      </c>
      <c r="E135" s="169" t="s">
        <v>310</v>
      </c>
      <c r="F135" s="169" t="s">
        <v>414</v>
      </c>
      <c r="G135" s="60" t="s">
        <v>390</v>
      </c>
      <c r="H135" s="60" t="s">
        <v>387</v>
      </c>
      <c r="I135" s="47" t="s">
        <v>393</v>
      </c>
      <c r="J135" s="60" t="s">
        <v>388</v>
      </c>
    </row>
    <row r="136" spans="4:10" ht="20.100000000000001" customHeight="1" x14ac:dyDescent="0.25">
      <c r="D136" s="50" t="str" cm="1">
        <f t="array" ref="D136:D145">IFERROR(INDEX(Table_Input_ChemicalsPharmacy[Product name], _xlfn.SEQUENCE(10)), "")</f>
        <v>Cow bug off</v>
      </c>
      <c r="E136" s="50" t="str" cm="1">
        <f t="array" ref="E136:E145">IFERROR(INDEX(Table_Input_ChemicalsPharmacy[Type (select)], _xlfn.SEQUENCE(10)), "")</f>
        <v>Parasite control for cattle (external), dipping</v>
      </c>
      <c r="F136" s="50" cm="1">
        <f t="array" ref="F136:F145">IFERROR(INDEX(Table_Input_ChemicalsCleaning[Quantity purchased (kg)], _xlfn.SEQUENCE(10)), "")</f>
        <v>100</v>
      </c>
      <c r="G136" s="50" cm="1">
        <f t="array" ref="G136">Common_InputFunctions.Utility_LookupValueInTableNumber(E136,Table_SourceData_Scope3_ChemicalsPharmacy[Product],Table_SourceData_Scope3_ChemicalsPharmacy[AusLCI Emissions intensity])</f>
        <v>5.4699999999999999E-2</v>
      </c>
      <c r="H136" s="168">
        <f t="shared" ref="H136:H145" si="14">IFERROR(G136*F136, 0)</f>
        <v>5.47</v>
      </c>
      <c r="I136" s="69">
        <v>0.05</v>
      </c>
      <c r="J136" s="168">
        <f t="shared" ref="J136:J145" si="15">IFERROR(IF(I136, F136*I136, F136*G136),0)</f>
        <v>5</v>
      </c>
    </row>
    <row r="137" spans="4:10" ht="20.100000000000001" customHeight="1" x14ac:dyDescent="0.25">
      <c r="D137" s="50" t="str">
        <v>Cow worm-away</v>
      </c>
      <c r="E137" s="50" t="str">
        <v>Parasite control for cattle (internal)</v>
      </c>
      <c r="F137" s="50">
        <v>100</v>
      </c>
      <c r="G137" s="50" cm="1">
        <f t="array" ref="G137">Common_InputFunctions.Utility_LookupValueInTableNumber(E137,Table_SourceData_Scope3_ChemicalsPharmacy[Product],Table_SourceData_Scope3_ChemicalsPharmacy[AusLCI Emissions intensity])</f>
        <v>1.4200000000000001E-2</v>
      </c>
      <c r="H137" s="168">
        <f t="shared" si="14"/>
        <v>1.4200000000000002</v>
      </c>
      <c r="I137" s="69">
        <v>0.01</v>
      </c>
      <c r="J137" s="168">
        <f t="shared" si="15"/>
        <v>1</v>
      </c>
    </row>
    <row r="138" spans="4:10" ht="20.100000000000001" customHeight="1" x14ac:dyDescent="0.25">
      <c r="D138" s="50" t="str">
        <v>Sheep bug off</v>
      </c>
      <c r="E138" s="50" t="str">
        <v>Parasite control for sheep (external)</v>
      </c>
      <c r="F138" s="50">
        <v>100</v>
      </c>
      <c r="G138" s="50" cm="1">
        <f t="array" ref="G138">Common_InputFunctions.Utility_LookupValueInTableNumber(E138,Table_SourceData_Scope3_ChemicalsPharmacy[Product],Table_SourceData_Scope3_ChemicalsPharmacy[AusLCI Emissions intensity])</f>
        <v>1.43E-2</v>
      </c>
      <c r="H138" s="168">
        <f t="shared" si="14"/>
        <v>1.43</v>
      </c>
      <c r="I138" s="69">
        <v>0.01</v>
      </c>
      <c r="J138" s="168">
        <f t="shared" si="15"/>
        <v>1</v>
      </c>
    </row>
    <row r="139" spans="4:10" ht="20.100000000000001" customHeight="1" x14ac:dyDescent="0.25">
      <c r="D139" s="50" t="str">
        <v>Sheep worm-away</v>
      </c>
      <c r="E139" s="50" t="str">
        <v>Parasite control for sheep (internal)</v>
      </c>
      <c r="F139" s="50">
        <v>100</v>
      </c>
      <c r="G139" s="50" cm="1">
        <f t="array" ref="G139">Common_InputFunctions.Utility_LookupValueInTableNumber(E139,Table_SourceData_Scope3_ChemicalsPharmacy[Product],Table_SourceData_Scope3_ChemicalsPharmacy[AusLCI Emissions intensity])</f>
        <v>4.2599999999999999E-3</v>
      </c>
      <c r="H139" s="168">
        <f t="shared" si="14"/>
        <v>0.42599999999999999</v>
      </c>
      <c r="I139" s="69">
        <v>4.0000000000000001E-3</v>
      </c>
      <c r="J139" s="168">
        <f t="shared" si="15"/>
        <v>0.4</v>
      </c>
    </row>
    <row r="140" spans="4:10" ht="20.100000000000001" customHeight="1" x14ac:dyDescent="0.25">
      <c r="D140" s="50" t="str">
        <v>Cow bug off</v>
      </c>
      <c r="E140" s="50" t="str">
        <v>Parasite control for cattle (external), dipping</v>
      </c>
      <c r="F140" s="50">
        <v>100</v>
      </c>
      <c r="G140" s="50" cm="1">
        <f t="array" ref="G140">Common_InputFunctions.Utility_LookupValueInTableNumber(E140,Table_SourceData_Scope3_ChemicalsPharmacy[Product],Table_SourceData_Scope3_ChemicalsPharmacy[AusLCI Emissions intensity])</f>
        <v>5.4699999999999999E-2</v>
      </c>
      <c r="H140" s="168">
        <f t="shared" si="14"/>
        <v>5.47</v>
      </c>
      <c r="I140" s="69">
        <v>0.05</v>
      </c>
      <c r="J140" s="168">
        <f t="shared" si="15"/>
        <v>5</v>
      </c>
    </row>
    <row r="141" spans="4:10" ht="20.100000000000001" customHeight="1" x14ac:dyDescent="0.25">
      <c r="D141" s="50" t="str">
        <v>Cow worm-away</v>
      </c>
      <c r="E141" s="50" t="str">
        <v>Parasite control for cattle (internal)</v>
      </c>
      <c r="F141" s="50">
        <v>100</v>
      </c>
      <c r="G141" s="50" cm="1">
        <f t="array" ref="G141">Common_InputFunctions.Utility_LookupValueInTableNumber(E141,Table_SourceData_Scope3_ChemicalsPharmacy[Product],Table_SourceData_Scope3_ChemicalsPharmacy[AusLCI Emissions intensity])</f>
        <v>1.4200000000000001E-2</v>
      </c>
      <c r="H141" s="168">
        <f t="shared" si="14"/>
        <v>1.4200000000000002</v>
      </c>
      <c r="I141" s="69">
        <v>0.01</v>
      </c>
      <c r="J141" s="168">
        <f t="shared" si="15"/>
        <v>1</v>
      </c>
    </row>
    <row r="142" spans="4:10" ht="20.100000000000001" customHeight="1" x14ac:dyDescent="0.25">
      <c r="D142" s="50" t="str">
        <v/>
      </c>
      <c r="E142" s="50" t="str">
        <v/>
      </c>
      <c r="F142" s="50" t="str">
        <v/>
      </c>
      <c r="G142" s="50" cm="1">
        <f t="array" ref="G142">Common_InputFunctions.Utility_LookupValueInTableNumber(E142,Table_SourceData_Scope3_ChemicalsPharmacy[Product],Table_SourceData_Scope3_ChemicalsPharmacy[AusLCI Emissions intensity])</f>
        <v>0</v>
      </c>
      <c r="H142" s="168">
        <f t="shared" si="14"/>
        <v>0</v>
      </c>
      <c r="I142" s="69"/>
      <c r="J142" s="168">
        <f t="shared" si="15"/>
        <v>0</v>
      </c>
    </row>
    <row r="143" spans="4:10" ht="20.100000000000001" customHeight="1" x14ac:dyDescent="0.25">
      <c r="D143" s="50" t="str">
        <v/>
      </c>
      <c r="E143" s="50" t="str">
        <v/>
      </c>
      <c r="F143" s="50" t="str">
        <v/>
      </c>
      <c r="G143" s="50" cm="1">
        <f t="array" ref="G143">Common_InputFunctions.Utility_LookupValueInTableNumber(E143,Table_SourceData_Scope3_ChemicalsPharmacy[Product],Table_SourceData_Scope3_ChemicalsPharmacy[AusLCI Emissions intensity])</f>
        <v>0</v>
      </c>
      <c r="H143" s="168">
        <f t="shared" si="14"/>
        <v>0</v>
      </c>
      <c r="I143" s="69"/>
      <c r="J143" s="168">
        <f t="shared" si="15"/>
        <v>0</v>
      </c>
    </row>
    <row r="144" spans="4:10" ht="20.100000000000001" customHeight="1" x14ac:dyDescent="0.25">
      <c r="D144" s="50" t="str">
        <v/>
      </c>
      <c r="E144" s="50" t="str">
        <v/>
      </c>
      <c r="F144" s="50" t="str">
        <v/>
      </c>
      <c r="G144" s="50" cm="1">
        <f t="array" ref="G144">Common_InputFunctions.Utility_LookupValueInTableNumber(E144,Table_SourceData_Scope3_ChemicalsPharmacy[Product],Table_SourceData_Scope3_ChemicalsPharmacy[AusLCI Emissions intensity])</f>
        <v>0</v>
      </c>
      <c r="H144" s="168">
        <f t="shared" si="14"/>
        <v>0</v>
      </c>
      <c r="I144" s="69"/>
      <c r="J144" s="168">
        <f t="shared" si="15"/>
        <v>0</v>
      </c>
    </row>
    <row r="145" spans="4:25" ht="20.100000000000001" customHeight="1" x14ac:dyDescent="0.25">
      <c r="D145" s="50" t="str">
        <v/>
      </c>
      <c r="E145" s="50" t="str">
        <v/>
      </c>
      <c r="F145" s="50" t="str">
        <v/>
      </c>
      <c r="G145" s="50" cm="1">
        <f t="array" ref="G145">Common_InputFunctions.Utility_LookupValueInTableNumber(E145,Table_SourceData_Scope3_ChemicalsPharmacy[Product],Table_SourceData_Scope3_ChemicalsPharmacy[AusLCI Emissions intensity])</f>
        <v>0</v>
      </c>
      <c r="H145" s="168">
        <f t="shared" si="14"/>
        <v>0</v>
      </c>
      <c r="I145" s="69"/>
      <c r="J145" s="168">
        <f t="shared" si="15"/>
        <v>0</v>
      </c>
    </row>
    <row r="146" spans="4:25" ht="20.100000000000001" customHeight="1" x14ac:dyDescent="0.25"/>
    <row r="147" spans="4:25" ht="20.100000000000001" customHeight="1" x14ac:dyDescent="0.25">
      <c r="F147" s="8" t="s">
        <v>472</v>
      </c>
    </row>
    <row r="148" spans="4:25" ht="20.100000000000001" customHeight="1" x14ac:dyDescent="0.25">
      <c r="D148" s="9" t="s">
        <v>321</v>
      </c>
      <c r="F148" s="8" t="s">
        <v>639</v>
      </c>
    </row>
    <row r="149" spans="4:25" ht="20.100000000000001" customHeight="1" x14ac:dyDescent="0.25">
      <c r="F149" s="100" t="s">
        <v>442</v>
      </c>
      <c r="G149" s="116"/>
      <c r="H149" s="101"/>
    </row>
    <row r="150" spans="4:25" ht="20.100000000000001" customHeight="1" x14ac:dyDescent="0.25">
      <c r="D150" s="47" t="s">
        <v>446</v>
      </c>
      <c r="E150" s="47" t="s">
        <v>391</v>
      </c>
      <c r="F150" s="60" t="s">
        <v>390</v>
      </c>
      <c r="G150" s="60" t="s">
        <v>387</v>
      </c>
      <c r="H150" s="47" t="s">
        <v>393</v>
      </c>
      <c r="I150" s="60" t="s">
        <v>388</v>
      </c>
      <c r="J150" s="60" t="s">
        <v>177</v>
      </c>
      <c r="K150" s="60" t="s">
        <v>425</v>
      </c>
      <c r="L150" s="60" t="s">
        <v>178</v>
      </c>
      <c r="M150" s="60" t="s">
        <v>378</v>
      </c>
      <c r="N150" s="60" t="s">
        <v>179</v>
      </c>
      <c r="O150" s="60" t="s">
        <v>443</v>
      </c>
      <c r="P150" s="60" t="s">
        <v>180</v>
      </c>
      <c r="Q150" s="60" t="s">
        <v>382</v>
      </c>
      <c r="R150" s="60" t="s">
        <v>181</v>
      </c>
      <c r="S150" s="60" t="s">
        <v>444</v>
      </c>
      <c r="T150" s="60" t="s">
        <v>182</v>
      </c>
      <c r="U150" s="60" t="s">
        <v>383</v>
      </c>
      <c r="V150" s="60" t="s">
        <v>183</v>
      </c>
      <c r="W150" s="60" t="s">
        <v>445</v>
      </c>
      <c r="X150" s="60" t="s">
        <v>184</v>
      </c>
      <c r="Y150" s="60" t="s">
        <v>384</v>
      </c>
    </row>
    <row r="151" spans="4:25" ht="20.100000000000001" customHeight="1" x14ac:dyDescent="0.25">
      <c r="D151" s="50" cm="1">
        <f t="array" ref="D151:D160">IFERROR(INDEX(Table_Input_FeedBlends[Feed blend name], _xlfn.SEQUENCE(10)), "")</f>
        <v>0</v>
      </c>
      <c r="E151" s="50" cm="1">
        <f t="array" ref="E151:E160">IFERROR(INDEX(Table_Input_FeedBlends[Amount fed (kg)], _xlfn.SEQUENCE(10)), "")</f>
        <v>1200</v>
      </c>
      <c r="F151" s="50">
        <f>IFERROR((L151*M151)+(P151*Q151)+(T151*U151)+(X151*Y151), 0)</f>
        <v>4.3399999999999994E-2</v>
      </c>
      <c r="G151" s="168">
        <f>IFERROR(F151*E151, 0)</f>
        <v>52.079999999999991</v>
      </c>
      <c r="H151" s="69">
        <v>0.4</v>
      </c>
      <c r="I151" s="168">
        <f>IFERROR(IF(H151, E151*H151, E151*F151),0)</f>
        <v>480</v>
      </c>
      <c r="J151" s="50" t="str" cm="1">
        <f t="array" ref="J151:J160">IFERROR(INDEX(Table_Input_FeedBlends[Ingredient 1 (select)], _xlfn.SEQUENCE(10)), "")</f>
        <v>Oaten hay</v>
      </c>
      <c r="K151" s="50" t="str" cm="1">
        <f t="array" ref="K151:K160">IFERROR(INDEX(Table_Input_FeedBlends[Ingredient 1 source region], _xlfn.SEQUENCE(10)), "")</f>
        <v>WA</v>
      </c>
      <c r="L151" s="50" cm="1">
        <f t="array" ref="L151:L160">IFERROR(INDEX(Table_Input_FeedBlends[Ingredient 1 percent], _xlfn.SEQUENCE(10)), "")</f>
        <v>0.35</v>
      </c>
      <c r="M151" s="50" cm="1">
        <f t="array" ref="M151">_xlfn.LET(_xlpm.result, Common_InputFunctions.Utility_LookupValueInTableTwoColumns(J151, K151, Table_SourceData_Scope3_Feed[Product], Table_SourceData_Scope3_Feed[Region of origin], Table_SourceData_Scope3_Feed[AusLCI Emissions intensity]), IF(_xlpm.result="", 0, _xlpm.result))</f>
        <v>0.124</v>
      </c>
      <c r="N151" s="50" t="str" cm="1">
        <f t="array" ref="N151:N160">IFERROR(INDEX(Table_Input_FeedBlends[Ingredient 2 (select)], _xlfn.SEQUENCE(10)), "")</f>
        <v>Sardines (whole)</v>
      </c>
      <c r="O151" s="50" t="str" cm="1">
        <f t="array" ref="O151:O160">IFERROR(INDEX(Table_Input_FeedBlends[Ingredient 2 source region], _xlfn.SEQUENCE(10)), "")</f>
        <v>SA</v>
      </c>
      <c r="P151" s="50" cm="1">
        <f t="array" ref="P151:P160">IFERROR(INDEX(Table_Input_FeedBlends[Ingredient 2 percent], _xlfn.SEQUENCE(10)), "")</f>
        <v>0.22</v>
      </c>
      <c r="Q151" s="50" cm="1">
        <f t="array" ref="Q151">_xlfn.LET(_xlpm.result, Common_InputFunctions.Utility_LookupValueInTableTwoColumns(N151, _xlfn.IFS(N151="Urea", IF(#REF!="", "Global",#REF!), N151="Ammonia", IF(#REF!="", "Global",#REF!), TRUE, "Global"), Table_SourceData_Scope3_InorganicFertiliser[Chemical compound],Table_SourceData_Scope3_InorganicFertiliser[Region of origin],Table_SourceData_Scope3_InorganicFertiliser[AusLCI Emissions intensity]), IF(_xlpm.result="", 0, _xlpm.result))</f>
        <v>0</v>
      </c>
      <c r="R151" s="50" t="str" cm="1">
        <f t="array" ref="R151:R160">IFERROR(INDEX(Table_Input_FeedBlends[Ingredient 3 (select)], _xlfn.SEQUENCE(10)), "")</f>
        <v>Canola oil</v>
      </c>
      <c r="S151" s="50" t="str" cm="1">
        <f t="array" ref="S151:S160">IFERROR(INDEX(Table_Input_FeedBlends[Ingredient 3 source region], _xlfn.SEQUENCE(10)), "")</f>
        <v>Australia</v>
      </c>
      <c r="T151" s="50" cm="1">
        <f t="array" ref="T151:T160">IFERROR(INDEX(Table_Input_FeedBlends[Ingredient 3 percent], _xlfn.SEQUENCE(10)), "")</f>
        <v>0.12</v>
      </c>
      <c r="U151" s="50" cm="1">
        <f t="array" ref="U151">_xlfn.LET(_xlpm.result, Common_InputFunctions.Utility_LookupValueInTableTwoColumns(R151, _xlfn.IFS(R151="Urea", IF(#REF!="", "Global",#REF!), R151="Ammonia", IF(#REF!="", "Global",#REF!), TRUE, "Global"), Table_SourceData_Scope3_InorganicFertiliser[Chemical compound],Table_SourceData_Scope3_InorganicFertiliser[Region of origin],Table_SourceData_Scope3_InorganicFertiliser[AusLCI Emissions intensity]), IF(_xlpm.result="", 0, _xlpm.result))</f>
        <v>0</v>
      </c>
      <c r="V151" s="50" t="str" cm="1">
        <f t="array" ref="V151:V160">IFERROR(INDEX(Table_Input_FeedBlends[Ingredient 4 (select)], _xlfn.SEQUENCE(10)), "")</f>
        <v>Molasses</v>
      </c>
      <c r="W151" s="50" t="str" cm="1">
        <f t="array" ref="W151:W160">IFERROR(INDEX(Table_Input_FeedBlends[Ingredient 4 source region], _xlfn.SEQUENCE(10)), "")</f>
        <v>QLD</v>
      </c>
      <c r="X151" s="50" cm="1">
        <f t="array" ref="X151:X160">IFERROR(INDEX(Table_Input_FeedBlends[Ingredient 4 percent], _xlfn.SEQUENCE(10)), "")</f>
        <v>0.05</v>
      </c>
      <c r="Y151" s="50" cm="1">
        <f t="array" ref="Y151">_xlfn.LET(_xlpm.result, Common_InputFunctions.Utility_LookupValueInTableTwoColumns(V151, _xlfn.IFS(V151="Urea", IF(#REF!="", "Global",#REF!), V151="Ammonia", IF(#REF!="", "Global",#REF!), TRUE, "Global"), Table_SourceData_Scope3_InorganicFertiliser[Chemical compound],Table_SourceData_Scope3_InorganicFertiliser[Region of origin],Table_SourceData_Scope3_InorganicFertiliser[AusLCI Emissions intensity]), IF(_xlpm.result="", 0, _xlpm.result))</f>
        <v>0</v>
      </c>
    </row>
    <row r="152" spans="4:25" ht="20.100000000000001" customHeight="1" x14ac:dyDescent="0.25">
      <c r="D152" s="50">
        <v>0</v>
      </c>
      <c r="E152" s="50">
        <v>3456</v>
      </c>
      <c r="F152" s="50">
        <f t="shared" ref="F152:F160" si="16">IFERROR((L152*M152)+(P152*Q152)+(T152*U152)+(X152*Y152), 0)</f>
        <v>2.7800000000000005E-2</v>
      </c>
      <c r="G152" s="168">
        <f t="shared" ref="G152:G160" si="17">IFERROR(F152*E152, 0)</f>
        <v>96.07680000000002</v>
      </c>
      <c r="H152" s="69">
        <v>0.9</v>
      </c>
      <c r="I152" s="168">
        <f t="shared" ref="I152:I160" si="18">IFERROR(IF(H152, E152*H152, E152*F152),0)</f>
        <v>3110.4</v>
      </c>
      <c r="J152" s="50" t="str">
        <v>Cereal hay</v>
      </c>
      <c r="K152" s="50" t="str">
        <v>TAS</v>
      </c>
      <c r="L152" s="50">
        <v>0.2</v>
      </c>
      <c r="M152" s="50" cm="1">
        <f t="array" ref="M152">_xlfn.LET(_xlpm.result, Common_InputFunctions.Utility_LookupValueInTableTwoColumns(J152, K152, Table_SourceData_Scope3_Feed[Product], Table_SourceData_Scope3_Feed[Region of origin], Table_SourceData_Scope3_Feed[AusLCI Emissions intensity]), IF(_xlpm.result="", 0, _xlpm.result))</f>
        <v>0.13900000000000001</v>
      </c>
      <c r="N152" s="50" t="str">
        <v>Lucerne hay</v>
      </c>
      <c r="O152" s="50" t="str">
        <v>NSW</v>
      </c>
      <c r="P152" s="50">
        <v>0.2</v>
      </c>
      <c r="Q152" s="50" cm="1">
        <f t="array" ref="Q152">_xlfn.LET(_xlpm.result, Common_InputFunctions.Utility_LookupValueInTableTwoColumns(N152, _xlfn.IFS(N152="Urea", IF(#REF!="", "Global",#REF!), N152="Ammonia", IF(#REF!="", "Global",#REF!), TRUE, "Global"), Table_SourceData_Scope3_InorganicFertiliser[Chemical compound],Table_SourceData_Scope3_InorganicFertiliser[Region of origin],Table_SourceData_Scope3_InorganicFertiliser[AusLCI Emissions intensity]), IF(_xlpm.result="", 0, _xlpm.result))</f>
        <v>0</v>
      </c>
      <c r="R152" s="50">
        <v>0</v>
      </c>
      <c r="S152" s="50">
        <v>0</v>
      </c>
      <c r="T152" s="50">
        <v>0</v>
      </c>
      <c r="U152" s="50" cm="1">
        <f t="array" ref="U152">_xlfn.LET(_xlpm.result, Common_InputFunctions.Utility_LookupValueInTableTwoColumns(R152, _xlfn.IFS(R152="Urea", IF(#REF!="", "Global",#REF!), R152="Ammonia", IF(#REF!="", "Global",#REF!), TRUE, "Global"), Table_SourceData_Scope3_InorganicFertiliser[Chemical compound],Table_SourceData_Scope3_InorganicFertiliser[Region of origin],Table_SourceData_Scope3_InorganicFertiliser[AusLCI Emissions intensity]), IF(_xlpm.result="", 0, _xlpm.result))</f>
        <v>0</v>
      </c>
      <c r="V152" s="50">
        <v>0</v>
      </c>
      <c r="W152" s="50">
        <v>0</v>
      </c>
      <c r="X152" s="50">
        <v>0</v>
      </c>
      <c r="Y152" s="50" cm="1">
        <f t="array" ref="Y152">_xlfn.LET(_xlpm.result, Common_InputFunctions.Utility_LookupValueInTableTwoColumns(V152, _xlfn.IFS(V152="Urea", IF(#REF!="", "Global",#REF!), V152="Ammonia", IF(#REF!="", "Global",#REF!), TRUE, "Global"), Table_SourceData_Scope3_InorganicFertiliser[Chemical compound],Table_SourceData_Scope3_InorganicFertiliser[Region of origin],Table_SourceData_Scope3_InorganicFertiliser[AusLCI Emissions intensity]), IF(_xlpm.result="", 0, _xlpm.result))</f>
        <v>0</v>
      </c>
    </row>
    <row r="153" spans="4:25" ht="20.100000000000001" customHeight="1" x14ac:dyDescent="0.25">
      <c r="D153" s="50" t="str">
        <v>Hay bales in paddock</v>
      </c>
      <c r="E153" s="50">
        <v>300</v>
      </c>
      <c r="F153" s="50">
        <f t="shared" si="16"/>
        <v>0.14880000000000002</v>
      </c>
      <c r="G153" s="168">
        <f t="shared" si="17"/>
        <v>44.640000000000008</v>
      </c>
      <c r="H153" s="69">
        <v>0.4</v>
      </c>
      <c r="I153" s="168">
        <f t="shared" si="18"/>
        <v>120</v>
      </c>
      <c r="J153" s="50" t="str">
        <v>Maize grain</v>
      </c>
      <c r="K153" s="50" t="str">
        <v>QLD</v>
      </c>
      <c r="L153" s="50">
        <v>0.8</v>
      </c>
      <c r="M153" s="50" cm="1">
        <f t="array" ref="M153">_xlfn.LET(_xlpm.result, Common_InputFunctions.Utility_LookupValueInTableTwoColumns(J153, K153, Table_SourceData_Scope3_Feed[Product], Table_SourceData_Scope3_Feed[Region of origin], Table_SourceData_Scope3_Feed[AusLCI Emissions intensity]), IF(_xlpm.result="", 0, _xlpm.result))</f>
        <v>0.186</v>
      </c>
      <c r="N153" s="50" t="str">
        <v>Soybean meal</v>
      </c>
      <c r="O153" s="50" t="str">
        <v>Brazil</v>
      </c>
      <c r="P153" s="50">
        <v>0.2</v>
      </c>
      <c r="Q153" s="50" cm="1">
        <f t="array" ref="Q153">_xlfn.LET(_xlpm.result, Common_InputFunctions.Utility_LookupValueInTableTwoColumns(N153, _xlfn.IFS(N153="Urea", IF(#REF!="", "Global",#REF!), N153="Ammonia", IF(#REF!="", "Global",#REF!), TRUE, "Global"), Table_SourceData_Scope3_InorganicFertiliser[Chemical compound],Table_SourceData_Scope3_InorganicFertiliser[Region of origin],Table_SourceData_Scope3_InorganicFertiliser[AusLCI Emissions intensity]), IF(_xlpm.result="", 0, _xlpm.result))</f>
        <v>0</v>
      </c>
      <c r="R153" s="50">
        <v>0</v>
      </c>
      <c r="S153" s="50">
        <v>0</v>
      </c>
      <c r="T153" s="50">
        <v>0</v>
      </c>
      <c r="U153" s="50" cm="1">
        <f t="array" ref="U153">_xlfn.LET(_xlpm.result, Common_InputFunctions.Utility_LookupValueInTableTwoColumns(R153, _xlfn.IFS(R153="Urea", IF(#REF!="", "Global",#REF!), R153="Ammonia", IF(#REF!="", "Global",#REF!), TRUE, "Global"), Table_SourceData_Scope3_InorganicFertiliser[Chemical compound],Table_SourceData_Scope3_InorganicFertiliser[Region of origin],Table_SourceData_Scope3_InorganicFertiliser[AusLCI Emissions intensity]), IF(_xlpm.result="", 0, _xlpm.result))</f>
        <v>0</v>
      </c>
      <c r="V153" s="50">
        <v>0</v>
      </c>
      <c r="W153" s="50">
        <v>0</v>
      </c>
      <c r="X153" s="50">
        <v>0</v>
      </c>
      <c r="Y153" s="50" cm="1">
        <f t="array" ref="Y153">_xlfn.LET(_xlpm.result, Common_InputFunctions.Utility_LookupValueInTableTwoColumns(V153, _xlfn.IFS(V153="Urea", IF(#REF!="", "Global",#REF!), V153="Ammonia", IF(#REF!="", "Global",#REF!), TRUE, "Global"), Table_SourceData_Scope3_InorganicFertiliser[Chemical compound],Table_SourceData_Scope3_InorganicFertiliser[Region of origin],Table_SourceData_Scope3_InorganicFertiliser[AusLCI Emissions intensity]), IF(_xlpm.result="", 0, _xlpm.result))</f>
        <v>0</v>
      </c>
    </row>
    <row r="154" spans="4:25" ht="20.100000000000001" customHeight="1" x14ac:dyDescent="0.25">
      <c r="D154" s="50">
        <v>0</v>
      </c>
      <c r="E154" s="50">
        <v>500</v>
      </c>
      <c r="F154" s="50">
        <f>IFERROR((L154*M154)+(P154*Q154)+(T154*U154)+(X154*Y154), 0)</f>
        <v>0.311</v>
      </c>
      <c r="G154" s="168">
        <f t="shared" si="17"/>
        <v>155.5</v>
      </c>
      <c r="H154" s="69"/>
      <c r="I154" s="168">
        <f t="shared" si="18"/>
        <v>155.5</v>
      </c>
      <c r="J154" s="50" t="str">
        <v>Pasture hay</v>
      </c>
      <c r="K154" s="50" t="str">
        <v>NSW</v>
      </c>
      <c r="L154" s="50">
        <v>1</v>
      </c>
      <c r="M154" s="50" cm="1">
        <f t="array" ref="M154">_xlfn.LET(_xlpm.result, Common_InputFunctions.Utility_LookupValueInTableTwoColumns(J154, K154, Table_SourceData_Scope3_Feed[Product], Table_SourceData_Scope3_Feed[Region of origin], Table_SourceData_Scope3_Feed[AusLCI Emissions intensity]), IF(_xlpm.result="", 0, _xlpm.result))</f>
        <v>0.311</v>
      </c>
      <c r="N154" s="50">
        <v>0</v>
      </c>
      <c r="O154" s="50">
        <v>0</v>
      </c>
      <c r="P154" s="50">
        <v>0</v>
      </c>
      <c r="Q154" s="50" cm="1">
        <f t="array" ref="Q154">_xlfn.LET(_xlpm.result, Common_InputFunctions.Utility_LookupValueInTableTwoColumns(N154, _xlfn.IFS(N154="Urea", IF(#REF!="", "Global",#REF!), N154="Ammonia", IF(#REF!="", "Global",#REF!), TRUE, "Global"), Table_SourceData_Scope3_InorganicFertiliser[Chemical compound],Table_SourceData_Scope3_InorganicFertiliser[Region of origin],Table_SourceData_Scope3_InorganicFertiliser[AusLCI Emissions intensity]), IF(_xlpm.result="", 0, _xlpm.result))</f>
        <v>0</v>
      </c>
      <c r="R154" s="50">
        <v>0</v>
      </c>
      <c r="S154" s="50">
        <v>0</v>
      </c>
      <c r="T154" s="50">
        <v>0</v>
      </c>
      <c r="U154" s="50" cm="1">
        <f t="array" ref="U154">_xlfn.LET(_xlpm.result, Common_InputFunctions.Utility_LookupValueInTableTwoColumns(R154, _xlfn.IFS(R154="Urea", IF(#REF!="", "Global",#REF!), R154="Ammonia", IF(#REF!="", "Global",#REF!), TRUE, "Global"), Table_SourceData_Scope3_InorganicFertiliser[Chemical compound],Table_SourceData_Scope3_InorganicFertiliser[Region of origin],Table_SourceData_Scope3_InorganicFertiliser[AusLCI Emissions intensity]), IF(_xlpm.result="", 0, _xlpm.result))</f>
        <v>0</v>
      </c>
      <c r="V154" s="50">
        <v>0</v>
      </c>
      <c r="W154" s="50">
        <v>0</v>
      </c>
      <c r="X154" s="50">
        <v>0</v>
      </c>
      <c r="Y154" s="50" cm="1">
        <f t="array" ref="Y154">_xlfn.LET(_xlpm.result, Common_InputFunctions.Utility_LookupValueInTableTwoColumns(V154, _xlfn.IFS(V154="Urea", IF(#REF!="", "Global",#REF!), V154="Ammonia", IF(#REF!="", "Global",#REF!), TRUE, "Global"), Table_SourceData_Scope3_InorganicFertiliser[Chemical compound],Table_SourceData_Scope3_InorganicFertiliser[Region of origin],Table_SourceData_Scope3_InorganicFertiliser[AusLCI Emissions intensity]), IF(_xlpm.result="", 0, _xlpm.result))</f>
        <v>0</v>
      </c>
    </row>
    <row r="155" spans="4:25" ht="20.100000000000001" customHeight="1" x14ac:dyDescent="0.25">
      <c r="D155" s="50" t="str">
        <v/>
      </c>
      <c r="E155" s="50" t="str">
        <v/>
      </c>
      <c r="F155" s="50">
        <f t="shared" si="16"/>
        <v>0</v>
      </c>
      <c r="G155" s="168">
        <f t="shared" si="17"/>
        <v>0</v>
      </c>
      <c r="H155" s="69"/>
      <c r="I155" s="168">
        <f t="shared" si="18"/>
        <v>0</v>
      </c>
      <c r="J155" s="50" t="str">
        <v/>
      </c>
      <c r="K155" s="50" t="str">
        <v/>
      </c>
      <c r="L155" s="50" t="str">
        <v/>
      </c>
      <c r="M155" s="50" cm="1">
        <f t="array" ref="M155">_xlfn.LET(_xlpm.result, Common_InputFunctions.Utility_LookupValueInTableTwoColumns(J155, K155, Table_SourceData_Scope3_Feed[Product], Table_SourceData_Scope3_Feed[Region of origin], Table_SourceData_Scope3_Feed[AusLCI Emissions intensity]), IF(_xlpm.result="", 0, _xlpm.result))</f>
        <v>0</v>
      </c>
      <c r="N155" s="50" t="str">
        <v/>
      </c>
      <c r="O155" s="50" t="str">
        <v/>
      </c>
      <c r="P155" s="50" t="str">
        <v/>
      </c>
      <c r="Q155" s="50" cm="1">
        <f t="array" ref="Q155">_xlfn.LET(_xlpm.result, Common_InputFunctions.Utility_LookupValueInTableTwoColumns(N155, _xlfn.IFS(N155="Urea", IF(#REF!="", "Global",#REF!), N155="Ammonia", IF(#REF!="", "Global",#REF!), TRUE, "Global"), Table_SourceData_Scope3_InorganicFertiliser[Chemical compound],Table_SourceData_Scope3_InorganicFertiliser[Region of origin],Table_SourceData_Scope3_InorganicFertiliser[AusLCI Emissions intensity]), IF(_xlpm.result="", 0, _xlpm.result))</f>
        <v>0</v>
      </c>
      <c r="R155" s="50" t="str">
        <v/>
      </c>
      <c r="S155" s="50" t="str">
        <v/>
      </c>
      <c r="T155" s="50" t="str">
        <v/>
      </c>
      <c r="U155" s="50" cm="1">
        <f t="array" ref="U155">_xlfn.LET(_xlpm.result, Common_InputFunctions.Utility_LookupValueInTableTwoColumns(R155, _xlfn.IFS(R155="Urea", IF(#REF!="", "Global",#REF!), R155="Ammonia", IF(#REF!="", "Global",#REF!), TRUE, "Global"), Table_SourceData_Scope3_InorganicFertiliser[Chemical compound],Table_SourceData_Scope3_InorganicFertiliser[Region of origin],Table_SourceData_Scope3_InorganicFertiliser[AusLCI Emissions intensity]), IF(_xlpm.result="", 0, _xlpm.result))</f>
        <v>0</v>
      </c>
      <c r="V155" s="50" t="str">
        <v/>
      </c>
      <c r="W155" s="50" t="str">
        <v/>
      </c>
      <c r="X155" s="50" t="str">
        <v/>
      </c>
      <c r="Y155" s="50" cm="1">
        <f t="array" ref="Y155">_xlfn.LET(_xlpm.result, Common_InputFunctions.Utility_LookupValueInTableTwoColumns(V155, _xlfn.IFS(V155="Urea", IF(#REF!="", "Global",#REF!), V155="Ammonia", IF(#REF!="", "Global",#REF!), TRUE, "Global"), Table_SourceData_Scope3_InorganicFertiliser[Chemical compound],Table_SourceData_Scope3_InorganicFertiliser[Region of origin],Table_SourceData_Scope3_InorganicFertiliser[AusLCI Emissions intensity]), IF(_xlpm.result="", 0, _xlpm.result))</f>
        <v>0</v>
      </c>
    </row>
    <row r="156" spans="4:25" ht="20.100000000000001" customHeight="1" x14ac:dyDescent="0.25">
      <c r="D156" s="50" t="str">
        <v/>
      </c>
      <c r="E156" s="50" t="str">
        <v/>
      </c>
      <c r="F156" s="50">
        <f t="shared" si="16"/>
        <v>0</v>
      </c>
      <c r="G156" s="168">
        <f t="shared" si="17"/>
        <v>0</v>
      </c>
      <c r="H156" s="69"/>
      <c r="I156" s="168">
        <f t="shared" si="18"/>
        <v>0</v>
      </c>
      <c r="J156" s="50" t="str">
        <v/>
      </c>
      <c r="K156" s="50" t="str">
        <v/>
      </c>
      <c r="L156" s="50" t="str">
        <v/>
      </c>
      <c r="M156" s="50" cm="1">
        <f t="array" ref="M156">_xlfn.LET(_xlpm.result, Common_InputFunctions.Utility_LookupValueInTableTwoColumns(J156, K156, Table_SourceData_Scope3_Feed[Product], Table_SourceData_Scope3_Feed[Region of origin], Table_SourceData_Scope3_Feed[AusLCI Emissions intensity]), IF(_xlpm.result="", 0, _xlpm.result))</f>
        <v>0</v>
      </c>
      <c r="N156" s="50" t="str">
        <v/>
      </c>
      <c r="O156" s="50" t="str">
        <v/>
      </c>
      <c r="P156" s="50" t="str">
        <v/>
      </c>
      <c r="Q156" s="50" cm="1">
        <f t="array" ref="Q156">_xlfn.LET(_xlpm.result, Common_InputFunctions.Utility_LookupValueInTableTwoColumns(N156, _xlfn.IFS(N156="Urea", IF(#REF!="", "Global",#REF!), N156="Ammonia", IF(#REF!="", "Global",#REF!), TRUE, "Global"), Table_SourceData_Scope3_InorganicFertiliser[Chemical compound],Table_SourceData_Scope3_InorganicFertiliser[Region of origin],Table_SourceData_Scope3_InorganicFertiliser[AusLCI Emissions intensity]), IF(_xlpm.result="", 0, _xlpm.result))</f>
        <v>0</v>
      </c>
      <c r="R156" s="50" t="str">
        <v/>
      </c>
      <c r="S156" s="50" t="str">
        <v/>
      </c>
      <c r="T156" s="50" t="str">
        <v/>
      </c>
      <c r="U156" s="50" cm="1">
        <f t="array" ref="U156">_xlfn.LET(_xlpm.result, Common_InputFunctions.Utility_LookupValueInTableTwoColumns(R156, _xlfn.IFS(R156="Urea", IF(#REF!="", "Global",#REF!), R156="Ammonia", IF(#REF!="", "Global",#REF!), TRUE, "Global"), Table_SourceData_Scope3_InorganicFertiliser[Chemical compound],Table_SourceData_Scope3_InorganicFertiliser[Region of origin],Table_SourceData_Scope3_InorganicFertiliser[AusLCI Emissions intensity]), IF(_xlpm.result="", 0, _xlpm.result))</f>
        <v>0</v>
      </c>
      <c r="V156" s="50" t="str">
        <v/>
      </c>
      <c r="W156" s="50" t="str">
        <v/>
      </c>
      <c r="X156" s="50" t="str">
        <v/>
      </c>
      <c r="Y156" s="50" cm="1">
        <f t="array" ref="Y156">_xlfn.LET(_xlpm.result, Common_InputFunctions.Utility_LookupValueInTableTwoColumns(V156, _xlfn.IFS(V156="Urea", IF(#REF!="", "Global",#REF!), V156="Ammonia", IF(#REF!="", "Global",#REF!), TRUE, "Global"), Table_SourceData_Scope3_InorganicFertiliser[Chemical compound],Table_SourceData_Scope3_InorganicFertiliser[Region of origin],Table_SourceData_Scope3_InorganicFertiliser[AusLCI Emissions intensity]), IF(_xlpm.result="", 0, _xlpm.result))</f>
        <v>0</v>
      </c>
    </row>
    <row r="157" spans="4:25" ht="20.100000000000001" customHeight="1" x14ac:dyDescent="0.25">
      <c r="D157" s="50" t="str">
        <v/>
      </c>
      <c r="E157" s="50" t="str">
        <v/>
      </c>
      <c r="F157" s="50">
        <f t="shared" si="16"/>
        <v>0</v>
      </c>
      <c r="G157" s="168">
        <f t="shared" si="17"/>
        <v>0</v>
      </c>
      <c r="H157" s="69"/>
      <c r="I157" s="168">
        <f t="shared" si="18"/>
        <v>0</v>
      </c>
      <c r="J157" s="50" t="str">
        <v/>
      </c>
      <c r="K157" s="50" t="str">
        <v/>
      </c>
      <c r="L157" s="50" t="str">
        <v/>
      </c>
      <c r="M157" s="50" cm="1">
        <f t="array" ref="M157">_xlfn.LET(_xlpm.result, Common_InputFunctions.Utility_LookupValueInTableTwoColumns(J157, K157, Table_SourceData_Scope3_Feed[Product], Table_SourceData_Scope3_Feed[Region of origin], Table_SourceData_Scope3_Feed[AusLCI Emissions intensity]), IF(_xlpm.result="", 0, _xlpm.result))</f>
        <v>0</v>
      </c>
      <c r="N157" s="50" t="str">
        <v/>
      </c>
      <c r="O157" s="50" t="str">
        <v/>
      </c>
      <c r="P157" s="50" t="str">
        <v/>
      </c>
      <c r="Q157" s="50" cm="1">
        <f t="array" ref="Q157">_xlfn.LET(_xlpm.result, Common_InputFunctions.Utility_LookupValueInTableTwoColumns(N157, _xlfn.IFS(N157="Urea", IF(#REF!="", "Global",#REF!), N157="Ammonia", IF(#REF!="", "Global",#REF!), TRUE, "Global"), Table_SourceData_Scope3_InorganicFertiliser[Chemical compound],Table_SourceData_Scope3_InorganicFertiliser[Region of origin],Table_SourceData_Scope3_InorganicFertiliser[AusLCI Emissions intensity]), IF(_xlpm.result="", 0, _xlpm.result))</f>
        <v>0</v>
      </c>
      <c r="R157" s="50" t="str">
        <v/>
      </c>
      <c r="S157" s="50" t="str">
        <v/>
      </c>
      <c r="T157" s="50" t="str">
        <v/>
      </c>
      <c r="U157" s="50" cm="1">
        <f t="array" ref="U157">_xlfn.LET(_xlpm.result, Common_InputFunctions.Utility_LookupValueInTableTwoColumns(R157, _xlfn.IFS(R157="Urea", IF(#REF!="", "Global",#REF!), R157="Ammonia", IF(#REF!="", "Global",#REF!), TRUE, "Global"), Table_SourceData_Scope3_InorganicFertiliser[Chemical compound],Table_SourceData_Scope3_InorganicFertiliser[Region of origin],Table_SourceData_Scope3_InorganicFertiliser[AusLCI Emissions intensity]), IF(_xlpm.result="", 0, _xlpm.result))</f>
        <v>0</v>
      </c>
      <c r="V157" s="50" t="str">
        <v/>
      </c>
      <c r="W157" s="50" t="str">
        <v/>
      </c>
      <c r="X157" s="50" t="str">
        <v/>
      </c>
      <c r="Y157" s="50" cm="1">
        <f t="array" ref="Y157">_xlfn.LET(_xlpm.result, Common_InputFunctions.Utility_LookupValueInTableTwoColumns(V157, _xlfn.IFS(V157="Urea", IF(#REF!="", "Global",#REF!), V157="Ammonia", IF(#REF!="", "Global",#REF!), TRUE, "Global"), Table_SourceData_Scope3_InorganicFertiliser[Chemical compound],Table_SourceData_Scope3_InorganicFertiliser[Region of origin],Table_SourceData_Scope3_InorganicFertiliser[AusLCI Emissions intensity]), IF(_xlpm.result="", 0, _xlpm.result))</f>
        <v>0</v>
      </c>
    </row>
    <row r="158" spans="4:25" ht="20.100000000000001" customHeight="1" x14ac:dyDescent="0.25">
      <c r="D158" s="50" t="str">
        <v/>
      </c>
      <c r="E158" s="50" t="str">
        <v/>
      </c>
      <c r="F158" s="50">
        <f t="shared" si="16"/>
        <v>0</v>
      </c>
      <c r="G158" s="168">
        <f t="shared" si="17"/>
        <v>0</v>
      </c>
      <c r="H158" s="69"/>
      <c r="I158" s="168">
        <f t="shared" si="18"/>
        <v>0</v>
      </c>
      <c r="J158" s="50" t="str">
        <v/>
      </c>
      <c r="K158" s="50" t="str">
        <v/>
      </c>
      <c r="L158" s="50" t="str">
        <v/>
      </c>
      <c r="M158" s="50" cm="1">
        <f t="array" ref="M158">_xlfn.LET(_xlpm.result, Common_InputFunctions.Utility_LookupValueInTableTwoColumns(J158, K158, Table_SourceData_Scope3_Feed[Product], Table_SourceData_Scope3_Feed[Region of origin], Table_SourceData_Scope3_Feed[AusLCI Emissions intensity]), IF(_xlpm.result="", 0, _xlpm.result))</f>
        <v>0</v>
      </c>
      <c r="N158" s="50" t="str">
        <v/>
      </c>
      <c r="O158" s="50" t="str">
        <v/>
      </c>
      <c r="P158" s="50" t="str">
        <v/>
      </c>
      <c r="Q158" s="50" cm="1">
        <f t="array" ref="Q158">_xlfn.LET(_xlpm.result, Common_InputFunctions.Utility_LookupValueInTableTwoColumns(N158, _xlfn.IFS(N158="Urea", IF(#REF!="", "Global",#REF!), N158="Ammonia", IF(#REF!="", "Global",#REF!), TRUE, "Global"), Table_SourceData_Scope3_InorganicFertiliser[Chemical compound],Table_SourceData_Scope3_InorganicFertiliser[Region of origin],Table_SourceData_Scope3_InorganicFertiliser[AusLCI Emissions intensity]), IF(_xlpm.result="", 0, _xlpm.result))</f>
        <v>0</v>
      </c>
      <c r="R158" s="50" t="str">
        <v/>
      </c>
      <c r="S158" s="50" t="str">
        <v/>
      </c>
      <c r="T158" s="50" t="str">
        <v/>
      </c>
      <c r="U158" s="50" cm="1">
        <f t="array" ref="U158">_xlfn.LET(_xlpm.result, Common_InputFunctions.Utility_LookupValueInTableTwoColumns(R158, _xlfn.IFS(R158="Urea", IF(#REF!="", "Global",#REF!), R158="Ammonia", IF(#REF!="", "Global",#REF!), TRUE, "Global"), Table_SourceData_Scope3_InorganicFertiliser[Chemical compound],Table_SourceData_Scope3_InorganicFertiliser[Region of origin],Table_SourceData_Scope3_InorganicFertiliser[AusLCI Emissions intensity]), IF(_xlpm.result="", 0, _xlpm.result))</f>
        <v>0</v>
      </c>
      <c r="V158" s="50" t="str">
        <v/>
      </c>
      <c r="W158" s="50" t="str">
        <v/>
      </c>
      <c r="X158" s="50" t="str">
        <v/>
      </c>
      <c r="Y158" s="50" cm="1">
        <f t="array" ref="Y158">_xlfn.LET(_xlpm.result, Common_InputFunctions.Utility_LookupValueInTableTwoColumns(V158, _xlfn.IFS(V158="Urea", IF(#REF!="", "Global",#REF!), V158="Ammonia", IF(#REF!="", "Global",#REF!), TRUE, "Global"), Table_SourceData_Scope3_InorganicFertiliser[Chemical compound],Table_SourceData_Scope3_InorganicFertiliser[Region of origin],Table_SourceData_Scope3_InorganicFertiliser[AusLCI Emissions intensity]), IF(_xlpm.result="", 0, _xlpm.result))</f>
        <v>0</v>
      </c>
    </row>
    <row r="159" spans="4:25" ht="20.100000000000001" customHeight="1" x14ac:dyDescent="0.25">
      <c r="D159" s="50" t="str">
        <v/>
      </c>
      <c r="E159" s="50" t="str">
        <v/>
      </c>
      <c r="F159" s="50">
        <f t="shared" si="16"/>
        <v>0</v>
      </c>
      <c r="G159" s="168">
        <f t="shared" si="17"/>
        <v>0</v>
      </c>
      <c r="H159" s="69"/>
      <c r="I159" s="168">
        <f t="shared" si="18"/>
        <v>0</v>
      </c>
      <c r="J159" s="50" t="str">
        <v/>
      </c>
      <c r="K159" s="50" t="str">
        <v/>
      </c>
      <c r="L159" s="50" t="str">
        <v/>
      </c>
      <c r="M159" s="50" cm="1">
        <f t="array" ref="M159">_xlfn.LET(_xlpm.result, Common_InputFunctions.Utility_LookupValueInTableTwoColumns(J159, K159, Table_SourceData_Scope3_Feed[Product], Table_SourceData_Scope3_Feed[Region of origin], Table_SourceData_Scope3_Feed[AusLCI Emissions intensity]), IF(_xlpm.result="", 0, _xlpm.result))</f>
        <v>0</v>
      </c>
      <c r="N159" s="50" t="str">
        <v/>
      </c>
      <c r="O159" s="50" t="str">
        <v/>
      </c>
      <c r="P159" s="50" t="str">
        <v/>
      </c>
      <c r="Q159" s="50" cm="1">
        <f t="array" ref="Q159">_xlfn.LET(_xlpm.result, Common_InputFunctions.Utility_LookupValueInTableTwoColumns(N159, _xlfn.IFS(N159="Urea", IF(#REF!="", "Global",#REF!), N159="Ammonia", IF(#REF!="", "Global",#REF!), TRUE, "Global"), Table_SourceData_Scope3_InorganicFertiliser[Chemical compound],Table_SourceData_Scope3_InorganicFertiliser[Region of origin],Table_SourceData_Scope3_InorganicFertiliser[AusLCI Emissions intensity]), IF(_xlpm.result="", 0, _xlpm.result))</f>
        <v>0</v>
      </c>
      <c r="R159" s="50" t="str">
        <v/>
      </c>
      <c r="S159" s="50" t="str">
        <v/>
      </c>
      <c r="T159" s="50" t="str">
        <v/>
      </c>
      <c r="U159" s="50" cm="1">
        <f t="array" ref="U159">_xlfn.LET(_xlpm.result, Common_InputFunctions.Utility_LookupValueInTableTwoColumns(R159, _xlfn.IFS(R159="Urea", IF(#REF!="", "Global",#REF!), R159="Ammonia", IF(#REF!="", "Global",#REF!), TRUE, "Global"), Table_SourceData_Scope3_InorganicFertiliser[Chemical compound],Table_SourceData_Scope3_InorganicFertiliser[Region of origin],Table_SourceData_Scope3_InorganicFertiliser[AusLCI Emissions intensity]), IF(_xlpm.result="", 0, _xlpm.result))</f>
        <v>0</v>
      </c>
      <c r="V159" s="50" t="str">
        <v/>
      </c>
      <c r="W159" s="50" t="str">
        <v/>
      </c>
      <c r="X159" s="50" t="str">
        <v/>
      </c>
      <c r="Y159" s="50" cm="1">
        <f t="array" ref="Y159">_xlfn.LET(_xlpm.result, Common_InputFunctions.Utility_LookupValueInTableTwoColumns(V159, _xlfn.IFS(V159="Urea", IF(#REF!="", "Global",#REF!), V159="Ammonia", IF(#REF!="", "Global",#REF!), TRUE, "Global"), Table_SourceData_Scope3_InorganicFertiliser[Chemical compound],Table_SourceData_Scope3_InorganicFertiliser[Region of origin],Table_SourceData_Scope3_InorganicFertiliser[AusLCI Emissions intensity]), IF(_xlpm.result="", 0, _xlpm.result))</f>
        <v>0</v>
      </c>
    </row>
    <row r="160" spans="4:25" ht="20.100000000000001" customHeight="1" x14ac:dyDescent="0.25">
      <c r="D160" s="50" t="str">
        <v/>
      </c>
      <c r="E160" s="50" t="str">
        <v/>
      </c>
      <c r="F160" s="50">
        <f t="shared" si="16"/>
        <v>0</v>
      </c>
      <c r="G160" s="168">
        <f t="shared" si="17"/>
        <v>0</v>
      </c>
      <c r="H160" s="69"/>
      <c r="I160" s="168">
        <f t="shared" si="18"/>
        <v>0</v>
      </c>
      <c r="J160" s="50" t="str">
        <v/>
      </c>
      <c r="K160" s="50" t="str">
        <v/>
      </c>
      <c r="L160" s="50" t="str">
        <v/>
      </c>
      <c r="M160" s="50" cm="1">
        <f t="array" ref="M160">_xlfn.LET(_xlpm.result, Common_InputFunctions.Utility_LookupValueInTableTwoColumns(J160, K160, Table_SourceData_Scope3_Feed[Product], Table_SourceData_Scope3_Feed[Region of origin], Table_SourceData_Scope3_Feed[AusLCI Emissions intensity]), IF(_xlpm.result="", 0, _xlpm.result))</f>
        <v>0</v>
      </c>
      <c r="N160" s="50" t="str">
        <v/>
      </c>
      <c r="O160" s="50" t="str">
        <v/>
      </c>
      <c r="P160" s="50" t="str">
        <v/>
      </c>
      <c r="Q160" s="50" cm="1">
        <f t="array" ref="Q160">_xlfn.LET(_xlpm.result, Common_InputFunctions.Utility_LookupValueInTableTwoColumns(N160, _xlfn.IFS(N160="Urea", IF(#REF!="", "Global",#REF!), N160="Ammonia", IF(#REF!="", "Global",#REF!), TRUE, "Global"), Table_SourceData_Scope3_InorganicFertiliser[Chemical compound],Table_SourceData_Scope3_InorganicFertiliser[Region of origin],Table_SourceData_Scope3_InorganicFertiliser[AusLCI Emissions intensity]), IF(_xlpm.result="", 0, _xlpm.result))</f>
        <v>0</v>
      </c>
      <c r="R160" s="50" t="str">
        <v/>
      </c>
      <c r="S160" s="50" t="str">
        <v/>
      </c>
      <c r="T160" s="50" t="str">
        <v/>
      </c>
      <c r="U160" s="50" cm="1">
        <f t="array" ref="U160">_xlfn.LET(_xlpm.result, Common_InputFunctions.Utility_LookupValueInTableTwoColumns(R160, _xlfn.IFS(R160="Urea", IF(#REF!="", "Global",#REF!), R160="Ammonia", IF(#REF!="", "Global",#REF!), TRUE, "Global"), Table_SourceData_Scope3_InorganicFertiliser[Chemical compound],Table_SourceData_Scope3_InorganicFertiliser[Region of origin],Table_SourceData_Scope3_InorganicFertiliser[AusLCI Emissions intensity]), IF(_xlpm.result="", 0, _xlpm.result))</f>
        <v>0</v>
      </c>
      <c r="V160" s="50" t="str">
        <v/>
      </c>
      <c r="W160" s="50" t="str">
        <v/>
      </c>
      <c r="X160" s="50" t="str">
        <v/>
      </c>
      <c r="Y160" s="50" cm="1">
        <f t="array" ref="Y160">_xlfn.LET(_xlpm.result, Common_InputFunctions.Utility_LookupValueInTableTwoColumns(V160, _xlfn.IFS(V160="Urea", IF(#REF!="", "Global",#REF!), V160="Ammonia", IF(#REF!="", "Global",#REF!), TRUE, "Global"), Table_SourceData_Scope3_InorganicFertiliser[Chemical compound],Table_SourceData_Scope3_InorganicFertiliser[Region of origin],Table_SourceData_Scope3_InorganicFertiliser[AusLCI Emissions intensity]), IF(_xlpm.result="", 0, _xlpm.result))</f>
        <v>0</v>
      </c>
    </row>
    <row r="161" spans="4:9" ht="20.100000000000001" customHeight="1" x14ac:dyDescent="0.25"/>
    <row r="162" spans="4:9" ht="20.100000000000001" customHeight="1" x14ac:dyDescent="0.25"/>
    <row r="163" spans="4:9" ht="20.100000000000001" customHeight="1" x14ac:dyDescent="0.25">
      <c r="D163" s="9" t="s">
        <v>320</v>
      </c>
    </row>
    <row r="164" spans="4:9" ht="20.100000000000001" customHeight="1" x14ac:dyDescent="0.25">
      <c r="D164" s="47" t="s">
        <v>221</v>
      </c>
      <c r="E164" s="47" t="s">
        <v>391</v>
      </c>
      <c r="F164" s="60" t="s">
        <v>390</v>
      </c>
      <c r="G164" s="60" t="s">
        <v>387</v>
      </c>
      <c r="H164" s="47" t="s">
        <v>393</v>
      </c>
      <c r="I164" s="60" t="s">
        <v>388</v>
      </c>
    </row>
    <row r="165" spans="4:9" ht="20.100000000000001" customHeight="1" x14ac:dyDescent="0.25">
      <c r="D165" s="50" t="str">
        <f>'Input - Feed'!D8</f>
        <v>Lick block, dry season mix</v>
      </c>
      <c r="E165" s="50">
        <f>'Input - Feed'!E8</f>
        <v>100</v>
      </c>
      <c r="F165" s="50" cm="1">
        <f t="array" ref="F165">Common_InputFunctions.Utility_LookupValueInTableNumber(D165,Table_SourceData_Scope3_LickBlocks[Product],Table_SourceData_Scope3_LickBlocks[AusLCI Emissions intensity])</f>
        <v>0.88100000000000001</v>
      </c>
      <c r="G165" s="168">
        <f t="shared" ref="G165:G167" si="19">IFERROR(F165*E165, 0)</f>
        <v>88.1</v>
      </c>
      <c r="H165" s="69">
        <v>0.8</v>
      </c>
      <c r="I165" s="168">
        <f>IFERROR(IF(H165, E165*H165, E165*F165),0)</f>
        <v>80</v>
      </c>
    </row>
    <row r="166" spans="4:9" ht="20.100000000000001" customHeight="1" x14ac:dyDescent="0.25">
      <c r="D166" s="50" t="str">
        <f>'Input - Feed'!D9</f>
        <v>Lick block, mineral</v>
      </c>
      <c r="E166" s="50">
        <f>'Input - Feed'!E9</f>
        <v>100</v>
      </c>
      <c r="F166" s="50" cm="1">
        <f t="array" ref="F166">Common_InputFunctions.Utility_LookupValueInTableNumber(D166,Table_SourceData_Scope3_LickBlocks[Product],Table_SourceData_Scope3_LickBlocks[AusLCI Emissions intensity])</f>
        <v>0.67700000000000005</v>
      </c>
      <c r="G166" s="168">
        <f t="shared" si="19"/>
        <v>67.7</v>
      </c>
      <c r="H166" s="69">
        <v>0.6</v>
      </c>
      <c r="I166" s="168">
        <f t="shared" ref="I166:I167" si="20">IFERROR(IF(H166, E166*H166, E166*F166),0)</f>
        <v>60</v>
      </c>
    </row>
    <row r="167" spans="4:9" ht="20.100000000000001" customHeight="1" x14ac:dyDescent="0.25">
      <c r="D167" s="50" t="str">
        <f>'Input - Feed'!D10</f>
        <v>Lick block, weaner</v>
      </c>
      <c r="E167" s="50">
        <f>'Input - Feed'!E10</f>
        <v>100</v>
      </c>
      <c r="F167" s="50" cm="1">
        <f t="array" ref="F167">Common_InputFunctions.Utility_LookupValueInTableNumber(D167,Table_SourceData_Scope3_LickBlocks[Product],Table_SourceData_Scope3_LickBlocks[AusLCI Emissions intensity])</f>
        <v>0.23100000000000001</v>
      </c>
      <c r="G167" s="168">
        <f t="shared" si="19"/>
        <v>23.1</v>
      </c>
      <c r="H167" s="69">
        <v>0.2</v>
      </c>
      <c r="I167" s="168">
        <f t="shared" si="20"/>
        <v>20</v>
      </c>
    </row>
    <row r="168" spans="4:9" ht="20.100000000000001" customHeight="1" x14ac:dyDescent="0.25"/>
    <row r="169" spans="4:9" ht="20.100000000000001" customHeight="1" x14ac:dyDescent="0.25"/>
    <row r="170" spans="4:9" ht="20.100000000000001" customHeight="1" x14ac:dyDescent="0.25">
      <c r="D170" s="9" t="s">
        <v>440</v>
      </c>
    </row>
    <row r="171" spans="4:9" ht="20.100000000000001" customHeight="1" x14ac:dyDescent="0.25">
      <c r="D171" s="47" t="s">
        <v>221</v>
      </c>
      <c r="E171" s="47" t="s">
        <v>391</v>
      </c>
      <c r="F171" s="60" t="s">
        <v>390</v>
      </c>
      <c r="G171" s="60" t="s">
        <v>387</v>
      </c>
      <c r="H171" s="47" t="s">
        <v>393</v>
      </c>
      <c r="I171" s="60" t="s">
        <v>388</v>
      </c>
    </row>
    <row r="172" spans="4:9" ht="20.100000000000001" customHeight="1" x14ac:dyDescent="0.25">
      <c r="D172" s="50" t="str">
        <f>'Input - Feed'!D24</f>
        <v>Feed for chickens</v>
      </c>
      <c r="E172" s="50">
        <f>'Input - Feed'!E24</f>
        <v>100</v>
      </c>
      <c r="F172" s="50" cm="1">
        <f t="array" ref="F172">Common_InputFunctions.Utility_LookupValueInTableNumber(D172,Table_SourceData_Scope3_MixedRations[Product],Table_SourceData_Scope3_MixedRations[AusLCI Emissions intensity])</f>
        <v>0.59399999999999997</v>
      </c>
      <c r="G172" s="168">
        <f t="shared" ref="G172:G175" si="21">IFERROR(F172*E172, 0)</f>
        <v>59.4</v>
      </c>
      <c r="H172" s="69">
        <v>0.5</v>
      </c>
      <c r="I172" s="168">
        <f>IFERROR(IF(H172, E172*H172, E172*F172),0)</f>
        <v>50</v>
      </c>
    </row>
    <row r="173" spans="4:9" ht="20.100000000000001" customHeight="1" x14ac:dyDescent="0.25">
      <c r="D173" s="50" t="str">
        <f>'Input - Feed'!D25</f>
        <v>Feed for dairy calves</v>
      </c>
      <c r="E173" s="50">
        <f>'Input - Feed'!E25</f>
        <v>100</v>
      </c>
      <c r="F173" s="50" cm="1">
        <f t="array" ref="F173">Common_InputFunctions.Utility_LookupValueInTableNumber(D173,Table_SourceData_Scope3_MixedRations[Product],Table_SourceData_Scope3_MixedRations[AusLCI Emissions intensity])</f>
        <v>0.41899999999999998</v>
      </c>
      <c r="G173" s="168">
        <f t="shared" si="21"/>
        <v>41.9</v>
      </c>
      <c r="H173" s="69">
        <v>0.4</v>
      </c>
      <c r="I173" s="168">
        <f t="shared" ref="I173:I175" si="22">IFERROR(IF(H173, E173*H173, E173*F173),0)</f>
        <v>40</v>
      </c>
    </row>
    <row r="174" spans="4:9" ht="20.100000000000001" customHeight="1" x14ac:dyDescent="0.25">
      <c r="D174" s="50" t="str">
        <f>'Input - Feed'!D26</f>
        <v>Feed for dairy cows</v>
      </c>
      <c r="E174" s="50">
        <f>'Input - Feed'!E26</f>
        <v>100</v>
      </c>
      <c r="F174" s="50" cm="1">
        <f t="array" ref="F174">Common_InputFunctions.Utility_LookupValueInTableNumber(D174,Table_SourceData_Scope3_MixedRations[Product],Table_SourceData_Scope3_MixedRations[AusLCI Emissions intensity])</f>
        <v>0.33300000000000002</v>
      </c>
      <c r="G174" s="168">
        <f t="shared" si="21"/>
        <v>33.300000000000004</v>
      </c>
      <c r="H174" s="69">
        <v>0.3</v>
      </c>
      <c r="I174" s="168">
        <f t="shared" si="22"/>
        <v>30</v>
      </c>
    </row>
    <row r="175" spans="4:9" ht="20.100000000000001" customHeight="1" x14ac:dyDescent="0.25">
      <c r="D175" s="50" t="str">
        <f>'Input - Feed'!D27</f>
        <v>Feed for pigs</v>
      </c>
      <c r="E175" s="50">
        <f>'Input - Feed'!E27</f>
        <v>100</v>
      </c>
      <c r="F175" s="50" cm="1">
        <f t="array" ref="F175">Common_InputFunctions.Utility_LookupValueInTableNumber(D175,Table_SourceData_Scope3_MixedRations[Product],Table_SourceData_Scope3_MixedRations[AusLCI Emissions intensity])</f>
        <v>0.40300000000000002</v>
      </c>
      <c r="G175" s="168">
        <f t="shared" si="21"/>
        <v>40.300000000000004</v>
      </c>
      <c r="H175" s="69">
        <v>0.4</v>
      </c>
      <c r="I175" s="168">
        <f t="shared" si="22"/>
        <v>40</v>
      </c>
    </row>
    <row r="176" spans="4:9" ht="20.100000000000001" customHeight="1" x14ac:dyDescent="0.25"/>
    <row r="177" spans="4:10" ht="20.100000000000001" customHeight="1" x14ac:dyDescent="0.25"/>
    <row r="178" spans="4:10" ht="20.100000000000001" customHeight="1" x14ac:dyDescent="0.25">
      <c r="D178" s="9" t="s">
        <v>453</v>
      </c>
      <c r="F178" s="100" t="s">
        <v>454</v>
      </c>
      <c r="G178" s="116"/>
      <c r="H178" s="101"/>
    </row>
    <row r="179" spans="4:10" ht="20.100000000000001" customHeight="1" x14ac:dyDescent="0.25"/>
    <row r="180" spans="4:10" ht="20.100000000000001" customHeight="1" x14ac:dyDescent="0.25">
      <c r="D180" s="47" t="s">
        <v>398</v>
      </c>
      <c r="E180" s="169" t="s">
        <v>448</v>
      </c>
      <c r="F180" s="169" t="s">
        <v>391</v>
      </c>
      <c r="G180" s="60" t="s">
        <v>390</v>
      </c>
      <c r="H180" s="60" t="s">
        <v>387</v>
      </c>
      <c r="I180" s="47" t="s">
        <v>393</v>
      </c>
      <c r="J180" s="60" t="s">
        <v>388</v>
      </c>
    </row>
    <row r="181" spans="4:10" ht="20.100000000000001" customHeight="1" x14ac:dyDescent="0.25">
      <c r="D181" s="50" t="str" cm="1">
        <f t="array" ref="D181:D190">IFERROR(INDEX(Table_Input_Packaging[Packaging name], _xlfn.SEQUENCE(10)), "")</f>
        <v>250g punnet</v>
      </c>
      <c r="E181" s="50" t="str" cm="1">
        <f t="array" ref="E181:E190">IFERROR(INDEX(Table_Input_Packaging[Primary material], _xlfn.SEQUENCE(10)), "")</f>
        <v>Plastic sheet HDPE</v>
      </c>
      <c r="F181" s="50" cm="1">
        <f t="array" ref="F181:F190">IFERROR(INDEX(Table_Input_Packaging[Total weight purchased], _xlfn.SEQUENCE(10)), "")</f>
        <v>2</v>
      </c>
      <c r="G181" s="50" cm="1">
        <f t="array" ref="G181">Common_InputFunctions.Utility_LookupValueInTableNumber(E181,Table_SourceData_Scope3_Packaging[Product],Table_SourceData_Scope3_Packaging[AusLCI Emissions intensity])</f>
        <v>3.72</v>
      </c>
      <c r="H181" s="168">
        <f t="shared" ref="H181:H190" si="23">IFERROR(G181*F181, 0)</f>
        <v>7.44</v>
      </c>
      <c r="I181" s="69">
        <v>3</v>
      </c>
      <c r="J181" s="168">
        <f t="shared" ref="J181:J190" si="24">IFERROR(IF(I181, F181*I181, F181*G181),0)</f>
        <v>6</v>
      </c>
    </row>
    <row r="182" spans="4:10" ht="20.100000000000001" customHeight="1" x14ac:dyDescent="0.25">
      <c r="D182" s="50" t="str">
        <v/>
      </c>
      <c r="E182" s="50" t="str">
        <v/>
      </c>
      <c r="F182" s="50" t="str">
        <v/>
      </c>
      <c r="G182" s="50" cm="1">
        <f t="array" ref="G182">Common_InputFunctions.Utility_LookupValueInTableNumber(E182,Table_SourceData_Scope3_Packaging[Product],Table_SourceData_Scope3_Packaging[AusLCI Emissions intensity])</f>
        <v>0</v>
      </c>
      <c r="H182" s="168">
        <f t="shared" si="23"/>
        <v>0</v>
      </c>
      <c r="I182" s="69"/>
      <c r="J182" s="168">
        <f t="shared" si="24"/>
        <v>0</v>
      </c>
    </row>
    <row r="183" spans="4:10" ht="20.100000000000001" customHeight="1" x14ac:dyDescent="0.25">
      <c r="D183" s="50" t="str">
        <v/>
      </c>
      <c r="E183" s="50" t="str">
        <v/>
      </c>
      <c r="F183" s="50" t="str">
        <v/>
      </c>
      <c r="G183" s="50" cm="1">
        <f t="array" ref="G183">Common_InputFunctions.Utility_LookupValueInTableNumber(E183,Table_SourceData_Scope3_Packaging[Product],Table_SourceData_Scope3_Packaging[AusLCI Emissions intensity])</f>
        <v>0</v>
      </c>
      <c r="H183" s="168">
        <f t="shared" si="23"/>
        <v>0</v>
      </c>
      <c r="I183" s="69"/>
      <c r="J183" s="168">
        <f t="shared" si="24"/>
        <v>0</v>
      </c>
    </row>
    <row r="184" spans="4:10" ht="20.100000000000001" customHeight="1" x14ac:dyDescent="0.25">
      <c r="D184" s="50" t="str">
        <v/>
      </c>
      <c r="E184" s="50" t="str">
        <v/>
      </c>
      <c r="F184" s="50" t="str">
        <v/>
      </c>
      <c r="G184" s="50" cm="1">
        <f t="array" ref="G184">Common_InputFunctions.Utility_LookupValueInTableNumber(E184,Table_SourceData_Scope3_Packaging[Product],Table_SourceData_Scope3_Packaging[AusLCI Emissions intensity])</f>
        <v>0</v>
      </c>
      <c r="H184" s="168">
        <f t="shared" si="23"/>
        <v>0</v>
      </c>
      <c r="I184" s="69"/>
      <c r="J184" s="168">
        <f t="shared" si="24"/>
        <v>0</v>
      </c>
    </row>
    <row r="185" spans="4:10" ht="20.100000000000001" customHeight="1" x14ac:dyDescent="0.25">
      <c r="D185" s="50" t="str">
        <v/>
      </c>
      <c r="E185" s="50" t="str">
        <v/>
      </c>
      <c r="F185" s="50" t="str">
        <v/>
      </c>
      <c r="G185" s="50" cm="1">
        <f t="array" ref="G185">Common_InputFunctions.Utility_LookupValueInTableNumber(E185,Table_SourceData_Scope3_Packaging[Product],Table_SourceData_Scope3_Packaging[AusLCI Emissions intensity])</f>
        <v>0</v>
      </c>
      <c r="H185" s="168">
        <f t="shared" si="23"/>
        <v>0</v>
      </c>
      <c r="I185" s="69"/>
      <c r="J185" s="168">
        <f t="shared" si="24"/>
        <v>0</v>
      </c>
    </row>
    <row r="186" spans="4:10" ht="20.100000000000001" customHeight="1" x14ac:dyDescent="0.25">
      <c r="D186" s="50" t="str">
        <v/>
      </c>
      <c r="E186" s="50" t="str">
        <v/>
      </c>
      <c r="F186" s="50" t="str">
        <v/>
      </c>
      <c r="G186" s="50" cm="1">
        <f t="array" ref="G186">Common_InputFunctions.Utility_LookupValueInTableNumber(E186,Table_SourceData_Scope3_Packaging[Product],Table_SourceData_Scope3_Packaging[AusLCI Emissions intensity])</f>
        <v>0</v>
      </c>
      <c r="H186" s="168">
        <f t="shared" si="23"/>
        <v>0</v>
      </c>
      <c r="I186" s="69"/>
      <c r="J186" s="168">
        <f t="shared" si="24"/>
        <v>0</v>
      </c>
    </row>
    <row r="187" spans="4:10" ht="20.100000000000001" customHeight="1" x14ac:dyDescent="0.25">
      <c r="D187" s="50" t="str">
        <v/>
      </c>
      <c r="E187" s="50" t="str">
        <v/>
      </c>
      <c r="F187" s="50" t="str">
        <v/>
      </c>
      <c r="G187" s="50" cm="1">
        <f t="array" ref="G187">Common_InputFunctions.Utility_LookupValueInTableNumber(E187,Table_SourceData_Scope3_Packaging[Product],Table_SourceData_Scope3_Packaging[AusLCI Emissions intensity])</f>
        <v>0</v>
      </c>
      <c r="H187" s="168">
        <f t="shared" si="23"/>
        <v>0</v>
      </c>
      <c r="I187" s="69"/>
      <c r="J187" s="168">
        <f t="shared" si="24"/>
        <v>0</v>
      </c>
    </row>
    <row r="188" spans="4:10" ht="20.100000000000001" customHeight="1" x14ac:dyDescent="0.25">
      <c r="D188" s="50" t="str">
        <v/>
      </c>
      <c r="E188" s="50" t="str">
        <v/>
      </c>
      <c r="F188" s="50" t="str">
        <v/>
      </c>
      <c r="G188" s="50" cm="1">
        <f t="array" ref="G188">Common_InputFunctions.Utility_LookupValueInTableNumber(E188,Table_SourceData_Scope3_Packaging[Product],Table_SourceData_Scope3_Packaging[AusLCI Emissions intensity])</f>
        <v>0</v>
      </c>
      <c r="H188" s="168">
        <f t="shared" si="23"/>
        <v>0</v>
      </c>
      <c r="I188" s="69"/>
      <c r="J188" s="168">
        <f t="shared" si="24"/>
        <v>0</v>
      </c>
    </row>
    <row r="189" spans="4:10" ht="20.100000000000001" customHeight="1" x14ac:dyDescent="0.25">
      <c r="D189" s="50" t="str">
        <v/>
      </c>
      <c r="E189" s="50" t="str">
        <v/>
      </c>
      <c r="F189" s="50" t="str">
        <v/>
      </c>
      <c r="G189" s="50" cm="1">
        <f t="array" ref="G189">Common_InputFunctions.Utility_LookupValueInTableNumber(E189,Table_SourceData_Scope3_Packaging[Product],Table_SourceData_Scope3_Packaging[AusLCI Emissions intensity])</f>
        <v>0</v>
      </c>
      <c r="H189" s="168">
        <f t="shared" si="23"/>
        <v>0</v>
      </c>
      <c r="I189" s="69"/>
      <c r="J189" s="168">
        <f t="shared" si="24"/>
        <v>0</v>
      </c>
    </row>
    <row r="190" spans="4:10" ht="20.100000000000001" customHeight="1" x14ac:dyDescent="0.25">
      <c r="D190" s="50" t="str">
        <v/>
      </c>
      <c r="E190" s="50" t="str">
        <v/>
      </c>
      <c r="F190" s="50" t="str">
        <v/>
      </c>
      <c r="G190" s="50" cm="1">
        <f t="array" ref="G190">Common_InputFunctions.Utility_LookupValueInTableNumber(E190,Table_SourceData_Scope3_Packaging[Product],Table_SourceData_Scope3_Packaging[AusLCI Emissions intensity])</f>
        <v>0</v>
      </c>
      <c r="H190" s="168">
        <f t="shared" si="23"/>
        <v>0</v>
      </c>
      <c r="I190" s="69"/>
      <c r="J190" s="168">
        <f t="shared" si="24"/>
        <v>0</v>
      </c>
    </row>
    <row r="191" spans="4:10" ht="20.100000000000001" customHeight="1" x14ac:dyDescent="0.25"/>
    <row r="192" spans="4:10" ht="20.100000000000001" customHeight="1" x14ac:dyDescent="0.25"/>
    <row r="193" spans="4:10" ht="20.100000000000001" customHeight="1" x14ac:dyDescent="0.25">
      <c r="D193" s="9" t="s">
        <v>404</v>
      </c>
      <c r="F193" s="100" t="s">
        <v>455</v>
      </c>
      <c r="G193" s="116"/>
      <c r="H193" s="101"/>
    </row>
    <row r="194" spans="4:10" ht="20.100000000000001" customHeight="1" x14ac:dyDescent="0.25">
      <c r="E194" s="60" t="s">
        <v>462</v>
      </c>
      <c r="F194" s="47" t="s">
        <v>463</v>
      </c>
    </row>
    <row r="195" spans="4:10" ht="20.100000000000001" customHeight="1" x14ac:dyDescent="0.25">
      <c r="D195" s="8" t="s">
        <v>461</v>
      </c>
      <c r="E195" s="50" cm="1">
        <f t="array" ref="E195">Common_InputFunctions.Utility_LookupValueInTableNumber("Limestone (crushed)", Table_SourceData_Scope3_SoilAmeliorants[Product],Table_SourceData_Scope3_SoilAmeliorants[AusLCI Emissions intensity])</f>
        <v>4.8500000000000001E-2</v>
      </c>
      <c r="F195" s="69">
        <v>0.04</v>
      </c>
    </row>
    <row r="196" spans="4:10" ht="20.100000000000001" customHeight="1" x14ac:dyDescent="0.25">
      <c r="D196" s="8" t="s">
        <v>460</v>
      </c>
      <c r="E196" s="50" cm="1">
        <f t="array" ref="E196">Common_InputFunctions.Utility_LookupValueInTableNumber("Dolomite", Table_SourceData_Scope3_SoilAmeliorants[Product],Table_SourceData_Scope3_SoilAmeliorants[AusLCI Emissions intensity])</f>
        <v>6.5199999999999994E-2</v>
      </c>
      <c r="F196" s="69">
        <v>6.5000000000000002E-2</v>
      </c>
    </row>
    <row r="197" spans="4:10" ht="20.100000000000001" customHeight="1" x14ac:dyDescent="0.25">
      <c r="D197" s="8" t="s">
        <v>459</v>
      </c>
      <c r="E197" s="50" cm="1">
        <f t="array" ref="E197">Common_InputFunctions.Utility_LookupValueInTableNumber("Gypsum", Table_SourceData_Scope3_SoilAmeliorants[Product],Table_SourceData_Scope3_SoilAmeliorants[AusLCI Emissions intensity])</f>
        <v>6.5199999999999994E-2</v>
      </c>
      <c r="F197" s="69">
        <v>6.5000000000000002E-2</v>
      </c>
    </row>
    <row r="198" spans="4:10" ht="20.100000000000001" customHeight="1" x14ac:dyDescent="0.25"/>
    <row r="199" spans="4:10" ht="20.100000000000001" customHeight="1" x14ac:dyDescent="0.25">
      <c r="D199" s="47" t="s">
        <v>173</v>
      </c>
      <c r="E199" s="169" t="s">
        <v>391</v>
      </c>
      <c r="F199" s="47" t="s">
        <v>456</v>
      </c>
      <c r="G199" s="47" t="s">
        <v>457</v>
      </c>
      <c r="H199" s="47" t="s">
        <v>458</v>
      </c>
      <c r="I199" s="60" t="s">
        <v>387</v>
      </c>
      <c r="J199" s="60" t="s">
        <v>388</v>
      </c>
    </row>
    <row r="200" spans="4:10" ht="20.100000000000001" customHeight="1" x14ac:dyDescent="0.25">
      <c r="D200" s="50" t="str" cm="1">
        <f t="array" ref="D200:D209">IFERROR(INDEX(Table_Input_SoilAmeliorants[Product], _xlfn.SEQUENCE(10)), "")</f>
        <v>Lime product 1</v>
      </c>
      <c r="E200" s="50" cm="1">
        <f t="array" ref="E200:E209">IFERROR(INDEX(Table_Input_SoilAmeliorants[Total amount applied (t)]*10^3, _xlfn.SEQUENCE(10)), "")</f>
        <v>10000000</v>
      </c>
      <c r="F200" s="50" cm="1">
        <f t="array" ref="F200:F209">IFERROR(INDEX(Table_Input_SoilAmeliorants[Percent Lime CaCO3], _xlfn.SEQUENCE(10)), "")</f>
        <v>0.4</v>
      </c>
      <c r="G200" s="50" cm="1">
        <f t="array" ref="G200:G209">IFERROR(INDEX(Table_Input_SoilAmeliorants[Percent Dolomite CaMg(CO3)2], _xlfn.SEQUENCE(10)), "")</f>
        <v>0.3</v>
      </c>
      <c r="H200" s="50" cm="1">
        <f t="array" ref="H200:H209">IFERROR(INDEX(Table_Input_SoilAmeliorants[Percent Gypsum], _xlfn.SEQUENCE(10)), "")</f>
        <v>0.25</v>
      </c>
      <c r="I200" s="168">
        <f>IFERROR((E200*F200*$E$195)+(E200*G200*$E$196)+(E200*H200*E197), 0)</f>
        <v>552600</v>
      </c>
      <c r="J200" s="168">
        <f t="shared" ref="J200:J209" si="25">IFERROR((E200*F200*IF($F$195, $F$195, $E$195))+(E200*G200*IF($F$196,$F$196,$E$196))+(E200*H200*IF($F$197,$F$197,$E$197)), 0)</f>
        <v>517500</v>
      </c>
    </row>
    <row r="201" spans="4:10" ht="20.100000000000001" customHeight="1" x14ac:dyDescent="0.25">
      <c r="D201" s="50" t="str">
        <v>Lime product 2</v>
      </c>
      <c r="E201" s="50">
        <v>10000000</v>
      </c>
      <c r="F201" s="50">
        <v>1</v>
      </c>
      <c r="G201" s="50">
        <v>0</v>
      </c>
      <c r="H201" s="50">
        <v>0</v>
      </c>
      <c r="I201" s="168">
        <f>IFERROR((E201*F201*$E$195)+(E201*G201*$E$196)+(E201*H201*E198), 0)</f>
        <v>485000</v>
      </c>
      <c r="J201" s="168">
        <f t="shared" si="25"/>
        <v>400000</v>
      </c>
    </row>
    <row r="202" spans="4:10" ht="20.100000000000001" customHeight="1" x14ac:dyDescent="0.25">
      <c r="D202" s="50" t="str">
        <v/>
      </c>
      <c r="E202" s="50" t="str">
        <v/>
      </c>
      <c r="F202" s="50" t="str">
        <v/>
      </c>
      <c r="G202" s="50" t="str">
        <v/>
      </c>
      <c r="H202" s="50" t="str">
        <v/>
      </c>
      <c r="I202" s="168">
        <f>IFERROR((E202*F202*$E$195)+(E202*G202*$E$196)+(E202*H202*#REF!), 0)</f>
        <v>0</v>
      </c>
      <c r="J202" s="168">
        <f t="shared" si="25"/>
        <v>0</v>
      </c>
    </row>
    <row r="203" spans="4:10" ht="20.100000000000001" customHeight="1" x14ac:dyDescent="0.25">
      <c r="D203" s="50" t="str">
        <v/>
      </c>
      <c r="E203" s="50" t="str">
        <v/>
      </c>
      <c r="F203" s="50" t="str">
        <v/>
      </c>
      <c r="G203" s="50" t="str">
        <v/>
      </c>
      <c r="H203" s="50" t="str">
        <v/>
      </c>
      <c r="I203" s="168">
        <f>IFERROR((E203*F203*$E$195)+(E203*G203*$E$196)+(E203*H203*#REF!), 0)</f>
        <v>0</v>
      </c>
      <c r="J203" s="168">
        <f t="shared" si="25"/>
        <v>0</v>
      </c>
    </row>
    <row r="204" spans="4:10" ht="20.100000000000001" customHeight="1" x14ac:dyDescent="0.25">
      <c r="D204" s="50" t="str">
        <v/>
      </c>
      <c r="E204" s="50" t="str">
        <v/>
      </c>
      <c r="F204" s="50" t="str">
        <v/>
      </c>
      <c r="G204" s="50" t="str">
        <v/>
      </c>
      <c r="H204" s="50" t="str">
        <v/>
      </c>
      <c r="I204" s="168">
        <f>IFERROR((E204*F204*$E$195)+(E204*G204*$E$196)+(E204*H204*#REF!), 0)</f>
        <v>0</v>
      </c>
      <c r="J204" s="168">
        <f t="shared" si="25"/>
        <v>0</v>
      </c>
    </row>
    <row r="205" spans="4:10" ht="20.100000000000001" customHeight="1" x14ac:dyDescent="0.25">
      <c r="D205" s="50" t="str">
        <v/>
      </c>
      <c r="E205" s="50" t="str">
        <v/>
      </c>
      <c r="F205" s="50" t="str">
        <v/>
      </c>
      <c r="G205" s="50" t="str">
        <v/>
      </c>
      <c r="H205" s="50" t="str">
        <v/>
      </c>
      <c r="I205" s="168">
        <f>IFERROR((E205*F205*$E$195)+(E205*G205*$E$196)+(E205*H205*#REF!), 0)</f>
        <v>0</v>
      </c>
      <c r="J205" s="168">
        <f t="shared" si="25"/>
        <v>0</v>
      </c>
    </row>
    <row r="206" spans="4:10" ht="20.100000000000001" customHeight="1" x14ac:dyDescent="0.25">
      <c r="D206" s="50" t="str">
        <v/>
      </c>
      <c r="E206" s="50" t="str">
        <v/>
      </c>
      <c r="F206" s="50" t="str">
        <v/>
      </c>
      <c r="G206" s="50" t="str">
        <v/>
      </c>
      <c r="H206" s="50" t="str">
        <v/>
      </c>
      <c r="I206" s="168">
        <f>IFERROR((E206*F206*$E$195)+(E206*G206*$E$196)+(E206*H206*#REF!), 0)</f>
        <v>0</v>
      </c>
      <c r="J206" s="168">
        <f t="shared" si="25"/>
        <v>0</v>
      </c>
    </row>
    <row r="207" spans="4:10" ht="20.100000000000001" customHeight="1" x14ac:dyDescent="0.25">
      <c r="D207" s="50" t="str">
        <v/>
      </c>
      <c r="E207" s="50" t="str">
        <v/>
      </c>
      <c r="F207" s="50" t="str">
        <v/>
      </c>
      <c r="G207" s="50" t="str">
        <v/>
      </c>
      <c r="H207" s="50" t="str">
        <v/>
      </c>
      <c r="I207" s="168">
        <f>IFERROR((E207*F207*$E$195)+(E207*G207*$E$196)+(E207*H207*#REF!), 0)</f>
        <v>0</v>
      </c>
      <c r="J207" s="168">
        <f t="shared" si="25"/>
        <v>0</v>
      </c>
    </row>
    <row r="208" spans="4:10" ht="20.100000000000001" customHeight="1" x14ac:dyDescent="0.25">
      <c r="D208" s="50" t="str">
        <v/>
      </c>
      <c r="E208" s="50" t="str">
        <v/>
      </c>
      <c r="F208" s="50" t="str">
        <v/>
      </c>
      <c r="G208" s="50" t="str">
        <v/>
      </c>
      <c r="H208" s="50" t="str">
        <v/>
      </c>
      <c r="I208" s="168">
        <f>IFERROR((E208*F208*$E$195)+(E208*G208*$E$196)+(E208*H208*#REF!), 0)</f>
        <v>0</v>
      </c>
      <c r="J208" s="168">
        <f t="shared" si="25"/>
        <v>0</v>
      </c>
    </row>
    <row r="209" spans="4:18" ht="20.100000000000001" customHeight="1" x14ac:dyDescent="0.25">
      <c r="D209" s="50" t="str">
        <v/>
      </c>
      <c r="E209" s="50" t="str">
        <v/>
      </c>
      <c r="F209" s="50" t="str">
        <v/>
      </c>
      <c r="G209" s="50" t="str">
        <v/>
      </c>
      <c r="H209" s="50" t="str">
        <v/>
      </c>
      <c r="I209" s="168">
        <f>IFERROR((E209*F209*$E$195)+(E209*G209*$E$196)+(E209*H209*#REF!), 0)</f>
        <v>0</v>
      </c>
      <c r="J209" s="168">
        <f t="shared" si="25"/>
        <v>0</v>
      </c>
    </row>
    <row r="210" spans="4:18" ht="20.100000000000001" customHeight="1" x14ac:dyDescent="0.25"/>
    <row r="211" spans="4:18" ht="20.100000000000001" customHeight="1" x14ac:dyDescent="0.25">
      <c r="E211" s="8" t="s">
        <v>478</v>
      </c>
    </row>
    <row r="212" spans="4:18" ht="20.100000000000001" customHeight="1" x14ac:dyDescent="0.25">
      <c r="E212" s="8" t="s">
        <v>636</v>
      </c>
    </row>
    <row r="213" spans="4:18" ht="20.100000000000001" customHeight="1" x14ac:dyDescent="0.25">
      <c r="D213" s="9" t="s">
        <v>403</v>
      </c>
      <c r="E213" s="100" t="s">
        <v>475</v>
      </c>
      <c r="F213" s="116"/>
      <c r="G213" s="101"/>
    </row>
    <row r="214" spans="4:18" ht="20.100000000000001" customHeight="1" x14ac:dyDescent="0.25">
      <c r="D214" s="60" t="s">
        <v>173</v>
      </c>
      <c r="E214" s="60" t="s">
        <v>209</v>
      </c>
      <c r="F214" s="60" t="s">
        <v>469</v>
      </c>
      <c r="G214" s="60" t="s">
        <v>387</v>
      </c>
      <c r="H214" s="47" t="s">
        <v>470</v>
      </c>
      <c r="I214" s="60" t="s">
        <v>388</v>
      </c>
      <c r="J214" s="60" t="s">
        <v>177</v>
      </c>
      <c r="K214" s="60" t="s">
        <v>471</v>
      </c>
      <c r="L214" s="60" t="s">
        <v>468</v>
      </c>
      <c r="M214" s="60" t="s">
        <v>179</v>
      </c>
      <c r="N214" s="60" t="s">
        <v>476</v>
      </c>
      <c r="O214" s="60" t="s">
        <v>473</v>
      </c>
      <c r="P214" s="60" t="s">
        <v>181</v>
      </c>
      <c r="Q214" s="60" t="s">
        <v>477</v>
      </c>
      <c r="R214" s="60" t="s">
        <v>474</v>
      </c>
    </row>
    <row r="215" spans="4:18" ht="20.100000000000001" customHeight="1" x14ac:dyDescent="0.25">
      <c r="D215" s="50" t="str" cm="1">
        <f t="array" ref="D215:D224">IFERROR(INDEX(Table_Input_Pesticides[Product name], _xlfn.SEQUENCE(10)), "")</f>
        <v>QA MCPA + Picloram SL Herbicide</v>
      </c>
      <c r="E215" s="50" cm="1">
        <f t="array" ref="E215:E224">IFERROR(INDEX(Table_Input_Pesticides[Total applied], _xlfn.SEQUENCE(10)), "")</f>
        <v>1000</v>
      </c>
      <c r="F215" s="50">
        <f>IFERROR(((K215*L215)+(N215*O215)+(Q215*R215))/E215,0)</f>
        <v>4.0853600000000005</v>
      </c>
      <c r="G215" s="168">
        <f>IFERROR(E215*F215,0)</f>
        <v>4085.3600000000006</v>
      </c>
      <c r="H215" s="69">
        <v>4</v>
      </c>
      <c r="I215" s="168">
        <f>IFERROR(E215*H215,0)</f>
        <v>4000</v>
      </c>
      <c r="J215" s="50" t="str" cm="1">
        <f t="array" ref="J215:J224">IFERROR(INDEX(Table_Input_Pesticides[Active ingredient 1 (select)], _xlfn.SEQUENCE(10)), "")</f>
        <v>Pesticides (generic)</v>
      </c>
      <c r="K215" s="50" cm="1">
        <f t="array" ref="K215:K224">IFERROR(INDEX(Table_Input_Pesticides[Total active ingredient 1 (kg)], _xlfn.SEQUENCE(10)), "")</f>
        <v>26</v>
      </c>
      <c r="L215" s="50" cm="1">
        <f t="array" ref="L215">Common_InputFunctions.Utility_LookupValueInTableNumber(J215,Table_SourceData_Scope3_Pesticides[Product],Table_SourceData_Scope3_Pesticides[AusLCI Emissions intensity])</f>
        <v>9.16</v>
      </c>
      <c r="M215" s="50" t="str" cm="1">
        <f t="array" ref="M215:M224">IFERROR(INDEX(Table_Input_Pesticides[Active ingredient 2 (select)], _xlfn.SEQUENCE(10)), "")</f>
        <v>Pesticides (generic)</v>
      </c>
      <c r="N215" s="50" cm="1">
        <f t="array" ref="N215:N224">IFERROR(INDEX(Table_Input_Pesticides[Total active ingredient 2 (kg)], _xlfn.SEQUENCE(10)), "")</f>
        <v>420</v>
      </c>
      <c r="O215" s="50" cm="1">
        <f t="array" ref="O215">Common_InputFunctions.Utility_LookupValueInTableNumber(M215,Table_SourceData_Scope3_Pesticides[Product],Table_SourceData_Scope3_Pesticides[AusLCI Emissions intensity])</f>
        <v>9.16</v>
      </c>
      <c r="P215" s="50" cm="1">
        <f t="array" ref="P215:P224">IFERROR(INDEX(Table_Input_Pesticides[Active ingredient 3 (select)], _xlfn.SEQUENCE(10)), "")</f>
        <v>0</v>
      </c>
      <c r="Q215" s="50" cm="1">
        <f t="array" ref="Q215:Q224">IFERROR(INDEX(Table_Input_Pesticides[Total active ingredient 3 (kg)], _xlfn.SEQUENCE(10)), "")</f>
        <v>0</v>
      </c>
      <c r="R215" s="50" cm="1">
        <f t="array" ref="R215">Common_InputFunctions.Utility_LookupValueInTableNumber(P215,Table_SourceData_Scope3_Pesticides[Product],Table_SourceData_Scope3_Pesticides[AusLCI Emissions intensity])</f>
        <v>0</v>
      </c>
    </row>
    <row r="216" spans="4:18" ht="20.100000000000001" customHeight="1" x14ac:dyDescent="0.25">
      <c r="D216" s="50" t="str">
        <v>Heben Propiconazole 550EC Fungicide</v>
      </c>
      <c r="E216" s="50">
        <v>1000</v>
      </c>
      <c r="F216" s="50">
        <f t="shared" ref="F216:F224" si="26">IFERROR(((K216*L216)+(N216*O216)+(Q216*R216))/E216,0)</f>
        <v>5.0380000000000003</v>
      </c>
      <c r="G216" s="168">
        <f t="shared" ref="G216:G224" si="27">IFERROR(E216*F216,0)</f>
        <v>5038</v>
      </c>
      <c r="H216" s="69">
        <v>2</v>
      </c>
      <c r="I216" s="168">
        <f t="shared" ref="I216:I224" si="28">IFERROR(E216*H216,0)</f>
        <v>2000</v>
      </c>
      <c r="J216" s="50" t="str">
        <v>Pesticides (generic)</v>
      </c>
      <c r="K216" s="50">
        <v>550</v>
      </c>
      <c r="L216" s="50" cm="1">
        <f t="array" ref="L216">Common_InputFunctions.Utility_LookupValueInTableNumber(J216,Table_SourceData_Scope3_Pesticides[Product],Table_SourceData_Scope3_Pesticides[AusLCI Emissions intensity])</f>
        <v>9.16</v>
      </c>
      <c r="M216" s="50">
        <v>0</v>
      </c>
      <c r="N216" s="50">
        <v>0</v>
      </c>
      <c r="O216" s="50" cm="1">
        <f t="array" ref="O216">Common_InputFunctions.Utility_LookupValueInTableNumber(M216,Table_SourceData_Scope3_Pesticides[Product],Table_SourceData_Scope3_Pesticides[AusLCI Emissions intensity])</f>
        <v>0</v>
      </c>
      <c r="P216" s="50">
        <v>0</v>
      </c>
      <c r="Q216" s="50">
        <v>0</v>
      </c>
      <c r="R216" s="50" cm="1">
        <f t="array" ref="R216">Common_InputFunctions.Utility_LookupValueInTableNumber(P216,Table_SourceData_Scope3_Pesticides[Product],Table_SourceData_Scope3_Pesticides[AusLCI Emissions intensity])</f>
        <v>0</v>
      </c>
    </row>
    <row r="217" spans="4:18" ht="20.100000000000001" customHeight="1" x14ac:dyDescent="0.25">
      <c r="D217" s="50" t="str">
        <v>NovaGuard Boscalid 500 WG Fungicide</v>
      </c>
      <c r="E217" s="50">
        <v>1000</v>
      </c>
      <c r="F217" s="50">
        <f t="shared" si="26"/>
        <v>4.58</v>
      </c>
      <c r="G217" s="168">
        <f t="shared" si="27"/>
        <v>4580</v>
      </c>
      <c r="H217" s="69"/>
      <c r="I217" s="168">
        <f t="shared" si="28"/>
        <v>0</v>
      </c>
      <c r="J217" s="50" t="str">
        <v>Pesticides (generic)</v>
      </c>
      <c r="K217" s="50">
        <v>500</v>
      </c>
      <c r="L217" s="50" cm="1">
        <f t="array" ref="L217">Common_InputFunctions.Utility_LookupValueInTableNumber(J217,Table_SourceData_Scope3_Pesticides[Product],Table_SourceData_Scope3_Pesticides[AusLCI Emissions intensity])</f>
        <v>9.16</v>
      </c>
      <c r="M217" s="50">
        <v>0</v>
      </c>
      <c r="N217" s="50">
        <v>0</v>
      </c>
      <c r="O217" s="50" cm="1">
        <f t="array" ref="O217">Common_InputFunctions.Utility_LookupValueInTableNumber(M217,Table_SourceData_Scope3_Pesticides[Product],Table_SourceData_Scope3_Pesticides[AusLCI Emissions intensity])</f>
        <v>0</v>
      </c>
      <c r="P217" s="50">
        <v>0</v>
      </c>
      <c r="Q217" s="50">
        <v>0</v>
      </c>
      <c r="R217" s="50" cm="1">
        <f t="array" ref="R217">Common_InputFunctions.Utility_LookupValueInTableNumber(P217,Table_SourceData_Scope3_Pesticides[Product],Table_SourceData_Scope3_Pesticides[AusLCI Emissions intensity])</f>
        <v>0</v>
      </c>
    </row>
    <row r="218" spans="4:18" ht="20.100000000000001" customHeight="1" x14ac:dyDescent="0.25">
      <c r="D218" s="50" t="str">
        <v/>
      </c>
      <c r="E218" s="50" t="str">
        <v/>
      </c>
      <c r="F218" s="50">
        <f t="shared" si="26"/>
        <v>0</v>
      </c>
      <c r="G218" s="168">
        <f t="shared" si="27"/>
        <v>0</v>
      </c>
      <c r="H218" s="69"/>
      <c r="I218" s="168">
        <f t="shared" si="28"/>
        <v>0</v>
      </c>
      <c r="J218" s="50" t="str">
        <v/>
      </c>
      <c r="K218" s="50" t="str">
        <v/>
      </c>
      <c r="L218" s="50" cm="1">
        <f t="array" ref="L218">Common_InputFunctions.Utility_LookupValueInTableNumber(J218,Table_SourceData_Scope3_Pesticides[Product],Table_SourceData_Scope3_Pesticides[AusLCI Emissions intensity])</f>
        <v>0</v>
      </c>
      <c r="M218" s="50" t="str">
        <v/>
      </c>
      <c r="N218" s="50" t="str">
        <v/>
      </c>
      <c r="O218" s="50" cm="1">
        <f t="array" ref="O218">Common_InputFunctions.Utility_LookupValueInTableNumber(M218,Table_SourceData_Scope3_Pesticides[Product],Table_SourceData_Scope3_Pesticides[AusLCI Emissions intensity])</f>
        <v>0</v>
      </c>
      <c r="P218" s="50" t="str">
        <v/>
      </c>
      <c r="Q218" s="50" t="str">
        <v/>
      </c>
      <c r="R218" s="50" cm="1">
        <f t="array" ref="R218">Common_InputFunctions.Utility_LookupValueInTableNumber(P218,Table_SourceData_Scope3_Pesticides[Product],Table_SourceData_Scope3_Pesticides[AusLCI Emissions intensity])</f>
        <v>0</v>
      </c>
    </row>
    <row r="219" spans="4:18" ht="20.100000000000001" customHeight="1" x14ac:dyDescent="0.25">
      <c r="D219" s="50" t="str">
        <v/>
      </c>
      <c r="E219" s="50" t="str">
        <v/>
      </c>
      <c r="F219" s="50">
        <f t="shared" si="26"/>
        <v>0</v>
      </c>
      <c r="G219" s="168">
        <f t="shared" si="27"/>
        <v>0</v>
      </c>
      <c r="H219" s="69"/>
      <c r="I219" s="168">
        <f t="shared" si="28"/>
        <v>0</v>
      </c>
      <c r="J219" s="50" t="str">
        <v/>
      </c>
      <c r="K219" s="50" t="str">
        <v/>
      </c>
      <c r="L219" s="50" cm="1">
        <f t="array" ref="L219">Common_InputFunctions.Utility_LookupValueInTableNumber(J219,Table_SourceData_Scope3_Pesticides[Product],Table_SourceData_Scope3_Pesticides[AusLCI Emissions intensity])</f>
        <v>0</v>
      </c>
      <c r="M219" s="50" t="str">
        <v/>
      </c>
      <c r="N219" s="50" t="str">
        <v/>
      </c>
      <c r="O219" s="50" cm="1">
        <f t="array" ref="O219">Common_InputFunctions.Utility_LookupValueInTableNumber(M219,Table_SourceData_Scope3_Pesticides[Product],Table_SourceData_Scope3_Pesticides[AusLCI Emissions intensity])</f>
        <v>0</v>
      </c>
      <c r="P219" s="50" t="str">
        <v/>
      </c>
      <c r="Q219" s="50" t="str">
        <v/>
      </c>
      <c r="R219" s="50" cm="1">
        <f t="array" ref="R219">Common_InputFunctions.Utility_LookupValueInTableNumber(P219,Table_SourceData_Scope3_Pesticides[Product],Table_SourceData_Scope3_Pesticides[AusLCI Emissions intensity])</f>
        <v>0</v>
      </c>
    </row>
    <row r="220" spans="4:18" ht="20.100000000000001" customHeight="1" x14ac:dyDescent="0.25">
      <c r="D220" s="50" t="str">
        <v/>
      </c>
      <c r="E220" s="50" t="str">
        <v/>
      </c>
      <c r="F220" s="50">
        <f t="shared" si="26"/>
        <v>0</v>
      </c>
      <c r="G220" s="168">
        <f t="shared" si="27"/>
        <v>0</v>
      </c>
      <c r="H220" s="69"/>
      <c r="I220" s="168">
        <f t="shared" si="28"/>
        <v>0</v>
      </c>
      <c r="J220" s="50" t="str">
        <v/>
      </c>
      <c r="K220" s="50" t="str">
        <v/>
      </c>
      <c r="L220" s="50" cm="1">
        <f t="array" ref="L220">Common_InputFunctions.Utility_LookupValueInTableNumber(J220,Table_SourceData_Scope3_Pesticides[Product],Table_SourceData_Scope3_Pesticides[AusLCI Emissions intensity])</f>
        <v>0</v>
      </c>
      <c r="M220" s="50" t="str">
        <v/>
      </c>
      <c r="N220" s="50" t="str">
        <v/>
      </c>
      <c r="O220" s="50" cm="1">
        <f t="array" ref="O220">Common_InputFunctions.Utility_LookupValueInTableNumber(M220,Table_SourceData_Scope3_Pesticides[Product],Table_SourceData_Scope3_Pesticides[AusLCI Emissions intensity])</f>
        <v>0</v>
      </c>
      <c r="P220" s="50" t="str">
        <v/>
      </c>
      <c r="Q220" s="50" t="str">
        <v/>
      </c>
      <c r="R220" s="50" cm="1">
        <f t="array" ref="R220">Common_InputFunctions.Utility_LookupValueInTableNumber(P220,Table_SourceData_Scope3_Pesticides[Product],Table_SourceData_Scope3_Pesticides[AusLCI Emissions intensity])</f>
        <v>0</v>
      </c>
    </row>
    <row r="221" spans="4:18" ht="20.100000000000001" customHeight="1" x14ac:dyDescent="0.25">
      <c r="D221" s="50" t="str">
        <v/>
      </c>
      <c r="E221" s="50" t="str">
        <v/>
      </c>
      <c r="F221" s="50">
        <f t="shared" si="26"/>
        <v>0</v>
      </c>
      <c r="G221" s="168">
        <f t="shared" si="27"/>
        <v>0</v>
      </c>
      <c r="H221" s="69"/>
      <c r="I221" s="168">
        <f t="shared" si="28"/>
        <v>0</v>
      </c>
      <c r="J221" s="50" t="str">
        <v/>
      </c>
      <c r="K221" s="50" t="str">
        <v/>
      </c>
      <c r="L221" s="50" cm="1">
        <f t="array" ref="L221">Common_InputFunctions.Utility_LookupValueInTableNumber(J221,Table_SourceData_Scope3_Pesticides[Product],Table_SourceData_Scope3_Pesticides[AusLCI Emissions intensity])</f>
        <v>0</v>
      </c>
      <c r="M221" s="50" t="str">
        <v/>
      </c>
      <c r="N221" s="50" t="str">
        <v/>
      </c>
      <c r="O221" s="50" cm="1">
        <f t="array" ref="O221">Common_InputFunctions.Utility_LookupValueInTableNumber(M221,Table_SourceData_Scope3_Pesticides[Product],Table_SourceData_Scope3_Pesticides[AusLCI Emissions intensity])</f>
        <v>0</v>
      </c>
      <c r="P221" s="50" t="str">
        <v/>
      </c>
      <c r="Q221" s="50" t="str">
        <v/>
      </c>
      <c r="R221" s="50" cm="1">
        <f t="array" ref="R221">Common_InputFunctions.Utility_LookupValueInTableNumber(P221,Table_SourceData_Scope3_Pesticides[Product],Table_SourceData_Scope3_Pesticides[AusLCI Emissions intensity])</f>
        <v>0</v>
      </c>
    </row>
    <row r="222" spans="4:18" ht="20.100000000000001" customHeight="1" x14ac:dyDescent="0.25">
      <c r="D222" s="50" t="str">
        <v/>
      </c>
      <c r="E222" s="50" t="str">
        <v/>
      </c>
      <c r="F222" s="50">
        <f t="shared" si="26"/>
        <v>0</v>
      </c>
      <c r="G222" s="168">
        <f t="shared" si="27"/>
        <v>0</v>
      </c>
      <c r="H222" s="69"/>
      <c r="I222" s="168">
        <f t="shared" si="28"/>
        <v>0</v>
      </c>
      <c r="J222" s="50" t="str">
        <v/>
      </c>
      <c r="K222" s="50" t="str">
        <v/>
      </c>
      <c r="L222" s="50" cm="1">
        <f t="array" ref="L222">Common_InputFunctions.Utility_LookupValueInTableNumber(J222,Table_SourceData_Scope3_Pesticides[Product],Table_SourceData_Scope3_Pesticides[AusLCI Emissions intensity])</f>
        <v>0</v>
      </c>
      <c r="M222" s="50" t="str">
        <v/>
      </c>
      <c r="N222" s="50" t="str">
        <v/>
      </c>
      <c r="O222" s="50" cm="1">
        <f t="array" ref="O222">Common_InputFunctions.Utility_LookupValueInTableNumber(M222,Table_SourceData_Scope3_Pesticides[Product],Table_SourceData_Scope3_Pesticides[AusLCI Emissions intensity])</f>
        <v>0</v>
      </c>
      <c r="P222" s="50" t="str">
        <v/>
      </c>
      <c r="Q222" s="50" t="str">
        <v/>
      </c>
      <c r="R222" s="50" cm="1">
        <f t="array" ref="R222">Common_InputFunctions.Utility_LookupValueInTableNumber(P222,Table_SourceData_Scope3_Pesticides[Product],Table_SourceData_Scope3_Pesticides[AusLCI Emissions intensity])</f>
        <v>0</v>
      </c>
    </row>
    <row r="223" spans="4:18" ht="20.100000000000001" customHeight="1" x14ac:dyDescent="0.25">
      <c r="D223" s="50" t="str">
        <v/>
      </c>
      <c r="E223" s="50" t="str">
        <v/>
      </c>
      <c r="F223" s="50">
        <f t="shared" si="26"/>
        <v>0</v>
      </c>
      <c r="G223" s="168">
        <f t="shared" si="27"/>
        <v>0</v>
      </c>
      <c r="H223" s="69"/>
      <c r="I223" s="168">
        <f t="shared" si="28"/>
        <v>0</v>
      </c>
      <c r="J223" s="50" t="str">
        <v/>
      </c>
      <c r="K223" s="50" t="str">
        <v/>
      </c>
      <c r="L223" s="50" cm="1">
        <f t="array" ref="L223">Common_InputFunctions.Utility_LookupValueInTableNumber(J223,Table_SourceData_Scope3_Pesticides[Product],Table_SourceData_Scope3_Pesticides[AusLCI Emissions intensity])</f>
        <v>0</v>
      </c>
      <c r="M223" s="50" t="str">
        <v/>
      </c>
      <c r="N223" s="50" t="str">
        <v/>
      </c>
      <c r="O223" s="50" cm="1">
        <f t="array" ref="O223">Common_InputFunctions.Utility_LookupValueInTableNumber(M223,Table_SourceData_Scope3_Pesticides[Product],Table_SourceData_Scope3_Pesticides[AusLCI Emissions intensity])</f>
        <v>0</v>
      </c>
      <c r="P223" s="50" t="str">
        <v/>
      </c>
      <c r="Q223" s="50" t="str">
        <v/>
      </c>
      <c r="R223" s="50" cm="1">
        <f t="array" ref="R223">Common_InputFunctions.Utility_LookupValueInTableNumber(P223,Table_SourceData_Scope3_Pesticides[Product],Table_SourceData_Scope3_Pesticides[AusLCI Emissions intensity])</f>
        <v>0</v>
      </c>
    </row>
    <row r="224" spans="4:18" ht="20.100000000000001" customHeight="1" x14ac:dyDescent="0.25">
      <c r="D224" s="50" t="str">
        <v/>
      </c>
      <c r="E224" s="50" t="str">
        <v/>
      </c>
      <c r="F224" s="50">
        <f t="shared" si="26"/>
        <v>0</v>
      </c>
      <c r="G224" s="168">
        <f t="shared" si="27"/>
        <v>0</v>
      </c>
      <c r="H224" s="69"/>
      <c r="I224" s="168">
        <f t="shared" si="28"/>
        <v>0</v>
      </c>
      <c r="J224" s="50" t="str">
        <v/>
      </c>
      <c r="K224" s="50" t="str">
        <v/>
      </c>
      <c r="L224" s="50" cm="1">
        <f t="array" ref="L224">Common_InputFunctions.Utility_LookupValueInTableNumber(J224,Table_SourceData_Scope3_Pesticides[Product],Table_SourceData_Scope3_Pesticides[AusLCI Emissions intensity])</f>
        <v>0</v>
      </c>
      <c r="M224" s="50" t="str">
        <v/>
      </c>
      <c r="N224" s="50" t="str">
        <v/>
      </c>
      <c r="O224" s="50" cm="1">
        <f t="array" ref="O224">Common_InputFunctions.Utility_LookupValueInTableNumber(M224,Table_SourceData_Scope3_Pesticides[Product],Table_SourceData_Scope3_Pesticides[AusLCI Emissions intensity])</f>
        <v>0</v>
      </c>
      <c r="P224" s="50" t="str">
        <v/>
      </c>
      <c r="Q224" s="50" t="str">
        <v/>
      </c>
      <c r="R224" s="50" cm="1">
        <f t="array" ref="R224">Common_InputFunctions.Utility_LookupValueInTableNumber(P224,Table_SourceData_Scope3_Pesticides[Product],Table_SourceData_Scope3_Pesticides[AusLCI Emissions intensity])</f>
        <v>0</v>
      </c>
    </row>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dimension ref="C1:Q238"/>
  <sheetViews>
    <sheetView showGridLines="0" topLeftCell="A41" zoomScale="85" zoomScaleNormal="85" workbookViewId="0">
      <selection activeCell="N49" sqref="M34:N49"/>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396</v>
      </c>
      <c r="K32" s="8" t="s">
        <v>494</v>
      </c>
    </row>
    <row r="33" spans="4:12" ht="20.100000000000001" customHeight="1" x14ac:dyDescent="0.25">
      <c r="D33" s="10" t="s">
        <v>347</v>
      </c>
      <c r="E33" s="10" t="s">
        <v>221</v>
      </c>
      <c r="F33" s="10" t="s">
        <v>348</v>
      </c>
      <c r="G33" s="10" t="s">
        <v>302</v>
      </c>
      <c r="H33" s="10" t="s">
        <v>303</v>
      </c>
      <c r="I33" s="10" t="s">
        <v>397</v>
      </c>
      <c r="K33" s="10" t="s">
        <v>424</v>
      </c>
      <c r="L33" s="10" t="s">
        <v>577</v>
      </c>
    </row>
    <row r="34" spans="4:12"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342</v>
      </c>
      <c r="L34" s="10" t="s">
        <v>366</v>
      </c>
    </row>
    <row r="35" spans="4:12"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366</v>
      </c>
      <c r="L35" s="10" t="s">
        <v>366</v>
      </c>
    </row>
    <row r="36" spans="4:12" ht="20.100000000000001" customHeight="1" x14ac:dyDescent="0.25">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433</v>
      </c>
      <c r="L36" s="10" t="s">
        <v>433</v>
      </c>
    </row>
    <row r="37" spans="4:12" ht="20.100000000000001" customHeight="1" x14ac:dyDescent="0.25">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429</v>
      </c>
      <c r="L37" s="10" t="s">
        <v>429</v>
      </c>
    </row>
    <row r="38" spans="4:12" ht="20.100000000000001" customHeight="1" x14ac:dyDescent="0.25">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372</v>
      </c>
      <c r="L38" s="10" t="s">
        <v>372</v>
      </c>
    </row>
    <row r="39" spans="4: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498</v>
      </c>
      <c r="L39" s="10" t="s">
        <v>373</v>
      </c>
    </row>
    <row r="40" spans="4: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497</v>
      </c>
      <c r="L40" s="10" t="s">
        <v>373</v>
      </c>
    </row>
    <row r="41" spans="4: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499</v>
      </c>
      <c r="L41" s="10" t="s">
        <v>373</v>
      </c>
    </row>
    <row r="42" spans="4: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500</v>
      </c>
      <c r="L42" s="10" t="s">
        <v>496</v>
      </c>
    </row>
    <row r="43" spans="4: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501</v>
      </c>
      <c r="L43" s="10" t="s">
        <v>496</v>
      </c>
    </row>
    <row r="44" spans="4: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502</v>
      </c>
      <c r="L44" s="10" t="s">
        <v>496</v>
      </c>
    </row>
    <row r="45" spans="4: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503</v>
      </c>
      <c r="L45" s="10" t="s">
        <v>367</v>
      </c>
    </row>
    <row r="46" spans="4: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504</v>
      </c>
      <c r="L46" s="10" t="s">
        <v>367</v>
      </c>
    </row>
    <row r="47" spans="4: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505</v>
      </c>
      <c r="L47" s="10" t="s">
        <v>367</v>
      </c>
    </row>
    <row r="48" spans="4: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506</v>
      </c>
      <c r="L48" s="10" t="s">
        <v>367</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365</v>
      </c>
      <c r="L49" s="8" t="s">
        <v>365</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c r="K51" s="8" t="s">
        <v>576</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c r="K52" s="10" t="s">
        <v>309</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c r="K53" s="10" t="str">
        <f>Table_SourceData_PastureBeef_LiveweightAllStates[[#Headers],[Bulls &lt; 1 year]]</f>
        <v>Bulls &lt; 1 year</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c r="K54" s="10" t="str">
        <f>Table_SourceData_PastureBeef_LiveweightAllStates[[#Headers],[Bulls &gt; 1 year]]</f>
        <v>Bulls &gt; 1 year</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c r="K55" s="10" t="str">
        <f>Table_SourceData_PastureBeef_LiveweightAllStates[[#Headers],[Cows &lt; 1 year]]</f>
        <v>Cows &lt; 1 year</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c r="K56" s="10" t="str">
        <f>Table_SourceData_PastureBeef_LiveweightAllStates[[#Headers],[Cows 1-2 years]]</f>
        <v>Cows 1-2 years</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c r="K57" s="10" t="str">
        <f>Table_SourceData_PastureBeef_LiveweightAllStates[[#Headers],[Cows 2-3 years]]</f>
        <v>Cows 2-3 years</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c r="K58" s="10" t="str">
        <f>Table_SourceData_PastureBeef_LiveweightAllStates[[#Headers],[Cows &gt; 3 years]]</f>
        <v>Cows &gt; 3 years</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c r="K59" s="10" t="str">
        <f>Table_SourceData_PastureBeef_LiveweightAllStates[[#Headers],[Steers &lt; 1 year]]</f>
        <v>Steers &lt; 1 year</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c r="K60" s="10" t="str">
        <f>Table_SourceData_PastureBeef_LiveweightAllStates[[#Headers],[Steers 1-2 years]]</f>
        <v>Steers 1-2 years</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c r="K61" s="10" t="str">
        <f>Table_SourceData_PastureBeef_LiveweightAllStates[[#Headers],[Steers 2-3 years]]</f>
        <v>Steers 2-3 years</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c r="K62" s="10" t="str">
        <f>Table_SourceData_PastureBeef_LiveweightAllStates[[#Headers],[Steers &gt;3 years]]</f>
        <v>Steers &gt;3 years</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399</v>
      </c>
    </row>
    <row r="77" spans="4:9" ht="20.100000000000001" customHeight="1" x14ac:dyDescent="0.25">
      <c r="D77" s="10" t="s">
        <v>347</v>
      </c>
      <c r="E77" s="10" t="s">
        <v>221</v>
      </c>
      <c r="F77" s="10" t="s">
        <v>348</v>
      </c>
      <c r="G77" s="10" t="s">
        <v>302</v>
      </c>
      <c r="H77" s="10" t="s">
        <v>303</v>
      </c>
      <c r="I77" s="10" t="s">
        <v>397</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347</v>
      </c>
      <c r="E82" s="10" t="s">
        <v>221</v>
      </c>
      <c r="F82" s="10" t="s">
        <v>348</v>
      </c>
      <c r="G82" s="10" t="s">
        <v>302</v>
      </c>
      <c r="H82" s="10" t="s">
        <v>303</v>
      </c>
      <c r="I82" s="10" t="s">
        <v>397</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400</v>
      </c>
    </row>
    <row r="89" spans="4:16" ht="20.100000000000001" customHeight="1" x14ac:dyDescent="0.25">
      <c r="D89" s="10" t="s">
        <v>347</v>
      </c>
      <c r="E89" s="10" t="s">
        <v>221</v>
      </c>
      <c r="F89" s="10" t="s">
        <v>348</v>
      </c>
      <c r="G89" s="10" t="s">
        <v>302</v>
      </c>
      <c r="H89" s="10" t="s">
        <v>303</v>
      </c>
      <c r="I89" s="10" t="s">
        <v>397</v>
      </c>
      <c r="K89" s="10" t="s">
        <v>221</v>
      </c>
      <c r="L89" s="10" t="s">
        <v>424</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221</v>
      </c>
      <c r="O90" s="10" t="s">
        <v>424</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221</v>
      </c>
      <c r="L98" s="10" t="s">
        <v>424</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221</v>
      </c>
      <c r="O105" s="10" t="s">
        <v>424</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221</v>
      </c>
      <c r="L110" s="10" t="s">
        <v>424</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221</v>
      </c>
      <c r="O118" s="10" t="s">
        <v>424</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221</v>
      </c>
      <c r="L125" s="10" t="s">
        <v>424</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221</v>
      </c>
      <c r="O131" s="10" t="s">
        <v>424</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221</v>
      </c>
      <c r="L138" s="10" t="s">
        <v>424</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221</v>
      </c>
      <c r="O144" s="10" t="s">
        <v>424</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70" t="s">
        <v>221</v>
      </c>
      <c r="L151" s="170" t="s">
        <v>424</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221</v>
      </c>
      <c r="O152" s="10" t="s">
        <v>424</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221</v>
      </c>
      <c r="L153" s="10" t="s">
        <v>424</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221</v>
      </c>
      <c r="O154" s="10" t="s">
        <v>424</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221</v>
      </c>
      <c r="L155" s="10" t="s">
        <v>424</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221</v>
      </c>
      <c r="O156" s="10" t="s">
        <v>424</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221</v>
      </c>
      <c r="L157" s="10" t="s">
        <v>424</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221</v>
      </c>
      <c r="O158" s="10" t="s">
        <v>424</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347</v>
      </c>
      <c r="E161" s="10" t="s">
        <v>221</v>
      </c>
      <c r="F161" s="10" t="s">
        <v>348</v>
      </c>
      <c r="G161" s="10" t="s">
        <v>302</v>
      </c>
      <c r="H161" s="10" t="s">
        <v>303</v>
      </c>
      <c r="I161" s="10" t="s">
        <v>397</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347</v>
      </c>
      <c r="E167" s="10" t="s">
        <v>221</v>
      </c>
      <c r="F167" s="10" t="s">
        <v>348</v>
      </c>
      <c r="G167" s="10" t="s">
        <v>302</v>
      </c>
      <c r="H167" s="10" t="s">
        <v>303</v>
      </c>
      <c r="I167" s="10" t="s">
        <v>397</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379</v>
      </c>
    </row>
    <row r="173" spans="4:13" ht="20.100000000000001" customHeight="1" x14ac:dyDescent="0.25">
      <c r="D173" s="10" t="s">
        <v>347</v>
      </c>
      <c r="E173" s="10" t="s">
        <v>221</v>
      </c>
      <c r="F173" s="10" t="s">
        <v>348</v>
      </c>
      <c r="G173" s="10" t="s">
        <v>300</v>
      </c>
      <c r="H173" s="10" t="s">
        <v>175</v>
      </c>
      <c r="I173" s="10" t="s">
        <v>176</v>
      </c>
      <c r="J173" s="10" t="s">
        <v>301</v>
      </c>
      <c r="K173" s="10" t="s">
        <v>302</v>
      </c>
      <c r="L173" s="10" t="s">
        <v>303</v>
      </c>
      <c r="M173" s="10" t="s">
        <v>397</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401</v>
      </c>
      <c r="N200" s="10"/>
      <c r="O200" s="10"/>
      <c r="P200" s="10"/>
    </row>
    <row r="201" spans="4:16" ht="20.100000000000001" customHeight="1" x14ac:dyDescent="0.25">
      <c r="D201" s="10" t="s">
        <v>347</v>
      </c>
      <c r="E201" s="10" t="s">
        <v>221</v>
      </c>
      <c r="F201" s="10" t="s">
        <v>348</v>
      </c>
      <c r="G201" s="10" t="s">
        <v>302</v>
      </c>
      <c r="H201" s="10" t="s">
        <v>303</v>
      </c>
      <c r="I201" s="10" t="s">
        <v>397</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402</v>
      </c>
    </row>
    <row r="212" spans="4:16" ht="20.100000000000001" customHeight="1" x14ac:dyDescent="0.25">
      <c r="D212" s="10" t="s">
        <v>347</v>
      </c>
      <c r="E212" s="10" t="s">
        <v>221</v>
      </c>
      <c r="F212" s="10" t="s">
        <v>348</v>
      </c>
      <c r="G212" s="10" t="s">
        <v>302</v>
      </c>
      <c r="H212" s="10" t="s">
        <v>303</v>
      </c>
      <c r="I212" s="10" t="s">
        <v>397</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403</v>
      </c>
    </row>
    <row r="219" spans="4:16" ht="20.100000000000001" customHeight="1" x14ac:dyDescent="0.25">
      <c r="D219" s="10" t="s">
        <v>347</v>
      </c>
      <c r="E219" s="10" t="s">
        <v>221</v>
      </c>
      <c r="F219" s="10" t="s">
        <v>348</v>
      </c>
      <c r="G219" s="10" t="s">
        <v>302</v>
      </c>
      <c r="H219" s="10" t="s">
        <v>303</v>
      </c>
      <c r="I219" s="10" t="s">
        <v>397</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404</v>
      </c>
    </row>
    <row r="234" spans="4:9" ht="20.100000000000001" customHeight="1" x14ac:dyDescent="0.25">
      <c r="D234" s="10" t="s">
        <v>347</v>
      </c>
      <c r="E234" s="10" t="s">
        <v>221</v>
      </c>
      <c r="F234" s="10" t="s">
        <v>348</v>
      </c>
      <c r="G234" s="10" t="s">
        <v>302</v>
      </c>
      <c r="H234" s="10" t="s">
        <v>303</v>
      </c>
      <c r="I234" s="10" t="s">
        <v>397</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dimension ref="C1:Q202"/>
  <sheetViews>
    <sheetView showGridLines="0" topLeftCell="A5" workbookViewId="0">
      <selection activeCell="E7" sqref="E7"/>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30" customHeight="1" x14ac:dyDescent="0.35">
      <c r="C1" s="1"/>
      <c r="D1" s="1"/>
      <c r="E1" s="1"/>
      <c r="F1" s="1"/>
      <c r="G1" s="1"/>
      <c r="H1" s="1"/>
      <c r="I1" s="1"/>
      <c r="J1" s="1"/>
      <c r="K1" s="1"/>
    </row>
    <row r="2" spans="3:11" ht="20.100000000000001" customHeight="1" x14ac:dyDescent="0.25">
      <c r="C2" s="5"/>
      <c r="D2" s="5"/>
      <c r="E2" s="5"/>
      <c r="F2" s="5"/>
      <c r="G2" s="5"/>
      <c r="H2" s="5"/>
      <c r="I2" s="5"/>
      <c r="J2" s="5"/>
      <c r="K2" s="5"/>
    </row>
    <row r="3" spans="3:11" ht="20.100000000000001" customHeight="1" x14ac:dyDescent="0.25"/>
    <row r="4" spans="3:11" ht="20.100000000000001" customHeight="1" x14ac:dyDescent="0.25">
      <c r="D4" s="9" t="str" cm="1">
        <f t="array" ref="D4">CommonLivestock_SourceData.SourceData_Livestock_Common_SymbolsMMS_Title()</f>
        <v>Table 5.12 Additional symbols used in algorithms for manure related emissions</v>
      </c>
    </row>
    <row r="5" spans="3:11" ht="20.100000000000001" customHeight="1" x14ac:dyDescent="0.25">
      <c r="D5" s="11" t="str" cm="1">
        <f t="array" ref="D5">CommonLivestock_SourceData.SourceData_Livestock_Common_SymbolsMMS_Source()</f>
        <v>National Inventory Report 2023 Volume 1: Table 5.12</v>
      </c>
    </row>
    <row r="6" spans="3:11" ht="20.100000000000001" customHeight="1" x14ac:dyDescent="0.25">
      <c r="D6" s="10" t="s">
        <v>357</v>
      </c>
      <c r="E6" s="10" t="s">
        <v>358</v>
      </c>
      <c r="F6" s="10" t="s">
        <v>359</v>
      </c>
    </row>
    <row r="7" spans="3:11" ht="20.100000000000001" customHeight="1" x14ac:dyDescent="0.25">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3:11" ht="20.100000000000001" customHeight="1" x14ac:dyDescent="0.25">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3:11" ht="20.100000000000001" customHeight="1" x14ac:dyDescent="0.25">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3:11" ht="20.100000000000001" customHeight="1" x14ac:dyDescent="0.25">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3:11" ht="20.100000000000001" customHeight="1" x14ac:dyDescent="0.25">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3:11" ht="20.100000000000001" customHeight="1" x14ac:dyDescent="0.25">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3:11" ht="20.100000000000001" customHeight="1" x14ac:dyDescent="0.25">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3:11" ht="20.100000000000001" customHeight="1" x14ac:dyDescent="0.25">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3:11" ht="20.100000000000001" customHeight="1" x14ac:dyDescent="0.25">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3:11" ht="20.100000000000001" customHeight="1" x14ac:dyDescent="0.25">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4: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4: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4:6" ht="20.100000000000001" customHeight="1" x14ac:dyDescent="0.25">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4:6" ht="20.100000000000001" customHeight="1" x14ac:dyDescent="0.25">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4:6" ht="20.100000000000001" customHeight="1" x14ac:dyDescent="0.25">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4:6" ht="20.100000000000001" customHeight="1" x14ac:dyDescent="0.25">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4:6" ht="20.100000000000001" customHeight="1" x14ac:dyDescent="0.25">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4:6" ht="20.100000000000001" customHeight="1" x14ac:dyDescent="0.25">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4:6" ht="20.100000000000001" customHeight="1" x14ac:dyDescent="0.25"/>
    <row r="26" spans="4:6" ht="20.100000000000001" customHeight="1" x14ac:dyDescent="0.25">
      <c r="D26" s="9" t="str" cm="1">
        <f t="array" ref="D26">CommonLivestock_SourceData.SourceData_Livestock_Product_BeefCattle_Title()</f>
        <v>Beef cattle products for scope 3</v>
      </c>
    </row>
    <row r="27" spans="4:6" ht="20.100000000000001" customHeight="1" x14ac:dyDescent="0.25">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4:6" ht="20.100000000000001" customHeight="1" x14ac:dyDescent="0.25">
      <c r="D28" s="10" t="s">
        <v>221</v>
      </c>
      <c r="E28" s="10" t="s">
        <v>360</v>
      </c>
      <c r="F28" s="8" t="s">
        <v>361</v>
      </c>
    </row>
    <row r="29" spans="4:6" ht="20.100000000000001" customHeight="1" x14ac:dyDescent="0.25">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4:6" ht="20.100000000000001" customHeight="1" x14ac:dyDescent="0.25">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4:6" ht="20.100000000000001" customHeight="1" x14ac:dyDescent="0.25">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4:6" ht="20.100000000000001" customHeight="1" x14ac:dyDescent="0.25">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4:6" ht="20.100000000000001" customHeight="1" x14ac:dyDescent="0.25"/>
    <row r="38" spans="4:6" ht="20.100000000000001" customHeight="1" x14ac:dyDescent="0.25">
      <c r="D38" s="9" t="str" cm="1">
        <f t="array" ref="D38">CommonLivestock_SourceData.SourceData_Livestock_Product_Sheep_Title()</f>
        <v>Sheep products for scope 3</v>
      </c>
    </row>
    <row r="39" spans="4: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4:6" ht="20.100000000000001" customHeight="1" x14ac:dyDescent="0.25">
      <c r="D40" s="10" t="s">
        <v>221</v>
      </c>
      <c r="E40" s="10" t="s">
        <v>360</v>
      </c>
      <c r="F40" s="8" t="s">
        <v>362</v>
      </c>
    </row>
    <row r="41" spans="4: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4: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4: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4: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4: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4: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4: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4: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221</v>
      </c>
      <c r="E51" s="10" t="s">
        <v>360</v>
      </c>
      <c r="F51" s="8" t="s">
        <v>368</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221</v>
      </c>
      <c r="E56" s="10" t="s">
        <v>360</v>
      </c>
      <c r="F56" s="8" t="s">
        <v>369</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221</v>
      </c>
      <c r="E61" s="10" t="s">
        <v>360</v>
      </c>
      <c r="F61" s="8" t="s">
        <v>370</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5" type="noConversion"/>
  <pageMargins left="0.7" right="0.7" top="0.75" bottom="0.75" header="0.3" footer="0.3"/>
  <tableParts count="6">
    <tablePart r:id="rId1"/>
    <tablePart r:id="rId2"/>
    <tablePart r:id="rId3"/>
    <tablePart r:id="rId4"/>
    <tablePart r:id="rId5"/>
    <tablePart r:id="rId6"/>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B47D-1432-4DA7-9DEF-464E02E6C39D}">
  <dimension ref="D2:H46"/>
  <sheetViews>
    <sheetView topLeftCell="A27" workbookViewId="0">
      <selection activeCell="E9" sqref="E9"/>
    </sheetView>
  </sheetViews>
  <sheetFormatPr defaultRowHeight="15.75" x14ac:dyDescent="0.25"/>
  <cols>
    <col min="4" max="4" width="39" customWidth="1"/>
    <col min="5" max="5" width="33.75" customWidth="1"/>
    <col min="6" max="6" width="37.375" customWidth="1"/>
  </cols>
  <sheetData>
    <row r="2" spans="4:8" x14ac:dyDescent="0.25">
      <c r="D2" t="s">
        <v>294</v>
      </c>
    </row>
    <row r="3" spans="4:8" x14ac:dyDescent="0.25">
      <c r="D3" s="58" t="s">
        <v>131</v>
      </c>
      <c r="E3" s="8"/>
      <c r="F3" s="8"/>
    </row>
    <row r="4" spans="4:8" x14ac:dyDescent="0.25">
      <c r="D4" s="59" t="s">
        <v>132</v>
      </c>
      <c r="E4" s="8"/>
      <c r="F4" s="8"/>
    </row>
    <row r="5" spans="4:8" x14ac:dyDescent="0.25">
      <c r="D5" s="60" t="s">
        <v>133</v>
      </c>
      <c r="E5" s="60" t="s">
        <v>134</v>
      </c>
      <c r="F5" s="60" t="s">
        <v>135</v>
      </c>
      <c r="H5" s="47" t="s">
        <v>136</v>
      </c>
    </row>
    <row r="6" spans="4:8" x14ac:dyDescent="0.25">
      <c r="D6" s="7" t="str">
        <f>Table_FuelTypesPerUse[[#Headers],[Cars and light commercial vehicles]]</f>
        <v>Cars and light commercial vehicles</v>
      </c>
      <c r="E6" s="61" t="str">
        <f>'Constants - Fuel'!$E$10</f>
        <v>Gasoline</v>
      </c>
      <c r="F6" s="61" t="str">
        <f>'Constants - Fuel'!$G$131</f>
        <v>Petrol</v>
      </c>
      <c r="H6" cm="1">
        <f t="array" ref="H6">Fuel_InputFunctions.Fuel_TotalConsumption(Table_Input_Fuel[Amount consumed],Table_Input_Fuel[Fuel use (select)],D6,Table_Input_Fuel[Fuel type (select)],F6)</f>
        <v>2</v>
      </c>
    </row>
    <row r="7" spans="4:8" x14ac:dyDescent="0.25">
      <c r="D7" s="62" t="str">
        <f>$D$6</f>
        <v>Cars and light commercial vehicles</v>
      </c>
      <c r="E7" s="61" t="str">
        <f>'Constants - Fuel'!$E$11</f>
        <v>Diesel oil</v>
      </c>
      <c r="F7" s="61" t="str">
        <f>'Constants - Fuel'!$G$132</f>
        <v>Diesel</v>
      </c>
      <c r="H7" cm="1">
        <f t="array" ref="H7">Fuel_InputFunctions.Fuel_TotalConsumption(Table_Input_Fuel[Amount consumed],Table_Input_Fuel[Fuel use (select)],D7,Table_Input_Fuel[Fuel type (select)],F7)</f>
        <v>0</v>
      </c>
    </row>
    <row r="8" spans="4:8" x14ac:dyDescent="0.25">
      <c r="D8" s="62" t="str">
        <f t="shared" ref="D8:D13" si="0">$D$6</f>
        <v>Cars and light commercial vehicles</v>
      </c>
      <c r="E8" s="61" t="str">
        <f>'Constants - Fuel'!$E$12</f>
        <v>Liquefied petroleum gas (LPG)</v>
      </c>
      <c r="F8" s="61" t="str">
        <f>'Constants - Fuel'!$G$133</f>
        <v>Liquefied petroleum gas (LPG)</v>
      </c>
      <c r="H8" cm="1">
        <f t="array" ref="H8">Fuel_InputFunctions.Fuel_TotalConsumption(Table_Input_Fuel[Amount consumed],Table_Input_Fuel[Fuel use (select)],D8,Table_Input_Fuel[Fuel type (select)],F8)</f>
        <v>0</v>
      </c>
    </row>
    <row r="9" spans="4:8" x14ac:dyDescent="0.25">
      <c r="D9" s="62" t="str">
        <f t="shared" si="0"/>
        <v>Cars and light commercial vehicles</v>
      </c>
      <c r="E9" s="61" t="str">
        <f>'Constants - Fuel'!$E$13</f>
        <v>Fuel oil</v>
      </c>
      <c r="F9" s="61" t="str">
        <f>'Constants - Fuel'!$G$134</f>
        <v>Fuel oil</v>
      </c>
      <c r="H9" cm="1">
        <f t="array" ref="H9">Fuel_InputFunctions.Fuel_TotalConsumption(Table_Input_Fuel[Amount consumed],Table_Input_Fuel[Fuel use (select)],D9,Table_Input_Fuel[Fuel type (select)],F9)</f>
        <v>0</v>
      </c>
    </row>
    <row r="10" spans="4:8" x14ac:dyDescent="0.25">
      <c r="D10" s="62" t="str">
        <f t="shared" si="0"/>
        <v>Cars and light commercial vehicles</v>
      </c>
      <c r="E10" s="61" t="str">
        <f>'Constants - Fuel'!$E$14</f>
        <v>Ethanol</v>
      </c>
      <c r="F10" s="61" t="str">
        <f>'Constants - Fuel'!$G$135</f>
        <v>Ethanol</v>
      </c>
      <c r="H10" cm="1">
        <f t="array" ref="H10">Fuel_InputFunctions.Fuel_TotalConsumption(Table_Input_Fuel[Amount consumed],Table_Input_Fuel[Fuel use (select)],D10,Table_Input_Fuel[Fuel type (select)],F10)</f>
        <v>0</v>
      </c>
    </row>
    <row r="11" spans="4:8" x14ac:dyDescent="0.25">
      <c r="D11" s="62" t="str">
        <f t="shared" si="0"/>
        <v>Cars and light commercial vehicles</v>
      </c>
      <c r="E11" s="61" t="str">
        <f>'Constants - Fuel'!$E$15</f>
        <v>Biodiesel</v>
      </c>
      <c r="F11" s="61" t="str">
        <f>'Constants - Fuel'!$G$136</f>
        <v>Biodiesel</v>
      </c>
      <c r="H11" cm="1">
        <f t="array" ref="H11">Fuel_InputFunctions.Fuel_TotalConsumption(Table_Input_Fuel[Amount consumed],Table_Input_Fuel[Fuel use (select)],D11,Table_Input_Fuel[Fuel type (select)],F11)</f>
        <v>0</v>
      </c>
    </row>
    <row r="12" spans="4:8" x14ac:dyDescent="0.25">
      <c r="D12" s="62" t="str">
        <f t="shared" si="0"/>
        <v>Cars and light commercial vehicles</v>
      </c>
      <c r="E12" s="61" t="str">
        <f>'Constants - Fuel'!$E$16</f>
        <v>Renewable diesel</v>
      </c>
      <c r="F12" s="61" t="str">
        <f>'Constants - Fuel'!$G$137</f>
        <v>Renewable diesel</v>
      </c>
      <c r="H12" cm="1">
        <f t="array" ref="H12">Fuel_InputFunctions.Fuel_TotalConsumption(Table_Input_Fuel[Amount consumed],Table_Input_Fuel[Fuel use (select)],D12,Table_Input_Fuel[Fuel type (select)],F12)</f>
        <v>0</v>
      </c>
    </row>
    <row r="13" spans="4:8" x14ac:dyDescent="0.25">
      <c r="D13" s="62" t="str">
        <f t="shared" si="0"/>
        <v>Cars and light commercial vehicles</v>
      </c>
      <c r="E13" s="61" t="str">
        <f>'Constants - Fuel'!$E$17</f>
        <v>Other biofuels</v>
      </c>
      <c r="F13" s="61" t="str">
        <f>'Constants - Fuel'!$G$138</f>
        <v>Other biofuels</v>
      </c>
      <c r="H13" cm="1">
        <f t="array" ref="H13">Fuel_InputFunctions.Fuel_TotalConsumption(Table_Input_Fuel[Amount consumed],Table_Input_Fuel[Fuel use (select)],D13,Table_Input_Fuel[Fuel type (select)],F13)</f>
        <v>0</v>
      </c>
    </row>
    <row r="14" spans="4:8" x14ac:dyDescent="0.25">
      <c r="D14" s="63" t="str">
        <f>Table_FuelTypesPerUse[[#Headers],[Off-road Agriculture and forestry equipment]]</f>
        <v>Off-road Agriculture and forestry equipment</v>
      </c>
      <c r="E14" s="64" t="str">
        <f>'Constants - Fuel'!$E$11</f>
        <v>Diesel oil</v>
      </c>
      <c r="F14" s="64" t="str">
        <f>'Constants - Fuel'!$H$131</f>
        <v>Diesel</v>
      </c>
      <c r="H14" cm="1">
        <f t="array" ref="H14">Fuel_InputFunctions.Fuel_TotalConsumption(Table_Input_Fuel[Amount consumed],Table_Input_Fuel[Fuel use (select)],D14,Table_Input_Fuel[Fuel type (select)],F14)</f>
        <v>0</v>
      </c>
    </row>
    <row r="15" spans="4:8" x14ac:dyDescent="0.25">
      <c r="D15" s="63" t="str">
        <f>Table_FuelTypesPerUse[[#Headers],[Aviation]]</f>
        <v>Aviation</v>
      </c>
      <c r="E15" s="64" t="str">
        <f>'Constants - Fuel'!$E$28</f>
        <v>Gasoline for use as fuel in an aircraft</v>
      </c>
      <c r="F15" s="64" t="str">
        <f>'Constants - Fuel'!$F$131</f>
        <v>Avgas</v>
      </c>
      <c r="H15" cm="1">
        <f t="array" ref="H15">Fuel_InputFunctions.Fuel_TotalConsumption(Table_Input_Fuel[Amount consumed],Table_Input_Fuel[Fuel use (select)],D15,Table_Input_Fuel[Fuel type (select)],F15)</f>
        <v>0</v>
      </c>
    </row>
    <row r="16" spans="4:8" x14ac:dyDescent="0.25">
      <c r="D16" s="62" t="str">
        <f>$D$15</f>
        <v>Aviation</v>
      </c>
      <c r="E16" s="61" t="str">
        <f>'Constants - Fuel'!$E$29</f>
        <v>Kerosene for use as fuel in an aircraft</v>
      </c>
      <c r="F16" s="61" t="str">
        <f>'Constants - Fuel'!$F$132</f>
        <v>Jet A1, Jet B</v>
      </c>
      <c r="H16" cm="1">
        <f t="array" ref="H16">Fuel_InputFunctions.Fuel_TotalConsumption(Table_Input_Fuel[Amount consumed],Table_Input_Fuel[Fuel use (select)],D16,Table_Input_Fuel[Fuel type (select)],F16)</f>
        <v>0</v>
      </c>
    </row>
    <row r="17" spans="4:8" x14ac:dyDescent="0.25">
      <c r="D17" s="62" t="str">
        <f>$D$15</f>
        <v>Aviation</v>
      </c>
      <c r="E17" s="61" t="str">
        <f>'Constants - Fuel'!$E$30</f>
        <v>Renewable aviation kerosene</v>
      </c>
      <c r="F17" s="61" t="str">
        <f>'Constants - Fuel'!$F$133</f>
        <v>Renewable aviation kerosene</v>
      </c>
      <c r="H17" cm="1">
        <f t="array" ref="H17">Fuel_InputFunctions.Fuel_TotalConsumption(Table_Input_Fuel[Amount consumed],Table_Input_Fuel[Fuel use (select)],D17,Table_Input_Fuel[Fuel type (select)],F17)</f>
        <v>0</v>
      </c>
    </row>
    <row r="18" spans="4:8" x14ac:dyDescent="0.25">
      <c r="D18" s="63" t="str">
        <f>Table_FuelTypesPerUse[[#Headers],[Vessels]]</f>
        <v>Vessels</v>
      </c>
      <c r="E18" s="64" t="str">
        <f>'Constants - Fuel'!$E$10</f>
        <v>Gasoline</v>
      </c>
      <c r="F18" s="64" t="str">
        <f>'Constants - Fuel'!$I$131</f>
        <v>Petrol</v>
      </c>
      <c r="H18" cm="1">
        <f t="array" ref="H18">Fuel_InputFunctions.Fuel_TotalConsumption(Table_Input_Fuel[Amount consumed],Table_Input_Fuel[Fuel use (select)],D18,Table_Input_Fuel[Fuel type (select)],F18)</f>
        <v>0</v>
      </c>
    </row>
    <row r="19" spans="4:8" x14ac:dyDescent="0.25">
      <c r="D19" s="62" t="str">
        <f>$D$18</f>
        <v>Vessels</v>
      </c>
      <c r="E19" s="61" t="str">
        <f>'Constants - Fuel'!$E$11</f>
        <v>Diesel oil</v>
      </c>
      <c r="F19" s="61" t="str">
        <f>'Constants - Fuel'!$I$132</f>
        <v>Diesel</v>
      </c>
      <c r="H19" cm="1">
        <f t="array" ref="H19">Fuel_InputFunctions.Fuel_TotalConsumption(Table_Input_Fuel[Amount consumed],Table_Input_Fuel[Fuel use (select)],D19,Table_Input_Fuel[Fuel type (select)],F19)</f>
        <v>0</v>
      </c>
    </row>
    <row r="20" spans="4:8" x14ac:dyDescent="0.25">
      <c r="D20" s="62" t="str">
        <f>$D$18</f>
        <v>Vessels</v>
      </c>
      <c r="E20" s="61" t="str">
        <f>'Constants - Fuel'!$E$33</f>
        <v>Fuel Oil</v>
      </c>
      <c r="F20" s="61" t="str">
        <f>'Constants - Fuel'!$I$133</f>
        <v>Fuel oil</v>
      </c>
      <c r="H20" cm="1">
        <f t="array" ref="H20">Fuel_InputFunctions.Fuel_TotalConsumption(Table_Input_Fuel[Amount consumed],Table_Input_Fuel[Fuel use (select)],D20,Table_Input_Fuel[Fuel type (select)],F20)</f>
        <v>0</v>
      </c>
    </row>
    <row r="23" spans="4:8" x14ac:dyDescent="0.25">
      <c r="D23" t="s">
        <v>295</v>
      </c>
    </row>
    <row r="24" spans="4:8" ht="17.25" x14ac:dyDescent="0.25">
      <c r="D24" s="60" t="s">
        <v>138</v>
      </c>
      <c r="E24" s="47" t="s">
        <v>237</v>
      </c>
    </row>
    <row r="25" spans="4:8" x14ac:dyDescent="0.25">
      <c r="D25" s="50" t="str" cm="1">
        <f t="array" ref="D25:D43">Table_Fertiliser_ChemicalCompounds[Fertiliser type f]</f>
        <v>Monoammonium phosphate (MAP)</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6" spans="4:8" x14ac:dyDescent="0.25">
      <c r="D26" s="50" t="str">
        <v>Diammonium phosphate (DAP)</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7" spans="4:8" x14ac:dyDescent="0.25">
      <c r="D27" s="50" t="str">
        <v>Urea</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24189.130428200002</v>
      </c>
    </row>
    <row r="28" spans="4:8" x14ac:dyDescent="0.25">
      <c r="D28" s="50" t="str">
        <v>Sulphate of ammonia (SOA)</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29" spans="4:8" x14ac:dyDescent="0.25">
      <c r="D29" s="50" t="str">
        <v>Urea-ammonium nitrate (UAN)</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0" spans="4:8" x14ac:dyDescent="0.25">
      <c r="D30" s="50" t="str">
        <v>Ammonium nitrate (AN)</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1" spans="4:8" x14ac:dyDescent="0.25">
      <c r="D31" s="50" t="str">
        <v>Calcium ammonium nitrate (CAN)</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2" spans="4:8" x14ac:dyDescent="0.25">
      <c r="D32" s="50" t="str">
        <v>Nitrogen - Ammoniacal</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3" spans="4:5" x14ac:dyDescent="0.25">
      <c r="D33" s="50" t="str">
        <v>Nitrogen - Nitrate</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4" spans="4:5" x14ac:dyDescent="0.25">
      <c r="D34" s="50" t="str">
        <v>Nitrogen - Generic</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729.00000000000011</v>
      </c>
    </row>
    <row r="35" spans="4:5" x14ac:dyDescent="0.25">
      <c r="D35" s="50" t="str">
        <v>Phosphorus - Generic</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1040</v>
      </c>
    </row>
    <row r="36" spans="4:5" x14ac:dyDescent="0.25">
      <c r="D36" s="50" t="str">
        <v>Potassium - Generic</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5030</v>
      </c>
    </row>
    <row r="37" spans="4:5" x14ac:dyDescent="0.25">
      <c r="D37" s="50" t="str">
        <v>Sulfur - Generic</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2060</v>
      </c>
    </row>
    <row r="38" spans="4:5" x14ac:dyDescent="0.25">
      <c r="D38" s="50" t="str">
        <v>Zinc - Generic</v>
      </c>
      <c r="E38" s="50" cm="1">
        <f t="array" ref="E38">Fertiliser_InputFunctions.Fertiliser_TotalChemicalCompoundAppliedAllIngredients($D38,Table_Input_InorganicFertiliser_Brands[Total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39" spans="4:5" x14ac:dyDescent="0.25">
      <c r="D39" s="50" t="str">
        <v>Muriate of potash (MOP)</v>
      </c>
      <c r="E39" s="50" cm="1">
        <f t="array" ref="E39">Fertiliser_InputFunctions.Fertiliser_TotalChemicalCompoundAppliedAllIngredients($D39,Table_Input_InorganicFertiliser_Brands[Total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0" spans="4:5" x14ac:dyDescent="0.25">
      <c r="D40" s="50" t="str">
        <v>Double superphosphate</v>
      </c>
      <c r="E40" s="50" cm="1">
        <f t="array" ref="E40">Fertiliser_InputFunctions.Fertiliser_TotalChemicalCompoundAppliedAllIngredients($D40,Table_Input_InorganicFertiliser_Brands[Total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1" spans="4:5" x14ac:dyDescent="0.25">
      <c r="D41" s="50" t="str">
        <v>Single superphosphate (SSP)</v>
      </c>
      <c r="E41" s="50" cm="1">
        <f t="array" ref="E41">Fertiliser_InputFunctions.Fertiliser_TotalChemicalCompoundAppliedAllIngredients($D41,Table_Input_InorganicFertiliser_Brands[Total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row>
    <row r="42" spans="4:5" x14ac:dyDescent="0.25">
      <c r="D42" s="50" t="str">
        <v>Ammonia</v>
      </c>
      <c r="E42" s="50" cm="1">
        <f t="array" ref="E42">Fertiliser_InputFunctions.Fertiliser_TotalChemicalCompoundAppliedAllIngredients($D42,Table_Input_InorganicFertiliser_Brands[Total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Fertiliser_InputFunctions.Fertiliser_TotalChemicalCompoundAppliedAllIngredients($D42,Table_Input_InorganicFertiliser_Custom[Total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row>
    <row r="43" spans="4:5" x14ac:dyDescent="0.25">
      <c r="D43" t="str">
        <v>Calcium nitrate</v>
      </c>
    </row>
    <row r="44" spans="4:5" x14ac:dyDescent="0.25">
      <c r="D44" t="s">
        <v>296</v>
      </c>
    </row>
    <row r="45" spans="4:5" x14ac:dyDescent="0.25">
      <c r="D45" t="s">
        <v>297</v>
      </c>
      <c r="E45" s="149">
        <f>'Input - Electricity'!E11</f>
        <v>500</v>
      </c>
    </row>
    <row r="46" spans="4:5" x14ac:dyDescent="0.25">
      <c r="D46" t="s">
        <v>298</v>
      </c>
      <c r="E46" t="str">
        <f>'Input - Electricity'!E13</f>
        <v>Western Australia - South West Interconnected System (SWIS)</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dimension ref="A1:AI165"/>
  <sheetViews>
    <sheetView showGridLines="0" zoomScaleNormal="100" workbookViewId="0">
      <selection activeCell="V23" sqref="V23"/>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137</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138</v>
      </c>
      <c r="E19" s="3" t="s">
        <v>139</v>
      </c>
      <c r="F19" s="3" t="s">
        <v>140</v>
      </c>
      <c r="G19" s="3" t="s">
        <v>141</v>
      </c>
      <c r="H19" s="3" t="s">
        <v>142</v>
      </c>
      <c r="I19" s="3" t="s">
        <v>143</v>
      </c>
      <c r="K19" s="10" t="s">
        <v>138</v>
      </c>
      <c r="L19" s="10" t="s">
        <v>139</v>
      </c>
      <c r="Q19" s="10" t="s">
        <v>138</v>
      </c>
      <c r="R19" s="10" t="s">
        <v>139</v>
      </c>
      <c r="V19" s="10" t="s">
        <v>143</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144</v>
      </c>
      <c r="F40" s="9" t="s">
        <v>145</v>
      </c>
      <c r="H40" s="9" t="s">
        <v>146</v>
      </c>
      <c r="J40" s="9" t="s">
        <v>147</v>
      </c>
    </row>
    <row r="41" spans="4:10" ht="20.100000000000001" customHeight="1" x14ac:dyDescent="0.25">
      <c r="D41" s="10" t="s">
        <v>148</v>
      </c>
      <c r="F41" s="10" t="s">
        <v>148</v>
      </c>
      <c r="H41" s="10" t="s">
        <v>43</v>
      </c>
      <c r="J41" s="10" t="s">
        <v>149</v>
      </c>
    </row>
    <row r="42" spans="4:10" ht="20.100000000000001" customHeight="1" x14ac:dyDescent="0.25">
      <c r="D42" s="10" t="s">
        <v>150</v>
      </c>
      <c r="F42" s="10" t="s">
        <v>150</v>
      </c>
      <c r="H42" s="10" t="s">
        <v>151</v>
      </c>
      <c r="J42" s="10" t="s">
        <v>152</v>
      </c>
    </row>
    <row r="43" spans="4:10" ht="20.100000000000001" customHeight="1" x14ac:dyDescent="0.25">
      <c r="D43" s="8" t="s">
        <v>153</v>
      </c>
      <c r="F43" s="8" t="s">
        <v>154</v>
      </c>
      <c r="H43" s="10" t="s">
        <v>155</v>
      </c>
      <c r="J43" s="8" t="s">
        <v>156</v>
      </c>
    </row>
    <row r="44" spans="4:10" ht="20.100000000000001" customHeight="1" x14ac:dyDescent="0.25">
      <c r="F44" s="8" t="s">
        <v>157</v>
      </c>
      <c r="H44" s="8" t="s">
        <v>158</v>
      </c>
      <c r="J44" s="8" t="s">
        <v>159</v>
      </c>
    </row>
    <row r="45" spans="4:10" ht="20.100000000000001" customHeight="1" x14ac:dyDescent="0.25">
      <c r="F45" s="8" t="s">
        <v>160</v>
      </c>
      <c r="H45" s="8" t="s">
        <v>161</v>
      </c>
      <c r="J45" s="8" t="s">
        <v>162</v>
      </c>
    </row>
    <row r="46" spans="4:10" ht="20.100000000000001" customHeight="1" x14ac:dyDescent="0.25">
      <c r="H46" s="8" t="s">
        <v>163</v>
      </c>
      <c r="J46" s="8" t="s">
        <v>164</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NH3–N + NOx–N)/kg N) (FracGASFf)</v>
      </c>
      <c r="G49" s="17"/>
    </row>
    <row r="50" spans="4:8" ht="20.100000000000001" customHeight="1" x14ac:dyDescent="0.25">
      <c r="D50" s="10" t="s">
        <v>138</v>
      </c>
      <c r="E50" s="10" t="s">
        <v>165</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166</v>
      </c>
      <c r="E65" s="10" t="s">
        <v>167</v>
      </c>
      <c r="F65" s="10" t="s">
        <v>168</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9" t="s">
        <v>169</v>
      </c>
      <c r="E87" s="17"/>
      <c r="F87" s="17"/>
      <c r="G87" s="17"/>
      <c r="H87" s="17"/>
      <c r="I87" s="17"/>
      <c r="J87" s="17"/>
      <c r="K87" s="17"/>
      <c r="L87" s="17"/>
      <c r="N87" s="17"/>
      <c r="O87" s="17"/>
      <c r="P87" s="17"/>
      <c r="Q87" s="17"/>
      <c r="R87" s="17"/>
      <c r="S87" s="17"/>
      <c r="T87" s="17"/>
      <c r="U87" s="17"/>
    </row>
    <row r="88" spans="4:31" ht="20.100000000000001" customHeight="1" x14ac:dyDescent="0.25">
      <c r="D88" s="17"/>
    </row>
    <row r="89" spans="4:31" ht="20.100000000000001" customHeight="1" x14ac:dyDescent="0.25">
      <c r="D89" s="66" t="s">
        <v>170</v>
      </c>
      <c r="E89" s="10" t="s">
        <v>171</v>
      </c>
      <c r="F89" s="10" t="s">
        <v>172</v>
      </c>
      <c r="G89" s="67" t="s">
        <v>173</v>
      </c>
      <c r="H89" s="67" t="s">
        <v>99</v>
      </c>
      <c r="I89" s="67" t="s">
        <v>174</v>
      </c>
      <c r="J89" s="67" t="s">
        <v>175</v>
      </c>
      <c r="K89" s="67" t="s">
        <v>176</v>
      </c>
      <c r="L89" s="67" t="s">
        <v>177</v>
      </c>
      <c r="M89" s="67" t="s">
        <v>178</v>
      </c>
      <c r="N89" s="67" t="s">
        <v>179</v>
      </c>
      <c r="O89" s="10" t="s">
        <v>180</v>
      </c>
      <c r="P89" s="10" t="s">
        <v>181</v>
      </c>
      <c r="Q89" s="10" t="s">
        <v>182</v>
      </c>
      <c r="R89" s="67" t="s">
        <v>183</v>
      </c>
      <c r="S89" s="67" t="s">
        <v>184</v>
      </c>
      <c r="T89" s="10" t="s">
        <v>185</v>
      </c>
      <c r="U89" s="67" t="s">
        <v>186</v>
      </c>
      <c r="V89" s="67" t="s">
        <v>187</v>
      </c>
      <c r="W89" s="67" t="s">
        <v>188</v>
      </c>
      <c r="X89" s="67" t="s">
        <v>189</v>
      </c>
      <c r="Y89" s="67" t="s">
        <v>190</v>
      </c>
      <c r="Z89" s="10" t="s">
        <v>191</v>
      </c>
      <c r="AA89" s="10" t="s">
        <v>192</v>
      </c>
      <c r="AB89" s="10" t="s">
        <v>193</v>
      </c>
      <c r="AC89" s="10" t="s">
        <v>194</v>
      </c>
      <c r="AD89" s="10" t="s">
        <v>195</v>
      </c>
      <c r="AE89" s="10" t="s">
        <v>196</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f>
        <v>L</v>
      </c>
      <c r="I90" s="65" cm="1">
        <f t="array" ref="I90">Common_InputFunctions.Utility_DisplayArrayInTable(Fertiliser_SourceData.Fertiliser_Products_Data1(),FertiliserProducts[[#Headers],[Include or Exclude]], 0)</f>
        <v>1.26</v>
      </c>
      <c r="J90" s="65" t="str" cm="1">
        <f t="array" ref="J90">Common_InputFunctions.Utility_DisplayArrayInTable(Fertiliser_SourceData.Fertiliser_Products_Data1(),FertiliserProducts[[#Headers],[Include or Exclude]], 0)</f>
        <v/>
      </c>
      <c r="K90" s="65" t="str" cm="1">
        <f t="array" ref="K90">Common_InputFunctions.Utility_DisplayArrayInTable(Fertiliser_SourceData.Fertiliser_Products_Data1(),FertiliserProducts[[#Headers],[Include or Exclude]], 0)</f>
        <v/>
      </c>
      <c r="L90" s="65" t="str" cm="1">
        <f t="array" ref="L90">Common_InputFunctions.Utility_DisplayArrayInTable(Fertiliser_SourceData.Fertiliser_Products_Data1(),FertiliserProducts[[#Headers],[Include or Exclude]], 0)</f>
        <v>Potassium - Generic</v>
      </c>
      <c r="M90" s="10" cm="1">
        <f t="array" ref="M90">Common_InputFunctions.Utility_DisplayArrayInTable(Fertiliser_SourceData.Fertiliser_Products_Data1(),FertiliserProducts[[#Headers],[Include or Exclude]], 0)</f>
        <v>0.22500000000000001</v>
      </c>
      <c r="N90" s="65" t="str" cm="1">
        <f t="array" ref="N90">Common_InputFunctions.Utility_DisplayArrayInTable(Fertiliser_SourceData.Fertiliser_Products_Data1(),FertiliserProducts[[#Headers],[Include or Exclude]], 0)</f>
        <v>Phosphorus - Generic</v>
      </c>
      <c r="O90" s="65" cm="1">
        <f t="array" ref="O90">Common_InputFunctions.Utility_DisplayArrayInTable(Fertiliser_SourceData.Fertiliser_Products_Data1(),FertiliserProducts[[#Headers],[Include or Exclude]], 0)</f>
        <v>0.04</v>
      </c>
      <c r="P90" s="65" t="str" cm="1">
        <f t="array" ref="P90">Common_InputFunctions.Utility_DisplayArrayInTable(Fertiliser_SourceData.Fertiliser_Products_Data1(),FertiliserProducts[[#Headers],[Include or Exclude]], 0)</f>
        <v>Nitrogen - Generic</v>
      </c>
      <c r="Q90" s="65" cm="1">
        <f t="array" ref="Q90">Common_InputFunctions.Utility_DisplayArrayInTable(Fertiliser_SourceData.Fertiliser_Products_Data1(),FertiliserProducts[[#Headers],[Include or Exclude]], 0)</f>
        <v>2.5999999999999999E-2</v>
      </c>
      <c r="R90" s="65" t="str" cm="1">
        <f t="array" ref="R90">Common_InputFunctions.Utility_DisplayArrayInTable(Fertiliser_SourceData.Fertiliser_Products_Data1(),FertiliserProducts[[#Headers],[Include or Exclude]], 0)</f>
        <v/>
      </c>
      <c r="S90" s="65" t="str" cm="1">
        <f t="array" ref="S90">Common_InputFunctions.Utility_DisplayArrayInTable(Fertiliser_SourceData.Fertiliser_Products_Data1(),FertiliserProducts[[#Headers],[Include or Exclude]], 0)</f>
        <v/>
      </c>
      <c r="T90" s="65" t="str" cm="1">
        <f t="array" ref="T90">Common_InputFunctions.Utility_DisplayArrayInTable(Fertiliser_SourceData.Fertiliser_Products_Data1(),FertiliserProducts[[#Headers],[Include or Exclude]], 0)</f>
        <v/>
      </c>
      <c r="U90" s="65"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4:31" ht="20.100000000000001" customHeight="1" x14ac:dyDescent="0.25">
      <c r="D91" s="65" t="str" cm="1">
        <f t="array" ref="D91">Common_InputFunctions.Utility_DisplayArrayInTable(Fertiliser_SourceData.Fertiliser_Products_Data1(),FertiliserProducts[[#Headers],[Include or Exclude]], 0)</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f>
        <v>L</v>
      </c>
      <c r="I91" s="65" cm="1">
        <f t="array" ref="I91">Common_InputFunctions.Utility_DisplayArrayInTable(Fertiliser_SourceData.Fertiliser_Products_Data1(),FertiliserProducts[[#Headers],[Include or Exclude]], 0)</f>
        <v>1.26</v>
      </c>
      <c r="J91" s="65" t="str" cm="1">
        <f t="array" ref="J91">Common_InputFunctions.Utility_DisplayArrayInTable(Fertiliser_SourceData.Fertiliser_Products_Data1(),FertiliserProducts[[#Headers],[Include or Exclude]], 0)</f>
        <v/>
      </c>
      <c r="K91" s="65" t="str" cm="1">
        <f t="array" ref="K91">Common_InputFunctions.Utility_DisplayArrayInTable(Fertiliser_SourceData.Fertiliser_Products_Data1(),FertiliserProducts[[#Headers],[Include or Exclude]], 0)</f>
        <v/>
      </c>
      <c r="L91" s="65" t="str" cm="1">
        <f t="array" ref="L91">Common_InputFunctions.Utility_DisplayArrayInTable(Fertiliser_SourceData.Fertiliser_Products_Data1(),FertiliserProducts[[#Headers],[Include or Exclude]], 0)</f>
        <v>Potassium - Generic</v>
      </c>
      <c r="M91" s="10" cm="1">
        <f t="array" ref="M91">Common_InputFunctions.Utility_DisplayArrayInTable(Fertiliser_SourceData.Fertiliser_Products_Data1(),FertiliserProducts[[#Headers],[Include or Exclude]], 0)</f>
        <v>0.105</v>
      </c>
      <c r="N91" s="65" t="str" cm="1">
        <f t="array" ref="N91">Common_InputFunctions.Utility_DisplayArrayInTable(Fertiliser_SourceData.Fertiliser_Products_Data1(),FertiliserProducts[[#Headers],[Include or Exclude]], 0)</f>
        <v>Nitrogen - Generic</v>
      </c>
      <c r="O91" s="65" cm="1">
        <f t="array" ref="O91">Common_InputFunctions.Utility_DisplayArrayInTable(Fertiliser_SourceData.Fertiliser_Products_Data1(),FertiliserProducts[[#Headers],[Include or Exclude]], 0)</f>
        <v>9.6000000000000002E-2</v>
      </c>
      <c r="P91" s="65" t="str" cm="1">
        <f t="array" ref="P91">Common_InputFunctions.Utility_DisplayArrayInTable(Fertiliser_SourceData.Fertiliser_Products_Data1(),FertiliserProducts[[#Headers],[Include or Exclude]], 0)</f>
        <v>Phosphorus - Generic</v>
      </c>
      <c r="Q91" s="65" cm="1">
        <f t="array" ref="Q91">Common_InputFunctions.Utility_DisplayArrayInTable(Fertiliser_SourceData.Fertiliser_Products_Data1(),FertiliserProducts[[#Headers],[Include or Exclude]], 0)</f>
        <v>0.05</v>
      </c>
      <c r="R91" s="65" t="str" cm="1">
        <f t="array" ref="R91">Common_InputFunctions.Utility_DisplayArrayInTable(Fertiliser_SourceData.Fertiliser_Products_Data1(),FertiliserProducts[[#Headers],[Include or Exclude]], 0)</f>
        <v/>
      </c>
      <c r="S91" s="65" t="str" cm="1">
        <f t="array" ref="S91">Common_InputFunctions.Utility_DisplayArrayInTable(Fertiliser_SourceData.Fertiliser_Products_Data1(),FertiliserProducts[[#Headers],[Include or Exclude]], 0)</f>
        <v/>
      </c>
      <c r="T91" s="65" t="str" cm="1">
        <f t="array" ref="T91">Common_InputFunctions.Utility_DisplayArrayInTable(Fertiliser_SourceData.Fertiliser_Products_Data1(),FertiliserProducts[[#Headers],[Include or Exclude]], 0)</f>
        <v/>
      </c>
      <c r="U91" s="65"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4:31" ht="20.100000000000001" customHeight="1" x14ac:dyDescent="0.25">
      <c r="D92" s="65" t="str" cm="1">
        <f t="array" ref="D92">Common_InputFunctions.Utility_DisplayArrayInTable(Fertiliser_SourceData.Fertiliser_Products_Data1(),FertiliserProducts[[#Headers],[Include or Exclude]], 0)</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f>
        <v>L</v>
      </c>
      <c r="I92" s="65" cm="1">
        <f t="array" ref="I92">Common_InputFunctions.Utility_DisplayArrayInTable(Fertiliser_SourceData.Fertiliser_Products_Data1(),FertiliserProducts[[#Headers],[Include or Exclude]], 0)</f>
        <v>1.24</v>
      </c>
      <c r="J92" s="65" t="str" cm="1">
        <f t="array" ref="J92">Common_InputFunctions.Utility_DisplayArrayInTable(Fertiliser_SourceData.Fertiliser_Products_Data1(),FertiliserProducts[[#Headers],[Include or Exclude]], 0)</f>
        <v/>
      </c>
      <c r="K92" s="65" t="str" cm="1">
        <f t="array" ref="K92">Common_InputFunctions.Utility_DisplayArrayInTable(Fertiliser_SourceData.Fertiliser_Products_Data1(),FertiliserProducts[[#Headers],[Include or Exclude]], 0)</f>
        <v/>
      </c>
      <c r="L92" s="65" t="str" cm="1">
        <f t="array" ref="L92">Common_InputFunctions.Utility_DisplayArrayInTable(Fertiliser_SourceData.Fertiliser_Products_Data1(),FertiliserProducts[[#Headers],[Include or Exclude]], 0)</f>
        <v>Nitrogen - Ammoniacal</v>
      </c>
      <c r="M92" s="10" cm="1">
        <f t="array" ref="M92">Common_InputFunctions.Utility_DisplayArrayInTable(Fertiliser_SourceData.Fertiliser_Products_Data1(),FertiliserProducts[[#Headers],[Include or Exclude]], 0)</f>
        <v>0.223</v>
      </c>
      <c r="N92" s="65" t="str" cm="1">
        <f t="array" ref="N92">Common_InputFunctions.Utility_DisplayArrayInTable(Fertiliser_SourceData.Fertiliser_Products_Data1(),FertiliserProducts[[#Headers],[Include or Exclude]], 0)</f>
        <v/>
      </c>
      <c r="O92" s="65" t="str" cm="1">
        <f t="array" ref="O92">Common_InputFunctions.Utility_DisplayArrayInTable(Fertiliser_SourceData.Fertiliser_Products_Data1(),FertiliserProducts[[#Headers],[Include or Exclude]], 0)</f>
        <v/>
      </c>
      <c r="P92" s="65" t="str" cm="1">
        <f t="array" ref="P92">Common_InputFunctions.Utility_DisplayArrayInTable(Fertiliser_SourceData.Fertiliser_Products_Data1(),FertiliserProducts[[#Headers],[Include or Exclude]], 0)</f>
        <v/>
      </c>
      <c r="Q92" s="65" t="str" cm="1">
        <f t="array" ref="Q92">Common_InputFunctions.Utility_DisplayArrayInTable(Fertiliser_SourceData.Fertiliser_Products_Data1(),FertiliserProducts[[#Headers],[Include or Exclude]], 0)</f>
        <v/>
      </c>
      <c r="R92" s="65" t="str" cm="1">
        <f t="array" ref="R92">Common_InputFunctions.Utility_DisplayArrayInTable(Fertiliser_SourceData.Fertiliser_Products_Data1(),FertiliserProducts[[#Headers],[Include or Exclude]], 0)</f>
        <v/>
      </c>
      <c r="S92" s="65" t="str" cm="1">
        <f t="array" ref="S92">Common_InputFunctions.Utility_DisplayArrayInTable(Fertiliser_SourceData.Fertiliser_Products_Data1(),FertiliserProducts[[#Headers],[Include or Exclude]], 0)</f>
        <v/>
      </c>
      <c r="T92" s="65" t="str" cm="1">
        <f t="array" ref="T92">Common_InputFunctions.Utility_DisplayArrayInTable(Fertiliser_SourceData.Fertiliser_Products_Data1(),FertiliserProducts[[#Headers],[Include or Exclude]], 0)</f>
        <v/>
      </c>
      <c r="U92" s="65"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4:31" ht="20.100000000000001" customHeight="1" x14ac:dyDescent="0.25">
      <c r="D93" s="65" t="str" cm="1">
        <f t="array" ref="D93">Common_InputFunctions.Utility_DisplayArrayInTable(Fertiliser_SourceData.Fertiliser_Products_Data1(),FertiliserProducts[[#Headers],[Include or Exclude]], 0)</f>
        <v>Include</v>
      </c>
      <c r="E93" s="65" t="str" cm="1">
        <f t="array" ref="E93">Common_InputFunctions.Utility_DisplayArrayInTable(Fertiliser_SourceData.Fertiliser_Products_Data1(),FertiliserProducts[[#Headers],[Include or Exclude]], 0)</f>
        <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Start</v>
      </c>
      <c r="H93" s="65" t="str" cm="1">
        <f t="array" ref="H93">Common_InputFunctions.Utility_DisplayArrayInTable(Fertiliser_SourceData.Fertiliser_Products_Data1(),FertiliserProducts[[#Headers],[Include or Exclude]], 0)</f>
        <v>L</v>
      </c>
      <c r="I93" s="65" cm="1">
        <f t="array" ref="I93">Common_InputFunctions.Utility_DisplayArrayInTable(Fertiliser_SourceData.Fertiliser_Products_Data1(),FertiliserProducts[[#Headers],[Include or Exclude]], 0)</f>
        <v>1.25</v>
      </c>
      <c r="J93" s="65" t="str" cm="1">
        <f t="array" ref="J93">Common_InputFunctions.Utility_DisplayArrayInTable(Fertiliser_SourceData.Fertiliser_Products_Data1(),FertiliserProducts[[#Headers],[Include or Exclude]], 0)</f>
        <v/>
      </c>
      <c r="K93" s="65" t="str" cm="1">
        <f t="array" ref="K93">Common_InputFunctions.Utility_DisplayArrayInTable(Fertiliser_SourceData.Fertiliser_Products_Data1(),FertiliserProducts[[#Headers],[Include or Exclude]], 0)</f>
        <v/>
      </c>
      <c r="L93" s="65" t="str" cm="1">
        <f t="array" ref="L93">Common_InputFunctions.Utility_DisplayArrayInTable(Fertiliser_SourceData.Fertiliser_Products_Data1(),FertiliserProducts[[#Headers],[Include or Exclude]], 0)</f>
        <v>Nitrogen - Generic</v>
      </c>
      <c r="M93" s="10" cm="1">
        <f t="array" ref="M93">Common_InputFunctions.Utility_DisplayArrayInTable(Fertiliser_SourceData.Fertiliser_Products_Data1(),FertiliserProducts[[#Headers],[Include or Exclude]], 0)</f>
        <v>0.10299999999999999</v>
      </c>
      <c r="N93" s="65" t="str" cm="1">
        <f t="array" ref="N93">Common_InputFunctions.Utility_DisplayArrayInTable(Fertiliser_SourceData.Fertiliser_Products_Data1(),FertiliserProducts[[#Headers],[Include or Exclude]], 0)</f>
        <v>Phosphorus - Generic</v>
      </c>
      <c r="O93" s="65" cm="1">
        <f t="array" ref="O93">Common_InputFunctions.Utility_DisplayArrayInTable(Fertiliser_SourceData.Fertiliser_Products_Data1(),FertiliserProducts[[#Headers],[Include or Exclude]], 0)</f>
        <v>0.1</v>
      </c>
      <c r="P93" s="65" t="str" cm="1">
        <f t="array" ref="P93">Common_InputFunctions.Utility_DisplayArrayInTable(Fertiliser_SourceData.Fertiliser_Products_Data1(),FertiliserProducts[[#Headers],[Include or Exclude]], 0)</f>
        <v>Potassium - Generic</v>
      </c>
      <c r="Q93" s="65" cm="1">
        <f t="array" ref="Q93">Common_InputFunctions.Utility_DisplayArrayInTable(Fertiliser_SourceData.Fertiliser_Products_Data1(),FertiliserProducts[[#Headers],[Include or Exclude]], 0)</f>
        <v>3.4000000000000002E-2</v>
      </c>
      <c r="R93" s="65" t="str" cm="1">
        <f t="array" ref="R93">Common_InputFunctions.Utility_DisplayArrayInTable(Fertiliser_SourceData.Fertiliser_Products_Data1(),FertiliserProducts[[#Headers],[Include or Exclude]], 0)</f>
        <v/>
      </c>
      <c r="S93" s="65" t="str" cm="1">
        <f t="array" ref="S93">Common_InputFunctions.Utility_DisplayArrayInTable(Fertiliser_SourceData.Fertiliser_Products_Data1(),FertiliserProducts[[#Headers],[Include or Exclude]], 0)</f>
        <v/>
      </c>
      <c r="T93" s="65" t="str" cm="1">
        <f t="array" ref="T93">Common_InputFunctions.Utility_DisplayArrayInTable(Fertiliser_SourceData.Fertiliser_Products_Data1(),FertiliserProducts[[#Headers],[Include or Exclude]], 0)</f>
        <v/>
      </c>
      <c r="U93" s="65"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4:31" ht="20.100000000000001" customHeight="1" x14ac:dyDescent="0.25">
      <c r="D94" s="65" t="str" cm="1">
        <f t="array" ref="D94">Common_InputFunctions.Utility_DisplayArrayInTable(Fertiliser_SourceData.Fertiliser_Products_Data1(),FertiliserProducts[[#Headers],[Include or Exclude]], 0)</f>
        <v>Include</v>
      </c>
      <c r="E94" s="65" t="str" cm="1">
        <f t="array" ref="E94">Common_InputFunctions.Utility_DisplayArrayInTable(Fertiliser_SourceData.Fertiliser_Products_Data1(),FertiliserProducts[[#Headers],[Include or Exclude]], 0)</f>
        <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Thio-Complete</v>
      </c>
      <c r="H94" s="65" t="str" cm="1">
        <f t="array" ref="H94">Common_InputFunctions.Utility_DisplayArrayInTable(Fertiliser_SourceData.Fertiliser_Products_Data1(),FertiliserProducts[[#Headers],[Include or Exclude]], 0)</f>
        <v>L</v>
      </c>
      <c r="I94" s="65" cm="1">
        <f t="array" ref="I94">Common_InputFunctions.Utility_DisplayArrayInTable(Fertiliser_SourceData.Fertiliser_Products_Data1(),FertiliserProducts[[#Headers],[Include or Exclude]], 0)</f>
        <v>1.43</v>
      </c>
      <c r="J94" s="65" t="str" cm="1">
        <f t="array" ref="J94">Common_InputFunctions.Utility_DisplayArrayInTable(Fertiliser_SourceData.Fertiliser_Products_Data1(),FertiliserProducts[[#Headers],[Include or Exclude]], 0)</f>
        <v/>
      </c>
      <c r="K94" s="65" t="str" cm="1">
        <f t="array" ref="K94">Common_InputFunctions.Utility_DisplayArrayInTable(Fertiliser_SourceData.Fertiliser_Products_Data1(),FertiliserProducts[[#Headers],[Include or Exclude]], 0)</f>
        <v/>
      </c>
      <c r="L94" s="65" t="str" cm="1">
        <f t="array" ref="L94">Common_InputFunctions.Utility_DisplayArrayInTable(Fertiliser_SourceData.Fertiliser_Products_Data1(),FertiliserProducts[[#Headers],[Include or Exclude]], 0)</f>
        <v>Potassium - Generic</v>
      </c>
      <c r="M94" s="10" cm="1">
        <f t="array" ref="M94">Common_InputFunctions.Utility_DisplayArrayInTable(Fertiliser_SourceData.Fertiliser_Products_Data1(),FertiliserProducts[[#Headers],[Include or Exclude]], 0)</f>
        <v>0.22500000000000001</v>
      </c>
      <c r="N94" s="65" t="str" cm="1">
        <f t="array" ref="N94">Common_InputFunctions.Utility_DisplayArrayInTable(Fertiliser_SourceData.Fertiliser_Products_Data1(),FertiliserProducts[[#Headers],[Include or Exclude]], 0)</f>
        <v>Phosphorus - Generic</v>
      </c>
      <c r="O94" s="65" cm="1">
        <f t="array" ref="O94">Common_InputFunctions.Utility_DisplayArrayInTable(Fertiliser_SourceData.Fertiliser_Products_Data1(),FertiliserProducts[[#Headers],[Include or Exclude]], 0)</f>
        <v>3.7999999999999999E-2</v>
      </c>
      <c r="P94" s="65" t="str" cm="1">
        <f t="array" ref="P94">Common_InputFunctions.Utility_DisplayArrayInTable(Fertiliser_SourceData.Fertiliser_Products_Data1(),FertiliserProducts[[#Headers],[Include or Exclude]], 0)</f>
        <v>Nitrogen - Generic</v>
      </c>
      <c r="Q94" s="65" cm="1">
        <f t="array" ref="Q94">Common_InputFunctions.Utility_DisplayArrayInTable(Fertiliser_SourceData.Fertiliser_Products_Data1(),FertiliserProducts[[#Headers],[Include or Exclude]], 0)</f>
        <v>2.5000000000000001E-2</v>
      </c>
      <c r="R94" s="65" t="str" cm="1">
        <f t="array" ref="R94">Common_InputFunctions.Utility_DisplayArrayInTable(Fertiliser_SourceData.Fertiliser_Products_Data1(),FertiliserProducts[[#Headers],[Include or Exclude]], 0)</f>
        <v/>
      </c>
      <c r="S94" s="65" t="str" cm="1">
        <f t="array" ref="S94">Common_InputFunctions.Utility_DisplayArrayInTable(Fertiliser_SourceData.Fertiliser_Products_Data1(),FertiliserProducts[[#Headers],[Include or Exclude]], 0)</f>
        <v/>
      </c>
      <c r="T94" s="65" t="str" cm="1">
        <f t="array" ref="T94">Common_InputFunctions.Utility_DisplayArrayInTable(Fertiliser_SourceData.Fertiliser_Products_Data1(),FertiliserProducts[[#Headers],[Include or Exclude]], 0)</f>
        <v/>
      </c>
      <c r="U94" s="65"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4:31" ht="20.100000000000001" customHeight="1" x14ac:dyDescent="0.25">
      <c r="D95" s="65" t="str" cm="1">
        <f t="array" ref="D95">Common_InputFunctions.Utility_DisplayArrayInTable(Fertiliser_SourceData.Fertiliser_Products_Data1(),FertiliserProducts[[#Headers],[Include or Exclude]], 0)</f>
        <v>Include</v>
      </c>
      <c r="E95" s="65" t="str" cm="1">
        <f t="array" ref="E95">Common_InputFunctions.Utility_DisplayArrayInTable(Fertiliser_SourceData.Fertiliser_Products_Data1(),FertiliserProducts[[#Headers],[Include or Exclude]], 0)</f>
        <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Thio-Emerge</v>
      </c>
      <c r="H95" s="65" t="str" cm="1">
        <f t="array" ref="H95">Common_InputFunctions.Utility_DisplayArrayInTable(Fertiliser_SourceData.Fertiliser_Products_Data1(),FertiliserProducts[[#Headers],[Include or Exclude]], 0)</f>
        <v>L</v>
      </c>
      <c r="I95" s="65" cm="1">
        <f t="array" ref="I95">Common_InputFunctions.Utility_DisplayArrayInTable(Fertiliser_SourceData.Fertiliser_Products_Data1(),FertiliserProducts[[#Headers],[Include or Exclude]], 0)</f>
        <v>1.29</v>
      </c>
      <c r="J95" s="65" t="str" cm="1">
        <f t="array" ref="J95">Common_InputFunctions.Utility_DisplayArrayInTable(Fertiliser_SourceData.Fertiliser_Products_Data1(),FertiliserProducts[[#Headers],[Include or Exclude]], 0)</f>
        <v/>
      </c>
      <c r="K95" s="65" t="str" cm="1">
        <f t="array" ref="K95">Common_InputFunctions.Utility_DisplayArrayInTable(Fertiliser_SourceData.Fertiliser_Products_Data1(),FertiliserProducts[[#Headers],[Include or Exclude]], 0)</f>
        <v/>
      </c>
      <c r="L95" s="65" t="str" cm="1">
        <f t="array" ref="L95">Common_InputFunctions.Utility_DisplayArrayInTable(Fertiliser_SourceData.Fertiliser_Products_Data1(),FertiliserProducts[[#Headers],[Include or Exclude]], 0)</f>
        <v>Nitrogen - Generic</v>
      </c>
      <c r="M95" s="10" cm="1">
        <f t="array" ref="M95">Common_InputFunctions.Utility_DisplayArrayInTable(Fertiliser_SourceData.Fertiliser_Products_Data1(),FertiliserProducts[[#Headers],[Include or Exclude]], 0)</f>
        <v>0.105</v>
      </c>
      <c r="N95" s="65" t="str" cm="1">
        <f t="array" ref="N95">Common_InputFunctions.Utility_DisplayArrayInTable(Fertiliser_SourceData.Fertiliser_Products_Data1(),FertiliserProducts[[#Headers],[Include or Exclude]], 0)</f>
        <v>Phosphorus - Generic</v>
      </c>
      <c r="O95" s="65" cm="1">
        <f t="array" ref="O95">Common_InputFunctions.Utility_DisplayArrayInTable(Fertiliser_SourceData.Fertiliser_Products_Data1(),FertiliserProducts[[#Headers],[Include or Exclude]], 0)</f>
        <v>9.4E-2</v>
      </c>
      <c r="P95" s="65" t="str" cm="1">
        <f t="array" ref="P95">Common_InputFunctions.Utility_DisplayArrayInTable(Fertiliser_SourceData.Fertiliser_Products_Data1(),FertiliserProducts[[#Headers],[Include or Exclude]], 0)</f>
        <v>Potassium - Generic</v>
      </c>
      <c r="Q95" s="65" cm="1">
        <f t="array" ref="Q95">Common_InputFunctions.Utility_DisplayArrayInTable(Fertiliser_SourceData.Fertiliser_Products_Data1(),FertiliserProducts[[#Headers],[Include or Exclude]], 0)</f>
        <v>0.04</v>
      </c>
      <c r="R95" s="65" t="str" cm="1">
        <f t="array" ref="R95">Common_InputFunctions.Utility_DisplayArrayInTable(Fertiliser_SourceData.Fertiliser_Products_Data1(),FertiliserProducts[[#Headers],[Include or Exclude]], 0)</f>
        <v>Sulfur - Generic</v>
      </c>
      <c r="S95" s="65" cm="1">
        <f t="array" ref="S95">Common_InputFunctions.Utility_DisplayArrayInTable(Fertiliser_SourceData.Fertiliser_Products_Data1(),FertiliserProducts[[#Headers],[Include or Exclude]], 0)</f>
        <v>0.03</v>
      </c>
      <c r="T95" s="65" t="str" cm="1">
        <f t="array" ref="T95">Common_InputFunctions.Utility_DisplayArrayInTable(Fertiliser_SourceData.Fertiliser_Products_Data1(),FertiliserProducts[[#Headers],[Include or Exclude]], 0)</f>
        <v/>
      </c>
      <c r="U95" s="65"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4:31" ht="20.100000000000001" customHeight="1" x14ac:dyDescent="0.25">
      <c r="D96" s="65" t="str" cm="1">
        <f t="array" ref="D96">Common_InputFunctions.Utility_DisplayArrayInTable(Fertiliser_SourceData.Fertiliser_Products_Data1(),FertiliserProducts[[#Headers],[Include or Exclude]], 0)</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Thio-Flourish</v>
      </c>
      <c r="H96" s="65" t="str" cm="1">
        <f t="array" ref="H96">Common_InputFunctions.Utility_DisplayArrayInTable(Fertiliser_SourceData.Fertiliser_Products_Data1(),FertiliserProducts[[#Headers],[Include or Exclude]], 0)</f>
        <v>L</v>
      </c>
      <c r="I96" s="65" cm="1">
        <f t="array" ref="I96">Common_InputFunctions.Utility_DisplayArrayInTable(Fertiliser_SourceData.Fertiliser_Products_Data1(),FertiliserProducts[[#Headers],[Include or Exclude]], 0)</f>
        <v>1.32</v>
      </c>
      <c r="J96" s="65" t="str" cm="1">
        <f t="array" ref="J96">Common_InputFunctions.Utility_DisplayArrayInTable(Fertiliser_SourceData.Fertiliser_Products_Data1(),FertiliserProducts[[#Headers],[Include or Exclude]], 0)</f>
        <v/>
      </c>
      <c r="K96" s="65" t="str" cm="1">
        <f t="array" ref="K96">Common_InputFunctions.Utility_DisplayArrayInTable(Fertiliser_SourceData.Fertiliser_Products_Data1(),FertiliserProducts[[#Headers],[Include or Exclude]], 0)</f>
        <v/>
      </c>
      <c r="L96" s="65" t="str" cm="1">
        <f t="array" ref="L96">Common_InputFunctions.Utility_DisplayArrayInTable(Fertiliser_SourceData.Fertiliser_Products_Data1(),FertiliserProducts[[#Headers],[Include or Exclude]], 0)</f>
        <v>Potassium - Generic</v>
      </c>
      <c r="M96" s="10" cm="1">
        <f t="array" ref="M96">Common_InputFunctions.Utility_DisplayArrayInTable(Fertiliser_SourceData.Fertiliser_Products_Data1(),FertiliserProducts[[#Headers],[Include or Exclude]], 0)</f>
        <v>0.108</v>
      </c>
      <c r="N96" s="65" t="str" cm="1">
        <f t="array" ref="N96">Common_InputFunctions.Utility_DisplayArrayInTable(Fertiliser_SourceData.Fertiliser_Products_Data1(),FertiliserProducts[[#Headers],[Include or Exclude]], 0)</f>
        <v>Nitrogen - Generic</v>
      </c>
      <c r="O96" s="65" cm="1">
        <f t="array" ref="O96">Common_InputFunctions.Utility_DisplayArrayInTable(Fertiliser_SourceData.Fertiliser_Products_Data1(),FertiliserProducts[[#Headers],[Include or Exclude]], 0)</f>
        <v>9.5000000000000001E-2</v>
      </c>
      <c r="P96" s="65" t="str" cm="1">
        <f t="array" ref="P96">Common_InputFunctions.Utility_DisplayArrayInTable(Fertiliser_SourceData.Fertiliser_Products_Data1(),FertiliserProducts[[#Headers],[Include or Exclude]], 0)</f>
        <v>Sulfur - Generic</v>
      </c>
      <c r="Q96" s="65" cm="1">
        <f t="array" ref="Q96">Common_InputFunctions.Utility_DisplayArrayInTable(Fertiliser_SourceData.Fertiliser_Products_Data1(),FertiliserProducts[[#Headers],[Include or Exclude]], 0)</f>
        <v>8.1000000000000003E-2</v>
      </c>
      <c r="R96" s="65" t="str" cm="1">
        <f t="array" ref="R96">Common_InputFunctions.Utility_DisplayArrayInTable(Fertiliser_SourceData.Fertiliser_Products_Data1(),FertiliserProducts[[#Headers],[Include or Exclude]], 0)</f>
        <v>Phosphorus - Generic</v>
      </c>
      <c r="S96" s="65" cm="1">
        <f t="array" ref="S96">Common_InputFunctions.Utility_DisplayArrayInTable(Fertiliser_SourceData.Fertiliser_Products_Data1(),FertiliserProducts[[#Headers],[Include or Exclude]], 0)</f>
        <v>4.7E-2</v>
      </c>
      <c r="T96" s="65" t="str" cm="1">
        <f t="array" ref="T96">Common_InputFunctions.Utility_DisplayArrayInTable(Fertiliser_SourceData.Fertiliser_Products_Data1(),FertiliserProducts[[#Headers],[Include or Exclude]], 0)</f>
        <v/>
      </c>
      <c r="U96" s="65"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4:31" ht="20.100000000000001" customHeight="1" x14ac:dyDescent="0.25">
      <c r="D97" s="65" t="str" cm="1">
        <f t="array" ref="D97">Common_InputFunctions.Utility_DisplayArrayInTable(Fertiliser_SourceData.Fertiliser_Products_Data1(),FertiliserProducts[[#Headers],[Include or Exclude]], 0)</f>
        <v>Include - Absent ingredients &lt; 2%</v>
      </c>
      <c r="E97" s="65" t="str" cm="1">
        <f t="array" ref="E97">Common_InputFunctions.Utility_DisplayArrayInTable(Fertiliser_SourceData.Fertiliser_Products_Data1(),FertiliserProducts[[#Headers],[Include or Exclude]], 0)</f>
        <v>Amount of urea calculated from urea nitrogen amount</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Boost-It</v>
      </c>
      <c r="H97" s="65" t="str" cm="1">
        <f t="array" ref="H97">Common_InputFunctions.Utility_DisplayArrayInTable(Fertiliser_SourceData.Fertiliser_Products_Data1(),FertiliserProducts[[#Headers],[Include or Exclude]], 0)</f>
        <v>kg</v>
      </c>
      <c r="I97" s="65" cm="1">
        <f t="array" ref="I97">Common_InputFunctions.Utility_DisplayArrayInTable(Fertiliser_SourceData.Fertiliser_Products_Data1(),FertiliserProducts[[#Headers],[Include or Exclude]], 0)</f>
        <v>1</v>
      </c>
      <c r="J97" s="65" t="str" cm="1">
        <f t="array" ref="J97">Common_InputFunctions.Utility_DisplayArrayInTable(Fertiliser_SourceData.Fertiliser_Products_Data1(),FertiliserProducts[[#Headers],[Include or Exclude]], 0)</f>
        <v/>
      </c>
      <c r="K97" s="65" t="str" cm="1">
        <f t="array" ref="K97">Common_InputFunctions.Utility_DisplayArrayInTable(Fertiliser_SourceData.Fertiliser_Products_Data1(),FertiliserProducts[[#Headers],[Include or Exclude]], 0)</f>
        <v/>
      </c>
      <c r="L97" s="65" t="str" cm="1">
        <f t="array" ref="L97">Common_InputFunctions.Utility_DisplayArrayInTable(Fertiliser_SourceData.Fertiliser_Products_Data1(),FertiliserProducts[[#Headers],[Include or Exclude]], 0)</f>
        <v>Urea</v>
      </c>
      <c r="M97" s="10" cm="1">
        <f t="array" ref="M97">Common_InputFunctions.Utility_DisplayArrayInTable(Fertiliser_SourceData.Fertiliser_Products_Data1(),FertiliserProducts[[#Headers],[Include or Exclude]], 0)</f>
        <v>0.52173913000000005</v>
      </c>
      <c r="N97" s="65" t="str" cm="1">
        <f t="array" ref="N97">Common_InputFunctions.Utility_DisplayArrayInTable(Fertiliser_SourceData.Fertiliser_Products_Data1(),FertiliserProducts[[#Headers],[Include or Exclude]], 0)</f>
        <v>Potassium - Generic</v>
      </c>
      <c r="O97" s="65" cm="1">
        <f t="array" ref="O97">Common_InputFunctions.Utility_DisplayArrayInTable(Fertiliser_SourceData.Fertiliser_Products_Data1(),FertiliserProducts[[#Headers],[Include or Exclude]], 0)</f>
        <v>0.08</v>
      </c>
      <c r="P97" s="65" t="str" cm="1">
        <f t="array" ref="P97">Common_InputFunctions.Utility_DisplayArrayInTable(Fertiliser_SourceData.Fertiliser_Products_Data1(),FertiliserProducts[[#Headers],[Include or Exclude]], 0)</f>
        <v>Sulfur - Generic</v>
      </c>
      <c r="Q97" s="65" cm="1">
        <f t="array" ref="Q97">Common_InputFunctions.Utility_DisplayArrayInTable(Fertiliser_SourceData.Fertiliser_Products_Data1(),FertiliserProducts[[#Headers],[Include or Exclude]], 0)</f>
        <v>5.2999999999999999E-2</v>
      </c>
      <c r="R97" s="65" t="str" cm="1">
        <f t="array" ref="R97">Common_InputFunctions.Utility_DisplayArrayInTable(Fertiliser_SourceData.Fertiliser_Products_Data1(),FertiliserProducts[[#Headers],[Include or Exclude]], 0)</f>
        <v>Phosphorus - Generic</v>
      </c>
      <c r="S97" s="65" cm="1">
        <f t="array" ref="S97">Common_InputFunctions.Utility_DisplayArrayInTable(Fertiliser_SourceData.Fertiliser_Products_Data1(),FertiliserProducts[[#Headers],[Include or Exclude]], 0)</f>
        <v>5.1999999999999998E-2</v>
      </c>
      <c r="T97" s="65" t="str" cm="1">
        <f t="array" ref="T97">Common_InputFunctions.Utility_DisplayArrayInTable(Fertiliser_SourceData.Fertiliser_Products_Data1(),FertiliserProducts[[#Headers],[Include or Exclude]], 0)</f>
        <v>Magnesium</v>
      </c>
      <c r="U97" s="65" cm="1">
        <f t="array" ref="U97">Common_InputFunctions.Utility_DisplayArrayInTable(Fertiliser_SourceData.Fertiliser_Products_Data1(),FertiliserProducts[[#Headers],[Include or Exclude]], 0)</f>
        <v>1.2999999999999999E-2</v>
      </c>
      <c r="V97" s="10" t="str" cm="1">
        <f t="array" ref="V97">Common_InputFunctions.Utility_DisplayArrayInTable(Fertiliser_SourceData.Fertiliser_Products_Data1(),FertiliserProducts[[#Headers],[Include or Exclude]], 0)</f>
        <v>Zinc</v>
      </c>
      <c r="W97" s="10" cm="1">
        <f t="array" ref="W97">Common_InputFunctions.Utility_DisplayArrayInTable(Fertiliser_SourceData.Fertiliser_Products_Data1(),FertiliserProducts[[#Headers],[Include or Exclude]], 0)</f>
        <v>2E-3</v>
      </c>
      <c r="X97" s="10" t="str" cm="1">
        <f t="array" ref="X97">Common_InputFunctions.Utility_DisplayArrayInTable(Fertiliser_SourceData.Fertiliser_Products_Data1(),FertiliserProducts[[#Headers],[Include or Exclude]], 0)</f>
        <v>Manganese</v>
      </c>
      <c r="Y97" s="10" cm="1">
        <f t="array" ref="Y97">Common_InputFunctions.Utility_DisplayArrayInTable(Fertiliser_SourceData.Fertiliser_Products_Data1(),FertiliserProducts[[#Headers],[Include or Exclude]], 0)</f>
        <v>3.5000000000000001E-3</v>
      </c>
      <c r="Z97" s="10" t="str" cm="1">
        <f t="array" ref="Z97">Common_InputFunctions.Utility_DisplayArrayInTable(Fertiliser_SourceData.Fertiliser_Products_Data1(),FertiliserProducts[[#Headers],[Include or Exclude]], 0)</f>
        <v>Iron</v>
      </c>
      <c r="AA97" s="10" cm="1">
        <f t="array" ref="AA97">Common_InputFunctions.Utility_DisplayArrayInTable(Fertiliser_SourceData.Fertiliser_Products_Data1(),FertiliserProducts[[#Headers],[Include or Exclude]], 0)</f>
        <v>1.2999999999999999E-3</v>
      </c>
      <c r="AB97" s="10" t="str" cm="1">
        <f t="array" ref="AB97">Common_InputFunctions.Utility_DisplayArrayInTable(Fertiliser_SourceData.Fertiliser_Products_Data1(),FertiliserProducts[[#Headers],[Include or Exclude]], 0)</f>
        <v>Copper</v>
      </c>
      <c r="AC97" s="10" cm="1">
        <f t="array" ref="AC97">Common_InputFunctions.Utility_DisplayArrayInTable(Fertiliser_SourceData.Fertiliser_Products_Data1(),FertiliserProducts[[#Headers],[Include or Exclude]], 0)</f>
        <v>6.9999999999999999E-4</v>
      </c>
      <c r="AD97" s="10" t="str" cm="1">
        <f t="array" ref="AD97">Common_InputFunctions.Utility_DisplayArrayInTable(Fertiliser_SourceData.Fertiliser_Products_Data1(),FertiliserProducts[[#Headers],[Include or Exclude]], 0)</f>
        <v>Boron</v>
      </c>
      <c r="AE97" s="10" cm="1">
        <f t="array" ref="AE97">Common_InputFunctions.Utility_DisplayArrayInTable(Fertiliser_SourceData.Fertiliser_Products_Data1(),FertiliserProducts[[#Headers],[Include or Exclude]], 0)</f>
        <v>6.9999999999999999E-4</v>
      </c>
    </row>
    <row r="98" spans="4:31" ht="20.100000000000001" customHeight="1" x14ac:dyDescent="0.25">
      <c r="D98" s="65" t="str" cm="1">
        <f t="array" ref="D98">Common_InputFunctions.Utility_DisplayArrayInTable(Fertiliser_SourceData.Fertiliser_Products_Data1(),FertiliserProducts[[#Headers],[Include or Exclude]], 0)</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Bronze</v>
      </c>
      <c r="H98" s="65" t="str" cm="1">
        <f t="array" ref="H98">Common_InputFunctions.Utility_DisplayArrayInTable(Fertiliser_SourceData.Fertiliser_Products_Data1(),FertiliserProducts[[#Headers],[Include or Exclude]], 0)</f>
        <v>kg</v>
      </c>
      <c r="I98" s="65" cm="1">
        <f t="array" ref="I98">Common_InputFunctions.Utility_DisplayArrayInTable(Fertiliser_SourceData.Fertiliser_Products_Data1(),FertiliserProducts[[#Headers],[Include or Exclude]], 0)</f>
        <v>1</v>
      </c>
      <c r="J98" s="65" t="str" cm="1">
        <f t="array" ref="J98">Common_InputFunctions.Utility_DisplayArrayInTable(Fertiliser_SourceData.Fertiliser_Products_Data1(),FertiliserProducts[[#Headers],[Include or Exclude]], 0)</f>
        <v/>
      </c>
      <c r="K98" s="65" t="str" cm="1">
        <f t="array" ref="K98">Common_InputFunctions.Utility_DisplayArrayInTable(Fertiliser_SourceData.Fertiliser_Products_Data1(),FertiliserProducts[[#Headers],[Include or Exclude]], 0)</f>
        <v/>
      </c>
      <c r="L98" s="65" t="str" cm="1">
        <f t="array" ref="L98">Common_InputFunctions.Utility_DisplayArrayInTable(Fertiliser_SourceData.Fertiliser_Products_Data1(),FertiliserProducts[[#Headers],[Include or Exclude]], 0)</f>
        <v>Muriate of Potash (MOP)</v>
      </c>
      <c r="M98" s="10" cm="1">
        <f t="array" ref="M98">Common_InputFunctions.Utility_DisplayArrayInTable(Fertiliser_SourceData.Fertiliser_Products_Data1(),FertiliserProducts[[#Headers],[Include or Exclude]], 0)</f>
        <v>0.23200000000000001</v>
      </c>
      <c r="N98" s="65" t="str" cm="1">
        <f t="array" ref="N98">Common_InputFunctions.Utility_DisplayArrayInTable(Fertiliser_SourceData.Fertiliser_Products_Data1(),FertiliserProducts[[#Headers],[Include or Exclude]], 0)</f>
        <v>Nitrogen - Generic</v>
      </c>
      <c r="O98" s="65" cm="1">
        <f t="array" ref="O98">Common_InputFunctions.Utility_DisplayArrayInTable(Fertiliser_SourceData.Fertiliser_Products_Data1(),FertiliserProducts[[#Headers],[Include or Exclude]], 0)</f>
        <v>0.17</v>
      </c>
      <c r="P98" s="65" t="str" cm="1">
        <f t="array" ref="P98">Common_InputFunctions.Utility_DisplayArrayInTable(Fertiliser_SourceData.Fertiliser_Products_Data1(),FertiliserProducts[[#Headers],[Include or Exclude]], 0)</f>
        <v>Sulfur - Generic</v>
      </c>
      <c r="Q98" s="65" cm="1">
        <f t="array" ref="Q98">Common_InputFunctions.Utility_DisplayArrayInTable(Fertiliser_SourceData.Fertiliser_Products_Data1(),FertiliserProducts[[#Headers],[Include or Exclude]], 0)</f>
        <v>5.0000000000000001E-3</v>
      </c>
      <c r="R98" s="65" t="str" cm="1">
        <f t="array" ref="R98">Common_InputFunctions.Utility_DisplayArrayInTable(Fertiliser_SourceData.Fertiliser_Products_Data1(),FertiliserProducts[[#Headers],[Include or Exclude]], 0)</f>
        <v>Magnesium</v>
      </c>
      <c r="S98" s="65" cm="1">
        <f t="array" ref="S98">Common_InputFunctions.Utility_DisplayArrayInTable(Fertiliser_SourceData.Fertiliser_Products_Data1(),FertiliserProducts[[#Headers],[Include or Exclude]], 0)</f>
        <v>2.3999999999999998E-3</v>
      </c>
      <c r="T98" s="65" t="str" cm="1">
        <f t="array" ref="T98">Common_InputFunctions.Utility_DisplayArrayInTable(Fertiliser_SourceData.Fertiliser_Products_Data1(),FertiliserProducts[[#Headers],[Include or Exclude]], 0)</f>
        <v>Phosphorus - Generic</v>
      </c>
      <c r="U98" s="65" cm="1">
        <f t="array" ref="U98">Common_InputFunctions.Utility_DisplayArrayInTable(Fertiliser_SourceData.Fertiliser_Products_Data1(),FertiliserProducts[[#Headers],[Include or Exclude]], 0)</f>
        <v>4.0000000000000002E-4</v>
      </c>
      <c r="V98" s="10" t="str" cm="1">
        <f t="array" ref="V98">Common_InputFunctions.Utility_DisplayArrayInTable(Fertiliser_SourceData.Fertiliser_Products_Data1(),FertiliserProducts[[#Headers],[Include or Exclude]], 0)</f>
        <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4:31" ht="20.100000000000001" customHeight="1" x14ac:dyDescent="0.25">
      <c r="D99" s="65" t="str" cm="1">
        <f t="array" ref="D99">Common_InputFunctions.Utility_DisplayArrayInTable(Fertiliser_SourceData.Fertiliser_Products_Data1(),FertiliserProducts[[#Headers],[Include or Exclude]], 0)</f>
        <v>Include</v>
      </c>
      <c r="E99" s="65" t="str" cm="1">
        <f t="array" ref="E99">Common_InputFunctions.Utility_DisplayArrayInTable(Fertiliser_SourceData.Fertiliser_Products_Data1(),FertiliserProducts[[#Headers],[Include or Exclude]], 0)</f>
        <v>50/50 nitrate and ammoniacal nitrogen (ammonium nitrate)</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Compass</v>
      </c>
      <c r="H99" s="65" t="str" cm="1">
        <f t="array" ref="H99">Common_InputFunctions.Utility_DisplayArrayInTable(Fertiliser_SourceData.Fertiliser_Products_Data1(),FertiliserProducts[[#Headers],[Include or Exclude]], 0)</f>
        <v>kg</v>
      </c>
      <c r="I99" s="65" cm="1">
        <f t="array" ref="I99">Common_InputFunctions.Utility_DisplayArrayInTable(Fertiliser_SourceData.Fertiliser_Products_Data1(),FertiliserProducts[[#Headers],[Include or Exclude]], 0)</f>
        <v>1</v>
      </c>
      <c r="J99" s="65" t="str" cm="1">
        <f t="array" ref="J99">Common_InputFunctions.Utility_DisplayArrayInTable(Fertiliser_SourceData.Fertiliser_Products_Data1(),FertiliserProducts[[#Headers],[Include or Exclude]], 0)</f>
        <v/>
      </c>
      <c r="K99" s="65" t="str" cm="1">
        <f t="array" ref="K99">Common_InputFunctions.Utility_DisplayArrayInTable(Fertiliser_SourceData.Fertiliser_Products_Data1(),FertiliserProducts[[#Headers],[Include or Exclude]], 0)</f>
        <v/>
      </c>
      <c r="L99" s="65" t="str" cm="1">
        <f t="array" ref="L99">Common_InputFunctions.Utility_DisplayArrayInTable(Fertiliser_SourceData.Fertiliser_Products_Data1(),FertiliserProducts[[#Headers],[Include or Exclude]], 0)</f>
        <v>Nitrogen - Ammoniacal</v>
      </c>
      <c r="M99" s="10" cm="1">
        <f t="array" ref="M99">Common_InputFunctions.Utility_DisplayArrayInTable(Fertiliser_SourceData.Fertiliser_Products_Data1(),FertiliserProducts[[#Headers],[Include or Exclude]], 0)</f>
        <v>7.4999999999999997E-2</v>
      </c>
      <c r="N99" s="65" t="str" cm="1">
        <f t="array" ref="N99">Common_InputFunctions.Utility_DisplayArrayInTable(Fertiliser_SourceData.Fertiliser_Products_Data1(),FertiliserProducts[[#Headers],[Include or Exclude]], 0)</f>
        <v>Nitrogen - Nitrate</v>
      </c>
      <c r="O99" s="65" cm="1">
        <f t="array" ref="O99">Common_InputFunctions.Utility_DisplayArrayInTable(Fertiliser_SourceData.Fertiliser_Products_Data1(),FertiliserProducts[[#Headers],[Include or Exclude]], 0)</f>
        <v>7.4999999999999997E-2</v>
      </c>
      <c r="P99" s="65" t="str" cm="1">
        <f t="array" ref="P99">Common_InputFunctions.Utility_DisplayArrayInTable(Fertiliser_SourceData.Fertiliser_Products_Data1(),FertiliserProducts[[#Headers],[Include or Exclude]], 0)</f>
        <v>Potassium - Generic</v>
      </c>
      <c r="Q99" s="65" cm="1">
        <f t="array" ref="Q99">Common_InputFunctions.Utility_DisplayArrayInTable(Fertiliser_SourceData.Fertiliser_Products_Data1(),FertiliserProducts[[#Headers],[Include or Exclude]], 0)</f>
        <v>0.125</v>
      </c>
      <c r="R99" s="65" t="str" cm="1">
        <f t="array" ref="R99">Common_InputFunctions.Utility_DisplayArrayInTable(Fertiliser_SourceData.Fertiliser_Products_Data1(),FertiliserProducts[[#Headers],[Include or Exclude]], 0)</f>
        <v>Phosphorus-Generic</v>
      </c>
      <c r="S99" s="65" cm="1">
        <f t="array" ref="S99">Common_InputFunctions.Utility_DisplayArrayInTable(Fertiliser_SourceData.Fertiliser_Products_Data1(),FertiliserProducts[[#Headers],[Include or Exclude]], 0)</f>
        <v>6.5000000000000002E-2</v>
      </c>
      <c r="T99" s="65" t="str" cm="1">
        <f t="array" ref="T99">Common_InputFunctions.Utility_DisplayArrayInTable(Fertiliser_SourceData.Fertiliser_Products_Data1(),FertiliserProducts[[#Headers],[Include or Exclude]], 0)</f>
        <v>Sulfur - Generic</v>
      </c>
      <c r="U99" s="65" cm="1">
        <f t="array" ref="U99">Common_InputFunctions.Utility_DisplayArrayInTable(Fertiliser_SourceData.Fertiliser_Products_Data1(),FertiliserProducts[[#Headers],[Include or Exclude]], 0)</f>
        <v>0.06</v>
      </c>
      <c r="V99" s="10" t="str" cm="1">
        <f t="array" ref="V99">Common_InputFunctions.Utility_DisplayArrayInTable(Fertiliser_SourceData.Fertiliser_Products_Data1(),FertiliserProducts[[#Headers],[Include or Exclude]], 0)</f>
        <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4:31" ht="20.100000000000001" customHeight="1" x14ac:dyDescent="0.25">
      <c r="D100" s="65" t="str" cm="1">
        <f t="array" ref="D100">Common_InputFunctions.Utility_DisplayArrayInTable(Fertiliser_SourceData.Fertiliser_Products_Data1(),FertiliserProducts[[#Headers],[Include or Exclude]], 0)</f>
        <v>Include - Absent ingredients &lt; 2%</v>
      </c>
      <c r="E100" s="65" t="str" cm="1">
        <f t="array" ref="E100">Common_InputFunctions.Utility_DisplayArrayInTable(Fertiliser_SourceData.Fertiliser_Products_Data1(),FertiliserProducts[[#Headers],[Include or Exclude]], 0)</f>
        <v>Controlled release N treated as generic, Amount of urea calculated from urea nitrogen amount</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CoRoN 12-0-10</v>
      </c>
      <c r="H100" s="65" t="str" cm="1">
        <f t="array" ref="H100">Common_InputFunctions.Utility_DisplayArrayInTable(Fertiliser_SourceData.Fertiliser_Products_Data1(),FertiliserProducts[[#Headers],[Include or Exclude]], 0)</f>
        <v>L</v>
      </c>
      <c r="I100" s="65" cm="1">
        <f t="array" ref="I100">Common_InputFunctions.Utility_DisplayArrayInTable(Fertiliser_SourceData.Fertiliser_Products_Data1(),FertiliserProducts[[#Headers],[Include or Exclude]], 0)</f>
        <v>1.2150000000000001</v>
      </c>
      <c r="J100" s="65" t="str" cm="1">
        <f t="array" ref="J100">Common_InputFunctions.Utility_DisplayArrayInTable(Fertiliser_SourceData.Fertiliser_Products_Data1(),FertiliserProducts[[#Headers],[Include or Exclude]], 0)</f>
        <v/>
      </c>
      <c r="K100" s="65" t="str" cm="1">
        <f t="array" ref="K100">Common_InputFunctions.Utility_DisplayArrayInTable(Fertiliser_SourceData.Fertiliser_Products_Data1(),FertiliserProducts[[#Headers],[Include or Exclude]], 0)</f>
        <v/>
      </c>
      <c r="L100" s="65" t="str" cm="1">
        <f t="array" ref="L100">Common_InputFunctions.Utility_DisplayArrayInTable(Fertiliser_SourceData.Fertiliser_Products_Data1(),FertiliserProducts[[#Headers],[Include or Exclude]], 0)</f>
        <v>Urea</v>
      </c>
      <c r="M100" s="10" cm="1">
        <f t="array" ref="M100">Common_InputFunctions.Utility_DisplayArrayInTable(Fertiliser_SourceData.Fertiliser_Products_Data1(),FertiliserProducts[[#Headers],[Include or Exclude]], 0)</f>
        <v>0.19565217400000001</v>
      </c>
      <c r="N100" s="65" t="str" cm="1">
        <f t="array" ref="N100">Common_InputFunctions.Utility_DisplayArrayInTable(Fertiliser_SourceData.Fertiliser_Products_Data1(),FertiliserProducts[[#Headers],[Include or Exclude]], 0)</f>
        <v>Potassium - Generic</v>
      </c>
      <c r="O100" s="65" cm="1">
        <f t="array" ref="O100">Common_InputFunctions.Utility_DisplayArrayInTable(Fertiliser_SourceData.Fertiliser_Products_Data1(),FertiliserProducts[[#Headers],[Include or Exclude]], 0)</f>
        <v>0.1</v>
      </c>
      <c r="P100" s="65" t="str" cm="1">
        <f t="array" ref="P100">Common_InputFunctions.Utility_DisplayArrayInTable(Fertiliser_SourceData.Fertiliser_Products_Data1(),FertiliserProducts[[#Headers],[Include or Exclude]], 0)</f>
        <v>Nitrogen - Generic</v>
      </c>
      <c r="Q100" s="65" cm="1">
        <f t="array" ref="Q100">Common_InputFunctions.Utility_DisplayArrayInTable(Fertiliser_SourceData.Fertiliser_Products_Data1(),FertiliserProducts[[#Headers],[Include or Exclude]], 0)</f>
        <v>0.03</v>
      </c>
      <c r="R100" s="65" t="str" cm="1">
        <f t="array" ref="R100">Common_InputFunctions.Utility_DisplayArrayInTable(Fertiliser_SourceData.Fertiliser_Products_Data1(),FertiliserProducts[[#Headers],[Include or Exclude]], 0)</f>
        <v>Boron</v>
      </c>
      <c r="S100" s="65" cm="1">
        <f t="array" ref="S100">Common_InputFunctions.Utility_DisplayArrayInTable(Fertiliser_SourceData.Fertiliser_Products_Data1(),FertiliserProducts[[#Headers],[Include or Exclude]], 0)</f>
        <v>5.0000000000000001E-3</v>
      </c>
      <c r="T100" s="65" t="str" cm="1">
        <f t="array" ref="T100">Common_InputFunctions.Utility_DisplayArrayInTable(Fertiliser_SourceData.Fertiliser_Products_Data1(),FertiliserProducts[[#Headers],[Include or Exclude]], 0)</f>
        <v/>
      </c>
      <c r="U100" s="65"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4:31" ht="20.100000000000001" customHeight="1" x14ac:dyDescent="0.25">
      <c r="D101" s="65" t="str" cm="1">
        <f t="array" ref="D101">Common_InputFunctions.Utility_DisplayArrayInTable(Fertiliser_SourceData.Fertiliser_Products_Data1(),FertiliserProducts[[#Headers],[Include or Exclude]], 0)</f>
        <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
      </c>
      <c r="G101" s="65" t="str" cm="1">
        <f t="array" ref="G101">Common_InputFunctions.Utility_DisplayArrayInTable(Fertiliser_SourceData.Fertiliser_Products_Data1(),FertiliserProducts[[#Headers],[Include or Exclude]], 0)</f>
        <v/>
      </c>
      <c r="H101" s="65" t="str" cm="1">
        <f t="array" ref="H101">Common_InputFunctions.Utility_DisplayArrayInTable(Fertiliser_SourceData.Fertiliser_Products_Data1(),FertiliserProducts[[#Headers],[Include or Exclude]], 0)</f>
        <v/>
      </c>
      <c r="I101" s="65" t="str" cm="1">
        <f t="array" ref="I101">Common_InputFunctions.Utility_DisplayArrayInTable(Fertiliser_SourceData.Fertiliser_Products_Data1(),FertiliserProducts[[#Headers],[Include or Exclude]], 0)</f>
        <v/>
      </c>
      <c r="J101" s="65" t="str" cm="1">
        <f t="array" ref="J101">Common_InputFunctions.Utility_DisplayArrayInTable(Fertiliser_SourceData.Fertiliser_Products_Data1(),FertiliserProducts[[#Headers],[Include or Exclude]], 0)</f>
        <v/>
      </c>
      <c r="K101" s="65" t="str" cm="1">
        <f t="array" ref="K101">Common_InputFunctions.Utility_DisplayArrayInTable(Fertiliser_SourceData.Fertiliser_Products_Data1(),FertiliserProducts[[#Headers],[Include or Exclude]], 0)</f>
        <v/>
      </c>
      <c r="L101" s="65"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5" t="str" cm="1">
        <f t="array" ref="N101">Common_InputFunctions.Utility_DisplayArrayInTable(Fertiliser_SourceData.Fertiliser_Products_Data1(),FertiliserProducts[[#Headers],[Include or Exclude]], 0)</f>
        <v/>
      </c>
      <c r="O101" s="65" t="str" cm="1">
        <f t="array" ref="O101">Common_InputFunctions.Utility_DisplayArrayInTable(Fertiliser_SourceData.Fertiliser_Products_Data1(),FertiliserProducts[[#Headers],[Include or Exclude]], 0)</f>
        <v/>
      </c>
      <c r="P101" s="65" t="str" cm="1">
        <f t="array" ref="P101">Common_InputFunctions.Utility_DisplayArrayInTable(Fertiliser_SourceData.Fertiliser_Products_Data1(),FertiliserProducts[[#Headers],[Include or Exclude]], 0)</f>
        <v/>
      </c>
      <c r="Q101" s="65" t="str" cm="1">
        <f t="array" ref="Q101">Common_InputFunctions.Utility_DisplayArrayInTable(Fertiliser_SourceData.Fertiliser_Products_Data1(),FertiliserProducts[[#Headers],[Include or Exclude]], 0)</f>
        <v/>
      </c>
      <c r="R101" s="65" t="str" cm="1">
        <f t="array" ref="R101">Common_InputFunctions.Utility_DisplayArrayInTable(Fertiliser_SourceData.Fertiliser_Products_Data1(),FertiliserProducts[[#Headers],[Include or Exclude]], 0)</f>
        <v/>
      </c>
      <c r="S101" s="65" t="str" cm="1">
        <f t="array" ref="S101">Common_InputFunctions.Utility_DisplayArrayInTable(Fertiliser_SourceData.Fertiliser_Products_Data1(),FertiliserProducts[[#Headers],[Include or Exclude]], 0)</f>
        <v/>
      </c>
      <c r="T101" s="65" t="str" cm="1">
        <f t="array" ref="T101">Common_InputFunctions.Utility_DisplayArrayInTable(Fertiliser_SourceData.Fertiliser_Products_Data1(),FertiliserProducts[[#Headers],[Include or Exclude]], 0)</f>
        <v/>
      </c>
      <c r="U101" s="65"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4:31" ht="20.100000000000001" customHeight="1" x14ac:dyDescent="0.25">
      <c r="D102" s="65" t="str" cm="1">
        <f t="array" ref="D102">Common_InputFunctions.Utility_DisplayArrayInTable(Fertiliser_SourceData.Fertiliser_Products_Data1(),FertiliserProducts[[#Headers],[Include or Exclude]], 0)</f>
        <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
      </c>
      <c r="G102" s="65" t="str" cm="1">
        <f t="array" ref="G102">Common_InputFunctions.Utility_DisplayArrayInTable(Fertiliser_SourceData.Fertiliser_Products_Data1(),FertiliserProducts[[#Headers],[Include or Exclude]], 0)</f>
        <v/>
      </c>
      <c r="H102" s="65" t="str" cm="1">
        <f t="array" ref="H102">Common_InputFunctions.Utility_DisplayArrayInTable(Fertiliser_SourceData.Fertiliser_Products_Data1(),FertiliserProducts[[#Headers],[Include or Exclude]], 0)</f>
        <v/>
      </c>
      <c r="I102" s="65" t="str" cm="1">
        <f t="array" ref="I102">Common_InputFunctions.Utility_DisplayArrayInTable(Fertiliser_SourceData.Fertiliser_Products_Data1(),FertiliserProducts[[#Headers],[Include or Exclude]], 0)</f>
        <v/>
      </c>
      <c r="J102" s="65" t="str" cm="1">
        <f t="array" ref="J102">Common_InputFunctions.Utility_DisplayArrayInTable(Fertiliser_SourceData.Fertiliser_Products_Data1(),FertiliserProducts[[#Headers],[Include or Exclude]], 0)</f>
        <v/>
      </c>
      <c r="K102" s="65" t="str" cm="1">
        <f t="array" ref="K102">Common_InputFunctions.Utility_DisplayArrayInTable(Fertiliser_SourceData.Fertiliser_Products_Data1(),FertiliserProducts[[#Headers],[Include or Exclude]], 0)</f>
        <v/>
      </c>
      <c r="L102" s="65"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5" t="str" cm="1">
        <f t="array" ref="N102">Common_InputFunctions.Utility_DisplayArrayInTable(Fertiliser_SourceData.Fertiliser_Products_Data1(),FertiliserProducts[[#Headers],[Include or Exclude]], 0)</f>
        <v/>
      </c>
      <c r="O102" s="65" t="str" cm="1">
        <f t="array" ref="O102">Common_InputFunctions.Utility_DisplayArrayInTable(Fertiliser_SourceData.Fertiliser_Products_Data1(),FertiliserProducts[[#Headers],[Include or Exclude]], 0)</f>
        <v/>
      </c>
      <c r="P102" s="65" t="str" cm="1">
        <f t="array" ref="P102">Common_InputFunctions.Utility_DisplayArrayInTable(Fertiliser_SourceData.Fertiliser_Products_Data1(),FertiliserProducts[[#Headers],[Include or Exclude]], 0)</f>
        <v/>
      </c>
      <c r="Q102" s="65" t="str" cm="1">
        <f t="array" ref="Q102">Common_InputFunctions.Utility_DisplayArrayInTable(Fertiliser_SourceData.Fertiliser_Products_Data1(),FertiliserProducts[[#Headers],[Include or Exclude]], 0)</f>
        <v/>
      </c>
      <c r="R102" s="65" t="str" cm="1">
        <f t="array" ref="R102">Common_InputFunctions.Utility_DisplayArrayInTable(Fertiliser_SourceData.Fertiliser_Products_Data1(),FertiliserProducts[[#Headers],[Include or Exclude]], 0)</f>
        <v/>
      </c>
      <c r="S102" s="65" t="str" cm="1">
        <f t="array" ref="S102">Common_InputFunctions.Utility_DisplayArrayInTable(Fertiliser_SourceData.Fertiliser_Products_Data1(),FertiliserProducts[[#Headers],[Include or Exclude]], 0)</f>
        <v/>
      </c>
      <c r="T102" s="65" t="str" cm="1">
        <f t="array" ref="T102">Common_InputFunctions.Utility_DisplayArrayInTable(Fertiliser_SourceData.Fertiliser_Products_Data1(),FertiliserProducts[[#Headers],[Include or Exclude]], 0)</f>
        <v/>
      </c>
      <c r="U102" s="65"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4:31" ht="20.100000000000001" customHeight="1" x14ac:dyDescent="0.25">
      <c r="D103" s="65" t="str" cm="1">
        <f t="array" ref="D103">Common_InputFunctions.Utility_DisplayArrayInTable(Fertiliser_SourceData.Fertiliser_Products_Data1(),FertiliserProducts[[#Headers],[Include or Exclude]], 0)</f>
        <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
      </c>
      <c r="G103" s="65" t="str" cm="1">
        <f t="array" ref="G103">Common_InputFunctions.Utility_DisplayArrayInTable(Fertiliser_SourceData.Fertiliser_Products_Data1(),FertiliserProducts[[#Headers],[Include or Exclude]], 0)</f>
        <v/>
      </c>
      <c r="H103" s="65" t="str" cm="1">
        <f t="array" ref="H103">Common_InputFunctions.Utility_DisplayArrayInTable(Fertiliser_SourceData.Fertiliser_Products_Data1(),FertiliserProducts[[#Headers],[Include or Exclude]], 0)</f>
        <v/>
      </c>
      <c r="I103" s="65" t="str" cm="1">
        <f t="array" ref="I103">Common_InputFunctions.Utility_DisplayArrayInTable(Fertiliser_SourceData.Fertiliser_Products_Data1(),FertiliserProducts[[#Headers],[Include or Exclude]], 0)</f>
        <v/>
      </c>
      <c r="J103" s="65" t="str" cm="1">
        <f t="array" ref="J103">Common_InputFunctions.Utility_DisplayArrayInTable(Fertiliser_SourceData.Fertiliser_Products_Data1(),FertiliserProducts[[#Headers],[Include or Exclude]], 0)</f>
        <v/>
      </c>
      <c r="K103" s="65" t="str" cm="1">
        <f t="array" ref="K103">Common_InputFunctions.Utility_DisplayArrayInTable(Fertiliser_SourceData.Fertiliser_Products_Data1(),FertiliserProducts[[#Headers],[Include or Exclude]], 0)</f>
        <v/>
      </c>
      <c r="L103" s="65"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5" t="str" cm="1">
        <f t="array" ref="N103">Common_InputFunctions.Utility_DisplayArrayInTable(Fertiliser_SourceData.Fertiliser_Products_Data1(),FertiliserProducts[[#Headers],[Include or Exclude]], 0)</f>
        <v/>
      </c>
      <c r="O103" s="65" t="str" cm="1">
        <f t="array" ref="O103">Common_InputFunctions.Utility_DisplayArrayInTable(Fertiliser_SourceData.Fertiliser_Products_Data1(),FertiliserProducts[[#Headers],[Include or Exclude]], 0)</f>
        <v/>
      </c>
      <c r="P103" s="65" t="str" cm="1">
        <f t="array" ref="P103">Common_InputFunctions.Utility_DisplayArrayInTable(Fertiliser_SourceData.Fertiliser_Products_Data1(),FertiliserProducts[[#Headers],[Include or Exclude]], 0)</f>
        <v/>
      </c>
      <c r="Q103" s="65" t="str" cm="1">
        <f t="array" ref="Q103">Common_InputFunctions.Utility_DisplayArrayInTable(Fertiliser_SourceData.Fertiliser_Products_Data1(),FertiliserProducts[[#Headers],[Include or Exclude]], 0)</f>
        <v/>
      </c>
      <c r="R103" s="65" t="str" cm="1">
        <f t="array" ref="R103">Common_InputFunctions.Utility_DisplayArrayInTable(Fertiliser_SourceData.Fertiliser_Products_Data1(),FertiliserProducts[[#Headers],[Include or Exclude]], 0)</f>
        <v/>
      </c>
      <c r="S103" s="65" t="str" cm="1">
        <f t="array" ref="S103">Common_InputFunctions.Utility_DisplayArrayInTable(Fertiliser_SourceData.Fertiliser_Products_Data1(),FertiliserProducts[[#Headers],[Include or Exclude]], 0)</f>
        <v/>
      </c>
      <c r="T103" s="65" t="str" cm="1">
        <f t="array" ref="T103">Common_InputFunctions.Utility_DisplayArrayInTable(Fertiliser_SourceData.Fertiliser_Products_Data1(),FertiliserProducts[[#Headers],[Include or Exclude]], 0)</f>
        <v/>
      </c>
      <c r="U103" s="65"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4:31" ht="20.100000000000001" customHeight="1" x14ac:dyDescent="0.25">
      <c r="D104" s="65" t="str" cm="1">
        <f t="array" ref="D104">Common_InputFunctions.Utility_DisplayArrayInTable(Fertiliser_SourceData.Fertiliser_Products_Data1(),FertiliserProducts[[#Headers],[Include or Exclude]], 0)</f>
        <v/>
      </c>
      <c r="E104" s="65" t="str" cm="1">
        <f t="array" ref="E104">Common_InputFunctions.Utility_DisplayArrayInTable(Fertiliser_SourceData.Fertiliser_Products_Data1(),FertiliserProducts[[#Headers],[Include or Exclude]], 0)</f>
        <v/>
      </c>
      <c r="F104" s="65" t="str" cm="1">
        <f t="array" ref="F104">Common_InputFunctions.Utility_DisplayArrayInTable(Fertiliser_SourceData.Fertiliser_Products_Data1(),FertiliserProducts[[#Headers],[Include or Exclude]], 0)</f>
        <v/>
      </c>
      <c r="G104" s="65" t="str" cm="1">
        <f t="array" ref="G104">Common_InputFunctions.Utility_DisplayArrayInTable(Fertiliser_SourceData.Fertiliser_Products_Data1(),FertiliserProducts[[#Headers],[Include or Exclude]], 0)</f>
        <v/>
      </c>
      <c r="H104" s="65" t="str" cm="1">
        <f t="array" ref="H104">Common_InputFunctions.Utility_DisplayArrayInTable(Fertiliser_SourceData.Fertiliser_Products_Data1(),FertiliserProducts[[#Headers],[Include or Exclude]], 0)</f>
        <v/>
      </c>
      <c r="I104" s="65" t="str" cm="1">
        <f t="array" ref="I104">Common_InputFunctions.Utility_DisplayArrayInTable(Fertiliser_SourceData.Fertiliser_Products_Data1(),FertiliserProducts[[#Headers],[Include or Exclude]], 0)</f>
        <v/>
      </c>
      <c r="J104" s="65" t="str" cm="1">
        <f t="array" ref="J104">Common_InputFunctions.Utility_DisplayArrayInTable(Fertiliser_SourceData.Fertiliser_Products_Data1(),FertiliserProducts[[#Headers],[Include or Exclude]], 0)</f>
        <v/>
      </c>
      <c r="K104" s="65" t="str" cm="1">
        <f t="array" ref="K104">Common_InputFunctions.Utility_DisplayArrayInTable(Fertiliser_SourceData.Fertiliser_Products_Data1(),FertiliserProducts[[#Headers],[Include or Exclude]], 0)</f>
        <v/>
      </c>
      <c r="L104" s="65" t="str" cm="1">
        <f t="array" ref="L104">Common_InputFunctions.Utility_DisplayArrayInTable(Fertiliser_SourceData.Fertiliser_Products_Data1(),FertiliserProducts[[#Headers],[Include or Exclude]], 0)</f>
        <v/>
      </c>
      <c r="M104" s="10" t="str" cm="1">
        <f t="array" ref="M104">Common_InputFunctions.Utility_DisplayArrayInTable(Fertiliser_SourceData.Fertiliser_Products_Data1(),FertiliserProducts[[#Headers],[Include or Exclude]], 0)</f>
        <v/>
      </c>
      <c r="N104" s="65" t="str" cm="1">
        <f t="array" ref="N104">Common_InputFunctions.Utility_DisplayArrayInTable(Fertiliser_SourceData.Fertiliser_Products_Data1(),FertiliserProducts[[#Headers],[Include or Exclude]], 0)</f>
        <v/>
      </c>
      <c r="O104" s="65" t="str" cm="1">
        <f t="array" ref="O104">Common_InputFunctions.Utility_DisplayArrayInTable(Fertiliser_SourceData.Fertiliser_Products_Data1(),FertiliserProducts[[#Headers],[Include or Exclude]], 0)</f>
        <v/>
      </c>
      <c r="P104" s="65" t="str" cm="1">
        <f t="array" ref="P104">Common_InputFunctions.Utility_DisplayArrayInTable(Fertiliser_SourceData.Fertiliser_Products_Data1(),FertiliserProducts[[#Headers],[Include or Exclude]], 0)</f>
        <v/>
      </c>
      <c r="Q104" s="65" t="str" cm="1">
        <f t="array" ref="Q104">Common_InputFunctions.Utility_DisplayArrayInTable(Fertiliser_SourceData.Fertiliser_Products_Data1(),FertiliserProducts[[#Headers],[Include or Exclude]], 0)</f>
        <v/>
      </c>
      <c r="R104" s="65" t="str" cm="1">
        <f t="array" ref="R104">Common_InputFunctions.Utility_DisplayArrayInTable(Fertiliser_SourceData.Fertiliser_Products_Data1(),FertiliserProducts[[#Headers],[Include or Exclude]], 0)</f>
        <v/>
      </c>
      <c r="S104" s="65" t="str" cm="1">
        <f t="array" ref="S104">Common_InputFunctions.Utility_DisplayArrayInTable(Fertiliser_SourceData.Fertiliser_Products_Data1(),FertiliserProducts[[#Headers],[Include or Exclude]], 0)</f>
        <v/>
      </c>
      <c r="T104" s="65" t="str" cm="1">
        <f t="array" ref="T104">Common_InputFunctions.Utility_DisplayArrayInTable(Fertiliser_SourceData.Fertiliser_Products_Data1(),FertiliserProducts[[#Headers],[Include or Exclude]], 0)</f>
        <v/>
      </c>
      <c r="U104" s="65" t="str" cm="1">
        <f t="array" ref="U104">Common_InputFunctions.Utility_DisplayArrayInTable(Fertiliser_SourceData.Fertiliser_Products_Data1(),FertiliserProducts[[#Headers],[Include or Exclude]], 0)</f>
        <v/>
      </c>
      <c r="V104" s="10" t="str" cm="1">
        <f t="array" ref="V104">Common_InputFunctions.Utility_DisplayArrayInTable(Fertiliser_SourceData.Fertiliser_Products_Data1(),FertiliserProducts[[#Headers],[Include or Exclude]], 0)</f>
        <v/>
      </c>
      <c r="W104" s="10" t="str" cm="1">
        <f t="array" ref="W104">Common_InputFunctions.Utility_DisplayArrayInTable(Fertiliser_SourceData.Fertiliser_Products_Data1(),FertiliserProducts[[#Headers],[Include or Exclude]], 0)</f>
        <v/>
      </c>
      <c r="X104" s="10" t="str" cm="1">
        <f t="array" ref="X104">Common_InputFunctions.Utility_DisplayArrayInTable(Fertiliser_SourceData.Fertiliser_Products_Data1(),FertiliserProducts[[#Headers],[Include or Exclude]], 0)</f>
        <v/>
      </c>
      <c r="Y104" s="10" t="str" cm="1">
        <f t="array" ref="Y104">Common_InputFunctions.Utility_DisplayArrayInTable(Fertiliser_SourceData.Fertiliser_Products_Data1(),FertiliserProducts[[#Headers],[Include or Exclude]], 0)</f>
        <v/>
      </c>
      <c r="Z104" s="10" t="str" cm="1">
        <f t="array" ref="Z104">Common_InputFunctions.Utility_DisplayArrayInTable(Fertiliser_SourceData.Fertiliser_Products_Data1(),FertiliserProducts[[#Headers],[Include or Exclude]], 0)</f>
        <v/>
      </c>
      <c r="AA104" s="10" t="str" cm="1">
        <f t="array" ref="AA104">Common_InputFunctions.Utility_DisplayArrayInTable(Fertiliser_SourceData.Fertiliser_Products_Data1(),FertiliserProducts[[#Headers],[Include or Exclude]], 0)</f>
        <v/>
      </c>
      <c r="AB104" s="10" t="str" cm="1">
        <f t="array" ref="AB104">Common_InputFunctions.Utility_DisplayArrayInTable(Fertiliser_SourceData.Fertiliser_Products_Data1(),FertiliserProducts[[#Headers],[Include or Exclude]], 0)</f>
        <v/>
      </c>
      <c r="AC104" s="10" t="str" cm="1">
        <f t="array" ref="AC104">Common_InputFunctions.Utility_DisplayArrayInTable(Fertiliser_SourceData.Fertiliser_Products_Data1(),FertiliserProducts[[#Headers],[Include or Exclude]], 0)</f>
        <v/>
      </c>
      <c r="AD104" s="10" t="str" cm="1">
        <f t="array" ref="AD104">Common_InputFunctions.Utility_DisplayArrayInTable(Fertiliser_SourceData.Fertiliser_Products_Data1(),FertiliserProducts[[#Headers],[Include or Exclude]], 0)</f>
        <v/>
      </c>
      <c r="AE104" s="10" t="str" cm="1">
        <f t="array" ref="AE104">Common_InputFunctions.Utility_DisplayArrayInTable(Fertiliser_SourceData.Fertiliser_Products_Data1(),FertiliserProducts[[#Headers],[Include or Exclude]], 0)</f>
        <v/>
      </c>
    </row>
    <row r="105" spans="4:31" ht="20.100000000000001" customHeight="1" x14ac:dyDescent="0.25">
      <c r="D105" s="65" t="str" cm="1">
        <f t="array" ref="D105">Common_InputFunctions.Utility_DisplayArrayInTable(Fertiliser_SourceData.Fertiliser_Products_Data1(),FertiliserProducts[[#Headers],[Include or Exclude]], 0)</f>
        <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
      </c>
      <c r="G105" s="65" t="str" cm="1">
        <f t="array" ref="G105">Common_InputFunctions.Utility_DisplayArrayInTable(Fertiliser_SourceData.Fertiliser_Products_Data1(),FertiliserProducts[[#Headers],[Include or Exclude]], 0)</f>
        <v/>
      </c>
      <c r="H105" s="65" t="str" cm="1">
        <f t="array" ref="H105">Common_InputFunctions.Utility_DisplayArrayInTable(Fertiliser_SourceData.Fertiliser_Products_Data1(),FertiliserProducts[[#Headers],[Include or Exclude]], 0)</f>
        <v/>
      </c>
      <c r="I105" s="65" t="str" cm="1">
        <f t="array" ref="I105">Common_InputFunctions.Utility_DisplayArrayInTable(Fertiliser_SourceData.Fertiliser_Products_Data1(),FertiliserProducts[[#Headers],[Include or Exclude]], 0)</f>
        <v/>
      </c>
      <c r="J105" s="65" t="str" cm="1">
        <f t="array" ref="J105">Common_InputFunctions.Utility_DisplayArrayInTable(Fertiliser_SourceData.Fertiliser_Products_Data1(),FertiliserProducts[[#Headers],[Include or Exclude]], 0)</f>
        <v/>
      </c>
      <c r="K105" s="65" t="str" cm="1">
        <f t="array" ref="K105">Common_InputFunctions.Utility_DisplayArrayInTable(Fertiliser_SourceData.Fertiliser_Products_Data1(),FertiliserProducts[[#Headers],[Include or Exclude]], 0)</f>
        <v/>
      </c>
      <c r="L105" s="65"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5" t="str" cm="1">
        <f t="array" ref="N105">Common_InputFunctions.Utility_DisplayArrayInTable(Fertiliser_SourceData.Fertiliser_Products_Data1(),FertiliserProducts[[#Headers],[Include or Exclude]], 0)</f>
        <v/>
      </c>
      <c r="O105" s="65" t="str" cm="1">
        <f t="array" ref="O105">Common_InputFunctions.Utility_DisplayArrayInTable(Fertiliser_SourceData.Fertiliser_Products_Data1(),FertiliserProducts[[#Headers],[Include or Exclude]], 0)</f>
        <v/>
      </c>
      <c r="P105" s="65" t="str" cm="1">
        <f t="array" ref="P105">Common_InputFunctions.Utility_DisplayArrayInTable(Fertiliser_SourceData.Fertiliser_Products_Data1(),FertiliserProducts[[#Headers],[Include or Exclude]], 0)</f>
        <v/>
      </c>
      <c r="Q105" s="65" t="str" cm="1">
        <f t="array" ref="Q105">Common_InputFunctions.Utility_DisplayArrayInTable(Fertiliser_SourceData.Fertiliser_Products_Data1(),FertiliserProducts[[#Headers],[Include or Exclude]], 0)</f>
        <v/>
      </c>
      <c r="R105" s="65" t="str" cm="1">
        <f t="array" ref="R105">Common_InputFunctions.Utility_DisplayArrayInTable(Fertiliser_SourceData.Fertiliser_Products_Data1(),FertiliserProducts[[#Headers],[Include or Exclude]], 0)</f>
        <v/>
      </c>
      <c r="S105" s="65" t="str" cm="1">
        <f t="array" ref="S105">Common_InputFunctions.Utility_DisplayArrayInTable(Fertiliser_SourceData.Fertiliser_Products_Data1(),FertiliserProducts[[#Headers],[Include or Exclude]], 0)</f>
        <v/>
      </c>
      <c r="T105" s="65" t="str" cm="1">
        <f t="array" ref="T105">Common_InputFunctions.Utility_DisplayArrayInTable(Fertiliser_SourceData.Fertiliser_Products_Data1(),FertiliserProducts[[#Headers],[Include or Exclude]], 0)</f>
        <v/>
      </c>
      <c r="U105" s="65"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4:31" ht="20.100000000000001" customHeight="1" x14ac:dyDescent="0.25">
      <c r="D106" s="65" t="str" cm="1">
        <f t="array" ref="D106">Common_InputFunctions.Utility_DisplayArrayInTable(Fertiliser_SourceData.Fertiliser_Products_Data1(),FertiliserProducts[[#Headers],[Include or Exclude]], 0)</f>
        <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
      </c>
      <c r="G106" s="65" t="str" cm="1">
        <f t="array" ref="G106">Common_InputFunctions.Utility_DisplayArrayInTable(Fertiliser_SourceData.Fertiliser_Products_Data1(),FertiliserProducts[[#Headers],[Include or Exclude]], 0)</f>
        <v/>
      </c>
      <c r="H106" s="65" t="str" cm="1">
        <f t="array" ref="H106">Common_InputFunctions.Utility_DisplayArrayInTable(Fertiliser_SourceData.Fertiliser_Products_Data1(),FertiliserProducts[[#Headers],[Include or Exclude]], 0)</f>
        <v/>
      </c>
      <c r="I106" s="65" t="str" cm="1">
        <f t="array" ref="I106">Common_InputFunctions.Utility_DisplayArrayInTable(Fertiliser_SourceData.Fertiliser_Products_Data1(),FertiliserProducts[[#Headers],[Include or Exclude]], 0)</f>
        <v/>
      </c>
      <c r="J106" s="65" t="str" cm="1">
        <f t="array" ref="J106">Common_InputFunctions.Utility_DisplayArrayInTable(Fertiliser_SourceData.Fertiliser_Products_Data1(),FertiliserProducts[[#Headers],[Include or Exclude]], 0)</f>
        <v/>
      </c>
      <c r="K106" s="65" t="str" cm="1">
        <f t="array" ref="K106">Common_InputFunctions.Utility_DisplayArrayInTable(Fertiliser_SourceData.Fertiliser_Products_Data1(),FertiliserProducts[[#Headers],[Include or Exclude]], 0)</f>
        <v/>
      </c>
      <c r="L106" s="65"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5" t="str" cm="1">
        <f t="array" ref="N106">Common_InputFunctions.Utility_DisplayArrayInTable(Fertiliser_SourceData.Fertiliser_Products_Data1(),FertiliserProducts[[#Headers],[Include or Exclude]], 0)</f>
        <v/>
      </c>
      <c r="O106" s="65" t="str" cm="1">
        <f t="array" ref="O106">Common_InputFunctions.Utility_DisplayArrayInTable(Fertiliser_SourceData.Fertiliser_Products_Data1(),FertiliserProducts[[#Headers],[Include or Exclude]], 0)</f>
        <v/>
      </c>
      <c r="P106" s="65" t="str" cm="1">
        <f t="array" ref="P106">Common_InputFunctions.Utility_DisplayArrayInTable(Fertiliser_SourceData.Fertiliser_Products_Data1(),FertiliserProducts[[#Headers],[Include or Exclude]], 0)</f>
        <v/>
      </c>
      <c r="Q106" s="65" t="str" cm="1">
        <f t="array" ref="Q106">Common_InputFunctions.Utility_DisplayArrayInTable(Fertiliser_SourceData.Fertiliser_Products_Data1(),FertiliserProducts[[#Headers],[Include or Exclude]], 0)</f>
        <v/>
      </c>
      <c r="R106" s="65" t="str" cm="1">
        <f t="array" ref="R106">Common_InputFunctions.Utility_DisplayArrayInTable(Fertiliser_SourceData.Fertiliser_Products_Data1(),FertiliserProducts[[#Headers],[Include or Exclude]], 0)</f>
        <v/>
      </c>
      <c r="S106" s="65" t="str" cm="1">
        <f t="array" ref="S106">Common_InputFunctions.Utility_DisplayArrayInTable(Fertiliser_SourceData.Fertiliser_Products_Data1(),FertiliserProducts[[#Headers],[Include or Exclude]], 0)</f>
        <v/>
      </c>
      <c r="T106" s="65" t="str" cm="1">
        <f t="array" ref="T106">Common_InputFunctions.Utility_DisplayArrayInTable(Fertiliser_SourceData.Fertiliser_Products_Data1(),FertiliserProducts[[#Headers],[Include or Exclude]], 0)</f>
        <v/>
      </c>
      <c r="U106" s="65"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4:31" ht="20.100000000000001" customHeight="1" x14ac:dyDescent="0.25">
      <c r="D107" s="65" t="str" cm="1">
        <f t="array" ref="D107">Common_InputFunctions.Utility_DisplayArrayInTable(Fertiliser_SourceData.Fertiliser_Products_Data1(),FertiliserProducts[[#Headers],[Include or Exclude]], 0)</f>
        <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
      </c>
      <c r="G107" s="65" t="str" cm="1">
        <f t="array" ref="G107">Common_InputFunctions.Utility_DisplayArrayInTable(Fertiliser_SourceData.Fertiliser_Products_Data1(),FertiliserProducts[[#Headers],[Include or Exclude]], 0)</f>
        <v/>
      </c>
      <c r="H107" s="65" t="str" cm="1">
        <f t="array" ref="H107">Common_InputFunctions.Utility_DisplayArrayInTable(Fertiliser_SourceData.Fertiliser_Products_Data1(),FertiliserProducts[[#Headers],[Include or Exclude]], 0)</f>
        <v/>
      </c>
      <c r="I107" s="65" t="str" cm="1">
        <f t="array" ref="I107">Common_InputFunctions.Utility_DisplayArrayInTable(Fertiliser_SourceData.Fertiliser_Products_Data1(),FertiliserProducts[[#Headers],[Include or Exclude]], 0)</f>
        <v/>
      </c>
      <c r="J107" s="65" t="str" cm="1">
        <f t="array" ref="J107">Common_InputFunctions.Utility_DisplayArrayInTable(Fertiliser_SourceData.Fertiliser_Products_Data1(),FertiliserProducts[[#Headers],[Include or Exclude]], 0)</f>
        <v/>
      </c>
      <c r="K107" s="65" t="str" cm="1">
        <f t="array" ref="K107">Common_InputFunctions.Utility_DisplayArrayInTable(Fertiliser_SourceData.Fertiliser_Products_Data1(),FertiliserProducts[[#Headers],[Include or Exclude]], 0)</f>
        <v/>
      </c>
      <c r="L107" s="65"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5" t="str" cm="1">
        <f t="array" ref="N107">Common_InputFunctions.Utility_DisplayArrayInTable(Fertiliser_SourceData.Fertiliser_Products_Data1(),FertiliserProducts[[#Headers],[Include or Exclude]], 0)</f>
        <v/>
      </c>
      <c r="O107" s="65" t="str" cm="1">
        <f t="array" ref="O107">Common_InputFunctions.Utility_DisplayArrayInTable(Fertiliser_SourceData.Fertiliser_Products_Data1(),FertiliserProducts[[#Headers],[Include or Exclude]], 0)</f>
        <v/>
      </c>
      <c r="P107" s="65" t="str" cm="1">
        <f t="array" ref="P107">Common_InputFunctions.Utility_DisplayArrayInTable(Fertiliser_SourceData.Fertiliser_Products_Data1(),FertiliserProducts[[#Headers],[Include or Exclude]], 0)</f>
        <v/>
      </c>
      <c r="Q107" s="65" t="str" cm="1">
        <f t="array" ref="Q107">Common_InputFunctions.Utility_DisplayArrayInTable(Fertiliser_SourceData.Fertiliser_Products_Data1(),FertiliserProducts[[#Headers],[Include or Exclude]], 0)</f>
        <v/>
      </c>
      <c r="R107" s="65" t="str" cm="1">
        <f t="array" ref="R107">Common_InputFunctions.Utility_DisplayArrayInTable(Fertiliser_SourceData.Fertiliser_Products_Data1(),FertiliserProducts[[#Headers],[Include or Exclude]], 0)</f>
        <v/>
      </c>
      <c r="S107" s="65" t="str" cm="1">
        <f t="array" ref="S107">Common_InputFunctions.Utility_DisplayArrayInTable(Fertiliser_SourceData.Fertiliser_Products_Data1(),FertiliserProducts[[#Headers],[Include or Exclude]], 0)</f>
        <v/>
      </c>
      <c r="T107" s="65" t="str" cm="1">
        <f t="array" ref="T107">Common_InputFunctions.Utility_DisplayArrayInTable(Fertiliser_SourceData.Fertiliser_Products_Data1(),FertiliserProducts[[#Headers],[Include or Exclude]], 0)</f>
        <v/>
      </c>
      <c r="U107" s="65"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4:31" ht="20.100000000000001" customHeight="1" x14ac:dyDescent="0.25">
      <c r="D108" s="65" t="str" cm="1">
        <f t="array" ref="D108">Common_InputFunctions.Utility_DisplayArrayInTable(Fertiliser_SourceData.Fertiliser_Products_Data1(),FertiliserProducts[[#Headers],[Include or Exclude]], 0)</f>
        <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
      </c>
      <c r="G108" s="65" t="str" cm="1">
        <f t="array" ref="G108">Common_InputFunctions.Utility_DisplayArrayInTable(Fertiliser_SourceData.Fertiliser_Products_Data1(),FertiliserProducts[[#Headers],[Include or Exclude]], 0)</f>
        <v/>
      </c>
      <c r="H108" s="65" t="str" cm="1">
        <f t="array" ref="H108">Common_InputFunctions.Utility_DisplayArrayInTable(Fertiliser_SourceData.Fertiliser_Products_Data1(),FertiliserProducts[[#Headers],[Include or Exclude]], 0)</f>
        <v/>
      </c>
      <c r="I108" s="65" t="str" cm="1">
        <f t="array" ref="I108">Common_InputFunctions.Utility_DisplayArrayInTable(Fertiliser_SourceData.Fertiliser_Products_Data1(),FertiliserProducts[[#Headers],[Include or Exclude]], 0)</f>
        <v/>
      </c>
      <c r="J108" s="65" t="str" cm="1">
        <f t="array" ref="J108">Common_InputFunctions.Utility_DisplayArrayInTable(Fertiliser_SourceData.Fertiliser_Products_Data1(),FertiliserProducts[[#Headers],[Include or Exclude]], 0)</f>
        <v/>
      </c>
      <c r="K108" s="65" t="str" cm="1">
        <f t="array" ref="K108">Common_InputFunctions.Utility_DisplayArrayInTable(Fertiliser_SourceData.Fertiliser_Products_Data1(),FertiliserProducts[[#Headers],[Include or Exclude]], 0)</f>
        <v/>
      </c>
      <c r="L108" s="65"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5" t="str" cm="1">
        <f t="array" ref="N108">Common_InputFunctions.Utility_DisplayArrayInTable(Fertiliser_SourceData.Fertiliser_Products_Data1(),FertiliserProducts[[#Headers],[Include or Exclude]], 0)</f>
        <v/>
      </c>
      <c r="O108" s="65" t="str" cm="1">
        <f t="array" ref="O108">Common_InputFunctions.Utility_DisplayArrayInTable(Fertiliser_SourceData.Fertiliser_Products_Data1(),FertiliserProducts[[#Headers],[Include or Exclude]], 0)</f>
        <v/>
      </c>
      <c r="P108" s="65" t="str" cm="1">
        <f t="array" ref="P108">Common_InputFunctions.Utility_DisplayArrayInTable(Fertiliser_SourceData.Fertiliser_Products_Data1(),FertiliserProducts[[#Headers],[Include or Exclude]], 0)</f>
        <v/>
      </c>
      <c r="Q108" s="65" t="str" cm="1">
        <f t="array" ref="Q108">Common_InputFunctions.Utility_DisplayArrayInTable(Fertiliser_SourceData.Fertiliser_Products_Data1(),FertiliserProducts[[#Headers],[Include or Exclude]], 0)</f>
        <v/>
      </c>
      <c r="R108" s="65" t="str" cm="1">
        <f t="array" ref="R108">Common_InputFunctions.Utility_DisplayArrayInTable(Fertiliser_SourceData.Fertiliser_Products_Data1(),FertiliserProducts[[#Headers],[Include or Exclude]], 0)</f>
        <v/>
      </c>
      <c r="S108" s="65" t="str" cm="1">
        <f t="array" ref="S108">Common_InputFunctions.Utility_DisplayArrayInTable(Fertiliser_SourceData.Fertiliser_Products_Data1(),FertiliserProducts[[#Headers],[Include or Exclude]], 0)</f>
        <v/>
      </c>
      <c r="T108" s="65" t="str" cm="1">
        <f t="array" ref="T108">Common_InputFunctions.Utility_DisplayArrayInTable(Fertiliser_SourceData.Fertiliser_Products_Data1(),FertiliserProducts[[#Headers],[Include or Exclude]], 0)</f>
        <v/>
      </c>
      <c r="U108" s="65" t="str" cm="1">
        <f t="array" ref="U108">Common_InputFunctions.Utility_DisplayArrayInTable(Fertiliser_SourceData.Fertiliser_Products_Data1(),FertiliserProducts[[#Headers],[Include or Exclude]], 0)</f>
        <v/>
      </c>
      <c r="V108" s="10" t="str" cm="1">
        <f t="array" ref="V108">Common_InputFunctions.Utility_DisplayArrayInTable(Fertiliser_SourceData.Fertiliser_Products_Data1(),FertiliserProducts[[#Headers],[Include or Exclude]], 0)</f>
        <v/>
      </c>
      <c r="W108" s="10" t="str" cm="1">
        <f t="array" ref="W108">Common_InputFunctions.Utility_DisplayArrayInTable(Fertiliser_SourceData.Fertiliser_Products_Data1(),FertiliserProducts[[#Headers],[Include or Exclude]], 0)</f>
        <v/>
      </c>
      <c r="X108" s="10" t="str" cm="1">
        <f t="array" ref="X108">Common_InputFunctions.Utility_DisplayArrayInTable(Fertiliser_SourceData.Fertiliser_Products_Data1(),FertiliserProducts[[#Headers],[Include or Exclude]], 0)</f>
        <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4:31" ht="20.100000000000001" customHeight="1" x14ac:dyDescent="0.25">
      <c r="D109" s="65" t="str" cm="1">
        <f t="array" ref="D109">Common_InputFunctions.Utility_DisplayArrayInTable(Fertiliser_SourceData.Fertiliser_Products_Data2(),FertiliserProducts[[#Headers],[Include or Exclude]], 20)</f>
        <v>Product</v>
      </c>
      <c r="E109" s="65" t="str" cm="1">
        <f t="array" ref="E109">Common_InputFunctions.Utility_DisplayArrayInTable(Fertiliser_SourceData.Fertiliser_Products_Data2(),FertiliserProducts[[#Headers],[Include or Exclude]], 20)</f>
        <v>Ingredient 1</v>
      </c>
      <c r="F109" s="65" t="str" cm="1">
        <f t="array" ref="F109">Common_InputFunctions.Utility_DisplayArrayInTable(Fertiliser_SourceData.Fertiliser_Products_Data2(),FertiliserProducts[[#Headers],[Include or Exclude]], 20)</f>
        <v>Ingredient 1 percent</v>
      </c>
      <c r="G109" s="65" t="str" cm="1">
        <f t="array" ref="G109">Common_InputFunctions.Utility_DisplayArrayInTable(Fertiliser_SourceData.Fertiliser_Products_Data2(),FertiliserProducts[[#Headers],[Include or Exclude]], 20)</f>
        <v>Ingredient 1 source</v>
      </c>
      <c r="H109" s="65" t="str" cm="1">
        <f t="array" ref="H109">Common_InputFunctions.Utility_DisplayArrayInTable(Fertiliser_SourceData.Fertiliser_Products_Data2(),FertiliserProducts[[#Headers],[Include or Exclude]], 20)</f>
        <v>Ingredient 2</v>
      </c>
      <c r="I109" s="65" t="str" cm="1">
        <f t="array" ref="I109">Common_InputFunctions.Utility_DisplayArrayInTable(Fertiliser_SourceData.Fertiliser_Products_Data2(),FertiliserProducts[[#Headers],[Include or Exclude]], 20)</f>
        <v>Ingredient 2 percent</v>
      </c>
      <c r="J109" s="65" t="str" cm="1">
        <f t="array" ref="J109">Common_InputFunctions.Utility_DisplayArrayInTable(Fertiliser_SourceData.Fertiliser_Products_Data2(),FertiliserProducts[[#Headers],[Include or Exclude]], 20)</f>
        <v>Ingredient 2 source</v>
      </c>
      <c r="K109" s="65" t="str" cm="1">
        <f t="array" ref="K109">Common_InputFunctions.Utility_DisplayArrayInTable(Fertiliser_SourceData.Fertiliser_Products_Data2(),FertiliserProducts[[#Headers],[Include or Exclude]], 20)</f>
        <v>Ingredient 3</v>
      </c>
      <c r="L109" s="65" t="str" cm="1">
        <f t="array" ref="L109">Common_InputFunctions.Utility_DisplayArrayInTable(Fertiliser_SourceData.Fertiliser_Products_Data2(),FertiliserProducts[[#Headers],[Include or Exclude]], 20)</f>
        <v>Ingredient 3 percent</v>
      </c>
      <c r="M109" s="65" t="str" cm="1">
        <f t="array" ref="M109">Common_InputFunctions.Utility_DisplayArrayInTable(Fertiliser_SourceData.Fertiliser_Products_Data2(),FertiliserProducts[[#Headers],[Include or Exclude]], 20)</f>
        <v>Ingredient 3 source</v>
      </c>
      <c r="N109" s="65" t="str" cm="1">
        <f t="array" ref="N109">Common_InputFunctions.Utility_DisplayArrayInTable(Fertiliser_SourceData.Fertiliser_Products_Data2(),FertiliserProducts[[#Headers],[Include or Exclude]], 20)</f>
        <v>Ingredient 4</v>
      </c>
      <c r="O109" s="65" t="str" cm="1">
        <f t="array" ref="O109">Common_InputFunctions.Utility_DisplayArrayInTable(Fertiliser_SourceData.Fertiliser_Products_Data2(),FertiliserProducts[[#Headers],[Include or Exclude]], 20)</f>
        <v>Ingredient 4 percent</v>
      </c>
      <c r="P109" s="65" t="str" cm="1">
        <f t="array" ref="P109">Common_InputFunctions.Utility_DisplayArrayInTable(Fertiliser_SourceData.Fertiliser_Products_Data2(),FertiliserProducts[[#Headers],[Include or Exclude]], 20)</f>
        <v>Ingredient 4 source</v>
      </c>
      <c r="Q109" s="65" t="str" cm="1">
        <f t="array" ref="Q109">Common_InputFunctions.Utility_DisplayArrayInTable(Fertiliser_SourceData.Fertiliser_Products_Data2(),FertiliserProducts[[#Headers],[Include or Exclude]], 20)</f>
        <v>Ingredient 5</v>
      </c>
      <c r="R109" s="65" t="str" cm="1">
        <f t="array" ref="R109">Common_InputFunctions.Utility_DisplayArrayInTable(Fertiliser_SourceData.Fertiliser_Products_Data2(),FertiliserProducts[[#Headers],[Include or Exclude]], 20)</f>
        <v>Ingredient 5 percent</v>
      </c>
      <c r="S109" s="65" t="str" cm="1">
        <f t="array" ref="S109">Common_InputFunctions.Utility_DisplayArrayInTable(Fertiliser_SourceData.Fertiliser_Products_Data2(),FertiliserProducts[[#Headers],[Include or Exclude]], 20)</f>
        <v>Ingredient 5 source</v>
      </c>
      <c r="T109" s="65" t="str" cm="1">
        <f t="array" ref="T109">Common_InputFunctions.Utility_DisplayArrayInTable(Fertiliser_SourceData.Fertiliser_Products_Data2(),FertiliserProducts[[#Headers],[Include or Exclude]], 20)</f>
        <v>Ingredient 6</v>
      </c>
      <c r="U109" s="65" t="str" cm="1">
        <f t="array" ref="U109">Common_InputFunctions.Utility_DisplayArrayInTable(Fertiliser_SourceData.Fertiliser_Products_Data2(),FertiliserProducts[[#Headers],[Include or Exclude]], 20)</f>
        <v>Ingredient 6 percent</v>
      </c>
      <c r="V109" s="65" t="str" cm="1">
        <f t="array" ref="V109">Common_InputFunctions.Utility_DisplayArrayInTable(Fertiliser_SourceData.Fertiliser_Products_Data2(),FertiliserProducts[[#Headers],[Include or Exclude]], 20)</f>
        <v>Ingredient 6 source</v>
      </c>
      <c r="W109" s="65" t="str" cm="1">
        <f t="array" ref="W109">Common_InputFunctions.Utility_DisplayArrayInTable(Fertiliser_SourceData.Fertiliser_Products_Data2(),FertiliserProducts[[#Headers],[Include or Exclude]], 20)</f>
        <v>Product info link</v>
      </c>
      <c r="X109" s="65" t="str" cm="1">
        <f t="array" ref="X109">Common_InputFunctions.Utility_DisplayArrayInTable(Fertiliser_SourceData.Fertiliser_Products_Data2(),FertiliserProducts[[#Headers],[Include or Exclude]], 20)</f>
        <v/>
      </c>
      <c r="Y109" s="65" t="str" cm="1">
        <f t="array" ref="Y109">Common_InputFunctions.Utility_DisplayArrayInTable(Fertiliser_SourceData.Fertiliser_Products_Data2(),FertiliserProducts[[#Headers],[Include or Exclude]], 20)</f>
        <v/>
      </c>
      <c r="Z109" s="65"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4:31" ht="20.100000000000001" customHeight="1" x14ac:dyDescent="0.25">
      <c r="D110" s="65" t="str" cm="1">
        <f t="array" ref="D110">Common_InputFunctions.Utility_DisplayArrayInTable(Fertiliser_SourceData.Fertiliser_Products_Data2(),FertiliserProducts[[#Headers],[Include or Exclude]], 20)</f>
        <v>Manganese Sulphate</v>
      </c>
      <c r="E110" s="65" t="str" cm="1">
        <f t="array" ref="E110">Common_InputFunctions.Utility_DisplayArrayInTable(Fertiliser_SourceData.Fertiliser_Products_Data2(),FertiliserProducts[[#Headers],[Include or Exclude]], 20)</f>
        <v/>
      </c>
      <c r="F110" s="65" t="str" cm="1">
        <f t="array" ref="F110">Common_InputFunctions.Utility_DisplayArrayInTable(Fertiliser_SourceData.Fertiliser_Products_Data2(),FertiliserProducts[[#Headers],[Include or Exclude]], 20)</f>
        <v/>
      </c>
      <c r="G110" s="65" t="str" cm="1">
        <f t="array" ref="G110">Common_InputFunctions.Utility_DisplayArrayInTable(Fertiliser_SourceData.Fertiliser_Products_Data2(),FertiliserProducts[[#Headers],[Include or Exclude]], 20)</f>
        <v/>
      </c>
      <c r="H110" s="65" t="str" cm="1">
        <f t="array" ref="H110">Common_InputFunctions.Utility_DisplayArrayInTable(Fertiliser_SourceData.Fertiliser_Products_Data2(),FertiliserProducts[[#Headers],[Include or Exclude]], 20)</f>
        <v/>
      </c>
      <c r="I110" s="65" t="str" cm="1">
        <f t="array" ref="I110">Common_InputFunctions.Utility_DisplayArrayInTable(Fertiliser_SourceData.Fertiliser_Products_Data2(),FertiliserProducts[[#Headers],[Include or Exclude]], 20)</f>
        <v/>
      </c>
      <c r="J110" s="65" t="str" cm="1">
        <f t="array" ref="J110">Common_InputFunctions.Utility_DisplayArrayInTable(Fertiliser_SourceData.Fertiliser_Products_Data2(),FertiliserProducts[[#Headers],[Include or Exclude]], 20)</f>
        <v/>
      </c>
      <c r="K110" s="65" t="str" cm="1">
        <f t="array" ref="K110">Common_InputFunctions.Utility_DisplayArrayInTable(Fertiliser_SourceData.Fertiliser_Products_Data2(),FertiliserProducts[[#Headers],[Include or Exclude]], 20)</f>
        <v/>
      </c>
      <c r="L110" s="65" t="str" cm="1">
        <f t="array" ref="L110">Common_InputFunctions.Utility_DisplayArrayInTable(Fertiliser_SourceData.Fertiliser_Products_Data2(),FertiliserProducts[[#Headers],[Include or Exclude]], 20)</f>
        <v/>
      </c>
      <c r="M110" s="65" t="str" cm="1">
        <f t="array" ref="M110">Common_InputFunctions.Utility_DisplayArrayInTable(Fertiliser_SourceData.Fertiliser_Products_Data2(),FertiliserProducts[[#Headers],[Include or Exclude]], 20)</f>
        <v/>
      </c>
      <c r="N110" s="65" t="str" cm="1">
        <f t="array" ref="N110">Common_InputFunctions.Utility_DisplayArrayInTable(Fertiliser_SourceData.Fertiliser_Products_Data2(),FertiliserProducts[[#Headers],[Include or Exclude]], 20)</f>
        <v/>
      </c>
      <c r="O110" s="65" t="str" cm="1">
        <f t="array" ref="O110">Common_InputFunctions.Utility_DisplayArrayInTable(Fertiliser_SourceData.Fertiliser_Products_Data2(),FertiliserProducts[[#Headers],[Include or Exclude]], 20)</f>
        <v/>
      </c>
      <c r="P110" s="65" t="str" cm="1">
        <f t="array" ref="P110">Common_InputFunctions.Utility_DisplayArrayInTable(Fertiliser_SourceData.Fertiliser_Products_Data2(),FertiliserProducts[[#Headers],[Include or Exclude]], 20)</f>
        <v/>
      </c>
      <c r="Q110" s="65" t="str" cm="1">
        <f t="array" ref="Q110">Common_InputFunctions.Utility_DisplayArrayInTable(Fertiliser_SourceData.Fertiliser_Products_Data2(),FertiliserProducts[[#Headers],[Include or Exclude]], 20)</f>
        <v/>
      </c>
      <c r="R110" s="65" t="str" cm="1">
        <f t="array" ref="R110">Common_InputFunctions.Utility_DisplayArrayInTable(Fertiliser_SourceData.Fertiliser_Products_Data2(),FertiliserProducts[[#Headers],[Include or Exclude]], 20)</f>
        <v/>
      </c>
      <c r="S110" s="65" t="str" cm="1">
        <f t="array" ref="S110">Common_InputFunctions.Utility_DisplayArrayInTable(Fertiliser_SourceData.Fertiliser_Products_Data2(),FertiliserProducts[[#Headers],[Include or Exclude]], 20)</f>
        <v/>
      </c>
      <c r="T110" s="65" t="str" cm="1">
        <f t="array" ref="T110">Common_InputFunctions.Utility_DisplayArrayInTable(Fertiliser_SourceData.Fertiliser_Products_Data2(),FertiliserProducts[[#Headers],[Include or Exclude]], 20)</f>
        <v/>
      </c>
      <c r="U110" s="65" t="str" cm="1">
        <f t="array" ref="U110">Common_InputFunctions.Utility_DisplayArrayInTable(Fertiliser_SourceData.Fertiliser_Products_Data2(),FertiliserProducts[[#Headers],[Include or Exclude]], 20)</f>
        <v/>
      </c>
      <c r="V110" s="65" t="str" cm="1">
        <f t="array" ref="V110">Common_InputFunctions.Utility_DisplayArrayInTable(Fertiliser_SourceData.Fertiliser_Products_Data2(),FertiliserProducts[[#Headers],[Include or Exclude]], 20)</f>
        <v/>
      </c>
      <c r="W110" s="65" t="str" cm="1">
        <f t="array" ref="W110">Common_InputFunctions.Utility_DisplayArrayInTable(Fertiliser_SourceData.Fertiliser_Products_Data2(),FertiliserProducts[[#Headers],[Include or Exclude]], 20)</f>
        <v>Incitec Pivot Fertilisers</v>
      </c>
      <c r="X110" s="65" t="str" cm="1">
        <f t="array" ref="X110">Common_InputFunctions.Utility_DisplayArrayInTable(Fertiliser_SourceData.Fertiliser_Products_Data2(),FertiliserProducts[[#Headers],[Include or Exclude]], 20)</f>
        <v/>
      </c>
      <c r="Y110" s="65" t="str" cm="1">
        <f t="array" ref="Y110">Common_InputFunctions.Utility_DisplayArrayInTable(Fertiliser_SourceData.Fertiliser_Products_Data2(),FertiliserProducts[[#Headers],[Include or Exclude]], 20)</f>
        <v/>
      </c>
      <c r="Z110" s="65"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4:31" ht="20.100000000000001" customHeight="1" x14ac:dyDescent="0.25">
      <c r="D111" s="65" t="str" cm="1">
        <f t="array" ref="D111">Common_InputFunctions.Utility_DisplayArrayInTable(Fertiliser_SourceData.Fertiliser_Products_Data2(),FertiliserProducts[[#Headers],[Include or Exclude]], 20)</f>
        <v>MAP</v>
      </c>
      <c r="E111" s="65" t="str" cm="1">
        <f t="array" ref="E111">Common_InputFunctions.Utility_DisplayArrayInTable(Fertiliser_SourceData.Fertiliser_Products_Data2(),FertiliserProducts[[#Headers],[Include or Exclude]], 20)</f>
        <v/>
      </c>
      <c r="F111" s="65" t="str" cm="1">
        <f t="array" ref="F111">Common_InputFunctions.Utility_DisplayArrayInTable(Fertiliser_SourceData.Fertiliser_Products_Data2(),FertiliserProducts[[#Headers],[Include or Exclude]], 20)</f>
        <v/>
      </c>
      <c r="G111" s="65" t="str" cm="1">
        <f t="array" ref="G111">Common_InputFunctions.Utility_DisplayArrayInTable(Fertiliser_SourceData.Fertiliser_Products_Data2(),FertiliserProducts[[#Headers],[Include or Exclude]], 20)</f>
        <v/>
      </c>
      <c r="H111" s="65" t="str" cm="1">
        <f t="array" ref="H111">Common_InputFunctions.Utility_DisplayArrayInTable(Fertiliser_SourceData.Fertiliser_Products_Data2(),FertiliserProducts[[#Headers],[Include or Exclude]], 20)</f>
        <v/>
      </c>
      <c r="I111" s="65" t="str" cm="1">
        <f t="array" ref="I111">Common_InputFunctions.Utility_DisplayArrayInTable(Fertiliser_SourceData.Fertiliser_Products_Data2(),FertiliserProducts[[#Headers],[Include or Exclude]], 20)</f>
        <v/>
      </c>
      <c r="J111" s="65" t="str" cm="1">
        <f t="array" ref="J111">Common_InputFunctions.Utility_DisplayArrayInTable(Fertiliser_SourceData.Fertiliser_Products_Data2(),FertiliserProducts[[#Headers],[Include or Exclude]], 20)</f>
        <v/>
      </c>
      <c r="K111" s="65" t="str" cm="1">
        <f t="array" ref="K111">Common_InputFunctions.Utility_DisplayArrayInTable(Fertiliser_SourceData.Fertiliser_Products_Data2(),FertiliserProducts[[#Headers],[Include or Exclude]], 20)</f>
        <v/>
      </c>
      <c r="L111" s="65" t="str" cm="1">
        <f t="array" ref="L111">Common_InputFunctions.Utility_DisplayArrayInTable(Fertiliser_SourceData.Fertiliser_Products_Data2(),FertiliserProducts[[#Headers],[Include or Exclude]], 20)</f>
        <v/>
      </c>
      <c r="M111" s="65" t="str" cm="1">
        <f t="array" ref="M111">Common_InputFunctions.Utility_DisplayArrayInTable(Fertiliser_SourceData.Fertiliser_Products_Data2(),FertiliserProducts[[#Headers],[Include or Exclude]], 20)</f>
        <v/>
      </c>
      <c r="N111" s="65" t="str" cm="1">
        <f t="array" ref="N111">Common_InputFunctions.Utility_DisplayArrayInTable(Fertiliser_SourceData.Fertiliser_Products_Data2(),FertiliserProducts[[#Headers],[Include or Exclude]], 20)</f>
        <v/>
      </c>
      <c r="O111" s="65" t="str" cm="1">
        <f t="array" ref="O111">Common_InputFunctions.Utility_DisplayArrayInTable(Fertiliser_SourceData.Fertiliser_Products_Data2(),FertiliserProducts[[#Headers],[Include or Exclude]], 20)</f>
        <v/>
      </c>
      <c r="P111" s="65" t="str" cm="1">
        <f t="array" ref="P111">Common_InputFunctions.Utility_DisplayArrayInTable(Fertiliser_SourceData.Fertiliser_Products_Data2(),FertiliserProducts[[#Headers],[Include or Exclude]], 20)</f>
        <v/>
      </c>
      <c r="Q111" s="65" t="str" cm="1">
        <f t="array" ref="Q111">Common_InputFunctions.Utility_DisplayArrayInTable(Fertiliser_SourceData.Fertiliser_Products_Data2(),FertiliserProducts[[#Headers],[Include or Exclude]], 20)</f>
        <v/>
      </c>
      <c r="R111" s="65" t="str" cm="1">
        <f t="array" ref="R111">Common_InputFunctions.Utility_DisplayArrayInTable(Fertiliser_SourceData.Fertiliser_Products_Data2(),FertiliserProducts[[#Headers],[Include or Exclude]], 20)</f>
        <v/>
      </c>
      <c r="S111" s="65" t="str" cm="1">
        <f t="array" ref="S111">Common_InputFunctions.Utility_DisplayArrayInTable(Fertiliser_SourceData.Fertiliser_Products_Data2(),FertiliserProducts[[#Headers],[Include or Exclude]], 20)</f>
        <v/>
      </c>
      <c r="T111" s="65" t="str" cm="1">
        <f t="array" ref="T111">Common_InputFunctions.Utility_DisplayArrayInTable(Fertiliser_SourceData.Fertiliser_Products_Data2(),FertiliserProducts[[#Headers],[Include or Exclude]], 20)</f>
        <v/>
      </c>
      <c r="U111" s="65" t="str" cm="1">
        <f t="array" ref="U111">Common_InputFunctions.Utility_DisplayArrayInTable(Fertiliser_SourceData.Fertiliser_Products_Data2(),FertiliserProducts[[#Headers],[Include or Exclude]], 20)</f>
        <v/>
      </c>
      <c r="V111" s="65" t="str" cm="1">
        <f t="array" ref="V111">Common_InputFunctions.Utility_DisplayArrayInTable(Fertiliser_SourceData.Fertiliser_Products_Data2(),FertiliserProducts[[#Headers],[Include or Exclude]], 20)</f>
        <v/>
      </c>
      <c r="W111" s="65" t="str" cm="1">
        <f t="array" ref="W111">Common_InputFunctions.Utility_DisplayArrayInTable(Fertiliser_SourceData.Fertiliser_Products_Data2(),FertiliserProducts[[#Headers],[Include or Exclude]], 20)</f>
        <v>Incitec Pivot Fertilisers</v>
      </c>
      <c r="X111" s="65" t="str" cm="1">
        <f t="array" ref="X111">Common_InputFunctions.Utility_DisplayArrayInTable(Fertiliser_SourceData.Fertiliser_Products_Data2(),FertiliserProducts[[#Headers],[Include or Exclude]], 20)</f>
        <v/>
      </c>
      <c r="Y111" s="65" t="str" cm="1">
        <f t="array" ref="Y111">Common_InputFunctions.Utility_DisplayArrayInTable(Fertiliser_SourceData.Fertiliser_Products_Data2(),FertiliserProducts[[#Headers],[Include or Exclude]], 20)</f>
        <v/>
      </c>
      <c r="Z111" s="65"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4:31" ht="20.100000000000001" customHeight="1" x14ac:dyDescent="0.25">
      <c r="D112" s="65" t="str" cm="1">
        <f t="array" ref="D112">Common_InputFunctions.Utility_DisplayArrayInTable(Fertiliser_SourceData.Fertiliser_Products_Data2(),FertiliserProducts[[#Headers],[Include or Exclude]], 20)</f>
        <v>MAP Impact</v>
      </c>
      <c r="E112" s="65" t="str" cm="1">
        <f t="array" ref="E112">Common_InputFunctions.Utility_DisplayArrayInTable(Fertiliser_SourceData.Fertiliser_Products_Data2(),FertiliserProducts[[#Headers],[Include or Exclude]], 20)</f>
        <v/>
      </c>
      <c r="F112" s="65" t="str" cm="1">
        <f t="array" ref="F112">Common_InputFunctions.Utility_DisplayArrayInTable(Fertiliser_SourceData.Fertiliser_Products_Data2(),FertiliserProducts[[#Headers],[Include or Exclude]], 20)</f>
        <v/>
      </c>
      <c r="G112" s="65" t="str" cm="1">
        <f t="array" ref="G112">Common_InputFunctions.Utility_DisplayArrayInTable(Fertiliser_SourceData.Fertiliser_Products_Data2(),FertiliserProducts[[#Headers],[Include or Exclude]], 20)</f>
        <v/>
      </c>
      <c r="H112" s="65" t="str" cm="1">
        <f t="array" ref="H112">Common_InputFunctions.Utility_DisplayArrayInTable(Fertiliser_SourceData.Fertiliser_Products_Data2(),FertiliserProducts[[#Headers],[Include or Exclude]], 20)</f>
        <v/>
      </c>
      <c r="I112" s="65" t="str" cm="1">
        <f t="array" ref="I112">Common_InputFunctions.Utility_DisplayArrayInTable(Fertiliser_SourceData.Fertiliser_Products_Data2(),FertiliserProducts[[#Headers],[Include or Exclude]], 20)</f>
        <v/>
      </c>
      <c r="J112" s="65" t="str" cm="1">
        <f t="array" ref="J112">Common_InputFunctions.Utility_DisplayArrayInTable(Fertiliser_SourceData.Fertiliser_Products_Data2(),FertiliserProducts[[#Headers],[Include or Exclude]], 20)</f>
        <v/>
      </c>
      <c r="K112" s="65" t="str" cm="1">
        <f t="array" ref="K112">Common_InputFunctions.Utility_DisplayArrayInTable(Fertiliser_SourceData.Fertiliser_Products_Data2(),FertiliserProducts[[#Headers],[Include or Exclude]], 20)</f>
        <v/>
      </c>
      <c r="L112" s="65" t="str" cm="1">
        <f t="array" ref="L112">Common_InputFunctions.Utility_DisplayArrayInTable(Fertiliser_SourceData.Fertiliser_Products_Data2(),FertiliserProducts[[#Headers],[Include or Exclude]], 20)</f>
        <v/>
      </c>
      <c r="M112" s="65" t="str" cm="1">
        <f t="array" ref="M112">Common_InputFunctions.Utility_DisplayArrayInTable(Fertiliser_SourceData.Fertiliser_Products_Data2(),FertiliserProducts[[#Headers],[Include or Exclude]], 20)</f>
        <v/>
      </c>
      <c r="N112" s="65" t="str" cm="1">
        <f t="array" ref="N112">Common_InputFunctions.Utility_DisplayArrayInTable(Fertiliser_SourceData.Fertiliser_Products_Data2(),FertiliserProducts[[#Headers],[Include or Exclude]], 20)</f>
        <v/>
      </c>
      <c r="O112" s="65" t="str" cm="1">
        <f t="array" ref="O112">Common_InputFunctions.Utility_DisplayArrayInTable(Fertiliser_SourceData.Fertiliser_Products_Data2(),FertiliserProducts[[#Headers],[Include or Exclude]], 20)</f>
        <v/>
      </c>
      <c r="P112" s="65" t="str" cm="1">
        <f t="array" ref="P112">Common_InputFunctions.Utility_DisplayArrayInTable(Fertiliser_SourceData.Fertiliser_Products_Data2(),FertiliserProducts[[#Headers],[Include or Exclude]], 20)</f>
        <v/>
      </c>
      <c r="Q112" s="65" t="str" cm="1">
        <f t="array" ref="Q112">Common_InputFunctions.Utility_DisplayArrayInTable(Fertiliser_SourceData.Fertiliser_Products_Data2(),FertiliserProducts[[#Headers],[Include or Exclude]], 20)</f>
        <v/>
      </c>
      <c r="R112" s="65" t="str" cm="1">
        <f t="array" ref="R112">Common_InputFunctions.Utility_DisplayArrayInTable(Fertiliser_SourceData.Fertiliser_Products_Data2(),FertiliserProducts[[#Headers],[Include or Exclude]], 20)</f>
        <v/>
      </c>
      <c r="S112" s="65" t="str" cm="1">
        <f t="array" ref="S112">Common_InputFunctions.Utility_DisplayArrayInTable(Fertiliser_SourceData.Fertiliser_Products_Data2(),FertiliserProducts[[#Headers],[Include or Exclude]], 20)</f>
        <v/>
      </c>
      <c r="T112" s="65" t="str" cm="1">
        <f t="array" ref="T112">Common_InputFunctions.Utility_DisplayArrayInTable(Fertiliser_SourceData.Fertiliser_Products_Data2(),FertiliserProducts[[#Headers],[Include or Exclude]], 20)</f>
        <v/>
      </c>
      <c r="U112" s="65" t="str" cm="1">
        <f t="array" ref="U112">Common_InputFunctions.Utility_DisplayArrayInTable(Fertiliser_SourceData.Fertiliser_Products_Data2(),FertiliserProducts[[#Headers],[Include or Exclude]], 20)</f>
        <v/>
      </c>
      <c r="V112" s="65" t="str" cm="1">
        <f t="array" ref="V112">Common_InputFunctions.Utility_DisplayArrayInTable(Fertiliser_SourceData.Fertiliser_Products_Data2(),FertiliserProducts[[#Headers],[Include or Exclude]], 20)</f>
        <v/>
      </c>
      <c r="W112" s="65" t="str" cm="1">
        <f t="array" ref="W112">Common_InputFunctions.Utility_DisplayArrayInTable(Fertiliser_SourceData.Fertiliser_Products_Data2(),FertiliserProducts[[#Headers],[Include or Exclude]], 20)</f>
        <v>Impact fertilisers</v>
      </c>
      <c r="X112" s="65" t="str" cm="1">
        <f t="array" ref="X112">Common_InputFunctions.Utility_DisplayArrayInTable(Fertiliser_SourceData.Fertiliser_Products_Data2(),FertiliserProducts[[#Headers],[Include or Exclude]], 20)</f>
        <v/>
      </c>
      <c r="Y112" s="65" t="str" cm="1">
        <f t="array" ref="Y112">Common_InputFunctions.Utility_DisplayArrayInTable(Fertiliser_SourceData.Fertiliser_Products_Data2(),FertiliserProducts[[#Headers],[Include or Exclude]], 20)</f>
        <v/>
      </c>
      <c r="Z112" s="65"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4:31" ht="20.100000000000001" customHeight="1" x14ac:dyDescent="0.25">
      <c r="D113" s="65" t="str" cm="1">
        <f t="array" ref="D113">Common_InputFunctions.Utility_DisplayArrayInTable(Fertiliser_SourceData.Fertiliser_Products_Data2(),FertiliserProducts[[#Headers],[Include or Exclude]], 20)</f>
        <v>MAPSZC</v>
      </c>
      <c r="E113" s="65" t="str" cm="1">
        <f t="array" ref="E113">Common_InputFunctions.Utility_DisplayArrayInTable(Fertiliser_SourceData.Fertiliser_Products_Data2(),FertiliserProducts[[#Headers],[Include or Exclude]], 20)</f>
        <v/>
      </c>
      <c r="F113" s="65" t="str" cm="1">
        <f t="array" ref="F113">Common_InputFunctions.Utility_DisplayArrayInTable(Fertiliser_SourceData.Fertiliser_Products_Data2(),FertiliserProducts[[#Headers],[Include or Exclude]], 20)</f>
        <v/>
      </c>
      <c r="G113" s="65" t="str" cm="1">
        <f t="array" ref="G113">Common_InputFunctions.Utility_DisplayArrayInTable(Fertiliser_SourceData.Fertiliser_Products_Data2(),FertiliserProducts[[#Headers],[Include or Exclude]], 20)</f>
        <v/>
      </c>
      <c r="H113" s="65" t="str" cm="1">
        <f t="array" ref="H113">Common_InputFunctions.Utility_DisplayArrayInTable(Fertiliser_SourceData.Fertiliser_Products_Data2(),FertiliserProducts[[#Headers],[Include or Exclude]], 20)</f>
        <v/>
      </c>
      <c r="I113" s="65" t="str" cm="1">
        <f t="array" ref="I113">Common_InputFunctions.Utility_DisplayArrayInTable(Fertiliser_SourceData.Fertiliser_Products_Data2(),FertiliserProducts[[#Headers],[Include or Exclude]], 20)</f>
        <v/>
      </c>
      <c r="J113" s="65" t="str" cm="1">
        <f t="array" ref="J113">Common_InputFunctions.Utility_DisplayArrayInTable(Fertiliser_SourceData.Fertiliser_Products_Data2(),FertiliserProducts[[#Headers],[Include or Exclude]], 20)</f>
        <v/>
      </c>
      <c r="K113" s="65" t="str" cm="1">
        <f t="array" ref="K113">Common_InputFunctions.Utility_DisplayArrayInTable(Fertiliser_SourceData.Fertiliser_Products_Data2(),FertiliserProducts[[#Headers],[Include or Exclude]], 20)</f>
        <v/>
      </c>
      <c r="L113" s="65" t="str" cm="1">
        <f t="array" ref="L113">Common_InputFunctions.Utility_DisplayArrayInTable(Fertiliser_SourceData.Fertiliser_Products_Data2(),FertiliserProducts[[#Headers],[Include or Exclude]], 20)</f>
        <v/>
      </c>
      <c r="M113" s="65" t="str" cm="1">
        <f t="array" ref="M113">Common_InputFunctions.Utility_DisplayArrayInTable(Fertiliser_SourceData.Fertiliser_Products_Data2(),FertiliserProducts[[#Headers],[Include or Exclude]], 20)</f>
        <v/>
      </c>
      <c r="N113" s="65" t="str" cm="1">
        <f t="array" ref="N113">Common_InputFunctions.Utility_DisplayArrayInTable(Fertiliser_SourceData.Fertiliser_Products_Data2(),FertiliserProducts[[#Headers],[Include or Exclude]], 20)</f>
        <v/>
      </c>
      <c r="O113" s="65" t="str" cm="1">
        <f t="array" ref="O113">Common_InputFunctions.Utility_DisplayArrayInTable(Fertiliser_SourceData.Fertiliser_Products_Data2(),FertiliserProducts[[#Headers],[Include or Exclude]], 20)</f>
        <v/>
      </c>
      <c r="P113" s="65" t="str" cm="1">
        <f t="array" ref="P113">Common_InputFunctions.Utility_DisplayArrayInTable(Fertiliser_SourceData.Fertiliser_Products_Data2(),FertiliserProducts[[#Headers],[Include or Exclude]], 20)</f>
        <v/>
      </c>
      <c r="Q113" s="65" t="str" cm="1">
        <f t="array" ref="Q113">Common_InputFunctions.Utility_DisplayArrayInTable(Fertiliser_SourceData.Fertiliser_Products_Data2(),FertiliserProducts[[#Headers],[Include or Exclude]], 20)</f>
        <v/>
      </c>
      <c r="R113" s="65" t="str" cm="1">
        <f t="array" ref="R113">Common_InputFunctions.Utility_DisplayArrayInTable(Fertiliser_SourceData.Fertiliser_Products_Data2(),FertiliserProducts[[#Headers],[Include or Exclude]], 20)</f>
        <v/>
      </c>
      <c r="S113" s="65" t="str" cm="1">
        <f t="array" ref="S113">Common_InputFunctions.Utility_DisplayArrayInTable(Fertiliser_SourceData.Fertiliser_Products_Data2(),FertiliserProducts[[#Headers],[Include or Exclude]], 20)</f>
        <v/>
      </c>
      <c r="T113" s="65" t="str" cm="1">
        <f t="array" ref="T113">Common_InputFunctions.Utility_DisplayArrayInTable(Fertiliser_SourceData.Fertiliser_Products_Data2(),FertiliserProducts[[#Headers],[Include or Exclude]], 20)</f>
        <v/>
      </c>
      <c r="U113" s="65" t="str" cm="1">
        <f t="array" ref="U113">Common_InputFunctions.Utility_DisplayArrayInTable(Fertiliser_SourceData.Fertiliser_Products_Data2(),FertiliserProducts[[#Headers],[Include or Exclude]], 20)</f>
        <v/>
      </c>
      <c r="V113" s="65" t="str" cm="1">
        <f t="array" ref="V113">Common_InputFunctions.Utility_DisplayArrayInTable(Fertiliser_SourceData.Fertiliser_Products_Data2(),FertiliserProducts[[#Headers],[Include or Exclude]], 20)</f>
        <v/>
      </c>
      <c r="W113" s="65" t="str" cm="1">
        <f t="array" ref="W113">Common_InputFunctions.Utility_DisplayArrayInTable(Fertiliser_SourceData.Fertiliser_Products_Data2(),FertiliserProducts[[#Headers],[Include or Exclude]], 20)</f>
        <v>Summit Fertilizers</v>
      </c>
      <c r="X113" s="65" t="str" cm="1">
        <f t="array" ref="X113">Common_InputFunctions.Utility_DisplayArrayInTable(Fertiliser_SourceData.Fertiliser_Products_Data2(),FertiliserProducts[[#Headers],[Include or Exclude]], 20)</f>
        <v/>
      </c>
      <c r="Y113" s="65" t="str" cm="1">
        <f t="array" ref="Y113">Common_InputFunctions.Utility_DisplayArrayInTable(Fertiliser_SourceData.Fertiliser_Products_Data2(),FertiliserProducts[[#Headers],[Include or Exclude]], 20)</f>
        <v/>
      </c>
      <c r="Z113" s="65"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4:31" ht="20.100000000000001" customHeight="1" x14ac:dyDescent="0.25">
      <c r="D114" s="65" t="str" cm="1">
        <f t="array" ref="D114">Common_InputFunctions.Utility_DisplayArrayInTable(Fertiliser_SourceData.Fertiliser_Products_Data2(),FertiliserProducts[[#Headers],[Include or Exclude]], 20)</f>
        <v>Maximum N-Pact 29-0-0</v>
      </c>
      <c r="E114" s="65" t="str" cm="1">
        <f t="array" ref="E114">Common_InputFunctions.Utility_DisplayArrayInTable(Fertiliser_SourceData.Fertiliser_Products_Data2(),FertiliserProducts[[#Headers],[Include or Exclude]], 20)</f>
        <v/>
      </c>
      <c r="F114" s="65" t="str" cm="1">
        <f t="array" ref="F114">Common_InputFunctions.Utility_DisplayArrayInTable(Fertiliser_SourceData.Fertiliser_Products_Data2(),FertiliserProducts[[#Headers],[Include or Exclude]], 20)</f>
        <v/>
      </c>
      <c r="G114" s="65" t="str" cm="1">
        <f t="array" ref="G114">Common_InputFunctions.Utility_DisplayArrayInTable(Fertiliser_SourceData.Fertiliser_Products_Data2(),FertiliserProducts[[#Headers],[Include or Exclude]], 20)</f>
        <v/>
      </c>
      <c r="H114" s="65" t="str" cm="1">
        <f t="array" ref="H114">Common_InputFunctions.Utility_DisplayArrayInTable(Fertiliser_SourceData.Fertiliser_Products_Data2(),FertiliserProducts[[#Headers],[Include or Exclude]], 20)</f>
        <v/>
      </c>
      <c r="I114" s="65" t="str" cm="1">
        <f t="array" ref="I114">Common_InputFunctions.Utility_DisplayArrayInTable(Fertiliser_SourceData.Fertiliser_Products_Data2(),FertiliserProducts[[#Headers],[Include or Exclude]], 20)</f>
        <v/>
      </c>
      <c r="J114" s="65" t="str" cm="1">
        <f t="array" ref="J114">Common_InputFunctions.Utility_DisplayArrayInTable(Fertiliser_SourceData.Fertiliser_Products_Data2(),FertiliserProducts[[#Headers],[Include or Exclude]], 20)</f>
        <v/>
      </c>
      <c r="K114" s="65" t="str" cm="1">
        <f t="array" ref="K114">Common_InputFunctions.Utility_DisplayArrayInTable(Fertiliser_SourceData.Fertiliser_Products_Data2(),FertiliserProducts[[#Headers],[Include or Exclude]], 20)</f>
        <v/>
      </c>
      <c r="L114" s="65" t="str" cm="1">
        <f t="array" ref="L114">Common_InputFunctions.Utility_DisplayArrayInTable(Fertiliser_SourceData.Fertiliser_Products_Data2(),FertiliserProducts[[#Headers],[Include or Exclude]], 20)</f>
        <v/>
      </c>
      <c r="M114" s="65" t="str" cm="1">
        <f t="array" ref="M114">Common_InputFunctions.Utility_DisplayArrayInTable(Fertiliser_SourceData.Fertiliser_Products_Data2(),FertiliserProducts[[#Headers],[Include or Exclude]], 20)</f>
        <v/>
      </c>
      <c r="N114" s="65" t="str" cm="1">
        <f t="array" ref="N114">Common_InputFunctions.Utility_DisplayArrayInTable(Fertiliser_SourceData.Fertiliser_Products_Data2(),FertiliserProducts[[#Headers],[Include or Exclude]], 20)</f>
        <v/>
      </c>
      <c r="O114" s="65" t="str" cm="1">
        <f t="array" ref="O114">Common_InputFunctions.Utility_DisplayArrayInTable(Fertiliser_SourceData.Fertiliser_Products_Data2(),FertiliserProducts[[#Headers],[Include or Exclude]], 20)</f>
        <v/>
      </c>
      <c r="P114" s="65" t="str" cm="1">
        <f t="array" ref="P114">Common_InputFunctions.Utility_DisplayArrayInTable(Fertiliser_SourceData.Fertiliser_Products_Data2(),FertiliserProducts[[#Headers],[Include or Exclude]], 20)</f>
        <v/>
      </c>
      <c r="Q114" s="65" t="str" cm="1">
        <f t="array" ref="Q114">Common_InputFunctions.Utility_DisplayArrayInTable(Fertiliser_SourceData.Fertiliser_Products_Data2(),FertiliserProducts[[#Headers],[Include or Exclude]], 20)</f>
        <v/>
      </c>
      <c r="R114" s="65" t="str" cm="1">
        <f t="array" ref="R114">Common_InputFunctions.Utility_DisplayArrayInTable(Fertiliser_SourceData.Fertiliser_Products_Data2(),FertiliserProducts[[#Headers],[Include or Exclude]], 20)</f>
        <v/>
      </c>
      <c r="S114" s="65" t="str" cm="1">
        <f t="array" ref="S114">Common_InputFunctions.Utility_DisplayArrayInTable(Fertiliser_SourceData.Fertiliser_Products_Data2(),FertiliserProducts[[#Headers],[Include or Exclude]], 20)</f>
        <v/>
      </c>
      <c r="T114" s="65" t="str" cm="1">
        <f t="array" ref="T114">Common_InputFunctions.Utility_DisplayArrayInTable(Fertiliser_SourceData.Fertiliser_Products_Data2(),FertiliserProducts[[#Headers],[Include or Exclude]], 20)</f>
        <v/>
      </c>
      <c r="U114" s="65" t="str" cm="1">
        <f t="array" ref="U114">Common_InputFunctions.Utility_DisplayArrayInTable(Fertiliser_SourceData.Fertiliser_Products_Data2(),FertiliserProducts[[#Headers],[Include or Exclude]], 20)</f>
        <v/>
      </c>
      <c r="V114" s="65" t="str" cm="1">
        <f t="array" ref="V114">Common_InputFunctions.Utility_DisplayArrayInTable(Fertiliser_SourceData.Fertiliser_Products_Data2(),FertiliserProducts[[#Headers],[Include or Exclude]], 20)</f>
        <v/>
      </c>
      <c r="W114" s="65" t="str" cm="1">
        <f t="array" ref="W114">Common_InputFunctions.Utility_DisplayArrayInTable(Fertiliser_SourceData.Fertiliser_Products_Data2(),FertiliserProducts[[#Headers],[Include or Exclude]], 20)</f>
        <v>Maximum N-Pact | Loveland (lovelandagriproducts.com.au)</v>
      </c>
      <c r="X114" s="65" t="str" cm="1">
        <f t="array" ref="X114">Common_InputFunctions.Utility_DisplayArrayInTable(Fertiliser_SourceData.Fertiliser_Products_Data2(),FertiliserProducts[[#Headers],[Include or Exclude]], 20)</f>
        <v/>
      </c>
      <c r="Y114" s="65" t="str" cm="1">
        <f t="array" ref="Y114">Common_InputFunctions.Utility_DisplayArrayInTable(Fertiliser_SourceData.Fertiliser_Products_Data2(),FertiliserProducts[[#Headers],[Include or Exclude]], 20)</f>
        <v/>
      </c>
      <c r="Z114" s="65"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4:31" ht="20.100000000000001" customHeight="1" x14ac:dyDescent="0.25">
      <c r="D115" s="65" t="str" cm="1">
        <f t="array" ref="D115">Common_InputFunctions.Utility_DisplayArrayInTable(Fertiliser_SourceData.Fertiliser_Products_Data2(),FertiliserProducts[[#Headers],[Include or Exclude]], 20)</f>
        <v>Microsol 12-6-44</v>
      </c>
      <c r="E115" s="65" t="str" cm="1">
        <f t="array" ref="E115">Common_InputFunctions.Utility_DisplayArrayInTable(Fertiliser_SourceData.Fertiliser_Products_Data2(),FertiliserProducts[[#Headers],[Include or Exclude]], 20)</f>
        <v/>
      </c>
      <c r="F115" s="65" t="str" cm="1">
        <f t="array" ref="F115">Common_InputFunctions.Utility_DisplayArrayInTable(Fertiliser_SourceData.Fertiliser_Products_Data2(),FertiliserProducts[[#Headers],[Include or Exclude]], 20)</f>
        <v/>
      </c>
      <c r="G115" s="65" t="str" cm="1">
        <f t="array" ref="G115">Common_InputFunctions.Utility_DisplayArrayInTable(Fertiliser_SourceData.Fertiliser_Products_Data2(),FertiliserProducts[[#Headers],[Include or Exclude]], 20)</f>
        <v/>
      </c>
      <c r="H115" s="65" t="str" cm="1">
        <f t="array" ref="H115">Common_InputFunctions.Utility_DisplayArrayInTable(Fertiliser_SourceData.Fertiliser_Products_Data2(),FertiliserProducts[[#Headers],[Include or Exclude]], 20)</f>
        <v/>
      </c>
      <c r="I115" s="65" t="str" cm="1">
        <f t="array" ref="I115">Common_InputFunctions.Utility_DisplayArrayInTable(Fertiliser_SourceData.Fertiliser_Products_Data2(),FertiliserProducts[[#Headers],[Include or Exclude]], 20)</f>
        <v/>
      </c>
      <c r="J115" s="65" t="str" cm="1">
        <f t="array" ref="J115">Common_InputFunctions.Utility_DisplayArrayInTable(Fertiliser_SourceData.Fertiliser_Products_Data2(),FertiliserProducts[[#Headers],[Include or Exclude]], 20)</f>
        <v/>
      </c>
      <c r="K115" s="65" t="str" cm="1">
        <f t="array" ref="K115">Common_InputFunctions.Utility_DisplayArrayInTable(Fertiliser_SourceData.Fertiliser_Products_Data2(),FertiliserProducts[[#Headers],[Include or Exclude]], 20)</f>
        <v/>
      </c>
      <c r="L115" s="65" t="str" cm="1">
        <f t="array" ref="L115">Common_InputFunctions.Utility_DisplayArrayInTable(Fertiliser_SourceData.Fertiliser_Products_Data2(),FertiliserProducts[[#Headers],[Include or Exclude]], 20)</f>
        <v/>
      </c>
      <c r="M115" s="65" t="str" cm="1">
        <f t="array" ref="M115">Common_InputFunctions.Utility_DisplayArrayInTable(Fertiliser_SourceData.Fertiliser_Products_Data2(),FertiliserProducts[[#Headers],[Include or Exclude]], 20)</f>
        <v/>
      </c>
      <c r="N115" s="65" t="str" cm="1">
        <f t="array" ref="N115">Common_InputFunctions.Utility_DisplayArrayInTable(Fertiliser_SourceData.Fertiliser_Products_Data2(),FertiliserProducts[[#Headers],[Include or Exclude]], 20)</f>
        <v/>
      </c>
      <c r="O115" s="65" t="str" cm="1">
        <f t="array" ref="O115">Common_InputFunctions.Utility_DisplayArrayInTable(Fertiliser_SourceData.Fertiliser_Products_Data2(),FertiliserProducts[[#Headers],[Include or Exclude]], 20)</f>
        <v/>
      </c>
      <c r="P115" s="65" t="str" cm="1">
        <f t="array" ref="P115">Common_InputFunctions.Utility_DisplayArrayInTable(Fertiliser_SourceData.Fertiliser_Products_Data2(),FertiliserProducts[[#Headers],[Include or Exclude]], 20)</f>
        <v/>
      </c>
      <c r="Q115" s="65" t="str" cm="1">
        <f t="array" ref="Q115">Common_InputFunctions.Utility_DisplayArrayInTable(Fertiliser_SourceData.Fertiliser_Products_Data2(),FertiliserProducts[[#Headers],[Include or Exclude]], 20)</f>
        <v/>
      </c>
      <c r="R115" s="65" t="str" cm="1">
        <f t="array" ref="R115">Common_InputFunctions.Utility_DisplayArrayInTable(Fertiliser_SourceData.Fertiliser_Products_Data2(),FertiliserProducts[[#Headers],[Include or Exclude]], 20)</f>
        <v/>
      </c>
      <c r="S115" s="65" t="str" cm="1">
        <f t="array" ref="S115">Common_InputFunctions.Utility_DisplayArrayInTable(Fertiliser_SourceData.Fertiliser_Products_Data2(),FertiliserProducts[[#Headers],[Include or Exclude]], 20)</f>
        <v/>
      </c>
      <c r="T115" s="65" t="str" cm="1">
        <f t="array" ref="T115">Common_InputFunctions.Utility_DisplayArrayInTable(Fertiliser_SourceData.Fertiliser_Products_Data2(),FertiliserProducts[[#Headers],[Include or Exclude]], 20)</f>
        <v/>
      </c>
      <c r="U115" s="65" t="str" cm="1">
        <f t="array" ref="U115">Common_InputFunctions.Utility_DisplayArrayInTable(Fertiliser_SourceData.Fertiliser_Products_Data2(),FertiliserProducts[[#Headers],[Include or Exclude]], 20)</f>
        <v/>
      </c>
      <c r="V115" s="65" t="str" cm="1">
        <f t="array" ref="V115">Common_InputFunctions.Utility_DisplayArrayInTable(Fertiliser_SourceData.Fertiliser_Products_Data2(),FertiliserProducts[[#Headers],[Include or Exclude]], 20)</f>
        <v/>
      </c>
      <c r="W115" s="65" t="str" cm="1">
        <f t="array" ref="W115">Common_InputFunctions.Utility_DisplayArrayInTable(Fertiliser_SourceData.Fertiliser_Products_Data2(),FertiliserProducts[[#Headers],[Include or Exclude]], 20)</f>
        <v>Rigbytaylor Microsol Range</v>
      </c>
      <c r="X115" s="65" t="str" cm="1">
        <f t="array" ref="X115">Common_InputFunctions.Utility_DisplayArrayInTable(Fertiliser_SourceData.Fertiliser_Products_Data2(),FertiliserProducts[[#Headers],[Include or Exclude]], 20)</f>
        <v/>
      </c>
      <c r="Y115" s="65" t="str" cm="1">
        <f t="array" ref="Y115">Common_InputFunctions.Utility_DisplayArrayInTable(Fertiliser_SourceData.Fertiliser_Products_Data2(),FertiliserProducts[[#Headers],[Include or Exclude]], 20)</f>
        <v/>
      </c>
      <c r="Z115" s="65"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4:31" ht="20.100000000000001" customHeight="1" x14ac:dyDescent="0.25">
      <c r="D116" s="65" t="str" cm="1">
        <f t="array" ref="D116">Common_InputFunctions.Utility_DisplayArrayInTable(Fertiliser_SourceData.Fertiliser_Products_Data2(),FertiliserProducts[[#Headers],[Include or Exclude]], 20)</f>
        <v>Microsol 16-32-16</v>
      </c>
      <c r="E116" s="65" t="str" cm="1">
        <f t="array" ref="E116">Common_InputFunctions.Utility_DisplayArrayInTable(Fertiliser_SourceData.Fertiliser_Products_Data2(),FertiliserProducts[[#Headers],[Include or Exclude]], 20)</f>
        <v/>
      </c>
      <c r="F116" s="65" t="str" cm="1">
        <f t="array" ref="F116">Common_InputFunctions.Utility_DisplayArrayInTable(Fertiliser_SourceData.Fertiliser_Products_Data2(),FertiliserProducts[[#Headers],[Include or Exclude]], 20)</f>
        <v/>
      </c>
      <c r="G116" s="65" t="str" cm="1">
        <f t="array" ref="G116">Common_InputFunctions.Utility_DisplayArrayInTable(Fertiliser_SourceData.Fertiliser_Products_Data2(),FertiliserProducts[[#Headers],[Include or Exclude]], 20)</f>
        <v/>
      </c>
      <c r="H116" s="65" t="str" cm="1">
        <f t="array" ref="H116">Common_InputFunctions.Utility_DisplayArrayInTable(Fertiliser_SourceData.Fertiliser_Products_Data2(),FertiliserProducts[[#Headers],[Include or Exclude]], 20)</f>
        <v/>
      </c>
      <c r="I116" s="65" t="str" cm="1">
        <f t="array" ref="I116">Common_InputFunctions.Utility_DisplayArrayInTable(Fertiliser_SourceData.Fertiliser_Products_Data2(),FertiliserProducts[[#Headers],[Include or Exclude]], 20)</f>
        <v/>
      </c>
      <c r="J116" s="65" t="str" cm="1">
        <f t="array" ref="J116">Common_InputFunctions.Utility_DisplayArrayInTable(Fertiliser_SourceData.Fertiliser_Products_Data2(),FertiliserProducts[[#Headers],[Include or Exclude]], 20)</f>
        <v/>
      </c>
      <c r="K116" s="65" t="str" cm="1">
        <f t="array" ref="K116">Common_InputFunctions.Utility_DisplayArrayInTable(Fertiliser_SourceData.Fertiliser_Products_Data2(),FertiliserProducts[[#Headers],[Include or Exclude]], 20)</f>
        <v/>
      </c>
      <c r="L116" s="65" t="str" cm="1">
        <f t="array" ref="L116">Common_InputFunctions.Utility_DisplayArrayInTable(Fertiliser_SourceData.Fertiliser_Products_Data2(),FertiliserProducts[[#Headers],[Include or Exclude]], 20)</f>
        <v/>
      </c>
      <c r="M116" s="65" t="str" cm="1">
        <f t="array" ref="M116">Common_InputFunctions.Utility_DisplayArrayInTable(Fertiliser_SourceData.Fertiliser_Products_Data2(),FertiliserProducts[[#Headers],[Include or Exclude]], 20)</f>
        <v/>
      </c>
      <c r="N116" s="65" t="str" cm="1">
        <f t="array" ref="N116">Common_InputFunctions.Utility_DisplayArrayInTable(Fertiliser_SourceData.Fertiliser_Products_Data2(),FertiliserProducts[[#Headers],[Include or Exclude]], 20)</f>
        <v/>
      </c>
      <c r="O116" s="65" t="str" cm="1">
        <f t="array" ref="O116">Common_InputFunctions.Utility_DisplayArrayInTable(Fertiliser_SourceData.Fertiliser_Products_Data2(),FertiliserProducts[[#Headers],[Include or Exclude]], 20)</f>
        <v/>
      </c>
      <c r="P116" s="65" t="str" cm="1">
        <f t="array" ref="P116">Common_InputFunctions.Utility_DisplayArrayInTable(Fertiliser_SourceData.Fertiliser_Products_Data2(),FertiliserProducts[[#Headers],[Include or Exclude]], 20)</f>
        <v/>
      </c>
      <c r="Q116" s="65" t="str" cm="1">
        <f t="array" ref="Q116">Common_InputFunctions.Utility_DisplayArrayInTable(Fertiliser_SourceData.Fertiliser_Products_Data2(),FertiliserProducts[[#Headers],[Include or Exclude]], 20)</f>
        <v/>
      </c>
      <c r="R116" s="65" t="str" cm="1">
        <f t="array" ref="R116">Common_InputFunctions.Utility_DisplayArrayInTable(Fertiliser_SourceData.Fertiliser_Products_Data2(),FertiliserProducts[[#Headers],[Include or Exclude]], 20)</f>
        <v/>
      </c>
      <c r="S116" s="65" t="str" cm="1">
        <f t="array" ref="S116">Common_InputFunctions.Utility_DisplayArrayInTable(Fertiliser_SourceData.Fertiliser_Products_Data2(),FertiliserProducts[[#Headers],[Include or Exclude]], 20)</f>
        <v/>
      </c>
      <c r="T116" s="65" t="str" cm="1">
        <f t="array" ref="T116">Common_InputFunctions.Utility_DisplayArrayInTable(Fertiliser_SourceData.Fertiliser_Products_Data2(),FertiliserProducts[[#Headers],[Include or Exclude]], 20)</f>
        <v/>
      </c>
      <c r="U116" s="65" t="str" cm="1">
        <f t="array" ref="U116">Common_InputFunctions.Utility_DisplayArrayInTable(Fertiliser_SourceData.Fertiliser_Products_Data2(),FertiliserProducts[[#Headers],[Include or Exclude]], 20)</f>
        <v/>
      </c>
      <c r="V116" s="65" t="str" cm="1">
        <f t="array" ref="V116">Common_InputFunctions.Utility_DisplayArrayInTable(Fertiliser_SourceData.Fertiliser_Products_Data2(),FertiliserProducts[[#Headers],[Include or Exclude]], 20)</f>
        <v/>
      </c>
      <c r="W116" s="65" t="str" cm="1">
        <f t="array" ref="W116">Common_InputFunctions.Utility_DisplayArrayInTable(Fertiliser_SourceData.Fertiliser_Products_Data2(),FertiliserProducts[[#Headers],[Include or Exclude]], 20)</f>
        <v>Rigbytaylor Microsol Range</v>
      </c>
      <c r="X116" s="65" t="str" cm="1">
        <f t="array" ref="X116">Common_InputFunctions.Utility_DisplayArrayInTable(Fertiliser_SourceData.Fertiliser_Products_Data2(),FertiliserProducts[[#Headers],[Include or Exclude]], 20)</f>
        <v/>
      </c>
      <c r="Y116" s="65" t="str" cm="1">
        <f t="array" ref="Y116">Common_InputFunctions.Utility_DisplayArrayInTable(Fertiliser_SourceData.Fertiliser_Products_Data2(),FertiliserProducts[[#Headers],[Include or Exclude]], 20)</f>
        <v/>
      </c>
      <c r="Z116" s="65"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4:31" ht="20.100000000000001" customHeight="1" x14ac:dyDescent="0.25">
      <c r="D117" s="65" t="str" cm="1">
        <f t="array" ref="D117">Common_InputFunctions.Utility_DisplayArrayInTable(Fertiliser_SourceData.Fertiliser_Products_Data2(),FertiliserProducts[[#Headers],[Include or Exclude]], 20)</f>
        <v>Microsol 25-5-10</v>
      </c>
      <c r="E117" s="65" t="str" cm="1">
        <f t="array" ref="E117">Common_InputFunctions.Utility_DisplayArrayInTable(Fertiliser_SourceData.Fertiliser_Products_Data2(),FertiliserProducts[[#Headers],[Include or Exclude]], 20)</f>
        <v/>
      </c>
      <c r="F117" s="65" t="str" cm="1">
        <f t="array" ref="F117">Common_InputFunctions.Utility_DisplayArrayInTable(Fertiliser_SourceData.Fertiliser_Products_Data2(),FertiliserProducts[[#Headers],[Include or Exclude]], 20)</f>
        <v/>
      </c>
      <c r="G117" s="65" t="str" cm="1">
        <f t="array" ref="G117">Common_InputFunctions.Utility_DisplayArrayInTable(Fertiliser_SourceData.Fertiliser_Products_Data2(),FertiliserProducts[[#Headers],[Include or Exclude]], 20)</f>
        <v/>
      </c>
      <c r="H117" s="65" t="str" cm="1">
        <f t="array" ref="H117">Common_InputFunctions.Utility_DisplayArrayInTable(Fertiliser_SourceData.Fertiliser_Products_Data2(),FertiliserProducts[[#Headers],[Include or Exclude]], 20)</f>
        <v/>
      </c>
      <c r="I117" s="65" t="str" cm="1">
        <f t="array" ref="I117">Common_InputFunctions.Utility_DisplayArrayInTable(Fertiliser_SourceData.Fertiliser_Products_Data2(),FertiliserProducts[[#Headers],[Include or Exclude]], 20)</f>
        <v/>
      </c>
      <c r="J117" s="65" t="str" cm="1">
        <f t="array" ref="J117">Common_InputFunctions.Utility_DisplayArrayInTable(Fertiliser_SourceData.Fertiliser_Products_Data2(),FertiliserProducts[[#Headers],[Include or Exclude]], 20)</f>
        <v/>
      </c>
      <c r="K117" s="65" t="str" cm="1">
        <f t="array" ref="K117">Common_InputFunctions.Utility_DisplayArrayInTable(Fertiliser_SourceData.Fertiliser_Products_Data2(),FertiliserProducts[[#Headers],[Include or Exclude]], 20)</f>
        <v/>
      </c>
      <c r="L117" s="65" t="str" cm="1">
        <f t="array" ref="L117">Common_InputFunctions.Utility_DisplayArrayInTable(Fertiliser_SourceData.Fertiliser_Products_Data2(),FertiliserProducts[[#Headers],[Include or Exclude]], 20)</f>
        <v/>
      </c>
      <c r="M117" s="65" t="str" cm="1">
        <f t="array" ref="M117">Common_InputFunctions.Utility_DisplayArrayInTable(Fertiliser_SourceData.Fertiliser_Products_Data2(),FertiliserProducts[[#Headers],[Include or Exclude]], 20)</f>
        <v/>
      </c>
      <c r="N117" s="65" t="str" cm="1">
        <f t="array" ref="N117">Common_InputFunctions.Utility_DisplayArrayInTable(Fertiliser_SourceData.Fertiliser_Products_Data2(),FertiliserProducts[[#Headers],[Include or Exclude]], 20)</f>
        <v/>
      </c>
      <c r="O117" s="65" t="str" cm="1">
        <f t="array" ref="O117">Common_InputFunctions.Utility_DisplayArrayInTable(Fertiliser_SourceData.Fertiliser_Products_Data2(),FertiliserProducts[[#Headers],[Include or Exclude]], 20)</f>
        <v/>
      </c>
      <c r="P117" s="65" t="str" cm="1">
        <f t="array" ref="P117">Common_InputFunctions.Utility_DisplayArrayInTable(Fertiliser_SourceData.Fertiliser_Products_Data2(),FertiliserProducts[[#Headers],[Include or Exclude]], 20)</f>
        <v/>
      </c>
      <c r="Q117" s="65" t="str" cm="1">
        <f t="array" ref="Q117">Common_InputFunctions.Utility_DisplayArrayInTable(Fertiliser_SourceData.Fertiliser_Products_Data2(),FertiliserProducts[[#Headers],[Include or Exclude]], 20)</f>
        <v/>
      </c>
      <c r="R117" s="65" t="str" cm="1">
        <f t="array" ref="R117">Common_InputFunctions.Utility_DisplayArrayInTable(Fertiliser_SourceData.Fertiliser_Products_Data2(),FertiliserProducts[[#Headers],[Include or Exclude]], 20)</f>
        <v/>
      </c>
      <c r="S117" s="65" t="str" cm="1">
        <f t="array" ref="S117">Common_InputFunctions.Utility_DisplayArrayInTable(Fertiliser_SourceData.Fertiliser_Products_Data2(),FertiliserProducts[[#Headers],[Include or Exclude]], 20)</f>
        <v/>
      </c>
      <c r="T117" s="65" t="str" cm="1">
        <f t="array" ref="T117">Common_InputFunctions.Utility_DisplayArrayInTable(Fertiliser_SourceData.Fertiliser_Products_Data2(),FertiliserProducts[[#Headers],[Include or Exclude]], 20)</f>
        <v/>
      </c>
      <c r="U117" s="65" t="str" cm="1">
        <f t="array" ref="U117">Common_InputFunctions.Utility_DisplayArrayInTable(Fertiliser_SourceData.Fertiliser_Products_Data2(),FertiliserProducts[[#Headers],[Include or Exclude]], 20)</f>
        <v/>
      </c>
      <c r="V117" s="65" t="str" cm="1">
        <f t="array" ref="V117">Common_InputFunctions.Utility_DisplayArrayInTable(Fertiliser_SourceData.Fertiliser_Products_Data2(),FertiliserProducts[[#Headers],[Include or Exclude]], 20)</f>
        <v/>
      </c>
      <c r="W117" s="65" t="str" cm="1">
        <f t="array" ref="W117">Common_InputFunctions.Utility_DisplayArrayInTable(Fertiliser_SourceData.Fertiliser_Products_Data2(),FertiliserProducts[[#Headers],[Include or Exclude]], 20)</f>
        <v>Rigbytaylor Microsol Range</v>
      </c>
      <c r="X117" s="65" t="str" cm="1">
        <f t="array" ref="X117">Common_InputFunctions.Utility_DisplayArrayInTable(Fertiliser_SourceData.Fertiliser_Products_Data2(),FertiliserProducts[[#Headers],[Include or Exclude]], 20)</f>
        <v/>
      </c>
      <c r="Y117" s="65" t="str" cm="1">
        <f t="array" ref="Y117">Common_InputFunctions.Utility_DisplayArrayInTable(Fertiliser_SourceData.Fertiliser_Products_Data2(),FertiliserProducts[[#Headers],[Include or Exclude]], 20)</f>
        <v/>
      </c>
      <c r="Z117" s="65"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4:31" ht="20.100000000000001" customHeight="1" x14ac:dyDescent="0.25">
      <c r="D118" s="65" t="str" cm="1">
        <f t="array" ref="D118">Common_InputFunctions.Utility_DisplayArrayInTable(Fertiliser_SourceData.Fertiliser_Products_Data2(),FertiliserProducts[[#Headers],[Include or Exclude]], 20)</f>
        <v>Microsol 28-0-14</v>
      </c>
      <c r="E118" s="65" t="str" cm="1">
        <f t="array" ref="E118">Common_InputFunctions.Utility_DisplayArrayInTable(Fertiliser_SourceData.Fertiliser_Products_Data2(),FertiliserProducts[[#Headers],[Include or Exclude]], 20)</f>
        <v/>
      </c>
      <c r="F118" s="65" t="str" cm="1">
        <f t="array" ref="F118">Common_InputFunctions.Utility_DisplayArrayInTable(Fertiliser_SourceData.Fertiliser_Products_Data2(),FertiliserProducts[[#Headers],[Include or Exclude]], 20)</f>
        <v/>
      </c>
      <c r="G118" s="65" t="str" cm="1">
        <f t="array" ref="G118">Common_InputFunctions.Utility_DisplayArrayInTable(Fertiliser_SourceData.Fertiliser_Products_Data2(),FertiliserProducts[[#Headers],[Include or Exclude]], 20)</f>
        <v/>
      </c>
      <c r="H118" s="65" t="str" cm="1">
        <f t="array" ref="H118">Common_InputFunctions.Utility_DisplayArrayInTable(Fertiliser_SourceData.Fertiliser_Products_Data2(),FertiliserProducts[[#Headers],[Include or Exclude]], 20)</f>
        <v/>
      </c>
      <c r="I118" s="65" t="str" cm="1">
        <f t="array" ref="I118">Common_InputFunctions.Utility_DisplayArrayInTable(Fertiliser_SourceData.Fertiliser_Products_Data2(),FertiliserProducts[[#Headers],[Include or Exclude]], 20)</f>
        <v/>
      </c>
      <c r="J118" s="65" t="str" cm="1">
        <f t="array" ref="J118">Common_InputFunctions.Utility_DisplayArrayInTable(Fertiliser_SourceData.Fertiliser_Products_Data2(),FertiliserProducts[[#Headers],[Include or Exclude]], 20)</f>
        <v/>
      </c>
      <c r="K118" s="65" t="str" cm="1">
        <f t="array" ref="K118">Common_InputFunctions.Utility_DisplayArrayInTable(Fertiliser_SourceData.Fertiliser_Products_Data2(),FertiliserProducts[[#Headers],[Include or Exclude]], 20)</f>
        <v/>
      </c>
      <c r="L118" s="65" t="str" cm="1">
        <f t="array" ref="L118">Common_InputFunctions.Utility_DisplayArrayInTable(Fertiliser_SourceData.Fertiliser_Products_Data2(),FertiliserProducts[[#Headers],[Include or Exclude]], 20)</f>
        <v/>
      </c>
      <c r="M118" s="65" t="str" cm="1">
        <f t="array" ref="M118">Common_InputFunctions.Utility_DisplayArrayInTable(Fertiliser_SourceData.Fertiliser_Products_Data2(),FertiliserProducts[[#Headers],[Include or Exclude]], 20)</f>
        <v/>
      </c>
      <c r="N118" s="65" t="str" cm="1">
        <f t="array" ref="N118">Common_InputFunctions.Utility_DisplayArrayInTable(Fertiliser_SourceData.Fertiliser_Products_Data2(),FertiliserProducts[[#Headers],[Include or Exclude]], 20)</f>
        <v/>
      </c>
      <c r="O118" s="65" t="str" cm="1">
        <f t="array" ref="O118">Common_InputFunctions.Utility_DisplayArrayInTable(Fertiliser_SourceData.Fertiliser_Products_Data2(),FertiliserProducts[[#Headers],[Include or Exclude]], 20)</f>
        <v/>
      </c>
      <c r="P118" s="65" t="str" cm="1">
        <f t="array" ref="P118">Common_InputFunctions.Utility_DisplayArrayInTable(Fertiliser_SourceData.Fertiliser_Products_Data2(),FertiliserProducts[[#Headers],[Include or Exclude]], 20)</f>
        <v/>
      </c>
      <c r="Q118" s="65" t="str" cm="1">
        <f t="array" ref="Q118">Common_InputFunctions.Utility_DisplayArrayInTable(Fertiliser_SourceData.Fertiliser_Products_Data2(),FertiliserProducts[[#Headers],[Include or Exclude]], 20)</f>
        <v/>
      </c>
      <c r="R118" s="65" t="str" cm="1">
        <f t="array" ref="R118">Common_InputFunctions.Utility_DisplayArrayInTable(Fertiliser_SourceData.Fertiliser_Products_Data2(),FertiliserProducts[[#Headers],[Include or Exclude]], 20)</f>
        <v/>
      </c>
      <c r="S118" s="65" t="str" cm="1">
        <f t="array" ref="S118">Common_InputFunctions.Utility_DisplayArrayInTable(Fertiliser_SourceData.Fertiliser_Products_Data2(),FertiliserProducts[[#Headers],[Include or Exclude]], 20)</f>
        <v/>
      </c>
      <c r="T118" s="65" t="str" cm="1">
        <f t="array" ref="T118">Common_InputFunctions.Utility_DisplayArrayInTable(Fertiliser_SourceData.Fertiliser_Products_Data2(),FertiliserProducts[[#Headers],[Include or Exclude]], 20)</f>
        <v/>
      </c>
      <c r="U118" s="65" t="str" cm="1">
        <f t="array" ref="U118">Common_InputFunctions.Utility_DisplayArrayInTable(Fertiliser_SourceData.Fertiliser_Products_Data2(),FertiliserProducts[[#Headers],[Include or Exclude]], 20)</f>
        <v/>
      </c>
      <c r="V118" s="65" t="str" cm="1">
        <f t="array" ref="V118">Common_InputFunctions.Utility_DisplayArrayInTable(Fertiliser_SourceData.Fertiliser_Products_Data2(),FertiliserProducts[[#Headers],[Include or Exclude]], 20)</f>
        <v/>
      </c>
      <c r="W118" s="65" t="str" cm="1">
        <f t="array" ref="W118">Common_InputFunctions.Utility_DisplayArrayInTable(Fertiliser_SourceData.Fertiliser_Products_Data2(),FertiliserProducts[[#Headers],[Include or Exclude]], 20)</f>
        <v>Rigbytaylor Microsol Range</v>
      </c>
      <c r="X118" s="65" t="str" cm="1">
        <f t="array" ref="X118">Common_InputFunctions.Utility_DisplayArrayInTable(Fertiliser_SourceData.Fertiliser_Products_Data2(),FertiliserProducts[[#Headers],[Include or Exclude]], 20)</f>
        <v/>
      </c>
      <c r="Y118" s="65" t="str" cm="1">
        <f t="array" ref="Y118">Common_InputFunctions.Utility_DisplayArrayInTable(Fertiliser_SourceData.Fertiliser_Products_Data2(),FertiliserProducts[[#Headers],[Include or Exclude]], 20)</f>
        <v/>
      </c>
      <c r="Z118" s="65"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4:31" ht="20.100000000000001" customHeight="1" x14ac:dyDescent="0.25">
      <c r="D119" s="65" t="str" cm="1">
        <f t="array" ref="D119">Common_InputFunctions.Utility_DisplayArrayInTable(Fertiliser_SourceData.Fertiliser_Products_Data2(),FertiliserProducts[[#Headers],[Include or Exclude]], 20)</f>
        <v>Mono Potassium Phosphate MKP</v>
      </c>
      <c r="E119" s="65" t="str" cm="1">
        <f t="array" ref="E119">Common_InputFunctions.Utility_DisplayArrayInTable(Fertiliser_SourceData.Fertiliser_Products_Data2(),FertiliserProducts[[#Headers],[Include or Exclude]], 20)</f>
        <v/>
      </c>
      <c r="F119" s="65" t="str" cm="1">
        <f t="array" ref="F119">Common_InputFunctions.Utility_DisplayArrayInTable(Fertiliser_SourceData.Fertiliser_Products_Data2(),FertiliserProducts[[#Headers],[Include or Exclude]], 20)</f>
        <v/>
      </c>
      <c r="G119" s="65" t="str" cm="1">
        <f t="array" ref="G119">Common_InputFunctions.Utility_DisplayArrayInTable(Fertiliser_SourceData.Fertiliser_Products_Data2(),FertiliserProducts[[#Headers],[Include or Exclude]], 20)</f>
        <v/>
      </c>
      <c r="H119" s="65" t="str" cm="1">
        <f t="array" ref="H119">Common_InputFunctions.Utility_DisplayArrayInTable(Fertiliser_SourceData.Fertiliser_Products_Data2(),FertiliserProducts[[#Headers],[Include or Exclude]], 20)</f>
        <v/>
      </c>
      <c r="I119" s="65" t="str" cm="1">
        <f t="array" ref="I119">Common_InputFunctions.Utility_DisplayArrayInTable(Fertiliser_SourceData.Fertiliser_Products_Data2(),FertiliserProducts[[#Headers],[Include or Exclude]], 20)</f>
        <v/>
      </c>
      <c r="J119" s="65" t="str" cm="1">
        <f t="array" ref="J119">Common_InputFunctions.Utility_DisplayArrayInTable(Fertiliser_SourceData.Fertiliser_Products_Data2(),FertiliserProducts[[#Headers],[Include or Exclude]], 20)</f>
        <v/>
      </c>
      <c r="K119" s="65" t="str" cm="1">
        <f t="array" ref="K119">Common_InputFunctions.Utility_DisplayArrayInTable(Fertiliser_SourceData.Fertiliser_Products_Data2(),FertiliserProducts[[#Headers],[Include or Exclude]], 20)</f>
        <v/>
      </c>
      <c r="L119" s="65" t="str" cm="1">
        <f t="array" ref="L119">Common_InputFunctions.Utility_DisplayArrayInTable(Fertiliser_SourceData.Fertiliser_Products_Data2(),FertiliserProducts[[#Headers],[Include or Exclude]], 20)</f>
        <v/>
      </c>
      <c r="M119" s="65" t="str" cm="1">
        <f t="array" ref="M119">Common_InputFunctions.Utility_DisplayArrayInTable(Fertiliser_SourceData.Fertiliser_Products_Data2(),FertiliserProducts[[#Headers],[Include or Exclude]], 20)</f>
        <v/>
      </c>
      <c r="N119" s="65" t="str" cm="1">
        <f t="array" ref="N119">Common_InputFunctions.Utility_DisplayArrayInTable(Fertiliser_SourceData.Fertiliser_Products_Data2(),FertiliserProducts[[#Headers],[Include or Exclude]], 20)</f>
        <v/>
      </c>
      <c r="O119" s="65" t="str" cm="1">
        <f t="array" ref="O119">Common_InputFunctions.Utility_DisplayArrayInTable(Fertiliser_SourceData.Fertiliser_Products_Data2(),FertiliserProducts[[#Headers],[Include or Exclude]], 20)</f>
        <v/>
      </c>
      <c r="P119" s="65" t="str" cm="1">
        <f t="array" ref="P119">Common_InputFunctions.Utility_DisplayArrayInTable(Fertiliser_SourceData.Fertiliser_Products_Data2(),FertiliserProducts[[#Headers],[Include or Exclude]], 20)</f>
        <v/>
      </c>
      <c r="Q119" s="65" t="str" cm="1">
        <f t="array" ref="Q119">Common_InputFunctions.Utility_DisplayArrayInTable(Fertiliser_SourceData.Fertiliser_Products_Data2(),FertiliserProducts[[#Headers],[Include or Exclude]], 20)</f>
        <v/>
      </c>
      <c r="R119" s="65" t="str" cm="1">
        <f t="array" ref="R119">Common_InputFunctions.Utility_DisplayArrayInTable(Fertiliser_SourceData.Fertiliser_Products_Data2(),FertiliserProducts[[#Headers],[Include or Exclude]], 20)</f>
        <v/>
      </c>
      <c r="S119" s="65" t="str" cm="1">
        <f t="array" ref="S119">Common_InputFunctions.Utility_DisplayArrayInTable(Fertiliser_SourceData.Fertiliser_Products_Data2(),FertiliserProducts[[#Headers],[Include or Exclude]], 20)</f>
        <v/>
      </c>
      <c r="T119" s="65" t="str" cm="1">
        <f t="array" ref="T119">Common_InputFunctions.Utility_DisplayArrayInTable(Fertiliser_SourceData.Fertiliser_Products_Data2(),FertiliserProducts[[#Headers],[Include or Exclude]], 20)</f>
        <v/>
      </c>
      <c r="U119" s="65" t="str" cm="1">
        <f t="array" ref="U119">Common_InputFunctions.Utility_DisplayArrayInTable(Fertiliser_SourceData.Fertiliser_Products_Data2(),FertiliserProducts[[#Headers],[Include or Exclude]], 20)</f>
        <v/>
      </c>
      <c r="V119" s="65" t="str" cm="1">
        <f t="array" ref="V119">Common_InputFunctions.Utility_DisplayArrayInTable(Fertiliser_SourceData.Fertiliser_Products_Data2(),FertiliserProducts[[#Headers],[Include or Exclude]], 20)</f>
        <v/>
      </c>
      <c r="W119" s="65" t="str" cm="1">
        <f t="array" ref="W119">Common_InputFunctions.Utility_DisplayArrayInTable(Fertiliser_SourceData.Fertiliser_Products_Data2(),FertiliserProducts[[#Headers],[Include or Exclude]], 20)</f>
        <v>Swancrop</v>
      </c>
      <c r="X119" s="65" t="str" cm="1">
        <f t="array" ref="X119">Common_InputFunctions.Utility_DisplayArrayInTable(Fertiliser_SourceData.Fertiliser_Products_Data2(),FertiliserProducts[[#Headers],[Include or Exclude]], 20)</f>
        <v/>
      </c>
      <c r="Y119" s="65" t="str" cm="1">
        <f t="array" ref="Y119">Common_InputFunctions.Utility_DisplayArrayInTable(Fertiliser_SourceData.Fertiliser_Products_Data2(),FertiliserProducts[[#Headers],[Include or Exclude]], 20)</f>
        <v/>
      </c>
      <c r="Z119" s="65"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4:31" ht="20.100000000000001" customHeight="1" x14ac:dyDescent="0.25">
      <c r="D120" s="65" t="str" cm="1">
        <f t="array" ref="D120">Common_InputFunctions.Utility_DisplayArrayInTable(Fertiliser_SourceData.Fertiliser_Products_Data2(),FertiliserProducts[[#Headers],[Include or Exclude]], 20)</f>
        <v>Muriate Of Potash MOP</v>
      </c>
      <c r="E120" s="65" t="str" cm="1">
        <f t="array" ref="E120">Common_InputFunctions.Utility_DisplayArrayInTable(Fertiliser_SourceData.Fertiliser_Products_Data2(),FertiliserProducts[[#Headers],[Include or Exclude]], 20)</f>
        <v/>
      </c>
      <c r="F120" s="65" t="str" cm="1">
        <f t="array" ref="F120">Common_InputFunctions.Utility_DisplayArrayInTable(Fertiliser_SourceData.Fertiliser_Products_Data2(),FertiliserProducts[[#Headers],[Include or Exclude]], 20)</f>
        <v/>
      </c>
      <c r="G120" s="65" t="str" cm="1">
        <f t="array" ref="G120">Common_InputFunctions.Utility_DisplayArrayInTable(Fertiliser_SourceData.Fertiliser_Products_Data2(),FertiliserProducts[[#Headers],[Include or Exclude]], 20)</f>
        <v/>
      </c>
      <c r="H120" s="65" t="str" cm="1">
        <f t="array" ref="H120">Common_InputFunctions.Utility_DisplayArrayInTable(Fertiliser_SourceData.Fertiliser_Products_Data2(),FertiliserProducts[[#Headers],[Include or Exclude]], 20)</f>
        <v/>
      </c>
      <c r="I120" s="65" t="str" cm="1">
        <f t="array" ref="I120">Common_InputFunctions.Utility_DisplayArrayInTable(Fertiliser_SourceData.Fertiliser_Products_Data2(),FertiliserProducts[[#Headers],[Include or Exclude]], 20)</f>
        <v/>
      </c>
      <c r="J120" s="65" t="str" cm="1">
        <f t="array" ref="J120">Common_InputFunctions.Utility_DisplayArrayInTable(Fertiliser_SourceData.Fertiliser_Products_Data2(),FertiliserProducts[[#Headers],[Include or Exclude]], 20)</f>
        <v/>
      </c>
      <c r="K120" s="65" t="str" cm="1">
        <f t="array" ref="K120">Common_InputFunctions.Utility_DisplayArrayInTable(Fertiliser_SourceData.Fertiliser_Products_Data2(),FertiliserProducts[[#Headers],[Include or Exclude]], 20)</f>
        <v/>
      </c>
      <c r="L120" s="65" t="str" cm="1">
        <f t="array" ref="L120">Common_InputFunctions.Utility_DisplayArrayInTable(Fertiliser_SourceData.Fertiliser_Products_Data2(),FertiliserProducts[[#Headers],[Include or Exclude]], 20)</f>
        <v/>
      </c>
      <c r="M120" s="65" t="str" cm="1">
        <f t="array" ref="M120">Common_InputFunctions.Utility_DisplayArrayInTable(Fertiliser_SourceData.Fertiliser_Products_Data2(),FertiliserProducts[[#Headers],[Include or Exclude]], 20)</f>
        <v/>
      </c>
      <c r="N120" s="65" t="str" cm="1">
        <f t="array" ref="N120">Common_InputFunctions.Utility_DisplayArrayInTable(Fertiliser_SourceData.Fertiliser_Products_Data2(),FertiliserProducts[[#Headers],[Include or Exclude]], 20)</f>
        <v/>
      </c>
      <c r="O120" s="65" t="str" cm="1">
        <f t="array" ref="O120">Common_InputFunctions.Utility_DisplayArrayInTable(Fertiliser_SourceData.Fertiliser_Products_Data2(),FertiliserProducts[[#Headers],[Include or Exclude]], 20)</f>
        <v/>
      </c>
      <c r="P120" s="65" t="str" cm="1">
        <f t="array" ref="P120">Common_InputFunctions.Utility_DisplayArrayInTable(Fertiliser_SourceData.Fertiliser_Products_Data2(),FertiliserProducts[[#Headers],[Include or Exclude]], 20)</f>
        <v/>
      </c>
      <c r="Q120" s="65" t="str" cm="1">
        <f t="array" ref="Q120">Common_InputFunctions.Utility_DisplayArrayInTable(Fertiliser_SourceData.Fertiliser_Products_Data2(),FertiliserProducts[[#Headers],[Include or Exclude]], 20)</f>
        <v/>
      </c>
      <c r="R120" s="65" t="str" cm="1">
        <f t="array" ref="R120">Common_InputFunctions.Utility_DisplayArrayInTable(Fertiliser_SourceData.Fertiliser_Products_Data2(),FertiliserProducts[[#Headers],[Include or Exclude]], 20)</f>
        <v/>
      </c>
      <c r="S120" s="65" t="str" cm="1">
        <f t="array" ref="S120">Common_InputFunctions.Utility_DisplayArrayInTable(Fertiliser_SourceData.Fertiliser_Products_Data2(),FertiliserProducts[[#Headers],[Include or Exclude]], 20)</f>
        <v/>
      </c>
      <c r="T120" s="65" t="str" cm="1">
        <f t="array" ref="T120">Common_InputFunctions.Utility_DisplayArrayInTable(Fertiliser_SourceData.Fertiliser_Products_Data2(),FertiliserProducts[[#Headers],[Include or Exclude]], 20)</f>
        <v/>
      </c>
      <c r="U120" s="65" t="str" cm="1">
        <f t="array" ref="U120">Common_InputFunctions.Utility_DisplayArrayInTable(Fertiliser_SourceData.Fertiliser_Products_Data2(),FertiliserProducts[[#Headers],[Include or Exclude]], 20)</f>
        <v/>
      </c>
      <c r="V120" s="65" t="str" cm="1">
        <f t="array" ref="V120">Common_InputFunctions.Utility_DisplayArrayInTable(Fertiliser_SourceData.Fertiliser_Products_Data2(),FertiliserProducts[[#Headers],[Include or Exclude]], 20)</f>
        <v/>
      </c>
      <c r="W120" s="65" t="str" cm="1">
        <f t="array" ref="W120">Common_InputFunctions.Utility_DisplayArrayInTable(Fertiliser_SourceData.Fertiliser_Products_Data2(),FertiliserProducts[[#Headers],[Include or Exclude]], 20)</f>
        <v>MountCompass Fertilisers Blends</v>
      </c>
      <c r="X120" s="65" t="str" cm="1">
        <f t="array" ref="X120">Common_InputFunctions.Utility_DisplayArrayInTable(Fertiliser_SourceData.Fertiliser_Products_Data2(),FertiliserProducts[[#Headers],[Include or Exclude]], 20)</f>
        <v/>
      </c>
      <c r="Y120" s="65" t="str" cm="1">
        <f t="array" ref="Y120">Common_InputFunctions.Utility_DisplayArrayInTable(Fertiliser_SourceData.Fertiliser_Products_Data2(),FertiliserProducts[[#Headers],[Include or Exclude]], 20)</f>
        <v/>
      </c>
      <c r="Z120" s="65"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4:31" ht="20.100000000000001" customHeight="1" x14ac:dyDescent="0.25">
      <c r="D121" s="65" t="str" cm="1">
        <f t="array" ref="D121">Common_InputFunctions.Utility_DisplayArrayInTable(Fertiliser_SourceData.Fertiliser_Products_Data2(),FertiliserProducts[[#Headers],[Include or Exclude]], 20)</f>
        <v>NitroPlus</v>
      </c>
      <c r="E121" s="65" t="str" cm="1">
        <f t="array" ref="E121">Common_InputFunctions.Utility_DisplayArrayInTable(Fertiliser_SourceData.Fertiliser_Products_Data2(),FertiliserProducts[[#Headers],[Include or Exclude]], 20)</f>
        <v/>
      </c>
      <c r="F121" s="65" t="str" cm="1">
        <f t="array" ref="F121">Common_InputFunctions.Utility_DisplayArrayInTable(Fertiliser_SourceData.Fertiliser_Products_Data2(),FertiliserProducts[[#Headers],[Include or Exclude]], 20)</f>
        <v/>
      </c>
      <c r="G121" s="65" t="str" cm="1">
        <f t="array" ref="G121">Common_InputFunctions.Utility_DisplayArrayInTable(Fertiliser_SourceData.Fertiliser_Products_Data2(),FertiliserProducts[[#Headers],[Include or Exclude]], 20)</f>
        <v/>
      </c>
      <c r="H121" s="65" t="str" cm="1">
        <f t="array" ref="H121">Common_InputFunctions.Utility_DisplayArrayInTable(Fertiliser_SourceData.Fertiliser_Products_Data2(),FertiliserProducts[[#Headers],[Include or Exclude]], 20)</f>
        <v/>
      </c>
      <c r="I121" s="65" t="str" cm="1">
        <f t="array" ref="I121">Common_InputFunctions.Utility_DisplayArrayInTable(Fertiliser_SourceData.Fertiliser_Products_Data2(),FertiliserProducts[[#Headers],[Include or Exclude]], 20)</f>
        <v/>
      </c>
      <c r="J121" s="65" t="str" cm="1">
        <f t="array" ref="J121">Common_InputFunctions.Utility_DisplayArrayInTable(Fertiliser_SourceData.Fertiliser_Products_Data2(),FertiliserProducts[[#Headers],[Include or Exclude]], 20)</f>
        <v/>
      </c>
      <c r="K121" s="65" t="str" cm="1">
        <f t="array" ref="K121">Common_InputFunctions.Utility_DisplayArrayInTable(Fertiliser_SourceData.Fertiliser_Products_Data2(),FertiliserProducts[[#Headers],[Include or Exclude]], 20)</f>
        <v/>
      </c>
      <c r="L121" s="65" t="str" cm="1">
        <f t="array" ref="L121">Common_InputFunctions.Utility_DisplayArrayInTable(Fertiliser_SourceData.Fertiliser_Products_Data2(),FertiliserProducts[[#Headers],[Include or Exclude]], 20)</f>
        <v/>
      </c>
      <c r="M121" s="65" t="str" cm="1">
        <f t="array" ref="M121">Common_InputFunctions.Utility_DisplayArrayInTable(Fertiliser_SourceData.Fertiliser_Products_Data2(),FertiliserProducts[[#Headers],[Include or Exclude]], 20)</f>
        <v/>
      </c>
      <c r="N121" s="65" t="str" cm="1">
        <f t="array" ref="N121">Common_InputFunctions.Utility_DisplayArrayInTable(Fertiliser_SourceData.Fertiliser_Products_Data2(),FertiliserProducts[[#Headers],[Include or Exclude]], 20)</f>
        <v/>
      </c>
      <c r="O121" s="65" t="str" cm="1">
        <f t="array" ref="O121">Common_InputFunctions.Utility_DisplayArrayInTable(Fertiliser_SourceData.Fertiliser_Products_Data2(),FertiliserProducts[[#Headers],[Include or Exclude]], 20)</f>
        <v/>
      </c>
      <c r="P121" s="65" t="str" cm="1">
        <f t="array" ref="P121">Common_InputFunctions.Utility_DisplayArrayInTable(Fertiliser_SourceData.Fertiliser_Products_Data2(),FertiliserProducts[[#Headers],[Include or Exclude]], 20)</f>
        <v/>
      </c>
      <c r="Q121" s="65" t="str" cm="1">
        <f t="array" ref="Q121">Common_InputFunctions.Utility_DisplayArrayInTable(Fertiliser_SourceData.Fertiliser_Products_Data2(),FertiliserProducts[[#Headers],[Include or Exclude]], 20)</f>
        <v/>
      </c>
      <c r="R121" s="65" t="str" cm="1">
        <f t="array" ref="R121">Common_InputFunctions.Utility_DisplayArrayInTable(Fertiliser_SourceData.Fertiliser_Products_Data2(),FertiliserProducts[[#Headers],[Include or Exclude]], 20)</f>
        <v/>
      </c>
      <c r="S121" s="65" t="str" cm="1">
        <f t="array" ref="S121">Common_InputFunctions.Utility_DisplayArrayInTable(Fertiliser_SourceData.Fertiliser_Products_Data2(),FertiliserProducts[[#Headers],[Include or Exclude]], 20)</f>
        <v/>
      </c>
      <c r="T121" s="65" t="str" cm="1">
        <f t="array" ref="T121">Common_InputFunctions.Utility_DisplayArrayInTable(Fertiliser_SourceData.Fertiliser_Products_Data2(),FertiliserProducts[[#Headers],[Include or Exclude]], 20)</f>
        <v/>
      </c>
      <c r="U121" s="65" t="str" cm="1">
        <f t="array" ref="U121">Common_InputFunctions.Utility_DisplayArrayInTable(Fertiliser_SourceData.Fertiliser_Products_Data2(),FertiliserProducts[[#Headers],[Include or Exclude]], 20)</f>
        <v/>
      </c>
      <c r="V121" s="65" t="str" cm="1">
        <f t="array" ref="V121">Common_InputFunctions.Utility_DisplayArrayInTable(Fertiliser_SourceData.Fertiliser_Products_Data2(),FertiliserProducts[[#Headers],[Include or Exclude]], 20)</f>
        <v/>
      </c>
      <c r="W121" s="65" t="str" cm="1">
        <f t="array" ref="W121">Common_InputFunctions.Utility_DisplayArrayInTable(Fertiliser_SourceData.Fertiliser_Products_Data2(),FertiliserProducts[[#Headers],[Include or Exclude]], 20)</f>
        <v>AgroStock Group Nitro Plus</v>
      </c>
      <c r="X121" s="65" t="str" cm="1">
        <f t="array" ref="X121">Common_InputFunctions.Utility_DisplayArrayInTable(Fertiliser_SourceData.Fertiliser_Products_Data2(),FertiliserProducts[[#Headers],[Include or Exclude]], 20)</f>
        <v/>
      </c>
      <c r="Y121" s="65" t="str" cm="1">
        <f t="array" ref="Y121">Common_InputFunctions.Utility_DisplayArrayInTable(Fertiliser_SourceData.Fertiliser_Products_Data2(),FertiliserProducts[[#Headers],[Include or Exclude]], 20)</f>
        <v/>
      </c>
      <c r="Z121" s="65"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4:31" ht="20.100000000000001" customHeight="1" x14ac:dyDescent="0.25">
      <c r="D122" s="65" t="str" cm="1">
        <f t="array" ref="D122">Common_InputFunctions.Utility_DisplayArrayInTable(Fertiliser_SourceData.Fertiliser_Products_Data2(),FertiliserProducts[[#Headers],[Include or Exclude]], 20)</f>
        <v>NutraGold</v>
      </c>
      <c r="E122" s="65" t="str" cm="1">
        <f t="array" ref="E122">Common_InputFunctions.Utility_DisplayArrayInTable(Fertiliser_SourceData.Fertiliser_Products_Data2(),FertiliserProducts[[#Headers],[Include or Exclude]], 20)</f>
        <v/>
      </c>
      <c r="F122" s="65" t="str" cm="1">
        <f t="array" ref="F122">Common_InputFunctions.Utility_DisplayArrayInTable(Fertiliser_SourceData.Fertiliser_Products_Data2(),FertiliserProducts[[#Headers],[Include or Exclude]], 20)</f>
        <v/>
      </c>
      <c r="G122" s="65" t="str" cm="1">
        <f t="array" ref="G122">Common_InputFunctions.Utility_DisplayArrayInTable(Fertiliser_SourceData.Fertiliser_Products_Data2(),FertiliserProducts[[#Headers],[Include or Exclude]], 20)</f>
        <v/>
      </c>
      <c r="H122" s="65" t="str" cm="1">
        <f t="array" ref="H122">Common_InputFunctions.Utility_DisplayArrayInTable(Fertiliser_SourceData.Fertiliser_Products_Data2(),FertiliserProducts[[#Headers],[Include or Exclude]], 20)</f>
        <v/>
      </c>
      <c r="I122" s="65" t="str" cm="1">
        <f t="array" ref="I122">Common_InputFunctions.Utility_DisplayArrayInTable(Fertiliser_SourceData.Fertiliser_Products_Data2(),FertiliserProducts[[#Headers],[Include or Exclude]], 20)</f>
        <v/>
      </c>
      <c r="J122" s="65" t="str" cm="1">
        <f t="array" ref="J122">Common_InputFunctions.Utility_DisplayArrayInTable(Fertiliser_SourceData.Fertiliser_Products_Data2(),FertiliserProducts[[#Headers],[Include or Exclude]], 20)</f>
        <v/>
      </c>
      <c r="K122" s="65" t="str" cm="1">
        <f t="array" ref="K122">Common_InputFunctions.Utility_DisplayArrayInTable(Fertiliser_SourceData.Fertiliser_Products_Data2(),FertiliserProducts[[#Headers],[Include or Exclude]], 20)</f>
        <v/>
      </c>
      <c r="L122" s="65" t="str" cm="1">
        <f t="array" ref="L122">Common_InputFunctions.Utility_DisplayArrayInTable(Fertiliser_SourceData.Fertiliser_Products_Data2(),FertiliserProducts[[#Headers],[Include or Exclude]], 20)</f>
        <v/>
      </c>
      <c r="M122" s="65" t="str" cm="1">
        <f t="array" ref="M122">Common_InputFunctions.Utility_DisplayArrayInTable(Fertiliser_SourceData.Fertiliser_Products_Data2(),FertiliserProducts[[#Headers],[Include or Exclude]], 20)</f>
        <v/>
      </c>
      <c r="N122" s="65" t="str" cm="1">
        <f t="array" ref="N122">Common_InputFunctions.Utility_DisplayArrayInTable(Fertiliser_SourceData.Fertiliser_Products_Data2(),FertiliserProducts[[#Headers],[Include or Exclude]], 20)</f>
        <v/>
      </c>
      <c r="O122" s="65" t="str" cm="1">
        <f t="array" ref="O122">Common_InputFunctions.Utility_DisplayArrayInTable(Fertiliser_SourceData.Fertiliser_Products_Data2(),FertiliserProducts[[#Headers],[Include or Exclude]], 20)</f>
        <v/>
      </c>
      <c r="P122" s="65" t="str" cm="1">
        <f t="array" ref="P122">Common_InputFunctions.Utility_DisplayArrayInTable(Fertiliser_SourceData.Fertiliser_Products_Data2(),FertiliserProducts[[#Headers],[Include or Exclude]], 20)</f>
        <v/>
      </c>
      <c r="Q122" s="65" t="str" cm="1">
        <f t="array" ref="Q122">Common_InputFunctions.Utility_DisplayArrayInTable(Fertiliser_SourceData.Fertiliser_Products_Data2(),FertiliserProducts[[#Headers],[Include or Exclude]], 20)</f>
        <v/>
      </c>
      <c r="R122" s="65" t="str" cm="1">
        <f t="array" ref="R122">Common_InputFunctions.Utility_DisplayArrayInTable(Fertiliser_SourceData.Fertiliser_Products_Data2(),FertiliserProducts[[#Headers],[Include or Exclude]], 20)</f>
        <v/>
      </c>
      <c r="S122" s="65" t="str" cm="1">
        <f t="array" ref="S122">Common_InputFunctions.Utility_DisplayArrayInTable(Fertiliser_SourceData.Fertiliser_Products_Data2(),FertiliserProducts[[#Headers],[Include or Exclude]], 20)</f>
        <v/>
      </c>
      <c r="T122" s="65" t="str" cm="1">
        <f t="array" ref="T122">Common_InputFunctions.Utility_DisplayArrayInTable(Fertiliser_SourceData.Fertiliser_Products_Data2(),FertiliserProducts[[#Headers],[Include or Exclude]], 20)</f>
        <v/>
      </c>
      <c r="U122" s="65" t="str" cm="1">
        <f t="array" ref="U122">Common_InputFunctions.Utility_DisplayArrayInTable(Fertiliser_SourceData.Fertiliser_Products_Data2(),FertiliserProducts[[#Headers],[Include or Exclude]], 20)</f>
        <v/>
      </c>
      <c r="V122" s="65" t="str" cm="1">
        <f t="array" ref="V122">Common_InputFunctions.Utility_DisplayArrayInTable(Fertiliser_SourceData.Fertiliser_Products_Data2(),FertiliserProducts[[#Headers],[Include or Exclude]], 20)</f>
        <v/>
      </c>
      <c r="W122" s="65" t="str" cm="1">
        <f t="array" ref="W122">Common_InputFunctions.Utility_DisplayArrayInTable(Fertiliser_SourceData.Fertiliser_Products_Data2(),FertiliserProducts[[#Headers],[Include or Exclude]], 20)</f>
        <v>Swancrop</v>
      </c>
      <c r="X122" s="65" t="str" cm="1">
        <f t="array" ref="X122">Common_InputFunctions.Utility_DisplayArrayInTable(Fertiliser_SourceData.Fertiliser_Products_Data2(),FertiliserProducts[[#Headers],[Include or Exclude]], 20)</f>
        <v/>
      </c>
      <c r="Y122" s="65" t="str" cm="1">
        <f t="array" ref="Y122">Common_InputFunctions.Utility_DisplayArrayInTable(Fertiliser_SourceData.Fertiliser_Products_Data2(),FertiliserProducts[[#Headers],[Include or Exclude]], 20)</f>
        <v/>
      </c>
      <c r="Z122" s="65"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4:31" ht="20.100000000000001" customHeight="1" x14ac:dyDescent="0.25">
      <c r="D123" s="65" t="str" cm="1">
        <f t="array" ref="D123">Common_InputFunctions.Utility_DisplayArrayInTable(Fertiliser_SourceData.Fertiliser_Products_Data2(),FertiliserProducts[[#Headers],[Include or Exclude]], 20)</f>
        <v>Pro Performance 18-3-6</v>
      </c>
      <c r="E123" s="65" t="str" cm="1">
        <f t="array" ref="E123">Common_InputFunctions.Utility_DisplayArrayInTable(Fertiliser_SourceData.Fertiliser_Products_Data2(),FertiliserProducts[[#Headers],[Include or Exclude]], 20)</f>
        <v/>
      </c>
      <c r="F123" s="65" t="str" cm="1">
        <f t="array" ref="F123">Common_InputFunctions.Utility_DisplayArrayInTable(Fertiliser_SourceData.Fertiliser_Products_Data2(),FertiliserProducts[[#Headers],[Include or Exclude]], 20)</f>
        <v/>
      </c>
      <c r="G123" s="65" t="str" cm="1">
        <f t="array" ref="G123">Common_InputFunctions.Utility_DisplayArrayInTable(Fertiliser_SourceData.Fertiliser_Products_Data2(),FertiliserProducts[[#Headers],[Include or Exclude]], 20)</f>
        <v/>
      </c>
      <c r="H123" s="65" t="str" cm="1">
        <f t="array" ref="H123">Common_InputFunctions.Utility_DisplayArrayInTable(Fertiliser_SourceData.Fertiliser_Products_Data2(),FertiliserProducts[[#Headers],[Include or Exclude]], 20)</f>
        <v/>
      </c>
      <c r="I123" s="65" t="str" cm="1">
        <f t="array" ref="I123">Common_InputFunctions.Utility_DisplayArrayInTable(Fertiliser_SourceData.Fertiliser_Products_Data2(),FertiliserProducts[[#Headers],[Include or Exclude]], 20)</f>
        <v/>
      </c>
      <c r="J123" s="65" t="str" cm="1">
        <f t="array" ref="J123">Common_InputFunctions.Utility_DisplayArrayInTable(Fertiliser_SourceData.Fertiliser_Products_Data2(),FertiliserProducts[[#Headers],[Include or Exclude]], 20)</f>
        <v/>
      </c>
      <c r="K123" s="65" t="str" cm="1">
        <f t="array" ref="K123">Common_InputFunctions.Utility_DisplayArrayInTable(Fertiliser_SourceData.Fertiliser_Products_Data2(),FertiliserProducts[[#Headers],[Include or Exclude]], 20)</f>
        <v/>
      </c>
      <c r="L123" s="65" t="str" cm="1">
        <f t="array" ref="L123">Common_InputFunctions.Utility_DisplayArrayInTable(Fertiliser_SourceData.Fertiliser_Products_Data2(),FertiliserProducts[[#Headers],[Include or Exclude]], 20)</f>
        <v/>
      </c>
      <c r="M123" s="65" t="str" cm="1">
        <f t="array" ref="M123">Common_InputFunctions.Utility_DisplayArrayInTable(Fertiliser_SourceData.Fertiliser_Products_Data2(),FertiliserProducts[[#Headers],[Include or Exclude]], 20)</f>
        <v/>
      </c>
      <c r="N123" s="65" t="str" cm="1">
        <f t="array" ref="N123">Common_InputFunctions.Utility_DisplayArrayInTable(Fertiliser_SourceData.Fertiliser_Products_Data2(),FertiliserProducts[[#Headers],[Include or Exclude]], 20)</f>
        <v/>
      </c>
      <c r="O123" s="65" t="str" cm="1">
        <f t="array" ref="O123">Common_InputFunctions.Utility_DisplayArrayInTable(Fertiliser_SourceData.Fertiliser_Products_Data2(),FertiliserProducts[[#Headers],[Include or Exclude]], 20)</f>
        <v/>
      </c>
      <c r="P123" s="65" t="str" cm="1">
        <f t="array" ref="P123">Common_InputFunctions.Utility_DisplayArrayInTable(Fertiliser_SourceData.Fertiliser_Products_Data2(),FertiliserProducts[[#Headers],[Include or Exclude]], 20)</f>
        <v/>
      </c>
      <c r="Q123" s="65" t="str" cm="1">
        <f t="array" ref="Q123">Common_InputFunctions.Utility_DisplayArrayInTable(Fertiliser_SourceData.Fertiliser_Products_Data2(),FertiliserProducts[[#Headers],[Include or Exclude]], 20)</f>
        <v/>
      </c>
      <c r="R123" s="65" t="str" cm="1">
        <f t="array" ref="R123">Common_InputFunctions.Utility_DisplayArrayInTable(Fertiliser_SourceData.Fertiliser_Products_Data2(),FertiliserProducts[[#Headers],[Include or Exclude]], 20)</f>
        <v/>
      </c>
      <c r="S123" s="65" t="str" cm="1">
        <f t="array" ref="S123">Common_InputFunctions.Utility_DisplayArrayInTable(Fertiliser_SourceData.Fertiliser_Products_Data2(),FertiliserProducts[[#Headers],[Include or Exclude]], 20)</f>
        <v/>
      </c>
      <c r="T123" s="65" t="str" cm="1">
        <f t="array" ref="T123">Common_InputFunctions.Utility_DisplayArrayInTable(Fertiliser_SourceData.Fertiliser_Products_Data2(),FertiliserProducts[[#Headers],[Include or Exclude]], 20)</f>
        <v/>
      </c>
      <c r="U123" s="65" t="str" cm="1">
        <f t="array" ref="U123">Common_InputFunctions.Utility_DisplayArrayInTable(Fertiliser_SourceData.Fertiliser_Products_Data2(),FertiliserProducts[[#Headers],[Include or Exclude]], 20)</f>
        <v/>
      </c>
      <c r="V123" s="65" t="str" cm="1">
        <f t="array" ref="V123">Common_InputFunctions.Utility_DisplayArrayInTable(Fertiliser_SourceData.Fertiliser_Products_Data2(),FertiliserProducts[[#Headers],[Include or Exclude]], 20)</f>
        <v/>
      </c>
      <c r="W123" s="65" t="str" cm="1">
        <f t="array" ref="W123">Common_InputFunctions.Utility_DisplayArrayInTable(Fertiliser_SourceData.Fertiliser_Products_Data2(),FertiliserProducts[[#Headers],[Include or Exclude]], 20)</f>
        <v>Pro Turf Formula</v>
      </c>
      <c r="X123" s="65" t="str" cm="1">
        <f t="array" ref="X123">Common_InputFunctions.Utility_DisplayArrayInTable(Fertiliser_SourceData.Fertiliser_Products_Data2(),FertiliserProducts[[#Headers],[Include or Exclude]], 20)</f>
        <v/>
      </c>
      <c r="Y123" s="65" t="str" cm="1">
        <f t="array" ref="Y123">Common_InputFunctions.Utility_DisplayArrayInTable(Fertiliser_SourceData.Fertiliser_Products_Data2(),FertiliserProducts[[#Headers],[Include or Exclude]], 20)</f>
        <v/>
      </c>
      <c r="Z123" s="65"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4:31" ht="20.100000000000001" customHeight="1" x14ac:dyDescent="0.25">
      <c r="D124" s="65" t="str" cm="1">
        <f t="array" ref="D124">Common_InputFunctions.Utility_DisplayArrayInTable(Fertiliser_SourceData.Fertiliser_Products_Data2(),FertiliserProducts[[#Headers],[Include or Exclude]], 20)</f>
        <v>SOA</v>
      </c>
      <c r="E124" s="65" t="str" cm="1">
        <f t="array" ref="E124">Common_InputFunctions.Utility_DisplayArrayInTable(Fertiliser_SourceData.Fertiliser_Products_Data2(),FertiliserProducts[[#Headers],[Include or Exclude]], 20)</f>
        <v/>
      </c>
      <c r="F124" s="65" t="str" cm="1">
        <f t="array" ref="F124">Common_InputFunctions.Utility_DisplayArrayInTable(Fertiliser_SourceData.Fertiliser_Products_Data2(),FertiliserProducts[[#Headers],[Include or Exclude]], 20)</f>
        <v/>
      </c>
      <c r="G124" s="65" t="str" cm="1">
        <f t="array" ref="G124">Common_InputFunctions.Utility_DisplayArrayInTable(Fertiliser_SourceData.Fertiliser_Products_Data2(),FertiliserProducts[[#Headers],[Include or Exclude]], 20)</f>
        <v/>
      </c>
      <c r="H124" s="65" t="str" cm="1">
        <f t="array" ref="H124">Common_InputFunctions.Utility_DisplayArrayInTable(Fertiliser_SourceData.Fertiliser_Products_Data2(),FertiliserProducts[[#Headers],[Include or Exclude]], 20)</f>
        <v/>
      </c>
      <c r="I124" s="65" t="str" cm="1">
        <f t="array" ref="I124">Common_InputFunctions.Utility_DisplayArrayInTable(Fertiliser_SourceData.Fertiliser_Products_Data2(),FertiliserProducts[[#Headers],[Include or Exclude]], 20)</f>
        <v/>
      </c>
      <c r="J124" s="65" t="str" cm="1">
        <f t="array" ref="J124">Common_InputFunctions.Utility_DisplayArrayInTable(Fertiliser_SourceData.Fertiliser_Products_Data2(),FertiliserProducts[[#Headers],[Include or Exclude]], 20)</f>
        <v/>
      </c>
      <c r="K124" s="65" t="str" cm="1">
        <f t="array" ref="K124">Common_InputFunctions.Utility_DisplayArrayInTable(Fertiliser_SourceData.Fertiliser_Products_Data2(),FertiliserProducts[[#Headers],[Include or Exclude]], 20)</f>
        <v/>
      </c>
      <c r="L124" s="65" t="str" cm="1">
        <f t="array" ref="L124">Common_InputFunctions.Utility_DisplayArrayInTable(Fertiliser_SourceData.Fertiliser_Products_Data2(),FertiliserProducts[[#Headers],[Include or Exclude]], 20)</f>
        <v/>
      </c>
      <c r="M124" s="65" t="str" cm="1">
        <f t="array" ref="M124">Common_InputFunctions.Utility_DisplayArrayInTable(Fertiliser_SourceData.Fertiliser_Products_Data2(),FertiliserProducts[[#Headers],[Include or Exclude]], 20)</f>
        <v/>
      </c>
      <c r="N124" s="65" t="str" cm="1">
        <f t="array" ref="N124">Common_InputFunctions.Utility_DisplayArrayInTable(Fertiliser_SourceData.Fertiliser_Products_Data2(),FertiliserProducts[[#Headers],[Include or Exclude]], 20)</f>
        <v/>
      </c>
      <c r="O124" s="65" t="str" cm="1">
        <f t="array" ref="O124">Common_InputFunctions.Utility_DisplayArrayInTable(Fertiliser_SourceData.Fertiliser_Products_Data2(),FertiliserProducts[[#Headers],[Include or Exclude]], 20)</f>
        <v/>
      </c>
      <c r="P124" s="65" t="str" cm="1">
        <f t="array" ref="P124">Common_InputFunctions.Utility_DisplayArrayInTable(Fertiliser_SourceData.Fertiliser_Products_Data2(),FertiliserProducts[[#Headers],[Include or Exclude]], 20)</f>
        <v/>
      </c>
      <c r="Q124" s="65" t="str" cm="1">
        <f t="array" ref="Q124">Common_InputFunctions.Utility_DisplayArrayInTable(Fertiliser_SourceData.Fertiliser_Products_Data2(),FertiliserProducts[[#Headers],[Include or Exclude]], 20)</f>
        <v/>
      </c>
      <c r="R124" s="65" t="str" cm="1">
        <f t="array" ref="R124">Common_InputFunctions.Utility_DisplayArrayInTable(Fertiliser_SourceData.Fertiliser_Products_Data2(),FertiliserProducts[[#Headers],[Include or Exclude]], 20)</f>
        <v/>
      </c>
      <c r="S124" s="65" t="str" cm="1">
        <f t="array" ref="S124">Common_InputFunctions.Utility_DisplayArrayInTable(Fertiliser_SourceData.Fertiliser_Products_Data2(),FertiliserProducts[[#Headers],[Include or Exclude]], 20)</f>
        <v/>
      </c>
      <c r="T124" s="65" t="str" cm="1">
        <f t="array" ref="T124">Common_InputFunctions.Utility_DisplayArrayInTable(Fertiliser_SourceData.Fertiliser_Products_Data2(),FertiliserProducts[[#Headers],[Include or Exclude]], 20)</f>
        <v/>
      </c>
      <c r="U124" s="65" t="str" cm="1">
        <f t="array" ref="U124">Common_InputFunctions.Utility_DisplayArrayInTable(Fertiliser_SourceData.Fertiliser_Products_Data2(),FertiliserProducts[[#Headers],[Include or Exclude]], 20)</f>
        <v/>
      </c>
      <c r="V124" s="65" t="str" cm="1">
        <f t="array" ref="V124">Common_InputFunctions.Utility_DisplayArrayInTable(Fertiliser_SourceData.Fertiliser_Products_Data2(),FertiliserProducts[[#Headers],[Include or Exclude]], 20)</f>
        <v/>
      </c>
      <c r="W124" s="65" t="str" cm="1">
        <f t="array" ref="W124">Common_InputFunctions.Utility_DisplayArrayInTable(Fertiliser_SourceData.Fertiliser_Products_Data2(),FertiliserProducts[[#Headers],[Include or Exclude]], 20)</f>
        <v>MountCompass Fertilisers Blends</v>
      </c>
      <c r="X124" s="65" t="str" cm="1">
        <f t="array" ref="X124">Common_InputFunctions.Utility_DisplayArrayInTable(Fertiliser_SourceData.Fertiliser_Products_Data2(),FertiliserProducts[[#Headers],[Include or Exclude]], 20)</f>
        <v/>
      </c>
      <c r="Y124" s="65" t="str" cm="1">
        <f t="array" ref="Y124">Common_InputFunctions.Utility_DisplayArrayInTable(Fertiliser_SourceData.Fertiliser_Products_Data2(),FertiliserProducts[[#Headers],[Include or Exclude]], 20)</f>
        <v/>
      </c>
      <c r="Z124" s="65"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4:31" ht="20.100000000000001" customHeight="1" x14ac:dyDescent="0.25">
      <c r="D125" s="65" t="str" cm="1">
        <f t="array" ref="D125">Common_InputFunctions.Utility_DisplayArrayInTable(Fertiliser_SourceData.Fertiliser_Products_Data2(),FertiliserProducts[[#Headers],[Include or Exclude]], 20)</f>
        <v>SSP</v>
      </c>
      <c r="E125" s="65" t="str" cm="1">
        <f t="array" ref="E125">Common_InputFunctions.Utility_DisplayArrayInTable(Fertiliser_SourceData.Fertiliser_Products_Data2(),FertiliserProducts[[#Headers],[Include or Exclude]], 20)</f>
        <v/>
      </c>
      <c r="F125" s="65" t="str" cm="1">
        <f t="array" ref="F125">Common_InputFunctions.Utility_DisplayArrayInTable(Fertiliser_SourceData.Fertiliser_Products_Data2(),FertiliserProducts[[#Headers],[Include or Exclude]], 20)</f>
        <v/>
      </c>
      <c r="G125" s="65" t="str" cm="1">
        <f t="array" ref="G125">Common_InputFunctions.Utility_DisplayArrayInTable(Fertiliser_SourceData.Fertiliser_Products_Data2(),FertiliserProducts[[#Headers],[Include or Exclude]], 20)</f>
        <v/>
      </c>
      <c r="H125" s="65" t="str" cm="1">
        <f t="array" ref="H125">Common_InputFunctions.Utility_DisplayArrayInTable(Fertiliser_SourceData.Fertiliser_Products_Data2(),FertiliserProducts[[#Headers],[Include or Exclude]], 20)</f>
        <v/>
      </c>
      <c r="I125" s="65" t="str" cm="1">
        <f t="array" ref="I125">Common_InputFunctions.Utility_DisplayArrayInTable(Fertiliser_SourceData.Fertiliser_Products_Data2(),FertiliserProducts[[#Headers],[Include or Exclude]], 20)</f>
        <v/>
      </c>
      <c r="J125" s="65" t="str" cm="1">
        <f t="array" ref="J125">Common_InputFunctions.Utility_DisplayArrayInTable(Fertiliser_SourceData.Fertiliser_Products_Data2(),FertiliserProducts[[#Headers],[Include or Exclude]], 20)</f>
        <v/>
      </c>
      <c r="K125" s="65" t="str" cm="1">
        <f t="array" ref="K125">Common_InputFunctions.Utility_DisplayArrayInTable(Fertiliser_SourceData.Fertiliser_Products_Data2(),FertiliserProducts[[#Headers],[Include or Exclude]], 20)</f>
        <v/>
      </c>
      <c r="L125" s="65" t="str" cm="1">
        <f t="array" ref="L125">Common_InputFunctions.Utility_DisplayArrayInTable(Fertiliser_SourceData.Fertiliser_Products_Data2(),FertiliserProducts[[#Headers],[Include or Exclude]], 20)</f>
        <v/>
      </c>
      <c r="M125" s="65" t="str" cm="1">
        <f t="array" ref="M125">Common_InputFunctions.Utility_DisplayArrayInTable(Fertiliser_SourceData.Fertiliser_Products_Data2(),FertiliserProducts[[#Headers],[Include or Exclude]], 20)</f>
        <v/>
      </c>
      <c r="N125" s="65" t="str" cm="1">
        <f t="array" ref="N125">Common_InputFunctions.Utility_DisplayArrayInTable(Fertiliser_SourceData.Fertiliser_Products_Data2(),FertiliserProducts[[#Headers],[Include or Exclude]], 20)</f>
        <v/>
      </c>
      <c r="O125" s="65" t="str" cm="1">
        <f t="array" ref="O125">Common_InputFunctions.Utility_DisplayArrayInTable(Fertiliser_SourceData.Fertiliser_Products_Data2(),FertiliserProducts[[#Headers],[Include or Exclude]], 20)</f>
        <v/>
      </c>
      <c r="P125" s="65" t="str" cm="1">
        <f t="array" ref="P125">Common_InputFunctions.Utility_DisplayArrayInTable(Fertiliser_SourceData.Fertiliser_Products_Data2(),FertiliserProducts[[#Headers],[Include or Exclude]], 20)</f>
        <v/>
      </c>
      <c r="Q125" s="65" t="str" cm="1">
        <f t="array" ref="Q125">Common_InputFunctions.Utility_DisplayArrayInTable(Fertiliser_SourceData.Fertiliser_Products_Data2(),FertiliserProducts[[#Headers],[Include or Exclude]], 20)</f>
        <v/>
      </c>
      <c r="R125" s="65" t="str" cm="1">
        <f t="array" ref="R125">Common_InputFunctions.Utility_DisplayArrayInTable(Fertiliser_SourceData.Fertiliser_Products_Data2(),FertiliserProducts[[#Headers],[Include or Exclude]], 20)</f>
        <v/>
      </c>
      <c r="S125" s="65" t="str" cm="1">
        <f t="array" ref="S125">Common_InputFunctions.Utility_DisplayArrayInTable(Fertiliser_SourceData.Fertiliser_Products_Data2(),FertiliserProducts[[#Headers],[Include or Exclude]], 20)</f>
        <v/>
      </c>
      <c r="T125" s="65" t="str" cm="1">
        <f t="array" ref="T125">Common_InputFunctions.Utility_DisplayArrayInTable(Fertiliser_SourceData.Fertiliser_Products_Data2(),FertiliserProducts[[#Headers],[Include or Exclude]], 20)</f>
        <v/>
      </c>
      <c r="U125" s="65" t="str" cm="1">
        <f t="array" ref="U125">Common_InputFunctions.Utility_DisplayArrayInTable(Fertiliser_SourceData.Fertiliser_Products_Data2(),FertiliserProducts[[#Headers],[Include or Exclude]], 20)</f>
        <v/>
      </c>
      <c r="V125" s="65" t="str" cm="1">
        <f t="array" ref="V125">Common_InputFunctions.Utility_DisplayArrayInTable(Fertiliser_SourceData.Fertiliser_Products_Data2(),FertiliserProducts[[#Headers],[Include or Exclude]], 20)</f>
        <v/>
      </c>
      <c r="W125" s="65" t="str" cm="1">
        <f t="array" ref="W125">Common_InputFunctions.Utility_DisplayArrayInTable(Fertiliser_SourceData.Fertiliser_Products_Data2(),FertiliserProducts[[#Headers],[Include or Exclude]], 20)</f>
        <v>Impact fertilisers</v>
      </c>
      <c r="X125" s="65" t="str" cm="1">
        <f t="array" ref="X125">Common_InputFunctions.Utility_DisplayArrayInTable(Fertiliser_SourceData.Fertiliser_Products_Data2(),FertiliserProducts[[#Headers],[Include or Exclude]], 20)</f>
        <v/>
      </c>
      <c r="Y125" s="65" t="str" cm="1">
        <f t="array" ref="Y125">Common_InputFunctions.Utility_DisplayArrayInTable(Fertiliser_SourceData.Fertiliser_Products_Data2(),FertiliserProducts[[#Headers],[Include or Exclude]], 20)</f>
        <v/>
      </c>
      <c r="Z125" s="65"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4:31" ht="20.100000000000001" customHeight="1" x14ac:dyDescent="0.25">
      <c r="D126" s="65" t="str" cm="1">
        <f t="array" ref="D126">Common_InputFunctions.Utility_DisplayArrayInTable(Fertiliser_SourceData.Fertiliser_Products_Data2(),FertiliserProducts[[#Headers],[Include or Exclude]], 20)</f>
        <v>Super Phos</v>
      </c>
      <c r="E126" s="65" t="str" cm="1">
        <f t="array" ref="E126">Common_InputFunctions.Utility_DisplayArrayInTable(Fertiliser_SourceData.Fertiliser_Products_Data2(),FertiliserProducts[[#Headers],[Include or Exclude]], 20)</f>
        <v/>
      </c>
      <c r="F126" s="65" t="str" cm="1">
        <f t="array" ref="F126">Common_InputFunctions.Utility_DisplayArrayInTable(Fertiliser_SourceData.Fertiliser_Products_Data2(),FertiliserProducts[[#Headers],[Include or Exclude]], 20)</f>
        <v/>
      </c>
      <c r="G126" s="65" t="str" cm="1">
        <f t="array" ref="G126">Common_InputFunctions.Utility_DisplayArrayInTable(Fertiliser_SourceData.Fertiliser_Products_Data2(),FertiliserProducts[[#Headers],[Include or Exclude]], 20)</f>
        <v/>
      </c>
      <c r="H126" s="65" t="str" cm="1">
        <f t="array" ref="H126">Common_InputFunctions.Utility_DisplayArrayInTable(Fertiliser_SourceData.Fertiliser_Products_Data2(),FertiliserProducts[[#Headers],[Include or Exclude]], 20)</f>
        <v/>
      </c>
      <c r="I126" s="65" t="str" cm="1">
        <f t="array" ref="I126">Common_InputFunctions.Utility_DisplayArrayInTable(Fertiliser_SourceData.Fertiliser_Products_Data2(),FertiliserProducts[[#Headers],[Include or Exclude]], 20)</f>
        <v/>
      </c>
      <c r="J126" s="65" t="str" cm="1">
        <f t="array" ref="J126">Common_InputFunctions.Utility_DisplayArrayInTable(Fertiliser_SourceData.Fertiliser_Products_Data2(),FertiliserProducts[[#Headers],[Include or Exclude]], 20)</f>
        <v/>
      </c>
      <c r="K126" s="65" t="str" cm="1">
        <f t="array" ref="K126">Common_InputFunctions.Utility_DisplayArrayInTable(Fertiliser_SourceData.Fertiliser_Products_Data2(),FertiliserProducts[[#Headers],[Include or Exclude]], 20)</f>
        <v/>
      </c>
      <c r="L126" s="65" t="str" cm="1">
        <f t="array" ref="L126">Common_InputFunctions.Utility_DisplayArrayInTable(Fertiliser_SourceData.Fertiliser_Products_Data2(),FertiliserProducts[[#Headers],[Include or Exclude]], 20)</f>
        <v/>
      </c>
      <c r="M126" s="65" t="str" cm="1">
        <f t="array" ref="M126">Common_InputFunctions.Utility_DisplayArrayInTable(Fertiliser_SourceData.Fertiliser_Products_Data2(),FertiliserProducts[[#Headers],[Include or Exclude]], 20)</f>
        <v/>
      </c>
      <c r="N126" s="65" t="str" cm="1">
        <f t="array" ref="N126">Common_InputFunctions.Utility_DisplayArrayInTable(Fertiliser_SourceData.Fertiliser_Products_Data2(),FertiliserProducts[[#Headers],[Include or Exclude]], 20)</f>
        <v/>
      </c>
      <c r="O126" s="65" t="str" cm="1">
        <f t="array" ref="O126">Common_InputFunctions.Utility_DisplayArrayInTable(Fertiliser_SourceData.Fertiliser_Products_Data2(),FertiliserProducts[[#Headers],[Include or Exclude]], 20)</f>
        <v/>
      </c>
      <c r="P126" s="65" t="str" cm="1">
        <f t="array" ref="P126">Common_InputFunctions.Utility_DisplayArrayInTable(Fertiliser_SourceData.Fertiliser_Products_Data2(),FertiliserProducts[[#Headers],[Include or Exclude]], 20)</f>
        <v/>
      </c>
      <c r="Q126" s="65" t="str" cm="1">
        <f t="array" ref="Q126">Common_InputFunctions.Utility_DisplayArrayInTable(Fertiliser_SourceData.Fertiliser_Products_Data2(),FertiliserProducts[[#Headers],[Include or Exclude]], 20)</f>
        <v/>
      </c>
      <c r="R126" s="65" t="str" cm="1">
        <f t="array" ref="R126">Common_InputFunctions.Utility_DisplayArrayInTable(Fertiliser_SourceData.Fertiliser_Products_Data2(),FertiliserProducts[[#Headers],[Include or Exclude]], 20)</f>
        <v/>
      </c>
      <c r="S126" s="65" t="str" cm="1">
        <f t="array" ref="S126">Common_InputFunctions.Utility_DisplayArrayInTable(Fertiliser_SourceData.Fertiliser_Products_Data2(),FertiliserProducts[[#Headers],[Include or Exclude]], 20)</f>
        <v/>
      </c>
      <c r="T126" s="65" t="str" cm="1">
        <f t="array" ref="T126">Common_InputFunctions.Utility_DisplayArrayInTable(Fertiliser_SourceData.Fertiliser_Products_Data2(),FertiliserProducts[[#Headers],[Include or Exclude]], 20)</f>
        <v/>
      </c>
      <c r="U126" s="65" t="str" cm="1">
        <f t="array" ref="U126">Common_InputFunctions.Utility_DisplayArrayInTable(Fertiliser_SourceData.Fertiliser_Products_Data2(),FertiliserProducts[[#Headers],[Include or Exclude]], 20)</f>
        <v/>
      </c>
      <c r="V126" s="65" t="str" cm="1">
        <f t="array" ref="V126">Common_InputFunctions.Utility_DisplayArrayInTable(Fertiliser_SourceData.Fertiliser_Products_Data2(),FertiliserProducts[[#Headers],[Include or Exclude]], 20)</f>
        <v/>
      </c>
      <c r="W126" s="65" t="str" cm="1">
        <f t="array" ref="W126">Common_InputFunctions.Utility_DisplayArrayInTable(Fertiliser_SourceData.Fertiliser_Products_Data2(),FertiliserProducts[[#Headers],[Include or Exclude]], 20)</f>
        <v>CSBP Super PHOS</v>
      </c>
      <c r="X126" s="65" t="str" cm="1">
        <f t="array" ref="X126">Common_InputFunctions.Utility_DisplayArrayInTable(Fertiliser_SourceData.Fertiliser_Products_Data2(),FertiliserProducts[[#Headers],[Include or Exclude]], 20)</f>
        <v/>
      </c>
      <c r="Y126" s="65" t="str" cm="1">
        <f t="array" ref="Y126">Common_InputFunctions.Utility_DisplayArrayInTable(Fertiliser_SourceData.Fertiliser_Products_Data2(),FertiliserProducts[[#Headers],[Include or Exclude]], 20)</f>
        <v/>
      </c>
      <c r="Z126" s="65"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4:31" ht="20.100000000000001" customHeight="1" x14ac:dyDescent="0.25">
      <c r="D127" s="65" t="str" cm="1">
        <f t="array" ref="D127">Common_InputFunctions.Utility_DisplayArrayInTable(Fertiliser_SourceData.Fertiliser_Products_Data2(),FertiliserProducts[[#Headers],[Include or Exclude]], 20)</f>
        <v>Super SR Extra</v>
      </c>
      <c r="E127" s="65" t="str" cm="1">
        <f t="array" ref="E127">Common_InputFunctions.Utility_DisplayArrayInTable(Fertiliser_SourceData.Fertiliser_Products_Data2(),FertiliserProducts[[#Headers],[Include or Exclude]], 20)</f>
        <v/>
      </c>
      <c r="F127" s="65" t="str" cm="1">
        <f t="array" ref="F127">Common_InputFunctions.Utility_DisplayArrayInTable(Fertiliser_SourceData.Fertiliser_Products_Data2(),FertiliserProducts[[#Headers],[Include or Exclude]], 20)</f>
        <v/>
      </c>
      <c r="G127" s="65" t="str" cm="1">
        <f t="array" ref="G127">Common_InputFunctions.Utility_DisplayArrayInTable(Fertiliser_SourceData.Fertiliser_Products_Data2(),FertiliserProducts[[#Headers],[Include or Exclude]], 20)</f>
        <v/>
      </c>
      <c r="H127" s="65" t="str" cm="1">
        <f t="array" ref="H127">Common_InputFunctions.Utility_DisplayArrayInTable(Fertiliser_SourceData.Fertiliser_Products_Data2(),FertiliserProducts[[#Headers],[Include or Exclude]], 20)</f>
        <v/>
      </c>
      <c r="I127" s="65" t="str" cm="1">
        <f t="array" ref="I127">Common_InputFunctions.Utility_DisplayArrayInTable(Fertiliser_SourceData.Fertiliser_Products_Data2(),FertiliserProducts[[#Headers],[Include or Exclude]], 20)</f>
        <v/>
      </c>
      <c r="J127" s="65" t="str" cm="1">
        <f t="array" ref="J127">Common_InputFunctions.Utility_DisplayArrayInTable(Fertiliser_SourceData.Fertiliser_Products_Data2(),FertiliserProducts[[#Headers],[Include or Exclude]], 20)</f>
        <v/>
      </c>
      <c r="K127" s="65" t="str" cm="1">
        <f t="array" ref="K127">Common_InputFunctions.Utility_DisplayArrayInTable(Fertiliser_SourceData.Fertiliser_Products_Data2(),FertiliserProducts[[#Headers],[Include or Exclude]], 20)</f>
        <v/>
      </c>
      <c r="L127" s="65" t="str" cm="1">
        <f t="array" ref="L127">Common_InputFunctions.Utility_DisplayArrayInTable(Fertiliser_SourceData.Fertiliser_Products_Data2(),FertiliserProducts[[#Headers],[Include or Exclude]], 20)</f>
        <v/>
      </c>
      <c r="M127" s="65" t="str" cm="1">
        <f t="array" ref="M127">Common_InputFunctions.Utility_DisplayArrayInTable(Fertiliser_SourceData.Fertiliser_Products_Data2(),FertiliserProducts[[#Headers],[Include or Exclude]], 20)</f>
        <v/>
      </c>
      <c r="N127" s="65" t="str" cm="1">
        <f t="array" ref="N127">Common_InputFunctions.Utility_DisplayArrayInTable(Fertiliser_SourceData.Fertiliser_Products_Data2(),FertiliserProducts[[#Headers],[Include or Exclude]], 20)</f>
        <v/>
      </c>
      <c r="O127" s="65" t="str" cm="1">
        <f t="array" ref="O127">Common_InputFunctions.Utility_DisplayArrayInTable(Fertiliser_SourceData.Fertiliser_Products_Data2(),FertiliserProducts[[#Headers],[Include or Exclude]], 20)</f>
        <v/>
      </c>
      <c r="P127" s="65" t="str" cm="1">
        <f t="array" ref="P127">Common_InputFunctions.Utility_DisplayArrayInTable(Fertiliser_SourceData.Fertiliser_Products_Data2(),FertiliserProducts[[#Headers],[Include or Exclude]], 20)</f>
        <v/>
      </c>
      <c r="Q127" s="65" t="str" cm="1">
        <f t="array" ref="Q127">Common_InputFunctions.Utility_DisplayArrayInTable(Fertiliser_SourceData.Fertiliser_Products_Data2(),FertiliserProducts[[#Headers],[Include or Exclude]], 20)</f>
        <v/>
      </c>
      <c r="R127" s="65" t="str" cm="1">
        <f t="array" ref="R127">Common_InputFunctions.Utility_DisplayArrayInTable(Fertiliser_SourceData.Fertiliser_Products_Data2(),FertiliserProducts[[#Headers],[Include or Exclude]], 20)</f>
        <v/>
      </c>
      <c r="S127" s="65" t="str" cm="1">
        <f t="array" ref="S127">Common_InputFunctions.Utility_DisplayArrayInTable(Fertiliser_SourceData.Fertiliser_Products_Data2(),FertiliserProducts[[#Headers],[Include or Exclude]], 20)</f>
        <v/>
      </c>
      <c r="T127" s="65" t="str" cm="1">
        <f t="array" ref="T127">Common_InputFunctions.Utility_DisplayArrayInTable(Fertiliser_SourceData.Fertiliser_Products_Data2(),FertiliserProducts[[#Headers],[Include or Exclude]], 20)</f>
        <v/>
      </c>
      <c r="U127" s="65" t="str" cm="1">
        <f t="array" ref="U127">Common_InputFunctions.Utility_DisplayArrayInTable(Fertiliser_SourceData.Fertiliser_Products_Data2(),FertiliserProducts[[#Headers],[Include or Exclude]], 20)</f>
        <v/>
      </c>
      <c r="V127" s="65" t="str" cm="1">
        <f t="array" ref="V127">Common_InputFunctions.Utility_DisplayArrayInTable(Fertiliser_SourceData.Fertiliser_Products_Data2(),FertiliserProducts[[#Headers],[Include or Exclude]], 20)</f>
        <v/>
      </c>
      <c r="W127" s="65" t="str" cm="1">
        <f t="array" ref="W127">Common_InputFunctions.Utility_DisplayArrayInTable(Fertiliser_SourceData.Fertiliser_Products_Data2(),FertiliserProducts[[#Headers],[Include or Exclude]], 20)</f>
        <v>CSBP Super Potash</v>
      </c>
      <c r="X127" s="65" t="str" cm="1">
        <f t="array" ref="X127">Common_InputFunctions.Utility_DisplayArrayInTable(Fertiliser_SourceData.Fertiliser_Products_Data2(),FertiliserProducts[[#Headers],[Include or Exclude]], 20)</f>
        <v/>
      </c>
      <c r="Y127" s="65" t="str" cm="1">
        <f t="array" ref="Y127">Common_InputFunctions.Utility_DisplayArrayInTable(Fertiliser_SourceData.Fertiliser_Products_Data2(),FertiliserProducts[[#Headers],[Include or Exclude]], 20)</f>
        <v/>
      </c>
      <c r="Z127" s="65"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4:31" ht="20.100000000000001" customHeight="1" x14ac:dyDescent="0.25">
      <c r="D128" s="65" t="str" cm="1">
        <f t="array" ref="D128">Common_InputFunctions.Utility_DisplayArrayInTable(Fertiliser_SourceData.Fertiliser_Products_Data2(),FertiliserProducts[[#Headers],[Include or Exclude]], 20)</f>
        <v>SuPerfect</v>
      </c>
      <c r="E128" s="65" t="str" cm="1">
        <f t="array" ref="E128">Common_InputFunctions.Utility_DisplayArrayInTable(Fertiliser_SourceData.Fertiliser_Products_Data2(),FertiliserProducts[[#Headers],[Include or Exclude]], 20)</f>
        <v/>
      </c>
      <c r="F128" s="65" t="str" cm="1">
        <f t="array" ref="F128">Common_InputFunctions.Utility_DisplayArrayInTable(Fertiliser_SourceData.Fertiliser_Products_Data2(),FertiliserProducts[[#Headers],[Include or Exclude]], 20)</f>
        <v/>
      </c>
      <c r="G128" s="65" t="str" cm="1">
        <f t="array" ref="G128">Common_InputFunctions.Utility_DisplayArrayInTable(Fertiliser_SourceData.Fertiliser_Products_Data2(),FertiliserProducts[[#Headers],[Include or Exclude]], 20)</f>
        <v/>
      </c>
      <c r="H128" s="65" t="str" cm="1">
        <f t="array" ref="H128">Common_InputFunctions.Utility_DisplayArrayInTable(Fertiliser_SourceData.Fertiliser_Products_Data2(),FertiliserProducts[[#Headers],[Include or Exclude]], 20)</f>
        <v/>
      </c>
      <c r="I128" s="65" t="str" cm="1">
        <f t="array" ref="I128">Common_InputFunctions.Utility_DisplayArrayInTable(Fertiliser_SourceData.Fertiliser_Products_Data2(),FertiliserProducts[[#Headers],[Include or Exclude]], 20)</f>
        <v/>
      </c>
      <c r="J128" s="65" t="str" cm="1">
        <f t="array" ref="J128">Common_InputFunctions.Utility_DisplayArrayInTable(Fertiliser_SourceData.Fertiliser_Products_Data2(),FertiliserProducts[[#Headers],[Include or Exclude]], 20)</f>
        <v/>
      </c>
      <c r="K128" s="65" t="str" cm="1">
        <f t="array" ref="K128">Common_InputFunctions.Utility_DisplayArrayInTable(Fertiliser_SourceData.Fertiliser_Products_Data2(),FertiliserProducts[[#Headers],[Include or Exclude]], 20)</f>
        <v/>
      </c>
      <c r="L128" s="65" t="str" cm="1">
        <f t="array" ref="L128">Common_InputFunctions.Utility_DisplayArrayInTable(Fertiliser_SourceData.Fertiliser_Products_Data2(),FertiliserProducts[[#Headers],[Include or Exclude]], 20)</f>
        <v/>
      </c>
      <c r="M128" s="65" t="str" cm="1">
        <f t="array" ref="M128">Common_InputFunctions.Utility_DisplayArrayInTable(Fertiliser_SourceData.Fertiliser_Products_Data2(),FertiliserProducts[[#Headers],[Include or Exclude]], 20)</f>
        <v/>
      </c>
      <c r="N128" s="65" t="str" cm="1">
        <f t="array" ref="N128">Common_InputFunctions.Utility_DisplayArrayInTable(Fertiliser_SourceData.Fertiliser_Products_Data2(),FertiliserProducts[[#Headers],[Include or Exclude]], 20)</f>
        <v/>
      </c>
      <c r="O128" s="65" t="str" cm="1">
        <f t="array" ref="O128">Common_InputFunctions.Utility_DisplayArrayInTable(Fertiliser_SourceData.Fertiliser_Products_Data2(),FertiliserProducts[[#Headers],[Include or Exclude]], 20)</f>
        <v/>
      </c>
      <c r="P128" s="65" t="str" cm="1">
        <f t="array" ref="P128">Common_InputFunctions.Utility_DisplayArrayInTable(Fertiliser_SourceData.Fertiliser_Products_Data2(),FertiliserProducts[[#Headers],[Include or Exclude]], 20)</f>
        <v/>
      </c>
      <c r="Q128" s="65" t="str" cm="1">
        <f t="array" ref="Q128">Common_InputFunctions.Utility_DisplayArrayInTable(Fertiliser_SourceData.Fertiliser_Products_Data2(),FertiliserProducts[[#Headers],[Include or Exclude]], 20)</f>
        <v/>
      </c>
      <c r="R128" s="65" t="str" cm="1">
        <f t="array" ref="R128">Common_InputFunctions.Utility_DisplayArrayInTable(Fertiliser_SourceData.Fertiliser_Products_Data2(),FertiliserProducts[[#Headers],[Include or Exclude]], 20)</f>
        <v/>
      </c>
      <c r="S128" s="65" t="str" cm="1">
        <f t="array" ref="S128">Common_InputFunctions.Utility_DisplayArrayInTable(Fertiliser_SourceData.Fertiliser_Products_Data2(),FertiliserProducts[[#Headers],[Include or Exclude]], 20)</f>
        <v/>
      </c>
      <c r="T128" s="65" t="str" cm="1">
        <f t="array" ref="T128">Common_InputFunctions.Utility_DisplayArrayInTable(Fertiliser_SourceData.Fertiliser_Products_Data2(),FertiliserProducts[[#Headers],[Include or Exclude]], 20)</f>
        <v/>
      </c>
      <c r="U128" s="65" t="str" cm="1">
        <f t="array" ref="U128">Common_InputFunctions.Utility_DisplayArrayInTable(Fertiliser_SourceData.Fertiliser_Products_Data2(),FertiliserProducts[[#Headers],[Include or Exclude]], 20)</f>
        <v/>
      </c>
      <c r="V128" s="65" t="str" cm="1">
        <f t="array" ref="V128">Common_InputFunctions.Utility_DisplayArrayInTable(Fertiliser_SourceData.Fertiliser_Products_Data2(),FertiliserProducts[[#Headers],[Include or Exclude]], 20)</f>
        <v/>
      </c>
      <c r="W128" s="65" t="str" cm="1">
        <f t="array" ref="W128">Common_InputFunctions.Utility_DisplayArrayInTable(Fertiliser_SourceData.Fertiliser_Products_Data2(),FertiliserProducts[[#Headers],[Include or Exclude]], 20)</f>
        <v>Incitec Pivot Fertilisers</v>
      </c>
      <c r="X128" s="65" t="str" cm="1">
        <f t="array" ref="X128">Common_InputFunctions.Utility_DisplayArrayInTable(Fertiliser_SourceData.Fertiliser_Products_Data2(),FertiliserProducts[[#Headers],[Include or Exclude]], 20)</f>
        <v/>
      </c>
      <c r="Y128" s="65" t="str" cm="1">
        <f t="array" ref="Y128">Common_InputFunctions.Utility_DisplayArrayInTable(Fertiliser_SourceData.Fertiliser_Products_Data2(),FertiliserProducts[[#Headers],[Include or Exclude]], 20)</f>
        <v/>
      </c>
      <c r="Z128" s="65"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4:31" ht="20.100000000000001" customHeight="1" x14ac:dyDescent="0.25">
      <c r="D129" s="65" t="str" cm="1">
        <f t="array" ref="D129">Common_InputFunctions.Utility_DisplayArrayInTable(Fertiliser_SourceData.Fertiliser_Products_Data3(),FertiliserProducts[[#Headers],[Include or Exclude]], 40)</f>
        <v>Product</v>
      </c>
      <c r="E129" s="65" t="str" cm="1">
        <f t="array" ref="E129">Common_InputFunctions.Utility_DisplayArrayInTable(Fertiliser_SourceData.Fertiliser_Products_Data3(),FertiliserProducts[[#Headers],[Include or Exclude]], 40)</f>
        <v>Ingredient 1</v>
      </c>
      <c r="F129" s="65" t="str" cm="1">
        <f t="array" ref="F129">Common_InputFunctions.Utility_DisplayArrayInTable(Fertiliser_SourceData.Fertiliser_Products_Data3(),FertiliserProducts[[#Headers],[Include or Exclude]], 40)</f>
        <v>Ingredient 1 percent</v>
      </c>
      <c r="G129" s="65" t="str" cm="1">
        <f t="array" ref="G129">Common_InputFunctions.Utility_DisplayArrayInTable(Fertiliser_SourceData.Fertiliser_Products_Data3(),FertiliserProducts[[#Headers],[Include or Exclude]], 40)</f>
        <v>Ingredient 1 source</v>
      </c>
      <c r="H129" s="65" t="str" cm="1">
        <f t="array" ref="H129">Common_InputFunctions.Utility_DisplayArrayInTable(Fertiliser_SourceData.Fertiliser_Products_Data3(),FertiliserProducts[[#Headers],[Include or Exclude]], 40)</f>
        <v>Ingredient 2</v>
      </c>
      <c r="I129" s="65" t="str" cm="1">
        <f t="array" ref="I129">Common_InputFunctions.Utility_DisplayArrayInTable(Fertiliser_SourceData.Fertiliser_Products_Data3(),FertiliserProducts[[#Headers],[Include or Exclude]], 40)</f>
        <v>Ingredient 2 percent</v>
      </c>
      <c r="J129" s="65" t="str" cm="1">
        <f t="array" ref="J129">Common_InputFunctions.Utility_DisplayArrayInTable(Fertiliser_SourceData.Fertiliser_Products_Data3(),FertiliserProducts[[#Headers],[Include or Exclude]], 40)</f>
        <v>Ingredient 2 source</v>
      </c>
      <c r="K129" s="65" t="str" cm="1">
        <f t="array" ref="K129">Common_InputFunctions.Utility_DisplayArrayInTable(Fertiliser_SourceData.Fertiliser_Products_Data3(),FertiliserProducts[[#Headers],[Include or Exclude]], 40)</f>
        <v>Ingredient 3</v>
      </c>
      <c r="L129" s="65" t="str" cm="1">
        <f t="array" ref="L129">Common_InputFunctions.Utility_DisplayArrayInTable(Fertiliser_SourceData.Fertiliser_Products_Data3(),FertiliserProducts[[#Headers],[Include or Exclude]], 40)</f>
        <v>Ingredient 3 percent</v>
      </c>
      <c r="M129" s="65" t="str" cm="1">
        <f t="array" ref="M129">Common_InputFunctions.Utility_DisplayArrayInTable(Fertiliser_SourceData.Fertiliser_Products_Data3(),FertiliserProducts[[#Headers],[Include or Exclude]], 40)</f>
        <v>Ingredient 3 source</v>
      </c>
      <c r="N129" s="65" t="str" cm="1">
        <f t="array" ref="N129">Common_InputFunctions.Utility_DisplayArrayInTable(Fertiliser_SourceData.Fertiliser_Products_Data3(),FertiliserProducts[[#Headers],[Include or Exclude]], 40)</f>
        <v>Ingredient 4</v>
      </c>
      <c r="O129" s="65" t="str" cm="1">
        <f t="array" ref="O129">Common_InputFunctions.Utility_DisplayArrayInTable(Fertiliser_SourceData.Fertiliser_Products_Data3(),FertiliserProducts[[#Headers],[Include or Exclude]], 40)</f>
        <v>Ingredient 4 percent</v>
      </c>
      <c r="P129" s="65" t="str" cm="1">
        <f t="array" ref="P129">Common_InputFunctions.Utility_DisplayArrayInTable(Fertiliser_SourceData.Fertiliser_Products_Data3(),FertiliserProducts[[#Headers],[Include or Exclude]], 40)</f>
        <v>Ingredient 4 source</v>
      </c>
      <c r="Q129" s="65" t="str" cm="1">
        <f t="array" ref="Q129">Common_InputFunctions.Utility_DisplayArrayInTable(Fertiliser_SourceData.Fertiliser_Products_Data3(),FertiliserProducts[[#Headers],[Include or Exclude]], 40)</f>
        <v>Ingredient 5</v>
      </c>
      <c r="R129" s="65" t="str" cm="1">
        <f t="array" ref="R129">Common_InputFunctions.Utility_DisplayArrayInTable(Fertiliser_SourceData.Fertiliser_Products_Data3(),FertiliserProducts[[#Headers],[Include or Exclude]], 40)</f>
        <v>Ingredient 5 percent</v>
      </c>
      <c r="S129" s="65" t="str" cm="1">
        <f t="array" ref="S129">Common_InputFunctions.Utility_DisplayArrayInTable(Fertiliser_SourceData.Fertiliser_Products_Data3(),FertiliserProducts[[#Headers],[Include or Exclude]], 40)</f>
        <v>Ingredient 5 source</v>
      </c>
      <c r="T129" s="65" t="str" cm="1">
        <f t="array" ref="T129">Common_InputFunctions.Utility_DisplayArrayInTable(Fertiliser_SourceData.Fertiliser_Products_Data3(),FertiliserProducts[[#Headers],[Include or Exclude]], 40)</f>
        <v>Ingredient 6</v>
      </c>
      <c r="U129" s="65" t="str" cm="1">
        <f t="array" ref="U129">Common_InputFunctions.Utility_DisplayArrayInTable(Fertiliser_SourceData.Fertiliser_Products_Data3(),FertiliserProducts[[#Headers],[Include or Exclude]], 40)</f>
        <v>Ingredient 6 percent</v>
      </c>
      <c r="V129" s="65" t="str" cm="1">
        <f t="array" ref="V129">Common_InputFunctions.Utility_DisplayArrayInTable(Fertiliser_SourceData.Fertiliser_Products_Data3(),FertiliserProducts[[#Headers],[Include or Exclude]], 40)</f>
        <v>Ingredient 6 source</v>
      </c>
      <c r="W129" s="65" t="str" cm="1">
        <f t="array" ref="W129">Common_InputFunctions.Utility_DisplayArrayInTable(Fertiliser_SourceData.Fertiliser_Products_Data3(),FertiliserProducts[[#Headers],[Include or Exclude]], 40)</f>
        <v>Product info link</v>
      </c>
      <c r="X129" s="65" t="str" cm="1">
        <f t="array" ref="X129">Common_InputFunctions.Utility_DisplayArrayInTable(Fertiliser_SourceData.Fertiliser_Products_Data3(),FertiliserProducts[[#Headers],[Include or Exclude]], 40)</f>
        <v/>
      </c>
      <c r="Y129" s="65" t="str" cm="1">
        <f t="array" ref="Y129">Common_InputFunctions.Utility_DisplayArrayInTable(Fertiliser_SourceData.Fertiliser_Products_Data3(),FertiliserProducts[[#Headers],[Include or Exclude]], 40)</f>
        <v/>
      </c>
      <c r="Z129" s="65"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4:31" ht="20.100000000000001" customHeight="1" x14ac:dyDescent="0.25">
      <c r="D130" s="65" t="str" cm="1">
        <f t="array" ref="D130">Common_InputFunctions.Utility_DisplayArrayInTable(Fertiliser_SourceData.Fertiliser_Products_Data3(),FertiliserProducts[[#Headers],[Include or Exclude]], 40)</f>
        <v>Yara K-Flow 0-0-15</v>
      </c>
      <c r="E130" s="65" t="str" cm="1">
        <f t="array" ref="E130">Common_InputFunctions.Utility_DisplayArrayInTable(Fertiliser_SourceData.Fertiliser_Products_Data3(),FertiliserProducts[[#Headers],[Include or Exclude]], 40)</f>
        <v/>
      </c>
      <c r="F130" s="65" t="str" cm="1">
        <f t="array" ref="F130">Common_InputFunctions.Utility_DisplayArrayInTable(Fertiliser_SourceData.Fertiliser_Products_Data3(),FertiliserProducts[[#Headers],[Include or Exclude]], 40)</f>
        <v/>
      </c>
      <c r="G130" s="65" t="str" cm="1">
        <f t="array" ref="G130">Common_InputFunctions.Utility_DisplayArrayInTable(Fertiliser_SourceData.Fertiliser_Products_Data3(),FertiliserProducts[[#Headers],[Include or Exclude]], 40)</f>
        <v/>
      </c>
      <c r="H130" s="65" t="str" cm="1">
        <f t="array" ref="H130">Common_InputFunctions.Utility_DisplayArrayInTable(Fertiliser_SourceData.Fertiliser_Products_Data3(),FertiliserProducts[[#Headers],[Include or Exclude]], 40)</f>
        <v/>
      </c>
      <c r="I130" s="65" t="str" cm="1">
        <f t="array" ref="I130">Common_InputFunctions.Utility_DisplayArrayInTable(Fertiliser_SourceData.Fertiliser_Products_Data3(),FertiliserProducts[[#Headers],[Include or Exclude]], 40)</f>
        <v/>
      </c>
      <c r="J130" s="65" t="str" cm="1">
        <f t="array" ref="J130">Common_InputFunctions.Utility_DisplayArrayInTable(Fertiliser_SourceData.Fertiliser_Products_Data3(),FertiliserProducts[[#Headers],[Include or Exclude]], 40)</f>
        <v/>
      </c>
      <c r="K130" s="65" t="str" cm="1">
        <f t="array" ref="K130">Common_InputFunctions.Utility_DisplayArrayInTable(Fertiliser_SourceData.Fertiliser_Products_Data3(),FertiliserProducts[[#Headers],[Include or Exclude]], 40)</f>
        <v/>
      </c>
      <c r="L130" s="65" t="str" cm="1">
        <f t="array" ref="L130">Common_InputFunctions.Utility_DisplayArrayInTable(Fertiliser_SourceData.Fertiliser_Products_Data3(),FertiliserProducts[[#Headers],[Include or Exclude]], 40)</f>
        <v/>
      </c>
      <c r="M130" s="65" t="str" cm="1">
        <f t="array" ref="M130">Common_InputFunctions.Utility_DisplayArrayInTable(Fertiliser_SourceData.Fertiliser_Products_Data3(),FertiliserProducts[[#Headers],[Include or Exclude]], 40)</f>
        <v/>
      </c>
      <c r="N130" s="65" t="str" cm="1">
        <f t="array" ref="N130">Common_InputFunctions.Utility_DisplayArrayInTable(Fertiliser_SourceData.Fertiliser_Products_Data3(),FertiliserProducts[[#Headers],[Include or Exclude]], 40)</f>
        <v/>
      </c>
      <c r="O130" s="65" t="str" cm="1">
        <f t="array" ref="O130">Common_InputFunctions.Utility_DisplayArrayInTable(Fertiliser_SourceData.Fertiliser_Products_Data3(),FertiliserProducts[[#Headers],[Include or Exclude]], 40)</f>
        <v/>
      </c>
      <c r="P130" s="65" t="str" cm="1">
        <f t="array" ref="P130">Common_InputFunctions.Utility_DisplayArrayInTable(Fertiliser_SourceData.Fertiliser_Products_Data3(),FertiliserProducts[[#Headers],[Include or Exclude]], 40)</f>
        <v/>
      </c>
      <c r="Q130" s="65" t="str" cm="1">
        <f t="array" ref="Q130">Common_InputFunctions.Utility_DisplayArrayInTable(Fertiliser_SourceData.Fertiliser_Products_Data3(),FertiliserProducts[[#Headers],[Include or Exclude]], 40)</f>
        <v/>
      </c>
      <c r="R130" s="65" t="str" cm="1">
        <f t="array" ref="R130">Common_InputFunctions.Utility_DisplayArrayInTable(Fertiliser_SourceData.Fertiliser_Products_Data3(),FertiliserProducts[[#Headers],[Include or Exclude]], 40)</f>
        <v/>
      </c>
      <c r="S130" s="65" t="str" cm="1">
        <f t="array" ref="S130">Common_InputFunctions.Utility_DisplayArrayInTable(Fertiliser_SourceData.Fertiliser_Products_Data3(),FertiliserProducts[[#Headers],[Include or Exclude]], 40)</f>
        <v/>
      </c>
      <c r="T130" s="65" t="str" cm="1">
        <f t="array" ref="T130">Common_InputFunctions.Utility_DisplayArrayInTable(Fertiliser_SourceData.Fertiliser_Products_Data3(),FertiliserProducts[[#Headers],[Include or Exclude]], 40)</f>
        <v/>
      </c>
      <c r="U130" s="65" t="str" cm="1">
        <f t="array" ref="U130">Common_InputFunctions.Utility_DisplayArrayInTable(Fertiliser_SourceData.Fertiliser_Products_Data3(),FertiliserProducts[[#Headers],[Include or Exclude]], 40)</f>
        <v/>
      </c>
      <c r="V130" s="65" t="str" cm="1">
        <f t="array" ref="V130">Common_InputFunctions.Utility_DisplayArrayInTable(Fertiliser_SourceData.Fertiliser_Products_Data3(),FertiliserProducts[[#Headers],[Include or Exclude]], 40)</f>
        <v/>
      </c>
      <c r="W130" s="65" t="str" cm="1">
        <f t="array" ref="W130">Common_InputFunctions.Utility_DisplayArrayInTable(Fertiliser_SourceData.Fertiliser_Products_Data3(),FertiliserProducts[[#Headers],[Include or Exclude]], 40)</f>
        <v>Crop Nutrition Solutions (Yara Australia)</v>
      </c>
      <c r="X130" s="65" t="str" cm="1">
        <f t="array" ref="X130">Common_InputFunctions.Utility_DisplayArrayInTable(Fertiliser_SourceData.Fertiliser_Products_Data3(),FertiliserProducts[[#Headers],[Include or Exclude]], 40)</f>
        <v/>
      </c>
      <c r="Y130" s="65" t="str" cm="1">
        <f t="array" ref="Y130">Common_InputFunctions.Utility_DisplayArrayInTable(Fertiliser_SourceData.Fertiliser_Products_Data3(),FertiliserProducts[[#Headers],[Include or Exclude]], 40)</f>
        <v/>
      </c>
      <c r="Z130" s="65"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4:31" ht="20.100000000000001" customHeight="1" x14ac:dyDescent="0.25">
      <c r="D131" s="65" t="str" cm="1">
        <f t="array" ref="D131">Common_InputFunctions.Utility_DisplayArrayInTable(Fertiliser_SourceData.Fertiliser_Products_Data3(),FertiliserProducts[[#Headers],[Include or Exclude]], 40)</f>
        <v>Yara K-Flow 0-14-30</v>
      </c>
      <c r="E131" s="65" t="str" cm="1">
        <f t="array" ref="E131">Common_InputFunctions.Utility_DisplayArrayInTable(Fertiliser_SourceData.Fertiliser_Products_Data3(),FertiliserProducts[[#Headers],[Include or Exclude]], 40)</f>
        <v/>
      </c>
      <c r="F131" s="65" t="str" cm="1">
        <f t="array" ref="F131">Common_InputFunctions.Utility_DisplayArrayInTable(Fertiliser_SourceData.Fertiliser_Products_Data3(),FertiliserProducts[[#Headers],[Include or Exclude]], 40)</f>
        <v/>
      </c>
      <c r="G131" s="65" t="str" cm="1">
        <f t="array" ref="G131">Common_InputFunctions.Utility_DisplayArrayInTable(Fertiliser_SourceData.Fertiliser_Products_Data3(),FertiliserProducts[[#Headers],[Include or Exclude]], 40)</f>
        <v/>
      </c>
      <c r="H131" s="65" t="str" cm="1">
        <f t="array" ref="H131">Common_InputFunctions.Utility_DisplayArrayInTable(Fertiliser_SourceData.Fertiliser_Products_Data3(),FertiliserProducts[[#Headers],[Include or Exclude]], 40)</f>
        <v/>
      </c>
      <c r="I131" s="65" t="str" cm="1">
        <f t="array" ref="I131">Common_InputFunctions.Utility_DisplayArrayInTable(Fertiliser_SourceData.Fertiliser_Products_Data3(),FertiliserProducts[[#Headers],[Include or Exclude]], 40)</f>
        <v/>
      </c>
      <c r="J131" s="65" t="str" cm="1">
        <f t="array" ref="J131">Common_InputFunctions.Utility_DisplayArrayInTable(Fertiliser_SourceData.Fertiliser_Products_Data3(),FertiliserProducts[[#Headers],[Include or Exclude]], 40)</f>
        <v/>
      </c>
      <c r="K131" s="65" t="str" cm="1">
        <f t="array" ref="K131">Common_InputFunctions.Utility_DisplayArrayInTable(Fertiliser_SourceData.Fertiliser_Products_Data3(),FertiliserProducts[[#Headers],[Include or Exclude]], 40)</f>
        <v/>
      </c>
      <c r="L131" s="65" t="str" cm="1">
        <f t="array" ref="L131">Common_InputFunctions.Utility_DisplayArrayInTable(Fertiliser_SourceData.Fertiliser_Products_Data3(),FertiliserProducts[[#Headers],[Include or Exclude]], 40)</f>
        <v/>
      </c>
      <c r="M131" s="65" t="str" cm="1">
        <f t="array" ref="M131">Common_InputFunctions.Utility_DisplayArrayInTable(Fertiliser_SourceData.Fertiliser_Products_Data3(),FertiliserProducts[[#Headers],[Include or Exclude]], 40)</f>
        <v/>
      </c>
      <c r="N131" s="65" t="str" cm="1">
        <f t="array" ref="N131">Common_InputFunctions.Utility_DisplayArrayInTable(Fertiliser_SourceData.Fertiliser_Products_Data3(),FertiliserProducts[[#Headers],[Include or Exclude]], 40)</f>
        <v/>
      </c>
      <c r="O131" s="65" t="str" cm="1">
        <f t="array" ref="O131">Common_InputFunctions.Utility_DisplayArrayInTable(Fertiliser_SourceData.Fertiliser_Products_Data3(),FertiliserProducts[[#Headers],[Include or Exclude]], 40)</f>
        <v/>
      </c>
      <c r="P131" s="65" t="str" cm="1">
        <f t="array" ref="P131">Common_InputFunctions.Utility_DisplayArrayInTable(Fertiliser_SourceData.Fertiliser_Products_Data3(),FertiliserProducts[[#Headers],[Include or Exclude]], 40)</f>
        <v/>
      </c>
      <c r="Q131" s="65" t="str" cm="1">
        <f t="array" ref="Q131">Common_InputFunctions.Utility_DisplayArrayInTable(Fertiliser_SourceData.Fertiliser_Products_Data3(),FertiliserProducts[[#Headers],[Include or Exclude]], 40)</f>
        <v/>
      </c>
      <c r="R131" s="65" t="str" cm="1">
        <f t="array" ref="R131">Common_InputFunctions.Utility_DisplayArrayInTable(Fertiliser_SourceData.Fertiliser_Products_Data3(),FertiliserProducts[[#Headers],[Include or Exclude]], 40)</f>
        <v/>
      </c>
      <c r="S131" s="65" t="str" cm="1">
        <f t="array" ref="S131">Common_InputFunctions.Utility_DisplayArrayInTable(Fertiliser_SourceData.Fertiliser_Products_Data3(),FertiliserProducts[[#Headers],[Include or Exclude]], 40)</f>
        <v/>
      </c>
      <c r="T131" s="65" t="str" cm="1">
        <f t="array" ref="T131">Common_InputFunctions.Utility_DisplayArrayInTable(Fertiliser_SourceData.Fertiliser_Products_Data3(),FertiliserProducts[[#Headers],[Include or Exclude]], 40)</f>
        <v/>
      </c>
      <c r="U131" s="65" t="str" cm="1">
        <f t="array" ref="U131">Common_InputFunctions.Utility_DisplayArrayInTable(Fertiliser_SourceData.Fertiliser_Products_Data3(),FertiliserProducts[[#Headers],[Include or Exclude]], 40)</f>
        <v/>
      </c>
      <c r="V131" s="65" t="str" cm="1">
        <f t="array" ref="V131">Common_InputFunctions.Utility_DisplayArrayInTable(Fertiliser_SourceData.Fertiliser_Products_Data3(),FertiliserProducts[[#Headers],[Include or Exclude]], 40)</f>
        <v/>
      </c>
      <c r="W131" s="65" t="str" cm="1">
        <f t="array" ref="W131">Common_InputFunctions.Utility_DisplayArrayInTable(Fertiliser_SourceData.Fertiliser_Products_Data3(),FertiliserProducts[[#Headers],[Include or Exclude]], 40)</f>
        <v>Crop Nutrition Solutions (Yara Australia)</v>
      </c>
      <c r="X131" s="65" t="str" cm="1">
        <f t="array" ref="X131">Common_InputFunctions.Utility_DisplayArrayInTable(Fertiliser_SourceData.Fertiliser_Products_Data3(),FertiliserProducts[[#Headers],[Include or Exclude]], 40)</f>
        <v/>
      </c>
      <c r="Y131" s="65" t="str" cm="1">
        <f t="array" ref="Y131">Common_InputFunctions.Utility_DisplayArrayInTable(Fertiliser_SourceData.Fertiliser_Products_Data3(),FertiliserProducts[[#Headers],[Include or Exclude]], 40)</f>
        <v/>
      </c>
      <c r="Z131" s="65"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4:31" ht="20.100000000000001" customHeight="1" x14ac:dyDescent="0.25">
      <c r="D132" s="65" t="str" cm="1">
        <f t="array" ref="D132">Common_InputFunctions.Utility_DisplayArrayInTable(Fertiliser_SourceData.Fertiliser_Products_Data3(),FertiliserProducts[[#Headers],[Include or Exclude]], 40)</f>
        <v>Yara K-Flow 0-7-36</v>
      </c>
      <c r="E132" s="65" t="str" cm="1">
        <f t="array" ref="E132">Common_InputFunctions.Utility_DisplayArrayInTable(Fertiliser_SourceData.Fertiliser_Products_Data3(),FertiliserProducts[[#Headers],[Include or Exclude]], 40)</f>
        <v/>
      </c>
      <c r="F132" s="65" t="str" cm="1">
        <f t="array" ref="F132">Common_InputFunctions.Utility_DisplayArrayInTable(Fertiliser_SourceData.Fertiliser_Products_Data3(),FertiliserProducts[[#Headers],[Include or Exclude]], 40)</f>
        <v/>
      </c>
      <c r="G132" s="65" t="str" cm="1">
        <f t="array" ref="G132">Common_InputFunctions.Utility_DisplayArrayInTable(Fertiliser_SourceData.Fertiliser_Products_Data3(),FertiliserProducts[[#Headers],[Include or Exclude]], 40)</f>
        <v/>
      </c>
      <c r="H132" s="65" t="str" cm="1">
        <f t="array" ref="H132">Common_InputFunctions.Utility_DisplayArrayInTable(Fertiliser_SourceData.Fertiliser_Products_Data3(),FertiliserProducts[[#Headers],[Include or Exclude]], 40)</f>
        <v/>
      </c>
      <c r="I132" s="65" t="str" cm="1">
        <f t="array" ref="I132">Common_InputFunctions.Utility_DisplayArrayInTable(Fertiliser_SourceData.Fertiliser_Products_Data3(),FertiliserProducts[[#Headers],[Include or Exclude]], 40)</f>
        <v/>
      </c>
      <c r="J132" s="65" t="str" cm="1">
        <f t="array" ref="J132">Common_InputFunctions.Utility_DisplayArrayInTable(Fertiliser_SourceData.Fertiliser_Products_Data3(),FertiliserProducts[[#Headers],[Include or Exclude]], 40)</f>
        <v/>
      </c>
      <c r="K132" s="65" t="str" cm="1">
        <f t="array" ref="K132">Common_InputFunctions.Utility_DisplayArrayInTable(Fertiliser_SourceData.Fertiliser_Products_Data3(),FertiliserProducts[[#Headers],[Include or Exclude]], 40)</f>
        <v/>
      </c>
      <c r="L132" s="65" t="str" cm="1">
        <f t="array" ref="L132">Common_InputFunctions.Utility_DisplayArrayInTable(Fertiliser_SourceData.Fertiliser_Products_Data3(),FertiliserProducts[[#Headers],[Include or Exclude]], 40)</f>
        <v/>
      </c>
      <c r="M132" s="65" t="str" cm="1">
        <f t="array" ref="M132">Common_InputFunctions.Utility_DisplayArrayInTable(Fertiliser_SourceData.Fertiliser_Products_Data3(),FertiliserProducts[[#Headers],[Include or Exclude]], 40)</f>
        <v/>
      </c>
      <c r="N132" s="65" t="str" cm="1">
        <f t="array" ref="N132">Common_InputFunctions.Utility_DisplayArrayInTable(Fertiliser_SourceData.Fertiliser_Products_Data3(),FertiliserProducts[[#Headers],[Include or Exclude]], 40)</f>
        <v/>
      </c>
      <c r="O132" s="65" t="str" cm="1">
        <f t="array" ref="O132">Common_InputFunctions.Utility_DisplayArrayInTable(Fertiliser_SourceData.Fertiliser_Products_Data3(),FertiliserProducts[[#Headers],[Include or Exclude]], 40)</f>
        <v/>
      </c>
      <c r="P132" s="65" t="str" cm="1">
        <f t="array" ref="P132">Common_InputFunctions.Utility_DisplayArrayInTable(Fertiliser_SourceData.Fertiliser_Products_Data3(),FertiliserProducts[[#Headers],[Include or Exclude]], 40)</f>
        <v/>
      </c>
      <c r="Q132" s="65" t="str" cm="1">
        <f t="array" ref="Q132">Common_InputFunctions.Utility_DisplayArrayInTable(Fertiliser_SourceData.Fertiliser_Products_Data3(),FertiliserProducts[[#Headers],[Include or Exclude]], 40)</f>
        <v/>
      </c>
      <c r="R132" s="65" t="str" cm="1">
        <f t="array" ref="R132">Common_InputFunctions.Utility_DisplayArrayInTable(Fertiliser_SourceData.Fertiliser_Products_Data3(),FertiliserProducts[[#Headers],[Include or Exclude]], 40)</f>
        <v/>
      </c>
      <c r="S132" s="65" t="str" cm="1">
        <f t="array" ref="S132">Common_InputFunctions.Utility_DisplayArrayInTable(Fertiliser_SourceData.Fertiliser_Products_Data3(),FertiliserProducts[[#Headers],[Include or Exclude]], 40)</f>
        <v/>
      </c>
      <c r="T132" s="65" t="str" cm="1">
        <f t="array" ref="T132">Common_InputFunctions.Utility_DisplayArrayInTable(Fertiliser_SourceData.Fertiliser_Products_Data3(),FertiliserProducts[[#Headers],[Include or Exclude]], 40)</f>
        <v/>
      </c>
      <c r="U132" s="65" t="str" cm="1">
        <f t="array" ref="U132">Common_InputFunctions.Utility_DisplayArrayInTable(Fertiliser_SourceData.Fertiliser_Products_Data3(),FertiliserProducts[[#Headers],[Include or Exclude]], 40)</f>
        <v/>
      </c>
      <c r="V132" s="65" t="str" cm="1">
        <f t="array" ref="V132">Common_InputFunctions.Utility_DisplayArrayInTable(Fertiliser_SourceData.Fertiliser_Products_Data3(),FertiliserProducts[[#Headers],[Include or Exclude]], 40)</f>
        <v/>
      </c>
      <c r="W132" s="65" t="str" cm="1">
        <f t="array" ref="W132">Common_InputFunctions.Utility_DisplayArrayInTable(Fertiliser_SourceData.Fertiliser_Products_Data3(),FertiliserProducts[[#Headers],[Include or Exclude]], 40)</f>
        <v>Crop Nutrition Solutions (Yara Australia)</v>
      </c>
      <c r="X132" s="65" t="str" cm="1">
        <f t="array" ref="X132">Common_InputFunctions.Utility_DisplayArrayInTable(Fertiliser_SourceData.Fertiliser_Products_Data3(),FertiliserProducts[[#Headers],[Include or Exclude]], 40)</f>
        <v/>
      </c>
      <c r="Y132" s="65" t="str" cm="1">
        <f t="array" ref="Y132">Common_InputFunctions.Utility_DisplayArrayInTable(Fertiliser_SourceData.Fertiliser_Products_Data3(),FertiliserProducts[[#Headers],[Include or Exclude]], 40)</f>
        <v/>
      </c>
      <c r="Z132" s="65"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4:31" ht="20.100000000000001" customHeight="1" x14ac:dyDescent="0.25">
      <c r="D133" s="65" t="str" cm="1">
        <f t="array" ref="D133">Common_InputFunctions.Utility_DisplayArrayInTable(Fertiliser_SourceData.Fertiliser_Products_Data3(),FertiliserProducts[[#Headers],[Include or Exclude]], 40)</f>
        <v>Yara K-Flow 13-0-7</v>
      </c>
      <c r="E133" s="65" t="str" cm="1">
        <f t="array" ref="E133">Common_InputFunctions.Utility_DisplayArrayInTable(Fertiliser_SourceData.Fertiliser_Products_Data3(),FertiliserProducts[[#Headers],[Include or Exclude]], 40)</f>
        <v/>
      </c>
      <c r="F133" s="65" t="str" cm="1">
        <f t="array" ref="F133">Common_InputFunctions.Utility_DisplayArrayInTable(Fertiliser_SourceData.Fertiliser_Products_Data3(),FertiliserProducts[[#Headers],[Include or Exclude]], 40)</f>
        <v/>
      </c>
      <c r="G133" s="65" t="str" cm="1">
        <f t="array" ref="G133">Common_InputFunctions.Utility_DisplayArrayInTable(Fertiliser_SourceData.Fertiliser_Products_Data3(),FertiliserProducts[[#Headers],[Include or Exclude]], 40)</f>
        <v/>
      </c>
      <c r="H133" s="65" t="str" cm="1">
        <f t="array" ref="H133">Common_InputFunctions.Utility_DisplayArrayInTable(Fertiliser_SourceData.Fertiliser_Products_Data3(),FertiliserProducts[[#Headers],[Include or Exclude]], 40)</f>
        <v/>
      </c>
      <c r="I133" s="65" t="str" cm="1">
        <f t="array" ref="I133">Common_InputFunctions.Utility_DisplayArrayInTable(Fertiliser_SourceData.Fertiliser_Products_Data3(),FertiliserProducts[[#Headers],[Include or Exclude]], 40)</f>
        <v/>
      </c>
      <c r="J133" s="65" t="str" cm="1">
        <f t="array" ref="J133">Common_InputFunctions.Utility_DisplayArrayInTable(Fertiliser_SourceData.Fertiliser_Products_Data3(),FertiliserProducts[[#Headers],[Include or Exclude]], 40)</f>
        <v/>
      </c>
      <c r="K133" s="65" t="str" cm="1">
        <f t="array" ref="K133">Common_InputFunctions.Utility_DisplayArrayInTable(Fertiliser_SourceData.Fertiliser_Products_Data3(),FertiliserProducts[[#Headers],[Include or Exclude]], 40)</f>
        <v/>
      </c>
      <c r="L133" s="65" t="str" cm="1">
        <f t="array" ref="L133">Common_InputFunctions.Utility_DisplayArrayInTable(Fertiliser_SourceData.Fertiliser_Products_Data3(),FertiliserProducts[[#Headers],[Include or Exclude]], 40)</f>
        <v/>
      </c>
      <c r="M133" s="65" t="str" cm="1">
        <f t="array" ref="M133">Common_InputFunctions.Utility_DisplayArrayInTable(Fertiliser_SourceData.Fertiliser_Products_Data3(),FertiliserProducts[[#Headers],[Include or Exclude]], 40)</f>
        <v/>
      </c>
      <c r="N133" s="65" t="str" cm="1">
        <f t="array" ref="N133">Common_InputFunctions.Utility_DisplayArrayInTable(Fertiliser_SourceData.Fertiliser_Products_Data3(),FertiliserProducts[[#Headers],[Include or Exclude]], 40)</f>
        <v/>
      </c>
      <c r="O133" s="65" t="str" cm="1">
        <f t="array" ref="O133">Common_InputFunctions.Utility_DisplayArrayInTable(Fertiliser_SourceData.Fertiliser_Products_Data3(),FertiliserProducts[[#Headers],[Include or Exclude]], 40)</f>
        <v/>
      </c>
      <c r="P133" s="65" t="str" cm="1">
        <f t="array" ref="P133">Common_InputFunctions.Utility_DisplayArrayInTable(Fertiliser_SourceData.Fertiliser_Products_Data3(),FertiliserProducts[[#Headers],[Include or Exclude]], 40)</f>
        <v/>
      </c>
      <c r="Q133" s="65" t="str" cm="1">
        <f t="array" ref="Q133">Common_InputFunctions.Utility_DisplayArrayInTable(Fertiliser_SourceData.Fertiliser_Products_Data3(),FertiliserProducts[[#Headers],[Include or Exclude]], 40)</f>
        <v/>
      </c>
      <c r="R133" s="65" t="str" cm="1">
        <f t="array" ref="R133">Common_InputFunctions.Utility_DisplayArrayInTable(Fertiliser_SourceData.Fertiliser_Products_Data3(),FertiliserProducts[[#Headers],[Include or Exclude]], 40)</f>
        <v/>
      </c>
      <c r="S133" s="65" t="str" cm="1">
        <f t="array" ref="S133">Common_InputFunctions.Utility_DisplayArrayInTable(Fertiliser_SourceData.Fertiliser_Products_Data3(),FertiliserProducts[[#Headers],[Include or Exclude]], 40)</f>
        <v/>
      </c>
      <c r="T133" s="65" t="str" cm="1">
        <f t="array" ref="T133">Common_InputFunctions.Utility_DisplayArrayInTable(Fertiliser_SourceData.Fertiliser_Products_Data3(),FertiliserProducts[[#Headers],[Include or Exclude]], 40)</f>
        <v/>
      </c>
      <c r="U133" s="65" t="str" cm="1">
        <f t="array" ref="U133">Common_InputFunctions.Utility_DisplayArrayInTable(Fertiliser_SourceData.Fertiliser_Products_Data3(),FertiliserProducts[[#Headers],[Include or Exclude]], 40)</f>
        <v/>
      </c>
      <c r="V133" s="65" t="str" cm="1">
        <f t="array" ref="V133">Common_InputFunctions.Utility_DisplayArrayInTable(Fertiliser_SourceData.Fertiliser_Products_Data3(),FertiliserProducts[[#Headers],[Include or Exclude]], 40)</f>
        <v/>
      </c>
      <c r="W133" s="65" t="str" cm="1">
        <f t="array" ref="W133">Common_InputFunctions.Utility_DisplayArrayInTable(Fertiliser_SourceData.Fertiliser_Products_Data3(),FertiliserProducts[[#Headers],[Include or Exclude]], 40)</f>
        <v>Crop Nutrition Solutions (Yara Australia)</v>
      </c>
      <c r="X133" s="65" t="str" cm="1">
        <f t="array" ref="X133">Common_InputFunctions.Utility_DisplayArrayInTable(Fertiliser_SourceData.Fertiliser_Products_Data3(),FertiliserProducts[[#Headers],[Include or Exclude]], 40)</f>
        <v/>
      </c>
      <c r="Y133" s="65" t="str" cm="1">
        <f t="array" ref="Y133">Common_InputFunctions.Utility_DisplayArrayInTable(Fertiliser_SourceData.Fertiliser_Products_Data3(),FertiliserProducts[[#Headers],[Include or Exclude]], 40)</f>
        <v/>
      </c>
      <c r="Z133" s="65"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4:31" ht="20.100000000000001" customHeight="1" x14ac:dyDescent="0.25">
      <c r="D134" s="65" t="str" cm="1">
        <f t="array" ref="D134">Common_InputFunctions.Utility_DisplayArrayInTable(Fertiliser_SourceData.Fertiliser_Products_Data3(),FertiliserProducts[[#Headers],[Include or Exclude]], 40)</f>
        <v>Yara K-Flow 4-0-12</v>
      </c>
      <c r="E134" s="65" t="str" cm="1">
        <f t="array" ref="E134">Common_InputFunctions.Utility_DisplayArrayInTable(Fertiliser_SourceData.Fertiliser_Products_Data3(),FertiliserProducts[[#Headers],[Include or Exclude]], 40)</f>
        <v/>
      </c>
      <c r="F134" s="65" t="str" cm="1">
        <f t="array" ref="F134">Common_InputFunctions.Utility_DisplayArrayInTable(Fertiliser_SourceData.Fertiliser_Products_Data3(),FertiliserProducts[[#Headers],[Include or Exclude]], 40)</f>
        <v/>
      </c>
      <c r="G134" s="65" t="str" cm="1">
        <f t="array" ref="G134">Common_InputFunctions.Utility_DisplayArrayInTable(Fertiliser_SourceData.Fertiliser_Products_Data3(),FertiliserProducts[[#Headers],[Include or Exclude]], 40)</f>
        <v/>
      </c>
      <c r="H134" s="65" t="str" cm="1">
        <f t="array" ref="H134">Common_InputFunctions.Utility_DisplayArrayInTable(Fertiliser_SourceData.Fertiliser_Products_Data3(),FertiliserProducts[[#Headers],[Include or Exclude]], 40)</f>
        <v/>
      </c>
      <c r="I134" s="65" t="str" cm="1">
        <f t="array" ref="I134">Common_InputFunctions.Utility_DisplayArrayInTable(Fertiliser_SourceData.Fertiliser_Products_Data3(),FertiliserProducts[[#Headers],[Include or Exclude]], 40)</f>
        <v/>
      </c>
      <c r="J134" s="65" t="str" cm="1">
        <f t="array" ref="J134">Common_InputFunctions.Utility_DisplayArrayInTable(Fertiliser_SourceData.Fertiliser_Products_Data3(),FertiliserProducts[[#Headers],[Include or Exclude]], 40)</f>
        <v/>
      </c>
      <c r="K134" s="65" t="str" cm="1">
        <f t="array" ref="K134">Common_InputFunctions.Utility_DisplayArrayInTable(Fertiliser_SourceData.Fertiliser_Products_Data3(),FertiliserProducts[[#Headers],[Include or Exclude]], 40)</f>
        <v/>
      </c>
      <c r="L134" s="65" t="str" cm="1">
        <f t="array" ref="L134">Common_InputFunctions.Utility_DisplayArrayInTable(Fertiliser_SourceData.Fertiliser_Products_Data3(),FertiliserProducts[[#Headers],[Include or Exclude]], 40)</f>
        <v/>
      </c>
      <c r="M134" s="65" t="str" cm="1">
        <f t="array" ref="M134">Common_InputFunctions.Utility_DisplayArrayInTable(Fertiliser_SourceData.Fertiliser_Products_Data3(),FertiliserProducts[[#Headers],[Include or Exclude]], 40)</f>
        <v/>
      </c>
      <c r="N134" s="65" t="str" cm="1">
        <f t="array" ref="N134">Common_InputFunctions.Utility_DisplayArrayInTable(Fertiliser_SourceData.Fertiliser_Products_Data3(),FertiliserProducts[[#Headers],[Include or Exclude]], 40)</f>
        <v/>
      </c>
      <c r="O134" s="65" t="str" cm="1">
        <f t="array" ref="O134">Common_InputFunctions.Utility_DisplayArrayInTable(Fertiliser_SourceData.Fertiliser_Products_Data3(),FertiliserProducts[[#Headers],[Include or Exclude]], 40)</f>
        <v/>
      </c>
      <c r="P134" s="65" t="str" cm="1">
        <f t="array" ref="P134">Common_InputFunctions.Utility_DisplayArrayInTable(Fertiliser_SourceData.Fertiliser_Products_Data3(),FertiliserProducts[[#Headers],[Include or Exclude]], 40)</f>
        <v/>
      </c>
      <c r="Q134" s="65" t="str" cm="1">
        <f t="array" ref="Q134">Common_InputFunctions.Utility_DisplayArrayInTable(Fertiliser_SourceData.Fertiliser_Products_Data3(),FertiliserProducts[[#Headers],[Include or Exclude]], 40)</f>
        <v/>
      </c>
      <c r="R134" s="65" t="str" cm="1">
        <f t="array" ref="R134">Common_InputFunctions.Utility_DisplayArrayInTable(Fertiliser_SourceData.Fertiliser_Products_Data3(),FertiliserProducts[[#Headers],[Include or Exclude]], 40)</f>
        <v/>
      </c>
      <c r="S134" s="65" t="str" cm="1">
        <f t="array" ref="S134">Common_InputFunctions.Utility_DisplayArrayInTable(Fertiliser_SourceData.Fertiliser_Products_Data3(),FertiliserProducts[[#Headers],[Include or Exclude]], 40)</f>
        <v/>
      </c>
      <c r="T134" s="65" t="str" cm="1">
        <f t="array" ref="T134">Common_InputFunctions.Utility_DisplayArrayInTable(Fertiliser_SourceData.Fertiliser_Products_Data3(),FertiliserProducts[[#Headers],[Include or Exclude]], 40)</f>
        <v/>
      </c>
      <c r="U134" s="65" t="str" cm="1">
        <f t="array" ref="U134">Common_InputFunctions.Utility_DisplayArrayInTable(Fertiliser_SourceData.Fertiliser_Products_Data3(),FertiliserProducts[[#Headers],[Include or Exclude]], 40)</f>
        <v/>
      </c>
      <c r="V134" s="65" t="str" cm="1">
        <f t="array" ref="V134">Common_InputFunctions.Utility_DisplayArrayInTable(Fertiliser_SourceData.Fertiliser_Products_Data3(),FertiliserProducts[[#Headers],[Include or Exclude]], 40)</f>
        <v/>
      </c>
      <c r="W134" s="65" t="str" cm="1">
        <f t="array" ref="W134">Common_InputFunctions.Utility_DisplayArrayInTable(Fertiliser_SourceData.Fertiliser_Products_Data3(),FertiliserProducts[[#Headers],[Include or Exclude]], 40)</f>
        <v>Crop Nutrition Solutions (Yara Australia)</v>
      </c>
      <c r="X134" s="65" t="str" cm="1">
        <f t="array" ref="X134">Common_InputFunctions.Utility_DisplayArrayInTable(Fertiliser_SourceData.Fertiliser_Products_Data3(),FertiliserProducts[[#Headers],[Include or Exclude]], 40)</f>
        <v/>
      </c>
      <c r="Y134" s="65" t="str" cm="1">
        <f t="array" ref="Y134">Common_InputFunctions.Utility_DisplayArrayInTable(Fertiliser_SourceData.Fertiliser_Products_Data3(),FertiliserProducts[[#Headers],[Include or Exclude]], 40)</f>
        <v/>
      </c>
      <c r="Z134" s="65"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4:31" ht="20.100000000000001" customHeight="1" x14ac:dyDescent="0.25">
      <c r="D135" s="65" t="str" cm="1">
        <f t="array" ref="D135">Common_InputFunctions.Utility_DisplayArrayInTable(Fertiliser_SourceData.Fertiliser_Products_Data3(),FertiliserProducts[[#Headers],[Include or Exclude]], 40)</f>
        <v>Yara Liquids MICRO-SUL</v>
      </c>
      <c r="E135" s="65" t="str" cm="1">
        <f t="array" ref="E135">Common_InputFunctions.Utility_DisplayArrayInTable(Fertiliser_SourceData.Fertiliser_Products_Data3(),FertiliserProducts[[#Headers],[Include or Exclude]], 40)</f>
        <v/>
      </c>
      <c r="F135" s="65" t="str" cm="1">
        <f t="array" ref="F135">Common_InputFunctions.Utility_DisplayArrayInTable(Fertiliser_SourceData.Fertiliser_Products_Data3(),FertiliserProducts[[#Headers],[Include or Exclude]], 40)</f>
        <v/>
      </c>
      <c r="G135" s="65" t="str" cm="1">
        <f t="array" ref="G135">Common_InputFunctions.Utility_DisplayArrayInTable(Fertiliser_SourceData.Fertiliser_Products_Data3(),FertiliserProducts[[#Headers],[Include or Exclude]], 40)</f>
        <v/>
      </c>
      <c r="H135" s="65" t="str" cm="1">
        <f t="array" ref="H135">Common_InputFunctions.Utility_DisplayArrayInTable(Fertiliser_SourceData.Fertiliser_Products_Data3(),FertiliserProducts[[#Headers],[Include or Exclude]], 40)</f>
        <v/>
      </c>
      <c r="I135" s="65" t="str" cm="1">
        <f t="array" ref="I135">Common_InputFunctions.Utility_DisplayArrayInTable(Fertiliser_SourceData.Fertiliser_Products_Data3(),FertiliserProducts[[#Headers],[Include or Exclude]], 40)</f>
        <v/>
      </c>
      <c r="J135" s="65" t="str" cm="1">
        <f t="array" ref="J135">Common_InputFunctions.Utility_DisplayArrayInTable(Fertiliser_SourceData.Fertiliser_Products_Data3(),FertiliserProducts[[#Headers],[Include or Exclude]], 40)</f>
        <v/>
      </c>
      <c r="K135" s="65" t="str" cm="1">
        <f t="array" ref="K135">Common_InputFunctions.Utility_DisplayArrayInTable(Fertiliser_SourceData.Fertiliser_Products_Data3(),FertiliserProducts[[#Headers],[Include or Exclude]], 40)</f>
        <v/>
      </c>
      <c r="L135" s="65" t="str" cm="1">
        <f t="array" ref="L135">Common_InputFunctions.Utility_DisplayArrayInTable(Fertiliser_SourceData.Fertiliser_Products_Data3(),FertiliserProducts[[#Headers],[Include or Exclude]], 40)</f>
        <v/>
      </c>
      <c r="M135" s="65" t="str" cm="1">
        <f t="array" ref="M135">Common_InputFunctions.Utility_DisplayArrayInTable(Fertiliser_SourceData.Fertiliser_Products_Data3(),FertiliserProducts[[#Headers],[Include or Exclude]], 40)</f>
        <v/>
      </c>
      <c r="N135" s="65" t="str" cm="1">
        <f t="array" ref="N135">Common_InputFunctions.Utility_DisplayArrayInTable(Fertiliser_SourceData.Fertiliser_Products_Data3(),FertiliserProducts[[#Headers],[Include or Exclude]], 40)</f>
        <v/>
      </c>
      <c r="O135" s="65" t="str" cm="1">
        <f t="array" ref="O135">Common_InputFunctions.Utility_DisplayArrayInTable(Fertiliser_SourceData.Fertiliser_Products_Data3(),FertiliserProducts[[#Headers],[Include or Exclude]], 40)</f>
        <v/>
      </c>
      <c r="P135" s="65" t="str" cm="1">
        <f t="array" ref="P135">Common_InputFunctions.Utility_DisplayArrayInTable(Fertiliser_SourceData.Fertiliser_Products_Data3(),FertiliserProducts[[#Headers],[Include or Exclude]], 40)</f>
        <v/>
      </c>
      <c r="Q135" s="65" t="str" cm="1">
        <f t="array" ref="Q135">Common_InputFunctions.Utility_DisplayArrayInTable(Fertiliser_SourceData.Fertiliser_Products_Data3(),FertiliserProducts[[#Headers],[Include or Exclude]], 40)</f>
        <v/>
      </c>
      <c r="R135" s="65" t="str" cm="1">
        <f t="array" ref="R135">Common_InputFunctions.Utility_DisplayArrayInTable(Fertiliser_SourceData.Fertiliser_Products_Data3(),FertiliserProducts[[#Headers],[Include or Exclude]], 40)</f>
        <v/>
      </c>
      <c r="S135" s="65" t="str" cm="1">
        <f t="array" ref="S135">Common_InputFunctions.Utility_DisplayArrayInTable(Fertiliser_SourceData.Fertiliser_Products_Data3(),FertiliserProducts[[#Headers],[Include or Exclude]], 40)</f>
        <v/>
      </c>
      <c r="T135" s="65" t="str" cm="1">
        <f t="array" ref="T135">Common_InputFunctions.Utility_DisplayArrayInTable(Fertiliser_SourceData.Fertiliser_Products_Data3(),FertiliserProducts[[#Headers],[Include or Exclude]], 40)</f>
        <v/>
      </c>
      <c r="U135" s="65" t="str" cm="1">
        <f t="array" ref="U135">Common_InputFunctions.Utility_DisplayArrayInTable(Fertiliser_SourceData.Fertiliser_Products_Data3(),FertiliserProducts[[#Headers],[Include or Exclude]], 40)</f>
        <v/>
      </c>
      <c r="V135" s="65" t="str" cm="1">
        <f t="array" ref="V135">Common_InputFunctions.Utility_DisplayArrayInTable(Fertiliser_SourceData.Fertiliser_Products_Data3(),FertiliserProducts[[#Headers],[Include or Exclude]], 40)</f>
        <v/>
      </c>
      <c r="W135" s="65" t="str" cm="1">
        <f t="array" ref="W135">Common_InputFunctions.Utility_DisplayArrayInTable(Fertiliser_SourceData.Fertiliser_Products_Data3(),FertiliserProducts[[#Headers],[Include or Exclude]], 40)</f>
        <v>Crop Nutrition Solutions (Yara Australia)</v>
      </c>
      <c r="X135" s="65" t="str" cm="1">
        <f t="array" ref="X135">Common_InputFunctions.Utility_DisplayArrayInTable(Fertiliser_SourceData.Fertiliser_Products_Data3(),FertiliserProducts[[#Headers],[Include or Exclude]], 40)</f>
        <v/>
      </c>
      <c r="Y135" s="65" t="str" cm="1">
        <f t="array" ref="Y135">Common_InputFunctions.Utility_DisplayArrayInTable(Fertiliser_SourceData.Fertiliser_Products_Data3(),FertiliserProducts[[#Headers],[Include or Exclude]], 40)</f>
        <v/>
      </c>
      <c r="Z135" s="65"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4:31" ht="20.100000000000001" customHeight="1" x14ac:dyDescent="0.25">
      <c r="D136" s="65" t="str" cm="1">
        <f t="array" ref="D136">Common_InputFunctions.Utility_DisplayArrayInTable(Fertiliser_SourceData.Fertiliser_Products_Data3(),FertiliserProducts[[#Headers],[Include or Exclude]], 40)</f>
        <v>Yara Liquids N24</v>
      </c>
      <c r="E136" s="65" t="str" cm="1">
        <f t="array" ref="E136">Common_InputFunctions.Utility_DisplayArrayInTable(Fertiliser_SourceData.Fertiliser_Products_Data3(),FertiliserProducts[[#Headers],[Include or Exclude]], 40)</f>
        <v/>
      </c>
      <c r="F136" s="65" t="str" cm="1">
        <f t="array" ref="F136">Common_InputFunctions.Utility_DisplayArrayInTable(Fertiliser_SourceData.Fertiliser_Products_Data3(),FertiliserProducts[[#Headers],[Include or Exclude]], 40)</f>
        <v/>
      </c>
      <c r="G136" s="65" t="str" cm="1">
        <f t="array" ref="G136">Common_InputFunctions.Utility_DisplayArrayInTable(Fertiliser_SourceData.Fertiliser_Products_Data3(),FertiliserProducts[[#Headers],[Include or Exclude]], 40)</f>
        <v/>
      </c>
      <c r="H136" s="65" t="str" cm="1">
        <f t="array" ref="H136">Common_InputFunctions.Utility_DisplayArrayInTable(Fertiliser_SourceData.Fertiliser_Products_Data3(),FertiliserProducts[[#Headers],[Include or Exclude]], 40)</f>
        <v/>
      </c>
      <c r="I136" s="65" t="str" cm="1">
        <f t="array" ref="I136">Common_InputFunctions.Utility_DisplayArrayInTable(Fertiliser_SourceData.Fertiliser_Products_Data3(),FertiliserProducts[[#Headers],[Include or Exclude]], 40)</f>
        <v/>
      </c>
      <c r="J136" s="65" t="str" cm="1">
        <f t="array" ref="J136">Common_InputFunctions.Utility_DisplayArrayInTable(Fertiliser_SourceData.Fertiliser_Products_Data3(),FertiliserProducts[[#Headers],[Include or Exclude]], 40)</f>
        <v/>
      </c>
      <c r="K136" s="65" t="str" cm="1">
        <f t="array" ref="K136">Common_InputFunctions.Utility_DisplayArrayInTable(Fertiliser_SourceData.Fertiliser_Products_Data3(),FertiliserProducts[[#Headers],[Include or Exclude]], 40)</f>
        <v/>
      </c>
      <c r="L136" s="65" t="str" cm="1">
        <f t="array" ref="L136">Common_InputFunctions.Utility_DisplayArrayInTable(Fertiliser_SourceData.Fertiliser_Products_Data3(),FertiliserProducts[[#Headers],[Include or Exclude]], 40)</f>
        <v/>
      </c>
      <c r="M136" s="65" t="str" cm="1">
        <f t="array" ref="M136">Common_InputFunctions.Utility_DisplayArrayInTable(Fertiliser_SourceData.Fertiliser_Products_Data3(),FertiliserProducts[[#Headers],[Include or Exclude]], 40)</f>
        <v/>
      </c>
      <c r="N136" s="65" t="str" cm="1">
        <f t="array" ref="N136">Common_InputFunctions.Utility_DisplayArrayInTable(Fertiliser_SourceData.Fertiliser_Products_Data3(),FertiliserProducts[[#Headers],[Include or Exclude]], 40)</f>
        <v/>
      </c>
      <c r="O136" s="65" t="str" cm="1">
        <f t="array" ref="O136">Common_InputFunctions.Utility_DisplayArrayInTable(Fertiliser_SourceData.Fertiliser_Products_Data3(),FertiliserProducts[[#Headers],[Include or Exclude]], 40)</f>
        <v/>
      </c>
      <c r="P136" s="65" t="str" cm="1">
        <f t="array" ref="P136">Common_InputFunctions.Utility_DisplayArrayInTable(Fertiliser_SourceData.Fertiliser_Products_Data3(),FertiliserProducts[[#Headers],[Include or Exclude]], 40)</f>
        <v/>
      </c>
      <c r="Q136" s="65" t="str" cm="1">
        <f t="array" ref="Q136">Common_InputFunctions.Utility_DisplayArrayInTable(Fertiliser_SourceData.Fertiliser_Products_Data3(),FertiliserProducts[[#Headers],[Include or Exclude]], 40)</f>
        <v/>
      </c>
      <c r="R136" s="65" t="str" cm="1">
        <f t="array" ref="R136">Common_InputFunctions.Utility_DisplayArrayInTable(Fertiliser_SourceData.Fertiliser_Products_Data3(),FertiliserProducts[[#Headers],[Include or Exclude]], 40)</f>
        <v/>
      </c>
      <c r="S136" s="65" t="str" cm="1">
        <f t="array" ref="S136">Common_InputFunctions.Utility_DisplayArrayInTable(Fertiliser_SourceData.Fertiliser_Products_Data3(),FertiliserProducts[[#Headers],[Include or Exclude]], 40)</f>
        <v/>
      </c>
      <c r="T136" s="65" t="str" cm="1">
        <f t="array" ref="T136">Common_InputFunctions.Utility_DisplayArrayInTable(Fertiliser_SourceData.Fertiliser_Products_Data3(),FertiliserProducts[[#Headers],[Include or Exclude]], 40)</f>
        <v/>
      </c>
      <c r="U136" s="65" t="str" cm="1">
        <f t="array" ref="U136">Common_InputFunctions.Utility_DisplayArrayInTable(Fertiliser_SourceData.Fertiliser_Products_Data3(),FertiliserProducts[[#Headers],[Include or Exclude]], 40)</f>
        <v/>
      </c>
      <c r="V136" s="65" t="str" cm="1">
        <f t="array" ref="V136">Common_InputFunctions.Utility_DisplayArrayInTable(Fertiliser_SourceData.Fertiliser_Products_Data3(),FertiliserProducts[[#Headers],[Include or Exclude]], 40)</f>
        <v/>
      </c>
      <c r="W136" s="65" t="str" cm="1">
        <f t="array" ref="W136">Common_InputFunctions.Utility_DisplayArrayInTable(Fertiliser_SourceData.Fertiliser_Products_Data3(),FertiliserProducts[[#Headers],[Include or Exclude]], 40)</f>
        <v>Crop Nutrition Solutions (Yara Australia)</v>
      </c>
      <c r="X136" s="65" t="str" cm="1">
        <f t="array" ref="X136">Common_InputFunctions.Utility_DisplayArrayInTable(Fertiliser_SourceData.Fertiliser_Products_Data3(),FertiliserProducts[[#Headers],[Include or Exclude]], 40)</f>
        <v/>
      </c>
      <c r="Y136" s="65" t="str" cm="1">
        <f t="array" ref="Y136">Common_InputFunctions.Utility_DisplayArrayInTable(Fertiliser_SourceData.Fertiliser_Products_Data3(),FertiliserProducts[[#Headers],[Include or Exclude]], 40)</f>
        <v/>
      </c>
      <c r="Z136" s="65"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4:31" ht="20.100000000000001" customHeight="1" x14ac:dyDescent="0.25">
      <c r="D137" s="65" t="str" cm="1">
        <f t="array" ref="D137">Common_InputFunctions.Utility_DisplayArrayInTable(Fertiliser_SourceData.Fertiliser_Products_Data3(),FertiliserProducts[[#Headers],[Include or Exclude]], 40)</f>
        <v>Yara Liquids N25</v>
      </c>
      <c r="E137" s="65" t="str" cm="1">
        <f t="array" ref="E137">Common_InputFunctions.Utility_DisplayArrayInTable(Fertiliser_SourceData.Fertiliser_Products_Data3(),FertiliserProducts[[#Headers],[Include or Exclude]], 40)</f>
        <v/>
      </c>
      <c r="F137" s="65" t="str" cm="1">
        <f t="array" ref="F137">Common_InputFunctions.Utility_DisplayArrayInTable(Fertiliser_SourceData.Fertiliser_Products_Data3(),FertiliserProducts[[#Headers],[Include or Exclude]], 40)</f>
        <v/>
      </c>
      <c r="G137" s="65" t="str" cm="1">
        <f t="array" ref="G137">Common_InputFunctions.Utility_DisplayArrayInTable(Fertiliser_SourceData.Fertiliser_Products_Data3(),FertiliserProducts[[#Headers],[Include or Exclude]], 40)</f>
        <v/>
      </c>
      <c r="H137" s="65" t="str" cm="1">
        <f t="array" ref="H137">Common_InputFunctions.Utility_DisplayArrayInTable(Fertiliser_SourceData.Fertiliser_Products_Data3(),FertiliserProducts[[#Headers],[Include or Exclude]], 40)</f>
        <v/>
      </c>
      <c r="I137" s="65" t="str" cm="1">
        <f t="array" ref="I137">Common_InputFunctions.Utility_DisplayArrayInTable(Fertiliser_SourceData.Fertiliser_Products_Data3(),FertiliserProducts[[#Headers],[Include or Exclude]], 40)</f>
        <v/>
      </c>
      <c r="J137" s="65" t="str" cm="1">
        <f t="array" ref="J137">Common_InputFunctions.Utility_DisplayArrayInTable(Fertiliser_SourceData.Fertiliser_Products_Data3(),FertiliserProducts[[#Headers],[Include or Exclude]], 40)</f>
        <v/>
      </c>
      <c r="K137" s="65" t="str" cm="1">
        <f t="array" ref="K137">Common_InputFunctions.Utility_DisplayArrayInTable(Fertiliser_SourceData.Fertiliser_Products_Data3(),FertiliserProducts[[#Headers],[Include or Exclude]], 40)</f>
        <v/>
      </c>
      <c r="L137" s="65" t="str" cm="1">
        <f t="array" ref="L137">Common_InputFunctions.Utility_DisplayArrayInTable(Fertiliser_SourceData.Fertiliser_Products_Data3(),FertiliserProducts[[#Headers],[Include or Exclude]], 40)</f>
        <v/>
      </c>
      <c r="M137" s="65" t="str" cm="1">
        <f t="array" ref="M137">Common_InputFunctions.Utility_DisplayArrayInTable(Fertiliser_SourceData.Fertiliser_Products_Data3(),FertiliserProducts[[#Headers],[Include or Exclude]], 40)</f>
        <v/>
      </c>
      <c r="N137" s="65" t="str" cm="1">
        <f t="array" ref="N137">Common_InputFunctions.Utility_DisplayArrayInTable(Fertiliser_SourceData.Fertiliser_Products_Data3(),FertiliserProducts[[#Headers],[Include or Exclude]], 40)</f>
        <v/>
      </c>
      <c r="O137" s="65" t="str" cm="1">
        <f t="array" ref="O137">Common_InputFunctions.Utility_DisplayArrayInTable(Fertiliser_SourceData.Fertiliser_Products_Data3(),FertiliserProducts[[#Headers],[Include or Exclude]], 40)</f>
        <v/>
      </c>
      <c r="P137" s="65" t="str" cm="1">
        <f t="array" ref="P137">Common_InputFunctions.Utility_DisplayArrayInTable(Fertiliser_SourceData.Fertiliser_Products_Data3(),FertiliserProducts[[#Headers],[Include or Exclude]], 40)</f>
        <v/>
      </c>
      <c r="Q137" s="65" t="str" cm="1">
        <f t="array" ref="Q137">Common_InputFunctions.Utility_DisplayArrayInTable(Fertiliser_SourceData.Fertiliser_Products_Data3(),FertiliserProducts[[#Headers],[Include or Exclude]], 40)</f>
        <v/>
      </c>
      <c r="R137" s="65" t="str" cm="1">
        <f t="array" ref="R137">Common_InputFunctions.Utility_DisplayArrayInTable(Fertiliser_SourceData.Fertiliser_Products_Data3(),FertiliserProducts[[#Headers],[Include or Exclude]], 40)</f>
        <v/>
      </c>
      <c r="S137" s="65" t="str" cm="1">
        <f t="array" ref="S137">Common_InputFunctions.Utility_DisplayArrayInTable(Fertiliser_SourceData.Fertiliser_Products_Data3(),FertiliserProducts[[#Headers],[Include or Exclude]], 40)</f>
        <v/>
      </c>
      <c r="T137" s="65" t="str" cm="1">
        <f t="array" ref="T137">Common_InputFunctions.Utility_DisplayArrayInTable(Fertiliser_SourceData.Fertiliser_Products_Data3(),FertiliserProducts[[#Headers],[Include or Exclude]], 40)</f>
        <v/>
      </c>
      <c r="U137" s="65" t="str" cm="1">
        <f t="array" ref="U137">Common_InputFunctions.Utility_DisplayArrayInTable(Fertiliser_SourceData.Fertiliser_Products_Data3(),FertiliserProducts[[#Headers],[Include or Exclude]], 40)</f>
        <v/>
      </c>
      <c r="V137" s="65" t="str" cm="1">
        <f t="array" ref="V137">Common_InputFunctions.Utility_DisplayArrayInTable(Fertiliser_SourceData.Fertiliser_Products_Data3(),FertiliserProducts[[#Headers],[Include or Exclude]], 40)</f>
        <v/>
      </c>
      <c r="W137" s="65" t="str" cm="1">
        <f t="array" ref="W137">Common_InputFunctions.Utility_DisplayArrayInTable(Fertiliser_SourceData.Fertiliser_Products_Data3(),FertiliserProducts[[#Headers],[Include or Exclude]], 40)</f>
        <v>Crop Nutrition Solutions (Yara Australia)</v>
      </c>
      <c r="X137" s="65" t="str" cm="1">
        <f t="array" ref="X137">Common_InputFunctions.Utility_DisplayArrayInTable(Fertiliser_SourceData.Fertiliser_Products_Data3(),FertiliserProducts[[#Headers],[Include or Exclude]], 40)</f>
        <v/>
      </c>
      <c r="Y137" s="65" t="str" cm="1">
        <f t="array" ref="Y137">Common_InputFunctions.Utility_DisplayArrayInTable(Fertiliser_SourceData.Fertiliser_Products_Data3(),FertiliserProducts[[#Headers],[Include or Exclude]], 40)</f>
        <v/>
      </c>
      <c r="Z137" s="65"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4:31" ht="20.100000000000001" customHeight="1" x14ac:dyDescent="0.25">
      <c r="D138" s="65" t="str" cm="1">
        <f t="array" ref="D138">Common_InputFunctions.Utility_DisplayArrayInTable(Fertiliser_SourceData.Fertiliser_Products_Data3(),FertiliserProducts[[#Headers],[Include or Exclude]], 40)</f>
        <v>Yara Liquids N26</v>
      </c>
      <c r="E138" s="65" t="str" cm="1">
        <f t="array" ref="E138">Common_InputFunctions.Utility_DisplayArrayInTable(Fertiliser_SourceData.Fertiliser_Products_Data3(),FertiliserProducts[[#Headers],[Include or Exclude]], 40)</f>
        <v/>
      </c>
      <c r="F138" s="65" t="str" cm="1">
        <f t="array" ref="F138">Common_InputFunctions.Utility_DisplayArrayInTable(Fertiliser_SourceData.Fertiliser_Products_Data3(),FertiliserProducts[[#Headers],[Include or Exclude]], 40)</f>
        <v/>
      </c>
      <c r="G138" s="65" t="str" cm="1">
        <f t="array" ref="G138">Common_InputFunctions.Utility_DisplayArrayInTable(Fertiliser_SourceData.Fertiliser_Products_Data3(),FertiliserProducts[[#Headers],[Include or Exclude]], 40)</f>
        <v/>
      </c>
      <c r="H138" s="65" t="str" cm="1">
        <f t="array" ref="H138">Common_InputFunctions.Utility_DisplayArrayInTable(Fertiliser_SourceData.Fertiliser_Products_Data3(),FertiliserProducts[[#Headers],[Include or Exclude]], 40)</f>
        <v/>
      </c>
      <c r="I138" s="65" t="str" cm="1">
        <f t="array" ref="I138">Common_InputFunctions.Utility_DisplayArrayInTable(Fertiliser_SourceData.Fertiliser_Products_Data3(),FertiliserProducts[[#Headers],[Include or Exclude]], 40)</f>
        <v/>
      </c>
      <c r="J138" s="65" t="str" cm="1">
        <f t="array" ref="J138">Common_InputFunctions.Utility_DisplayArrayInTable(Fertiliser_SourceData.Fertiliser_Products_Data3(),FertiliserProducts[[#Headers],[Include or Exclude]], 40)</f>
        <v/>
      </c>
      <c r="K138" s="65" t="str" cm="1">
        <f t="array" ref="K138">Common_InputFunctions.Utility_DisplayArrayInTable(Fertiliser_SourceData.Fertiliser_Products_Data3(),FertiliserProducts[[#Headers],[Include or Exclude]], 40)</f>
        <v/>
      </c>
      <c r="L138" s="65" t="str" cm="1">
        <f t="array" ref="L138">Common_InputFunctions.Utility_DisplayArrayInTable(Fertiliser_SourceData.Fertiliser_Products_Data3(),FertiliserProducts[[#Headers],[Include or Exclude]], 40)</f>
        <v/>
      </c>
      <c r="M138" s="65" t="str" cm="1">
        <f t="array" ref="M138">Common_InputFunctions.Utility_DisplayArrayInTable(Fertiliser_SourceData.Fertiliser_Products_Data3(),FertiliserProducts[[#Headers],[Include or Exclude]], 40)</f>
        <v/>
      </c>
      <c r="N138" s="65" t="str" cm="1">
        <f t="array" ref="N138">Common_InputFunctions.Utility_DisplayArrayInTable(Fertiliser_SourceData.Fertiliser_Products_Data3(),FertiliserProducts[[#Headers],[Include or Exclude]], 40)</f>
        <v/>
      </c>
      <c r="O138" s="65" t="str" cm="1">
        <f t="array" ref="O138">Common_InputFunctions.Utility_DisplayArrayInTable(Fertiliser_SourceData.Fertiliser_Products_Data3(),FertiliserProducts[[#Headers],[Include or Exclude]], 40)</f>
        <v/>
      </c>
      <c r="P138" s="65" t="str" cm="1">
        <f t="array" ref="P138">Common_InputFunctions.Utility_DisplayArrayInTable(Fertiliser_SourceData.Fertiliser_Products_Data3(),FertiliserProducts[[#Headers],[Include or Exclude]], 40)</f>
        <v/>
      </c>
      <c r="Q138" s="65" t="str" cm="1">
        <f t="array" ref="Q138">Common_InputFunctions.Utility_DisplayArrayInTable(Fertiliser_SourceData.Fertiliser_Products_Data3(),FertiliserProducts[[#Headers],[Include or Exclude]], 40)</f>
        <v/>
      </c>
      <c r="R138" s="65" t="str" cm="1">
        <f t="array" ref="R138">Common_InputFunctions.Utility_DisplayArrayInTable(Fertiliser_SourceData.Fertiliser_Products_Data3(),FertiliserProducts[[#Headers],[Include or Exclude]], 40)</f>
        <v/>
      </c>
      <c r="S138" s="65" t="str" cm="1">
        <f t="array" ref="S138">Common_InputFunctions.Utility_DisplayArrayInTable(Fertiliser_SourceData.Fertiliser_Products_Data3(),FertiliserProducts[[#Headers],[Include or Exclude]], 40)</f>
        <v/>
      </c>
      <c r="T138" s="65" t="str" cm="1">
        <f t="array" ref="T138">Common_InputFunctions.Utility_DisplayArrayInTable(Fertiliser_SourceData.Fertiliser_Products_Data3(),FertiliserProducts[[#Headers],[Include or Exclude]], 40)</f>
        <v/>
      </c>
      <c r="U138" s="65" t="str" cm="1">
        <f t="array" ref="U138">Common_InputFunctions.Utility_DisplayArrayInTable(Fertiliser_SourceData.Fertiliser_Products_Data3(),FertiliserProducts[[#Headers],[Include or Exclude]], 40)</f>
        <v/>
      </c>
      <c r="V138" s="65" t="str" cm="1">
        <f t="array" ref="V138">Common_InputFunctions.Utility_DisplayArrayInTable(Fertiliser_SourceData.Fertiliser_Products_Data3(),FertiliserProducts[[#Headers],[Include or Exclude]], 40)</f>
        <v/>
      </c>
      <c r="W138" s="65" t="str" cm="1">
        <f t="array" ref="W138">Common_InputFunctions.Utility_DisplayArrayInTable(Fertiliser_SourceData.Fertiliser_Products_Data3(),FertiliserProducts[[#Headers],[Include or Exclude]], 40)</f>
        <v>Crop Nutrition Solutions (Yara Australia)</v>
      </c>
      <c r="X138" s="65" t="str" cm="1">
        <f t="array" ref="X138">Common_InputFunctions.Utility_DisplayArrayInTable(Fertiliser_SourceData.Fertiliser_Products_Data3(),FertiliserProducts[[#Headers],[Include or Exclude]], 40)</f>
        <v/>
      </c>
      <c r="Y138" s="65" t="str" cm="1">
        <f t="array" ref="Y138">Common_InputFunctions.Utility_DisplayArrayInTable(Fertiliser_SourceData.Fertiliser_Products_Data3(),FertiliserProducts[[#Headers],[Include or Exclude]], 40)</f>
        <v/>
      </c>
      <c r="Z138" s="65"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4:31" ht="20.100000000000001" customHeight="1" x14ac:dyDescent="0.25">
      <c r="D139" s="65" t="str" cm="1">
        <f t="array" ref="D139">Common_InputFunctions.Utility_DisplayArrayInTable(Fertiliser_SourceData.Fertiliser_Products_Data3(),FertiliserProducts[[#Headers],[Include or Exclude]], 40)</f>
        <v>Yara Liquids N42</v>
      </c>
      <c r="E139" s="65" t="str" cm="1">
        <f t="array" ref="E139">Common_InputFunctions.Utility_DisplayArrayInTable(Fertiliser_SourceData.Fertiliser_Products_Data3(),FertiliserProducts[[#Headers],[Include or Exclude]], 40)</f>
        <v/>
      </c>
      <c r="F139" s="65" t="str" cm="1">
        <f t="array" ref="F139">Common_InputFunctions.Utility_DisplayArrayInTable(Fertiliser_SourceData.Fertiliser_Products_Data3(),FertiliserProducts[[#Headers],[Include or Exclude]], 40)</f>
        <v/>
      </c>
      <c r="G139" s="65" t="str" cm="1">
        <f t="array" ref="G139">Common_InputFunctions.Utility_DisplayArrayInTable(Fertiliser_SourceData.Fertiliser_Products_Data3(),FertiliserProducts[[#Headers],[Include or Exclude]], 40)</f>
        <v/>
      </c>
      <c r="H139" s="65" t="str" cm="1">
        <f t="array" ref="H139">Common_InputFunctions.Utility_DisplayArrayInTable(Fertiliser_SourceData.Fertiliser_Products_Data3(),FertiliserProducts[[#Headers],[Include or Exclude]], 40)</f>
        <v/>
      </c>
      <c r="I139" s="65" t="str" cm="1">
        <f t="array" ref="I139">Common_InputFunctions.Utility_DisplayArrayInTable(Fertiliser_SourceData.Fertiliser_Products_Data3(),FertiliserProducts[[#Headers],[Include or Exclude]], 40)</f>
        <v/>
      </c>
      <c r="J139" s="65" t="str" cm="1">
        <f t="array" ref="J139">Common_InputFunctions.Utility_DisplayArrayInTable(Fertiliser_SourceData.Fertiliser_Products_Data3(),FertiliserProducts[[#Headers],[Include or Exclude]], 40)</f>
        <v/>
      </c>
      <c r="K139" s="65" t="str" cm="1">
        <f t="array" ref="K139">Common_InputFunctions.Utility_DisplayArrayInTable(Fertiliser_SourceData.Fertiliser_Products_Data3(),FertiliserProducts[[#Headers],[Include or Exclude]], 40)</f>
        <v/>
      </c>
      <c r="L139" s="65" t="str" cm="1">
        <f t="array" ref="L139">Common_InputFunctions.Utility_DisplayArrayInTable(Fertiliser_SourceData.Fertiliser_Products_Data3(),FertiliserProducts[[#Headers],[Include or Exclude]], 40)</f>
        <v/>
      </c>
      <c r="M139" s="65" t="str" cm="1">
        <f t="array" ref="M139">Common_InputFunctions.Utility_DisplayArrayInTable(Fertiliser_SourceData.Fertiliser_Products_Data3(),FertiliserProducts[[#Headers],[Include or Exclude]], 40)</f>
        <v/>
      </c>
      <c r="N139" s="65" t="str" cm="1">
        <f t="array" ref="N139">Common_InputFunctions.Utility_DisplayArrayInTable(Fertiliser_SourceData.Fertiliser_Products_Data3(),FertiliserProducts[[#Headers],[Include or Exclude]], 40)</f>
        <v/>
      </c>
      <c r="O139" s="65" t="str" cm="1">
        <f t="array" ref="O139">Common_InputFunctions.Utility_DisplayArrayInTable(Fertiliser_SourceData.Fertiliser_Products_Data3(),FertiliserProducts[[#Headers],[Include or Exclude]], 40)</f>
        <v/>
      </c>
      <c r="P139" s="65" t="str" cm="1">
        <f t="array" ref="P139">Common_InputFunctions.Utility_DisplayArrayInTable(Fertiliser_SourceData.Fertiliser_Products_Data3(),FertiliserProducts[[#Headers],[Include or Exclude]], 40)</f>
        <v/>
      </c>
      <c r="Q139" s="65" t="str" cm="1">
        <f t="array" ref="Q139">Common_InputFunctions.Utility_DisplayArrayInTable(Fertiliser_SourceData.Fertiliser_Products_Data3(),FertiliserProducts[[#Headers],[Include or Exclude]], 40)</f>
        <v/>
      </c>
      <c r="R139" s="65" t="str" cm="1">
        <f t="array" ref="R139">Common_InputFunctions.Utility_DisplayArrayInTable(Fertiliser_SourceData.Fertiliser_Products_Data3(),FertiliserProducts[[#Headers],[Include or Exclude]], 40)</f>
        <v/>
      </c>
      <c r="S139" s="65" t="str" cm="1">
        <f t="array" ref="S139">Common_InputFunctions.Utility_DisplayArrayInTable(Fertiliser_SourceData.Fertiliser_Products_Data3(),FertiliserProducts[[#Headers],[Include or Exclude]], 40)</f>
        <v/>
      </c>
      <c r="T139" s="65" t="str" cm="1">
        <f t="array" ref="T139">Common_InputFunctions.Utility_DisplayArrayInTable(Fertiliser_SourceData.Fertiliser_Products_Data3(),FertiliserProducts[[#Headers],[Include or Exclude]], 40)</f>
        <v/>
      </c>
      <c r="U139" s="65" t="str" cm="1">
        <f t="array" ref="U139">Common_InputFunctions.Utility_DisplayArrayInTable(Fertiliser_SourceData.Fertiliser_Products_Data3(),FertiliserProducts[[#Headers],[Include or Exclude]], 40)</f>
        <v/>
      </c>
      <c r="V139" s="65" t="str" cm="1">
        <f t="array" ref="V139">Common_InputFunctions.Utility_DisplayArrayInTable(Fertiliser_SourceData.Fertiliser_Products_Data3(),FertiliserProducts[[#Headers],[Include or Exclude]], 40)</f>
        <v/>
      </c>
      <c r="W139" s="65" t="str" cm="1">
        <f t="array" ref="W139">Common_InputFunctions.Utility_DisplayArrayInTable(Fertiliser_SourceData.Fertiliser_Products_Data3(),FertiliserProducts[[#Headers],[Include or Exclude]], 40)</f>
        <v>Crop Nutrition Solutions (Yara Australia)</v>
      </c>
      <c r="X139" s="65" t="str" cm="1">
        <f t="array" ref="X139">Common_InputFunctions.Utility_DisplayArrayInTable(Fertiliser_SourceData.Fertiliser_Products_Data3(),FertiliserProducts[[#Headers],[Include or Exclude]], 40)</f>
        <v/>
      </c>
      <c r="Y139" s="65" t="str" cm="1">
        <f t="array" ref="Y139">Common_InputFunctions.Utility_DisplayArrayInTable(Fertiliser_SourceData.Fertiliser_Products_Data3(),FertiliserProducts[[#Headers],[Include or Exclude]], 40)</f>
        <v/>
      </c>
      <c r="Z139" s="65"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4:31" ht="20.100000000000001" customHeight="1" x14ac:dyDescent="0.25">
      <c r="D140" s="65" t="str" cm="1">
        <f t="array" ref="D140">Common_InputFunctions.Utility_DisplayArrayInTable(Fertiliser_SourceData.Fertiliser_Products_Data3(),FertiliserProducts[[#Headers],[Include or Exclude]], 40)</f>
        <v>Yara Liquids N-CAL 15+18Ca</v>
      </c>
      <c r="E140" s="65" t="str" cm="1">
        <f t="array" ref="E140">Common_InputFunctions.Utility_DisplayArrayInTable(Fertiliser_SourceData.Fertiliser_Products_Data3(),FertiliserProducts[[#Headers],[Include or Exclude]], 40)</f>
        <v/>
      </c>
      <c r="F140" s="65" t="str" cm="1">
        <f t="array" ref="F140">Common_InputFunctions.Utility_DisplayArrayInTable(Fertiliser_SourceData.Fertiliser_Products_Data3(),FertiliserProducts[[#Headers],[Include or Exclude]], 40)</f>
        <v/>
      </c>
      <c r="G140" s="65" t="str" cm="1">
        <f t="array" ref="G140">Common_InputFunctions.Utility_DisplayArrayInTable(Fertiliser_SourceData.Fertiliser_Products_Data3(),FertiliserProducts[[#Headers],[Include or Exclude]], 40)</f>
        <v/>
      </c>
      <c r="H140" s="65" t="str" cm="1">
        <f t="array" ref="H140">Common_InputFunctions.Utility_DisplayArrayInTable(Fertiliser_SourceData.Fertiliser_Products_Data3(),FertiliserProducts[[#Headers],[Include or Exclude]], 40)</f>
        <v/>
      </c>
      <c r="I140" s="65" t="str" cm="1">
        <f t="array" ref="I140">Common_InputFunctions.Utility_DisplayArrayInTable(Fertiliser_SourceData.Fertiliser_Products_Data3(),FertiliserProducts[[#Headers],[Include or Exclude]], 40)</f>
        <v/>
      </c>
      <c r="J140" s="65" t="str" cm="1">
        <f t="array" ref="J140">Common_InputFunctions.Utility_DisplayArrayInTable(Fertiliser_SourceData.Fertiliser_Products_Data3(),FertiliserProducts[[#Headers],[Include or Exclude]], 40)</f>
        <v/>
      </c>
      <c r="K140" s="65" t="str" cm="1">
        <f t="array" ref="K140">Common_InputFunctions.Utility_DisplayArrayInTable(Fertiliser_SourceData.Fertiliser_Products_Data3(),FertiliserProducts[[#Headers],[Include or Exclude]], 40)</f>
        <v/>
      </c>
      <c r="L140" s="65" t="str" cm="1">
        <f t="array" ref="L140">Common_InputFunctions.Utility_DisplayArrayInTable(Fertiliser_SourceData.Fertiliser_Products_Data3(),FertiliserProducts[[#Headers],[Include or Exclude]], 40)</f>
        <v/>
      </c>
      <c r="M140" s="65" t="str" cm="1">
        <f t="array" ref="M140">Common_InputFunctions.Utility_DisplayArrayInTable(Fertiliser_SourceData.Fertiliser_Products_Data3(),FertiliserProducts[[#Headers],[Include or Exclude]], 40)</f>
        <v/>
      </c>
      <c r="N140" s="65" t="str" cm="1">
        <f t="array" ref="N140">Common_InputFunctions.Utility_DisplayArrayInTable(Fertiliser_SourceData.Fertiliser_Products_Data3(),FertiliserProducts[[#Headers],[Include or Exclude]], 40)</f>
        <v/>
      </c>
      <c r="O140" s="65" t="str" cm="1">
        <f t="array" ref="O140">Common_InputFunctions.Utility_DisplayArrayInTable(Fertiliser_SourceData.Fertiliser_Products_Data3(),FertiliserProducts[[#Headers],[Include or Exclude]], 40)</f>
        <v/>
      </c>
      <c r="P140" s="65" t="str" cm="1">
        <f t="array" ref="P140">Common_InputFunctions.Utility_DisplayArrayInTable(Fertiliser_SourceData.Fertiliser_Products_Data3(),FertiliserProducts[[#Headers],[Include or Exclude]], 40)</f>
        <v/>
      </c>
      <c r="Q140" s="65" t="str" cm="1">
        <f t="array" ref="Q140">Common_InputFunctions.Utility_DisplayArrayInTable(Fertiliser_SourceData.Fertiliser_Products_Data3(),FertiliserProducts[[#Headers],[Include or Exclude]], 40)</f>
        <v/>
      </c>
      <c r="R140" s="65" t="str" cm="1">
        <f t="array" ref="R140">Common_InputFunctions.Utility_DisplayArrayInTable(Fertiliser_SourceData.Fertiliser_Products_Data3(),FertiliserProducts[[#Headers],[Include or Exclude]], 40)</f>
        <v/>
      </c>
      <c r="S140" s="65" t="str" cm="1">
        <f t="array" ref="S140">Common_InputFunctions.Utility_DisplayArrayInTable(Fertiliser_SourceData.Fertiliser_Products_Data3(),FertiliserProducts[[#Headers],[Include or Exclude]], 40)</f>
        <v/>
      </c>
      <c r="T140" s="65" t="str" cm="1">
        <f t="array" ref="T140">Common_InputFunctions.Utility_DisplayArrayInTable(Fertiliser_SourceData.Fertiliser_Products_Data3(),FertiliserProducts[[#Headers],[Include or Exclude]], 40)</f>
        <v/>
      </c>
      <c r="U140" s="65" t="str" cm="1">
        <f t="array" ref="U140">Common_InputFunctions.Utility_DisplayArrayInTable(Fertiliser_SourceData.Fertiliser_Products_Data3(),FertiliserProducts[[#Headers],[Include or Exclude]], 40)</f>
        <v/>
      </c>
      <c r="V140" s="65" t="str" cm="1">
        <f t="array" ref="V140">Common_InputFunctions.Utility_DisplayArrayInTable(Fertiliser_SourceData.Fertiliser_Products_Data3(),FertiliserProducts[[#Headers],[Include or Exclude]], 40)</f>
        <v/>
      </c>
      <c r="W140" s="65" t="str" cm="1">
        <f t="array" ref="W140">Common_InputFunctions.Utility_DisplayArrayInTable(Fertiliser_SourceData.Fertiliser_Products_Data3(),FertiliserProducts[[#Headers],[Include or Exclude]], 40)</f>
        <v>Crop Nutrition Solutions (Yara Australia)</v>
      </c>
      <c r="X140" s="65" t="str" cm="1">
        <f t="array" ref="X140">Common_InputFunctions.Utility_DisplayArrayInTable(Fertiliser_SourceData.Fertiliser_Products_Data3(),FertiliserProducts[[#Headers],[Include or Exclude]], 40)</f>
        <v/>
      </c>
      <c r="Y140" s="65" t="str" cm="1">
        <f t="array" ref="Y140">Common_InputFunctions.Utility_DisplayArrayInTable(Fertiliser_SourceData.Fertiliser_Products_Data3(),FertiliserProducts[[#Headers],[Include or Exclude]], 40)</f>
        <v/>
      </c>
      <c r="Z140" s="65"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4:31" ht="20.100000000000001" customHeight="1" x14ac:dyDescent="0.25">
      <c r="D141" s="65" t="str" cm="1">
        <f t="array" ref="D141">Common_InputFunctions.Utility_DisplayArrayInTable(Fertiliser_SourceData.Fertiliser_Products_Data3(),FertiliserProducts[[#Headers],[Include or Exclude]], 40)</f>
        <v>Yara Liquids N-CAL 20+10Ca+B</v>
      </c>
      <c r="E141" s="65" t="str" cm="1">
        <f t="array" ref="E141">Common_InputFunctions.Utility_DisplayArrayInTable(Fertiliser_SourceData.Fertiliser_Products_Data3(),FertiliserProducts[[#Headers],[Include or Exclude]], 40)</f>
        <v/>
      </c>
      <c r="F141" s="65" t="str" cm="1">
        <f t="array" ref="F141">Common_InputFunctions.Utility_DisplayArrayInTable(Fertiliser_SourceData.Fertiliser_Products_Data3(),FertiliserProducts[[#Headers],[Include or Exclude]], 40)</f>
        <v/>
      </c>
      <c r="G141" s="65" t="str" cm="1">
        <f t="array" ref="G141">Common_InputFunctions.Utility_DisplayArrayInTable(Fertiliser_SourceData.Fertiliser_Products_Data3(),FertiliserProducts[[#Headers],[Include or Exclude]], 40)</f>
        <v/>
      </c>
      <c r="H141" s="65" t="str" cm="1">
        <f t="array" ref="H141">Common_InputFunctions.Utility_DisplayArrayInTable(Fertiliser_SourceData.Fertiliser_Products_Data3(),FertiliserProducts[[#Headers],[Include or Exclude]], 40)</f>
        <v/>
      </c>
      <c r="I141" s="65" t="str" cm="1">
        <f t="array" ref="I141">Common_InputFunctions.Utility_DisplayArrayInTable(Fertiliser_SourceData.Fertiliser_Products_Data3(),FertiliserProducts[[#Headers],[Include or Exclude]], 40)</f>
        <v/>
      </c>
      <c r="J141" s="65" t="str" cm="1">
        <f t="array" ref="J141">Common_InputFunctions.Utility_DisplayArrayInTable(Fertiliser_SourceData.Fertiliser_Products_Data3(),FertiliserProducts[[#Headers],[Include or Exclude]], 40)</f>
        <v/>
      </c>
      <c r="K141" s="65" t="str" cm="1">
        <f t="array" ref="K141">Common_InputFunctions.Utility_DisplayArrayInTable(Fertiliser_SourceData.Fertiliser_Products_Data3(),FertiliserProducts[[#Headers],[Include or Exclude]], 40)</f>
        <v/>
      </c>
      <c r="L141" s="65" t="str" cm="1">
        <f t="array" ref="L141">Common_InputFunctions.Utility_DisplayArrayInTable(Fertiliser_SourceData.Fertiliser_Products_Data3(),FertiliserProducts[[#Headers],[Include or Exclude]], 40)</f>
        <v/>
      </c>
      <c r="M141" s="65" t="str" cm="1">
        <f t="array" ref="M141">Common_InputFunctions.Utility_DisplayArrayInTable(Fertiliser_SourceData.Fertiliser_Products_Data3(),FertiliserProducts[[#Headers],[Include or Exclude]], 40)</f>
        <v/>
      </c>
      <c r="N141" s="65" t="str" cm="1">
        <f t="array" ref="N141">Common_InputFunctions.Utility_DisplayArrayInTable(Fertiliser_SourceData.Fertiliser_Products_Data3(),FertiliserProducts[[#Headers],[Include or Exclude]], 40)</f>
        <v/>
      </c>
      <c r="O141" s="65" t="str" cm="1">
        <f t="array" ref="O141">Common_InputFunctions.Utility_DisplayArrayInTable(Fertiliser_SourceData.Fertiliser_Products_Data3(),FertiliserProducts[[#Headers],[Include or Exclude]], 40)</f>
        <v/>
      </c>
      <c r="P141" s="65" t="str" cm="1">
        <f t="array" ref="P141">Common_InputFunctions.Utility_DisplayArrayInTable(Fertiliser_SourceData.Fertiliser_Products_Data3(),FertiliserProducts[[#Headers],[Include or Exclude]], 40)</f>
        <v/>
      </c>
      <c r="Q141" s="65" t="str" cm="1">
        <f t="array" ref="Q141">Common_InputFunctions.Utility_DisplayArrayInTable(Fertiliser_SourceData.Fertiliser_Products_Data3(),FertiliserProducts[[#Headers],[Include or Exclude]], 40)</f>
        <v/>
      </c>
      <c r="R141" s="65" t="str" cm="1">
        <f t="array" ref="R141">Common_InputFunctions.Utility_DisplayArrayInTable(Fertiliser_SourceData.Fertiliser_Products_Data3(),FertiliserProducts[[#Headers],[Include or Exclude]], 40)</f>
        <v/>
      </c>
      <c r="S141" s="65" t="str" cm="1">
        <f t="array" ref="S141">Common_InputFunctions.Utility_DisplayArrayInTable(Fertiliser_SourceData.Fertiliser_Products_Data3(),FertiliserProducts[[#Headers],[Include or Exclude]], 40)</f>
        <v/>
      </c>
      <c r="T141" s="65" t="str" cm="1">
        <f t="array" ref="T141">Common_InputFunctions.Utility_DisplayArrayInTable(Fertiliser_SourceData.Fertiliser_Products_Data3(),FertiliserProducts[[#Headers],[Include or Exclude]], 40)</f>
        <v/>
      </c>
      <c r="U141" s="65" t="str" cm="1">
        <f t="array" ref="U141">Common_InputFunctions.Utility_DisplayArrayInTable(Fertiliser_SourceData.Fertiliser_Products_Data3(),FertiliserProducts[[#Headers],[Include or Exclude]], 40)</f>
        <v/>
      </c>
      <c r="V141" s="65" t="str" cm="1">
        <f t="array" ref="V141">Common_InputFunctions.Utility_DisplayArrayInTable(Fertiliser_SourceData.Fertiliser_Products_Data3(),FertiliserProducts[[#Headers],[Include or Exclude]], 40)</f>
        <v/>
      </c>
      <c r="W141" s="65" t="str" cm="1">
        <f t="array" ref="W141">Common_InputFunctions.Utility_DisplayArrayInTable(Fertiliser_SourceData.Fertiliser_Products_Data3(),FertiliserProducts[[#Headers],[Include or Exclude]], 40)</f>
        <v>Crop Nutrition Solutions (Yara Australia)</v>
      </c>
      <c r="X141" s="65" t="str" cm="1">
        <f t="array" ref="X141">Common_InputFunctions.Utility_DisplayArrayInTable(Fertiliser_SourceData.Fertiliser_Products_Data3(),FertiliserProducts[[#Headers],[Include or Exclude]], 40)</f>
        <v/>
      </c>
      <c r="Y141" s="65" t="str" cm="1">
        <f t="array" ref="Y141">Common_InputFunctions.Utility_DisplayArrayInTable(Fertiliser_SourceData.Fertiliser_Products_Data3(),FertiliserProducts[[#Headers],[Include or Exclude]], 40)</f>
        <v/>
      </c>
      <c r="Z141" s="65"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4:31" ht="20.100000000000001" customHeight="1" x14ac:dyDescent="0.25">
      <c r="D142" s="65" t="str" cm="1">
        <f t="array" ref="D142">Common_InputFunctions.Utility_DisplayArrayInTable(Fertiliser_SourceData.Fertiliser_Products_Data3(),FertiliserProducts[[#Headers],[Include or Exclude]], 40)</f>
        <v>Yara Liquids N-CAL 35+6Ca</v>
      </c>
      <c r="E142" s="65" t="str" cm="1">
        <f t="array" ref="E142">Common_InputFunctions.Utility_DisplayArrayInTable(Fertiliser_SourceData.Fertiliser_Products_Data3(),FertiliserProducts[[#Headers],[Include or Exclude]], 40)</f>
        <v/>
      </c>
      <c r="F142" s="65" t="str" cm="1">
        <f t="array" ref="F142">Common_InputFunctions.Utility_DisplayArrayInTable(Fertiliser_SourceData.Fertiliser_Products_Data3(),FertiliserProducts[[#Headers],[Include or Exclude]], 40)</f>
        <v/>
      </c>
      <c r="G142" s="65" t="str" cm="1">
        <f t="array" ref="G142">Common_InputFunctions.Utility_DisplayArrayInTable(Fertiliser_SourceData.Fertiliser_Products_Data3(),FertiliserProducts[[#Headers],[Include or Exclude]], 40)</f>
        <v/>
      </c>
      <c r="H142" s="65" t="str" cm="1">
        <f t="array" ref="H142">Common_InputFunctions.Utility_DisplayArrayInTable(Fertiliser_SourceData.Fertiliser_Products_Data3(),FertiliserProducts[[#Headers],[Include or Exclude]], 40)</f>
        <v/>
      </c>
      <c r="I142" s="65" t="str" cm="1">
        <f t="array" ref="I142">Common_InputFunctions.Utility_DisplayArrayInTable(Fertiliser_SourceData.Fertiliser_Products_Data3(),FertiliserProducts[[#Headers],[Include or Exclude]], 40)</f>
        <v/>
      </c>
      <c r="J142" s="65" t="str" cm="1">
        <f t="array" ref="J142">Common_InputFunctions.Utility_DisplayArrayInTable(Fertiliser_SourceData.Fertiliser_Products_Data3(),FertiliserProducts[[#Headers],[Include or Exclude]], 40)</f>
        <v/>
      </c>
      <c r="K142" s="65" t="str" cm="1">
        <f t="array" ref="K142">Common_InputFunctions.Utility_DisplayArrayInTable(Fertiliser_SourceData.Fertiliser_Products_Data3(),FertiliserProducts[[#Headers],[Include or Exclude]], 40)</f>
        <v/>
      </c>
      <c r="L142" s="65" t="str" cm="1">
        <f t="array" ref="L142">Common_InputFunctions.Utility_DisplayArrayInTable(Fertiliser_SourceData.Fertiliser_Products_Data3(),FertiliserProducts[[#Headers],[Include or Exclude]], 40)</f>
        <v/>
      </c>
      <c r="M142" s="65" t="str" cm="1">
        <f t="array" ref="M142">Common_InputFunctions.Utility_DisplayArrayInTable(Fertiliser_SourceData.Fertiliser_Products_Data3(),FertiliserProducts[[#Headers],[Include or Exclude]], 40)</f>
        <v/>
      </c>
      <c r="N142" s="65" t="str" cm="1">
        <f t="array" ref="N142">Common_InputFunctions.Utility_DisplayArrayInTable(Fertiliser_SourceData.Fertiliser_Products_Data3(),FertiliserProducts[[#Headers],[Include or Exclude]], 40)</f>
        <v/>
      </c>
      <c r="O142" s="65" t="str" cm="1">
        <f t="array" ref="O142">Common_InputFunctions.Utility_DisplayArrayInTable(Fertiliser_SourceData.Fertiliser_Products_Data3(),FertiliserProducts[[#Headers],[Include or Exclude]], 40)</f>
        <v/>
      </c>
      <c r="P142" s="65" t="str" cm="1">
        <f t="array" ref="P142">Common_InputFunctions.Utility_DisplayArrayInTable(Fertiliser_SourceData.Fertiliser_Products_Data3(),FertiliserProducts[[#Headers],[Include or Exclude]], 40)</f>
        <v/>
      </c>
      <c r="Q142" s="65" t="str" cm="1">
        <f t="array" ref="Q142">Common_InputFunctions.Utility_DisplayArrayInTable(Fertiliser_SourceData.Fertiliser_Products_Data3(),FertiliserProducts[[#Headers],[Include or Exclude]], 40)</f>
        <v/>
      </c>
      <c r="R142" s="65" t="str" cm="1">
        <f t="array" ref="R142">Common_InputFunctions.Utility_DisplayArrayInTable(Fertiliser_SourceData.Fertiliser_Products_Data3(),FertiliserProducts[[#Headers],[Include or Exclude]], 40)</f>
        <v/>
      </c>
      <c r="S142" s="65" t="str" cm="1">
        <f t="array" ref="S142">Common_InputFunctions.Utility_DisplayArrayInTable(Fertiliser_SourceData.Fertiliser_Products_Data3(),FertiliserProducts[[#Headers],[Include or Exclude]], 40)</f>
        <v/>
      </c>
      <c r="T142" s="65" t="str" cm="1">
        <f t="array" ref="T142">Common_InputFunctions.Utility_DisplayArrayInTable(Fertiliser_SourceData.Fertiliser_Products_Data3(),FertiliserProducts[[#Headers],[Include or Exclude]], 40)</f>
        <v/>
      </c>
      <c r="U142" s="65" t="str" cm="1">
        <f t="array" ref="U142">Common_InputFunctions.Utility_DisplayArrayInTable(Fertiliser_SourceData.Fertiliser_Products_Data3(),FertiliserProducts[[#Headers],[Include or Exclude]], 40)</f>
        <v/>
      </c>
      <c r="V142" s="65" t="str" cm="1">
        <f t="array" ref="V142">Common_InputFunctions.Utility_DisplayArrayInTable(Fertiliser_SourceData.Fertiliser_Products_Data3(),FertiliserProducts[[#Headers],[Include or Exclude]], 40)</f>
        <v/>
      </c>
      <c r="W142" s="65" t="str" cm="1">
        <f t="array" ref="W142">Common_InputFunctions.Utility_DisplayArrayInTable(Fertiliser_SourceData.Fertiliser_Products_Data3(),FertiliserProducts[[#Headers],[Include or Exclude]], 40)</f>
        <v>Crop Nutrition Solutions (Yara Australia)</v>
      </c>
      <c r="X142" s="65" t="str" cm="1">
        <f t="array" ref="X142">Common_InputFunctions.Utility_DisplayArrayInTable(Fertiliser_SourceData.Fertiliser_Products_Data3(),FertiliserProducts[[#Headers],[Include or Exclude]], 40)</f>
        <v/>
      </c>
      <c r="Y142" s="65" t="str" cm="1">
        <f t="array" ref="Y142">Common_InputFunctions.Utility_DisplayArrayInTable(Fertiliser_SourceData.Fertiliser_Products_Data3(),FertiliserProducts[[#Headers],[Include or Exclude]], 40)</f>
        <v/>
      </c>
      <c r="Z142" s="65"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4:31" ht="20.100000000000001" customHeight="1" x14ac:dyDescent="0.25">
      <c r="D143" s="65" t="str" cm="1">
        <f t="array" ref="D143">Common_InputFunctions.Utility_DisplayArrayInTable(Fertiliser_SourceData.Fertiliser_Products_Data3(),FertiliserProducts[[#Headers],[Include or Exclude]], 40)</f>
        <v>Yara Liquids N-FOL 24</v>
      </c>
      <c r="E143" s="65" t="str" cm="1">
        <f t="array" ref="E143">Common_InputFunctions.Utility_DisplayArrayInTable(Fertiliser_SourceData.Fertiliser_Products_Data3(),FertiliserProducts[[#Headers],[Include or Exclude]], 40)</f>
        <v/>
      </c>
      <c r="F143" s="65" t="str" cm="1">
        <f t="array" ref="F143">Common_InputFunctions.Utility_DisplayArrayInTable(Fertiliser_SourceData.Fertiliser_Products_Data3(),FertiliserProducts[[#Headers],[Include or Exclude]], 40)</f>
        <v/>
      </c>
      <c r="G143" s="65" t="str" cm="1">
        <f t="array" ref="G143">Common_InputFunctions.Utility_DisplayArrayInTable(Fertiliser_SourceData.Fertiliser_Products_Data3(),FertiliserProducts[[#Headers],[Include or Exclude]], 40)</f>
        <v/>
      </c>
      <c r="H143" s="65" t="str" cm="1">
        <f t="array" ref="H143">Common_InputFunctions.Utility_DisplayArrayInTable(Fertiliser_SourceData.Fertiliser_Products_Data3(),FertiliserProducts[[#Headers],[Include or Exclude]], 40)</f>
        <v/>
      </c>
      <c r="I143" s="65" t="str" cm="1">
        <f t="array" ref="I143">Common_InputFunctions.Utility_DisplayArrayInTable(Fertiliser_SourceData.Fertiliser_Products_Data3(),FertiliserProducts[[#Headers],[Include or Exclude]], 40)</f>
        <v/>
      </c>
      <c r="J143" s="65" t="str" cm="1">
        <f t="array" ref="J143">Common_InputFunctions.Utility_DisplayArrayInTable(Fertiliser_SourceData.Fertiliser_Products_Data3(),FertiliserProducts[[#Headers],[Include or Exclude]], 40)</f>
        <v/>
      </c>
      <c r="K143" s="65" t="str" cm="1">
        <f t="array" ref="K143">Common_InputFunctions.Utility_DisplayArrayInTable(Fertiliser_SourceData.Fertiliser_Products_Data3(),FertiliserProducts[[#Headers],[Include or Exclude]], 40)</f>
        <v/>
      </c>
      <c r="L143" s="65" t="str" cm="1">
        <f t="array" ref="L143">Common_InputFunctions.Utility_DisplayArrayInTable(Fertiliser_SourceData.Fertiliser_Products_Data3(),FertiliserProducts[[#Headers],[Include or Exclude]], 40)</f>
        <v/>
      </c>
      <c r="M143" s="65" t="str" cm="1">
        <f t="array" ref="M143">Common_InputFunctions.Utility_DisplayArrayInTable(Fertiliser_SourceData.Fertiliser_Products_Data3(),FertiliserProducts[[#Headers],[Include or Exclude]], 40)</f>
        <v/>
      </c>
      <c r="N143" s="65" t="str" cm="1">
        <f t="array" ref="N143">Common_InputFunctions.Utility_DisplayArrayInTable(Fertiliser_SourceData.Fertiliser_Products_Data3(),FertiliserProducts[[#Headers],[Include or Exclude]], 40)</f>
        <v/>
      </c>
      <c r="O143" s="65" t="str" cm="1">
        <f t="array" ref="O143">Common_InputFunctions.Utility_DisplayArrayInTable(Fertiliser_SourceData.Fertiliser_Products_Data3(),FertiliserProducts[[#Headers],[Include or Exclude]], 40)</f>
        <v/>
      </c>
      <c r="P143" s="65" t="str" cm="1">
        <f t="array" ref="P143">Common_InputFunctions.Utility_DisplayArrayInTable(Fertiliser_SourceData.Fertiliser_Products_Data3(),FertiliserProducts[[#Headers],[Include or Exclude]], 40)</f>
        <v/>
      </c>
      <c r="Q143" s="65" t="str" cm="1">
        <f t="array" ref="Q143">Common_InputFunctions.Utility_DisplayArrayInTable(Fertiliser_SourceData.Fertiliser_Products_Data3(),FertiliserProducts[[#Headers],[Include or Exclude]], 40)</f>
        <v/>
      </c>
      <c r="R143" s="65" t="str" cm="1">
        <f t="array" ref="R143">Common_InputFunctions.Utility_DisplayArrayInTable(Fertiliser_SourceData.Fertiliser_Products_Data3(),FertiliserProducts[[#Headers],[Include or Exclude]], 40)</f>
        <v/>
      </c>
      <c r="S143" s="65" t="str" cm="1">
        <f t="array" ref="S143">Common_InputFunctions.Utility_DisplayArrayInTable(Fertiliser_SourceData.Fertiliser_Products_Data3(),FertiliserProducts[[#Headers],[Include or Exclude]], 40)</f>
        <v/>
      </c>
      <c r="T143" s="65" t="str" cm="1">
        <f t="array" ref="T143">Common_InputFunctions.Utility_DisplayArrayInTable(Fertiliser_SourceData.Fertiliser_Products_Data3(),FertiliserProducts[[#Headers],[Include or Exclude]], 40)</f>
        <v/>
      </c>
      <c r="U143" s="65" t="str" cm="1">
        <f t="array" ref="U143">Common_InputFunctions.Utility_DisplayArrayInTable(Fertiliser_SourceData.Fertiliser_Products_Data3(),FertiliserProducts[[#Headers],[Include or Exclude]], 40)</f>
        <v/>
      </c>
      <c r="V143" s="65" t="str" cm="1">
        <f t="array" ref="V143">Common_InputFunctions.Utility_DisplayArrayInTable(Fertiliser_SourceData.Fertiliser_Products_Data3(),FertiliserProducts[[#Headers],[Include or Exclude]], 40)</f>
        <v/>
      </c>
      <c r="W143" s="65" t="str" cm="1">
        <f t="array" ref="W143">Common_InputFunctions.Utility_DisplayArrayInTable(Fertiliser_SourceData.Fertiliser_Products_Data3(),FertiliserProducts[[#Headers],[Include or Exclude]], 40)</f>
        <v>Crop Nutrition Solutions (Yara Australia)</v>
      </c>
      <c r="X143" s="65" t="str" cm="1">
        <f t="array" ref="X143">Common_InputFunctions.Utility_DisplayArrayInTable(Fertiliser_SourceData.Fertiliser_Products_Data3(),FertiliserProducts[[#Headers],[Include or Exclude]], 40)</f>
        <v/>
      </c>
      <c r="Y143" s="65" t="str" cm="1">
        <f t="array" ref="Y143">Common_InputFunctions.Utility_DisplayArrayInTable(Fertiliser_SourceData.Fertiliser_Products_Data3(),FertiliserProducts[[#Headers],[Include or Exclude]], 40)</f>
        <v/>
      </c>
      <c r="Z143" s="65"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4:31" ht="20.100000000000001" customHeight="1" x14ac:dyDescent="0.25">
      <c r="D144" s="65" t="str" cm="1">
        <f t="array" ref="D144">Common_InputFunctions.Utility_DisplayArrayInTable(Fertiliser_SourceData.Fertiliser_Products_Data3(),FertiliserProducts[[#Headers],[Include or Exclude]], 40)</f>
        <v>Yara Liquids N-FOL 24+TE</v>
      </c>
      <c r="E144" s="65" t="str" cm="1">
        <f t="array" ref="E144">Common_InputFunctions.Utility_DisplayArrayInTable(Fertiliser_SourceData.Fertiliser_Products_Data3(),FertiliserProducts[[#Headers],[Include or Exclude]], 40)</f>
        <v/>
      </c>
      <c r="F144" s="65" t="str" cm="1">
        <f t="array" ref="F144">Common_InputFunctions.Utility_DisplayArrayInTable(Fertiliser_SourceData.Fertiliser_Products_Data3(),FertiliserProducts[[#Headers],[Include or Exclude]], 40)</f>
        <v/>
      </c>
      <c r="G144" s="65" t="str" cm="1">
        <f t="array" ref="G144">Common_InputFunctions.Utility_DisplayArrayInTable(Fertiliser_SourceData.Fertiliser_Products_Data3(),FertiliserProducts[[#Headers],[Include or Exclude]], 40)</f>
        <v/>
      </c>
      <c r="H144" s="65" t="str" cm="1">
        <f t="array" ref="H144">Common_InputFunctions.Utility_DisplayArrayInTable(Fertiliser_SourceData.Fertiliser_Products_Data3(),FertiliserProducts[[#Headers],[Include or Exclude]], 40)</f>
        <v/>
      </c>
      <c r="I144" s="65" t="str" cm="1">
        <f t="array" ref="I144">Common_InputFunctions.Utility_DisplayArrayInTable(Fertiliser_SourceData.Fertiliser_Products_Data3(),FertiliserProducts[[#Headers],[Include or Exclude]], 40)</f>
        <v/>
      </c>
      <c r="J144" s="65" t="str" cm="1">
        <f t="array" ref="J144">Common_InputFunctions.Utility_DisplayArrayInTable(Fertiliser_SourceData.Fertiliser_Products_Data3(),FertiliserProducts[[#Headers],[Include or Exclude]], 40)</f>
        <v/>
      </c>
      <c r="K144" s="65" t="str" cm="1">
        <f t="array" ref="K144">Common_InputFunctions.Utility_DisplayArrayInTable(Fertiliser_SourceData.Fertiliser_Products_Data3(),FertiliserProducts[[#Headers],[Include or Exclude]], 40)</f>
        <v/>
      </c>
      <c r="L144" s="65" t="str" cm="1">
        <f t="array" ref="L144">Common_InputFunctions.Utility_DisplayArrayInTable(Fertiliser_SourceData.Fertiliser_Products_Data3(),FertiliserProducts[[#Headers],[Include or Exclude]], 40)</f>
        <v/>
      </c>
      <c r="M144" s="65" t="str" cm="1">
        <f t="array" ref="M144">Common_InputFunctions.Utility_DisplayArrayInTable(Fertiliser_SourceData.Fertiliser_Products_Data3(),FertiliserProducts[[#Headers],[Include or Exclude]], 40)</f>
        <v/>
      </c>
      <c r="N144" s="65" t="str" cm="1">
        <f t="array" ref="N144">Common_InputFunctions.Utility_DisplayArrayInTable(Fertiliser_SourceData.Fertiliser_Products_Data3(),FertiliserProducts[[#Headers],[Include or Exclude]], 40)</f>
        <v/>
      </c>
      <c r="O144" s="65" t="str" cm="1">
        <f t="array" ref="O144">Common_InputFunctions.Utility_DisplayArrayInTable(Fertiliser_SourceData.Fertiliser_Products_Data3(),FertiliserProducts[[#Headers],[Include or Exclude]], 40)</f>
        <v/>
      </c>
      <c r="P144" s="65" t="str" cm="1">
        <f t="array" ref="P144">Common_InputFunctions.Utility_DisplayArrayInTable(Fertiliser_SourceData.Fertiliser_Products_Data3(),FertiliserProducts[[#Headers],[Include or Exclude]], 40)</f>
        <v/>
      </c>
      <c r="Q144" s="65" t="str" cm="1">
        <f t="array" ref="Q144">Common_InputFunctions.Utility_DisplayArrayInTable(Fertiliser_SourceData.Fertiliser_Products_Data3(),FertiliserProducts[[#Headers],[Include or Exclude]], 40)</f>
        <v/>
      </c>
      <c r="R144" s="65" t="str" cm="1">
        <f t="array" ref="R144">Common_InputFunctions.Utility_DisplayArrayInTable(Fertiliser_SourceData.Fertiliser_Products_Data3(),FertiliserProducts[[#Headers],[Include or Exclude]], 40)</f>
        <v/>
      </c>
      <c r="S144" s="65" t="str" cm="1">
        <f t="array" ref="S144">Common_InputFunctions.Utility_DisplayArrayInTable(Fertiliser_SourceData.Fertiliser_Products_Data3(),FertiliserProducts[[#Headers],[Include or Exclude]], 40)</f>
        <v/>
      </c>
      <c r="T144" s="65" t="str" cm="1">
        <f t="array" ref="T144">Common_InputFunctions.Utility_DisplayArrayInTable(Fertiliser_SourceData.Fertiliser_Products_Data3(),FertiliserProducts[[#Headers],[Include or Exclude]], 40)</f>
        <v/>
      </c>
      <c r="U144" s="65" t="str" cm="1">
        <f t="array" ref="U144">Common_InputFunctions.Utility_DisplayArrayInTable(Fertiliser_SourceData.Fertiliser_Products_Data3(),FertiliserProducts[[#Headers],[Include or Exclude]], 40)</f>
        <v/>
      </c>
      <c r="V144" s="65" t="str" cm="1">
        <f t="array" ref="V144">Common_InputFunctions.Utility_DisplayArrayInTable(Fertiliser_SourceData.Fertiliser_Products_Data3(),FertiliserProducts[[#Headers],[Include or Exclude]], 40)</f>
        <v/>
      </c>
      <c r="W144" s="65" t="str" cm="1">
        <f t="array" ref="W144">Common_InputFunctions.Utility_DisplayArrayInTable(Fertiliser_SourceData.Fertiliser_Products_Data3(),FertiliserProducts[[#Headers],[Include or Exclude]], 40)</f>
        <v>Crop Nutrition Solutions (Yara Australia)</v>
      </c>
      <c r="X144" s="65" t="str" cm="1">
        <f t="array" ref="X144">Common_InputFunctions.Utility_DisplayArrayInTable(Fertiliser_SourceData.Fertiliser_Products_Data3(),FertiliserProducts[[#Headers],[Include or Exclude]], 40)</f>
        <v/>
      </c>
      <c r="Y144" s="65" t="str" cm="1">
        <f t="array" ref="Y144">Common_InputFunctions.Utility_DisplayArrayInTable(Fertiliser_SourceData.Fertiliser_Products_Data3(),FertiliserProducts[[#Headers],[Include or Exclude]], 40)</f>
        <v/>
      </c>
      <c r="Z144" s="65"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4:31" ht="20.100000000000001" customHeight="1" x14ac:dyDescent="0.25">
      <c r="D145" s="65" t="str" cm="1">
        <f t="array" ref="D145">Common_InputFunctions.Utility_DisplayArrayInTable(Fertiliser_SourceData.Fertiliser_Products_Data3(),FertiliserProducts[[#Headers],[Include or Exclude]], 40)</f>
        <v>Yara Liquids P-FOL Zinc</v>
      </c>
      <c r="E145" s="65" t="str" cm="1">
        <f t="array" ref="E145">Common_InputFunctions.Utility_DisplayArrayInTable(Fertiliser_SourceData.Fertiliser_Products_Data3(),FertiliserProducts[[#Headers],[Include or Exclude]], 40)</f>
        <v/>
      </c>
      <c r="F145" s="65" t="str" cm="1">
        <f t="array" ref="F145">Common_InputFunctions.Utility_DisplayArrayInTable(Fertiliser_SourceData.Fertiliser_Products_Data3(),FertiliserProducts[[#Headers],[Include or Exclude]], 40)</f>
        <v/>
      </c>
      <c r="G145" s="65" t="str" cm="1">
        <f t="array" ref="G145">Common_InputFunctions.Utility_DisplayArrayInTable(Fertiliser_SourceData.Fertiliser_Products_Data3(),FertiliserProducts[[#Headers],[Include or Exclude]], 40)</f>
        <v/>
      </c>
      <c r="H145" s="65" t="str" cm="1">
        <f t="array" ref="H145">Common_InputFunctions.Utility_DisplayArrayInTable(Fertiliser_SourceData.Fertiliser_Products_Data3(),FertiliserProducts[[#Headers],[Include or Exclude]], 40)</f>
        <v/>
      </c>
      <c r="I145" s="65" t="str" cm="1">
        <f t="array" ref="I145">Common_InputFunctions.Utility_DisplayArrayInTable(Fertiliser_SourceData.Fertiliser_Products_Data3(),FertiliserProducts[[#Headers],[Include or Exclude]], 40)</f>
        <v/>
      </c>
      <c r="J145" s="65" t="str" cm="1">
        <f t="array" ref="J145">Common_InputFunctions.Utility_DisplayArrayInTable(Fertiliser_SourceData.Fertiliser_Products_Data3(),FertiliserProducts[[#Headers],[Include or Exclude]], 40)</f>
        <v/>
      </c>
      <c r="K145" s="65" t="str" cm="1">
        <f t="array" ref="K145">Common_InputFunctions.Utility_DisplayArrayInTable(Fertiliser_SourceData.Fertiliser_Products_Data3(),FertiliserProducts[[#Headers],[Include or Exclude]], 40)</f>
        <v/>
      </c>
      <c r="L145" s="65" t="str" cm="1">
        <f t="array" ref="L145">Common_InputFunctions.Utility_DisplayArrayInTable(Fertiliser_SourceData.Fertiliser_Products_Data3(),FertiliserProducts[[#Headers],[Include or Exclude]], 40)</f>
        <v/>
      </c>
      <c r="M145" s="65" t="str" cm="1">
        <f t="array" ref="M145">Common_InputFunctions.Utility_DisplayArrayInTable(Fertiliser_SourceData.Fertiliser_Products_Data3(),FertiliserProducts[[#Headers],[Include or Exclude]], 40)</f>
        <v/>
      </c>
      <c r="N145" s="65" t="str" cm="1">
        <f t="array" ref="N145">Common_InputFunctions.Utility_DisplayArrayInTable(Fertiliser_SourceData.Fertiliser_Products_Data3(),FertiliserProducts[[#Headers],[Include or Exclude]], 40)</f>
        <v/>
      </c>
      <c r="O145" s="65" t="str" cm="1">
        <f t="array" ref="O145">Common_InputFunctions.Utility_DisplayArrayInTable(Fertiliser_SourceData.Fertiliser_Products_Data3(),FertiliserProducts[[#Headers],[Include or Exclude]], 40)</f>
        <v/>
      </c>
      <c r="P145" s="65" t="str" cm="1">
        <f t="array" ref="P145">Common_InputFunctions.Utility_DisplayArrayInTable(Fertiliser_SourceData.Fertiliser_Products_Data3(),FertiliserProducts[[#Headers],[Include or Exclude]], 40)</f>
        <v/>
      </c>
      <c r="Q145" s="65" t="str" cm="1">
        <f t="array" ref="Q145">Common_InputFunctions.Utility_DisplayArrayInTable(Fertiliser_SourceData.Fertiliser_Products_Data3(),FertiliserProducts[[#Headers],[Include or Exclude]], 40)</f>
        <v/>
      </c>
      <c r="R145" s="65" t="str" cm="1">
        <f t="array" ref="R145">Common_InputFunctions.Utility_DisplayArrayInTable(Fertiliser_SourceData.Fertiliser_Products_Data3(),FertiliserProducts[[#Headers],[Include or Exclude]], 40)</f>
        <v/>
      </c>
      <c r="S145" s="65" t="str" cm="1">
        <f t="array" ref="S145">Common_InputFunctions.Utility_DisplayArrayInTable(Fertiliser_SourceData.Fertiliser_Products_Data3(),FertiliserProducts[[#Headers],[Include or Exclude]], 40)</f>
        <v/>
      </c>
      <c r="T145" s="65" t="str" cm="1">
        <f t="array" ref="T145">Common_InputFunctions.Utility_DisplayArrayInTable(Fertiliser_SourceData.Fertiliser_Products_Data3(),FertiliserProducts[[#Headers],[Include or Exclude]], 40)</f>
        <v/>
      </c>
      <c r="U145" s="65" t="str" cm="1">
        <f t="array" ref="U145">Common_InputFunctions.Utility_DisplayArrayInTable(Fertiliser_SourceData.Fertiliser_Products_Data3(),FertiliserProducts[[#Headers],[Include or Exclude]], 40)</f>
        <v/>
      </c>
      <c r="V145" s="65" t="str" cm="1">
        <f t="array" ref="V145">Common_InputFunctions.Utility_DisplayArrayInTable(Fertiliser_SourceData.Fertiliser_Products_Data3(),FertiliserProducts[[#Headers],[Include or Exclude]], 40)</f>
        <v/>
      </c>
      <c r="W145" s="65" t="str" cm="1">
        <f t="array" ref="W145">Common_InputFunctions.Utility_DisplayArrayInTable(Fertiliser_SourceData.Fertiliser_Products_Data3(),FertiliserProducts[[#Headers],[Include or Exclude]], 40)</f>
        <v>Crop Nutrition Solutions (Yara Australia)</v>
      </c>
      <c r="X145" s="65" t="str" cm="1">
        <f t="array" ref="X145">Common_InputFunctions.Utility_DisplayArrayInTable(Fertiliser_SourceData.Fertiliser_Products_Data3(),FertiliserProducts[[#Headers],[Include or Exclude]], 40)</f>
        <v/>
      </c>
      <c r="Y145" s="65" t="str" cm="1">
        <f t="array" ref="Y145">Common_InputFunctions.Utility_DisplayArrayInTable(Fertiliser_SourceData.Fertiliser_Products_Data3(),FertiliserProducts[[#Headers],[Include or Exclude]], 40)</f>
        <v/>
      </c>
      <c r="Z145" s="65"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4:31" ht="20.100000000000001" customHeight="1" x14ac:dyDescent="0.25">
      <c r="D146" s="65" t="str" cm="1">
        <f t="array" ref="D146">Common_InputFunctions.Utility_DisplayArrayInTable(Fertiliser_SourceData.Fertiliser_Products_Data3(),FertiliserProducts[[#Headers],[Include or Exclude]], 40)</f>
        <v>Yara Liquids SULSA 11-0-0+12S</v>
      </c>
      <c r="E146" s="65" t="str" cm="1">
        <f t="array" ref="E146">Common_InputFunctions.Utility_DisplayArrayInTable(Fertiliser_SourceData.Fertiliser_Products_Data3(),FertiliserProducts[[#Headers],[Include or Exclude]], 40)</f>
        <v/>
      </c>
      <c r="F146" s="65" t="str" cm="1">
        <f t="array" ref="F146">Common_InputFunctions.Utility_DisplayArrayInTable(Fertiliser_SourceData.Fertiliser_Products_Data3(),FertiliserProducts[[#Headers],[Include or Exclude]], 40)</f>
        <v/>
      </c>
      <c r="G146" s="65" t="str" cm="1">
        <f t="array" ref="G146">Common_InputFunctions.Utility_DisplayArrayInTable(Fertiliser_SourceData.Fertiliser_Products_Data3(),FertiliserProducts[[#Headers],[Include or Exclude]], 40)</f>
        <v/>
      </c>
      <c r="H146" s="65" t="str" cm="1">
        <f t="array" ref="H146">Common_InputFunctions.Utility_DisplayArrayInTable(Fertiliser_SourceData.Fertiliser_Products_Data3(),FertiliserProducts[[#Headers],[Include or Exclude]], 40)</f>
        <v/>
      </c>
      <c r="I146" s="65" t="str" cm="1">
        <f t="array" ref="I146">Common_InputFunctions.Utility_DisplayArrayInTable(Fertiliser_SourceData.Fertiliser_Products_Data3(),FertiliserProducts[[#Headers],[Include or Exclude]], 40)</f>
        <v/>
      </c>
      <c r="J146" s="65" t="str" cm="1">
        <f t="array" ref="J146">Common_InputFunctions.Utility_DisplayArrayInTable(Fertiliser_SourceData.Fertiliser_Products_Data3(),FertiliserProducts[[#Headers],[Include or Exclude]], 40)</f>
        <v/>
      </c>
      <c r="K146" s="65" t="str" cm="1">
        <f t="array" ref="K146">Common_InputFunctions.Utility_DisplayArrayInTable(Fertiliser_SourceData.Fertiliser_Products_Data3(),FertiliserProducts[[#Headers],[Include or Exclude]], 40)</f>
        <v/>
      </c>
      <c r="L146" s="65" t="str" cm="1">
        <f t="array" ref="L146">Common_InputFunctions.Utility_DisplayArrayInTable(Fertiliser_SourceData.Fertiliser_Products_Data3(),FertiliserProducts[[#Headers],[Include or Exclude]], 40)</f>
        <v/>
      </c>
      <c r="M146" s="65" t="str" cm="1">
        <f t="array" ref="M146">Common_InputFunctions.Utility_DisplayArrayInTable(Fertiliser_SourceData.Fertiliser_Products_Data3(),FertiliserProducts[[#Headers],[Include or Exclude]], 40)</f>
        <v/>
      </c>
      <c r="N146" s="65" t="str" cm="1">
        <f t="array" ref="N146">Common_InputFunctions.Utility_DisplayArrayInTable(Fertiliser_SourceData.Fertiliser_Products_Data3(),FertiliserProducts[[#Headers],[Include or Exclude]], 40)</f>
        <v/>
      </c>
      <c r="O146" s="65" t="str" cm="1">
        <f t="array" ref="O146">Common_InputFunctions.Utility_DisplayArrayInTable(Fertiliser_SourceData.Fertiliser_Products_Data3(),FertiliserProducts[[#Headers],[Include or Exclude]], 40)</f>
        <v/>
      </c>
      <c r="P146" s="65" t="str" cm="1">
        <f t="array" ref="P146">Common_InputFunctions.Utility_DisplayArrayInTable(Fertiliser_SourceData.Fertiliser_Products_Data3(),FertiliserProducts[[#Headers],[Include or Exclude]], 40)</f>
        <v/>
      </c>
      <c r="Q146" s="65" t="str" cm="1">
        <f t="array" ref="Q146">Common_InputFunctions.Utility_DisplayArrayInTable(Fertiliser_SourceData.Fertiliser_Products_Data3(),FertiliserProducts[[#Headers],[Include or Exclude]], 40)</f>
        <v/>
      </c>
      <c r="R146" s="65" t="str" cm="1">
        <f t="array" ref="R146">Common_InputFunctions.Utility_DisplayArrayInTable(Fertiliser_SourceData.Fertiliser_Products_Data3(),FertiliserProducts[[#Headers],[Include or Exclude]], 40)</f>
        <v/>
      </c>
      <c r="S146" s="65" t="str" cm="1">
        <f t="array" ref="S146">Common_InputFunctions.Utility_DisplayArrayInTable(Fertiliser_SourceData.Fertiliser_Products_Data3(),FertiliserProducts[[#Headers],[Include or Exclude]], 40)</f>
        <v/>
      </c>
      <c r="T146" s="65" t="str" cm="1">
        <f t="array" ref="T146">Common_InputFunctions.Utility_DisplayArrayInTable(Fertiliser_SourceData.Fertiliser_Products_Data3(),FertiliserProducts[[#Headers],[Include or Exclude]], 40)</f>
        <v/>
      </c>
      <c r="U146" s="65" t="str" cm="1">
        <f t="array" ref="U146">Common_InputFunctions.Utility_DisplayArrayInTable(Fertiliser_SourceData.Fertiliser_Products_Data3(),FertiliserProducts[[#Headers],[Include or Exclude]], 40)</f>
        <v/>
      </c>
      <c r="V146" s="65" t="str" cm="1">
        <f t="array" ref="V146">Common_InputFunctions.Utility_DisplayArrayInTable(Fertiliser_SourceData.Fertiliser_Products_Data3(),FertiliserProducts[[#Headers],[Include or Exclude]], 40)</f>
        <v/>
      </c>
      <c r="W146" s="65" t="str" cm="1">
        <f t="array" ref="W146">Common_InputFunctions.Utility_DisplayArrayInTable(Fertiliser_SourceData.Fertiliser_Products_Data3(),FertiliserProducts[[#Headers],[Include or Exclude]], 40)</f>
        <v>Crop Nutrition Solutions (Yara Australia)</v>
      </c>
      <c r="X146" s="65" t="str" cm="1">
        <f t="array" ref="X146">Common_InputFunctions.Utility_DisplayArrayInTable(Fertiliser_SourceData.Fertiliser_Products_Data3(),FertiliserProducts[[#Headers],[Include or Exclude]], 40)</f>
        <v/>
      </c>
      <c r="Y146" s="65" t="str" cm="1">
        <f t="array" ref="Y146">Common_InputFunctions.Utility_DisplayArrayInTable(Fertiliser_SourceData.Fertiliser_Products_Data3(),FertiliserProducts[[#Headers],[Include or Exclude]], 40)</f>
        <v/>
      </c>
      <c r="Z146" s="65"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4:31" ht="20.100000000000001" customHeight="1" x14ac:dyDescent="0.25">
      <c r="D147" s="65" t="str" cm="1">
        <f t="array" ref="D147">Common_InputFunctions.Utility_DisplayArrayInTable(Fertiliser_SourceData.Fertiliser_Products_Data3(),FertiliserProducts[[#Headers],[Include or Exclude]], 40)</f>
        <v>Yara Liquids SULSA 24-3-0+6S</v>
      </c>
      <c r="E147" s="65" t="str" cm="1">
        <f t="array" ref="E147">Common_InputFunctions.Utility_DisplayArrayInTable(Fertiliser_SourceData.Fertiliser_Products_Data3(),FertiliserProducts[[#Headers],[Include or Exclude]], 40)</f>
        <v/>
      </c>
      <c r="F147" s="65" t="str" cm="1">
        <f t="array" ref="F147">Common_InputFunctions.Utility_DisplayArrayInTable(Fertiliser_SourceData.Fertiliser_Products_Data3(),FertiliserProducts[[#Headers],[Include or Exclude]], 40)</f>
        <v/>
      </c>
      <c r="G147" s="65" t="str" cm="1">
        <f t="array" ref="G147">Common_InputFunctions.Utility_DisplayArrayInTable(Fertiliser_SourceData.Fertiliser_Products_Data3(),FertiliserProducts[[#Headers],[Include or Exclude]], 40)</f>
        <v/>
      </c>
      <c r="H147" s="65" t="str" cm="1">
        <f t="array" ref="H147">Common_InputFunctions.Utility_DisplayArrayInTable(Fertiliser_SourceData.Fertiliser_Products_Data3(),FertiliserProducts[[#Headers],[Include or Exclude]], 40)</f>
        <v/>
      </c>
      <c r="I147" s="65" t="str" cm="1">
        <f t="array" ref="I147">Common_InputFunctions.Utility_DisplayArrayInTable(Fertiliser_SourceData.Fertiliser_Products_Data3(),FertiliserProducts[[#Headers],[Include or Exclude]], 40)</f>
        <v/>
      </c>
      <c r="J147" s="65" t="str" cm="1">
        <f t="array" ref="J147">Common_InputFunctions.Utility_DisplayArrayInTable(Fertiliser_SourceData.Fertiliser_Products_Data3(),FertiliserProducts[[#Headers],[Include or Exclude]], 40)</f>
        <v/>
      </c>
      <c r="K147" s="65" t="str" cm="1">
        <f t="array" ref="K147">Common_InputFunctions.Utility_DisplayArrayInTable(Fertiliser_SourceData.Fertiliser_Products_Data3(),FertiliserProducts[[#Headers],[Include or Exclude]], 40)</f>
        <v/>
      </c>
      <c r="L147" s="65" t="str" cm="1">
        <f t="array" ref="L147">Common_InputFunctions.Utility_DisplayArrayInTable(Fertiliser_SourceData.Fertiliser_Products_Data3(),FertiliserProducts[[#Headers],[Include or Exclude]], 40)</f>
        <v/>
      </c>
      <c r="M147" s="65" t="str" cm="1">
        <f t="array" ref="M147">Common_InputFunctions.Utility_DisplayArrayInTable(Fertiliser_SourceData.Fertiliser_Products_Data3(),FertiliserProducts[[#Headers],[Include or Exclude]], 40)</f>
        <v/>
      </c>
      <c r="N147" s="65" t="str" cm="1">
        <f t="array" ref="N147">Common_InputFunctions.Utility_DisplayArrayInTable(Fertiliser_SourceData.Fertiliser_Products_Data3(),FertiliserProducts[[#Headers],[Include or Exclude]], 40)</f>
        <v/>
      </c>
      <c r="O147" s="65" t="str" cm="1">
        <f t="array" ref="O147">Common_InputFunctions.Utility_DisplayArrayInTable(Fertiliser_SourceData.Fertiliser_Products_Data3(),FertiliserProducts[[#Headers],[Include or Exclude]], 40)</f>
        <v/>
      </c>
      <c r="P147" s="65" t="str" cm="1">
        <f t="array" ref="P147">Common_InputFunctions.Utility_DisplayArrayInTable(Fertiliser_SourceData.Fertiliser_Products_Data3(),FertiliserProducts[[#Headers],[Include or Exclude]], 40)</f>
        <v/>
      </c>
      <c r="Q147" s="65" t="str" cm="1">
        <f t="array" ref="Q147">Common_InputFunctions.Utility_DisplayArrayInTable(Fertiliser_SourceData.Fertiliser_Products_Data3(),FertiliserProducts[[#Headers],[Include or Exclude]], 40)</f>
        <v/>
      </c>
      <c r="R147" s="65" t="str" cm="1">
        <f t="array" ref="R147">Common_InputFunctions.Utility_DisplayArrayInTable(Fertiliser_SourceData.Fertiliser_Products_Data3(),FertiliserProducts[[#Headers],[Include or Exclude]], 40)</f>
        <v/>
      </c>
      <c r="S147" s="65" t="str" cm="1">
        <f t="array" ref="S147">Common_InputFunctions.Utility_DisplayArrayInTable(Fertiliser_SourceData.Fertiliser_Products_Data3(),FertiliserProducts[[#Headers],[Include or Exclude]], 40)</f>
        <v/>
      </c>
      <c r="T147" s="65" t="str" cm="1">
        <f t="array" ref="T147">Common_InputFunctions.Utility_DisplayArrayInTable(Fertiliser_SourceData.Fertiliser_Products_Data3(),FertiliserProducts[[#Headers],[Include or Exclude]], 40)</f>
        <v/>
      </c>
      <c r="U147" s="65" t="str" cm="1">
        <f t="array" ref="U147">Common_InputFunctions.Utility_DisplayArrayInTable(Fertiliser_SourceData.Fertiliser_Products_Data3(),FertiliserProducts[[#Headers],[Include or Exclude]], 40)</f>
        <v/>
      </c>
      <c r="V147" s="65" t="str" cm="1">
        <f t="array" ref="V147">Common_InputFunctions.Utility_DisplayArrayInTable(Fertiliser_SourceData.Fertiliser_Products_Data3(),FertiliserProducts[[#Headers],[Include or Exclude]], 40)</f>
        <v/>
      </c>
      <c r="W147" s="65" t="str" cm="1">
        <f t="array" ref="W147">Common_InputFunctions.Utility_DisplayArrayInTable(Fertiliser_SourceData.Fertiliser_Products_Data3(),FertiliserProducts[[#Headers],[Include or Exclude]], 40)</f>
        <v>Crop Nutrition Solutions (Yara Australia)</v>
      </c>
      <c r="X147" s="65" t="str" cm="1">
        <f t="array" ref="X147">Common_InputFunctions.Utility_DisplayArrayInTable(Fertiliser_SourceData.Fertiliser_Products_Data3(),FertiliserProducts[[#Headers],[Include or Exclude]], 40)</f>
        <v/>
      </c>
      <c r="Y147" s="65" t="str" cm="1">
        <f t="array" ref="Y147">Common_InputFunctions.Utility_DisplayArrayInTable(Fertiliser_SourceData.Fertiliser_Products_Data3(),FertiliserProducts[[#Headers],[Include or Exclude]], 40)</f>
        <v/>
      </c>
      <c r="Z147" s="65"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4:31" ht="20.100000000000001" customHeight="1" x14ac:dyDescent="0.25">
      <c r="D148" s="65" t="str" cm="1">
        <f t="array" ref="D148">Common_InputFunctions.Utility_DisplayArrayInTable(Fertiliser_SourceData.Fertiliser_Products_Data3(),FertiliserProducts[[#Headers],[Include or Exclude]], 40)</f>
        <v>Yara Liquids SULSA 27-0-0+7S</v>
      </c>
      <c r="E148" s="65" t="str" cm="1">
        <f t="array" ref="E148">Common_InputFunctions.Utility_DisplayArrayInTable(Fertiliser_SourceData.Fertiliser_Products_Data3(),FertiliserProducts[[#Headers],[Include or Exclude]], 40)</f>
        <v/>
      </c>
      <c r="F148" s="65" t="str" cm="1">
        <f t="array" ref="F148">Common_InputFunctions.Utility_DisplayArrayInTable(Fertiliser_SourceData.Fertiliser_Products_Data3(),FertiliserProducts[[#Headers],[Include or Exclude]], 40)</f>
        <v/>
      </c>
      <c r="G148" s="65" t="str" cm="1">
        <f t="array" ref="G148">Common_InputFunctions.Utility_DisplayArrayInTable(Fertiliser_SourceData.Fertiliser_Products_Data3(),FertiliserProducts[[#Headers],[Include or Exclude]], 40)</f>
        <v/>
      </c>
      <c r="H148" s="65" t="str" cm="1">
        <f t="array" ref="H148">Common_InputFunctions.Utility_DisplayArrayInTable(Fertiliser_SourceData.Fertiliser_Products_Data3(),FertiliserProducts[[#Headers],[Include or Exclude]], 40)</f>
        <v/>
      </c>
      <c r="I148" s="65" t="str" cm="1">
        <f t="array" ref="I148">Common_InputFunctions.Utility_DisplayArrayInTable(Fertiliser_SourceData.Fertiliser_Products_Data3(),FertiliserProducts[[#Headers],[Include or Exclude]], 40)</f>
        <v/>
      </c>
      <c r="J148" s="65" t="str" cm="1">
        <f t="array" ref="J148">Common_InputFunctions.Utility_DisplayArrayInTable(Fertiliser_SourceData.Fertiliser_Products_Data3(),FertiliserProducts[[#Headers],[Include or Exclude]], 40)</f>
        <v/>
      </c>
      <c r="K148" s="65" t="str" cm="1">
        <f t="array" ref="K148">Common_InputFunctions.Utility_DisplayArrayInTable(Fertiliser_SourceData.Fertiliser_Products_Data3(),FertiliserProducts[[#Headers],[Include or Exclude]], 40)</f>
        <v/>
      </c>
      <c r="L148" s="65" t="str" cm="1">
        <f t="array" ref="L148">Common_InputFunctions.Utility_DisplayArrayInTable(Fertiliser_SourceData.Fertiliser_Products_Data3(),FertiliserProducts[[#Headers],[Include or Exclude]], 40)</f>
        <v/>
      </c>
      <c r="M148" s="65" t="str" cm="1">
        <f t="array" ref="M148">Common_InputFunctions.Utility_DisplayArrayInTable(Fertiliser_SourceData.Fertiliser_Products_Data3(),FertiliserProducts[[#Headers],[Include or Exclude]], 40)</f>
        <v/>
      </c>
      <c r="N148" s="65" t="str" cm="1">
        <f t="array" ref="N148">Common_InputFunctions.Utility_DisplayArrayInTable(Fertiliser_SourceData.Fertiliser_Products_Data3(),FertiliserProducts[[#Headers],[Include or Exclude]], 40)</f>
        <v/>
      </c>
      <c r="O148" s="65" t="str" cm="1">
        <f t="array" ref="O148">Common_InputFunctions.Utility_DisplayArrayInTable(Fertiliser_SourceData.Fertiliser_Products_Data3(),FertiliserProducts[[#Headers],[Include or Exclude]], 40)</f>
        <v/>
      </c>
      <c r="P148" s="65" t="str" cm="1">
        <f t="array" ref="P148">Common_InputFunctions.Utility_DisplayArrayInTable(Fertiliser_SourceData.Fertiliser_Products_Data3(),FertiliserProducts[[#Headers],[Include or Exclude]], 40)</f>
        <v/>
      </c>
      <c r="Q148" s="65" t="str" cm="1">
        <f t="array" ref="Q148">Common_InputFunctions.Utility_DisplayArrayInTable(Fertiliser_SourceData.Fertiliser_Products_Data3(),FertiliserProducts[[#Headers],[Include or Exclude]], 40)</f>
        <v/>
      </c>
      <c r="R148" s="65" t="str" cm="1">
        <f t="array" ref="R148">Common_InputFunctions.Utility_DisplayArrayInTable(Fertiliser_SourceData.Fertiliser_Products_Data3(),FertiliserProducts[[#Headers],[Include or Exclude]], 40)</f>
        <v/>
      </c>
      <c r="S148" s="65" t="str" cm="1">
        <f t="array" ref="S148">Common_InputFunctions.Utility_DisplayArrayInTable(Fertiliser_SourceData.Fertiliser_Products_Data3(),FertiliserProducts[[#Headers],[Include or Exclude]], 40)</f>
        <v/>
      </c>
      <c r="T148" s="65" t="str" cm="1">
        <f t="array" ref="T148">Common_InputFunctions.Utility_DisplayArrayInTable(Fertiliser_SourceData.Fertiliser_Products_Data3(),FertiliserProducts[[#Headers],[Include or Exclude]], 40)</f>
        <v/>
      </c>
      <c r="U148" s="65" t="str" cm="1">
        <f t="array" ref="U148">Common_InputFunctions.Utility_DisplayArrayInTable(Fertiliser_SourceData.Fertiliser_Products_Data3(),FertiliserProducts[[#Headers],[Include or Exclude]], 40)</f>
        <v/>
      </c>
      <c r="V148" s="65" t="str" cm="1">
        <f t="array" ref="V148">Common_InputFunctions.Utility_DisplayArrayInTable(Fertiliser_SourceData.Fertiliser_Products_Data3(),FertiliserProducts[[#Headers],[Include or Exclude]], 40)</f>
        <v/>
      </c>
      <c r="W148" s="65" t="str" cm="1">
        <f t="array" ref="W148">Common_InputFunctions.Utility_DisplayArrayInTable(Fertiliser_SourceData.Fertiliser_Products_Data3(),FertiliserProducts[[#Headers],[Include or Exclude]], 40)</f>
        <v>Crop Nutrition Solutions (Yara Australia)</v>
      </c>
      <c r="X148" s="65" t="str" cm="1">
        <f t="array" ref="X148">Common_InputFunctions.Utility_DisplayArrayInTable(Fertiliser_SourceData.Fertiliser_Products_Data3(),FertiliserProducts[[#Headers],[Include or Exclude]], 40)</f>
        <v/>
      </c>
      <c r="Y148" s="65" t="str" cm="1">
        <f t="array" ref="Y148">Common_InputFunctions.Utility_DisplayArrayInTable(Fertiliser_SourceData.Fertiliser_Products_Data3(),FertiliserProducts[[#Headers],[Include or Exclude]], 40)</f>
        <v/>
      </c>
      <c r="Z148" s="65"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4:31" ht="20.100000000000001" customHeight="1" x14ac:dyDescent="0.25">
      <c r="D149" s="65" t="str" cm="1">
        <f t="array" ref="D149">Common_InputFunctions.Utility_DisplayArrayInTable(Fertiliser_SourceData.Fertiliser_Products_Data4(),FertiliserProducts[[#Headers],[Include or Exclude]], 60)</f>
        <v>Product</v>
      </c>
      <c r="E149" s="65" t="str" cm="1">
        <f t="array" ref="E149">Common_InputFunctions.Utility_DisplayArrayInTable(Fertiliser_SourceData.Fertiliser_Products_Data4(),FertiliserProducts[[#Headers],[Include or Exclude]], 60)</f>
        <v>Ingredient 1</v>
      </c>
      <c r="F149" s="65" t="str" cm="1">
        <f t="array" ref="F149">Common_InputFunctions.Utility_DisplayArrayInTable(Fertiliser_SourceData.Fertiliser_Products_Data4(),FertiliserProducts[[#Headers],[Include or Exclude]], 60)</f>
        <v>Ingredient 1 percent</v>
      </c>
      <c r="G149" s="65" t="str" cm="1">
        <f t="array" ref="G149">Common_InputFunctions.Utility_DisplayArrayInTable(Fertiliser_SourceData.Fertiliser_Products_Data4(),FertiliserProducts[[#Headers],[Include or Exclude]], 60)</f>
        <v>Ingredient 1 source</v>
      </c>
      <c r="H149" s="65" t="str" cm="1">
        <f t="array" ref="H149">Common_InputFunctions.Utility_DisplayArrayInTable(Fertiliser_SourceData.Fertiliser_Products_Data4(),FertiliserProducts[[#Headers],[Include or Exclude]], 60)</f>
        <v>Ingredient 2</v>
      </c>
      <c r="I149" s="65" t="str" cm="1">
        <f t="array" ref="I149">Common_InputFunctions.Utility_DisplayArrayInTable(Fertiliser_SourceData.Fertiliser_Products_Data4(),FertiliserProducts[[#Headers],[Include or Exclude]], 60)</f>
        <v>Ingredient 2 percent</v>
      </c>
      <c r="J149" s="65" t="str" cm="1">
        <f t="array" ref="J149">Common_InputFunctions.Utility_DisplayArrayInTable(Fertiliser_SourceData.Fertiliser_Products_Data4(),FertiliserProducts[[#Headers],[Include or Exclude]], 60)</f>
        <v>Ingredient 2 source</v>
      </c>
      <c r="K149" s="65" t="str" cm="1">
        <f t="array" ref="K149">Common_InputFunctions.Utility_DisplayArrayInTable(Fertiliser_SourceData.Fertiliser_Products_Data4(),FertiliserProducts[[#Headers],[Include or Exclude]], 60)</f>
        <v>Ingredient 3</v>
      </c>
      <c r="L149" s="65" t="str" cm="1">
        <f t="array" ref="L149">Common_InputFunctions.Utility_DisplayArrayInTable(Fertiliser_SourceData.Fertiliser_Products_Data4(),FertiliserProducts[[#Headers],[Include or Exclude]], 60)</f>
        <v>Ingredient 3 percent</v>
      </c>
      <c r="M149" s="65" t="str" cm="1">
        <f t="array" ref="M149">Common_InputFunctions.Utility_DisplayArrayInTable(Fertiliser_SourceData.Fertiliser_Products_Data4(),FertiliserProducts[[#Headers],[Include or Exclude]], 60)</f>
        <v>Ingredient 3 source</v>
      </c>
      <c r="N149" s="65" t="str" cm="1">
        <f t="array" ref="N149">Common_InputFunctions.Utility_DisplayArrayInTable(Fertiliser_SourceData.Fertiliser_Products_Data4(),FertiliserProducts[[#Headers],[Include or Exclude]], 60)</f>
        <v>Ingredient 4</v>
      </c>
      <c r="O149" s="65" t="str" cm="1">
        <f t="array" ref="O149">Common_InputFunctions.Utility_DisplayArrayInTable(Fertiliser_SourceData.Fertiliser_Products_Data4(),FertiliserProducts[[#Headers],[Include or Exclude]], 60)</f>
        <v>Ingredient 4 percent</v>
      </c>
      <c r="P149" s="65" t="str" cm="1">
        <f t="array" ref="P149">Common_InputFunctions.Utility_DisplayArrayInTable(Fertiliser_SourceData.Fertiliser_Products_Data4(),FertiliserProducts[[#Headers],[Include or Exclude]], 60)</f>
        <v>Ingredient 4 source</v>
      </c>
      <c r="Q149" s="65" t="str" cm="1">
        <f t="array" ref="Q149">Common_InputFunctions.Utility_DisplayArrayInTable(Fertiliser_SourceData.Fertiliser_Products_Data4(),FertiliserProducts[[#Headers],[Include or Exclude]], 60)</f>
        <v>Ingredient 5</v>
      </c>
      <c r="R149" s="65" t="str" cm="1">
        <f t="array" ref="R149">Common_InputFunctions.Utility_DisplayArrayInTable(Fertiliser_SourceData.Fertiliser_Products_Data4(),FertiliserProducts[[#Headers],[Include or Exclude]], 60)</f>
        <v>Ingredient 5 percent</v>
      </c>
      <c r="S149" s="65" t="str" cm="1">
        <f t="array" ref="S149">Common_InputFunctions.Utility_DisplayArrayInTable(Fertiliser_SourceData.Fertiliser_Products_Data4(),FertiliserProducts[[#Headers],[Include or Exclude]], 60)</f>
        <v>Ingredient 5 source</v>
      </c>
      <c r="T149" s="65" t="str" cm="1">
        <f t="array" ref="T149">Common_InputFunctions.Utility_DisplayArrayInTable(Fertiliser_SourceData.Fertiliser_Products_Data4(),FertiliserProducts[[#Headers],[Include or Exclude]], 60)</f>
        <v>Ingredient 6</v>
      </c>
      <c r="U149" s="65" t="str" cm="1">
        <f t="array" ref="U149">Common_InputFunctions.Utility_DisplayArrayInTable(Fertiliser_SourceData.Fertiliser_Products_Data4(),FertiliserProducts[[#Headers],[Include or Exclude]], 60)</f>
        <v>Ingredient 6 percent</v>
      </c>
      <c r="V149" s="65" t="str" cm="1">
        <f t="array" ref="V149">Common_InputFunctions.Utility_DisplayArrayInTable(Fertiliser_SourceData.Fertiliser_Products_Data4(),FertiliserProducts[[#Headers],[Include or Exclude]], 60)</f>
        <v>Ingredient 6 source</v>
      </c>
      <c r="W149" s="65" t="str" cm="1">
        <f t="array" ref="W149">Common_InputFunctions.Utility_DisplayArrayInTable(Fertiliser_SourceData.Fertiliser_Products_Data4(),FertiliserProducts[[#Headers],[Include or Exclude]], 60)</f>
        <v>Product info link</v>
      </c>
      <c r="X149" s="65" t="str" cm="1">
        <f t="array" ref="X149">Common_InputFunctions.Utility_DisplayArrayInTable(Fertiliser_SourceData.Fertiliser_Products_Data4(),FertiliserProducts[[#Headers],[Include or Exclude]], 60)</f>
        <v/>
      </c>
      <c r="Y149" s="65" t="str" cm="1">
        <f t="array" ref="Y149">Common_InputFunctions.Utility_DisplayArrayInTable(Fertiliser_SourceData.Fertiliser_Products_Data4(),FertiliserProducts[[#Headers],[Include or Exclude]], 60)</f>
        <v/>
      </c>
      <c r="Z149" s="65"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4:31" ht="20.100000000000001" customHeight="1" x14ac:dyDescent="0.25">
      <c r="D150" s="65" t="str" cm="1">
        <f t="array" ref="D150">Common_InputFunctions.Utility_DisplayArrayInTable(Fertiliser_SourceData.Fertiliser_Products_Data4(),FertiliserProducts[[#Headers],[Include or Exclude]], 60)</f>
        <v>YaraVita BRASSITREL PRO</v>
      </c>
      <c r="E150" s="65" t="str" cm="1">
        <f t="array" ref="E150">Common_InputFunctions.Utility_DisplayArrayInTable(Fertiliser_SourceData.Fertiliser_Products_Data4(),FertiliserProducts[[#Headers],[Include or Exclude]], 60)</f>
        <v/>
      </c>
      <c r="F150" s="65" t="str" cm="1">
        <f t="array" ref="F150">Common_InputFunctions.Utility_DisplayArrayInTable(Fertiliser_SourceData.Fertiliser_Products_Data4(),FertiliserProducts[[#Headers],[Include or Exclude]], 60)</f>
        <v/>
      </c>
      <c r="G150" s="65" t="str" cm="1">
        <f t="array" ref="G150">Common_InputFunctions.Utility_DisplayArrayInTable(Fertiliser_SourceData.Fertiliser_Products_Data4(),FertiliserProducts[[#Headers],[Include or Exclude]], 60)</f>
        <v/>
      </c>
      <c r="H150" s="65" t="str" cm="1">
        <f t="array" ref="H150">Common_InputFunctions.Utility_DisplayArrayInTable(Fertiliser_SourceData.Fertiliser_Products_Data4(),FertiliserProducts[[#Headers],[Include or Exclude]], 60)</f>
        <v/>
      </c>
      <c r="I150" s="65" t="str" cm="1">
        <f t="array" ref="I150">Common_InputFunctions.Utility_DisplayArrayInTable(Fertiliser_SourceData.Fertiliser_Products_Data4(),FertiliserProducts[[#Headers],[Include or Exclude]], 60)</f>
        <v/>
      </c>
      <c r="J150" s="65" t="str" cm="1">
        <f t="array" ref="J150">Common_InputFunctions.Utility_DisplayArrayInTable(Fertiliser_SourceData.Fertiliser_Products_Data4(),FertiliserProducts[[#Headers],[Include or Exclude]], 60)</f>
        <v/>
      </c>
      <c r="K150" s="65" t="str" cm="1">
        <f t="array" ref="K150">Common_InputFunctions.Utility_DisplayArrayInTable(Fertiliser_SourceData.Fertiliser_Products_Data4(),FertiliserProducts[[#Headers],[Include or Exclude]], 60)</f>
        <v/>
      </c>
      <c r="L150" s="65" t="str" cm="1">
        <f t="array" ref="L150">Common_InputFunctions.Utility_DisplayArrayInTable(Fertiliser_SourceData.Fertiliser_Products_Data4(),FertiliserProducts[[#Headers],[Include or Exclude]], 60)</f>
        <v/>
      </c>
      <c r="M150" s="65" t="str" cm="1">
        <f t="array" ref="M150">Common_InputFunctions.Utility_DisplayArrayInTable(Fertiliser_SourceData.Fertiliser_Products_Data4(),FertiliserProducts[[#Headers],[Include or Exclude]], 60)</f>
        <v/>
      </c>
      <c r="N150" s="65" t="str" cm="1">
        <f t="array" ref="N150">Common_InputFunctions.Utility_DisplayArrayInTable(Fertiliser_SourceData.Fertiliser_Products_Data4(),FertiliserProducts[[#Headers],[Include or Exclude]], 60)</f>
        <v/>
      </c>
      <c r="O150" s="65" t="str" cm="1">
        <f t="array" ref="O150">Common_InputFunctions.Utility_DisplayArrayInTable(Fertiliser_SourceData.Fertiliser_Products_Data4(),FertiliserProducts[[#Headers],[Include or Exclude]], 60)</f>
        <v/>
      </c>
      <c r="P150" s="65" t="str" cm="1">
        <f t="array" ref="P150">Common_InputFunctions.Utility_DisplayArrayInTable(Fertiliser_SourceData.Fertiliser_Products_Data4(),FertiliserProducts[[#Headers],[Include or Exclude]], 60)</f>
        <v/>
      </c>
      <c r="Q150" s="65" t="str" cm="1">
        <f t="array" ref="Q150">Common_InputFunctions.Utility_DisplayArrayInTable(Fertiliser_SourceData.Fertiliser_Products_Data4(),FertiliserProducts[[#Headers],[Include or Exclude]], 60)</f>
        <v/>
      </c>
      <c r="R150" s="65" t="str" cm="1">
        <f t="array" ref="R150">Common_InputFunctions.Utility_DisplayArrayInTable(Fertiliser_SourceData.Fertiliser_Products_Data4(),FertiliserProducts[[#Headers],[Include or Exclude]], 60)</f>
        <v/>
      </c>
      <c r="S150" s="65" t="str" cm="1">
        <f t="array" ref="S150">Common_InputFunctions.Utility_DisplayArrayInTable(Fertiliser_SourceData.Fertiliser_Products_Data4(),FertiliserProducts[[#Headers],[Include or Exclude]], 60)</f>
        <v/>
      </c>
      <c r="T150" s="65" t="str" cm="1">
        <f t="array" ref="T150">Common_InputFunctions.Utility_DisplayArrayInTable(Fertiliser_SourceData.Fertiliser_Products_Data4(),FertiliserProducts[[#Headers],[Include or Exclude]], 60)</f>
        <v/>
      </c>
      <c r="U150" s="65" t="str" cm="1">
        <f t="array" ref="U150">Common_InputFunctions.Utility_DisplayArrayInTable(Fertiliser_SourceData.Fertiliser_Products_Data4(),FertiliserProducts[[#Headers],[Include or Exclude]], 60)</f>
        <v/>
      </c>
      <c r="V150" s="65" t="str" cm="1">
        <f t="array" ref="V150">Common_InputFunctions.Utility_DisplayArrayInTable(Fertiliser_SourceData.Fertiliser_Products_Data4(),FertiliserProducts[[#Headers],[Include or Exclude]], 60)</f>
        <v/>
      </c>
      <c r="W150" s="65" t="str" cm="1">
        <f t="array" ref="W150">Common_InputFunctions.Utility_DisplayArrayInTable(Fertiliser_SourceData.Fertiliser_Products_Data4(),FertiliserProducts[[#Headers],[Include or Exclude]], 60)</f>
        <v>Crop Nutrition Solutions (Yara Australia)</v>
      </c>
      <c r="X150" s="65" t="str" cm="1">
        <f t="array" ref="X150">Common_InputFunctions.Utility_DisplayArrayInTable(Fertiliser_SourceData.Fertiliser_Products_Data4(),FertiliserProducts[[#Headers],[Include or Exclude]], 60)</f>
        <v/>
      </c>
      <c r="Y150" s="65" t="str" cm="1">
        <f t="array" ref="Y150">Common_InputFunctions.Utility_DisplayArrayInTable(Fertiliser_SourceData.Fertiliser_Products_Data4(),FertiliserProducts[[#Headers],[Include or Exclude]], 60)</f>
        <v/>
      </c>
      <c r="Z150" s="65"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4:31" ht="20.100000000000001" customHeight="1" x14ac:dyDescent="0.25">
      <c r="D151" s="65" t="str" cm="1">
        <f t="array" ref="D151">Common_InputFunctions.Utility_DisplayArrayInTable(Fertiliser_SourceData.Fertiliser_Products_Data4(),FertiliserProducts[[#Headers],[Include or Exclude]], 60)</f>
        <v>YaraVita BUD BUILDER FL</v>
      </c>
      <c r="E151" s="65" t="str" cm="1">
        <f t="array" ref="E151">Common_InputFunctions.Utility_DisplayArrayInTable(Fertiliser_SourceData.Fertiliser_Products_Data4(),FertiliserProducts[[#Headers],[Include or Exclude]], 60)</f>
        <v/>
      </c>
      <c r="F151" s="65" t="str" cm="1">
        <f t="array" ref="F151">Common_InputFunctions.Utility_DisplayArrayInTable(Fertiliser_SourceData.Fertiliser_Products_Data4(),FertiliserProducts[[#Headers],[Include or Exclude]], 60)</f>
        <v/>
      </c>
      <c r="G151" s="65" t="str" cm="1">
        <f t="array" ref="G151">Common_InputFunctions.Utility_DisplayArrayInTable(Fertiliser_SourceData.Fertiliser_Products_Data4(),FertiliserProducts[[#Headers],[Include or Exclude]], 60)</f>
        <v/>
      </c>
      <c r="H151" s="65" t="str" cm="1">
        <f t="array" ref="H151">Common_InputFunctions.Utility_DisplayArrayInTable(Fertiliser_SourceData.Fertiliser_Products_Data4(),FertiliserProducts[[#Headers],[Include or Exclude]], 60)</f>
        <v/>
      </c>
      <c r="I151" s="65" t="str" cm="1">
        <f t="array" ref="I151">Common_InputFunctions.Utility_DisplayArrayInTable(Fertiliser_SourceData.Fertiliser_Products_Data4(),FertiliserProducts[[#Headers],[Include or Exclude]], 60)</f>
        <v/>
      </c>
      <c r="J151" s="65" t="str" cm="1">
        <f t="array" ref="J151">Common_InputFunctions.Utility_DisplayArrayInTable(Fertiliser_SourceData.Fertiliser_Products_Data4(),FertiliserProducts[[#Headers],[Include or Exclude]], 60)</f>
        <v/>
      </c>
      <c r="K151" s="65" t="str" cm="1">
        <f t="array" ref="K151">Common_InputFunctions.Utility_DisplayArrayInTable(Fertiliser_SourceData.Fertiliser_Products_Data4(),FertiliserProducts[[#Headers],[Include or Exclude]], 60)</f>
        <v/>
      </c>
      <c r="L151" s="65" t="str" cm="1">
        <f t="array" ref="L151">Common_InputFunctions.Utility_DisplayArrayInTable(Fertiliser_SourceData.Fertiliser_Products_Data4(),FertiliserProducts[[#Headers],[Include or Exclude]], 60)</f>
        <v/>
      </c>
      <c r="M151" s="65" t="str" cm="1">
        <f t="array" ref="M151">Common_InputFunctions.Utility_DisplayArrayInTable(Fertiliser_SourceData.Fertiliser_Products_Data4(),FertiliserProducts[[#Headers],[Include or Exclude]], 60)</f>
        <v/>
      </c>
      <c r="N151" s="65" t="str" cm="1">
        <f t="array" ref="N151">Common_InputFunctions.Utility_DisplayArrayInTable(Fertiliser_SourceData.Fertiliser_Products_Data4(),FertiliserProducts[[#Headers],[Include or Exclude]], 60)</f>
        <v/>
      </c>
      <c r="O151" s="65" t="str" cm="1">
        <f t="array" ref="O151">Common_InputFunctions.Utility_DisplayArrayInTable(Fertiliser_SourceData.Fertiliser_Products_Data4(),FertiliserProducts[[#Headers],[Include or Exclude]], 60)</f>
        <v/>
      </c>
      <c r="P151" s="65" t="str" cm="1">
        <f t="array" ref="P151">Common_InputFunctions.Utility_DisplayArrayInTable(Fertiliser_SourceData.Fertiliser_Products_Data4(),FertiliserProducts[[#Headers],[Include or Exclude]], 60)</f>
        <v/>
      </c>
      <c r="Q151" s="65" t="str" cm="1">
        <f t="array" ref="Q151">Common_InputFunctions.Utility_DisplayArrayInTable(Fertiliser_SourceData.Fertiliser_Products_Data4(),FertiliserProducts[[#Headers],[Include or Exclude]], 60)</f>
        <v/>
      </c>
      <c r="R151" s="65" t="str" cm="1">
        <f t="array" ref="R151">Common_InputFunctions.Utility_DisplayArrayInTable(Fertiliser_SourceData.Fertiliser_Products_Data4(),FertiliserProducts[[#Headers],[Include or Exclude]], 60)</f>
        <v/>
      </c>
      <c r="S151" s="65" t="str" cm="1">
        <f t="array" ref="S151">Common_InputFunctions.Utility_DisplayArrayInTable(Fertiliser_SourceData.Fertiliser_Products_Data4(),FertiliserProducts[[#Headers],[Include or Exclude]], 60)</f>
        <v/>
      </c>
      <c r="T151" s="65" t="str" cm="1">
        <f t="array" ref="T151">Common_InputFunctions.Utility_DisplayArrayInTable(Fertiliser_SourceData.Fertiliser_Products_Data4(),FertiliserProducts[[#Headers],[Include or Exclude]], 60)</f>
        <v/>
      </c>
      <c r="U151" s="65" t="str" cm="1">
        <f t="array" ref="U151">Common_InputFunctions.Utility_DisplayArrayInTable(Fertiliser_SourceData.Fertiliser_Products_Data4(),FertiliserProducts[[#Headers],[Include or Exclude]], 60)</f>
        <v/>
      </c>
      <c r="V151" s="65" t="str" cm="1">
        <f t="array" ref="V151">Common_InputFunctions.Utility_DisplayArrayInTable(Fertiliser_SourceData.Fertiliser_Products_Data4(),FertiliserProducts[[#Headers],[Include or Exclude]], 60)</f>
        <v/>
      </c>
      <c r="W151" s="65" t="str" cm="1">
        <f t="array" ref="W151">Common_InputFunctions.Utility_DisplayArrayInTable(Fertiliser_SourceData.Fertiliser_Products_Data4(),FertiliserProducts[[#Headers],[Include or Exclude]], 60)</f>
        <v>Crop Nutrition Solutions (Yara Australia)</v>
      </c>
      <c r="X151" s="65" t="str" cm="1">
        <f t="array" ref="X151">Common_InputFunctions.Utility_DisplayArrayInTable(Fertiliser_SourceData.Fertiliser_Products_Data4(),FertiliserProducts[[#Headers],[Include or Exclude]], 60)</f>
        <v/>
      </c>
      <c r="Y151" s="65" t="str" cm="1">
        <f t="array" ref="Y151">Common_InputFunctions.Utility_DisplayArrayInTable(Fertiliser_SourceData.Fertiliser_Products_Data4(),FertiliserProducts[[#Headers],[Include or Exclude]], 60)</f>
        <v/>
      </c>
      <c r="Z151" s="65"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4:31" ht="20.100000000000001" customHeight="1" x14ac:dyDescent="0.25">
      <c r="D152" s="65" t="str" cm="1">
        <f t="array" ref="D152">Common_InputFunctions.Utility_DisplayArrayInTable(Fertiliser_SourceData.Fertiliser_Products_Data4(),FertiliserProducts[[#Headers],[Include or Exclude]], 60)</f>
        <v>YaraVita FRUTREL</v>
      </c>
      <c r="E152" s="65" t="str" cm="1">
        <f t="array" ref="E152">Common_InputFunctions.Utility_DisplayArrayInTable(Fertiliser_SourceData.Fertiliser_Products_Data4(),FertiliserProducts[[#Headers],[Include or Exclude]], 60)</f>
        <v/>
      </c>
      <c r="F152" s="65" t="str" cm="1">
        <f t="array" ref="F152">Common_InputFunctions.Utility_DisplayArrayInTable(Fertiliser_SourceData.Fertiliser_Products_Data4(),FertiliserProducts[[#Headers],[Include or Exclude]], 60)</f>
        <v/>
      </c>
      <c r="G152" s="65" t="str" cm="1">
        <f t="array" ref="G152">Common_InputFunctions.Utility_DisplayArrayInTable(Fertiliser_SourceData.Fertiliser_Products_Data4(),FertiliserProducts[[#Headers],[Include or Exclude]], 60)</f>
        <v/>
      </c>
      <c r="H152" s="65" t="str" cm="1">
        <f t="array" ref="H152">Common_InputFunctions.Utility_DisplayArrayInTable(Fertiliser_SourceData.Fertiliser_Products_Data4(),FertiliserProducts[[#Headers],[Include or Exclude]], 60)</f>
        <v/>
      </c>
      <c r="I152" s="65" t="str" cm="1">
        <f t="array" ref="I152">Common_InputFunctions.Utility_DisplayArrayInTable(Fertiliser_SourceData.Fertiliser_Products_Data4(),FertiliserProducts[[#Headers],[Include or Exclude]], 60)</f>
        <v/>
      </c>
      <c r="J152" s="65" t="str" cm="1">
        <f t="array" ref="J152">Common_InputFunctions.Utility_DisplayArrayInTable(Fertiliser_SourceData.Fertiliser_Products_Data4(),FertiliserProducts[[#Headers],[Include or Exclude]], 60)</f>
        <v/>
      </c>
      <c r="K152" s="65" t="str" cm="1">
        <f t="array" ref="K152">Common_InputFunctions.Utility_DisplayArrayInTable(Fertiliser_SourceData.Fertiliser_Products_Data4(),FertiliserProducts[[#Headers],[Include or Exclude]], 60)</f>
        <v/>
      </c>
      <c r="L152" s="65" t="str" cm="1">
        <f t="array" ref="L152">Common_InputFunctions.Utility_DisplayArrayInTable(Fertiliser_SourceData.Fertiliser_Products_Data4(),FertiliserProducts[[#Headers],[Include or Exclude]], 60)</f>
        <v/>
      </c>
      <c r="M152" s="65" t="str" cm="1">
        <f t="array" ref="M152">Common_InputFunctions.Utility_DisplayArrayInTable(Fertiliser_SourceData.Fertiliser_Products_Data4(),FertiliserProducts[[#Headers],[Include or Exclude]], 60)</f>
        <v/>
      </c>
      <c r="N152" s="65" t="str" cm="1">
        <f t="array" ref="N152">Common_InputFunctions.Utility_DisplayArrayInTable(Fertiliser_SourceData.Fertiliser_Products_Data4(),FertiliserProducts[[#Headers],[Include or Exclude]], 60)</f>
        <v/>
      </c>
      <c r="O152" s="65" t="str" cm="1">
        <f t="array" ref="O152">Common_InputFunctions.Utility_DisplayArrayInTable(Fertiliser_SourceData.Fertiliser_Products_Data4(),FertiliserProducts[[#Headers],[Include or Exclude]], 60)</f>
        <v/>
      </c>
      <c r="P152" s="65" t="str" cm="1">
        <f t="array" ref="P152">Common_InputFunctions.Utility_DisplayArrayInTable(Fertiliser_SourceData.Fertiliser_Products_Data4(),FertiliserProducts[[#Headers],[Include or Exclude]], 60)</f>
        <v/>
      </c>
      <c r="Q152" s="65" t="str" cm="1">
        <f t="array" ref="Q152">Common_InputFunctions.Utility_DisplayArrayInTable(Fertiliser_SourceData.Fertiliser_Products_Data4(),FertiliserProducts[[#Headers],[Include or Exclude]], 60)</f>
        <v/>
      </c>
      <c r="R152" s="65" t="str" cm="1">
        <f t="array" ref="R152">Common_InputFunctions.Utility_DisplayArrayInTable(Fertiliser_SourceData.Fertiliser_Products_Data4(),FertiliserProducts[[#Headers],[Include or Exclude]], 60)</f>
        <v/>
      </c>
      <c r="S152" s="65" t="str" cm="1">
        <f t="array" ref="S152">Common_InputFunctions.Utility_DisplayArrayInTable(Fertiliser_SourceData.Fertiliser_Products_Data4(),FertiliserProducts[[#Headers],[Include or Exclude]], 60)</f>
        <v/>
      </c>
      <c r="T152" s="65" t="str" cm="1">
        <f t="array" ref="T152">Common_InputFunctions.Utility_DisplayArrayInTable(Fertiliser_SourceData.Fertiliser_Products_Data4(),FertiliserProducts[[#Headers],[Include or Exclude]], 60)</f>
        <v/>
      </c>
      <c r="U152" s="65" t="str" cm="1">
        <f t="array" ref="U152">Common_InputFunctions.Utility_DisplayArrayInTable(Fertiliser_SourceData.Fertiliser_Products_Data4(),FertiliserProducts[[#Headers],[Include or Exclude]], 60)</f>
        <v/>
      </c>
      <c r="V152" s="65" t="str" cm="1">
        <f t="array" ref="V152">Common_InputFunctions.Utility_DisplayArrayInTable(Fertiliser_SourceData.Fertiliser_Products_Data4(),FertiliserProducts[[#Headers],[Include or Exclude]], 60)</f>
        <v/>
      </c>
      <c r="W152" s="65" t="str" cm="1">
        <f t="array" ref="W152">Common_InputFunctions.Utility_DisplayArrayInTable(Fertiliser_SourceData.Fertiliser_Products_Data4(),FertiliserProducts[[#Headers],[Include or Exclude]], 60)</f>
        <v>Crop Nutrition Solutions (Yara Australia)</v>
      </c>
      <c r="X152" s="65" t="str" cm="1">
        <f t="array" ref="X152">Common_InputFunctions.Utility_DisplayArrayInTable(Fertiliser_SourceData.Fertiliser_Products_Data4(),FertiliserProducts[[#Headers],[Include or Exclude]], 60)</f>
        <v/>
      </c>
      <c r="Y152" s="65" t="str" cm="1">
        <f t="array" ref="Y152">Common_InputFunctions.Utility_DisplayArrayInTable(Fertiliser_SourceData.Fertiliser_Products_Data4(),FertiliserProducts[[#Headers],[Include or Exclude]], 60)</f>
        <v/>
      </c>
      <c r="Z152" s="65"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4:31" ht="20.100000000000001" customHeight="1" x14ac:dyDescent="0.25">
      <c r="D153" s="65" t="str" cm="1">
        <f t="array" ref="D153">Common_InputFunctions.Utility_DisplayArrayInTable(Fertiliser_SourceData.Fertiliser_Products_Data4(),FertiliserProducts[[#Headers],[Include or Exclude]], 60)</f>
        <v>YaraVita GLYTREL ZnP</v>
      </c>
      <c r="E153" s="65" t="str" cm="1">
        <f t="array" ref="E153">Common_InputFunctions.Utility_DisplayArrayInTable(Fertiliser_SourceData.Fertiliser_Products_Data4(),FertiliserProducts[[#Headers],[Include or Exclude]], 60)</f>
        <v/>
      </c>
      <c r="F153" s="65" t="str" cm="1">
        <f t="array" ref="F153">Common_InputFunctions.Utility_DisplayArrayInTable(Fertiliser_SourceData.Fertiliser_Products_Data4(),FertiliserProducts[[#Headers],[Include or Exclude]], 60)</f>
        <v/>
      </c>
      <c r="G153" s="65" t="str" cm="1">
        <f t="array" ref="G153">Common_InputFunctions.Utility_DisplayArrayInTable(Fertiliser_SourceData.Fertiliser_Products_Data4(),FertiliserProducts[[#Headers],[Include or Exclude]], 60)</f>
        <v/>
      </c>
      <c r="H153" s="65" t="str" cm="1">
        <f t="array" ref="H153">Common_InputFunctions.Utility_DisplayArrayInTable(Fertiliser_SourceData.Fertiliser_Products_Data4(),FertiliserProducts[[#Headers],[Include or Exclude]], 60)</f>
        <v/>
      </c>
      <c r="I153" s="65" t="str" cm="1">
        <f t="array" ref="I153">Common_InputFunctions.Utility_DisplayArrayInTable(Fertiliser_SourceData.Fertiliser_Products_Data4(),FertiliserProducts[[#Headers],[Include or Exclude]], 60)</f>
        <v/>
      </c>
      <c r="J153" s="65" t="str" cm="1">
        <f t="array" ref="J153">Common_InputFunctions.Utility_DisplayArrayInTable(Fertiliser_SourceData.Fertiliser_Products_Data4(),FertiliserProducts[[#Headers],[Include or Exclude]], 60)</f>
        <v/>
      </c>
      <c r="K153" s="65" t="str" cm="1">
        <f t="array" ref="K153">Common_InputFunctions.Utility_DisplayArrayInTable(Fertiliser_SourceData.Fertiliser_Products_Data4(),FertiliserProducts[[#Headers],[Include or Exclude]], 60)</f>
        <v/>
      </c>
      <c r="L153" s="65" t="str" cm="1">
        <f t="array" ref="L153">Common_InputFunctions.Utility_DisplayArrayInTable(Fertiliser_SourceData.Fertiliser_Products_Data4(),FertiliserProducts[[#Headers],[Include or Exclude]], 60)</f>
        <v/>
      </c>
      <c r="M153" s="65" t="str" cm="1">
        <f t="array" ref="M153">Common_InputFunctions.Utility_DisplayArrayInTable(Fertiliser_SourceData.Fertiliser_Products_Data4(),FertiliserProducts[[#Headers],[Include or Exclude]], 60)</f>
        <v/>
      </c>
      <c r="N153" s="65" t="str" cm="1">
        <f t="array" ref="N153">Common_InputFunctions.Utility_DisplayArrayInTable(Fertiliser_SourceData.Fertiliser_Products_Data4(),FertiliserProducts[[#Headers],[Include or Exclude]], 60)</f>
        <v/>
      </c>
      <c r="O153" s="65" t="str" cm="1">
        <f t="array" ref="O153">Common_InputFunctions.Utility_DisplayArrayInTable(Fertiliser_SourceData.Fertiliser_Products_Data4(),FertiliserProducts[[#Headers],[Include or Exclude]], 60)</f>
        <v/>
      </c>
      <c r="P153" s="65" t="str" cm="1">
        <f t="array" ref="P153">Common_InputFunctions.Utility_DisplayArrayInTable(Fertiliser_SourceData.Fertiliser_Products_Data4(),FertiliserProducts[[#Headers],[Include or Exclude]], 60)</f>
        <v/>
      </c>
      <c r="Q153" s="65" t="str" cm="1">
        <f t="array" ref="Q153">Common_InputFunctions.Utility_DisplayArrayInTable(Fertiliser_SourceData.Fertiliser_Products_Data4(),FertiliserProducts[[#Headers],[Include or Exclude]], 60)</f>
        <v/>
      </c>
      <c r="R153" s="65" t="str" cm="1">
        <f t="array" ref="R153">Common_InputFunctions.Utility_DisplayArrayInTable(Fertiliser_SourceData.Fertiliser_Products_Data4(),FertiliserProducts[[#Headers],[Include or Exclude]], 60)</f>
        <v/>
      </c>
      <c r="S153" s="65" t="str" cm="1">
        <f t="array" ref="S153">Common_InputFunctions.Utility_DisplayArrayInTable(Fertiliser_SourceData.Fertiliser_Products_Data4(),FertiliserProducts[[#Headers],[Include or Exclude]], 60)</f>
        <v/>
      </c>
      <c r="T153" s="65" t="str" cm="1">
        <f t="array" ref="T153">Common_InputFunctions.Utility_DisplayArrayInTable(Fertiliser_SourceData.Fertiliser_Products_Data4(),FertiliserProducts[[#Headers],[Include or Exclude]], 60)</f>
        <v/>
      </c>
      <c r="U153" s="65" t="str" cm="1">
        <f t="array" ref="U153">Common_InputFunctions.Utility_DisplayArrayInTable(Fertiliser_SourceData.Fertiliser_Products_Data4(),FertiliserProducts[[#Headers],[Include or Exclude]], 60)</f>
        <v/>
      </c>
      <c r="V153" s="65" t="str" cm="1">
        <f t="array" ref="V153">Common_InputFunctions.Utility_DisplayArrayInTable(Fertiliser_SourceData.Fertiliser_Products_Data4(),FertiliserProducts[[#Headers],[Include or Exclude]], 60)</f>
        <v/>
      </c>
      <c r="W153" s="65" t="str" cm="1">
        <f t="array" ref="W153">Common_InputFunctions.Utility_DisplayArrayInTable(Fertiliser_SourceData.Fertiliser_Products_Data4(),FertiliserProducts[[#Headers],[Include or Exclude]], 60)</f>
        <v>Crop Nutrition Solutions (Yara Australia)</v>
      </c>
      <c r="X153" s="65" t="str" cm="1">
        <f t="array" ref="X153">Common_InputFunctions.Utility_DisplayArrayInTable(Fertiliser_SourceData.Fertiliser_Products_Data4(),FertiliserProducts[[#Headers],[Include or Exclude]], 60)</f>
        <v/>
      </c>
      <c r="Y153" s="65" t="str" cm="1">
        <f t="array" ref="Y153">Common_InputFunctions.Utility_DisplayArrayInTable(Fertiliser_SourceData.Fertiliser_Products_Data4(),FertiliserProducts[[#Headers],[Include or Exclude]], 60)</f>
        <v/>
      </c>
      <c r="Z153" s="65"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FCB0-62AE-4125-B897-4FCFD0B878B7}">
  <dimension ref="A1:AI165"/>
  <sheetViews>
    <sheetView showGridLines="0" topLeftCell="A6" zoomScaleNormal="100" workbookViewId="0">
      <selection activeCell="G26" sqref="G26"/>
    </sheetView>
  </sheetViews>
  <sheetFormatPr defaultRowHeight="15.75" x14ac:dyDescent="0.25"/>
  <cols>
    <col min="1" max="1" width="26.875" style="3" customWidth="1"/>
    <col min="2" max="2" width="4.125" style="3" customWidth="1"/>
    <col min="3" max="3" width="4.125" style="8" customWidth="1"/>
    <col min="4" max="4" width="34.25" style="8" customWidth="1"/>
    <col min="5" max="5" width="27.87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87</v>
      </c>
      <c r="F112" s="20" t="s">
        <v>88</v>
      </c>
      <c r="G112" s="17"/>
      <c r="H112" s="28" t="s">
        <v>89</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90</v>
      </c>
      <c r="E130" s="34" t="s">
        <v>91</v>
      </c>
      <c r="F130" s="34" t="s">
        <v>92</v>
      </c>
      <c r="G130" s="34" t="s">
        <v>93</v>
      </c>
      <c r="H130" s="34" t="s">
        <v>94</v>
      </c>
      <c r="I130" s="34" t="s">
        <v>95</v>
      </c>
      <c r="J130" s="34" t="s">
        <v>96</v>
      </c>
      <c r="K130" s="17"/>
      <c r="L130" s="17"/>
      <c r="M130" s="17"/>
      <c r="AG130" s="8"/>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35" t="str">
        <f>$D$143</f>
        <v>Petrol</v>
      </c>
      <c r="K131" s="17"/>
      <c r="L131" s="17"/>
      <c r="M131" s="17"/>
      <c r="AG131" s="8"/>
    </row>
    <row r="132" spans="4:33" ht="20.100000000000001" customHeight="1" x14ac:dyDescent="0.25">
      <c r="D132" s="35" t="str">
        <f>$D$144</f>
        <v>Diesel</v>
      </c>
      <c r="E132" s="35" t="str">
        <f>$D$144</f>
        <v>Diesel</v>
      </c>
      <c r="F132" s="35" t="str">
        <f>$D$151</f>
        <v>Jet A1, Jet B</v>
      </c>
      <c r="G132" s="35" t="str">
        <f>$D$144</f>
        <v>Diesel</v>
      </c>
      <c r="H132" s="35"/>
      <c r="I132" s="35" t="str">
        <f>$D$144</f>
        <v>Diesel</v>
      </c>
      <c r="J132" s="35" t="str">
        <f>$D$144</f>
        <v>Diesel</v>
      </c>
      <c r="K132" s="17"/>
      <c r="L132" s="17"/>
      <c r="M132" s="17"/>
      <c r="AG132" s="8"/>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97</v>
      </c>
      <c r="J133" s="35" t="str">
        <f>$D$145</f>
        <v>Liquefied petroleum gas (LPG)</v>
      </c>
      <c r="K133" s="17"/>
      <c r="L133" s="17"/>
      <c r="M133" s="17"/>
      <c r="AG133" s="8"/>
    </row>
    <row r="134" spans="4:33" ht="20.100000000000001" customHeight="1" x14ac:dyDescent="0.25">
      <c r="D134" s="35" t="str">
        <f>$D$146</f>
        <v>Biodiesel</v>
      </c>
      <c r="E134" s="35" t="str">
        <f>$D$146</f>
        <v>Biodiesel</v>
      </c>
      <c r="F134" s="34"/>
      <c r="G134" s="35" t="str">
        <f>$D$160</f>
        <v>Fuel oil</v>
      </c>
      <c r="H134" s="35"/>
      <c r="I134" s="35"/>
      <c r="J134" s="35" t="str">
        <f>$D$146</f>
        <v>Biodiesel</v>
      </c>
      <c r="K134" s="17"/>
      <c r="L134" s="17"/>
      <c r="M134" s="17"/>
      <c r="AG134" s="8"/>
    </row>
    <row r="135" spans="4:33" ht="20.100000000000001" customHeight="1" x14ac:dyDescent="0.25">
      <c r="D135" s="35" t="str">
        <f>$D$147</f>
        <v>Ethanol</v>
      </c>
      <c r="E135" s="35" t="str">
        <f>$D$147</f>
        <v>Ethanol</v>
      </c>
      <c r="F135" s="34"/>
      <c r="G135" s="35" t="str">
        <f>$D$147</f>
        <v>Ethanol</v>
      </c>
      <c r="H135" s="35"/>
      <c r="I135" s="35"/>
      <c r="J135" s="35" t="str">
        <f>$D$147</f>
        <v>Ethanol</v>
      </c>
      <c r="K135" s="17"/>
      <c r="L135" s="17"/>
      <c r="M135" s="17"/>
      <c r="AG135" s="8"/>
    </row>
    <row r="136" spans="4:33" ht="20.100000000000001" customHeight="1" x14ac:dyDescent="0.25">
      <c r="D136" s="35" t="str">
        <f>$D$148</f>
        <v>Other biofuels</v>
      </c>
      <c r="E136" s="35" t="str">
        <f>$D$148</f>
        <v>Other biofuels</v>
      </c>
      <c r="F136" s="34"/>
      <c r="G136" s="35" t="str">
        <f>$D$146</f>
        <v>Biodiesel</v>
      </c>
      <c r="H136" s="35"/>
      <c r="I136" s="35"/>
      <c r="J136" s="35" t="str">
        <f>$D$148</f>
        <v>Other biofuels</v>
      </c>
      <c r="K136" s="17"/>
      <c r="L136" s="17"/>
      <c r="M136" s="17"/>
      <c r="AG136" s="8"/>
    </row>
    <row r="137" spans="4:33" ht="20.100000000000001" customHeight="1" x14ac:dyDescent="0.25">
      <c r="D137" s="35" t="str">
        <f>$D$149</f>
        <v>Renewable diesel</v>
      </c>
      <c r="E137" s="35" t="str">
        <f>$D$149</f>
        <v>Renewable diesel</v>
      </c>
      <c r="F137" s="34"/>
      <c r="G137" s="35" t="str">
        <f>$D$149</f>
        <v>Renewable diesel</v>
      </c>
      <c r="H137" s="35"/>
      <c r="I137" s="35"/>
      <c r="J137" s="35" t="str">
        <f>$D$149</f>
        <v>Renewable diesel</v>
      </c>
      <c r="K137" s="17"/>
      <c r="L137" s="17"/>
      <c r="M137" s="17"/>
      <c r="AG137" s="8"/>
    </row>
    <row r="138" spans="4:33" ht="20.100000000000001" customHeight="1" x14ac:dyDescent="0.25">
      <c r="D138" s="34"/>
      <c r="E138" s="36" t="str">
        <f>$D$161</f>
        <v>Natural gas (via pipeline) in GJ</v>
      </c>
      <c r="F138" s="36"/>
      <c r="G138" s="35" t="str">
        <f>$D$148</f>
        <v>Other biofuels</v>
      </c>
      <c r="H138" s="35"/>
      <c r="I138" s="35"/>
      <c r="J138" s="36" t="str">
        <f>$D$161</f>
        <v>Natural gas (via pipeline) in GJ</v>
      </c>
      <c r="K138" s="17"/>
      <c r="L138" s="17"/>
      <c r="M138" s="17"/>
      <c r="AG138" s="8"/>
    </row>
    <row r="139" spans="4:33" ht="20.100000000000001" customHeight="1" x14ac:dyDescent="0.25">
      <c r="D139" s="36"/>
      <c r="E139" s="36" t="str">
        <f>$D$162</f>
        <v>Town gas in GJ</v>
      </c>
      <c r="F139" s="36"/>
      <c r="G139" s="36"/>
      <c r="H139" s="36"/>
      <c r="I139" s="36"/>
      <c r="J139" s="36" t="str">
        <f>$D$162</f>
        <v>Town gas in GJ</v>
      </c>
      <c r="K139" s="17"/>
      <c r="L139" s="17"/>
      <c r="M139" s="17"/>
      <c r="AG139" s="8"/>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98</v>
      </c>
      <c r="E142" s="3" t="s">
        <v>99</v>
      </c>
      <c r="F142" s="17"/>
      <c r="G142" s="17"/>
      <c r="H142" s="17"/>
      <c r="I142" s="17"/>
      <c r="J142" s="17"/>
      <c r="K142" s="17"/>
      <c r="L142" s="17"/>
    </row>
    <row r="143" spans="4:33" ht="20.100000000000001" customHeight="1" x14ac:dyDescent="0.25">
      <c r="D143" s="35" t="s">
        <v>100</v>
      </c>
      <c r="E143" s="3" t="s">
        <v>101</v>
      </c>
      <c r="F143" s="17"/>
      <c r="G143" s="17"/>
      <c r="H143" s="17"/>
      <c r="I143" s="17"/>
      <c r="J143" s="17"/>
      <c r="K143" s="17"/>
      <c r="L143" s="17"/>
    </row>
    <row r="144" spans="4:33" ht="20.100000000000001" customHeight="1" x14ac:dyDescent="0.25">
      <c r="D144" s="35" t="s">
        <v>102</v>
      </c>
      <c r="E144" s="3" t="s">
        <v>101</v>
      </c>
      <c r="F144" s="17"/>
      <c r="G144" s="17"/>
      <c r="H144" s="17"/>
      <c r="I144" s="17"/>
      <c r="J144" s="17"/>
      <c r="K144" s="17"/>
      <c r="L144" s="17"/>
    </row>
    <row r="145" spans="4:12" ht="20.100000000000001" customHeight="1" x14ac:dyDescent="0.25">
      <c r="D145" s="35" t="s">
        <v>103</v>
      </c>
      <c r="E145" s="3" t="s">
        <v>101</v>
      </c>
      <c r="F145" s="17"/>
      <c r="G145" s="17"/>
      <c r="H145" s="17"/>
      <c r="I145" s="17"/>
      <c r="J145" s="17"/>
      <c r="K145" s="17"/>
      <c r="L145" s="17"/>
    </row>
    <row r="146" spans="4:12" ht="20.100000000000001" customHeight="1" x14ac:dyDescent="0.25">
      <c r="D146" s="35" t="s">
        <v>104</v>
      </c>
      <c r="E146" s="3" t="s">
        <v>101</v>
      </c>
      <c r="F146" s="17"/>
      <c r="G146" s="17"/>
      <c r="H146" s="17"/>
      <c r="I146" s="17"/>
      <c r="J146" s="17"/>
      <c r="K146" s="17"/>
      <c r="L146" s="17"/>
    </row>
    <row r="147" spans="4:12" ht="20.100000000000001" customHeight="1" x14ac:dyDescent="0.25">
      <c r="D147" s="35" t="s">
        <v>105</v>
      </c>
      <c r="E147" s="3" t="s">
        <v>101</v>
      </c>
      <c r="F147" s="17"/>
      <c r="G147" s="17"/>
      <c r="H147" s="17"/>
      <c r="I147" s="17"/>
      <c r="J147" s="17"/>
      <c r="K147" s="17"/>
      <c r="L147" s="17"/>
    </row>
    <row r="148" spans="4:12" ht="20.100000000000001" customHeight="1" x14ac:dyDescent="0.25">
      <c r="D148" s="35" t="s">
        <v>106</v>
      </c>
      <c r="E148" s="3" t="s">
        <v>101</v>
      </c>
      <c r="F148" s="17"/>
      <c r="G148" s="17"/>
      <c r="H148" s="17"/>
      <c r="I148" s="17"/>
      <c r="J148" s="17"/>
      <c r="K148" s="17"/>
      <c r="L148" s="17"/>
    </row>
    <row r="149" spans="4:12" ht="20.100000000000001" customHeight="1" x14ac:dyDescent="0.25">
      <c r="D149" s="35" t="s">
        <v>107</v>
      </c>
      <c r="E149" s="3" t="s">
        <v>101</v>
      </c>
      <c r="F149" s="17"/>
      <c r="G149" s="17"/>
      <c r="H149" s="17"/>
      <c r="I149" s="17"/>
      <c r="J149" s="17"/>
      <c r="K149" s="17"/>
      <c r="L149" s="17"/>
    </row>
    <row r="150" spans="4:12" ht="20.100000000000001" customHeight="1" x14ac:dyDescent="0.25">
      <c r="D150" s="35" t="s">
        <v>108</v>
      </c>
      <c r="E150" s="3" t="s">
        <v>101</v>
      </c>
      <c r="F150" s="17"/>
      <c r="G150" s="17"/>
      <c r="H150" s="17"/>
      <c r="I150" s="17"/>
      <c r="J150" s="17"/>
      <c r="K150" s="17"/>
      <c r="L150" s="17"/>
    </row>
    <row r="151" spans="4:12" ht="20.100000000000001" customHeight="1" x14ac:dyDescent="0.25">
      <c r="D151" s="35" t="s">
        <v>109</v>
      </c>
      <c r="E151" s="3" t="s">
        <v>101</v>
      </c>
      <c r="F151" s="17"/>
      <c r="G151" s="17"/>
      <c r="H151" s="17"/>
      <c r="I151" s="17"/>
      <c r="J151" s="17"/>
      <c r="K151" s="17"/>
      <c r="L151" s="17"/>
    </row>
    <row r="152" spans="4:12" ht="20.100000000000001" customHeight="1" x14ac:dyDescent="0.25">
      <c r="D152" s="37" t="s">
        <v>110</v>
      </c>
      <c r="E152" s="14" t="s">
        <v>101</v>
      </c>
      <c r="F152" s="17"/>
      <c r="G152" s="17"/>
      <c r="H152" s="17"/>
      <c r="I152" s="17"/>
      <c r="J152" s="17"/>
      <c r="K152" s="17"/>
      <c r="L152" s="17"/>
    </row>
    <row r="153" spans="4:12" ht="20.100000000000001" customHeight="1" x14ac:dyDescent="0.25">
      <c r="D153" s="37" t="s">
        <v>111</v>
      </c>
      <c r="E153" s="14" t="s">
        <v>101</v>
      </c>
      <c r="F153" s="17"/>
      <c r="G153" s="17"/>
      <c r="H153" s="17"/>
      <c r="I153" s="17"/>
      <c r="J153" s="17"/>
      <c r="K153" s="17"/>
      <c r="L153" s="17"/>
    </row>
    <row r="154" spans="4:12" ht="20.100000000000001" customHeight="1" x14ac:dyDescent="0.25">
      <c r="D154" s="37" t="s">
        <v>112</v>
      </c>
      <c r="E154" s="14" t="s">
        <v>101</v>
      </c>
      <c r="F154" s="17"/>
      <c r="G154" s="17"/>
      <c r="H154" s="17"/>
      <c r="I154" s="17"/>
      <c r="J154" s="17"/>
      <c r="K154" s="17"/>
      <c r="L154" s="17"/>
    </row>
    <row r="155" spans="4:12" ht="20.100000000000001" customHeight="1" x14ac:dyDescent="0.25">
      <c r="D155" s="37" t="s">
        <v>113</v>
      </c>
      <c r="E155" s="14" t="s">
        <v>101</v>
      </c>
      <c r="F155" s="17"/>
      <c r="G155" s="17"/>
      <c r="H155" s="17"/>
      <c r="I155" s="17"/>
      <c r="J155" s="17"/>
      <c r="K155" s="17"/>
      <c r="L155" s="17"/>
    </row>
    <row r="156" spans="4:12" ht="20.100000000000001" customHeight="1" x14ac:dyDescent="0.25">
      <c r="D156" s="37" t="s">
        <v>114</v>
      </c>
      <c r="E156" s="14" t="s">
        <v>101</v>
      </c>
      <c r="F156" s="17"/>
      <c r="G156" s="17"/>
      <c r="H156" s="17"/>
      <c r="I156" s="17"/>
      <c r="J156" s="17"/>
      <c r="K156" s="17"/>
      <c r="L156" s="17"/>
    </row>
    <row r="157" spans="4:12" ht="20.100000000000001" customHeight="1" x14ac:dyDescent="0.25">
      <c r="D157" s="37" t="s">
        <v>115</v>
      </c>
      <c r="E157" s="14" t="s">
        <v>101</v>
      </c>
      <c r="F157" s="17"/>
      <c r="G157" s="17"/>
      <c r="H157" s="17"/>
      <c r="I157" s="17"/>
      <c r="J157" s="17"/>
      <c r="K157" s="17"/>
      <c r="L157" s="17"/>
    </row>
    <row r="158" spans="4:12" ht="20.100000000000001" customHeight="1" x14ac:dyDescent="0.25">
      <c r="D158" s="37" t="s">
        <v>116</v>
      </c>
      <c r="E158" s="14" t="s">
        <v>101</v>
      </c>
      <c r="F158" s="17"/>
      <c r="G158" s="17"/>
      <c r="H158" s="17"/>
      <c r="I158" s="17"/>
      <c r="J158" s="17"/>
      <c r="K158" s="17"/>
      <c r="L158" s="17"/>
    </row>
    <row r="159" spans="4:12" ht="20.100000000000001" customHeight="1" x14ac:dyDescent="0.25">
      <c r="D159" s="37" t="s">
        <v>117</v>
      </c>
      <c r="E159" s="14" t="s">
        <v>101</v>
      </c>
      <c r="F159" s="17"/>
      <c r="G159" s="17"/>
      <c r="H159" s="17"/>
      <c r="I159" s="17"/>
      <c r="J159" s="17"/>
      <c r="K159" s="17"/>
      <c r="L159" s="17"/>
    </row>
    <row r="160" spans="4:12" ht="20.100000000000001" customHeight="1" x14ac:dyDescent="0.25">
      <c r="D160" s="37" t="s">
        <v>97</v>
      </c>
      <c r="E160" s="14" t="s">
        <v>101</v>
      </c>
      <c r="F160" s="17"/>
      <c r="G160" s="17"/>
      <c r="H160" s="17"/>
      <c r="I160" s="17"/>
      <c r="J160" s="17"/>
      <c r="K160" s="17"/>
      <c r="L160" s="17"/>
    </row>
    <row r="161" spans="4:12" ht="20.100000000000001" customHeight="1" x14ac:dyDescent="0.25">
      <c r="D161" s="36" t="s">
        <v>118</v>
      </c>
      <c r="E161" s="17" t="s">
        <v>119</v>
      </c>
      <c r="F161" s="17"/>
      <c r="G161" s="17"/>
      <c r="H161" s="17"/>
      <c r="I161" s="17"/>
      <c r="J161" s="17"/>
      <c r="K161" s="17"/>
      <c r="L161" s="17"/>
    </row>
    <row r="162" spans="4:12" ht="20.100000000000001" customHeight="1" x14ac:dyDescent="0.25">
      <c r="D162" s="17" t="s">
        <v>120</v>
      </c>
      <c r="E162" s="17" t="s">
        <v>119</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dimension ref="A1:AI165"/>
  <sheetViews>
    <sheetView showGridLines="0" zoomScaleNormal="100" workbookViewId="0">
      <selection activeCell="D33" sqref="D33"/>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238</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239</v>
      </c>
      <c r="E9" s="26" t="s">
        <v>240</v>
      </c>
      <c r="F9" s="26" t="s">
        <v>241</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239</v>
      </c>
      <c r="E24" s="65" t="s">
        <v>242</v>
      </c>
      <c r="F24" s="65" t="s">
        <v>243</v>
      </c>
      <c r="G24" s="65" t="s">
        <v>244</v>
      </c>
      <c r="H24" s="65" t="s">
        <v>245</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3AD1-C9C2-421A-B7E6-200CAC66A40A}">
  <dimension ref="A1:BY259"/>
  <sheetViews>
    <sheetView showGridLines="0" zoomScale="85" zoomScaleNormal="85" workbookViewId="0">
      <selection activeCell="D19" sqref="D19"/>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c r="D98" s="13" t="str" cm="1">
        <f t="array" ref="D98:D101">Common_SourceData.Common_SourceData_ClimateZones_Appendices()</f>
        <v>Note:</v>
      </c>
    </row>
    <row r="99" spans="4:20" ht="20.100000000000001" customHeight="1" x14ac:dyDescent="0.25">
      <c r="D99" s="13" t="str">
        <v>MAT = mean annual temperature</v>
      </c>
    </row>
    <row r="100" spans="4:20" ht="20.100000000000001" customHeight="1" x14ac:dyDescent="0.25">
      <c r="D100" s="13" t="str">
        <v>MAP = mean annual precipitation</v>
      </c>
    </row>
    <row r="101" spans="4:20" ht="20.100000000000001" customHeight="1" x14ac:dyDescent="0.25">
      <c r="D101" s="13" t="str">
        <v>PET = potential evapotranspiration</v>
      </c>
    </row>
    <row r="102" spans="4:20" ht="20.100000000000001" customHeight="1" x14ac:dyDescent="0.25">
      <c r="D102" s="13"/>
    </row>
    <row r="103" spans="4:20" ht="20.100000000000001" customHeight="1" x14ac:dyDescent="0.25"/>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JwBOAGEAdAB1AHIAYQBsACAAZwBhAHMAIABkAGkAcwB0AHIAaQBiAHUAdABlAGQAIABpAG4AIABhACAAcABpAHAAZQBsAGkAbgBlACAALQAgAEcAaQBnAGEAagBvAHUAbABlAHMAJwAgAGEAbgBkACAAJwBUAG8AdwBuACAAZwBhAHMAIAAtACAARwBpAGcAYQBqAG8AdQBsAGUAcwAn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JwBDAC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AnAE4ARQAn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JwBOAEUAJ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BcAG4AIAAgACAAIABYAEwATwBPAEsAVQBQACgAMQAsACAAKABMAG8AbwBrAHUAcABBAHIAcgBhAHkAMQA9AEwAbwBvAGsAdQBwAFYAYQBsAHUAZQAxACkAKgAoAEwAbwBvAGsAdQBwAEEAcgByAGEAeQAyAD0ATABvAG8AawB1AHAAVgBhAGwAdQBlADIAKQAsACAAUgBlAHQAdQByAG4AQQByAHIAYQB5ACwAIABcACIAXAAi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BcAG4AIAAgACAAIABYAEwATwBPAEsAVQBQACgATABvAG8AawB1AHAAVgBhAGwAdQBlADEALAAgAEwAbwBvAGsAdQBwAEEAcgByAGEAeQAxACwAXABuACAAIAAgACAAIAAgACAAIABYAEwATwBPAEsAVQBQACgATABvAG8AawB1AHAAVgBhAGwAdQBlADIALAAgAEwAbwBvAGsAdQBwAEEAcgByAGEAeQAyACwAIABSAGUAdAB1AHIAbgBBAHIAcgBhAHk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DwAdAA+ADwAcwA+AFwAIgAgAC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PAAvAHMAPgA8AHMAPgBcACIAXABuACAAIAAgACAAIAAgACAAIAApACAAJgBcAG4AIAAgACAAIAAgACAAIAAgAFwAIgA8AC8AcwA+ADwALwB0AD4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DwAPQBhAHYAZwBUAGUAbQBwACkAKgBcAG4AIAAgACAAIAAgACAAIAAgACgAVgBBAEwAVQBFACgAbQBhAHgAVABlAG0AcABBAHIAcgBhAHkAKQA+AD0AYQB2AGcAVABlAG0AcAApACoAXABuACAAIAAgACAAIAAgACAAIAAoAFYAQQBMAFUARQAoAG0AaQBuAFIAYQBpAG4AZgBhAGwAbABBAHIAcgBhAHkAKQA8AD0AYQB2AGcAUgBhAGkAbgApACoAXABuACAAIAAgACAAIAAgACAAIAAoAFYAQQBMAFUARQAoAG0AYQB4AFIAYQBpAG4AZgBhAGwAbABBAHIAcgBhAHkAKQA+AD0AYQB2AGcAUgBhAGkAbgApACoAXABuACAAIAAgACAAIAAgACAAIAAoAFYAQQBMAFUARQAoAG0AaQBuAEYAcgBvAHMAdABBAHIAcgBhAHkAKQA8AD0AZgByAG8AcwB0AEQAYQB5AHMAKQAqAFwAbgAgACAAIAAgACAAIAAgACAAKABWAEEATABVAEUAKABtAGEAeABGAHIAbwBzAHQAQQByAHIAYQB5ACkAPgA9AGYAcgBvAHMAdABEAGEAeQBzACkAKgBcAG4AIAAgACAAIAAgACAAIAAgACgAVgBBAEwAVQBFACgAbQBpAG4ARQBsAGUAdgBhAHQAaQBvAG4AQQByAHIAYQB5ACkAPAA9AGUAbABlAHYAKQAqAFwAbgAgACAAIAAgACAAIAAgACAAKABWAEEATABVAEUAKABtAGEAeABFAGwAZQB2AGEAdABpAG8AbgBBAHIAcgBhAHkAKQA+AD0AZQBsAGUAdgApACoAXABuACAAIAAgACAAIAAgACAAIAAoAFYAQQBMAFUARQAoAG0AaQBuAFAARQBUAEEAcgByAGEAeQApADwAPQBtAGEAcABfAHAAZQB0ACkAKgBcAG4AIAAgACAAIAAgACAAIAAgACgAVgBBAEwAVQBFACgAbQBhAHgAUABFAFQAQQByAHIAYQB5ACkAPg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DwAPQBMAG8AbwBrAHUAcABWAGEAbAB1AGUAKQAqAFwAbgAgACAAIAAgACAAIAAgACAAKABWAEEATABVAEUAKABNAGEAeABBAHIAcgBhAHkAKQA+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A8ACAAUwApACwAXABuACAAIAAgACAAIAAgACAAIABsAGEAcwB0AFkAZQBhAHIALAB5AGIALQAoAEQAQQBUAEUAKAB5AGIALABtACwAZAApAD4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CcAdAAgAG8AdgBlAHIAbABhAHAAOwAgAG0AbwB2AGUAIAB0AG8AIABuAGUAeAB0ACAAeQBlAGEAcgAqAC8AXABuACAAIAAgACAAIAAgACAAIABmAGkAcgBzAHQAWQBlAGEAcgAsAHkAYQArACgAUABlAHIAaQBvAGQARQBuAGQAKABEAEEAVABFACgAeQBhACwAbQAsAGQAKQApADwAUwApACwAIAAvACoAaQBmACAAdABoAGUAIABhAG4AYwBoAG8AcgAgAGYAbwByACAAeQBiACAAcwB0AGEAcgB0AHMAIABhAGYAdABlAHIAIABFACwAaQB0ACAAYwBhAG4AJwB0ACAAbwB2AGUAcgBsAGEAcAA7ACAAbQBvAHYAZQAgAHQAbwAgAHAAcgBlAHYAaQBvAHUAcwAgAHkAZQBhAHIAKgAvAFwAbgAgACAAIAAgACAAIAAgACAAbABhAHMAdABZAGUAYQByACwAeQBiAC0AKABEAEEAVABFACgAeQBiACwAbQAsAGQAKQA+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AmACAAXAAiACAAdABvACAAXAAiACAAJgAgAGUAbgBkAHMAVABlAHgAdAAgAC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CcAXAAiACAAJgAgAHMAaAAgACYAIABcACIAJwAhAFwAIgAgAC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FwAbg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JwBGAHIAeQAnACAAdABvACAAJwBEAHIAeQAn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D4AIAAxADgAIABDAFwAIgAsACAAXAAiAEEAbgB5AFwAIgAsACAAXAAiAGQiIAA3AFwAIgAsACAAXAAiAD4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A+ACAAMQA4ACAAQwBcACIALAAgAFwAIgA+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D4AIAAxADgAIABDAFwAIgAsACAAXAAiAD4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D4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PgAgADEAMAAgAEMAXAAiACwAIABcACIAQQBuAHkAXAAiACwAIABcACIAQQBuAHkAXAAiACwAIABcACIAQQBuAHkAXAAiACwAIABcACIAPg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Pg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PgAgADAAIABDACAALQAgAGQiIAAxADAAIABDAFwAIgAsACAAXAAiAEEAbgB5AFwAIgAsACAAXAAiAEEAbgB5AFwAIgAsACAAXAAiAEEAbgB5AFwAIgAsACAAXAAiAD4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D4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Pg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A+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AnAEEAcQB1AGEAYwB1AGwAdAB1AHIAZQAnACAAcgBvAHcALgBcACIAOwBcAG4AIAAgACAAIAAgACAAIAAgACAAIABcACIAUgBlAG0AbwB2AGUAZAAgAGEAcwB0AGUAcgBpAHMAawBzACAAdABvACAAYQBpAGQAIABsAG8AbwBrAHUAcAAuAFwAIgA7AFwAbgAgACAAIAAgACAAIAAgACAAIAAgAFwAIgBBAGQAZABlAGQAIAAnAHAAcgBvAGQAdQBjAHQAaQBvAG4AIABzAHkAcwB0AGUAbQAgAG8AbgBsAHkAJwAsACAAJwByAGEAaQBuAGYAYQBsAGwAIAB6AG8AbgBlACcAIABhAG4AZAAgACcAaQByAHIAaQBnAGEAdABpAG8AbgAgAG0AZQB0AGgAbwBkACcAIABjAG8AbAB1AG0AbgBzACAAdABvACAAYQBpAGQAIABsAG8AbwBrAHUAcAAuAFwAIgA7AFwAbgAgACAAIAAgACAAIAAgACAAIAAgAFwAIgBEAHUAcABsAGkAYwBhAHQAZQBkACAAJwBuAG8AbgAtAGkAcgByAGkAZwBhAHQAZQBkACAAcABhAHMAdAB1AHIAZQAn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C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J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JwBEAHIAeQAgAGMAbABpAG0AYQB0AGUAIAB6AG8AbgBlAHMAJwAgAHQAbwAgAHMAaQBuAGcAdQBsAGEAcgAgACcARAByAHkAIABjAGwAaQBtAGEAdABlACAAegBvAG4AZQAn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PA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JwBQAG8AdQBsAHQAcgB5ACAAdwBpAHQAaAAgAGEAbgBkACAAdwBpAHQAaABvAHUAdAAgAGwAaQB0AHQAZQByACcAIABjAG8AbAB1AG0AbgAgAHcAaQB0AGgAIABzAGUAcABhAHIAYQB0AGUAIABOAEkAUgAgAGQAZQBmAGkAbgBpAHQAaQBvAG4AcwAgAHQAbwAgAGEAaQBkACAAbABvAG8AawB1AHAALgAgAEEAZABkAGUAZAAgACcATQBBAFQAIAByAGEAdwAn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C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Am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BMgTgAgACsAIABOAE8AeAAT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EAMgAsACAAMgA4ACwAXABuACAATABBAE0AQgBEAEEAKAByACwAYwAsAFwAbgAgACAASQBOAEQARQBYACgAewBcAG4AXAAiAEkAbgBjAGwAdQBkAGUAIABvAHIAIABlAHgAYwBsAHUAZABlAFwAIgAsAFwAIgBOAG8AdABlAHMAXAAiACwAXAAiAEMAbwBtAHAAYQBuAHkAXAAiACwAXAAiAFAAcgBvAGQAdQBjAHQAIABOAGEAbQBlAFwAIgAsAFwAIgBVAG4AaQB0AFwAIgAsAFwAIgBEAGUAbgBzAGkAdAB5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DsAXABuAFwAIgBJAG4AYwBsAHUAZABlAFwAIgAsAFwAIgBcACIALABcACIAQwBhAG0AcABiAGUAbABsAHMAIABmAGUAcgB0AGkAbABpAHMAZQByAHMAIABBAHUAcwB0AHIAYQBsAGkAYQBcACIALABcACIAQQBxAHUAYQAgAEYAaQBuAGkAcwBo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HAHIAbwB3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OAGkAdAByAG8AIABBAE4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TAHQAYQByAHQ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QwBvAG0AcABsAGUAdABl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FAG0AZQByAGcAZQ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RgBsAG8AdQByAGkAcwBo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7AFwAbgBcACIASQBuAGMAbAB1AGQAZQBcACIALABcACIAXAAiACwAXAAiAEMAYQBtAHAAYgBlAGwAbABzACAAZgBlAHIAdABpAGwAaQBzAGUAcgBzACAAQQB1AHMAdAByAGEAbABpAGEAXAAiACwAXAAiAEIAcgBvAG4AegBlAFwAIgAsAFwAIgBrAGcAXAAiACwAMQ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Cw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BcAG4AfQAsACAAcgAsACAAYwApAFwAbgApACkAKQA7AFwAbgBcAG4ALwAqAFwAbgBGAGUAcgB0AGkAbABpAHMAZQByAF8AUAByAG8AZAB1AGMAdABzAF8ARABhAHQAYQAyAFwAbgA9AEwAQQBNAEIARABBACgAXABuACAATQBBAEsARQBBAFIAUgBBAFkAKAA2ACwAIAAyADgALABcAG4AIABMAEEATQBCAEQAQQAoAHIALABjACwAXABuACAAIABJAE4ARABFAFgAKAB7AFwAbg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QAHIAbwBkAHUAYwB0ACwAIABQAHIAbwBkAHUAYwB0AEEAdAB0AHIAaQBiAHUAdABlACwAIABQAHIAbwBkAHUAYwB0AEEAcgByAGEAeQAsACAAUAByAG8AZAB1AGMAdABBAHIAcgBhAHkAQwBvAGwAdQBtAG4ALAAgAFAAcgBvAGQAdQBjAHQAQQByAHIAYQB5AEgAZQBhAGQAZQByAHMALABcAG4AIAAgAEkARgBFAFIAUgBPAFIAKABcAG4AIAAgACAAIABJAE4ARABFAFgAKABcAG4AIAAgACAAIAAgACAAUAByAG8AZAB1AGMAdABBAHIAcgBhAHkALABcAG4AIAAgACAAIAAgACAAWABNAEEAVABDAEgAKABUAFIASQBNACgAUAByAG8AZAB1AGMAdAApACwAIABQAHIAbwBkAHUAYwB0AEEAcgByAGEAeQBDAG8AbAB1AG0AbgAsACAAMAApACwAXABuACAAIAAgACAAIAAgAFgATQBBAFQAQwBIACgAVABSAEkATQAoAFAAcgBvAGQAdQBjAHQAQQB0AHQAcgBpAGIAdQB0AGUAKQAsACAAUAByAG8AZAB1AGMAdABBAHIAcgBhAHkASABlAGEAZABlAHIAcwAsACAAMAApAFwAbgAgACAAIAAgACkALABcAG4AIAAgACAAIABcACIAXAAiAFwAbgAgACAAKQBcAG4AKQA7AFwAbgBcAG4AXABuAEYAZQByAHQAaQBsAGkAcwBlAHIAXwBTAHUAbQBQAHIAbwBkAHUAYwB0AEEAcABwAGwAaQBlAGQAXABuAD0ATABBAE0AQgBEAEEAKABcAG4AIAAgAEwAbwBvAGsAdQBwAFQAYQByAGcAZQB0ADEALABMAG8AbwBrAHUAcABBAHIAcgBhAHkAMQAsAEEAbQBvAHUAbgB0AEEAcABwAGwAaQBlAGQALABbAEwAbwBvAGsAdQBwAFQAYQByAGcAZQB0ADIAXQAsAFsATABvAG8AawB1AHAAQQByAHIAYQB5ADIAXQAsAFwAbgAgACAATABFAFQAKABcAG4AIAAgACAAIABjAHIAaQB0AGUAcgBpAGEAMQAsAC0ALQAoAEwAbwBvAGsAdQBwAEEAcgByAGEAeQAxAD0ATABvAG8AawB1AHAAVABhAHIAZwBlAHQAMQApACwAXABuACAAIAAgACAAYwByAGkAdABlAHIAaQBhADIALABJAEYAKABJAFMATwBNAEkAVABUAEUARAAoAEwAbwBvAGsAdQBwAFQAYQByAGcAZQB0ADIAKQAsADEALAAtAC0AKABMAG8AbwBrAHUAcABBAHIAcgBhAHkAMgA9AEwAbwBvAGsAdQBwAFQAYQByAGcAZQB0ADIAKQApACwAXABuACAAIAAgACAAUwBVAE0AUABSAE8ARABVAEMAVAAoAGMAcgBpAHQAZQByAGkAYQAxACoAYwByAGkAdABlAHIAaQBhADIAKgBBAG0AbwB1AG4AdABBAHAAcABsAGkAZQBkACkAXABuACAAIAApAFwAbgApADsAXABuAFwAbgBGAGUAcgB0AGkAbABpAHMAZQByAF8AVABvAHQAYQBsAFMAbwBpAGwAQQBtAGUAbgBkAG0AZQBuAHQAQQBwAHAAbABpAGUAZABcAG4APQBMAEEATQBCAEQAQQAoAFwAbgAgACAAQQBtAG8AdQBuAHQAQQBwAHAAbABpAGUAZAAsACAAQQBtAGUAbgBkAG0AZQBuAHQAUABlAHIAYwBlAG4AdAAsAFwAbgAgACAAUwBVAE0AUABSAE8ARABVAEMAVAAoAEEAbQBvAHUAbgB0AEEAcABwAGwAaQBlAGQAIAAqACAAQQBtAGUAbgBkAG0AZQBuAHQAUABlAHIAYwBlAG4AdAApAFwAbgApADsAXABuAFwAbg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IAAoAEEAbQBvAHUAbgB0AEEAcABwAGwAaQBlAGQAKgBQAHIAbwBkAHUAYwB0AEkAbgBnAHIAZQBkAGkAZQBuAHQAUABlAHIAYwBlAG4AdAAxACkALABcAG4AIAAgACAAIABjAGEAbABjAHUAbABhAHQAZQBkAEEAbQBvAHUAbgB0ADIALAAgACgAQQBtAG8AdQBuAHQAQQBwAHAAbABpAGUAZAAqAFAAcgBvAGQAdQBjAHQASQBuAGcAcgBlAGQAaQBlAG4AdABQAGUAcgBjAGUAbgB0ADIAKQAsAFwAbgAgACAAIAAgAGMAYQBsAGMAdQBsAGEAdABlAGQAQQBtAG8AdQBuAHQAMwAsACAAKABBAG0AbwB1AG4AdABBAHAAcABsAGkAZQBkACoAUAByAG8AZAB1AGMAdABJAG4AZwByAGUAZABpAGUAbgB0AFAAZQByAGMAZQBuAHQAMwApACwAIABcAG4AIAAgACAAIABjAGEAbABjAHUAbABhAHQAZQBkAEEAbQBvAHUAbgB0ADQALAAgACgAQQBtAG8AdQBuAHQAQQBwAHAAbABpAGUAZAAqAFAAcgBvAGQAdQBjAHQASQBuAGcAcgBlAGQAaQBlAG4AdABQAGUAcgBjAGUAbgB0ADQAKQAsACAAXABuACAAIAAgACAAYwBhAGwAYwB1AGwAYQB0AGUAZABBAG0AbwB1AG4AdAA1ACwAIAAoAEEAbQBvAHUAbgB0AEEAcABwAGwAaQBlAGQAKgBQAHIAbwBkAHUAYwB0AEkAbgBnAHIAZQBkAGkAZQBuAHQAUABlAHIAYwBlAG4AdAA1ACkALAAgAFwAbgAgACAAIAAgAGMAYQBsAGMAdQBsAGEAdABlAGQAQQBtAG8AdQBuAHQANgAsACAAKABBAG0AbwB1AG4AdABBAHAAcABsAGkAZQBkACoAUAByAG8AZAB1AGMAdABJAG4AZwByAGUAZABpAGUAbgB0AFAAZQByAGMAZQBuAHQANgApACwAIAAgAFwAbgAgACAAIAAgAEYAZQByAHQAaQBsAGkAcwBlAHIAXwBTAHUAbQBQAHIAbwBkAHUAYwB0AEEAcABwAGwAaQBlAGQAKABcAG4AIAAgACAAIAAgACAAQwBoAGUAbQBpAGMAYQBsAEMAbwBtAHAAbwB1AG4AZAAsACAAUAByAG8AZAB1AGMAdABJAG4AZwByAGUAZABpAGUAbgB0ADEALAAgAGMAYQBsAGMAdQBsAGEAdABlAGQAQQBtAG8AdQBuAHQAMQBcAG4AIAAgACAAIAApACsAXABuACAAIAAgACAASQBGAEUAUgBSAE8AUgAoAEYAZQByAHQAaQBsAGkAcwBlAHIAXwBTAHUAbQBQAHIAbwBkAHUAYwB0AEEAcABwAGwAaQBlAGQAKABcAG4AIAAgACAAIAAgACAAQwBoAGUAbQBpAGMAYQBsAEMAbwBtAHAAbwB1AG4AZAAsACAAUAByAG8AZAB1AGMAdABJAG4AZwByAGUAZABpAGUAbgB0ADIALAAgAGMAYQBsAGMAdQBsAGEAdABlAGQAQQBtAG8AdQBuAHQAMgBcAG4AIAAgACAAIAApACwAIAAwACkAKwBcAG4AIAAgACAAIABJAEYARQBSAFIATwBSACgARgBlAHIAdABpAGwAaQBzAGUAcgBfAFMAdQBtAFAAcgBvAGQAdQBjAHQAQQBwAHAAbABpAGUAZAAoAFwAbgAgACAAIAAgACAAIABDAGgAZQBtAGkAYwBhAGwAQwBvAG0AcABvAHUAbgBkACwAIABQAHIAbwBkAHUAYwB0AEkAbgBnAHIAZQBkAGkAZQBuAHQAMwAsACAAYwBhAGwAYwB1AGwAYQB0AGUAZABBAG0AbwB1AG4AdAAzAFwAbgAgACAAIAAgACkALAAgADAAKQArAFwAbgAgACAAIAAgAEkARgBFAFIAUgBPAFIAKABGAGUAcgB0AGkAbABpAHMAZQByAF8AUwB1AG0AUAByAG8AZAB1AGMAdABBAHAAcABsAGkAZQBkACgAXABuACAAIAAgACAAIAAgAEMAaABlAG0AaQBjAGEAbABDAG8AbQBwAG8AdQBuAGQALAAgAFAAcgBvAGQAdQBjAHQASQBuAGcAcgBlAGQAaQBlAG4AdAA0ACwAIABjAGEAbABjAHUAbABhAHQAZQBkAEEAbQBvAHUAbgB0ADQAXABuACAAIAAgACAAKQAsACAAMAApACsAXABuACAAIAAgACAASQBGAEUAUgBSAE8AUgAoAEYAZQByAHQAaQBsAGkAcwBlAHIAXwBTAHUAbQBQAHIAbwBkAHUAYwB0AEEAcABwAGwAaQBlAGQAKABcAG4AIAAgACAAIAAgACAAQwBoAGUAbQBpAGMAYQBsAEMAbwBtAHAAbwB1AG4AZAAsACAAUAByAG8AZAB1AGMAdABJAG4AZwByAGUAZABpAGUAbgB0ADUALAAgAGMAYQBsAGMAdQBsAGEAdABlAGQAQQBtAG8AdQBuAHQANQBcAG4AIAAgACAAIAApACwAIAAwACkAKwBcAG4AIAAgACAAIABJAEYARQBSAFIATwBSACgARgBlAHIAdABpAGwAaQBzAGUAcgBfAFMAdQBtAFAAcgBvAGQAdQBjAHQAQQBwAHAAbABpAGUAZAAoAFwAbgAgACAAIAAgACAAIABDAGgAZQBtAGkAYwBhAGwAQwBvAG0AcABvAHUAbgBkACwAIABQAHIAbwBkAHUAYwB0AEkAbgBnAHIAZQBkAGkAZQBuAHQANgAsACAAYwBhAGwAYwB1AGwAYQB0AGUAZABBAG0AbwB1AG4AdAA2AFwAbgAgACAAIAAgACkALAAgAD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CAAKABBAG0AbwB1AG4AdABBAHAAcABsAGkAZQBkACoAUAByAG8AZAB1AGMAdABJAG4AZwByAGUAZABpAGUAbgB0AFAAZQByAGMAZQBuAHQAMQApACwAXABuACAAIAAgACAAYwBhAGwAYwB1AGwAYQB0AGUAZABBAG0AbwB1AG4AdAAyACwAIAAoAEEAbQBvAHUAbgB0AEEAcABwAGwAaQBlAGQAKgBQAHIAbwBkAHUAYwB0AEkAbgBnAHIAZQBkAGkAZQBuAHQAUABlAHIAYwBlAG4AdAAyACkALABcAG4AIAAgACAAIABjAGEAbABjAHUAbABhAHQAZQBkAEEAbQBvAHUAbgB0ADMALAAgACgAQQBtAG8AdQBuAHQAQQBwAHAAbABpAGUAZAAqAFAAcgBvAGQAdQBjAHQASQBuAGcAcgBlAGQAaQBlAG4AdABQAGUAcgBjAGUAbgB0ADMAKQAsACAAXABuACAAIAAgACAAYwBhAGwAYwB1AGwAYQB0AGUAZABBAG0AbwB1AG4AdAA0ACwAIAAoAEEAbQBvAHUAbgB0AEEAcABwAGwAaQBlAGQAKgBQAHIAbwBkAHUAYwB0AEkAbgBnAHIAZQBkAGkAZQBuAHQAUABlAHIAYwBlAG4AdAA0ACkALAAgAFwAbgAgACAAIAAgAGMAYQBsAGMAdQBsAGEAdABlAGQAQQBtAG8AdQBuAHQANQAsACAAKABBAG0AbwB1AG4AdABBAHAAcABsAGkAZQBkACoAUAByAG8AZAB1AGMAdABJAG4AZwByAGUAZABpAGUAbgB0AFAAZQByAGMAZQBuAHQANQApACwAIABcAG4AIAAgACAAIABjAGEAbABjAHUAbABhAHQAZQBkAEEAbQBvAHUAbgB0ADYALAAgACgAQQBtAG8AdQBuAHQAQQBwAHAAbABpAGUAZAAqAFAAcgBvAGQAdQBjAHQASQBuAGcAcgBlAGQAaQBlAG4AdABQAGUAcgBjAGUAbgB0ADYAKQAsAFwAbgAgACAAIAAgAFAAcgBvAGQAdQBjAHQASQBuAGcAcgBlAGQAaQBlAG4AdABTAG8AdQByAGMAZQAsACAASQBGACgAUAByAG8AZAB1AGMAdABJAG4AZwByAGUAZABpAGUAbgB0AFMAbwB1AHIAYwBlAD0AXAAiAFwAIgAsACAAXAAiAEcAbABvAGIAYQBsAFwAIgAsACAAUAByAG8AZAB1AGMAdABJAG4AZwByAGUAZABpAGUAbgB0AFMAbwB1AHIAYwBlACkALABcAG4AIAAgACAAIABGAGUAcgB0AGkAbABpAHMAZQByAF8AUwB1AG0AUAByAG8AZAB1AGMAdABBAHAAcABsAGkAZQBkACgAXABuACAAIAAgACAAIAAgAEMAaABlAG0AaQBjAGEAbABDAG8AbQBwAG8AdQBuAGQALAAgAFAAcgBvAGQAdQBjAHQASQBuAGcAcgBlAGQAaQBlAG4AdAAxACwAIABjAGEAbABjAHUAbABhAHQAZQBkAEEAbQBvAHUAbgB0ADEALAAgAFMAbwB1AHIAYwBlACwAIABQAHIAbwBkAHUAYwB0AEkAbgBnAHIAZQBkAGkAZQBuAHQAUwBvAHUAcgBjAGUAXABuACAAIAAgACAAKQArAFwAbgAgACAAIAAgAEkARgBFAFIAUgBPAFIAKABGAGUAcgB0AGkAbABpAHMAZQByAF8AUwB1AG0AUAByAG8AZAB1AGMAdABBAHAAcABsAGkAZQBkACgAXABuACAAIAAgACAAIAAgAEMAaABlAG0AaQBjAGEAbABDAG8AbQBwAG8AdQBuAGQALAAgAFAAcgBvAGQAdQBjAHQASQBuAGcAcgBlAGQAaQBlAG4AdAAyACwAIABjAGEAbABjAHUAbABhAHQAZQBkAEEAbQBvAHUAbgB0ADIALAAgAFMAbwB1AHIAYwBlACwAIABQAHIAbwBkAHUAYwB0AEkAbgBnAHIAZQBkAGkAZQBuAH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MALAAgAGMAYQBsAGMAdQBsAGEAdABlAGQAQQBtAG8AdQBuAHQAMwAsACAAUwBvAHUAcgBjAGUALAAgAFAAcgBvAGQAdQBjAHQASQBuAGcAcgBlAGQAaQBlAG4AdABTAG8AdQByAGMAZQBcAG4AIAAgACAAIAApACwAIAAwACkAKwBcAG4AIAAgACAAIABJAEYARQBSAFIATwBSACgARgBlAHIAdABpAGwAaQBzAGUAcgBfAFMAdQBtAFAAcgBvAGQAdQBjAHQAQQBwAHAAbABpAGUAZAAoAFwAbgAgACAAIAAgACAAIABDAGgAZQBtAGkAYwBhAGwAQwBvAG0AcABvAHUAbgBkACwAIABQAHIAbwBkAHUAYwB0AEkAbgBnAHIAZQBkAGkAZQBuAHQANAAsACAAYwBhAGwAYwB1AGwAYQB0AGUAZABBAG0AbwB1AG4AdAA0ACwAIABTAG8AdQByAGMAZQAsACAAUAByAG8AZAB1AGMAdABJAG4AZwByAGUAZABpAGUAbgB0AFMAbwB1AHIAYwBlAFwAbgAgACAAIAAgACkALAAgADAAKQArAFwAbgAgACAAIAAgAEkARgBFAFIAUgBPAFIAKABGAGUAcgB0AGkAbABpAHMAZQByAF8AUwB1AG0AUAByAG8AZAB1AGMAdABBAHAAcABsAGkAZQBkACgAXABuACAAIAAgACAAIAAgAEMAaABlAG0AaQBjAGEAbABDAG8AbQBwAG8AdQBuAGQALAAgAFAAcgBvAGQAdQBjAHQASQBuAGcAcgBlAGQAaQBlAG4AdAA1ACwAIABjAGEAbABjAHUAbABhAHQAZQBkAEEAbQBvAHUAbgB0ADUALAAgAFMAbwB1AHIAYwBlACwAIABQAHIAbwBkAHUAYwB0AEkAbgBnAHIAZQBkAGkAZQBuAH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YALAAgAGMAYQBsAGMAdQBsAGEAdABlAGQAQQBtAG8AdQBuAHQANgAsACAAUwBvAHUAcgBjAGUALAAgAFAAcgBvAGQAdQBjAHQASQBuAGcAcgBlAGQAaQBlAG4AdABTAG8AdQByAGMAZQBcAG4AIAAgACAAIAApACwAIAAwACkAXABuACAAIAApAFwAbgApADsAXABuAFwAbgBGAGUAcgB0AGkAbABpAHMAZQByAF8ARwBlAHQAUwBjAG8AcABlADMARQBGAFwAbgA9AEwAQQBNAEIARABBACgAXABuACAAIAAgACAAQwBoAGUAbQBpAGMAYQBsAEMAbwBtAHAAbwB1AG4AZAAsACAAUwBjAG8AcABlADMAQQByAHIAYQB5ACwAIABDAGgAZQBtAGkAYwBhAGwAQwBvAG0AcABvAHUAbgBkAEMAbwBsAHUAbQBuACwAIABTAG8AdQByAGMAZQAsACAAUwBvAHUAcgBjAGUAUgBvAHcALABcAG4AIAAgACAAIABJAE4ARABFAFgAKABTAGMAbwBwAGUAMwBBAHIAcgBhAHkALABcAG4AIAAgACAAIAAgACAAIABNAEEAVABDAEgAKABDAGgAZQBtAGkAYwBhAGwAQwBvAG0AcABvAHUAbgBkACwAIABDAGgAZQBtAGkAYwBhAGwAQwBvAG0AcABvAHUAbgBkAEMAbwBsAHUAbQBuACwAIAAwACkALABcAG4AIAAgACAAIAAgACAAIABNAEEAVABDAEgAKABTAG8AdQByAGMAZQAsACAAUwBvAHUAcgBjAGUAUgBvAHcALAAgADAAKQBcAG4AIAAgACAAIAApAFwAbgApADsAXABuAFwAbgBGAGUAcgB0AGkAbABpAHMAZQByAF8ARwBlAHQAQwBoAGUAbQBpAGMAYQBsAEMAbwBtAHAAbwB1AG4AZABFAGwAZQBtAGUAbgB0AEYAcgBhAGMAdABpAG8AbgBcAG4APQBMAEEATQBCAEQAQQAoAFwAbgAgACAAIAAgAEMAaABlAG0AaQBjAGEAbABDAG8AbQBwAG8AdQBuAGQALAAgAEUAbABlAG0AZQBuAHQALAAgAEMAaABlAG0AaQBjAGEAbABDAG8AbQBwAG8AdQBuAGQAQQByAHIAYQB5ACwAIABDAGgAZQBtAGkAYwBhAGwAQwBvAG0AcABvAHUAbgBkAEMAbwBsAHUAbQBuACwAIABFAGwAZQBtAGUAbgB0AFIAbwB3ACwAXABuACAAIAAgACAASQBOAEQARQBYACgAQwBoAGUAbQBpAGMAYQBsAEMAbwBtAHAAbwB1AG4AZABBAHIAcgBhAHkALABcAG4AIAAgACAAIAAgACAATQBBAFQAQwBIACgAQwBoAGUAbQBpAGMAYQBsAEMAbwBtAHAAbwB1AG4AZAAsACAAQwBoAGUAbQBpAGMAYQBsAEMAbwBtAHAAbwB1AG4AZABDAG8AbAB1AG0AbgAsACAAMAApACwAXABuACAAIAAgACAAIAAgAE0AQQBUAEMASAAoAEUAbABlAG0AZQBuAHQALAAgAEUAbABlAG0AZQBuAHQAUgBvAHcALAAgADAAKQBcAG4AIAAg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PAAgADEAXAAiACwAIABcACIAQgB1AGwAbAAgAD4AIAAxAFwAIgAsACAAXAAiAEMAbwB3ACAAPAAgADEAXAAiACwAIABcACIAQwBvAHcAIAAxAC0AMgBcACIALAAgAFwAIgBDAG8AdwAgAD4AIAAyAFwAIgAsACAAXAAiAFMAdABlAGUAcgAgADwAIAAxAFwAIgAsACAAXAAiAFMAdABlAGUAcgAgAD4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cwAgADwAMQBcACIALAAgAFwAIgBDAG8AdwBzACAAMQAtADIAXAAiACwAIABcACIAQwBvAHcAcwAgADIALQAzAFwAIgAsACAAXAAiAEMAbwB3AHMAIAA+ADMAXAAiACwAIABcACIAUwB0AGUAZQByACAAPAAxAFwAIgAsACAAXAAiAFMAdABlAGUAcgAgADEALQAyAFwAIgAsACAAXAAiAFMAdABlAGUAcgAgADIALQAzAFwAIgAsACAAXAAiAFMAdABlAGUAcgAgAD4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CcAbgAvAGEAJwAgAHcAaQB0AGgAIAAnAFMAbwB1AHQAaAAgAFcAZQBzAHQAJ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AgADwAMQBcACIALAAgAFwAIgBDAG8AdwAgADEALQAyAFwAIgAsACAAXAAiAEMAbwB3ACAAPgAyAFwAIgAsACAAXAAiAFMAdABlAGUAcgAgADwAMQBcACIALAAgAFwAIgBTAHQAZQBlAHIAIAA+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AgADwAMQBcACIALAAgAFwAIgBDAG8AdwAgADEALQAyAFwAIgAsACAAXAAiAEMAbwB3ACAAMgAtADMAXAAiACwAIABcACIAQwBvAHcAIAA+ADMAXAAiACwAIABcACIAUwB0AGUAZQByACAAPAAxAFwAIgAsACAAXAAiAFMAdABlAGUAcgAgADEALQAyAFwAIgAsACAAXAAiAFMAdABlAGUAcgAgADIALQAzAFwAIgAsACAAXAAiAFMAdABlAGUAcgAgAD4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AnAFMAdABhAHQAZQAgAGEAYgBiAHIAZQB2AGkAYQB0AGkAbwBuAC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DwAMQBcACIALAAgAFwAIgBCAHUAbABsAHMAIAA+ADEAXAAiACwAIABcACIAQwBvAHcAcwAgADwAMQBcACIALAAgAFwAIgBDAG8AdwBzACAAMQAtADIAXAAiACwAIABcACIAQwBvAHcAcwAgAD4AMgBcACIALAAgAFwAIgBTAHQAZQBlAHIAIAA8ADEAXAAiACwAIABcACIAUwB0AGUAZQByACAAPg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JwBQAGEAcwB0AHUAcgBlACAAcgBhAG4AZwBlACAAYQBuAGQAIABwAGEAZABkAG8AYwBrAC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DwAPQAgADIALABcACIAUwB1AG0AbQBlAHIAXAAiACwAXABuACAAIAAgACAAIAAgAE0ATwBOAFQASAAoAFAAdQByAGMAaABhAHMAZQBEAGEAdABlACkAIAA8AD0AIAA1ACwAXAAiAEEAdQB0AHUAbQBuAFwAIgAsAFwAbgAgACAAIAAgACAAIABNAE8ATgBUAEgAKABQAHUAcgBjAGgAYQBzAGUARABhAHQAZQApACAAPAA9ACAAOAAsAFwAIgBXAGkAbgB0AGUAcgBcACIALABcAG4AIAAgACAAIAAgACAATQBPAE4AVABIACgAUAB1AHIAYwBoAGEAcwBlAEQAYQB0AGUAKQAgADwAPQAgADEAMQAsAFwAIgBTAHAAcgBpAG4AZwBcACIALABcAG4AIAAgACAAIAAgACAATQBPAE4AVABIACgAUAB1AHIAYwBoAGEAcwBlAEQAYQB0AGUAKQAgAD0AIAAxADIAL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FgATABPAE8ASwBVAFAAKAAxACwAIAAoAFMAbwB1AHIAYwBlAFIAZQBnAGkAbwBuAEwAZQBmAHQAQQByAHIAYQB5AD0AUwBvAHUAcgBjAGUAUgBlAGcAaQBvAG4ATABlAGYAdAApACoAIAAoAFMAbwB1AHIAYwBlAFIAZQBnAGkAbwBuAFIAaQBnAGgAdABBAHIAcgBhAHkAIAA9ACAAUwBvAHUAcgBjAGUAUgBlAGcAaQBvAG4AUgBpAGcAaAB0ACkAKgAgACgAUwBlAGEAcwBvAG4AQQByAHIAYQB5AD0AUwBlAGEAcwBvAG4AKQAsACAAWABMAE8ATwBLAFUAUAAoAEwAaQB2AGUAcwB0AG8AYwBrAEMAbABhAHMAcwAsACAATABpAHYAZQBzAHQAbwBjAGsAQwBsAGEAcwBzAEEAcgByAGEAeQAsACAATABpAHYAZQB3AGUAaQBnAGgAdABBAHIAcgBhAHkAKQAgACkAXABuACAAIAApAFwAbg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ABpAG0AZQBuAHMAaQBvAG4AbABlAHMAcw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CcAUwBsAGEAdQBnAGgAdABlAHIAIABwAGkAZwBzACcAIABkAGEAdABhACAAZgBvAHIAIAAnAE8AdABoAGUAcgAgAGoAPQA0AC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AnAFMAbABhAHUAZwBoAHQAZQByACAAcABpAGcAcwAnACAAZABhAHQAYQAgAGYAbwByACAAJwBPAHQAaABlAHIAIABqAD0ANAAnACAAYwBsAGEAcwBzAC4AXAAiACkAOwBcAG4AXABuAFMAbwB1AHIAYwBlAEQAYQB0AGEAXwBTAHcAaQBuAGUAXwBGAGUAZQBkAEkAbgB0AGEAawBlAF8ARABhAHQAYQBcAG4AIAAgAD0ATABBAE0AQgBEAEEAKABcAG4AIAAgACAAIABNAEEASwBFAEEAUgBSAEEAWQAoADUALAAgADIALAAgAFwAbgAgACAAIAAgACAAIABMAEEATQBCAEQAQQAoAHIALABjACwAIABcAG4AIAAgACAAIAAgACAAIAAgAEkATgBEAEUAWAAoAHsAXABuACAAIAAgACAAIAAgACAAIAAgACAAXAAiAEMAbABhAHMAcwBcACIALAAgAFwAIgBJAGoAXAAiADsAXABuACAAIAAgACAAIAAgACAAIAAgACAAXAAiAEIAbwBhAHIAcwBcACIALAAgADIALgA2ADIAOwBcAG4AIAAgACAAIAAgACAAIAAgACAAIABcACIAUwBvAHcAcwBcACIALAAyAC4AMwAwADsAXABuACAAIAAgACAAIAAgACAAIAAgACAAXAAiAEcAaQBsAHQAcwBcACIALAAgADIALgA1ADAAOwBcAG4AIAAgACAAIAAgACAAIAAgACAAIABcACIATwB0AGgAZQByAHMAXAAiACwAIAAxAC4ANwAxAFwAbgAgACAAIAAgACAAIAAgACAAfQAsACAAcgAsACAAYwApAFwAbgAgACAAIAAgACAAIAApAFwAbgAgACAAIAAgACkAXABuACAAIAApADsAXABuAFwAbgAvACoAIABcAG4ALQAtAC0ALQAtAC0ALQAtAC0ALQAtAC0ALQAtAC0ALQAtAC0ALQAtAC0ALQAtAC0ALQAtAC0ALQAtAC0ALQAtAC0ALQAtAC0ALQAtAFwAbgBTAG8AdQByAGMAZQBEAGEAdABhAF8AUwB3AGkAbgBlAF8ATgBpAHQAcgBvAGcAZQBuAEkAbgBXAGEAcwB0AGUAXABuAE4AVwBqAFwAbgBrAGcALwBoAGUAYQBkAC8AZABhAHkAXABuAC0ALQAtAC0ALQAtAC0ALQAtAC0ALQAtAC0ALQAtAC0ALQAtAC0ALQAtAC0ALQAtAC0ALQAtAC0ALQAtAC0ALQAtAC0ALQAtAC0ALQBcAG4AKgAvAFwAbgBcAG4AUwBvAHUAcgBjAGUARABhAHQAYQBfAFMAdwBpAG4AZQBfAE4AaQB0AHIAbwBnAGUAbgBJAG4AVwBhAHMAdABlAF8AVABpAHQAbABlAFwAbgAgACAAPQBMAEEATQBCAEQAQQAoAFwAIgBTAHcAaQBuAGUAIAAtACAATgBpAHQAcgBvAGcAZQBuACAAaQBuACAAdwBhAHMAdABlACAAKABOAFcAagApACAALQAgADIAMAAyADAAIAB0AG8AIAAyADAAMgA0AFwAIgApADsAXABuAFwAbgBTAG8AdQByAGMAZQBEAGEAdABhAF8AUwB3AGkAbgBlAF8ATgBpAHQAcgBvAGcAZQBuAEkAbgBXAGEAcwB0AGUAXwBVAG4AaQB0AFwAbgAgACAAPQBMAEEATQBCAEQAQQAoAFwAIgBrAGcALwBoAGUAYQBkAC8AZABhAHkAXAAiACkAOwBcAG4AXABuAFMAbwB1AHIAYwBlAEQAYQB0AGEAXwBTAHcAaQBuAGUAXwBOAGkAdAByAG8AZwBlAG4ASQBuAFcAYQBzAHQ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TgBpAHQAcgBvAGcAZQBuAEkAbgBXAGEAcwB0AGUAXwBWAGEAcgBpAGEAdABpAG8AbgBcAG4AIAAgAD0ATABBAE0AQgBEAEEAKABcACIAVgBBAFIASQBBAFQASQBPAE4AIABPAE4AIABTAE8AVQBSAEMARQAgAEQAQQBUAEEAOgAgAE8AbgBsAHkAIAB1AHMAZQBzACAAZABhAHQAYQAgAGYAbwByACAAMgAwADIAMAAtADIAMAAyADQALgAgAFUAcwBlACAAJwBTAGwAYQB1AGcAaAB0AGUAcgAgAHAAaQBnAHMAJwAgAGQAYQB0AGEAIABmAG8AcgAgACcATwB0AGgAZQByACAAagA9ADQAJwAgAGMAbABhAHMAcwAuACAAQQBkAGQAZQBkACAAJwBOAFcAagAgAGQAYQBpAGwAeQAnACAAYwBvAGwAdQBtAG4AIAB0AG8AIABwAHIAbwB2AGkAZABlACAAZABhAGkAbAB5ACAAdgBhAGwAdQBlACAAZgBvAHIAIABPAHQAaABlAHIAcwAgAGMAbABhAHMAcwAuACAAQQBkAGQAZQBkACAAJwBDAGwAYQBzAHMAIABuAGEAbQBlAC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AnAE4ASQBSACAAcgBlAGYAZQByAGUAbgBjAGUAIABjAG8AbAB1AG0AbgAgAHQAbwAgAGEAaQBkACAAbABvAG8AawB1AHAALgBcACIAKQA7AFwAbgBcAG4AUwBvAHUAcgBjAGUARABhAHQAYQBfAFMAdwBpAG4AZQBfAEYAcgBhAGMAdABpAG8AbgBOAFYAbwBsAGEAdABpAGwAaQBzAGUAZABfAEQAYQB0AGEAXABuACAAIAA9AEwAQQBNAEIARABBACgAXABuACAAIAAgACAATQBBAEsARQBBAFIAUgBBAFkAKAA3ACwAIAAzACwAIABcAG4AIAAgACAAIAAgACAATABBAE0AQgBEAEEAKAByACwAYwAsACAAXABuACAAIAAgACAAIAAgACAAIABJAE4ARABFAFgAKAB7AFwAbgAgACAAIAAgACAAIAAgACAAIAAgAFwAIgBNAE0AUwBtAFwAIgAsACAAXAAiAEYAcgBhAGMARwBBAFMATQBtAFQAXAAiACwAIABcACIATgBJAFIAIAByAGUAZgBlAHIAZQBuAGMAZQBcACIAOwBcAG4AIAAgACAAIAAgACAAIAAgACAAIABcACIATwB1AHQAZABvAG8AcgAgACgARAByAHkAIABsAG8AdAApAFwAIgAsACAAMAAuADMALAAgAFwAIgBEAHIAeQBsAG8AdAAgACgAZgBlAGUAZAAgAHAAYQBkACkAXAAiADsAXABuACAAIAAgACAAIAAgACAAIAAgACAAXAAiAEQAZQBlAHAAIABsAGkAdAB0AGUAcgBcACIALAAgADAALgAxADIANQAsACAAXAAiAEQAZQBlAHAAIABsAGkAdAB0AGUAcgBcACIAOwBcAG4AIAAgACAAIAAgACAAIAAgACAAIABcACIAUwB0AG8AYwBrAHAAaQBsAGUAIAAoAFMAbwBsAGkAZAAgAHMAdABvAHIAYQBnAGUAKQBcACIALAAgADAALgAyACwAIABcACIAUwBvAGwAaQBkACAAcwB0AG8AcgBhAGcAZQBcACIAOwBcAG4AIAAgACAAIAAgACAAIAAgACAAIABcACIARQBmAGYAbAB1AGUAbgB0ACAAcABvAG4AZAAgACgAVQBuAGMAbwB2AGUAcgBlAGQAIABhAG4AYQBlAHIAbwBiAGkAYwAgAGwAYQBnAG8AbwBuACkAXAAiACwAIAAwAC4ANQA1ACwAIABcACIAQQBuAGEAZQByAG8AYgBpAGMAIABsAGEAZwBvAG8AbgBcACIAOwBcAG4AIAAgACAAIAAgACAAIAAgACAAIABcACIAQQBuAGEAZQByAG8AYgBpAGMAIABkAGkAZwBlAHMAdABlAHIAIAAvACAAQwBvAHYAZQByAGUAZAAgAGwAYQBnAG8AbwBuAFwAIgAsACAAMAAsACAAXAAiAEQAaQBnAGUAcwB0AGUAcgAgAC8AIABjAG8AdgBlAHIAZQBkACAAbABhAGcAbwBvAG4AcwBcACIAOwBcAG4AIAAgACAAIAAgACAAIAAgACAAIABcACIAUwBoAG8AcgB0ACAASABSAFQAIAB0AGEAbgBrACAAcwB0AG8AcgBhAGcAZQAgADw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An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DwAIAAxACAAbQBvAG4AdABoACAAKABwAGkAdAAgAHMAdABvAHIAYQBnAGUAKQBcACIALAAgADAALgAwADAAMg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QBlAHQAaABhAG4AZQBWAG8AbABhAHQAaQBsAGUAUwBvAGwAaQBkAHMARQBtAGkAcwBzAGkAbwBuAHMAUABvAHQAZQBuAHQAaQBhAGwAXABuAEIAMABcAG4AbQAzACAAQwBIADQALwBrAGcAIABWAFMAXABuAC0ALQAtAC0ALQAtAC0ALQAtAC0ALQAtAC0ALQAtAC0ALQAtAC0ALQAtAC0ALQAtAC0ALQAtAC0ALQAtAC0ALQAtAC0ALQAtAC0ALQBcAG4AKgAvAFwAbgBcAG4AUwBvAHUAcgBjAGUARABhAHQAYQBfAFMAdwBpAG4AZQBfAE0AZQB0AGgAYQBuAGUAVgBvAGwAYQB0AGkAbABlAFMAbwBsAGkAZABzAEUAbQBpAHMAcwBpAG8AbgBzAFAAbwB0AGUAbgB0AGkAYQBsAF8AVABpAHQAbABlAFwAbgAgACAAPQBMAEEATQBCAEQAQQAoAFwAIgBFAG0AaQBzAHMAaQBvAG4AcwAgAHAAbwB0AGUAbgB0AGkAYQBsACAAbwBmACAAbQBlAHQAaABhAG4AZQAgAHAAZQByACAAawBpAGwAbwBnAHIAYQBtACAAbwBmACAAdgBvAGwAYQB0AGkAbABlACAAcwBvAGwAaQBkAHMAXAAiACkAOwBcAG4AXABuAFMAbwB1AHIAYwBlAEQAYQB0AGEAXwBTAHcAaQBuAGUAXwBNAGUAdABoAGEAbgBlAFYAbwBsAGEAdABpAGwAZQBTAG8AbABpAGQAcwBFAG0AaQBzAHMAaQBvAG4AcwBQAG8AdABlAG4AdABpAGEAbABfAFYAYQByAGkAYQBiAGwAZQBcAG4AIAAgAD0ATABBAE0AQgBEAEEAKABcACIAQgAwAFwAIgApADsAXABuAFwAbgBTAG8AdQByAGMAZQBEAGEAdABhAF8AUwB3AGkAbgBlAF8ATQBlAHQAaABhAG4AZQBWAG8AbABhAHQAaQBsAGUAUwBvAGwAaQBkAHMARQBtAGkAcwBzAGkAbwBuAHMAUABvAHQAZQBuAHQAaQBhAGwAXwBVAG4AaQB0AFwAbgAgACAAPQBMAEEATQBCAEQAQQAoAFwAIgBtADMAIABDAEgANAAgAC8AIABrAGcAIABWAFMAXAAiACkAOwBcAG4AXABuAFMAbwB1AHIAYwBlAEQAYQB0AGEAXwBTAHcAaQBuAGUAXwBNAGUAdABoAGEAbgBlAFYAbwBsAGEAdABpAGwAZQBTAG8AbABpAGQAcwBFAG0AaQBzAHMAaQBvAG4AcwBQAG8AdABlAG4AdABpAGEAbABfAFMAbwB1AHIAYwBlAFwAbgAgACAAPQBMAEEATQBCAEQAQQAoAFwAIgBJAFAAQwBDACAAKAAyADAAMQA5ACkALAAgAEMAaABhAHAAdABlAHIAIAAxADAAIABbADQAXQBcACIAKQA7AFwAbgBcAG4AUwBvAHUAcgBjAGUARABhAHQAYQBfAFMAdwBpAG4AZQBfAE0AZQB0AGgAYQBuAGUAVgBvAGwAYQB0AGkAbABlAFMAbwBsAGkAZABzAEUAbQBpAHMAcwBpAG8AbgBzAFAAbwB0AGUAbgB0AGkAYQBsAF8AVgBhAHIAaQBhAHQAaQBvAG4AXABuACAAIAA9AEwAQQBNAEIARABBACgAXAAiAFwAIgApADsAXABuAFwAbgBTAG8AdQByAGMAZQBEAGEAdABhAF8AUwB3AGkAbgBlAF8ATQBlAHQAaABhAG4AZQBWAG8AbABhAHQAaQBsAGUAUwBvAGwAaQBkAHMARQBtAGkAcwBzAGkAbwBuAHMAUABvAHQAZQBuAHQAaQBhAGwAXwBEAGEAdABhAFwAbgAgACAAPQBMAEEATQBCAEQAQQAoADAALgAxADkAKQA7AFwAbgBcAG4AXABuAC8AKgAgAFwAbgAtAC0ALQAtAC0ALQAtAC0ALQAtAC0ALQAtAC0ALQAtAC0ALQAtAC0ALQAtAC0ALQAtAC0ALQAtAC0ALQAtAC0ALQAtAC0ALQAtAC0AXABuAFMAbwB1AHIAYwBlAEQAYQB0AGEAXwBTAHcAaQBuAGUAXwBNAE0AUwBfAE0AQwBGAHMAXABuAFQAYQBiAGwAZQAgAEEALgAxAC4ANgAuADQAOgAgAFMAdwBpAG4AZQAgAC0AIABNAEMARgBzACAAKABNAEMARgBpAG0AKQBcAG4ALQAtAC0ALQAtAC0ALQAtAC0ALQAtAC0ALQAtAC0ALQAtAC0ALQAtAC0ALQAtAC0ALQAtAC0ALQAtAC0ALQAtAC0ALQAtAC0ALQAtAFwAbgAqAC8AXABuAFwAbgBTAG8AdQByAGMAZQBEAGEAdABhAF8AUwB3AGkAbgBlAF8ATQBNAFMAXwBNAEMARgBzAF8AVABpAHQAbABlAFwAbgAgACAAPQBMAEEATQBCAEQAQQAoAFwAIgBNAGUAdABoAGEAbgBlACAAYwBvAG4AdgBlAHIAcwBpAG8AbgAgAGYAYQBjAHQAbwByACAAZgBvAHIAIAB0AGUAbQBwAGUAcgBhAHQAdQByAGUAIAB6AG8AbgBlACAAYQBuAGQAIABtAGEAbgB1AHIAZQAgAG0AYQBuAGEAZwBlAG0AZQBuAHQAIABzAHkAcwB0AGUAbQAuAFwAIgApADsAXABuAFwAbgBTAG8AdQByAGMAZQBEAGEAdABhAF8AUwB3AGkAbgBlAF8ATQBNAFMAXwBNAEMARgBzAF8AVQBuAGkAdABcAG4AIAAgAD0ATABBAE0AQgBEAEEAKABcACIAXAAiACkAOwBcAG4AXABuAFMAbwB1AHIAYwBlAEQAYQB0AGEAXwBTAHcAaQBuAGUAXwBNAE0AUwBfAE0AQwBGAHMAXwBTAG8AdQByAGMAZQBcAG4AIAAgAD0ATABBAE0AQgBEAEEAKABcACIAVgBFAEUAUgBHACAAMgAwADIANgA6ACAAVABhAGIAbABlACAAQQAuADEALgA2AC4ANAA6ACAAUwB3AGkAbgBlACAALQAgAE0AQwBGAHMAIAAoAE0AQwBGAGkAbQApAFwAIgApADsAXABuAFwAbgBTAG8AdQByAGMAZQBEAGEAdABhAF8AUwB3AGkAbgBlAF8ATQBNAFMAXwBNAEMARgBzAF8AVgBhAHIAaQBhAHQAaQBvAG4AXABuACAAIAA9AEwAQQBNAEIARABBACgAXAAiAFYAQQBSAEkAQQBUAEkATwBOACAATwBOACAAUwBPAFUAUgBDAEUAIABEAEEAVABBADoAIABBAGQAZABlAGQAIABjAG8AbAB1AG0AbgBzACAAZgBvAHIAIABBAEMAVAAsACAAcwBwAGwAaQB0ACAAUQBMAEQAIABhAG4AZAAgAE4AVAAuACAAQQBkAGQAZQBkACAAZQB4AHQAcgBhACAAYwBvAGwAdQBtAG4AIAB3AGkAdABoACAATQBNAFMAIABuAGEAbQBlAHMAIAB0AGgAYQB0ACAAbQBhAHQAYwBoACAATgBJAFIAIABkAGUAZgBpAG4AaQB0AGkAbwBuAHMAXAAiACkAOwBcAG4AXABuAFMAbwB1AHIAYwBlAEQAYQB0AGEAXwBTAHcAaQBuAGUAXwBNAE0AUwBfAE0AQwBGAHMAXwBEAGEAdABhAFwAbgAgACAAPQBMAEEATQBCAEQAQQAoAFwAbgAgACAAIAAgAE0AQQBLAEUAQQBSAFIAQQBZACgAOAAsACAAMQAwACwAIABcAG4AIAAgACAAIAAgACAATABBAE0AQgBEAEEAKAByACwAYwAsACAAXABuACAAIAAgACAAIAAgACAAIABJAE4ARABFAFgAKAB7AFwAbgAgACAAIAAgACAAIAAgACAAIAAgAFwAIgBNAE0AUwBcACIALAAgAFwAIgBOAFMAVwBcACIALAAgAFwAIgBBAEMAVABcACIALAAgAFwAIgBRAEwARABcACIALAAgAFwAIgBOAFQAXAAiACwAIABcACIAUwBBAFwAIgAsACAAXAAiAFQAQQBTAFwAIgAsACAAXAAiAFYASQBDAFwAIgAsACAAXAAiAFcAQQBcACIALAAgAFwAIgBOAEkAUgAgAGQAZQBmAGkAbgBpAHQAaQBvAG4AXAAiADsAXABuACAAIAAgACAAIAAgACAAIAAgACAAXAAiAE8AdQB0AGQAbwBvAHIAIAAoAEQAcgB5ACAAbABvAHQAKQBcACIALAAgADAALgAwADEALAAgADAALgAwADEALAAgADAALgAwADMALAAgADAALgAwADMALAAgADAALgAwADEALAAgADAALgAwADEALAAgADAALgAwADEALAAgADAALgAwADEALAAgAFwAIgBEAHIAeQBsAG8AdAAgACgAZgBlAGUAZAAgAHAAYQBkACkAXAAiADsAIABcAG4AIAAgACAAIAAgACAAIAAgACAAIABcACIARABlAGUAcAAgAGwAaQB0AHQAZQByAFwAIgAsACAAMAAuADAANAAsACAAMAAuADAANAAsACAAMAAuADAANAAsACAAMAAuADAANAAsACAAMAAuADAANAAsACAAMAAuADAANAAsACAAMAAuADAANAAsACAAMAAuADAANAAsACAAXAAiAEQAZQBlAHAAIABsAGkAdAB0AGUAcgBcACIAOwBcAG4AIAAgACAAIAAgACAAIAAgACAAIABcACIAUwB0AG8AYwBrAHAAaQBsAGUAIAAoAFMAbwBsAGkAZAAgAHMAdABvAHIAYQBnAGUAKQBcACIALAAgADAALgAwADIALAAgADAALgAwADIALAAgADAALgAwADIALAAgADAALgAwADIALAAgADAALgAwADIALAAgADAALgAwADIALAAgADAALgAwADIALAAgADAALgAwADIALAAgAFwAIgBTAG8AbABpAGQAIABzAHQAbwByAGEAZwBlAFwAIgA7AFwAbgAgACAAIAAgACAAIAAgACAAIAAgAFwAIgBFAGYAZgBsAHUAZQBuAHQAIABwAG8AbgBkACAAKABVAG4AYwBvAHYAZQByAGUAZAAgAGEAbgBhAGUAcgBvAGIAaQBjACAAbABhAGcAbwBvAG4AKQBcACIALAAgADAALgA3ADUALAAgADAALgA3ADUALAAgADAALgA3ADgALAAgADAALgA3ADgALAAgADAALgA3ADUALAAgADAALgA3ADAALAAgADAALgA3ADQALAAgADAALgA3ADYALAAgAFwAIgBBAG4AYQBlAHIAbwBiAGkAYwAgAGwAYQBnAG8AbwBuAFwAIgA7AFwAbgAgACAAIAAgACAAIAAgACAAIAAgAFwAIgBBAG4AYQBlAHIAbwBiAGkAYwAgAGQAaQBnAGUAcwB0AGUAcgAgAC8AIABDAG8AdgBlAHIAZQBkACAAbABhAGcAbwBvAG4AXAAiACwAIAAwAC4AMQAsACAAMAAuADEALAAgADAALgAxACwAIAAwAC4AMQAsACAAMAAuADEALAAgADAALgAxACwAIAAwAC4AMQAsACAAMAAuADEALAAgAFwAIgBEAGkAZwBlAHMAdABlAHIAIAAvACAAYwBvAHYAZQByAGUAZAAgAGwAYQBnAG8AbwBuAHMAXAAiADsAIABcAG4AIAAgACAAIAAgACAAIAAgACAAIABcACIAUwBoAG8AcgB0ACAASABSAFQAIAB0AGEAbgBrACAAcwB0AG8AcgBhAGcAZQAgADw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JwBzAG8AbABpAGQAIABzAHQAbwByAGEAZwBlACcAIABNAE0AUwAsACAAYgB1AHQAIABlAHEAdQBhAHQAaQBvAG4AIAByAGUAZgBlAHIAcwAgAHQAbwAgACcAZAByAHkAbABvAHQAJ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CcAQQBsAGwAIABzAHQAYQB0AGUAcwAnACAAdgBhAGwAdQBlACAAaQBzACAAZwBpAHYAZQBuAC4AXAAiADsAXABuACAAIAAgACAAIAAgACAAIAAgACAAXAAiAEEAZABkAGUAZAAgACcATgBJAFIAIABkAGUAZgBpAG4AaQB0AGkAbwBuACcAIABjAG8AbAB1AG0AbgAgAHcAaQB0AGgAIABNAE0AUwAgAG4AYQBtAGUAcwAgAHQAaABhAHQAIABtAGEAdABjAGgAIABOAEkAUgAgAGQAZQBmAGkAbgBpAHQAaQBvAG4AcwAuAFwAIgA7AFwAbgAgACAAIAAgACAAIAAgACAAIAAgAFwAIgBEAHUAcABsAGkAYwBhAHQAZQBkACAAJwBQAG8AdQBsAHQAcgB5ACAAbQBhAG4AdQByAGUAIAB3AGkAdABoAG8AdQB0ACAAbABpAHQAdABlAHIAJwAgAHIAbwB3ACAAZgBvAHIAIABOAEkAUgAgAE0ATQBTACAAJwBCAGUAbAB0ACAAbQBhAG4AdQByAGUAIAByAGUAbQBvAHYAYQBsACcAIABhAG4AZAAgACcATQBhAG4AdQByAGUAIABzAHQAbwByAGUAZAAgAGkAbgAgAGgAbwB1AHMAZQAnAFwAIgBcAG4AIAAgACAAIAAgACAAIAAgAH0ALAAgAHIALAAgAGMAKQBcAG4AIAAgACAAIAAgACAAKQBcAG4AIAAgACAAIAApAFwAbgAgACAAKQA7AFwAbgBcAG4AUwBvAHUAcgBjAGUARABhAHQAYQBfAFAAbwB1AGwAdAByAHkAXwBNAEMARgBfAEQAYQB0AGEAXABuACAAIAA9AEwAQQBNAEIARABBACgAXABuACAAIAAgACAATQBBAEsARQBBAFIAUgBBAFkAKAAxADAALAAgADEAMQAsACAAXABuACAAIAAgACAAIAAgAEwAQQBNAEIARABBACgAcgAsAGMALAAgAFwAbgAgACAAIAAgACAAIAAgACAASQBOAEQARQBYACgAewBcAG4AIAAgACAAIAAgACAAIAAgACAAIABcACIATQBNAFMAIABtAFwAIgAsACAAXAAiAEEAbABsACAAcwB0AGEAdABlAHMAXAAiACwAIABcACIATgBTAFcAXAAiACwAIABcACIAQQBDAFQAXAAiACwAIABcACIAUQBMAEQAXAAiACwAIABcACIATgBUAFwAIgAsACAAXAAiAFYASQBDAFwAIgAsACAAXAAiAFMAQQBcACIALAAgAFwAIgBXAEEAXAAiACwAIABcACIAVABBAFMAXAAiACwAIABcACIATgBJAFIAIABkAGUAZgBpAG4AaQB0AGkAbwBuAFwAIgA7AFwAbgAgACAAIAAgACAAIAAgACAAIAAgAFwAIgBQAG8AdQBsAHQAcgB5ACAAbQBhAG4AdQByAGUAIAB3AGkAdABoACAAbABpAHQAdABlAHIAXAAiACwAIAAwAC4AMAAxADUALAAgADAALgAwADEANQAsACAAMAAuADAAMQA1ACwAIAAwAC4AMAAxADUALAAgADAALgAwADEANQAsACAAMAAuADAAMQA1ACwAIAAwAC4AMAAxADUALAAgADAALgAwADEANQAsACAAMAAuADAAMQA1ACwAIABcACIAUABvAHUAbAB0AHIAeQAgAG0AYQBuAHUAcgBlACAAdwBpAHQAaAAgAGIAZQBkAGQAaQBuAGcAXAAiADsAIA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IAZQBsAHQAIABtAGEAbgB1AHIAZQAgAHIAZQBtAG8AdgBhAGwAXAAiADs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NAGEAbgB1AHIAZQAgAHMAdABvAHIAZQBkACAAaQBuACAAaABvAHUAcwBlAFwAIgA7AFwAbgAgACAAIAAgACAAIAAgACAAIAAgAFwAIgBQAGEAcwB0AHUAcgBlACAAcgBhAG4AZwBlACAAYQBuAGQAIABwAGEAZABkAG8AYwBrAFwAIgAsACAAXAAiAG4ALwBhAFwAIgAsACAAMAAuADAAMQAsACAAMAAuADAAMQAsACAAMAAuADAAMwAsACAAMAAuADAAMwAsACAAMAAuADAAMQAsACAAMAAuADAAMQAsACAAMAAuADAAMQAsACAAMAAuADAAMQAsACAAXAAiAFAAYQBzAHQAdQByAGUAIAByAGEAbgBnAGUAIABhAG4AZAAgAHAAYQBkAGQAbwBjAGsAXAAiADsAXABuACAAIAAgACAAIAAgACAAIAAgACAAXAAiAFMAbwBsAGkAZAAgAHMAdABvAHIAYQBnAGUAXAAiACwAIAAwAC4AMAAyACwAIAAwAC4AMAAyACwAIAAwAC4AMAAyACwAIAAwAC4AMAAyACwAIAAwAC4AMAAyACwAIAAwAC4AMAAyACwAIAAwAC4AMAAyACwAIAAwAC4AMAAyACwAIAAwAC4AMAAyACwAIABcACIAUwBvAGwAaQBkACAAcwB0AG8AcgBhAGcAZQBcACIAOwBcAG4AIAAgACAAIAAgACAAIAAgACAAIABcACIAQwBvAG0AcABvAHMAdABpAG4AZwAgACgAcABhAHMAcwBpAHYAZQAgAHcAaQBuAGQAcgBvAHcAKQBcACIALAAgAFwAIgBuAC8AYQBcACIALAAgADAALgAwADEALAAgADAALgAwADEALAAgADAALgAwADEALAAgADAALgAwADEALAAgADAALgAwADEALAAgADAALgAwADEALAAgADAALgAwADEALAAgADAALgAwADAANQAsACAAXAAiAEMAbwBtAHAAbwBzAHQAaQBuAGcAIAAoAHAAYQBzAHMAaQB2AGUAIAB3AGkAbgBkAHIAbwB3ACkAXAAiADsAXABuACAAIAAgACAAIAAgACAAIAAgACAAXAAiAEEAbgBhAGUAcgBvAGIAaQBjACAAZABpAGcAZQBzAHQAZQByACAALwAgAEMAbwB2AGUAcgBlAGQAIABwAG8AbgBkAFwAIgAsACAAMAAuADEALAAgADAALgAxACwAIAAwAC4AMQAsACAAMAAuADEALAAgADAALgAxACwAIAAwAC4AMQAsACAAMAAuADEALAAgADAALgAxACwAIAAwAC4AMQAsACAAXAAiAEQAaQBnAGUAcwB0AGUAcgAgAC8AIABjAG8AdgBlAHIAZQBkACAAbABhAGcAbwBvAG4AcwBcACIAOwBcAG4AIAAgACAAIAAgACAAIAAgACAAIABcACIARABpAHIAZQBjAHQAIABwAHIAbwBjAGUAcwBzAGkAbgBnAFwAIgAsACAAMAAsACAAMAAsACAAMAAsACAAMAAsACAAMAAsACAAMAAsACAAMAAsACAAMAAsACAAMAAsACAAXAAiAEQAaQByAGUAYwB0ACAAcAByAG8AYwBlAHMAcwBpAG4AZwBcACIAOwBcAG4AIAAgACAAIAAgACAAIAAgACAAIABcACIARABpAHIAZQBjAHQAIABhAHAAcABsAGkAYwBhAHQAaQBvAG4AIAB0AG8AIABzAG8AaQBsAFwAIgAsACAAMAAsACAAMAAsACAAMAAsACAAMAAsACAAMAAsACAAMAAsACAAMAAsACAAMAAsACAAMAAsACAAXAAiAEQAaQByAGUAYwB0ACAAYQBwAHAAbABpAGMAYQB0AGkAbwBuAFwAIgBcAG4AIAAgACAAIAAgACAAIAAgAH0ALAAgAHIALAAgAGMAKQBcAG4AIAAgACAAIAAgACAAKQBcAG4AIAAgACAAIAApAFwAbgAgACAAKQA7AFwAbgBcAG4AUwBvAHUAcgBjAGUARABhAHQAYQBfAFAAbwB1AGwAdAByAHkAXwBNAEMARgBfAE4AbwB0AGUAcwBcAG4AIAAgAD0ATABBAE0AQgBEAEEAKABcACIAJwBQAGEAcwB0AHUAcgBlACAAcgBhAG4AZwBlACAAYQBuAGQAIABwAGEAZABkAG8AYwBrAC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AnAE4ASQBSACAAZABlAGYAaQBuAGkAdABpAG8AbgAgAGMAbwBsAHUAbQBuAC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JwBOAEkAUgAgAGQAZQBmAGkAbgBpAHQAaQBvAG4AIABjAG8AbAB1AG0AbgAnAC4AXAAiACkAOwBcAG4AXABuAFMAbwB1AHIAYwBlAEQAYQB0AGEAXwBQAG8AdQBsAHQAcgB5AF8ARgByAGEAYwBHAEEAUwBNAG0AVABfAEQAYQB0AGEAXABuACAAIAA9AEwAQQBNAEIARABBACgAXABuACAAIAAgACAATQBBAEsARQBBAFIAUgBBAFkAKAA4ACwAIAAzACwAIABcAG4AIAAgACAAIAAgACAATABBAE0AQgBEAEEAKAByACwAYwAsACAAXABuACAAIAAgACAAIAAgACAAIABJAE4ARABFAFgAKAB7AFwAbgAgACAAIAAgACAAIAAgACAAIAAgAFwAIgBNAE0AUwAgAG0AXAAiACwAIABcACIARgByAGEAYwBHAEEAUwBNAG0AVABcACIALAAgAFwAIgBOAEkAUgAgAHIAZQBmAGUAcgBlAG4AYwBlAFwAIgA7AFwAbgAgACAAIAAgACAAIAAgACAAIAAgAFwAIgBQAG8AdQBsAHQAcgB5ACAAbQBhAG4AdQByAGUAIAB3AGkAdABoACAAbABpAHQAdABlAHIAIAAoAGgAbwB1AHMAaQBuAGcAKQBcACIALAAgADAALgAzACwAIABcACIAUABvAHUAbAB0AHIAeQAgAG0AYQBuAHUAcgBlACAAdwBpAHQAaAAgAGIAZQBkAGQAaQBuAGcAXAAiADsAXABuACAAIAAgACAAIAAgACAAIAAgACAAXAAiAFAAbwB1AGwAdAByAHkAIABtAGEAbgB1AHIAZQAgAHcAaQB0AGgAbwB1AHQAIABsAGkAdAB0AGUAcgAgACgAaABvAHUAcwBpAG4AZwApACAAQgBlAGwAdAAgAG0AYQBuAHUAcgBlACAAcgBlAG0AbwB2AGEAbABcACIALAAgADAALgAwADUALAAgAFwAIgBCAGUAbAB0ACAAbQBhAG4AdQByAGUAIAByAGUAbQBvAHYAYQBsAFwAIgA7AFwAbgAgACAAIAAgACAAIAAgACAAIAAgAFwAIgBQAG8AdQBsAHQAcgB5ACAAbQBhAG4AdQByAGUAIAB3AGkAdABoAG8AdQB0ACAAbABpAHQAdABlAHIAIAAoAGgAbwB1AHMAaQBuAGcAKQAgAE0AYQBuAHUAcgBlACAAcwB0AG8AcgBlAGQAIABpAG4AIABoAG8AdQBzAGUAIAB1AG4AZABlAHIAIABjAGEAZwBlAHMAIABvAHIAIABzAGwAYQB0AFwAIgAsACAAMAAuADQALAAgAFwAIgBNAGEAbgB1AHIAZQAgAHMAdABvAHIAZQBkACAAaQBuACAAaABvAHUAcwBlAFwAIgA7AFwAbgAgACAAIAAgACAAIAAgACAAIAAgAFwAIgBTAG8AbABpAGQAIABzAHQAbwByAGEAZwBlACAAKABzAHQAbwBjAGsAcABpAGwAZQApAFwAIgAsACAAMAAuADIALAAgAFwAIgBTAG8AbABpAGQAIABzAHQAbwByAGEAZwBlAFwAIgA7AFwAbgAgACAAIAAgACAAIAAgACAAIAAgAFwAIgBDAG8AbQBwAG8AcwB0AGkAbgBnACAAKABwAGEAcwBzAGkAdgBlACAAdwBpAG4AZAByAG8AdwApAFwAIgAsACAAMAAuADI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FAEYAbQBUAFwAbgBUAGEAYgBsAGUAIABBAC4AMQAuADcALgAzADoAIABQAG8AdQBsAHQAcgB5ACAALQAgAE4AaQB0AHIAbwB1AHMAIABvAHgAaQBkAGUAIABFAEYAcwAgAGIAeQAgAE0ATQBTACAAKABrAGcATgAyAE8ALQBOAC8AawBnAE4AKQAgACgARQBGAG0AVAApAFwAbgAtAC0ALQAtAC0ALQAtAC0ALQAtAC0ALQAtAC0ALQAtAC0ALQAtAC0ALQAtAC0ALQAtAC0ALQAtAC0ALQAtAC0ALQAtAC0ALQAtAC0AXABuACoALwBcAG4AXABuAFMAbwB1AHIAYwBlAEQAYQB0AGEAXwBQAG8AdQBsAHQAcgB5AF8ARQBGAG0AVABfAFQAaQB0AGwAZQBcAG4AIAAgAD0ATABBAE0AQgBEAEEAKABcACIAUABvAHUAbAB0AHIAeQAgAC0AIABOAGkAdAByAG8AdQBzACAAbwB4AGkAZABlACAARQBGAHMAIABiAHkAIABNAE0AUwAgACgAawBnAE4AMgBPAC0ATgAvAGsAZwBOACkAIAAoAEUARgBtAFQAKQBcACIAKQA7AFwAbgBcAG4AUwBvAHUAcgBjAGUARABhAHQAYQBfAFAAbwB1AGwAdAByAHkAXwBFAEYAbQBUAF8AVQBuAGkAdABcAG4AIAAgAD0ATABBAE0AQgBEAEEAKABcACIAawBnAE4AMgBPACAALQAgAE4AIAAvACAAawBnAE4AXAAiACkAOwBcAG4AXABuAFMAbwB1AHIAYwBlAEQAYQB0AGEAXwBQAG8AdQBsAHQAcgB5AF8ARQBGAG0AVABfAFMAbwB1AHIAYwBlAFwAbgAgACAAPQBMAEEATQBCAEQAQQAoAFwAIgBWAEUARQBSAEcAIAAyADAAMgA2ADoAIABUAGEAYgBsAGUAIABBAC4AMQAuADcALgAzAFwAIgApADsAXABuAFwAbgBTAG8AdQByAGMAZQBEAGEAdABhAF8AUABvAHUAbAB0AHIAeQBfAEUARgBtAFQAXwBWAGEAcgBpAGEAdABpAG8AbgBcAG4AIAAgAD0ATABBAE0AQgBEAEEAKABcACIAVgBBAFIASQBBAFQASQBPAE4AIABPAE4AIABTAE8AVQBSAEMARQA6ACAAQQBkAGQAZQBkACAAJwBOAEkAUgAgAGQAZQBmAGkAbgBpAHQAaQBvAG4AIABjAG8AbAB1AG0AbgAnAC4AIABEAHUAcABsAGkAYwBhAHQAZQBkACAAJwBQAG8AdQBsAHQAcgB5ACAAbQBhAG4AdQByAGUAIAB3AGkAdABoAG8AdQB0ACAAbABpAHQAdABlAHIAJwAgAHIAbwB3ACAAZgBvAHIAIABOAEkAUgAgAE0ATQBTACAAJwBCAGUAbAB0ACAAbQBhAG4AdQByAGUAIAByAGUAbQBvAHYAYQBsACcAIABhAG4AZAAgACcATQBhAG4AdQByAGUAIABzAHQAbwByAGUAZAAgAGkAbgAgAGgAbwB1AHMAZQAn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kALAAgADM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D4ALwA9ADEAIAB5AHIAXAAiACwAIAAyADsAXABuACAAIAAgACAAIAAgACAAIAAgACAAXAAiAFAAdQBsAGwAZQB0AHMAXAAiACwAIAAxAC4ANAA7AFwAbgAgACAAIAAgACAAIAAgACAAIAAgAFwAIgBCAHIAbwBpAGwAZQByAHMAXAAiACwAIAAxAC4AMgBcAG4AIAAgACAAIAAgACAAIAAgAH0ALAAgAHIALAAgAGMAKQBcAG4AIAAgACAAIAAgACAAKQBcAG4AIAAgACAAIAApAFwAbgAgACAAKQA7ACIAfQBd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Constants - Poultry</vt:lpstr>
      <vt:lpstr>Constants - Swine</vt:lpstr>
      <vt:lpstr>Constants - Dairy</vt:lpstr>
      <vt:lpstr>Constants - Pasture Beef</vt:lpstr>
      <vt:lpstr>Input - Site</vt:lpstr>
      <vt:lpstr>Input - Fertiliser</vt:lpstr>
      <vt:lpstr>Input - Feed</vt:lpstr>
      <vt:lpstr>Input - Farm Inputs</vt:lpstr>
      <vt:lpstr>Input - Fuel</vt:lpstr>
      <vt:lpstr>Input - Electricity</vt:lpstr>
      <vt:lpstr>Calcs scope 3</vt:lpstr>
      <vt:lpstr>Constants - Scope 3</vt:lpstr>
      <vt:lpstr>Constants - Common Livestock</vt:lpstr>
      <vt:lpstr>Sheet1</vt:lpstr>
      <vt:lpstr>Constants - Fertiliser</vt:lpstr>
      <vt:lpstr>Constants - Fuel</vt:lpstr>
      <vt:lpstr>Constants - Electricity</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2026-05-31T23:19:51Z</dcterms:modified>
</cp:coreProperties>
</file>